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icagogov.sharepoint.com/sites/CDOTx/completestreets/Shared Documents/_Programming/Dashboard/"/>
    </mc:Choice>
  </mc:AlternateContent>
  <xr:revisionPtr revIDLastSave="1127" documentId="8_{7F46464D-29EA-4FED-92A3-54E04F7B24E4}" xr6:coauthVersionLast="47" xr6:coauthVersionMax="47" xr10:uidLastSave="{82970949-DC9B-4EF0-B011-A704218BF92C}"/>
  <bookViews>
    <workbookView xWindow="-120" yWindow="-120" windowWidth="29040" windowHeight="15840" tabRatio="827" activeTab="1" xr2:uid="{00000000-000D-0000-FFFF-FFFF00000000}"/>
  </bookViews>
  <sheets>
    <sheet name="Summary" sheetId="19" r:id="rId1"/>
    <sheet name="Network" sheetId="20" r:id="rId2"/>
    <sheet name="Equity" sheetId="12" r:id="rId3"/>
    <sheet name="Geographies" sheetId="21" r:id="rId4"/>
    <sheet name="Community Areas" sheetId="22" r:id="rId5"/>
  </sheets>
  <externalReferences>
    <externalReference r:id="rId6"/>
    <externalReference r:id="rId7"/>
    <externalReference r:id="rId8"/>
  </externalReferences>
  <definedNames>
    <definedName name="_xlnm._FilterDatabase" localSheetId="1" hidden="1">Network!$A$10:$AZ$10</definedName>
    <definedName name="_xlnm.Print_Area" localSheetId="2">Equity!#REF!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19" l="1"/>
  <c r="O66" i="19"/>
  <c r="O64" i="19"/>
  <c r="O65" i="19" s="1"/>
  <c r="T35" i="19"/>
  <c r="S35" i="19"/>
  <c r="R35" i="19"/>
  <c r="Q35" i="19"/>
  <c r="T47" i="19"/>
  <c r="S47" i="19"/>
  <c r="R47" i="19"/>
  <c r="Q47" i="19"/>
  <c r="Q53" i="19" s="1"/>
  <c r="P47" i="19"/>
  <c r="O59" i="19"/>
  <c r="T46" i="19"/>
  <c r="T58" i="19" s="1"/>
  <c r="S46" i="19"/>
  <c r="R46" i="19"/>
  <c r="Q46" i="19"/>
  <c r="P46" i="19"/>
  <c r="O58" i="19"/>
  <c r="T45" i="19"/>
  <c r="S45" i="19"/>
  <c r="R45" i="19"/>
  <c r="Q45" i="19"/>
  <c r="P45" i="19"/>
  <c r="T44" i="19"/>
  <c r="S44" i="19"/>
  <c r="S52" i="19" s="1"/>
  <c r="R44" i="19"/>
  <c r="Q44" i="19"/>
  <c r="P44" i="19"/>
  <c r="P56" i="19" s="1"/>
  <c r="T43" i="19"/>
  <c r="T52" i="19" s="1"/>
  <c r="S43" i="19"/>
  <c r="R43" i="19"/>
  <c r="R49" i="19" s="1"/>
  <c r="Q43" i="19"/>
  <c r="Q49" i="19" s="1"/>
  <c r="P43" i="19"/>
  <c r="T59" i="19"/>
  <c r="S59" i="19"/>
  <c r="R59" i="19"/>
  <c r="P59" i="19"/>
  <c r="S58" i="19"/>
  <c r="R58" i="19"/>
  <c r="Q58" i="19"/>
  <c r="P58" i="19"/>
  <c r="T57" i="19"/>
  <c r="S57" i="19"/>
  <c r="R57" i="19"/>
  <c r="Q57" i="19"/>
  <c r="P57" i="19"/>
  <c r="O57" i="19"/>
  <c r="T56" i="19"/>
  <c r="Q56" i="19"/>
  <c r="S53" i="19"/>
  <c r="R53" i="19"/>
  <c r="P53" i="19"/>
  <c r="T67" i="19"/>
  <c r="S67" i="19"/>
  <c r="R67" i="19"/>
  <c r="Q67" i="19"/>
  <c r="T80" i="19"/>
  <c r="S80" i="19"/>
  <c r="R80" i="19"/>
  <c r="Q80" i="19"/>
  <c r="T79" i="19"/>
  <c r="T111" i="19" s="1"/>
  <c r="T112" i="19" s="1"/>
  <c r="S79" i="19"/>
  <c r="S111" i="19" s="1"/>
  <c r="S112" i="19" s="1"/>
  <c r="R79" i="19"/>
  <c r="Q79" i="19"/>
  <c r="Q111" i="19" s="1"/>
  <c r="Q112" i="19" s="1"/>
  <c r="T93" i="19"/>
  <c r="S93" i="19"/>
  <c r="R93" i="19"/>
  <c r="Q93" i="19"/>
  <c r="T105" i="19"/>
  <c r="S105" i="19"/>
  <c r="R105" i="19"/>
  <c r="Q105" i="19"/>
  <c r="P105" i="19"/>
  <c r="P112" i="19" s="1"/>
  <c r="O105" i="19"/>
  <c r="R111" i="19"/>
  <c r="P111" i="19"/>
  <c r="T157" i="19"/>
  <c r="S157" i="19"/>
  <c r="R157" i="19"/>
  <c r="Q157" i="19"/>
  <c r="P157" i="19"/>
  <c r="O157" i="19"/>
  <c r="N157" i="19"/>
  <c r="M157" i="19"/>
  <c r="L157" i="19"/>
  <c r="T155" i="19"/>
  <c r="S155" i="19"/>
  <c r="R155" i="19"/>
  <c r="Q155" i="19"/>
  <c r="T154" i="19"/>
  <c r="S154" i="19"/>
  <c r="R154" i="19"/>
  <c r="Q154" i="19"/>
  <c r="T153" i="19"/>
  <c r="S153" i="19"/>
  <c r="R153" i="19"/>
  <c r="Q153" i="19"/>
  <c r="T152" i="19"/>
  <c r="S152" i="19"/>
  <c r="R152" i="19"/>
  <c r="Q152" i="19"/>
  <c r="T151" i="19"/>
  <c r="S151" i="19"/>
  <c r="R151" i="19"/>
  <c r="Q151" i="19"/>
  <c r="T150" i="19"/>
  <c r="S150" i="19"/>
  <c r="R150" i="19"/>
  <c r="Q150" i="19"/>
  <c r="V150" i="19"/>
  <c r="T33" i="19"/>
  <c r="S33" i="19"/>
  <c r="R33" i="19"/>
  <c r="Q33" i="19"/>
  <c r="O56" i="19" l="1"/>
  <c r="O53" i="19"/>
  <c r="O52" i="19"/>
  <c r="Q54" i="19"/>
  <c r="R54" i="19"/>
  <c r="P52" i="19"/>
  <c r="R56" i="19"/>
  <c r="T49" i="19"/>
  <c r="R52" i="19"/>
  <c r="T53" i="19"/>
  <c r="S56" i="19"/>
  <c r="Q59" i="19"/>
  <c r="S49" i="19"/>
  <c r="S54" i="19" s="1"/>
  <c r="Q52" i="19"/>
  <c r="O49" i="19"/>
  <c r="O54" i="19" s="1"/>
  <c r="P49" i="19"/>
  <c r="P54" i="19"/>
  <c r="R112" i="19"/>
  <c r="N33" i="19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1" i="20"/>
  <c r="AT42" i="20"/>
  <c r="AT43" i="20"/>
  <c r="AT44" i="20"/>
  <c r="AT45" i="20"/>
  <c r="AT46" i="20"/>
  <c r="AT47" i="20"/>
  <c r="AT48" i="20"/>
  <c r="AT49" i="20"/>
  <c r="AT50" i="20"/>
  <c r="AT51" i="20"/>
  <c r="AT52" i="20"/>
  <c r="AT53" i="20"/>
  <c r="AT54" i="20"/>
  <c r="AT55" i="20"/>
  <c r="AT56" i="20"/>
  <c r="AT57" i="20"/>
  <c r="AT58" i="20"/>
  <c r="AT59" i="20"/>
  <c r="AT60" i="20"/>
  <c r="AT61" i="20"/>
  <c r="AT62" i="20"/>
  <c r="AT63" i="20"/>
  <c r="AT64" i="20"/>
  <c r="AT65" i="20"/>
  <c r="AT66" i="20"/>
  <c r="AT67" i="20"/>
  <c r="AT68" i="20"/>
  <c r="AT69" i="20"/>
  <c r="AT70" i="20"/>
  <c r="AT71" i="20"/>
  <c r="AT72" i="20"/>
  <c r="AT73" i="20"/>
  <c r="AT74" i="20"/>
  <c r="AT75" i="20"/>
  <c r="AT76" i="20"/>
  <c r="AT77" i="20"/>
  <c r="AT78" i="20"/>
  <c r="AT79" i="20"/>
  <c r="AT80" i="20"/>
  <c r="AT81" i="20"/>
  <c r="AT82" i="20"/>
  <c r="AT83" i="20"/>
  <c r="AT84" i="20"/>
  <c r="AT85" i="20"/>
  <c r="AT86" i="20"/>
  <c r="AT87" i="20"/>
  <c r="AT88" i="20"/>
  <c r="AT89" i="20"/>
  <c r="AT90" i="20"/>
  <c r="AT91" i="20"/>
  <c r="AT92" i="20"/>
  <c r="AT93" i="20"/>
  <c r="AT94" i="20"/>
  <c r="AT95" i="20"/>
  <c r="AT96" i="20"/>
  <c r="AT97" i="20"/>
  <c r="AT98" i="20"/>
  <c r="AT99" i="20"/>
  <c r="AT100" i="20"/>
  <c r="AT101" i="20"/>
  <c r="AT102" i="20"/>
  <c r="AT103" i="20"/>
  <c r="AT104" i="20"/>
  <c r="AT105" i="20"/>
  <c r="AT106" i="20"/>
  <c r="AT107" i="20"/>
  <c r="AT108" i="20"/>
  <c r="AT109" i="20"/>
  <c r="AT110" i="20"/>
  <c r="AT111" i="20"/>
  <c r="AT112" i="20"/>
  <c r="AT113" i="20"/>
  <c r="AT114" i="20"/>
  <c r="AT115" i="20"/>
  <c r="AT116" i="20"/>
  <c r="AT117" i="20"/>
  <c r="AT118" i="20"/>
  <c r="AT119" i="20"/>
  <c r="AT120" i="20"/>
  <c r="AT121" i="20"/>
  <c r="AT122" i="20"/>
  <c r="AT123" i="20"/>
  <c r="AT124" i="20"/>
  <c r="AT125" i="20"/>
  <c r="AT126" i="20"/>
  <c r="AT127" i="20"/>
  <c r="AT128" i="20"/>
  <c r="AT129" i="20"/>
  <c r="AT130" i="20"/>
  <c r="AT131" i="20"/>
  <c r="AT132" i="20"/>
  <c r="AT133" i="20"/>
  <c r="AT134" i="20"/>
  <c r="AT135" i="20"/>
  <c r="AT136" i="20"/>
  <c r="AT137" i="20"/>
  <c r="AT138" i="20"/>
  <c r="AT139" i="20"/>
  <c r="AT140" i="20"/>
  <c r="AT141" i="20"/>
  <c r="AT142" i="20"/>
  <c r="AT143" i="20"/>
  <c r="AT144" i="20"/>
  <c r="AT145" i="20"/>
  <c r="AT146" i="20"/>
  <c r="AT147" i="20"/>
  <c r="AT148" i="20"/>
  <c r="AT149" i="20"/>
  <c r="AT150" i="20"/>
  <c r="AT151" i="20"/>
  <c r="AT152" i="20"/>
  <c r="AT153" i="20"/>
  <c r="AT154" i="20"/>
  <c r="AT155" i="20"/>
  <c r="AT156" i="20"/>
  <c r="AT157" i="20"/>
  <c r="AT158" i="20"/>
  <c r="AT159" i="20"/>
  <c r="AT160" i="20"/>
  <c r="AT161" i="20"/>
  <c r="AT162" i="20"/>
  <c r="AT163" i="20"/>
  <c r="AT164" i="20"/>
  <c r="AT165" i="20"/>
  <c r="AT166" i="20"/>
  <c r="AT167" i="20"/>
  <c r="AT168" i="20"/>
  <c r="AT169" i="20"/>
  <c r="AT170" i="20"/>
  <c r="AT171" i="20"/>
  <c r="AT172" i="20"/>
  <c r="AT173" i="20"/>
  <c r="AT174" i="20"/>
  <c r="AT175" i="20"/>
  <c r="AT176" i="20"/>
  <c r="AT177" i="20"/>
  <c r="AT178" i="20"/>
  <c r="AT179" i="20"/>
  <c r="AT180" i="20"/>
  <c r="AT181" i="20"/>
  <c r="AT182" i="20"/>
  <c r="AT183" i="20"/>
  <c r="AT184" i="20"/>
  <c r="AT185" i="20"/>
  <c r="AT186" i="20"/>
  <c r="AT187" i="20"/>
  <c r="AT188" i="20"/>
  <c r="AT189" i="20"/>
  <c r="AT190" i="20"/>
  <c r="AT191" i="20"/>
  <c r="AT192" i="20"/>
  <c r="AT193" i="20"/>
  <c r="AT194" i="20"/>
  <c r="AT195" i="20"/>
  <c r="AT196" i="20"/>
  <c r="AT197" i="20"/>
  <c r="AT198" i="20"/>
  <c r="AT199" i="20"/>
  <c r="AT200" i="20"/>
  <c r="AT201" i="20"/>
  <c r="AT202" i="20"/>
  <c r="AT203" i="20"/>
  <c r="AT204" i="20"/>
  <c r="AT205" i="20"/>
  <c r="AT206" i="20"/>
  <c r="AT207" i="20"/>
  <c r="AT208" i="20"/>
  <c r="AT209" i="20"/>
  <c r="AT210" i="20"/>
  <c r="AT211" i="20"/>
  <c r="AT212" i="20"/>
  <c r="AT213" i="20"/>
  <c r="AT214" i="20"/>
  <c r="AT215" i="20"/>
  <c r="AT216" i="20"/>
  <c r="AT217" i="20"/>
  <c r="AT218" i="20"/>
  <c r="AT219" i="20"/>
  <c r="AT220" i="20"/>
  <c r="AT221" i="20"/>
  <c r="AT222" i="20"/>
  <c r="AT223" i="20"/>
  <c r="AT224" i="20"/>
  <c r="AT225" i="20"/>
  <c r="AT226" i="20"/>
  <c r="AT227" i="20"/>
  <c r="AT228" i="20"/>
  <c r="AT229" i="20"/>
  <c r="AT230" i="20"/>
  <c r="AT231" i="20"/>
  <c r="AT232" i="20"/>
  <c r="AT233" i="20"/>
  <c r="AT234" i="20"/>
  <c r="AT235" i="20"/>
  <c r="AT236" i="20"/>
  <c r="AT237" i="20"/>
  <c r="AT238" i="20"/>
  <c r="AT239" i="20"/>
  <c r="AT240" i="20"/>
  <c r="AT241" i="20"/>
  <c r="AT242" i="20"/>
  <c r="AT243" i="20"/>
  <c r="AT244" i="20"/>
  <c r="AT245" i="20"/>
  <c r="AT246" i="20"/>
  <c r="AT247" i="20"/>
  <c r="AT248" i="20"/>
  <c r="AT249" i="20"/>
  <c r="AT250" i="20"/>
  <c r="AT251" i="20"/>
  <c r="AT252" i="20"/>
  <c r="AT253" i="20"/>
  <c r="AT254" i="20"/>
  <c r="AT255" i="20"/>
  <c r="AT256" i="20"/>
  <c r="AT257" i="20"/>
  <c r="AT258" i="20"/>
  <c r="AT259" i="20"/>
  <c r="AT260" i="20"/>
  <c r="AT261" i="20"/>
  <c r="AT262" i="20"/>
  <c r="AT263" i="20"/>
  <c r="AT264" i="20"/>
  <c r="AT265" i="20"/>
  <c r="AT266" i="20"/>
  <c r="AT267" i="20"/>
  <c r="AT268" i="20"/>
  <c r="AT269" i="20"/>
  <c r="AT270" i="20"/>
  <c r="AT271" i="20"/>
  <c r="AT272" i="20"/>
  <c r="AT273" i="20"/>
  <c r="AT274" i="20"/>
  <c r="AT275" i="20"/>
  <c r="AT276" i="20"/>
  <c r="AT277" i="20"/>
  <c r="AT278" i="20"/>
  <c r="AT279" i="20"/>
  <c r="AT280" i="20"/>
  <c r="AT281" i="20"/>
  <c r="AT282" i="20"/>
  <c r="AT283" i="20"/>
  <c r="AT284" i="20"/>
  <c r="AT285" i="20"/>
  <c r="AT286" i="20"/>
  <c r="AT287" i="20"/>
  <c r="AT288" i="20"/>
  <c r="AT289" i="20"/>
  <c r="AT290" i="20"/>
  <c r="AT291" i="20"/>
  <c r="AT292" i="20"/>
  <c r="AT293" i="20"/>
  <c r="AT294" i="20"/>
  <c r="AT295" i="20"/>
  <c r="AT296" i="20"/>
  <c r="AT297" i="20"/>
  <c r="AT298" i="20"/>
  <c r="AT299" i="20"/>
  <c r="AT300" i="20"/>
  <c r="AT301" i="20"/>
  <c r="AT302" i="20"/>
  <c r="AT303" i="20"/>
  <c r="AT304" i="20"/>
  <c r="AT305" i="20"/>
  <c r="AT306" i="20"/>
  <c r="AT307" i="20"/>
  <c r="AT308" i="20"/>
  <c r="AT309" i="20"/>
  <c r="AT310" i="20"/>
  <c r="AT311" i="20"/>
  <c r="AT312" i="20"/>
  <c r="AT313" i="20"/>
  <c r="AT314" i="20"/>
  <c r="AT315" i="20"/>
  <c r="AT316" i="20"/>
  <c r="AT317" i="20"/>
  <c r="AT318" i="20"/>
  <c r="AT319" i="20"/>
  <c r="AT320" i="20"/>
  <c r="AT321" i="20"/>
  <c r="AT322" i="20"/>
  <c r="AT323" i="20"/>
  <c r="AT324" i="20"/>
  <c r="AT325" i="20"/>
  <c r="AT326" i="20"/>
  <c r="AT327" i="20"/>
  <c r="AT328" i="20"/>
  <c r="AT329" i="20"/>
  <c r="AT330" i="20"/>
  <c r="AT331" i="20"/>
  <c r="AT332" i="20"/>
  <c r="AT333" i="20"/>
  <c r="AT334" i="20"/>
  <c r="AT335" i="20"/>
  <c r="AT336" i="20"/>
  <c r="AT337" i="20"/>
  <c r="AT338" i="20"/>
  <c r="AT339" i="20"/>
  <c r="AT340" i="20"/>
  <c r="AT341" i="20"/>
  <c r="AT342" i="20"/>
  <c r="AT343" i="20"/>
  <c r="AT344" i="20"/>
  <c r="AT345" i="20"/>
  <c r="AT346" i="20"/>
  <c r="AT347" i="20"/>
  <c r="AT348" i="20"/>
  <c r="AT349" i="20"/>
  <c r="AT350" i="20"/>
  <c r="AT351" i="20"/>
  <c r="AT352" i="20"/>
  <c r="AT353" i="20"/>
  <c r="AT354" i="20"/>
  <c r="AT355" i="20"/>
  <c r="AT356" i="20"/>
  <c r="AT357" i="20"/>
  <c r="AT358" i="20"/>
  <c r="AT359" i="20"/>
  <c r="AT360" i="20"/>
  <c r="AT361" i="20"/>
  <c r="AT362" i="20"/>
  <c r="AT363" i="20"/>
  <c r="AT364" i="20"/>
  <c r="AT365" i="20"/>
  <c r="AT366" i="20"/>
  <c r="AT367" i="20"/>
  <c r="AT368" i="20"/>
  <c r="AT369" i="20"/>
  <c r="AT370" i="20"/>
  <c r="AT371" i="20"/>
  <c r="AT372" i="20"/>
  <c r="AT373" i="20"/>
  <c r="AT374" i="20"/>
  <c r="AT375" i="20"/>
  <c r="AT376" i="20"/>
  <c r="AT377" i="20"/>
  <c r="AT378" i="20"/>
  <c r="AT379" i="20"/>
  <c r="AT380" i="20"/>
  <c r="AT381" i="20"/>
  <c r="AT382" i="20"/>
  <c r="AT383" i="20"/>
  <c r="AT384" i="20"/>
  <c r="AT385" i="20"/>
  <c r="AT386" i="20"/>
  <c r="AT387" i="20"/>
  <c r="AT388" i="20"/>
  <c r="AT389" i="20"/>
  <c r="AT390" i="20"/>
  <c r="AT391" i="20"/>
  <c r="AT392" i="20"/>
  <c r="AT393" i="20"/>
  <c r="AT394" i="20"/>
  <c r="AT395" i="20"/>
  <c r="AT396" i="20"/>
  <c r="AT397" i="20"/>
  <c r="AT398" i="20"/>
  <c r="AT399" i="20"/>
  <c r="AT400" i="20"/>
  <c r="AT401" i="20"/>
  <c r="AT402" i="20"/>
  <c r="AT403" i="20"/>
  <c r="AT404" i="20"/>
  <c r="AT405" i="20"/>
  <c r="AT406" i="20"/>
  <c r="AT407" i="20"/>
  <c r="AT408" i="20"/>
  <c r="AT409" i="20"/>
  <c r="AT410" i="20"/>
  <c r="AT411" i="20"/>
  <c r="AT412" i="20"/>
  <c r="AT413" i="20"/>
  <c r="AT414" i="20"/>
  <c r="AT415" i="20"/>
  <c r="AT416" i="20"/>
  <c r="AT417" i="20"/>
  <c r="AT418" i="20"/>
  <c r="AT419" i="20"/>
  <c r="AT420" i="20"/>
  <c r="AT421" i="20"/>
  <c r="AT422" i="20"/>
  <c r="AT423" i="20"/>
  <c r="AT424" i="20"/>
  <c r="AT425" i="20"/>
  <c r="AT426" i="20"/>
  <c r="AT427" i="20"/>
  <c r="AT428" i="20"/>
  <c r="AT429" i="20"/>
  <c r="AT430" i="20"/>
  <c r="AT431" i="20"/>
  <c r="AT432" i="20"/>
  <c r="AT433" i="20"/>
  <c r="AT434" i="20"/>
  <c r="AT435" i="20"/>
  <c r="AT436" i="20"/>
  <c r="AT437" i="20"/>
  <c r="AT438" i="20"/>
  <c r="AT439" i="20"/>
  <c r="AT440" i="20"/>
  <c r="AT441" i="20"/>
  <c r="AT442" i="20"/>
  <c r="AT443" i="20"/>
  <c r="AT444" i="20"/>
  <c r="AT445" i="20"/>
  <c r="AT446" i="20"/>
  <c r="AT447" i="20"/>
  <c r="AT448" i="20"/>
  <c r="AT449" i="20"/>
  <c r="AT450" i="20"/>
  <c r="AT451" i="20"/>
  <c r="AT452" i="20"/>
  <c r="AT453" i="20"/>
  <c r="AT454" i="20"/>
  <c r="AT455" i="20"/>
  <c r="AT456" i="20"/>
  <c r="AT457" i="20"/>
  <c r="AT458" i="20"/>
  <c r="AT459" i="20"/>
  <c r="AT460" i="20"/>
  <c r="AT461" i="20"/>
  <c r="AT462" i="20"/>
  <c r="AT463" i="20"/>
  <c r="AT464" i="20"/>
  <c r="AT465" i="20"/>
  <c r="AT466" i="20"/>
  <c r="AT467" i="20"/>
  <c r="AT468" i="20"/>
  <c r="AT469" i="20"/>
  <c r="AT470" i="20"/>
  <c r="AT471" i="20"/>
  <c r="AT472" i="20"/>
  <c r="AT473" i="20"/>
  <c r="AT474" i="20"/>
  <c r="AT475" i="20"/>
  <c r="AT476" i="20"/>
  <c r="AT477" i="20"/>
  <c r="AT478" i="20"/>
  <c r="AT479" i="20"/>
  <c r="AT480" i="20"/>
  <c r="AT481" i="20"/>
  <c r="AT482" i="20"/>
  <c r="AT483" i="20"/>
  <c r="AT484" i="20"/>
  <c r="AT485" i="20"/>
  <c r="AT486" i="20"/>
  <c r="AT487" i="20"/>
  <c r="AT488" i="20"/>
  <c r="AT489" i="20"/>
  <c r="AT490" i="20"/>
  <c r="AT491" i="20"/>
  <c r="AT492" i="20"/>
  <c r="AT493" i="20"/>
  <c r="AT494" i="20"/>
  <c r="AT495" i="20"/>
  <c r="AT496" i="20"/>
  <c r="AT497" i="20"/>
  <c r="AT498" i="20"/>
  <c r="AT499" i="20"/>
  <c r="AT500" i="20"/>
  <c r="AT501" i="20"/>
  <c r="AT502" i="20"/>
  <c r="AT503" i="20"/>
  <c r="AT504" i="20"/>
  <c r="AT505" i="20"/>
  <c r="AT506" i="20"/>
  <c r="AT507" i="20"/>
  <c r="AT508" i="20"/>
  <c r="AT509" i="20"/>
  <c r="AT510" i="20"/>
  <c r="AT511" i="20"/>
  <c r="AT512" i="20"/>
  <c r="AT513" i="20"/>
  <c r="AT514" i="20"/>
  <c r="AT515" i="20"/>
  <c r="AT516" i="20"/>
  <c r="AT517" i="20"/>
  <c r="AT518" i="20"/>
  <c r="AT519" i="20"/>
  <c r="AT520" i="20"/>
  <c r="AT521" i="20"/>
  <c r="AT522" i="20"/>
  <c r="AT523" i="20"/>
  <c r="AT524" i="20"/>
  <c r="AT525" i="20"/>
  <c r="AT526" i="20"/>
  <c r="AT527" i="20"/>
  <c r="AT528" i="20"/>
  <c r="AT529" i="20"/>
  <c r="AT530" i="20"/>
  <c r="AT531" i="20"/>
  <c r="AT532" i="20"/>
  <c r="AT533" i="20"/>
  <c r="AT534" i="20"/>
  <c r="AT535" i="20"/>
  <c r="AT536" i="20"/>
  <c r="AT537" i="20"/>
  <c r="AT538" i="20"/>
  <c r="AT539" i="20"/>
  <c r="AT540" i="20"/>
  <c r="AT541" i="20"/>
  <c r="AT542" i="20"/>
  <c r="AT543" i="20"/>
  <c r="AT544" i="20"/>
  <c r="AT545" i="20"/>
  <c r="AT546" i="20"/>
  <c r="AT547" i="20"/>
  <c r="AT548" i="20"/>
  <c r="AT549" i="20"/>
  <c r="AT550" i="20"/>
  <c r="AT551" i="20"/>
  <c r="AT552" i="20"/>
  <c r="AT553" i="20"/>
  <c r="AT554" i="20"/>
  <c r="AT555" i="20"/>
  <c r="AT556" i="20"/>
  <c r="AT557" i="20"/>
  <c r="AT558" i="20"/>
  <c r="AT559" i="20"/>
  <c r="AT560" i="20"/>
  <c r="AT561" i="20"/>
  <c r="AT562" i="20"/>
  <c r="AT563" i="20"/>
  <c r="AT564" i="20"/>
  <c r="AT565" i="20"/>
  <c r="AT566" i="20"/>
  <c r="AT567" i="20"/>
  <c r="AT568" i="20"/>
  <c r="AT569" i="20"/>
  <c r="AT570" i="20"/>
  <c r="AT571" i="20"/>
  <c r="AT572" i="20"/>
  <c r="AT573" i="20"/>
  <c r="AT574" i="20"/>
  <c r="AT575" i="20"/>
  <c r="AT576" i="20"/>
  <c r="AT577" i="20"/>
  <c r="AT578" i="20"/>
  <c r="AT579" i="20"/>
  <c r="AT580" i="20"/>
  <c r="AT581" i="20"/>
  <c r="AT582" i="20"/>
  <c r="AT583" i="20"/>
  <c r="AT584" i="20"/>
  <c r="AT585" i="20"/>
  <c r="AT586" i="20"/>
  <c r="AT587" i="20"/>
  <c r="AT588" i="20"/>
  <c r="AT589" i="20"/>
  <c r="AT590" i="20"/>
  <c r="AT591" i="20"/>
  <c r="AT592" i="20"/>
  <c r="AT593" i="20"/>
  <c r="AT594" i="20"/>
  <c r="AT595" i="20"/>
  <c r="AT596" i="20"/>
  <c r="AT597" i="20"/>
  <c r="AT598" i="20"/>
  <c r="AT599" i="20"/>
  <c r="AT600" i="20"/>
  <c r="AT601" i="20"/>
  <c r="AT602" i="20"/>
  <c r="AT603" i="20"/>
  <c r="AT604" i="20"/>
  <c r="AT605" i="20"/>
  <c r="AT606" i="20"/>
  <c r="AT607" i="20"/>
  <c r="AT608" i="20"/>
  <c r="AT609" i="20"/>
  <c r="AT610" i="20"/>
  <c r="AT611" i="20"/>
  <c r="AT612" i="20"/>
  <c r="AT613" i="20"/>
  <c r="AT614" i="20"/>
  <c r="AT615" i="20"/>
  <c r="AT616" i="20"/>
  <c r="AT617" i="20"/>
  <c r="AT618" i="20"/>
  <c r="AT619" i="20"/>
  <c r="AT620" i="20"/>
  <c r="AT621" i="20"/>
  <c r="AT622" i="20"/>
  <c r="AT623" i="20"/>
  <c r="AT624" i="20"/>
  <c r="AT625" i="20"/>
  <c r="AT626" i="20"/>
  <c r="AT627" i="20"/>
  <c r="AT628" i="20"/>
  <c r="AT629" i="20"/>
  <c r="AT630" i="20"/>
  <c r="AT631" i="20"/>
  <c r="AT632" i="20"/>
  <c r="AT633" i="20"/>
  <c r="AT634" i="20"/>
  <c r="AT635" i="20"/>
  <c r="AT636" i="20"/>
  <c r="AT637" i="20"/>
  <c r="AT638" i="20"/>
  <c r="AT639" i="20"/>
  <c r="AT640" i="20"/>
  <c r="AT641" i="20"/>
  <c r="AT642" i="20"/>
  <c r="AT643" i="20"/>
  <c r="AT644" i="20"/>
  <c r="AT645" i="20"/>
  <c r="AT646" i="20"/>
  <c r="AT647" i="20"/>
  <c r="AT648" i="20"/>
  <c r="AT649" i="20"/>
  <c r="AT650" i="20"/>
  <c r="AT651" i="20"/>
  <c r="AT652" i="20"/>
  <c r="AT653" i="20"/>
  <c r="AT654" i="20"/>
  <c r="AT655" i="20"/>
  <c r="AT656" i="20"/>
  <c r="AT657" i="20"/>
  <c r="AT658" i="20"/>
  <c r="AT659" i="20"/>
  <c r="AT660" i="20"/>
  <c r="AT661" i="20"/>
  <c r="AT662" i="20"/>
  <c r="AT663" i="20"/>
  <c r="AT664" i="20"/>
  <c r="AT665" i="20"/>
  <c r="AT666" i="20"/>
  <c r="AT667" i="20"/>
  <c r="AT668" i="20"/>
  <c r="AT669" i="20"/>
  <c r="AT670" i="20"/>
  <c r="AT671" i="20"/>
  <c r="AT672" i="20"/>
  <c r="AT673" i="20"/>
  <c r="AT674" i="20"/>
  <c r="AT675" i="20"/>
  <c r="AT676" i="20"/>
  <c r="AT677" i="20"/>
  <c r="AT678" i="20"/>
  <c r="AT679" i="20"/>
  <c r="AT680" i="20"/>
  <c r="AT681" i="20"/>
  <c r="AT682" i="20"/>
  <c r="AT683" i="20"/>
  <c r="AT684" i="20"/>
  <c r="AT685" i="20"/>
  <c r="AT686" i="20"/>
  <c r="AT687" i="20"/>
  <c r="AT688" i="20"/>
  <c r="AT689" i="20"/>
  <c r="AT690" i="20"/>
  <c r="AT691" i="20"/>
  <c r="AT692" i="20"/>
  <c r="AT693" i="20"/>
  <c r="AT694" i="20"/>
  <c r="AT695" i="20"/>
  <c r="AT696" i="20"/>
  <c r="AT697" i="20"/>
  <c r="AT698" i="20"/>
  <c r="AT699" i="20"/>
  <c r="AT700" i="20"/>
  <c r="AT701" i="20"/>
  <c r="AT702" i="20"/>
  <c r="AT703" i="20"/>
  <c r="AT704" i="20"/>
  <c r="AT705" i="20"/>
  <c r="AT706" i="20"/>
  <c r="AT707" i="20"/>
  <c r="AT708" i="20"/>
  <c r="AT709" i="20"/>
  <c r="AT710" i="20"/>
  <c r="AT711" i="20"/>
  <c r="AT712" i="20"/>
  <c r="AT713" i="20"/>
  <c r="AT714" i="20"/>
  <c r="AT715" i="20"/>
  <c r="AT716" i="20"/>
  <c r="AT717" i="20"/>
  <c r="AT718" i="20"/>
  <c r="AT719" i="20"/>
  <c r="AT720" i="20"/>
  <c r="AT721" i="20"/>
  <c r="AT722" i="20"/>
  <c r="AT723" i="20"/>
  <c r="AT724" i="20"/>
  <c r="AT725" i="20"/>
  <c r="AT726" i="20"/>
  <c r="AT727" i="20"/>
  <c r="AT728" i="20"/>
  <c r="AT729" i="20"/>
  <c r="AT730" i="20"/>
  <c r="AT731" i="20"/>
  <c r="AT732" i="20"/>
  <c r="AT733" i="20"/>
  <c r="AT734" i="20"/>
  <c r="AT735" i="20"/>
  <c r="AT736" i="20"/>
  <c r="AT737" i="20"/>
  <c r="AT738" i="20"/>
  <c r="AT739" i="20"/>
  <c r="AT740" i="20"/>
  <c r="AT741" i="20"/>
  <c r="AT742" i="20"/>
  <c r="AT743" i="20"/>
  <c r="AT744" i="20"/>
  <c r="AT745" i="20"/>
  <c r="AT746" i="20"/>
  <c r="AT747" i="20"/>
  <c r="AT748" i="20"/>
  <c r="AT749" i="20"/>
  <c r="AT750" i="20"/>
  <c r="AT751" i="20"/>
  <c r="AT752" i="20"/>
  <c r="AT753" i="20"/>
  <c r="AT754" i="20"/>
  <c r="AT755" i="20"/>
  <c r="AT756" i="20"/>
  <c r="AT757" i="20"/>
  <c r="AT758" i="20"/>
  <c r="AT759" i="20"/>
  <c r="AT760" i="20"/>
  <c r="AT761" i="20"/>
  <c r="AT762" i="20"/>
  <c r="AT763" i="20"/>
  <c r="AT764" i="20"/>
  <c r="AT765" i="20"/>
  <c r="AT766" i="20"/>
  <c r="AT767" i="20"/>
  <c r="AT768" i="20"/>
  <c r="AT769" i="20"/>
  <c r="AT770" i="20"/>
  <c r="AT771" i="20"/>
  <c r="AT772" i="20"/>
  <c r="AT773" i="20"/>
  <c r="AT774" i="20"/>
  <c r="AT775" i="20"/>
  <c r="AT776" i="20"/>
  <c r="AT777" i="20"/>
  <c r="AT778" i="20"/>
  <c r="AT779" i="20"/>
  <c r="AT780" i="20"/>
  <c r="AT781" i="20"/>
  <c r="AT782" i="20"/>
  <c r="AT783" i="20"/>
  <c r="AT784" i="20"/>
  <c r="AT785" i="20"/>
  <c r="AT786" i="20"/>
  <c r="AT787" i="20"/>
  <c r="AT788" i="20"/>
  <c r="AT789" i="20"/>
  <c r="AT790" i="20"/>
  <c r="AT791" i="20"/>
  <c r="AT792" i="20"/>
  <c r="AT793" i="20"/>
  <c r="AT794" i="20"/>
  <c r="AT795" i="20"/>
  <c r="AT796" i="20"/>
  <c r="AT797" i="20"/>
  <c r="AT798" i="20"/>
  <c r="AT799" i="20"/>
  <c r="AT800" i="20"/>
  <c r="AT801" i="20"/>
  <c r="AT802" i="20"/>
  <c r="AT803" i="20"/>
  <c r="AT804" i="20"/>
  <c r="AT805" i="20"/>
  <c r="AT806" i="20"/>
  <c r="AT807" i="20"/>
  <c r="AT808" i="20"/>
  <c r="AT809" i="20"/>
  <c r="AT810" i="20"/>
  <c r="AT811" i="20"/>
  <c r="AT812" i="20"/>
  <c r="AT813" i="20"/>
  <c r="AT814" i="20"/>
  <c r="AT815" i="20"/>
  <c r="AT816" i="20"/>
  <c r="AT817" i="20"/>
  <c r="AT818" i="20"/>
  <c r="AT819" i="20"/>
  <c r="AT820" i="20"/>
  <c r="AT821" i="20"/>
  <c r="AT822" i="20"/>
  <c r="AT823" i="20"/>
  <c r="AT824" i="20"/>
  <c r="AT825" i="20"/>
  <c r="AT826" i="20"/>
  <c r="AT827" i="20"/>
  <c r="AT828" i="20"/>
  <c r="AT829" i="20"/>
  <c r="AT830" i="20"/>
  <c r="AT831" i="20"/>
  <c r="AT832" i="20"/>
  <c r="AT833" i="20"/>
  <c r="AT834" i="20"/>
  <c r="AT835" i="20"/>
  <c r="AT836" i="20"/>
  <c r="AT837" i="20"/>
  <c r="AT838" i="20"/>
  <c r="AT839" i="20"/>
  <c r="AT840" i="20"/>
  <c r="AT841" i="20"/>
  <c r="AT842" i="20"/>
  <c r="AT843" i="20"/>
  <c r="AT844" i="20"/>
  <c r="AT845" i="20"/>
  <c r="AT846" i="20"/>
  <c r="AT847" i="20"/>
  <c r="AT848" i="20"/>
  <c r="AT849" i="20"/>
  <c r="AT850" i="20"/>
  <c r="AT851" i="20"/>
  <c r="AT852" i="20"/>
  <c r="AT853" i="20"/>
  <c r="AT854" i="20"/>
  <c r="AT855" i="20"/>
  <c r="AT856" i="20"/>
  <c r="AT857" i="20"/>
  <c r="AT858" i="20"/>
  <c r="AT859" i="20"/>
  <c r="AT860" i="20"/>
  <c r="AT861" i="20"/>
  <c r="AT862" i="20"/>
  <c r="AT863" i="20"/>
  <c r="AT864" i="20"/>
  <c r="AT865" i="20"/>
  <c r="AT866" i="20"/>
  <c r="AT867" i="20"/>
  <c r="AT868" i="20"/>
  <c r="AT869" i="20"/>
  <c r="AT870" i="20"/>
  <c r="AT871" i="20"/>
  <c r="AT872" i="20"/>
  <c r="AT873" i="20"/>
  <c r="AT874" i="20"/>
  <c r="AT875" i="20"/>
  <c r="AT876" i="20"/>
  <c r="AT877" i="20"/>
  <c r="AT878" i="20"/>
  <c r="AT879" i="20"/>
  <c r="AT880" i="20"/>
  <c r="AT881" i="20"/>
  <c r="AT882" i="20"/>
  <c r="AT883" i="20"/>
  <c r="AT884" i="20"/>
  <c r="AT885" i="20"/>
  <c r="AT886" i="20"/>
  <c r="AT887" i="20"/>
  <c r="AT888" i="20"/>
  <c r="AT889" i="20"/>
  <c r="AT890" i="20"/>
  <c r="AT891" i="20"/>
  <c r="AT892" i="20"/>
  <c r="AT893" i="20"/>
  <c r="AT894" i="20"/>
  <c r="AT895" i="20"/>
  <c r="AT896" i="20"/>
  <c r="AT897" i="20"/>
  <c r="AT898" i="20"/>
  <c r="AT899" i="20"/>
  <c r="AT900" i="20"/>
  <c r="AT901" i="20"/>
  <c r="AT902" i="20"/>
  <c r="AT903" i="20"/>
  <c r="N79" i="19"/>
  <c r="V141" i="19"/>
  <c r="V137" i="19"/>
  <c r="N47" i="19"/>
  <c r="N59" i="19" s="1"/>
  <c r="N46" i="19"/>
  <c r="N58" i="19" s="1"/>
  <c r="N45" i="19"/>
  <c r="N44" i="19"/>
  <c r="N43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M49" i="19"/>
  <c r="L49" i="19"/>
  <c r="K49" i="19"/>
  <c r="J49" i="19"/>
  <c r="G49" i="19"/>
  <c r="F49" i="19"/>
  <c r="E49" i="19"/>
  <c r="D49" i="19"/>
  <c r="D54" i="19" s="1"/>
  <c r="B49" i="19"/>
  <c r="B54" i="19" s="1"/>
  <c r="M59" i="19"/>
  <c r="L59" i="19"/>
  <c r="K59" i="19"/>
  <c r="J59" i="19"/>
  <c r="I59" i="19"/>
  <c r="H59" i="19"/>
  <c r="G59" i="19"/>
  <c r="F59" i="19"/>
  <c r="E59" i="19"/>
  <c r="D59" i="19"/>
  <c r="C59" i="19"/>
  <c r="M58" i="19"/>
  <c r="L58" i="19"/>
  <c r="K58" i="19"/>
  <c r="J58" i="19"/>
  <c r="I58" i="19"/>
  <c r="H58" i="19"/>
  <c r="G58" i="19"/>
  <c r="F58" i="19"/>
  <c r="E58" i="19"/>
  <c r="D58" i="19"/>
  <c r="C58" i="19"/>
  <c r="M56" i="19"/>
  <c r="L56" i="19"/>
  <c r="K56" i="19"/>
  <c r="J56" i="19"/>
  <c r="G56" i="19"/>
  <c r="F56" i="19"/>
  <c r="E56" i="19"/>
  <c r="D56" i="19"/>
  <c r="B59" i="19"/>
  <c r="B58" i="19"/>
  <c r="B56" i="19"/>
  <c r="B53" i="19"/>
  <c r="C53" i="19"/>
  <c r="D53" i="19"/>
  <c r="E53" i="19"/>
  <c r="F53" i="19"/>
  <c r="F54" i="19" s="1"/>
  <c r="G53" i="19"/>
  <c r="G54" i="19" s="1"/>
  <c r="H53" i="19"/>
  <c r="I53" i="19"/>
  <c r="J53" i="19"/>
  <c r="J54" i="19" s="1"/>
  <c r="K53" i="19"/>
  <c r="K54" i="19" s="1"/>
  <c r="L53" i="19"/>
  <c r="L54" i="19" s="1"/>
  <c r="M53" i="19"/>
  <c r="L61" i="19"/>
  <c r="K61" i="19"/>
  <c r="P80" i="19"/>
  <c r="O80" i="19"/>
  <c r="N80" i="19"/>
  <c r="M80" i="19"/>
  <c r="L80" i="19"/>
  <c r="K80" i="19"/>
  <c r="J80" i="19"/>
  <c r="I80" i="19"/>
  <c r="H80" i="19"/>
  <c r="F80" i="19"/>
  <c r="E80" i="19"/>
  <c r="D80" i="19"/>
  <c r="C80" i="19"/>
  <c r="M52" i="19"/>
  <c r="L52" i="19"/>
  <c r="K52" i="19"/>
  <c r="J52" i="19"/>
  <c r="G52" i="19"/>
  <c r="F52" i="19"/>
  <c r="E52" i="19"/>
  <c r="D52" i="19"/>
  <c r="B52" i="19"/>
  <c r="C43" i="19"/>
  <c r="I44" i="19"/>
  <c r="C44" i="19"/>
  <c r="I45" i="19"/>
  <c r="V145" i="19"/>
  <c r="V144" i="19"/>
  <c r="V143" i="19"/>
  <c r="V142" i="19"/>
  <c r="V140" i="19"/>
  <c r="N93" i="19"/>
  <c r="M93" i="19"/>
  <c r="L93" i="19"/>
  <c r="K93" i="19"/>
  <c r="T54" i="19" l="1"/>
  <c r="C49" i="19"/>
  <c r="C54" i="19" s="1"/>
  <c r="M54" i="19"/>
  <c r="E54" i="19"/>
  <c r="I56" i="19"/>
  <c r="C56" i="19"/>
  <c r="N53" i="19"/>
  <c r="I49" i="19"/>
  <c r="I54" i="19" s="1"/>
  <c r="N49" i="19"/>
  <c r="N52" i="19"/>
  <c r="N56" i="19"/>
  <c r="H44" i="19"/>
  <c r="C52" i="19"/>
  <c r="I52" i="19"/>
  <c r="N95" i="19"/>
  <c r="K147" i="19"/>
  <c r="N54" i="19" l="1"/>
  <c r="H56" i="19"/>
  <c r="H49" i="19"/>
  <c r="H54" i="19" s="1"/>
  <c r="H52" i="19"/>
  <c r="S809" i="21"/>
  <c r="R809" i="21"/>
  <c r="Q809" i="21"/>
  <c r="P809" i="21"/>
  <c r="O809" i="21"/>
  <c r="N809" i="21"/>
  <c r="M809" i="21"/>
  <c r="L809" i="21"/>
  <c r="AA809" i="21" s="1"/>
  <c r="S808" i="21"/>
  <c r="R808" i="21"/>
  <c r="Q808" i="21"/>
  <c r="P808" i="21"/>
  <c r="O808" i="21"/>
  <c r="N808" i="21"/>
  <c r="M808" i="21"/>
  <c r="L808" i="21"/>
  <c r="AA808" i="21" s="1"/>
  <c r="S807" i="21"/>
  <c r="R807" i="21"/>
  <c r="Q807" i="21"/>
  <c r="P807" i="21"/>
  <c r="O807" i="21"/>
  <c r="N807" i="21"/>
  <c r="M807" i="21"/>
  <c r="L807" i="21"/>
  <c r="Y807" i="21" s="1"/>
  <c r="S806" i="21"/>
  <c r="R806" i="21"/>
  <c r="Q806" i="21"/>
  <c r="P806" i="21"/>
  <c r="O806" i="21"/>
  <c r="N806" i="21"/>
  <c r="M806" i="21"/>
  <c r="L806" i="21"/>
  <c r="S805" i="21"/>
  <c r="R805" i="21"/>
  <c r="Q805" i="21"/>
  <c r="P805" i="21"/>
  <c r="O805" i="21"/>
  <c r="N805" i="21"/>
  <c r="M805" i="21"/>
  <c r="L805" i="21"/>
  <c r="AA805" i="21" s="1"/>
  <c r="S804" i="21"/>
  <c r="R804" i="21"/>
  <c r="Q804" i="21"/>
  <c r="P804" i="21"/>
  <c r="O804" i="21"/>
  <c r="N804" i="21"/>
  <c r="M804" i="21"/>
  <c r="L804" i="21"/>
  <c r="S803" i="21"/>
  <c r="R803" i="21"/>
  <c r="Q803" i="21"/>
  <c r="P803" i="21"/>
  <c r="O803" i="21"/>
  <c r="N803" i="21"/>
  <c r="M803" i="21"/>
  <c r="L803" i="21"/>
  <c r="S802" i="21"/>
  <c r="R802" i="21"/>
  <c r="Q802" i="21"/>
  <c r="P802" i="21"/>
  <c r="O802" i="21"/>
  <c r="N802" i="21"/>
  <c r="M802" i="21"/>
  <c r="L802" i="21"/>
  <c r="Y802" i="21" s="1"/>
  <c r="S801" i="21"/>
  <c r="R801" i="21"/>
  <c r="Q801" i="21"/>
  <c r="P801" i="21"/>
  <c r="O801" i="21"/>
  <c r="N801" i="21"/>
  <c r="M801" i="21"/>
  <c r="L801" i="21"/>
  <c r="S800" i="21"/>
  <c r="R800" i="21"/>
  <c r="Q800" i="21"/>
  <c r="P800" i="21"/>
  <c r="O800" i="21"/>
  <c r="N800" i="21"/>
  <c r="M800" i="21"/>
  <c r="L800" i="21"/>
  <c r="AA800" i="21" s="1"/>
  <c r="S799" i="21"/>
  <c r="R799" i="21"/>
  <c r="Q799" i="21"/>
  <c r="P799" i="21"/>
  <c r="O799" i="21"/>
  <c r="N799" i="21"/>
  <c r="M799" i="21"/>
  <c r="L799" i="21"/>
  <c r="Y799" i="21" s="1"/>
  <c r="S798" i="21"/>
  <c r="R798" i="21"/>
  <c r="Q798" i="21"/>
  <c r="P798" i="21"/>
  <c r="O798" i="21"/>
  <c r="N798" i="21"/>
  <c r="M798" i="21"/>
  <c r="L798" i="21"/>
  <c r="S797" i="21"/>
  <c r="R797" i="21"/>
  <c r="Q797" i="21"/>
  <c r="P797" i="21"/>
  <c r="O797" i="21"/>
  <c r="N797" i="21"/>
  <c r="M797" i="21"/>
  <c r="L797" i="21"/>
  <c r="AA797" i="21" s="1"/>
  <c r="S796" i="21"/>
  <c r="R796" i="21"/>
  <c r="Q796" i="21"/>
  <c r="P796" i="21"/>
  <c r="O796" i="21"/>
  <c r="N796" i="21"/>
  <c r="M796" i="21"/>
  <c r="L796" i="21"/>
  <c r="S795" i="21"/>
  <c r="R795" i="21"/>
  <c r="Q795" i="21"/>
  <c r="P795" i="21"/>
  <c r="O795" i="21"/>
  <c r="N795" i="21"/>
  <c r="M795" i="21"/>
  <c r="L795" i="21"/>
  <c r="S794" i="21"/>
  <c r="R794" i="21"/>
  <c r="Q794" i="21"/>
  <c r="P794" i="21"/>
  <c r="O794" i="21"/>
  <c r="N794" i="21"/>
  <c r="M794" i="21"/>
  <c r="L794" i="21"/>
  <c r="Y794" i="21" s="1"/>
  <c r="S793" i="21"/>
  <c r="R793" i="21"/>
  <c r="Q793" i="21"/>
  <c r="P793" i="21"/>
  <c r="O793" i="21"/>
  <c r="N793" i="21"/>
  <c r="M793" i="21"/>
  <c r="L793" i="21"/>
  <c r="S792" i="21"/>
  <c r="R792" i="21"/>
  <c r="Q792" i="21"/>
  <c r="P792" i="21"/>
  <c r="O792" i="21"/>
  <c r="N792" i="21"/>
  <c r="M792" i="21"/>
  <c r="L792" i="21"/>
  <c r="AA792" i="21" s="1"/>
  <c r="S791" i="21"/>
  <c r="R791" i="21"/>
  <c r="Q791" i="21"/>
  <c r="P791" i="21"/>
  <c r="O791" i="21"/>
  <c r="N791" i="21"/>
  <c r="M791" i="21"/>
  <c r="L791" i="21"/>
  <c r="Y791" i="21" s="1"/>
  <c r="S790" i="21"/>
  <c r="R790" i="21"/>
  <c r="Q790" i="21"/>
  <c r="P790" i="21"/>
  <c r="O790" i="21"/>
  <c r="N790" i="21"/>
  <c r="M790" i="21"/>
  <c r="L790" i="21"/>
  <c r="S789" i="21"/>
  <c r="R789" i="21"/>
  <c r="Q789" i="21"/>
  <c r="P789" i="21"/>
  <c r="O789" i="21"/>
  <c r="N789" i="21"/>
  <c r="M789" i="21"/>
  <c r="L789" i="21"/>
  <c r="AA789" i="21" s="1"/>
  <c r="S788" i="21"/>
  <c r="R788" i="21"/>
  <c r="Q788" i="21"/>
  <c r="P788" i="21"/>
  <c r="O788" i="21"/>
  <c r="N788" i="21"/>
  <c r="M788" i="21"/>
  <c r="L788" i="21"/>
  <c r="S787" i="21"/>
  <c r="R787" i="21"/>
  <c r="Q787" i="21"/>
  <c r="P787" i="21"/>
  <c r="O787" i="21"/>
  <c r="N787" i="21"/>
  <c r="M787" i="21"/>
  <c r="L787" i="21"/>
  <c r="S786" i="21"/>
  <c r="R786" i="21"/>
  <c r="Q786" i="21"/>
  <c r="P786" i="21"/>
  <c r="O786" i="21"/>
  <c r="N786" i="21"/>
  <c r="M786" i="21"/>
  <c r="L786" i="21"/>
  <c r="Y786" i="21" s="1"/>
  <c r="S785" i="21"/>
  <c r="R785" i="21"/>
  <c r="Q785" i="21"/>
  <c r="P785" i="21"/>
  <c r="O785" i="21"/>
  <c r="N785" i="21"/>
  <c r="M785" i="21"/>
  <c r="L785" i="21"/>
  <c r="S784" i="21"/>
  <c r="R784" i="21"/>
  <c r="Q784" i="21"/>
  <c r="P784" i="21"/>
  <c r="O784" i="21"/>
  <c r="N784" i="21"/>
  <c r="M784" i="21"/>
  <c r="L784" i="21"/>
  <c r="AA784" i="21" s="1"/>
  <c r="S783" i="21"/>
  <c r="R783" i="21"/>
  <c r="Q783" i="21"/>
  <c r="P783" i="21"/>
  <c r="O783" i="21"/>
  <c r="N783" i="21"/>
  <c r="M783" i="21"/>
  <c r="L783" i="21"/>
  <c r="Y783" i="21" s="1"/>
  <c r="S782" i="21"/>
  <c r="R782" i="21"/>
  <c r="Q782" i="21"/>
  <c r="P782" i="21"/>
  <c r="O782" i="21"/>
  <c r="N782" i="21"/>
  <c r="M782" i="21"/>
  <c r="L782" i="21"/>
  <c r="S781" i="21"/>
  <c r="R781" i="21"/>
  <c r="Q781" i="21"/>
  <c r="P781" i="21"/>
  <c r="O781" i="21"/>
  <c r="N781" i="21"/>
  <c r="M781" i="21"/>
  <c r="L781" i="21"/>
  <c r="AA781" i="21" s="1"/>
  <c r="S780" i="21"/>
  <c r="R780" i="21"/>
  <c r="Q780" i="21"/>
  <c r="P780" i="21"/>
  <c r="O780" i="21"/>
  <c r="N780" i="21"/>
  <c r="M780" i="21"/>
  <c r="L780" i="21"/>
  <c r="S779" i="21"/>
  <c r="R779" i="21"/>
  <c r="Q779" i="21"/>
  <c r="P779" i="21"/>
  <c r="O779" i="21"/>
  <c r="N779" i="21"/>
  <c r="M779" i="21"/>
  <c r="L779" i="21"/>
  <c r="S778" i="21"/>
  <c r="R778" i="21"/>
  <c r="Q778" i="21"/>
  <c r="P778" i="21"/>
  <c r="O778" i="21"/>
  <c r="N778" i="21"/>
  <c r="M778" i="21"/>
  <c r="L778" i="21"/>
  <c r="Y778" i="21" s="1"/>
  <c r="S777" i="21"/>
  <c r="R777" i="21"/>
  <c r="Q777" i="21"/>
  <c r="P777" i="21"/>
  <c r="O777" i="21"/>
  <c r="N777" i="21"/>
  <c r="M777" i="21"/>
  <c r="L777" i="21"/>
  <c r="S776" i="21"/>
  <c r="R776" i="21"/>
  <c r="Q776" i="21"/>
  <c r="P776" i="21"/>
  <c r="O776" i="21"/>
  <c r="N776" i="21"/>
  <c r="M776" i="21"/>
  <c r="L776" i="21"/>
  <c r="AA776" i="21" s="1"/>
  <c r="S775" i="21"/>
  <c r="R775" i="21"/>
  <c r="Q775" i="21"/>
  <c r="P775" i="21"/>
  <c r="O775" i="21"/>
  <c r="N775" i="21"/>
  <c r="M775" i="21"/>
  <c r="L775" i="21"/>
  <c r="Y775" i="21" s="1"/>
  <c r="S774" i="21"/>
  <c r="R774" i="21"/>
  <c r="Q774" i="21"/>
  <c r="P774" i="21"/>
  <c r="O774" i="21"/>
  <c r="N774" i="21"/>
  <c r="M774" i="21"/>
  <c r="L774" i="21"/>
  <c r="S773" i="21"/>
  <c r="R773" i="21"/>
  <c r="Q773" i="21"/>
  <c r="P773" i="21"/>
  <c r="O773" i="21"/>
  <c r="N773" i="21"/>
  <c r="M773" i="21"/>
  <c r="L773" i="21"/>
  <c r="AA773" i="21" s="1"/>
  <c r="S772" i="21"/>
  <c r="R772" i="21"/>
  <c r="Q772" i="21"/>
  <c r="P772" i="21"/>
  <c r="O772" i="21"/>
  <c r="N772" i="21"/>
  <c r="M772" i="21"/>
  <c r="L772" i="21"/>
  <c r="S771" i="21"/>
  <c r="R771" i="21"/>
  <c r="Q771" i="21"/>
  <c r="P771" i="21"/>
  <c r="O771" i="21"/>
  <c r="N771" i="21"/>
  <c r="M771" i="21"/>
  <c r="L771" i="21"/>
  <c r="S770" i="21"/>
  <c r="R770" i="21"/>
  <c r="Q770" i="21"/>
  <c r="P770" i="21"/>
  <c r="O770" i="21"/>
  <c r="N770" i="21"/>
  <c r="M770" i="21"/>
  <c r="L770" i="21"/>
  <c r="Y770" i="21" s="1"/>
  <c r="S769" i="21"/>
  <c r="R769" i="21"/>
  <c r="Q769" i="21"/>
  <c r="P769" i="21"/>
  <c r="O769" i="21"/>
  <c r="N769" i="21"/>
  <c r="M769" i="21"/>
  <c r="L769" i="21"/>
  <c r="S768" i="21"/>
  <c r="R768" i="21"/>
  <c r="Q768" i="21"/>
  <c r="P768" i="21"/>
  <c r="O768" i="21"/>
  <c r="N768" i="21"/>
  <c r="M768" i="21"/>
  <c r="L768" i="21"/>
  <c r="AA768" i="21" s="1"/>
  <c r="S767" i="21"/>
  <c r="R767" i="21"/>
  <c r="Q767" i="21"/>
  <c r="P767" i="21"/>
  <c r="O767" i="21"/>
  <c r="N767" i="21"/>
  <c r="M767" i="21"/>
  <c r="L767" i="21"/>
  <c r="Y767" i="21" s="1"/>
  <c r="S766" i="21"/>
  <c r="R766" i="21"/>
  <c r="Q766" i="21"/>
  <c r="P766" i="21"/>
  <c r="O766" i="21"/>
  <c r="N766" i="21"/>
  <c r="M766" i="21"/>
  <c r="L766" i="21"/>
  <c r="S765" i="21"/>
  <c r="R765" i="21"/>
  <c r="Q765" i="21"/>
  <c r="P765" i="21"/>
  <c r="O765" i="21"/>
  <c r="N765" i="21"/>
  <c r="M765" i="21"/>
  <c r="L765" i="21"/>
  <c r="AA765" i="21" s="1"/>
  <c r="S764" i="21"/>
  <c r="R764" i="21"/>
  <c r="Q764" i="21"/>
  <c r="P764" i="21"/>
  <c r="O764" i="21"/>
  <c r="N764" i="21"/>
  <c r="M764" i="21"/>
  <c r="L764" i="21"/>
  <c r="S763" i="21"/>
  <c r="R763" i="21"/>
  <c r="Q763" i="21"/>
  <c r="P763" i="21"/>
  <c r="O763" i="21"/>
  <c r="N763" i="21"/>
  <c r="M763" i="21"/>
  <c r="L763" i="21"/>
  <c r="S762" i="21"/>
  <c r="R762" i="21"/>
  <c r="Q762" i="21"/>
  <c r="P762" i="21"/>
  <c r="O762" i="21"/>
  <c r="N762" i="21"/>
  <c r="M762" i="21"/>
  <c r="L762" i="21"/>
  <c r="Y762" i="21" s="1"/>
  <c r="S761" i="21"/>
  <c r="R761" i="21"/>
  <c r="Q761" i="21"/>
  <c r="P761" i="21"/>
  <c r="O761" i="21"/>
  <c r="N761" i="21"/>
  <c r="M761" i="21"/>
  <c r="L761" i="21"/>
  <c r="S760" i="21"/>
  <c r="R760" i="21"/>
  <c r="Q760" i="21"/>
  <c r="P760" i="21"/>
  <c r="O760" i="21"/>
  <c r="N760" i="21"/>
  <c r="M760" i="21"/>
  <c r="L760" i="21"/>
  <c r="AA760" i="21" s="1"/>
  <c r="S759" i="21"/>
  <c r="R759" i="21"/>
  <c r="Q759" i="21"/>
  <c r="P759" i="21"/>
  <c r="O759" i="21"/>
  <c r="N759" i="21"/>
  <c r="M759" i="21"/>
  <c r="L759" i="21"/>
  <c r="Y759" i="21" s="1"/>
  <c r="S758" i="21"/>
  <c r="R758" i="21"/>
  <c r="Q758" i="21"/>
  <c r="P758" i="21"/>
  <c r="O758" i="21"/>
  <c r="N758" i="21"/>
  <c r="M758" i="21"/>
  <c r="L758" i="21"/>
  <c r="S757" i="21"/>
  <c r="R757" i="21"/>
  <c r="Q757" i="21"/>
  <c r="P757" i="21"/>
  <c r="O757" i="21"/>
  <c r="N757" i="21"/>
  <c r="M757" i="21"/>
  <c r="L757" i="21"/>
  <c r="AA757" i="21" s="1"/>
  <c r="S756" i="21"/>
  <c r="R756" i="21"/>
  <c r="Q756" i="21"/>
  <c r="P756" i="21"/>
  <c r="O756" i="21"/>
  <c r="N756" i="21"/>
  <c r="M756" i="21"/>
  <c r="L756" i="21"/>
  <c r="S755" i="21"/>
  <c r="R755" i="21"/>
  <c r="Q755" i="21"/>
  <c r="P755" i="21"/>
  <c r="O755" i="21"/>
  <c r="N755" i="21"/>
  <c r="M755" i="21"/>
  <c r="L755" i="21"/>
  <c r="S754" i="21"/>
  <c r="R754" i="21"/>
  <c r="Q754" i="21"/>
  <c r="P754" i="21"/>
  <c r="O754" i="21"/>
  <c r="N754" i="21"/>
  <c r="M754" i="21"/>
  <c r="L754" i="21"/>
  <c r="Y754" i="21" s="1"/>
  <c r="S753" i="21"/>
  <c r="R753" i="21"/>
  <c r="Q753" i="21"/>
  <c r="P753" i="21"/>
  <c r="O753" i="21"/>
  <c r="N753" i="21"/>
  <c r="M753" i="21"/>
  <c r="L753" i="21"/>
  <c r="S752" i="21"/>
  <c r="R752" i="21"/>
  <c r="Q752" i="21"/>
  <c r="P752" i="21"/>
  <c r="O752" i="21"/>
  <c r="N752" i="21"/>
  <c r="M752" i="21"/>
  <c r="L752" i="21"/>
  <c r="AA752" i="21" s="1"/>
  <c r="S751" i="21"/>
  <c r="R751" i="21"/>
  <c r="Q751" i="21"/>
  <c r="P751" i="21"/>
  <c r="O751" i="21"/>
  <c r="N751" i="21"/>
  <c r="M751" i="21"/>
  <c r="L751" i="21"/>
  <c r="Y751" i="21" s="1"/>
  <c r="S750" i="21"/>
  <c r="R750" i="21"/>
  <c r="Q750" i="21"/>
  <c r="P750" i="21"/>
  <c r="O750" i="21"/>
  <c r="N750" i="21"/>
  <c r="M750" i="21"/>
  <c r="L750" i="21"/>
  <c r="S749" i="21"/>
  <c r="R749" i="21"/>
  <c r="Q749" i="21"/>
  <c r="P749" i="21"/>
  <c r="O749" i="21"/>
  <c r="N749" i="21"/>
  <c r="M749" i="21"/>
  <c r="L749" i="21"/>
  <c r="AA749" i="21" s="1"/>
  <c r="S748" i="21"/>
  <c r="R748" i="21"/>
  <c r="Q748" i="21"/>
  <c r="P748" i="21"/>
  <c r="O748" i="21"/>
  <c r="N748" i="21"/>
  <c r="M748" i="21"/>
  <c r="L748" i="21"/>
  <c r="S747" i="21"/>
  <c r="R747" i="21"/>
  <c r="Q747" i="21"/>
  <c r="P747" i="21"/>
  <c r="O747" i="21"/>
  <c r="N747" i="21"/>
  <c r="M747" i="21"/>
  <c r="L747" i="21"/>
  <c r="S746" i="21"/>
  <c r="R746" i="21"/>
  <c r="Q746" i="21"/>
  <c r="P746" i="21"/>
  <c r="O746" i="21"/>
  <c r="N746" i="21"/>
  <c r="M746" i="21"/>
  <c r="L746" i="21"/>
  <c r="Y746" i="21" s="1"/>
  <c r="S745" i="21"/>
  <c r="R745" i="21"/>
  <c r="Q745" i="21"/>
  <c r="P745" i="21"/>
  <c r="O745" i="21"/>
  <c r="N745" i="21"/>
  <c r="M745" i="21"/>
  <c r="L745" i="21"/>
  <c r="S744" i="21"/>
  <c r="R744" i="21"/>
  <c r="Q744" i="21"/>
  <c r="P744" i="21"/>
  <c r="O744" i="21"/>
  <c r="N744" i="21"/>
  <c r="M744" i="21"/>
  <c r="L744" i="21"/>
  <c r="AA744" i="21" s="1"/>
  <c r="S743" i="21"/>
  <c r="R743" i="21"/>
  <c r="Q743" i="21"/>
  <c r="P743" i="21"/>
  <c r="O743" i="21"/>
  <c r="N743" i="21"/>
  <c r="M743" i="21"/>
  <c r="L743" i="21"/>
  <c r="Y743" i="21" s="1"/>
  <c r="S742" i="21"/>
  <c r="R742" i="21"/>
  <c r="Q742" i="21"/>
  <c r="P742" i="21"/>
  <c r="O742" i="21"/>
  <c r="N742" i="21"/>
  <c r="M742" i="21"/>
  <c r="L742" i="21"/>
  <c r="S741" i="21"/>
  <c r="R741" i="21"/>
  <c r="Q741" i="21"/>
  <c r="P741" i="21"/>
  <c r="O741" i="21"/>
  <c r="N741" i="21"/>
  <c r="M741" i="21"/>
  <c r="L741" i="21"/>
  <c r="AA741" i="21" s="1"/>
  <c r="S740" i="21"/>
  <c r="R740" i="21"/>
  <c r="Q740" i="21"/>
  <c r="P740" i="21"/>
  <c r="O740" i="21"/>
  <c r="N740" i="21"/>
  <c r="M740" i="21"/>
  <c r="L740" i="21"/>
  <c r="S739" i="21"/>
  <c r="R739" i="21"/>
  <c r="Q739" i="21"/>
  <c r="P739" i="21"/>
  <c r="O739" i="21"/>
  <c r="N739" i="21"/>
  <c r="M739" i="21"/>
  <c r="L739" i="21"/>
  <c r="S738" i="21"/>
  <c r="R738" i="21"/>
  <c r="Q738" i="21"/>
  <c r="P738" i="21"/>
  <c r="O738" i="21"/>
  <c r="N738" i="21"/>
  <c r="M738" i="21"/>
  <c r="L738" i="21"/>
  <c r="Y738" i="21" s="1"/>
  <c r="S737" i="21"/>
  <c r="R737" i="21"/>
  <c r="Q737" i="21"/>
  <c r="P737" i="21"/>
  <c r="O737" i="21"/>
  <c r="N737" i="21"/>
  <c r="M737" i="21"/>
  <c r="L737" i="21"/>
  <c r="S736" i="21"/>
  <c r="R736" i="21"/>
  <c r="Q736" i="21"/>
  <c r="P736" i="21"/>
  <c r="O736" i="21"/>
  <c r="N736" i="21"/>
  <c r="M736" i="21"/>
  <c r="L736" i="21"/>
  <c r="AA736" i="21" s="1"/>
  <c r="S735" i="21"/>
  <c r="R735" i="21"/>
  <c r="Q735" i="21"/>
  <c r="P735" i="21"/>
  <c r="O735" i="21"/>
  <c r="N735" i="21"/>
  <c r="M735" i="21"/>
  <c r="L735" i="21"/>
  <c r="Y735" i="21" s="1"/>
  <c r="S734" i="21"/>
  <c r="R734" i="21"/>
  <c r="Q734" i="21"/>
  <c r="P734" i="21"/>
  <c r="O734" i="21"/>
  <c r="N734" i="21"/>
  <c r="M734" i="21"/>
  <c r="L734" i="21"/>
  <c r="S733" i="21"/>
  <c r="R733" i="21"/>
  <c r="Q733" i="21"/>
  <c r="P733" i="21"/>
  <c r="O733" i="21"/>
  <c r="N733" i="21"/>
  <c r="M733" i="21"/>
  <c r="L733" i="21"/>
  <c r="AA733" i="21" s="1"/>
  <c r="S732" i="21"/>
  <c r="R732" i="21"/>
  <c r="Q732" i="21"/>
  <c r="P732" i="21"/>
  <c r="O732" i="21"/>
  <c r="N732" i="21"/>
  <c r="M732" i="21"/>
  <c r="L732" i="21"/>
  <c r="S731" i="21"/>
  <c r="R731" i="21"/>
  <c r="Q731" i="21"/>
  <c r="P731" i="21"/>
  <c r="O731" i="21"/>
  <c r="N731" i="21"/>
  <c r="M731" i="21"/>
  <c r="L731" i="21"/>
  <c r="S730" i="21"/>
  <c r="R730" i="21"/>
  <c r="Q730" i="21"/>
  <c r="P730" i="21"/>
  <c r="O730" i="21"/>
  <c r="N730" i="21"/>
  <c r="M730" i="21"/>
  <c r="L730" i="21"/>
  <c r="Y730" i="21" s="1"/>
  <c r="S729" i="21"/>
  <c r="R729" i="21"/>
  <c r="Q729" i="21"/>
  <c r="P729" i="21"/>
  <c r="O729" i="21"/>
  <c r="N729" i="21"/>
  <c r="M729" i="21"/>
  <c r="L729" i="21"/>
  <c r="S728" i="21"/>
  <c r="R728" i="21"/>
  <c r="Q728" i="21"/>
  <c r="P728" i="21"/>
  <c r="O728" i="21"/>
  <c r="N728" i="21"/>
  <c r="M728" i="21"/>
  <c r="L728" i="21"/>
  <c r="AA728" i="21" s="1"/>
  <c r="S727" i="21"/>
  <c r="R727" i="21"/>
  <c r="Q727" i="21"/>
  <c r="P727" i="21"/>
  <c r="O727" i="21"/>
  <c r="N727" i="21"/>
  <c r="M727" i="21"/>
  <c r="L727" i="21"/>
  <c r="Y727" i="21" s="1"/>
  <c r="S726" i="21"/>
  <c r="R726" i="21"/>
  <c r="Q726" i="21"/>
  <c r="P726" i="21"/>
  <c r="O726" i="21"/>
  <c r="N726" i="21"/>
  <c r="M726" i="21"/>
  <c r="L726" i="21"/>
  <c r="S725" i="21"/>
  <c r="R725" i="21"/>
  <c r="Q725" i="21"/>
  <c r="P725" i="21"/>
  <c r="O725" i="21"/>
  <c r="N725" i="21"/>
  <c r="M725" i="21"/>
  <c r="L725" i="21"/>
  <c r="AA725" i="21" s="1"/>
  <c r="S724" i="21"/>
  <c r="R724" i="21"/>
  <c r="Q724" i="21"/>
  <c r="P724" i="21"/>
  <c r="O724" i="21"/>
  <c r="N724" i="21"/>
  <c r="M724" i="21"/>
  <c r="L724" i="21"/>
  <c r="S723" i="21"/>
  <c r="R723" i="21"/>
  <c r="Q723" i="21"/>
  <c r="P723" i="21"/>
  <c r="O723" i="21"/>
  <c r="N723" i="21"/>
  <c r="M723" i="21"/>
  <c r="L723" i="21"/>
  <c r="S722" i="21"/>
  <c r="R722" i="21"/>
  <c r="Q722" i="21"/>
  <c r="P722" i="21"/>
  <c r="O722" i="21"/>
  <c r="N722" i="21"/>
  <c r="M722" i="21"/>
  <c r="L722" i="21"/>
  <c r="Y722" i="21" s="1"/>
  <c r="S721" i="21"/>
  <c r="R721" i="21"/>
  <c r="Q721" i="21"/>
  <c r="P721" i="21"/>
  <c r="O721" i="21"/>
  <c r="N721" i="21"/>
  <c r="M721" i="21"/>
  <c r="L721" i="21"/>
  <c r="S720" i="21"/>
  <c r="R720" i="21"/>
  <c r="Q720" i="21"/>
  <c r="P720" i="21"/>
  <c r="O720" i="21"/>
  <c r="N720" i="21"/>
  <c r="M720" i="21"/>
  <c r="L720" i="21"/>
  <c r="AA720" i="21" s="1"/>
  <c r="S719" i="21"/>
  <c r="R719" i="21"/>
  <c r="Q719" i="21"/>
  <c r="P719" i="21"/>
  <c r="O719" i="21"/>
  <c r="N719" i="21"/>
  <c r="M719" i="21"/>
  <c r="L719" i="21"/>
  <c r="Y719" i="21" s="1"/>
  <c r="S718" i="21"/>
  <c r="R718" i="21"/>
  <c r="Q718" i="21"/>
  <c r="P718" i="21"/>
  <c r="O718" i="21"/>
  <c r="N718" i="21"/>
  <c r="M718" i="21"/>
  <c r="L718" i="21"/>
  <c r="S717" i="21"/>
  <c r="R717" i="21"/>
  <c r="Q717" i="21"/>
  <c r="P717" i="21"/>
  <c r="O717" i="21"/>
  <c r="N717" i="21"/>
  <c r="M717" i="21"/>
  <c r="L717" i="21"/>
  <c r="AA717" i="21" s="1"/>
  <c r="S716" i="21"/>
  <c r="R716" i="21"/>
  <c r="Q716" i="21"/>
  <c r="P716" i="21"/>
  <c r="O716" i="21"/>
  <c r="N716" i="21"/>
  <c r="M716" i="21"/>
  <c r="L716" i="21"/>
  <c r="S715" i="21"/>
  <c r="R715" i="21"/>
  <c r="Q715" i="21"/>
  <c r="P715" i="21"/>
  <c r="O715" i="21"/>
  <c r="N715" i="21"/>
  <c r="M715" i="21"/>
  <c r="L715" i="21"/>
  <c r="S714" i="21"/>
  <c r="R714" i="21"/>
  <c r="Q714" i="21"/>
  <c r="P714" i="21"/>
  <c r="O714" i="21"/>
  <c r="N714" i="21"/>
  <c r="M714" i="21"/>
  <c r="L714" i="21"/>
  <c r="Y714" i="21" s="1"/>
  <c r="S713" i="21"/>
  <c r="R713" i="21"/>
  <c r="Q713" i="21"/>
  <c r="P713" i="21"/>
  <c r="O713" i="21"/>
  <c r="N713" i="21"/>
  <c r="M713" i="21"/>
  <c r="L713" i="21"/>
  <c r="S712" i="21"/>
  <c r="R712" i="21"/>
  <c r="Q712" i="21"/>
  <c r="P712" i="21"/>
  <c r="O712" i="21"/>
  <c r="N712" i="21"/>
  <c r="M712" i="21"/>
  <c r="L712" i="21"/>
  <c r="AA712" i="21" s="1"/>
  <c r="S711" i="21"/>
  <c r="R711" i="21"/>
  <c r="Q711" i="21"/>
  <c r="P711" i="21"/>
  <c r="O711" i="21"/>
  <c r="N711" i="21"/>
  <c r="M711" i="21"/>
  <c r="L711" i="21"/>
  <c r="S710" i="21"/>
  <c r="R710" i="21"/>
  <c r="Q710" i="21"/>
  <c r="P710" i="21"/>
  <c r="O710" i="21"/>
  <c r="N710" i="21"/>
  <c r="M710" i="21"/>
  <c r="L710" i="21"/>
  <c r="S709" i="21"/>
  <c r="R709" i="21"/>
  <c r="Q709" i="21"/>
  <c r="P709" i="21"/>
  <c r="O709" i="21"/>
  <c r="N709" i="21"/>
  <c r="M709" i="21"/>
  <c r="L709" i="21"/>
  <c r="AA709" i="21" s="1"/>
  <c r="S708" i="21"/>
  <c r="R708" i="21"/>
  <c r="Q708" i="21"/>
  <c r="P708" i="21"/>
  <c r="O708" i="21"/>
  <c r="N708" i="21"/>
  <c r="M708" i="21"/>
  <c r="L708" i="21"/>
  <c r="Y708" i="21" s="1"/>
  <c r="S707" i="21"/>
  <c r="R707" i="21"/>
  <c r="Q707" i="21"/>
  <c r="P707" i="21"/>
  <c r="O707" i="21"/>
  <c r="N707" i="21"/>
  <c r="M707" i="21"/>
  <c r="L707" i="21"/>
  <c r="Y707" i="21" s="1"/>
  <c r="S706" i="21"/>
  <c r="R706" i="21"/>
  <c r="Q706" i="21"/>
  <c r="P706" i="21"/>
  <c r="O706" i="21"/>
  <c r="N706" i="21"/>
  <c r="M706" i="21"/>
  <c r="L706" i="21"/>
  <c r="Y706" i="21" s="1"/>
  <c r="S705" i="21"/>
  <c r="R705" i="21"/>
  <c r="Q705" i="21"/>
  <c r="P705" i="21"/>
  <c r="O705" i="21"/>
  <c r="N705" i="21"/>
  <c r="M705" i="21"/>
  <c r="L705" i="21"/>
  <c r="S704" i="21"/>
  <c r="R704" i="21"/>
  <c r="Q704" i="21"/>
  <c r="P704" i="21"/>
  <c r="O704" i="21"/>
  <c r="N704" i="21"/>
  <c r="M704" i="21"/>
  <c r="L704" i="21"/>
  <c r="AA704" i="21" s="1"/>
  <c r="S703" i="21"/>
  <c r="R703" i="21"/>
  <c r="Q703" i="21"/>
  <c r="P703" i="21"/>
  <c r="O703" i="21"/>
  <c r="N703" i="21"/>
  <c r="M703" i="21"/>
  <c r="L703" i="21"/>
  <c r="AA703" i="21" s="1"/>
  <c r="S702" i="21"/>
  <c r="R702" i="21"/>
  <c r="Q702" i="21"/>
  <c r="P702" i="21"/>
  <c r="O702" i="21"/>
  <c r="N702" i="21"/>
  <c r="M702" i="21"/>
  <c r="L702" i="21"/>
  <c r="S701" i="21"/>
  <c r="R701" i="21"/>
  <c r="Q701" i="21"/>
  <c r="P701" i="21"/>
  <c r="O701" i="21"/>
  <c r="N701" i="21"/>
  <c r="M701" i="21"/>
  <c r="L701" i="21"/>
  <c r="AA701" i="21" s="1"/>
  <c r="S700" i="21"/>
  <c r="R700" i="21"/>
  <c r="Q700" i="21"/>
  <c r="P700" i="21"/>
  <c r="O700" i="21"/>
  <c r="N700" i="21"/>
  <c r="M700" i="21"/>
  <c r="L700" i="21"/>
  <c r="S699" i="21"/>
  <c r="R699" i="21"/>
  <c r="Q699" i="21"/>
  <c r="P699" i="21"/>
  <c r="O699" i="21"/>
  <c r="N699" i="21"/>
  <c r="M699" i="21"/>
  <c r="L699" i="21"/>
  <c r="S698" i="21"/>
  <c r="R698" i="21"/>
  <c r="Q698" i="21"/>
  <c r="P698" i="21"/>
  <c r="O698" i="21"/>
  <c r="N698" i="21"/>
  <c r="M698" i="21"/>
  <c r="L698" i="21"/>
  <c r="Y698" i="21" s="1"/>
  <c r="S697" i="21"/>
  <c r="R697" i="21"/>
  <c r="Q697" i="21"/>
  <c r="P697" i="21"/>
  <c r="O697" i="21"/>
  <c r="N697" i="21"/>
  <c r="M697" i="21"/>
  <c r="L697" i="21"/>
  <c r="AA697" i="21" s="1"/>
  <c r="S696" i="21"/>
  <c r="R696" i="21"/>
  <c r="Q696" i="21"/>
  <c r="P696" i="21"/>
  <c r="O696" i="21"/>
  <c r="N696" i="21"/>
  <c r="M696" i="21"/>
  <c r="L696" i="21"/>
  <c r="S695" i="21"/>
  <c r="R695" i="21"/>
  <c r="Q695" i="21"/>
  <c r="P695" i="21"/>
  <c r="O695" i="21"/>
  <c r="N695" i="21"/>
  <c r="M695" i="21"/>
  <c r="L695" i="21"/>
  <c r="Y695" i="21" s="1"/>
  <c r="S694" i="21"/>
  <c r="R694" i="21"/>
  <c r="Q694" i="21"/>
  <c r="P694" i="21"/>
  <c r="O694" i="21"/>
  <c r="N694" i="21"/>
  <c r="M694" i="21"/>
  <c r="L694" i="21"/>
  <c r="S693" i="21"/>
  <c r="R693" i="21"/>
  <c r="Q693" i="21"/>
  <c r="P693" i="21"/>
  <c r="O693" i="21"/>
  <c r="N693" i="21"/>
  <c r="M693" i="21"/>
  <c r="L693" i="21"/>
  <c r="AA693" i="21" s="1"/>
  <c r="S692" i="21"/>
  <c r="R692" i="21"/>
  <c r="Q692" i="21"/>
  <c r="P692" i="21"/>
  <c r="O692" i="21"/>
  <c r="N692" i="21"/>
  <c r="M692" i="21"/>
  <c r="L692" i="21"/>
  <c r="AA692" i="21" s="1"/>
  <c r="S691" i="21"/>
  <c r="R691" i="21"/>
  <c r="Q691" i="21"/>
  <c r="P691" i="21"/>
  <c r="O691" i="21"/>
  <c r="N691" i="21"/>
  <c r="M691" i="21"/>
  <c r="L691" i="21"/>
  <c r="S690" i="21"/>
  <c r="R690" i="21"/>
  <c r="Q690" i="21"/>
  <c r="P690" i="21"/>
  <c r="O690" i="21"/>
  <c r="N690" i="21"/>
  <c r="M690" i="21"/>
  <c r="L690" i="21"/>
  <c r="AA690" i="21" s="1"/>
  <c r="S689" i="21"/>
  <c r="R689" i="21"/>
  <c r="Q689" i="21"/>
  <c r="P689" i="21"/>
  <c r="O689" i="21"/>
  <c r="N689" i="21"/>
  <c r="M689" i="21"/>
  <c r="L689" i="21"/>
  <c r="AA689" i="21" s="1"/>
  <c r="S688" i="21"/>
  <c r="R688" i="21"/>
  <c r="Q688" i="21"/>
  <c r="P688" i="21"/>
  <c r="O688" i="21"/>
  <c r="N688" i="21"/>
  <c r="M688" i="21"/>
  <c r="L688" i="21"/>
  <c r="AA688" i="21" s="1"/>
  <c r="S687" i="21"/>
  <c r="R687" i="21"/>
  <c r="Q687" i="21"/>
  <c r="P687" i="21"/>
  <c r="O687" i="21"/>
  <c r="N687" i="21"/>
  <c r="M687" i="21"/>
  <c r="L687" i="21"/>
  <c r="S686" i="21"/>
  <c r="R686" i="21"/>
  <c r="Q686" i="21"/>
  <c r="P686" i="21"/>
  <c r="O686" i="21"/>
  <c r="N686" i="21"/>
  <c r="M686" i="21"/>
  <c r="L686" i="21"/>
  <c r="S685" i="21"/>
  <c r="R685" i="21"/>
  <c r="Q685" i="21"/>
  <c r="P685" i="21"/>
  <c r="O685" i="21"/>
  <c r="N685" i="21"/>
  <c r="M685" i="21"/>
  <c r="L685" i="21"/>
  <c r="AA685" i="21" s="1"/>
  <c r="S684" i="21"/>
  <c r="R684" i="21"/>
  <c r="Q684" i="21"/>
  <c r="P684" i="21"/>
  <c r="O684" i="21"/>
  <c r="N684" i="21"/>
  <c r="M684" i="21"/>
  <c r="L684" i="21"/>
  <c r="S683" i="21"/>
  <c r="R683" i="21"/>
  <c r="Q683" i="21"/>
  <c r="P683" i="21"/>
  <c r="O683" i="21"/>
  <c r="N683" i="21"/>
  <c r="M683" i="21"/>
  <c r="L683" i="21"/>
  <c r="S682" i="21"/>
  <c r="R682" i="21"/>
  <c r="Q682" i="21"/>
  <c r="P682" i="21"/>
  <c r="O682" i="21"/>
  <c r="N682" i="21"/>
  <c r="M682" i="21"/>
  <c r="L682" i="21"/>
  <c r="S681" i="21"/>
  <c r="R681" i="21"/>
  <c r="Q681" i="21"/>
  <c r="P681" i="21"/>
  <c r="O681" i="21"/>
  <c r="N681" i="21"/>
  <c r="M681" i="21"/>
  <c r="L681" i="21"/>
  <c r="AA681" i="21" s="1"/>
  <c r="S680" i="21"/>
  <c r="R680" i="21"/>
  <c r="Q680" i="21"/>
  <c r="P680" i="21"/>
  <c r="O680" i="21"/>
  <c r="N680" i="21"/>
  <c r="M680" i="21"/>
  <c r="L680" i="21"/>
  <c r="AA680" i="21" s="1"/>
  <c r="S679" i="21"/>
  <c r="R679" i="21"/>
  <c r="Q679" i="21"/>
  <c r="P679" i="21"/>
  <c r="O679" i="21"/>
  <c r="N679" i="21"/>
  <c r="M679" i="21"/>
  <c r="L679" i="21"/>
  <c r="Y679" i="21" s="1"/>
  <c r="S678" i="21"/>
  <c r="R678" i="21"/>
  <c r="Q678" i="21"/>
  <c r="P678" i="21"/>
  <c r="O678" i="21"/>
  <c r="N678" i="21"/>
  <c r="M678" i="21"/>
  <c r="L678" i="21"/>
  <c r="S677" i="21"/>
  <c r="R677" i="21"/>
  <c r="Q677" i="21"/>
  <c r="P677" i="21"/>
  <c r="O677" i="21"/>
  <c r="N677" i="21"/>
  <c r="M677" i="21"/>
  <c r="L677" i="21"/>
  <c r="AA677" i="21" s="1"/>
  <c r="S676" i="21"/>
  <c r="R676" i="21"/>
  <c r="Q676" i="21"/>
  <c r="P676" i="21"/>
  <c r="O676" i="21"/>
  <c r="N676" i="21"/>
  <c r="M676" i="21"/>
  <c r="L676" i="21"/>
  <c r="S675" i="21"/>
  <c r="R675" i="21"/>
  <c r="Q675" i="21"/>
  <c r="P675" i="21"/>
  <c r="O675" i="21"/>
  <c r="N675" i="21"/>
  <c r="M675" i="21"/>
  <c r="L675" i="21"/>
  <c r="AA675" i="21" s="1"/>
  <c r="S674" i="21"/>
  <c r="R674" i="21"/>
  <c r="Q674" i="21"/>
  <c r="P674" i="21"/>
  <c r="O674" i="21"/>
  <c r="N674" i="21"/>
  <c r="M674" i="21"/>
  <c r="L674" i="21"/>
  <c r="AA674" i="21" s="1"/>
  <c r="S673" i="21"/>
  <c r="R673" i="21"/>
  <c r="Q673" i="21"/>
  <c r="P673" i="21"/>
  <c r="O673" i="21"/>
  <c r="N673" i="21"/>
  <c r="M673" i="21"/>
  <c r="L673" i="21"/>
  <c r="AA673" i="21" s="1"/>
  <c r="S672" i="21"/>
  <c r="R672" i="21"/>
  <c r="Q672" i="21"/>
  <c r="P672" i="21"/>
  <c r="O672" i="21"/>
  <c r="N672" i="21"/>
  <c r="M672" i="21"/>
  <c r="L672" i="21"/>
  <c r="AA672" i="21" s="1"/>
  <c r="S671" i="21"/>
  <c r="R671" i="21"/>
  <c r="Q671" i="21"/>
  <c r="P671" i="21"/>
  <c r="O671" i="21"/>
  <c r="N671" i="21"/>
  <c r="M671" i="21"/>
  <c r="L671" i="21"/>
  <c r="S670" i="21"/>
  <c r="R670" i="21"/>
  <c r="Q670" i="21"/>
  <c r="P670" i="21"/>
  <c r="O670" i="21"/>
  <c r="N670" i="21"/>
  <c r="M670" i="21"/>
  <c r="L670" i="21"/>
  <c r="S669" i="21"/>
  <c r="R669" i="21"/>
  <c r="Q669" i="21"/>
  <c r="P669" i="21"/>
  <c r="O669" i="21"/>
  <c r="N669" i="21"/>
  <c r="M669" i="21"/>
  <c r="L669" i="21"/>
  <c r="AA669" i="21" s="1"/>
  <c r="S668" i="21"/>
  <c r="R668" i="21"/>
  <c r="Q668" i="21"/>
  <c r="P668" i="21"/>
  <c r="O668" i="21"/>
  <c r="N668" i="21"/>
  <c r="M668" i="21"/>
  <c r="L668" i="21"/>
  <c r="AA668" i="21" s="1"/>
  <c r="S667" i="21"/>
  <c r="R667" i="21"/>
  <c r="Q667" i="21"/>
  <c r="P667" i="21"/>
  <c r="O667" i="21"/>
  <c r="N667" i="21"/>
  <c r="M667" i="21"/>
  <c r="L667" i="21"/>
  <c r="S666" i="21"/>
  <c r="R666" i="21"/>
  <c r="Q666" i="21"/>
  <c r="P666" i="21"/>
  <c r="O666" i="21"/>
  <c r="N666" i="21"/>
  <c r="M666" i="21"/>
  <c r="L666" i="21"/>
  <c r="S665" i="21"/>
  <c r="R665" i="21"/>
  <c r="Q665" i="21"/>
  <c r="P665" i="21"/>
  <c r="O665" i="21"/>
  <c r="N665" i="21"/>
  <c r="M665" i="21"/>
  <c r="L665" i="21"/>
  <c r="AA665" i="21" s="1"/>
  <c r="S664" i="21"/>
  <c r="R664" i="21"/>
  <c r="Q664" i="21"/>
  <c r="P664" i="21"/>
  <c r="O664" i="21"/>
  <c r="N664" i="21"/>
  <c r="M664" i="21"/>
  <c r="L664" i="21"/>
  <c r="AA664" i="21" s="1"/>
  <c r="S663" i="21"/>
  <c r="R663" i="21"/>
  <c r="Q663" i="21"/>
  <c r="P663" i="21"/>
  <c r="O663" i="21"/>
  <c r="N663" i="21"/>
  <c r="M663" i="21"/>
  <c r="L663" i="21"/>
  <c r="Y663" i="21" s="1"/>
  <c r="S662" i="21"/>
  <c r="R662" i="21"/>
  <c r="Q662" i="21"/>
  <c r="P662" i="21"/>
  <c r="O662" i="21"/>
  <c r="N662" i="21"/>
  <c r="M662" i="21"/>
  <c r="L662" i="21"/>
  <c r="S661" i="21"/>
  <c r="R661" i="21"/>
  <c r="Q661" i="21"/>
  <c r="P661" i="21"/>
  <c r="O661" i="21"/>
  <c r="N661" i="21"/>
  <c r="M661" i="21"/>
  <c r="L661" i="21"/>
  <c r="AA661" i="21" s="1"/>
  <c r="S660" i="21"/>
  <c r="R660" i="21"/>
  <c r="Q660" i="21"/>
  <c r="P660" i="21"/>
  <c r="O660" i="21"/>
  <c r="N660" i="21"/>
  <c r="M660" i="21"/>
  <c r="L660" i="21"/>
  <c r="Y660" i="21" s="1"/>
  <c r="S659" i="21"/>
  <c r="R659" i="21"/>
  <c r="Q659" i="21"/>
  <c r="P659" i="21"/>
  <c r="O659" i="21"/>
  <c r="N659" i="21"/>
  <c r="M659" i="21"/>
  <c r="L659" i="21"/>
  <c r="S658" i="21"/>
  <c r="R658" i="21"/>
  <c r="Q658" i="21"/>
  <c r="P658" i="21"/>
  <c r="O658" i="21"/>
  <c r="N658" i="21"/>
  <c r="M658" i="21"/>
  <c r="L658" i="21"/>
  <c r="AA658" i="21" s="1"/>
  <c r="S657" i="21"/>
  <c r="R657" i="21"/>
  <c r="Q657" i="21"/>
  <c r="P657" i="21"/>
  <c r="O657" i="21"/>
  <c r="N657" i="21"/>
  <c r="M657" i="21"/>
  <c r="L657" i="21"/>
  <c r="AA657" i="21" s="1"/>
  <c r="S656" i="21"/>
  <c r="R656" i="21"/>
  <c r="Q656" i="21"/>
  <c r="P656" i="21"/>
  <c r="O656" i="21"/>
  <c r="N656" i="21"/>
  <c r="M656" i="21"/>
  <c r="L656" i="21"/>
  <c r="AA656" i="21" s="1"/>
  <c r="S655" i="21"/>
  <c r="R655" i="21"/>
  <c r="Q655" i="21"/>
  <c r="P655" i="21"/>
  <c r="O655" i="21"/>
  <c r="N655" i="21"/>
  <c r="M655" i="21"/>
  <c r="L655" i="21"/>
  <c r="S654" i="21"/>
  <c r="R654" i="21"/>
  <c r="Q654" i="21"/>
  <c r="P654" i="21"/>
  <c r="O654" i="21"/>
  <c r="N654" i="21"/>
  <c r="M654" i="21"/>
  <c r="L654" i="21"/>
  <c r="S653" i="21"/>
  <c r="R653" i="21"/>
  <c r="Q653" i="21"/>
  <c r="P653" i="21"/>
  <c r="O653" i="21"/>
  <c r="N653" i="21"/>
  <c r="M653" i="21"/>
  <c r="L653" i="21"/>
  <c r="AA653" i="21" s="1"/>
  <c r="S652" i="21"/>
  <c r="R652" i="21"/>
  <c r="Q652" i="21"/>
  <c r="P652" i="21"/>
  <c r="O652" i="21"/>
  <c r="N652" i="21"/>
  <c r="M652" i="21"/>
  <c r="L652" i="21"/>
  <c r="S651" i="21"/>
  <c r="R651" i="21"/>
  <c r="Q651" i="21"/>
  <c r="P651" i="21"/>
  <c r="O651" i="21"/>
  <c r="N651" i="21"/>
  <c r="M651" i="21"/>
  <c r="L651" i="21"/>
  <c r="AA651" i="21" s="1"/>
  <c r="S650" i="21"/>
  <c r="R650" i="21"/>
  <c r="Q650" i="21"/>
  <c r="P650" i="21"/>
  <c r="O650" i="21"/>
  <c r="N650" i="21"/>
  <c r="M650" i="21"/>
  <c r="L650" i="21"/>
  <c r="AA650" i="21" s="1"/>
  <c r="S649" i="21"/>
  <c r="R649" i="21"/>
  <c r="Q649" i="21"/>
  <c r="P649" i="21"/>
  <c r="O649" i="21"/>
  <c r="N649" i="21"/>
  <c r="M649" i="21"/>
  <c r="L649" i="21"/>
  <c r="AA649" i="21" s="1"/>
  <c r="S648" i="21"/>
  <c r="R648" i="21"/>
  <c r="Q648" i="21"/>
  <c r="P648" i="21"/>
  <c r="O648" i="21"/>
  <c r="N648" i="21"/>
  <c r="M648" i="21"/>
  <c r="L648" i="21"/>
  <c r="AA648" i="21" s="1"/>
  <c r="S647" i="21"/>
  <c r="R647" i="21"/>
  <c r="Q647" i="21"/>
  <c r="P647" i="21"/>
  <c r="O647" i="21"/>
  <c r="N647" i="21"/>
  <c r="M647" i="21"/>
  <c r="L647" i="21"/>
  <c r="Y647" i="21" s="1"/>
  <c r="S646" i="21"/>
  <c r="R646" i="21"/>
  <c r="Q646" i="21"/>
  <c r="P646" i="21"/>
  <c r="O646" i="21"/>
  <c r="N646" i="21"/>
  <c r="M646" i="21"/>
  <c r="L646" i="21"/>
  <c r="S645" i="21"/>
  <c r="R645" i="21"/>
  <c r="Q645" i="21"/>
  <c r="P645" i="21"/>
  <c r="O645" i="21"/>
  <c r="N645" i="21"/>
  <c r="M645" i="21"/>
  <c r="L645" i="21"/>
  <c r="AA645" i="21" s="1"/>
  <c r="S644" i="21"/>
  <c r="R644" i="21"/>
  <c r="Q644" i="21"/>
  <c r="P644" i="21"/>
  <c r="O644" i="21"/>
  <c r="N644" i="21"/>
  <c r="M644" i="21"/>
  <c r="L644" i="21"/>
  <c r="S643" i="21"/>
  <c r="R643" i="21"/>
  <c r="Q643" i="21"/>
  <c r="P643" i="21"/>
  <c r="O643" i="21"/>
  <c r="N643" i="21"/>
  <c r="M643" i="21"/>
  <c r="L643" i="21"/>
  <c r="S642" i="21"/>
  <c r="R642" i="21"/>
  <c r="Q642" i="21"/>
  <c r="P642" i="21"/>
  <c r="O642" i="21"/>
  <c r="N642" i="21"/>
  <c r="M642" i="21"/>
  <c r="L642" i="21"/>
  <c r="AA642" i="21" s="1"/>
  <c r="S641" i="21"/>
  <c r="R641" i="21"/>
  <c r="Q641" i="21"/>
  <c r="P641" i="21"/>
  <c r="O641" i="21"/>
  <c r="N641" i="21"/>
  <c r="M641" i="21"/>
  <c r="L641" i="21"/>
  <c r="AA641" i="21" s="1"/>
  <c r="S640" i="21"/>
  <c r="R640" i="21"/>
  <c r="Q640" i="21"/>
  <c r="P640" i="21"/>
  <c r="O640" i="21"/>
  <c r="N640" i="21"/>
  <c r="M640" i="21"/>
  <c r="L640" i="21"/>
  <c r="AA640" i="21" s="1"/>
  <c r="S639" i="21"/>
  <c r="R639" i="21"/>
  <c r="Q639" i="21"/>
  <c r="P639" i="21"/>
  <c r="O639" i="21"/>
  <c r="N639" i="21"/>
  <c r="M639" i="21"/>
  <c r="L639" i="21"/>
  <c r="S638" i="21"/>
  <c r="R638" i="21"/>
  <c r="Q638" i="21"/>
  <c r="P638" i="21"/>
  <c r="O638" i="21"/>
  <c r="N638" i="21"/>
  <c r="M638" i="21"/>
  <c r="L638" i="21"/>
  <c r="S637" i="21"/>
  <c r="R637" i="21"/>
  <c r="Q637" i="21"/>
  <c r="P637" i="21"/>
  <c r="O637" i="21"/>
  <c r="N637" i="21"/>
  <c r="M637" i="21"/>
  <c r="L637" i="21"/>
  <c r="AA637" i="21" s="1"/>
  <c r="S636" i="21"/>
  <c r="R636" i="21"/>
  <c r="Q636" i="21"/>
  <c r="P636" i="21"/>
  <c r="O636" i="21"/>
  <c r="N636" i="21"/>
  <c r="M636" i="21"/>
  <c r="L636" i="21"/>
  <c r="S635" i="21"/>
  <c r="R635" i="21"/>
  <c r="Q635" i="21"/>
  <c r="P635" i="21"/>
  <c r="O635" i="21"/>
  <c r="N635" i="21"/>
  <c r="M635" i="21"/>
  <c r="L635" i="21"/>
  <c r="S634" i="21"/>
  <c r="R634" i="21"/>
  <c r="Q634" i="21"/>
  <c r="P634" i="21"/>
  <c r="O634" i="21"/>
  <c r="N634" i="21"/>
  <c r="M634" i="21"/>
  <c r="L634" i="21"/>
  <c r="S633" i="21"/>
  <c r="R633" i="21"/>
  <c r="Q633" i="21"/>
  <c r="P633" i="21"/>
  <c r="O633" i="21"/>
  <c r="N633" i="21"/>
  <c r="M633" i="21"/>
  <c r="L633" i="21"/>
  <c r="AA633" i="21" s="1"/>
  <c r="S632" i="21"/>
  <c r="R632" i="21"/>
  <c r="Q632" i="21"/>
  <c r="P632" i="21"/>
  <c r="O632" i="21"/>
  <c r="N632" i="21"/>
  <c r="M632" i="21"/>
  <c r="L632" i="21"/>
  <c r="AA632" i="21" s="1"/>
  <c r="S631" i="21"/>
  <c r="R631" i="21"/>
  <c r="Q631" i="21"/>
  <c r="P631" i="21"/>
  <c r="O631" i="21"/>
  <c r="N631" i="21"/>
  <c r="M631" i="21"/>
  <c r="L631" i="21"/>
  <c r="Y631" i="21" s="1"/>
  <c r="S630" i="21"/>
  <c r="R630" i="21"/>
  <c r="Q630" i="21"/>
  <c r="P630" i="21"/>
  <c r="O630" i="21"/>
  <c r="N630" i="21"/>
  <c r="M630" i="21"/>
  <c r="L630" i="21"/>
  <c r="S629" i="21"/>
  <c r="R629" i="21"/>
  <c r="Q629" i="21"/>
  <c r="P629" i="21"/>
  <c r="O629" i="21"/>
  <c r="N629" i="21"/>
  <c r="M629" i="21"/>
  <c r="L629" i="21"/>
  <c r="AA629" i="21" s="1"/>
  <c r="S628" i="21"/>
  <c r="R628" i="21"/>
  <c r="Q628" i="21"/>
  <c r="P628" i="21"/>
  <c r="O628" i="21"/>
  <c r="N628" i="21"/>
  <c r="M628" i="21"/>
  <c r="L628" i="21"/>
  <c r="AA628" i="21" s="1"/>
  <c r="S627" i="21"/>
  <c r="R627" i="21"/>
  <c r="Q627" i="21"/>
  <c r="P627" i="21"/>
  <c r="O627" i="21"/>
  <c r="N627" i="21"/>
  <c r="M627" i="21"/>
  <c r="L627" i="21"/>
  <c r="S626" i="21"/>
  <c r="R626" i="21"/>
  <c r="Q626" i="21"/>
  <c r="P626" i="21"/>
  <c r="O626" i="21"/>
  <c r="N626" i="21"/>
  <c r="M626" i="21"/>
  <c r="L626" i="21"/>
  <c r="AA626" i="21" s="1"/>
  <c r="S625" i="21"/>
  <c r="R625" i="21"/>
  <c r="Q625" i="21"/>
  <c r="P625" i="21"/>
  <c r="O625" i="21"/>
  <c r="N625" i="21"/>
  <c r="M625" i="21"/>
  <c r="L625" i="21"/>
  <c r="AA625" i="21" s="1"/>
  <c r="S624" i="21"/>
  <c r="R624" i="21"/>
  <c r="Q624" i="21"/>
  <c r="P624" i="21"/>
  <c r="O624" i="21"/>
  <c r="N624" i="21"/>
  <c r="M624" i="21"/>
  <c r="L624" i="21"/>
  <c r="AA624" i="21" s="1"/>
  <c r="S623" i="21"/>
  <c r="R623" i="21"/>
  <c r="Q623" i="21"/>
  <c r="P623" i="21"/>
  <c r="O623" i="21"/>
  <c r="N623" i="21"/>
  <c r="M623" i="21"/>
  <c r="L623" i="21"/>
  <c r="S622" i="21"/>
  <c r="R622" i="21"/>
  <c r="Q622" i="21"/>
  <c r="P622" i="21"/>
  <c r="O622" i="21"/>
  <c r="N622" i="21"/>
  <c r="M622" i="21"/>
  <c r="L622" i="21"/>
  <c r="S621" i="21"/>
  <c r="R621" i="21"/>
  <c r="Q621" i="21"/>
  <c r="P621" i="21"/>
  <c r="O621" i="21"/>
  <c r="N621" i="21"/>
  <c r="M621" i="21"/>
  <c r="L621" i="21"/>
  <c r="AA621" i="21" s="1"/>
  <c r="S620" i="21"/>
  <c r="R620" i="21"/>
  <c r="Q620" i="21"/>
  <c r="P620" i="21"/>
  <c r="O620" i="21"/>
  <c r="N620" i="21"/>
  <c r="M620" i="21"/>
  <c r="L620" i="21"/>
  <c r="S619" i="21"/>
  <c r="R619" i="21"/>
  <c r="Q619" i="21"/>
  <c r="P619" i="21"/>
  <c r="O619" i="21"/>
  <c r="N619" i="21"/>
  <c r="M619" i="21"/>
  <c r="L619" i="21"/>
  <c r="Y619" i="21" s="1"/>
  <c r="S618" i="21"/>
  <c r="R618" i="21"/>
  <c r="Q618" i="21"/>
  <c r="P618" i="21"/>
  <c r="O618" i="21"/>
  <c r="N618" i="21"/>
  <c r="M618" i="21"/>
  <c r="L618" i="21"/>
  <c r="Y618" i="21" s="1"/>
  <c r="S617" i="21"/>
  <c r="R617" i="21"/>
  <c r="Q617" i="21"/>
  <c r="P617" i="21"/>
  <c r="O617" i="21"/>
  <c r="N617" i="21"/>
  <c r="M617" i="21"/>
  <c r="L617" i="21"/>
  <c r="AA617" i="21" s="1"/>
  <c r="S616" i="21"/>
  <c r="R616" i="21"/>
  <c r="Q616" i="21"/>
  <c r="P616" i="21"/>
  <c r="O616" i="21"/>
  <c r="N616" i="21"/>
  <c r="M616" i="21"/>
  <c r="L616" i="21"/>
  <c r="AA616" i="21" s="1"/>
  <c r="S615" i="21"/>
  <c r="R615" i="21"/>
  <c r="Q615" i="21"/>
  <c r="P615" i="21"/>
  <c r="O615" i="21"/>
  <c r="N615" i="21"/>
  <c r="M615" i="21"/>
  <c r="L615" i="21"/>
  <c r="Y615" i="21" s="1"/>
  <c r="S614" i="21"/>
  <c r="R614" i="21"/>
  <c r="Q614" i="21"/>
  <c r="P614" i="21"/>
  <c r="O614" i="21"/>
  <c r="N614" i="21"/>
  <c r="M614" i="21"/>
  <c r="L614" i="21"/>
  <c r="S613" i="21"/>
  <c r="R613" i="21"/>
  <c r="Q613" i="21"/>
  <c r="P613" i="21"/>
  <c r="O613" i="21"/>
  <c r="N613" i="21"/>
  <c r="M613" i="21"/>
  <c r="L613" i="21"/>
  <c r="AA613" i="21" s="1"/>
  <c r="S612" i="21"/>
  <c r="R612" i="21"/>
  <c r="Q612" i="21"/>
  <c r="P612" i="21"/>
  <c r="O612" i="21"/>
  <c r="N612" i="21"/>
  <c r="M612" i="21"/>
  <c r="L612" i="21"/>
  <c r="S611" i="21"/>
  <c r="R611" i="21"/>
  <c r="Q611" i="21"/>
  <c r="P611" i="21"/>
  <c r="O611" i="21"/>
  <c r="N611" i="21"/>
  <c r="M611" i="21"/>
  <c r="L611" i="21"/>
  <c r="AA611" i="21" s="1"/>
  <c r="S610" i="21"/>
  <c r="R610" i="21"/>
  <c r="Q610" i="21"/>
  <c r="P610" i="21"/>
  <c r="O610" i="21"/>
  <c r="N610" i="21"/>
  <c r="M610" i="21"/>
  <c r="L610" i="21"/>
  <c r="AA610" i="21" s="1"/>
  <c r="S609" i="21"/>
  <c r="R609" i="21"/>
  <c r="Q609" i="21"/>
  <c r="P609" i="21"/>
  <c r="O609" i="21"/>
  <c r="N609" i="21"/>
  <c r="M609" i="21"/>
  <c r="L609" i="21"/>
  <c r="AA609" i="21" s="1"/>
  <c r="S608" i="21"/>
  <c r="R608" i="21"/>
  <c r="Q608" i="21"/>
  <c r="P608" i="21"/>
  <c r="O608" i="21"/>
  <c r="N608" i="21"/>
  <c r="M608" i="21"/>
  <c r="L608" i="21"/>
  <c r="AA608" i="21" s="1"/>
  <c r="S607" i="21"/>
  <c r="R607" i="21"/>
  <c r="Q607" i="21"/>
  <c r="P607" i="21"/>
  <c r="O607" i="21"/>
  <c r="N607" i="21"/>
  <c r="M607" i="21"/>
  <c r="L607" i="21"/>
  <c r="S606" i="21"/>
  <c r="R606" i="21"/>
  <c r="Q606" i="21"/>
  <c r="P606" i="21"/>
  <c r="O606" i="21"/>
  <c r="N606" i="21"/>
  <c r="M606" i="21"/>
  <c r="L606" i="21"/>
  <c r="S605" i="21"/>
  <c r="R605" i="21"/>
  <c r="Q605" i="21"/>
  <c r="P605" i="21"/>
  <c r="O605" i="21"/>
  <c r="N605" i="21"/>
  <c r="M605" i="21"/>
  <c r="L605" i="21"/>
  <c r="AA605" i="21" s="1"/>
  <c r="S604" i="21"/>
  <c r="R604" i="21"/>
  <c r="Q604" i="21"/>
  <c r="P604" i="21"/>
  <c r="O604" i="21"/>
  <c r="N604" i="21"/>
  <c r="M604" i="21"/>
  <c r="L604" i="21"/>
  <c r="AA604" i="21" s="1"/>
  <c r="S603" i="21"/>
  <c r="R603" i="21"/>
  <c r="Q603" i="21"/>
  <c r="P603" i="21"/>
  <c r="O603" i="21"/>
  <c r="N603" i="21"/>
  <c r="M603" i="21"/>
  <c r="L603" i="21"/>
  <c r="S602" i="21"/>
  <c r="R602" i="21"/>
  <c r="Q602" i="21"/>
  <c r="P602" i="21"/>
  <c r="O602" i="21"/>
  <c r="N602" i="21"/>
  <c r="M602" i="21"/>
  <c r="L602" i="21"/>
  <c r="S601" i="21"/>
  <c r="R601" i="21"/>
  <c r="Q601" i="21"/>
  <c r="P601" i="21"/>
  <c r="O601" i="21"/>
  <c r="N601" i="21"/>
  <c r="M601" i="21"/>
  <c r="L601" i="21"/>
  <c r="AA601" i="21" s="1"/>
  <c r="S600" i="21"/>
  <c r="R600" i="21"/>
  <c r="Q600" i="21"/>
  <c r="P600" i="21"/>
  <c r="O600" i="21"/>
  <c r="N600" i="21"/>
  <c r="M600" i="21"/>
  <c r="L600" i="21"/>
  <c r="AA600" i="21" s="1"/>
  <c r="S599" i="21"/>
  <c r="R599" i="21"/>
  <c r="Q599" i="21"/>
  <c r="P599" i="21"/>
  <c r="O599" i="21"/>
  <c r="N599" i="21"/>
  <c r="M599" i="21"/>
  <c r="L599" i="21"/>
  <c r="Y599" i="21" s="1"/>
  <c r="S598" i="21"/>
  <c r="R598" i="21"/>
  <c r="Q598" i="21"/>
  <c r="P598" i="21"/>
  <c r="O598" i="21"/>
  <c r="N598" i="21"/>
  <c r="M598" i="21"/>
  <c r="L598" i="21"/>
  <c r="S597" i="21"/>
  <c r="R597" i="21"/>
  <c r="Q597" i="21"/>
  <c r="P597" i="21"/>
  <c r="O597" i="21"/>
  <c r="N597" i="21"/>
  <c r="M597" i="21"/>
  <c r="L597" i="21"/>
  <c r="AA597" i="21" s="1"/>
  <c r="S596" i="21"/>
  <c r="R596" i="21"/>
  <c r="Q596" i="21"/>
  <c r="P596" i="21"/>
  <c r="O596" i="21"/>
  <c r="N596" i="21"/>
  <c r="M596" i="21"/>
  <c r="L596" i="21"/>
  <c r="Y596" i="21" s="1"/>
  <c r="S595" i="21"/>
  <c r="R595" i="21"/>
  <c r="Q595" i="21"/>
  <c r="P595" i="21"/>
  <c r="O595" i="21"/>
  <c r="N595" i="21"/>
  <c r="M595" i="21"/>
  <c r="L595" i="21"/>
  <c r="S594" i="21"/>
  <c r="R594" i="21"/>
  <c r="Q594" i="21"/>
  <c r="P594" i="21"/>
  <c r="O594" i="21"/>
  <c r="N594" i="21"/>
  <c r="M594" i="21"/>
  <c r="L594" i="21"/>
  <c r="AA594" i="21" s="1"/>
  <c r="S593" i="21"/>
  <c r="R593" i="21"/>
  <c r="Q593" i="21"/>
  <c r="P593" i="21"/>
  <c r="O593" i="21"/>
  <c r="N593" i="21"/>
  <c r="M593" i="21"/>
  <c r="L593" i="21"/>
  <c r="AA593" i="21" s="1"/>
  <c r="S592" i="21"/>
  <c r="R592" i="21"/>
  <c r="Q592" i="21"/>
  <c r="P592" i="21"/>
  <c r="O592" i="21"/>
  <c r="N592" i="21"/>
  <c r="M592" i="21"/>
  <c r="L592" i="21"/>
  <c r="AA592" i="21" s="1"/>
  <c r="S591" i="21"/>
  <c r="R591" i="21"/>
  <c r="Q591" i="21"/>
  <c r="P591" i="21"/>
  <c r="O591" i="21"/>
  <c r="N591" i="21"/>
  <c r="M591" i="21"/>
  <c r="L591" i="21"/>
  <c r="S590" i="21"/>
  <c r="R590" i="21"/>
  <c r="Q590" i="21"/>
  <c r="P590" i="21"/>
  <c r="O590" i="21"/>
  <c r="N590" i="21"/>
  <c r="M590" i="21"/>
  <c r="L590" i="21"/>
  <c r="S589" i="21"/>
  <c r="R589" i="21"/>
  <c r="Q589" i="21"/>
  <c r="P589" i="21"/>
  <c r="O589" i="21"/>
  <c r="N589" i="21"/>
  <c r="M589" i="21"/>
  <c r="L589" i="21"/>
  <c r="AA589" i="21" s="1"/>
  <c r="S588" i="21"/>
  <c r="R588" i="21"/>
  <c r="Q588" i="21"/>
  <c r="P588" i="21"/>
  <c r="O588" i="21"/>
  <c r="N588" i="21"/>
  <c r="M588" i="21"/>
  <c r="L588" i="21"/>
  <c r="S587" i="21"/>
  <c r="R587" i="21"/>
  <c r="Q587" i="21"/>
  <c r="P587" i="21"/>
  <c r="O587" i="21"/>
  <c r="N587" i="21"/>
  <c r="M587" i="21"/>
  <c r="L587" i="21"/>
  <c r="AA587" i="21" s="1"/>
  <c r="S586" i="21"/>
  <c r="R586" i="21"/>
  <c r="Q586" i="21"/>
  <c r="P586" i="21"/>
  <c r="O586" i="21"/>
  <c r="N586" i="21"/>
  <c r="M586" i="21"/>
  <c r="L586" i="21"/>
  <c r="AA586" i="21" s="1"/>
  <c r="S585" i="21"/>
  <c r="R585" i="21"/>
  <c r="Q585" i="21"/>
  <c r="P585" i="21"/>
  <c r="O585" i="21"/>
  <c r="N585" i="21"/>
  <c r="M585" i="21"/>
  <c r="L585" i="21"/>
  <c r="AA585" i="21" s="1"/>
  <c r="S584" i="21"/>
  <c r="R584" i="21"/>
  <c r="Q584" i="21"/>
  <c r="P584" i="21"/>
  <c r="O584" i="21"/>
  <c r="N584" i="21"/>
  <c r="M584" i="21"/>
  <c r="L584" i="21"/>
  <c r="AA584" i="21" s="1"/>
  <c r="S583" i="21"/>
  <c r="R583" i="21"/>
  <c r="Q583" i="21"/>
  <c r="P583" i="21"/>
  <c r="O583" i="21"/>
  <c r="N583" i="21"/>
  <c r="M583" i="21"/>
  <c r="L583" i="21"/>
  <c r="Y583" i="21" s="1"/>
  <c r="S582" i="21"/>
  <c r="R582" i="21"/>
  <c r="Q582" i="21"/>
  <c r="P582" i="21"/>
  <c r="O582" i="21"/>
  <c r="N582" i="21"/>
  <c r="M582" i="21"/>
  <c r="L582" i="21"/>
  <c r="S581" i="21"/>
  <c r="R581" i="21"/>
  <c r="Q581" i="21"/>
  <c r="P581" i="21"/>
  <c r="O581" i="21"/>
  <c r="N581" i="21"/>
  <c r="M581" i="21"/>
  <c r="L581" i="21"/>
  <c r="AA581" i="21" s="1"/>
  <c r="S580" i="21"/>
  <c r="R580" i="21"/>
  <c r="Q580" i="21"/>
  <c r="P580" i="21"/>
  <c r="O580" i="21"/>
  <c r="N580" i="21"/>
  <c r="M580" i="21"/>
  <c r="L580" i="21"/>
  <c r="S579" i="21"/>
  <c r="R579" i="21"/>
  <c r="Q579" i="21"/>
  <c r="P579" i="21"/>
  <c r="O579" i="21"/>
  <c r="N579" i="21"/>
  <c r="M579" i="21"/>
  <c r="L579" i="21"/>
  <c r="S578" i="21"/>
  <c r="R578" i="21"/>
  <c r="Q578" i="21"/>
  <c r="P578" i="21"/>
  <c r="O578" i="21"/>
  <c r="N578" i="21"/>
  <c r="M578" i="21"/>
  <c r="L578" i="21"/>
  <c r="AA578" i="21" s="1"/>
  <c r="S577" i="21"/>
  <c r="R577" i="21"/>
  <c r="Q577" i="21"/>
  <c r="P577" i="21"/>
  <c r="O577" i="21"/>
  <c r="N577" i="21"/>
  <c r="M577" i="21"/>
  <c r="L577" i="21"/>
  <c r="AA577" i="21" s="1"/>
  <c r="S576" i="21"/>
  <c r="R576" i="21"/>
  <c r="Q576" i="21"/>
  <c r="P576" i="21"/>
  <c r="O576" i="21"/>
  <c r="N576" i="21"/>
  <c r="M576" i="21"/>
  <c r="L576" i="21"/>
  <c r="AA576" i="21" s="1"/>
  <c r="S575" i="21"/>
  <c r="R575" i="21"/>
  <c r="Q575" i="21"/>
  <c r="P575" i="21"/>
  <c r="O575" i="21"/>
  <c r="N575" i="21"/>
  <c r="M575" i="21"/>
  <c r="L575" i="21"/>
  <c r="S574" i="21"/>
  <c r="R574" i="21"/>
  <c r="Q574" i="21"/>
  <c r="P574" i="21"/>
  <c r="O574" i="21"/>
  <c r="N574" i="21"/>
  <c r="M574" i="21"/>
  <c r="L574" i="21"/>
  <c r="S573" i="21"/>
  <c r="R573" i="21"/>
  <c r="Q573" i="21"/>
  <c r="P573" i="21"/>
  <c r="O573" i="21"/>
  <c r="N573" i="21"/>
  <c r="M573" i="21"/>
  <c r="L573" i="21"/>
  <c r="AA573" i="21" s="1"/>
  <c r="S572" i="21"/>
  <c r="R572" i="21"/>
  <c r="Q572" i="21"/>
  <c r="P572" i="21"/>
  <c r="O572" i="21"/>
  <c r="N572" i="21"/>
  <c r="M572" i="21"/>
  <c r="L572" i="21"/>
  <c r="S571" i="21"/>
  <c r="R571" i="21"/>
  <c r="Q571" i="21"/>
  <c r="P571" i="21"/>
  <c r="O571" i="21"/>
  <c r="N571" i="21"/>
  <c r="M571" i="21"/>
  <c r="L571" i="21"/>
  <c r="S570" i="21"/>
  <c r="R570" i="21"/>
  <c r="Q570" i="21"/>
  <c r="P570" i="21"/>
  <c r="O570" i="21"/>
  <c r="N570" i="21"/>
  <c r="M570" i="21"/>
  <c r="L570" i="21"/>
  <c r="AA570" i="21" s="1"/>
  <c r="S569" i="21"/>
  <c r="R569" i="21"/>
  <c r="Q569" i="21"/>
  <c r="P569" i="21"/>
  <c r="O569" i="21"/>
  <c r="N569" i="21"/>
  <c r="M569" i="21"/>
  <c r="L569" i="21"/>
  <c r="AA569" i="21" s="1"/>
  <c r="S568" i="21"/>
  <c r="R568" i="21"/>
  <c r="Q568" i="21"/>
  <c r="P568" i="21"/>
  <c r="O568" i="21"/>
  <c r="N568" i="21"/>
  <c r="M568" i="21"/>
  <c r="L568" i="21"/>
  <c r="AA568" i="21" s="1"/>
  <c r="S567" i="21"/>
  <c r="R567" i="21"/>
  <c r="Q567" i="21"/>
  <c r="P567" i="21"/>
  <c r="O567" i="21"/>
  <c r="N567" i="21"/>
  <c r="M567" i="21"/>
  <c r="L567" i="21"/>
  <c r="Y567" i="21" s="1"/>
  <c r="S566" i="21"/>
  <c r="R566" i="21"/>
  <c r="Q566" i="21"/>
  <c r="P566" i="21"/>
  <c r="O566" i="21"/>
  <c r="N566" i="21"/>
  <c r="M566" i="21"/>
  <c r="L566" i="21"/>
  <c r="S565" i="21"/>
  <c r="R565" i="21"/>
  <c r="Q565" i="21"/>
  <c r="P565" i="21"/>
  <c r="O565" i="21"/>
  <c r="N565" i="21"/>
  <c r="M565" i="21"/>
  <c r="L565" i="21"/>
  <c r="AA565" i="21" s="1"/>
  <c r="S564" i="21"/>
  <c r="R564" i="21"/>
  <c r="Q564" i="21"/>
  <c r="P564" i="21"/>
  <c r="O564" i="21"/>
  <c r="N564" i="21"/>
  <c r="M564" i="21"/>
  <c r="L564" i="21"/>
  <c r="AA564" i="21" s="1"/>
  <c r="S563" i="21"/>
  <c r="R563" i="21"/>
  <c r="Q563" i="21"/>
  <c r="P563" i="21"/>
  <c r="O563" i="21"/>
  <c r="N563" i="21"/>
  <c r="M563" i="21"/>
  <c r="L563" i="21"/>
  <c r="S562" i="21"/>
  <c r="R562" i="21"/>
  <c r="Q562" i="21"/>
  <c r="P562" i="21"/>
  <c r="O562" i="21"/>
  <c r="N562" i="21"/>
  <c r="M562" i="21"/>
  <c r="L562" i="21"/>
  <c r="AA562" i="21" s="1"/>
  <c r="S561" i="21"/>
  <c r="R561" i="21"/>
  <c r="Q561" i="21"/>
  <c r="P561" i="21"/>
  <c r="O561" i="21"/>
  <c r="N561" i="21"/>
  <c r="M561" i="21"/>
  <c r="L561" i="21"/>
  <c r="AA561" i="21" s="1"/>
  <c r="S560" i="21"/>
  <c r="R560" i="21"/>
  <c r="Q560" i="21"/>
  <c r="P560" i="21"/>
  <c r="O560" i="21"/>
  <c r="N560" i="21"/>
  <c r="M560" i="21"/>
  <c r="L560" i="21"/>
  <c r="AA560" i="21" s="1"/>
  <c r="S559" i="21"/>
  <c r="R559" i="21"/>
  <c r="Q559" i="21"/>
  <c r="P559" i="21"/>
  <c r="O559" i="21"/>
  <c r="N559" i="21"/>
  <c r="M559" i="21"/>
  <c r="L559" i="21"/>
  <c r="S558" i="21"/>
  <c r="R558" i="21"/>
  <c r="Q558" i="21"/>
  <c r="P558" i="21"/>
  <c r="O558" i="21"/>
  <c r="N558" i="21"/>
  <c r="M558" i="21"/>
  <c r="L558" i="21"/>
  <c r="S557" i="21"/>
  <c r="R557" i="21"/>
  <c r="Q557" i="21"/>
  <c r="P557" i="21"/>
  <c r="O557" i="21"/>
  <c r="N557" i="21"/>
  <c r="M557" i="21"/>
  <c r="L557" i="21"/>
  <c r="AA557" i="21" s="1"/>
  <c r="S556" i="21"/>
  <c r="R556" i="21"/>
  <c r="Q556" i="21"/>
  <c r="P556" i="21"/>
  <c r="O556" i="21"/>
  <c r="N556" i="21"/>
  <c r="M556" i="21"/>
  <c r="L556" i="21"/>
  <c r="Y556" i="21" s="1"/>
  <c r="S555" i="21"/>
  <c r="R555" i="21"/>
  <c r="Q555" i="21"/>
  <c r="P555" i="21"/>
  <c r="O555" i="21"/>
  <c r="N555" i="21"/>
  <c r="M555" i="21"/>
  <c r="L555" i="21"/>
  <c r="Y555" i="21" s="1"/>
  <c r="S554" i="21"/>
  <c r="R554" i="21"/>
  <c r="Q554" i="21"/>
  <c r="P554" i="21"/>
  <c r="O554" i="21"/>
  <c r="N554" i="21"/>
  <c r="M554" i="21"/>
  <c r="L554" i="21"/>
  <c r="Y554" i="21" s="1"/>
  <c r="S553" i="21"/>
  <c r="R553" i="21"/>
  <c r="Q553" i="21"/>
  <c r="P553" i="21"/>
  <c r="O553" i="21"/>
  <c r="N553" i="21"/>
  <c r="M553" i="21"/>
  <c r="L553" i="21"/>
  <c r="AA553" i="21" s="1"/>
  <c r="S552" i="21"/>
  <c r="R552" i="21"/>
  <c r="Q552" i="21"/>
  <c r="P552" i="21"/>
  <c r="O552" i="21"/>
  <c r="N552" i="21"/>
  <c r="M552" i="21"/>
  <c r="L552" i="21"/>
  <c r="AA552" i="21" s="1"/>
  <c r="S551" i="21"/>
  <c r="R551" i="21"/>
  <c r="Q551" i="21"/>
  <c r="P551" i="21"/>
  <c r="O551" i="21"/>
  <c r="N551" i="21"/>
  <c r="M551" i="21"/>
  <c r="L551" i="21"/>
  <c r="Y551" i="21" s="1"/>
  <c r="S550" i="21"/>
  <c r="R550" i="21"/>
  <c r="Q550" i="21"/>
  <c r="P550" i="21"/>
  <c r="O550" i="21"/>
  <c r="N550" i="21"/>
  <c r="M550" i="21"/>
  <c r="L550" i="21"/>
  <c r="S549" i="21"/>
  <c r="R549" i="21"/>
  <c r="Q549" i="21"/>
  <c r="P549" i="21"/>
  <c r="O549" i="21"/>
  <c r="N549" i="21"/>
  <c r="M549" i="21"/>
  <c r="L549" i="21"/>
  <c r="AA549" i="21" s="1"/>
  <c r="S548" i="21"/>
  <c r="R548" i="21"/>
  <c r="Q548" i="21"/>
  <c r="P548" i="21"/>
  <c r="O548" i="21"/>
  <c r="N548" i="21"/>
  <c r="M548" i="21"/>
  <c r="L548" i="21"/>
  <c r="AA548" i="21" s="1"/>
  <c r="S547" i="21"/>
  <c r="R547" i="21"/>
  <c r="Q547" i="21"/>
  <c r="P547" i="21"/>
  <c r="O547" i="21"/>
  <c r="N547" i="21"/>
  <c r="M547" i="21"/>
  <c r="L547" i="21"/>
  <c r="AA547" i="21" s="1"/>
  <c r="S546" i="21"/>
  <c r="R546" i="21"/>
  <c r="Q546" i="21"/>
  <c r="P546" i="21"/>
  <c r="O546" i="21"/>
  <c r="N546" i="21"/>
  <c r="M546" i="21"/>
  <c r="L546" i="21"/>
  <c r="AA546" i="21" s="1"/>
  <c r="S545" i="21"/>
  <c r="R545" i="21"/>
  <c r="Q545" i="21"/>
  <c r="P545" i="21"/>
  <c r="O545" i="21"/>
  <c r="N545" i="21"/>
  <c r="M545" i="21"/>
  <c r="L545" i="21"/>
  <c r="AA545" i="21" s="1"/>
  <c r="S544" i="21"/>
  <c r="R544" i="21"/>
  <c r="Q544" i="21"/>
  <c r="P544" i="21"/>
  <c r="O544" i="21"/>
  <c r="N544" i="21"/>
  <c r="M544" i="21"/>
  <c r="L544" i="21"/>
  <c r="AA544" i="21" s="1"/>
  <c r="S543" i="21"/>
  <c r="R543" i="21"/>
  <c r="Q543" i="21"/>
  <c r="P543" i="21"/>
  <c r="O543" i="21"/>
  <c r="N543" i="21"/>
  <c r="M543" i="21"/>
  <c r="L543" i="21"/>
  <c r="S542" i="21"/>
  <c r="R542" i="21"/>
  <c r="Q542" i="21"/>
  <c r="P542" i="21"/>
  <c r="O542" i="21"/>
  <c r="N542" i="21"/>
  <c r="M542" i="21"/>
  <c r="L542" i="21"/>
  <c r="S541" i="21"/>
  <c r="R541" i="21"/>
  <c r="Q541" i="21"/>
  <c r="P541" i="21"/>
  <c r="O541" i="21"/>
  <c r="N541" i="21"/>
  <c r="M541" i="21"/>
  <c r="L541" i="21"/>
  <c r="AA541" i="21" s="1"/>
  <c r="S540" i="21"/>
  <c r="R540" i="21"/>
  <c r="Q540" i="21"/>
  <c r="P540" i="21"/>
  <c r="O540" i="21"/>
  <c r="N540" i="21"/>
  <c r="M540" i="21"/>
  <c r="L540" i="21"/>
  <c r="AA540" i="21" s="1"/>
  <c r="S539" i="21"/>
  <c r="R539" i="21"/>
  <c r="Q539" i="21"/>
  <c r="P539" i="21"/>
  <c r="O539" i="21"/>
  <c r="N539" i="21"/>
  <c r="M539" i="21"/>
  <c r="L539" i="21"/>
  <c r="S538" i="21"/>
  <c r="R538" i="21"/>
  <c r="Q538" i="21"/>
  <c r="P538" i="21"/>
  <c r="O538" i="21"/>
  <c r="N538" i="21"/>
  <c r="M538" i="21"/>
  <c r="L538" i="21"/>
  <c r="Y538" i="21" s="1"/>
  <c r="S537" i="21"/>
  <c r="R537" i="21"/>
  <c r="Q537" i="21"/>
  <c r="P537" i="21"/>
  <c r="O537" i="21"/>
  <c r="N537" i="21"/>
  <c r="M537" i="21"/>
  <c r="L537" i="21"/>
  <c r="AA537" i="21" s="1"/>
  <c r="S536" i="21"/>
  <c r="R536" i="21"/>
  <c r="Q536" i="21"/>
  <c r="P536" i="21"/>
  <c r="O536" i="21"/>
  <c r="N536" i="21"/>
  <c r="M536" i="21"/>
  <c r="L536" i="21"/>
  <c r="AA536" i="21" s="1"/>
  <c r="S535" i="21"/>
  <c r="R535" i="21"/>
  <c r="Q535" i="21"/>
  <c r="P535" i="21"/>
  <c r="O535" i="21"/>
  <c r="N535" i="21"/>
  <c r="M535" i="21"/>
  <c r="L535" i="21"/>
  <c r="Y535" i="21" s="1"/>
  <c r="S534" i="21"/>
  <c r="R534" i="21"/>
  <c r="Q534" i="21"/>
  <c r="P534" i="21"/>
  <c r="O534" i="21"/>
  <c r="N534" i="21"/>
  <c r="M534" i="21"/>
  <c r="L534" i="21"/>
  <c r="S533" i="21"/>
  <c r="R533" i="21"/>
  <c r="Q533" i="21"/>
  <c r="P533" i="21"/>
  <c r="O533" i="21"/>
  <c r="N533" i="21"/>
  <c r="M533" i="21"/>
  <c r="L533" i="21"/>
  <c r="AA533" i="21" s="1"/>
  <c r="S532" i="21"/>
  <c r="R532" i="21"/>
  <c r="Q532" i="21"/>
  <c r="P532" i="21"/>
  <c r="O532" i="21"/>
  <c r="N532" i="21"/>
  <c r="M532" i="21"/>
  <c r="L532" i="21"/>
  <c r="Y532" i="21" s="1"/>
  <c r="S531" i="21"/>
  <c r="R531" i="21"/>
  <c r="Q531" i="21"/>
  <c r="P531" i="21"/>
  <c r="O531" i="21"/>
  <c r="N531" i="21"/>
  <c r="M531" i="21"/>
  <c r="L531" i="21"/>
  <c r="S530" i="21"/>
  <c r="R530" i="21"/>
  <c r="Q530" i="21"/>
  <c r="P530" i="21"/>
  <c r="O530" i="21"/>
  <c r="N530" i="21"/>
  <c r="M530" i="21"/>
  <c r="L530" i="21"/>
  <c r="AA530" i="21" s="1"/>
  <c r="S529" i="21"/>
  <c r="R529" i="21"/>
  <c r="Q529" i="21"/>
  <c r="P529" i="21"/>
  <c r="O529" i="21"/>
  <c r="N529" i="21"/>
  <c r="M529" i="21"/>
  <c r="L529" i="21"/>
  <c r="AA529" i="21" s="1"/>
  <c r="S528" i="21"/>
  <c r="R528" i="21"/>
  <c r="Q528" i="21"/>
  <c r="P528" i="21"/>
  <c r="O528" i="21"/>
  <c r="N528" i="21"/>
  <c r="M528" i="21"/>
  <c r="L528" i="21"/>
  <c r="AA528" i="21" s="1"/>
  <c r="S527" i="21"/>
  <c r="R527" i="21"/>
  <c r="Q527" i="21"/>
  <c r="P527" i="21"/>
  <c r="O527" i="21"/>
  <c r="N527" i="21"/>
  <c r="M527" i="21"/>
  <c r="L527" i="21"/>
  <c r="S526" i="21"/>
  <c r="R526" i="21"/>
  <c r="Q526" i="21"/>
  <c r="P526" i="21"/>
  <c r="O526" i="21"/>
  <c r="N526" i="21"/>
  <c r="M526" i="21"/>
  <c r="L526" i="21"/>
  <c r="S525" i="21"/>
  <c r="R525" i="21"/>
  <c r="Q525" i="21"/>
  <c r="P525" i="21"/>
  <c r="O525" i="21"/>
  <c r="N525" i="21"/>
  <c r="M525" i="21"/>
  <c r="L525" i="21"/>
  <c r="AA525" i="21" s="1"/>
  <c r="S524" i="21"/>
  <c r="R524" i="21"/>
  <c r="Q524" i="21"/>
  <c r="P524" i="21"/>
  <c r="O524" i="21"/>
  <c r="N524" i="21"/>
  <c r="M524" i="21"/>
  <c r="L524" i="21"/>
  <c r="AA524" i="21" s="1"/>
  <c r="S523" i="21"/>
  <c r="R523" i="21"/>
  <c r="Q523" i="21"/>
  <c r="P523" i="21"/>
  <c r="O523" i="21"/>
  <c r="N523" i="21"/>
  <c r="M523" i="21"/>
  <c r="L523" i="21"/>
  <c r="AA523" i="21" s="1"/>
  <c r="S522" i="21"/>
  <c r="R522" i="21"/>
  <c r="Q522" i="21"/>
  <c r="P522" i="21"/>
  <c r="O522" i="21"/>
  <c r="N522" i="21"/>
  <c r="M522" i="21"/>
  <c r="L522" i="21"/>
  <c r="AA522" i="21" s="1"/>
  <c r="S521" i="21"/>
  <c r="R521" i="21"/>
  <c r="Q521" i="21"/>
  <c r="P521" i="21"/>
  <c r="O521" i="21"/>
  <c r="N521" i="21"/>
  <c r="M521" i="21"/>
  <c r="L521" i="21"/>
  <c r="AA521" i="21" s="1"/>
  <c r="S520" i="21"/>
  <c r="R520" i="21"/>
  <c r="Q520" i="21"/>
  <c r="P520" i="21"/>
  <c r="O520" i="21"/>
  <c r="N520" i="21"/>
  <c r="M520" i="21"/>
  <c r="L520" i="21"/>
  <c r="AA520" i="21" s="1"/>
  <c r="S519" i="21"/>
  <c r="R519" i="21"/>
  <c r="Q519" i="21"/>
  <c r="P519" i="21"/>
  <c r="O519" i="21"/>
  <c r="N519" i="21"/>
  <c r="M519" i="21"/>
  <c r="L519" i="21"/>
  <c r="Y519" i="21" s="1"/>
  <c r="S518" i="21"/>
  <c r="R518" i="21"/>
  <c r="Q518" i="21"/>
  <c r="P518" i="21"/>
  <c r="O518" i="21"/>
  <c r="N518" i="21"/>
  <c r="M518" i="21"/>
  <c r="L518" i="21"/>
  <c r="S517" i="21"/>
  <c r="R517" i="21"/>
  <c r="Q517" i="21"/>
  <c r="P517" i="21"/>
  <c r="O517" i="21"/>
  <c r="N517" i="21"/>
  <c r="M517" i="21"/>
  <c r="L517" i="21"/>
  <c r="AA517" i="21" s="1"/>
  <c r="S516" i="21"/>
  <c r="R516" i="21"/>
  <c r="Q516" i="21"/>
  <c r="P516" i="21"/>
  <c r="O516" i="21"/>
  <c r="N516" i="21"/>
  <c r="M516" i="21"/>
  <c r="L516" i="21"/>
  <c r="Y516" i="21" s="1"/>
  <c r="S515" i="21"/>
  <c r="R515" i="21"/>
  <c r="Q515" i="21"/>
  <c r="P515" i="21"/>
  <c r="O515" i="21"/>
  <c r="N515" i="21"/>
  <c r="M515" i="21"/>
  <c r="L515" i="21"/>
  <c r="S514" i="21"/>
  <c r="R514" i="21"/>
  <c r="Q514" i="21"/>
  <c r="P514" i="21"/>
  <c r="O514" i="21"/>
  <c r="N514" i="21"/>
  <c r="M514" i="21"/>
  <c r="L514" i="21"/>
  <c r="AA514" i="21" s="1"/>
  <c r="S513" i="21"/>
  <c r="R513" i="21"/>
  <c r="Q513" i="21"/>
  <c r="P513" i="21"/>
  <c r="O513" i="21"/>
  <c r="N513" i="21"/>
  <c r="M513" i="21"/>
  <c r="L513" i="21"/>
  <c r="AA513" i="21" s="1"/>
  <c r="S512" i="21"/>
  <c r="R512" i="21"/>
  <c r="Q512" i="21"/>
  <c r="P512" i="21"/>
  <c r="O512" i="21"/>
  <c r="N512" i="21"/>
  <c r="M512" i="21"/>
  <c r="L512" i="21"/>
  <c r="AA512" i="21" s="1"/>
  <c r="S511" i="21"/>
  <c r="R511" i="21"/>
  <c r="Q511" i="21"/>
  <c r="P511" i="21"/>
  <c r="O511" i="21"/>
  <c r="N511" i="21"/>
  <c r="M511" i="21"/>
  <c r="L511" i="21"/>
  <c r="S510" i="21"/>
  <c r="R510" i="21"/>
  <c r="Q510" i="21"/>
  <c r="P510" i="21"/>
  <c r="O510" i="21"/>
  <c r="N510" i="21"/>
  <c r="M510" i="21"/>
  <c r="L510" i="21"/>
  <c r="S509" i="21"/>
  <c r="R509" i="21"/>
  <c r="Q509" i="21"/>
  <c r="P509" i="21"/>
  <c r="O509" i="21"/>
  <c r="N509" i="21"/>
  <c r="M509" i="21"/>
  <c r="L509" i="21"/>
  <c r="AA509" i="21" s="1"/>
  <c r="S508" i="21"/>
  <c r="R508" i="21"/>
  <c r="Q508" i="21"/>
  <c r="P508" i="21"/>
  <c r="O508" i="21"/>
  <c r="N508" i="21"/>
  <c r="M508" i="21"/>
  <c r="L508" i="21"/>
  <c r="AA508" i="21" s="1"/>
  <c r="S507" i="21"/>
  <c r="R507" i="21"/>
  <c r="Q507" i="21"/>
  <c r="P507" i="21"/>
  <c r="O507" i="21"/>
  <c r="N507" i="21"/>
  <c r="M507" i="21"/>
  <c r="L507" i="21"/>
  <c r="S506" i="21"/>
  <c r="R506" i="21"/>
  <c r="Q506" i="21"/>
  <c r="P506" i="21"/>
  <c r="O506" i="21"/>
  <c r="N506" i="21"/>
  <c r="M506" i="21"/>
  <c r="L506" i="21"/>
  <c r="AA506" i="21" s="1"/>
  <c r="S505" i="21"/>
  <c r="R505" i="21"/>
  <c r="Q505" i="21"/>
  <c r="P505" i="21"/>
  <c r="O505" i="21"/>
  <c r="N505" i="21"/>
  <c r="M505" i="21"/>
  <c r="L505" i="21"/>
  <c r="AA505" i="21" s="1"/>
  <c r="S504" i="21"/>
  <c r="R504" i="21"/>
  <c r="Q504" i="21"/>
  <c r="P504" i="21"/>
  <c r="O504" i="21"/>
  <c r="N504" i="21"/>
  <c r="M504" i="21"/>
  <c r="L504" i="21"/>
  <c r="AA504" i="21" s="1"/>
  <c r="S503" i="21"/>
  <c r="R503" i="21"/>
  <c r="Q503" i="21"/>
  <c r="P503" i="21"/>
  <c r="O503" i="21"/>
  <c r="N503" i="21"/>
  <c r="M503" i="21"/>
  <c r="L503" i="21"/>
  <c r="Y503" i="21" s="1"/>
  <c r="S502" i="21"/>
  <c r="R502" i="21"/>
  <c r="Q502" i="21"/>
  <c r="P502" i="21"/>
  <c r="O502" i="21"/>
  <c r="N502" i="21"/>
  <c r="M502" i="21"/>
  <c r="L502" i="21"/>
  <c r="S501" i="21"/>
  <c r="R501" i="21"/>
  <c r="Q501" i="21"/>
  <c r="P501" i="21"/>
  <c r="O501" i="21"/>
  <c r="N501" i="21"/>
  <c r="M501" i="21"/>
  <c r="L501" i="21"/>
  <c r="AA501" i="21" s="1"/>
  <c r="S500" i="21"/>
  <c r="R500" i="21"/>
  <c r="Q500" i="21"/>
  <c r="P500" i="21"/>
  <c r="O500" i="21"/>
  <c r="N500" i="21"/>
  <c r="M500" i="21"/>
  <c r="L500" i="21"/>
  <c r="AA500" i="21" s="1"/>
  <c r="S499" i="21"/>
  <c r="R499" i="21"/>
  <c r="Q499" i="21"/>
  <c r="P499" i="21"/>
  <c r="O499" i="21"/>
  <c r="N499" i="21"/>
  <c r="M499" i="21"/>
  <c r="L499" i="21"/>
  <c r="S498" i="21"/>
  <c r="R498" i="21"/>
  <c r="Q498" i="21"/>
  <c r="P498" i="21"/>
  <c r="O498" i="21"/>
  <c r="N498" i="21"/>
  <c r="M498" i="21"/>
  <c r="L498" i="21"/>
  <c r="AA498" i="21" s="1"/>
  <c r="S497" i="21"/>
  <c r="R497" i="21"/>
  <c r="Q497" i="21"/>
  <c r="P497" i="21"/>
  <c r="O497" i="21"/>
  <c r="N497" i="21"/>
  <c r="M497" i="21"/>
  <c r="L497" i="21"/>
  <c r="AA497" i="21" s="1"/>
  <c r="S496" i="21"/>
  <c r="R496" i="21"/>
  <c r="Q496" i="21"/>
  <c r="P496" i="21"/>
  <c r="O496" i="21"/>
  <c r="N496" i="21"/>
  <c r="M496" i="21"/>
  <c r="L496" i="21"/>
  <c r="AA496" i="21" s="1"/>
  <c r="S495" i="21"/>
  <c r="R495" i="21"/>
  <c r="Q495" i="21"/>
  <c r="P495" i="21"/>
  <c r="O495" i="21"/>
  <c r="N495" i="21"/>
  <c r="M495" i="21"/>
  <c r="L495" i="21"/>
  <c r="S494" i="21"/>
  <c r="R494" i="21"/>
  <c r="Q494" i="21"/>
  <c r="P494" i="21"/>
  <c r="O494" i="21"/>
  <c r="N494" i="21"/>
  <c r="M494" i="21"/>
  <c r="L494" i="21"/>
  <c r="S493" i="21"/>
  <c r="R493" i="21"/>
  <c r="Q493" i="21"/>
  <c r="P493" i="21"/>
  <c r="O493" i="21"/>
  <c r="N493" i="21"/>
  <c r="M493" i="21"/>
  <c r="L493" i="21"/>
  <c r="AA493" i="21" s="1"/>
  <c r="S492" i="21"/>
  <c r="R492" i="21"/>
  <c r="Q492" i="21"/>
  <c r="P492" i="21"/>
  <c r="O492" i="21"/>
  <c r="N492" i="21"/>
  <c r="M492" i="21"/>
  <c r="L492" i="21"/>
  <c r="Y492" i="21" s="1"/>
  <c r="S491" i="21"/>
  <c r="R491" i="21"/>
  <c r="Q491" i="21"/>
  <c r="P491" i="21"/>
  <c r="O491" i="21"/>
  <c r="N491" i="21"/>
  <c r="M491" i="21"/>
  <c r="L491" i="21"/>
  <c r="Y491" i="21" s="1"/>
  <c r="S490" i="21"/>
  <c r="R490" i="21"/>
  <c r="Q490" i="21"/>
  <c r="P490" i="21"/>
  <c r="O490" i="21"/>
  <c r="N490" i="21"/>
  <c r="M490" i="21"/>
  <c r="L490" i="21"/>
  <c r="Y490" i="21" s="1"/>
  <c r="S489" i="21"/>
  <c r="R489" i="21"/>
  <c r="Q489" i="21"/>
  <c r="P489" i="21"/>
  <c r="O489" i="21"/>
  <c r="N489" i="21"/>
  <c r="M489" i="21"/>
  <c r="L489" i="21"/>
  <c r="AA489" i="21" s="1"/>
  <c r="S488" i="21"/>
  <c r="R488" i="21"/>
  <c r="Q488" i="21"/>
  <c r="P488" i="21"/>
  <c r="O488" i="21"/>
  <c r="N488" i="21"/>
  <c r="M488" i="21"/>
  <c r="L488" i="21"/>
  <c r="AA488" i="21" s="1"/>
  <c r="S487" i="21"/>
  <c r="R487" i="21"/>
  <c r="Q487" i="21"/>
  <c r="P487" i="21"/>
  <c r="O487" i="21"/>
  <c r="N487" i="21"/>
  <c r="M487" i="21"/>
  <c r="L487" i="21"/>
  <c r="Y487" i="21" s="1"/>
  <c r="S486" i="21"/>
  <c r="R486" i="21"/>
  <c r="Q486" i="21"/>
  <c r="P486" i="21"/>
  <c r="O486" i="21"/>
  <c r="N486" i="21"/>
  <c r="M486" i="21"/>
  <c r="L486" i="21"/>
  <c r="S485" i="21"/>
  <c r="R485" i="21"/>
  <c r="Q485" i="21"/>
  <c r="P485" i="21"/>
  <c r="O485" i="21"/>
  <c r="N485" i="21"/>
  <c r="M485" i="21"/>
  <c r="L485" i="21"/>
  <c r="AA485" i="21" s="1"/>
  <c r="S484" i="21"/>
  <c r="R484" i="21"/>
  <c r="Q484" i="21"/>
  <c r="P484" i="21"/>
  <c r="O484" i="21"/>
  <c r="N484" i="21"/>
  <c r="M484" i="21"/>
  <c r="L484" i="21"/>
  <c r="AA484" i="21" s="1"/>
  <c r="S483" i="21"/>
  <c r="R483" i="21"/>
  <c r="Q483" i="21"/>
  <c r="P483" i="21"/>
  <c r="O483" i="21"/>
  <c r="N483" i="21"/>
  <c r="M483" i="21"/>
  <c r="L483" i="21"/>
  <c r="AA483" i="21" s="1"/>
  <c r="S482" i="21"/>
  <c r="R482" i="21"/>
  <c r="Q482" i="21"/>
  <c r="P482" i="21"/>
  <c r="O482" i="21"/>
  <c r="N482" i="21"/>
  <c r="M482" i="21"/>
  <c r="L482" i="21"/>
  <c r="AA482" i="21" s="1"/>
  <c r="S481" i="21"/>
  <c r="R481" i="21"/>
  <c r="Q481" i="21"/>
  <c r="P481" i="21"/>
  <c r="O481" i="21"/>
  <c r="N481" i="21"/>
  <c r="M481" i="21"/>
  <c r="L481" i="21"/>
  <c r="AA481" i="21" s="1"/>
  <c r="S480" i="21"/>
  <c r="R480" i="21"/>
  <c r="Q480" i="21"/>
  <c r="P480" i="21"/>
  <c r="O480" i="21"/>
  <c r="N480" i="21"/>
  <c r="M480" i="21"/>
  <c r="L480" i="21"/>
  <c r="AA480" i="21" s="1"/>
  <c r="S479" i="21"/>
  <c r="R479" i="21"/>
  <c r="Q479" i="21"/>
  <c r="P479" i="21"/>
  <c r="O479" i="21"/>
  <c r="N479" i="21"/>
  <c r="M479" i="21"/>
  <c r="L479" i="21"/>
  <c r="S478" i="21"/>
  <c r="R478" i="21"/>
  <c r="Q478" i="21"/>
  <c r="P478" i="21"/>
  <c r="O478" i="21"/>
  <c r="N478" i="21"/>
  <c r="M478" i="21"/>
  <c r="L478" i="21"/>
  <c r="S477" i="21"/>
  <c r="R477" i="21"/>
  <c r="Q477" i="21"/>
  <c r="P477" i="21"/>
  <c r="O477" i="21"/>
  <c r="N477" i="21"/>
  <c r="M477" i="21"/>
  <c r="L477" i="21"/>
  <c r="AA477" i="21" s="1"/>
  <c r="S476" i="21"/>
  <c r="R476" i="21"/>
  <c r="Q476" i="21"/>
  <c r="P476" i="21"/>
  <c r="O476" i="21"/>
  <c r="N476" i="21"/>
  <c r="M476" i="21"/>
  <c r="L476" i="21"/>
  <c r="AA476" i="21" s="1"/>
  <c r="S475" i="21"/>
  <c r="R475" i="21"/>
  <c r="Q475" i="21"/>
  <c r="P475" i="21"/>
  <c r="O475" i="21"/>
  <c r="N475" i="21"/>
  <c r="M475" i="21"/>
  <c r="L475" i="21"/>
  <c r="S474" i="21"/>
  <c r="R474" i="21"/>
  <c r="Q474" i="21"/>
  <c r="P474" i="21"/>
  <c r="O474" i="21"/>
  <c r="N474" i="21"/>
  <c r="M474" i="21"/>
  <c r="L474" i="21"/>
  <c r="AA474" i="21" s="1"/>
  <c r="S473" i="21"/>
  <c r="R473" i="21"/>
  <c r="Q473" i="21"/>
  <c r="P473" i="21"/>
  <c r="O473" i="21"/>
  <c r="N473" i="21"/>
  <c r="M473" i="21"/>
  <c r="L473" i="21"/>
  <c r="AA473" i="21" s="1"/>
  <c r="S472" i="21"/>
  <c r="R472" i="21"/>
  <c r="Q472" i="21"/>
  <c r="P472" i="21"/>
  <c r="O472" i="21"/>
  <c r="N472" i="21"/>
  <c r="M472" i="21"/>
  <c r="L472" i="21"/>
  <c r="AA472" i="21" s="1"/>
  <c r="S471" i="21"/>
  <c r="R471" i="21"/>
  <c r="Q471" i="21"/>
  <c r="P471" i="21"/>
  <c r="O471" i="21"/>
  <c r="N471" i="21"/>
  <c r="M471" i="21"/>
  <c r="L471" i="21"/>
  <c r="Y471" i="21" s="1"/>
  <c r="S470" i="21"/>
  <c r="R470" i="21"/>
  <c r="Q470" i="21"/>
  <c r="P470" i="21"/>
  <c r="O470" i="21"/>
  <c r="N470" i="21"/>
  <c r="M470" i="21"/>
  <c r="L470" i="21"/>
  <c r="S469" i="21"/>
  <c r="R469" i="21"/>
  <c r="Q469" i="21"/>
  <c r="P469" i="21"/>
  <c r="O469" i="21"/>
  <c r="N469" i="21"/>
  <c r="M469" i="21"/>
  <c r="L469" i="21"/>
  <c r="AA469" i="21" s="1"/>
  <c r="S468" i="21"/>
  <c r="R468" i="21"/>
  <c r="Q468" i="21"/>
  <c r="P468" i="21"/>
  <c r="O468" i="21"/>
  <c r="N468" i="21"/>
  <c r="M468" i="21"/>
  <c r="L468" i="21"/>
  <c r="Y468" i="21" s="1"/>
  <c r="S467" i="21"/>
  <c r="R467" i="21"/>
  <c r="Q467" i="21"/>
  <c r="P467" i="21"/>
  <c r="O467" i="21"/>
  <c r="N467" i="21"/>
  <c r="M467" i="21"/>
  <c r="L467" i="21"/>
  <c r="S466" i="21"/>
  <c r="R466" i="21"/>
  <c r="Q466" i="21"/>
  <c r="P466" i="21"/>
  <c r="O466" i="21"/>
  <c r="N466" i="21"/>
  <c r="M466" i="21"/>
  <c r="L466" i="21"/>
  <c r="AA466" i="21" s="1"/>
  <c r="S465" i="21"/>
  <c r="R465" i="21"/>
  <c r="Q465" i="21"/>
  <c r="P465" i="21"/>
  <c r="O465" i="21"/>
  <c r="N465" i="21"/>
  <c r="M465" i="21"/>
  <c r="L465" i="21"/>
  <c r="AA465" i="21" s="1"/>
  <c r="S464" i="21"/>
  <c r="R464" i="21"/>
  <c r="Q464" i="21"/>
  <c r="P464" i="21"/>
  <c r="O464" i="21"/>
  <c r="N464" i="21"/>
  <c r="M464" i="21"/>
  <c r="L464" i="21"/>
  <c r="AA464" i="21" s="1"/>
  <c r="S463" i="21"/>
  <c r="R463" i="21"/>
  <c r="Q463" i="21"/>
  <c r="P463" i="21"/>
  <c r="O463" i="21"/>
  <c r="N463" i="21"/>
  <c r="M463" i="21"/>
  <c r="L463" i="21"/>
  <c r="S462" i="21"/>
  <c r="R462" i="21"/>
  <c r="Q462" i="21"/>
  <c r="P462" i="21"/>
  <c r="O462" i="21"/>
  <c r="N462" i="21"/>
  <c r="M462" i="21"/>
  <c r="L462" i="21"/>
  <c r="S461" i="21"/>
  <c r="R461" i="21"/>
  <c r="Q461" i="21"/>
  <c r="P461" i="21"/>
  <c r="O461" i="21"/>
  <c r="N461" i="21"/>
  <c r="M461" i="21"/>
  <c r="L461" i="21"/>
  <c r="AA461" i="21" s="1"/>
  <c r="S460" i="21"/>
  <c r="R460" i="21"/>
  <c r="Q460" i="21"/>
  <c r="P460" i="21"/>
  <c r="O460" i="21"/>
  <c r="N460" i="21"/>
  <c r="M460" i="21"/>
  <c r="L460" i="21"/>
  <c r="AA460" i="21" s="1"/>
  <c r="S459" i="21"/>
  <c r="R459" i="21"/>
  <c r="Q459" i="21"/>
  <c r="P459" i="21"/>
  <c r="O459" i="21"/>
  <c r="N459" i="21"/>
  <c r="M459" i="21"/>
  <c r="L459" i="21"/>
  <c r="AA459" i="21" s="1"/>
  <c r="S458" i="21"/>
  <c r="R458" i="21"/>
  <c r="Q458" i="21"/>
  <c r="P458" i="21"/>
  <c r="O458" i="21"/>
  <c r="N458" i="21"/>
  <c r="M458" i="21"/>
  <c r="L458" i="21"/>
  <c r="AA458" i="21" s="1"/>
  <c r="S457" i="21"/>
  <c r="R457" i="21"/>
  <c r="Q457" i="21"/>
  <c r="P457" i="21"/>
  <c r="O457" i="21"/>
  <c r="N457" i="21"/>
  <c r="M457" i="21"/>
  <c r="L457" i="21"/>
  <c r="AA457" i="21" s="1"/>
  <c r="S456" i="21"/>
  <c r="R456" i="21"/>
  <c r="Q456" i="21"/>
  <c r="P456" i="21"/>
  <c r="O456" i="21"/>
  <c r="N456" i="21"/>
  <c r="M456" i="21"/>
  <c r="L456" i="21"/>
  <c r="AA456" i="21" s="1"/>
  <c r="S455" i="21"/>
  <c r="R455" i="21"/>
  <c r="Q455" i="21"/>
  <c r="P455" i="21"/>
  <c r="O455" i="21"/>
  <c r="N455" i="21"/>
  <c r="M455" i="21"/>
  <c r="L455" i="21"/>
  <c r="Y455" i="21" s="1"/>
  <c r="S454" i="21"/>
  <c r="R454" i="21"/>
  <c r="Q454" i="21"/>
  <c r="P454" i="21"/>
  <c r="O454" i="21"/>
  <c r="N454" i="21"/>
  <c r="M454" i="21"/>
  <c r="L454" i="21"/>
  <c r="S453" i="21"/>
  <c r="R453" i="21"/>
  <c r="Q453" i="21"/>
  <c r="P453" i="21"/>
  <c r="O453" i="21"/>
  <c r="N453" i="21"/>
  <c r="M453" i="21"/>
  <c r="L453" i="21"/>
  <c r="AA453" i="21" s="1"/>
  <c r="S452" i="21"/>
  <c r="R452" i="21"/>
  <c r="Q452" i="21"/>
  <c r="P452" i="21"/>
  <c r="O452" i="21"/>
  <c r="N452" i="21"/>
  <c r="M452" i="21"/>
  <c r="L452" i="21"/>
  <c r="AA452" i="21" s="1"/>
  <c r="S451" i="21"/>
  <c r="R451" i="21"/>
  <c r="Q451" i="21"/>
  <c r="P451" i="21"/>
  <c r="O451" i="21"/>
  <c r="N451" i="21"/>
  <c r="M451" i="21"/>
  <c r="L451" i="21"/>
  <c r="S450" i="21"/>
  <c r="R450" i="21"/>
  <c r="Q450" i="21"/>
  <c r="P450" i="21"/>
  <c r="O450" i="21"/>
  <c r="N450" i="21"/>
  <c r="M450" i="21"/>
  <c r="L450" i="21"/>
  <c r="AA450" i="21" s="1"/>
  <c r="S449" i="21"/>
  <c r="R449" i="21"/>
  <c r="Q449" i="21"/>
  <c r="P449" i="21"/>
  <c r="O449" i="21"/>
  <c r="N449" i="21"/>
  <c r="M449" i="21"/>
  <c r="L449" i="21"/>
  <c r="AA449" i="21" s="1"/>
  <c r="S448" i="21"/>
  <c r="R448" i="21"/>
  <c r="Q448" i="21"/>
  <c r="P448" i="21"/>
  <c r="O448" i="21"/>
  <c r="N448" i="21"/>
  <c r="M448" i="21"/>
  <c r="L448" i="21"/>
  <c r="AA448" i="21" s="1"/>
  <c r="S447" i="21"/>
  <c r="R447" i="21"/>
  <c r="Q447" i="21"/>
  <c r="P447" i="21"/>
  <c r="O447" i="21"/>
  <c r="N447" i="21"/>
  <c r="M447" i="21"/>
  <c r="L447" i="21"/>
  <c r="S446" i="21"/>
  <c r="R446" i="21"/>
  <c r="Q446" i="21"/>
  <c r="P446" i="21"/>
  <c r="O446" i="21"/>
  <c r="N446" i="21"/>
  <c r="M446" i="21"/>
  <c r="L446" i="21"/>
  <c r="S445" i="21"/>
  <c r="R445" i="21"/>
  <c r="Q445" i="21"/>
  <c r="P445" i="21"/>
  <c r="O445" i="21"/>
  <c r="N445" i="21"/>
  <c r="M445" i="21"/>
  <c r="L445" i="21"/>
  <c r="AA445" i="21" s="1"/>
  <c r="S444" i="21"/>
  <c r="R444" i="21"/>
  <c r="Q444" i="21"/>
  <c r="P444" i="21"/>
  <c r="O444" i="21"/>
  <c r="N444" i="21"/>
  <c r="M444" i="21"/>
  <c r="L444" i="21"/>
  <c r="Y444" i="21" s="1"/>
  <c r="S443" i="21"/>
  <c r="R443" i="21"/>
  <c r="Q443" i="21"/>
  <c r="P443" i="21"/>
  <c r="O443" i="21"/>
  <c r="N443" i="21"/>
  <c r="M443" i="21"/>
  <c r="L443" i="21"/>
  <c r="AA443" i="21" s="1"/>
  <c r="S442" i="21"/>
  <c r="R442" i="21"/>
  <c r="Q442" i="21"/>
  <c r="P442" i="21"/>
  <c r="O442" i="21"/>
  <c r="N442" i="21"/>
  <c r="M442" i="21"/>
  <c r="L442" i="21"/>
  <c r="AA442" i="21" s="1"/>
  <c r="S441" i="21"/>
  <c r="R441" i="21"/>
  <c r="Q441" i="21"/>
  <c r="P441" i="21"/>
  <c r="O441" i="21"/>
  <c r="N441" i="21"/>
  <c r="M441" i="21"/>
  <c r="L441" i="21"/>
  <c r="AA441" i="21" s="1"/>
  <c r="S440" i="21"/>
  <c r="R440" i="21"/>
  <c r="Q440" i="21"/>
  <c r="P440" i="21"/>
  <c r="O440" i="21"/>
  <c r="N440" i="21"/>
  <c r="M440" i="21"/>
  <c r="L440" i="21"/>
  <c r="AA440" i="21" s="1"/>
  <c r="S439" i="21"/>
  <c r="R439" i="21"/>
  <c r="Q439" i="21"/>
  <c r="P439" i="21"/>
  <c r="O439" i="21"/>
  <c r="N439" i="21"/>
  <c r="M439" i="21"/>
  <c r="L439" i="21"/>
  <c r="Y439" i="21" s="1"/>
  <c r="S438" i="21"/>
  <c r="R438" i="21"/>
  <c r="Q438" i="21"/>
  <c r="P438" i="21"/>
  <c r="O438" i="21"/>
  <c r="N438" i="21"/>
  <c r="M438" i="21"/>
  <c r="L438" i="21"/>
  <c r="S437" i="21"/>
  <c r="R437" i="21"/>
  <c r="Q437" i="21"/>
  <c r="P437" i="21"/>
  <c r="O437" i="21"/>
  <c r="N437" i="21"/>
  <c r="M437" i="21"/>
  <c r="L437" i="21"/>
  <c r="AA437" i="21" s="1"/>
  <c r="S436" i="21"/>
  <c r="R436" i="21"/>
  <c r="Q436" i="21"/>
  <c r="P436" i="21"/>
  <c r="O436" i="21"/>
  <c r="N436" i="21"/>
  <c r="M436" i="21"/>
  <c r="L436" i="21"/>
  <c r="AA436" i="21" s="1"/>
  <c r="S435" i="21"/>
  <c r="R435" i="21"/>
  <c r="Q435" i="21"/>
  <c r="P435" i="21"/>
  <c r="O435" i="21"/>
  <c r="N435" i="21"/>
  <c r="M435" i="21"/>
  <c r="L435" i="21"/>
  <c r="S434" i="21"/>
  <c r="R434" i="21"/>
  <c r="Q434" i="21"/>
  <c r="P434" i="21"/>
  <c r="O434" i="21"/>
  <c r="N434" i="21"/>
  <c r="M434" i="21"/>
  <c r="L434" i="21"/>
  <c r="AA434" i="21" s="1"/>
  <c r="S433" i="21"/>
  <c r="R433" i="21"/>
  <c r="Q433" i="21"/>
  <c r="P433" i="21"/>
  <c r="O433" i="21"/>
  <c r="N433" i="21"/>
  <c r="M433" i="21"/>
  <c r="L433" i="21"/>
  <c r="AA433" i="21" s="1"/>
  <c r="S432" i="21"/>
  <c r="R432" i="21"/>
  <c r="Q432" i="21"/>
  <c r="P432" i="21"/>
  <c r="O432" i="21"/>
  <c r="N432" i="21"/>
  <c r="M432" i="21"/>
  <c r="L432" i="21"/>
  <c r="AA432" i="21" s="1"/>
  <c r="S431" i="21"/>
  <c r="R431" i="21"/>
  <c r="Q431" i="21"/>
  <c r="P431" i="21"/>
  <c r="O431" i="21"/>
  <c r="N431" i="21"/>
  <c r="M431" i="21"/>
  <c r="L431" i="21"/>
  <c r="S430" i="21"/>
  <c r="R430" i="21"/>
  <c r="Q430" i="21"/>
  <c r="P430" i="21"/>
  <c r="O430" i="21"/>
  <c r="N430" i="21"/>
  <c r="M430" i="21"/>
  <c r="L430" i="21"/>
  <c r="S429" i="21"/>
  <c r="R429" i="21"/>
  <c r="Q429" i="21"/>
  <c r="P429" i="21"/>
  <c r="O429" i="21"/>
  <c r="N429" i="21"/>
  <c r="M429" i="21"/>
  <c r="L429" i="21"/>
  <c r="AA429" i="21" s="1"/>
  <c r="S428" i="21"/>
  <c r="R428" i="21"/>
  <c r="Q428" i="21"/>
  <c r="P428" i="21"/>
  <c r="O428" i="21"/>
  <c r="N428" i="21"/>
  <c r="M428" i="21"/>
  <c r="L428" i="21"/>
  <c r="Y428" i="21" s="1"/>
  <c r="S427" i="21"/>
  <c r="R427" i="21"/>
  <c r="Q427" i="21"/>
  <c r="P427" i="21"/>
  <c r="O427" i="21"/>
  <c r="N427" i="21"/>
  <c r="M427" i="21"/>
  <c r="L427" i="21"/>
  <c r="Y427" i="21" s="1"/>
  <c r="S426" i="21"/>
  <c r="R426" i="21"/>
  <c r="Q426" i="21"/>
  <c r="P426" i="21"/>
  <c r="O426" i="21"/>
  <c r="N426" i="21"/>
  <c r="M426" i="21"/>
  <c r="L426" i="21"/>
  <c r="Y426" i="21" s="1"/>
  <c r="S425" i="21"/>
  <c r="R425" i="21"/>
  <c r="Q425" i="21"/>
  <c r="P425" i="21"/>
  <c r="O425" i="21"/>
  <c r="N425" i="21"/>
  <c r="M425" i="21"/>
  <c r="L425" i="21"/>
  <c r="AA425" i="21" s="1"/>
  <c r="S424" i="21"/>
  <c r="R424" i="21"/>
  <c r="Q424" i="21"/>
  <c r="P424" i="21"/>
  <c r="O424" i="21"/>
  <c r="N424" i="21"/>
  <c r="M424" i="21"/>
  <c r="L424" i="21"/>
  <c r="AA424" i="21" s="1"/>
  <c r="S423" i="21"/>
  <c r="R423" i="21"/>
  <c r="Q423" i="21"/>
  <c r="P423" i="21"/>
  <c r="O423" i="21"/>
  <c r="N423" i="21"/>
  <c r="M423" i="21"/>
  <c r="L423" i="21"/>
  <c r="Y423" i="21" s="1"/>
  <c r="S422" i="21"/>
  <c r="R422" i="21"/>
  <c r="Q422" i="21"/>
  <c r="P422" i="21"/>
  <c r="O422" i="21"/>
  <c r="N422" i="21"/>
  <c r="M422" i="21"/>
  <c r="L422" i="21"/>
  <c r="S421" i="21"/>
  <c r="R421" i="21"/>
  <c r="Q421" i="21"/>
  <c r="P421" i="21"/>
  <c r="O421" i="21"/>
  <c r="N421" i="21"/>
  <c r="M421" i="21"/>
  <c r="L421" i="21"/>
  <c r="AA421" i="21" s="1"/>
  <c r="S420" i="21"/>
  <c r="R420" i="21"/>
  <c r="Q420" i="21"/>
  <c r="P420" i="21"/>
  <c r="O420" i="21"/>
  <c r="N420" i="21"/>
  <c r="M420" i="21"/>
  <c r="L420" i="21"/>
  <c r="AA420" i="21" s="1"/>
  <c r="S419" i="21"/>
  <c r="R419" i="21"/>
  <c r="Q419" i="21"/>
  <c r="P419" i="21"/>
  <c r="O419" i="21"/>
  <c r="N419" i="21"/>
  <c r="M419" i="21"/>
  <c r="L419" i="21"/>
  <c r="AA419" i="21" s="1"/>
  <c r="S418" i="21"/>
  <c r="R418" i="21"/>
  <c r="Q418" i="21"/>
  <c r="P418" i="21"/>
  <c r="O418" i="21"/>
  <c r="N418" i="21"/>
  <c r="M418" i="21"/>
  <c r="L418" i="21"/>
  <c r="AA418" i="21" s="1"/>
  <c r="S417" i="21"/>
  <c r="R417" i="21"/>
  <c r="Q417" i="21"/>
  <c r="P417" i="21"/>
  <c r="O417" i="21"/>
  <c r="N417" i="21"/>
  <c r="M417" i="21"/>
  <c r="L417" i="21"/>
  <c r="AA417" i="21" s="1"/>
  <c r="S416" i="21"/>
  <c r="R416" i="21"/>
  <c r="Q416" i="21"/>
  <c r="P416" i="21"/>
  <c r="O416" i="21"/>
  <c r="N416" i="21"/>
  <c r="M416" i="21"/>
  <c r="L416" i="21"/>
  <c r="AA416" i="21" s="1"/>
  <c r="S415" i="21"/>
  <c r="R415" i="21"/>
  <c r="Q415" i="21"/>
  <c r="P415" i="21"/>
  <c r="O415" i="21"/>
  <c r="N415" i="21"/>
  <c r="M415" i="21"/>
  <c r="L415" i="21"/>
  <c r="S414" i="21"/>
  <c r="R414" i="21"/>
  <c r="Q414" i="21"/>
  <c r="P414" i="21"/>
  <c r="O414" i="21"/>
  <c r="N414" i="21"/>
  <c r="M414" i="21"/>
  <c r="L414" i="21"/>
  <c r="S413" i="21"/>
  <c r="R413" i="21"/>
  <c r="Q413" i="21"/>
  <c r="P413" i="21"/>
  <c r="O413" i="21"/>
  <c r="N413" i="21"/>
  <c r="M413" i="21"/>
  <c r="L413" i="21"/>
  <c r="AA413" i="21" s="1"/>
  <c r="S412" i="21"/>
  <c r="R412" i="21"/>
  <c r="Q412" i="21"/>
  <c r="P412" i="21"/>
  <c r="O412" i="21"/>
  <c r="N412" i="21"/>
  <c r="M412" i="21"/>
  <c r="L412" i="21"/>
  <c r="AA412" i="21" s="1"/>
  <c r="S411" i="21"/>
  <c r="R411" i="21"/>
  <c r="Q411" i="21"/>
  <c r="P411" i="21"/>
  <c r="O411" i="21"/>
  <c r="N411" i="21"/>
  <c r="M411" i="21"/>
  <c r="L411" i="21"/>
  <c r="S410" i="21"/>
  <c r="R410" i="21"/>
  <c r="Q410" i="21"/>
  <c r="P410" i="21"/>
  <c r="O410" i="21"/>
  <c r="N410" i="21"/>
  <c r="M410" i="21"/>
  <c r="L410" i="21"/>
  <c r="AA410" i="21" s="1"/>
  <c r="S409" i="21"/>
  <c r="R409" i="21"/>
  <c r="Q409" i="21"/>
  <c r="P409" i="21"/>
  <c r="O409" i="21"/>
  <c r="N409" i="21"/>
  <c r="M409" i="21"/>
  <c r="L409" i="21"/>
  <c r="AA409" i="21" s="1"/>
  <c r="S408" i="21"/>
  <c r="R408" i="21"/>
  <c r="Q408" i="21"/>
  <c r="P408" i="21"/>
  <c r="O408" i="21"/>
  <c r="N408" i="21"/>
  <c r="M408" i="21"/>
  <c r="L408" i="21"/>
  <c r="AA408" i="21" s="1"/>
  <c r="S407" i="21"/>
  <c r="R407" i="21"/>
  <c r="Q407" i="21"/>
  <c r="P407" i="21"/>
  <c r="O407" i="21"/>
  <c r="N407" i="21"/>
  <c r="M407" i="21"/>
  <c r="L407" i="21"/>
  <c r="Y407" i="21" s="1"/>
  <c r="S406" i="21"/>
  <c r="R406" i="21"/>
  <c r="Q406" i="21"/>
  <c r="P406" i="21"/>
  <c r="O406" i="21"/>
  <c r="N406" i="21"/>
  <c r="M406" i="21"/>
  <c r="L406" i="21"/>
  <c r="S405" i="21"/>
  <c r="R405" i="21"/>
  <c r="Q405" i="21"/>
  <c r="P405" i="21"/>
  <c r="O405" i="21"/>
  <c r="N405" i="21"/>
  <c r="M405" i="21"/>
  <c r="L405" i="21"/>
  <c r="AA405" i="21" s="1"/>
  <c r="S404" i="21"/>
  <c r="R404" i="21"/>
  <c r="Q404" i="21"/>
  <c r="P404" i="21"/>
  <c r="O404" i="21"/>
  <c r="N404" i="21"/>
  <c r="M404" i="21"/>
  <c r="L404" i="21"/>
  <c r="Y404" i="21" s="1"/>
  <c r="S403" i="21"/>
  <c r="R403" i="21"/>
  <c r="Q403" i="21"/>
  <c r="P403" i="21"/>
  <c r="O403" i="21"/>
  <c r="N403" i="21"/>
  <c r="M403" i="21"/>
  <c r="L403" i="21"/>
  <c r="AA403" i="21" s="1"/>
  <c r="S402" i="21"/>
  <c r="R402" i="21"/>
  <c r="Q402" i="21"/>
  <c r="P402" i="21"/>
  <c r="O402" i="21"/>
  <c r="N402" i="21"/>
  <c r="M402" i="21"/>
  <c r="L402" i="21"/>
  <c r="AA402" i="21" s="1"/>
  <c r="S401" i="21"/>
  <c r="R401" i="21"/>
  <c r="Q401" i="21"/>
  <c r="P401" i="21"/>
  <c r="O401" i="21"/>
  <c r="N401" i="21"/>
  <c r="M401" i="21"/>
  <c r="L401" i="21"/>
  <c r="AA401" i="21" s="1"/>
  <c r="S400" i="21"/>
  <c r="R400" i="21"/>
  <c r="Q400" i="21"/>
  <c r="P400" i="21"/>
  <c r="O400" i="21"/>
  <c r="N400" i="21"/>
  <c r="M400" i="21"/>
  <c r="L400" i="21"/>
  <c r="AA400" i="21" s="1"/>
  <c r="S399" i="21"/>
  <c r="R399" i="21"/>
  <c r="Q399" i="21"/>
  <c r="P399" i="21"/>
  <c r="O399" i="21"/>
  <c r="N399" i="21"/>
  <c r="M399" i="21"/>
  <c r="L399" i="21"/>
  <c r="S398" i="21"/>
  <c r="R398" i="21"/>
  <c r="Q398" i="21"/>
  <c r="P398" i="21"/>
  <c r="O398" i="21"/>
  <c r="N398" i="21"/>
  <c r="M398" i="21"/>
  <c r="L398" i="21"/>
  <c r="S397" i="21"/>
  <c r="R397" i="21"/>
  <c r="Q397" i="21"/>
  <c r="P397" i="21"/>
  <c r="O397" i="21"/>
  <c r="N397" i="21"/>
  <c r="M397" i="21"/>
  <c r="L397" i="21"/>
  <c r="AA397" i="21" s="1"/>
  <c r="S396" i="21"/>
  <c r="R396" i="21"/>
  <c r="Q396" i="21"/>
  <c r="P396" i="21"/>
  <c r="O396" i="21"/>
  <c r="N396" i="21"/>
  <c r="M396" i="21"/>
  <c r="L396" i="21"/>
  <c r="AA396" i="21" s="1"/>
  <c r="S395" i="21"/>
  <c r="R395" i="21"/>
  <c r="Q395" i="21"/>
  <c r="P395" i="21"/>
  <c r="O395" i="21"/>
  <c r="N395" i="21"/>
  <c r="M395" i="21"/>
  <c r="L395" i="21"/>
  <c r="AA395" i="21" s="1"/>
  <c r="S394" i="21"/>
  <c r="R394" i="21"/>
  <c r="Q394" i="21"/>
  <c r="P394" i="21"/>
  <c r="O394" i="21"/>
  <c r="N394" i="21"/>
  <c r="M394" i="21"/>
  <c r="L394" i="21"/>
  <c r="AA394" i="21" s="1"/>
  <c r="S393" i="21"/>
  <c r="R393" i="21"/>
  <c r="Q393" i="21"/>
  <c r="P393" i="21"/>
  <c r="O393" i="21"/>
  <c r="N393" i="21"/>
  <c r="M393" i="21"/>
  <c r="L393" i="21"/>
  <c r="AA393" i="21" s="1"/>
  <c r="S392" i="21"/>
  <c r="R392" i="21"/>
  <c r="Q392" i="21"/>
  <c r="P392" i="21"/>
  <c r="O392" i="21"/>
  <c r="N392" i="21"/>
  <c r="M392" i="21"/>
  <c r="L392" i="21"/>
  <c r="AA392" i="21" s="1"/>
  <c r="S391" i="21"/>
  <c r="R391" i="21"/>
  <c r="Q391" i="21"/>
  <c r="P391" i="21"/>
  <c r="O391" i="21"/>
  <c r="N391" i="21"/>
  <c r="M391" i="21"/>
  <c r="L391" i="21"/>
  <c r="Y391" i="21" s="1"/>
  <c r="S390" i="21"/>
  <c r="R390" i="21"/>
  <c r="Q390" i="21"/>
  <c r="P390" i="21"/>
  <c r="O390" i="21"/>
  <c r="N390" i="21"/>
  <c r="M390" i="21"/>
  <c r="L390" i="21"/>
  <c r="S389" i="21"/>
  <c r="R389" i="21"/>
  <c r="Q389" i="21"/>
  <c r="P389" i="21"/>
  <c r="O389" i="21"/>
  <c r="N389" i="21"/>
  <c r="M389" i="21"/>
  <c r="L389" i="21"/>
  <c r="AA389" i="21" s="1"/>
  <c r="S388" i="21"/>
  <c r="R388" i="21"/>
  <c r="Q388" i="21"/>
  <c r="P388" i="21"/>
  <c r="O388" i="21"/>
  <c r="N388" i="21"/>
  <c r="M388" i="21"/>
  <c r="L388" i="21"/>
  <c r="AA388" i="21" s="1"/>
  <c r="S387" i="21"/>
  <c r="R387" i="21"/>
  <c r="Q387" i="21"/>
  <c r="P387" i="21"/>
  <c r="O387" i="21"/>
  <c r="N387" i="21"/>
  <c r="M387" i="21"/>
  <c r="L387" i="21"/>
  <c r="Y387" i="21" s="1"/>
  <c r="S386" i="21"/>
  <c r="R386" i="21"/>
  <c r="Q386" i="21"/>
  <c r="P386" i="21"/>
  <c r="O386" i="21"/>
  <c r="N386" i="21"/>
  <c r="M386" i="21"/>
  <c r="L386" i="21"/>
  <c r="AA386" i="21" s="1"/>
  <c r="S385" i="21"/>
  <c r="R385" i="21"/>
  <c r="Q385" i="21"/>
  <c r="P385" i="21"/>
  <c r="O385" i="21"/>
  <c r="N385" i="21"/>
  <c r="M385" i="21"/>
  <c r="L385" i="21"/>
  <c r="AA385" i="21" s="1"/>
  <c r="S384" i="21"/>
  <c r="R384" i="21"/>
  <c r="Q384" i="21"/>
  <c r="P384" i="21"/>
  <c r="O384" i="21"/>
  <c r="N384" i="21"/>
  <c r="M384" i="21"/>
  <c r="L384" i="21"/>
  <c r="AA384" i="21" s="1"/>
  <c r="S383" i="21"/>
  <c r="R383" i="21"/>
  <c r="Q383" i="21"/>
  <c r="P383" i="21"/>
  <c r="O383" i="21"/>
  <c r="N383" i="21"/>
  <c r="M383" i="21"/>
  <c r="L383" i="21"/>
  <c r="S382" i="21"/>
  <c r="R382" i="21"/>
  <c r="Q382" i="21"/>
  <c r="P382" i="21"/>
  <c r="O382" i="21"/>
  <c r="N382" i="21"/>
  <c r="M382" i="21"/>
  <c r="L382" i="21"/>
  <c r="S381" i="21"/>
  <c r="R381" i="21"/>
  <c r="Q381" i="21"/>
  <c r="P381" i="21"/>
  <c r="O381" i="21"/>
  <c r="N381" i="21"/>
  <c r="M381" i="21"/>
  <c r="L381" i="21"/>
  <c r="AA381" i="21" s="1"/>
  <c r="S380" i="21"/>
  <c r="R380" i="21"/>
  <c r="Q380" i="21"/>
  <c r="P380" i="21"/>
  <c r="O380" i="21"/>
  <c r="N380" i="21"/>
  <c r="M380" i="21"/>
  <c r="L380" i="21"/>
  <c r="Y380" i="21" s="1"/>
  <c r="S379" i="21"/>
  <c r="R379" i="21"/>
  <c r="Q379" i="21"/>
  <c r="P379" i="21"/>
  <c r="O379" i="21"/>
  <c r="N379" i="21"/>
  <c r="M379" i="21"/>
  <c r="L379" i="21"/>
  <c r="Y379" i="21" s="1"/>
  <c r="S378" i="21"/>
  <c r="R378" i="21"/>
  <c r="Q378" i="21"/>
  <c r="P378" i="21"/>
  <c r="O378" i="21"/>
  <c r="N378" i="21"/>
  <c r="M378" i="21"/>
  <c r="L378" i="21"/>
  <c r="AA378" i="21" s="1"/>
  <c r="S377" i="21"/>
  <c r="R377" i="21"/>
  <c r="Q377" i="21"/>
  <c r="P377" i="21"/>
  <c r="O377" i="21"/>
  <c r="N377" i="21"/>
  <c r="M377" i="21"/>
  <c r="L377" i="21"/>
  <c r="AA377" i="21" s="1"/>
  <c r="S376" i="21"/>
  <c r="R376" i="21"/>
  <c r="Q376" i="21"/>
  <c r="P376" i="21"/>
  <c r="O376" i="21"/>
  <c r="N376" i="21"/>
  <c r="M376" i="21"/>
  <c r="L376" i="21"/>
  <c r="AA376" i="21" s="1"/>
  <c r="S375" i="21"/>
  <c r="R375" i="21"/>
  <c r="Q375" i="21"/>
  <c r="P375" i="21"/>
  <c r="O375" i="21"/>
  <c r="N375" i="21"/>
  <c r="M375" i="21"/>
  <c r="L375" i="21"/>
  <c r="AA375" i="21" s="1"/>
  <c r="S374" i="21"/>
  <c r="R374" i="21"/>
  <c r="Q374" i="21"/>
  <c r="P374" i="21"/>
  <c r="O374" i="21"/>
  <c r="N374" i="21"/>
  <c r="M374" i="21"/>
  <c r="L374" i="21"/>
  <c r="S373" i="21"/>
  <c r="R373" i="21"/>
  <c r="Q373" i="21"/>
  <c r="P373" i="21"/>
  <c r="O373" i="21"/>
  <c r="N373" i="21"/>
  <c r="M373" i="21"/>
  <c r="L373" i="21"/>
  <c r="Y373" i="21" s="1"/>
  <c r="S372" i="21"/>
  <c r="R372" i="21"/>
  <c r="Q372" i="21"/>
  <c r="P372" i="21"/>
  <c r="O372" i="21"/>
  <c r="N372" i="21"/>
  <c r="M372" i="21"/>
  <c r="L372" i="21"/>
  <c r="S371" i="21"/>
  <c r="R371" i="21"/>
  <c r="Q371" i="21"/>
  <c r="P371" i="21"/>
  <c r="O371" i="21"/>
  <c r="N371" i="21"/>
  <c r="M371" i="21"/>
  <c r="L371" i="21"/>
  <c r="S370" i="21"/>
  <c r="R370" i="21"/>
  <c r="Q370" i="21"/>
  <c r="P370" i="21"/>
  <c r="O370" i="21"/>
  <c r="N370" i="21"/>
  <c r="M370" i="21"/>
  <c r="L370" i="21"/>
  <c r="Y370" i="21" s="1"/>
  <c r="S369" i="21"/>
  <c r="R369" i="21"/>
  <c r="Q369" i="21"/>
  <c r="P369" i="21"/>
  <c r="O369" i="21"/>
  <c r="N369" i="21"/>
  <c r="M369" i="21"/>
  <c r="L369" i="21"/>
  <c r="AA369" i="21" s="1"/>
  <c r="S368" i="21"/>
  <c r="R368" i="21"/>
  <c r="Q368" i="21"/>
  <c r="P368" i="21"/>
  <c r="O368" i="21"/>
  <c r="N368" i="21"/>
  <c r="M368" i="21"/>
  <c r="L368" i="21"/>
  <c r="S367" i="21"/>
  <c r="R367" i="21"/>
  <c r="Q367" i="21"/>
  <c r="P367" i="21"/>
  <c r="O367" i="21"/>
  <c r="N367" i="21"/>
  <c r="M367" i="21"/>
  <c r="L367" i="21"/>
  <c r="AA367" i="21" s="1"/>
  <c r="S366" i="21"/>
  <c r="R366" i="21"/>
  <c r="Q366" i="21"/>
  <c r="P366" i="21"/>
  <c r="O366" i="21"/>
  <c r="N366" i="21"/>
  <c r="M366" i="21"/>
  <c r="L366" i="21"/>
  <c r="AA366" i="21" s="1"/>
  <c r="S365" i="21"/>
  <c r="R365" i="21"/>
  <c r="Q365" i="21"/>
  <c r="P365" i="21"/>
  <c r="O365" i="21"/>
  <c r="N365" i="21"/>
  <c r="M365" i="21"/>
  <c r="L365" i="21"/>
  <c r="AA365" i="21" s="1"/>
  <c r="S364" i="21"/>
  <c r="R364" i="21"/>
  <c r="Q364" i="21"/>
  <c r="P364" i="21"/>
  <c r="O364" i="21"/>
  <c r="N364" i="21"/>
  <c r="M364" i="21"/>
  <c r="L364" i="21"/>
  <c r="S363" i="21"/>
  <c r="R363" i="21"/>
  <c r="Q363" i="21"/>
  <c r="P363" i="21"/>
  <c r="O363" i="21"/>
  <c r="N363" i="21"/>
  <c r="M363" i="21"/>
  <c r="L363" i="21"/>
  <c r="S362" i="21"/>
  <c r="R362" i="21"/>
  <c r="Q362" i="21"/>
  <c r="P362" i="21"/>
  <c r="O362" i="21"/>
  <c r="N362" i="21"/>
  <c r="M362" i="21"/>
  <c r="L362" i="21"/>
  <c r="S361" i="21"/>
  <c r="R361" i="21"/>
  <c r="Q361" i="21"/>
  <c r="P361" i="21"/>
  <c r="O361" i="21"/>
  <c r="N361" i="21"/>
  <c r="M361" i="21"/>
  <c r="L361" i="21"/>
  <c r="S360" i="21"/>
  <c r="R360" i="21"/>
  <c r="Q360" i="21"/>
  <c r="P360" i="21"/>
  <c r="O360" i="21"/>
  <c r="N360" i="21"/>
  <c r="M360" i="21"/>
  <c r="L360" i="21"/>
  <c r="AA360" i="21" s="1"/>
  <c r="S359" i="21"/>
  <c r="R359" i="21"/>
  <c r="Q359" i="21"/>
  <c r="P359" i="21"/>
  <c r="O359" i="21"/>
  <c r="N359" i="21"/>
  <c r="M359" i="21"/>
  <c r="L359" i="21"/>
  <c r="Y359" i="21" s="1"/>
  <c r="S358" i="21"/>
  <c r="R358" i="21"/>
  <c r="Q358" i="21"/>
  <c r="P358" i="21"/>
  <c r="O358" i="21"/>
  <c r="N358" i="21"/>
  <c r="M358" i="21"/>
  <c r="L358" i="21"/>
  <c r="AA358" i="21" s="1"/>
  <c r="S357" i="21"/>
  <c r="R357" i="21"/>
  <c r="Q357" i="21"/>
  <c r="P357" i="21"/>
  <c r="O357" i="21"/>
  <c r="N357" i="21"/>
  <c r="M357" i="21"/>
  <c r="L357" i="21"/>
  <c r="Y357" i="21" s="1"/>
  <c r="S356" i="21"/>
  <c r="R356" i="21"/>
  <c r="Q356" i="21"/>
  <c r="P356" i="21"/>
  <c r="O356" i="21"/>
  <c r="N356" i="21"/>
  <c r="M356" i="21"/>
  <c r="L356" i="21"/>
  <c r="Y356" i="21" s="1"/>
  <c r="S355" i="21"/>
  <c r="R355" i="21"/>
  <c r="Q355" i="21"/>
  <c r="P355" i="21"/>
  <c r="O355" i="21"/>
  <c r="N355" i="21"/>
  <c r="M355" i="21"/>
  <c r="L355" i="21"/>
  <c r="AA355" i="21" s="1"/>
  <c r="S354" i="21"/>
  <c r="R354" i="21"/>
  <c r="Q354" i="21"/>
  <c r="P354" i="21"/>
  <c r="O354" i="21"/>
  <c r="N354" i="21"/>
  <c r="M354" i="21"/>
  <c r="L354" i="21"/>
  <c r="AA354" i="21" s="1"/>
  <c r="S353" i="21"/>
  <c r="R353" i="21"/>
  <c r="Q353" i="21"/>
  <c r="P353" i="21"/>
  <c r="O353" i="21"/>
  <c r="N353" i="21"/>
  <c r="M353" i="21"/>
  <c r="L353" i="21"/>
  <c r="AA353" i="21" s="1"/>
  <c r="S352" i="21"/>
  <c r="R352" i="21"/>
  <c r="Q352" i="21"/>
  <c r="P352" i="21"/>
  <c r="O352" i="21"/>
  <c r="N352" i="21"/>
  <c r="M352" i="21"/>
  <c r="L352" i="21"/>
  <c r="Y352" i="21" s="1"/>
  <c r="S351" i="21"/>
  <c r="R351" i="21"/>
  <c r="Q351" i="21"/>
  <c r="P351" i="21"/>
  <c r="O351" i="21"/>
  <c r="N351" i="21"/>
  <c r="M351" i="21"/>
  <c r="L351" i="21"/>
  <c r="S350" i="21"/>
  <c r="R350" i="21"/>
  <c r="Q350" i="21"/>
  <c r="P350" i="21"/>
  <c r="O350" i="21"/>
  <c r="N350" i="21"/>
  <c r="M350" i="21"/>
  <c r="L350" i="21"/>
  <c r="AA350" i="21" s="1"/>
  <c r="S349" i="21"/>
  <c r="R349" i="21"/>
  <c r="Q349" i="21"/>
  <c r="P349" i="21"/>
  <c r="O349" i="21"/>
  <c r="N349" i="21"/>
  <c r="M349" i="21"/>
  <c r="L349" i="21"/>
  <c r="AA349" i="21" s="1"/>
  <c r="S348" i="21"/>
  <c r="R348" i="21"/>
  <c r="Q348" i="21"/>
  <c r="P348" i="21"/>
  <c r="O348" i="21"/>
  <c r="N348" i="21"/>
  <c r="M348" i="21"/>
  <c r="L348" i="21"/>
  <c r="Y348" i="21" s="1"/>
  <c r="S347" i="21"/>
  <c r="R347" i="21"/>
  <c r="Q347" i="21"/>
  <c r="P347" i="21"/>
  <c r="O347" i="21"/>
  <c r="N347" i="21"/>
  <c r="M347" i="21"/>
  <c r="L347" i="21"/>
  <c r="AA347" i="21" s="1"/>
  <c r="S346" i="21"/>
  <c r="R346" i="21"/>
  <c r="Q346" i="21"/>
  <c r="P346" i="21"/>
  <c r="O346" i="21"/>
  <c r="N346" i="21"/>
  <c r="M346" i="21"/>
  <c r="L346" i="21"/>
  <c r="AA346" i="21" s="1"/>
  <c r="S345" i="21"/>
  <c r="R345" i="21"/>
  <c r="Q345" i="21"/>
  <c r="P345" i="21"/>
  <c r="O345" i="21"/>
  <c r="N345" i="21"/>
  <c r="M345" i="21"/>
  <c r="L345" i="21"/>
  <c r="AA345" i="21" s="1"/>
  <c r="S344" i="21"/>
  <c r="R344" i="21"/>
  <c r="Q344" i="21"/>
  <c r="P344" i="21"/>
  <c r="O344" i="21"/>
  <c r="N344" i="21"/>
  <c r="M344" i="21"/>
  <c r="L344" i="21"/>
  <c r="S343" i="21"/>
  <c r="R343" i="21"/>
  <c r="Q343" i="21"/>
  <c r="P343" i="21"/>
  <c r="O343" i="21"/>
  <c r="N343" i="21"/>
  <c r="M343" i="21"/>
  <c r="L343" i="21"/>
  <c r="AA343" i="21" s="1"/>
  <c r="S342" i="21"/>
  <c r="R342" i="21"/>
  <c r="Q342" i="21"/>
  <c r="P342" i="21"/>
  <c r="O342" i="21"/>
  <c r="N342" i="21"/>
  <c r="M342" i="21"/>
  <c r="L342" i="21"/>
  <c r="S341" i="21"/>
  <c r="R341" i="21"/>
  <c r="Q341" i="21"/>
  <c r="P341" i="21"/>
  <c r="O341" i="21"/>
  <c r="N341" i="21"/>
  <c r="M341" i="21"/>
  <c r="L341" i="21"/>
  <c r="S340" i="21"/>
  <c r="R340" i="21"/>
  <c r="Q340" i="21"/>
  <c r="P340" i="21"/>
  <c r="O340" i="21"/>
  <c r="N340" i="21"/>
  <c r="M340" i="21"/>
  <c r="L340" i="21"/>
  <c r="Y340" i="21" s="1"/>
  <c r="S339" i="21"/>
  <c r="R339" i="21"/>
  <c r="Q339" i="21"/>
  <c r="P339" i="21"/>
  <c r="O339" i="21"/>
  <c r="N339" i="21"/>
  <c r="M339" i="21"/>
  <c r="L339" i="21"/>
  <c r="AA339" i="21" s="1"/>
  <c r="S338" i="21"/>
  <c r="R338" i="21"/>
  <c r="Q338" i="21"/>
  <c r="P338" i="21"/>
  <c r="O338" i="21"/>
  <c r="N338" i="21"/>
  <c r="M338" i="21"/>
  <c r="L338" i="21"/>
  <c r="AA338" i="21" s="1"/>
  <c r="S337" i="21"/>
  <c r="R337" i="21"/>
  <c r="Q337" i="21"/>
  <c r="P337" i="21"/>
  <c r="O337" i="21"/>
  <c r="N337" i="21"/>
  <c r="M337" i="21"/>
  <c r="L337" i="21"/>
  <c r="AA337" i="21" s="1"/>
  <c r="S336" i="21"/>
  <c r="R336" i="21"/>
  <c r="Q336" i="21"/>
  <c r="P336" i="21"/>
  <c r="O336" i="21"/>
  <c r="N336" i="21"/>
  <c r="M336" i="21"/>
  <c r="L336" i="21"/>
  <c r="Y336" i="21" s="1"/>
  <c r="S335" i="21"/>
  <c r="R335" i="21"/>
  <c r="Q335" i="21"/>
  <c r="P335" i="21"/>
  <c r="O335" i="21"/>
  <c r="N335" i="21"/>
  <c r="M335" i="21"/>
  <c r="L335" i="21"/>
  <c r="Y335" i="21" s="1"/>
  <c r="S334" i="21"/>
  <c r="R334" i="21"/>
  <c r="Q334" i="21"/>
  <c r="P334" i="21"/>
  <c r="O334" i="21"/>
  <c r="N334" i="21"/>
  <c r="M334" i="21"/>
  <c r="L334" i="21"/>
  <c r="AA334" i="21" s="1"/>
  <c r="S333" i="21"/>
  <c r="R333" i="21"/>
  <c r="Q333" i="21"/>
  <c r="P333" i="21"/>
  <c r="O333" i="21"/>
  <c r="N333" i="21"/>
  <c r="M333" i="21"/>
  <c r="L333" i="21"/>
  <c r="AA333" i="21" s="1"/>
  <c r="S332" i="21"/>
  <c r="R332" i="21"/>
  <c r="Q332" i="21"/>
  <c r="P332" i="21"/>
  <c r="O332" i="21"/>
  <c r="N332" i="21"/>
  <c r="M332" i="21"/>
  <c r="L332" i="21"/>
  <c r="Y332" i="21" s="1"/>
  <c r="S331" i="21"/>
  <c r="R331" i="21"/>
  <c r="Q331" i="21"/>
  <c r="P331" i="21"/>
  <c r="O331" i="21"/>
  <c r="N331" i="21"/>
  <c r="M331" i="21"/>
  <c r="L331" i="21"/>
  <c r="S330" i="21"/>
  <c r="R330" i="21"/>
  <c r="Q330" i="21"/>
  <c r="P330" i="21"/>
  <c r="O330" i="21"/>
  <c r="N330" i="21"/>
  <c r="M330" i="21"/>
  <c r="L330" i="21"/>
  <c r="S329" i="21"/>
  <c r="R329" i="21"/>
  <c r="Q329" i="21"/>
  <c r="P329" i="21"/>
  <c r="O329" i="21"/>
  <c r="N329" i="21"/>
  <c r="M329" i="21"/>
  <c r="L329" i="21"/>
  <c r="AA329" i="21" s="1"/>
  <c r="S328" i="21"/>
  <c r="R328" i="21"/>
  <c r="Q328" i="21"/>
  <c r="P328" i="21"/>
  <c r="O328" i="21"/>
  <c r="N328" i="21"/>
  <c r="M328" i="21"/>
  <c r="L328" i="21"/>
  <c r="AA328" i="21" s="1"/>
  <c r="S327" i="21"/>
  <c r="R327" i="21"/>
  <c r="Q327" i="21"/>
  <c r="P327" i="21"/>
  <c r="O327" i="21"/>
  <c r="N327" i="21"/>
  <c r="M327" i="21"/>
  <c r="L327" i="21"/>
  <c r="AA327" i="21" s="1"/>
  <c r="S326" i="21"/>
  <c r="R326" i="21"/>
  <c r="Q326" i="21"/>
  <c r="P326" i="21"/>
  <c r="O326" i="21"/>
  <c r="N326" i="21"/>
  <c r="M326" i="21"/>
  <c r="L326" i="21"/>
  <c r="Y326" i="21" s="1"/>
  <c r="S325" i="21"/>
  <c r="R325" i="21"/>
  <c r="Q325" i="21"/>
  <c r="P325" i="21"/>
  <c r="O325" i="21"/>
  <c r="N325" i="21"/>
  <c r="M325" i="21"/>
  <c r="L325" i="21"/>
  <c r="AA325" i="21" s="1"/>
  <c r="S324" i="21"/>
  <c r="R324" i="21"/>
  <c r="Q324" i="21"/>
  <c r="P324" i="21"/>
  <c r="O324" i="21"/>
  <c r="N324" i="21"/>
  <c r="M324" i="21"/>
  <c r="L324" i="21"/>
  <c r="S323" i="21"/>
  <c r="R323" i="21"/>
  <c r="Q323" i="21"/>
  <c r="P323" i="21"/>
  <c r="O323" i="21"/>
  <c r="N323" i="21"/>
  <c r="M323" i="21"/>
  <c r="L323" i="21"/>
  <c r="AA323" i="21" s="1"/>
  <c r="S322" i="21"/>
  <c r="R322" i="21"/>
  <c r="Q322" i="21"/>
  <c r="P322" i="21"/>
  <c r="O322" i="21"/>
  <c r="N322" i="21"/>
  <c r="M322" i="21"/>
  <c r="L322" i="21"/>
  <c r="AA322" i="21" s="1"/>
  <c r="S321" i="21"/>
  <c r="R321" i="21"/>
  <c r="Q321" i="21"/>
  <c r="P321" i="21"/>
  <c r="O321" i="21"/>
  <c r="N321" i="21"/>
  <c r="M321" i="21"/>
  <c r="L321" i="21"/>
  <c r="S320" i="21"/>
  <c r="R320" i="21"/>
  <c r="Q320" i="21"/>
  <c r="P320" i="21"/>
  <c r="O320" i="21"/>
  <c r="N320" i="21"/>
  <c r="M320" i="21"/>
  <c r="L320" i="21"/>
  <c r="S319" i="21"/>
  <c r="R319" i="21"/>
  <c r="Q319" i="21"/>
  <c r="P319" i="21"/>
  <c r="O319" i="21"/>
  <c r="N319" i="21"/>
  <c r="M319" i="21"/>
  <c r="L319" i="21"/>
  <c r="AA319" i="21" s="1"/>
  <c r="S318" i="21"/>
  <c r="R318" i="21"/>
  <c r="Q318" i="21"/>
  <c r="P318" i="21"/>
  <c r="O318" i="21"/>
  <c r="N318" i="21"/>
  <c r="M318" i="21"/>
  <c r="L318" i="21"/>
  <c r="AA318" i="21" s="1"/>
  <c r="S317" i="21"/>
  <c r="R317" i="21"/>
  <c r="Q317" i="21"/>
  <c r="P317" i="21"/>
  <c r="O317" i="21"/>
  <c r="N317" i="21"/>
  <c r="M317" i="21"/>
  <c r="L317" i="21"/>
  <c r="Y317" i="21" s="1"/>
  <c r="S316" i="21"/>
  <c r="R316" i="21"/>
  <c r="Q316" i="21"/>
  <c r="P316" i="21"/>
  <c r="O316" i="21"/>
  <c r="N316" i="21"/>
  <c r="M316" i="21"/>
  <c r="L316" i="21"/>
  <c r="Y316" i="21" s="1"/>
  <c r="S315" i="21"/>
  <c r="R315" i="21"/>
  <c r="Q315" i="21"/>
  <c r="P315" i="21"/>
  <c r="O315" i="21"/>
  <c r="N315" i="21"/>
  <c r="M315" i="21"/>
  <c r="L315" i="21"/>
  <c r="Y315" i="21" s="1"/>
  <c r="S314" i="21"/>
  <c r="R314" i="21"/>
  <c r="Q314" i="21"/>
  <c r="P314" i="21"/>
  <c r="O314" i="21"/>
  <c r="N314" i="21"/>
  <c r="M314" i="21"/>
  <c r="L314" i="21"/>
  <c r="AA314" i="21" s="1"/>
  <c r="S313" i="21"/>
  <c r="R313" i="21"/>
  <c r="Q313" i="21"/>
  <c r="P313" i="21"/>
  <c r="O313" i="21"/>
  <c r="N313" i="21"/>
  <c r="M313" i="21"/>
  <c r="L313" i="21"/>
  <c r="AA313" i="21" s="1"/>
  <c r="S312" i="21"/>
  <c r="R312" i="21"/>
  <c r="Q312" i="21"/>
  <c r="P312" i="21"/>
  <c r="O312" i="21"/>
  <c r="N312" i="21"/>
  <c r="M312" i="21"/>
  <c r="L312" i="21"/>
  <c r="AA312" i="21" s="1"/>
  <c r="S311" i="21"/>
  <c r="R311" i="21"/>
  <c r="Q311" i="21"/>
  <c r="P311" i="21"/>
  <c r="O311" i="21"/>
  <c r="N311" i="21"/>
  <c r="M311" i="21"/>
  <c r="L311" i="21"/>
  <c r="S310" i="21"/>
  <c r="R310" i="21"/>
  <c r="Q310" i="21"/>
  <c r="P310" i="21"/>
  <c r="O310" i="21"/>
  <c r="N310" i="21"/>
  <c r="M310" i="21"/>
  <c r="L310" i="21"/>
  <c r="Y310" i="21" s="1"/>
  <c r="S309" i="21"/>
  <c r="R309" i="21"/>
  <c r="Q309" i="21"/>
  <c r="P309" i="21"/>
  <c r="O309" i="21"/>
  <c r="N309" i="21"/>
  <c r="M309" i="21"/>
  <c r="L309" i="21"/>
  <c r="AA309" i="21" s="1"/>
  <c r="S308" i="21"/>
  <c r="R308" i="21"/>
  <c r="Q308" i="21"/>
  <c r="P308" i="21"/>
  <c r="O308" i="21"/>
  <c r="N308" i="21"/>
  <c r="M308" i="21"/>
  <c r="L308" i="21"/>
  <c r="S307" i="21"/>
  <c r="R307" i="21"/>
  <c r="Q307" i="21"/>
  <c r="P307" i="21"/>
  <c r="O307" i="21"/>
  <c r="N307" i="21"/>
  <c r="M307" i="21"/>
  <c r="L307" i="21"/>
  <c r="Y307" i="21" s="1"/>
  <c r="S306" i="21"/>
  <c r="R306" i="21"/>
  <c r="Q306" i="21"/>
  <c r="P306" i="21"/>
  <c r="O306" i="21"/>
  <c r="N306" i="21"/>
  <c r="M306" i="21"/>
  <c r="L306" i="21"/>
  <c r="Y306" i="21" s="1"/>
  <c r="S305" i="21"/>
  <c r="R305" i="21"/>
  <c r="Q305" i="21"/>
  <c r="P305" i="21"/>
  <c r="O305" i="21"/>
  <c r="N305" i="21"/>
  <c r="M305" i="21"/>
  <c r="L305" i="21"/>
  <c r="AA305" i="21" s="1"/>
  <c r="S304" i="21"/>
  <c r="R304" i="21"/>
  <c r="Q304" i="21"/>
  <c r="P304" i="21"/>
  <c r="O304" i="21"/>
  <c r="N304" i="21"/>
  <c r="M304" i="21"/>
  <c r="L304" i="21"/>
  <c r="AA304" i="21" s="1"/>
  <c r="S303" i="21"/>
  <c r="R303" i="21"/>
  <c r="Q303" i="21"/>
  <c r="P303" i="21"/>
  <c r="O303" i="21"/>
  <c r="N303" i="21"/>
  <c r="M303" i="21"/>
  <c r="L303" i="21"/>
  <c r="AA303" i="21" s="1"/>
  <c r="S302" i="21"/>
  <c r="R302" i="21"/>
  <c r="Q302" i="21"/>
  <c r="P302" i="21"/>
  <c r="O302" i="21"/>
  <c r="N302" i="21"/>
  <c r="M302" i="21"/>
  <c r="L302" i="21"/>
  <c r="AA302" i="21" s="1"/>
  <c r="S301" i="21"/>
  <c r="R301" i="21"/>
  <c r="Q301" i="21"/>
  <c r="P301" i="21"/>
  <c r="O301" i="21"/>
  <c r="N301" i="21"/>
  <c r="M301" i="21"/>
  <c r="L301" i="21"/>
  <c r="S300" i="21"/>
  <c r="R300" i="21"/>
  <c r="Q300" i="21"/>
  <c r="P300" i="21"/>
  <c r="O300" i="21"/>
  <c r="N300" i="21"/>
  <c r="M300" i="21"/>
  <c r="L300" i="21"/>
  <c r="S299" i="21"/>
  <c r="R299" i="21"/>
  <c r="Q299" i="21"/>
  <c r="P299" i="21"/>
  <c r="O299" i="21"/>
  <c r="N299" i="21"/>
  <c r="M299" i="21"/>
  <c r="L299" i="21"/>
  <c r="S298" i="21"/>
  <c r="R298" i="21"/>
  <c r="Q298" i="21"/>
  <c r="P298" i="21"/>
  <c r="O298" i="21"/>
  <c r="N298" i="21"/>
  <c r="M298" i="21"/>
  <c r="L298" i="21"/>
  <c r="S297" i="21"/>
  <c r="R297" i="21"/>
  <c r="Q297" i="21"/>
  <c r="P297" i="21"/>
  <c r="O297" i="21"/>
  <c r="N297" i="21"/>
  <c r="M297" i="21"/>
  <c r="L297" i="21"/>
  <c r="AA297" i="21" s="1"/>
  <c r="S296" i="21"/>
  <c r="R296" i="21"/>
  <c r="Q296" i="21"/>
  <c r="P296" i="21"/>
  <c r="O296" i="21"/>
  <c r="N296" i="21"/>
  <c r="M296" i="21"/>
  <c r="L296" i="21"/>
  <c r="AA296" i="21" s="1"/>
  <c r="S295" i="21"/>
  <c r="R295" i="21"/>
  <c r="Q295" i="21"/>
  <c r="P295" i="21"/>
  <c r="O295" i="21"/>
  <c r="N295" i="21"/>
  <c r="M295" i="21"/>
  <c r="L295" i="21"/>
  <c r="Y295" i="21" s="1"/>
  <c r="S294" i="21"/>
  <c r="R294" i="21"/>
  <c r="Q294" i="21"/>
  <c r="P294" i="21"/>
  <c r="O294" i="21"/>
  <c r="N294" i="21"/>
  <c r="M294" i="21"/>
  <c r="L294" i="21"/>
  <c r="AA294" i="21" s="1"/>
  <c r="S293" i="21"/>
  <c r="R293" i="21"/>
  <c r="Q293" i="21"/>
  <c r="P293" i="21"/>
  <c r="O293" i="21"/>
  <c r="N293" i="21"/>
  <c r="M293" i="21"/>
  <c r="L293" i="21"/>
  <c r="AA293" i="21" s="1"/>
  <c r="S292" i="21"/>
  <c r="R292" i="21"/>
  <c r="Q292" i="21"/>
  <c r="P292" i="21"/>
  <c r="O292" i="21"/>
  <c r="N292" i="21"/>
  <c r="M292" i="21"/>
  <c r="L292" i="21"/>
  <c r="Y292" i="21" s="1"/>
  <c r="S291" i="21"/>
  <c r="R291" i="21"/>
  <c r="Q291" i="21"/>
  <c r="P291" i="21"/>
  <c r="O291" i="21"/>
  <c r="N291" i="21"/>
  <c r="M291" i="21"/>
  <c r="L291" i="21"/>
  <c r="AA291" i="21" s="1"/>
  <c r="S290" i="21"/>
  <c r="R290" i="21"/>
  <c r="Q290" i="21"/>
  <c r="P290" i="21"/>
  <c r="O290" i="21"/>
  <c r="N290" i="21"/>
  <c r="M290" i="21"/>
  <c r="L290" i="21"/>
  <c r="AA290" i="21" s="1"/>
  <c r="S289" i="21"/>
  <c r="R289" i="21"/>
  <c r="Q289" i="21"/>
  <c r="P289" i="21"/>
  <c r="O289" i="21"/>
  <c r="N289" i="21"/>
  <c r="M289" i="21"/>
  <c r="L289" i="21"/>
  <c r="AA289" i="21" s="1"/>
  <c r="S288" i="21"/>
  <c r="R288" i="21"/>
  <c r="Q288" i="21"/>
  <c r="P288" i="21"/>
  <c r="O288" i="21"/>
  <c r="N288" i="21"/>
  <c r="M288" i="21"/>
  <c r="L288" i="21"/>
  <c r="Y288" i="21" s="1"/>
  <c r="S287" i="21"/>
  <c r="R287" i="21"/>
  <c r="Q287" i="21"/>
  <c r="P287" i="21"/>
  <c r="O287" i="21"/>
  <c r="N287" i="21"/>
  <c r="M287" i="21"/>
  <c r="L287" i="21"/>
  <c r="S286" i="21"/>
  <c r="R286" i="21"/>
  <c r="Q286" i="21"/>
  <c r="P286" i="21"/>
  <c r="O286" i="21"/>
  <c r="N286" i="21"/>
  <c r="M286" i="21"/>
  <c r="L286" i="21"/>
  <c r="S285" i="21"/>
  <c r="R285" i="21"/>
  <c r="Q285" i="21"/>
  <c r="P285" i="21"/>
  <c r="O285" i="21"/>
  <c r="N285" i="21"/>
  <c r="M285" i="21"/>
  <c r="L285" i="21"/>
  <c r="AA285" i="21" s="1"/>
  <c r="S284" i="21"/>
  <c r="R284" i="21"/>
  <c r="Q284" i="21"/>
  <c r="P284" i="21"/>
  <c r="O284" i="21"/>
  <c r="N284" i="21"/>
  <c r="M284" i="21"/>
  <c r="L284" i="21"/>
  <c r="Y284" i="21" s="1"/>
  <c r="S283" i="21"/>
  <c r="R283" i="21"/>
  <c r="Q283" i="21"/>
  <c r="P283" i="21"/>
  <c r="O283" i="21"/>
  <c r="N283" i="21"/>
  <c r="M283" i="21"/>
  <c r="L283" i="21"/>
  <c r="AA283" i="21" s="1"/>
  <c r="S282" i="21"/>
  <c r="R282" i="21"/>
  <c r="Q282" i="21"/>
  <c r="P282" i="21"/>
  <c r="O282" i="21"/>
  <c r="N282" i="21"/>
  <c r="M282" i="21"/>
  <c r="L282" i="21"/>
  <c r="S281" i="21"/>
  <c r="R281" i="21"/>
  <c r="Q281" i="21"/>
  <c r="P281" i="21"/>
  <c r="O281" i="21"/>
  <c r="N281" i="21"/>
  <c r="M281" i="21"/>
  <c r="L281" i="21"/>
  <c r="AA281" i="21" s="1"/>
  <c r="S280" i="21"/>
  <c r="R280" i="21"/>
  <c r="Q280" i="21"/>
  <c r="P280" i="21"/>
  <c r="O280" i="21"/>
  <c r="N280" i="21"/>
  <c r="M280" i="21"/>
  <c r="L280" i="21"/>
  <c r="S279" i="21"/>
  <c r="R279" i="21"/>
  <c r="Q279" i="21"/>
  <c r="P279" i="21"/>
  <c r="O279" i="21"/>
  <c r="N279" i="21"/>
  <c r="M279" i="21"/>
  <c r="L279" i="21"/>
  <c r="S278" i="21"/>
  <c r="R278" i="21"/>
  <c r="Q278" i="21"/>
  <c r="P278" i="21"/>
  <c r="O278" i="21"/>
  <c r="N278" i="21"/>
  <c r="M278" i="21"/>
  <c r="L278" i="21"/>
  <c r="AA278" i="21" s="1"/>
  <c r="S277" i="21"/>
  <c r="R277" i="21"/>
  <c r="Q277" i="21"/>
  <c r="P277" i="21"/>
  <c r="O277" i="21"/>
  <c r="N277" i="21"/>
  <c r="M277" i="21"/>
  <c r="L277" i="21"/>
  <c r="AA277" i="21" s="1"/>
  <c r="S276" i="21"/>
  <c r="R276" i="21"/>
  <c r="Q276" i="21"/>
  <c r="P276" i="21"/>
  <c r="O276" i="21"/>
  <c r="N276" i="21"/>
  <c r="M276" i="21"/>
  <c r="L276" i="21"/>
  <c r="Y276" i="21" s="1"/>
  <c r="S275" i="21"/>
  <c r="R275" i="21"/>
  <c r="Q275" i="21"/>
  <c r="P275" i="21"/>
  <c r="O275" i="21"/>
  <c r="N275" i="21"/>
  <c r="M275" i="21"/>
  <c r="L275" i="21"/>
  <c r="S274" i="21"/>
  <c r="R274" i="21"/>
  <c r="Q274" i="21"/>
  <c r="P274" i="21"/>
  <c r="O274" i="21"/>
  <c r="N274" i="21"/>
  <c r="M274" i="21"/>
  <c r="L274" i="21"/>
  <c r="S273" i="21"/>
  <c r="R273" i="21"/>
  <c r="Q273" i="21"/>
  <c r="P273" i="21"/>
  <c r="O273" i="21"/>
  <c r="N273" i="21"/>
  <c r="M273" i="21"/>
  <c r="L273" i="21"/>
  <c r="AA273" i="21" s="1"/>
  <c r="S272" i="21"/>
  <c r="R272" i="21"/>
  <c r="Q272" i="21"/>
  <c r="P272" i="21"/>
  <c r="O272" i="21"/>
  <c r="N272" i="21"/>
  <c r="M272" i="21"/>
  <c r="L272" i="21"/>
  <c r="AA272" i="21" s="1"/>
  <c r="S271" i="21"/>
  <c r="R271" i="21"/>
  <c r="Q271" i="21"/>
  <c r="P271" i="21"/>
  <c r="O271" i="21"/>
  <c r="N271" i="21"/>
  <c r="M271" i="21"/>
  <c r="L271" i="21"/>
  <c r="Y271" i="21" s="1"/>
  <c r="S270" i="21"/>
  <c r="R270" i="21"/>
  <c r="Q270" i="21"/>
  <c r="P270" i="21"/>
  <c r="O270" i="21"/>
  <c r="N270" i="21"/>
  <c r="M270" i="21"/>
  <c r="L270" i="21"/>
  <c r="Y270" i="21" s="1"/>
  <c r="S269" i="21"/>
  <c r="R269" i="21"/>
  <c r="Q269" i="21"/>
  <c r="P269" i="21"/>
  <c r="O269" i="21"/>
  <c r="N269" i="21"/>
  <c r="M269" i="21"/>
  <c r="L269" i="21"/>
  <c r="Y269" i="21" s="1"/>
  <c r="S268" i="21"/>
  <c r="R268" i="21"/>
  <c r="Q268" i="21"/>
  <c r="P268" i="21"/>
  <c r="O268" i="21"/>
  <c r="N268" i="21"/>
  <c r="M268" i="21"/>
  <c r="L268" i="21"/>
  <c r="S267" i="21"/>
  <c r="R267" i="21"/>
  <c r="Q267" i="21"/>
  <c r="P267" i="21"/>
  <c r="O267" i="21"/>
  <c r="N267" i="21"/>
  <c r="M267" i="21"/>
  <c r="L267" i="21"/>
  <c r="AA267" i="21" s="1"/>
  <c r="S266" i="21"/>
  <c r="R266" i="21"/>
  <c r="Q266" i="21"/>
  <c r="P266" i="21"/>
  <c r="O266" i="21"/>
  <c r="N266" i="21"/>
  <c r="M266" i="21"/>
  <c r="L266" i="21"/>
  <c r="AA266" i="21" s="1"/>
  <c r="S265" i="21"/>
  <c r="R265" i="21"/>
  <c r="Q265" i="21"/>
  <c r="P265" i="21"/>
  <c r="O265" i="21"/>
  <c r="N265" i="21"/>
  <c r="M265" i="21"/>
  <c r="L265" i="21"/>
  <c r="AA265" i="21" s="1"/>
  <c r="S264" i="21"/>
  <c r="R264" i="21"/>
  <c r="Q264" i="21"/>
  <c r="P264" i="21"/>
  <c r="O264" i="21"/>
  <c r="N264" i="21"/>
  <c r="M264" i="21"/>
  <c r="L264" i="21"/>
  <c r="AA264" i="21" s="1"/>
  <c r="S263" i="21"/>
  <c r="R263" i="21"/>
  <c r="Q263" i="21"/>
  <c r="P263" i="21"/>
  <c r="O263" i="21"/>
  <c r="N263" i="21"/>
  <c r="M263" i="21"/>
  <c r="L263" i="21"/>
  <c r="S262" i="21"/>
  <c r="R262" i="21"/>
  <c r="Q262" i="21"/>
  <c r="P262" i="21"/>
  <c r="O262" i="21"/>
  <c r="N262" i="21"/>
  <c r="M262" i="21"/>
  <c r="L262" i="21"/>
  <c r="Y262" i="21" s="1"/>
  <c r="S261" i="21"/>
  <c r="R261" i="21"/>
  <c r="Q261" i="21"/>
  <c r="P261" i="21"/>
  <c r="O261" i="21"/>
  <c r="N261" i="21"/>
  <c r="M261" i="21"/>
  <c r="L261" i="21"/>
  <c r="S260" i="21"/>
  <c r="R260" i="21"/>
  <c r="Q260" i="21"/>
  <c r="P260" i="21"/>
  <c r="O260" i="21"/>
  <c r="N260" i="21"/>
  <c r="M260" i="21"/>
  <c r="L260" i="21"/>
  <c r="S259" i="21"/>
  <c r="R259" i="21"/>
  <c r="Q259" i="21"/>
  <c r="P259" i="21"/>
  <c r="O259" i="21"/>
  <c r="N259" i="21"/>
  <c r="M259" i="21"/>
  <c r="L259" i="21"/>
  <c r="Y259" i="21" s="1"/>
  <c r="S258" i="21"/>
  <c r="R258" i="21"/>
  <c r="Q258" i="21"/>
  <c r="P258" i="21"/>
  <c r="O258" i="21"/>
  <c r="N258" i="21"/>
  <c r="M258" i="21"/>
  <c r="L258" i="21"/>
  <c r="S257" i="21"/>
  <c r="R257" i="21"/>
  <c r="Q257" i="21"/>
  <c r="P257" i="21"/>
  <c r="O257" i="21"/>
  <c r="N257" i="21"/>
  <c r="M257" i="21"/>
  <c r="L257" i="21"/>
  <c r="AA257" i="21" s="1"/>
  <c r="S256" i="21"/>
  <c r="R256" i="21"/>
  <c r="Q256" i="21"/>
  <c r="P256" i="21"/>
  <c r="O256" i="21"/>
  <c r="N256" i="21"/>
  <c r="M256" i="21"/>
  <c r="L256" i="21"/>
  <c r="AA256" i="21" s="1"/>
  <c r="S255" i="21"/>
  <c r="R255" i="21"/>
  <c r="Q255" i="21"/>
  <c r="P255" i="21"/>
  <c r="O255" i="21"/>
  <c r="N255" i="21"/>
  <c r="M255" i="21"/>
  <c r="L255" i="21"/>
  <c r="AA255" i="21" s="1"/>
  <c r="S254" i="21"/>
  <c r="R254" i="21"/>
  <c r="Q254" i="21"/>
  <c r="P254" i="21"/>
  <c r="O254" i="21"/>
  <c r="N254" i="21"/>
  <c r="M254" i="21"/>
  <c r="L254" i="21"/>
  <c r="AA254" i="21" s="1"/>
  <c r="S253" i="21"/>
  <c r="R253" i="21"/>
  <c r="Q253" i="21"/>
  <c r="P253" i="21"/>
  <c r="O253" i="21"/>
  <c r="N253" i="21"/>
  <c r="M253" i="21"/>
  <c r="L253" i="21"/>
  <c r="Y253" i="21" s="1"/>
  <c r="S252" i="21"/>
  <c r="R252" i="21"/>
  <c r="Q252" i="21"/>
  <c r="P252" i="21"/>
  <c r="O252" i="21"/>
  <c r="N252" i="21"/>
  <c r="M252" i="21"/>
  <c r="L252" i="21"/>
  <c r="S251" i="21"/>
  <c r="R251" i="21"/>
  <c r="Q251" i="21"/>
  <c r="P251" i="21"/>
  <c r="O251" i="21"/>
  <c r="N251" i="21"/>
  <c r="M251" i="21"/>
  <c r="L251" i="21"/>
  <c r="S250" i="21"/>
  <c r="R250" i="21"/>
  <c r="Q250" i="21"/>
  <c r="P250" i="21"/>
  <c r="O250" i="21"/>
  <c r="N250" i="21"/>
  <c r="M250" i="21"/>
  <c r="L250" i="21"/>
  <c r="S249" i="21"/>
  <c r="R249" i="21"/>
  <c r="Q249" i="21"/>
  <c r="P249" i="21"/>
  <c r="O249" i="21"/>
  <c r="N249" i="21"/>
  <c r="M249" i="21"/>
  <c r="L249" i="21"/>
  <c r="AA249" i="21" s="1"/>
  <c r="S248" i="21"/>
  <c r="R248" i="21"/>
  <c r="Q248" i="21"/>
  <c r="P248" i="21"/>
  <c r="O248" i="21"/>
  <c r="N248" i="21"/>
  <c r="M248" i="21"/>
  <c r="L248" i="21"/>
  <c r="AA248" i="21" s="1"/>
  <c r="S247" i="21"/>
  <c r="R247" i="21"/>
  <c r="Q247" i="21"/>
  <c r="P247" i="21"/>
  <c r="O247" i="21"/>
  <c r="N247" i="21"/>
  <c r="M247" i="21"/>
  <c r="L247" i="21"/>
  <c r="AA247" i="21" s="1"/>
  <c r="S246" i="21"/>
  <c r="R246" i="21"/>
  <c r="Q246" i="21"/>
  <c r="P246" i="21"/>
  <c r="O246" i="21"/>
  <c r="N246" i="21"/>
  <c r="M246" i="21"/>
  <c r="L246" i="21"/>
  <c r="S245" i="21"/>
  <c r="R245" i="21"/>
  <c r="Q245" i="21"/>
  <c r="P245" i="21"/>
  <c r="O245" i="21"/>
  <c r="N245" i="21"/>
  <c r="M245" i="21"/>
  <c r="L245" i="21"/>
  <c r="S244" i="21"/>
  <c r="R244" i="21"/>
  <c r="Q244" i="21"/>
  <c r="P244" i="21"/>
  <c r="O244" i="21"/>
  <c r="N244" i="21"/>
  <c r="M244" i="21"/>
  <c r="L244" i="21"/>
  <c r="S243" i="21"/>
  <c r="R243" i="21"/>
  <c r="Q243" i="21"/>
  <c r="P243" i="21"/>
  <c r="O243" i="21"/>
  <c r="N243" i="21"/>
  <c r="M243" i="21"/>
  <c r="L243" i="21"/>
  <c r="S242" i="21"/>
  <c r="R242" i="21"/>
  <c r="Q242" i="21"/>
  <c r="P242" i="21"/>
  <c r="O242" i="21"/>
  <c r="N242" i="21"/>
  <c r="M242" i="21"/>
  <c r="L242" i="21"/>
  <c r="S241" i="21"/>
  <c r="R241" i="21"/>
  <c r="Q241" i="21"/>
  <c r="P241" i="21"/>
  <c r="O241" i="21"/>
  <c r="N241" i="21"/>
  <c r="M241" i="21"/>
  <c r="L241" i="21"/>
  <c r="AA241" i="21" s="1"/>
  <c r="S240" i="21"/>
  <c r="R240" i="21"/>
  <c r="Q240" i="21"/>
  <c r="P240" i="21"/>
  <c r="O240" i="21"/>
  <c r="N240" i="21"/>
  <c r="M240" i="21"/>
  <c r="L240" i="21"/>
  <c r="Y240" i="21" s="1"/>
  <c r="S239" i="21"/>
  <c r="R239" i="21"/>
  <c r="Q239" i="21"/>
  <c r="P239" i="21"/>
  <c r="O239" i="21"/>
  <c r="N239" i="21"/>
  <c r="M239" i="21"/>
  <c r="L239" i="21"/>
  <c r="AA239" i="21" s="1"/>
  <c r="S238" i="21"/>
  <c r="R238" i="21"/>
  <c r="Q238" i="21"/>
  <c r="P238" i="21"/>
  <c r="O238" i="21"/>
  <c r="N238" i="21"/>
  <c r="M238" i="21"/>
  <c r="L238" i="21"/>
  <c r="AA238" i="21" s="1"/>
  <c r="S237" i="21"/>
  <c r="R237" i="21"/>
  <c r="Q237" i="21"/>
  <c r="P237" i="21"/>
  <c r="O237" i="21"/>
  <c r="N237" i="21"/>
  <c r="M237" i="21"/>
  <c r="L237" i="21"/>
  <c r="AA237" i="21" s="1"/>
  <c r="S236" i="21"/>
  <c r="R236" i="21"/>
  <c r="Q236" i="21"/>
  <c r="P236" i="21"/>
  <c r="O236" i="21"/>
  <c r="N236" i="21"/>
  <c r="M236" i="21"/>
  <c r="L236" i="21"/>
  <c r="Y236" i="21" s="1"/>
  <c r="S235" i="21"/>
  <c r="R235" i="21"/>
  <c r="Q235" i="21"/>
  <c r="P235" i="21"/>
  <c r="O235" i="21"/>
  <c r="N235" i="21"/>
  <c r="M235" i="21"/>
  <c r="L235" i="21"/>
  <c r="Y235" i="21" s="1"/>
  <c r="S234" i="21"/>
  <c r="R234" i="21"/>
  <c r="Q234" i="21"/>
  <c r="P234" i="21"/>
  <c r="O234" i="21"/>
  <c r="N234" i="21"/>
  <c r="M234" i="21"/>
  <c r="L234" i="21"/>
  <c r="Y234" i="21" s="1"/>
  <c r="S233" i="21"/>
  <c r="R233" i="21"/>
  <c r="Q233" i="21"/>
  <c r="P233" i="21"/>
  <c r="O233" i="21"/>
  <c r="N233" i="21"/>
  <c r="M233" i="21"/>
  <c r="L233" i="21"/>
  <c r="AA233" i="21" s="1"/>
  <c r="S232" i="21"/>
  <c r="R232" i="21"/>
  <c r="Q232" i="21"/>
  <c r="P232" i="21"/>
  <c r="O232" i="21"/>
  <c r="N232" i="21"/>
  <c r="M232" i="21"/>
  <c r="L232" i="21"/>
  <c r="S231" i="21"/>
  <c r="R231" i="21"/>
  <c r="Q231" i="21"/>
  <c r="P231" i="21"/>
  <c r="O231" i="21"/>
  <c r="N231" i="21"/>
  <c r="M231" i="21"/>
  <c r="L231" i="21"/>
  <c r="S230" i="21"/>
  <c r="R230" i="21"/>
  <c r="Q230" i="21"/>
  <c r="P230" i="21"/>
  <c r="O230" i="21"/>
  <c r="N230" i="21"/>
  <c r="M230" i="21"/>
  <c r="L230" i="21"/>
  <c r="AA230" i="21" s="1"/>
  <c r="S229" i="21"/>
  <c r="R229" i="21"/>
  <c r="Q229" i="21"/>
  <c r="P229" i="21"/>
  <c r="O229" i="21"/>
  <c r="N229" i="21"/>
  <c r="M229" i="21"/>
  <c r="L229" i="21"/>
  <c r="AA229" i="21" s="1"/>
  <c r="S228" i="21"/>
  <c r="R228" i="21"/>
  <c r="Q228" i="21"/>
  <c r="P228" i="21"/>
  <c r="O228" i="21"/>
  <c r="N228" i="21"/>
  <c r="M228" i="21"/>
  <c r="L228" i="21"/>
  <c r="Y228" i="21" s="1"/>
  <c r="S227" i="21"/>
  <c r="R227" i="21"/>
  <c r="Q227" i="21"/>
  <c r="P227" i="21"/>
  <c r="O227" i="21"/>
  <c r="N227" i="21"/>
  <c r="M227" i="21"/>
  <c r="L227" i="21"/>
  <c r="Y227" i="21" s="1"/>
  <c r="S226" i="21"/>
  <c r="R226" i="21"/>
  <c r="Q226" i="21"/>
  <c r="P226" i="21"/>
  <c r="O226" i="21"/>
  <c r="N226" i="21"/>
  <c r="M226" i="21"/>
  <c r="L226" i="21"/>
  <c r="Y226" i="21" s="1"/>
  <c r="S225" i="21"/>
  <c r="R225" i="21"/>
  <c r="Q225" i="21"/>
  <c r="P225" i="21"/>
  <c r="O225" i="21"/>
  <c r="N225" i="21"/>
  <c r="M225" i="21"/>
  <c r="L225" i="21"/>
  <c r="AA225" i="21" s="1"/>
  <c r="S224" i="21"/>
  <c r="R224" i="21"/>
  <c r="Q224" i="21"/>
  <c r="P224" i="21"/>
  <c r="O224" i="21"/>
  <c r="N224" i="21"/>
  <c r="M224" i="21"/>
  <c r="L224" i="21"/>
  <c r="S223" i="21"/>
  <c r="R223" i="21"/>
  <c r="Q223" i="21"/>
  <c r="P223" i="21"/>
  <c r="O223" i="21"/>
  <c r="N223" i="21"/>
  <c r="M223" i="21"/>
  <c r="L223" i="21"/>
  <c r="AA223" i="21" s="1"/>
  <c r="S222" i="21"/>
  <c r="R222" i="21"/>
  <c r="Q222" i="21"/>
  <c r="P222" i="21"/>
  <c r="O222" i="21"/>
  <c r="N222" i="21"/>
  <c r="M222" i="21"/>
  <c r="L222" i="21"/>
  <c r="S221" i="21"/>
  <c r="R221" i="21"/>
  <c r="Q221" i="21"/>
  <c r="P221" i="21"/>
  <c r="O221" i="21"/>
  <c r="N221" i="21"/>
  <c r="M221" i="21"/>
  <c r="L221" i="21"/>
  <c r="S220" i="21"/>
  <c r="R220" i="21"/>
  <c r="Q220" i="21"/>
  <c r="P220" i="21"/>
  <c r="O220" i="21"/>
  <c r="N220" i="21"/>
  <c r="M220" i="21"/>
  <c r="L220" i="21"/>
  <c r="Y220" i="21" s="1"/>
  <c r="S219" i="21"/>
  <c r="R219" i="21"/>
  <c r="Q219" i="21"/>
  <c r="P219" i="21"/>
  <c r="O219" i="21"/>
  <c r="N219" i="21"/>
  <c r="M219" i="21"/>
  <c r="L219" i="21"/>
  <c r="AA219" i="21" s="1"/>
  <c r="S218" i="21"/>
  <c r="R218" i="21"/>
  <c r="Q218" i="21"/>
  <c r="P218" i="21"/>
  <c r="O218" i="21"/>
  <c r="N218" i="21"/>
  <c r="M218" i="21"/>
  <c r="L218" i="21"/>
  <c r="Y218" i="21" s="1"/>
  <c r="S217" i="21"/>
  <c r="R217" i="21"/>
  <c r="Q217" i="21"/>
  <c r="P217" i="21"/>
  <c r="O217" i="21"/>
  <c r="N217" i="21"/>
  <c r="M217" i="21"/>
  <c r="L217" i="21"/>
  <c r="AA217" i="21" s="1"/>
  <c r="S216" i="21"/>
  <c r="R216" i="21"/>
  <c r="Q216" i="21"/>
  <c r="P216" i="21"/>
  <c r="O216" i="21"/>
  <c r="N216" i="21"/>
  <c r="M216" i="21"/>
  <c r="L216" i="21"/>
  <c r="Y216" i="21" s="1"/>
  <c r="S215" i="21"/>
  <c r="R215" i="21"/>
  <c r="Q215" i="21"/>
  <c r="P215" i="21"/>
  <c r="O215" i="21"/>
  <c r="N215" i="21"/>
  <c r="M215" i="21"/>
  <c r="L215" i="21"/>
  <c r="Y215" i="21" s="1"/>
  <c r="S214" i="21"/>
  <c r="R214" i="21"/>
  <c r="Q214" i="21"/>
  <c r="P214" i="21"/>
  <c r="O214" i="21"/>
  <c r="N214" i="21"/>
  <c r="M214" i="21"/>
  <c r="L214" i="21"/>
  <c r="AA214" i="21" s="1"/>
  <c r="S213" i="21"/>
  <c r="R213" i="21"/>
  <c r="Q213" i="21"/>
  <c r="P213" i="21"/>
  <c r="O213" i="21"/>
  <c r="N213" i="21"/>
  <c r="M213" i="21"/>
  <c r="L213" i="21"/>
  <c r="AA213" i="21" s="1"/>
  <c r="S212" i="21"/>
  <c r="R212" i="21"/>
  <c r="Q212" i="21"/>
  <c r="P212" i="21"/>
  <c r="O212" i="21"/>
  <c r="N212" i="21"/>
  <c r="M212" i="21"/>
  <c r="L212" i="21"/>
  <c r="Y212" i="21" s="1"/>
  <c r="S211" i="21"/>
  <c r="R211" i="21"/>
  <c r="Q211" i="21"/>
  <c r="P211" i="21"/>
  <c r="O211" i="21"/>
  <c r="N211" i="21"/>
  <c r="M211" i="21"/>
  <c r="L211" i="21"/>
  <c r="AA211" i="21" s="1"/>
  <c r="S210" i="21"/>
  <c r="R210" i="21"/>
  <c r="Q210" i="21"/>
  <c r="P210" i="21"/>
  <c r="O210" i="21"/>
  <c r="N210" i="21"/>
  <c r="M210" i="21"/>
  <c r="L210" i="21"/>
  <c r="AA210" i="21" s="1"/>
  <c r="S209" i="21"/>
  <c r="R209" i="21"/>
  <c r="Q209" i="21"/>
  <c r="P209" i="21"/>
  <c r="O209" i="21"/>
  <c r="N209" i="21"/>
  <c r="M209" i="21"/>
  <c r="L209" i="21"/>
  <c r="AA209" i="21" s="1"/>
  <c r="S208" i="21"/>
  <c r="R208" i="21"/>
  <c r="Q208" i="21"/>
  <c r="P208" i="21"/>
  <c r="O208" i="21"/>
  <c r="N208" i="21"/>
  <c r="M208" i="21"/>
  <c r="L208" i="21"/>
  <c r="Y208" i="21" s="1"/>
  <c r="S207" i="21"/>
  <c r="R207" i="21"/>
  <c r="Q207" i="21"/>
  <c r="P207" i="21"/>
  <c r="O207" i="21"/>
  <c r="N207" i="21"/>
  <c r="M207" i="21"/>
  <c r="L207" i="21"/>
  <c r="S206" i="21"/>
  <c r="R206" i="21"/>
  <c r="Q206" i="21"/>
  <c r="P206" i="21"/>
  <c r="O206" i="21"/>
  <c r="N206" i="21"/>
  <c r="M206" i="21"/>
  <c r="L206" i="21"/>
  <c r="S205" i="21"/>
  <c r="R205" i="21"/>
  <c r="Q205" i="21"/>
  <c r="P205" i="21"/>
  <c r="O205" i="21"/>
  <c r="N205" i="21"/>
  <c r="M205" i="21"/>
  <c r="L205" i="21"/>
  <c r="AA205" i="21" s="1"/>
  <c r="S204" i="21"/>
  <c r="R204" i="21"/>
  <c r="Q204" i="21"/>
  <c r="P204" i="21"/>
  <c r="O204" i="21"/>
  <c r="N204" i="21"/>
  <c r="M204" i="21"/>
  <c r="L204" i="21"/>
  <c r="Y204" i="21" s="1"/>
  <c r="S203" i="21"/>
  <c r="R203" i="21"/>
  <c r="Q203" i="21"/>
  <c r="P203" i="21"/>
  <c r="O203" i="21"/>
  <c r="N203" i="21"/>
  <c r="M203" i="21"/>
  <c r="L203" i="21"/>
  <c r="AA203" i="21" s="1"/>
  <c r="S202" i="21"/>
  <c r="R202" i="21"/>
  <c r="Q202" i="21"/>
  <c r="P202" i="21"/>
  <c r="O202" i="21"/>
  <c r="N202" i="21"/>
  <c r="M202" i="21"/>
  <c r="L202" i="21"/>
  <c r="AA202" i="21" s="1"/>
  <c r="S201" i="21"/>
  <c r="R201" i="21"/>
  <c r="Q201" i="21"/>
  <c r="P201" i="21"/>
  <c r="O201" i="21"/>
  <c r="N201" i="21"/>
  <c r="M201" i="21"/>
  <c r="L201" i="21"/>
  <c r="AA201" i="21" s="1"/>
  <c r="S200" i="21"/>
  <c r="R200" i="21"/>
  <c r="Q200" i="21"/>
  <c r="P200" i="21"/>
  <c r="O200" i="21"/>
  <c r="N200" i="21"/>
  <c r="M200" i="21"/>
  <c r="L200" i="21"/>
  <c r="Y200" i="21" s="1"/>
  <c r="S199" i="21"/>
  <c r="R199" i="21"/>
  <c r="Q199" i="21"/>
  <c r="P199" i="21"/>
  <c r="O199" i="21"/>
  <c r="N199" i="21"/>
  <c r="M199" i="21"/>
  <c r="L199" i="21"/>
  <c r="Y199" i="21" s="1"/>
  <c r="S198" i="21"/>
  <c r="R198" i="21"/>
  <c r="Q198" i="21"/>
  <c r="P198" i="21"/>
  <c r="O198" i="21"/>
  <c r="N198" i="21"/>
  <c r="M198" i="21"/>
  <c r="L198" i="21"/>
  <c r="S197" i="21"/>
  <c r="R197" i="21"/>
  <c r="Q197" i="21"/>
  <c r="P197" i="21"/>
  <c r="O197" i="21"/>
  <c r="N197" i="21"/>
  <c r="M197" i="21"/>
  <c r="L197" i="21"/>
  <c r="S196" i="21"/>
  <c r="R196" i="21"/>
  <c r="Q196" i="21"/>
  <c r="P196" i="21"/>
  <c r="O196" i="21"/>
  <c r="N196" i="21"/>
  <c r="M196" i="21"/>
  <c r="L196" i="21"/>
  <c r="Y196" i="21" s="1"/>
  <c r="S195" i="21"/>
  <c r="R195" i="21"/>
  <c r="Q195" i="21"/>
  <c r="P195" i="21"/>
  <c r="O195" i="21"/>
  <c r="N195" i="21"/>
  <c r="M195" i="21"/>
  <c r="L195" i="21"/>
  <c r="AA195" i="21" s="1"/>
  <c r="S194" i="21"/>
  <c r="R194" i="21"/>
  <c r="Q194" i="21"/>
  <c r="P194" i="21"/>
  <c r="O194" i="21"/>
  <c r="N194" i="21"/>
  <c r="M194" i="21"/>
  <c r="L194" i="21"/>
  <c r="AA194" i="21" s="1"/>
  <c r="S193" i="21"/>
  <c r="R193" i="21"/>
  <c r="Q193" i="21"/>
  <c r="P193" i="21"/>
  <c r="O193" i="21"/>
  <c r="N193" i="21"/>
  <c r="M193" i="21"/>
  <c r="L193" i="21"/>
  <c r="S192" i="21"/>
  <c r="R192" i="21"/>
  <c r="Q192" i="21"/>
  <c r="P192" i="21"/>
  <c r="O192" i="21"/>
  <c r="N192" i="21"/>
  <c r="M192" i="21"/>
  <c r="L192" i="21"/>
  <c r="S191" i="21"/>
  <c r="R191" i="21"/>
  <c r="Q191" i="21"/>
  <c r="P191" i="21"/>
  <c r="O191" i="21"/>
  <c r="N191" i="21"/>
  <c r="M191" i="21"/>
  <c r="L191" i="21"/>
  <c r="Y191" i="21" s="1"/>
  <c r="S190" i="21"/>
  <c r="R190" i="21"/>
  <c r="Q190" i="21"/>
  <c r="P190" i="21"/>
  <c r="O190" i="21"/>
  <c r="N190" i="21"/>
  <c r="M190" i="21"/>
  <c r="L190" i="21"/>
  <c r="Y190" i="21" s="1"/>
  <c r="S189" i="21"/>
  <c r="R189" i="21"/>
  <c r="Q189" i="21"/>
  <c r="P189" i="21"/>
  <c r="O189" i="21"/>
  <c r="N189" i="21"/>
  <c r="M189" i="21"/>
  <c r="L189" i="21"/>
  <c r="S188" i="21"/>
  <c r="R188" i="21"/>
  <c r="Q188" i="21"/>
  <c r="P188" i="21"/>
  <c r="O188" i="21"/>
  <c r="N188" i="21"/>
  <c r="M188" i="21"/>
  <c r="L188" i="21"/>
  <c r="S187" i="21"/>
  <c r="R187" i="21"/>
  <c r="Q187" i="21"/>
  <c r="P187" i="21"/>
  <c r="O187" i="21"/>
  <c r="N187" i="21"/>
  <c r="M187" i="21"/>
  <c r="L187" i="21"/>
  <c r="AA187" i="21" s="1"/>
  <c r="S186" i="21"/>
  <c r="R186" i="21"/>
  <c r="Q186" i="21"/>
  <c r="P186" i="21"/>
  <c r="O186" i="21"/>
  <c r="N186" i="21"/>
  <c r="M186" i="21"/>
  <c r="L186" i="21"/>
  <c r="AA186" i="21" s="1"/>
  <c r="S185" i="21"/>
  <c r="R185" i="21"/>
  <c r="Q185" i="21"/>
  <c r="P185" i="21"/>
  <c r="O185" i="21"/>
  <c r="N185" i="21"/>
  <c r="M185" i="21"/>
  <c r="L185" i="21"/>
  <c r="AA185" i="21" s="1"/>
  <c r="S184" i="21"/>
  <c r="R184" i="21"/>
  <c r="Q184" i="21"/>
  <c r="P184" i="21"/>
  <c r="O184" i="21"/>
  <c r="N184" i="21"/>
  <c r="M184" i="21"/>
  <c r="L184" i="21"/>
  <c r="AA184" i="21" s="1"/>
  <c r="S183" i="21"/>
  <c r="R183" i="21"/>
  <c r="Q183" i="21"/>
  <c r="P183" i="21"/>
  <c r="O183" i="21"/>
  <c r="N183" i="21"/>
  <c r="M183" i="21"/>
  <c r="L183" i="21"/>
  <c r="AA183" i="21" s="1"/>
  <c r="S182" i="21"/>
  <c r="R182" i="21"/>
  <c r="Q182" i="21"/>
  <c r="P182" i="21"/>
  <c r="O182" i="21"/>
  <c r="N182" i="21"/>
  <c r="M182" i="21"/>
  <c r="L182" i="21"/>
  <c r="Y182" i="21" s="1"/>
  <c r="S181" i="21"/>
  <c r="R181" i="21"/>
  <c r="Q181" i="21"/>
  <c r="P181" i="21"/>
  <c r="O181" i="21"/>
  <c r="N181" i="21"/>
  <c r="M181" i="21"/>
  <c r="L181" i="21"/>
  <c r="Y181" i="21" s="1"/>
  <c r="S180" i="21"/>
  <c r="R180" i="21"/>
  <c r="Q180" i="21"/>
  <c r="P180" i="21"/>
  <c r="O180" i="21"/>
  <c r="N180" i="21"/>
  <c r="M180" i="21"/>
  <c r="L180" i="21"/>
  <c r="Y180" i="21" s="1"/>
  <c r="S179" i="21"/>
  <c r="R179" i="21"/>
  <c r="Q179" i="21"/>
  <c r="P179" i="21"/>
  <c r="O179" i="21"/>
  <c r="N179" i="21"/>
  <c r="M179" i="21"/>
  <c r="L179" i="21"/>
  <c r="Y179" i="21" s="1"/>
  <c r="S178" i="21"/>
  <c r="R178" i="21"/>
  <c r="Q178" i="21"/>
  <c r="P178" i="21"/>
  <c r="O178" i="21"/>
  <c r="N178" i="21"/>
  <c r="M178" i="21"/>
  <c r="L178" i="21"/>
  <c r="AA178" i="21" s="1"/>
  <c r="S177" i="21"/>
  <c r="R177" i="21"/>
  <c r="Q177" i="21"/>
  <c r="P177" i="21"/>
  <c r="O177" i="21"/>
  <c r="N177" i="21"/>
  <c r="M177" i="21"/>
  <c r="L177" i="21"/>
  <c r="AA177" i="21" s="1"/>
  <c r="S176" i="21"/>
  <c r="R176" i="21"/>
  <c r="Q176" i="21"/>
  <c r="P176" i="21"/>
  <c r="O176" i="21"/>
  <c r="N176" i="21"/>
  <c r="M176" i="21"/>
  <c r="L176" i="21"/>
  <c r="AA176" i="21" s="1"/>
  <c r="S175" i="21"/>
  <c r="R175" i="21"/>
  <c r="Q175" i="21"/>
  <c r="P175" i="21"/>
  <c r="O175" i="21"/>
  <c r="N175" i="21"/>
  <c r="M175" i="21"/>
  <c r="L175" i="21"/>
  <c r="AA175" i="21" s="1"/>
  <c r="S174" i="21"/>
  <c r="R174" i="21"/>
  <c r="Q174" i="21"/>
  <c r="P174" i="21"/>
  <c r="O174" i="21"/>
  <c r="N174" i="21"/>
  <c r="M174" i="21"/>
  <c r="L174" i="21"/>
  <c r="AA174" i="21" s="1"/>
  <c r="S173" i="21"/>
  <c r="R173" i="21"/>
  <c r="Q173" i="21"/>
  <c r="P173" i="21"/>
  <c r="O173" i="21"/>
  <c r="N173" i="21"/>
  <c r="M173" i="21"/>
  <c r="L173" i="21"/>
  <c r="Y173" i="21" s="1"/>
  <c r="S172" i="21"/>
  <c r="R172" i="21"/>
  <c r="Q172" i="21"/>
  <c r="P172" i="21"/>
  <c r="O172" i="21"/>
  <c r="N172" i="21"/>
  <c r="M172" i="21"/>
  <c r="L172" i="21"/>
  <c r="Y172" i="21" s="1"/>
  <c r="S171" i="21"/>
  <c r="R171" i="21"/>
  <c r="Q171" i="21"/>
  <c r="P171" i="21"/>
  <c r="O171" i="21"/>
  <c r="N171" i="21"/>
  <c r="M171" i="21"/>
  <c r="L171" i="21"/>
  <c r="Y171" i="21" s="1"/>
  <c r="S170" i="21"/>
  <c r="R170" i="21"/>
  <c r="Q170" i="21"/>
  <c r="P170" i="21"/>
  <c r="O170" i="21"/>
  <c r="N170" i="21"/>
  <c r="M170" i="21"/>
  <c r="L170" i="21"/>
  <c r="Y170" i="21" s="1"/>
  <c r="S169" i="21"/>
  <c r="R169" i="21"/>
  <c r="Q169" i="21"/>
  <c r="P169" i="21"/>
  <c r="O169" i="21"/>
  <c r="N169" i="21"/>
  <c r="M169" i="21"/>
  <c r="L169" i="21"/>
  <c r="AA169" i="21" s="1"/>
  <c r="S168" i="21"/>
  <c r="R168" i="21"/>
  <c r="Q168" i="21"/>
  <c r="P168" i="21"/>
  <c r="O168" i="21"/>
  <c r="N168" i="21"/>
  <c r="M168" i="21"/>
  <c r="L168" i="21"/>
  <c r="AA168" i="21" s="1"/>
  <c r="S167" i="21"/>
  <c r="R167" i="21"/>
  <c r="Q167" i="21"/>
  <c r="P167" i="21"/>
  <c r="O167" i="21"/>
  <c r="N167" i="21"/>
  <c r="M167" i="21"/>
  <c r="L167" i="21"/>
  <c r="AA167" i="21" s="1"/>
  <c r="S166" i="21"/>
  <c r="R166" i="21"/>
  <c r="Q166" i="21"/>
  <c r="P166" i="21"/>
  <c r="O166" i="21"/>
  <c r="N166" i="21"/>
  <c r="M166" i="21"/>
  <c r="L166" i="21"/>
  <c r="AA166" i="21" s="1"/>
  <c r="S165" i="21"/>
  <c r="R165" i="21"/>
  <c r="Q165" i="21"/>
  <c r="P165" i="21"/>
  <c r="O165" i="21"/>
  <c r="N165" i="21"/>
  <c r="M165" i="21"/>
  <c r="L165" i="21"/>
  <c r="AA165" i="21" s="1"/>
  <c r="S164" i="21"/>
  <c r="R164" i="21"/>
  <c r="Q164" i="21"/>
  <c r="P164" i="21"/>
  <c r="O164" i="21"/>
  <c r="N164" i="21"/>
  <c r="M164" i="21"/>
  <c r="L164" i="21"/>
  <c r="Y164" i="21" s="1"/>
  <c r="S163" i="21"/>
  <c r="R163" i="21"/>
  <c r="Q163" i="21"/>
  <c r="P163" i="21"/>
  <c r="O163" i="21"/>
  <c r="N163" i="21"/>
  <c r="M163" i="21"/>
  <c r="L163" i="21"/>
  <c r="Y163" i="21" s="1"/>
  <c r="S162" i="21"/>
  <c r="R162" i="21"/>
  <c r="Q162" i="21"/>
  <c r="P162" i="21"/>
  <c r="O162" i="21"/>
  <c r="N162" i="21"/>
  <c r="M162" i="21"/>
  <c r="L162" i="21"/>
  <c r="Y162" i="21" s="1"/>
  <c r="S161" i="21"/>
  <c r="R161" i="21"/>
  <c r="Q161" i="21"/>
  <c r="P161" i="21"/>
  <c r="O161" i="21"/>
  <c r="N161" i="21"/>
  <c r="M161" i="21"/>
  <c r="L161" i="21"/>
  <c r="AA161" i="21" s="1"/>
  <c r="S160" i="21"/>
  <c r="R160" i="21"/>
  <c r="Q160" i="21"/>
  <c r="P160" i="21"/>
  <c r="O160" i="21"/>
  <c r="N160" i="21"/>
  <c r="M160" i="21"/>
  <c r="L160" i="21"/>
  <c r="S159" i="21"/>
  <c r="R159" i="21"/>
  <c r="Q159" i="21"/>
  <c r="P159" i="21"/>
  <c r="O159" i="21"/>
  <c r="N159" i="21"/>
  <c r="M159" i="21"/>
  <c r="L159" i="21"/>
  <c r="AA159" i="21" s="1"/>
  <c r="S158" i="21"/>
  <c r="R158" i="21"/>
  <c r="Q158" i="21"/>
  <c r="P158" i="21"/>
  <c r="O158" i="21"/>
  <c r="N158" i="21"/>
  <c r="M158" i="21"/>
  <c r="L158" i="21"/>
  <c r="AA158" i="21" s="1"/>
  <c r="S157" i="21"/>
  <c r="R157" i="21"/>
  <c r="Q157" i="21"/>
  <c r="P157" i="21"/>
  <c r="O157" i="21"/>
  <c r="N157" i="21"/>
  <c r="M157" i="21"/>
  <c r="L157" i="21"/>
  <c r="AA157" i="21" s="1"/>
  <c r="S156" i="21"/>
  <c r="R156" i="21"/>
  <c r="Q156" i="21"/>
  <c r="P156" i="21"/>
  <c r="O156" i="21"/>
  <c r="N156" i="21"/>
  <c r="M156" i="21"/>
  <c r="L156" i="21"/>
  <c r="Y156" i="21" s="1"/>
  <c r="S155" i="21"/>
  <c r="R155" i="21"/>
  <c r="Q155" i="21"/>
  <c r="P155" i="21"/>
  <c r="O155" i="21"/>
  <c r="N155" i="21"/>
  <c r="M155" i="21"/>
  <c r="L155" i="21"/>
  <c r="AA155" i="21" s="1"/>
  <c r="S154" i="21"/>
  <c r="R154" i="21"/>
  <c r="Q154" i="21"/>
  <c r="P154" i="21"/>
  <c r="O154" i="21"/>
  <c r="N154" i="21"/>
  <c r="M154" i="21"/>
  <c r="L154" i="21"/>
  <c r="Y154" i="21" s="1"/>
  <c r="S153" i="21"/>
  <c r="R153" i="21"/>
  <c r="Q153" i="21"/>
  <c r="P153" i="21"/>
  <c r="O153" i="21"/>
  <c r="N153" i="21"/>
  <c r="M153" i="21"/>
  <c r="L153" i="21"/>
  <c r="AA153" i="21" s="1"/>
  <c r="S152" i="21"/>
  <c r="R152" i="21"/>
  <c r="Q152" i="21"/>
  <c r="P152" i="21"/>
  <c r="O152" i="21"/>
  <c r="N152" i="21"/>
  <c r="M152" i="21"/>
  <c r="L152" i="21"/>
  <c r="AA152" i="21" s="1"/>
  <c r="S151" i="21"/>
  <c r="R151" i="21"/>
  <c r="Q151" i="21"/>
  <c r="P151" i="21"/>
  <c r="O151" i="21"/>
  <c r="N151" i="21"/>
  <c r="M151" i="21"/>
  <c r="L151" i="21"/>
  <c r="S150" i="21"/>
  <c r="R150" i="21"/>
  <c r="Q150" i="21"/>
  <c r="P150" i="21"/>
  <c r="O150" i="21"/>
  <c r="N150" i="21"/>
  <c r="M150" i="21"/>
  <c r="L150" i="21"/>
  <c r="AA150" i="21" s="1"/>
  <c r="S149" i="21"/>
  <c r="R149" i="21"/>
  <c r="Q149" i="21"/>
  <c r="P149" i="21"/>
  <c r="O149" i="21"/>
  <c r="N149" i="21"/>
  <c r="M149" i="21"/>
  <c r="L149" i="21"/>
  <c r="AA149" i="21" s="1"/>
  <c r="S148" i="21"/>
  <c r="R148" i="21"/>
  <c r="Q148" i="21"/>
  <c r="P148" i="21"/>
  <c r="O148" i="21"/>
  <c r="N148" i="21"/>
  <c r="M148" i="21"/>
  <c r="L148" i="21"/>
  <c r="Y148" i="21" s="1"/>
  <c r="S147" i="21"/>
  <c r="R147" i="21"/>
  <c r="Q147" i="21"/>
  <c r="P147" i="21"/>
  <c r="O147" i="21"/>
  <c r="N147" i="21"/>
  <c r="M147" i="21"/>
  <c r="L147" i="21"/>
  <c r="Y147" i="21" s="1"/>
  <c r="S146" i="21"/>
  <c r="R146" i="21"/>
  <c r="Q146" i="21"/>
  <c r="P146" i="21"/>
  <c r="O146" i="21"/>
  <c r="N146" i="21"/>
  <c r="M146" i="21"/>
  <c r="L146" i="21"/>
  <c r="AA146" i="21" s="1"/>
  <c r="S145" i="21"/>
  <c r="R145" i="21"/>
  <c r="Q145" i="21"/>
  <c r="P145" i="21"/>
  <c r="O145" i="21"/>
  <c r="N145" i="21"/>
  <c r="M145" i="21"/>
  <c r="L145" i="21"/>
  <c r="AA145" i="21" s="1"/>
  <c r="S144" i="21"/>
  <c r="R144" i="21"/>
  <c r="Q144" i="21"/>
  <c r="P144" i="21"/>
  <c r="O144" i="21"/>
  <c r="N144" i="21"/>
  <c r="M144" i="21"/>
  <c r="L144" i="21"/>
  <c r="Y144" i="21" s="1"/>
  <c r="S143" i="21"/>
  <c r="R143" i="21"/>
  <c r="Q143" i="21"/>
  <c r="P143" i="21"/>
  <c r="O143" i="21"/>
  <c r="N143" i="21"/>
  <c r="M143" i="21"/>
  <c r="L143" i="21"/>
  <c r="AA143" i="21" s="1"/>
  <c r="S142" i="21"/>
  <c r="R142" i="21"/>
  <c r="Q142" i="21"/>
  <c r="P142" i="21"/>
  <c r="O142" i="21"/>
  <c r="N142" i="21"/>
  <c r="M142" i="21"/>
  <c r="L142" i="21"/>
  <c r="Y142" i="21" s="1"/>
  <c r="S141" i="21"/>
  <c r="R141" i="21"/>
  <c r="Q141" i="21"/>
  <c r="P141" i="21"/>
  <c r="O141" i="21"/>
  <c r="N141" i="21"/>
  <c r="M141" i="21"/>
  <c r="L141" i="21"/>
  <c r="AA141" i="21" s="1"/>
  <c r="S140" i="21"/>
  <c r="R140" i="21"/>
  <c r="Q140" i="21"/>
  <c r="P140" i="21"/>
  <c r="O140" i="21"/>
  <c r="N140" i="21"/>
  <c r="M140" i="21"/>
  <c r="L140" i="21"/>
  <c r="Y140" i="21" s="1"/>
  <c r="S139" i="21"/>
  <c r="R139" i="21"/>
  <c r="Q139" i="21"/>
  <c r="P139" i="21"/>
  <c r="O139" i="21"/>
  <c r="N139" i="21"/>
  <c r="M139" i="21"/>
  <c r="L139" i="21"/>
  <c r="AA139" i="21" s="1"/>
  <c r="S138" i="21"/>
  <c r="R138" i="21"/>
  <c r="Q138" i="21"/>
  <c r="P138" i="21"/>
  <c r="O138" i="21"/>
  <c r="N138" i="21"/>
  <c r="M138" i="21"/>
  <c r="L138" i="21"/>
  <c r="Y138" i="21" s="1"/>
  <c r="S137" i="21"/>
  <c r="R137" i="21"/>
  <c r="Q137" i="21"/>
  <c r="P137" i="21"/>
  <c r="O137" i="21"/>
  <c r="N137" i="21"/>
  <c r="M137" i="21"/>
  <c r="L137" i="21"/>
  <c r="S136" i="21"/>
  <c r="R136" i="21"/>
  <c r="Q136" i="21"/>
  <c r="P136" i="21"/>
  <c r="O136" i="21"/>
  <c r="N136" i="21"/>
  <c r="M136" i="21"/>
  <c r="L136" i="21"/>
  <c r="Y136" i="21" s="1"/>
  <c r="S135" i="21"/>
  <c r="R135" i="21"/>
  <c r="Q135" i="21"/>
  <c r="P135" i="21"/>
  <c r="O135" i="21"/>
  <c r="N135" i="21"/>
  <c r="M135" i="21"/>
  <c r="L135" i="21"/>
  <c r="Y135" i="21" s="1"/>
  <c r="S134" i="21"/>
  <c r="R134" i="21"/>
  <c r="Q134" i="21"/>
  <c r="P134" i="21"/>
  <c r="O134" i="21"/>
  <c r="N134" i="21"/>
  <c r="M134" i="21"/>
  <c r="L134" i="21"/>
  <c r="Y134" i="21" s="1"/>
  <c r="S133" i="21"/>
  <c r="R133" i="21"/>
  <c r="Q133" i="21"/>
  <c r="P133" i="21"/>
  <c r="O133" i="21"/>
  <c r="N133" i="21"/>
  <c r="M133" i="21"/>
  <c r="L133" i="21"/>
  <c r="S132" i="21"/>
  <c r="R132" i="21"/>
  <c r="Q132" i="21"/>
  <c r="P132" i="21"/>
  <c r="O132" i="21"/>
  <c r="N132" i="21"/>
  <c r="M132" i="21"/>
  <c r="L132" i="21"/>
  <c r="Y132" i="21" s="1"/>
  <c r="S131" i="21"/>
  <c r="R131" i="21"/>
  <c r="Q131" i="21"/>
  <c r="P131" i="21"/>
  <c r="O131" i="21"/>
  <c r="N131" i="21"/>
  <c r="M131" i="21"/>
  <c r="L131" i="21"/>
  <c r="AA131" i="21" s="1"/>
  <c r="S130" i="21"/>
  <c r="R130" i="21"/>
  <c r="Q130" i="21"/>
  <c r="P130" i="21"/>
  <c r="O130" i="21"/>
  <c r="N130" i="21"/>
  <c r="M130" i="21"/>
  <c r="L130" i="21"/>
  <c r="AA130" i="21" s="1"/>
  <c r="S129" i="21"/>
  <c r="R129" i="21"/>
  <c r="Q129" i="21"/>
  <c r="P129" i="21"/>
  <c r="O129" i="21"/>
  <c r="N129" i="21"/>
  <c r="M129" i="21"/>
  <c r="L129" i="21"/>
  <c r="AA129" i="21" s="1"/>
  <c r="S128" i="21"/>
  <c r="R128" i="21"/>
  <c r="Q128" i="21"/>
  <c r="P128" i="21"/>
  <c r="O128" i="21"/>
  <c r="N128" i="21"/>
  <c r="M128" i="21"/>
  <c r="L128" i="21"/>
  <c r="AA128" i="21" s="1"/>
  <c r="S127" i="21"/>
  <c r="R127" i="21"/>
  <c r="Q127" i="21"/>
  <c r="P127" i="21"/>
  <c r="O127" i="21"/>
  <c r="N127" i="21"/>
  <c r="M127" i="21"/>
  <c r="L127" i="21"/>
  <c r="Y127" i="21" s="1"/>
  <c r="S126" i="21"/>
  <c r="R126" i="21"/>
  <c r="Q126" i="21"/>
  <c r="P126" i="21"/>
  <c r="O126" i="21"/>
  <c r="N126" i="21"/>
  <c r="M126" i="21"/>
  <c r="L126" i="21"/>
  <c r="Y126" i="21" s="1"/>
  <c r="S125" i="21"/>
  <c r="R125" i="21"/>
  <c r="Q125" i="21"/>
  <c r="P125" i="21"/>
  <c r="O125" i="21"/>
  <c r="N125" i="21"/>
  <c r="M125" i="21"/>
  <c r="L125" i="21"/>
  <c r="Y125" i="21" s="1"/>
  <c r="S124" i="21"/>
  <c r="R124" i="21"/>
  <c r="Q124" i="21"/>
  <c r="P124" i="21"/>
  <c r="O124" i="21"/>
  <c r="N124" i="21"/>
  <c r="M124" i="21"/>
  <c r="L124" i="21"/>
  <c r="S123" i="21"/>
  <c r="R123" i="21"/>
  <c r="Q123" i="21"/>
  <c r="P123" i="21"/>
  <c r="O123" i="21"/>
  <c r="N123" i="21"/>
  <c r="M123" i="21"/>
  <c r="L123" i="21"/>
  <c r="AA123" i="21" s="1"/>
  <c r="S122" i="21"/>
  <c r="R122" i="21"/>
  <c r="Q122" i="21"/>
  <c r="P122" i="21"/>
  <c r="O122" i="21"/>
  <c r="N122" i="21"/>
  <c r="M122" i="21"/>
  <c r="L122" i="21"/>
  <c r="AA122" i="21" s="1"/>
  <c r="S121" i="21"/>
  <c r="R121" i="21"/>
  <c r="Q121" i="21"/>
  <c r="P121" i="21"/>
  <c r="O121" i="21"/>
  <c r="N121" i="21"/>
  <c r="M121" i="21"/>
  <c r="L121" i="21"/>
  <c r="AA121" i="21" s="1"/>
  <c r="S120" i="21"/>
  <c r="R120" i="21"/>
  <c r="Q120" i="21"/>
  <c r="P120" i="21"/>
  <c r="O120" i="21"/>
  <c r="N120" i="21"/>
  <c r="M120" i="21"/>
  <c r="L120" i="21"/>
  <c r="AA120" i="21" s="1"/>
  <c r="S119" i="21"/>
  <c r="R119" i="21"/>
  <c r="Q119" i="21"/>
  <c r="P119" i="21"/>
  <c r="O119" i="21"/>
  <c r="N119" i="21"/>
  <c r="M119" i="21"/>
  <c r="L119" i="21"/>
  <c r="AA119" i="21" s="1"/>
  <c r="S118" i="21"/>
  <c r="R118" i="21"/>
  <c r="Q118" i="21"/>
  <c r="P118" i="21"/>
  <c r="O118" i="21"/>
  <c r="N118" i="21"/>
  <c r="M118" i="21"/>
  <c r="L118" i="21"/>
  <c r="Y118" i="21" s="1"/>
  <c r="S117" i="21"/>
  <c r="R117" i="21"/>
  <c r="Q117" i="21"/>
  <c r="P117" i="21"/>
  <c r="O117" i="21"/>
  <c r="N117" i="21"/>
  <c r="M117" i="21"/>
  <c r="L117" i="21"/>
  <c r="Y117" i="21" s="1"/>
  <c r="S116" i="21"/>
  <c r="R116" i="21"/>
  <c r="Q116" i="21"/>
  <c r="P116" i="21"/>
  <c r="O116" i="21"/>
  <c r="N116" i="21"/>
  <c r="M116" i="21"/>
  <c r="L116" i="21"/>
  <c r="Y116" i="21" s="1"/>
  <c r="S115" i="21"/>
  <c r="R115" i="21"/>
  <c r="Q115" i="21"/>
  <c r="P115" i="21"/>
  <c r="O115" i="21"/>
  <c r="N115" i="21"/>
  <c r="M115" i="21"/>
  <c r="L115" i="21"/>
  <c r="Y115" i="21" s="1"/>
  <c r="S114" i="21"/>
  <c r="R114" i="21"/>
  <c r="Q114" i="21"/>
  <c r="P114" i="21"/>
  <c r="O114" i="21"/>
  <c r="N114" i="21"/>
  <c r="M114" i="21"/>
  <c r="L114" i="21"/>
  <c r="AA114" i="21" s="1"/>
  <c r="S113" i="21"/>
  <c r="R113" i="21"/>
  <c r="Q113" i="21"/>
  <c r="P113" i="21"/>
  <c r="O113" i="21"/>
  <c r="N113" i="21"/>
  <c r="M113" i="21"/>
  <c r="L113" i="21"/>
  <c r="AA113" i="21" s="1"/>
  <c r="S112" i="21"/>
  <c r="R112" i="21"/>
  <c r="Q112" i="21"/>
  <c r="P112" i="21"/>
  <c r="O112" i="21"/>
  <c r="N112" i="21"/>
  <c r="M112" i="21"/>
  <c r="L112" i="21"/>
  <c r="AA112" i="21" s="1"/>
  <c r="S111" i="21"/>
  <c r="R111" i="21"/>
  <c r="Q111" i="21"/>
  <c r="P111" i="21"/>
  <c r="O111" i="21"/>
  <c r="N111" i="21"/>
  <c r="M111" i="21"/>
  <c r="L111" i="21"/>
  <c r="AA111" i="21" s="1"/>
  <c r="S110" i="21"/>
  <c r="R110" i="21"/>
  <c r="Q110" i="21"/>
  <c r="P110" i="21"/>
  <c r="O110" i="21"/>
  <c r="N110" i="21"/>
  <c r="M110" i="21"/>
  <c r="L110" i="21"/>
  <c r="AA110" i="21" s="1"/>
  <c r="S109" i="21"/>
  <c r="R109" i="21"/>
  <c r="Q109" i="21"/>
  <c r="P109" i="21"/>
  <c r="O109" i="21"/>
  <c r="N109" i="21"/>
  <c r="M109" i="21"/>
  <c r="L109" i="21"/>
  <c r="Y109" i="21" s="1"/>
  <c r="S108" i="21"/>
  <c r="R108" i="21"/>
  <c r="Q108" i="21"/>
  <c r="P108" i="21"/>
  <c r="O108" i="21"/>
  <c r="N108" i="21"/>
  <c r="M108" i="21"/>
  <c r="L108" i="21"/>
  <c r="Y108" i="21" s="1"/>
  <c r="S107" i="21"/>
  <c r="R107" i="21"/>
  <c r="Q107" i="21"/>
  <c r="P107" i="21"/>
  <c r="O107" i="21"/>
  <c r="N107" i="21"/>
  <c r="M107" i="21"/>
  <c r="L107" i="21"/>
  <c r="Y107" i="21" s="1"/>
  <c r="S106" i="21"/>
  <c r="R106" i="21"/>
  <c r="Q106" i="21"/>
  <c r="P106" i="21"/>
  <c r="O106" i="21"/>
  <c r="N106" i="21"/>
  <c r="M106" i="21"/>
  <c r="L106" i="21"/>
  <c r="Y106" i="21" s="1"/>
  <c r="S105" i="21"/>
  <c r="R105" i="21"/>
  <c r="Q105" i="21"/>
  <c r="P105" i="21"/>
  <c r="O105" i="21"/>
  <c r="N105" i="21"/>
  <c r="M105" i="21"/>
  <c r="L105" i="21"/>
  <c r="AA105" i="21" s="1"/>
  <c r="S104" i="21"/>
  <c r="R104" i="21"/>
  <c r="Q104" i="21"/>
  <c r="P104" i="21"/>
  <c r="O104" i="21"/>
  <c r="N104" i="21"/>
  <c r="M104" i="21"/>
  <c r="L104" i="21"/>
  <c r="AA104" i="21" s="1"/>
  <c r="S103" i="21"/>
  <c r="R103" i="21"/>
  <c r="Q103" i="21"/>
  <c r="P103" i="21"/>
  <c r="O103" i="21"/>
  <c r="N103" i="21"/>
  <c r="M103" i="21"/>
  <c r="L103" i="21"/>
  <c r="AA103" i="21" s="1"/>
  <c r="S102" i="21"/>
  <c r="R102" i="21"/>
  <c r="Q102" i="21"/>
  <c r="P102" i="21"/>
  <c r="O102" i="21"/>
  <c r="N102" i="21"/>
  <c r="M102" i="21"/>
  <c r="L102" i="21"/>
  <c r="AA102" i="21" s="1"/>
  <c r="S101" i="21"/>
  <c r="R101" i="21"/>
  <c r="Q101" i="21"/>
  <c r="P101" i="21"/>
  <c r="O101" i="21"/>
  <c r="N101" i="21"/>
  <c r="M101" i="21"/>
  <c r="L101" i="21"/>
  <c r="AA101" i="21" s="1"/>
  <c r="S100" i="21"/>
  <c r="R100" i="21"/>
  <c r="Q100" i="21"/>
  <c r="P100" i="21"/>
  <c r="O100" i="21"/>
  <c r="N100" i="21"/>
  <c r="M100" i="21"/>
  <c r="L100" i="21"/>
  <c r="Y100" i="21" s="1"/>
  <c r="S99" i="21"/>
  <c r="R99" i="21"/>
  <c r="Q99" i="21"/>
  <c r="P99" i="21"/>
  <c r="O99" i="21"/>
  <c r="N99" i="21"/>
  <c r="M99" i="21"/>
  <c r="L99" i="21"/>
  <c r="Y99" i="21" s="1"/>
  <c r="S98" i="21"/>
  <c r="R98" i="21"/>
  <c r="Q98" i="21"/>
  <c r="P98" i="21"/>
  <c r="O98" i="21"/>
  <c r="N98" i="21"/>
  <c r="M98" i="21"/>
  <c r="L98" i="21"/>
  <c r="Y98" i="21" s="1"/>
  <c r="S97" i="21"/>
  <c r="R97" i="21"/>
  <c r="Q97" i="21"/>
  <c r="P97" i="21"/>
  <c r="O97" i="21"/>
  <c r="N97" i="21"/>
  <c r="M97" i="21"/>
  <c r="L97" i="21"/>
  <c r="AA97" i="21" s="1"/>
  <c r="S96" i="21"/>
  <c r="R96" i="21"/>
  <c r="Q96" i="21"/>
  <c r="P96" i="21"/>
  <c r="O96" i="21"/>
  <c r="N96" i="21"/>
  <c r="M96" i="21"/>
  <c r="L96" i="21"/>
  <c r="S95" i="21"/>
  <c r="R95" i="21"/>
  <c r="Q95" i="21"/>
  <c r="P95" i="21"/>
  <c r="O95" i="21"/>
  <c r="N95" i="21"/>
  <c r="M95" i="21"/>
  <c r="L95" i="21"/>
  <c r="AA95" i="21" s="1"/>
  <c r="S94" i="21"/>
  <c r="R94" i="21"/>
  <c r="Q94" i="21"/>
  <c r="P94" i="21"/>
  <c r="O94" i="21"/>
  <c r="N94" i="21"/>
  <c r="M94" i="21"/>
  <c r="L94" i="21"/>
  <c r="AA94" i="21" s="1"/>
  <c r="S93" i="21"/>
  <c r="R93" i="21"/>
  <c r="Q93" i="21"/>
  <c r="P93" i="21"/>
  <c r="O93" i="21"/>
  <c r="N93" i="21"/>
  <c r="M93" i="21"/>
  <c r="L93" i="21"/>
  <c r="Y93" i="21" s="1"/>
  <c r="S92" i="21"/>
  <c r="R92" i="21"/>
  <c r="Q92" i="21"/>
  <c r="P92" i="21"/>
  <c r="O92" i="21"/>
  <c r="N92" i="21"/>
  <c r="M92" i="21"/>
  <c r="L92" i="21"/>
  <c r="Y92" i="21" s="1"/>
  <c r="S91" i="21"/>
  <c r="R91" i="21"/>
  <c r="Q91" i="21"/>
  <c r="P91" i="21"/>
  <c r="O91" i="21"/>
  <c r="N91" i="21"/>
  <c r="M91" i="21"/>
  <c r="L91" i="21"/>
  <c r="AA91" i="21" s="1"/>
  <c r="S90" i="21"/>
  <c r="R90" i="21"/>
  <c r="Q90" i="21"/>
  <c r="P90" i="21"/>
  <c r="O90" i="21"/>
  <c r="N90" i="21"/>
  <c r="M90" i="21"/>
  <c r="L90" i="21"/>
  <c r="Y90" i="21" s="1"/>
  <c r="S89" i="21"/>
  <c r="R89" i="21"/>
  <c r="Q89" i="21"/>
  <c r="P89" i="21"/>
  <c r="O89" i="21"/>
  <c r="N89" i="21"/>
  <c r="M89" i="21"/>
  <c r="L89" i="21"/>
  <c r="AA89" i="21" s="1"/>
  <c r="S88" i="21"/>
  <c r="R88" i="21"/>
  <c r="Q88" i="21"/>
  <c r="P88" i="21"/>
  <c r="O88" i="21"/>
  <c r="N88" i="21"/>
  <c r="M88" i="21"/>
  <c r="L88" i="21"/>
  <c r="AA88" i="21" s="1"/>
  <c r="S87" i="21"/>
  <c r="R87" i="21"/>
  <c r="Q87" i="21"/>
  <c r="P87" i="21"/>
  <c r="O87" i="21"/>
  <c r="N87" i="21"/>
  <c r="M87" i="21"/>
  <c r="L87" i="21"/>
  <c r="S86" i="21"/>
  <c r="R86" i="21"/>
  <c r="Q86" i="21"/>
  <c r="P86" i="21"/>
  <c r="O86" i="21"/>
  <c r="N86" i="21"/>
  <c r="M86" i="21"/>
  <c r="L86" i="21"/>
  <c r="AA86" i="21" s="1"/>
  <c r="S85" i="21"/>
  <c r="R85" i="21"/>
  <c r="Q85" i="21"/>
  <c r="P85" i="21"/>
  <c r="O85" i="21"/>
  <c r="N85" i="21"/>
  <c r="M85" i="21"/>
  <c r="L85" i="21"/>
  <c r="AA85" i="21" s="1"/>
  <c r="S84" i="21"/>
  <c r="R84" i="21"/>
  <c r="Q84" i="21"/>
  <c r="P84" i="21"/>
  <c r="O84" i="21"/>
  <c r="N84" i="21"/>
  <c r="M84" i="21"/>
  <c r="L84" i="21"/>
  <c r="Y84" i="21" s="1"/>
  <c r="S83" i="21"/>
  <c r="R83" i="21"/>
  <c r="Q83" i="21"/>
  <c r="P83" i="21"/>
  <c r="O83" i="21"/>
  <c r="N83" i="21"/>
  <c r="M83" i="21"/>
  <c r="L83" i="21"/>
  <c r="AA83" i="21" s="1"/>
  <c r="S82" i="21"/>
  <c r="R82" i="21"/>
  <c r="Q82" i="21"/>
  <c r="P82" i="21"/>
  <c r="O82" i="21"/>
  <c r="N82" i="21"/>
  <c r="M82" i="21"/>
  <c r="L82" i="21"/>
  <c r="AA82" i="21" s="1"/>
  <c r="S81" i="21"/>
  <c r="R81" i="21"/>
  <c r="Q81" i="21"/>
  <c r="P81" i="21"/>
  <c r="O81" i="21"/>
  <c r="N81" i="21"/>
  <c r="M81" i="21"/>
  <c r="L81" i="21"/>
  <c r="AA81" i="21" s="1"/>
  <c r="S80" i="21"/>
  <c r="R80" i="21"/>
  <c r="Q80" i="21"/>
  <c r="P80" i="21"/>
  <c r="O80" i="21"/>
  <c r="N80" i="21"/>
  <c r="M80" i="21"/>
  <c r="L80" i="21"/>
  <c r="Y80" i="21" s="1"/>
  <c r="S79" i="21"/>
  <c r="R79" i="21"/>
  <c r="Q79" i="21"/>
  <c r="P79" i="21"/>
  <c r="O79" i="21"/>
  <c r="N79" i="21"/>
  <c r="M79" i="21"/>
  <c r="L79" i="21"/>
  <c r="Y79" i="21" s="1"/>
  <c r="S78" i="21"/>
  <c r="R78" i="21"/>
  <c r="Q78" i="21"/>
  <c r="P78" i="21"/>
  <c r="O78" i="21"/>
  <c r="N78" i="21"/>
  <c r="M78" i="21"/>
  <c r="L78" i="21"/>
  <c r="S77" i="21"/>
  <c r="R77" i="21"/>
  <c r="Q77" i="21"/>
  <c r="P77" i="21"/>
  <c r="O77" i="21"/>
  <c r="N77" i="21"/>
  <c r="M77" i="21"/>
  <c r="L77" i="21"/>
  <c r="AA77" i="21" s="1"/>
  <c r="S76" i="21"/>
  <c r="R76" i="21"/>
  <c r="Q76" i="21"/>
  <c r="P76" i="21"/>
  <c r="O76" i="21"/>
  <c r="N76" i="21"/>
  <c r="M76" i="21"/>
  <c r="L76" i="21"/>
  <c r="AA76" i="21" s="1"/>
  <c r="S75" i="21"/>
  <c r="R75" i="21"/>
  <c r="Q75" i="21"/>
  <c r="P75" i="21"/>
  <c r="O75" i="21"/>
  <c r="N75" i="21"/>
  <c r="M75" i="21"/>
  <c r="L75" i="21"/>
  <c r="AA75" i="21" s="1"/>
  <c r="S74" i="21"/>
  <c r="R74" i="21"/>
  <c r="Q74" i="21"/>
  <c r="P74" i="21"/>
  <c r="O74" i="21"/>
  <c r="N74" i="21"/>
  <c r="M74" i="21"/>
  <c r="L74" i="21"/>
  <c r="AA74" i="21" s="1"/>
  <c r="S73" i="21"/>
  <c r="R73" i="21"/>
  <c r="Q73" i="21"/>
  <c r="P73" i="21"/>
  <c r="O73" i="21"/>
  <c r="N73" i="21"/>
  <c r="M73" i="21"/>
  <c r="L73" i="21"/>
  <c r="AA73" i="21" s="1"/>
  <c r="S72" i="21"/>
  <c r="R72" i="21"/>
  <c r="Q72" i="21"/>
  <c r="P72" i="21"/>
  <c r="O72" i="21"/>
  <c r="N72" i="21"/>
  <c r="M72" i="21"/>
  <c r="L72" i="21"/>
  <c r="Y72" i="21" s="1"/>
  <c r="S71" i="21"/>
  <c r="R71" i="21"/>
  <c r="Q71" i="21"/>
  <c r="P71" i="21"/>
  <c r="O71" i="21"/>
  <c r="N71" i="21"/>
  <c r="M71" i="21"/>
  <c r="L71" i="21"/>
  <c r="Y71" i="21" s="1"/>
  <c r="S70" i="21"/>
  <c r="R70" i="21"/>
  <c r="Q70" i="21"/>
  <c r="P70" i="21"/>
  <c r="O70" i="21"/>
  <c r="N70" i="21"/>
  <c r="M70" i="21"/>
  <c r="L70" i="21"/>
  <c r="AA70" i="21" s="1"/>
  <c r="S69" i="21"/>
  <c r="R69" i="21"/>
  <c r="Q69" i="21"/>
  <c r="P69" i="21"/>
  <c r="O69" i="21"/>
  <c r="N69" i="21"/>
  <c r="M69" i="21"/>
  <c r="L69" i="21"/>
  <c r="S68" i="21"/>
  <c r="R68" i="21"/>
  <c r="Q68" i="21"/>
  <c r="P68" i="21"/>
  <c r="O68" i="21"/>
  <c r="N68" i="21"/>
  <c r="M68" i="21"/>
  <c r="L68" i="21"/>
  <c r="AA68" i="21" s="1"/>
  <c r="S67" i="21"/>
  <c r="R67" i="21"/>
  <c r="Q67" i="21"/>
  <c r="P67" i="21"/>
  <c r="O67" i="21"/>
  <c r="N67" i="21"/>
  <c r="M67" i="21"/>
  <c r="L67" i="21"/>
  <c r="AA67" i="21" s="1"/>
  <c r="S66" i="21"/>
  <c r="R66" i="21"/>
  <c r="Q66" i="21"/>
  <c r="P66" i="21"/>
  <c r="O66" i="21"/>
  <c r="N66" i="21"/>
  <c r="M66" i="21"/>
  <c r="L66" i="21"/>
  <c r="AA66" i="21" s="1"/>
  <c r="S65" i="21"/>
  <c r="R65" i="21"/>
  <c r="Q65" i="21"/>
  <c r="P65" i="21"/>
  <c r="O65" i="21"/>
  <c r="N65" i="21"/>
  <c r="M65" i="21"/>
  <c r="L65" i="21"/>
  <c r="AA65" i="21" s="1"/>
  <c r="S64" i="21"/>
  <c r="R64" i="21"/>
  <c r="Q64" i="21"/>
  <c r="P64" i="21"/>
  <c r="O64" i="21"/>
  <c r="N64" i="21"/>
  <c r="M64" i="21"/>
  <c r="L64" i="21"/>
  <c r="Y64" i="21" s="1"/>
  <c r="S63" i="21"/>
  <c r="R63" i="21"/>
  <c r="Q63" i="21"/>
  <c r="P63" i="21"/>
  <c r="O63" i="21"/>
  <c r="N63" i="21"/>
  <c r="M63" i="21"/>
  <c r="L63" i="21"/>
  <c r="Y63" i="21" s="1"/>
  <c r="S62" i="21"/>
  <c r="R62" i="21"/>
  <c r="Q62" i="21"/>
  <c r="P62" i="21"/>
  <c r="O62" i="21"/>
  <c r="N62" i="21"/>
  <c r="M62" i="21"/>
  <c r="L62" i="21"/>
  <c r="Y62" i="21" s="1"/>
  <c r="S61" i="21"/>
  <c r="R61" i="21"/>
  <c r="Q61" i="21"/>
  <c r="P61" i="21"/>
  <c r="O61" i="21"/>
  <c r="N61" i="21"/>
  <c r="M61" i="21"/>
  <c r="L61" i="21"/>
  <c r="AA61" i="21" s="1"/>
  <c r="S60" i="21"/>
  <c r="R60" i="21"/>
  <c r="Q60" i="21"/>
  <c r="P60" i="21"/>
  <c r="O60" i="21"/>
  <c r="N60" i="21"/>
  <c r="M60" i="21"/>
  <c r="L60" i="21"/>
  <c r="S59" i="21"/>
  <c r="R59" i="21"/>
  <c r="Q59" i="21"/>
  <c r="P59" i="21"/>
  <c r="O59" i="21"/>
  <c r="N59" i="21"/>
  <c r="M59" i="21"/>
  <c r="L59" i="21"/>
  <c r="AA59" i="21" s="1"/>
  <c r="S58" i="21"/>
  <c r="R58" i="21"/>
  <c r="Q58" i="21"/>
  <c r="P58" i="21"/>
  <c r="O58" i="21"/>
  <c r="N58" i="21"/>
  <c r="M58" i="21"/>
  <c r="L58" i="21"/>
  <c r="AA58" i="21" s="1"/>
  <c r="S57" i="21"/>
  <c r="R57" i="21"/>
  <c r="Q57" i="21"/>
  <c r="P57" i="21"/>
  <c r="O57" i="21"/>
  <c r="N57" i="21"/>
  <c r="M57" i="21"/>
  <c r="L57" i="21"/>
  <c r="AA57" i="21" s="1"/>
  <c r="S56" i="21"/>
  <c r="R56" i="21"/>
  <c r="Q56" i="21"/>
  <c r="P56" i="21"/>
  <c r="O56" i="21"/>
  <c r="N56" i="21"/>
  <c r="M56" i="21"/>
  <c r="L56" i="21"/>
  <c r="Y56" i="21" s="1"/>
  <c r="S55" i="21"/>
  <c r="R55" i="21"/>
  <c r="Q55" i="21"/>
  <c r="P55" i="21"/>
  <c r="O55" i="21"/>
  <c r="N55" i="21"/>
  <c r="M55" i="21"/>
  <c r="L55" i="21"/>
  <c r="Y55" i="21" s="1"/>
  <c r="S54" i="21"/>
  <c r="R54" i="21"/>
  <c r="Q54" i="21"/>
  <c r="P54" i="21"/>
  <c r="O54" i="21"/>
  <c r="N54" i="21"/>
  <c r="M54" i="21"/>
  <c r="L54" i="21"/>
  <c r="Y54" i="21" s="1"/>
  <c r="S53" i="21"/>
  <c r="R53" i="21"/>
  <c r="Q53" i="21"/>
  <c r="P53" i="21"/>
  <c r="O53" i="21"/>
  <c r="N53" i="21"/>
  <c r="M53" i="21"/>
  <c r="L53" i="21"/>
  <c r="AA53" i="21" s="1"/>
  <c r="S52" i="21"/>
  <c r="R52" i="21"/>
  <c r="Q52" i="21"/>
  <c r="P52" i="21"/>
  <c r="O52" i="21"/>
  <c r="N52" i="21"/>
  <c r="M52" i="21"/>
  <c r="L52" i="21"/>
  <c r="Y52" i="21" s="1"/>
  <c r="S51" i="21"/>
  <c r="R51" i="21"/>
  <c r="Q51" i="21"/>
  <c r="P51" i="21"/>
  <c r="O51" i="21"/>
  <c r="N51" i="21"/>
  <c r="M51" i="21"/>
  <c r="L51" i="21"/>
  <c r="S50" i="21"/>
  <c r="R50" i="21"/>
  <c r="Q50" i="21"/>
  <c r="P50" i="21"/>
  <c r="O50" i="21"/>
  <c r="N50" i="21"/>
  <c r="M50" i="21"/>
  <c r="L50" i="21"/>
  <c r="AA50" i="21" s="1"/>
  <c r="S49" i="21"/>
  <c r="R49" i="21"/>
  <c r="Q49" i="21"/>
  <c r="P49" i="21"/>
  <c r="O49" i="21"/>
  <c r="N49" i="21"/>
  <c r="M49" i="21"/>
  <c r="L49" i="21"/>
  <c r="AA49" i="21" s="1"/>
  <c r="S48" i="21"/>
  <c r="R48" i="21"/>
  <c r="Q48" i="21"/>
  <c r="P48" i="21"/>
  <c r="O48" i="21"/>
  <c r="N48" i="21"/>
  <c r="M48" i="21"/>
  <c r="L48" i="21"/>
  <c r="AA48" i="21" s="1"/>
  <c r="S47" i="21"/>
  <c r="R47" i="21"/>
  <c r="Q47" i="21"/>
  <c r="P47" i="21"/>
  <c r="O47" i="21"/>
  <c r="N47" i="21"/>
  <c r="M47" i="21"/>
  <c r="L47" i="21"/>
  <c r="AA47" i="21" s="1"/>
  <c r="S46" i="21"/>
  <c r="R46" i="21"/>
  <c r="Q46" i="21"/>
  <c r="P46" i="21"/>
  <c r="O46" i="21"/>
  <c r="N46" i="21"/>
  <c r="M46" i="21"/>
  <c r="L46" i="21"/>
  <c r="Y46" i="21" s="1"/>
  <c r="S45" i="21"/>
  <c r="R45" i="21"/>
  <c r="Q45" i="21"/>
  <c r="P45" i="21"/>
  <c r="O45" i="21"/>
  <c r="N45" i="21"/>
  <c r="M45" i="21"/>
  <c r="L45" i="21"/>
  <c r="Y45" i="21" s="1"/>
  <c r="S44" i="21"/>
  <c r="R44" i="21"/>
  <c r="Q44" i="21"/>
  <c r="P44" i="21"/>
  <c r="O44" i="21"/>
  <c r="N44" i="21"/>
  <c r="M44" i="21"/>
  <c r="L44" i="21"/>
  <c r="Y44" i="21" s="1"/>
  <c r="S43" i="21"/>
  <c r="R43" i="21"/>
  <c r="Q43" i="21"/>
  <c r="P43" i="21"/>
  <c r="O43" i="21"/>
  <c r="N43" i="21"/>
  <c r="M43" i="21"/>
  <c r="L43" i="21"/>
  <c r="AA43" i="21" s="1"/>
  <c r="S42" i="21"/>
  <c r="R42" i="21"/>
  <c r="Q42" i="21"/>
  <c r="P42" i="21"/>
  <c r="O42" i="21"/>
  <c r="N42" i="21"/>
  <c r="M42" i="21"/>
  <c r="L42" i="21"/>
  <c r="Y42" i="21" s="1"/>
  <c r="S41" i="21"/>
  <c r="R41" i="21"/>
  <c r="Q41" i="21"/>
  <c r="P41" i="21"/>
  <c r="O41" i="21"/>
  <c r="N41" i="21"/>
  <c r="M41" i="21"/>
  <c r="L41" i="21"/>
  <c r="AA41" i="21" s="1"/>
  <c r="S40" i="21"/>
  <c r="R40" i="21"/>
  <c r="Q40" i="21"/>
  <c r="P40" i="21"/>
  <c r="O40" i="21"/>
  <c r="N40" i="21"/>
  <c r="M40" i="21"/>
  <c r="L40" i="21"/>
  <c r="AA40" i="21" s="1"/>
  <c r="S39" i="21"/>
  <c r="R39" i="21"/>
  <c r="Q39" i="21"/>
  <c r="P39" i="21"/>
  <c r="O39" i="21"/>
  <c r="N39" i="21"/>
  <c r="M39" i="21"/>
  <c r="L39" i="21"/>
  <c r="AA39" i="21" s="1"/>
  <c r="S38" i="21"/>
  <c r="R38" i="21"/>
  <c r="Q38" i="21"/>
  <c r="P38" i="21"/>
  <c r="O38" i="21"/>
  <c r="N38" i="21"/>
  <c r="M38" i="21"/>
  <c r="L38" i="21"/>
  <c r="AA38" i="21" s="1"/>
  <c r="S37" i="21"/>
  <c r="R37" i="21"/>
  <c r="Q37" i="21"/>
  <c r="P37" i="21"/>
  <c r="O37" i="21"/>
  <c r="N37" i="21"/>
  <c r="M37" i="21"/>
  <c r="L37" i="21"/>
  <c r="AA37" i="21" s="1"/>
  <c r="S36" i="21"/>
  <c r="R36" i="21"/>
  <c r="Q36" i="21"/>
  <c r="P36" i="21"/>
  <c r="O36" i="21"/>
  <c r="N36" i="21"/>
  <c r="M36" i="21"/>
  <c r="L36" i="21"/>
  <c r="Y36" i="21" s="1"/>
  <c r="S35" i="21"/>
  <c r="R35" i="21"/>
  <c r="Q35" i="21"/>
  <c r="P35" i="21"/>
  <c r="O35" i="21"/>
  <c r="N35" i="21"/>
  <c r="M35" i="21"/>
  <c r="L35" i="21"/>
  <c r="Y35" i="21" s="1"/>
  <c r="S34" i="21"/>
  <c r="R34" i="21"/>
  <c r="Q34" i="21"/>
  <c r="P34" i="21"/>
  <c r="O34" i="21"/>
  <c r="N34" i="21"/>
  <c r="M34" i="21"/>
  <c r="L34" i="21"/>
  <c r="AA34" i="21" s="1"/>
  <c r="S33" i="21"/>
  <c r="R33" i="21"/>
  <c r="Q33" i="21"/>
  <c r="P33" i="21"/>
  <c r="O33" i="21"/>
  <c r="N33" i="21"/>
  <c r="M33" i="21"/>
  <c r="L33" i="21"/>
  <c r="AA33" i="21" s="1"/>
  <c r="S32" i="21"/>
  <c r="R32" i="21"/>
  <c r="Q32" i="21"/>
  <c r="P32" i="21"/>
  <c r="O32" i="21"/>
  <c r="N32" i="21"/>
  <c r="M32" i="21"/>
  <c r="L32" i="21"/>
  <c r="Y32" i="21" s="1"/>
  <c r="S31" i="21"/>
  <c r="R31" i="21"/>
  <c r="Q31" i="21"/>
  <c r="P31" i="21"/>
  <c r="O31" i="21"/>
  <c r="N31" i="21"/>
  <c r="M31" i="21"/>
  <c r="L31" i="21"/>
  <c r="AA31" i="21" s="1"/>
  <c r="S30" i="21"/>
  <c r="R30" i="21"/>
  <c r="Q30" i="21"/>
  <c r="P30" i="21"/>
  <c r="O30" i="21"/>
  <c r="N30" i="21"/>
  <c r="M30" i="21"/>
  <c r="L30" i="21"/>
  <c r="AA30" i="21" s="1"/>
  <c r="S29" i="21"/>
  <c r="R29" i="21"/>
  <c r="Q29" i="21"/>
  <c r="P29" i="21"/>
  <c r="O29" i="21"/>
  <c r="N29" i="21"/>
  <c r="M29" i="21"/>
  <c r="L29" i="21"/>
  <c r="AA29" i="21" s="1"/>
  <c r="S28" i="21"/>
  <c r="R28" i="21"/>
  <c r="Q28" i="21"/>
  <c r="P28" i="21"/>
  <c r="O28" i="21"/>
  <c r="N28" i="21"/>
  <c r="M28" i="21"/>
  <c r="L28" i="21"/>
  <c r="AA28" i="21" s="1"/>
  <c r="S27" i="21"/>
  <c r="R27" i="21"/>
  <c r="Q27" i="21"/>
  <c r="P27" i="21"/>
  <c r="O27" i="21"/>
  <c r="N27" i="21"/>
  <c r="M27" i="21"/>
  <c r="L27" i="21"/>
  <c r="Y27" i="21" s="1"/>
  <c r="S26" i="21"/>
  <c r="R26" i="21"/>
  <c r="Q26" i="21"/>
  <c r="P26" i="21"/>
  <c r="O26" i="21"/>
  <c r="N26" i="21"/>
  <c r="M26" i="21"/>
  <c r="L26" i="21"/>
  <c r="AA26" i="21" s="1"/>
  <c r="S25" i="21"/>
  <c r="R25" i="21"/>
  <c r="Q25" i="21"/>
  <c r="P25" i="21"/>
  <c r="O25" i="21"/>
  <c r="N25" i="21"/>
  <c r="M25" i="21"/>
  <c r="L25" i="21"/>
  <c r="AA25" i="21" s="1"/>
  <c r="S24" i="21"/>
  <c r="R24" i="21"/>
  <c r="Q24" i="21"/>
  <c r="P24" i="21"/>
  <c r="O24" i="21"/>
  <c r="N24" i="21"/>
  <c r="M24" i="21"/>
  <c r="L24" i="21"/>
  <c r="Y24" i="21" s="1"/>
  <c r="S23" i="21"/>
  <c r="R23" i="21"/>
  <c r="Q23" i="21"/>
  <c r="P23" i="21"/>
  <c r="O23" i="21"/>
  <c r="N23" i="21"/>
  <c r="M23" i="21"/>
  <c r="L23" i="21"/>
  <c r="Y23" i="21" s="1"/>
  <c r="S22" i="21"/>
  <c r="R22" i="21"/>
  <c r="Q22" i="21"/>
  <c r="P22" i="21"/>
  <c r="O22" i="21"/>
  <c r="N22" i="21"/>
  <c r="M22" i="21"/>
  <c r="L22" i="21"/>
  <c r="AA22" i="21" s="1"/>
  <c r="S21" i="21"/>
  <c r="R21" i="21"/>
  <c r="Q21" i="21"/>
  <c r="P21" i="21"/>
  <c r="O21" i="21"/>
  <c r="N21" i="21"/>
  <c r="M21" i="21"/>
  <c r="L21" i="21"/>
  <c r="AA21" i="21" s="1"/>
  <c r="S20" i="21"/>
  <c r="R20" i="21"/>
  <c r="Q20" i="21"/>
  <c r="P20" i="21"/>
  <c r="O20" i="21"/>
  <c r="N20" i="21"/>
  <c r="M20" i="21"/>
  <c r="L20" i="21"/>
  <c r="AA20" i="21" s="1"/>
  <c r="S19" i="21"/>
  <c r="R19" i="21"/>
  <c r="Q19" i="21"/>
  <c r="P19" i="21"/>
  <c r="O19" i="21"/>
  <c r="N19" i="21"/>
  <c r="M19" i="21"/>
  <c r="L19" i="21"/>
  <c r="AA19" i="21" s="1"/>
  <c r="S18" i="21"/>
  <c r="R18" i="21"/>
  <c r="Q18" i="21"/>
  <c r="P18" i="21"/>
  <c r="O18" i="21"/>
  <c r="N18" i="21"/>
  <c r="M18" i="21"/>
  <c r="L18" i="21"/>
  <c r="AA18" i="21" s="1"/>
  <c r="S17" i="21"/>
  <c r="R17" i="21"/>
  <c r="Q17" i="21"/>
  <c r="P17" i="21"/>
  <c r="O17" i="21"/>
  <c r="N17" i="21"/>
  <c r="M17" i="21"/>
  <c r="L17" i="21"/>
  <c r="AA17" i="21" s="1"/>
  <c r="S16" i="21"/>
  <c r="R16" i="21"/>
  <c r="Q16" i="21"/>
  <c r="P16" i="21"/>
  <c r="O16" i="21"/>
  <c r="N16" i="21"/>
  <c r="M16" i="21"/>
  <c r="L16" i="21"/>
  <c r="Y16" i="21" s="1"/>
  <c r="S15" i="21"/>
  <c r="R15" i="21"/>
  <c r="Q15" i="21"/>
  <c r="P15" i="21"/>
  <c r="O15" i="21"/>
  <c r="N15" i="21"/>
  <c r="M15" i="21"/>
  <c r="L15" i="21"/>
  <c r="Y15" i="21" s="1"/>
  <c r="S14" i="21"/>
  <c r="R14" i="21"/>
  <c r="Q14" i="21"/>
  <c r="P14" i="21"/>
  <c r="O14" i="21"/>
  <c r="N14" i="21"/>
  <c r="M14" i="21"/>
  <c r="L14" i="21"/>
  <c r="S13" i="21"/>
  <c r="R13" i="21"/>
  <c r="Q13" i="21"/>
  <c r="P13" i="21"/>
  <c r="O13" i="21"/>
  <c r="N13" i="21"/>
  <c r="M13" i="21"/>
  <c r="L13" i="21"/>
  <c r="AA13" i="21" s="1"/>
  <c r="S12" i="21"/>
  <c r="R12" i="21"/>
  <c r="Q12" i="21"/>
  <c r="P12" i="21"/>
  <c r="O12" i="21"/>
  <c r="N12" i="21"/>
  <c r="M12" i="21"/>
  <c r="L12" i="21"/>
  <c r="AA12" i="21" s="1"/>
  <c r="S11" i="21"/>
  <c r="R11" i="21"/>
  <c r="Q11" i="21"/>
  <c r="P11" i="21"/>
  <c r="O11" i="21"/>
  <c r="N11" i="21"/>
  <c r="M11" i="21"/>
  <c r="L11" i="21"/>
  <c r="Y11" i="21" s="1"/>
  <c r="S10" i="21"/>
  <c r="R10" i="21"/>
  <c r="Q10" i="21"/>
  <c r="P10" i="21"/>
  <c r="O10" i="21"/>
  <c r="N10" i="21"/>
  <c r="M10" i="21"/>
  <c r="L10" i="21"/>
  <c r="AA10" i="21" s="1"/>
  <c r="S9" i="21"/>
  <c r="R9" i="21"/>
  <c r="Q9" i="21"/>
  <c r="P9" i="21"/>
  <c r="O9" i="21"/>
  <c r="N9" i="21"/>
  <c r="M9" i="21"/>
  <c r="L9" i="21"/>
  <c r="AA9" i="21" s="1"/>
  <c r="S8" i="21"/>
  <c r="R8" i="21"/>
  <c r="Q8" i="21"/>
  <c r="P8" i="21"/>
  <c r="O8" i="21"/>
  <c r="N8" i="21"/>
  <c r="M8" i="21"/>
  <c r="L8" i="21"/>
  <c r="Y8" i="21" s="1"/>
  <c r="S7" i="21"/>
  <c r="R7" i="21"/>
  <c r="Q7" i="21"/>
  <c r="P7" i="21"/>
  <c r="O7" i="21"/>
  <c r="N7" i="21"/>
  <c r="M7" i="21"/>
  <c r="L7" i="21"/>
  <c r="Y7" i="21" s="1"/>
  <c r="S6" i="21"/>
  <c r="R6" i="21"/>
  <c r="Q6" i="21"/>
  <c r="P6" i="21"/>
  <c r="O6" i="21"/>
  <c r="N6" i="21"/>
  <c r="M6" i="21"/>
  <c r="L6" i="21"/>
  <c r="AA6" i="21" s="1"/>
  <c r="S813" i="21"/>
  <c r="Q813" i="21"/>
  <c r="AA807" i="21"/>
  <c r="AA804" i="21"/>
  <c r="AA803" i="21"/>
  <c r="AA802" i="21"/>
  <c r="AA799" i="21"/>
  <c r="AA796" i="21"/>
  <c r="AA795" i="21"/>
  <c r="AA794" i="21"/>
  <c r="AA791" i="21"/>
  <c r="AA788" i="21"/>
  <c r="AA787" i="21"/>
  <c r="AA786" i="21"/>
  <c r="AA783" i="21"/>
  <c r="AA780" i="21"/>
  <c r="AA779" i="21"/>
  <c r="AA778" i="21"/>
  <c r="AA775" i="21"/>
  <c r="AA772" i="21"/>
  <c r="AA771" i="21"/>
  <c r="AA770" i="21"/>
  <c r="AA767" i="21"/>
  <c r="AA764" i="21"/>
  <c r="AA763" i="21"/>
  <c r="AA762" i="21"/>
  <c r="AA759" i="21"/>
  <c r="AA756" i="21"/>
  <c r="AA755" i="21"/>
  <c r="AA754" i="21"/>
  <c r="AA751" i="21"/>
  <c r="AA748" i="21"/>
  <c r="AA747" i="21"/>
  <c r="AA746" i="21"/>
  <c r="AA743" i="21"/>
  <c r="AA740" i="21"/>
  <c r="AA739" i="21"/>
  <c r="AA738" i="21"/>
  <c r="AA732" i="21"/>
  <c r="AA731" i="21"/>
  <c r="AA730" i="21"/>
  <c r="AA727" i="21"/>
  <c r="AA724" i="21"/>
  <c r="AA723" i="21"/>
  <c r="AA716" i="21"/>
  <c r="AA715" i="21"/>
  <c r="AA714" i="21"/>
  <c r="AA711" i="21"/>
  <c r="AA708" i="21"/>
  <c r="AA707" i="21"/>
  <c r="AA700" i="21"/>
  <c r="AA699" i="21"/>
  <c r="AA698" i="21"/>
  <c r="AA695" i="21"/>
  <c r="AA691" i="21"/>
  <c r="AA684" i="21"/>
  <c r="AA683" i="21"/>
  <c r="AA682" i="21"/>
  <c r="AA679" i="21"/>
  <c r="AA676" i="21"/>
  <c r="AA667" i="21"/>
  <c r="AA666" i="21"/>
  <c r="AA663" i="21"/>
  <c r="AA660" i="21"/>
  <c r="AA659" i="21"/>
  <c r="AA652" i="21"/>
  <c r="AA647" i="21"/>
  <c r="AA644" i="21"/>
  <c r="AA643" i="21"/>
  <c r="AA636" i="21"/>
  <c r="AA635" i="21"/>
  <c r="AA634" i="21"/>
  <c r="AA627" i="21"/>
  <c r="AA620" i="21"/>
  <c r="AA619" i="21"/>
  <c r="AA618" i="21"/>
  <c r="AA615" i="21"/>
  <c r="AA612" i="21"/>
  <c r="AA603" i="21"/>
  <c r="AA602" i="21"/>
  <c r="AA599" i="21"/>
  <c r="AA596" i="21"/>
  <c r="AA595" i="21"/>
  <c r="AA588" i="21"/>
  <c r="AA583" i="21"/>
  <c r="AA580" i="21"/>
  <c r="AA579" i="21"/>
  <c r="AA572" i="21"/>
  <c r="AA571" i="21"/>
  <c r="AA563" i="21"/>
  <c r="AA556" i="21"/>
  <c r="AA555" i="21"/>
  <c r="AA551" i="21"/>
  <c r="AA539" i="21"/>
  <c r="AA538" i="21"/>
  <c r="AA535" i="21"/>
  <c r="AA531" i="21"/>
  <c r="AA519" i="21"/>
  <c r="AA516" i="21"/>
  <c r="AA515" i="21"/>
  <c r="AA507" i="21"/>
  <c r="AA499" i="21"/>
  <c r="AA491" i="21"/>
  <c r="AA487" i="21"/>
  <c r="AA475" i="21"/>
  <c r="AA471" i="21"/>
  <c r="AA467" i="21"/>
  <c r="AA455" i="21"/>
  <c r="AA451" i="21"/>
  <c r="AA435" i="21"/>
  <c r="AA427" i="21"/>
  <c r="AA411" i="21"/>
  <c r="AA407" i="21"/>
  <c r="AA391" i="21"/>
  <c r="AA387" i="21"/>
  <c r="AA368" i="21"/>
  <c r="AA357" i="21"/>
  <c r="AA336" i="21"/>
  <c r="AA332" i="21"/>
  <c r="AA310" i="21"/>
  <c r="AA306" i="21"/>
  <c r="AA282" i="21"/>
  <c r="AA235" i="21"/>
  <c r="AA142" i="21"/>
  <c r="Y808" i="21"/>
  <c r="Y805" i="21"/>
  <c r="Y804" i="21"/>
  <c r="Y803" i="21"/>
  <c r="Y800" i="21"/>
  <c r="Y797" i="21"/>
  <c r="Y796" i="21"/>
  <c r="Y795" i="21"/>
  <c r="Y792" i="21"/>
  <c r="Y789" i="21"/>
  <c r="Y788" i="21"/>
  <c r="Y787" i="21"/>
  <c r="Y784" i="21"/>
  <c r="Y781" i="21"/>
  <c r="Y780" i="21"/>
  <c r="Y779" i="21"/>
  <c r="Y776" i="21"/>
  <c r="Y773" i="21"/>
  <c r="Y772" i="21"/>
  <c r="Y771" i="21"/>
  <c r="Y768" i="21"/>
  <c r="Y765" i="21"/>
  <c r="Y764" i="21"/>
  <c r="Y763" i="21"/>
  <c r="Y760" i="21"/>
  <c r="Y757" i="21"/>
  <c r="Y756" i="21"/>
  <c r="Y755" i="21"/>
  <c r="Y752" i="21"/>
  <c r="Y749" i="21"/>
  <c r="Y748" i="21"/>
  <c r="Y747" i="21"/>
  <c r="Y744" i="21"/>
  <c r="Y741" i="21"/>
  <c r="Y740" i="21"/>
  <c r="Y739" i="21"/>
  <c r="Y736" i="21"/>
  <c r="Y733" i="21"/>
  <c r="Y732" i="21"/>
  <c r="Y731" i="21"/>
  <c r="Y728" i="21"/>
  <c r="Y725" i="21"/>
  <c r="Y724" i="21"/>
  <c r="Y723" i="21"/>
  <c r="Y717" i="21"/>
  <c r="Y716" i="21"/>
  <c r="Y715" i="21"/>
  <c r="Y712" i="21"/>
  <c r="Y711" i="21"/>
  <c r="Y709" i="21"/>
  <c r="Y704" i="21"/>
  <c r="Y703" i="21"/>
  <c r="Y701" i="21"/>
  <c r="Y700" i="21"/>
  <c r="Y699" i="21"/>
  <c r="Y697" i="21"/>
  <c r="Y693" i="21"/>
  <c r="Y692" i="21"/>
  <c r="Y691" i="21"/>
  <c r="Y690" i="21"/>
  <c r="Y689" i="21"/>
  <c r="Y688" i="21"/>
  <c r="Y685" i="21"/>
  <c r="Y684" i="21"/>
  <c r="Y683" i="21"/>
  <c r="Y682" i="21"/>
  <c r="Y681" i="21"/>
  <c r="Y680" i="21"/>
  <c r="Y677" i="21"/>
  <c r="Y676" i="21"/>
  <c r="Y675" i="21"/>
  <c r="Y674" i="21"/>
  <c r="Y673" i="21"/>
  <c r="Y669" i="21"/>
  <c r="Y668" i="21"/>
  <c r="Y667" i="21"/>
  <c r="Y666" i="21"/>
  <c r="Y665" i="21"/>
  <c r="Y664" i="21"/>
  <c r="Y659" i="21"/>
  <c r="Y658" i="21"/>
  <c r="Y657" i="21"/>
  <c r="Y656" i="21"/>
  <c r="Y653" i="21"/>
  <c r="Y652" i="21"/>
  <c r="Y649" i="21"/>
  <c r="Y648" i="21"/>
  <c r="Y645" i="21"/>
  <c r="Y644" i="21"/>
  <c r="Y643" i="21"/>
  <c r="Y642" i="21"/>
  <c r="Y637" i="21"/>
  <c r="Y636" i="21"/>
  <c r="Y635" i="21"/>
  <c r="Y634" i="21"/>
  <c r="Y633" i="21"/>
  <c r="Y632" i="21"/>
  <c r="Y627" i="21"/>
  <c r="Y626" i="21"/>
  <c r="Y625" i="21"/>
  <c r="Y624" i="21"/>
  <c r="Y621" i="21"/>
  <c r="Y620" i="21"/>
  <c r="Y617" i="21"/>
  <c r="Y616" i="21"/>
  <c r="Y613" i="21"/>
  <c r="Y612" i="21"/>
  <c r="Y611" i="21"/>
  <c r="Y610" i="21"/>
  <c r="Y605" i="21"/>
  <c r="Y604" i="21"/>
  <c r="Y603" i="21"/>
  <c r="Y602" i="21"/>
  <c r="Y601" i="21"/>
  <c r="Y600" i="21"/>
  <c r="Y595" i="21"/>
  <c r="Y594" i="21"/>
  <c r="Y593" i="21"/>
  <c r="Y592" i="21"/>
  <c r="Y589" i="21"/>
  <c r="Y588" i="21"/>
  <c r="Y585" i="21"/>
  <c r="Y584" i="21"/>
  <c r="Y581" i="21"/>
  <c r="Y580" i="21"/>
  <c r="Y579" i="21"/>
  <c r="Y578" i="21"/>
  <c r="Y573" i="21"/>
  <c r="Y572" i="21"/>
  <c r="Y571" i="21"/>
  <c r="Y570" i="21"/>
  <c r="Y569" i="21"/>
  <c r="Y568" i="21"/>
  <c r="Y563" i="21"/>
  <c r="Y562" i="21"/>
  <c r="Y561" i="21"/>
  <c r="Y560" i="21"/>
  <c r="Y557" i="21"/>
  <c r="Y553" i="21"/>
  <c r="Y552" i="21"/>
  <c r="Y549" i="21"/>
  <c r="Y547" i="21"/>
  <c r="Y541" i="21"/>
  <c r="Y540" i="21"/>
  <c r="Y539" i="21"/>
  <c r="Y537" i="21"/>
  <c r="Y531" i="21"/>
  <c r="Y530" i="21"/>
  <c r="Y529" i="21"/>
  <c r="Y525" i="21"/>
  <c r="Y521" i="21"/>
  <c r="Y520" i="21"/>
  <c r="Y517" i="21"/>
  <c r="Y515" i="21"/>
  <c r="Y509" i="21"/>
  <c r="Y508" i="21"/>
  <c r="Y507" i="21"/>
  <c r="Y505" i="21"/>
  <c r="Y499" i="21"/>
  <c r="Y498" i="21"/>
  <c r="Y497" i="21"/>
  <c r="Y493" i="21"/>
  <c r="Y489" i="21"/>
  <c r="Y488" i="21"/>
  <c r="Y485" i="21"/>
  <c r="Y483" i="21"/>
  <c r="Y477" i="21"/>
  <c r="Y476" i="21"/>
  <c r="Y475" i="21"/>
  <c r="Y473" i="21"/>
  <c r="Y467" i="21"/>
  <c r="Y465" i="21"/>
  <c r="Y461" i="21"/>
  <c r="Y457" i="21"/>
  <c r="Y453" i="21"/>
  <c r="Y451" i="21"/>
  <c r="Y445" i="21"/>
  <c r="Y443" i="21"/>
  <c r="Y435" i="21"/>
  <c r="Y433" i="21"/>
  <c r="Y425" i="21"/>
  <c r="Y421" i="21"/>
  <c r="Y413" i="21"/>
  <c r="Y411" i="21"/>
  <c r="Y403" i="21"/>
  <c r="Y401" i="21"/>
  <c r="Y393" i="21"/>
  <c r="Y389" i="21"/>
  <c r="Y381" i="21"/>
  <c r="Y378" i="21"/>
  <c r="Y368" i="21"/>
  <c r="Y366" i="21"/>
  <c r="Y355" i="21"/>
  <c r="Y350" i="21"/>
  <c r="Y339" i="21"/>
  <c r="Y337" i="21"/>
  <c r="Y327" i="21"/>
  <c r="Y323" i="21"/>
  <c r="Y313" i="21"/>
  <c r="Y309" i="21"/>
  <c r="Y296" i="21"/>
  <c r="Y294" i="21"/>
  <c r="Y282" i="21"/>
  <c r="Y278" i="21"/>
  <c r="Y265" i="21"/>
  <c r="Y239" i="21"/>
  <c r="Y211" i="21"/>
  <c r="Y165" i="21"/>
  <c r="Y82" i="21"/>
  <c r="Y18" i="21"/>
  <c r="H12" i="12" a="1"/>
  <c r="H12" i="12" s="1"/>
  <c r="G12" i="12" a="1"/>
  <c r="G12" i="12" s="1"/>
  <c r="F12" i="12" a="1"/>
  <c r="F12" i="12" s="1"/>
  <c r="E12" i="12" a="1"/>
  <c r="E12" i="12" s="1"/>
  <c r="D12" i="12" a="1"/>
  <c r="D12" i="12" s="1"/>
  <c r="C12" i="12" a="1"/>
  <c r="C12" i="12" s="1"/>
  <c r="B12" i="12" a="1"/>
  <c r="B12" i="12" s="1"/>
  <c r="H11" i="12" a="1"/>
  <c r="H11" i="12" s="1"/>
  <c r="G11" i="12" a="1"/>
  <c r="G11" i="12" s="1"/>
  <c r="F11" i="12" a="1"/>
  <c r="F11" i="12" s="1"/>
  <c r="E11" i="12" a="1"/>
  <c r="E11" i="12" s="1"/>
  <c r="D11" i="12" a="1"/>
  <c r="D11" i="12" s="1"/>
  <c r="C11" i="12" a="1"/>
  <c r="C11" i="12" s="1"/>
  <c r="B11" i="12" a="1"/>
  <c r="B11" i="12" s="1"/>
  <c r="H10" i="12" a="1"/>
  <c r="H10" i="12" s="1"/>
  <c r="G10" i="12" a="1"/>
  <c r="G10" i="12" s="1"/>
  <c r="F10" i="12" a="1"/>
  <c r="F10" i="12" s="1"/>
  <c r="E10" i="12" a="1"/>
  <c r="E10" i="12" s="1"/>
  <c r="D10" i="12" a="1"/>
  <c r="D10" i="12" s="1"/>
  <c r="C10" i="12" a="1"/>
  <c r="C10" i="12" s="1"/>
  <c r="B10" i="12" a="1"/>
  <c r="B10" i="12" s="1"/>
  <c r="H9" i="12" a="1"/>
  <c r="H9" i="12" s="1"/>
  <c r="G9" i="12" a="1"/>
  <c r="G9" i="12" s="1"/>
  <c r="F9" i="12" a="1"/>
  <c r="F9" i="12" s="1"/>
  <c r="E9" i="12" a="1"/>
  <c r="E9" i="12" s="1"/>
  <c r="D9" i="12" a="1"/>
  <c r="D9" i="12" s="1"/>
  <c r="C9" i="12" a="1"/>
  <c r="C9" i="12" s="1"/>
  <c r="B9" i="12" a="1"/>
  <c r="B9" i="12" s="1"/>
  <c r="H8" i="12" a="1"/>
  <c r="H8" i="12" s="1"/>
  <c r="G8" i="12" a="1"/>
  <c r="G8" i="12" s="1"/>
  <c r="F8" i="12" a="1"/>
  <c r="F8" i="12" s="1"/>
  <c r="E8" i="12" a="1"/>
  <c r="E8" i="12" s="1"/>
  <c r="D8" i="12" a="1"/>
  <c r="D8" i="12" s="1"/>
  <c r="C8" i="12" a="1"/>
  <c r="C8" i="12" s="1"/>
  <c r="B8" i="12" a="1"/>
  <c r="B8" i="12" s="1"/>
  <c r="Y50" i="21" l="1"/>
  <c r="Y119" i="21"/>
  <c r="Y184" i="21"/>
  <c r="Y230" i="21"/>
  <c r="Y255" i="21"/>
  <c r="Y273" i="21"/>
  <c r="Y291" i="21"/>
  <c r="Y305" i="21"/>
  <c r="Y319" i="21"/>
  <c r="Y334" i="21"/>
  <c r="Y347" i="21"/>
  <c r="Y360" i="21"/>
  <c r="Y376" i="21"/>
  <c r="Y397" i="21"/>
  <c r="Y409" i="21"/>
  <c r="Y419" i="21"/>
  <c r="Y429" i="21"/>
  <c r="Y441" i="21"/>
  <c r="AA32" i="21"/>
  <c r="AA215" i="21"/>
  <c r="AA262" i="21"/>
  <c r="AA295" i="21"/>
  <c r="AA326" i="21"/>
  <c r="AA352" i="21"/>
  <c r="AA379" i="21"/>
  <c r="AA423" i="21"/>
  <c r="Y58" i="21"/>
  <c r="Y128" i="21"/>
  <c r="Y201" i="21"/>
  <c r="Y256" i="21"/>
  <c r="Y277" i="21"/>
  <c r="Y293" i="21"/>
  <c r="Y322" i="21"/>
  <c r="Y349" i="21"/>
  <c r="Y365" i="21"/>
  <c r="Y377" i="21"/>
  <c r="Y388" i="21"/>
  <c r="Y400" i="21"/>
  <c r="Y410" i="21"/>
  <c r="Y420" i="21"/>
  <c r="Y432" i="21"/>
  <c r="Y442" i="21"/>
  <c r="Y452" i="21"/>
  <c r="Y464" i="21"/>
  <c r="Y474" i="21"/>
  <c r="Y484" i="21"/>
  <c r="Y496" i="21"/>
  <c r="Y506" i="21"/>
  <c r="Y528" i="21"/>
  <c r="Y548" i="21"/>
  <c r="AA42" i="21"/>
  <c r="AA216" i="21"/>
  <c r="AA269" i="21"/>
  <c r="AA356" i="21"/>
  <c r="AA380" i="21"/>
  <c r="AA404" i="21"/>
  <c r="AA426" i="21"/>
  <c r="AA444" i="21"/>
  <c r="AA468" i="21"/>
  <c r="AA490" i="21"/>
  <c r="AA532" i="21"/>
  <c r="AA554" i="21"/>
  <c r="Y66" i="21"/>
  <c r="Y146" i="21"/>
  <c r="Y202" i="21"/>
  <c r="Y237" i="21"/>
  <c r="Y257" i="21"/>
  <c r="AA106" i="21"/>
  <c r="AA226" i="21"/>
  <c r="AA270" i="21"/>
  <c r="R813" i="21"/>
  <c r="Y10" i="21"/>
  <c r="Y74" i="21"/>
  <c r="Y155" i="21"/>
  <c r="Y210" i="21"/>
  <c r="Y238" i="21"/>
  <c r="Y264" i="21"/>
  <c r="Y281" i="21"/>
  <c r="Y312" i="21"/>
  <c r="Y325" i="21"/>
  <c r="Y338" i="21"/>
  <c r="Y354" i="21"/>
  <c r="Y367" i="21"/>
  <c r="Y392" i="21"/>
  <c r="Y402" i="21"/>
  <c r="Y412" i="21"/>
  <c r="Y424" i="21"/>
  <c r="Y434" i="21"/>
  <c r="Y456" i="21"/>
  <c r="Y466" i="21"/>
  <c r="AA115" i="21"/>
  <c r="AA234" i="21"/>
  <c r="AA271" i="21"/>
  <c r="AA307" i="21"/>
  <c r="AA335" i="21"/>
  <c r="AA359" i="21"/>
  <c r="AA428" i="21"/>
  <c r="AA492" i="21"/>
  <c r="Y14" i="21"/>
  <c r="AA14" i="21"/>
  <c r="Y51" i="21"/>
  <c r="AA51" i="21"/>
  <c r="Y60" i="21"/>
  <c r="AA60" i="21"/>
  <c r="Y69" i="21"/>
  <c r="AA69" i="21"/>
  <c r="Y78" i="21"/>
  <c r="AA78" i="21"/>
  <c r="Y87" i="21"/>
  <c r="AA87" i="21"/>
  <c r="Y96" i="21"/>
  <c r="AA96" i="21"/>
  <c r="Y124" i="21"/>
  <c r="AA124" i="21"/>
  <c r="Y133" i="21"/>
  <c r="AA133" i="21"/>
  <c r="AA137" i="21"/>
  <c r="Y137" i="21"/>
  <c r="Y151" i="21"/>
  <c r="AA151" i="21"/>
  <c r="Y160" i="21"/>
  <c r="AA160" i="21"/>
  <c r="Y188" i="21"/>
  <c r="AA188" i="21"/>
  <c r="Y189" i="21"/>
  <c r="AA189" i="21"/>
  <c r="AA192" i="21"/>
  <c r="Y192" i="21"/>
  <c r="AA193" i="21"/>
  <c r="Y193" i="21"/>
  <c r="Y197" i="21"/>
  <c r="AA197" i="21"/>
  <c r="Y198" i="21"/>
  <c r="AA198" i="21"/>
  <c r="Y206" i="21"/>
  <c r="AA206" i="21"/>
  <c r="Y207" i="21"/>
  <c r="AA207" i="21"/>
  <c r="AA221" i="21"/>
  <c r="Y221" i="21"/>
  <c r="Y222" i="21"/>
  <c r="AA222" i="21"/>
  <c r="Y224" i="21"/>
  <c r="AA224" i="21"/>
  <c r="Y231" i="21"/>
  <c r="AA231" i="21"/>
  <c r="Y232" i="21"/>
  <c r="AA232" i="21"/>
  <c r="Y242" i="21"/>
  <c r="AA242" i="21"/>
  <c r="Y243" i="21"/>
  <c r="AA243" i="21"/>
  <c r="Y244" i="21"/>
  <c r="AA244" i="21"/>
  <c r="AA245" i="21"/>
  <c r="Y245" i="21"/>
  <c r="AA246" i="21"/>
  <c r="Y246" i="21"/>
  <c r="Y250" i="21"/>
  <c r="AA250" i="21"/>
  <c r="Y251" i="21"/>
  <c r="AA251" i="21"/>
  <c r="Y252" i="21"/>
  <c r="AA252" i="21"/>
  <c r="AA258" i="21"/>
  <c r="Y258" i="21"/>
  <c r="Y260" i="21"/>
  <c r="AA260" i="21"/>
  <c r="Y261" i="21"/>
  <c r="AA261" i="21"/>
  <c r="AA263" i="21"/>
  <c r="Y263" i="21"/>
  <c r="Y268" i="21"/>
  <c r="AA268" i="21"/>
  <c r="AA274" i="21"/>
  <c r="Y274" i="21"/>
  <c r="AA275" i="21"/>
  <c r="Y275" i="21"/>
  <c r="Y279" i="21"/>
  <c r="AA279" i="21"/>
  <c r="Y280" i="21"/>
  <c r="AA280" i="21"/>
  <c r="AA286" i="21"/>
  <c r="Y286" i="21"/>
  <c r="AA287" i="21"/>
  <c r="Y287" i="21"/>
  <c r="Y298" i="21"/>
  <c r="AA298" i="21"/>
  <c r="AA299" i="21"/>
  <c r="Y299" i="21"/>
  <c r="Y300" i="21"/>
  <c r="AA300" i="21"/>
  <c r="AA301" i="21"/>
  <c r="Y301" i="21"/>
  <c r="Y308" i="21"/>
  <c r="AA308" i="21"/>
  <c r="AA311" i="21"/>
  <c r="Y311" i="21"/>
  <c r="AA320" i="21"/>
  <c r="Y320" i="21"/>
  <c r="AA321" i="21"/>
  <c r="Y321" i="21"/>
  <c r="Y324" i="21"/>
  <c r="AA324" i="21"/>
  <c r="AA330" i="21"/>
  <c r="Y330" i="21"/>
  <c r="AA331" i="21"/>
  <c r="Y331" i="21"/>
  <c r="AA341" i="21"/>
  <c r="Y341" i="21"/>
  <c r="Y342" i="21"/>
  <c r="AA342" i="21"/>
  <c r="Y344" i="21"/>
  <c r="AA344" i="21"/>
  <c r="AA351" i="21"/>
  <c r="Y351" i="21"/>
  <c r="AA361" i="21"/>
  <c r="Y361" i="21"/>
  <c r="Y362" i="21"/>
  <c r="AA362" i="21"/>
  <c r="Y363" i="21"/>
  <c r="AA363" i="21"/>
  <c r="Y364" i="21"/>
  <c r="AA364" i="21"/>
  <c r="Y371" i="21"/>
  <c r="AA371" i="21"/>
  <c r="Y372" i="21"/>
  <c r="AA372" i="21"/>
  <c r="AA374" i="21"/>
  <c r="Y374" i="21"/>
  <c r="AA382" i="21"/>
  <c r="Y382" i="21"/>
  <c r="Y383" i="21"/>
  <c r="AA383" i="21"/>
  <c r="AA390" i="21"/>
  <c r="Y390" i="21"/>
  <c r="AA398" i="21"/>
  <c r="Y398" i="21"/>
  <c r="Y399" i="21"/>
  <c r="AA399" i="21"/>
  <c r="AA406" i="21"/>
  <c r="Y406" i="21"/>
  <c r="AA414" i="21"/>
  <c r="Y414" i="21"/>
  <c r="Y415" i="21"/>
  <c r="AA415" i="21"/>
  <c r="AA422" i="21"/>
  <c r="Y422" i="21"/>
  <c r="AA430" i="21"/>
  <c r="Y430" i="21"/>
  <c r="Y431" i="21"/>
  <c r="AA431" i="21"/>
  <c r="AA438" i="21"/>
  <c r="Y438" i="21"/>
  <c r="AA446" i="21"/>
  <c r="Y446" i="21"/>
  <c r="Y447" i="21"/>
  <c r="AA447" i="21"/>
  <c r="AA454" i="21"/>
  <c r="Y454" i="21"/>
  <c r="AA462" i="21"/>
  <c r="Y462" i="21"/>
  <c r="Y463" i="21"/>
  <c r="AA463" i="21"/>
  <c r="AA470" i="21"/>
  <c r="Y470" i="21"/>
  <c r="AA478" i="21"/>
  <c r="Y478" i="21"/>
  <c r="Y479" i="21"/>
  <c r="AA479" i="21"/>
  <c r="AA486" i="21"/>
  <c r="Y486" i="21"/>
  <c r="AA494" i="21"/>
  <c r="Y494" i="21"/>
  <c r="Y495" i="21"/>
  <c r="AA495" i="21"/>
  <c r="AA502" i="21"/>
  <c r="Y502" i="21"/>
  <c r="AA510" i="21"/>
  <c r="Y510" i="21"/>
  <c r="Y511" i="21"/>
  <c r="AA511" i="21"/>
  <c r="AA518" i="21"/>
  <c r="Y518" i="21"/>
  <c r="AA526" i="21"/>
  <c r="Y526" i="21"/>
  <c r="Y527" i="21"/>
  <c r="AA527" i="21"/>
  <c r="AA534" i="21"/>
  <c r="Y534" i="21"/>
  <c r="AA542" i="21"/>
  <c r="Y542" i="21"/>
  <c r="Y543" i="21"/>
  <c r="AA543" i="21"/>
  <c r="AA550" i="21"/>
  <c r="Y550" i="21"/>
  <c r="AA558" i="21"/>
  <c r="Y558" i="21"/>
  <c r="Y559" i="21"/>
  <c r="AA559" i="21"/>
  <c r="AA566" i="21"/>
  <c r="Y566" i="21"/>
  <c r="AA574" i="21"/>
  <c r="Y574" i="21"/>
  <c r="Y575" i="21"/>
  <c r="AA575" i="21"/>
  <c r="AA582" i="21"/>
  <c r="Y582" i="21"/>
  <c r="AA590" i="21"/>
  <c r="Y590" i="21"/>
  <c r="Y591" i="21"/>
  <c r="AA591" i="21"/>
  <c r="AA598" i="21"/>
  <c r="Y598" i="21"/>
  <c r="AA606" i="21"/>
  <c r="Y606" i="21"/>
  <c r="Y607" i="21"/>
  <c r="AA607" i="21"/>
  <c r="AA614" i="21"/>
  <c r="Y614" i="21"/>
  <c r="AA622" i="21"/>
  <c r="Y622" i="21"/>
  <c r="Y623" i="21"/>
  <c r="AA623" i="21"/>
  <c r="AA630" i="21"/>
  <c r="Y630" i="21"/>
  <c r="AA638" i="21"/>
  <c r="Y638" i="21"/>
  <c r="Y639" i="21"/>
  <c r="AA639" i="21"/>
  <c r="AA646" i="21"/>
  <c r="Y646" i="21"/>
  <c r="AA654" i="21"/>
  <c r="Y654" i="21"/>
  <c r="Y655" i="21"/>
  <c r="AA655" i="21"/>
  <c r="AA662" i="21"/>
  <c r="Y662" i="21"/>
  <c r="AA670" i="21"/>
  <c r="Y670" i="21"/>
  <c r="Y671" i="21"/>
  <c r="AA671" i="21"/>
  <c r="AA678" i="21"/>
  <c r="Y678" i="21"/>
  <c r="AA686" i="21"/>
  <c r="Y686" i="21"/>
  <c r="Y687" i="21"/>
  <c r="AA687" i="21"/>
  <c r="AA694" i="21"/>
  <c r="Y694" i="21"/>
  <c r="AA696" i="21"/>
  <c r="Y696" i="21"/>
  <c r="Y26" i="21"/>
  <c r="Y91" i="21"/>
  <c r="Y174" i="21"/>
  <c r="Y217" i="21"/>
  <c r="Y247" i="21"/>
  <c r="Y266" i="21"/>
  <c r="Y283" i="21"/>
  <c r="Y302" i="21"/>
  <c r="Y314" i="21"/>
  <c r="Y328" i="21"/>
  <c r="Y343" i="21"/>
  <c r="Y369" i="21"/>
  <c r="Y384" i="21"/>
  <c r="Y394" i="21"/>
  <c r="Y416" i="21"/>
  <c r="Y436" i="21"/>
  <c r="Y448" i="21"/>
  <c r="Y458" i="21"/>
  <c r="Y480" i="21"/>
  <c r="Y500" i="21"/>
  <c r="Y512" i="21"/>
  <c r="Y522" i="21"/>
  <c r="Y544" i="21"/>
  <c r="Y564" i="21"/>
  <c r="Y576" i="21"/>
  <c r="Y586" i="21"/>
  <c r="Y608" i="21"/>
  <c r="Y628" i="21"/>
  <c r="Y640" i="21"/>
  <c r="Y650" i="21"/>
  <c r="Y672" i="21"/>
  <c r="AA170" i="21"/>
  <c r="AA240" i="21"/>
  <c r="AA315" i="21"/>
  <c r="AA370" i="21"/>
  <c r="Y34" i="21"/>
  <c r="Y101" i="21"/>
  <c r="Y175" i="21"/>
  <c r="Y219" i="21"/>
  <c r="Y248" i="21"/>
  <c r="Y267" i="21"/>
  <c r="Y285" i="21"/>
  <c r="Y303" i="21"/>
  <c r="Y329" i="21"/>
  <c r="Y345" i="21"/>
  <c r="Y358" i="21"/>
  <c r="Y385" i="21"/>
  <c r="Y395" i="21"/>
  <c r="Y405" i="21"/>
  <c r="Y417" i="21"/>
  <c r="Y437" i="21"/>
  <c r="Y449" i="21"/>
  <c r="Y459" i="21"/>
  <c r="Y469" i="21"/>
  <c r="Y481" i="21"/>
  <c r="Y501" i="21"/>
  <c r="Y513" i="21"/>
  <c r="Y523" i="21"/>
  <c r="Y533" i="21"/>
  <c r="Y545" i="21"/>
  <c r="Y565" i="21"/>
  <c r="Y577" i="21"/>
  <c r="Y587" i="21"/>
  <c r="Y597" i="21"/>
  <c r="Y609" i="21"/>
  <c r="Y629" i="21"/>
  <c r="Y641" i="21"/>
  <c r="Y651" i="21"/>
  <c r="Y661" i="21"/>
  <c r="AA179" i="21"/>
  <c r="AA253" i="21"/>
  <c r="AA288" i="21"/>
  <c r="AA316" i="21"/>
  <c r="AA373" i="21"/>
  <c r="AA439" i="21"/>
  <c r="AA503" i="21"/>
  <c r="AA567" i="21"/>
  <c r="AA631" i="21"/>
  <c r="Y110" i="21"/>
  <c r="Y183" i="21"/>
  <c r="Y229" i="21"/>
  <c r="Y254" i="21"/>
  <c r="Y272" i="21"/>
  <c r="Y290" i="21"/>
  <c r="Y304" i="21"/>
  <c r="Y318" i="21"/>
  <c r="Y333" i="21"/>
  <c r="Y346" i="21"/>
  <c r="Y375" i="21"/>
  <c r="Y386" i="21"/>
  <c r="Y396" i="21"/>
  <c r="Y408" i="21"/>
  <c r="Y418" i="21"/>
  <c r="Y440" i="21"/>
  <c r="Y450" i="21"/>
  <c r="Y460" i="21"/>
  <c r="Y472" i="21"/>
  <c r="Y482" i="21"/>
  <c r="Y504" i="21"/>
  <c r="Y514" i="21"/>
  <c r="Y524" i="21"/>
  <c r="Y536" i="21"/>
  <c r="Y546" i="21"/>
  <c r="AA23" i="21"/>
  <c r="AA180" i="21"/>
  <c r="AA259" i="21"/>
  <c r="AA292" i="21"/>
  <c r="AA317" i="21"/>
  <c r="AA348" i="21"/>
  <c r="AA702" i="21"/>
  <c r="Y702" i="21"/>
  <c r="AA705" i="21"/>
  <c r="Y705" i="21"/>
  <c r="AA710" i="21"/>
  <c r="Y710" i="21"/>
  <c r="AA713" i="21"/>
  <c r="Y713" i="21"/>
  <c r="AA718" i="21"/>
  <c r="Y718" i="21"/>
  <c r="AA721" i="21"/>
  <c r="Y721" i="21"/>
  <c r="AA726" i="21"/>
  <c r="Y726" i="21"/>
  <c r="AA729" i="21"/>
  <c r="Y729" i="21"/>
  <c r="AA734" i="21"/>
  <c r="Y734" i="21"/>
  <c r="AA737" i="21"/>
  <c r="Y737" i="21"/>
  <c r="AA742" i="21"/>
  <c r="Y742" i="21"/>
  <c r="AA745" i="21"/>
  <c r="Y745" i="21"/>
  <c r="AA750" i="21"/>
  <c r="Y750" i="21"/>
  <c r="AA753" i="21"/>
  <c r="Y753" i="21"/>
  <c r="AA758" i="21"/>
  <c r="Y758" i="21"/>
  <c r="AA761" i="21"/>
  <c r="Y761" i="21"/>
  <c r="AA766" i="21"/>
  <c r="Y766" i="21"/>
  <c r="AA769" i="21"/>
  <c r="Y769" i="21"/>
  <c r="AA774" i="21"/>
  <c r="Y774" i="21"/>
  <c r="AA777" i="21"/>
  <c r="Y777" i="21"/>
  <c r="AA782" i="21"/>
  <c r="Y782" i="21"/>
  <c r="AA785" i="21"/>
  <c r="Y785" i="21"/>
  <c r="AA790" i="21"/>
  <c r="Y790" i="21"/>
  <c r="AA793" i="21"/>
  <c r="Y793" i="21"/>
  <c r="AA798" i="21"/>
  <c r="Y798" i="21"/>
  <c r="AA801" i="21"/>
  <c r="Y801" i="21"/>
  <c r="AA806" i="21"/>
  <c r="Y806" i="21"/>
  <c r="Y720" i="21"/>
  <c r="AA719" i="21"/>
  <c r="AA735" i="21"/>
  <c r="AA706" i="21"/>
  <c r="AA722" i="21"/>
  <c r="Y809" i="21"/>
  <c r="P813" i="21"/>
  <c r="N813" i="21"/>
  <c r="Y120" i="21"/>
  <c r="Y43" i="21"/>
  <c r="Y83" i="21"/>
  <c r="Y157" i="21"/>
  <c r="AA24" i="21"/>
  <c r="AA79" i="21"/>
  <c r="AA134" i="21"/>
  <c r="Y94" i="21"/>
  <c r="AA126" i="21"/>
  <c r="Y19" i="21"/>
  <c r="Y111" i="21"/>
  <c r="AA52" i="21"/>
  <c r="AA107" i="21"/>
  <c r="Y28" i="21"/>
  <c r="Y68" i="21"/>
  <c r="Y112" i="21"/>
  <c r="Y139" i="21"/>
  <c r="Y167" i="21"/>
  <c r="Y185" i="21"/>
  <c r="Y213" i="21"/>
  <c r="AA7" i="21"/>
  <c r="AA44" i="21"/>
  <c r="AA62" i="21"/>
  <c r="AA90" i="21"/>
  <c r="AA108" i="21"/>
  <c r="AA135" i="21"/>
  <c r="AA163" i="21"/>
  <c r="AA190" i="21"/>
  <c r="AA208" i="21"/>
  <c r="AA236" i="21"/>
  <c r="Y29" i="21"/>
  <c r="Y53" i="21"/>
  <c r="Y77" i="21"/>
  <c r="Y104" i="21"/>
  <c r="Y131" i="21"/>
  <c r="Y159" i="21"/>
  <c r="Y186" i="21"/>
  <c r="Y214" i="21"/>
  <c r="Y241" i="21"/>
  <c r="AA27" i="21"/>
  <c r="AA45" i="21"/>
  <c r="AA63" i="21"/>
  <c r="AA100" i="21"/>
  <c r="AA118" i="21"/>
  <c r="AA136" i="21"/>
  <c r="AA173" i="21"/>
  <c r="AA200" i="21"/>
  <c r="Y59" i="21"/>
  <c r="Y102" i="21"/>
  <c r="Y166" i="21"/>
  <c r="AA125" i="21"/>
  <c r="Y20" i="21"/>
  <c r="Y76" i="21"/>
  <c r="Y103" i="21"/>
  <c r="Y130" i="21"/>
  <c r="Y158" i="21"/>
  <c r="Y194" i="21"/>
  <c r="Y203" i="21"/>
  <c r="AA16" i="21"/>
  <c r="AA35" i="21"/>
  <c r="AA71" i="21"/>
  <c r="AA99" i="21"/>
  <c r="AA144" i="21"/>
  <c r="AA172" i="21"/>
  <c r="AA199" i="21"/>
  <c r="AA227" i="21"/>
  <c r="Y13" i="21"/>
  <c r="Y37" i="21"/>
  <c r="Y61" i="21"/>
  <c r="Y86" i="21"/>
  <c r="Y113" i="21"/>
  <c r="Y141" i="21"/>
  <c r="Y168" i="21"/>
  <c r="Y195" i="21"/>
  <c r="Y223" i="21"/>
  <c r="AA8" i="21"/>
  <c r="AA36" i="21"/>
  <c r="AA54" i="21"/>
  <c r="AA72" i="21"/>
  <c r="AA109" i="21"/>
  <c r="AA127" i="21"/>
  <c r="AA164" i="21"/>
  <c r="AA191" i="21"/>
  <c r="AA228" i="21"/>
  <c r="O813" i="21"/>
  <c r="U7" i="21"/>
  <c r="Y22" i="21"/>
  <c r="Y38" i="21"/>
  <c r="Y70" i="21"/>
  <c r="Y105" i="21"/>
  <c r="Y123" i="21"/>
  <c r="Y178" i="21"/>
  <c r="Y297" i="21"/>
  <c r="AA46" i="21"/>
  <c r="AA64" i="21"/>
  <c r="AA138" i="21"/>
  <c r="AA156" i="21"/>
  <c r="AA220" i="21"/>
  <c r="AA284" i="21"/>
  <c r="Y75" i="21"/>
  <c r="AA15" i="21"/>
  <c r="AA116" i="21"/>
  <c r="AA162" i="21"/>
  <c r="Y12" i="21"/>
  <c r="Y85" i="21"/>
  <c r="Y121" i="21"/>
  <c r="Y149" i="21"/>
  <c r="Y176" i="21"/>
  <c r="Y249" i="21"/>
  <c r="AA80" i="21"/>
  <c r="AA117" i="21"/>
  <c r="AA154" i="21"/>
  <c r="AA181" i="21"/>
  <c r="AA218" i="21"/>
  <c r="Y21" i="21"/>
  <c r="Y95" i="21"/>
  <c r="Y122" i="21"/>
  <c r="Y150" i="21"/>
  <c r="Y177" i="21"/>
  <c r="Y205" i="21"/>
  <c r="AA182" i="21"/>
  <c r="Y30" i="21"/>
  <c r="Y114" i="21"/>
  <c r="Y169" i="21"/>
  <c r="Y187" i="21"/>
  <c r="Y233" i="21"/>
  <c r="AA55" i="21"/>
  <c r="AA92" i="21"/>
  <c r="AA147" i="21"/>
  <c r="Y31" i="21"/>
  <c r="Y39" i="21"/>
  <c r="Y47" i="21"/>
  <c r="Y88" i="21"/>
  <c r="Y97" i="21"/>
  <c r="Y143" i="21"/>
  <c r="Y152" i="21"/>
  <c r="Y161" i="21"/>
  <c r="Y225" i="21"/>
  <c r="Y289" i="21"/>
  <c r="Y353" i="21"/>
  <c r="AA11" i="21"/>
  <c r="AA56" i="21"/>
  <c r="AA84" i="21"/>
  <c r="AA93" i="21"/>
  <c r="AA148" i="21"/>
  <c r="AA212" i="21"/>
  <c r="AA276" i="21"/>
  <c r="AA340" i="21"/>
  <c r="Y67" i="21"/>
  <c r="Y129" i="21"/>
  <c r="AA98" i="21"/>
  <c r="Y48" i="21"/>
  <c r="AA204" i="21"/>
  <c r="AA171" i="21"/>
  <c r="M813" i="21"/>
  <c r="Y40" i="21"/>
  <c r="Y89" i="21"/>
  <c r="Y153" i="21"/>
  <c r="AA140" i="21"/>
  <c r="Y9" i="21"/>
  <c r="Y17" i="21"/>
  <c r="Y25" i="21"/>
  <c r="Y33" i="21"/>
  <c r="Y41" i="21"/>
  <c r="Y49" i="21"/>
  <c r="Y57" i="21"/>
  <c r="Y65" i="21"/>
  <c r="Y73" i="21"/>
  <c r="Y81" i="21"/>
  <c r="Y145" i="21"/>
  <c r="Y209" i="21"/>
  <c r="AA132" i="21"/>
  <c r="AA196" i="21"/>
  <c r="L813" i="21"/>
  <c r="Y6" i="21"/>
  <c r="N105" i="19"/>
  <c r="M105" i="19"/>
  <c r="L105" i="19"/>
  <c r="K105" i="19"/>
  <c r="J105" i="19"/>
  <c r="I105" i="19"/>
  <c r="H105" i="19"/>
  <c r="G105" i="19"/>
  <c r="F105" i="19"/>
  <c r="E105" i="19"/>
  <c r="J107" i="19" l="1"/>
  <c r="N107" i="19"/>
  <c r="J108" i="19"/>
  <c r="F107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V151" i="19" l="1"/>
  <c r="V154" i="19"/>
  <c r="V152" i="19"/>
  <c r="V153" i="19"/>
  <c r="V155" i="19"/>
  <c r="M79" i="19"/>
  <c r="K157" i="19"/>
  <c r="J157" i="19"/>
  <c r="I157" i="19"/>
  <c r="H157" i="19"/>
  <c r="G157" i="19"/>
  <c r="F157" i="19"/>
  <c r="E157" i="19"/>
  <c r="D157" i="19"/>
  <c r="C157" i="19"/>
  <c r="B157" i="19"/>
  <c r="J147" i="19"/>
  <c r="I147" i="19"/>
  <c r="H147" i="19"/>
  <c r="G147" i="19"/>
  <c r="F147" i="19"/>
  <c r="E147" i="19"/>
  <c r="D147" i="19"/>
  <c r="C147" i="19"/>
  <c r="B147" i="19"/>
  <c r="C12" i="19" l="1"/>
  <c r="C11" i="19"/>
  <c r="C10" i="19"/>
  <c r="C9" i="19"/>
  <c r="C8" i="19"/>
  <c r="B12" i="19" l="1"/>
  <c r="B11" i="19"/>
  <c r="B10" i="19"/>
  <c r="B9" i="19"/>
  <c r="B8" i="19"/>
  <c r="W809" i="21" l="1"/>
  <c r="W808" i="21"/>
  <c r="W807" i="21"/>
  <c r="W806" i="21"/>
  <c r="W805" i="21"/>
  <c r="W804" i="21"/>
  <c r="W803" i="21"/>
  <c r="W802" i="21"/>
  <c r="W801" i="21"/>
  <c r="W800" i="21"/>
  <c r="W799" i="21"/>
  <c r="W798" i="21"/>
  <c r="W797" i="21"/>
  <c r="W796" i="21"/>
  <c r="W795" i="21"/>
  <c r="W794" i="21"/>
  <c r="W793" i="21"/>
  <c r="W792" i="21"/>
  <c r="W791" i="21"/>
  <c r="W790" i="21"/>
  <c r="W789" i="21"/>
  <c r="W788" i="21"/>
  <c r="W787" i="21"/>
  <c r="W786" i="21"/>
  <c r="W785" i="21"/>
  <c r="W784" i="21"/>
  <c r="W783" i="21"/>
  <c r="W782" i="21"/>
  <c r="W781" i="21"/>
  <c r="W780" i="21"/>
  <c r="W779" i="21"/>
  <c r="W778" i="21"/>
  <c r="W777" i="21"/>
  <c r="W776" i="21"/>
  <c r="W775" i="21"/>
  <c r="W774" i="21"/>
  <c r="W773" i="21"/>
  <c r="W772" i="21"/>
  <c r="W771" i="21"/>
  <c r="W770" i="21"/>
  <c r="W769" i="21"/>
  <c r="W768" i="21"/>
  <c r="W767" i="21"/>
  <c r="W766" i="21"/>
  <c r="W765" i="21"/>
  <c r="W764" i="21"/>
  <c r="W763" i="21"/>
  <c r="W762" i="21"/>
  <c r="W761" i="21"/>
  <c r="W760" i="21"/>
  <c r="W759" i="21"/>
  <c r="W758" i="21"/>
  <c r="W757" i="21"/>
  <c r="W756" i="21"/>
  <c r="W755" i="21"/>
  <c r="W754" i="21"/>
  <c r="W753" i="21"/>
  <c r="W752" i="21"/>
  <c r="W751" i="21"/>
  <c r="W750" i="21"/>
  <c r="W749" i="21"/>
  <c r="W748" i="21"/>
  <c r="W747" i="21"/>
  <c r="W746" i="21"/>
  <c r="W745" i="21"/>
  <c r="W744" i="21"/>
  <c r="W743" i="21"/>
  <c r="W742" i="21"/>
  <c r="W741" i="21"/>
  <c r="W740" i="21"/>
  <c r="W739" i="21"/>
  <c r="W738" i="21"/>
  <c r="W737" i="21"/>
  <c r="W736" i="21"/>
  <c r="W735" i="21"/>
  <c r="W734" i="21"/>
  <c r="W733" i="21"/>
  <c r="W732" i="21"/>
  <c r="W731" i="21"/>
  <c r="W730" i="21"/>
  <c r="W729" i="21"/>
  <c r="W728" i="21"/>
  <c r="W727" i="21"/>
  <c r="W726" i="21"/>
  <c r="W725" i="21"/>
  <c r="W724" i="21"/>
  <c r="W723" i="21"/>
  <c r="W722" i="21"/>
  <c r="W721" i="21"/>
  <c r="W720" i="21"/>
  <c r="W719" i="21"/>
  <c r="W718" i="21"/>
  <c r="W717" i="21"/>
  <c r="W716" i="21"/>
  <c r="W715" i="21"/>
  <c r="W714" i="21"/>
  <c r="W713" i="21"/>
  <c r="W712" i="21"/>
  <c r="W711" i="21"/>
  <c r="W710" i="21"/>
  <c r="W709" i="21"/>
  <c r="W708" i="21"/>
  <c r="W707" i="21"/>
  <c r="W706" i="21"/>
  <c r="W705" i="21"/>
  <c r="W704" i="21"/>
  <c r="W703" i="21"/>
  <c r="W702" i="21"/>
  <c r="W701" i="21"/>
  <c r="W700" i="21"/>
  <c r="W699" i="21"/>
  <c r="W698" i="21"/>
  <c r="W697" i="21"/>
  <c r="W696" i="21"/>
  <c r="W695" i="21"/>
  <c r="W694" i="21"/>
  <c r="W693" i="21"/>
  <c r="W692" i="21"/>
  <c r="W691" i="21"/>
  <c r="W690" i="21"/>
  <c r="W689" i="21"/>
  <c r="W688" i="21"/>
  <c r="W687" i="21"/>
  <c r="W686" i="21"/>
  <c r="W685" i="21"/>
  <c r="W684" i="21"/>
  <c r="W683" i="21"/>
  <c r="W682" i="21"/>
  <c r="W681" i="21"/>
  <c r="W680" i="21"/>
  <c r="W679" i="21"/>
  <c r="W678" i="21"/>
  <c r="W677" i="21"/>
  <c r="W676" i="21"/>
  <c r="W675" i="21"/>
  <c r="W674" i="21"/>
  <c r="W673" i="21"/>
  <c r="W672" i="21"/>
  <c r="W671" i="21"/>
  <c r="W670" i="21"/>
  <c r="W669" i="21"/>
  <c r="W668" i="21"/>
  <c r="W667" i="21"/>
  <c r="W666" i="21"/>
  <c r="W665" i="21"/>
  <c r="W664" i="21"/>
  <c r="W663" i="21"/>
  <c r="W662" i="21"/>
  <c r="W661" i="21"/>
  <c r="W660" i="21"/>
  <c r="W659" i="21"/>
  <c r="W658" i="21"/>
  <c r="W657" i="21"/>
  <c r="W656" i="21"/>
  <c r="W655" i="21"/>
  <c r="W654" i="21"/>
  <c r="W653" i="21"/>
  <c r="W652" i="21"/>
  <c r="W651" i="21"/>
  <c r="W650" i="21"/>
  <c r="W649" i="21"/>
  <c r="W648" i="21"/>
  <c r="W647" i="21"/>
  <c r="W646" i="21"/>
  <c r="W645" i="21"/>
  <c r="W644" i="21"/>
  <c r="W643" i="21"/>
  <c r="W642" i="21"/>
  <c r="W641" i="21"/>
  <c r="W640" i="21"/>
  <c r="W639" i="21"/>
  <c r="W638" i="21"/>
  <c r="W637" i="21"/>
  <c r="W636" i="21"/>
  <c r="W635" i="21"/>
  <c r="W634" i="21"/>
  <c r="W633" i="21"/>
  <c r="W632" i="21"/>
  <c r="W631" i="21"/>
  <c r="W630" i="21"/>
  <c r="W629" i="21"/>
  <c r="W628" i="21"/>
  <c r="W627" i="21"/>
  <c r="W626" i="21"/>
  <c r="W625" i="21"/>
  <c r="W624" i="21"/>
  <c r="W623" i="21"/>
  <c r="W622" i="21"/>
  <c r="W621" i="21"/>
  <c r="W620" i="21"/>
  <c r="W619" i="21"/>
  <c r="W618" i="21"/>
  <c r="W617" i="21"/>
  <c r="W616" i="21"/>
  <c r="W615" i="21"/>
  <c r="W614" i="21"/>
  <c r="W613" i="21"/>
  <c r="W612" i="21"/>
  <c r="W611" i="21"/>
  <c r="W610" i="21"/>
  <c r="W609" i="21"/>
  <c r="W608" i="21"/>
  <c r="W607" i="21"/>
  <c r="W606" i="21"/>
  <c r="W605" i="21"/>
  <c r="W604" i="21"/>
  <c r="W603" i="21"/>
  <c r="W602" i="21"/>
  <c r="W601" i="21"/>
  <c r="W600" i="21"/>
  <c r="W599" i="21"/>
  <c r="W598" i="21"/>
  <c r="W597" i="21"/>
  <c r="W596" i="21"/>
  <c r="W595" i="21"/>
  <c r="W594" i="21"/>
  <c r="W593" i="21"/>
  <c r="W592" i="21"/>
  <c r="W591" i="21"/>
  <c r="W590" i="21"/>
  <c r="W589" i="21"/>
  <c r="W588" i="21"/>
  <c r="W587" i="21"/>
  <c r="W586" i="21"/>
  <c r="W585" i="21"/>
  <c r="W584" i="21"/>
  <c r="W583" i="21"/>
  <c r="W582" i="21"/>
  <c r="W581" i="21"/>
  <c r="W580" i="21"/>
  <c r="W579" i="21"/>
  <c r="W578" i="21"/>
  <c r="W577" i="21"/>
  <c r="W576" i="21"/>
  <c r="W575" i="21"/>
  <c r="W574" i="21"/>
  <c r="W573" i="21"/>
  <c r="W572" i="21"/>
  <c r="W571" i="21"/>
  <c r="W570" i="21"/>
  <c r="W569" i="21"/>
  <c r="W568" i="21"/>
  <c r="W567" i="21"/>
  <c r="W566" i="21"/>
  <c r="W565" i="21"/>
  <c r="W564" i="21"/>
  <c r="W563" i="21"/>
  <c r="W562" i="21"/>
  <c r="W561" i="21"/>
  <c r="W560" i="21"/>
  <c r="W559" i="21"/>
  <c r="W558" i="21"/>
  <c r="W557" i="21"/>
  <c r="W556" i="21"/>
  <c r="W555" i="21"/>
  <c r="W554" i="21"/>
  <c r="W553" i="21"/>
  <c r="W552" i="21"/>
  <c r="W551" i="21"/>
  <c r="W550" i="21"/>
  <c r="W549" i="21"/>
  <c r="W548" i="21"/>
  <c r="W547" i="21"/>
  <c r="W546" i="21"/>
  <c r="W545" i="21"/>
  <c r="W544" i="21"/>
  <c r="W543" i="21"/>
  <c r="W542" i="21"/>
  <c r="W541" i="21"/>
  <c r="W540" i="21"/>
  <c r="W539" i="21"/>
  <c r="W538" i="21"/>
  <c r="W537" i="21"/>
  <c r="W536" i="21"/>
  <c r="W535" i="21"/>
  <c r="W534" i="21"/>
  <c r="W533" i="21"/>
  <c r="W532" i="21"/>
  <c r="W531" i="21"/>
  <c r="W530" i="21"/>
  <c r="W529" i="21"/>
  <c r="W528" i="21"/>
  <c r="W527" i="21"/>
  <c r="W526" i="21"/>
  <c r="W525" i="21"/>
  <c r="W524" i="21"/>
  <c r="W523" i="21"/>
  <c r="W522" i="21"/>
  <c r="W521" i="21"/>
  <c r="W520" i="21"/>
  <c r="W519" i="21"/>
  <c r="W518" i="21"/>
  <c r="W517" i="21"/>
  <c r="W516" i="21"/>
  <c r="W515" i="21"/>
  <c r="W514" i="21"/>
  <c r="W513" i="21"/>
  <c r="W512" i="21"/>
  <c r="W511" i="21"/>
  <c r="W510" i="21"/>
  <c r="W509" i="21"/>
  <c r="W508" i="21"/>
  <c r="W507" i="21"/>
  <c r="W506" i="21"/>
  <c r="W505" i="21"/>
  <c r="W504" i="21"/>
  <c r="W503" i="21"/>
  <c r="W502" i="21"/>
  <c r="W501" i="21"/>
  <c r="W500" i="21"/>
  <c r="W499" i="21"/>
  <c r="W498" i="21"/>
  <c r="W497" i="21"/>
  <c r="W496" i="21"/>
  <c r="W495" i="21"/>
  <c r="W494" i="21"/>
  <c r="W493" i="21"/>
  <c r="W492" i="21"/>
  <c r="W491" i="21"/>
  <c r="W490" i="21"/>
  <c r="W489" i="21"/>
  <c r="W488" i="21"/>
  <c r="W487" i="21"/>
  <c r="W486" i="21"/>
  <c r="W485" i="21"/>
  <c r="W484" i="21"/>
  <c r="W483" i="21"/>
  <c r="W482" i="21"/>
  <c r="W481" i="21"/>
  <c r="W480" i="21"/>
  <c r="W479" i="21"/>
  <c r="W478" i="21"/>
  <c r="W477" i="21"/>
  <c r="W476" i="21"/>
  <c r="W475" i="21"/>
  <c r="W474" i="21"/>
  <c r="W473" i="21"/>
  <c r="W472" i="21"/>
  <c r="W471" i="21"/>
  <c r="W470" i="21"/>
  <c r="W469" i="21"/>
  <c r="W468" i="21"/>
  <c r="W467" i="21"/>
  <c r="W466" i="21"/>
  <c r="W465" i="21"/>
  <c r="W464" i="21"/>
  <c r="W463" i="21"/>
  <c r="W462" i="21"/>
  <c r="W461" i="21"/>
  <c r="W460" i="21"/>
  <c r="W459" i="21"/>
  <c r="W458" i="21"/>
  <c r="W457" i="21"/>
  <c r="W456" i="21"/>
  <c r="W455" i="21"/>
  <c r="W454" i="21"/>
  <c r="W453" i="21"/>
  <c r="W452" i="21"/>
  <c r="W451" i="21"/>
  <c r="W450" i="21"/>
  <c r="W449" i="21"/>
  <c r="W448" i="21"/>
  <c r="W447" i="21"/>
  <c r="W446" i="21"/>
  <c r="W445" i="21"/>
  <c r="W444" i="21"/>
  <c r="W443" i="21"/>
  <c r="W442" i="21"/>
  <c r="W441" i="21"/>
  <c r="W440" i="21"/>
  <c r="W439" i="21"/>
  <c r="W438" i="21"/>
  <c r="W437" i="21"/>
  <c r="W436" i="21"/>
  <c r="W435" i="21"/>
  <c r="W434" i="21"/>
  <c r="W433" i="21"/>
  <c r="W432" i="21"/>
  <c r="W431" i="21"/>
  <c r="W430" i="21"/>
  <c r="W429" i="21"/>
  <c r="W428" i="21"/>
  <c r="W427" i="21"/>
  <c r="W426" i="21"/>
  <c r="W425" i="21"/>
  <c r="W424" i="21"/>
  <c r="W423" i="21"/>
  <c r="W422" i="21"/>
  <c r="W421" i="21"/>
  <c r="W420" i="21"/>
  <c r="W419" i="21"/>
  <c r="W418" i="21"/>
  <c r="W417" i="21"/>
  <c r="W416" i="21"/>
  <c r="W415" i="21"/>
  <c r="W414" i="21"/>
  <c r="W413" i="21"/>
  <c r="W412" i="21"/>
  <c r="W411" i="21"/>
  <c r="W410" i="21"/>
  <c r="W409" i="21"/>
  <c r="W408" i="21"/>
  <c r="W407" i="21"/>
  <c r="W406" i="21"/>
  <c r="W405" i="21"/>
  <c r="W404" i="21"/>
  <c r="W403" i="21"/>
  <c r="W402" i="21"/>
  <c r="W401" i="21"/>
  <c r="W400" i="21"/>
  <c r="W399" i="21"/>
  <c r="W398" i="21"/>
  <c r="W397" i="21"/>
  <c r="W396" i="21"/>
  <c r="W395" i="21"/>
  <c r="W394" i="21"/>
  <c r="W393" i="21"/>
  <c r="W392" i="21"/>
  <c r="W391" i="21"/>
  <c r="W390" i="21"/>
  <c r="W389" i="21"/>
  <c r="W388" i="21"/>
  <c r="W387" i="21"/>
  <c r="W386" i="21"/>
  <c r="W385" i="21"/>
  <c r="W384" i="21"/>
  <c r="W383" i="21"/>
  <c r="W382" i="21"/>
  <c r="W381" i="21"/>
  <c r="W380" i="21"/>
  <c r="W379" i="21"/>
  <c r="W378" i="21"/>
  <c r="W377" i="21"/>
  <c r="W376" i="21"/>
  <c r="W375" i="21"/>
  <c r="W374" i="21"/>
  <c r="W373" i="21"/>
  <c r="W372" i="21"/>
  <c r="W371" i="21"/>
  <c r="W370" i="21"/>
  <c r="W369" i="21"/>
  <c r="W368" i="21"/>
  <c r="W367" i="21"/>
  <c r="W366" i="21"/>
  <c r="W365" i="21"/>
  <c r="W364" i="21"/>
  <c r="W363" i="21"/>
  <c r="W362" i="21"/>
  <c r="W361" i="21"/>
  <c r="W360" i="21"/>
  <c r="W359" i="21"/>
  <c r="W358" i="21"/>
  <c r="W357" i="21"/>
  <c r="W356" i="21"/>
  <c r="W355" i="21"/>
  <c r="W354" i="21"/>
  <c r="W353" i="21"/>
  <c r="W352" i="21"/>
  <c r="W351" i="21"/>
  <c r="W350" i="21"/>
  <c r="W349" i="21"/>
  <c r="W348" i="21"/>
  <c r="W347" i="21"/>
  <c r="W346" i="21"/>
  <c r="W345" i="21"/>
  <c r="W344" i="21"/>
  <c r="W343" i="21"/>
  <c r="W342" i="21"/>
  <c r="W341" i="21"/>
  <c r="W340" i="21"/>
  <c r="W339" i="21"/>
  <c r="W338" i="21"/>
  <c r="W337" i="21"/>
  <c r="W336" i="21"/>
  <c r="W335" i="21"/>
  <c r="W334" i="21"/>
  <c r="W333" i="21"/>
  <c r="W332" i="21"/>
  <c r="W331" i="21"/>
  <c r="W330" i="21"/>
  <c r="W329" i="21"/>
  <c r="W328" i="21"/>
  <c r="W327" i="21"/>
  <c r="W326" i="21"/>
  <c r="W325" i="21"/>
  <c r="W324" i="21"/>
  <c r="W323" i="21"/>
  <c r="W322" i="21"/>
  <c r="W321" i="21"/>
  <c r="W320" i="21"/>
  <c r="W319" i="21"/>
  <c r="W318" i="21"/>
  <c r="W317" i="21"/>
  <c r="W316" i="21"/>
  <c r="W315" i="21"/>
  <c r="W314" i="21"/>
  <c r="W313" i="21"/>
  <c r="W312" i="21"/>
  <c r="W311" i="21"/>
  <c r="W310" i="21"/>
  <c r="W309" i="21"/>
  <c r="W308" i="21"/>
  <c r="W307" i="21"/>
  <c r="W306" i="21"/>
  <c r="W305" i="21"/>
  <c r="W304" i="21"/>
  <c r="W303" i="21"/>
  <c r="W302" i="21"/>
  <c r="W301" i="21"/>
  <c r="W300" i="21"/>
  <c r="W299" i="21"/>
  <c r="W298" i="21"/>
  <c r="W297" i="21"/>
  <c r="W296" i="21"/>
  <c r="W295" i="21"/>
  <c r="W294" i="21"/>
  <c r="W293" i="21"/>
  <c r="W292" i="21"/>
  <c r="W291" i="21"/>
  <c r="W290" i="21"/>
  <c r="W289" i="21"/>
  <c r="W288" i="21"/>
  <c r="W287" i="21"/>
  <c r="W286" i="21"/>
  <c r="W285" i="21"/>
  <c r="W284" i="21"/>
  <c r="W283" i="21"/>
  <c r="W282" i="21"/>
  <c r="W281" i="21"/>
  <c r="W280" i="21"/>
  <c r="W279" i="21"/>
  <c r="W278" i="21"/>
  <c r="W277" i="21"/>
  <c r="W276" i="21"/>
  <c r="W275" i="21"/>
  <c r="W274" i="21"/>
  <c r="W273" i="21"/>
  <c r="W272" i="21"/>
  <c r="W271" i="21"/>
  <c r="W270" i="21"/>
  <c r="W269" i="21"/>
  <c r="W268" i="21"/>
  <c r="W267" i="21"/>
  <c r="W266" i="21"/>
  <c r="W265" i="21"/>
  <c r="W264" i="21"/>
  <c r="W263" i="21"/>
  <c r="W262" i="21"/>
  <c r="W261" i="21"/>
  <c r="W260" i="21"/>
  <c r="W259" i="21"/>
  <c r="W258" i="21"/>
  <c r="W257" i="21"/>
  <c r="W256" i="21"/>
  <c r="W255" i="21"/>
  <c r="W254" i="21"/>
  <c r="W253" i="21"/>
  <c r="W252" i="21"/>
  <c r="W251" i="21"/>
  <c r="W250" i="21"/>
  <c r="W249" i="21"/>
  <c r="W248" i="21"/>
  <c r="W247" i="21"/>
  <c r="W246" i="21"/>
  <c r="W245" i="21"/>
  <c r="W244" i="21"/>
  <c r="W243" i="21"/>
  <c r="W242" i="21"/>
  <c r="W241" i="21"/>
  <c r="W240" i="21"/>
  <c r="W239" i="21"/>
  <c r="W238" i="21"/>
  <c r="W237" i="21"/>
  <c r="W236" i="21"/>
  <c r="W235" i="21"/>
  <c r="W234" i="21"/>
  <c r="W233" i="21"/>
  <c r="W232" i="21"/>
  <c r="W231" i="21"/>
  <c r="W230" i="21"/>
  <c r="W229" i="21"/>
  <c r="W228" i="21"/>
  <c r="W227" i="21"/>
  <c r="W226" i="21"/>
  <c r="W225" i="21"/>
  <c r="W224" i="21"/>
  <c r="W223" i="21"/>
  <c r="W222" i="21"/>
  <c r="W221" i="21"/>
  <c r="W220" i="21"/>
  <c r="W219" i="21"/>
  <c r="W218" i="21"/>
  <c r="W217" i="21"/>
  <c r="W216" i="21"/>
  <c r="W215" i="21"/>
  <c r="W214" i="21"/>
  <c r="W213" i="21"/>
  <c r="W212" i="21"/>
  <c r="W211" i="21"/>
  <c r="W210" i="21"/>
  <c r="W209" i="21"/>
  <c r="W208" i="21"/>
  <c r="W207" i="21"/>
  <c r="W206" i="21"/>
  <c r="W205" i="21"/>
  <c r="W204" i="21"/>
  <c r="W203" i="21"/>
  <c r="W202" i="21"/>
  <c r="W201" i="21"/>
  <c r="W200" i="21"/>
  <c r="W199" i="21"/>
  <c r="W198" i="21"/>
  <c r="W197" i="21"/>
  <c r="W196" i="21"/>
  <c r="W195" i="21"/>
  <c r="W194" i="21"/>
  <c r="W193" i="21"/>
  <c r="W192" i="21"/>
  <c r="W191" i="21"/>
  <c r="W190" i="21"/>
  <c r="W189" i="21"/>
  <c r="W188" i="21"/>
  <c r="W187" i="21"/>
  <c r="W186" i="21"/>
  <c r="W185" i="21"/>
  <c r="W184" i="21"/>
  <c r="W183" i="21"/>
  <c r="W182" i="21"/>
  <c r="W181" i="21"/>
  <c r="W180" i="21"/>
  <c r="W179" i="21"/>
  <c r="W178" i="21"/>
  <c r="W177" i="21"/>
  <c r="W176" i="21"/>
  <c r="W175" i="21"/>
  <c r="W174" i="21"/>
  <c r="W173" i="21"/>
  <c r="W172" i="21"/>
  <c r="W171" i="21"/>
  <c r="W170" i="21"/>
  <c r="W169" i="21"/>
  <c r="W168" i="21"/>
  <c r="W167" i="21"/>
  <c r="W166" i="21"/>
  <c r="W165" i="21"/>
  <c r="W164" i="21"/>
  <c r="W163" i="21"/>
  <c r="W162" i="21"/>
  <c r="W161" i="21"/>
  <c r="W160" i="21"/>
  <c r="W159" i="21"/>
  <c r="W158" i="21"/>
  <c r="W157" i="21"/>
  <c r="W156" i="21"/>
  <c r="W155" i="21"/>
  <c r="W154" i="21"/>
  <c r="W153" i="21"/>
  <c r="W152" i="21"/>
  <c r="W151" i="21"/>
  <c r="W150" i="21"/>
  <c r="W149" i="21"/>
  <c r="W148" i="21"/>
  <c r="W147" i="21"/>
  <c r="W146" i="21"/>
  <c r="W145" i="21"/>
  <c r="W144" i="21"/>
  <c r="W143" i="21"/>
  <c r="W142" i="21"/>
  <c r="W141" i="21"/>
  <c r="W140" i="21"/>
  <c r="W139" i="21"/>
  <c r="W138" i="21"/>
  <c r="W137" i="21"/>
  <c r="W136" i="21"/>
  <c r="W135" i="21"/>
  <c r="W134" i="21"/>
  <c r="W133" i="21"/>
  <c r="W132" i="21"/>
  <c r="W131" i="21"/>
  <c r="W130" i="21"/>
  <c r="W129" i="21"/>
  <c r="W128" i="21"/>
  <c r="W127" i="21"/>
  <c r="W126" i="21"/>
  <c r="W125" i="21"/>
  <c r="W124" i="21"/>
  <c r="W123" i="21"/>
  <c r="W122" i="21"/>
  <c r="W121" i="21"/>
  <c r="W120" i="21"/>
  <c r="W119" i="21"/>
  <c r="W118" i="21"/>
  <c r="W117" i="21"/>
  <c r="W116" i="21"/>
  <c r="W115" i="21"/>
  <c r="W114" i="21"/>
  <c r="W113" i="21"/>
  <c r="W112" i="21"/>
  <c r="W111" i="21"/>
  <c r="W110" i="21"/>
  <c r="W109" i="21"/>
  <c r="W108" i="21"/>
  <c r="W107" i="21"/>
  <c r="W106" i="21"/>
  <c r="W105" i="21"/>
  <c r="W104" i="21"/>
  <c r="W103" i="21"/>
  <c r="W102" i="21"/>
  <c r="W101" i="21"/>
  <c r="W100" i="21"/>
  <c r="W99" i="21"/>
  <c r="W98" i="21"/>
  <c r="W97" i="21"/>
  <c r="W96" i="21"/>
  <c r="W95" i="21"/>
  <c r="W94" i="21"/>
  <c r="W93" i="21"/>
  <c r="W92" i="21"/>
  <c r="W91" i="21"/>
  <c r="W90" i="21"/>
  <c r="W89" i="21"/>
  <c r="W88" i="21"/>
  <c r="W87" i="21"/>
  <c r="W86" i="21"/>
  <c r="W85" i="21"/>
  <c r="W84" i="21"/>
  <c r="W83" i="21"/>
  <c r="W82" i="21"/>
  <c r="W81" i="21"/>
  <c r="W80" i="21"/>
  <c r="W79" i="21"/>
  <c r="W78" i="21"/>
  <c r="W77" i="21"/>
  <c r="W76" i="21"/>
  <c r="W75" i="21"/>
  <c r="W74" i="21"/>
  <c r="W73" i="21"/>
  <c r="W72" i="21"/>
  <c r="W71" i="21"/>
  <c r="W70" i="21"/>
  <c r="W69" i="21"/>
  <c r="W68" i="21"/>
  <c r="W67" i="21"/>
  <c r="W66" i="21"/>
  <c r="W65" i="21"/>
  <c r="W64" i="21"/>
  <c r="W63" i="21"/>
  <c r="W62" i="21"/>
  <c r="W61" i="21"/>
  <c r="W60" i="21"/>
  <c r="W59" i="21"/>
  <c r="W58" i="21"/>
  <c r="W57" i="21"/>
  <c r="W56" i="21"/>
  <c r="W55" i="21"/>
  <c r="W54" i="21"/>
  <c r="W53" i="21"/>
  <c r="W52" i="21"/>
  <c r="W51" i="21"/>
  <c r="W50" i="21"/>
  <c r="W49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36" i="21"/>
  <c r="W35" i="21"/>
  <c r="W34" i="21"/>
  <c r="W33" i="21"/>
  <c r="W32" i="21"/>
  <c r="W31" i="21"/>
  <c r="W30" i="21"/>
  <c r="W29" i="21"/>
  <c r="W28" i="21"/>
  <c r="W27" i="21"/>
  <c r="W26" i="21"/>
  <c r="W25" i="21"/>
  <c r="W24" i="21"/>
  <c r="W23" i="21"/>
  <c r="W22" i="21"/>
  <c r="W21" i="21"/>
  <c r="W20" i="21"/>
  <c r="W19" i="21"/>
  <c r="W18" i="21"/>
  <c r="W17" i="21"/>
  <c r="W16" i="21"/>
  <c r="W15" i="21"/>
  <c r="W14" i="21"/>
  <c r="W13" i="21"/>
  <c r="W12" i="21"/>
  <c r="W11" i="21"/>
  <c r="W10" i="21"/>
  <c r="W9" i="21"/>
  <c r="W8" i="21"/>
  <c r="W7" i="21"/>
  <c r="W6" i="21"/>
  <c r="U809" i="21"/>
  <c r="U808" i="21"/>
  <c r="U807" i="21"/>
  <c r="U806" i="21"/>
  <c r="U805" i="21"/>
  <c r="U804" i="21"/>
  <c r="U803" i="21"/>
  <c r="U802" i="21"/>
  <c r="U801" i="21"/>
  <c r="U800" i="21"/>
  <c r="U799" i="21"/>
  <c r="U798" i="21"/>
  <c r="U797" i="21"/>
  <c r="U796" i="21"/>
  <c r="U795" i="21"/>
  <c r="U794" i="21"/>
  <c r="U793" i="21"/>
  <c r="U792" i="21"/>
  <c r="U791" i="21"/>
  <c r="U790" i="21"/>
  <c r="U789" i="21"/>
  <c r="U788" i="21"/>
  <c r="U787" i="21"/>
  <c r="U786" i="21"/>
  <c r="U785" i="21"/>
  <c r="U784" i="21"/>
  <c r="U783" i="21"/>
  <c r="U782" i="21"/>
  <c r="U781" i="21"/>
  <c r="U780" i="21"/>
  <c r="U779" i="21"/>
  <c r="U778" i="21"/>
  <c r="U777" i="21"/>
  <c r="U776" i="21"/>
  <c r="U775" i="21"/>
  <c r="U774" i="21"/>
  <c r="U773" i="21"/>
  <c r="U772" i="21"/>
  <c r="U771" i="21"/>
  <c r="U770" i="21"/>
  <c r="U769" i="21"/>
  <c r="U768" i="21"/>
  <c r="U767" i="21"/>
  <c r="U766" i="21"/>
  <c r="U765" i="21"/>
  <c r="U764" i="21"/>
  <c r="U763" i="21"/>
  <c r="U762" i="21"/>
  <c r="U761" i="21"/>
  <c r="U760" i="21"/>
  <c r="U759" i="21"/>
  <c r="U758" i="21"/>
  <c r="U757" i="21"/>
  <c r="U756" i="21"/>
  <c r="U755" i="21"/>
  <c r="U754" i="21"/>
  <c r="U753" i="21"/>
  <c r="U752" i="21"/>
  <c r="U751" i="21"/>
  <c r="U750" i="21"/>
  <c r="U749" i="21"/>
  <c r="U748" i="21"/>
  <c r="U747" i="21"/>
  <c r="U746" i="21"/>
  <c r="U745" i="21"/>
  <c r="U744" i="21"/>
  <c r="U743" i="21"/>
  <c r="U742" i="21"/>
  <c r="U741" i="21"/>
  <c r="U740" i="21"/>
  <c r="U739" i="21"/>
  <c r="U738" i="21"/>
  <c r="U737" i="21"/>
  <c r="U736" i="21"/>
  <c r="U735" i="21"/>
  <c r="U734" i="21"/>
  <c r="U733" i="21"/>
  <c r="U732" i="21"/>
  <c r="U731" i="21"/>
  <c r="U730" i="21"/>
  <c r="U729" i="21"/>
  <c r="U728" i="21"/>
  <c r="U727" i="21"/>
  <c r="U726" i="21"/>
  <c r="U725" i="21"/>
  <c r="U724" i="21"/>
  <c r="U723" i="21"/>
  <c r="U722" i="21"/>
  <c r="U721" i="21"/>
  <c r="U720" i="21"/>
  <c r="U719" i="21"/>
  <c r="U718" i="21"/>
  <c r="U717" i="21"/>
  <c r="U716" i="21"/>
  <c r="U715" i="21"/>
  <c r="U714" i="21"/>
  <c r="U713" i="21"/>
  <c r="U712" i="21"/>
  <c r="U711" i="21"/>
  <c r="U710" i="21"/>
  <c r="U709" i="21"/>
  <c r="U708" i="21"/>
  <c r="U707" i="21"/>
  <c r="U706" i="21"/>
  <c r="U705" i="21"/>
  <c r="U704" i="21"/>
  <c r="U703" i="21"/>
  <c r="U702" i="21"/>
  <c r="U701" i="21"/>
  <c r="U700" i="21"/>
  <c r="U699" i="21"/>
  <c r="U698" i="21"/>
  <c r="U697" i="21"/>
  <c r="U696" i="21"/>
  <c r="U695" i="21"/>
  <c r="U694" i="21"/>
  <c r="U693" i="21"/>
  <c r="U692" i="21"/>
  <c r="U691" i="21"/>
  <c r="U690" i="21"/>
  <c r="U689" i="21"/>
  <c r="U688" i="21"/>
  <c r="U687" i="21"/>
  <c r="U686" i="21"/>
  <c r="U685" i="21"/>
  <c r="U684" i="21"/>
  <c r="U683" i="21"/>
  <c r="U682" i="21"/>
  <c r="U681" i="21"/>
  <c r="U680" i="21"/>
  <c r="U679" i="21"/>
  <c r="U678" i="21"/>
  <c r="U677" i="21"/>
  <c r="U676" i="21"/>
  <c r="U675" i="21"/>
  <c r="U674" i="21"/>
  <c r="U673" i="21"/>
  <c r="U672" i="21"/>
  <c r="U671" i="21"/>
  <c r="U670" i="21"/>
  <c r="U669" i="21"/>
  <c r="U668" i="21"/>
  <c r="U667" i="21"/>
  <c r="U666" i="21"/>
  <c r="U665" i="21"/>
  <c r="U664" i="21"/>
  <c r="U663" i="21"/>
  <c r="U662" i="21"/>
  <c r="U661" i="21"/>
  <c r="U660" i="21"/>
  <c r="U659" i="21"/>
  <c r="U658" i="21"/>
  <c r="U657" i="21"/>
  <c r="U656" i="21"/>
  <c r="U655" i="21"/>
  <c r="U654" i="21"/>
  <c r="U653" i="21"/>
  <c r="U652" i="21"/>
  <c r="U651" i="21"/>
  <c r="U650" i="21"/>
  <c r="U649" i="21"/>
  <c r="U648" i="21"/>
  <c r="U647" i="21"/>
  <c r="U646" i="21"/>
  <c r="U645" i="21"/>
  <c r="U644" i="21"/>
  <c r="U643" i="21"/>
  <c r="U642" i="21"/>
  <c r="U641" i="21"/>
  <c r="U640" i="21"/>
  <c r="U639" i="21"/>
  <c r="U638" i="21"/>
  <c r="U637" i="21"/>
  <c r="U636" i="21"/>
  <c r="U635" i="21"/>
  <c r="U634" i="21"/>
  <c r="U633" i="21"/>
  <c r="U632" i="21"/>
  <c r="U631" i="21"/>
  <c r="U630" i="21"/>
  <c r="U629" i="21"/>
  <c r="U628" i="21"/>
  <c r="U627" i="21"/>
  <c r="U626" i="21"/>
  <c r="U625" i="21"/>
  <c r="U624" i="21"/>
  <c r="U623" i="21"/>
  <c r="U622" i="21"/>
  <c r="U621" i="21"/>
  <c r="U620" i="21"/>
  <c r="U619" i="21"/>
  <c r="U618" i="21"/>
  <c r="U617" i="21"/>
  <c r="U616" i="21"/>
  <c r="U615" i="21"/>
  <c r="U614" i="21"/>
  <c r="U613" i="21"/>
  <c r="U612" i="21"/>
  <c r="U611" i="21"/>
  <c r="U610" i="21"/>
  <c r="U609" i="21"/>
  <c r="U608" i="21"/>
  <c r="U607" i="21"/>
  <c r="U606" i="21"/>
  <c r="U605" i="21"/>
  <c r="U604" i="21"/>
  <c r="U603" i="21"/>
  <c r="U602" i="21"/>
  <c r="U601" i="21"/>
  <c r="U600" i="21"/>
  <c r="U599" i="21"/>
  <c r="U598" i="21"/>
  <c r="U597" i="21"/>
  <c r="U596" i="21"/>
  <c r="U595" i="21"/>
  <c r="U594" i="21"/>
  <c r="U593" i="21"/>
  <c r="U592" i="21"/>
  <c r="U591" i="21"/>
  <c r="U590" i="21"/>
  <c r="U589" i="21"/>
  <c r="U588" i="21"/>
  <c r="U587" i="21"/>
  <c r="U586" i="21"/>
  <c r="U585" i="21"/>
  <c r="U584" i="21"/>
  <c r="U583" i="21"/>
  <c r="U582" i="21"/>
  <c r="U581" i="21"/>
  <c r="U580" i="21"/>
  <c r="U579" i="21"/>
  <c r="U578" i="21"/>
  <c r="U577" i="21"/>
  <c r="U576" i="21"/>
  <c r="U575" i="21"/>
  <c r="U574" i="21"/>
  <c r="U573" i="21"/>
  <c r="U572" i="21"/>
  <c r="U571" i="21"/>
  <c r="U570" i="21"/>
  <c r="U569" i="21"/>
  <c r="U568" i="21"/>
  <c r="U567" i="21"/>
  <c r="U566" i="21"/>
  <c r="U565" i="21"/>
  <c r="U564" i="21"/>
  <c r="U563" i="21"/>
  <c r="U562" i="21"/>
  <c r="U561" i="21"/>
  <c r="U560" i="21"/>
  <c r="U559" i="21"/>
  <c r="U558" i="21"/>
  <c r="U557" i="21"/>
  <c r="U556" i="21"/>
  <c r="U555" i="21"/>
  <c r="U554" i="21"/>
  <c r="U553" i="21"/>
  <c r="U552" i="21"/>
  <c r="U551" i="21"/>
  <c r="U550" i="21"/>
  <c r="U549" i="21"/>
  <c r="U548" i="21"/>
  <c r="U547" i="21"/>
  <c r="U546" i="21"/>
  <c r="U545" i="21"/>
  <c r="U544" i="21"/>
  <c r="U543" i="21"/>
  <c r="U542" i="21"/>
  <c r="U541" i="21"/>
  <c r="U540" i="21"/>
  <c r="U539" i="21"/>
  <c r="U538" i="21"/>
  <c r="U537" i="21"/>
  <c r="U536" i="21"/>
  <c r="U535" i="21"/>
  <c r="U534" i="21"/>
  <c r="U533" i="21"/>
  <c r="U532" i="21"/>
  <c r="U531" i="21"/>
  <c r="U530" i="21"/>
  <c r="U529" i="21"/>
  <c r="U528" i="21"/>
  <c r="U527" i="21"/>
  <c r="U526" i="21"/>
  <c r="U525" i="21"/>
  <c r="U524" i="21"/>
  <c r="U523" i="21"/>
  <c r="U522" i="21"/>
  <c r="U521" i="21"/>
  <c r="U520" i="21"/>
  <c r="U519" i="21"/>
  <c r="U518" i="21"/>
  <c r="U517" i="21"/>
  <c r="U516" i="21"/>
  <c r="U515" i="21"/>
  <c r="U514" i="21"/>
  <c r="U513" i="21"/>
  <c r="U512" i="21"/>
  <c r="U511" i="21"/>
  <c r="U510" i="21"/>
  <c r="U509" i="21"/>
  <c r="U508" i="21"/>
  <c r="U507" i="21"/>
  <c r="U506" i="21"/>
  <c r="U505" i="21"/>
  <c r="U504" i="21"/>
  <c r="U503" i="21"/>
  <c r="U502" i="21"/>
  <c r="U501" i="21"/>
  <c r="U500" i="21"/>
  <c r="U499" i="21"/>
  <c r="U498" i="21"/>
  <c r="U497" i="21"/>
  <c r="U496" i="21"/>
  <c r="U495" i="21"/>
  <c r="U494" i="21"/>
  <c r="U493" i="21"/>
  <c r="U492" i="21"/>
  <c r="U491" i="21"/>
  <c r="U490" i="21"/>
  <c r="U489" i="21"/>
  <c r="U488" i="21"/>
  <c r="U487" i="21"/>
  <c r="U486" i="21"/>
  <c r="U485" i="21"/>
  <c r="U484" i="21"/>
  <c r="U483" i="21"/>
  <c r="U482" i="21"/>
  <c r="U481" i="21"/>
  <c r="U480" i="21"/>
  <c r="U479" i="21"/>
  <c r="U478" i="21"/>
  <c r="U477" i="21"/>
  <c r="U476" i="21"/>
  <c r="U475" i="21"/>
  <c r="U474" i="21"/>
  <c r="U473" i="21"/>
  <c r="U472" i="21"/>
  <c r="U471" i="21"/>
  <c r="U470" i="21"/>
  <c r="U469" i="21"/>
  <c r="U468" i="21"/>
  <c r="U467" i="21"/>
  <c r="U466" i="21"/>
  <c r="U465" i="21"/>
  <c r="U464" i="21"/>
  <c r="U463" i="21"/>
  <c r="U462" i="21"/>
  <c r="U461" i="21"/>
  <c r="U460" i="21"/>
  <c r="U459" i="21"/>
  <c r="U458" i="21"/>
  <c r="U457" i="21"/>
  <c r="U456" i="21"/>
  <c r="U455" i="21"/>
  <c r="U454" i="21"/>
  <c r="U453" i="21"/>
  <c r="U452" i="21"/>
  <c r="U451" i="21"/>
  <c r="U450" i="21"/>
  <c r="U449" i="21"/>
  <c r="U448" i="21"/>
  <c r="U447" i="21"/>
  <c r="U446" i="21"/>
  <c r="U445" i="21"/>
  <c r="U444" i="21"/>
  <c r="U443" i="21"/>
  <c r="U442" i="21"/>
  <c r="U441" i="21"/>
  <c r="U440" i="21"/>
  <c r="U439" i="21"/>
  <c r="U438" i="21"/>
  <c r="U437" i="21"/>
  <c r="U436" i="21"/>
  <c r="U435" i="21"/>
  <c r="U434" i="21"/>
  <c r="U433" i="21"/>
  <c r="U432" i="21"/>
  <c r="U431" i="21"/>
  <c r="U430" i="21"/>
  <c r="U429" i="21"/>
  <c r="U428" i="21"/>
  <c r="U427" i="21"/>
  <c r="U426" i="21"/>
  <c r="U425" i="21"/>
  <c r="U424" i="21"/>
  <c r="U423" i="21"/>
  <c r="U422" i="21"/>
  <c r="U421" i="21"/>
  <c r="U420" i="21"/>
  <c r="U419" i="21"/>
  <c r="U418" i="21"/>
  <c r="U417" i="21"/>
  <c r="U416" i="21"/>
  <c r="U415" i="21"/>
  <c r="U414" i="21"/>
  <c r="U413" i="21"/>
  <c r="U412" i="21"/>
  <c r="U411" i="21"/>
  <c r="U410" i="21"/>
  <c r="U409" i="21"/>
  <c r="U408" i="21"/>
  <c r="U407" i="21"/>
  <c r="U406" i="21"/>
  <c r="U405" i="21"/>
  <c r="U404" i="21"/>
  <c r="U403" i="21"/>
  <c r="U402" i="21"/>
  <c r="U401" i="21"/>
  <c r="U400" i="21"/>
  <c r="U399" i="21"/>
  <c r="U398" i="21"/>
  <c r="U397" i="21"/>
  <c r="U396" i="21"/>
  <c r="U395" i="21"/>
  <c r="U394" i="21"/>
  <c r="U393" i="21"/>
  <c r="U392" i="21"/>
  <c r="U391" i="21"/>
  <c r="U390" i="21"/>
  <c r="U389" i="21"/>
  <c r="U388" i="21"/>
  <c r="U387" i="21"/>
  <c r="U386" i="21"/>
  <c r="U385" i="21"/>
  <c r="U384" i="21"/>
  <c r="U383" i="21"/>
  <c r="U382" i="21"/>
  <c r="U381" i="21"/>
  <c r="U380" i="21"/>
  <c r="U379" i="21"/>
  <c r="U378" i="21"/>
  <c r="U377" i="21"/>
  <c r="U376" i="21"/>
  <c r="U375" i="21"/>
  <c r="U374" i="21"/>
  <c r="U373" i="21"/>
  <c r="U372" i="21"/>
  <c r="U371" i="21"/>
  <c r="U370" i="21"/>
  <c r="U369" i="21"/>
  <c r="U368" i="21"/>
  <c r="U367" i="21"/>
  <c r="U366" i="21"/>
  <c r="U365" i="21"/>
  <c r="U364" i="21"/>
  <c r="U363" i="21"/>
  <c r="U362" i="21"/>
  <c r="U361" i="21"/>
  <c r="U360" i="21"/>
  <c r="U359" i="21"/>
  <c r="U358" i="21"/>
  <c r="U357" i="21"/>
  <c r="U356" i="21"/>
  <c r="U355" i="21"/>
  <c r="U354" i="21"/>
  <c r="U353" i="21"/>
  <c r="U352" i="21"/>
  <c r="U351" i="21"/>
  <c r="U350" i="21"/>
  <c r="U349" i="21"/>
  <c r="U348" i="21"/>
  <c r="U347" i="21"/>
  <c r="U346" i="21"/>
  <c r="U345" i="21"/>
  <c r="U344" i="21"/>
  <c r="U343" i="21"/>
  <c r="U342" i="21"/>
  <c r="U341" i="21"/>
  <c r="U340" i="21"/>
  <c r="U339" i="21"/>
  <c r="U338" i="21"/>
  <c r="U337" i="21"/>
  <c r="U336" i="21"/>
  <c r="U335" i="21"/>
  <c r="U334" i="21"/>
  <c r="U333" i="21"/>
  <c r="U332" i="21"/>
  <c r="U331" i="21"/>
  <c r="U330" i="21"/>
  <c r="U329" i="21"/>
  <c r="U328" i="21"/>
  <c r="U327" i="21"/>
  <c r="U326" i="21"/>
  <c r="U325" i="21"/>
  <c r="U324" i="21"/>
  <c r="U323" i="21"/>
  <c r="U322" i="21"/>
  <c r="U321" i="21"/>
  <c r="U320" i="21"/>
  <c r="U319" i="21"/>
  <c r="U318" i="21"/>
  <c r="U317" i="21"/>
  <c r="U316" i="21"/>
  <c r="U315" i="21"/>
  <c r="U314" i="21"/>
  <c r="U313" i="21"/>
  <c r="U312" i="21"/>
  <c r="U311" i="21"/>
  <c r="U310" i="21"/>
  <c r="U309" i="21"/>
  <c r="U308" i="21"/>
  <c r="U307" i="21"/>
  <c r="U306" i="21"/>
  <c r="U305" i="21"/>
  <c r="U304" i="21"/>
  <c r="U303" i="21"/>
  <c r="U302" i="21"/>
  <c r="U301" i="21"/>
  <c r="U300" i="21"/>
  <c r="U299" i="21"/>
  <c r="U298" i="21"/>
  <c r="U297" i="21"/>
  <c r="U296" i="21"/>
  <c r="U295" i="21"/>
  <c r="U294" i="21"/>
  <c r="U293" i="21"/>
  <c r="U292" i="21"/>
  <c r="U291" i="21"/>
  <c r="U290" i="21"/>
  <c r="U289" i="21"/>
  <c r="U288" i="21"/>
  <c r="U287" i="21"/>
  <c r="U286" i="21"/>
  <c r="U285" i="21"/>
  <c r="U284" i="21"/>
  <c r="U283" i="21"/>
  <c r="U282" i="21"/>
  <c r="U281" i="21"/>
  <c r="U280" i="21"/>
  <c r="U279" i="21"/>
  <c r="U278" i="21"/>
  <c r="U277" i="21"/>
  <c r="U276" i="21"/>
  <c r="U275" i="21"/>
  <c r="U274" i="21"/>
  <c r="U273" i="21"/>
  <c r="U272" i="21"/>
  <c r="U271" i="21"/>
  <c r="U270" i="21"/>
  <c r="U269" i="21"/>
  <c r="U268" i="21"/>
  <c r="U267" i="21"/>
  <c r="U266" i="21"/>
  <c r="U265" i="21"/>
  <c r="U264" i="21"/>
  <c r="U263" i="21"/>
  <c r="U262" i="21"/>
  <c r="U261" i="21"/>
  <c r="U260" i="21"/>
  <c r="U259" i="21"/>
  <c r="U258" i="21"/>
  <c r="U257" i="21"/>
  <c r="U256" i="21"/>
  <c r="U255" i="21"/>
  <c r="U254" i="21"/>
  <c r="U253" i="21"/>
  <c r="U252" i="21"/>
  <c r="U251" i="21"/>
  <c r="U250" i="21"/>
  <c r="U249" i="21"/>
  <c r="U248" i="21"/>
  <c r="U247" i="21"/>
  <c r="U246" i="21"/>
  <c r="U245" i="21"/>
  <c r="U244" i="21"/>
  <c r="U243" i="21"/>
  <c r="U242" i="21"/>
  <c r="U241" i="21"/>
  <c r="U240" i="21"/>
  <c r="U239" i="21"/>
  <c r="U238" i="21"/>
  <c r="U237" i="21"/>
  <c r="U236" i="21"/>
  <c r="U235" i="21"/>
  <c r="U234" i="21"/>
  <c r="U233" i="21"/>
  <c r="U232" i="21"/>
  <c r="U231" i="21"/>
  <c r="U230" i="21"/>
  <c r="U229" i="21"/>
  <c r="U228" i="21"/>
  <c r="U227" i="21"/>
  <c r="U226" i="21"/>
  <c r="U225" i="21"/>
  <c r="U224" i="21"/>
  <c r="U223" i="21"/>
  <c r="U222" i="21"/>
  <c r="U221" i="21"/>
  <c r="U220" i="21"/>
  <c r="U219" i="21"/>
  <c r="U218" i="21"/>
  <c r="U217" i="21"/>
  <c r="U216" i="21"/>
  <c r="U215" i="21"/>
  <c r="U214" i="21"/>
  <c r="U213" i="21"/>
  <c r="U212" i="21"/>
  <c r="U211" i="21"/>
  <c r="U210" i="21"/>
  <c r="U209" i="21"/>
  <c r="U208" i="21"/>
  <c r="U207" i="21"/>
  <c r="U206" i="21"/>
  <c r="U205" i="21"/>
  <c r="U204" i="21"/>
  <c r="U203" i="21"/>
  <c r="U202" i="21"/>
  <c r="U201" i="21"/>
  <c r="U200" i="21"/>
  <c r="U199" i="21"/>
  <c r="U198" i="21"/>
  <c r="U197" i="21"/>
  <c r="U196" i="21"/>
  <c r="U195" i="21"/>
  <c r="U194" i="21"/>
  <c r="U193" i="21"/>
  <c r="U192" i="21"/>
  <c r="U191" i="21"/>
  <c r="U190" i="21"/>
  <c r="U189" i="21"/>
  <c r="U188" i="21"/>
  <c r="U187" i="21"/>
  <c r="U186" i="21"/>
  <c r="U185" i="21"/>
  <c r="U184" i="21"/>
  <c r="U183" i="21"/>
  <c r="U182" i="21"/>
  <c r="U181" i="21"/>
  <c r="U180" i="21"/>
  <c r="U179" i="21"/>
  <c r="U178" i="21"/>
  <c r="U177" i="21"/>
  <c r="U176" i="21"/>
  <c r="U175" i="21"/>
  <c r="U174" i="21"/>
  <c r="U173" i="21"/>
  <c r="U172" i="21"/>
  <c r="U171" i="21"/>
  <c r="U170" i="21"/>
  <c r="U169" i="21"/>
  <c r="U168" i="21"/>
  <c r="U167" i="21"/>
  <c r="U166" i="21"/>
  <c r="U165" i="21"/>
  <c r="U164" i="21"/>
  <c r="U163" i="21"/>
  <c r="U162" i="21"/>
  <c r="U161" i="21"/>
  <c r="U160" i="21"/>
  <c r="U159" i="21"/>
  <c r="U158" i="21"/>
  <c r="U157" i="21"/>
  <c r="U156" i="21"/>
  <c r="U155" i="21"/>
  <c r="U154" i="21"/>
  <c r="U153" i="21"/>
  <c r="U152" i="21"/>
  <c r="U151" i="21"/>
  <c r="U150" i="21"/>
  <c r="U149" i="21"/>
  <c r="U148" i="21"/>
  <c r="U147" i="21"/>
  <c r="U146" i="21"/>
  <c r="U145" i="21"/>
  <c r="U144" i="21"/>
  <c r="U143" i="21"/>
  <c r="U142" i="21"/>
  <c r="U141" i="21"/>
  <c r="U140" i="21"/>
  <c r="U139" i="21"/>
  <c r="U138" i="21"/>
  <c r="U137" i="21"/>
  <c r="U136" i="21"/>
  <c r="U135" i="21"/>
  <c r="U134" i="21"/>
  <c r="U133" i="21"/>
  <c r="U132" i="21"/>
  <c r="U131" i="21"/>
  <c r="U130" i="21"/>
  <c r="U129" i="21"/>
  <c r="U128" i="21"/>
  <c r="U127" i="21"/>
  <c r="U126" i="21"/>
  <c r="U125" i="21"/>
  <c r="U124" i="21"/>
  <c r="U123" i="21"/>
  <c r="U122" i="21"/>
  <c r="U121" i="21"/>
  <c r="U120" i="21"/>
  <c r="U119" i="21"/>
  <c r="U118" i="21"/>
  <c r="U117" i="21"/>
  <c r="U116" i="21"/>
  <c r="U115" i="21"/>
  <c r="U114" i="21"/>
  <c r="U113" i="21"/>
  <c r="U112" i="21"/>
  <c r="U111" i="21"/>
  <c r="U110" i="21"/>
  <c r="U109" i="21"/>
  <c r="U108" i="21"/>
  <c r="U107" i="21"/>
  <c r="U106" i="21"/>
  <c r="U105" i="21"/>
  <c r="U104" i="21"/>
  <c r="U103" i="21"/>
  <c r="U102" i="21"/>
  <c r="U101" i="21"/>
  <c r="U100" i="21"/>
  <c r="U99" i="21"/>
  <c r="U98" i="21"/>
  <c r="U97" i="21"/>
  <c r="U96" i="21"/>
  <c r="U95" i="21"/>
  <c r="U94" i="21"/>
  <c r="U93" i="21"/>
  <c r="U92" i="21"/>
  <c r="U91" i="21"/>
  <c r="U90" i="21"/>
  <c r="U89" i="21"/>
  <c r="U88" i="21"/>
  <c r="U87" i="21"/>
  <c r="U86" i="21"/>
  <c r="U85" i="21"/>
  <c r="U84" i="21"/>
  <c r="U83" i="21"/>
  <c r="U82" i="21"/>
  <c r="U81" i="21"/>
  <c r="U80" i="21"/>
  <c r="U79" i="21"/>
  <c r="U78" i="21"/>
  <c r="U77" i="21"/>
  <c r="U76" i="21"/>
  <c r="U75" i="21"/>
  <c r="U74" i="21"/>
  <c r="U73" i="21"/>
  <c r="U72" i="21"/>
  <c r="U71" i="21"/>
  <c r="U70" i="21"/>
  <c r="U69" i="21"/>
  <c r="U68" i="21"/>
  <c r="U67" i="21"/>
  <c r="U66" i="21"/>
  <c r="U65" i="21"/>
  <c r="U64" i="21"/>
  <c r="U63" i="21"/>
  <c r="U62" i="21"/>
  <c r="U61" i="21"/>
  <c r="U60" i="21"/>
  <c r="U59" i="21"/>
  <c r="U58" i="21"/>
  <c r="U57" i="21"/>
  <c r="U56" i="21"/>
  <c r="U55" i="21"/>
  <c r="U54" i="21"/>
  <c r="U53" i="21"/>
  <c r="U52" i="21"/>
  <c r="U51" i="21"/>
  <c r="U50" i="21"/>
  <c r="U49" i="21"/>
  <c r="U48" i="21"/>
  <c r="U47" i="21"/>
  <c r="U46" i="21"/>
  <c r="U45" i="21"/>
  <c r="U44" i="21"/>
  <c r="U43" i="21"/>
  <c r="U42" i="21"/>
  <c r="U41" i="21"/>
  <c r="U40" i="21"/>
  <c r="U39" i="21"/>
  <c r="U38" i="21"/>
  <c r="U37" i="21"/>
  <c r="U36" i="21"/>
  <c r="U35" i="21"/>
  <c r="U34" i="21"/>
  <c r="U33" i="21"/>
  <c r="U32" i="21"/>
  <c r="U31" i="21"/>
  <c r="U30" i="21"/>
  <c r="U29" i="21"/>
  <c r="U28" i="21"/>
  <c r="U27" i="21"/>
  <c r="U26" i="21"/>
  <c r="U25" i="21"/>
  <c r="U24" i="21"/>
  <c r="U23" i="21"/>
  <c r="U22" i="21"/>
  <c r="U21" i="21"/>
  <c r="U20" i="21"/>
  <c r="U19" i="21"/>
  <c r="U18" i="21"/>
  <c r="U17" i="21"/>
  <c r="U16" i="21"/>
  <c r="U15" i="21"/>
  <c r="U14" i="21"/>
  <c r="U13" i="21"/>
  <c r="U12" i="21"/>
  <c r="U11" i="21"/>
  <c r="U10" i="21"/>
  <c r="U9" i="21"/>
  <c r="U8" i="21"/>
  <c r="U6" i="21"/>
  <c r="B31" i="19"/>
  <c r="B29" i="19"/>
  <c r="B28" i="19"/>
  <c r="I30" i="19"/>
  <c r="H30" i="19" s="1"/>
  <c r="H33" i="19" s="1"/>
  <c r="I29" i="19"/>
  <c r="I75" i="19"/>
  <c r="I79" i="19" s="1"/>
  <c r="I111" i="19" s="1"/>
  <c r="I112" i="19" s="1"/>
  <c r="H79" i="19"/>
  <c r="H111" i="19" s="1"/>
  <c r="H112" i="19" s="1"/>
  <c r="H93" i="19"/>
  <c r="G74" i="19"/>
  <c r="C32" i="19"/>
  <c r="B32" i="19" s="1"/>
  <c r="C30" i="19"/>
  <c r="B30" i="19" s="1"/>
  <c r="J248" i="21"/>
  <c r="K809" i="21"/>
  <c r="J809" i="21"/>
  <c r="I809" i="21"/>
  <c r="H809" i="21"/>
  <c r="K808" i="21"/>
  <c r="J808" i="21"/>
  <c r="I808" i="21"/>
  <c r="H808" i="21"/>
  <c r="K807" i="21"/>
  <c r="J807" i="21"/>
  <c r="I807" i="21"/>
  <c r="H807" i="21"/>
  <c r="K806" i="21"/>
  <c r="J806" i="21"/>
  <c r="I806" i="21"/>
  <c r="H806" i="21"/>
  <c r="K805" i="21"/>
  <c r="J805" i="21"/>
  <c r="I805" i="21"/>
  <c r="H805" i="21"/>
  <c r="K804" i="21"/>
  <c r="J804" i="21"/>
  <c r="I804" i="21"/>
  <c r="H804" i="21"/>
  <c r="K803" i="21"/>
  <c r="J803" i="21"/>
  <c r="I803" i="21"/>
  <c r="H803" i="21"/>
  <c r="K802" i="21"/>
  <c r="J802" i="21"/>
  <c r="I802" i="21"/>
  <c r="H802" i="21"/>
  <c r="K801" i="21"/>
  <c r="J801" i="21"/>
  <c r="I801" i="21"/>
  <c r="H801" i="21"/>
  <c r="K800" i="21"/>
  <c r="J800" i="21"/>
  <c r="I800" i="21"/>
  <c r="H800" i="21"/>
  <c r="K799" i="21"/>
  <c r="J799" i="21"/>
  <c r="I799" i="21"/>
  <c r="H799" i="21"/>
  <c r="K798" i="21"/>
  <c r="J798" i="21"/>
  <c r="I798" i="21"/>
  <c r="H798" i="21"/>
  <c r="K797" i="21"/>
  <c r="J797" i="21"/>
  <c r="I797" i="21"/>
  <c r="H797" i="21"/>
  <c r="K796" i="21"/>
  <c r="J796" i="21"/>
  <c r="I796" i="21"/>
  <c r="H796" i="21"/>
  <c r="K795" i="21"/>
  <c r="J795" i="21"/>
  <c r="I795" i="21"/>
  <c r="H795" i="21"/>
  <c r="K794" i="21"/>
  <c r="J794" i="21"/>
  <c r="I794" i="21"/>
  <c r="H794" i="21"/>
  <c r="K793" i="21"/>
  <c r="J793" i="21"/>
  <c r="I793" i="21"/>
  <c r="H793" i="21"/>
  <c r="K792" i="21"/>
  <c r="J792" i="21"/>
  <c r="I792" i="21"/>
  <c r="H792" i="21"/>
  <c r="K791" i="21"/>
  <c r="J791" i="21"/>
  <c r="I791" i="21"/>
  <c r="H791" i="21"/>
  <c r="K790" i="21"/>
  <c r="J790" i="21"/>
  <c r="I790" i="21"/>
  <c r="H790" i="21"/>
  <c r="K789" i="21"/>
  <c r="J789" i="21"/>
  <c r="I789" i="21"/>
  <c r="H789" i="21"/>
  <c r="K788" i="21"/>
  <c r="J788" i="21"/>
  <c r="I788" i="21"/>
  <c r="H788" i="21"/>
  <c r="K787" i="21"/>
  <c r="J787" i="21"/>
  <c r="I787" i="21"/>
  <c r="H787" i="21"/>
  <c r="K786" i="21"/>
  <c r="J786" i="21"/>
  <c r="I786" i="21"/>
  <c r="H786" i="21"/>
  <c r="K785" i="21"/>
  <c r="J785" i="21"/>
  <c r="I785" i="21"/>
  <c r="H785" i="21"/>
  <c r="K784" i="21"/>
  <c r="J784" i="21"/>
  <c r="I784" i="21"/>
  <c r="H784" i="21"/>
  <c r="K783" i="21"/>
  <c r="J783" i="21"/>
  <c r="I783" i="21"/>
  <c r="H783" i="21"/>
  <c r="K782" i="21"/>
  <c r="J782" i="21"/>
  <c r="I782" i="21"/>
  <c r="H782" i="21"/>
  <c r="K781" i="21"/>
  <c r="J781" i="21"/>
  <c r="I781" i="21"/>
  <c r="H781" i="21"/>
  <c r="K780" i="21"/>
  <c r="J780" i="21"/>
  <c r="I780" i="21"/>
  <c r="H780" i="21"/>
  <c r="K779" i="21"/>
  <c r="J779" i="21"/>
  <c r="I779" i="21"/>
  <c r="H779" i="21"/>
  <c r="K778" i="21"/>
  <c r="J778" i="21"/>
  <c r="I778" i="21"/>
  <c r="H778" i="21"/>
  <c r="K777" i="21"/>
  <c r="J777" i="21"/>
  <c r="I777" i="21"/>
  <c r="H777" i="21"/>
  <c r="K776" i="21"/>
  <c r="J776" i="21"/>
  <c r="I776" i="21"/>
  <c r="H776" i="21"/>
  <c r="K775" i="21"/>
  <c r="J775" i="21"/>
  <c r="I775" i="21"/>
  <c r="H775" i="21"/>
  <c r="K774" i="21"/>
  <c r="J774" i="21"/>
  <c r="I774" i="21"/>
  <c r="H774" i="21"/>
  <c r="K773" i="21"/>
  <c r="J773" i="21"/>
  <c r="I773" i="21"/>
  <c r="H773" i="21"/>
  <c r="K772" i="21"/>
  <c r="J772" i="21"/>
  <c r="I772" i="21"/>
  <c r="H772" i="21"/>
  <c r="K771" i="21"/>
  <c r="J771" i="21"/>
  <c r="I771" i="21"/>
  <c r="H771" i="21"/>
  <c r="K770" i="21"/>
  <c r="J770" i="21"/>
  <c r="I770" i="21"/>
  <c r="H770" i="21"/>
  <c r="K769" i="21"/>
  <c r="J769" i="21"/>
  <c r="I769" i="21"/>
  <c r="H769" i="21"/>
  <c r="K768" i="21"/>
  <c r="J768" i="21"/>
  <c r="I768" i="21"/>
  <c r="H768" i="21"/>
  <c r="K767" i="21"/>
  <c r="J767" i="21"/>
  <c r="I767" i="21"/>
  <c r="H767" i="21"/>
  <c r="K766" i="21"/>
  <c r="J766" i="21"/>
  <c r="I766" i="21"/>
  <c r="H766" i="21"/>
  <c r="K765" i="21"/>
  <c r="J765" i="21"/>
  <c r="I765" i="21"/>
  <c r="H765" i="21"/>
  <c r="K764" i="21"/>
  <c r="J764" i="21"/>
  <c r="I764" i="21"/>
  <c r="H764" i="21"/>
  <c r="K763" i="21"/>
  <c r="J763" i="21"/>
  <c r="I763" i="21"/>
  <c r="H763" i="21"/>
  <c r="K762" i="21"/>
  <c r="J762" i="21"/>
  <c r="I762" i="21"/>
  <c r="H762" i="21"/>
  <c r="K761" i="21"/>
  <c r="J761" i="21"/>
  <c r="I761" i="21"/>
  <c r="H761" i="21"/>
  <c r="K760" i="21"/>
  <c r="J760" i="21"/>
  <c r="I760" i="21"/>
  <c r="H760" i="21"/>
  <c r="K759" i="21"/>
  <c r="J759" i="21"/>
  <c r="I759" i="21"/>
  <c r="H759" i="21"/>
  <c r="K758" i="21"/>
  <c r="J758" i="21"/>
  <c r="I758" i="21"/>
  <c r="H758" i="21"/>
  <c r="K757" i="21"/>
  <c r="J757" i="21"/>
  <c r="I757" i="21"/>
  <c r="H757" i="21"/>
  <c r="K756" i="21"/>
  <c r="J756" i="21"/>
  <c r="I756" i="21"/>
  <c r="H756" i="21"/>
  <c r="K755" i="21"/>
  <c r="J755" i="21"/>
  <c r="I755" i="21"/>
  <c r="H755" i="21"/>
  <c r="K754" i="21"/>
  <c r="J754" i="21"/>
  <c r="I754" i="21"/>
  <c r="H754" i="21"/>
  <c r="K753" i="21"/>
  <c r="J753" i="21"/>
  <c r="I753" i="21"/>
  <c r="H753" i="21"/>
  <c r="K752" i="21"/>
  <c r="J752" i="21"/>
  <c r="I752" i="21"/>
  <c r="H752" i="21"/>
  <c r="K751" i="21"/>
  <c r="J751" i="21"/>
  <c r="I751" i="21"/>
  <c r="H751" i="21"/>
  <c r="K750" i="21"/>
  <c r="J750" i="21"/>
  <c r="I750" i="21"/>
  <c r="H750" i="21"/>
  <c r="K749" i="21"/>
  <c r="J749" i="21"/>
  <c r="I749" i="21"/>
  <c r="H749" i="21"/>
  <c r="K748" i="21"/>
  <c r="J748" i="21"/>
  <c r="I748" i="21"/>
  <c r="H748" i="21"/>
  <c r="K747" i="21"/>
  <c r="J747" i="21"/>
  <c r="I747" i="21"/>
  <c r="H747" i="21"/>
  <c r="K746" i="21"/>
  <c r="J746" i="21"/>
  <c r="I746" i="21"/>
  <c r="H746" i="21"/>
  <c r="K745" i="21"/>
  <c r="J745" i="21"/>
  <c r="I745" i="21"/>
  <c r="H745" i="21"/>
  <c r="K744" i="21"/>
  <c r="J744" i="21"/>
  <c r="I744" i="21"/>
  <c r="H744" i="21"/>
  <c r="K743" i="21"/>
  <c r="J743" i="21"/>
  <c r="I743" i="21"/>
  <c r="H743" i="21"/>
  <c r="K742" i="21"/>
  <c r="J742" i="21"/>
  <c r="I742" i="21"/>
  <c r="H742" i="21"/>
  <c r="K741" i="21"/>
  <c r="J741" i="21"/>
  <c r="I741" i="21"/>
  <c r="H741" i="21"/>
  <c r="K740" i="21"/>
  <c r="J740" i="21"/>
  <c r="I740" i="21"/>
  <c r="H740" i="21"/>
  <c r="K739" i="21"/>
  <c r="J739" i="21"/>
  <c r="I739" i="21"/>
  <c r="H739" i="21"/>
  <c r="K738" i="21"/>
  <c r="J738" i="21"/>
  <c r="I738" i="21"/>
  <c r="H738" i="21"/>
  <c r="K737" i="21"/>
  <c r="J737" i="21"/>
  <c r="I737" i="21"/>
  <c r="H737" i="21"/>
  <c r="K736" i="21"/>
  <c r="J736" i="21"/>
  <c r="I736" i="21"/>
  <c r="H736" i="21"/>
  <c r="K735" i="21"/>
  <c r="J735" i="21"/>
  <c r="I735" i="21"/>
  <c r="H735" i="21"/>
  <c r="K734" i="21"/>
  <c r="J734" i="21"/>
  <c r="I734" i="21"/>
  <c r="H734" i="21"/>
  <c r="K733" i="21"/>
  <c r="J733" i="21"/>
  <c r="I733" i="21"/>
  <c r="H733" i="21"/>
  <c r="K732" i="21"/>
  <c r="J732" i="21"/>
  <c r="I732" i="21"/>
  <c r="H732" i="21"/>
  <c r="K731" i="21"/>
  <c r="J731" i="21"/>
  <c r="I731" i="21"/>
  <c r="H731" i="21"/>
  <c r="K730" i="21"/>
  <c r="J730" i="21"/>
  <c r="I730" i="21"/>
  <c r="H730" i="21"/>
  <c r="K729" i="21"/>
  <c r="J729" i="21"/>
  <c r="I729" i="21"/>
  <c r="H729" i="21"/>
  <c r="K728" i="21"/>
  <c r="J728" i="21"/>
  <c r="I728" i="21"/>
  <c r="H728" i="21"/>
  <c r="K727" i="21"/>
  <c r="J727" i="21"/>
  <c r="I727" i="21"/>
  <c r="H727" i="21"/>
  <c r="K726" i="21"/>
  <c r="J726" i="21"/>
  <c r="I726" i="21"/>
  <c r="H726" i="21"/>
  <c r="K725" i="21"/>
  <c r="J725" i="21"/>
  <c r="I725" i="21"/>
  <c r="H725" i="21"/>
  <c r="K724" i="21"/>
  <c r="J724" i="21"/>
  <c r="I724" i="21"/>
  <c r="H724" i="21"/>
  <c r="K723" i="21"/>
  <c r="J723" i="21"/>
  <c r="I723" i="21"/>
  <c r="H723" i="21"/>
  <c r="K722" i="21"/>
  <c r="J722" i="21"/>
  <c r="I722" i="21"/>
  <c r="H722" i="21"/>
  <c r="K721" i="21"/>
  <c r="J721" i="21"/>
  <c r="I721" i="21"/>
  <c r="H721" i="21"/>
  <c r="K720" i="21"/>
  <c r="J720" i="21"/>
  <c r="I720" i="21"/>
  <c r="H720" i="21"/>
  <c r="K719" i="21"/>
  <c r="J719" i="21"/>
  <c r="I719" i="21"/>
  <c r="H719" i="21"/>
  <c r="K718" i="21"/>
  <c r="J718" i="21"/>
  <c r="I718" i="21"/>
  <c r="H718" i="21"/>
  <c r="K717" i="21"/>
  <c r="J717" i="21"/>
  <c r="I717" i="21"/>
  <c r="H717" i="21"/>
  <c r="K716" i="21"/>
  <c r="J716" i="21"/>
  <c r="I716" i="21"/>
  <c r="H716" i="21"/>
  <c r="K715" i="21"/>
  <c r="J715" i="21"/>
  <c r="I715" i="21"/>
  <c r="H715" i="21"/>
  <c r="K714" i="21"/>
  <c r="J714" i="21"/>
  <c r="I714" i="21"/>
  <c r="H714" i="21"/>
  <c r="K713" i="21"/>
  <c r="J713" i="21"/>
  <c r="I713" i="21"/>
  <c r="H713" i="21"/>
  <c r="K712" i="21"/>
  <c r="J712" i="21"/>
  <c r="I712" i="21"/>
  <c r="H712" i="21"/>
  <c r="K711" i="21"/>
  <c r="J711" i="21"/>
  <c r="I711" i="21"/>
  <c r="H711" i="21"/>
  <c r="K710" i="21"/>
  <c r="J710" i="21"/>
  <c r="I710" i="21"/>
  <c r="H710" i="21"/>
  <c r="K709" i="21"/>
  <c r="J709" i="21"/>
  <c r="I709" i="21"/>
  <c r="H709" i="21"/>
  <c r="K708" i="21"/>
  <c r="J708" i="21"/>
  <c r="I708" i="21"/>
  <c r="H708" i="21"/>
  <c r="K707" i="21"/>
  <c r="J707" i="21"/>
  <c r="I707" i="21"/>
  <c r="H707" i="21"/>
  <c r="K706" i="21"/>
  <c r="J706" i="21"/>
  <c r="I706" i="21"/>
  <c r="H706" i="21"/>
  <c r="K705" i="21"/>
  <c r="J705" i="21"/>
  <c r="I705" i="21"/>
  <c r="H705" i="21"/>
  <c r="K704" i="21"/>
  <c r="J704" i="21"/>
  <c r="I704" i="21"/>
  <c r="H704" i="21"/>
  <c r="K703" i="21"/>
  <c r="J703" i="21"/>
  <c r="I703" i="21"/>
  <c r="H703" i="21"/>
  <c r="K702" i="21"/>
  <c r="J702" i="21"/>
  <c r="I702" i="21"/>
  <c r="H702" i="21"/>
  <c r="K701" i="21"/>
  <c r="J701" i="21"/>
  <c r="I701" i="21"/>
  <c r="H701" i="21"/>
  <c r="K700" i="21"/>
  <c r="J700" i="21"/>
  <c r="I700" i="21"/>
  <c r="H700" i="21"/>
  <c r="K699" i="21"/>
  <c r="J699" i="21"/>
  <c r="I699" i="21"/>
  <c r="H699" i="21"/>
  <c r="K698" i="21"/>
  <c r="J698" i="21"/>
  <c r="I698" i="21"/>
  <c r="H698" i="21"/>
  <c r="K697" i="21"/>
  <c r="J697" i="21"/>
  <c r="I697" i="21"/>
  <c r="H697" i="21"/>
  <c r="K696" i="21"/>
  <c r="J696" i="21"/>
  <c r="I696" i="21"/>
  <c r="H696" i="21"/>
  <c r="K695" i="21"/>
  <c r="J695" i="21"/>
  <c r="I695" i="21"/>
  <c r="H695" i="21"/>
  <c r="K694" i="21"/>
  <c r="J694" i="21"/>
  <c r="I694" i="21"/>
  <c r="H694" i="21"/>
  <c r="K693" i="21"/>
  <c r="J693" i="21"/>
  <c r="I693" i="21"/>
  <c r="H693" i="21"/>
  <c r="K692" i="21"/>
  <c r="J692" i="21"/>
  <c r="I692" i="21"/>
  <c r="H692" i="21"/>
  <c r="K691" i="21"/>
  <c r="J691" i="21"/>
  <c r="I691" i="21"/>
  <c r="H691" i="21"/>
  <c r="K690" i="21"/>
  <c r="J690" i="21"/>
  <c r="I690" i="21"/>
  <c r="H690" i="21"/>
  <c r="K689" i="21"/>
  <c r="J689" i="21"/>
  <c r="I689" i="21"/>
  <c r="H689" i="21"/>
  <c r="K688" i="21"/>
  <c r="J688" i="21"/>
  <c r="I688" i="21"/>
  <c r="H688" i="21"/>
  <c r="K687" i="21"/>
  <c r="J687" i="21"/>
  <c r="I687" i="21"/>
  <c r="H687" i="21"/>
  <c r="K686" i="21"/>
  <c r="J686" i="21"/>
  <c r="I686" i="21"/>
  <c r="H686" i="21"/>
  <c r="K685" i="21"/>
  <c r="J685" i="21"/>
  <c r="I685" i="21"/>
  <c r="H685" i="21"/>
  <c r="K684" i="21"/>
  <c r="J684" i="21"/>
  <c r="I684" i="21"/>
  <c r="H684" i="21"/>
  <c r="K683" i="21"/>
  <c r="J683" i="21"/>
  <c r="I683" i="21"/>
  <c r="H683" i="21"/>
  <c r="K682" i="21"/>
  <c r="J682" i="21"/>
  <c r="I682" i="21"/>
  <c r="H682" i="21"/>
  <c r="K681" i="21"/>
  <c r="J681" i="21"/>
  <c r="I681" i="21"/>
  <c r="H681" i="21"/>
  <c r="K680" i="21"/>
  <c r="J680" i="21"/>
  <c r="I680" i="21"/>
  <c r="H680" i="21"/>
  <c r="K679" i="21"/>
  <c r="J679" i="21"/>
  <c r="I679" i="21"/>
  <c r="H679" i="21"/>
  <c r="K678" i="21"/>
  <c r="J678" i="21"/>
  <c r="I678" i="21"/>
  <c r="H678" i="21"/>
  <c r="K677" i="21"/>
  <c r="J677" i="21"/>
  <c r="I677" i="21"/>
  <c r="H677" i="21"/>
  <c r="K676" i="21"/>
  <c r="J676" i="21"/>
  <c r="I676" i="21"/>
  <c r="H676" i="21"/>
  <c r="K675" i="21"/>
  <c r="J675" i="21"/>
  <c r="I675" i="21"/>
  <c r="H675" i="21"/>
  <c r="K674" i="21"/>
  <c r="J674" i="21"/>
  <c r="I674" i="21"/>
  <c r="H674" i="21"/>
  <c r="K673" i="21"/>
  <c r="J673" i="21"/>
  <c r="I673" i="21"/>
  <c r="H673" i="21"/>
  <c r="K672" i="21"/>
  <c r="J672" i="21"/>
  <c r="I672" i="21"/>
  <c r="H672" i="21"/>
  <c r="K671" i="21"/>
  <c r="J671" i="21"/>
  <c r="I671" i="21"/>
  <c r="H671" i="21"/>
  <c r="K670" i="21"/>
  <c r="J670" i="21"/>
  <c r="I670" i="21"/>
  <c r="H670" i="21"/>
  <c r="K669" i="21"/>
  <c r="J669" i="21"/>
  <c r="I669" i="21"/>
  <c r="H669" i="21"/>
  <c r="K668" i="21"/>
  <c r="J668" i="21"/>
  <c r="I668" i="21"/>
  <c r="H668" i="21"/>
  <c r="K667" i="21"/>
  <c r="J667" i="21"/>
  <c r="I667" i="21"/>
  <c r="H667" i="21"/>
  <c r="K666" i="21"/>
  <c r="J666" i="21"/>
  <c r="I666" i="21"/>
  <c r="H666" i="21"/>
  <c r="K665" i="21"/>
  <c r="J665" i="21"/>
  <c r="I665" i="21"/>
  <c r="H665" i="21"/>
  <c r="K664" i="21"/>
  <c r="J664" i="21"/>
  <c r="I664" i="21"/>
  <c r="H664" i="21"/>
  <c r="K663" i="21"/>
  <c r="J663" i="21"/>
  <c r="I663" i="21"/>
  <c r="H663" i="21"/>
  <c r="K662" i="21"/>
  <c r="J662" i="21"/>
  <c r="I662" i="21"/>
  <c r="H662" i="21"/>
  <c r="K661" i="21"/>
  <c r="J661" i="21"/>
  <c r="I661" i="21"/>
  <c r="H661" i="21"/>
  <c r="K660" i="21"/>
  <c r="J660" i="21"/>
  <c r="I660" i="21"/>
  <c r="H660" i="21"/>
  <c r="K659" i="21"/>
  <c r="J659" i="21"/>
  <c r="I659" i="21"/>
  <c r="H659" i="21"/>
  <c r="K658" i="21"/>
  <c r="J658" i="21"/>
  <c r="I658" i="21"/>
  <c r="H658" i="21"/>
  <c r="K657" i="21"/>
  <c r="J657" i="21"/>
  <c r="I657" i="21"/>
  <c r="H657" i="21"/>
  <c r="K656" i="21"/>
  <c r="J656" i="21"/>
  <c r="I656" i="21"/>
  <c r="H656" i="21"/>
  <c r="K655" i="21"/>
  <c r="J655" i="21"/>
  <c r="I655" i="21"/>
  <c r="H655" i="21"/>
  <c r="K654" i="21"/>
  <c r="J654" i="21"/>
  <c r="I654" i="21"/>
  <c r="H654" i="21"/>
  <c r="K653" i="21"/>
  <c r="J653" i="21"/>
  <c r="I653" i="21"/>
  <c r="H653" i="21"/>
  <c r="K652" i="21"/>
  <c r="J652" i="21"/>
  <c r="I652" i="21"/>
  <c r="H652" i="21"/>
  <c r="K651" i="21"/>
  <c r="J651" i="21"/>
  <c r="I651" i="21"/>
  <c r="H651" i="21"/>
  <c r="K650" i="21"/>
  <c r="J650" i="21"/>
  <c r="I650" i="21"/>
  <c r="H650" i="21"/>
  <c r="K649" i="21"/>
  <c r="J649" i="21"/>
  <c r="I649" i="21"/>
  <c r="H649" i="21"/>
  <c r="K648" i="21"/>
  <c r="J648" i="21"/>
  <c r="I648" i="21"/>
  <c r="H648" i="21"/>
  <c r="K647" i="21"/>
  <c r="J647" i="21"/>
  <c r="I647" i="21"/>
  <c r="H647" i="21"/>
  <c r="K646" i="21"/>
  <c r="J646" i="21"/>
  <c r="I646" i="21"/>
  <c r="H646" i="21"/>
  <c r="K645" i="21"/>
  <c r="J645" i="21"/>
  <c r="I645" i="21"/>
  <c r="H645" i="21"/>
  <c r="K644" i="21"/>
  <c r="J644" i="21"/>
  <c r="I644" i="21"/>
  <c r="H644" i="21"/>
  <c r="K643" i="21"/>
  <c r="J643" i="21"/>
  <c r="I643" i="21"/>
  <c r="H643" i="21"/>
  <c r="K642" i="21"/>
  <c r="J642" i="21"/>
  <c r="I642" i="21"/>
  <c r="H642" i="21"/>
  <c r="K641" i="21"/>
  <c r="J641" i="21"/>
  <c r="I641" i="21"/>
  <c r="H641" i="21"/>
  <c r="K640" i="21"/>
  <c r="J640" i="21"/>
  <c r="I640" i="21"/>
  <c r="H640" i="21"/>
  <c r="K639" i="21"/>
  <c r="J639" i="21"/>
  <c r="I639" i="21"/>
  <c r="H639" i="21"/>
  <c r="K638" i="21"/>
  <c r="J638" i="21"/>
  <c r="I638" i="21"/>
  <c r="H638" i="21"/>
  <c r="K637" i="21"/>
  <c r="J637" i="21"/>
  <c r="I637" i="21"/>
  <c r="H637" i="21"/>
  <c r="K636" i="21"/>
  <c r="J636" i="21"/>
  <c r="I636" i="21"/>
  <c r="H636" i="21"/>
  <c r="K635" i="21"/>
  <c r="J635" i="21"/>
  <c r="I635" i="21"/>
  <c r="H635" i="21"/>
  <c r="K634" i="21"/>
  <c r="J634" i="21"/>
  <c r="I634" i="21"/>
  <c r="H634" i="21"/>
  <c r="K633" i="21"/>
  <c r="J633" i="21"/>
  <c r="I633" i="21"/>
  <c r="H633" i="21"/>
  <c r="K632" i="21"/>
  <c r="J632" i="21"/>
  <c r="I632" i="21"/>
  <c r="H632" i="21"/>
  <c r="K631" i="21"/>
  <c r="J631" i="21"/>
  <c r="I631" i="21"/>
  <c r="H631" i="21"/>
  <c r="K630" i="21"/>
  <c r="J630" i="21"/>
  <c r="I630" i="21"/>
  <c r="H630" i="21"/>
  <c r="K629" i="21"/>
  <c r="J629" i="21"/>
  <c r="I629" i="21"/>
  <c r="H629" i="21"/>
  <c r="K628" i="21"/>
  <c r="J628" i="21"/>
  <c r="I628" i="21"/>
  <c r="H628" i="21"/>
  <c r="K627" i="21"/>
  <c r="J627" i="21"/>
  <c r="I627" i="21"/>
  <c r="H627" i="21"/>
  <c r="K626" i="21"/>
  <c r="J626" i="21"/>
  <c r="I626" i="21"/>
  <c r="H626" i="21"/>
  <c r="K625" i="21"/>
  <c r="J625" i="21"/>
  <c r="I625" i="21"/>
  <c r="H625" i="21"/>
  <c r="K624" i="21"/>
  <c r="J624" i="21"/>
  <c r="I624" i="21"/>
  <c r="H624" i="21"/>
  <c r="K623" i="21"/>
  <c r="J623" i="21"/>
  <c r="I623" i="21"/>
  <c r="H623" i="21"/>
  <c r="K622" i="21"/>
  <c r="J622" i="21"/>
  <c r="I622" i="21"/>
  <c r="H622" i="21"/>
  <c r="K621" i="21"/>
  <c r="J621" i="21"/>
  <c r="I621" i="21"/>
  <c r="H621" i="21"/>
  <c r="K620" i="21"/>
  <c r="J620" i="21"/>
  <c r="I620" i="21"/>
  <c r="H620" i="21"/>
  <c r="K619" i="21"/>
  <c r="J619" i="21"/>
  <c r="I619" i="21"/>
  <c r="H619" i="21"/>
  <c r="K618" i="21"/>
  <c r="J618" i="21"/>
  <c r="I618" i="21"/>
  <c r="H618" i="21"/>
  <c r="K617" i="21"/>
  <c r="J617" i="21"/>
  <c r="I617" i="21"/>
  <c r="H617" i="21"/>
  <c r="K616" i="21"/>
  <c r="J616" i="21"/>
  <c r="I616" i="21"/>
  <c r="H616" i="21"/>
  <c r="K615" i="21"/>
  <c r="J615" i="21"/>
  <c r="I615" i="21"/>
  <c r="H615" i="21"/>
  <c r="K614" i="21"/>
  <c r="J614" i="21"/>
  <c r="I614" i="21"/>
  <c r="H614" i="21"/>
  <c r="K613" i="21"/>
  <c r="J613" i="21"/>
  <c r="I613" i="21"/>
  <c r="H613" i="21"/>
  <c r="K612" i="21"/>
  <c r="J612" i="21"/>
  <c r="I612" i="21"/>
  <c r="H612" i="21"/>
  <c r="K611" i="21"/>
  <c r="J611" i="21"/>
  <c r="I611" i="21"/>
  <c r="H611" i="21"/>
  <c r="K610" i="21"/>
  <c r="J610" i="21"/>
  <c r="I610" i="21"/>
  <c r="H610" i="21"/>
  <c r="K609" i="21"/>
  <c r="J609" i="21"/>
  <c r="I609" i="21"/>
  <c r="H609" i="21"/>
  <c r="K608" i="21"/>
  <c r="J608" i="21"/>
  <c r="I608" i="21"/>
  <c r="H608" i="21"/>
  <c r="K607" i="21"/>
  <c r="J607" i="21"/>
  <c r="I607" i="21"/>
  <c r="H607" i="21"/>
  <c r="K606" i="21"/>
  <c r="J606" i="21"/>
  <c r="I606" i="21"/>
  <c r="H606" i="21"/>
  <c r="K605" i="21"/>
  <c r="J605" i="21"/>
  <c r="I605" i="21"/>
  <c r="H605" i="21"/>
  <c r="K604" i="21"/>
  <c r="J604" i="21"/>
  <c r="I604" i="21"/>
  <c r="H604" i="21"/>
  <c r="K603" i="21"/>
  <c r="J603" i="21"/>
  <c r="I603" i="21"/>
  <c r="H603" i="21"/>
  <c r="K602" i="21"/>
  <c r="J602" i="21"/>
  <c r="I602" i="21"/>
  <c r="H602" i="21"/>
  <c r="K601" i="21"/>
  <c r="J601" i="21"/>
  <c r="I601" i="21"/>
  <c r="H601" i="21"/>
  <c r="K600" i="21"/>
  <c r="J600" i="21"/>
  <c r="I600" i="21"/>
  <c r="H600" i="21"/>
  <c r="K599" i="21"/>
  <c r="J599" i="21"/>
  <c r="I599" i="21"/>
  <c r="H599" i="21"/>
  <c r="K598" i="21"/>
  <c r="J598" i="21"/>
  <c r="I598" i="21"/>
  <c r="H598" i="21"/>
  <c r="K597" i="21"/>
  <c r="J597" i="21"/>
  <c r="I597" i="21"/>
  <c r="H597" i="21"/>
  <c r="K596" i="21"/>
  <c r="J596" i="21"/>
  <c r="I596" i="21"/>
  <c r="H596" i="21"/>
  <c r="K595" i="21"/>
  <c r="J595" i="21"/>
  <c r="I595" i="21"/>
  <c r="H595" i="21"/>
  <c r="K594" i="21"/>
  <c r="J594" i="21"/>
  <c r="I594" i="21"/>
  <c r="H594" i="21"/>
  <c r="K593" i="21"/>
  <c r="J593" i="21"/>
  <c r="I593" i="21"/>
  <c r="H593" i="21"/>
  <c r="K592" i="21"/>
  <c r="J592" i="21"/>
  <c r="I592" i="21"/>
  <c r="H592" i="21"/>
  <c r="K591" i="21"/>
  <c r="J591" i="21"/>
  <c r="I591" i="21"/>
  <c r="H591" i="21"/>
  <c r="K590" i="21"/>
  <c r="J590" i="21"/>
  <c r="I590" i="21"/>
  <c r="H590" i="21"/>
  <c r="K589" i="21"/>
  <c r="J589" i="21"/>
  <c r="I589" i="21"/>
  <c r="H589" i="21"/>
  <c r="K588" i="21"/>
  <c r="J588" i="21"/>
  <c r="I588" i="21"/>
  <c r="H588" i="21"/>
  <c r="K587" i="21"/>
  <c r="J587" i="21"/>
  <c r="I587" i="21"/>
  <c r="H587" i="21"/>
  <c r="K586" i="21"/>
  <c r="J586" i="21"/>
  <c r="I586" i="21"/>
  <c r="H586" i="21"/>
  <c r="K585" i="21"/>
  <c r="J585" i="21"/>
  <c r="I585" i="21"/>
  <c r="H585" i="21"/>
  <c r="K584" i="21"/>
  <c r="J584" i="21"/>
  <c r="I584" i="21"/>
  <c r="H584" i="21"/>
  <c r="K583" i="21"/>
  <c r="J583" i="21"/>
  <c r="I583" i="21"/>
  <c r="H583" i="21"/>
  <c r="K582" i="21"/>
  <c r="J582" i="21"/>
  <c r="I582" i="21"/>
  <c r="H582" i="21"/>
  <c r="K581" i="21"/>
  <c r="J581" i="21"/>
  <c r="I581" i="21"/>
  <c r="H581" i="21"/>
  <c r="K580" i="21"/>
  <c r="J580" i="21"/>
  <c r="I580" i="21"/>
  <c r="H580" i="21"/>
  <c r="K579" i="21"/>
  <c r="J579" i="21"/>
  <c r="I579" i="21"/>
  <c r="H579" i="21"/>
  <c r="K578" i="21"/>
  <c r="J578" i="21"/>
  <c r="I578" i="21"/>
  <c r="H578" i="21"/>
  <c r="K577" i="21"/>
  <c r="J577" i="21"/>
  <c r="I577" i="21"/>
  <c r="H577" i="21"/>
  <c r="K576" i="21"/>
  <c r="J576" i="21"/>
  <c r="I576" i="21"/>
  <c r="H576" i="21"/>
  <c r="K575" i="21"/>
  <c r="J575" i="21"/>
  <c r="I575" i="21"/>
  <c r="H575" i="21"/>
  <c r="K574" i="21"/>
  <c r="J574" i="21"/>
  <c r="I574" i="21"/>
  <c r="H574" i="21"/>
  <c r="K573" i="21"/>
  <c r="J573" i="21"/>
  <c r="I573" i="21"/>
  <c r="H573" i="21"/>
  <c r="K572" i="21"/>
  <c r="J572" i="21"/>
  <c r="I572" i="21"/>
  <c r="H572" i="21"/>
  <c r="K571" i="21"/>
  <c r="J571" i="21"/>
  <c r="I571" i="21"/>
  <c r="H571" i="21"/>
  <c r="K570" i="21"/>
  <c r="J570" i="21"/>
  <c r="I570" i="21"/>
  <c r="H570" i="21"/>
  <c r="K569" i="21"/>
  <c r="J569" i="21"/>
  <c r="I569" i="21"/>
  <c r="H569" i="21"/>
  <c r="K568" i="21"/>
  <c r="J568" i="21"/>
  <c r="I568" i="21"/>
  <c r="H568" i="21"/>
  <c r="K567" i="21"/>
  <c r="J567" i="21"/>
  <c r="I567" i="21"/>
  <c r="H567" i="21"/>
  <c r="K566" i="21"/>
  <c r="J566" i="21"/>
  <c r="I566" i="21"/>
  <c r="H566" i="21"/>
  <c r="K565" i="21"/>
  <c r="J565" i="21"/>
  <c r="I565" i="21"/>
  <c r="H565" i="21"/>
  <c r="K564" i="21"/>
  <c r="J564" i="21"/>
  <c r="I564" i="21"/>
  <c r="H564" i="21"/>
  <c r="K563" i="21"/>
  <c r="J563" i="21"/>
  <c r="I563" i="21"/>
  <c r="H563" i="21"/>
  <c r="K562" i="21"/>
  <c r="J562" i="21"/>
  <c r="I562" i="21"/>
  <c r="H562" i="21"/>
  <c r="K561" i="21"/>
  <c r="J561" i="21"/>
  <c r="I561" i="21"/>
  <c r="H561" i="21"/>
  <c r="K560" i="21"/>
  <c r="J560" i="21"/>
  <c r="I560" i="21"/>
  <c r="H560" i="21"/>
  <c r="K559" i="21"/>
  <c r="J559" i="21"/>
  <c r="I559" i="21"/>
  <c r="H559" i="21"/>
  <c r="K558" i="21"/>
  <c r="J558" i="21"/>
  <c r="I558" i="21"/>
  <c r="H558" i="21"/>
  <c r="K557" i="21"/>
  <c r="J557" i="21"/>
  <c r="I557" i="21"/>
  <c r="H557" i="21"/>
  <c r="K556" i="21"/>
  <c r="J556" i="21"/>
  <c r="I556" i="21"/>
  <c r="H556" i="21"/>
  <c r="K555" i="21"/>
  <c r="J555" i="21"/>
  <c r="I555" i="21"/>
  <c r="H555" i="21"/>
  <c r="K554" i="21"/>
  <c r="J554" i="21"/>
  <c r="I554" i="21"/>
  <c r="H554" i="21"/>
  <c r="K553" i="21"/>
  <c r="J553" i="21"/>
  <c r="I553" i="21"/>
  <c r="H553" i="21"/>
  <c r="K552" i="21"/>
  <c r="J552" i="21"/>
  <c r="I552" i="21"/>
  <c r="H552" i="21"/>
  <c r="K551" i="21"/>
  <c r="J551" i="21"/>
  <c r="I551" i="21"/>
  <c r="H551" i="21"/>
  <c r="K550" i="21"/>
  <c r="J550" i="21"/>
  <c r="I550" i="21"/>
  <c r="H550" i="21"/>
  <c r="K549" i="21"/>
  <c r="J549" i="21"/>
  <c r="I549" i="21"/>
  <c r="H549" i="21"/>
  <c r="K548" i="21"/>
  <c r="J548" i="21"/>
  <c r="I548" i="21"/>
  <c r="H548" i="21"/>
  <c r="K547" i="21"/>
  <c r="J547" i="21"/>
  <c r="I547" i="21"/>
  <c r="H547" i="21"/>
  <c r="K546" i="21"/>
  <c r="J546" i="21"/>
  <c r="I546" i="21"/>
  <c r="H546" i="21"/>
  <c r="K545" i="21"/>
  <c r="J545" i="21"/>
  <c r="I545" i="21"/>
  <c r="H545" i="21"/>
  <c r="K544" i="21"/>
  <c r="J544" i="21"/>
  <c r="I544" i="21"/>
  <c r="H544" i="21"/>
  <c r="K543" i="21"/>
  <c r="J543" i="21"/>
  <c r="I543" i="21"/>
  <c r="H543" i="21"/>
  <c r="K542" i="21"/>
  <c r="J542" i="21"/>
  <c r="I542" i="21"/>
  <c r="H542" i="21"/>
  <c r="K541" i="21"/>
  <c r="J541" i="21"/>
  <c r="I541" i="21"/>
  <c r="H541" i="21"/>
  <c r="K540" i="21"/>
  <c r="J540" i="21"/>
  <c r="I540" i="21"/>
  <c r="H540" i="21"/>
  <c r="K539" i="21"/>
  <c r="J539" i="21"/>
  <c r="I539" i="21"/>
  <c r="H539" i="21"/>
  <c r="K538" i="21"/>
  <c r="J538" i="21"/>
  <c r="I538" i="21"/>
  <c r="H538" i="21"/>
  <c r="K537" i="21"/>
  <c r="J537" i="21"/>
  <c r="I537" i="21"/>
  <c r="H537" i="21"/>
  <c r="K536" i="21"/>
  <c r="J536" i="21"/>
  <c r="I536" i="21"/>
  <c r="H536" i="21"/>
  <c r="K535" i="21"/>
  <c r="J535" i="21"/>
  <c r="I535" i="21"/>
  <c r="H535" i="21"/>
  <c r="K534" i="21"/>
  <c r="J534" i="21"/>
  <c r="I534" i="21"/>
  <c r="H534" i="21"/>
  <c r="K533" i="21"/>
  <c r="J533" i="21"/>
  <c r="I533" i="21"/>
  <c r="H533" i="21"/>
  <c r="K532" i="21"/>
  <c r="J532" i="21"/>
  <c r="I532" i="21"/>
  <c r="H532" i="21"/>
  <c r="K531" i="21"/>
  <c r="J531" i="21"/>
  <c r="I531" i="21"/>
  <c r="H531" i="21"/>
  <c r="K530" i="21"/>
  <c r="J530" i="21"/>
  <c r="I530" i="21"/>
  <c r="H530" i="21"/>
  <c r="K529" i="21"/>
  <c r="J529" i="21"/>
  <c r="I529" i="21"/>
  <c r="H529" i="21"/>
  <c r="K528" i="21"/>
  <c r="J528" i="21"/>
  <c r="I528" i="21"/>
  <c r="H528" i="21"/>
  <c r="K527" i="21"/>
  <c r="J527" i="21"/>
  <c r="I527" i="21"/>
  <c r="H527" i="21"/>
  <c r="K526" i="21"/>
  <c r="J526" i="21"/>
  <c r="I526" i="21"/>
  <c r="H526" i="21"/>
  <c r="K525" i="21"/>
  <c r="J525" i="21"/>
  <c r="I525" i="21"/>
  <c r="H525" i="21"/>
  <c r="K524" i="21"/>
  <c r="J524" i="21"/>
  <c r="I524" i="21"/>
  <c r="H524" i="21"/>
  <c r="K523" i="21"/>
  <c r="J523" i="21"/>
  <c r="I523" i="21"/>
  <c r="H523" i="21"/>
  <c r="K522" i="21"/>
  <c r="J522" i="21"/>
  <c r="I522" i="21"/>
  <c r="H522" i="21"/>
  <c r="K521" i="21"/>
  <c r="J521" i="21"/>
  <c r="I521" i="21"/>
  <c r="H521" i="21"/>
  <c r="K520" i="21"/>
  <c r="J520" i="21"/>
  <c r="I520" i="21"/>
  <c r="H520" i="21"/>
  <c r="K519" i="21"/>
  <c r="J519" i="21"/>
  <c r="I519" i="21"/>
  <c r="H519" i="21"/>
  <c r="K518" i="21"/>
  <c r="J518" i="21"/>
  <c r="I518" i="21"/>
  <c r="H518" i="21"/>
  <c r="K517" i="21"/>
  <c r="J517" i="21"/>
  <c r="I517" i="21"/>
  <c r="H517" i="21"/>
  <c r="K516" i="21"/>
  <c r="J516" i="21"/>
  <c r="I516" i="21"/>
  <c r="H516" i="21"/>
  <c r="K515" i="21"/>
  <c r="J515" i="21"/>
  <c r="I515" i="21"/>
  <c r="H515" i="21"/>
  <c r="K514" i="21"/>
  <c r="J514" i="21"/>
  <c r="I514" i="21"/>
  <c r="H514" i="21"/>
  <c r="K513" i="21"/>
  <c r="J513" i="21"/>
  <c r="I513" i="21"/>
  <c r="H513" i="21"/>
  <c r="K512" i="21"/>
  <c r="J512" i="21"/>
  <c r="I512" i="21"/>
  <c r="H512" i="21"/>
  <c r="K511" i="21"/>
  <c r="J511" i="21"/>
  <c r="I511" i="21"/>
  <c r="H511" i="21"/>
  <c r="K510" i="21"/>
  <c r="J510" i="21"/>
  <c r="I510" i="21"/>
  <c r="H510" i="21"/>
  <c r="K509" i="21"/>
  <c r="J509" i="21"/>
  <c r="I509" i="21"/>
  <c r="H509" i="21"/>
  <c r="K508" i="21"/>
  <c r="J508" i="21"/>
  <c r="I508" i="21"/>
  <c r="H508" i="21"/>
  <c r="K507" i="21"/>
  <c r="J507" i="21"/>
  <c r="I507" i="21"/>
  <c r="H507" i="21"/>
  <c r="K506" i="21"/>
  <c r="J506" i="21"/>
  <c r="I506" i="21"/>
  <c r="H506" i="21"/>
  <c r="K505" i="21"/>
  <c r="J505" i="21"/>
  <c r="I505" i="21"/>
  <c r="H505" i="21"/>
  <c r="K504" i="21"/>
  <c r="J504" i="21"/>
  <c r="I504" i="21"/>
  <c r="H504" i="21"/>
  <c r="K503" i="21"/>
  <c r="J503" i="21"/>
  <c r="I503" i="21"/>
  <c r="H503" i="21"/>
  <c r="K502" i="21"/>
  <c r="J502" i="21"/>
  <c r="I502" i="21"/>
  <c r="H502" i="21"/>
  <c r="K501" i="21"/>
  <c r="J501" i="21"/>
  <c r="I501" i="21"/>
  <c r="H501" i="21"/>
  <c r="K500" i="21"/>
  <c r="J500" i="21"/>
  <c r="I500" i="21"/>
  <c r="H500" i="21"/>
  <c r="K499" i="21"/>
  <c r="J499" i="21"/>
  <c r="I499" i="21"/>
  <c r="H499" i="21"/>
  <c r="K498" i="21"/>
  <c r="J498" i="21"/>
  <c r="I498" i="21"/>
  <c r="H498" i="21"/>
  <c r="K497" i="21"/>
  <c r="J497" i="21"/>
  <c r="I497" i="21"/>
  <c r="H497" i="21"/>
  <c r="K496" i="21"/>
  <c r="J496" i="21"/>
  <c r="I496" i="21"/>
  <c r="H496" i="21"/>
  <c r="K495" i="21"/>
  <c r="J495" i="21"/>
  <c r="I495" i="21"/>
  <c r="H495" i="21"/>
  <c r="K494" i="21"/>
  <c r="J494" i="21"/>
  <c r="I494" i="21"/>
  <c r="H494" i="21"/>
  <c r="K493" i="21"/>
  <c r="J493" i="21"/>
  <c r="I493" i="21"/>
  <c r="H493" i="21"/>
  <c r="K492" i="21"/>
  <c r="J492" i="21"/>
  <c r="I492" i="21"/>
  <c r="H492" i="21"/>
  <c r="K491" i="21"/>
  <c r="J491" i="21"/>
  <c r="I491" i="21"/>
  <c r="H491" i="21"/>
  <c r="K490" i="21"/>
  <c r="J490" i="21"/>
  <c r="I490" i="21"/>
  <c r="H490" i="21"/>
  <c r="K489" i="21"/>
  <c r="J489" i="21"/>
  <c r="I489" i="21"/>
  <c r="H489" i="21"/>
  <c r="K488" i="21"/>
  <c r="J488" i="21"/>
  <c r="I488" i="21"/>
  <c r="H488" i="21"/>
  <c r="K487" i="21"/>
  <c r="J487" i="21"/>
  <c r="I487" i="21"/>
  <c r="H487" i="21"/>
  <c r="K486" i="21"/>
  <c r="J486" i="21"/>
  <c r="I486" i="21"/>
  <c r="H486" i="21"/>
  <c r="K485" i="21"/>
  <c r="J485" i="21"/>
  <c r="I485" i="21"/>
  <c r="H485" i="21"/>
  <c r="K484" i="21"/>
  <c r="J484" i="21"/>
  <c r="I484" i="21"/>
  <c r="H484" i="21"/>
  <c r="K483" i="21"/>
  <c r="J483" i="21"/>
  <c r="I483" i="21"/>
  <c r="H483" i="21"/>
  <c r="K482" i="21"/>
  <c r="J482" i="21"/>
  <c r="I482" i="21"/>
  <c r="H482" i="21"/>
  <c r="K481" i="21"/>
  <c r="J481" i="21"/>
  <c r="I481" i="21"/>
  <c r="H481" i="21"/>
  <c r="K480" i="21"/>
  <c r="J480" i="21"/>
  <c r="I480" i="21"/>
  <c r="H480" i="21"/>
  <c r="K479" i="21"/>
  <c r="J479" i="21"/>
  <c r="I479" i="21"/>
  <c r="H479" i="21"/>
  <c r="K478" i="21"/>
  <c r="J478" i="21"/>
  <c r="I478" i="21"/>
  <c r="H478" i="21"/>
  <c r="K477" i="21"/>
  <c r="J477" i="21"/>
  <c r="I477" i="21"/>
  <c r="H477" i="21"/>
  <c r="K476" i="21"/>
  <c r="J476" i="21"/>
  <c r="I476" i="21"/>
  <c r="H476" i="21"/>
  <c r="K475" i="21"/>
  <c r="J475" i="21"/>
  <c r="I475" i="21"/>
  <c r="H475" i="21"/>
  <c r="K474" i="21"/>
  <c r="J474" i="21"/>
  <c r="I474" i="21"/>
  <c r="H474" i="21"/>
  <c r="K473" i="21"/>
  <c r="J473" i="21"/>
  <c r="I473" i="21"/>
  <c r="H473" i="21"/>
  <c r="K472" i="21"/>
  <c r="J472" i="21"/>
  <c r="I472" i="21"/>
  <c r="H472" i="21"/>
  <c r="K471" i="21"/>
  <c r="J471" i="21"/>
  <c r="I471" i="21"/>
  <c r="H471" i="21"/>
  <c r="K470" i="21"/>
  <c r="J470" i="21"/>
  <c r="I470" i="21"/>
  <c r="H470" i="21"/>
  <c r="K469" i="21"/>
  <c r="J469" i="21"/>
  <c r="I469" i="21"/>
  <c r="H469" i="21"/>
  <c r="K468" i="21"/>
  <c r="J468" i="21"/>
  <c r="I468" i="21"/>
  <c r="H468" i="21"/>
  <c r="K467" i="21"/>
  <c r="J467" i="21"/>
  <c r="I467" i="21"/>
  <c r="H467" i="21"/>
  <c r="K466" i="21"/>
  <c r="J466" i="21"/>
  <c r="I466" i="21"/>
  <c r="H466" i="21"/>
  <c r="K465" i="21"/>
  <c r="J465" i="21"/>
  <c r="I465" i="21"/>
  <c r="H465" i="21"/>
  <c r="K464" i="21"/>
  <c r="J464" i="21"/>
  <c r="I464" i="21"/>
  <c r="H464" i="21"/>
  <c r="K463" i="21"/>
  <c r="J463" i="21"/>
  <c r="I463" i="21"/>
  <c r="H463" i="21"/>
  <c r="K462" i="21"/>
  <c r="J462" i="21"/>
  <c r="I462" i="21"/>
  <c r="H462" i="21"/>
  <c r="K461" i="21"/>
  <c r="J461" i="21"/>
  <c r="I461" i="21"/>
  <c r="H461" i="21"/>
  <c r="K460" i="21"/>
  <c r="J460" i="21"/>
  <c r="I460" i="21"/>
  <c r="H460" i="21"/>
  <c r="K459" i="21"/>
  <c r="J459" i="21"/>
  <c r="I459" i="21"/>
  <c r="H459" i="21"/>
  <c r="K458" i="21"/>
  <c r="J458" i="21"/>
  <c r="I458" i="21"/>
  <c r="H458" i="21"/>
  <c r="K457" i="21"/>
  <c r="J457" i="21"/>
  <c r="I457" i="21"/>
  <c r="H457" i="21"/>
  <c r="K456" i="21"/>
  <c r="J456" i="21"/>
  <c r="I456" i="21"/>
  <c r="H456" i="21"/>
  <c r="K455" i="21"/>
  <c r="J455" i="21"/>
  <c r="I455" i="21"/>
  <c r="H455" i="21"/>
  <c r="K454" i="21"/>
  <c r="J454" i="21"/>
  <c r="I454" i="21"/>
  <c r="H454" i="21"/>
  <c r="K453" i="21"/>
  <c r="J453" i="21"/>
  <c r="I453" i="21"/>
  <c r="H453" i="21"/>
  <c r="K452" i="21"/>
  <c r="J452" i="21"/>
  <c r="I452" i="21"/>
  <c r="H452" i="21"/>
  <c r="K451" i="21"/>
  <c r="J451" i="21"/>
  <c r="I451" i="21"/>
  <c r="H451" i="21"/>
  <c r="K450" i="21"/>
  <c r="J450" i="21"/>
  <c r="I450" i="21"/>
  <c r="H450" i="21"/>
  <c r="K449" i="21"/>
  <c r="J449" i="21"/>
  <c r="I449" i="21"/>
  <c r="H449" i="21"/>
  <c r="K448" i="21"/>
  <c r="J448" i="21"/>
  <c r="I448" i="21"/>
  <c r="H448" i="21"/>
  <c r="K447" i="21"/>
  <c r="J447" i="21"/>
  <c r="I447" i="21"/>
  <c r="H447" i="21"/>
  <c r="K446" i="21"/>
  <c r="J446" i="21"/>
  <c r="I446" i="21"/>
  <c r="H446" i="21"/>
  <c r="K445" i="21"/>
  <c r="J445" i="21"/>
  <c r="I445" i="21"/>
  <c r="H445" i="21"/>
  <c r="K444" i="21"/>
  <c r="J444" i="21"/>
  <c r="I444" i="21"/>
  <c r="H444" i="21"/>
  <c r="K443" i="21"/>
  <c r="J443" i="21"/>
  <c r="I443" i="21"/>
  <c r="H443" i="21"/>
  <c r="K442" i="21"/>
  <c r="J442" i="21"/>
  <c r="I442" i="21"/>
  <c r="H442" i="21"/>
  <c r="K441" i="21"/>
  <c r="J441" i="21"/>
  <c r="I441" i="21"/>
  <c r="H441" i="21"/>
  <c r="K440" i="21"/>
  <c r="J440" i="21"/>
  <c r="I440" i="21"/>
  <c r="H440" i="21"/>
  <c r="K439" i="21"/>
  <c r="J439" i="21"/>
  <c r="I439" i="21"/>
  <c r="H439" i="21"/>
  <c r="K438" i="21"/>
  <c r="J438" i="21"/>
  <c r="I438" i="21"/>
  <c r="H438" i="21"/>
  <c r="K437" i="21"/>
  <c r="J437" i="21"/>
  <c r="I437" i="21"/>
  <c r="H437" i="21"/>
  <c r="K436" i="21"/>
  <c r="J436" i="21"/>
  <c r="I436" i="21"/>
  <c r="H436" i="21"/>
  <c r="K435" i="21"/>
  <c r="J435" i="21"/>
  <c r="I435" i="21"/>
  <c r="H435" i="21"/>
  <c r="K434" i="21"/>
  <c r="J434" i="21"/>
  <c r="I434" i="21"/>
  <c r="H434" i="21"/>
  <c r="K433" i="21"/>
  <c r="J433" i="21"/>
  <c r="I433" i="21"/>
  <c r="H433" i="21"/>
  <c r="K432" i="21"/>
  <c r="J432" i="21"/>
  <c r="I432" i="21"/>
  <c r="H432" i="21"/>
  <c r="K431" i="21"/>
  <c r="J431" i="21"/>
  <c r="I431" i="21"/>
  <c r="H431" i="21"/>
  <c r="K430" i="21"/>
  <c r="J430" i="21"/>
  <c r="I430" i="21"/>
  <c r="H430" i="21"/>
  <c r="K429" i="21"/>
  <c r="J429" i="21"/>
  <c r="I429" i="21"/>
  <c r="H429" i="21"/>
  <c r="K428" i="21"/>
  <c r="J428" i="21"/>
  <c r="I428" i="21"/>
  <c r="H428" i="21"/>
  <c r="K427" i="21"/>
  <c r="J427" i="21"/>
  <c r="I427" i="21"/>
  <c r="H427" i="21"/>
  <c r="K426" i="21"/>
  <c r="J426" i="21"/>
  <c r="I426" i="21"/>
  <c r="H426" i="21"/>
  <c r="K425" i="21"/>
  <c r="J425" i="21"/>
  <c r="I425" i="21"/>
  <c r="H425" i="21"/>
  <c r="K424" i="21"/>
  <c r="J424" i="21"/>
  <c r="I424" i="21"/>
  <c r="H424" i="21"/>
  <c r="K423" i="21"/>
  <c r="J423" i="21"/>
  <c r="I423" i="21"/>
  <c r="H423" i="21"/>
  <c r="K422" i="21"/>
  <c r="J422" i="21"/>
  <c r="I422" i="21"/>
  <c r="H422" i="21"/>
  <c r="K421" i="21"/>
  <c r="J421" i="21"/>
  <c r="I421" i="21"/>
  <c r="H421" i="21"/>
  <c r="K420" i="21"/>
  <c r="J420" i="21"/>
  <c r="I420" i="21"/>
  <c r="H420" i="21"/>
  <c r="K419" i="21"/>
  <c r="J419" i="21"/>
  <c r="I419" i="21"/>
  <c r="H419" i="21"/>
  <c r="K418" i="21"/>
  <c r="J418" i="21"/>
  <c r="I418" i="21"/>
  <c r="H418" i="21"/>
  <c r="K417" i="21"/>
  <c r="J417" i="21"/>
  <c r="I417" i="21"/>
  <c r="H417" i="21"/>
  <c r="K416" i="21"/>
  <c r="J416" i="21"/>
  <c r="I416" i="21"/>
  <c r="H416" i="21"/>
  <c r="K415" i="21"/>
  <c r="J415" i="21"/>
  <c r="I415" i="21"/>
  <c r="H415" i="21"/>
  <c r="K414" i="21"/>
  <c r="J414" i="21"/>
  <c r="I414" i="21"/>
  <c r="H414" i="21"/>
  <c r="K413" i="21"/>
  <c r="J413" i="21"/>
  <c r="I413" i="21"/>
  <c r="H413" i="21"/>
  <c r="K412" i="21"/>
  <c r="J412" i="21"/>
  <c r="I412" i="21"/>
  <c r="H412" i="21"/>
  <c r="K411" i="21"/>
  <c r="J411" i="21"/>
  <c r="I411" i="21"/>
  <c r="H411" i="21"/>
  <c r="K410" i="21"/>
  <c r="J410" i="21"/>
  <c r="I410" i="21"/>
  <c r="H410" i="21"/>
  <c r="K409" i="21"/>
  <c r="J409" i="21"/>
  <c r="I409" i="21"/>
  <c r="H409" i="21"/>
  <c r="K408" i="21"/>
  <c r="J408" i="21"/>
  <c r="I408" i="21"/>
  <c r="H408" i="21"/>
  <c r="K407" i="21"/>
  <c r="J407" i="21"/>
  <c r="I407" i="21"/>
  <c r="H407" i="21"/>
  <c r="K406" i="21"/>
  <c r="J406" i="21"/>
  <c r="I406" i="21"/>
  <c r="H406" i="21"/>
  <c r="K405" i="21"/>
  <c r="J405" i="21"/>
  <c r="I405" i="21"/>
  <c r="H405" i="21"/>
  <c r="K404" i="21"/>
  <c r="J404" i="21"/>
  <c r="I404" i="21"/>
  <c r="H404" i="21"/>
  <c r="K403" i="21"/>
  <c r="J403" i="21"/>
  <c r="I403" i="21"/>
  <c r="H403" i="21"/>
  <c r="K402" i="21"/>
  <c r="J402" i="21"/>
  <c r="I402" i="21"/>
  <c r="H402" i="21"/>
  <c r="K401" i="21"/>
  <c r="J401" i="21"/>
  <c r="I401" i="21"/>
  <c r="H401" i="21"/>
  <c r="K400" i="21"/>
  <c r="J400" i="21"/>
  <c r="I400" i="21"/>
  <c r="H400" i="21"/>
  <c r="K399" i="21"/>
  <c r="J399" i="21"/>
  <c r="I399" i="21"/>
  <c r="H399" i="21"/>
  <c r="K398" i="21"/>
  <c r="J398" i="21"/>
  <c r="I398" i="21"/>
  <c r="H398" i="21"/>
  <c r="K397" i="21"/>
  <c r="J397" i="21"/>
  <c r="I397" i="21"/>
  <c r="H397" i="21"/>
  <c r="K396" i="21"/>
  <c r="J396" i="21"/>
  <c r="I396" i="21"/>
  <c r="H396" i="21"/>
  <c r="K395" i="21"/>
  <c r="J395" i="21"/>
  <c r="I395" i="21"/>
  <c r="H395" i="21"/>
  <c r="K394" i="21"/>
  <c r="J394" i="21"/>
  <c r="I394" i="21"/>
  <c r="H394" i="21"/>
  <c r="K393" i="21"/>
  <c r="J393" i="21"/>
  <c r="I393" i="21"/>
  <c r="H393" i="21"/>
  <c r="K392" i="21"/>
  <c r="J392" i="21"/>
  <c r="I392" i="21"/>
  <c r="H392" i="21"/>
  <c r="K391" i="21"/>
  <c r="J391" i="21"/>
  <c r="I391" i="21"/>
  <c r="H391" i="21"/>
  <c r="K390" i="21"/>
  <c r="J390" i="21"/>
  <c r="I390" i="21"/>
  <c r="H390" i="21"/>
  <c r="K389" i="21"/>
  <c r="J389" i="21"/>
  <c r="I389" i="21"/>
  <c r="H389" i="21"/>
  <c r="K388" i="21"/>
  <c r="J388" i="21"/>
  <c r="I388" i="21"/>
  <c r="H388" i="21"/>
  <c r="K387" i="21"/>
  <c r="J387" i="21"/>
  <c r="I387" i="21"/>
  <c r="H387" i="21"/>
  <c r="K386" i="21"/>
  <c r="J386" i="21"/>
  <c r="I386" i="21"/>
  <c r="H386" i="21"/>
  <c r="K385" i="21"/>
  <c r="J385" i="21"/>
  <c r="I385" i="21"/>
  <c r="H385" i="21"/>
  <c r="K384" i="21"/>
  <c r="J384" i="21"/>
  <c r="I384" i="21"/>
  <c r="H384" i="21"/>
  <c r="K383" i="21"/>
  <c r="J383" i="21"/>
  <c r="I383" i="21"/>
  <c r="H383" i="21"/>
  <c r="K382" i="21"/>
  <c r="J382" i="21"/>
  <c r="I382" i="21"/>
  <c r="H382" i="21"/>
  <c r="K381" i="21"/>
  <c r="J381" i="21"/>
  <c r="I381" i="21"/>
  <c r="H381" i="21"/>
  <c r="K380" i="21"/>
  <c r="J380" i="21"/>
  <c r="I380" i="21"/>
  <c r="H380" i="21"/>
  <c r="K379" i="21"/>
  <c r="J379" i="21"/>
  <c r="I379" i="21"/>
  <c r="H379" i="21"/>
  <c r="K378" i="21"/>
  <c r="J378" i="21"/>
  <c r="I378" i="21"/>
  <c r="H378" i="21"/>
  <c r="K377" i="21"/>
  <c r="J377" i="21"/>
  <c r="I377" i="21"/>
  <c r="H377" i="21"/>
  <c r="K376" i="21"/>
  <c r="J376" i="21"/>
  <c r="I376" i="21"/>
  <c r="H376" i="21"/>
  <c r="K375" i="21"/>
  <c r="J375" i="21"/>
  <c r="I375" i="21"/>
  <c r="H375" i="21"/>
  <c r="K374" i="21"/>
  <c r="J374" i="21"/>
  <c r="I374" i="21"/>
  <c r="H374" i="21"/>
  <c r="K373" i="21"/>
  <c r="J373" i="21"/>
  <c r="I373" i="21"/>
  <c r="H373" i="21"/>
  <c r="K372" i="21"/>
  <c r="J372" i="21"/>
  <c r="I372" i="21"/>
  <c r="H372" i="21"/>
  <c r="K371" i="21"/>
  <c r="J371" i="21"/>
  <c r="I371" i="21"/>
  <c r="H371" i="21"/>
  <c r="K370" i="21"/>
  <c r="J370" i="21"/>
  <c r="I370" i="21"/>
  <c r="H370" i="21"/>
  <c r="K369" i="21"/>
  <c r="J369" i="21"/>
  <c r="I369" i="21"/>
  <c r="H369" i="21"/>
  <c r="K368" i="21"/>
  <c r="J368" i="21"/>
  <c r="I368" i="21"/>
  <c r="H368" i="21"/>
  <c r="K367" i="21"/>
  <c r="J367" i="21"/>
  <c r="I367" i="21"/>
  <c r="H367" i="21"/>
  <c r="K366" i="21"/>
  <c r="J366" i="21"/>
  <c r="I366" i="21"/>
  <c r="H366" i="21"/>
  <c r="K365" i="21"/>
  <c r="J365" i="21"/>
  <c r="I365" i="21"/>
  <c r="H365" i="21"/>
  <c r="K364" i="21"/>
  <c r="J364" i="21"/>
  <c r="I364" i="21"/>
  <c r="H364" i="21"/>
  <c r="K363" i="21"/>
  <c r="J363" i="21"/>
  <c r="I363" i="21"/>
  <c r="H363" i="21"/>
  <c r="K362" i="21"/>
  <c r="J362" i="21"/>
  <c r="I362" i="21"/>
  <c r="H362" i="21"/>
  <c r="K361" i="21"/>
  <c r="J361" i="21"/>
  <c r="I361" i="21"/>
  <c r="H361" i="21"/>
  <c r="K360" i="21"/>
  <c r="J360" i="21"/>
  <c r="I360" i="21"/>
  <c r="H360" i="21"/>
  <c r="K359" i="21"/>
  <c r="J359" i="21"/>
  <c r="I359" i="21"/>
  <c r="H359" i="21"/>
  <c r="K358" i="21"/>
  <c r="J358" i="21"/>
  <c r="I358" i="21"/>
  <c r="H358" i="21"/>
  <c r="K357" i="21"/>
  <c r="J357" i="21"/>
  <c r="I357" i="21"/>
  <c r="H357" i="21"/>
  <c r="K356" i="21"/>
  <c r="J356" i="21"/>
  <c r="I356" i="21"/>
  <c r="H356" i="21"/>
  <c r="K355" i="21"/>
  <c r="J355" i="21"/>
  <c r="I355" i="21"/>
  <c r="H355" i="21"/>
  <c r="K354" i="21"/>
  <c r="J354" i="21"/>
  <c r="I354" i="21"/>
  <c r="H354" i="21"/>
  <c r="K353" i="21"/>
  <c r="J353" i="21"/>
  <c r="I353" i="21"/>
  <c r="H353" i="21"/>
  <c r="K352" i="21"/>
  <c r="J352" i="21"/>
  <c r="I352" i="21"/>
  <c r="H352" i="21"/>
  <c r="K351" i="21"/>
  <c r="J351" i="21"/>
  <c r="I351" i="21"/>
  <c r="H351" i="21"/>
  <c r="K350" i="21"/>
  <c r="J350" i="21"/>
  <c r="I350" i="21"/>
  <c r="H350" i="21"/>
  <c r="K349" i="21"/>
  <c r="J349" i="21"/>
  <c r="I349" i="21"/>
  <c r="H349" i="21"/>
  <c r="K348" i="21"/>
  <c r="J348" i="21"/>
  <c r="I348" i="21"/>
  <c r="H348" i="21"/>
  <c r="K347" i="21"/>
  <c r="J347" i="21"/>
  <c r="I347" i="21"/>
  <c r="H347" i="21"/>
  <c r="K346" i="21"/>
  <c r="J346" i="21"/>
  <c r="I346" i="21"/>
  <c r="H346" i="21"/>
  <c r="K345" i="21"/>
  <c r="J345" i="21"/>
  <c r="I345" i="21"/>
  <c r="H345" i="21"/>
  <c r="K344" i="21"/>
  <c r="J344" i="21"/>
  <c r="I344" i="21"/>
  <c r="H344" i="21"/>
  <c r="K343" i="21"/>
  <c r="J343" i="21"/>
  <c r="I343" i="21"/>
  <c r="H343" i="21"/>
  <c r="K342" i="21"/>
  <c r="J342" i="21"/>
  <c r="I342" i="21"/>
  <c r="H342" i="21"/>
  <c r="K341" i="21"/>
  <c r="J341" i="21"/>
  <c r="I341" i="21"/>
  <c r="H341" i="21"/>
  <c r="K340" i="21"/>
  <c r="J340" i="21"/>
  <c r="I340" i="21"/>
  <c r="H340" i="21"/>
  <c r="K339" i="21"/>
  <c r="J339" i="21"/>
  <c r="I339" i="21"/>
  <c r="H339" i="21"/>
  <c r="K338" i="21"/>
  <c r="J338" i="21"/>
  <c r="I338" i="21"/>
  <c r="H338" i="21"/>
  <c r="K337" i="21"/>
  <c r="J337" i="21"/>
  <c r="I337" i="21"/>
  <c r="H337" i="21"/>
  <c r="K336" i="21"/>
  <c r="J336" i="21"/>
  <c r="I336" i="21"/>
  <c r="H336" i="21"/>
  <c r="K335" i="21"/>
  <c r="J335" i="21"/>
  <c r="I335" i="21"/>
  <c r="H335" i="21"/>
  <c r="K334" i="21"/>
  <c r="J334" i="21"/>
  <c r="I334" i="21"/>
  <c r="H334" i="21"/>
  <c r="K333" i="21"/>
  <c r="J333" i="21"/>
  <c r="I333" i="21"/>
  <c r="H333" i="21"/>
  <c r="K332" i="21"/>
  <c r="J332" i="21"/>
  <c r="I332" i="21"/>
  <c r="H332" i="21"/>
  <c r="K331" i="21"/>
  <c r="J331" i="21"/>
  <c r="I331" i="21"/>
  <c r="H331" i="21"/>
  <c r="K330" i="21"/>
  <c r="J330" i="21"/>
  <c r="I330" i="21"/>
  <c r="H330" i="21"/>
  <c r="K329" i="21"/>
  <c r="J329" i="21"/>
  <c r="I329" i="21"/>
  <c r="H329" i="21"/>
  <c r="K328" i="21"/>
  <c r="J328" i="21"/>
  <c r="I328" i="21"/>
  <c r="H328" i="21"/>
  <c r="K327" i="21"/>
  <c r="J327" i="21"/>
  <c r="I327" i="21"/>
  <c r="H327" i="21"/>
  <c r="K326" i="21"/>
  <c r="J326" i="21"/>
  <c r="I326" i="21"/>
  <c r="H326" i="21"/>
  <c r="K325" i="21"/>
  <c r="J325" i="21"/>
  <c r="I325" i="21"/>
  <c r="H325" i="21"/>
  <c r="K324" i="21"/>
  <c r="J324" i="21"/>
  <c r="I324" i="21"/>
  <c r="H324" i="21"/>
  <c r="K323" i="21"/>
  <c r="J323" i="21"/>
  <c r="I323" i="21"/>
  <c r="H323" i="21"/>
  <c r="K322" i="21"/>
  <c r="J322" i="21"/>
  <c r="I322" i="21"/>
  <c r="H322" i="21"/>
  <c r="K321" i="21"/>
  <c r="J321" i="21"/>
  <c r="I321" i="21"/>
  <c r="H321" i="21"/>
  <c r="K320" i="21"/>
  <c r="J320" i="21"/>
  <c r="I320" i="21"/>
  <c r="H320" i="21"/>
  <c r="K319" i="21"/>
  <c r="J319" i="21"/>
  <c r="I319" i="21"/>
  <c r="H319" i="21"/>
  <c r="K318" i="21"/>
  <c r="J318" i="21"/>
  <c r="I318" i="21"/>
  <c r="H318" i="21"/>
  <c r="K317" i="21"/>
  <c r="J317" i="21"/>
  <c r="I317" i="21"/>
  <c r="H317" i="21"/>
  <c r="K316" i="21"/>
  <c r="J316" i="21"/>
  <c r="I316" i="21"/>
  <c r="H316" i="21"/>
  <c r="K315" i="21"/>
  <c r="J315" i="21"/>
  <c r="I315" i="21"/>
  <c r="H315" i="21"/>
  <c r="K314" i="21"/>
  <c r="J314" i="21"/>
  <c r="I314" i="21"/>
  <c r="H314" i="21"/>
  <c r="K313" i="21"/>
  <c r="J313" i="21"/>
  <c r="I313" i="21"/>
  <c r="H313" i="21"/>
  <c r="K312" i="21"/>
  <c r="J312" i="21"/>
  <c r="I312" i="21"/>
  <c r="H312" i="21"/>
  <c r="K311" i="21"/>
  <c r="J311" i="21"/>
  <c r="I311" i="21"/>
  <c r="H311" i="21"/>
  <c r="K310" i="21"/>
  <c r="J310" i="21"/>
  <c r="I310" i="21"/>
  <c r="H310" i="21"/>
  <c r="K309" i="21"/>
  <c r="J309" i="21"/>
  <c r="I309" i="21"/>
  <c r="H309" i="21"/>
  <c r="K308" i="21"/>
  <c r="J308" i="21"/>
  <c r="I308" i="21"/>
  <c r="H308" i="21"/>
  <c r="K307" i="21"/>
  <c r="J307" i="21"/>
  <c r="I307" i="21"/>
  <c r="H307" i="21"/>
  <c r="K306" i="21"/>
  <c r="J306" i="21"/>
  <c r="I306" i="21"/>
  <c r="H306" i="21"/>
  <c r="K305" i="21"/>
  <c r="J305" i="21"/>
  <c r="I305" i="21"/>
  <c r="H305" i="21"/>
  <c r="K304" i="21"/>
  <c r="J304" i="21"/>
  <c r="I304" i="21"/>
  <c r="H304" i="21"/>
  <c r="K303" i="21"/>
  <c r="J303" i="21"/>
  <c r="I303" i="21"/>
  <c r="H303" i="21"/>
  <c r="K302" i="21"/>
  <c r="J302" i="21"/>
  <c r="I302" i="21"/>
  <c r="H302" i="21"/>
  <c r="K301" i="21"/>
  <c r="J301" i="21"/>
  <c r="I301" i="21"/>
  <c r="H301" i="21"/>
  <c r="K300" i="21"/>
  <c r="J300" i="21"/>
  <c r="I300" i="21"/>
  <c r="H300" i="21"/>
  <c r="K299" i="21"/>
  <c r="J299" i="21"/>
  <c r="I299" i="21"/>
  <c r="H299" i="21"/>
  <c r="K298" i="21"/>
  <c r="J298" i="21"/>
  <c r="I298" i="21"/>
  <c r="H298" i="21"/>
  <c r="K297" i="21"/>
  <c r="J297" i="21"/>
  <c r="I297" i="21"/>
  <c r="H297" i="21"/>
  <c r="K296" i="21"/>
  <c r="J296" i="21"/>
  <c r="I296" i="21"/>
  <c r="H296" i="21"/>
  <c r="K295" i="21"/>
  <c r="J295" i="21"/>
  <c r="I295" i="21"/>
  <c r="H295" i="21"/>
  <c r="K294" i="21"/>
  <c r="J294" i="21"/>
  <c r="I294" i="21"/>
  <c r="H294" i="21"/>
  <c r="K293" i="21"/>
  <c r="J293" i="21"/>
  <c r="I293" i="21"/>
  <c r="H293" i="21"/>
  <c r="K292" i="21"/>
  <c r="J292" i="21"/>
  <c r="I292" i="21"/>
  <c r="H292" i="21"/>
  <c r="K291" i="21"/>
  <c r="J291" i="21"/>
  <c r="I291" i="21"/>
  <c r="H291" i="21"/>
  <c r="K290" i="21"/>
  <c r="J290" i="21"/>
  <c r="I290" i="21"/>
  <c r="H290" i="21"/>
  <c r="K289" i="21"/>
  <c r="J289" i="21"/>
  <c r="I289" i="21"/>
  <c r="H289" i="21"/>
  <c r="K288" i="21"/>
  <c r="J288" i="21"/>
  <c r="I288" i="21"/>
  <c r="H288" i="21"/>
  <c r="K287" i="21"/>
  <c r="J287" i="21"/>
  <c r="I287" i="21"/>
  <c r="H287" i="21"/>
  <c r="K286" i="21"/>
  <c r="J286" i="21"/>
  <c r="I286" i="21"/>
  <c r="H286" i="21"/>
  <c r="K285" i="21"/>
  <c r="J285" i="21"/>
  <c r="I285" i="21"/>
  <c r="H285" i="21"/>
  <c r="K284" i="21"/>
  <c r="J284" i="21"/>
  <c r="I284" i="21"/>
  <c r="H284" i="21"/>
  <c r="K283" i="21"/>
  <c r="J283" i="21"/>
  <c r="I283" i="21"/>
  <c r="H283" i="21"/>
  <c r="K282" i="21"/>
  <c r="J282" i="21"/>
  <c r="I282" i="21"/>
  <c r="H282" i="21"/>
  <c r="K281" i="21"/>
  <c r="J281" i="21"/>
  <c r="I281" i="21"/>
  <c r="H281" i="21"/>
  <c r="K280" i="21"/>
  <c r="J280" i="21"/>
  <c r="I280" i="21"/>
  <c r="H280" i="21"/>
  <c r="K279" i="21"/>
  <c r="J279" i="21"/>
  <c r="I279" i="21"/>
  <c r="H279" i="21"/>
  <c r="K278" i="21"/>
  <c r="J278" i="21"/>
  <c r="I278" i="21"/>
  <c r="H278" i="21"/>
  <c r="K277" i="21"/>
  <c r="J277" i="21"/>
  <c r="I277" i="21"/>
  <c r="H277" i="21"/>
  <c r="K276" i="21"/>
  <c r="J276" i="21"/>
  <c r="I276" i="21"/>
  <c r="H276" i="21"/>
  <c r="K275" i="21"/>
  <c r="J275" i="21"/>
  <c r="I275" i="21"/>
  <c r="H275" i="21"/>
  <c r="K274" i="21"/>
  <c r="J274" i="21"/>
  <c r="I274" i="21"/>
  <c r="H274" i="21"/>
  <c r="K273" i="21"/>
  <c r="J273" i="21"/>
  <c r="I273" i="21"/>
  <c r="H273" i="21"/>
  <c r="K272" i="21"/>
  <c r="J272" i="21"/>
  <c r="I272" i="21"/>
  <c r="H272" i="21"/>
  <c r="K271" i="21"/>
  <c r="J271" i="21"/>
  <c r="I271" i="21"/>
  <c r="H271" i="21"/>
  <c r="K270" i="21"/>
  <c r="J270" i="21"/>
  <c r="I270" i="21"/>
  <c r="H270" i="21"/>
  <c r="K269" i="21"/>
  <c r="J269" i="21"/>
  <c r="I269" i="21"/>
  <c r="H269" i="21"/>
  <c r="K268" i="21"/>
  <c r="J268" i="21"/>
  <c r="I268" i="21"/>
  <c r="H268" i="21"/>
  <c r="K267" i="21"/>
  <c r="J267" i="21"/>
  <c r="I267" i="21"/>
  <c r="H267" i="21"/>
  <c r="K266" i="21"/>
  <c r="J266" i="21"/>
  <c r="I266" i="21"/>
  <c r="H266" i="21"/>
  <c r="K265" i="21"/>
  <c r="J265" i="21"/>
  <c r="I265" i="21"/>
  <c r="H265" i="21"/>
  <c r="K264" i="21"/>
  <c r="J264" i="21"/>
  <c r="I264" i="21"/>
  <c r="H264" i="21"/>
  <c r="K263" i="21"/>
  <c r="J263" i="21"/>
  <c r="I263" i="21"/>
  <c r="H263" i="21"/>
  <c r="K262" i="21"/>
  <c r="J262" i="21"/>
  <c r="I262" i="21"/>
  <c r="H262" i="21"/>
  <c r="K261" i="21"/>
  <c r="J261" i="21"/>
  <c r="I261" i="21"/>
  <c r="H261" i="21"/>
  <c r="K260" i="21"/>
  <c r="J260" i="21"/>
  <c r="I260" i="21"/>
  <c r="H260" i="21"/>
  <c r="K259" i="21"/>
  <c r="J259" i="21"/>
  <c r="I259" i="21"/>
  <c r="H259" i="21"/>
  <c r="K258" i="21"/>
  <c r="J258" i="21"/>
  <c r="I258" i="21"/>
  <c r="H258" i="21"/>
  <c r="K257" i="21"/>
  <c r="J257" i="21"/>
  <c r="I257" i="21"/>
  <c r="H257" i="21"/>
  <c r="K256" i="21"/>
  <c r="J256" i="21"/>
  <c r="I256" i="21"/>
  <c r="H256" i="21"/>
  <c r="K255" i="21"/>
  <c r="J255" i="21"/>
  <c r="I255" i="21"/>
  <c r="H255" i="21"/>
  <c r="K254" i="21"/>
  <c r="J254" i="21"/>
  <c r="I254" i="21"/>
  <c r="H254" i="21"/>
  <c r="K253" i="21"/>
  <c r="J253" i="21"/>
  <c r="I253" i="21"/>
  <c r="H253" i="21"/>
  <c r="K252" i="21"/>
  <c r="J252" i="21"/>
  <c r="I252" i="21"/>
  <c r="H252" i="21"/>
  <c r="K251" i="21"/>
  <c r="J251" i="21"/>
  <c r="I251" i="21"/>
  <c r="H251" i="21"/>
  <c r="K250" i="21"/>
  <c r="J250" i="21"/>
  <c r="I250" i="21"/>
  <c r="H250" i="21"/>
  <c r="K249" i="21"/>
  <c r="J249" i="21"/>
  <c r="I249" i="21"/>
  <c r="H249" i="21"/>
  <c r="K248" i="21"/>
  <c r="I248" i="21"/>
  <c r="H248" i="21"/>
  <c r="K247" i="21"/>
  <c r="J247" i="21"/>
  <c r="I247" i="21"/>
  <c r="H247" i="21"/>
  <c r="K246" i="21"/>
  <c r="J246" i="21"/>
  <c r="I246" i="21"/>
  <c r="H246" i="21"/>
  <c r="K245" i="21"/>
  <c r="J245" i="21"/>
  <c r="I245" i="21"/>
  <c r="H245" i="21"/>
  <c r="K244" i="21"/>
  <c r="J244" i="21"/>
  <c r="I244" i="21"/>
  <c r="H244" i="21"/>
  <c r="K243" i="21"/>
  <c r="J243" i="21"/>
  <c r="I243" i="21"/>
  <c r="H243" i="21"/>
  <c r="K242" i="21"/>
  <c r="J242" i="21"/>
  <c r="I242" i="21"/>
  <c r="H242" i="21"/>
  <c r="K241" i="21"/>
  <c r="J241" i="21"/>
  <c r="I241" i="21"/>
  <c r="H241" i="21"/>
  <c r="K240" i="21"/>
  <c r="J240" i="21"/>
  <c r="I240" i="21"/>
  <c r="H240" i="21"/>
  <c r="K239" i="21"/>
  <c r="J239" i="21"/>
  <c r="I239" i="21"/>
  <c r="H239" i="21"/>
  <c r="K238" i="21"/>
  <c r="J238" i="21"/>
  <c r="I238" i="21"/>
  <c r="H238" i="21"/>
  <c r="K237" i="21"/>
  <c r="J237" i="21"/>
  <c r="I237" i="21"/>
  <c r="H237" i="21"/>
  <c r="K236" i="21"/>
  <c r="J236" i="21"/>
  <c r="I236" i="21"/>
  <c r="H236" i="21"/>
  <c r="K235" i="21"/>
  <c r="J235" i="21"/>
  <c r="I235" i="21"/>
  <c r="H235" i="21"/>
  <c r="K234" i="21"/>
  <c r="J234" i="21"/>
  <c r="I234" i="21"/>
  <c r="H234" i="21"/>
  <c r="K233" i="21"/>
  <c r="J233" i="21"/>
  <c r="I233" i="21"/>
  <c r="H233" i="21"/>
  <c r="K232" i="21"/>
  <c r="J232" i="21"/>
  <c r="I232" i="21"/>
  <c r="H232" i="21"/>
  <c r="K231" i="21"/>
  <c r="J231" i="21"/>
  <c r="I231" i="21"/>
  <c r="H231" i="21"/>
  <c r="K230" i="21"/>
  <c r="J230" i="21"/>
  <c r="I230" i="21"/>
  <c r="H230" i="21"/>
  <c r="K229" i="21"/>
  <c r="J229" i="21"/>
  <c r="I229" i="21"/>
  <c r="H229" i="21"/>
  <c r="K228" i="21"/>
  <c r="J228" i="21"/>
  <c r="I228" i="21"/>
  <c r="H228" i="21"/>
  <c r="K227" i="21"/>
  <c r="J227" i="21"/>
  <c r="I227" i="21"/>
  <c r="H227" i="21"/>
  <c r="K226" i="21"/>
  <c r="J226" i="21"/>
  <c r="I226" i="21"/>
  <c r="H226" i="21"/>
  <c r="K225" i="21"/>
  <c r="J225" i="21"/>
  <c r="I225" i="21"/>
  <c r="H225" i="21"/>
  <c r="K224" i="21"/>
  <c r="J224" i="21"/>
  <c r="I224" i="21"/>
  <c r="H224" i="21"/>
  <c r="K223" i="21"/>
  <c r="J223" i="21"/>
  <c r="I223" i="21"/>
  <c r="H223" i="21"/>
  <c r="K222" i="21"/>
  <c r="J222" i="21"/>
  <c r="I222" i="21"/>
  <c r="H222" i="21"/>
  <c r="K221" i="21"/>
  <c r="J221" i="21"/>
  <c r="I221" i="21"/>
  <c r="H221" i="21"/>
  <c r="K220" i="21"/>
  <c r="J220" i="21"/>
  <c r="I220" i="21"/>
  <c r="H220" i="21"/>
  <c r="K219" i="21"/>
  <c r="J219" i="21"/>
  <c r="I219" i="21"/>
  <c r="H219" i="21"/>
  <c r="K218" i="21"/>
  <c r="J218" i="21"/>
  <c r="I218" i="21"/>
  <c r="H218" i="21"/>
  <c r="K217" i="21"/>
  <c r="J217" i="21"/>
  <c r="I217" i="21"/>
  <c r="H217" i="21"/>
  <c r="K216" i="21"/>
  <c r="J216" i="21"/>
  <c r="I216" i="21"/>
  <c r="H216" i="21"/>
  <c r="K215" i="21"/>
  <c r="J215" i="21"/>
  <c r="I215" i="21"/>
  <c r="H215" i="21"/>
  <c r="K214" i="21"/>
  <c r="J214" i="21"/>
  <c r="I214" i="21"/>
  <c r="H214" i="21"/>
  <c r="K213" i="21"/>
  <c r="J213" i="21"/>
  <c r="I213" i="21"/>
  <c r="H213" i="21"/>
  <c r="K212" i="21"/>
  <c r="J212" i="21"/>
  <c r="I212" i="21"/>
  <c r="H212" i="21"/>
  <c r="K211" i="21"/>
  <c r="J211" i="21"/>
  <c r="I211" i="21"/>
  <c r="H211" i="21"/>
  <c r="K210" i="21"/>
  <c r="J210" i="21"/>
  <c r="I210" i="21"/>
  <c r="H210" i="21"/>
  <c r="K209" i="21"/>
  <c r="J209" i="21"/>
  <c r="I209" i="21"/>
  <c r="H209" i="21"/>
  <c r="K208" i="21"/>
  <c r="J208" i="21"/>
  <c r="I208" i="21"/>
  <c r="H208" i="21"/>
  <c r="K207" i="21"/>
  <c r="J207" i="21"/>
  <c r="I207" i="21"/>
  <c r="H207" i="21"/>
  <c r="K206" i="21"/>
  <c r="J206" i="21"/>
  <c r="I206" i="21"/>
  <c r="H206" i="21"/>
  <c r="K205" i="21"/>
  <c r="J205" i="21"/>
  <c r="I205" i="21"/>
  <c r="H205" i="21"/>
  <c r="K204" i="21"/>
  <c r="J204" i="21"/>
  <c r="I204" i="21"/>
  <c r="H204" i="21"/>
  <c r="K203" i="21"/>
  <c r="J203" i="21"/>
  <c r="I203" i="21"/>
  <c r="H203" i="21"/>
  <c r="K202" i="21"/>
  <c r="J202" i="21"/>
  <c r="I202" i="21"/>
  <c r="H202" i="21"/>
  <c r="K201" i="21"/>
  <c r="J201" i="21"/>
  <c r="I201" i="21"/>
  <c r="H201" i="21"/>
  <c r="K200" i="21"/>
  <c r="J200" i="21"/>
  <c r="I200" i="21"/>
  <c r="H200" i="21"/>
  <c r="K199" i="21"/>
  <c r="J199" i="21"/>
  <c r="I199" i="21"/>
  <c r="H199" i="21"/>
  <c r="K198" i="21"/>
  <c r="J198" i="21"/>
  <c r="I198" i="21"/>
  <c r="H198" i="21"/>
  <c r="K197" i="21"/>
  <c r="J197" i="21"/>
  <c r="I197" i="21"/>
  <c r="H197" i="21"/>
  <c r="K196" i="21"/>
  <c r="J196" i="21"/>
  <c r="I196" i="21"/>
  <c r="H196" i="21"/>
  <c r="K195" i="21"/>
  <c r="J195" i="21"/>
  <c r="I195" i="21"/>
  <c r="H195" i="21"/>
  <c r="K194" i="21"/>
  <c r="J194" i="21"/>
  <c r="I194" i="21"/>
  <c r="H194" i="21"/>
  <c r="K193" i="21"/>
  <c r="J193" i="21"/>
  <c r="I193" i="21"/>
  <c r="H193" i="21"/>
  <c r="K192" i="21"/>
  <c r="J192" i="21"/>
  <c r="I192" i="21"/>
  <c r="H192" i="21"/>
  <c r="K191" i="21"/>
  <c r="J191" i="21"/>
  <c r="I191" i="21"/>
  <c r="H191" i="21"/>
  <c r="K190" i="21"/>
  <c r="J190" i="21"/>
  <c r="I190" i="21"/>
  <c r="H190" i="21"/>
  <c r="K189" i="21"/>
  <c r="J189" i="21"/>
  <c r="I189" i="21"/>
  <c r="H189" i="21"/>
  <c r="K188" i="21"/>
  <c r="J188" i="21"/>
  <c r="I188" i="21"/>
  <c r="H188" i="21"/>
  <c r="K187" i="21"/>
  <c r="J187" i="21"/>
  <c r="I187" i="21"/>
  <c r="H187" i="21"/>
  <c r="K186" i="21"/>
  <c r="J186" i="21"/>
  <c r="I186" i="21"/>
  <c r="H186" i="21"/>
  <c r="K185" i="21"/>
  <c r="J185" i="21"/>
  <c r="I185" i="21"/>
  <c r="H185" i="21"/>
  <c r="K184" i="21"/>
  <c r="J184" i="21"/>
  <c r="I184" i="21"/>
  <c r="H184" i="21"/>
  <c r="K183" i="21"/>
  <c r="J183" i="21"/>
  <c r="I183" i="21"/>
  <c r="H183" i="21"/>
  <c r="K182" i="21"/>
  <c r="J182" i="21"/>
  <c r="I182" i="21"/>
  <c r="H182" i="21"/>
  <c r="K181" i="21"/>
  <c r="J181" i="21"/>
  <c r="I181" i="21"/>
  <c r="H181" i="21"/>
  <c r="K180" i="21"/>
  <c r="J180" i="21"/>
  <c r="I180" i="21"/>
  <c r="H180" i="21"/>
  <c r="K179" i="21"/>
  <c r="J179" i="21"/>
  <c r="I179" i="21"/>
  <c r="H179" i="21"/>
  <c r="K178" i="21"/>
  <c r="J178" i="21"/>
  <c r="I178" i="21"/>
  <c r="H178" i="21"/>
  <c r="K177" i="21"/>
  <c r="J177" i="21"/>
  <c r="I177" i="21"/>
  <c r="H177" i="21"/>
  <c r="K176" i="21"/>
  <c r="J176" i="21"/>
  <c r="I176" i="21"/>
  <c r="H176" i="21"/>
  <c r="K175" i="21"/>
  <c r="J175" i="21"/>
  <c r="I175" i="21"/>
  <c r="H175" i="21"/>
  <c r="K174" i="21"/>
  <c r="J174" i="21"/>
  <c r="I174" i="21"/>
  <c r="H174" i="21"/>
  <c r="K173" i="21"/>
  <c r="J173" i="21"/>
  <c r="I173" i="21"/>
  <c r="H173" i="21"/>
  <c r="K172" i="21"/>
  <c r="J172" i="21"/>
  <c r="I172" i="21"/>
  <c r="H172" i="21"/>
  <c r="K171" i="21"/>
  <c r="J171" i="21"/>
  <c r="I171" i="21"/>
  <c r="H171" i="21"/>
  <c r="K170" i="21"/>
  <c r="J170" i="21"/>
  <c r="I170" i="21"/>
  <c r="H170" i="21"/>
  <c r="K169" i="21"/>
  <c r="J169" i="21"/>
  <c r="I169" i="21"/>
  <c r="H169" i="21"/>
  <c r="K168" i="21"/>
  <c r="J168" i="21"/>
  <c r="I168" i="21"/>
  <c r="H168" i="21"/>
  <c r="K167" i="21"/>
  <c r="J167" i="21"/>
  <c r="I167" i="21"/>
  <c r="H167" i="21"/>
  <c r="K166" i="21"/>
  <c r="J166" i="21"/>
  <c r="I166" i="21"/>
  <c r="H166" i="21"/>
  <c r="K165" i="21"/>
  <c r="J165" i="21"/>
  <c r="I165" i="21"/>
  <c r="H165" i="21"/>
  <c r="K164" i="21"/>
  <c r="J164" i="21"/>
  <c r="I164" i="21"/>
  <c r="H164" i="21"/>
  <c r="K163" i="21"/>
  <c r="J163" i="21"/>
  <c r="I163" i="21"/>
  <c r="H163" i="21"/>
  <c r="K162" i="21"/>
  <c r="J162" i="21"/>
  <c r="I162" i="21"/>
  <c r="H162" i="21"/>
  <c r="K161" i="21"/>
  <c r="J161" i="21"/>
  <c r="I161" i="21"/>
  <c r="H161" i="21"/>
  <c r="K160" i="21"/>
  <c r="J160" i="21"/>
  <c r="I160" i="21"/>
  <c r="H160" i="21"/>
  <c r="K159" i="21"/>
  <c r="J159" i="21"/>
  <c r="I159" i="21"/>
  <c r="H159" i="21"/>
  <c r="K158" i="21"/>
  <c r="J158" i="21"/>
  <c r="I158" i="21"/>
  <c r="H158" i="21"/>
  <c r="K157" i="21"/>
  <c r="J157" i="21"/>
  <c r="I157" i="21"/>
  <c r="H157" i="21"/>
  <c r="K156" i="21"/>
  <c r="J156" i="21"/>
  <c r="I156" i="21"/>
  <c r="H156" i="21"/>
  <c r="K155" i="21"/>
  <c r="J155" i="21"/>
  <c r="I155" i="21"/>
  <c r="H155" i="21"/>
  <c r="K154" i="21"/>
  <c r="J154" i="21"/>
  <c r="I154" i="21"/>
  <c r="H154" i="21"/>
  <c r="K153" i="21"/>
  <c r="J153" i="21"/>
  <c r="I153" i="21"/>
  <c r="H153" i="21"/>
  <c r="K152" i="21"/>
  <c r="J152" i="21"/>
  <c r="I152" i="21"/>
  <c r="H152" i="21"/>
  <c r="K151" i="21"/>
  <c r="J151" i="21"/>
  <c r="I151" i="21"/>
  <c r="H151" i="21"/>
  <c r="K150" i="21"/>
  <c r="J150" i="21"/>
  <c r="I150" i="21"/>
  <c r="H150" i="21"/>
  <c r="K149" i="21"/>
  <c r="J149" i="21"/>
  <c r="I149" i="21"/>
  <c r="H149" i="21"/>
  <c r="K148" i="21"/>
  <c r="J148" i="21"/>
  <c r="I148" i="21"/>
  <c r="H148" i="21"/>
  <c r="K147" i="21"/>
  <c r="J147" i="21"/>
  <c r="I147" i="21"/>
  <c r="H147" i="21"/>
  <c r="K146" i="21"/>
  <c r="J146" i="21"/>
  <c r="I146" i="21"/>
  <c r="H146" i="21"/>
  <c r="K145" i="21"/>
  <c r="J145" i="21"/>
  <c r="I145" i="21"/>
  <c r="H145" i="21"/>
  <c r="K144" i="21"/>
  <c r="J144" i="21"/>
  <c r="I144" i="21"/>
  <c r="H144" i="21"/>
  <c r="K143" i="21"/>
  <c r="J143" i="21"/>
  <c r="I143" i="21"/>
  <c r="H143" i="21"/>
  <c r="K142" i="21"/>
  <c r="J142" i="21"/>
  <c r="I142" i="21"/>
  <c r="H142" i="21"/>
  <c r="K141" i="21"/>
  <c r="J141" i="21"/>
  <c r="I141" i="21"/>
  <c r="H141" i="21"/>
  <c r="K140" i="21"/>
  <c r="J140" i="21"/>
  <c r="I140" i="21"/>
  <c r="H140" i="21"/>
  <c r="K139" i="21"/>
  <c r="J139" i="21"/>
  <c r="I139" i="21"/>
  <c r="H139" i="21"/>
  <c r="K138" i="21"/>
  <c r="J138" i="21"/>
  <c r="I138" i="21"/>
  <c r="H138" i="21"/>
  <c r="K137" i="21"/>
  <c r="J137" i="21"/>
  <c r="I137" i="21"/>
  <c r="H137" i="21"/>
  <c r="K136" i="21"/>
  <c r="J136" i="21"/>
  <c r="I136" i="21"/>
  <c r="H136" i="21"/>
  <c r="K135" i="21"/>
  <c r="J135" i="21"/>
  <c r="I135" i="21"/>
  <c r="H135" i="21"/>
  <c r="K134" i="21"/>
  <c r="J134" i="21"/>
  <c r="I134" i="21"/>
  <c r="H134" i="21"/>
  <c r="K133" i="21"/>
  <c r="J133" i="21"/>
  <c r="I133" i="21"/>
  <c r="H133" i="21"/>
  <c r="K132" i="21"/>
  <c r="J132" i="21"/>
  <c r="I132" i="21"/>
  <c r="H132" i="21"/>
  <c r="K131" i="21"/>
  <c r="J131" i="21"/>
  <c r="I131" i="21"/>
  <c r="H131" i="21"/>
  <c r="K130" i="21"/>
  <c r="J130" i="21"/>
  <c r="I130" i="21"/>
  <c r="H130" i="21"/>
  <c r="K129" i="21"/>
  <c r="J129" i="21"/>
  <c r="I129" i="21"/>
  <c r="H129" i="21"/>
  <c r="K128" i="21"/>
  <c r="J128" i="21"/>
  <c r="I128" i="21"/>
  <c r="H128" i="21"/>
  <c r="K127" i="21"/>
  <c r="J127" i="21"/>
  <c r="I127" i="21"/>
  <c r="H127" i="21"/>
  <c r="K126" i="21"/>
  <c r="J126" i="21"/>
  <c r="I126" i="21"/>
  <c r="H126" i="21"/>
  <c r="K125" i="21"/>
  <c r="J125" i="21"/>
  <c r="I125" i="21"/>
  <c r="H125" i="21"/>
  <c r="K124" i="21"/>
  <c r="J124" i="21"/>
  <c r="I124" i="21"/>
  <c r="H124" i="21"/>
  <c r="K123" i="21"/>
  <c r="J123" i="21"/>
  <c r="I123" i="21"/>
  <c r="H123" i="21"/>
  <c r="K122" i="21"/>
  <c r="J122" i="21"/>
  <c r="I122" i="21"/>
  <c r="H122" i="21"/>
  <c r="K121" i="21"/>
  <c r="J121" i="21"/>
  <c r="I121" i="21"/>
  <c r="H121" i="21"/>
  <c r="K120" i="21"/>
  <c r="J120" i="21"/>
  <c r="I120" i="21"/>
  <c r="H120" i="21"/>
  <c r="K119" i="21"/>
  <c r="J119" i="21"/>
  <c r="I119" i="21"/>
  <c r="H119" i="21"/>
  <c r="K118" i="21"/>
  <c r="J118" i="21"/>
  <c r="I118" i="21"/>
  <c r="H118" i="21"/>
  <c r="K117" i="21"/>
  <c r="J117" i="21"/>
  <c r="I117" i="21"/>
  <c r="H117" i="21"/>
  <c r="K116" i="21"/>
  <c r="J116" i="21"/>
  <c r="I116" i="21"/>
  <c r="H116" i="21"/>
  <c r="K115" i="21"/>
  <c r="J115" i="21"/>
  <c r="I115" i="21"/>
  <c r="H115" i="21"/>
  <c r="K114" i="21"/>
  <c r="J114" i="21"/>
  <c r="I114" i="21"/>
  <c r="H114" i="21"/>
  <c r="K113" i="21"/>
  <c r="J113" i="21"/>
  <c r="I113" i="21"/>
  <c r="H113" i="21"/>
  <c r="K112" i="21"/>
  <c r="J112" i="21"/>
  <c r="I112" i="21"/>
  <c r="H112" i="21"/>
  <c r="K111" i="21"/>
  <c r="J111" i="21"/>
  <c r="I111" i="21"/>
  <c r="H111" i="21"/>
  <c r="K110" i="21"/>
  <c r="J110" i="21"/>
  <c r="I110" i="21"/>
  <c r="H110" i="21"/>
  <c r="K109" i="21"/>
  <c r="J109" i="21"/>
  <c r="I109" i="21"/>
  <c r="H109" i="21"/>
  <c r="K108" i="21"/>
  <c r="J108" i="21"/>
  <c r="I108" i="21"/>
  <c r="H108" i="21"/>
  <c r="K107" i="21"/>
  <c r="J107" i="21"/>
  <c r="I107" i="21"/>
  <c r="H107" i="21"/>
  <c r="K106" i="21"/>
  <c r="J106" i="21"/>
  <c r="I106" i="21"/>
  <c r="H106" i="21"/>
  <c r="K105" i="21"/>
  <c r="J105" i="21"/>
  <c r="I105" i="21"/>
  <c r="H105" i="21"/>
  <c r="K104" i="21"/>
  <c r="J104" i="21"/>
  <c r="I104" i="21"/>
  <c r="H104" i="21"/>
  <c r="K103" i="21"/>
  <c r="J103" i="21"/>
  <c r="I103" i="21"/>
  <c r="H103" i="21"/>
  <c r="K102" i="21"/>
  <c r="J102" i="21"/>
  <c r="I102" i="21"/>
  <c r="H102" i="21"/>
  <c r="K101" i="21"/>
  <c r="J101" i="21"/>
  <c r="I101" i="21"/>
  <c r="H101" i="21"/>
  <c r="K100" i="21"/>
  <c r="J100" i="21"/>
  <c r="I100" i="21"/>
  <c r="H100" i="21"/>
  <c r="K99" i="21"/>
  <c r="J99" i="21"/>
  <c r="I99" i="21"/>
  <c r="H99" i="21"/>
  <c r="K98" i="21"/>
  <c r="J98" i="21"/>
  <c r="I98" i="21"/>
  <c r="H98" i="21"/>
  <c r="K97" i="21"/>
  <c r="J97" i="21"/>
  <c r="I97" i="21"/>
  <c r="H97" i="21"/>
  <c r="K96" i="21"/>
  <c r="J96" i="21"/>
  <c r="I96" i="21"/>
  <c r="H96" i="21"/>
  <c r="K95" i="21"/>
  <c r="J95" i="21"/>
  <c r="I95" i="21"/>
  <c r="H95" i="21"/>
  <c r="K94" i="21"/>
  <c r="J94" i="21"/>
  <c r="I94" i="21"/>
  <c r="H94" i="21"/>
  <c r="K93" i="21"/>
  <c r="J93" i="21"/>
  <c r="I93" i="21"/>
  <c r="H93" i="21"/>
  <c r="K92" i="21"/>
  <c r="J92" i="21"/>
  <c r="I92" i="21"/>
  <c r="H92" i="21"/>
  <c r="K91" i="21"/>
  <c r="J91" i="21"/>
  <c r="I91" i="21"/>
  <c r="H91" i="21"/>
  <c r="K90" i="21"/>
  <c r="J90" i="21"/>
  <c r="I90" i="21"/>
  <c r="H90" i="21"/>
  <c r="K89" i="21"/>
  <c r="J89" i="21"/>
  <c r="I89" i="21"/>
  <c r="H89" i="21"/>
  <c r="K88" i="21"/>
  <c r="J88" i="21"/>
  <c r="I88" i="21"/>
  <c r="H88" i="21"/>
  <c r="K87" i="21"/>
  <c r="J87" i="21"/>
  <c r="I87" i="21"/>
  <c r="H87" i="21"/>
  <c r="K86" i="21"/>
  <c r="J86" i="21"/>
  <c r="I86" i="21"/>
  <c r="H86" i="21"/>
  <c r="K85" i="21"/>
  <c r="J85" i="21"/>
  <c r="I85" i="21"/>
  <c r="H85" i="21"/>
  <c r="K84" i="21"/>
  <c r="J84" i="21"/>
  <c r="I84" i="21"/>
  <c r="H84" i="21"/>
  <c r="K83" i="21"/>
  <c r="J83" i="21"/>
  <c r="I83" i="21"/>
  <c r="H83" i="21"/>
  <c r="K82" i="21"/>
  <c r="J82" i="21"/>
  <c r="I82" i="21"/>
  <c r="H82" i="21"/>
  <c r="K81" i="21"/>
  <c r="J81" i="21"/>
  <c r="I81" i="21"/>
  <c r="H81" i="21"/>
  <c r="K80" i="21"/>
  <c r="J80" i="21"/>
  <c r="I80" i="21"/>
  <c r="H80" i="21"/>
  <c r="K79" i="21"/>
  <c r="J79" i="21"/>
  <c r="I79" i="21"/>
  <c r="H79" i="21"/>
  <c r="K78" i="21"/>
  <c r="J78" i="21"/>
  <c r="I78" i="21"/>
  <c r="H78" i="21"/>
  <c r="K77" i="21"/>
  <c r="J77" i="21"/>
  <c r="I77" i="21"/>
  <c r="H77" i="21"/>
  <c r="K76" i="21"/>
  <c r="J76" i="21"/>
  <c r="I76" i="21"/>
  <c r="H76" i="21"/>
  <c r="K75" i="21"/>
  <c r="J75" i="21"/>
  <c r="I75" i="21"/>
  <c r="H75" i="21"/>
  <c r="K74" i="21"/>
  <c r="J74" i="21"/>
  <c r="I74" i="21"/>
  <c r="H74" i="21"/>
  <c r="K73" i="21"/>
  <c r="J73" i="21"/>
  <c r="I73" i="21"/>
  <c r="H73" i="21"/>
  <c r="K72" i="21"/>
  <c r="J72" i="21"/>
  <c r="I72" i="21"/>
  <c r="H72" i="21"/>
  <c r="K71" i="21"/>
  <c r="J71" i="21"/>
  <c r="I71" i="21"/>
  <c r="H71" i="21"/>
  <c r="K70" i="21"/>
  <c r="J70" i="21"/>
  <c r="I70" i="21"/>
  <c r="H70" i="21"/>
  <c r="K69" i="21"/>
  <c r="J69" i="21"/>
  <c r="I69" i="21"/>
  <c r="H69" i="21"/>
  <c r="K68" i="21"/>
  <c r="J68" i="21"/>
  <c r="I68" i="21"/>
  <c r="H68" i="21"/>
  <c r="K67" i="21"/>
  <c r="J67" i="21"/>
  <c r="I67" i="21"/>
  <c r="H67" i="21"/>
  <c r="K66" i="21"/>
  <c r="J66" i="21"/>
  <c r="I66" i="21"/>
  <c r="H66" i="21"/>
  <c r="K65" i="21"/>
  <c r="J65" i="21"/>
  <c r="I65" i="21"/>
  <c r="H65" i="21"/>
  <c r="K64" i="21"/>
  <c r="J64" i="21"/>
  <c r="I64" i="21"/>
  <c r="H64" i="21"/>
  <c r="K63" i="21"/>
  <c r="J63" i="21"/>
  <c r="I63" i="21"/>
  <c r="H63" i="21"/>
  <c r="K62" i="21"/>
  <c r="J62" i="21"/>
  <c r="I62" i="21"/>
  <c r="H62" i="21"/>
  <c r="K61" i="21"/>
  <c r="J61" i="21"/>
  <c r="I61" i="21"/>
  <c r="H61" i="21"/>
  <c r="K60" i="21"/>
  <c r="J60" i="21"/>
  <c r="I60" i="21"/>
  <c r="H60" i="21"/>
  <c r="K59" i="21"/>
  <c r="J59" i="21"/>
  <c r="I59" i="21"/>
  <c r="H59" i="21"/>
  <c r="K58" i="21"/>
  <c r="J58" i="21"/>
  <c r="I58" i="21"/>
  <c r="H58" i="21"/>
  <c r="K57" i="21"/>
  <c r="J57" i="21"/>
  <c r="I57" i="21"/>
  <c r="H57" i="21"/>
  <c r="K56" i="21"/>
  <c r="J56" i="21"/>
  <c r="I56" i="21"/>
  <c r="H56" i="21"/>
  <c r="K55" i="21"/>
  <c r="J55" i="21"/>
  <c r="I55" i="21"/>
  <c r="H55" i="21"/>
  <c r="K54" i="21"/>
  <c r="J54" i="21"/>
  <c r="I54" i="21"/>
  <c r="H54" i="21"/>
  <c r="K53" i="21"/>
  <c r="J53" i="21"/>
  <c r="I53" i="21"/>
  <c r="H53" i="21"/>
  <c r="K52" i="21"/>
  <c r="J52" i="21"/>
  <c r="I52" i="21"/>
  <c r="H52" i="21"/>
  <c r="K51" i="21"/>
  <c r="J51" i="21"/>
  <c r="I51" i="21"/>
  <c r="H51" i="21"/>
  <c r="K50" i="21"/>
  <c r="J50" i="21"/>
  <c r="I50" i="21"/>
  <c r="H50" i="21"/>
  <c r="K49" i="21"/>
  <c r="J49" i="21"/>
  <c r="I49" i="21"/>
  <c r="H49" i="21"/>
  <c r="K48" i="21"/>
  <c r="J48" i="21"/>
  <c r="I48" i="21"/>
  <c r="H48" i="21"/>
  <c r="K47" i="21"/>
  <c r="J47" i="21"/>
  <c r="I47" i="21"/>
  <c r="H47" i="21"/>
  <c r="K46" i="21"/>
  <c r="J46" i="21"/>
  <c r="I46" i="21"/>
  <c r="H46" i="21"/>
  <c r="K45" i="21"/>
  <c r="J45" i="21"/>
  <c r="I45" i="21"/>
  <c r="H45" i="21"/>
  <c r="K44" i="21"/>
  <c r="J44" i="21"/>
  <c r="I44" i="21"/>
  <c r="H44" i="21"/>
  <c r="K43" i="21"/>
  <c r="J43" i="21"/>
  <c r="I43" i="21"/>
  <c r="H43" i="21"/>
  <c r="K42" i="21"/>
  <c r="J42" i="21"/>
  <c r="I42" i="21"/>
  <c r="H42" i="21"/>
  <c r="K41" i="21"/>
  <c r="J41" i="21"/>
  <c r="I41" i="21"/>
  <c r="H41" i="21"/>
  <c r="K40" i="21"/>
  <c r="J40" i="21"/>
  <c r="I40" i="21"/>
  <c r="H40" i="21"/>
  <c r="K39" i="21"/>
  <c r="J39" i="21"/>
  <c r="I39" i="21"/>
  <c r="H39" i="21"/>
  <c r="K38" i="21"/>
  <c r="J38" i="21"/>
  <c r="I38" i="21"/>
  <c r="H38" i="21"/>
  <c r="K37" i="21"/>
  <c r="J37" i="21"/>
  <c r="I37" i="21"/>
  <c r="H37" i="21"/>
  <c r="K36" i="21"/>
  <c r="J36" i="21"/>
  <c r="I36" i="21"/>
  <c r="H36" i="21"/>
  <c r="K35" i="21"/>
  <c r="J35" i="21"/>
  <c r="I35" i="21"/>
  <c r="H35" i="21"/>
  <c r="K34" i="21"/>
  <c r="J34" i="21"/>
  <c r="I34" i="21"/>
  <c r="H34" i="21"/>
  <c r="K33" i="21"/>
  <c r="J33" i="21"/>
  <c r="I33" i="21"/>
  <c r="H33" i="21"/>
  <c r="K32" i="21"/>
  <c r="J32" i="21"/>
  <c r="I32" i="21"/>
  <c r="H32" i="21"/>
  <c r="K31" i="21"/>
  <c r="J31" i="21"/>
  <c r="I31" i="21"/>
  <c r="H31" i="21"/>
  <c r="K30" i="21"/>
  <c r="J30" i="21"/>
  <c r="I30" i="21"/>
  <c r="H30" i="21"/>
  <c r="K29" i="21"/>
  <c r="J29" i="21"/>
  <c r="I29" i="21"/>
  <c r="H29" i="21"/>
  <c r="K28" i="21"/>
  <c r="J28" i="21"/>
  <c r="I28" i="21"/>
  <c r="H28" i="21"/>
  <c r="K27" i="21"/>
  <c r="J27" i="21"/>
  <c r="I27" i="21"/>
  <c r="H27" i="21"/>
  <c r="K26" i="21"/>
  <c r="J26" i="21"/>
  <c r="I26" i="21"/>
  <c r="H26" i="21"/>
  <c r="K25" i="21"/>
  <c r="J25" i="21"/>
  <c r="I25" i="21"/>
  <c r="H25" i="21"/>
  <c r="K24" i="21"/>
  <c r="J24" i="21"/>
  <c r="I24" i="21"/>
  <c r="H24" i="21"/>
  <c r="K23" i="21"/>
  <c r="J23" i="21"/>
  <c r="I23" i="21"/>
  <c r="H23" i="21"/>
  <c r="K22" i="21"/>
  <c r="J22" i="21"/>
  <c r="I22" i="21"/>
  <c r="H22" i="21"/>
  <c r="K21" i="21"/>
  <c r="J21" i="21"/>
  <c r="I21" i="21"/>
  <c r="H21" i="21"/>
  <c r="K20" i="21"/>
  <c r="J20" i="21"/>
  <c r="I20" i="21"/>
  <c r="H20" i="21"/>
  <c r="K19" i="21"/>
  <c r="J19" i="21"/>
  <c r="I19" i="21"/>
  <c r="H19" i="21"/>
  <c r="K18" i="21"/>
  <c r="J18" i="21"/>
  <c r="I18" i="21"/>
  <c r="H18" i="21"/>
  <c r="K17" i="21"/>
  <c r="J17" i="21"/>
  <c r="I17" i="21"/>
  <c r="H17" i="21"/>
  <c r="K16" i="21"/>
  <c r="J16" i="21"/>
  <c r="I16" i="21"/>
  <c r="H16" i="21"/>
  <c r="K15" i="21"/>
  <c r="J15" i="21"/>
  <c r="I15" i="21"/>
  <c r="H15" i="21"/>
  <c r="K14" i="21"/>
  <c r="J14" i="21"/>
  <c r="I14" i="21"/>
  <c r="H14" i="21"/>
  <c r="K13" i="21"/>
  <c r="J13" i="21"/>
  <c r="I13" i="21"/>
  <c r="H13" i="21"/>
  <c r="K12" i="21"/>
  <c r="J12" i="21"/>
  <c r="I12" i="21"/>
  <c r="H12" i="21"/>
  <c r="K11" i="21"/>
  <c r="J11" i="21"/>
  <c r="I11" i="21"/>
  <c r="H11" i="21"/>
  <c r="K10" i="21"/>
  <c r="J10" i="21"/>
  <c r="I10" i="21"/>
  <c r="H10" i="21"/>
  <c r="K9" i="21"/>
  <c r="J9" i="21"/>
  <c r="I9" i="21"/>
  <c r="H9" i="21"/>
  <c r="K8" i="21"/>
  <c r="J8" i="21"/>
  <c r="I8" i="21"/>
  <c r="H8" i="21"/>
  <c r="K7" i="21"/>
  <c r="J7" i="21"/>
  <c r="I7" i="21"/>
  <c r="H7" i="21"/>
  <c r="K6" i="21"/>
  <c r="J6" i="21"/>
  <c r="I6" i="21"/>
  <c r="H6" i="21"/>
  <c r="P33" i="19"/>
  <c r="P67" i="19" s="1"/>
  <c r="O33" i="19"/>
  <c r="M33" i="19"/>
  <c r="N35" i="19" s="1"/>
  <c r="L33" i="19"/>
  <c r="K33" i="19"/>
  <c r="J33" i="19"/>
  <c r="G33" i="19"/>
  <c r="F33" i="19"/>
  <c r="E33" i="19"/>
  <c r="D33" i="19"/>
  <c r="R811" i="21"/>
  <c r="Q811" i="21"/>
  <c r="P811" i="21"/>
  <c r="O811" i="21"/>
  <c r="N811" i="21"/>
  <c r="M811" i="21"/>
  <c r="L811" i="21"/>
  <c r="K811" i="21"/>
  <c r="J811" i="21"/>
  <c r="I811" i="21"/>
  <c r="H811" i="21"/>
  <c r="G811" i="21"/>
  <c r="P93" i="19"/>
  <c r="O93" i="19"/>
  <c r="J93" i="19"/>
  <c r="I93" i="19"/>
  <c r="G93" i="19"/>
  <c r="F93" i="19"/>
  <c r="E93" i="19"/>
  <c r="D93" i="19"/>
  <c r="C93" i="19"/>
  <c r="B93" i="19"/>
  <c r="P79" i="19"/>
  <c r="O79" i="19"/>
  <c r="O111" i="19" s="1"/>
  <c r="O112" i="19" s="1"/>
  <c r="N111" i="19"/>
  <c r="N112" i="19" s="1"/>
  <c r="M111" i="19"/>
  <c r="M112" i="19" s="1"/>
  <c r="L79" i="19"/>
  <c r="L111" i="19" s="1"/>
  <c r="L112" i="19" s="1"/>
  <c r="K79" i="19"/>
  <c r="J79" i="19"/>
  <c r="J111" i="19" s="1"/>
  <c r="J112" i="19" s="1"/>
  <c r="F79" i="19"/>
  <c r="F111" i="19" s="1"/>
  <c r="F112" i="19" s="1"/>
  <c r="E79" i="19"/>
  <c r="E111" i="19" s="1"/>
  <c r="E112" i="19" s="1"/>
  <c r="D79" i="19"/>
  <c r="D111" i="19" s="1"/>
  <c r="C79" i="19"/>
  <c r="B79" i="19"/>
  <c r="B111" i="19" s="1"/>
  <c r="O67" i="19" l="1"/>
  <c r="P35" i="19"/>
  <c r="O35" i="19"/>
  <c r="J39" i="19"/>
  <c r="N39" i="19"/>
  <c r="G79" i="19"/>
  <c r="J81" i="19" s="1"/>
  <c r="G80" i="19"/>
  <c r="G35" i="19"/>
  <c r="J95" i="19"/>
  <c r="F95" i="19"/>
  <c r="J96" i="19"/>
  <c r="C111" i="19"/>
  <c r="F81" i="19"/>
  <c r="K111" i="19"/>
  <c r="K112" i="19" s="1"/>
  <c r="N81" i="19"/>
  <c r="D36" i="12"/>
  <c r="M36" i="12" s="1"/>
  <c r="H30" i="12"/>
  <c r="O30" i="12" s="1"/>
  <c r="E37" i="12"/>
  <c r="S811" i="21"/>
  <c r="B64" i="19"/>
  <c r="K35" i="19"/>
  <c r="M35" i="19"/>
  <c r="E35" i="19"/>
  <c r="F35" i="19"/>
  <c r="C33" i="19"/>
  <c r="I33" i="19"/>
  <c r="L35" i="19"/>
  <c r="H35" i="19"/>
  <c r="B33" i="19"/>
  <c r="F39" i="19" s="1"/>
  <c r="B17" i="19"/>
  <c r="M9" i="12"/>
  <c r="M8" i="12"/>
  <c r="O9" i="12"/>
  <c r="O10" i="12"/>
  <c r="M12" i="12"/>
  <c r="O11" i="12"/>
  <c r="B13" i="19"/>
  <c r="M10" i="12"/>
  <c r="M11" i="12"/>
  <c r="O12" i="12"/>
  <c r="H82" i="12"/>
  <c r="C17" i="19"/>
  <c r="C13" i="19"/>
  <c r="E39" i="12"/>
  <c r="D42" i="12"/>
  <c r="M42" i="12" s="1"/>
  <c r="F30" i="12"/>
  <c r="E86" i="12"/>
  <c r="C86" i="12"/>
  <c r="E42" i="12"/>
  <c r="E38" i="12"/>
  <c r="C39" i="12"/>
  <c r="E32" i="12"/>
  <c r="D30" i="12"/>
  <c r="E36" i="12"/>
  <c r="B38" i="12"/>
  <c r="H36" i="12"/>
  <c r="H87" i="12"/>
  <c r="G86" i="12"/>
  <c r="C37" i="12"/>
  <c r="G38" i="12"/>
  <c r="C30" i="12"/>
  <c r="C40" i="12"/>
  <c r="D41" i="12"/>
  <c r="H38" i="12"/>
  <c r="B41" i="12"/>
  <c r="G87" i="12"/>
  <c r="B40" i="12"/>
  <c r="H40" i="12"/>
  <c r="D86" i="12"/>
  <c r="C87" i="12"/>
  <c r="D39" i="12"/>
  <c r="F37" i="12"/>
  <c r="B32" i="12"/>
  <c r="H41" i="12"/>
  <c r="G41" i="12"/>
  <c r="G36" i="12"/>
  <c r="B36" i="12"/>
  <c r="D32" i="12"/>
  <c r="B87" i="12"/>
  <c r="F36" i="12"/>
  <c r="D38" i="12"/>
  <c r="F38" i="12"/>
  <c r="F39" i="12"/>
  <c r="F32" i="12"/>
  <c r="H39" i="12"/>
  <c r="G40" i="12"/>
  <c r="B30" i="12"/>
  <c r="B86" i="12"/>
  <c r="C42" i="12"/>
  <c r="G39" i="12"/>
  <c r="D40" i="12"/>
  <c r="H37" i="12"/>
  <c r="H86" i="12"/>
  <c r="F86" i="12"/>
  <c r="B42" i="12"/>
  <c r="G32" i="12"/>
  <c r="E40" i="12"/>
  <c r="C38" i="12"/>
  <c r="G42" i="12"/>
  <c r="B37" i="12"/>
  <c r="F87" i="12"/>
  <c r="F92" i="12" s="1"/>
  <c r="F40" i="12"/>
  <c r="C32" i="12"/>
  <c r="C36" i="12"/>
  <c r="H42" i="12"/>
  <c r="O42" i="12" s="1"/>
  <c r="F41" i="12"/>
  <c r="E87" i="12"/>
  <c r="D87" i="12"/>
  <c r="D37" i="12"/>
  <c r="E30" i="12"/>
  <c r="F42" i="12"/>
  <c r="B39" i="12"/>
  <c r="C41" i="12"/>
  <c r="C49" i="12" s="1"/>
  <c r="E41" i="12"/>
  <c r="G37" i="12"/>
  <c r="H32" i="12"/>
  <c r="E45" i="12"/>
  <c r="G30" i="12"/>
  <c r="G111" i="19" l="1"/>
  <c r="G112" i="19" s="1"/>
  <c r="J82" i="19"/>
  <c r="N37" i="19"/>
  <c r="G45" i="12"/>
  <c r="F49" i="12"/>
  <c r="C46" i="12"/>
  <c r="F46" i="12"/>
  <c r="G92" i="12"/>
  <c r="G91" i="12"/>
  <c r="F91" i="12"/>
  <c r="C19" i="19"/>
  <c r="B19" i="19"/>
  <c r="J35" i="19"/>
  <c r="B66" i="19"/>
  <c r="B65" i="19" s="1"/>
  <c r="B67" i="19" s="1"/>
  <c r="D35" i="19"/>
  <c r="I35" i="19"/>
  <c r="J37" i="19" s="1"/>
  <c r="C35" i="19"/>
  <c r="F44" i="12"/>
  <c r="F45" i="12"/>
  <c r="C91" i="12"/>
  <c r="C45" i="12"/>
  <c r="N12" i="12"/>
  <c r="L9" i="12"/>
  <c r="L11" i="12"/>
  <c r="F15" i="12"/>
  <c r="B15" i="12"/>
  <c r="H81" i="12"/>
  <c r="N11" i="12"/>
  <c r="M13" i="12"/>
  <c r="C98" i="12" s="1"/>
  <c r="I8" i="12"/>
  <c r="G19" i="12" s="1"/>
  <c r="G13" i="12"/>
  <c r="C13" i="12"/>
  <c r="N8" i="12"/>
  <c r="M15" i="12"/>
  <c r="L8" i="12"/>
  <c r="I9" i="12"/>
  <c r="H20" i="12" s="1"/>
  <c r="H13" i="12"/>
  <c r="I10" i="12"/>
  <c r="F21" i="12" s="1"/>
  <c r="L10" i="12"/>
  <c r="D13" i="12"/>
  <c r="I12" i="12"/>
  <c r="F23" i="12" s="1"/>
  <c r="L12" i="12"/>
  <c r="H78" i="12"/>
  <c r="F13" i="12"/>
  <c r="D15" i="12"/>
  <c r="O8" i="12"/>
  <c r="O80" i="12" s="1"/>
  <c r="H15" i="12"/>
  <c r="E15" i="12"/>
  <c r="N9" i="12"/>
  <c r="N10" i="12"/>
  <c r="I11" i="12"/>
  <c r="C22" i="12" s="1"/>
  <c r="H80" i="12"/>
  <c r="B13" i="12"/>
  <c r="E13" i="12"/>
  <c r="H79" i="12"/>
  <c r="C15" i="12"/>
  <c r="G15" i="12"/>
  <c r="G49" i="12"/>
  <c r="C55" i="12"/>
  <c r="C47" i="12"/>
  <c r="C56" i="12"/>
  <c r="C54" i="12"/>
  <c r="C57" i="12"/>
  <c r="C58" i="12"/>
  <c r="O41" i="12"/>
  <c r="O49" i="12" s="1"/>
  <c r="H49" i="12"/>
  <c r="N38" i="12"/>
  <c r="E46" i="12"/>
  <c r="N37" i="12"/>
  <c r="H92" i="12"/>
  <c r="O87" i="12"/>
  <c r="E57" i="12"/>
  <c r="E56" i="12"/>
  <c r="E47" i="12"/>
  <c r="E54" i="12"/>
  <c r="N39" i="12"/>
  <c r="E58" i="12"/>
  <c r="E55" i="12"/>
  <c r="B55" i="12"/>
  <c r="B58" i="12"/>
  <c r="B56" i="12"/>
  <c r="I39" i="12"/>
  <c r="B57" i="12"/>
  <c r="B54" i="12"/>
  <c r="L39" i="12"/>
  <c r="B47" i="12"/>
  <c r="G71" i="12"/>
  <c r="G34" i="12"/>
  <c r="G73" i="12"/>
  <c r="G70" i="12"/>
  <c r="G74" i="12"/>
  <c r="G72" i="12"/>
  <c r="L86" i="12"/>
  <c r="B91" i="12"/>
  <c r="I86" i="12"/>
  <c r="O36" i="12"/>
  <c r="O44" i="12" s="1"/>
  <c r="H44" i="12"/>
  <c r="C74" i="12"/>
  <c r="C34" i="12"/>
  <c r="C71" i="12"/>
  <c r="C72" i="12"/>
  <c r="C70" i="12"/>
  <c r="C73" i="12"/>
  <c r="I42" i="12"/>
  <c r="L42" i="12"/>
  <c r="B79" i="12"/>
  <c r="B81" i="12"/>
  <c r="L30" i="12"/>
  <c r="I30" i="12"/>
  <c r="B31" i="12" s="1"/>
  <c r="B78" i="12"/>
  <c r="B80" i="12"/>
  <c r="B82" i="12"/>
  <c r="B92" i="12"/>
  <c r="I87" i="12"/>
  <c r="L87" i="12"/>
  <c r="M39" i="12"/>
  <c r="D56" i="12"/>
  <c r="D55" i="12"/>
  <c r="D54" i="12"/>
  <c r="D58" i="12"/>
  <c r="D47" i="12"/>
  <c r="D57" i="12"/>
  <c r="M41" i="12"/>
  <c r="M49" i="12" s="1"/>
  <c r="D49" i="12"/>
  <c r="I38" i="12"/>
  <c r="L38" i="12"/>
  <c r="B46" i="12"/>
  <c r="E91" i="12"/>
  <c r="N86" i="12"/>
  <c r="E78" i="12"/>
  <c r="E81" i="12"/>
  <c r="N30" i="12"/>
  <c r="E80" i="12"/>
  <c r="E31" i="12"/>
  <c r="E82" i="12"/>
  <c r="E79" i="12"/>
  <c r="F48" i="12"/>
  <c r="G48" i="12"/>
  <c r="M32" i="12"/>
  <c r="D72" i="12"/>
  <c r="D73" i="12"/>
  <c r="D70" i="12"/>
  <c r="D74" i="12"/>
  <c r="D34" i="12"/>
  <c r="D71" i="12"/>
  <c r="C92" i="12"/>
  <c r="C48" i="12"/>
  <c r="N36" i="12"/>
  <c r="E44" i="12"/>
  <c r="F80" i="12"/>
  <c r="F82" i="12"/>
  <c r="F81" i="12"/>
  <c r="F78" i="12"/>
  <c r="F79" i="12"/>
  <c r="M40" i="12"/>
  <c r="M48" i="12" s="1"/>
  <c r="D48" i="12"/>
  <c r="D46" i="12"/>
  <c r="M38" i="12"/>
  <c r="M46" i="12" s="1"/>
  <c r="L41" i="12"/>
  <c r="I41" i="12"/>
  <c r="I49" i="12" s="1"/>
  <c r="B49" i="12"/>
  <c r="C79" i="12"/>
  <c r="C80" i="12"/>
  <c r="C81" i="12"/>
  <c r="C82" i="12"/>
  <c r="C78" i="12"/>
  <c r="D82" i="12"/>
  <c r="D31" i="12"/>
  <c r="D78" i="12"/>
  <c r="M30" i="12"/>
  <c r="D80" i="12"/>
  <c r="D81" i="12"/>
  <c r="D79" i="12"/>
  <c r="M44" i="12"/>
  <c r="N87" i="12"/>
  <c r="E92" i="12"/>
  <c r="F57" i="12"/>
  <c r="F58" i="12"/>
  <c r="F55" i="12"/>
  <c r="F56" i="12"/>
  <c r="F47" i="12"/>
  <c r="F54" i="12"/>
  <c r="L40" i="12"/>
  <c r="B48" i="12"/>
  <c r="I40" i="12"/>
  <c r="I48" i="12" s="1"/>
  <c r="N41" i="12"/>
  <c r="E49" i="12"/>
  <c r="G54" i="12"/>
  <c r="G56" i="12"/>
  <c r="G58" i="12"/>
  <c r="G57" i="12"/>
  <c r="G47" i="12"/>
  <c r="G55" i="12"/>
  <c r="E48" i="12"/>
  <c r="N40" i="12"/>
  <c r="B70" i="12"/>
  <c r="B34" i="12"/>
  <c r="L32" i="12"/>
  <c r="B71" i="12"/>
  <c r="B73" i="12"/>
  <c r="I32" i="12"/>
  <c r="G33" i="12" s="1"/>
  <c r="B72" i="12"/>
  <c r="B74" i="12"/>
  <c r="N42" i="12"/>
  <c r="H72" i="12"/>
  <c r="H71" i="12"/>
  <c r="H70" i="12"/>
  <c r="O32" i="12"/>
  <c r="H34" i="12"/>
  <c r="H73" i="12"/>
  <c r="H74" i="12"/>
  <c r="C44" i="12"/>
  <c r="H46" i="12"/>
  <c r="O38" i="12"/>
  <c r="O46" i="12" s="1"/>
  <c r="M37" i="12"/>
  <c r="M45" i="12" s="1"/>
  <c r="D45" i="12"/>
  <c r="H91" i="12"/>
  <c r="O86" i="12"/>
  <c r="O91" i="12" s="1"/>
  <c r="E104" i="12" s="1"/>
  <c r="H58" i="12"/>
  <c r="H56" i="12"/>
  <c r="H55" i="12"/>
  <c r="H57" i="12"/>
  <c r="H47" i="12"/>
  <c r="O39" i="12"/>
  <c r="H54" i="12"/>
  <c r="L36" i="12"/>
  <c r="B44" i="12"/>
  <c r="I36" i="12"/>
  <c r="I44" i="12" s="1"/>
  <c r="M86" i="12"/>
  <c r="D91" i="12"/>
  <c r="G78" i="12"/>
  <c r="G82" i="12"/>
  <c r="G31" i="12"/>
  <c r="G80" i="12"/>
  <c r="G79" i="12"/>
  <c r="G81" i="12"/>
  <c r="M87" i="12"/>
  <c r="D92" i="12"/>
  <c r="B45" i="12"/>
  <c r="L37" i="12"/>
  <c r="I37" i="12"/>
  <c r="I45" i="12" s="1"/>
  <c r="O37" i="12"/>
  <c r="O45" i="12" s="1"/>
  <c r="H45" i="12"/>
  <c r="F70" i="12"/>
  <c r="F74" i="12"/>
  <c r="F34" i="12"/>
  <c r="F72" i="12"/>
  <c r="F73" i="12"/>
  <c r="F71" i="12"/>
  <c r="G44" i="12"/>
  <c r="O40" i="12"/>
  <c r="O48" i="12" s="1"/>
  <c r="H48" i="12"/>
  <c r="G46" i="12"/>
  <c r="E71" i="12"/>
  <c r="E72" i="12"/>
  <c r="N32" i="12"/>
  <c r="E74" i="12"/>
  <c r="E34" i="12"/>
  <c r="E70" i="12"/>
  <c r="E73" i="12"/>
  <c r="D44" i="12"/>
  <c r="J38" i="19" l="1"/>
  <c r="F37" i="19"/>
  <c r="N49" i="12"/>
  <c r="F33" i="12"/>
  <c r="H66" i="19"/>
  <c r="H65" i="19" s="1"/>
  <c r="H67" i="19" s="1"/>
  <c r="N66" i="19"/>
  <c r="N65" i="19" s="1"/>
  <c r="N67" i="19" s="1"/>
  <c r="M66" i="19"/>
  <c r="M65" i="19" s="1"/>
  <c r="E66" i="19"/>
  <c r="E65" i="19" s="1"/>
  <c r="E67" i="19" s="1"/>
  <c r="L66" i="19"/>
  <c r="L65" i="19" s="1"/>
  <c r="L67" i="19" s="1"/>
  <c r="D66" i="19"/>
  <c r="D65" i="19" s="1"/>
  <c r="D67" i="19" s="1"/>
  <c r="K66" i="19"/>
  <c r="K65" i="19" s="1"/>
  <c r="K67" i="19" s="1"/>
  <c r="C66" i="19"/>
  <c r="C65" i="19" s="1"/>
  <c r="C67" i="19" s="1"/>
  <c r="J66" i="19"/>
  <c r="J65" i="19" s="1"/>
  <c r="J67" i="19" s="1"/>
  <c r="I66" i="19"/>
  <c r="I65" i="19" s="1"/>
  <c r="I67" i="19" s="1"/>
  <c r="G66" i="19"/>
  <c r="G65" i="19" s="1"/>
  <c r="G67" i="19" s="1"/>
  <c r="F66" i="19"/>
  <c r="F65" i="19" s="1"/>
  <c r="F67" i="19" s="1"/>
  <c r="I46" i="12"/>
  <c r="C33" i="12"/>
  <c r="I91" i="12"/>
  <c r="I92" i="12"/>
  <c r="E33" i="12"/>
  <c r="N48" i="12"/>
  <c r="N92" i="12"/>
  <c r="D105" i="12" s="1"/>
  <c r="H33" i="12"/>
  <c r="D33" i="12"/>
  <c r="N45" i="12"/>
  <c r="P11" i="12"/>
  <c r="M22" i="12" s="1"/>
  <c r="P12" i="12"/>
  <c r="P23" i="12" s="1"/>
  <c r="P9" i="12"/>
  <c r="O20" i="12" s="1"/>
  <c r="I19" i="12"/>
  <c r="C19" i="12"/>
  <c r="D20" i="12"/>
  <c r="L13" i="12"/>
  <c r="B98" i="12" s="1"/>
  <c r="B19" i="12"/>
  <c r="I20" i="12"/>
  <c r="D19" i="12"/>
  <c r="F19" i="12"/>
  <c r="E20" i="12"/>
  <c r="B21" i="12"/>
  <c r="E19" i="12"/>
  <c r="H19" i="12"/>
  <c r="O78" i="12"/>
  <c r="E102" i="12" s="1"/>
  <c r="O81" i="12"/>
  <c r="O79" i="12"/>
  <c r="O82" i="12"/>
  <c r="D23" i="12"/>
  <c r="I23" i="12"/>
  <c r="B23" i="12"/>
  <c r="E23" i="12"/>
  <c r="G23" i="12"/>
  <c r="F20" i="12"/>
  <c r="N15" i="12"/>
  <c r="O15" i="12"/>
  <c r="O13" i="12"/>
  <c r="E98" i="12" s="1"/>
  <c r="L15" i="12"/>
  <c r="P8" i="12"/>
  <c r="I13" i="12"/>
  <c r="N13" i="12"/>
  <c r="D98" i="12" s="1"/>
  <c r="G20" i="12"/>
  <c r="P10" i="12"/>
  <c r="H21" i="12"/>
  <c r="G21" i="12"/>
  <c r="B20" i="12"/>
  <c r="H23" i="12"/>
  <c r="I15" i="12"/>
  <c r="C26" i="12" s="1"/>
  <c r="C20" i="12"/>
  <c r="I22" i="12"/>
  <c r="B22" i="12"/>
  <c r="F22" i="12"/>
  <c r="H22" i="12"/>
  <c r="G22" i="12"/>
  <c r="E22" i="12"/>
  <c r="C21" i="12"/>
  <c r="E21" i="12"/>
  <c r="I21" i="12"/>
  <c r="D21" i="12"/>
  <c r="D22" i="12"/>
  <c r="C23" i="12"/>
  <c r="P39" i="12"/>
  <c r="L58" i="12"/>
  <c r="L54" i="12"/>
  <c r="B100" i="12" s="1"/>
  <c r="L57" i="12"/>
  <c r="L55" i="12"/>
  <c r="L56" i="12"/>
  <c r="L47" i="12"/>
  <c r="N70" i="12"/>
  <c r="D101" i="12" s="1"/>
  <c r="N72" i="12"/>
  <c r="N34" i="12"/>
  <c r="N74" i="12"/>
  <c r="N73" i="12"/>
  <c r="N71" i="12"/>
  <c r="L71" i="12"/>
  <c r="L73" i="12"/>
  <c r="L72" i="12"/>
  <c r="L34" i="12"/>
  <c r="P32" i="12"/>
  <c r="L33" i="12" s="1"/>
  <c r="L70" i="12"/>
  <c r="B101" i="12" s="1"/>
  <c r="L74" i="12"/>
  <c r="N91" i="12"/>
  <c r="D104" i="12" s="1"/>
  <c r="L45" i="12"/>
  <c r="P37" i="12"/>
  <c r="P36" i="12"/>
  <c r="L44" i="12"/>
  <c r="M82" i="12"/>
  <c r="M81" i="12"/>
  <c r="M79" i="12"/>
  <c r="M80" i="12"/>
  <c r="M78" i="12"/>
  <c r="C102" i="12" s="1"/>
  <c r="N44" i="12"/>
  <c r="P42" i="12"/>
  <c r="N57" i="12"/>
  <c r="N47" i="12"/>
  <c r="N58" i="12"/>
  <c r="N54" i="12"/>
  <c r="D100" i="12" s="1"/>
  <c r="N56" i="12"/>
  <c r="N55" i="12"/>
  <c r="B33" i="12"/>
  <c r="N78" i="12"/>
  <c r="D102" i="12" s="1"/>
  <c r="N82" i="12"/>
  <c r="N79" i="12"/>
  <c r="N81" i="12"/>
  <c r="N80" i="12"/>
  <c r="I58" i="12"/>
  <c r="I47" i="12"/>
  <c r="I56" i="12"/>
  <c r="I54" i="12"/>
  <c r="I55" i="12"/>
  <c r="I57" i="12"/>
  <c r="O47" i="12"/>
  <c r="O57" i="12"/>
  <c r="O55" i="12"/>
  <c r="O56" i="12"/>
  <c r="O58" i="12"/>
  <c r="O54" i="12"/>
  <c r="E100" i="12" s="1"/>
  <c r="M74" i="12"/>
  <c r="M72" i="12"/>
  <c r="M73" i="12"/>
  <c r="M70" i="12"/>
  <c r="C101" i="12" s="1"/>
  <c r="M71" i="12"/>
  <c r="M34" i="12"/>
  <c r="P38" i="12"/>
  <c r="L46" i="12"/>
  <c r="M92" i="12"/>
  <c r="C105" i="12" s="1"/>
  <c r="I79" i="12"/>
  <c r="I81" i="12"/>
  <c r="I78" i="12"/>
  <c r="I80" i="12"/>
  <c r="I82" i="12"/>
  <c r="I31" i="12"/>
  <c r="H31" i="12"/>
  <c r="O70" i="12"/>
  <c r="E101" i="12" s="1"/>
  <c r="O72" i="12"/>
  <c r="O71" i="12"/>
  <c r="O74" i="12"/>
  <c r="O73" i="12"/>
  <c r="O34" i="12"/>
  <c r="I70" i="12"/>
  <c r="I34" i="12"/>
  <c r="I74" i="12"/>
  <c r="I33" i="12"/>
  <c r="I72" i="12"/>
  <c r="I71" i="12"/>
  <c r="I73" i="12"/>
  <c r="L49" i="12"/>
  <c r="P41" i="12"/>
  <c r="M54" i="12"/>
  <c r="C100" i="12" s="1"/>
  <c r="M55" i="12"/>
  <c r="M57" i="12"/>
  <c r="M56" i="12"/>
  <c r="M58" i="12"/>
  <c r="M47" i="12"/>
  <c r="L80" i="12"/>
  <c r="L81" i="12"/>
  <c r="L79" i="12"/>
  <c r="P30" i="12"/>
  <c r="M31" i="12" s="1"/>
  <c r="L82" i="12"/>
  <c r="L78" i="12"/>
  <c r="B102" i="12" s="1"/>
  <c r="M91" i="12"/>
  <c r="C104" i="12" s="1"/>
  <c r="C31" i="12"/>
  <c r="F31" i="12"/>
  <c r="P87" i="12"/>
  <c r="L92" i="12"/>
  <c r="B105" i="12" s="1"/>
  <c r="L91" i="12"/>
  <c r="B104" i="12" s="1"/>
  <c r="P86" i="12"/>
  <c r="O92" i="12"/>
  <c r="E105" i="12" s="1"/>
  <c r="N46" i="12"/>
  <c r="P40" i="12"/>
  <c r="P48" i="12" s="1"/>
  <c r="L48" i="12"/>
  <c r="O33" i="12" l="1"/>
  <c r="M67" i="19"/>
  <c r="N31" i="12"/>
  <c r="P92" i="12"/>
  <c r="F105" i="12" s="1"/>
  <c r="P45" i="12"/>
  <c r="N33" i="12"/>
  <c r="L31" i="12"/>
  <c r="P91" i="12"/>
  <c r="F104" i="12" s="1"/>
  <c r="P49" i="12"/>
  <c r="M33" i="12"/>
  <c r="P22" i="12"/>
  <c r="L22" i="12"/>
  <c r="N22" i="12"/>
  <c r="O22" i="12"/>
  <c r="N20" i="12"/>
  <c r="L20" i="12"/>
  <c r="L23" i="12"/>
  <c r="M23" i="12"/>
  <c r="O23" i="12"/>
  <c r="M20" i="12"/>
  <c r="N23" i="12"/>
  <c r="P20" i="12"/>
  <c r="P13" i="12"/>
  <c r="P24" i="12" s="1"/>
  <c r="P15" i="12"/>
  <c r="N26" i="12" s="1"/>
  <c r="F26" i="12"/>
  <c r="B26" i="12"/>
  <c r="E26" i="12"/>
  <c r="H26" i="12"/>
  <c r="D24" i="12"/>
  <c r="G24" i="12"/>
  <c r="I24" i="12"/>
  <c r="C24" i="12"/>
  <c r="B24" i="12"/>
  <c r="F24" i="12"/>
  <c r="E24" i="12"/>
  <c r="D26" i="12"/>
  <c r="N19" i="12"/>
  <c r="M19" i="12"/>
  <c r="P19" i="12"/>
  <c r="O19" i="12"/>
  <c r="L19" i="12"/>
  <c r="H24" i="12"/>
  <c r="I26" i="12"/>
  <c r="G26" i="12"/>
  <c r="M21" i="12"/>
  <c r="O21" i="12"/>
  <c r="L21" i="12"/>
  <c r="N21" i="12"/>
  <c r="P21" i="12"/>
  <c r="P55" i="12"/>
  <c r="P56" i="12"/>
  <c r="P58" i="12"/>
  <c r="P57" i="12"/>
  <c r="P54" i="12"/>
  <c r="F100" i="12" s="1"/>
  <c r="P47" i="12"/>
  <c r="P46" i="12"/>
  <c r="P81" i="12"/>
  <c r="P79" i="12"/>
  <c r="P31" i="12"/>
  <c r="P82" i="12"/>
  <c r="P80" i="12"/>
  <c r="P78" i="12"/>
  <c r="F102" i="12" s="1"/>
  <c r="O31" i="12"/>
  <c r="P44" i="12"/>
  <c r="P72" i="12"/>
  <c r="P74" i="12"/>
  <c r="P71" i="12"/>
  <c r="P34" i="12"/>
  <c r="P73" i="12"/>
  <c r="P33" i="12"/>
  <c r="P70" i="12"/>
  <c r="F101" i="12" s="1"/>
  <c r="L24" i="12" l="1"/>
  <c r="O24" i="12"/>
  <c r="O26" i="12"/>
  <c r="M24" i="12"/>
  <c r="N24" i="12"/>
  <c r="F98" i="12"/>
  <c r="M26" i="12"/>
  <c r="P26" i="12"/>
  <c r="L2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<sst xmlns="http://schemas.openxmlformats.org/spreadsheetml/2006/main" count="26919" uniqueCount="1893">
  <si>
    <t>Bikeways Dashboard</t>
  </si>
  <si>
    <t>CDOT Bike Program</t>
  </si>
  <si>
    <t>Total Network</t>
  </si>
  <si>
    <t>Miles</t>
  </si>
  <si>
    <t>Centerline</t>
  </si>
  <si>
    <t>Lane</t>
  </si>
  <si>
    <t>Protected Bike Lanes</t>
  </si>
  <si>
    <t>PROTECTED BIKE LANE</t>
  </si>
  <si>
    <t>Buffered Bike Lanes</t>
  </si>
  <si>
    <t>BUFFERED BIKE LANE</t>
  </si>
  <si>
    <t>Bike Lanes</t>
  </si>
  <si>
    <t>BIKE LANE</t>
  </si>
  <si>
    <t>Neighborhood Greenways</t>
  </si>
  <si>
    <t>NEIGHBORHOOD GREENWAY</t>
  </si>
  <si>
    <t>Marked Shared Lanes</t>
  </si>
  <si>
    <t>SHARED-LANE</t>
  </si>
  <si>
    <t>TOTAL ON-STREET</t>
  </si>
  <si>
    <t>Off Street Trail</t>
  </si>
  <si>
    <t>OFF-STREET TRAIL</t>
  </si>
  <si>
    <t>Access Path</t>
  </si>
  <si>
    <t>ACCESS PATH</t>
  </si>
  <si>
    <t>TOTAL TRAILS</t>
  </si>
  <si>
    <t>TOTAL NETWORK</t>
  </si>
  <si>
    <t>Bikeways</t>
  </si>
  <si>
    <t>Emanuel 1</t>
  </si>
  <si>
    <t>Emanuel 2</t>
  </si>
  <si>
    <t>Lightfoot 1</t>
  </si>
  <si>
    <t>Johnson 1</t>
  </si>
  <si>
    <t>Total Network by Year</t>
  </si>
  <si>
    <t>Centerline Miles</t>
  </si>
  <si>
    <t>1. Bikeways</t>
  </si>
  <si>
    <t>2010 Best Guess/2011 Year in Review existing network</t>
  </si>
  <si>
    <t>2011-2015, 2017 Year in Reviews (YiR mileage are estimates)</t>
  </si>
  <si>
    <t>2016 Best Guess</t>
  </si>
  <si>
    <t>Installs</t>
  </si>
  <si>
    <t>2017 +0.6 Dearborn - River to Chicago BBL Upgrade</t>
  </si>
  <si>
    <t>Annual Miles Installed (centerline) (new &amp; restriped)</t>
  </si>
  <si>
    <t>2018 - updated with actual installations installed</t>
  </si>
  <si>
    <t>Annual Miles Installed (lane) (new &amp; restriped)</t>
  </si>
  <si>
    <t>TOTAL</t>
  </si>
  <si>
    <t>Spending</t>
  </si>
  <si>
    <t>Average Age</t>
  </si>
  <si>
    <r>
      <rPr>
        <b/>
        <sz val="11"/>
        <color theme="1"/>
        <rFont val="Calibri"/>
        <family val="2"/>
        <scheme val="minor"/>
      </rPr>
      <t>Network Growth</t>
    </r>
    <r>
      <rPr>
        <sz val="11"/>
        <color theme="1"/>
        <rFont val="Calibri"/>
        <family val="2"/>
        <scheme val="minor"/>
      </rPr>
      <t xml:space="preserve"> (Change from Prev Yr)</t>
    </r>
  </si>
  <si>
    <t>Population within 1/2 mile of Bikeway</t>
  </si>
  <si>
    <t>E1 Average</t>
  </si>
  <si>
    <t>E2 Average</t>
  </si>
  <si>
    <t>L1 Average</t>
  </si>
  <si>
    <t>2. Mode Share</t>
  </si>
  <si>
    <t>E1+2 Average</t>
  </si>
  <si>
    <t>3. Crashes</t>
  </si>
  <si>
    <t>Annual Crashes by Mode &amp; Severity</t>
  </si>
  <si>
    <t>Total Network by Year with Trails</t>
  </si>
  <si>
    <t>Crashes per 10,000 bike commuters</t>
  </si>
  <si>
    <t>Off-Street Trails</t>
  </si>
  <si>
    <t>Other Bikeways</t>
  </si>
  <si>
    <t>Low Stress</t>
  </si>
  <si>
    <t>Low-Stress Buildout Over Baseline</t>
  </si>
  <si>
    <t>Low-Stress</t>
  </si>
  <si>
    <t>2010 Baseline</t>
  </si>
  <si>
    <t>Annual Centerline Miles Installed</t>
  </si>
  <si>
    <t>New/Upgraded</t>
  </si>
  <si>
    <t>2011-2015, 2017 Year in Reviews, 2016 Overview Tab</t>
  </si>
  <si>
    <t>2011-2019</t>
  </si>
  <si>
    <t>2020-2022</t>
  </si>
  <si>
    <t>TRAILS</t>
  </si>
  <si>
    <t>Restriped</t>
  </si>
  <si>
    <t>2022 is estimate from work plan</t>
  </si>
  <si>
    <t>Annual Bikeways Spending</t>
  </si>
  <si>
    <t>Total Annual Bikeway Spending</t>
  </si>
  <si>
    <t>Restriping</t>
  </si>
  <si>
    <t>Average / Mile Cost</t>
  </si>
  <si>
    <t>Assumption Source</t>
  </si>
  <si>
    <t>Bud Hearing</t>
  </si>
  <si>
    <t>Work Plan</t>
  </si>
  <si>
    <t>Age per Centerline Mile</t>
  </si>
  <si>
    <t>Age per Lane Mile</t>
  </si>
  <si>
    <t>% of Population within 1/2 Mile of Bike Facility</t>
  </si>
  <si>
    <t>All Bikeways</t>
  </si>
  <si>
    <t>Greater than MSL</t>
  </si>
  <si>
    <t>Low-Stress (PBL &amp; NG)</t>
  </si>
  <si>
    <t>Mode Share</t>
  </si>
  <si>
    <t>Commute to Work Mode Share</t>
  </si>
  <si>
    <t>One-Year ACS</t>
  </si>
  <si>
    <t>2015 - 2019</t>
  </si>
  <si>
    <t>Total Commuters</t>
  </si>
  <si>
    <t>Percentage of Commuters</t>
  </si>
  <si>
    <t>Walk</t>
  </si>
  <si>
    <t>Bike</t>
  </si>
  <si>
    <t>Public Transit</t>
  </si>
  <si>
    <t>Drive</t>
  </si>
  <si>
    <t>Drive Alone</t>
  </si>
  <si>
    <t>Work from Home</t>
  </si>
  <si>
    <t>Total Non-Auto</t>
  </si>
  <si>
    <t>Number of Commuters</t>
  </si>
  <si>
    <t>Crashes</t>
  </si>
  <si>
    <t>Chicago Bike Network</t>
  </si>
  <si>
    <t>Date of GIS export</t>
  </si>
  <si>
    <t>Formula for MI_LANE</t>
  </si>
  <si>
    <t>FID</t>
  </si>
  <si>
    <t>STREET</t>
  </si>
  <si>
    <t>PRE_DIR</t>
  </si>
  <si>
    <t>ST_NAME</t>
  </si>
  <si>
    <t>ST_TYPE</t>
  </si>
  <si>
    <t>ONEWAY_DIR</t>
  </si>
  <si>
    <t>L_F_ADDR</t>
  </si>
  <si>
    <t>R_F_ADDR</t>
  </si>
  <si>
    <t>F_STREET</t>
  </si>
  <si>
    <t>L_T_ADDR</t>
  </si>
  <si>
    <t>R_T_ADDR</t>
  </si>
  <si>
    <t>T_STREET</t>
  </si>
  <si>
    <t>CLASS</t>
  </si>
  <si>
    <t>BIKEROUTE</t>
  </si>
  <si>
    <t>INST_TYPE</t>
  </si>
  <si>
    <t>PROJECT_ID</t>
  </si>
  <si>
    <t>INST_PRO</t>
  </si>
  <si>
    <t>INST_YR</t>
  </si>
  <si>
    <t>INST_MO</t>
  </si>
  <si>
    <t>INST_NOTES</t>
  </si>
  <si>
    <t>MAIN_PRO</t>
  </si>
  <si>
    <t>MAIN_YR</t>
  </si>
  <si>
    <t>MAIN_MO</t>
  </si>
  <si>
    <t>MAIN_NOTES</t>
  </si>
  <si>
    <t>RESTRIPED</t>
  </si>
  <si>
    <t>RESURFACED</t>
  </si>
  <si>
    <t>MI_CTRLINE</t>
  </si>
  <si>
    <t>MI_LANE</t>
  </si>
  <si>
    <t>BR_NAME</t>
  </si>
  <si>
    <t>BR_ONEWAY</t>
  </si>
  <si>
    <t>BR_OW_DIR</t>
  </si>
  <si>
    <t>CONTRAFLOW</t>
  </si>
  <si>
    <t>PBL_ADJ_TW</t>
  </si>
  <si>
    <t>PBL_PROTEC</t>
  </si>
  <si>
    <t>PASSING</t>
  </si>
  <si>
    <t>CONC_PVMT</t>
  </si>
  <si>
    <t>CONC_YR</t>
  </si>
  <si>
    <t>EQUITY_N</t>
  </si>
  <si>
    <t>EQUITY_NW</t>
  </si>
  <si>
    <t>EQUITY_W</t>
  </si>
  <si>
    <t>EQUITY_S</t>
  </si>
  <si>
    <t>EQUITY_SW</t>
  </si>
  <si>
    <t>EQUITY_FS</t>
  </si>
  <si>
    <t>EQUITY_C</t>
  </si>
  <si>
    <t>DISPLAYROU</t>
  </si>
  <si>
    <t>EQUITY CHECK</t>
  </si>
  <si>
    <t>EDIT_DATE_</t>
  </si>
  <si>
    <t>EDIT_QA</t>
  </si>
  <si>
    <t>Curbside</t>
  </si>
  <si>
    <t>NETWORKTYP</t>
  </si>
  <si>
    <t>ROUTE_TYPE</t>
  </si>
  <si>
    <t>S_Speed</t>
  </si>
  <si>
    <t>MARQUETTE RD</t>
  </si>
  <si>
    <t>W</t>
  </si>
  <si>
    <t>MARQUETTE</t>
  </si>
  <si>
    <t>RD</t>
  </si>
  <si>
    <t>-</t>
  </si>
  <si>
    <t>S CENTRAL PARK AVE</t>
  </si>
  <si>
    <t>S KEDZIE AVE</t>
  </si>
  <si>
    <t>UPGRADE</t>
  </si>
  <si>
    <t>2002-17</t>
  </si>
  <si>
    <t>STP RESURFACING</t>
  </si>
  <si>
    <t>EB curbside</t>
  </si>
  <si>
    <t>BIKE LANE RESTRIPING 2020</t>
  </si>
  <si>
    <t xml:space="preserve"> </t>
  </si>
  <si>
    <t>N</t>
  </si>
  <si>
    <t>04.07.2022</t>
  </si>
  <si>
    <t>JP</t>
  </si>
  <si>
    <t>Y</t>
  </si>
  <si>
    <t>Arterial</t>
  </si>
  <si>
    <t>S SACRAMENTO AVE</t>
  </si>
  <si>
    <t>MAINTAIN</t>
  </si>
  <si>
    <t>18TH ST</t>
  </si>
  <si>
    <t>18TH</t>
  </si>
  <si>
    <t>ST</t>
  </si>
  <si>
    <t>S DAMEN AVE</t>
  </si>
  <si>
    <t>S LOOMIS ST</t>
  </si>
  <si>
    <t>NEW</t>
  </si>
  <si>
    <t>2011-3</t>
  </si>
  <si>
    <t>CMAQ 2009</t>
  </si>
  <si>
    <t>Divvy Restriping</t>
  </si>
  <si>
    <t>LAKE SHORE DR</t>
  </si>
  <si>
    <t>S</t>
  </si>
  <si>
    <t>LAKE SHORE</t>
  </si>
  <si>
    <t>DR</t>
  </si>
  <si>
    <t>E 81ST ST</t>
  </si>
  <si>
    <t>E 87TH ST</t>
  </si>
  <si>
    <t>2013-9</t>
  </si>
  <si>
    <t>US 41 EXTENSION</t>
  </si>
  <si>
    <t>12.08.2020</t>
  </si>
  <si>
    <t>LAKE ST</t>
  </si>
  <si>
    <t>LAKE</t>
  </si>
  <si>
    <t>N KEDZIE AVE</t>
  </si>
  <si>
    <t>N DAMEN AVE</t>
  </si>
  <si>
    <t>2012-24</t>
  </si>
  <si>
    <t>AR 21 - FED</t>
  </si>
  <si>
    <t>CONCRETE</t>
  </si>
  <si>
    <t>11.17.2022</t>
  </si>
  <si>
    <t>WELLS ST</t>
  </si>
  <si>
    <t>WELLS</t>
  </si>
  <si>
    <t>W VAN BUREN ST</t>
  </si>
  <si>
    <t>W ARCADE PL</t>
  </si>
  <si>
    <t>2012-28</t>
  </si>
  <si>
    <t>BIKE PRGM 12</t>
  </si>
  <si>
    <t>55TH PL</t>
  </si>
  <si>
    <t>E</t>
  </si>
  <si>
    <t>55TH</t>
  </si>
  <si>
    <t>PL</t>
  </si>
  <si>
    <t>S DORCHESTER AVE</t>
  </si>
  <si>
    <t>E 55TH ST</t>
  </si>
  <si>
    <t>ROAD DIET</t>
  </si>
  <si>
    <t>CDOT RESTRIPING</t>
  </si>
  <si>
    <t>AR 18</t>
  </si>
  <si>
    <t>RESURFACED, CONCRETE UPGRADES</t>
  </si>
  <si>
    <t>NONE</t>
  </si>
  <si>
    <t>10.25.2022</t>
  </si>
  <si>
    <t>WABASH AVE</t>
  </si>
  <si>
    <t>WABASH</t>
  </si>
  <si>
    <t>AVE</t>
  </si>
  <si>
    <t>E 9TH ST</t>
  </si>
  <si>
    <t>E HARRISON ST</t>
  </si>
  <si>
    <t>2012-27</t>
  </si>
  <si>
    <t>JACKSON BLVD</t>
  </si>
  <si>
    <t>JACKSON</t>
  </si>
  <si>
    <t>BLVD</t>
  </si>
  <si>
    <t>S HAMLIN BLVD</t>
  </si>
  <si>
    <t>S CENTRAL PARK BLVD</t>
  </si>
  <si>
    <t>DIVVY 18</t>
  </si>
  <si>
    <t>POST</t>
  </si>
  <si>
    <t>05.18.2022</t>
  </si>
  <si>
    <t>ELSTON AVE</t>
  </si>
  <si>
    <t>ELSTON</t>
  </si>
  <si>
    <t>N MILWAUKEE AVE</t>
  </si>
  <si>
    <t>W CHESTNUT ST</t>
  </si>
  <si>
    <t>AR 11</t>
  </si>
  <si>
    <t>HALSTED ST</t>
  </si>
  <si>
    <t>HALSTED</t>
  </si>
  <si>
    <t>W ARMITAGE AVE</t>
  </si>
  <si>
    <t>W WEBSTER AVE</t>
  </si>
  <si>
    <t>BIKE PRGM 00</t>
  </si>
  <si>
    <t>AR 17</t>
  </si>
  <si>
    <t>W DIVERSEY PKWY</t>
  </si>
  <si>
    <t>W WELLINGTON AVE</t>
  </si>
  <si>
    <t>2004-8</t>
  </si>
  <si>
    <t>EMERGENCY REPAIR PROGRAM</t>
  </si>
  <si>
    <t>MAINTENANCE 2020</t>
  </si>
  <si>
    <t>08.28.2020</t>
  </si>
  <si>
    <t>CALIFORNIA AVE</t>
  </si>
  <si>
    <t>CALIFORNIA</t>
  </si>
  <si>
    <t>W 24TH BLVD</t>
  </si>
  <si>
    <t>W CERMAK RD</t>
  </si>
  <si>
    <t>CMAQ V(2)</t>
  </si>
  <si>
    <t>Divvy 18</t>
  </si>
  <si>
    <t>S EBERHART AVE</t>
  </si>
  <si>
    <t>S COTTAGE GROVE AVE</t>
  </si>
  <si>
    <t>CMAQ IV</t>
  </si>
  <si>
    <t>Bike Program Maintenance 2021</t>
  </si>
  <si>
    <t>03.24.2022</t>
  </si>
  <si>
    <t>WASHINGTON BLVD</t>
  </si>
  <si>
    <t>WASHINGTON</t>
  </si>
  <si>
    <t>N HALSTED ST</t>
  </si>
  <si>
    <t>I-90/94</t>
  </si>
  <si>
    <t>2006-8</t>
  </si>
  <si>
    <t>LOOP LINK</t>
  </si>
  <si>
    <t>OAKWOOD BLVD</t>
  </si>
  <si>
    <t>OAKWOOD</t>
  </si>
  <si>
    <t>S DR MARTIN LUTHER KING JR DR</t>
  </si>
  <si>
    <t>S VINCENNES AVE</t>
  </si>
  <si>
    <t>CMAQ III</t>
  </si>
  <si>
    <t>VZ2018</t>
  </si>
  <si>
    <t>S LANGLEY AVE</t>
  </si>
  <si>
    <t>UTILITY</t>
  </si>
  <si>
    <t>ALBION AVE</t>
  </si>
  <si>
    <t>ALBION</t>
  </si>
  <si>
    <t>N LAKEWOOD AVE</t>
  </si>
  <si>
    <t>N SHERIDAN RD</t>
  </si>
  <si>
    <t>WB CONTRAFLOW LANE</t>
  </si>
  <si>
    <t>Neighborhood</t>
  </si>
  <si>
    <t>W 74TH ST</t>
  </si>
  <si>
    <t>W 69TH ST</t>
  </si>
  <si>
    <t>2012-19</t>
  </si>
  <si>
    <t>KENMORE AVE</t>
  </si>
  <si>
    <t>KENMORE</t>
  </si>
  <si>
    <t>W ARDMORE AVE</t>
  </si>
  <si>
    <t>W THORNDALE AVE</t>
  </si>
  <si>
    <t>BIKE PRGM 14</t>
  </si>
  <si>
    <t>83RD ST</t>
  </si>
  <si>
    <t>83RD</t>
  </si>
  <si>
    <t>S SOUTH SHORE DR</t>
  </si>
  <si>
    <t>S GREEN BAY AVE</t>
  </si>
  <si>
    <t>2011-9</t>
  </si>
  <si>
    <t>MENU RESURFACING</t>
  </si>
  <si>
    <t>DESPLAINES ST</t>
  </si>
  <si>
    <t>DESPLAINES</t>
  </si>
  <si>
    <t>W HARRISON ST</t>
  </si>
  <si>
    <t>W MADISON ST</t>
  </si>
  <si>
    <t>2012-12</t>
  </si>
  <si>
    <t>CLARK ST</t>
  </si>
  <si>
    <t>CLARK</t>
  </si>
  <si>
    <t>W OAK ST</t>
  </si>
  <si>
    <t>W NORTH AVE</t>
  </si>
  <si>
    <t>2012-8</t>
  </si>
  <si>
    <t>BERTEAU AVE</t>
  </si>
  <si>
    <t>BERTEAU</t>
  </si>
  <si>
    <t>N ASHLAND AVE</t>
  </si>
  <si>
    <t>2013-2</t>
  </si>
  <si>
    <t>MENU STRIPING</t>
  </si>
  <si>
    <t>BERTEAU GREENWAY</t>
  </si>
  <si>
    <t>SOUTH CHICAGO AVE</t>
  </si>
  <si>
    <t>SOUTH CHICAGO</t>
  </si>
  <si>
    <t>S BALTIMORE AVE</t>
  </si>
  <si>
    <t>E 79TH ST</t>
  </si>
  <si>
    <t>1996-9</t>
  </si>
  <si>
    <t>ROAD DIET; RESURFACED</t>
  </si>
  <si>
    <t>W CHICAGO AVE</t>
  </si>
  <si>
    <t>1993-4</t>
  </si>
  <si>
    <t>AR 12</t>
  </si>
  <si>
    <t>MILWAUKEE AVE</t>
  </si>
  <si>
    <t>MILWAUKEE</t>
  </si>
  <si>
    <t>N CARMEN AVE</t>
  </si>
  <si>
    <t>N HYACINTH ST</t>
  </si>
  <si>
    <t>2011-28</t>
  </si>
  <si>
    <t>AR 14</t>
  </si>
  <si>
    <t>GRAND AVE</t>
  </si>
  <si>
    <t>GRAND</t>
  </si>
  <si>
    <t>N DEARBORN ST</t>
  </si>
  <si>
    <t>N STATE ST</t>
  </si>
  <si>
    <t>2011-20</t>
  </si>
  <si>
    <t>N LEAVITT ST</t>
  </si>
  <si>
    <t>DASHED BIKE LANE</t>
  </si>
  <si>
    <t>2005-9</t>
  </si>
  <si>
    <t>BIKE PRGM 17</t>
  </si>
  <si>
    <t>DASHED BIKE LANE FOR MAJORITY</t>
  </si>
  <si>
    <t>W ADDISON ST</t>
  </si>
  <si>
    <t>N MONTROSE AVE</t>
  </si>
  <si>
    <t>2011-12</t>
  </si>
  <si>
    <t>S WESTERN AVE</t>
  </si>
  <si>
    <t>S OAKLEY BLVD</t>
  </si>
  <si>
    <t>2011-22</t>
  </si>
  <si>
    <t>TERM 11</t>
  </si>
  <si>
    <t>WESTBOUND - BIKE LANE</t>
  </si>
  <si>
    <t>S HOYNE AVE</t>
  </si>
  <si>
    <t>WB BL; EB curbside PBL</t>
  </si>
  <si>
    <t>W OGDEN AVE</t>
  </si>
  <si>
    <t>E CERMAK RD</t>
  </si>
  <si>
    <t>E 18TH ST</t>
  </si>
  <si>
    <t>1996-10</t>
  </si>
  <si>
    <t>STATE ST</t>
  </si>
  <si>
    <t>STATE</t>
  </si>
  <si>
    <t>W CULLERTON ST</t>
  </si>
  <si>
    <t>W 18TH ST</t>
  </si>
  <si>
    <t>2013-12</t>
  </si>
  <si>
    <t>08.25.2020</t>
  </si>
  <si>
    <t>PAYNE DR</t>
  </si>
  <si>
    <t>PAYNE</t>
  </si>
  <si>
    <t>E RAINEY DR</t>
  </si>
  <si>
    <t>AR 21 - FEDERAL</t>
  </si>
  <si>
    <t>09.20.2022</t>
  </si>
  <si>
    <t>VINCENNES AVE</t>
  </si>
  <si>
    <t>VINCENNES</t>
  </si>
  <si>
    <t>W 76TH ST</t>
  </si>
  <si>
    <t>SFC I</t>
  </si>
  <si>
    <t>03.17.2022</t>
  </si>
  <si>
    <t>100TH ST</t>
  </si>
  <si>
    <t>100TH</t>
  </si>
  <si>
    <t>S TORRENCE AVE</t>
  </si>
  <si>
    <t>S AVE L</t>
  </si>
  <si>
    <t>2011-1</t>
  </si>
  <si>
    <t>AR 10</t>
  </si>
  <si>
    <t>CALUMET RIVER TO CALUMET RIVER - CONCRETE PVMT - 2018</t>
  </si>
  <si>
    <t>NORTHWEST HWY</t>
  </si>
  <si>
    <t>NORTHWEST</t>
  </si>
  <si>
    <t>HWY</t>
  </si>
  <si>
    <t>N OKETO AVE</t>
  </si>
  <si>
    <t>W DEVON AVE</t>
  </si>
  <si>
    <t>2011-32</t>
  </si>
  <si>
    <t>N NAGLE AVE</t>
  </si>
  <si>
    <t>N SAYRE AVE</t>
  </si>
  <si>
    <t>TOUHY AVE</t>
  </si>
  <si>
    <t>TOUHY</t>
  </si>
  <si>
    <t>N WESTERN AVE</t>
  </si>
  <si>
    <t>MORSE AVE</t>
  </si>
  <si>
    <t>MORSE</t>
  </si>
  <si>
    <t>N WAYNE AVE</t>
  </si>
  <si>
    <t>2011-30</t>
  </si>
  <si>
    <t>STREETSCAPE</t>
  </si>
  <si>
    <t>N ELSTON AVE</t>
  </si>
  <si>
    <t>FRANKLIN ST</t>
  </si>
  <si>
    <t>FRANKLIN</t>
  </si>
  <si>
    <t>W LAKE ST</t>
  </si>
  <si>
    <t>WACKER DRIVE RECONSTRUCTION</t>
  </si>
  <si>
    <t>RESURFACED; 2018 RANDOLPH TO COUCH UTILITY MAINTENANCE</t>
  </si>
  <si>
    <t>W ROOSEVELT RD</t>
  </si>
  <si>
    <t>W POLK ST</t>
  </si>
  <si>
    <t>RESURFACED 2014 POLK TO CABRINI</t>
  </si>
  <si>
    <t>W MONROE ST</t>
  </si>
  <si>
    <t>2012-18</t>
  </si>
  <si>
    <t>ELLSWORTH DR</t>
  </si>
  <si>
    <t>ELLSWORTH</t>
  </si>
  <si>
    <t>E GARFIELD BLVD</t>
  </si>
  <si>
    <t>E 51ST ST</t>
  </si>
  <si>
    <t>2012-16</t>
  </si>
  <si>
    <t>CLYBOURN AVE</t>
  </si>
  <si>
    <t>CLYBOURN</t>
  </si>
  <si>
    <t>W SHEFFIELD AVE</t>
  </si>
  <si>
    <t>N SOUTHPORT AVE</t>
  </si>
  <si>
    <t>DIVVY RESTRIPING</t>
  </si>
  <si>
    <t>W ERIE ST</t>
  </si>
  <si>
    <t>N OGDEN AVE</t>
  </si>
  <si>
    <t>SFC IV 3B</t>
  </si>
  <si>
    <t>SACRAMENTO DR</t>
  </si>
  <si>
    <t>SACRAMENTO</t>
  </si>
  <si>
    <t>W 19TH ST</t>
  </si>
  <si>
    <t>2012-26</t>
  </si>
  <si>
    <t>WEST SIDE BOULEVARDS</t>
  </si>
  <si>
    <t>INDEPENDENCE BLVD</t>
  </si>
  <si>
    <t>INDEPENDENCE</t>
  </si>
  <si>
    <t>W DOUGLAS BLVD</t>
  </si>
  <si>
    <t>NEIGHBORHOOD BIKE NETWORK</t>
  </si>
  <si>
    <t>11.16.2021</t>
  </si>
  <si>
    <t>DOUGLAS BLVD</t>
  </si>
  <si>
    <t>DOUGLAS</t>
  </si>
  <si>
    <t>S RIDGEWAY AVE</t>
  </si>
  <si>
    <t>S ALBANY AVE</t>
  </si>
  <si>
    <t>AR 15</t>
  </si>
  <si>
    <t>W KINZIE ST</t>
  </si>
  <si>
    <t>W HUBBARD STREET</t>
  </si>
  <si>
    <t>AR 22 - BOND</t>
  </si>
  <si>
    <t>11.28.2022</t>
  </si>
  <si>
    <t>DIVERSEY AVE</t>
  </si>
  <si>
    <t>DIVERSEY</t>
  </si>
  <si>
    <t>N PULASKI RD</t>
  </si>
  <si>
    <t>N KOSTNER AVE</t>
  </si>
  <si>
    <t>AR 02</t>
  </si>
  <si>
    <t>TRIPP TO KARLOV - CONCRETE PVMT - 2018; RESURFACED</t>
  </si>
  <si>
    <t>N LYNCH AVE</t>
  </si>
  <si>
    <t>N MELVINA AVE</t>
  </si>
  <si>
    <t>2006 RESURFACED BRYN MAWR TO MILWAUKEE; 2006 RESURFACED CICERO TO BRYN MAWR</t>
  </si>
  <si>
    <t>MARSHALL BLVD</t>
  </si>
  <si>
    <t>MARSHALL</t>
  </si>
  <si>
    <t>W 21ST ST</t>
  </si>
  <si>
    <t>MENU RESTRIPING</t>
  </si>
  <si>
    <t>24TH BLVD</t>
  </si>
  <si>
    <t>24TH</t>
  </si>
  <si>
    <t>S MARSHALL BLVD</t>
  </si>
  <si>
    <t>S CALIFORNIA AVE</t>
  </si>
  <si>
    <t>BROADWAY</t>
  </si>
  <si>
    <t>W MONTROSE AVE</t>
  </si>
  <si>
    <t>W WILSON AVE</t>
  </si>
  <si>
    <t>2014-3</t>
  </si>
  <si>
    <t>MARTIN LUTHER KING JR DR</t>
  </si>
  <si>
    <t>MARTIN LUTHER KING JR</t>
  </si>
  <si>
    <t>E 38TH ST</t>
  </si>
  <si>
    <t>COOK COUNTY STRIPING</t>
  </si>
  <si>
    <t>TERM 14</t>
  </si>
  <si>
    <t>DAMEN AVE</t>
  </si>
  <si>
    <t>DAMEN</t>
  </si>
  <si>
    <t>AR 19</t>
  </si>
  <si>
    <t>E 95TH ST</t>
  </si>
  <si>
    <t>CMAQ I</t>
  </si>
  <si>
    <t>W AUGUSTA AVE</t>
  </si>
  <si>
    <t>W DIVISION ST</t>
  </si>
  <si>
    <t>2007-28</t>
  </si>
  <si>
    <t>W MARQUETTE RD</t>
  </si>
  <si>
    <t>2014-8</t>
  </si>
  <si>
    <t>SFC II A</t>
  </si>
  <si>
    <t>ARDMORE AVE</t>
  </si>
  <si>
    <t>ARDMORE</t>
  </si>
  <si>
    <t>N WINTHROP AVE</t>
  </si>
  <si>
    <t>N KENMORE AVE</t>
  </si>
  <si>
    <t>CONTRAFLOW WB BIKE LANE</t>
  </si>
  <si>
    <t>LAWRENCE AVE</t>
  </si>
  <si>
    <t>LAWRENCE</t>
  </si>
  <si>
    <t>N MARINE DR</t>
  </si>
  <si>
    <t>AR 06</t>
  </si>
  <si>
    <t>AR 2020</t>
  </si>
  <si>
    <t>09.24.2021</t>
  </si>
  <si>
    <t>SOUTHPORT AVE</t>
  </si>
  <si>
    <t>SOUTHPORT</t>
  </si>
  <si>
    <t>W IRVING PARK RD</t>
  </si>
  <si>
    <t>N CLARK ST</t>
  </si>
  <si>
    <t>AR 04</t>
  </si>
  <si>
    <t>KEDZIE AVE</t>
  </si>
  <si>
    <t>KEDZIE</t>
  </si>
  <si>
    <t>N LINCOLN AVE</t>
  </si>
  <si>
    <t>2005-7</t>
  </si>
  <si>
    <t>CORTLAND ST</t>
  </si>
  <si>
    <t>CORTLAND</t>
  </si>
  <si>
    <t>SFC IV 3A</t>
  </si>
  <si>
    <t>BIKE FRIENDLY SPEED HUMPS</t>
  </si>
  <si>
    <t>N PAULINA ST</t>
  </si>
  <si>
    <t>RESURFACED 2007, RESURFACED SB ONLY DIVISION TO WOOD 2011</t>
  </si>
  <si>
    <t>DWM</t>
  </si>
  <si>
    <t>RESURFACED SB ONLY</t>
  </si>
  <si>
    <t>12.09.2020</t>
  </si>
  <si>
    <t>W SCHILLER ST</t>
  </si>
  <si>
    <t>N CLYBOURN AVE</t>
  </si>
  <si>
    <t>NB curbside only</t>
  </si>
  <si>
    <t>KINZIE ST</t>
  </si>
  <si>
    <t>KINZIE</t>
  </si>
  <si>
    <t>N DESPLAINES ST</t>
  </si>
  <si>
    <t>N WELLS ST</t>
  </si>
  <si>
    <t>Precast Concrete - Package 1</t>
  </si>
  <si>
    <t>Type III Concrete</t>
  </si>
  <si>
    <t>AR 16</t>
  </si>
  <si>
    <t>RESURFACED; CANAL TO KINGSBURY - CONCRETE PVMT - 2016</t>
  </si>
  <si>
    <t>CONCRETE (PRECAST)</t>
  </si>
  <si>
    <t>OGDEN AVE</t>
  </si>
  <si>
    <t>OGDEN</t>
  </si>
  <si>
    <t>W CONGRESS PKWY</t>
  </si>
  <si>
    <t>CMAQ IV UPGRADES</t>
  </si>
  <si>
    <t>BP-21 Restriping</t>
  </si>
  <si>
    <t>03.28.2021</t>
  </si>
  <si>
    <t>N WABASH AVE</t>
  </si>
  <si>
    <t>GRAND/STATE RED LINE PROJECT</t>
  </si>
  <si>
    <t>W WACKER DR</t>
  </si>
  <si>
    <t>LINCOLN AVE</t>
  </si>
  <si>
    <t>LINCOLN</t>
  </si>
  <si>
    <t>LOCAL</t>
  </si>
  <si>
    <t>9' TRAVEL LANES</t>
  </si>
  <si>
    <t>RESURFACED BELLE PLAINE TO MONTROSE NB ONLY</t>
  </si>
  <si>
    <t>E 60TH ST</t>
  </si>
  <si>
    <t>NB BL is curbside</t>
  </si>
  <si>
    <t>N CALIFORNIA AVE</t>
  </si>
  <si>
    <t>LOGAN SQUARE</t>
  </si>
  <si>
    <t>QWICK KURB</t>
  </si>
  <si>
    <t>N SACRAMENTO</t>
  </si>
  <si>
    <t>TIF</t>
  </si>
  <si>
    <t>W/ POST &amp; PAINT</t>
  </si>
  <si>
    <t>W 51ST ST</t>
  </si>
  <si>
    <t>W 47TH ST</t>
  </si>
  <si>
    <t>2011-17</t>
  </si>
  <si>
    <t>03.28.2022</t>
  </si>
  <si>
    <t>08.18.2020</t>
  </si>
  <si>
    <t>W LE MOYNE ST</t>
  </si>
  <si>
    <t>1996-5</t>
  </si>
  <si>
    <t>FARMERS MARKET DRIVEWAY</t>
  </si>
  <si>
    <t>HOME DEPOT DRIVEWAY</t>
  </si>
  <si>
    <t>NB BBL; SB curbside BL</t>
  </si>
  <si>
    <t>W BARRY AVE</t>
  </si>
  <si>
    <t>BP-22-29</t>
  </si>
  <si>
    <t>Type II Precast</t>
  </si>
  <si>
    <t>CDWM</t>
  </si>
  <si>
    <t>RESURFACED IRENE TO ELSTON NB ONLY</t>
  </si>
  <si>
    <t>N NARRAGANSETT AVE</t>
  </si>
  <si>
    <t>N PARKSIDE AVE</t>
  </si>
  <si>
    <t>BOND (NEIGHBORHOODS)</t>
  </si>
  <si>
    <t>9-ft travel lanes</t>
  </si>
  <si>
    <t>09.27.2021</t>
  </si>
  <si>
    <t>PALMER CT</t>
  </si>
  <si>
    <t>PALMER</t>
  </si>
  <si>
    <t>CT</t>
  </si>
  <si>
    <t>W PALMER ST</t>
  </si>
  <si>
    <t>N KEDZIE BLVD</t>
  </si>
  <si>
    <t>2009-2</t>
  </si>
  <si>
    <t>PALMER BLVD</t>
  </si>
  <si>
    <t>N HUMBOLDT BLVD</t>
  </si>
  <si>
    <t>2011-13</t>
  </si>
  <si>
    <t>MFT RESURFACING</t>
  </si>
  <si>
    <t>DASHED</t>
  </si>
  <si>
    <t>130TH ST</t>
  </si>
  <si>
    <t>130TH</t>
  </si>
  <si>
    <t>S SAGINAW AVE</t>
  </si>
  <si>
    <t>2012-1</t>
  </si>
  <si>
    <t>TERM 12</t>
  </si>
  <si>
    <t>CAMPBELL AVE</t>
  </si>
  <si>
    <t>CAMPBELL</t>
  </si>
  <si>
    <t>W BELMONT AVE</t>
  </si>
  <si>
    <t>W ROSCOE ST</t>
  </si>
  <si>
    <t>AR 21 BOND</t>
  </si>
  <si>
    <t>ARCHER AVE</t>
  </si>
  <si>
    <t>ARCHER</t>
  </si>
  <si>
    <t>S CANAL ST</t>
  </si>
  <si>
    <t>W ALDINE AVE</t>
  </si>
  <si>
    <t>BIKE PRGM 04</t>
  </si>
  <si>
    <t>ROOSEVELT RD</t>
  </si>
  <si>
    <t>ROOSEVELT</t>
  </si>
  <si>
    <t>S ASHLAND AVE</t>
  </si>
  <si>
    <t>S HALSTED ST</t>
  </si>
  <si>
    <t>CMAQ V(2) UPGRADES</t>
  </si>
  <si>
    <t>W ST JAMES PL</t>
  </si>
  <si>
    <t>SB BIKE/BUS SHARED LANE</t>
  </si>
  <si>
    <t>Resurfaced</t>
  </si>
  <si>
    <t>ILLINOIS ST</t>
  </si>
  <si>
    <t>ILLINOIS</t>
  </si>
  <si>
    <t>N LASALLE DR</t>
  </si>
  <si>
    <t>NORTHBOUND LEFT TURN BUFFERED BIKE LANE</t>
  </si>
  <si>
    <t>09.14.2020</t>
  </si>
  <si>
    <t>FRANCISCO AVE</t>
  </si>
  <si>
    <t>FRANCISCO</t>
  </si>
  <si>
    <t>W LAWRENCE AVE</t>
  </si>
  <si>
    <t>NORTH SHORE CHANNEL TRAIL</t>
  </si>
  <si>
    <t>2006-5</t>
  </si>
  <si>
    <t>CDOT BRIDGES</t>
  </si>
  <si>
    <t xml:space="preserve"> GREEN MARKINGS ONLY</t>
  </si>
  <si>
    <t>MORGAN DR</t>
  </si>
  <si>
    <t>MORGAN</t>
  </si>
  <si>
    <t>RAINEY DR</t>
  </si>
  <si>
    <t>RAINEY</t>
  </si>
  <si>
    <t>E MORGAN DR</t>
  </si>
  <si>
    <t>S PAYNE DR</t>
  </si>
  <si>
    <t>BRYN MAWR AVE</t>
  </si>
  <si>
    <t>BRYN MAWR</t>
  </si>
  <si>
    <t>N WOLCOTT AVE</t>
  </si>
  <si>
    <t>N BOWMANVILLE AVE</t>
  </si>
  <si>
    <t>W BRYN MAWR AVE</t>
  </si>
  <si>
    <t>STRIPING ONLY</t>
  </si>
  <si>
    <t>S CLARK ST</t>
  </si>
  <si>
    <t>2011-4</t>
  </si>
  <si>
    <t>BIKE PRGM 11</t>
  </si>
  <si>
    <t>BRIDGE PLATES INSTALLED</t>
  </si>
  <si>
    <t>DEVON AVE</t>
  </si>
  <si>
    <t>DEVON</t>
  </si>
  <si>
    <t>DIVVY 16</t>
  </si>
  <si>
    <t>ASHLAND BLVD</t>
  </si>
  <si>
    <t>ASHLAND</t>
  </si>
  <si>
    <t>W FARGO AVE</t>
  </si>
  <si>
    <t>N ROGERS AVE</t>
  </si>
  <si>
    <t>2011-10</t>
  </si>
  <si>
    <t>55TH ST</t>
  </si>
  <si>
    <t>S LAKE PARK AVE</t>
  </si>
  <si>
    <t>S HYDE PARK BLVD</t>
  </si>
  <si>
    <t>S EWING AVE</t>
  </si>
  <si>
    <t>E 87TH AVE</t>
  </si>
  <si>
    <t>DREXEL BLVD</t>
  </si>
  <si>
    <t>DREXEL</t>
  </si>
  <si>
    <t>E HYDE PARK BLVD</t>
  </si>
  <si>
    <t>E OAKWOOD BLVD</t>
  </si>
  <si>
    <t>BL MILEAGE ACCOUNTS FOR SB DREXEL</t>
  </si>
  <si>
    <t>S JEFFERSON ST</t>
  </si>
  <si>
    <t>AR 2020 - Federal</t>
  </si>
  <si>
    <t>AUGUSTA BLVD</t>
  </si>
  <si>
    <t>AUGUSTA</t>
  </si>
  <si>
    <t>N TRUMBULL AVE</t>
  </si>
  <si>
    <t>W GRAND AVE</t>
  </si>
  <si>
    <t>2002-5</t>
  </si>
  <si>
    <t>GRAND TO HOMAN</t>
  </si>
  <si>
    <t>RANDOLPH ST</t>
  </si>
  <si>
    <t>RANDOLPH</t>
  </si>
  <si>
    <t>N COLUMBUS DR</t>
  </si>
  <si>
    <t>N FIELD BLVD</t>
  </si>
  <si>
    <t>S STATE ST</t>
  </si>
  <si>
    <t>S WABASH AVE</t>
  </si>
  <si>
    <t>CDOT BIKE INITIATIVE</t>
  </si>
  <si>
    <t>CENTRAL PARK BLVD</t>
  </si>
  <si>
    <t>CENTRAL PARK</t>
  </si>
  <si>
    <t>W JACKSON BLVD</t>
  </si>
  <si>
    <t>W MADISON AVE</t>
  </si>
  <si>
    <t>W MAXWELL ST</t>
  </si>
  <si>
    <t>BIKE PRGM 13</t>
  </si>
  <si>
    <t>DIVISION ST</t>
  </si>
  <si>
    <t>DIVISION</t>
  </si>
  <si>
    <t>NARRAGANSETT AVE</t>
  </si>
  <si>
    <t>NARRAGANSETT</t>
  </si>
  <si>
    <t>W FULLERTON AVE</t>
  </si>
  <si>
    <t>W DIVERSEY AVE</t>
  </si>
  <si>
    <t>2011-31</t>
  </si>
  <si>
    <t>W WASHINGTON BLVD</t>
  </si>
  <si>
    <t>2012-9</t>
  </si>
  <si>
    <t>2007-10</t>
  </si>
  <si>
    <t>S SHORE DR</t>
  </si>
  <si>
    <t>AR 05</t>
  </si>
  <si>
    <t>31ST ST</t>
  </si>
  <si>
    <t>31ST</t>
  </si>
  <si>
    <t>S MOE DR</t>
  </si>
  <si>
    <t>2012-3</t>
  </si>
  <si>
    <t>BIKE PRGM 12/AR 12</t>
  </si>
  <si>
    <t>33RD ST</t>
  </si>
  <si>
    <t>33RD</t>
  </si>
  <si>
    <t>S MICHIGAN AVE</t>
  </si>
  <si>
    <t>BP-21-46</t>
  </si>
  <si>
    <t>Menu</t>
  </si>
  <si>
    <t>WARREN DR</t>
  </si>
  <si>
    <t>WARREN</t>
  </si>
  <si>
    <t>N HOMAN BLVD</t>
  </si>
  <si>
    <t>IDOT RESURFACING</t>
  </si>
  <si>
    <t>TAYLOR ST</t>
  </si>
  <si>
    <t>TAYLOR</t>
  </si>
  <si>
    <t>S OGDEN AVE</t>
  </si>
  <si>
    <t>2007-29</t>
  </si>
  <si>
    <t>E PERSHING RD</t>
  </si>
  <si>
    <t>2002-20</t>
  </si>
  <si>
    <t>N HAMLIN BLVD</t>
  </si>
  <si>
    <t>WILSON AVE</t>
  </si>
  <si>
    <t>WILSON</t>
  </si>
  <si>
    <t>N BROADWAY</t>
  </si>
  <si>
    <t>N CLARENDON AVE</t>
  </si>
  <si>
    <t>AR18</t>
  </si>
  <si>
    <t>N RAVENSWOOD AVE</t>
  </si>
  <si>
    <t>N MALDEN ST</t>
  </si>
  <si>
    <t>2007-31</t>
  </si>
  <si>
    <t>FULLERTON AVE</t>
  </si>
  <si>
    <t>FULLERTON</t>
  </si>
  <si>
    <t>N GREENVIEW AVE</t>
  </si>
  <si>
    <t>N RACINE AVE</t>
  </si>
  <si>
    <t>N MCCLURG CT</t>
  </si>
  <si>
    <t>S WENTWORTH AVE</t>
  </si>
  <si>
    <t>2002-3</t>
  </si>
  <si>
    <t>SHARROW ON NORTH SIDE</t>
  </si>
  <si>
    <t>W OHIO ST</t>
  </si>
  <si>
    <t>CLARENDON AVE</t>
  </si>
  <si>
    <t>CLARENDON</t>
  </si>
  <si>
    <t>W GRACE ST</t>
  </si>
  <si>
    <t>2007-8</t>
  </si>
  <si>
    <t>W CORNELIA AVE</t>
  </si>
  <si>
    <t>N NOBLE ST</t>
  </si>
  <si>
    <t>2007-7</t>
  </si>
  <si>
    <t>SFC II B</t>
  </si>
  <si>
    <t>BUFFERED NORTH SIDE ONLY, SOUTH SIDE BL</t>
  </si>
  <si>
    <t>2002-8</t>
  </si>
  <si>
    <t>N MARSHFIELD AVE</t>
  </si>
  <si>
    <t>2003-9</t>
  </si>
  <si>
    <t>W HUBBARD ST</t>
  </si>
  <si>
    <t>W DICKENS AVE</t>
  </si>
  <si>
    <t>2002-16</t>
  </si>
  <si>
    <t>CDOT RECONSTRUCTION</t>
  </si>
  <si>
    <t>N KENNEDY DAMEN AVE XR</t>
  </si>
  <si>
    <t>2007-18</t>
  </si>
  <si>
    <t>W 18TH DR</t>
  </si>
  <si>
    <t>N KINGSBURY ST</t>
  </si>
  <si>
    <t>EASTBOUND SHARED LANE</t>
  </si>
  <si>
    <t>CLINTON ST</t>
  </si>
  <si>
    <t>CLINTON</t>
  </si>
  <si>
    <t>W TAYLOR ST</t>
  </si>
  <si>
    <t>CALIFORNIA BLVD</t>
  </si>
  <si>
    <t>W 31ST BLVD</t>
  </si>
  <si>
    <t>W 26TH ST</t>
  </si>
  <si>
    <t>2004-4</t>
  </si>
  <si>
    <t>W RANDOLPH ST</t>
  </si>
  <si>
    <t>RESURFACED; 2-WAY PBL</t>
  </si>
  <si>
    <t>W GRANVILLE AVE</t>
  </si>
  <si>
    <t>31ST BLVD</t>
  </si>
  <si>
    <t>S CALIFORNIA BLVD</t>
  </si>
  <si>
    <t>W 31ST ST</t>
  </si>
  <si>
    <t>E ROOSEVELT RD</t>
  </si>
  <si>
    <t>N BRANCH CHICAGO RIVER</t>
  </si>
  <si>
    <t>BOND (CORRIDORS)</t>
  </si>
  <si>
    <t>W FULTON ST</t>
  </si>
  <si>
    <t>2003-19</t>
  </si>
  <si>
    <t>NW</t>
  </si>
  <si>
    <t>ARMITAGE AVE</t>
  </si>
  <si>
    <t>ARMITAGE</t>
  </si>
  <si>
    <t>AR 00</t>
  </si>
  <si>
    <t>WESTERN AVE</t>
  </si>
  <si>
    <t>WESTERN</t>
  </si>
  <si>
    <t>S WESTERN BLVD</t>
  </si>
  <si>
    <t>2004-14</t>
  </si>
  <si>
    <t>BLUE ISLAND AVE</t>
  </si>
  <si>
    <t>BLUE ISLAND</t>
  </si>
  <si>
    <t>S RACINE AVE</t>
  </si>
  <si>
    <t>2001-5</t>
  </si>
  <si>
    <t>W 103RD ST</t>
  </si>
  <si>
    <t>W 89TH ST</t>
  </si>
  <si>
    <t>2013-13</t>
  </si>
  <si>
    <t>W BELDEN AVE</t>
  </si>
  <si>
    <t>SOUTHBOUND SHARED LANE</t>
  </si>
  <si>
    <t>SOUTH SHORE DR</t>
  </si>
  <si>
    <t>SOUTH SHORE</t>
  </si>
  <si>
    <t>2004-12</t>
  </si>
  <si>
    <t>LOGAN BLVD</t>
  </si>
  <si>
    <t>LOGAN</t>
  </si>
  <si>
    <t>N JONES ST</t>
  </si>
  <si>
    <t>CONCRETE PROTECTED BIKE LANE</t>
  </si>
  <si>
    <t>Type I &amp; III concrete</t>
  </si>
  <si>
    <t>FULTON ST</t>
  </si>
  <si>
    <t>FULTON</t>
  </si>
  <si>
    <t>N JEFFERSON ST</t>
  </si>
  <si>
    <t>N CLINTON ST</t>
  </si>
  <si>
    <t>COTTAGE GROVE AVE</t>
  </si>
  <si>
    <t>COTTAGE GROVE</t>
  </si>
  <si>
    <t>E 37TH PL</t>
  </si>
  <si>
    <t>E 35TH ST</t>
  </si>
  <si>
    <t>W PERSHING RD</t>
  </si>
  <si>
    <t>W 33RD ST</t>
  </si>
  <si>
    <t>AR 03</t>
  </si>
  <si>
    <t>HOWARD ST</t>
  </si>
  <si>
    <t>HOWARD</t>
  </si>
  <si>
    <t>N RIDGE BLVD</t>
  </si>
  <si>
    <t>EVANSTON RESURFACING</t>
  </si>
  <si>
    <t>2008 RESURFACED FROM CLARK TO PAULINA; RESURFACED 2014 WB ONLY DAMEN TO CLARK</t>
  </si>
  <si>
    <t>N VIRGINIA AVE</t>
  </si>
  <si>
    <t>N MAPLEWOOD AVE</t>
  </si>
  <si>
    <t>2002-6</t>
  </si>
  <si>
    <t>E 66TH ST</t>
  </si>
  <si>
    <t>E 63RD ST</t>
  </si>
  <si>
    <t>SB BBL curbside</t>
  </si>
  <si>
    <t>W FOSTER AVE</t>
  </si>
  <si>
    <t>ANTHONY AVE</t>
  </si>
  <si>
    <t>ANTHONY</t>
  </si>
  <si>
    <t>S JEFFERY BLVD</t>
  </si>
  <si>
    <t>E 83RD ST</t>
  </si>
  <si>
    <t>NB ONLY</t>
  </si>
  <si>
    <t>S HALSTED AVE</t>
  </si>
  <si>
    <t>CENTRAL PARK AVE</t>
  </si>
  <si>
    <t>S MARQUETTE AVE</t>
  </si>
  <si>
    <t>S EXCHANGE AVE</t>
  </si>
  <si>
    <t>S MARYLAND AVE</t>
  </si>
  <si>
    <t>S WOODLAWN AVE</t>
  </si>
  <si>
    <t>95TH ST</t>
  </si>
  <si>
    <t>95TH</t>
  </si>
  <si>
    <t>CALUMET RIVER</t>
  </si>
  <si>
    <t>S AVENUE O</t>
  </si>
  <si>
    <t>W 63RD ST</t>
  </si>
  <si>
    <t>W GARFIELD BLVD</t>
  </si>
  <si>
    <t>DEARBORN ST</t>
  </si>
  <si>
    <t>DEARBORN</t>
  </si>
  <si>
    <t>W SUPERIOR ST</t>
  </si>
  <si>
    <t>1993-3</t>
  </si>
  <si>
    <t>RESURFACED - UPGRADED TO BUFFERED MSL</t>
  </si>
  <si>
    <t>2006-4</t>
  </si>
  <si>
    <t>WRIGHTWOOD AVE</t>
  </si>
  <si>
    <t>WRIGHTWOOD</t>
  </si>
  <si>
    <t>N HAMLIN AVE</t>
  </si>
  <si>
    <t>N KIMBALL AVE</t>
  </si>
  <si>
    <t>2006-9</t>
  </si>
  <si>
    <t>LOGAN SQAURE/WEST TOWN</t>
  </si>
  <si>
    <t>RESURFACED WB ONLY; 2018 CENTRAL PARK TO DRAKE IHC</t>
  </si>
  <si>
    <t>12.10.2020</t>
  </si>
  <si>
    <t>COOK COUNTY RESURFACING</t>
  </si>
  <si>
    <t>N CENTRAL PARK AVE</t>
  </si>
  <si>
    <t>S STONY ISLAND AVE</t>
  </si>
  <si>
    <t>S ANTHONY AVE</t>
  </si>
  <si>
    <t>S AVENUE J</t>
  </si>
  <si>
    <t>S AVENUE G</t>
  </si>
  <si>
    <t>2011-2</t>
  </si>
  <si>
    <t>N SEELEY AVE</t>
  </si>
  <si>
    <t>2005-11</t>
  </si>
  <si>
    <t>S ST LAWRENCE AVE</t>
  </si>
  <si>
    <t>S HOUSTON AVE</t>
  </si>
  <si>
    <t>S ABERDEEN ST</t>
  </si>
  <si>
    <t>S MORGAN ST</t>
  </si>
  <si>
    <t>W 65TH ST</t>
  </si>
  <si>
    <t>W 63RD PKWY</t>
  </si>
  <si>
    <t>KENNEDY KING COLLEGE</t>
  </si>
  <si>
    <t>N BERNARD AVE</t>
  </si>
  <si>
    <t>N CICERO AVE</t>
  </si>
  <si>
    <t>N LARAMIE AVE</t>
  </si>
  <si>
    <t>RACINE AVE</t>
  </si>
  <si>
    <t>RACINE</t>
  </si>
  <si>
    <t>W 58TH ST</t>
  </si>
  <si>
    <t>2009-3</t>
  </si>
  <si>
    <t>AR 09</t>
  </si>
  <si>
    <t>7-ft striped curbside buffer. B | BL | T | T | BL | B</t>
  </si>
  <si>
    <t>2020 SB LANE WAS RESURFACED &amp; RESTRIPED</t>
  </si>
  <si>
    <t>10.06.2022</t>
  </si>
  <si>
    <t>48TH WARD MENU</t>
  </si>
  <si>
    <t>GUNNISON ST</t>
  </si>
  <si>
    <t>GUNNISON</t>
  </si>
  <si>
    <t>N AUSTIN AVE</t>
  </si>
  <si>
    <t>2007-21</t>
  </si>
  <si>
    <t>CHICAGO RIVER</t>
  </si>
  <si>
    <t>METRA TRACKS</t>
  </si>
  <si>
    <t>W ARMITAGE ST</t>
  </si>
  <si>
    <t>I-90</t>
  </si>
  <si>
    <t>W CARMEN AVE</t>
  </si>
  <si>
    <t>I-90 TO CARMEN - CONCRETE PVMT- 2017</t>
  </si>
  <si>
    <t>W WALTON ST</t>
  </si>
  <si>
    <t>2013-4</t>
  </si>
  <si>
    <t>63RD ST</t>
  </si>
  <si>
    <t>63RD</t>
  </si>
  <si>
    <t>S OAK PARK AVE</t>
  </si>
  <si>
    <t>S NARRAGANSETT AVE</t>
  </si>
  <si>
    <t>W CORTLAND ST</t>
  </si>
  <si>
    <t>2010-7</t>
  </si>
  <si>
    <t>2010-8</t>
  </si>
  <si>
    <t>AR 2021</t>
  </si>
  <si>
    <t>W 59TH ST</t>
  </si>
  <si>
    <t>DEVELOPMENT RESURFACING</t>
  </si>
  <si>
    <t>E ERIE ST</t>
  </si>
  <si>
    <t>SIGNALIZED GREEN WAVE - GRAND TO HURON</t>
  </si>
  <si>
    <t>WELLS GREEN WAVE</t>
  </si>
  <si>
    <t>ORLEANS ST</t>
  </si>
  <si>
    <t>ORLEANS</t>
  </si>
  <si>
    <t>WACKER TO KINZIE - CONCRETE PVMT - 2017</t>
  </si>
  <si>
    <t>W GUNNISON ST</t>
  </si>
  <si>
    <t>ROAD DIET - MONTROSE TO FOSTER</t>
  </si>
  <si>
    <t>W WAVELAND AVE</t>
  </si>
  <si>
    <t>EWING AVE</t>
  </si>
  <si>
    <t>EWING</t>
  </si>
  <si>
    <t>S CALUMET RIVER</t>
  </si>
  <si>
    <t>2010-3</t>
  </si>
  <si>
    <t>S HARBOR AVE</t>
  </si>
  <si>
    <t>ROGERS AVE</t>
  </si>
  <si>
    <t>ROGERS</t>
  </si>
  <si>
    <t>N EASTLAKE TER</t>
  </si>
  <si>
    <t>FRANKLIN BLVD</t>
  </si>
  <si>
    <t>N SACRAMENTO BLVD</t>
  </si>
  <si>
    <t>2012-17</t>
  </si>
  <si>
    <t>2"" CONCRETE UPGRADE 2016</t>
  </si>
  <si>
    <t>TERM 16</t>
  </si>
  <si>
    <t>W 25TH ST</t>
  </si>
  <si>
    <t>2007-14</t>
  </si>
  <si>
    <t>W AUGUSTA BLVD</t>
  </si>
  <si>
    <t>AR 01</t>
  </si>
  <si>
    <t>N CHESTNUT ST</t>
  </si>
  <si>
    <t>IDOT CIRCLE INTERSECTION</t>
  </si>
  <si>
    <t>AVENUE L</t>
  </si>
  <si>
    <t>AVENUE</t>
  </si>
  <si>
    <t>L</t>
  </si>
  <si>
    <t>E 99TH ST</t>
  </si>
  <si>
    <t>2011-11</t>
  </si>
  <si>
    <t>W 99TH ST</t>
  </si>
  <si>
    <t>2011-36</t>
  </si>
  <si>
    <t>N CENTRAL AVE</t>
  </si>
  <si>
    <t>2011-27</t>
  </si>
  <si>
    <t>E BISHOP FORD EXPY</t>
  </si>
  <si>
    <t>N SHEFFIELD AVE</t>
  </si>
  <si>
    <t>ELSTON TO N BRANCH - CONCRETE PVMT - 2015</t>
  </si>
  <si>
    <t>N ORLEANS ST</t>
  </si>
  <si>
    <t>2015-7</t>
  </si>
  <si>
    <t>IDOT 15</t>
  </si>
  <si>
    <t>W 41ST ST</t>
  </si>
  <si>
    <t>2013-6</t>
  </si>
  <si>
    <t>CANAL ST</t>
  </si>
  <si>
    <t>CANAL</t>
  </si>
  <si>
    <t>1993-1</t>
  </si>
  <si>
    <t>W ADAMS ST</t>
  </si>
  <si>
    <t>1993-2</t>
  </si>
  <si>
    <t>GREEN PAINT</t>
  </si>
  <si>
    <t>S TALMAN AVE</t>
  </si>
  <si>
    <t>S CAMPBELL AVE</t>
  </si>
  <si>
    <t>TALMAN TO CAMPBELL - CONCRETE PVMT - 2018</t>
  </si>
  <si>
    <t>W CALIFORNIA TER</t>
  </si>
  <si>
    <t>S LASALLE ST</t>
  </si>
  <si>
    <t>2011-33</t>
  </si>
  <si>
    <t>GREEN LINE RECONSTRUCTION</t>
  </si>
  <si>
    <t>LOOMIS ST</t>
  </si>
  <si>
    <t>LOOMIS</t>
  </si>
  <si>
    <t>S ELEANOR ST</t>
  </si>
  <si>
    <t>S THROOP ST</t>
  </si>
  <si>
    <t>CONCRETE UPGRADES</t>
  </si>
  <si>
    <t>MMA RESTRIPING ONLY</t>
  </si>
  <si>
    <t>S WOLCOTT AVE</t>
  </si>
  <si>
    <t>2012-6</t>
  </si>
  <si>
    <t>Green bike lane</t>
  </si>
  <si>
    <t>W WRIGHTWOOD AVE</t>
  </si>
  <si>
    <t>1999-2</t>
  </si>
  <si>
    <t>2014-18</t>
  </si>
  <si>
    <t>2015-8</t>
  </si>
  <si>
    <t xml:space="preserve"> RESURFACED - ALBANY TO MAPLEWOOD</t>
  </si>
  <si>
    <t>RESURFACED - ALBANY TO MAPLEWOOD</t>
  </si>
  <si>
    <t>N HONORE ST</t>
  </si>
  <si>
    <t>2003-4</t>
  </si>
  <si>
    <t>SFC II A &amp; BIKE PRGM 14</t>
  </si>
  <si>
    <t>RESURFACED - LOGAN TO PULASKI</t>
  </si>
  <si>
    <t>2015-10</t>
  </si>
  <si>
    <t>2017-12</t>
  </si>
  <si>
    <t>POLK ST</t>
  </si>
  <si>
    <t>POLK</t>
  </si>
  <si>
    <t>2017-15</t>
  </si>
  <si>
    <t>HARRISON ST</t>
  </si>
  <si>
    <t>HARRISON</t>
  </si>
  <si>
    <t>UIC</t>
  </si>
  <si>
    <t>GREEN PAVEMENT AND BOLLARDS</t>
  </si>
  <si>
    <t>26TH ST</t>
  </si>
  <si>
    <t>25TH TO 24TH - CONCRETE PVMT - 2017</t>
  </si>
  <si>
    <t>E 71ST ST</t>
  </si>
  <si>
    <t>W WABANSIA AVE</t>
  </si>
  <si>
    <t>W MOFFAT ST</t>
  </si>
  <si>
    <t>RESURFACED 2014 NB ONLY</t>
  </si>
  <si>
    <t>LAKEFRONT TRAL</t>
  </si>
  <si>
    <t>CDBG RESURFACING</t>
  </si>
  <si>
    <t>2017-10</t>
  </si>
  <si>
    <t>HALSTED TO DESPLAINES - CONCRETE PVMT - 2017</t>
  </si>
  <si>
    <t>N DAMEN  AVE</t>
  </si>
  <si>
    <t>SUMMIT AVE</t>
  </si>
  <si>
    <t>SUMMIT</t>
  </si>
  <si>
    <t>2014-20</t>
  </si>
  <si>
    <t>KIMBERLEY TO CICERO - CONCRETE PVMT - 2015; 2007 RESURFACED - LOWELL TO CICERO</t>
  </si>
  <si>
    <t>E 67TH ST</t>
  </si>
  <si>
    <t>N WILLARD CT</t>
  </si>
  <si>
    <t>E 113TH ST</t>
  </si>
  <si>
    <t>2017-5</t>
  </si>
  <si>
    <t>SB ONLY</t>
  </si>
  <si>
    <t>S KERFOOT AVE</t>
  </si>
  <si>
    <t>WOODLAWN AVE</t>
  </si>
  <si>
    <t>WOODLAWN</t>
  </si>
  <si>
    <t>S DOTY AVE</t>
  </si>
  <si>
    <t>E 103RD ST</t>
  </si>
  <si>
    <t>31ST DR</t>
  </si>
  <si>
    <t>S FORT DEARBORN</t>
  </si>
  <si>
    <t>BBL ON-STREET (DO NOT CHANGE)</t>
  </si>
  <si>
    <t>33RD BLVD</t>
  </si>
  <si>
    <t>S DR MARTIN LUTHER KING DR</t>
  </si>
  <si>
    <t>W PRATT BLVD</t>
  </si>
  <si>
    <t>W FIFTH AVE</t>
  </si>
  <si>
    <t>INDEPENDENCE SQ</t>
  </si>
  <si>
    <t>SQ</t>
  </si>
  <si>
    <t>S INDEPENDENCE BLVD</t>
  </si>
  <si>
    <t>TERM 15</t>
  </si>
  <si>
    <t>2015-5</t>
  </si>
  <si>
    <t>DIVISION TO HALSTED - SOUTHBOUND - CONCRETE</t>
  </si>
  <si>
    <t>2002-4</t>
  </si>
  <si>
    <t>W 105TH ST</t>
  </si>
  <si>
    <t>2015-14</t>
  </si>
  <si>
    <t>BIKE PRGM 15</t>
  </si>
  <si>
    <t>WOOD ST</t>
  </si>
  <si>
    <t>WOOD</t>
  </si>
  <si>
    <t>2014-22</t>
  </si>
  <si>
    <t>CONTRA-FLOW BIKE LANE ON WICKER PARK AVE</t>
  </si>
  <si>
    <t>WOOD STREET GREENWAY</t>
  </si>
  <si>
    <t>2011-21</t>
  </si>
  <si>
    <t>26TH</t>
  </si>
  <si>
    <t>S KOSTNER AVE</t>
  </si>
  <si>
    <t>S PULASKI RD</t>
  </si>
  <si>
    <t>2002-1</t>
  </si>
  <si>
    <t>2006-2</t>
  </si>
  <si>
    <t>LAKEFRONT TRAIL</t>
  </si>
  <si>
    <t>2014-4</t>
  </si>
  <si>
    <t>WB ONLY</t>
  </si>
  <si>
    <t>CMAQ II</t>
  </si>
  <si>
    <t>BL NB ONLY</t>
  </si>
  <si>
    <t>W ROSEMONT AVE</t>
  </si>
  <si>
    <t>E 37TH ST</t>
  </si>
  <si>
    <t>E 26TH ST</t>
  </si>
  <si>
    <t>MACKINAW AVE</t>
  </si>
  <si>
    <t>MACKINAW</t>
  </si>
  <si>
    <t>E 91ST ST</t>
  </si>
  <si>
    <t>2013-10</t>
  </si>
  <si>
    <t>N OGDEN BLVD</t>
  </si>
  <si>
    <t>N PEORIIA ST</t>
  </si>
  <si>
    <t>2002-24</t>
  </si>
  <si>
    <t>N HASLTED ST</t>
  </si>
  <si>
    <t>SHEFFIELD TO FREMONT - CONCRETE PVMT - 2017</t>
  </si>
  <si>
    <t>NOBLE ST</t>
  </si>
  <si>
    <t>NOBLE</t>
  </si>
  <si>
    <t>2014-15</t>
  </si>
  <si>
    <t>2003-17</t>
  </si>
  <si>
    <t>2010-4</t>
  </si>
  <si>
    <t>SOME BIKE LANE REMOVED</t>
  </si>
  <si>
    <t>S DESPLAINES ST</t>
  </si>
  <si>
    <t>S FINANCIAL PL</t>
  </si>
  <si>
    <t>2014-5</t>
  </si>
  <si>
    <t>75TH ST</t>
  </si>
  <si>
    <t>75TH</t>
  </si>
  <si>
    <t>2011-8</t>
  </si>
  <si>
    <t>2003-16</t>
  </si>
  <si>
    <t>S MERRILL AVE</t>
  </si>
  <si>
    <t>S YATES BLVD</t>
  </si>
  <si>
    <t>ROSCOE ST</t>
  </si>
  <si>
    <t>ROSCOE</t>
  </si>
  <si>
    <t>N CAMPBELL AVE</t>
  </si>
  <si>
    <t>N HOYNE AVE</t>
  </si>
  <si>
    <t>2012-25</t>
  </si>
  <si>
    <t>N HAMILTON AVE</t>
  </si>
  <si>
    <t>W 17TH ST</t>
  </si>
  <si>
    <t>W 14TH ST</t>
  </si>
  <si>
    <t>CANAL VIADUCT RECONSTRUCTION</t>
  </si>
  <si>
    <t>16TH TO 16TH - CONCRETE PVMT - 2018</t>
  </si>
  <si>
    <t>2014-2</t>
  </si>
  <si>
    <t>WARREN BLVD</t>
  </si>
  <si>
    <t>N WOOD ST</t>
  </si>
  <si>
    <t>2002-23</t>
  </si>
  <si>
    <t>MORGAN ST</t>
  </si>
  <si>
    <t>2014-14</t>
  </si>
  <si>
    <t>IDOT CIRCLE INTERCHANGE</t>
  </si>
  <si>
    <t>CONGRESS TO TILDEN - CONCRETE PVMT - 2015</t>
  </si>
  <si>
    <t>HUBBARD ST</t>
  </si>
  <si>
    <t>HUBBARD</t>
  </si>
  <si>
    <t>2014-11</t>
  </si>
  <si>
    <t>N ELSTON PKWY</t>
  </si>
  <si>
    <t>PERSHING RD</t>
  </si>
  <si>
    <t>PERSHING</t>
  </si>
  <si>
    <t>2014-16</t>
  </si>
  <si>
    <t>PRATT BLVD</t>
  </si>
  <si>
    <t>PRATT</t>
  </si>
  <si>
    <t>N BELL AVE</t>
  </si>
  <si>
    <t>2002-21</t>
  </si>
  <si>
    <t>EB ONLY BELL TO RIDGE</t>
  </si>
  <si>
    <t>N AUSTIN BLVD</t>
  </si>
  <si>
    <t>2014-12</t>
  </si>
  <si>
    <t>N PINE AVE</t>
  </si>
  <si>
    <t>2017-6</t>
  </si>
  <si>
    <t>BALTIMORE AVE</t>
  </si>
  <si>
    <t>BALTIMORE</t>
  </si>
  <si>
    <t>S BRAINARD AVE</t>
  </si>
  <si>
    <t>E 130TH ST</t>
  </si>
  <si>
    <t>2017-3</t>
  </si>
  <si>
    <t>W TOUHY AVE</t>
  </si>
  <si>
    <t>2016-6</t>
  </si>
  <si>
    <t>N MICHIGAN AVE</t>
  </si>
  <si>
    <t>2016-8</t>
  </si>
  <si>
    <t>WASHINGTON ST</t>
  </si>
  <si>
    <t>N WACKER DR</t>
  </si>
  <si>
    <t>2015-9</t>
  </si>
  <si>
    <t>S INDIANA AVE</t>
  </si>
  <si>
    <t>S CALUMET AVE</t>
  </si>
  <si>
    <t>2014-1</t>
  </si>
  <si>
    <t>CALUMET AVE</t>
  </si>
  <si>
    <t>CALUMET</t>
  </si>
  <si>
    <t>E CULLERTON ST</t>
  </si>
  <si>
    <t>2014-6</t>
  </si>
  <si>
    <t>BIKE RAMP INSTALLED AND GREEN EMBEDDED SYMBOLS</t>
  </si>
  <si>
    <t>2003-23</t>
  </si>
  <si>
    <t>W PALMER BLVD</t>
  </si>
  <si>
    <t>2011-23</t>
  </si>
  <si>
    <t>N CENTRAL PARK DR</t>
  </si>
  <si>
    <t>W 83RD ST</t>
  </si>
  <si>
    <t>W 75TH ST</t>
  </si>
  <si>
    <t>2014-9</t>
  </si>
  <si>
    <t>70TH ST</t>
  </si>
  <si>
    <t>2015-13</t>
  </si>
  <si>
    <t>N ST. LOUIS AVE</t>
  </si>
  <si>
    <t>2016-9</t>
  </si>
  <si>
    <t>GLENWOOD AVE</t>
  </si>
  <si>
    <t>GLENWOOD</t>
  </si>
  <si>
    <t>N RIDGE AVE</t>
  </si>
  <si>
    <t>2017-8</t>
  </si>
  <si>
    <t>CONTRAFLOW LANE</t>
  </si>
  <si>
    <t>PLUS SPOT RESTRIPING N OF RIDGE TO EVANSTON (LFT ALT SCOPING)</t>
  </si>
  <si>
    <t>GLENWOOD GREENWAY</t>
  </si>
  <si>
    <t>CARMEN AVE</t>
  </si>
  <si>
    <t>CARMEN</t>
  </si>
  <si>
    <t>N GLENWOOD AVE</t>
  </si>
  <si>
    <t>2017-4</t>
  </si>
  <si>
    <t>2012-10</t>
  </si>
  <si>
    <t>2001-6</t>
  </si>
  <si>
    <t>W DOUGLAS DR</t>
  </si>
  <si>
    <t>2014-19</t>
  </si>
  <si>
    <t>CDOT TRAFFIC GROUP</t>
  </si>
  <si>
    <t>ROAD DIET - DOUGLAS TO ROOSEVELT</t>
  </si>
  <si>
    <t>IHC</t>
  </si>
  <si>
    <t>105TH ST</t>
  </si>
  <si>
    <t>105TH</t>
  </si>
  <si>
    <t>S VINCENNIES AVE</t>
  </si>
  <si>
    <t>MAJOR TAYLOR TRAIL</t>
  </si>
  <si>
    <t>2015-1</t>
  </si>
  <si>
    <t>W LOGAN BLVD</t>
  </si>
  <si>
    <t>W 79TH ST</t>
  </si>
  <si>
    <t>2015-15</t>
  </si>
  <si>
    <t>2015-11</t>
  </si>
  <si>
    <t>RAISED CYCLE TRACK</t>
  </si>
  <si>
    <t>RAISED</t>
  </si>
  <si>
    <t>W 84TH ST</t>
  </si>
  <si>
    <t>RESURFACED; ROAD DIET 83RD TO 79TH</t>
  </si>
  <si>
    <t>2017-13</t>
  </si>
  <si>
    <t>GALE TO I-90 - CONCRETE PVMT - 2017</t>
  </si>
  <si>
    <t>69TH ST</t>
  </si>
  <si>
    <t>79TH ST</t>
  </si>
  <si>
    <t>DOTY AVE</t>
  </si>
  <si>
    <t>DOTY</t>
  </si>
  <si>
    <t>E 111TH ST</t>
  </si>
  <si>
    <t>W HADDON AVE</t>
  </si>
  <si>
    <t>2007-12</t>
  </si>
  <si>
    <t>2002-7</t>
  </si>
  <si>
    <t>CONCRETE UPGRADE IN 2015</t>
  </si>
  <si>
    <t>W MERCHANDISE MART</t>
  </si>
  <si>
    <t>MERCH MART TO HURON - WELLS GREEN WAVE</t>
  </si>
  <si>
    <t>S LEAVITT ST</t>
  </si>
  <si>
    <t>EB CONTRAFLOW LANES</t>
  </si>
  <si>
    <t>W WACKER ST</t>
  </si>
  <si>
    <t>EXCLUDED CHICAGO RIVER BRIDGE</t>
  </si>
  <si>
    <t>UNION TO RUBLE - CONCRETE PVMT - 2017</t>
  </si>
  <si>
    <t>59TH ST</t>
  </si>
  <si>
    <t>59TH</t>
  </si>
  <si>
    <t>2007-4</t>
  </si>
  <si>
    <t>2004-10</t>
  </si>
  <si>
    <t>CONSERVATORY DR</t>
  </si>
  <si>
    <t>CONSERVATORY</t>
  </si>
  <si>
    <t>RAILROAD</t>
  </si>
  <si>
    <t>2011-16</t>
  </si>
  <si>
    <t>W 14TH PL</t>
  </si>
  <si>
    <t>S GILES AVE</t>
  </si>
  <si>
    <t>INDIANA TO KING - EB BBL; WB curbside</t>
  </si>
  <si>
    <t>N TALMAN AVE</t>
  </si>
  <si>
    <t>2015-6</t>
  </si>
  <si>
    <t>N KILPATRICK AVE</t>
  </si>
  <si>
    <t>BIKE PRGM 01</t>
  </si>
  <si>
    <t>RESURFACED NB ONLY</t>
  </si>
  <si>
    <t>S WELLS ST</t>
  </si>
  <si>
    <t>WENTWORTH TO LASALLE - CONCRETE PVMT - 2018</t>
  </si>
  <si>
    <t>Wentworth to LaSalle restriped 2018</t>
  </si>
  <si>
    <t>N STETSON AVE</t>
  </si>
  <si>
    <t>E RANDOLPH ST</t>
  </si>
  <si>
    <t>&lt;Null&gt;</t>
  </si>
  <si>
    <t>35TH ST</t>
  </si>
  <si>
    <t>35TH</t>
  </si>
  <si>
    <t>2015-2</t>
  </si>
  <si>
    <t>S HOMAN AVE</t>
  </si>
  <si>
    <t>2015-12</t>
  </si>
  <si>
    <t>2015-3</t>
  </si>
  <si>
    <t>W HOWARD ST</t>
  </si>
  <si>
    <t>2015-4</t>
  </si>
  <si>
    <t>N MENDELL ST</t>
  </si>
  <si>
    <t>2007-1</t>
  </si>
  <si>
    <t>JEFFERSON ST</t>
  </si>
  <si>
    <t>JEFFERSON</t>
  </si>
  <si>
    <t>AR 07</t>
  </si>
  <si>
    <t>S KENTON AVE</t>
  </si>
  <si>
    <t>N WEBSTER ST</t>
  </si>
  <si>
    <t>2007-17</t>
  </si>
  <si>
    <t>BUFFERED SHARED LANE</t>
  </si>
  <si>
    <t>ROOT ST</t>
  </si>
  <si>
    <t>ROOT</t>
  </si>
  <si>
    <t>S EMERALD AVE</t>
  </si>
  <si>
    <t>2017-17</t>
  </si>
  <si>
    <t>2016-4</t>
  </si>
  <si>
    <t>2016-5</t>
  </si>
  <si>
    <t>2016-1</t>
  </si>
  <si>
    <t>2016-3</t>
  </si>
  <si>
    <t>W AINSLIE ST</t>
  </si>
  <si>
    <t>2002-9</t>
  </si>
  <si>
    <t>OAK PARK AVE</t>
  </si>
  <si>
    <t>OAK PARK</t>
  </si>
  <si>
    <t>W FOREST PRESERVE DR</t>
  </si>
  <si>
    <t>2016-7</t>
  </si>
  <si>
    <t>RESURFACED KEDZIE TO CALIFORNIA</t>
  </si>
  <si>
    <t>2017-14</t>
  </si>
  <si>
    <t>ARGYLE ST</t>
  </si>
  <si>
    <t>ARGYLE</t>
  </si>
  <si>
    <t>ADVISORY LANE</t>
  </si>
  <si>
    <t>W SHERIDAN RD</t>
  </si>
  <si>
    <t>BL THROUGH CAMPUS</t>
  </si>
  <si>
    <t>LOYOLA PED MALL</t>
  </si>
  <si>
    <t>71ST ST</t>
  </si>
  <si>
    <t>71ST</t>
  </si>
  <si>
    <t>S CHAMPLAIN AVE</t>
  </si>
  <si>
    <t>S SOUTH CHICAGO AVE</t>
  </si>
  <si>
    <t>CREATE RESURFACING</t>
  </si>
  <si>
    <t>S CLINTON ST</t>
  </si>
  <si>
    <t>2001-2</t>
  </si>
  <si>
    <t>RESURFACED WABASH TO INDIANA - WB ONLY</t>
  </si>
  <si>
    <t>W 71ST ST</t>
  </si>
  <si>
    <t>2014-7</t>
  </si>
  <si>
    <t>2002-10</t>
  </si>
  <si>
    <t>W ARGYLE ST</t>
  </si>
  <si>
    <t>W BALMORAL AVE</t>
  </si>
  <si>
    <t>W FULTON MARKET</t>
  </si>
  <si>
    <t>W ERIE AVE</t>
  </si>
  <si>
    <t>1999-1</t>
  </si>
  <si>
    <t>OHIO TO ERIE - CONCRETE PVMT - 2017</t>
  </si>
  <si>
    <t>N LAKESHORE DR</t>
  </si>
  <si>
    <t>S ARCHER AVE</t>
  </si>
  <si>
    <t>2003-13</t>
  </si>
  <si>
    <t>S LUMBER ST</t>
  </si>
  <si>
    <t>2013-7</t>
  </si>
  <si>
    <t>ARCHER TO S BRANCH BRIDGE - CONCRETE PVMT - 2013</t>
  </si>
  <si>
    <t>W LUMBER ST</t>
  </si>
  <si>
    <t>2002-13</t>
  </si>
  <si>
    <t>17TH TO 14TH - CONCRETE PVMT - 2013</t>
  </si>
  <si>
    <t>2012-23</t>
  </si>
  <si>
    <t>S LAFLIN ST</t>
  </si>
  <si>
    <t>RESURFACED GREEN TO HALSTED 2015</t>
  </si>
  <si>
    <t>ROAD DIET - PINE TO LARAMIE; RESURFACED; ON-STREET IS BBL</t>
  </si>
  <si>
    <t>2014-13</t>
  </si>
  <si>
    <t>ROAD DIET - LARAMIE TO CICERO &amp; PULASKI TO CENTRAL PARK</t>
  </si>
  <si>
    <t>N KENNETH AVE</t>
  </si>
  <si>
    <t>2001-10</t>
  </si>
  <si>
    <t>CONCRETE PVMT - CICERO TO KEATING 2015, AVONDALE TO LECLAIRE 2017</t>
  </si>
  <si>
    <t>S MARTIN LUTHER KING JR DR</t>
  </si>
  <si>
    <t>TIF/GOB</t>
  </si>
  <si>
    <t>2014-17</t>
  </si>
  <si>
    <t>12.07.2020</t>
  </si>
  <si>
    <t>IHC RESURFACING</t>
  </si>
  <si>
    <t>WINTHROP AVE</t>
  </si>
  <si>
    <t>WINTHROP</t>
  </si>
  <si>
    <t>W 87TH ST</t>
  </si>
  <si>
    <t>N PULASKI AVE</t>
  </si>
  <si>
    <t xml:space="preserve"> STATE TO WABASH EB ONLY RESURFACED; WABASH TO INDIANA WB ONLY RESURFACED</t>
  </si>
  <si>
    <t>ROCKWELL ST</t>
  </si>
  <si>
    <t>ROCKWELL</t>
  </si>
  <si>
    <t>2017-16</t>
  </si>
  <si>
    <t>TRAFFIC STUDIES</t>
  </si>
  <si>
    <t>W 82ND ST</t>
  </si>
  <si>
    <t>2003-8</t>
  </si>
  <si>
    <t>SFC III A</t>
  </si>
  <si>
    <t>E 25TH ST</t>
  </si>
  <si>
    <t>1996-3</t>
  </si>
  <si>
    <t>S STEWART AVE</t>
  </si>
  <si>
    <t>2006-1</t>
  </si>
  <si>
    <t>S FEDERAL ST</t>
  </si>
  <si>
    <t>WENTWORTH TO LASALLE - CONCRETE PVMT - 2017</t>
  </si>
  <si>
    <t>S KING DR</t>
  </si>
  <si>
    <t>ELSTON PKWY</t>
  </si>
  <si>
    <t>PKWY</t>
  </si>
  <si>
    <t>N ELSTON CT</t>
  </si>
  <si>
    <t>2016-2</t>
  </si>
  <si>
    <t>IDOT RECONSTRUCTION</t>
  </si>
  <si>
    <t>S LAKE SHORE DRIVE</t>
  </si>
  <si>
    <t>2013-1</t>
  </si>
  <si>
    <t>US 41 EXTENSION IMPROVEMENTS</t>
  </si>
  <si>
    <t>W LELAND AVE</t>
  </si>
  <si>
    <t>S LAFAYETTE AVE</t>
  </si>
  <si>
    <t>2005-10</t>
  </si>
  <si>
    <t>N CANAL ST</t>
  </si>
  <si>
    <t>2004-13</t>
  </si>
  <si>
    <t>2017-7</t>
  </si>
  <si>
    <t>HALSTED TO UNION - CONCRETE PVMT - 2017</t>
  </si>
  <si>
    <t>MADISON ST</t>
  </si>
  <si>
    <t>MADISON</t>
  </si>
  <si>
    <t>S LARAMIE AVE</t>
  </si>
  <si>
    <t>2013-11</t>
  </si>
  <si>
    <t>2007-6</t>
  </si>
  <si>
    <t>2013-3</t>
  </si>
  <si>
    <t>E 100TH ST</t>
  </si>
  <si>
    <t>S AUSTIN AVE</t>
  </si>
  <si>
    <t>S CENTRAL AVE</t>
  </si>
  <si>
    <t>DASHED WB BIKE LANE</t>
  </si>
  <si>
    <t>N LAKE SHORE DR</t>
  </si>
  <si>
    <t>2010-6</t>
  </si>
  <si>
    <t>FRANKLIN TO LASALLE - RESURFACED</t>
  </si>
  <si>
    <t>FRANKLIN TO LASALLE - RESURFACED 2018</t>
  </si>
  <si>
    <t>E 115TH ST</t>
  </si>
  <si>
    <t>S LYON AVE</t>
  </si>
  <si>
    <t>S COTTAGE GROOVE AVE</t>
  </si>
  <si>
    <t>CONGRESS TO VAN BUREN - CONCRETE PVMT - 2017</t>
  </si>
  <si>
    <t>HAMLIN BLVD</t>
  </si>
  <si>
    <t>HAMLIN</t>
  </si>
  <si>
    <t>2003-11</t>
  </si>
  <si>
    <t>2018-2</t>
  </si>
  <si>
    <t>48TH WARD</t>
  </si>
  <si>
    <t>2018-3</t>
  </si>
  <si>
    <t>HOOKER TO DIVISION - CONCRETE PVMT - 2011</t>
  </si>
  <si>
    <t>NORTH BRANCH CANAL BRIDGE RECONSTRUCTION</t>
  </si>
  <si>
    <t>W THOME AVE</t>
  </si>
  <si>
    <t>2018-1</t>
  </si>
  <si>
    <t>LELAND AVE</t>
  </si>
  <si>
    <t>LELAND</t>
  </si>
  <si>
    <t>2017-11</t>
  </si>
  <si>
    <t>LELAND GREENWAY</t>
  </si>
  <si>
    <t>2018-4</t>
  </si>
  <si>
    <t>TRAFFIC SAFETY MENU</t>
  </si>
  <si>
    <t>?</t>
  </si>
  <si>
    <t xml:space="preserve"> RESURFACED - TILDEN TO VAN BUREN</t>
  </si>
  <si>
    <t>2018-5</t>
  </si>
  <si>
    <t>2013-15</t>
  </si>
  <si>
    <t>LAWRENCE DR</t>
  </si>
  <si>
    <t>N LSD LAWRENCE AVE</t>
  </si>
  <si>
    <t>2018-6</t>
  </si>
  <si>
    <t>VIADUCT</t>
  </si>
  <si>
    <t>MARINE DR</t>
  </si>
  <si>
    <t>MARINE</t>
  </si>
  <si>
    <t>W LAKESIDE PL</t>
  </si>
  <si>
    <t>LAKESIDE PL</t>
  </si>
  <si>
    <t>LAKESIDE</t>
  </si>
  <si>
    <t>N LSD WILSON AVE</t>
  </si>
  <si>
    <t>2018-7</t>
  </si>
  <si>
    <t>W EASTWOOD AVE</t>
  </si>
  <si>
    <t>ROUTE GOES THROUGH ALLEY</t>
  </si>
  <si>
    <t>EASTWOOD AVE</t>
  </si>
  <si>
    <t>EASTWOOD</t>
  </si>
  <si>
    <t>DEAD END</t>
  </si>
  <si>
    <t>2018-8</t>
  </si>
  <si>
    <t>UPLIFT ECO-PLAZA</t>
  </si>
  <si>
    <t>OAK ST</t>
  </si>
  <si>
    <t>OAK</t>
  </si>
  <si>
    <t>2018-9</t>
  </si>
  <si>
    <t>UNK</t>
  </si>
  <si>
    <t>2018-10</t>
  </si>
  <si>
    <t>STONY ISLAND AVE</t>
  </si>
  <si>
    <t>STONY ISLAND</t>
  </si>
  <si>
    <t>E 122ND ST</t>
  </si>
  <si>
    <t>2018-11</t>
  </si>
  <si>
    <t>E 55TH PL</t>
  </si>
  <si>
    <t>DEVELOPER</t>
  </si>
  <si>
    <t>EB CONTRAFLOW LANE</t>
  </si>
  <si>
    <t>AR 2021 FEDERAL</t>
  </si>
  <si>
    <t>Mileage accounts for other side of blvd</t>
  </si>
  <si>
    <t>BIKE PRGM 98</t>
  </si>
  <si>
    <t>2002-18</t>
  </si>
  <si>
    <t>103RD ST</t>
  </si>
  <si>
    <t>103RD</t>
  </si>
  <si>
    <t>NORTH BRANCH TRAIL</t>
  </si>
  <si>
    <t>EB BL; WB curbside PBL</t>
  </si>
  <si>
    <t>WELLS BRIDGE RECONSTRUCTION</t>
  </si>
  <si>
    <t>W POTOMAC AVE</t>
  </si>
  <si>
    <t>CTA ONLY PARKING</t>
  </si>
  <si>
    <t>MICHIGAN AVE</t>
  </si>
  <si>
    <t>MICHIGAN</t>
  </si>
  <si>
    <t>E WASHINGTON ST</t>
  </si>
  <si>
    <t>THORNDALE AVE</t>
  </si>
  <si>
    <t>THORNDALE</t>
  </si>
  <si>
    <t>FOSTER AVE</t>
  </si>
  <si>
    <t>FOSTER</t>
  </si>
  <si>
    <t>N LOVEJOY AVE</t>
  </si>
  <si>
    <t>N FRANKLIN ST</t>
  </si>
  <si>
    <t>RIVERSIDE PLAZA TO S BRANCH BRIDGE - CONCRETE PVMT - 2017, CLINTON TO CANAL - RAISED, CANAL TO WACKER - POST</t>
  </si>
  <si>
    <t>WENTWORTH AVE</t>
  </si>
  <si>
    <t>WENTWORTH</t>
  </si>
  <si>
    <t>W 16TH ST</t>
  </si>
  <si>
    <t>WELLS WENTWORTH CONNECTOR</t>
  </si>
  <si>
    <t>Concrete on on W side N of 18th</t>
  </si>
  <si>
    <t>CENTRAL AVE</t>
  </si>
  <si>
    <t>CENTRAL</t>
  </si>
  <si>
    <t>W SUNNYSIDE AVE</t>
  </si>
  <si>
    <t>W GOODMAN ST</t>
  </si>
  <si>
    <t>N CENTRAL PARK</t>
  </si>
  <si>
    <t>N DRAKE ST</t>
  </si>
  <si>
    <t>N TRUMBULL ST</t>
  </si>
  <si>
    <t>W WABANISA AVE</t>
  </si>
  <si>
    <t>IDOT</t>
  </si>
  <si>
    <t>BP-22-15</t>
  </si>
  <si>
    <t>Neigborhood Bike Network 2022</t>
  </si>
  <si>
    <t>E 59TH ST</t>
  </si>
  <si>
    <t>E 56TH ST</t>
  </si>
  <si>
    <t>DREXEL AVE</t>
  </si>
  <si>
    <t>Installed in 2018, leave as maintain AND LEAVE INST YR 0</t>
  </si>
  <si>
    <t>ASHLAND AVE</t>
  </si>
  <si>
    <t>S PARNELL AVE</t>
  </si>
  <si>
    <t>SFC IV 1A</t>
  </si>
  <si>
    <t>GREENVIEW AVE</t>
  </si>
  <si>
    <t>GREENVIEW</t>
  </si>
  <si>
    <t>W FARWELL AVE</t>
  </si>
  <si>
    <t>W JONQUIL TER</t>
  </si>
  <si>
    <t>JONQUIL TER</t>
  </si>
  <si>
    <t>JONQUIL</t>
  </si>
  <si>
    <t>TER</t>
  </si>
  <si>
    <t>PAULINA ST</t>
  </si>
  <si>
    <t>PAULINA</t>
  </si>
  <si>
    <t>W JUNEWAY TER</t>
  </si>
  <si>
    <t>JUNEWAY TER</t>
  </si>
  <si>
    <t>JUNEWAY</t>
  </si>
  <si>
    <t>CHICAGO AVE</t>
  </si>
  <si>
    <t>MANOR AVE</t>
  </si>
  <si>
    <t>MANOR</t>
  </si>
  <si>
    <t>MANOR GREENWAY</t>
  </si>
  <si>
    <t>ALDINE AVE</t>
  </si>
  <si>
    <t>ALDINE</t>
  </si>
  <si>
    <t>SCHOOL/ALDINE GREENWAY</t>
  </si>
  <si>
    <t>BBL FOR NB ONLY</t>
  </si>
  <si>
    <t>BROADWAY AVE</t>
  </si>
  <si>
    <t>SCHOOL ST</t>
  </si>
  <si>
    <t>SCHOOL</t>
  </si>
  <si>
    <t>ROSCOE GREENWAY</t>
  </si>
  <si>
    <t>SIDEWALK LEVEL LTL</t>
  </si>
  <si>
    <t>S DREXEL AVE</t>
  </si>
  <si>
    <t>S ELLIS AVE</t>
  </si>
  <si>
    <t>W 52ND ST</t>
  </si>
  <si>
    <t>E 93RD ST</t>
  </si>
  <si>
    <t>N NEVA  AVE</t>
  </si>
  <si>
    <t>N NEVA AVE</t>
  </si>
  <si>
    <t>N PEORIA ST</t>
  </si>
  <si>
    <t>SB BBL</t>
  </si>
  <si>
    <t>RESURFACED -  UPGRADED FROM MSL TO BUFFERED MSL</t>
  </si>
  <si>
    <t>BOND (CONNECTOR)</t>
  </si>
  <si>
    <t>W SCOTT ST</t>
  </si>
  <si>
    <t>W BELMONT</t>
  </si>
  <si>
    <t>W BRADLEY PL</t>
  </si>
  <si>
    <t>FARWELL AVE</t>
  </si>
  <si>
    <t>FARWELL</t>
  </si>
  <si>
    <t>W PALMER CT</t>
  </si>
  <si>
    <t>E 36TH ST</t>
  </si>
  <si>
    <t>WOOD NEIGHBORHOOD GREENWAY</t>
  </si>
  <si>
    <t>S DEARBORN ST</t>
  </si>
  <si>
    <t>S PLYMOUTH CT</t>
  </si>
  <si>
    <t>2-WAY S side of Polk</t>
  </si>
  <si>
    <t>PLYMOUTH CT</t>
  </si>
  <si>
    <t>PLLYMOUTH</t>
  </si>
  <si>
    <t>W 9TH ST</t>
  </si>
  <si>
    <t>9TH ST</t>
  </si>
  <si>
    <t>9TH</t>
  </si>
  <si>
    <t>CERMAK RD</t>
  </si>
  <si>
    <t>CERMAK</t>
  </si>
  <si>
    <t>S WOOD ST</t>
  </si>
  <si>
    <t>N SACRAMENTO AVE</t>
  </si>
  <si>
    <t>VZ 18</t>
  </si>
  <si>
    <t>STP/TIF</t>
  </si>
  <si>
    <t>ROSCOE NEIGHBORHOOD GREENWAY</t>
  </si>
  <si>
    <t>SCHOOL NEIGHBORHOOD GREENWEAY</t>
  </si>
  <si>
    <t>ROAD DIET W/BUMPOUTS</t>
  </si>
  <si>
    <t>RAVENSWOOD AVE</t>
  </si>
  <si>
    <t>RAVENSWOOD</t>
  </si>
  <si>
    <t>W SCHOOL ST</t>
  </si>
  <si>
    <t>SCHOOL NEIGHBORHOOD GREENWAY</t>
  </si>
  <si>
    <t>W 21ST PL</t>
  </si>
  <si>
    <t>21ST ST</t>
  </si>
  <si>
    <t>21ST</t>
  </si>
  <si>
    <t>S PAULINA ST</t>
  </si>
  <si>
    <t>GREEN PAINT FOR ENTIRE BIKE LANE</t>
  </si>
  <si>
    <t>GREEN PAINT FOR ENTIRE BUFFERED BIKE LANE</t>
  </si>
  <si>
    <t>W EDGEWATER AVE</t>
  </si>
  <si>
    <t>48TH WARD LOCAL</t>
  </si>
  <si>
    <t>W 115TH ST</t>
  </si>
  <si>
    <t>DIVVY</t>
  </si>
  <si>
    <t>W 119TH ST</t>
  </si>
  <si>
    <t>NORTH AVE</t>
  </si>
  <si>
    <t>NORTH</t>
  </si>
  <si>
    <t>IMD</t>
  </si>
  <si>
    <t>EB ONLY; WB AFTER RUSH CONSTRUCTION COMPLETE</t>
  </si>
  <si>
    <t>E 69TH ST</t>
  </si>
  <si>
    <t>E MARQUETTE RD</t>
  </si>
  <si>
    <t>69TH</t>
  </si>
  <si>
    <t>08.17.2020</t>
  </si>
  <si>
    <t>76TH ST</t>
  </si>
  <si>
    <t>76TH</t>
  </si>
  <si>
    <t>S MARTIN LUTHER KING DR</t>
  </si>
  <si>
    <t>INDIANA AVE</t>
  </si>
  <si>
    <t>INDIANA</t>
  </si>
  <si>
    <t>E 94TH ST</t>
  </si>
  <si>
    <t>SOUTH SIDE EXPANSION</t>
  </si>
  <si>
    <t>115TH ST</t>
  </si>
  <si>
    <t>115TH</t>
  </si>
  <si>
    <t>S UNION AVE</t>
  </si>
  <si>
    <t>W 124TH ST</t>
  </si>
  <si>
    <t>124TH ST</t>
  </si>
  <si>
    <t>124TH</t>
  </si>
  <si>
    <t>LOOMIS BLVD</t>
  </si>
  <si>
    <t>S VERNON AVE</t>
  </si>
  <si>
    <t>UNKNOWN</t>
  </si>
  <si>
    <t>S PRAIRIE AVE</t>
  </si>
  <si>
    <t>S HARTWELL AVE</t>
  </si>
  <si>
    <t>S PERRY AVE</t>
  </si>
  <si>
    <t>S LOWE AVE</t>
  </si>
  <si>
    <t>S GREEN ST</t>
  </si>
  <si>
    <t>S SANGAMON ST</t>
  </si>
  <si>
    <t>S LOOMIS BLVD</t>
  </si>
  <si>
    <t>S JUSTINE ST</t>
  </si>
  <si>
    <t>01.13.21</t>
  </si>
  <si>
    <t>MAINTENANCE</t>
  </si>
  <si>
    <t>N FULLERTON AVE</t>
  </si>
  <si>
    <t>W WOLFRAM ST</t>
  </si>
  <si>
    <t>08.12.2020</t>
  </si>
  <si>
    <t>W IRVING PARK RD/N CICERO AVE</t>
  </si>
  <si>
    <t>BP-22-39</t>
  </si>
  <si>
    <t>Concrete Upgrades</t>
  </si>
  <si>
    <t>Type I</t>
  </si>
  <si>
    <t>MSL AND CONTRAFLOW</t>
  </si>
  <si>
    <t>94TH ST</t>
  </si>
  <si>
    <t>94TH</t>
  </si>
  <si>
    <t>W GEORGE ST</t>
  </si>
  <si>
    <t>LAKEWOOD AVE</t>
  </si>
  <si>
    <t>LAKEWOOD</t>
  </si>
  <si>
    <t>W ALBION AVE</t>
  </si>
  <si>
    <t>W NORTH SHORE AVE</t>
  </si>
  <si>
    <t>NORTH SHORE AVE</t>
  </si>
  <si>
    <t>NORTH SHORE</t>
  </si>
  <si>
    <t>N UNION AVE</t>
  </si>
  <si>
    <t>W 85TH ST</t>
  </si>
  <si>
    <t>GAPS/CONNECTIONS</t>
  </si>
  <si>
    <t>DASHED BIKE LANES</t>
  </si>
  <si>
    <t>EBERHART AVE</t>
  </si>
  <si>
    <t>EBERHART</t>
  </si>
  <si>
    <t>S BLUE ISLAND AVE</t>
  </si>
  <si>
    <t>AVENUE G</t>
  </si>
  <si>
    <t>STATE LINE</t>
  </si>
  <si>
    <t>AVE G TURNS INTO ACCESS RD</t>
  </si>
  <si>
    <t>98TH ST</t>
  </si>
  <si>
    <t>98TH</t>
  </si>
  <si>
    <t>W 98TH ST</t>
  </si>
  <si>
    <t>134TH ST</t>
  </si>
  <si>
    <t>134TH</t>
  </si>
  <si>
    <t>S AVENUE K</t>
  </si>
  <si>
    <t>12.22.2020</t>
  </si>
  <si>
    <t>AVENUE N</t>
  </si>
  <si>
    <t>E 134TH ST</t>
  </si>
  <si>
    <t>S INDIANAPOLIS AVE</t>
  </si>
  <si>
    <t>E 106TH ST</t>
  </si>
  <si>
    <t>AVENUE J</t>
  </si>
  <si>
    <t>E 98TH ST</t>
  </si>
  <si>
    <t>S AVENUE L</t>
  </si>
  <si>
    <t>WEST SIDE</t>
  </si>
  <si>
    <t>N BELMONT ST</t>
  </si>
  <si>
    <t>N AVERS AVE</t>
  </si>
  <si>
    <t>SACRAMENTO AVE</t>
  </si>
  <si>
    <t>W PALMER SQUARE</t>
  </si>
  <si>
    <t>LOGAN SQUARE/WEST TOWN</t>
  </si>
  <si>
    <t>9-FOOT TRAVEL LANES</t>
  </si>
  <si>
    <t>GRACE ST</t>
  </si>
  <si>
    <t>GRACE</t>
  </si>
  <si>
    <t>S LINCOLN AVE</t>
  </si>
  <si>
    <t>47TH WARD</t>
  </si>
  <si>
    <t>MAPLEWOOD AVE</t>
  </si>
  <si>
    <t>MAPLEWOOD</t>
  </si>
  <si>
    <t>ONE-WAY NB</t>
  </si>
  <si>
    <t>ONE-WAY SB</t>
  </si>
  <si>
    <t>81ST ST</t>
  </si>
  <si>
    <t>81ST</t>
  </si>
  <si>
    <t>82ND ST</t>
  </si>
  <si>
    <t>82ND</t>
  </si>
  <si>
    <t>GREEN ST</t>
  </si>
  <si>
    <t>GREEN</t>
  </si>
  <si>
    <t>W 81ST ST</t>
  </si>
  <si>
    <t>S FRANKLIN ST</t>
  </si>
  <si>
    <t>N LISTER AVE</t>
  </si>
  <si>
    <t>N ST LOUIS AVE</t>
  </si>
  <si>
    <t>111TH ST</t>
  </si>
  <si>
    <t>111TH</t>
  </si>
  <si>
    <t>PBL TO BE INSTALLED IN 2021</t>
  </si>
  <si>
    <t>11.18.2021</t>
  </si>
  <si>
    <t>BOND (GAPS)</t>
  </si>
  <si>
    <t>S CICERO AVE</t>
  </si>
  <si>
    <t>W COLUMBUS AVE</t>
  </si>
  <si>
    <t>LONGWOOD AVE</t>
  </si>
  <si>
    <t>LONGWOOD</t>
  </si>
  <si>
    <t>W 95TH ST</t>
  </si>
  <si>
    <t>S LONGWOOD DR</t>
  </si>
  <si>
    <t>S PROSPECT AVE</t>
  </si>
  <si>
    <t>119TH ST</t>
  </si>
  <si>
    <t>119TH</t>
  </si>
  <si>
    <t>OHC EXIT</t>
  </si>
  <si>
    <t>W CORTEZ ST</t>
  </si>
  <si>
    <t>20 MPH</t>
  </si>
  <si>
    <t>112TH ST</t>
  </si>
  <si>
    <t>112TH</t>
  </si>
  <si>
    <t>S STATE LINE RD</t>
  </si>
  <si>
    <t>E 118TH ST</t>
  </si>
  <si>
    <t>E 114TH ST</t>
  </si>
  <si>
    <t>Road Diet</t>
  </si>
  <si>
    <t>CICERO AVE</t>
  </si>
  <si>
    <t>CICERO</t>
  </si>
  <si>
    <t>N KENTON AVE</t>
  </si>
  <si>
    <t>09.28.2021</t>
  </si>
  <si>
    <t>KOSTNER AVE</t>
  </si>
  <si>
    <t>KOSTNER</t>
  </si>
  <si>
    <t>N KEELER AVE</t>
  </si>
  <si>
    <t>KILBOURN AVE</t>
  </si>
  <si>
    <t>KILBOURN</t>
  </si>
  <si>
    <t>AUSTIN AVE</t>
  </si>
  <si>
    <t>AUSTIN</t>
  </si>
  <si>
    <t>9-ft travel lanes; 42-ft street width</t>
  </si>
  <si>
    <t>40-ft street width</t>
  </si>
  <si>
    <t>14TH ST</t>
  </si>
  <si>
    <t>14TH</t>
  </si>
  <si>
    <t>S HAMLIN AVE</t>
  </si>
  <si>
    <t>16TH ST</t>
  </si>
  <si>
    <t>16TH</t>
  </si>
  <si>
    <t>S KILBOURN AVE</t>
  </si>
  <si>
    <t>S SPAULDING AVE</t>
  </si>
  <si>
    <t>W HOLLYWOOD AVE</t>
  </si>
  <si>
    <t>EXIT RAMP</t>
  </si>
  <si>
    <t>MONTROSE AVE</t>
  </si>
  <si>
    <t>MONTROSE</t>
  </si>
  <si>
    <t>BP 21 (MENU 33W)</t>
  </si>
  <si>
    <t>BP 21 (MENU 47W)</t>
  </si>
  <si>
    <t>STREETSCAPES 2021</t>
  </si>
  <si>
    <t>S LYMAN ST</t>
  </si>
  <si>
    <t>JERSEY AVE</t>
  </si>
  <si>
    <t>JERSEY</t>
  </si>
  <si>
    <t>HAMLIN AVE</t>
  </si>
  <si>
    <t>Contraflow</t>
  </si>
  <si>
    <t>19TH ST</t>
  </si>
  <si>
    <t>19TH</t>
  </si>
  <si>
    <t>RIDGEWAY AVE</t>
  </si>
  <si>
    <t>RIDGEWAY</t>
  </si>
  <si>
    <t>09.27.20221</t>
  </si>
  <si>
    <t>N KILBOURN AVE</t>
  </si>
  <si>
    <t>N KEDVALE AVE</t>
  </si>
  <si>
    <t>KEDVALE AVE</t>
  </si>
  <si>
    <t>KEDVALE</t>
  </si>
  <si>
    <t>LARAMIE AVE</t>
  </si>
  <si>
    <t>LARAMIE</t>
  </si>
  <si>
    <t>AR 21 - COUNTY</t>
  </si>
  <si>
    <t>HOLLYWOOD AVE</t>
  </si>
  <si>
    <t>HOLLYWOOD</t>
  </si>
  <si>
    <t>Green backed sharrows</t>
  </si>
  <si>
    <t>S AUSTIN BLVD</t>
  </si>
  <si>
    <t>44-ft street width</t>
  </si>
  <si>
    <t>ROAD DIET; WB BBL curbside</t>
  </si>
  <si>
    <t>W FRANKLIN BLVD</t>
  </si>
  <si>
    <t>ERIE ST</t>
  </si>
  <si>
    <t>ERIE</t>
  </si>
  <si>
    <t>N ARMOUR ST</t>
  </si>
  <si>
    <t>42-FT WIDE STREET</t>
  </si>
  <si>
    <t>BERWN AVE</t>
  </si>
  <si>
    <t>BERWYN</t>
  </si>
  <si>
    <t>N SHORE CHANNEL TRAIL</t>
  </si>
  <si>
    <t>BP-22-22</t>
  </si>
  <si>
    <t>SUNNYSIDE AVE</t>
  </si>
  <si>
    <t>SUNNYSIDE</t>
  </si>
  <si>
    <t>BIKE 22 - MENU (47W)</t>
  </si>
  <si>
    <t>Bikes use Ped signal @ Western</t>
  </si>
  <si>
    <t>N/S</t>
  </si>
  <si>
    <t>W FERDINAND ST</t>
  </si>
  <si>
    <t>BIKE 21 - BOND (NEIGHBORHOODS)</t>
  </si>
  <si>
    <t>42-ft wide street</t>
  </si>
  <si>
    <t>W BLOOMINGDALE AVE</t>
  </si>
  <si>
    <t>Bike 21 - Bond (Neighborhoods)</t>
  </si>
  <si>
    <t>Neighborhood Bike Network</t>
  </si>
  <si>
    <t>09.29.2022</t>
  </si>
  <si>
    <t>N MEADE AVE</t>
  </si>
  <si>
    <t>N LONG AVE</t>
  </si>
  <si>
    <t>N LECLAIRE AVE</t>
  </si>
  <si>
    <t>S LAWNDALE AVE</t>
  </si>
  <si>
    <t>BIKE 22 - MENU (46W)</t>
  </si>
  <si>
    <t>Sidewalk shared-lanes</t>
  </si>
  <si>
    <t>Bike 22 - Menu (47W)</t>
  </si>
  <si>
    <t>Bike 22 - Menu (1W)</t>
  </si>
  <si>
    <t>Contraflow lanes</t>
  </si>
  <si>
    <t>Rockwell Greenway</t>
  </si>
  <si>
    <t>N ROCKWELL ST</t>
  </si>
  <si>
    <t>Post &amp; paint bumpouts</t>
  </si>
  <si>
    <t>Greenbacked sharrows</t>
  </si>
  <si>
    <t>SHARED LANE</t>
  </si>
  <si>
    <t>LYNDALE ST</t>
  </si>
  <si>
    <t>LYNDALE</t>
  </si>
  <si>
    <t>Lyndale Greenway</t>
  </si>
  <si>
    <t>W LYNDALE ST</t>
  </si>
  <si>
    <t>Paint &amp; Post bumpouts</t>
  </si>
  <si>
    <t>ADVISORY BIKE LANE</t>
  </si>
  <si>
    <t>HIRSCH ST</t>
  </si>
  <si>
    <t>HIRSCH</t>
  </si>
  <si>
    <t>EB</t>
  </si>
  <si>
    <t>N LAVERGNE AVE</t>
  </si>
  <si>
    <t>LE MOYNE ST</t>
  </si>
  <si>
    <t>LE MOYNE</t>
  </si>
  <si>
    <t>N LINDER AVE</t>
  </si>
  <si>
    <t>KEELER AVE</t>
  </si>
  <si>
    <t>KEELER</t>
  </si>
  <si>
    <t>W ARTHINGTON ST</t>
  </si>
  <si>
    <t>SB</t>
  </si>
  <si>
    <t>W WEST END AVE</t>
  </si>
  <si>
    <t>S DESPLAINES AVE</t>
  </si>
  <si>
    <t>ARTERIAL</t>
  </si>
  <si>
    <t>AR 2021 - FEDERAL</t>
  </si>
  <si>
    <t>10.26.2022</t>
  </si>
  <si>
    <t>E 76TH ST</t>
  </si>
  <si>
    <t>EXCHANGE AVE</t>
  </si>
  <si>
    <t>EXCHANGE</t>
  </si>
  <si>
    <t>AR 2022 - BOND</t>
  </si>
  <si>
    <t>HOMAN AVE</t>
  </si>
  <si>
    <t>HOMAN</t>
  </si>
  <si>
    <t>BP-21-42</t>
  </si>
  <si>
    <t>W OGDEN RD</t>
  </si>
  <si>
    <t>COMMERCIAL AVE</t>
  </si>
  <si>
    <t>COMMERCIAL</t>
  </si>
  <si>
    <t>E 100 TH ST</t>
  </si>
  <si>
    <t>DASHED BIKE ROUTE</t>
  </si>
  <si>
    <t>BP-22-32</t>
  </si>
  <si>
    <t>BELMONT AVE</t>
  </si>
  <si>
    <t>BELMONT</t>
  </si>
  <si>
    <t>End</t>
  </si>
  <si>
    <t>Equity Dashboard</t>
  </si>
  <si>
    <t>North Side</t>
  </si>
  <si>
    <t>West Side</t>
  </si>
  <si>
    <t>South Side</t>
  </si>
  <si>
    <t>Central</t>
  </si>
  <si>
    <t>3-B Community Sub-District moved from West to Central</t>
  </si>
  <si>
    <t>SW</t>
  </si>
  <si>
    <t>FS</t>
  </si>
  <si>
    <t>C</t>
  </si>
  <si>
    <t>North</t>
  </si>
  <si>
    <t>West</t>
  </si>
  <si>
    <t>South</t>
  </si>
  <si>
    <t>Facilities by Geography</t>
  </si>
  <si>
    <t>all but Shared Lanes</t>
  </si>
  <si>
    <t>Share of Facilities by Geography</t>
  </si>
  <si>
    <t>Census</t>
  </si>
  <si>
    <t>Source: 2016 ACS 5-Year (Updated 8/27/2018)</t>
  </si>
  <si>
    <t>Area</t>
  </si>
  <si>
    <t>Percentage</t>
  </si>
  <si>
    <t>Population</t>
  </si>
  <si>
    <t>Density</t>
  </si>
  <si>
    <t>Automobile</t>
  </si>
  <si>
    <t>Transit</t>
  </si>
  <si>
    <t>Taxi</t>
  </si>
  <si>
    <t>Other</t>
  </si>
  <si>
    <t>TOTAL COMMUTERS</t>
  </si>
  <si>
    <t>Equity Measures</t>
  </si>
  <si>
    <t>Facilities per 1,000 Bike Commuters</t>
  </si>
  <si>
    <t>Facilities per 1,000 Bike Commuter</t>
  </si>
  <si>
    <t>All</t>
  </si>
  <si>
    <t>NG, BL, BBL, PBL</t>
  </si>
  <si>
    <t>BL, BBL, PBL</t>
  </si>
  <si>
    <t>BBL, PBL</t>
  </si>
  <si>
    <t>PBL</t>
  </si>
  <si>
    <t>NG, PBL</t>
  </si>
  <si>
    <t>NG, PBL + Trail</t>
  </si>
  <si>
    <t>Facility Miles per 100,000 Population</t>
  </si>
  <si>
    <t>MSL, NG, BL, BBL, PBL</t>
  </si>
  <si>
    <t>Facilities per Square Mile</t>
  </si>
  <si>
    <t>Total Population within 1/2 Mile of Bike Facility</t>
  </si>
  <si>
    <t>All Bike Facilities</t>
  </si>
  <si>
    <t>All Greater than MSL</t>
  </si>
  <si>
    <t>Bikeways Distribution Analysis</t>
  </si>
  <si>
    <t>On-Street Bikeways Only</t>
  </si>
  <si>
    <t>Miles of facilities</t>
  </si>
  <si>
    <t>Facility Miles per…</t>
  </si>
  <si>
    <t>1,000 Bike Commuter</t>
  </si>
  <si>
    <t>100,000 Population</t>
  </si>
  <si>
    <t>Square Mile</t>
  </si>
  <si>
    <t>% Population within 1/2 Mile of…</t>
  </si>
  <si>
    <t>All Bikeways and Trails</t>
  </si>
  <si>
    <t>Bikeways &gt; MSL and Trails</t>
  </si>
  <si>
    <t>Geographies</t>
  </si>
  <si>
    <t>for Equity Tracking</t>
  </si>
  <si>
    <t>Assign Community Area &amp; Equity District</t>
  </si>
  <si>
    <t>2020 ACS 5-Year B08301</t>
  </si>
  <si>
    <t>Population within a 1/2 mile of</t>
  </si>
  <si>
    <t>B08301_001E</t>
  </si>
  <si>
    <t>B08301_002E</t>
  </si>
  <si>
    <t>B08301_010E</t>
  </si>
  <si>
    <t>B08301_016E</t>
  </si>
  <si>
    <t>B08301_018E</t>
  </si>
  <si>
    <t>B08301_019E</t>
  </si>
  <si>
    <t>&gt; MSL</t>
  </si>
  <si>
    <t>Low Stress &amp; Trails</t>
  </si>
  <si>
    <t>CENSUS_TRACT</t>
  </si>
  <si>
    <t>CENSUS_TRACT_FULL</t>
  </si>
  <si>
    <t>TRACT_FIPS</t>
  </si>
  <si>
    <t>TRACT_CENSUS_YEAR</t>
  </si>
  <si>
    <t>Community Area</t>
  </si>
  <si>
    <t>SHAPE.AREA</t>
  </si>
  <si>
    <t>Sq Miles</t>
  </si>
  <si>
    <t>Area Name</t>
  </si>
  <si>
    <t>Group</t>
  </si>
  <si>
    <t>Region</t>
  </si>
  <si>
    <t>District</t>
  </si>
  <si>
    <t>Workers</t>
  </si>
  <si>
    <t>Reference formulas - Use these when updating values / linking to source data</t>
  </si>
  <si>
    <t>AREA_NUMBER</t>
  </si>
  <si>
    <t>COMMUNITY</t>
  </si>
  <si>
    <t>COM_GROUP</t>
  </si>
  <si>
    <t>PLAN_DIST</t>
  </si>
  <si>
    <t>PLAN_REGIO</t>
  </si>
  <si>
    <t>MCKINLEY PARK</t>
  </si>
  <si>
    <t>4-A</t>
  </si>
  <si>
    <t>SOUTHWEST</t>
  </si>
  <si>
    <t>BRIDGEPORT</t>
  </si>
  <si>
    <t>NEW CITY</t>
  </si>
  <si>
    <t>WEST ENGLEWOOD</t>
  </si>
  <si>
    <t>ENGLEWOOD</t>
  </si>
  <si>
    <t>GARFIELD RIDGE</t>
  </si>
  <si>
    <t>4-B</t>
  </si>
  <si>
    <t>ARCHER HEIGHTS</t>
  </si>
  <si>
    <t>BRIGHTON PARK</t>
  </si>
  <si>
    <t>WEST ELSDON</t>
  </si>
  <si>
    <t>GAGE PARK</t>
  </si>
  <si>
    <t>CHICAGO LAWN</t>
  </si>
  <si>
    <t>CLEARING</t>
  </si>
  <si>
    <t>4-C</t>
  </si>
  <si>
    <t>WEST LAWN</t>
  </si>
  <si>
    <t>ASHBURN</t>
  </si>
  <si>
    <t>LINCOLN SQUARE</t>
  </si>
  <si>
    <t>1-A</t>
  </si>
  <si>
    <t>ROGERS PARK</t>
  </si>
  <si>
    <t>WEST RIDGE</t>
  </si>
  <si>
    <t>UPTOWN</t>
  </si>
  <si>
    <t>EDGEWATER</t>
  </si>
  <si>
    <t>NORTH CENTER</t>
  </si>
  <si>
    <t>1-B</t>
  </si>
  <si>
    <t>LAKE VIEW</t>
  </si>
  <si>
    <t>LINCOLN PARK</t>
  </si>
  <si>
    <t>JEFFERSON PARK</t>
  </si>
  <si>
    <t>2-A</t>
  </si>
  <si>
    <t>FOREST GLEN</t>
  </si>
  <si>
    <t>NORTH PARK</t>
  </si>
  <si>
    <t>ALBANY PARK</t>
  </si>
  <si>
    <t>IRVING PARK</t>
  </si>
  <si>
    <t>MONTCLARE</t>
  </si>
  <si>
    <t>2-B</t>
  </si>
  <si>
    <t>BELMONT CRAGIN</t>
  </si>
  <si>
    <t>HERMOSA</t>
  </si>
  <si>
    <t>AVONDALE</t>
  </si>
  <si>
    <t>PORTAGE PARK</t>
  </si>
  <si>
    <t>2-C</t>
  </si>
  <si>
    <t>DUNNING</t>
  </si>
  <si>
    <t>NORWOOD PARK</t>
  </si>
  <si>
    <t>OHARE</t>
  </si>
  <si>
    <t>EDISON PARK</t>
  </si>
  <si>
    <t>HUMBOLDT PARK</t>
  </si>
  <si>
    <t>3-A</t>
  </si>
  <si>
    <t>WEST</t>
  </si>
  <si>
    <t>WEST GARFIELD PARK</t>
  </si>
  <si>
    <t>EAST GARFIELD PARK</t>
  </si>
  <si>
    <t>NORTH LAWNDALE</t>
  </si>
  <si>
    <t>SOUTH LAWNDALE</t>
  </si>
  <si>
    <t>WEST TOWN</t>
  </si>
  <si>
    <t>3-B</t>
  </si>
  <si>
    <t>NEAR WEST SIDE</t>
  </si>
  <si>
    <t>LOWER WEST SIDE</t>
  </si>
  <si>
    <t>AUBURN GRESHAM</t>
  </si>
  <si>
    <t>5-A</t>
  </si>
  <si>
    <t>FAR SOUTH</t>
  </si>
  <si>
    <t>BEVERLY</t>
  </si>
  <si>
    <t>WASHINGTON HEIGHTS</t>
  </si>
  <si>
    <t>MOUNT GREENWOOD</t>
  </si>
  <si>
    <t>ROSELAND</t>
  </si>
  <si>
    <t>5-B</t>
  </si>
  <si>
    <t>PULLMAN</t>
  </si>
  <si>
    <t>WEST PULLMAN</t>
  </si>
  <si>
    <t>MORGAN PARK</t>
  </si>
  <si>
    <t>SOUTH DEERING</t>
  </si>
  <si>
    <t>5-C</t>
  </si>
  <si>
    <t>EAST SIDE</t>
  </si>
  <si>
    <t>RIVERDALE</t>
  </si>
  <si>
    <t>HEGEWISCH</t>
  </si>
  <si>
    <t>6-A</t>
  </si>
  <si>
    <t>SOUTH</t>
  </si>
  <si>
    <t>OAKLAND</t>
  </si>
  <si>
    <t>FULLER PARK</t>
  </si>
  <si>
    <t>GRAND BOULEVARD</t>
  </si>
  <si>
    <t>KENWOOD</t>
  </si>
  <si>
    <t>ARMOUR SQUARE</t>
  </si>
  <si>
    <t>WASHINGTON PARK</t>
  </si>
  <si>
    <t>6-B</t>
  </si>
  <si>
    <t>HYDE PARK</t>
  </si>
  <si>
    <t>GREATER GRAND CROSSING</t>
  </si>
  <si>
    <t>CHATHAM</t>
  </si>
  <si>
    <t>6-C</t>
  </si>
  <si>
    <t>AVALON PARK</t>
  </si>
  <si>
    <t>BURNSIDE</t>
  </si>
  <si>
    <t>CALUMET HEIGHTS</t>
  </si>
  <si>
    <t>NEAR SOUTH SIDE</t>
  </si>
  <si>
    <t>NEAR NORTH SIDE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</si>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</sst>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0.000"/>
    <numFmt numFmtId="169" formatCode="_(&quot;$&quot;* #,##0_);_(&quot;$&quot;* \(#,##0\);_(&quot;$&quot;* &quot;-&quot;??_);_(@_)"/>
    <numFmt numFmtId="170" formatCode="_(&quot;$&quot;* #,##0_);_(&quot;$&quot;* \(#,##0\);_(&quot;$&quot;* &quot;-&quot;?_);_(@_)"/>
    <numFmt numFmtId="171" formatCode="_([$$-409]* #,##0_);_([$$-409]* \(#,##0\);_([$$-409]* &quot;-&quot;??_);_(@_)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u val="singleAccounting"/>
      <sz val="11"/>
      <color theme="8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sz val="21"/>
      <color theme="0"/>
      <name val="Calibri"/>
      <family val="2"/>
      <scheme val="minor"/>
    </font>
    <font>
      <sz val="21"/>
      <color theme="1"/>
      <name val="Calibri"/>
      <family val="2"/>
      <scheme val="minor"/>
    </font>
    <font>
      <sz val="2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8"/>
      <name val="Calibri"/>
      <family val="2"/>
      <scheme val="minor"/>
    </font>
    <font>
      <b/>
      <u/>
      <sz val="11"/>
      <color theme="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darkUp">
        <fgColor theme="3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8">
    <xf numFmtId="0" fontId="0" fillId="0" borderId="0" xfId="0"/>
    <xf numFmtId="167" fontId="0" fillId="0" borderId="0" xfId="0" applyNumberFormat="1"/>
    <xf numFmtId="0" fontId="4" fillId="0" borderId="0" xfId="0" applyFont="1"/>
    <xf numFmtId="166" fontId="0" fillId="0" borderId="0" xfId="0" applyNumberFormat="1"/>
    <xf numFmtId="0" fontId="6" fillId="0" borderId="0" xfId="0" applyFont="1"/>
    <xf numFmtId="2" fontId="0" fillId="0" borderId="0" xfId="0" applyNumberFormat="1"/>
    <xf numFmtId="2" fontId="5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/>
    </xf>
    <xf numFmtId="0" fontId="0" fillId="0" borderId="1" xfId="0" applyBorder="1"/>
    <xf numFmtId="0" fontId="0" fillId="0" borderId="0" xfId="0" applyAlignment="1">
      <alignment horizontal="left" indent="2"/>
    </xf>
    <xf numFmtId="0" fontId="11" fillId="2" borderId="0" xfId="0" applyFont="1" applyFill="1"/>
    <xf numFmtId="0" fontId="12" fillId="2" borderId="0" xfId="0" applyFont="1" applyFill="1"/>
    <xf numFmtId="0" fontId="10" fillId="0" borderId="0" xfId="0" applyFont="1" applyAlignment="1">
      <alignment horizontal="center"/>
    </xf>
    <xf numFmtId="166" fontId="13" fillId="0" borderId="0" xfId="1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6" fontId="13" fillId="0" borderId="0" xfId="1" applyNumberFormat="1" applyFont="1" applyFill="1"/>
    <xf numFmtId="166" fontId="14" fillId="0" borderId="0" xfId="0" applyNumberFormat="1" applyFont="1"/>
    <xf numFmtId="10" fontId="3" fillId="0" borderId="0" xfId="5" applyNumberFormat="1" applyFont="1"/>
    <xf numFmtId="10" fontId="4" fillId="0" borderId="0" xfId="5" applyNumberFormat="1" applyFont="1"/>
    <xf numFmtId="0" fontId="15" fillId="2" borderId="0" xfId="0" applyFont="1" applyFill="1" applyAlignment="1">
      <alignment horizontal="right"/>
    </xf>
    <xf numFmtId="167" fontId="13" fillId="0" borderId="0" xfId="5" applyNumberFormat="1" applyFont="1"/>
    <xf numFmtId="167" fontId="14" fillId="0" borderId="0" xfId="5" applyNumberFormat="1" applyFont="1"/>
    <xf numFmtId="167" fontId="16" fillId="3" borderId="3" xfId="5" applyNumberFormat="1" applyFont="1" applyFill="1" applyBorder="1"/>
    <xf numFmtId="167" fontId="16" fillId="3" borderId="4" xfId="5" applyNumberFormat="1" applyFont="1" applyFill="1" applyBorder="1"/>
    <xf numFmtId="167" fontId="17" fillId="3" borderId="5" xfId="5" applyNumberFormat="1" applyFont="1" applyFill="1" applyBorder="1"/>
    <xf numFmtId="0" fontId="18" fillId="0" borderId="0" xfId="0" applyFont="1"/>
    <xf numFmtId="0" fontId="5" fillId="0" borderId="0" xfId="0" applyFont="1"/>
    <xf numFmtId="0" fontId="19" fillId="0" borderId="0" xfId="0" applyFont="1" applyAlignment="1">
      <alignment horizontal="right"/>
    </xf>
    <xf numFmtId="168" fontId="13" fillId="0" borderId="0" xfId="0" applyNumberFormat="1" applyFont="1"/>
    <xf numFmtId="165" fontId="13" fillId="0" borderId="0" xfId="1" applyNumberFormat="1" applyFont="1" applyFill="1"/>
    <xf numFmtId="43" fontId="13" fillId="0" borderId="0" xfId="1" applyFont="1"/>
    <xf numFmtId="43" fontId="14" fillId="0" borderId="0" xfId="1" applyFont="1"/>
    <xf numFmtId="0" fontId="20" fillId="3" borderId="0" xfId="0" applyFont="1" applyFill="1"/>
    <xf numFmtId="0" fontId="21" fillId="3" borderId="0" xfId="0" applyFont="1" applyFill="1" applyAlignment="1">
      <alignment horizontal="right"/>
    </xf>
    <xf numFmtId="0" fontId="22" fillId="0" borderId="0" xfId="0" applyFont="1"/>
    <xf numFmtId="168" fontId="13" fillId="0" borderId="6" xfId="0" applyNumberFormat="1" applyFont="1" applyBorder="1"/>
    <xf numFmtId="0" fontId="13" fillId="0" borderId="7" xfId="0" applyFont="1" applyBorder="1"/>
    <xf numFmtId="0" fontId="13" fillId="0" borderId="7" xfId="0" applyFont="1" applyBorder="1" applyAlignment="1">
      <alignment horizontal="center"/>
    </xf>
    <xf numFmtId="166" fontId="13" fillId="0" borderId="7" xfId="1" applyNumberFormat="1" applyFont="1" applyBorder="1"/>
    <xf numFmtId="166" fontId="13" fillId="0" borderId="8" xfId="1" applyNumberFormat="1" applyFont="1" applyBorder="1"/>
    <xf numFmtId="168" fontId="0" fillId="0" borderId="0" xfId="0" applyNumberFormat="1"/>
    <xf numFmtId="0" fontId="4" fillId="3" borderId="0" xfId="0" applyFont="1" applyFill="1"/>
    <xf numFmtId="0" fontId="0" fillId="3" borderId="0" xfId="0" applyFill="1"/>
    <xf numFmtId="165" fontId="13" fillId="0" borderId="0" xfId="1" applyNumberFormat="1" applyFont="1"/>
    <xf numFmtId="165" fontId="14" fillId="0" borderId="0" xfId="1" applyNumberFormat="1" applyFont="1"/>
    <xf numFmtId="166" fontId="14" fillId="0" borderId="0" xfId="1" applyNumberFormat="1" applyFont="1"/>
    <xf numFmtId="165" fontId="14" fillId="0" borderId="0" xfId="0" applyNumberFormat="1" applyFont="1"/>
    <xf numFmtId="166" fontId="14" fillId="0" borderId="2" xfId="0" applyNumberFormat="1" applyFont="1" applyBorder="1"/>
    <xf numFmtId="166" fontId="14" fillId="0" borderId="2" xfId="1" applyNumberFormat="1" applyFont="1" applyBorder="1"/>
    <xf numFmtId="0" fontId="4" fillId="0" borderId="2" xfId="0" applyFont="1" applyBorder="1"/>
    <xf numFmtId="166" fontId="14" fillId="0" borderId="2" xfId="1" applyNumberFormat="1" applyFont="1" applyFill="1" applyBorder="1"/>
    <xf numFmtId="0" fontId="23" fillId="0" borderId="0" xfId="0" applyFont="1"/>
    <xf numFmtId="0" fontId="24" fillId="0" borderId="0" xfId="0" applyFont="1"/>
    <xf numFmtId="0" fontId="6" fillId="0" borderId="2" xfId="0" applyFont="1" applyBorder="1"/>
    <xf numFmtId="0" fontId="0" fillId="0" borderId="2" xfId="0" applyBorder="1"/>
    <xf numFmtId="0" fontId="13" fillId="0" borderId="0" xfId="0" applyFont="1"/>
    <xf numFmtId="164" fontId="14" fillId="0" borderId="0" xfId="0" applyNumberFormat="1" applyFont="1"/>
    <xf numFmtId="0" fontId="12" fillId="2" borderId="0" xfId="0" applyFont="1" applyFill="1" applyAlignment="1">
      <alignment horizontal="right"/>
    </xf>
    <xf numFmtId="0" fontId="13" fillId="0" borderId="0" xfId="0" applyFont="1" applyAlignment="1">
      <alignment horizontal="center"/>
    </xf>
    <xf numFmtId="164" fontId="0" fillId="0" borderId="0" xfId="0" applyNumberFormat="1"/>
    <xf numFmtId="164" fontId="13" fillId="0" borderId="0" xfId="0" applyNumberFormat="1" applyFont="1"/>
    <xf numFmtId="164" fontId="0" fillId="0" borderId="1" xfId="0" applyNumberFormat="1" applyBorder="1"/>
    <xf numFmtId="0" fontId="25" fillId="0" borderId="0" xfId="0" applyFont="1"/>
    <xf numFmtId="0" fontId="12" fillId="4" borderId="0" xfId="0" applyFont="1" applyFill="1"/>
    <xf numFmtId="0" fontId="12" fillId="5" borderId="0" xfId="0" applyFont="1" applyFill="1"/>
    <xf numFmtId="0" fontId="12" fillId="6" borderId="0" xfId="0" applyFont="1" applyFill="1"/>
    <xf numFmtId="164" fontId="26" fillId="0" borderId="0" xfId="0" applyNumberFormat="1" applyFont="1"/>
    <xf numFmtId="0" fontId="27" fillId="0" borderId="0" xfId="0" applyFont="1"/>
    <xf numFmtId="0" fontId="25" fillId="0" borderId="0" xfId="0" applyFont="1" applyAlignment="1">
      <alignment horizontal="left" indent="2"/>
    </xf>
    <xf numFmtId="0" fontId="0" fillId="0" borderId="0" xfId="0" applyAlignment="1">
      <alignment horizontal="right"/>
    </xf>
    <xf numFmtId="14" fontId="0" fillId="7" borderId="9" xfId="0" applyNumberFormat="1" applyFill="1" applyBorder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19" fillId="0" borderId="0" xfId="0" applyFont="1"/>
    <xf numFmtId="164" fontId="14" fillId="0" borderId="2" xfId="0" applyNumberFormat="1" applyFont="1" applyBorder="1"/>
    <xf numFmtId="2" fontId="13" fillId="0" borderId="0" xfId="0" applyNumberFormat="1" applyFont="1"/>
    <xf numFmtId="0" fontId="28" fillId="0" borderId="0" xfId="0" applyFont="1"/>
    <xf numFmtId="167" fontId="13" fillId="0" borderId="0" xfId="5" applyNumberFormat="1" applyFont="1" applyFill="1"/>
    <xf numFmtId="167" fontId="14" fillId="0" borderId="0" xfId="5" applyNumberFormat="1" applyFont="1" applyFill="1"/>
    <xf numFmtId="167" fontId="13" fillId="0" borderId="1" xfId="5" applyNumberFormat="1" applyFont="1" applyFill="1" applyBorder="1"/>
    <xf numFmtId="167" fontId="14" fillId="0" borderId="1" xfId="5" applyNumberFormat="1" applyFont="1" applyFill="1" applyBorder="1"/>
    <xf numFmtId="0" fontId="0" fillId="0" borderId="1" xfId="0" applyBorder="1" applyAlignment="1">
      <alignment horizontal="center"/>
    </xf>
    <xf numFmtId="0" fontId="12" fillId="8" borderId="0" xfId="0" applyFont="1" applyFill="1"/>
    <xf numFmtId="164" fontId="23" fillId="0" borderId="2" xfId="0" applyNumberFormat="1" applyFont="1" applyBorder="1"/>
    <xf numFmtId="166" fontId="14" fillId="0" borderId="0" xfId="1" applyNumberFormat="1" applyFont="1" applyFill="1"/>
    <xf numFmtId="169" fontId="13" fillId="0" borderId="0" xfId="0" applyNumberFormat="1" applyFont="1"/>
    <xf numFmtId="0" fontId="22" fillId="0" borderId="0" xfId="0" applyFont="1" applyAlignment="1">
      <alignment horizontal="right"/>
    </xf>
    <xf numFmtId="0" fontId="7" fillId="0" borderId="0" xfId="0" applyFont="1"/>
    <xf numFmtId="0" fontId="29" fillId="0" borderId="0" xfId="0" applyFont="1"/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4"/>
    </xf>
    <xf numFmtId="0" fontId="30" fillId="4" borderId="0" xfId="0" applyFont="1" applyFill="1"/>
    <xf numFmtId="0" fontId="31" fillId="4" borderId="0" xfId="0" applyFont="1" applyFill="1"/>
    <xf numFmtId="0" fontId="31" fillId="0" borderId="0" xfId="0" applyFont="1"/>
    <xf numFmtId="0" fontId="32" fillId="0" borderId="0" xfId="0" applyFont="1"/>
    <xf numFmtId="166" fontId="0" fillId="0" borderId="0" xfId="1" applyNumberFormat="1" applyFont="1" applyBorder="1"/>
    <xf numFmtId="166" fontId="13" fillId="0" borderId="0" xfId="1" applyNumberFormat="1" applyFont="1" applyBorder="1"/>
    <xf numFmtId="0" fontId="35" fillId="4" borderId="0" xfId="0" applyFont="1" applyFill="1"/>
    <xf numFmtId="0" fontId="36" fillId="4" borderId="0" xfId="0" applyFont="1" applyFill="1"/>
    <xf numFmtId="0" fontId="36" fillId="0" borderId="0" xfId="0" applyFont="1"/>
    <xf numFmtId="0" fontId="37" fillId="0" borderId="0" xfId="0" applyFont="1"/>
    <xf numFmtId="167" fontId="0" fillId="0" borderId="0" xfId="5" applyNumberFormat="1" applyFont="1"/>
    <xf numFmtId="164" fontId="4" fillId="0" borderId="2" xfId="0" applyNumberFormat="1" applyFont="1" applyBorder="1"/>
    <xf numFmtId="0" fontId="0" fillId="0" borderId="10" xfId="0" applyBorder="1"/>
    <xf numFmtId="169" fontId="0" fillId="0" borderId="0" xfId="2" applyNumberFormat="1" applyFont="1" applyFill="1" applyBorder="1"/>
    <xf numFmtId="169" fontId="0" fillId="0" borderId="11" xfId="2" applyNumberFormat="1" applyFont="1" applyFill="1" applyBorder="1"/>
    <xf numFmtId="169" fontId="0" fillId="0" borderId="10" xfId="2" applyNumberFormat="1" applyFont="1" applyFill="1" applyBorder="1"/>
    <xf numFmtId="169" fontId="0" fillId="0" borderId="11" xfId="0" applyNumberFormat="1" applyBorder="1"/>
    <xf numFmtId="169" fontId="0" fillId="0" borderId="10" xfId="0" applyNumberFormat="1" applyBorder="1"/>
    <xf numFmtId="169" fontId="0" fillId="0" borderId="0" xfId="0" applyNumberFormat="1"/>
    <xf numFmtId="170" fontId="4" fillId="0" borderId="2" xfId="0" applyNumberFormat="1" applyFont="1" applyBorder="1"/>
    <xf numFmtId="171" fontId="4" fillId="0" borderId="2" xfId="0" applyNumberFormat="1" applyFont="1" applyBorder="1"/>
    <xf numFmtId="2" fontId="0" fillId="0" borderId="10" xfId="0" applyNumberFormat="1" applyBorder="1"/>
    <xf numFmtId="2" fontId="0" fillId="0" borderId="11" xfId="0" applyNumberFormat="1" applyBorder="1"/>
    <xf numFmtId="0" fontId="12" fillId="2" borderId="10" xfId="0" applyFont="1" applyFill="1" applyBorder="1"/>
    <xf numFmtId="0" fontId="12" fillId="2" borderId="11" xfId="0" applyFont="1" applyFill="1" applyBorder="1"/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164" fontId="0" fillId="0" borderId="10" xfId="0" applyNumberFormat="1" applyBorder="1"/>
    <xf numFmtId="164" fontId="0" fillId="0" borderId="11" xfId="0" applyNumberFormat="1" applyBorder="1"/>
    <xf numFmtId="164" fontId="14" fillId="0" borderId="12" xfId="0" applyNumberFormat="1" applyFont="1" applyBorder="1"/>
    <xf numFmtId="164" fontId="14" fillId="0" borderId="13" xfId="0" applyNumberFormat="1" applyFont="1" applyBorder="1"/>
    <xf numFmtId="164" fontId="14" fillId="0" borderId="10" xfId="0" applyNumberFormat="1" applyFont="1" applyBorder="1"/>
    <xf numFmtId="164" fontId="14" fillId="0" borderId="11" xfId="0" applyNumberFormat="1" applyFont="1" applyBorder="1"/>
    <xf numFmtId="164" fontId="13" fillId="0" borderId="10" xfId="0" applyNumberFormat="1" applyFont="1" applyBorder="1"/>
    <xf numFmtId="164" fontId="13" fillId="0" borderId="11" xfId="0" applyNumberFormat="1" applyFont="1" applyBorder="1"/>
    <xf numFmtId="0" fontId="0" fillId="0" borderId="11" xfId="0" applyBorder="1"/>
    <xf numFmtId="0" fontId="4" fillId="3" borderId="10" xfId="0" applyFont="1" applyFill="1" applyBorder="1"/>
    <xf numFmtId="0" fontId="4" fillId="3" borderId="11" xfId="0" applyFont="1" applyFill="1" applyBorder="1"/>
    <xf numFmtId="164" fontId="0" fillId="0" borderId="14" xfId="0" applyNumberFormat="1" applyBorder="1"/>
    <xf numFmtId="164" fontId="0" fillId="0" borderId="15" xfId="0" applyNumberFormat="1" applyBorder="1"/>
    <xf numFmtId="0" fontId="0" fillId="3" borderId="10" xfId="0" applyFill="1" applyBorder="1"/>
    <xf numFmtId="0" fontId="0" fillId="3" borderId="11" xfId="0" applyFill="1" applyBorder="1"/>
    <xf numFmtId="0" fontId="0" fillId="0" borderId="14" xfId="0" applyBorder="1"/>
    <xf numFmtId="0" fontId="0" fillId="0" borderId="15" xfId="0" applyBorder="1"/>
    <xf numFmtId="0" fontId="4" fillId="0" borderId="12" xfId="0" applyFont="1" applyBorder="1"/>
    <xf numFmtId="170" fontId="4" fillId="0" borderId="13" xfId="0" applyNumberFormat="1" applyFont="1" applyBorder="1"/>
    <xf numFmtId="169" fontId="13" fillId="0" borderId="11" xfId="0" applyNumberFormat="1" applyFont="1" applyBorder="1"/>
    <xf numFmtId="0" fontId="22" fillId="0" borderId="10" xfId="0" applyFont="1" applyBorder="1" applyAlignment="1">
      <alignment horizontal="right"/>
    </xf>
    <xf numFmtId="0" fontId="22" fillId="0" borderId="11" xfId="0" applyFont="1" applyBorder="1" applyAlignment="1">
      <alignment horizontal="right"/>
    </xf>
    <xf numFmtId="0" fontId="36" fillId="4" borderId="10" xfId="0" applyFont="1" applyFill="1" applyBorder="1"/>
    <xf numFmtId="0" fontId="36" fillId="4" borderId="11" xfId="0" applyFont="1" applyFill="1" applyBorder="1"/>
    <xf numFmtId="166" fontId="0" fillId="0" borderId="10" xfId="1" applyNumberFormat="1" applyFont="1" applyBorder="1"/>
    <xf numFmtId="166" fontId="0" fillId="0" borderId="11" xfId="1" applyNumberFormat="1" applyFont="1" applyBorder="1"/>
    <xf numFmtId="167" fontId="0" fillId="0" borderId="10" xfId="5" applyNumberFormat="1" applyFont="1" applyBorder="1"/>
    <xf numFmtId="167" fontId="0" fillId="0" borderId="0" xfId="5" applyNumberFormat="1" applyFont="1" applyBorder="1"/>
    <xf numFmtId="167" fontId="0" fillId="0" borderId="11" xfId="5" applyNumberFormat="1" applyFont="1" applyBorder="1"/>
    <xf numFmtId="167" fontId="0" fillId="0" borderId="10" xfId="0" applyNumberFormat="1" applyBorder="1"/>
    <xf numFmtId="167" fontId="0" fillId="0" borderId="11" xfId="0" applyNumberFormat="1" applyBorder="1"/>
    <xf numFmtId="166" fontId="13" fillId="0" borderId="10" xfId="1" applyNumberFormat="1" applyFont="1" applyBorder="1"/>
    <xf numFmtId="166" fontId="13" fillId="0" borderId="11" xfId="1" applyNumberFormat="1" applyFont="1" applyBorder="1"/>
    <xf numFmtId="166" fontId="14" fillId="0" borderId="10" xfId="1" applyNumberFormat="1" applyFont="1" applyBorder="1"/>
    <xf numFmtId="166" fontId="14" fillId="0" borderId="0" xfId="1" applyNumberFormat="1" applyFont="1" applyBorder="1"/>
    <xf numFmtId="166" fontId="14" fillId="0" borderId="11" xfId="1" applyNumberFormat="1" applyFont="1" applyBorder="1"/>
    <xf numFmtId="0" fontId="31" fillId="4" borderId="10" xfId="0" applyFont="1" applyFill="1" applyBorder="1"/>
    <xf numFmtId="0" fontId="31" fillId="4" borderId="11" xfId="0" applyFont="1" applyFill="1" applyBorder="1"/>
    <xf numFmtId="164" fontId="23" fillId="0" borderId="0" xfId="0" applyNumberFormat="1" applyFont="1"/>
    <xf numFmtId="164" fontId="0" fillId="0" borderId="11" xfId="0" applyNumberFormat="1" applyBorder="1" applyAlignment="1">
      <alignment horizontal="right"/>
    </xf>
    <xf numFmtId="170" fontId="4" fillId="0" borderId="12" xfId="0" applyNumberFormat="1" applyFont="1" applyBorder="1"/>
    <xf numFmtId="170" fontId="13" fillId="0" borderId="0" xfId="0" applyNumberFormat="1" applyFont="1"/>
    <xf numFmtId="170" fontId="0" fillId="0" borderId="11" xfId="0" applyNumberFormat="1" applyBorder="1"/>
    <xf numFmtId="169" fontId="13" fillId="0" borderId="10" xfId="0" applyNumberFormat="1" applyFont="1" applyBorder="1"/>
    <xf numFmtId="167" fontId="3" fillId="0" borderId="11" xfId="5" applyNumberFormat="1" applyFont="1" applyBorder="1"/>
    <xf numFmtId="164" fontId="33" fillId="7" borderId="11" xfId="0" applyNumberFormat="1" applyFont="1" applyFill="1" applyBorder="1"/>
    <xf numFmtId="164" fontId="23" fillId="7" borderId="13" xfId="0" applyNumberFormat="1" applyFont="1" applyFill="1" applyBorder="1"/>
    <xf numFmtId="164" fontId="34" fillId="0" borderId="11" xfId="0" applyNumberFormat="1" applyFont="1" applyBorder="1"/>
    <xf numFmtId="164" fontId="33" fillId="7" borderId="15" xfId="0" applyNumberFormat="1" applyFont="1" applyFill="1" applyBorder="1"/>
    <xf numFmtId="165" fontId="14" fillId="0" borderId="0" xfId="1" applyNumberFormat="1" applyFont="1" applyFill="1"/>
    <xf numFmtId="165" fontId="13" fillId="0" borderId="1" xfId="1" applyNumberFormat="1" applyFont="1" applyFill="1" applyBorder="1"/>
    <xf numFmtId="165" fontId="14" fillId="0" borderId="1" xfId="1" applyNumberFormat="1" applyFont="1" applyFill="1" applyBorder="1"/>
    <xf numFmtId="165" fontId="13" fillId="0" borderId="0" xfId="0" applyNumberFormat="1" applyFont="1"/>
    <xf numFmtId="165" fontId="14" fillId="0" borderId="0" xfId="1" applyNumberFormat="1" applyFont="1" applyFill="1" applyBorder="1"/>
    <xf numFmtId="165" fontId="14" fillId="0" borderId="2" xfId="1" applyNumberFormat="1" applyFont="1" applyFill="1" applyBorder="1"/>
    <xf numFmtId="165" fontId="13" fillId="0" borderId="0" xfId="1" applyNumberFormat="1" applyFont="1" applyAlignment="1">
      <alignment horizontal="left" indent="2"/>
    </xf>
    <xf numFmtId="165" fontId="14" fillId="0" borderId="0" xfId="1" applyNumberFormat="1" applyFont="1" applyAlignment="1">
      <alignment horizontal="left" indent="2"/>
    </xf>
    <xf numFmtId="165" fontId="3" fillId="0" borderId="0" xfId="5" applyNumberFormat="1" applyFont="1"/>
    <xf numFmtId="165" fontId="4" fillId="0" borderId="0" xfId="5" applyNumberFormat="1" applyFont="1"/>
    <xf numFmtId="165" fontId="20" fillId="3" borderId="0" xfId="0" applyNumberFormat="1" applyFont="1" applyFill="1"/>
    <xf numFmtId="165" fontId="21" fillId="3" borderId="0" xfId="0" applyNumberFormat="1" applyFont="1" applyFill="1" applyAlignment="1">
      <alignment horizontal="right"/>
    </xf>
    <xf numFmtId="165" fontId="0" fillId="0" borderId="0" xfId="0" applyNumberFormat="1"/>
    <xf numFmtId="165" fontId="4" fillId="0" borderId="0" xfId="0" applyNumberFormat="1" applyFont="1"/>
    <xf numFmtId="0" fontId="10" fillId="9" borderId="0" xfId="0" applyFont="1" applyFill="1" applyAlignment="1">
      <alignment horizontal="right"/>
    </xf>
    <xf numFmtId="168" fontId="0" fillId="9" borderId="0" xfId="0" applyNumberFormat="1" applyFill="1"/>
    <xf numFmtId="166" fontId="13" fillId="9" borderId="0" xfId="1" applyNumberFormat="1" applyFont="1" applyFill="1"/>
    <xf numFmtId="167" fontId="0" fillId="9" borderId="0" xfId="0" applyNumberFormat="1" applyFill="1"/>
    <xf numFmtId="167" fontId="4" fillId="9" borderId="0" xfId="0" applyNumberFormat="1" applyFont="1" applyFill="1"/>
    <xf numFmtId="0" fontId="38" fillId="0" borderId="0" xfId="0" applyFont="1"/>
    <xf numFmtId="169" fontId="26" fillId="7" borderId="11" xfId="0" applyNumberFormat="1" applyFont="1" applyFill="1" applyBorder="1"/>
    <xf numFmtId="169" fontId="26" fillId="7" borderId="11" xfId="2" applyNumberFormat="1" applyFont="1" applyFill="1" applyBorder="1"/>
    <xf numFmtId="171" fontId="23" fillId="7" borderId="13" xfId="0" applyNumberFormat="1" applyFont="1" applyFill="1" applyBorder="1"/>
    <xf numFmtId="169" fontId="0" fillId="0" borderId="11" xfId="2" applyNumberFormat="1" applyFont="1" applyBorder="1"/>
    <xf numFmtId="167" fontId="25" fillId="0" borderId="0" xfId="5" applyNumberFormat="1" applyFont="1"/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9" fontId="0" fillId="0" borderId="10" xfId="5" applyFont="1" applyBorder="1"/>
    <xf numFmtId="9" fontId="0" fillId="0" borderId="0" xfId="5" applyFont="1" applyBorder="1"/>
    <xf numFmtId="0" fontId="0" fillId="10" borderId="0" xfId="0" applyFill="1"/>
    <xf numFmtId="9" fontId="13" fillId="0" borderId="0" xfId="5" applyFont="1"/>
    <xf numFmtId="9" fontId="13" fillId="0" borderId="10" xfId="5" applyFont="1" applyBorder="1"/>
    <xf numFmtId="9" fontId="13" fillId="0" borderId="0" xfId="5" applyFont="1" applyBorder="1"/>
    <xf numFmtId="9" fontId="13" fillId="0" borderId="11" xfId="5" applyFont="1" applyBorder="1"/>
    <xf numFmtId="9" fontId="0" fillId="0" borderId="0" xfId="5" applyFont="1"/>
    <xf numFmtId="9" fontId="25" fillId="0" borderId="0" xfId="5" applyFont="1"/>
    <xf numFmtId="0" fontId="9" fillId="0" borderId="0" xfId="0" applyFont="1" applyAlignment="1">
      <alignment horizontal="center"/>
    </xf>
    <xf numFmtId="167" fontId="14" fillId="0" borderId="10" xfId="5" applyNumberFormat="1" applyFont="1" applyBorder="1"/>
    <xf numFmtId="0" fontId="9" fillId="0" borderId="0" xfId="0" applyFont="1" applyAlignment="1">
      <alignment horizontal="center"/>
    </xf>
    <xf numFmtId="2" fontId="10" fillId="0" borderId="1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0" fillId="9" borderId="0" xfId="0" applyFont="1" applyFill="1" applyAlignment="1">
      <alignment horizontal="center"/>
    </xf>
  </cellXfs>
  <cellStyles count="7">
    <cellStyle name="Comma" xfId="1" builtinId="3"/>
    <cellStyle name="Currency" xfId="2" builtinId="4"/>
    <cellStyle name="Currency 2" xfId="3" xr:uid="{00000000-0005-0000-0000-000003000000}"/>
    <cellStyle name="Normal" xfId="0" builtinId="0"/>
    <cellStyle name="Normal 2" xfId="4" xr:uid="{00000000-0005-0000-0000-000005000000}"/>
    <cellStyle name="Percent" xfId="5" builtinId="5"/>
    <cellStyle name="Percent 2" xfId="6" xr:uid="{00000000-0005-0000-0000-000007000000}"/>
  </cellStyles>
  <dxfs count="3">
    <dxf>
      <font>
        <b/>
        <i val="0"/>
        <color theme="0"/>
      </font>
      <fill>
        <patternFill>
          <bgColor theme="5"/>
        </patternFill>
      </fill>
    </dxf>
    <dxf>
      <font>
        <color theme="7"/>
      </font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by Year</a:t>
            </a:r>
            <a:r>
              <a:rPr lang="en-US" baseline="0"/>
              <a:t> Buildout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areaChart>
        <c:grouping val="stacked"/>
        <c:varyColors val="0"/>
        <c:ser>
          <c:idx val="4"/>
          <c:order val="0"/>
          <c:tx>
            <c:strRef>
              <c:f>Summary!$A$32</c:f>
              <c:strCache>
                <c:ptCount val="1"/>
                <c:pt idx="0">
                  <c:v>Marked Shared Lanes</c:v>
                </c:pt>
              </c:strCache>
            </c:strRef>
          </c:tx>
          <c:spPr>
            <a:solidFill>
              <a:srgbClr val="EF6922"/>
            </a:solidFill>
            <a:ln w="25400">
              <a:noFill/>
            </a:ln>
          </c:spPr>
          <c:cat>
            <c:numRef>
              <c:f>Summary!$B$27:$N$27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Summary!$B$32:$N$32</c:f>
              <c:numCache>
                <c:formatCode>0.0</c:formatCode>
                <c:ptCount val="13"/>
                <c:pt idx="0">
                  <c:v>30</c:v>
                </c:pt>
                <c:pt idx="1">
                  <c:v>39</c:v>
                </c:pt>
                <c:pt idx="2">
                  <c:v>39.85</c:v>
                </c:pt>
                <c:pt idx="3">
                  <c:v>40</c:v>
                </c:pt>
                <c:pt idx="4">
                  <c:v>41.5</c:v>
                </c:pt>
                <c:pt idx="5">
                  <c:v>45.7</c:v>
                </c:pt>
                <c:pt idx="6">
                  <c:v>45.7</c:v>
                </c:pt>
                <c:pt idx="7">
                  <c:v>45.4</c:v>
                </c:pt>
                <c:pt idx="8">
                  <c:v>45.474801331811747</c:v>
                </c:pt>
                <c:pt idx="9">
                  <c:v>44.4</c:v>
                </c:pt>
                <c:pt idx="10">
                  <c:v>44.9</c:v>
                </c:pt>
                <c:pt idx="11">
                  <c:v>52.026724711724498</c:v>
                </c:pt>
                <c:pt idx="12">
                  <c:v>49.74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A-46DD-B65A-565B9F96FA3E}"/>
            </c:ext>
          </c:extLst>
        </c:ser>
        <c:ser>
          <c:idx val="3"/>
          <c:order val="1"/>
          <c:tx>
            <c:strRef>
              <c:f>Summary!$A$31</c:f>
              <c:strCache>
                <c:ptCount val="1"/>
                <c:pt idx="0">
                  <c:v>Neighborhood Greenways</c:v>
                </c:pt>
              </c:strCache>
            </c:strRef>
          </c:tx>
          <c:spPr>
            <a:solidFill>
              <a:srgbClr val="8CC63F"/>
            </a:solidFill>
            <a:ln w="25400">
              <a:noFill/>
            </a:ln>
          </c:spPr>
          <c:cat>
            <c:numRef>
              <c:f>Summary!$B$27:$N$27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Summary!$B$31:$N$31</c:f>
              <c:numCache>
                <c:formatCode>0.0</c:formatCode>
                <c:ptCount val="13"/>
                <c:pt idx="0">
                  <c:v>0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2.1</c:v>
                </c:pt>
                <c:pt idx="7">
                  <c:v>3.2</c:v>
                </c:pt>
                <c:pt idx="8">
                  <c:v>11.448654824888697</c:v>
                </c:pt>
                <c:pt idx="9">
                  <c:v>14.4</c:v>
                </c:pt>
                <c:pt idx="10">
                  <c:v>17.399999999999999</c:v>
                </c:pt>
                <c:pt idx="11">
                  <c:v>26.8506288855971</c:v>
                </c:pt>
                <c:pt idx="12">
                  <c:v>39.17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A-46DD-B65A-565B9F96FA3E}"/>
            </c:ext>
          </c:extLst>
        </c:ser>
        <c:ser>
          <c:idx val="2"/>
          <c:order val="2"/>
          <c:tx>
            <c:strRef>
              <c:f>Summary!$A$30</c:f>
              <c:strCache>
                <c:ptCount val="1"/>
                <c:pt idx="0">
                  <c:v>Bike Lanes</c:v>
                </c:pt>
              </c:strCache>
            </c:strRef>
          </c:tx>
          <c:spPr>
            <a:solidFill>
              <a:srgbClr val="00A4E4"/>
            </a:solidFill>
            <a:ln w="25400">
              <a:noFill/>
            </a:ln>
          </c:spPr>
          <c:cat>
            <c:numRef>
              <c:f>Summary!$B$27:$N$27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Summary!$B$30:$N$30</c:f>
              <c:numCache>
                <c:formatCode>0.0</c:formatCode>
                <c:ptCount val="13"/>
                <c:pt idx="0">
                  <c:v>116</c:v>
                </c:pt>
                <c:pt idx="1">
                  <c:v>133</c:v>
                </c:pt>
                <c:pt idx="2">
                  <c:v>134.19999999999999</c:v>
                </c:pt>
                <c:pt idx="3">
                  <c:v>117.5</c:v>
                </c:pt>
                <c:pt idx="4">
                  <c:v>99</c:v>
                </c:pt>
                <c:pt idx="5">
                  <c:v>88.5</c:v>
                </c:pt>
                <c:pt idx="6">
                  <c:v>85.6</c:v>
                </c:pt>
                <c:pt idx="7">
                  <c:v>82.7</c:v>
                </c:pt>
                <c:pt idx="8">
                  <c:v>83.228265631937759</c:v>
                </c:pt>
                <c:pt idx="9">
                  <c:v>88</c:v>
                </c:pt>
                <c:pt idx="10">
                  <c:v>103.3</c:v>
                </c:pt>
                <c:pt idx="11">
                  <c:v>113.05000987613971</c:v>
                </c:pt>
                <c:pt idx="12">
                  <c:v>126.1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A-46DD-B65A-565B9F96FA3E}"/>
            </c:ext>
          </c:extLst>
        </c:ser>
        <c:ser>
          <c:idx val="1"/>
          <c:order val="3"/>
          <c:tx>
            <c:strRef>
              <c:f>Summary!$A$29</c:f>
              <c:strCache>
                <c:ptCount val="1"/>
                <c:pt idx="0">
                  <c:v>Buffered Bike Lanes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25400">
              <a:noFill/>
            </a:ln>
          </c:spPr>
          <c:cat>
            <c:numRef>
              <c:f>Summary!$B$27:$N$27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Summary!$B$29:$N$29</c:f>
              <c:numCache>
                <c:formatCode>0.0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18.649999999999999</c:v>
                </c:pt>
                <c:pt idx="3">
                  <c:v>33.5</c:v>
                </c:pt>
                <c:pt idx="4">
                  <c:v>67</c:v>
                </c:pt>
                <c:pt idx="5">
                  <c:v>87</c:v>
                </c:pt>
                <c:pt idx="6">
                  <c:v>88.8</c:v>
                </c:pt>
                <c:pt idx="7">
                  <c:v>95.1</c:v>
                </c:pt>
                <c:pt idx="8">
                  <c:v>105.885433742641</c:v>
                </c:pt>
                <c:pt idx="9">
                  <c:v>107.5</c:v>
                </c:pt>
                <c:pt idx="10">
                  <c:v>110.5</c:v>
                </c:pt>
                <c:pt idx="11">
                  <c:v>113.96737106439124</c:v>
                </c:pt>
                <c:pt idx="12">
                  <c:v>115.57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A-46DD-B65A-565B9F96FA3E}"/>
            </c:ext>
          </c:extLst>
        </c:ser>
        <c:ser>
          <c:idx val="0"/>
          <c:order val="4"/>
          <c:tx>
            <c:strRef>
              <c:f>Summary!$A$28</c:f>
              <c:strCache>
                <c:ptCount val="1"/>
                <c:pt idx="0">
                  <c:v>Protected Bike Lanes</c:v>
                </c:pt>
              </c:strCache>
            </c:strRef>
          </c:tx>
          <c:spPr>
            <a:solidFill>
              <a:srgbClr val="014965"/>
            </a:solidFill>
            <a:ln w="25400">
              <a:noFill/>
            </a:ln>
          </c:spPr>
          <c:cat>
            <c:numRef>
              <c:f>Summary!$B$27:$N$27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Summary!$B$28:$N$28</c:f>
              <c:numCache>
                <c:formatCode>0.0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11.4</c:v>
                </c:pt>
                <c:pt idx="3">
                  <c:v>15.5</c:v>
                </c:pt>
                <c:pt idx="4">
                  <c:v>18.5</c:v>
                </c:pt>
                <c:pt idx="5">
                  <c:v>21.35</c:v>
                </c:pt>
                <c:pt idx="6">
                  <c:v>22.55</c:v>
                </c:pt>
                <c:pt idx="7">
                  <c:v>22.5</c:v>
                </c:pt>
                <c:pt idx="8">
                  <c:v>23.450679652365004</c:v>
                </c:pt>
                <c:pt idx="9">
                  <c:v>24.3</c:v>
                </c:pt>
                <c:pt idx="10">
                  <c:v>26.7</c:v>
                </c:pt>
                <c:pt idx="11">
                  <c:v>35.220584989233799</c:v>
                </c:pt>
                <c:pt idx="12">
                  <c:v>37.56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A-46DD-B65A-565B9F96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765328"/>
        <c:axId val="1"/>
      </c:areaChart>
      <c:catAx>
        <c:axId val="2537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5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Low-Stress </a:t>
            </a:r>
            <a:r>
              <a:rPr lang="en-US" baseline="0"/>
              <a:t>Buildout over Baseline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Summary!$A$66</c:f>
              <c:strCache>
                <c:ptCount val="1"/>
                <c:pt idx="0">
                  <c:v>2010 Baseline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5400">
              <a:noFill/>
            </a:ln>
          </c:spPr>
          <c:cat>
            <c:numRef>
              <c:f>Summary!$B$63:$N$63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Summary!$B$66:$N$66</c:f>
              <c:numCache>
                <c:formatCode>0.0</c:formatCode>
                <c:ptCount val="13"/>
                <c:pt idx="0">
                  <c:v>146</c:v>
                </c:pt>
                <c:pt idx="1">
                  <c:v>146</c:v>
                </c:pt>
                <c:pt idx="2">
                  <c:v>146</c:v>
                </c:pt>
                <c:pt idx="3">
                  <c:v>146</c:v>
                </c:pt>
                <c:pt idx="4">
                  <c:v>146</c:v>
                </c:pt>
                <c:pt idx="5">
                  <c:v>146</c:v>
                </c:pt>
                <c:pt idx="6">
                  <c:v>146</c:v>
                </c:pt>
                <c:pt idx="7">
                  <c:v>146</c:v>
                </c:pt>
                <c:pt idx="8">
                  <c:v>146</c:v>
                </c:pt>
                <c:pt idx="9">
                  <c:v>146</c:v>
                </c:pt>
                <c:pt idx="10">
                  <c:v>146</c:v>
                </c:pt>
                <c:pt idx="11">
                  <c:v>146</c:v>
                </c:pt>
                <c:pt idx="12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3-4F54-AE49-9DF52BADC211}"/>
            </c:ext>
          </c:extLst>
        </c:ser>
        <c:ser>
          <c:idx val="2"/>
          <c:order val="1"/>
          <c:tx>
            <c:strRef>
              <c:f>Summary!$A$65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rgbClr val="00A4E4"/>
            </a:solidFill>
            <a:ln w="25400">
              <a:noFill/>
            </a:ln>
          </c:spPr>
          <c:cat>
            <c:numRef>
              <c:f>Summary!$B$63:$N$63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Summary!$B$65:$N$65</c:f>
              <c:numCache>
                <c:formatCode>0.0</c:formatCode>
                <c:ptCount val="13"/>
                <c:pt idx="0">
                  <c:v>0</c:v>
                </c:pt>
                <c:pt idx="1">
                  <c:v>27</c:v>
                </c:pt>
                <c:pt idx="2">
                  <c:v>46.699999999999989</c:v>
                </c:pt>
                <c:pt idx="3">
                  <c:v>45</c:v>
                </c:pt>
                <c:pt idx="4">
                  <c:v>61.5</c:v>
                </c:pt>
                <c:pt idx="5">
                  <c:v>75.200000000000017</c:v>
                </c:pt>
                <c:pt idx="6">
                  <c:v>74.099999999999994</c:v>
                </c:pt>
                <c:pt idx="7">
                  <c:v>77.200000000000017</c:v>
                </c:pt>
                <c:pt idx="8">
                  <c:v>88.588500706390505</c:v>
                </c:pt>
                <c:pt idx="9">
                  <c:v>93.900000000000034</c:v>
                </c:pt>
                <c:pt idx="10">
                  <c:v>112.69999999999993</c:v>
                </c:pt>
                <c:pt idx="11">
                  <c:v>133.04410565225544</c:v>
                </c:pt>
                <c:pt idx="12">
                  <c:v>145.41000000000003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3-4F54-AE49-9DF52BADC211}"/>
            </c:ext>
          </c:extLst>
        </c:ser>
        <c:ser>
          <c:idx val="3"/>
          <c:order val="2"/>
          <c:tx>
            <c:strRef>
              <c:f>Summary!$A$64</c:f>
              <c:strCache>
                <c:ptCount val="1"/>
                <c:pt idx="0">
                  <c:v>Low-Stress</c:v>
                </c:pt>
              </c:strCache>
            </c:strRef>
          </c:tx>
          <c:spPr>
            <a:solidFill>
              <a:srgbClr val="8CC63F"/>
            </a:solidFill>
            <a:ln w="25400">
              <a:noFill/>
            </a:ln>
          </c:spPr>
          <c:cat>
            <c:numRef>
              <c:f>Summary!$B$63:$N$63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Summary!$B$64:$N$64</c:f>
              <c:numCache>
                <c:formatCode>0.0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11.4</c:v>
                </c:pt>
                <c:pt idx="3">
                  <c:v>16.5</c:v>
                </c:pt>
                <c:pt idx="4">
                  <c:v>20</c:v>
                </c:pt>
                <c:pt idx="5">
                  <c:v>22.85</c:v>
                </c:pt>
                <c:pt idx="6">
                  <c:v>24.650000000000002</c:v>
                </c:pt>
                <c:pt idx="7">
                  <c:v>25.7</c:v>
                </c:pt>
                <c:pt idx="8">
                  <c:v>34.899334477253703</c:v>
                </c:pt>
                <c:pt idx="9">
                  <c:v>38.700000000000003</c:v>
                </c:pt>
                <c:pt idx="10">
                  <c:v>44.099999999999994</c:v>
                </c:pt>
                <c:pt idx="11">
                  <c:v>62.071213874830903</c:v>
                </c:pt>
                <c:pt idx="12">
                  <c:v>76.73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3-4F54-AE49-9DF52BAD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765328"/>
        <c:axId val="1"/>
      </c:areaChart>
      <c:catAx>
        <c:axId val="25376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53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Chicago Bikeway Network Growth 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Summary!$A$52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bg1"/>
              </a:solidFill>
            </a:ln>
            <a:effectLst/>
          </c:spPr>
          <c:cat>
            <c:numRef>
              <c:f>Summary!$B$51:$N$51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Summary!$B$52:$N$52</c:f>
              <c:numCache>
                <c:formatCode>0.0</c:formatCode>
                <c:ptCount val="13"/>
                <c:pt idx="0">
                  <c:v>146</c:v>
                </c:pt>
                <c:pt idx="1">
                  <c:v>173</c:v>
                </c:pt>
                <c:pt idx="2">
                  <c:v>192.7</c:v>
                </c:pt>
                <c:pt idx="3">
                  <c:v>191</c:v>
                </c:pt>
                <c:pt idx="4">
                  <c:v>207.5</c:v>
                </c:pt>
                <c:pt idx="5">
                  <c:v>221.2</c:v>
                </c:pt>
                <c:pt idx="6">
                  <c:v>220.10000000000002</c:v>
                </c:pt>
                <c:pt idx="7">
                  <c:v>223.2</c:v>
                </c:pt>
                <c:pt idx="8">
                  <c:v>234.58850070639051</c:v>
                </c:pt>
                <c:pt idx="9">
                  <c:v>239.9</c:v>
                </c:pt>
                <c:pt idx="10">
                  <c:v>258.7</c:v>
                </c:pt>
                <c:pt idx="11">
                  <c:v>279.04410565225544</c:v>
                </c:pt>
                <c:pt idx="12">
                  <c:v>291.40999999999997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A-4435-AE5D-B43B09735CF8}"/>
            </c:ext>
          </c:extLst>
        </c:ser>
        <c:ser>
          <c:idx val="1"/>
          <c:order val="1"/>
          <c:tx>
            <c:strRef>
              <c:f>Summary!$A$53</c:f>
              <c:strCache>
                <c:ptCount val="1"/>
                <c:pt idx="0">
                  <c:v>Low Stress</c:v>
                </c:pt>
              </c:strCache>
            </c:strRef>
          </c:tx>
          <c:spPr>
            <a:solidFill>
              <a:schemeClr val="accent4"/>
            </a:solidFill>
            <a:ln w="38100">
              <a:solidFill>
                <a:schemeClr val="bg1"/>
              </a:solidFill>
            </a:ln>
            <a:effectLst/>
          </c:spPr>
          <c:cat>
            <c:numRef>
              <c:f>Summary!$B$51:$N$51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Summary!$B$53:$N$53</c:f>
              <c:numCache>
                <c:formatCode>0.0</c:formatCode>
                <c:ptCount val="13"/>
                <c:pt idx="0">
                  <c:v>47.2</c:v>
                </c:pt>
                <c:pt idx="1">
                  <c:v>49.2</c:v>
                </c:pt>
                <c:pt idx="2">
                  <c:v>59.16</c:v>
                </c:pt>
                <c:pt idx="3">
                  <c:v>64.259999999999991</c:v>
                </c:pt>
                <c:pt idx="4">
                  <c:v>67.759999999999991</c:v>
                </c:pt>
                <c:pt idx="5">
                  <c:v>74.38</c:v>
                </c:pt>
                <c:pt idx="6">
                  <c:v>76.460000000000008</c:v>
                </c:pt>
                <c:pt idx="7">
                  <c:v>80.319999999999993</c:v>
                </c:pt>
                <c:pt idx="8">
                  <c:v>89.819334477253705</c:v>
                </c:pt>
                <c:pt idx="9">
                  <c:v>93.62</c:v>
                </c:pt>
                <c:pt idx="10">
                  <c:v>99.37</c:v>
                </c:pt>
                <c:pt idx="11">
                  <c:v>117.34121387483091</c:v>
                </c:pt>
                <c:pt idx="1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A-4435-AE5D-B43B0973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474927"/>
        <c:axId val="1384463695"/>
      </c:areaChart>
      <c:catAx>
        <c:axId val="138447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63695"/>
        <c:crosses val="autoZero"/>
        <c:auto val="1"/>
        <c:lblAlgn val="ctr"/>
        <c:lblOffset val="100"/>
        <c:tickMarkSkip val="1"/>
        <c:noMultiLvlLbl val="0"/>
      </c:catAx>
      <c:valAx>
        <c:axId val="13844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Year by Year Buildout (with Trails)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Summary!$A$56</c:f>
              <c:strCache>
                <c:ptCount val="1"/>
                <c:pt idx="0">
                  <c:v>Other Bikeways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Summary!$B$27:$O$27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Summary!$B$56:$O$56</c:f>
              <c:numCache>
                <c:formatCode>0.0</c:formatCode>
                <c:ptCount val="14"/>
                <c:pt idx="0">
                  <c:v>146</c:v>
                </c:pt>
                <c:pt idx="1">
                  <c:v>173</c:v>
                </c:pt>
                <c:pt idx="2">
                  <c:v>192.7</c:v>
                </c:pt>
                <c:pt idx="3">
                  <c:v>191</c:v>
                </c:pt>
                <c:pt idx="4">
                  <c:v>207.5</c:v>
                </c:pt>
                <c:pt idx="5">
                  <c:v>221.2</c:v>
                </c:pt>
                <c:pt idx="6">
                  <c:v>220.10000000000002</c:v>
                </c:pt>
                <c:pt idx="7">
                  <c:v>223.2</c:v>
                </c:pt>
                <c:pt idx="8">
                  <c:v>234.58850070639051</c:v>
                </c:pt>
                <c:pt idx="9">
                  <c:v>239.9</c:v>
                </c:pt>
                <c:pt idx="10">
                  <c:v>258.7</c:v>
                </c:pt>
                <c:pt idx="11">
                  <c:v>279.04410565225544</c:v>
                </c:pt>
                <c:pt idx="12">
                  <c:v>291.40999999999997</c:v>
                </c:pt>
                <c:pt idx="13">
                  <c:v>288.79999999999995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3-4186-A5AC-247C9BEF999C}"/>
            </c:ext>
          </c:extLst>
        </c:ser>
        <c:ser>
          <c:idx val="1"/>
          <c:order val="1"/>
          <c:tx>
            <c:strRef>
              <c:f>Summary!$A$57</c:f>
              <c:strCache>
                <c:ptCount val="1"/>
                <c:pt idx="0">
                  <c:v>Off-Street Trails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Summary!$B$27:$O$27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Summary!$B$57:$O$57</c:f>
              <c:numCache>
                <c:formatCode>0.0</c:formatCode>
                <c:ptCount val="14"/>
                <c:pt idx="0">
                  <c:v>47.2</c:v>
                </c:pt>
                <c:pt idx="1">
                  <c:v>47.2</c:v>
                </c:pt>
                <c:pt idx="2">
                  <c:v>47.76</c:v>
                </c:pt>
                <c:pt idx="3">
                  <c:v>47.76</c:v>
                </c:pt>
                <c:pt idx="4">
                  <c:v>47.76</c:v>
                </c:pt>
                <c:pt idx="5">
                  <c:v>51.53</c:v>
                </c:pt>
                <c:pt idx="6">
                  <c:v>51.81</c:v>
                </c:pt>
                <c:pt idx="7">
                  <c:v>54.62</c:v>
                </c:pt>
                <c:pt idx="8">
                  <c:v>54.92</c:v>
                </c:pt>
                <c:pt idx="9">
                  <c:v>54.92</c:v>
                </c:pt>
                <c:pt idx="10">
                  <c:v>55.27</c:v>
                </c:pt>
                <c:pt idx="11">
                  <c:v>55.27</c:v>
                </c:pt>
                <c:pt idx="12">
                  <c:v>55.27</c:v>
                </c:pt>
                <c:pt idx="13">
                  <c:v>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3-4186-A5AC-247C9BEF999C}"/>
            </c:ext>
          </c:extLst>
        </c:ser>
        <c:ser>
          <c:idx val="2"/>
          <c:order val="2"/>
          <c:tx>
            <c:strRef>
              <c:f>Summary!$A$58</c:f>
              <c:strCache>
                <c:ptCount val="1"/>
                <c:pt idx="0">
                  <c:v>Neighborhood Greenways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Summary!$B$27:$O$27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Summary!$B$58:$O$58</c:f>
              <c:numCache>
                <c:formatCode>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1.5</c:v>
                </c:pt>
                <c:pt idx="5">
                  <c:v>1.5</c:v>
                </c:pt>
                <c:pt idx="6">
                  <c:v>2.1</c:v>
                </c:pt>
                <c:pt idx="7">
                  <c:v>3.2</c:v>
                </c:pt>
                <c:pt idx="8">
                  <c:v>11.448654824888697</c:v>
                </c:pt>
                <c:pt idx="9">
                  <c:v>14.4</c:v>
                </c:pt>
                <c:pt idx="10">
                  <c:v>17.399999999999999</c:v>
                </c:pt>
                <c:pt idx="11">
                  <c:v>26.8506288855971</c:v>
                </c:pt>
                <c:pt idx="12">
                  <c:v>39.17</c:v>
                </c:pt>
                <c:pt idx="13">
                  <c:v>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3-4186-A5AC-247C9BEF999C}"/>
            </c:ext>
          </c:extLst>
        </c:ser>
        <c:ser>
          <c:idx val="3"/>
          <c:order val="3"/>
          <c:tx>
            <c:strRef>
              <c:f>Summary!$A$59</c:f>
              <c:strCache>
                <c:ptCount val="1"/>
                <c:pt idx="0">
                  <c:v>Protected Bike Lanes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Summary!$B$27:$O$27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Summary!$B$59:$O$59</c:f>
              <c:numCache>
                <c:formatCode>0.0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11.4</c:v>
                </c:pt>
                <c:pt idx="3">
                  <c:v>15.5</c:v>
                </c:pt>
                <c:pt idx="4">
                  <c:v>18.5</c:v>
                </c:pt>
                <c:pt idx="5">
                  <c:v>21.35</c:v>
                </c:pt>
                <c:pt idx="6">
                  <c:v>22.55</c:v>
                </c:pt>
                <c:pt idx="7">
                  <c:v>22.5</c:v>
                </c:pt>
                <c:pt idx="8">
                  <c:v>23.450679652365004</c:v>
                </c:pt>
                <c:pt idx="9">
                  <c:v>24.3</c:v>
                </c:pt>
                <c:pt idx="10">
                  <c:v>26.7</c:v>
                </c:pt>
                <c:pt idx="11">
                  <c:v>35.220584989233799</c:v>
                </c:pt>
                <c:pt idx="12">
                  <c:v>37.56</c:v>
                </c:pt>
                <c:pt idx="13">
                  <c:v>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B3-4186-A5AC-247C9BEF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377023"/>
        <c:axId val="2120381599"/>
      </c:areaChart>
      <c:catAx>
        <c:axId val="2120377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81599"/>
        <c:crosses val="autoZero"/>
        <c:auto val="1"/>
        <c:lblAlgn val="ctr"/>
        <c:lblOffset val="100"/>
        <c:noMultiLvlLbl val="0"/>
      </c:catAx>
      <c:valAx>
        <c:axId val="21203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37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73E462D-F97A-4FB2-989B-10F6851B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F24435E-7416-4B48-ADEE-94170712D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27214</xdr:colOff>
      <xdr:row>39</xdr:row>
      <xdr:rowOff>149680</xdr:rowOff>
    </xdr:from>
    <xdr:to>
      <xdr:col>47</xdr:col>
      <xdr:colOff>461042</xdr:colOff>
      <xdr:row>65</xdr:row>
      <xdr:rowOff>45625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46E60-7B05-058C-4661-1B014F2B7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45</xdr:row>
      <xdr:rowOff>0</xdr:rowOff>
    </xdr:from>
    <xdr:to>
      <xdr:col>31</xdr:col>
      <xdr:colOff>0</xdr:colOff>
      <xdr:row>64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71B57-80C8-9696-33EE-BD3319794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0.43283</cdr:x>
      <cdr:y>0.44853</cdr:y>
    </cdr:from>
    <cdr:to>
      <cdr:x>0.70239</cdr:x>
      <cdr:y>0.52462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6E5597A-EDB2-6E74-D94A-97799CE3FEE2}"/>
            </a:ext>
          </a:extLst>
        </cdr:cNvPr>
        <cdr:cNvSpPr txBox="1"/>
      </cdr:nvSpPr>
      <cdr:spPr>
        <a:xfrm xmlns:a="http://schemas.openxmlformats.org/drawingml/2006/main">
          <a:off x="2973572" y="1953944"/>
          <a:ext cx="1851879" cy="331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600" b="1">
              <a:solidFill>
                <a:schemeClr val="bg1"/>
              </a:solidFill>
            </a:rPr>
            <a:t>Low-Stress</a:t>
          </a:r>
          <a:r>
            <a:rPr lang="en-US" sz="1600" b="1" baseline="0">
              <a:solidFill>
                <a:schemeClr val="bg1"/>
              </a:solidFill>
            </a:rPr>
            <a:t> Bikeways</a:t>
          </a:r>
          <a:endParaRPr lang="en-US" sz="1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0.43481</cdr:x>
      <cdr:y>0.62944</cdr:y>
    </cdr:from>
    <cdr:to>
      <cdr:x>0.70437</cdr:x>
      <cdr:y>0.70553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269F29E-9718-2256-4819-EAFA81D12F8B}"/>
            </a:ext>
          </a:extLst>
        </cdr:cNvPr>
        <cdr:cNvSpPr txBox="1"/>
      </cdr:nvSpPr>
      <cdr:spPr>
        <a:xfrm xmlns:a="http://schemas.openxmlformats.org/drawingml/2006/main">
          <a:off x="2987180" y="2742072"/>
          <a:ext cx="1851879" cy="3314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chemeClr val="bg1"/>
              </a:solidFill>
            </a:rPr>
            <a:t>Other</a:t>
          </a:r>
          <a:r>
            <a:rPr lang="en-US" sz="1600" b="1" baseline="0">
              <a:solidFill>
                <a:schemeClr val="bg1"/>
              </a:solidFill>
            </a:rPr>
            <a:t> Bikeways</a:t>
          </a:r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brad_huff_tylin_com/Documents/Desktop/ACS%205Y%202020%20B083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3.Data/Equity/ACS_16_5YR_B01003/ACS_16_5YR_B01003_with_ann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3.Data/Equity/ACS_16_5YR_B08301/ACS_16_5YR_B08301_with_an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SDT5Y2020.B08301_data_with_ov"/>
    </sheetNames>
    <sheetDataSet>
      <sheetData sheetId="0">
        <row r="3">
          <cell r="AS3" t="str">
            <v>17031010100</v>
          </cell>
          <cell r="AT3">
            <v>4644</v>
          </cell>
          <cell r="AU3">
            <v>2611</v>
          </cell>
          <cell r="AV3">
            <v>871</v>
          </cell>
          <cell r="AW3">
            <v>1069</v>
          </cell>
          <cell r="AX3">
            <v>0</v>
          </cell>
          <cell r="AY3">
            <v>180</v>
          </cell>
          <cell r="AZ3">
            <v>106</v>
          </cell>
          <cell r="BA3">
            <v>385</v>
          </cell>
        </row>
        <row r="4">
          <cell r="AS4" t="str">
            <v>17031010201</v>
          </cell>
          <cell r="AT4">
            <v>7488</v>
          </cell>
          <cell r="AU4">
            <v>3248</v>
          </cell>
          <cell r="AV4">
            <v>1810</v>
          </cell>
          <cell r="AW4">
            <v>1008</v>
          </cell>
          <cell r="AX4">
            <v>0</v>
          </cell>
          <cell r="AY4">
            <v>73</v>
          </cell>
          <cell r="AZ4">
            <v>115</v>
          </cell>
          <cell r="BA4">
            <v>242</v>
          </cell>
        </row>
        <row r="5">
          <cell r="AS5" t="str">
            <v>17031010202</v>
          </cell>
          <cell r="AT5">
            <v>3154</v>
          </cell>
          <cell r="AU5">
            <v>1540</v>
          </cell>
          <cell r="AV5">
            <v>636</v>
          </cell>
          <cell r="AW5">
            <v>741</v>
          </cell>
          <cell r="AX5">
            <v>0</v>
          </cell>
          <cell r="AY5">
            <v>13</v>
          </cell>
          <cell r="AZ5">
            <v>42</v>
          </cell>
          <cell r="BA5">
            <v>108</v>
          </cell>
        </row>
        <row r="6">
          <cell r="AS6" t="str">
            <v>17031010300</v>
          </cell>
          <cell r="AT6">
            <v>6135</v>
          </cell>
          <cell r="AU6">
            <v>3364</v>
          </cell>
          <cell r="AV6">
            <v>2017</v>
          </cell>
          <cell r="AW6">
            <v>1017</v>
          </cell>
          <cell r="AX6">
            <v>21</v>
          </cell>
          <cell r="AY6">
            <v>45</v>
          </cell>
          <cell r="AZ6">
            <v>36</v>
          </cell>
          <cell r="BA6">
            <v>228</v>
          </cell>
        </row>
        <row r="7">
          <cell r="AS7" t="str">
            <v>17031010400</v>
          </cell>
          <cell r="AT7">
            <v>5193</v>
          </cell>
          <cell r="AU7">
            <v>2468</v>
          </cell>
          <cell r="AV7">
            <v>863</v>
          </cell>
          <cell r="AW7">
            <v>912</v>
          </cell>
          <cell r="AX7">
            <v>0</v>
          </cell>
          <cell r="AY7">
            <v>62</v>
          </cell>
          <cell r="AZ7">
            <v>305</v>
          </cell>
          <cell r="BA7">
            <v>326</v>
          </cell>
        </row>
        <row r="8">
          <cell r="AS8" t="str">
            <v>17031010501</v>
          </cell>
          <cell r="AT8">
            <v>4039</v>
          </cell>
          <cell r="AU8">
            <v>2599</v>
          </cell>
          <cell r="AV8">
            <v>898</v>
          </cell>
          <cell r="AW8">
            <v>1214</v>
          </cell>
          <cell r="AX8">
            <v>36</v>
          </cell>
          <cell r="AY8">
            <v>89</v>
          </cell>
          <cell r="AZ8">
            <v>51</v>
          </cell>
          <cell r="BA8">
            <v>311</v>
          </cell>
        </row>
        <row r="9">
          <cell r="AS9" t="str">
            <v>17031010502</v>
          </cell>
          <cell r="AT9">
            <v>2960</v>
          </cell>
          <cell r="AU9">
            <v>1832</v>
          </cell>
          <cell r="AV9">
            <v>631</v>
          </cell>
          <cell r="AW9">
            <v>788</v>
          </cell>
          <cell r="AX9">
            <v>0</v>
          </cell>
          <cell r="AY9">
            <v>6</v>
          </cell>
          <cell r="AZ9">
            <v>263</v>
          </cell>
          <cell r="BA9">
            <v>144</v>
          </cell>
        </row>
        <row r="10">
          <cell r="AS10" t="str">
            <v>17031010503</v>
          </cell>
          <cell r="AT10">
            <v>1973</v>
          </cell>
          <cell r="AU10">
            <v>834</v>
          </cell>
          <cell r="AV10">
            <v>271</v>
          </cell>
          <cell r="AW10">
            <v>353</v>
          </cell>
          <cell r="AX10">
            <v>0</v>
          </cell>
          <cell r="AY10">
            <v>0</v>
          </cell>
          <cell r="AZ10">
            <v>87</v>
          </cell>
          <cell r="BA10">
            <v>123</v>
          </cell>
        </row>
        <row r="11">
          <cell r="AS11" t="str">
            <v>17031010600</v>
          </cell>
          <cell r="AT11">
            <v>6363</v>
          </cell>
          <cell r="AU11">
            <v>3909</v>
          </cell>
          <cell r="AV11">
            <v>1407</v>
          </cell>
          <cell r="AW11">
            <v>1464</v>
          </cell>
          <cell r="AX11">
            <v>31</v>
          </cell>
          <cell r="AY11">
            <v>206</v>
          </cell>
          <cell r="AZ11">
            <v>243</v>
          </cell>
          <cell r="BA11">
            <v>558</v>
          </cell>
        </row>
        <row r="12">
          <cell r="AS12" t="str">
            <v>17031010701</v>
          </cell>
          <cell r="AT12">
            <v>3562</v>
          </cell>
          <cell r="AU12">
            <v>2144</v>
          </cell>
          <cell r="AV12">
            <v>1486</v>
          </cell>
          <cell r="AW12">
            <v>363</v>
          </cell>
          <cell r="AX12">
            <v>18</v>
          </cell>
          <cell r="AY12">
            <v>32</v>
          </cell>
          <cell r="AZ12">
            <v>85</v>
          </cell>
          <cell r="BA12">
            <v>160</v>
          </cell>
        </row>
        <row r="13">
          <cell r="AS13" t="str">
            <v>17031010702</v>
          </cell>
          <cell r="AT13">
            <v>5209</v>
          </cell>
          <cell r="AU13">
            <v>2437</v>
          </cell>
          <cell r="AV13">
            <v>949</v>
          </cell>
          <cell r="AW13">
            <v>1172</v>
          </cell>
          <cell r="AX13">
            <v>0</v>
          </cell>
          <cell r="AY13">
            <v>68</v>
          </cell>
          <cell r="AZ13">
            <v>125</v>
          </cell>
          <cell r="BA13">
            <v>123</v>
          </cell>
        </row>
        <row r="14">
          <cell r="AS14" t="str">
            <v>17031020100</v>
          </cell>
          <cell r="AT14">
            <v>3742</v>
          </cell>
          <cell r="AU14">
            <v>2035</v>
          </cell>
          <cell r="AV14">
            <v>1513</v>
          </cell>
          <cell r="AW14">
            <v>379</v>
          </cell>
          <cell r="AX14">
            <v>7</v>
          </cell>
          <cell r="AY14">
            <v>14</v>
          </cell>
          <cell r="AZ14">
            <v>82</v>
          </cell>
          <cell r="BA14">
            <v>40</v>
          </cell>
        </row>
        <row r="15">
          <cell r="AS15" t="str">
            <v>17031020200</v>
          </cell>
          <cell r="AT15">
            <v>6980</v>
          </cell>
          <cell r="AU15">
            <v>2888</v>
          </cell>
          <cell r="AV15">
            <v>2003</v>
          </cell>
          <cell r="AW15">
            <v>583</v>
          </cell>
          <cell r="AX15">
            <v>0</v>
          </cell>
          <cell r="AY15">
            <v>0</v>
          </cell>
          <cell r="AZ15">
            <v>122</v>
          </cell>
          <cell r="BA15">
            <v>180</v>
          </cell>
        </row>
        <row r="16">
          <cell r="AS16" t="str">
            <v>17031020301</v>
          </cell>
          <cell r="AT16">
            <v>5447</v>
          </cell>
          <cell r="AU16">
            <v>2182</v>
          </cell>
          <cell r="AV16">
            <v>1795</v>
          </cell>
          <cell r="AW16">
            <v>172</v>
          </cell>
          <cell r="AX16">
            <v>0</v>
          </cell>
          <cell r="AY16">
            <v>19</v>
          </cell>
          <cell r="AZ16">
            <v>48</v>
          </cell>
          <cell r="BA16">
            <v>148</v>
          </cell>
        </row>
        <row r="17">
          <cell r="AS17" t="str">
            <v>17031020302</v>
          </cell>
          <cell r="AT17">
            <v>5116</v>
          </cell>
          <cell r="AU17">
            <v>2316</v>
          </cell>
          <cell r="AV17">
            <v>1515</v>
          </cell>
          <cell r="AW17">
            <v>469</v>
          </cell>
          <cell r="AX17">
            <v>9</v>
          </cell>
          <cell r="AY17">
            <v>38</v>
          </cell>
          <cell r="AZ17">
            <v>124</v>
          </cell>
          <cell r="BA17">
            <v>161</v>
          </cell>
        </row>
        <row r="18">
          <cell r="AS18" t="str">
            <v>17031020400</v>
          </cell>
          <cell r="AT18">
            <v>4011</v>
          </cell>
          <cell r="AU18">
            <v>2260</v>
          </cell>
          <cell r="AV18">
            <v>1529</v>
          </cell>
          <cell r="AW18">
            <v>451</v>
          </cell>
          <cell r="AX18">
            <v>36</v>
          </cell>
          <cell r="AY18">
            <v>0</v>
          </cell>
          <cell r="AZ18">
            <v>104</v>
          </cell>
          <cell r="BA18">
            <v>140</v>
          </cell>
        </row>
        <row r="19">
          <cell r="AS19" t="str">
            <v>17031020500</v>
          </cell>
          <cell r="AT19">
            <v>6744</v>
          </cell>
          <cell r="AU19">
            <v>2696</v>
          </cell>
          <cell r="AV19">
            <v>1797</v>
          </cell>
          <cell r="AW19">
            <v>547</v>
          </cell>
          <cell r="AX19">
            <v>145</v>
          </cell>
          <cell r="AY19">
            <v>27</v>
          </cell>
          <cell r="AZ19">
            <v>87</v>
          </cell>
          <cell r="BA19">
            <v>93</v>
          </cell>
        </row>
        <row r="20">
          <cell r="AS20" t="str">
            <v>17031020601</v>
          </cell>
          <cell r="AT20">
            <v>6112</v>
          </cell>
          <cell r="AU20">
            <v>2221</v>
          </cell>
          <cell r="AV20">
            <v>1426</v>
          </cell>
          <cell r="AW20">
            <v>239</v>
          </cell>
          <cell r="AX20">
            <v>0</v>
          </cell>
          <cell r="AY20">
            <v>14</v>
          </cell>
          <cell r="AZ20">
            <v>239</v>
          </cell>
          <cell r="BA20">
            <v>303</v>
          </cell>
        </row>
        <row r="21">
          <cell r="AS21" t="str">
            <v>17031020602</v>
          </cell>
          <cell r="AT21">
            <v>5239</v>
          </cell>
          <cell r="AU21">
            <v>2885</v>
          </cell>
          <cell r="AV21">
            <v>1972</v>
          </cell>
          <cell r="AW21">
            <v>432</v>
          </cell>
          <cell r="AX21">
            <v>21</v>
          </cell>
          <cell r="AY21">
            <v>0</v>
          </cell>
          <cell r="AZ21">
            <v>176</v>
          </cell>
          <cell r="BA21">
            <v>284</v>
          </cell>
        </row>
        <row r="22">
          <cell r="AS22" t="str">
            <v>17031020701</v>
          </cell>
          <cell r="AT22">
            <v>1764</v>
          </cell>
          <cell r="AU22">
            <v>843</v>
          </cell>
          <cell r="AV22">
            <v>566</v>
          </cell>
          <cell r="AW22">
            <v>135</v>
          </cell>
          <cell r="AX22">
            <v>0</v>
          </cell>
          <cell r="AY22">
            <v>17</v>
          </cell>
          <cell r="AZ22">
            <v>0</v>
          </cell>
          <cell r="BA22">
            <v>125</v>
          </cell>
        </row>
        <row r="23">
          <cell r="AS23" t="str">
            <v>17031020702</v>
          </cell>
          <cell r="AT23">
            <v>8674</v>
          </cell>
          <cell r="AU23">
            <v>3298</v>
          </cell>
          <cell r="AV23">
            <v>2645</v>
          </cell>
          <cell r="AW23">
            <v>269</v>
          </cell>
          <cell r="AX23">
            <v>0</v>
          </cell>
          <cell r="AY23">
            <v>0</v>
          </cell>
          <cell r="AZ23">
            <v>288</v>
          </cell>
          <cell r="BA23">
            <v>96</v>
          </cell>
        </row>
        <row r="24">
          <cell r="AS24" t="str">
            <v>17031020801</v>
          </cell>
          <cell r="AT24">
            <v>5859</v>
          </cell>
          <cell r="AU24">
            <v>3106</v>
          </cell>
          <cell r="AV24">
            <v>2282</v>
          </cell>
          <cell r="AW24">
            <v>470</v>
          </cell>
          <cell r="AX24">
            <v>88</v>
          </cell>
          <cell r="AY24">
            <v>41</v>
          </cell>
          <cell r="AZ24">
            <v>75</v>
          </cell>
          <cell r="BA24">
            <v>150</v>
          </cell>
        </row>
        <row r="25">
          <cell r="AS25" t="str">
            <v>17031020802</v>
          </cell>
          <cell r="AT25">
            <v>8536</v>
          </cell>
          <cell r="AU25">
            <v>3451</v>
          </cell>
          <cell r="AV25">
            <v>2348</v>
          </cell>
          <cell r="AW25">
            <v>458</v>
          </cell>
          <cell r="AX25">
            <v>19</v>
          </cell>
          <cell r="AY25">
            <v>101</v>
          </cell>
          <cell r="AZ25">
            <v>184</v>
          </cell>
          <cell r="BA25">
            <v>341</v>
          </cell>
        </row>
        <row r="26">
          <cell r="AS26" t="str">
            <v>17031020901</v>
          </cell>
          <cell r="AT26">
            <v>6094</v>
          </cell>
          <cell r="AU26">
            <v>3148</v>
          </cell>
          <cell r="AV26">
            <v>2001</v>
          </cell>
          <cell r="AW26">
            <v>681</v>
          </cell>
          <cell r="AX26">
            <v>7</v>
          </cell>
          <cell r="AY26">
            <v>47</v>
          </cell>
          <cell r="AZ26">
            <v>59</v>
          </cell>
          <cell r="BA26">
            <v>353</v>
          </cell>
        </row>
        <row r="27">
          <cell r="AS27" t="str">
            <v>17031020902</v>
          </cell>
          <cell r="AT27">
            <v>4445</v>
          </cell>
          <cell r="AU27">
            <v>1665</v>
          </cell>
          <cell r="AV27">
            <v>917</v>
          </cell>
          <cell r="AW27">
            <v>358</v>
          </cell>
          <cell r="AX27">
            <v>53</v>
          </cell>
          <cell r="AY27">
            <v>0</v>
          </cell>
          <cell r="AZ27">
            <v>236</v>
          </cell>
          <cell r="BA27">
            <v>101</v>
          </cell>
        </row>
        <row r="28">
          <cell r="AS28" t="str">
            <v>17031030101</v>
          </cell>
          <cell r="AT28">
            <v>3791</v>
          </cell>
          <cell r="AU28">
            <v>1869</v>
          </cell>
          <cell r="AV28">
            <v>758</v>
          </cell>
          <cell r="AW28">
            <v>810</v>
          </cell>
          <cell r="AX28">
            <v>47</v>
          </cell>
          <cell r="AY28">
            <v>13</v>
          </cell>
          <cell r="AZ28">
            <v>95</v>
          </cell>
          <cell r="BA28">
            <v>146</v>
          </cell>
        </row>
        <row r="29">
          <cell r="AS29" t="str">
            <v>17031030102</v>
          </cell>
          <cell r="AT29">
            <v>3192</v>
          </cell>
          <cell r="AU29">
            <v>1804</v>
          </cell>
          <cell r="AV29">
            <v>680</v>
          </cell>
          <cell r="AW29">
            <v>758</v>
          </cell>
          <cell r="AX29">
            <v>0</v>
          </cell>
          <cell r="AY29">
            <v>11</v>
          </cell>
          <cell r="AZ29">
            <v>105</v>
          </cell>
          <cell r="BA29">
            <v>250</v>
          </cell>
        </row>
        <row r="30">
          <cell r="AS30" t="str">
            <v>17031030103</v>
          </cell>
          <cell r="AT30">
            <v>2490</v>
          </cell>
          <cell r="AU30">
            <v>1171</v>
          </cell>
          <cell r="AV30">
            <v>448</v>
          </cell>
          <cell r="AW30">
            <v>437</v>
          </cell>
          <cell r="AX30">
            <v>0</v>
          </cell>
          <cell r="AY30">
            <v>9</v>
          </cell>
          <cell r="AZ30">
            <v>102</v>
          </cell>
          <cell r="BA30">
            <v>175</v>
          </cell>
        </row>
        <row r="31">
          <cell r="AS31" t="str">
            <v>17031030104</v>
          </cell>
          <cell r="AT31">
            <v>3425</v>
          </cell>
          <cell r="AU31">
            <v>1298</v>
          </cell>
          <cell r="AV31">
            <v>245</v>
          </cell>
          <cell r="AW31">
            <v>686</v>
          </cell>
          <cell r="AX31">
            <v>4</v>
          </cell>
          <cell r="AY31">
            <v>7</v>
          </cell>
          <cell r="AZ31">
            <v>264</v>
          </cell>
          <cell r="BA31">
            <v>92</v>
          </cell>
        </row>
        <row r="32">
          <cell r="AS32" t="str">
            <v>17031030200</v>
          </cell>
          <cell r="AT32">
            <v>5863</v>
          </cell>
          <cell r="AU32">
            <v>3804</v>
          </cell>
          <cell r="AV32">
            <v>1933</v>
          </cell>
          <cell r="AW32">
            <v>1251</v>
          </cell>
          <cell r="AX32">
            <v>13</v>
          </cell>
          <cell r="AY32">
            <v>143</v>
          </cell>
          <cell r="AZ32">
            <v>183</v>
          </cell>
          <cell r="BA32">
            <v>281</v>
          </cell>
        </row>
        <row r="33">
          <cell r="AS33" t="str">
            <v>17031030300</v>
          </cell>
          <cell r="AT33">
            <v>3722</v>
          </cell>
          <cell r="AU33">
            <v>2065</v>
          </cell>
          <cell r="AV33">
            <v>858</v>
          </cell>
          <cell r="AW33">
            <v>863</v>
          </cell>
          <cell r="AX33">
            <v>21</v>
          </cell>
          <cell r="AY33">
            <v>98</v>
          </cell>
          <cell r="AZ33">
            <v>136</v>
          </cell>
          <cell r="BA33">
            <v>89</v>
          </cell>
        </row>
        <row r="34">
          <cell r="AS34" t="str">
            <v>17031030400</v>
          </cell>
          <cell r="AT34">
            <v>2606</v>
          </cell>
          <cell r="AU34">
            <v>1720</v>
          </cell>
          <cell r="AV34">
            <v>998</v>
          </cell>
          <cell r="AW34">
            <v>237</v>
          </cell>
          <cell r="AX34">
            <v>0</v>
          </cell>
          <cell r="AY34">
            <v>30</v>
          </cell>
          <cell r="AZ34">
            <v>85</v>
          </cell>
          <cell r="BA34">
            <v>370</v>
          </cell>
        </row>
        <row r="35">
          <cell r="AS35" t="str">
            <v>17031030500</v>
          </cell>
          <cell r="AT35">
            <v>6870</v>
          </cell>
          <cell r="AU35">
            <v>4782</v>
          </cell>
          <cell r="AV35">
            <v>1982</v>
          </cell>
          <cell r="AW35">
            <v>1868</v>
          </cell>
          <cell r="AX35">
            <v>0</v>
          </cell>
          <cell r="AY35">
            <v>130</v>
          </cell>
          <cell r="AZ35">
            <v>163</v>
          </cell>
          <cell r="BA35">
            <v>639</v>
          </cell>
        </row>
        <row r="36">
          <cell r="AS36" t="str">
            <v>17031030601</v>
          </cell>
          <cell r="AT36">
            <v>3981</v>
          </cell>
          <cell r="AU36">
            <v>2134</v>
          </cell>
          <cell r="AV36">
            <v>677</v>
          </cell>
          <cell r="AW36">
            <v>948</v>
          </cell>
          <cell r="AX36">
            <v>11</v>
          </cell>
          <cell r="AY36">
            <v>71</v>
          </cell>
          <cell r="AZ36">
            <v>171</v>
          </cell>
          <cell r="BA36">
            <v>256</v>
          </cell>
        </row>
        <row r="37">
          <cell r="AS37" t="str">
            <v>17031030603</v>
          </cell>
          <cell r="AT37">
            <v>2355</v>
          </cell>
          <cell r="AU37">
            <v>1558</v>
          </cell>
          <cell r="AV37">
            <v>295</v>
          </cell>
          <cell r="AW37">
            <v>954</v>
          </cell>
          <cell r="AX37">
            <v>73</v>
          </cell>
          <cell r="AY37">
            <v>23</v>
          </cell>
          <cell r="AZ37">
            <v>25</v>
          </cell>
          <cell r="BA37">
            <v>188</v>
          </cell>
        </row>
        <row r="38">
          <cell r="AS38" t="str">
            <v>17031030604</v>
          </cell>
          <cell r="AT38">
            <v>3267</v>
          </cell>
          <cell r="AU38">
            <v>2003</v>
          </cell>
          <cell r="AV38">
            <v>865</v>
          </cell>
          <cell r="AW38">
            <v>924</v>
          </cell>
          <cell r="AX38">
            <v>0</v>
          </cell>
          <cell r="AY38">
            <v>23</v>
          </cell>
          <cell r="AZ38">
            <v>21</v>
          </cell>
          <cell r="BA38">
            <v>170</v>
          </cell>
        </row>
        <row r="39">
          <cell r="AS39" t="str">
            <v>17031030701</v>
          </cell>
          <cell r="AT39">
            <v>1528</v>
          </cell>
          <cell r="AU39">
            <v>941</v>
          </cell>
          <cell r="AV39">
            <v>316</v>
          </cell>
          <cell r="AW39">
            <v>508</v>
          </cell>
          <cell r="AX39">
            <v>0</v>
          </cell>
          <cell r="AY39">
            <v>6</v>
          </cell>
          <cell r="AZ39">
            <v>49</v>
          </cell>
          <cell r="BA39">
            <v>62</v>
          </cell>
        </row>
        <row r="40">
          <cell r="AS40" t="str">
            <v>17031030702</v>
          </cell>
          <cell r="AT40">
            <v>2352</v>
          </cell>
          <cell r="AU40">
            <v>1190</v>
          </cell>
          <cell r="AV40">
            <v>514</v>
          </cell>
          <cell r="AW40">
            <v>417</v>
          </cell>
          <cell r="AX40">
            <v>8</v>
          </cell>
          <cell r="AY40">
            <v>40</v>
          </cell>
          <cell r="AZ40">
            <v>28</v>
          </cell>
          <cell r="BA40">
            <v>183</v>
          </cell>
        </row>
        <row r="41">
          <cell r="AS41" t="str">
            <v>17031030703</v>
          </cell>
          <cell r="AT41">
            <v>3035</v>
          </cell>
          <cell r="AU41">
            <v>1667</v>
          </cell>
          <cell r="AV41">
            <v>443</v>
          </cell>
          <cell r="AW41">
            <v>909</v>
          </cell>
          <cell r="AX41">
            <v>0</v>
          </cell>
          <cell r="AY41">
            <v>18</v>
          </cell>
          <cell r="AZ41">
            <v>57</v>
          </cell>
          <cell r="BA41">
            <v>240</v>
          </cell>
        </row>
        <row r="42">
          <cell r="AS42" t="str">
            <v>17031030706</v>
          </cell>
          <cell r="AT42">
            <v>2774</v>
          </cell>
          <cell r="AU42">
            <v>1363</v>
          </cell>
          <cell r="AV42">
            <v>382</v>
          </cell>
          <cell r="AW42">
            <v>726</v>
          </cell>
          <cell r="AX42">
            <v>17</v>
          </cell>
          <cell r="AY42">
            <v>25</v>
          </cell>
          <cell r="AZ42">
            <v>31</v>
          </cell>
          <cell r="BA42">
            <v>182</v>
          </cell>
        </row>
        <row r="43">
          <cell r="AS43" t="str">
            <v>17031030800</v>
          </cell>
          <cell r="AT43">
            <v>4389</v>
          </cell>
          <cell r="AU43">
            <v>2774</v>
          </cell>
          <cell r="AV43">
            <v>1293</v>
          </cell>
          <cell r="AW43">
            <v>960</v>
          </cell>
          <cell r="AX43">
            <v>0</v>
          </cell>
          <cell r="AY43">
            <v>45</v>
          </cell>
          <cell r="AZ43">
            <v>24</v>
          </cell>
          <cell r="BA43">
            <v>452</v>
          </cell>
        </row>
        <row r="44">
          <cell r="AS44" t="str">
            <v>17031030900</v>
          </cell>
          <cell r="AT44">
            <v>3053</v>
          </cell>
          <cell r="AU44">
            <v>2023</v>
          </cell>
          <cell r="AV44">
            <v>896</v>
          </cell>
          <cell r="AW44">
            <v>593</v>
          </cell>
          <cell r="AX44">
            <v>0</v>
          </cell>
          <cell r="AY44">
            <v>43</v>
          </cell>
          <cell r="AZ44">
            <v>100</v>
          </cell>
          <cell r="BA44">
            <v>391</v>
          </cell>
        </row>
        <row r="45">
          <cell r="AS45" t="str">
            <v>17031031000</v>
          </cell>
          <cell r="AT45">
            <v>3847</v>
          </cell>
          <cell r="AU45">
            <v>2797</v>
          </cell>
          <cell r="AV45">
            <v>1366</v>
          </cell>
          <cell r="AW45">
            <v>936</v>
          </cell>
          <cell r="AX45">
            <v>0</v>
          </cell>
          <cell r="AY45">
            <v>68</v>
          </cell>
          <cell r="AZ45">
            <v>102</v>
          </cell>
          <cell r="BA45">
            <v>325</v>
          </cell>
        </row>
        <row r="46">
          <cell r="AS46" t="str">
            <v>17031031100</v>
          </cell>
          <cell r="AT46">
            <v>4596</v>
          </cell>
          <cell r="AU46">
            <v>3217</v>
          </cell>
          <cell r="AV46">
            <v>946</v>
          </cell>
          <cell r="AW46">
            <v>1382</v>
          </cell>
          <cell r="AX46">
            <v>12</v>
          </cell>
          <cell r="AY46">
            <v>72</v>
          </cell>
          <cell r="AZ46">
            <v>13</v>
          </cell>
          <cell r="BA46">
            <v>792</v>
          </cell>
        </row>
        <row r="47">
          <cell r="AS47" t="str">
            <v>17031031200</v>
          </cell>
          <cell r="AT47">
            <v>6235</v>
          </cell>
          <cell r="AU47">
            <v>3257</v>
          </cell>
          <cell r="AV47">
            <v>1005</v>
          </cell>
          <cell r="AW47">
            <v>1535</v>
          </cell>
          <cell r="AX47">
            <v>0</v>
          </cell>
          <cell r="AY47">
            <v>26</v>
          </cell>
          <cell r="AZ47">
            <v>512</v>
          </cell>
          <cell r="BA47">
            <v>179</v>
          </cell>
        </row>
        <row r="48">
          <cell r="AS48" t="str">
            <v>17031031300</v>
          </cell>
          <cell r="AT48">
            <v>7796</v>
          </cell>
          <cell r="AU48">
            <v>4212</v>
          </cell>
          <cell r="AV48">
            <v>1417</v>
          </cell>
          <cell r="AW48">
            <v>1853</v>
          </cell>
          <cell r="AX48">
            <v>82</v>
          </cell>
          <cell r="AY48">
            <v>117</v>
          </cell>
          <cell r="AZ48">
            <v>161</v>
          </cell>
          <cell r="BA48">
            <v>582</v>
          </cell>
        </row>
        <row r="49">
          <cell r="AS49" t="str">
            <v>17031031400</v>
          </cell>
          <cell r="AT49">
            <v>4840</v>
          </cell>
          <cell r="AU49">
            <v>3315</v>
          </cell>
          <cell r="AV49">
            <v>1086</v>
          </cell>
          <cell r="AW49">
            <v>1459</v>
          </cell>
          <cell r="AX49">
            <v>38</v>
          </cell>
          <cell r="AY49">
            <v>92</v>
          </cell>
          <cell r="AZ49">
            <v>191</v>
          </cell>
          <cell r="BA49">
            <v>449</v>
          </cell>
        </row>
        <row r="50">
          <cell r="AS50" t="str">
            <v>17031031501</v>
          </cell>
          <cell r="AT50">
            <v>4794</v>
          </cell>
          <cell r="AU50">
            <v>2108</v>
          </cell>
          <cell r="AV50">
            <v>659</v>
          </cell>
          <cell r="AW50">
            <v>923</v>
          </cell>
          <cell r="AX50">
            <v>19</v>
          </cell>
          <cell r="AY50">
            <v>122</v>
          </cell>
          <cell r="AZ50">
            <v>170</v>
          </cell>
          <cell r="BA50">
            <v>215</v>
          </cell>
        </row>
        <row r="51">
          <cell r="AS51" t="str">
            <v>17031031502</v>
          </cell>
          <cell r="AT51">
            <v>4693</v>
          </cell>
          <cell r="AU51">
            <v>2472</v>
          </cell>
          <cell r="AV51">
            <v>642</v>
          </cell>
          <cell r="AW51">
            <v>1346</v>
          </cell>
          <cell r="AX51">
            <v>76</v>
          </cell>
          <cell r="AY51">
            <v>164</v>
          </cell>
          <cell r="AZ51">
            <v>95</v>
          </cell>
          <cell r="BA51">
            <v>149</v>
          </cell>
        </row>
        <row r="52">
          <cell r="AS52" t="str">
            <v>17031031700</v>
          </cell>
          <cell r="AT52">
            <v>6809</v>
          </cell>
          <cell r="AU52">
            <v>4987</v>
          </cell>
          <cell r="AV52">
            <v>2311</v>
          </cell>
          <cell r="AW52">
            <v>1858</v>
          </cell>
          <cell r="AX52">
            <v>0</v>
          </cell>
          <cell r="AY52">
            <v>310</v>
          </cell>
          <cell r="AZ52">
            <v>127</v>
          </cell>
          <cell r="BA52">
            <v>381</v>
          </cell>
        </row>
        <row r="53">
          <cell r="AS53" t="str">
            <v>17031031800</v>
          </cell>
          <cell r="AT53">
            <v>1976</v>
          </cell>
          <cell r="AU53">
            <v>1437</v>
          </cell>
          <cell r="AV53">
            <v>393</v>
          </cell>
          <cell r="AW53">
            <v>767</v>
          </cell>
          <cell r="AX53">
            <v>5</v>
          </cell>
          <cell r="AY53">
            <v>11</v>
          </cell>
          <cell r="AZ53">
            <v>72</v>
          </cell>
          <cell r="BA53">
            <v>189</v>
          </cell>
        </row>
        <row r="54">
          <cell r="AS54" t="str">
            <v>17031031900</v>
          </cell>
          <cell r="AT54">
            <v>2553</v>
          </cell>
          <cell r="AU54">
            <v>1744</v>
          </cell>
          <cell r="AV54">
            <v>502</v>
          </cell>
          <cell r="AW54">
            <v>723</v>
          </cell>
          <cell r="AX54">
            <v>0</v>
          </cell>
          <cell r="AY54">
            <v>28</v>
          </cell>
          <cell r="AZ54">
            <v>50</v>
          </cell>
          <cell r="BA54">
            <v>441</v>
          </cell>
        </row>
        <row r="55">
          <cell r="AS55" t="str">
            <v>17031032100</v>
          </cell>
          <cell r="AT55">
            <v>7166</v>
          </cell>
          <cell r="AU55">
            <v>4934</v>
          </cell>
          <cell r="AV55">
            <v>1445</v>
          </cell>
          <cell r="AW55">
            <v>2166</v>
          </cell>
          <cell r="AX55">
            <v>0</v>
          </cell>
          <cell r="AY55">
            <v>80</v>
          </cell>
          <cell r="AZ55">
            <v>226</v>
          </cell>
          <cell r="BA55">
            <v>1017</v>
          </cell>
        </row>
        <row r="56">
          <cell r="AS56" t="str">
            <v>17031040100</v>
          </cell>
          <cell r="AT56">
            <v>3934</v>
          </cell>
          <cell r="AU56">
            <v>2445</v>
          </cell>
          <cell r="AV56">
            <v>1471</v>
          </cell>
          <cell r="AW56">
            <v>611</v>
          </cell>
          <cell r="AX56">
            <v>37</v>
          </cell>
          <cell r="AY56">
            <v>26</v>
          </cell>
          <cell r="AZ56">
            <v>119</v>
          </cell>
          <cell r="BA56">
            <v>181</v>
          </cell>
        </row>
        <row r="57">
          <cell r="AS57" t="str">
            <v>17031040201</v>
          </cell>
          <cell r="AT57">
            <v>6875</v>
          </cell>
          <cell r="AU57">
            <v>4479</v>
          </cell>
          <cell r="AV57">
            <v>2172</v>
          </cell>
          <cell r="AW57">
            <v>1440</v>
          </cell>
          <cell r="AX57">
            <v>0</v>
          </cell>
          <cell r="AY57">
            <v>53</v>
          </cell>
          <cell r="AZ57">
            <v>127</v>
          </cell>
          <cell r="BA57">
            <v>687</v>
          </cell>
        </row>
        <row r="58">
          <cell r="AS58" t="str">
            <v>17031040202</v>
          </cell>
          <cell r="AT58">
            <v>7427</v>
          </cell>
          <cell r="AU58">
            <v>3281</v>
          </cell>
          <cell r="AV58">
            <v>2059</v>
          </cell>
          <cell r="AW58">
            <v>800</v>
          </cell>
          <cell r="AX58">
            <v>48</v>
          </cell>
          <cell r="AY58">
            <v>95</v>
          </cell>
          <cell r="AZ58">
            <v>45</v>
          </cell>
          <cell r="BA58">
            <v>234</v>
          </cell>
        </row>
        <row r="59">
          <cell r="AS59" t="str">
            <v>17031040300</v>
          </cell>
          <cell r="AT59">
            <v>2844</v>
          </cell>
          <cell r="AU59">
            <v>1491</v>
          </cell>
          <cell r="AV59">
            <v>1158</v>
          </cell>
          <cell r="AW59">
            <v>252</v>
          </cell>
          <cell r="AX59">
            <v>18</v>
          </cell>
          <cell r="AY59">
            <v>0</v>
          </cell>
          <cell r="AZ59">
            <v>31</v>
          </cell>
          <cell r="BA59">
            <v>32</v>
          </cell>
        </row>
        <row r="60">
          <cell r="AS60" t="str">
            <v>17031040401</v>
          </cell>
          <cell r="AT60">
            <v>3442</v>
          </cell>
          <cell r="AU60">
            <v>2054</v>
          </cell>
          <cell r="AV60">
            <v>1023</v>
          </cell>
          <cell r="AW60">
            <v>565</v>
          </cell>
          <cell r="AX60">
            <v>0</v>
          </cell>
          <cell r="AY60">
            <v>10</v>
          </cell>
          <cell r="AZ60">
            <v>159</v>
          </cell>
          <cell r="BA60">
            <v>297</v>
          </cell>
        </row>
        <row r="61">
          <cell r="AS61" t="str">
            <v>17031040402</v>
          </cell>
          <cell r="AT61">
            <v>4796</v>
          </cell>
          <cell r="AU61">
            <v>3292</v>
          </cell>
          <cell r="AV61">
            <v>1258</v>
          </cell>
          <cell r="AW61">
            <v>1340</v>
          </cell>
          <cell r="AX61">
            <v>0</v>
          </cell>
          <cell r="AY61">
            <v>53</v>
          </cell>
          <cell r="AZ61">
            <v>151</v>
          </cell>
          <cell r="BA61">
            <v>490</v>
          </cell>
        </row>
        <row r="62">
          <cell r="AS62" t="str">
            <v>17031040600</v>
          </cell>
          <cell r="AT62">
            <v>2635</v>
          </cell>
          <cell r="AU62">
            <v>1852</v>
          </cell>
          <cell r="AV62">
            <v>754</v>
          </cell>
          <cell r="AW62">
            <v>835</v>
          </cell>
          <cell r="AX62">
            <v>0</v>
          </cell>
          <cell r="AY62">
            <v>23</v>
          </cell>
          <cell r="AZ62">
            <v>33</v>
          </cell>
          <cell r="BA62">
            <v>207</v>
          </cell>
        </row>
        <row r="63">
          <cell r="AS63" t="str">
            <v>17031040700</v>
          </cell>
          <cell r="AT63">
            <v>3320</v>
          </cell>
          <cell r="AU63">
            <v>2167</v>
          </cell>
          <cell r="AV63">
            <v>705</v>
          </cell>
          <cell r="AW63">
            <v>821</v>
          </cell>
          <cell r="AX63">
            <v>0</v>
          </cell>
          <cell r="AY63">
            <v>87</v>
          </cell>
          <cell r="AZ63">
            <v>186</v>
          </cell>
          <cell r="BA63">
            <v>368</v>
          </cell>
        </row>
        <row r="64">
          <cell r="AS64" t="str">
            <v>17031040800</v>
          </cell>
          <cell r="AT64">
            <v>1629</v>
          </cell>
          <cell r="AU64">
            <v>1072</v>
          </cell>
          <cell r="AV64">
            <v>435</v>
          </cell>
          <cell r="AW64">
            <v>366</v>
          </cell>
          <cell r="AX64">
            <v>18</v>
          </cell>
          <cell r="AY64">
            <v>31</v>
          </cell>
          <cell r="AZ64">
            <v>27</v>
          </cell>
          <cell r="BA64">
            <v>195</v>
          </cell>
        </row>
        <row r="65">
          <cell r="AS65" t="str">
            <v>17031040900</v>
          </cell>
          <cell r="AT65">
            <v>1810</v>
          </cell>
          <cell r="AU65">
            <v>1306</v>
          </cell>
          <cell r="AV65">
            <v>520</v>
          </cell>
          <cell r="AW65">
            <v>448</v>
          </cell>
          <cell r="AX65">
            <v>0</v>
          </cell>
          <cell r="AY65">
            <v>57</v>
          </cell>
          <cell r="AZ65">
            <v>101</v>
          </cell>
          <cell r="BA65">
            <v>180</v>
          </cell>
        </row>
        <row r="66">
          <cell r="AS66" t="str">
            <v>17031050100</v>
          </cell>
          <cell r="AT66">
            <v>2832</v>
          </cell>
          <cell r="AU66">
            <v>1862</v>
          </cell>
          <cell r="AV66">
            <v>741</v>
          </cell>
          <cell r="AW66">
            <v>672</v>
          </cell>
          <cell r="AX66">
            <v>0</v>
          </cell>
          <cell r="AY66">
            <v>52</v>
          </cell>
          <cell r="AZ66">
            <v>192</v>
          </cell>
          <cell r="BA66">
            <v>205</v>
          </cell>
        </row>
        <row r="67">
          <cell r="AS67" t="str">
            <v>17031050200</v>
          </cell>
          <cell r="AT67">
            <v>5594</v>
          </cell>
          <cell r="AU67">
            <v>3033</v>
          </cell>
          <cell r="AV67">
            <v>1472</v>
          </cell>
          <cell r="AW67">
            <v>865</v>
          </cell>
          <cell r="AX67">
            <v>24</v>
          </cell>
          <cell r="AY67">
            <v>54</v>
          </cell>
          <cell r="AZ67">
            <v>107</v>
          </cell>
          <cell r="BA67">
            <v>511</v>
          </cell>
        </row>
        <row r="68">
          <cell r="AS68" t="str">
            <v>17031050300</v>
          </cell>
          <cell r="AT68">
            <v>2550</v>
          </cell>
          <cell r="AU68">
            <v>1576</v>
          </cell>
          <cell r="AV68">
            <v>929</v>
          </cell>
          <cell r="AW68">
            <v>317</v>
          </cell>
          <cell r="AX68">
            <v>0</v>
          </cell>
          <cell r="AY68">
            <v>0</v>
          </cell>
          <cell r="AZ68">
            <v>132</v>
          </cell>
          <cell r="BA68">
            <v>198</v>
          </cell>
        </row>
        <row r="69">
          <cell r="AS69" t="str">
            <v>17031050500</v>
          </cell>
          <cell r="AT69">
            <v>5911</v>
          </cell>
          <cell r="AU69">
            <v>3259</v>
          </cell>
          <cell r="AV69">
            <v>1498</v>
          </cell>
          <cell r="AW69">
            <v>988</v>
          </cell>
          <cell r="AX69">
            <v>0</v>
          </cell>
          <cell r="AY69">
            <v>36</v>
          </cell>
          <cell r="AZ69">
            <v>92</v>
          </cell>
          <cell r="BA69">
            <v>645</v>
          </cell>
        </row>
        <row r="70">
          <cell r="AS70" t="str">
            <v>17031050600</v>
          </cell>
          <cell r="AT70">
            <v>2178</v>
          </cell>
          <cell r="AU70">
            <v>1460</v>
          </cell>
          <cell r="AV70">
            <v>443</v>
          </cell>
          <cell r="AW70">
            <v>601</v>
          </cell>
          <cell r="AX70">
            <v>0</v>
          </cell>
          <cell r="AY70">
            <v>115</v>
          </cell>
          <cell r="AZ70">
            <v>28</v>
          </cell>
          <cell r="BA70">
            <v>273</v>
          </cell>
        </row>
        <row r="71">
          <cell r="AS71" t="str">
            <v>17031050700</v>
          </cell>
          <cell r="AT71">
            <v>1435</v>
          </cell>
          <cell r="AU71">
            <v>1000</v>
          </cell>
          <cell r="AV71">
            <v>379</v>
          </cell>
          <cell r="AW71">
            <v>374</v>
          </cell>
          <cell r="AX71">
            <v>0</v>
          </cell>
          <cell r="AY71">
            <v>9</v>
          </cell>
          <cell r="AZ71">
            <v>17</v>
          </cell>
          <cell r="BA71">
            <v>221</v>
          </cell>
        </row>
        <row r="72">
          <cell r="AS72" t="str">
            <v>17031050800</v>
          </cell>
          <cell r="AT72">
            <v>1527</v>
          </cell>
          <cell r="AU72">
            <v>790</v>
          </cell>
          <cell r="AV72">
            <v>260</v>
          </cell>
          <cell r="AW72">
            <v>409</v>
          </cell>
          <cell r="AX72">
            <v>14</v>
          </cell>
          <cell r="AY72">
            <v>12</v>
          </cell>
          <cell r="AZ72">
            <v>29</v>
          </cell>
          <cell r="BA72">
            <v>66</v>
          </cell>
        </row>
        <row r="73">
          <cell r="AS73" t="str">
            <v>17031050900</v>
          </cell>
          <cell r="AT73">
            <v>1452</v>
          </cell>
          <cell r="AU73">
            <v>900</v>
          </cell>
          <cell r="AV73">
            <v>560</v>
          </cell>
          <cell r="AW73">
            <v>192</v>
          </cell>
          <cell r="AX73">
            <v>0</v>
          </cell>
          <cell r="AY73">
            <v>14</v>
          </cell>
          <cell r="AZ73">
            <v>17</v>
          </cell>
          <cell r="BA73">
            <v>117</v>
          </cell>
        </row>
        <row r="74">
          <cell r="AS74" t="str">
            <v>17031051000</v>
          </cell>
          <cell r="AT74">
            <v>1783</v>
          </cell>
          <cell r="AU74">
            <v>1048</v>
          </cell>
          <cell r="AV74">
            <v>570</v>
          </cell>
          <cell r="AW74">
            <v>220</v>
          </cell>
          <cell r="AX74">
            <v>0</v>
          </cell>
          <cell r="AY74">
            <v>13</v>
          </cell>
          <cell r="AZ74">
            <v>94</v>
          </cell>
          <cell r="BA74">
            <v>151</v>
          </cell>
        </row>
        <row r="75">
          <cell r="AS75" t="str">
            <v>17031051100</v>
          </cell>
          <cell r="AT75">
            <v>1820</v>
          </cell>
          <cell r="AU75">
            <v>1078</v>
          </cell>
          <cell r="AV75">
            <v>545</v>
          </cell>
          <cell r="AW75">
            <v>280</v>
          </cell>
          <cell r="AX75">
            <v>0</v>
          </cell>
          <cell r="AY75">
            <v>18</v>
          </cell>
          <cell r="AZ75">
            <v>38</v>
          </cell>
          <cell r="BA75">
            <v>197</v>
          </cell>
        </row>
        <row r="76">
          <cell r="AS76" t="str">
            <v>17031051200</v>
          </cell>
          <cell r="AT76">
            <v>1531</v>
          </cell>
          <cell r="AU76">
            <v>1036</v>
          </cell>
          <cell r="AV76">
            <v>348</v>
          </cell>
          <cell r="AW76">
            <v>467</v>
          </cell>
          <cell r="AX76">
            <v>0</v>
          </cell>
          <cell r="AY76">
            <v>15</v>
          </cell>
          <cell r="AZ76">
            <v>93</v>
          </cell>
          <cell r="BA76">
            <v>113</v>
          </cell>
        </row>
        <row r="77">
          <cell r="AS77" t="str">
            <v>17031051300</v>
          </cell>
          <cell r="AT77">
            <v>2933</v>
          </cell>
          <cell r="AU77">
            <v>1793</v>
          </cell>
          <cell r="AV77">
            <v>1075</v>
          </cell>
          <cell r="AW77">
            <v>356</v>
          </cell>
          <cell r="AX77">
            <v>7</v>
          </cell>
          <cell r="AY77">
            <v>0</v>
          </cell>
          <cell r="AZ77">
            <v>18</v>
          </cell>
          <cell r="BA77">
            <v>337</v>
          </cell>
        </row>
        <row r="78">
          <cell r="AS78" t="str">
            <v>17031051400</v>
          </cell>
          <cell r="AT78">
            <v>2220</v>
          </cell>
          <cell r="AU78">
            <v>1272</v>
          </cell>
          <cell r="AV78">
            <v>734</v>
          </cell>
          <cell r="AW78">
            <v>325</v>
          </cell>
          <cell r="AX78">
            <v>0</v>
          </cell>
          <cell r="AY78">
            <v>9</v>
          </cell>
          <cell r="AZ78">
            <v>43</v>
          </cell>
          <cell r="BA78">
            <v>161</v>
          </cell>
        </row>
        <row r="79">
          <cell r="AS79" t="str">
            <v>17031060100</v>
          </cell>
          <cell r="AT79">
            <v>3109</v>
          </cell>
          <cell r="AU79">
            <v>1903</v>
          </cell>
          <cell r="AV79">
            <v>886</v>
          </cell>
          <cell r="AW79">
            <v>688</v>
          </cell>
          <cell r="AX79">
            <v>0</v>
          </cell>
          <cell r="AY79">
            <v>44</v>
          </cell>
          <cell r="AZ79">
            <v>78</v>
          </cell>
          <cell r="BA79">
            <v>207</v>
          </cell>
        </row>
        <row r="80">
          <cell r="AS80" t="str">
            <v>17031060200</v>
          </cell>
          <cell r="AT80">
            <v>2191</v>
          </cell>
          <cell r="AU80">
            <v>1539</v>
          </cell>
          <cell r="AV80">
            <v>424</v>
          </cell>
          <cell r="AW80">
            <v>800</v>
          </cell>
          <cell r="AX80">
            <v>0</v>
          </cell>
          <cell r="AY80">
            <v>28</v>
          </cell>
          <cell r="AZ80">
            <v>8</v>
          </cell>
          <cell r="BA80">
            <v>279</v>
          </cell>
        </row>
        <row r="81">
          <cell r="AS81" t="str">
            <v>17031060300</v>
          </cell>
          <cell r="AT81">
            <v>2918</v>
          </cell>
          <cell r="AU81">
            <v>1922</v>
          </cell>
          <cell r="AV81">
            <v>796</v>
          </cell>
          <cell r="AW81">
            <v>926</v>
          </cell>
          <cell r="AX81">
            <v>35</v>
          </cell>
          <cell r="AY81">
            <v>26</v>
          </cell>
          <cell r="AZ81">
            <v>38</v>
          </cell>
          <cell r="BA81">
            <v>101</v>
          </cell>
        </row>
        <row r="82">
          <cell r="AS82" t="str">
            <v>17031060400</v>
          </cell>
          <cell r="AT82">
            <v>3981</v>
          </cell>
          <cell r="AU82">
            <v>2604</v>
          </cell>
          <cell r="AV82">
            <v>1057</v>
          </cell>
          <cell r="AW82">
            <v>852</v>
          </cell>
          <cell r="AX82">
            <v>0</v>
          </cell>
          <cell r="AY82">
            <v>79</v>
          </cell>
          <cell r="AZ82">
            <v>149</v>
          </cell>
          <cell r="BA82">
            <v>467</v>
          </cell>
        </row>
        <row r="83">
          <cell r="AS83" t="str">
            <v>17031060500</v>
          </cell>
          <cell r="AT83">
            <v>1233</v>
          </cell>
          <cell r="AU83">
            <v>623</v>
          </cell>
          <cell r="AV83">
            <v>196</v>
          </cell>
          <cell r="AW83">
            <v>215</v>
          </cell>
          <cell r="AX83">
            <v>10</v>
          </cell>
          <cell r="AY83">
            <v>11</v>
          </cell>
          <cell r="AZ83">
            <v>20</v>
          </cell>
          <cell r="BA83">
            <v>171</v>
          </cell>
        </row>
        <row r="84">
          <cell r="AS84" t="str">
            <v>17031060800</v>
          </cell>
          <cell r="AT84">
            <v>5225</v>
          </cell>
          <cell r="AU84">
            <v>3846</v>
          </cell>
          <cell r="AV84">
            <v>1203</v>
          </cell>
          <cell r="AW84">
            <v>1828</v>
          </cell>
          <cell r="AX84">
            <v>68</v>
          </cell>
          <cell r="AY84">
            <v>30</v>
          </cell>
          <cell r="AZ84">
            <v>134</v>
          </cell>
          <cell r="BA84">
            <v>583</v>
          </cell>
        </row>
        <row r="85">
          <cell r="AS85" t="str">
            <v>17031060900</v>
          </cell>
          <cell r="AT85">
            <v>6815</v>
          </cell>
          <cell r="AU85">
            <v>5215</v>
          </cell>
          <cell r="AV85">
            <v>1632</v>
          </cell>
          <cell r="AW85">
            <v>2843</v>
          </cell>
          <cell r="AX85">
            <v>20</v>
          </cell>
          <cell r="AY85">
            <v>19</v>
          </cell>
          <cell r="AZ85">
            <v>359</v>
          </cell>
          <cell r="BA85">
            <v>342</v>
          </cell>
        </row>
        <row r="86">
          <cell r="AS86" t="str">
            <v>17031061000</v>
          </cell>
          <cell r="AT86">
            <v>2224</v>
          </cell>
          <cell r="AU86">
            <v>1707</v>
          </cell>
          <cell r="AV86">
            <v>461</v>
          </cell>
          <cell r="AW86">
            <v>782</v>
          </cell>
          <cell r="AX86">
            <v>0</v>
          </cell>
          <cell r="AY86">
            <v>77</v>
          </cell>
          <cell r="AZ86">
            <v>68</v>
          </cell>
          <cell r="BA86">
            <v>319</v>
          </cell>
        </row>
        <row r="87">
          <cell r="AS87" t="str">
            <v>17031061100</v>
          </cell>
          <cell r="AT87">
            <v>1431</v>
          </cell>
          <cell r="AU87">
            <v>1225</v>
          </cell>
          <cell r="AV87">
            <v>301</v>
          </cell>
          <cell r="AW87">
            <v>624</v>
          </cell>
          <cell r="AX87">
            <v>0</v>
          </cell>
          <cell r="AY87">
            <v>41</v>
          </cell>
          <cell r="AZ87">
            <v>42</v>
          </cell>
          <cell r="BA87">
            <v>217</v>
          </cell>
        </row>
        <row r="88">
          <cell r="AS88" t="str">
            <v>17031061200</v>
          </cell>
          <cell r="AT88">
            <v>2161</v>
          </cell>
          <cell r="AU88">
            <v>1550</v>
          </cell>
          <cell r="AV88">
            <v>466</v>
          </cell>
          <cell r="AW88">
            <v>728</v>
          </cell>
          <cell r="AX88">
            <v>10</v>
          </cell>
          <cell r="AY88">
            <v>16</v>
          </cell>
          <cell r="AZ88">
            <v>101</v>
          </cell>
          <cell r="BA88">
            <v>229</v>
          </cell>
        </row>
        <row r="89">
          <cell r="AS89" t="str">
            <v>17031061500</v>
          </cell>
          <cell r="AT89">
            <v>2051</v>
          </cell>
          <cell r="AU89">
            <v>1568</v>
          </cell>
          <cell r="AV89">
            <v>564</v>
          </cell>
          <cell r="AW89">
            <v>712</v>
          </cell>
          <cell r="AX89">
            <v>16</v>
          </cell>
          <cell r="AY89">
            <v>29</v>
          </cell>
          <cell r="AZ89">
            <v>63</v>
          </cell>
          <cell r="BA89">
            <v>184</v>
          </cell>
        </row>
        <row r="90">
          <cell r="AS90" t="str">
            <v>17031061800</v>
          </cell>
          <cell r="AT90">
            <v>1409</v>
          </cell>
          <cell r="AU90">
            <v>977</v>
          </cell>
          <cell r="AV90">
            <v>198</v>
          </cell>
          <cell r="AW90">
            <v>547</v>
          </cell>
          <cell r="AX90">
            <v>10</v>
          </cell>
          <cell r="AY90">
            <v>47</v>
          </cell>
          <cell r="AZ90">
            <v>44</v>
          </cell>
          <cell r="BA90">
            <v>131</v>
          </cell>
        </row>
        <row r="91">
          <cell r="AS91" t="str">
            <v>17031061901</v>
          </cell>
          <cell r="AT91">
            <v>3384</v>
          </cell>
          <cell r="AU91">
            <v>2153</v>
          </cell>
          <cell r="AV91">
            <v>480</v>
          </cell>
          <cell r="AW91">
            <v>1323</v>
          </cell>
          <cell r="AX91">
            <v>0</v>
          </cell>
          <cell r="AY91">
            <v>125</v>
          </cell>
          <cell r="AZ91">
            <v>62</v>
          </cell>
          <cell r="BA91">
            <v>163</v>
          </cell>
        </row>
        <row r="92">
          <cell r="AS92" t="str">
            <v>17031061902</v>
          </cell>
          <cell r="AT92">
            <v>4607</v>
          </cell>
          <cell r="AU92">
            <v>2925</v>
          </cell>
          <cell r="AV92">
            <v>759</v>
          </cell>
          <cell r="AW92">
            <v>1611</v>
          </cell>
          <cell r="AX92">
            <v>18</v>
          </cell>
          <cell r="AY92">
            <v>74</v>
          </cell>
          <cell r="AZ92">
            <v>167</v>
          </cell>
          <cell r="BA92">
            <v>296</v>
          </cell>
        </row>
        <row r="93">
          <cell r="AS93" t="str">
            <v>17031062000</v>
          </cell>
          <cell r="AT93">
            <v>3057</v>
          </cell>
          <cell r="AU93">
            <v>2343</v>
          </cell>
          <cell r="AV93">
            <v>575</v>
          </cell>
          <cell r="AW93">
            <v>1261</v>
          </cell>
          <cell r="AX93">
            <v>0</v>
          </cell>
          <cell r="AY93">
            <v>46</v>
          </cell>
          <cell r="AZ93">
            <v>79</v>
          </cell>
          <cell r="BA93">
            <v>382</v>
          </cell>
        </row>
        <row r="94">
          <cell r="AS94" t="str">
            <v>17031062100</v>
          </cell>
          <cell r="AT94">
            <v>3710</v>
          </cell>
          <cell r="AU94">
            <v>2986</v>
          </cell>
          <cell r="AV94">
            <v>587</v>
          </cell>
          <cell r="AW94">
            <v>1516</v>
          </cell>
          <cell r="AX94">
            <v>73</v>
          </cell>
          <cell r="AY94">
            <v>9</v>
          </cell>
          <cell r="AZ94">
            <v>176</v>
          </cell>
          <cell r="BA94">
            <v>625</v>
          </cell>
        </row>
        <row r="95">
          <cell r="AS95" t="str">
            <v>17031062200</v>
          </cell>
          <cell r="AT95">
            <v>3252</v>
          </cell>
          <cell r="AU95">
            <v>2223</v>
          </cell>
          <cell r="AV95">
            <v>968</v>
          </cell>
          <cell r="AW95">
            <v>828</v>
          </cell>
          <cell r="AX95">
            <v>0</v>
          </cell>
          <cell r="AY95">
            <v>21</v>
          </cell>
          <cell r="AZ95">
            <v>119</v>
          </cell>
          <cell r="BA95">
            <v>287</v>
          </cell>
        </row>
        <row r="96">
          <cell r="AS96" t="str">
            <v>17031062300</v>
          </cell>
          <cell r="AT96">
            <v>1616</v>
          </cell>
          <cell r="AU96">
            <v>1016</v>
          </cell>
          <cell r="AV96">
            <v>457</v>
          </cell>
          <cell r="AW96">
            <v>372</v>
          </cell>
          <cell r="AX96">
            <v>7</v>
          </cell>
          <cell r="AY96">
            <v>5</v>
          </cell>
          <cell r="AZ96">
            <v>12</v>
          </cell>
          <cell r="BA96">
            <v>163</v>
          </cell>
        </row>
        <row r="97">
          <cell r="AS97" t="str">
            <v>17031062400</v>
          </cell>
          <cell r="AT97">
            <v>1510</v>
          </cell>
          <cell r="AU97">
            <v>948</v>
          </cell>
          <cell r="AV97">
            <v>298</v>
          </cell>
          <cell r="AW97">
            <v>450</v>
          </cell>
          <cell r="AX97">
            <v>12</v>
          </cell>
          <cell r="AY97">
            <v>5</v>
          </cell>
          <cell r="AZ97">
            <v>37</v>
          </cell>
          <cell r="BA97">
            <v>146</v>
          </cell>
        </row>
        <row r="98">
          <cell r="AS98" t="str">
            <v>17031062500</v>
          </cell>
          <cell r="AT98">
            <v>1580</v>
          </cell>
          <cell r="AU98">
            <v>1153</v>
          </cell>
          <cell r="AV98">
            <v>247</v>
          </cell>
          <cell r="AW98">
            <v>567</v>
          </cell>
          <cell r="AX98">
            <v>19</v>
          </cell>
          <cell r="AY98">
            <v>33</v>
          </cell>
          <cell r="AZ98">
            <v>92</v>
          </cell>
          <cell r="BA98">
            <v>195</v>
          </cell>
        </row>
        <row r="99">
          <cell r="AS99" t="str">
            <v>17031062600</v>
          </cell>
          <cell r="AT99">
            <v>2438</v>
          </cell>
          <cell r="AU99">
            <v>1364</v>
          </cell>
          <cell r="AV99">
            <v>725</v>
          </cell>
          <cell r="AW99">
            <v>362</v>
          </cell>
          <cell r="AX99">
            <v>7</v>
          </cell>
          <cell r="AY99">
            <v>27</v>
          </cell>
          <cell r="AZ99">
            <v>39</v>
          </cell>
          <cell r="BA99">
            <v>204</v>
          </cell>
        </row>
        <row r="100">
          <cell r="AS100" t="str">
            <v>17031062700</v>
          </cell>
          <cell r="AT100">
            <v>2972</v>
          </cell>
          <cell r="AU100">
            <v>1953</v>
          </cell>
          <cell r="AV100">
            <v>772</v>
          </cell>
          <cell r="AW100">
            <v>596</v>
          </cell>
          <cell r="AX100">
            <v>76</v>
          </cell>
          <cell r="AY100">
            <v>12</v>
          </cell>
          <cell r="AZ100">
            <v>71</v>
          </cell>
          <cell r="BA100">
            <v>426</v>
          </cell>
        </row>
        <row r="101">
          <cell r="AS101" t="str">
            <v>17031062800</v>
          </cell>
          <cell r="AT101">
            <v>3443</v>
          </cell>
          <cell r="AU101">
            <v>2479</v>
          </cell>
          <cell r="AV101">
            <v>1060</v>
          </cell>
          <cell r="AW101">
            <v>939</v>
          </cell>
          <cell r="AX101">
            <v>61</v>
          </cell>
          <cell r="AY101">
            <v>53</v>
          </cell>
          <cell r="AZ101">
            <v>75</v>
          </cell>
          <cell r="BA101">
            <v>291</v>
          </cell>
        </row>
        <row r="102">
          <cell r="AS102" t="str">
            <v>17031062900</v>
          </cell>
          <cell r="AT102">
            <v>3759</v>
          </cell>
          <cell r="AU102">
            <v>2697</v>
          </cell>
          <cell r="AV102">
            <v>806</v>
          </cell>
          <cell r="AW102">
            <v>1373</v>
          </cell>
          <cell r="AX102">
            <v>52</v>
          </cell>
          <cell r="AY102">
            <v>93</v>
          </cell>
          <cell r="AZ102">
            <v>71</v>
          </cell>
          <cell r="BA102">
            <v>302</v>
          </cell>
        </row>
        <row r="103">
          <cell r="AS103" t="str">
            <v>17031063000</v>
          </cell>
          <cell r="AT103">
            <v>3506</v>
          </cell>
          <cell r="AU103">
            <v>2628</v>
          </cell>
          <cell r="AV103">
            <v>610</v>
          </cell>
          <cell r="AW103">
            <v>1403</v>
          </cell>
          <cell r="AX103">
            <v>9</v>
          </cell>
          <cell r="AY103">
            <v>74</v>
          </cell>
          <cell r="AZ103">
            <v>134</v>
          </cell>
          <cell r="BA103">
            <v>398</v>
          </cell>
        </row>
        <row r="104">
          <cell r="AS104" t="str">
            <v>17031063100</v>
          </cell>
          <cell r="AT104">
            <v>2309</v>
          </cell>
          <cell r="AU104">
            <v>1782</v>
          </cell>
          <cell r="AV104">
            <v>340</v>
          </cell>
          <cell r="AW104">
            <v>864</v>
          </cell>
          <cell r="AX104">
            <v>0</v>
          </cell>
          <cell r="AY104">
            <v>79</v>
          </cell>
          <cell r="AZ104">
            <v>92</v>
          </cell>
          <cell r="BA104">
            <v>407</v>
          </cell>
        </row>
        <row r="105">
          <cell r="AS105" t="str">
            <v>17031063200</v>
          </cell>
          <cell r="AT105">
            <v>6285</v>
          </cell>
          <cell r="AU105">
            <v>4553</v>
          </cell>
          <cell r="AV105">
            <v>1414</v>
          </cell>
          <cell r="AW105">
            <v>2297</v>
          </cell>
          <cell r="AX105">
            <v>27</v>
          </cell>
          <cell r="AY105">
            <v>70</v>
          </cell>
          <cell r="AZ105">
            <v>274</v>
          </cell>
          <cell r="BA105">
            <v>471</v>
          </cell>
        </row>
        <row r="106">
          <cell r="AS106" t="str">
            <v>17031063301</v>
          </cell>
          <cell r="AT106">
            <v>2925</v>
          </cell>
          <cell r="AU106">
            <v>1998</v>
          </cell>
          <cell r="AV106">
            <v>514</v>
          </cell>
          <cell r="AW106">
            <v>1069</v>
          </cell>
          <cell r="AX106">
            <v>0</v>
          </cell>
          <cell r="AY106">
            <v>95</v>
          </cell>
          <cell r="AZ106">
            <v>123</v>
          </cell>
          <cell r="BA106">
            <v>197</v>
          </cell>
        </row>
        <row r="107">
          <cell r="AS107" t="str">
            <v>17031063302</v>
          </cell>
          <cell r="AT107">
            <v>3867</v>
          </cell>
          <cell r="AU107">
            <v>2956</v>
          </cell>
          <cell r="AV107">
            <v>685</v>
          </cell>
          <cell r="AW107">
            <v>1633</v>
          </cell>
          <cell r="AX107">
            <v>53</v>
          </cell>
          <cell r="AY107">
            <v>46</v>
          </cell>
          <cell r="AZ107">
            <v>105</v>
          </cell>
          <cell r="BA107">
            <v>434</v>
          </cell>
        </row>
        <row r="108">
          <cell r="AS108" t="str">
            <v>17031063303</v>
          </cell>
          <cell r="AT108">
            <v>1160</v>
          </cell>
          <cell r="AU108">
            <v>581</v>
          </cell>
          <cell r="AV108">
            <v>229</v>
          </cell>
          <cell r="AW108">
            <v>182</v>
          </cell>
          <cell r="AX108">
            <v>0</v>
          </cell>
          <cell r="AY108">
            <v>0</v>
          </cell>
          <cell r="AZ108">
            <v>29</v>
          </cell>
          <cell r="BA108">
            <v>141</v>
          </cell>
        </row>
        <row r="109">
          <cell r="AS109" t="str">
            <v>17031063400</v>
          </cell>
          <cell r="AT109">
            <v>2628</v>
          </cell>
          <cell r="AU109">
            <v>1970</v>
          </cell>
          <cell r="AV109">
            <v>374</v>
          </cell>
          <cell r="AW109">
            <v>1191</v>
          </cell>
          <cell r="AX109">
            <v>19</v>
          </cell>
          <cell r="AY109">
            <v>78</v>
          </cell>
          <cell r="AZ109">
            <v>80</v>
          </cell>
          <cell r="BA109">
            <v>228</v>
          </cell>
        </row>
        <row r="110">
          <cell r="AS110" t="str">
            <v>17031070101</v>
          </cell>
          <cell r="AT110">
            <v>3848</v>
          </cell>
          <cell r="AU110">
            <v>2171</v>
          </cell>
          <cell r="AV110">
            <v>743</v>
          </cell>
          <cell r="AW110">
            <v>1119</v>
          </cell>
          <cell r="AX110">
            <v>20</v>
          </cell>
          <cell r="AY110">
            <v>46</v>
          </cell>
          <cell r="AZ110">
            <v>93</v>
          </cell>
          <cell r="BA110">
            <v>150</v>
          </cell>
        </row>
        <row r="111">
          <cell r="AS111" t="str">
            <v>17031070102</v>
          </cell>
          <cell r="AT111">
            <v>3394</v>
          </cell>
          <cell r="AU111">
            <v>2640</v>
          </cell>
          <cell r="AV111">
            <v>699</v>
          </cell>
          <cell r="AW111">
            <v>1250</v>
          </cell>
          <cell r="AX111">
            <v>29</v>
          </cell>
          <cell r="AY111">
            <v>150</v>
          </cell>
          <cell r="AZ111">
            <v>116</v>
          </cell>
          <cell r="BA111">
            <v>396</v>
          </cell>
        </row>
        <row r="112">
          <cell r="AS112" t="str">
            <v>17031070103</v>
          </cell>
          <cell r="AT112">
            <v>1469</v>
          </cell>
          <cell r="AU112">
            <v>1228</v>
          </cell>
          <cell r="AV112">
            <v>228</v>
          </cell>
          <cell r="AW112">
            <v>726</v>
          </cell>
          <cell r="AX112">
            <v>65</v>
          </cell>
          <cell r="AY112">
            <v>0</v>
          </cell>
          <cell r="AZ112">
            <v>108</v>
          </cell>
          <cell r="BA112">
            <v>101</v>
          </cell>
        </row>
        <row r="113">
          <cell r="AS113" t="str">
            <v>17031070200</v>
          </cell>
          <cell r="AT113">
            <v>4260</v>
          </cell>
          <cell r="AU113">
            <v>2958</v>
          </cell>
          <cell r="AV113">
            <v>868</v>
          </cell>
          <cell r="AW113">
            <v>1340</v>
          </cell>
          <cell r="AX113">
            <v>9</v>
          </cell>
          <cell r="AY113">
            <v>126</v>
          </cell>
          <cell r="AZ113">
            <v>90</v>
          </cell>
          <cell r="BA113">
            <v>525</v>
          </cell>
        </row>
        <row r="114">
          <cell r="AS114" t="str">
            <v>17031070300</v>
          </cell>
          <cell r="AT114">
            <v>3729</v>
          </cell>
          <cell r="AU114">
            <v>2637</v>
          </cell>
          <cell r="AV114">
            <v>1001</v>
          </cell>
          <cell r="AW114">
            <v>1322</v>
          </cell>
          <cell r="AX114">
            <v>19</v>
          </cell>
          <cell r="AY114">
            <v>24</v>
          </cell>
          <cell r="AZ114">
            <v>42</v>
          </cell>
          <cell r="BA114">
            <v>229</v>
          </cell>
        </row>
        <row r="115">
          <cell r="AS115" t="str">
            <v>17031070400</v>
          </cell>
          <cell r="AT115">
            <v>3277</v>
          </cell>
          <cell r="AU115">
            <v>1973</v>
          </cell>
          <cell r="AV115">
            <v>628</v>
          </cell>
          <cell r="AW115">
            <v>784</v>
          </cell>
          <cell r="AX115">
            <v>28</v>
          </cell>
          <cell r="AY115">
            <v>40</v>
          </cell>
          <cell r="AZ115">
            <v>109</v>
          </cell>
          <cell r="BA115">
            <v>384</v>
          </cell>
        </row>
        <row r="116">
          <cell r="AS116" t="str">
            <v>17031070500</v>
          </cell>
          <cell r="AT116">
            <v>3256</v>
          </cell>
          <cell r="AU116">
            <v>1945</v>
          </cell>
          <cell r="AV116">
            <v>982</v>
          </cell>
          <cell r="AW116">
            <v>586</v>
          </cell>
          <cell r="AX116">
            <v>15</v>
          </cell>
          <cell r="AY116">
            <v>34</v>
          </cell>
          <cell r="AZ116">
            <v>86</v>
          </cell>
          <cell r="BA116">
            <v>242</v>
          </cell>
        </row>
        <row r="117">
          <cell r="AS117" t="str">
            <v>17031070600</v>
          </cell>
          <cell r="AT117">
            <v>3305</v>
          </cell>
          <cell r="AU117">
            <v>1786</v>
          </cell>
          <cell r="AV117">
            <v>774</v>
          </cell>
          <cell r="AW117">
            <v>559</v>
          </cell>
          <cell r="AX117">
            <v>49</v>
          </cell>
          <cell r="AY117">
            <v>36</v>
          </cell>
          <cell r="AZ117">
            <v>100</v>
          </cell>
          <cell r="BA117">
            <v>268</v>
          </cell>
        </row>
        <row r="118">
          <cell r="AS118" t="str">
            <v>17031070700</v>
          </cell>
          <cell r="AT118">
            <v>3880</v>
          </cell>
          <cell r="AU118">
            <v>2494</v>
          </cell>
          <cell r="AV118">
            <v>1365</v>
          </cell>
          <cell r="AW118">
            <v>534</v>
          </cell>
          <cell r="AX118">
            <v>48</v>
          </cell>
          <cell r="AY118">
            <v>27</v>
          </cell>
          <cell r="AZ118">
            <v>42</v>
          </cell>
          <cell r="BA118">
            <v>478</v>
          </cell>
        </row>
        <row r="119">
          <cell r="AS119" t="str">
            <v>17031071000</v>
          </cell>
          <cell r="AT119">
            <v>4836</v>
          </cell>
          <cell r="AU119">
            <v>2337</v>
          </cell>
          <cell r="AV119">
            <v>535</v>
          </cell>
          <cell r="AW119">
            <v>858</v>
          </cell>
          <cell r="AX119">
            <v>0</v>
          </cell>
          <cell r="AY119">
            <v>2</v>
          </cell>
          <cell r="AZ119">
            <v>582</v>
          </cell>
          <cell r="BA119">
            <v>360</v>
          </cell>
        </row>
        <row r="120">
          <cell r="AS120" t="str">
            <v>17031071100</v>
          </cell>
          <cell r="AT120">
            <v>3397</v>
          </cell>
          <cell r="AU120">
            <v>2163</v>
          </cell>
          <cell r="AV120">
            <v>503</v>
          </cell>
          <cell r="AW120">
            <v>1154</v>
          </cell>
          <cell r="AX120">
            <v>20</v>
          </cell>
          <cell r="AY120">
            <v>122</v>
          </cell>
          <cell r="AZ120">
            <v>153</v>
          </cell>
          <cell r="BA120">
            <v>211</v>
          </cell>
        </row>
        <row r="121">
          <cell r="AS121" t="str">
            <v>17031071200</v>
          </cell>
          <cell r="AT121">
            <v>1994</v>
          </cell>
          <cell r="AU121">
            <v>1259</v>
          </cell>
          <cell r="AV121">
            <v>308</v>
          </cell>
          <cell r="AW121">
            <v>686</v>
          </cell>
          <cell r="AX121">
            <v>88</v>
          </cell>
          <cell r="AY121">
            <v>9</v>
          </cell>
          <cell r="AZ121">
            <v>72</v>
          </cell>
          <cell r="BA121">
            <v>96</v>
          </cell>
        </row>
        <row r="122">
          <cell r="AS122" t="str">
            <v>17031071300</v>
          </cell>
          <cell r="AT122">
            <v>4378</v>
          </cell>
          <cell r="AU122">
            <v>2612</v>
          </cell>
          <cell r="AV122">
            <v>880</v>
          </cell>
          <cell r="AW122">
            <v>1193</v>
          </cell>
          <cell r="AX122">
            <v>59</v>
          </cell>
          <cell r="AY122">
            <v>229</v>
          </cell>
          <cell r="AZ122">
            <v>102</v>
          </cell>
          <cell r="BA122">
            <v>149</v>
          </cell>
        </row>
        <row r="123">
          <cell r="AS123" t="str">
            <v>17031071400</v>
          </cell>
          <cell r="AT123">
            <v>4998</v>
          </cell>
          <cell r="AU123">
            <v>3325</v>
          </cell>
          <cell r="AV123">
            <v>1063</v>
          </cell>
          <cell r="AW123">
            <v>1253</v>
          </cell>
          <cell r="AX123">
            <v>42</v>
          </cell>
          <cell r="AY123">
            <v>104</v>
          </cell>
          <cell r="AZ123">
            <v>242</v>
          </cell>
          <cell r="BA123">
            <v>621</v>
          </cell>
        </row>
        <row r="124">
          <cell r="AS124" t="str">
            <v>17031071500</v>
          </cell>
          <cell r="AT124">
            <v>6157</v>
          </cell>
          <cell r="AU124">
            <v>4354</v>
          </cell>
          <cell r="AV124">
            <v>1315</v>
          </cell>
          <cell r="AW124">
            <v>1836</v>
          </cell>
          <cell r="AX124">
            <v>127</v>
          </cell>
          <cell r="AY124">
            <v>169</v>
          </cell>
          <cell r="AZ124">
            <v>268</v>
          </cell>
          <cell r="BA124">
            <v>639</v>
          </cell>
        </row>
        <row r="125">
          <cell r="AS125" t="str">
            <v>17031071600</v>
          </cell>
          <cell r="AT125">
            <v>1975</v>
          </cell>
          <cell r="AU125">
            <v>1029</v>
          </cell>
          <cell r="AV125">
            <v>331</v>
          </cell>
          <cell r="AW125">
            <v>308</v>
          </cell>
          <cell r="AX125">
            <v>47</v>
          </cell>
          <cell r="AY125">
            <v>49</v>
          </cell>
          <cell r="AZ125">
            <v>89</v>
          </cell>
          <cell r="BA125">
            <v>205</v>
          </cell>
        </row>
        <row r="126">
          <cell r="AS126" t="str">
            <v>17031071700</v>
          </cell>
          <cell r="AT126">
            <v>1622</v>
          </cell>
          <cell r="AU126">
            <v>865</v>
          </cell>
          <cell r="AV126">
            <v>310</v>
          </cell>
          <cell r="AW126">
            <v>267</v>
          </cell>
          <cell r="AX126">
            <v>41</v>
          </cell>
          <cell r="AY126">
            <v>67</v>
          </cell>
          <cell r="AZ126">
            <v>69</v>
          </cell>
          <cell r="BA126">
            <v>111</v>
          </cell>
        </row>
        <row r="127">
          <cell r="AS127" t="str">
            <v>17031071800</v>
          </cell>
          <cell r="AT127">
            <v>2579</v>
          </cell>
          <cell r="AU127">
            <v>1525</v>
          </cell>
          <cell r="AV127">
            <v>891</v>
          </cell>
          <cell r="AW127">
            <v>339</v>
          </cell>
          <cell r="AX127">
            <v>0</v>
          </cell>
          <cell r="AY127">
            <v>35</v>
          </cell>
          <cell r="AZ127">
            <v>78</v>
          </cell>
          <cell r="BA127">
            <v>182</v>
          </cell>
        </row>
        <row r="128">
          <cell r="AS128" t="str">
            <v>17031080100</v>
          </cell>
          <cell r="AT128">
            <v>6944</v>
          </cell>
          <cell r="AU128">
            <v>4033</v>
          </cell>
          <cell r="AV128">
            <v>1174</v>
          </cell>
          <cell r="AW128">
            <v>1452</v>
          </cell>
          <cell r="AX128">
            <v>290</v>
          </cell>
          <cell r="AY128">
            <v>39</v>
          </cell>
          <cell r="AZ128">
            <v>500</v>
          </cell>
          <cell r="BA128">
            <v>578</v>
          </cell>
        </row>
        <row r="129">
          <cell r="AS129" t="str">
            <v>17031080201</v>
          </cell>
          <cell r="AT129">
            <v>3038</v>
          </cell>
          <cell r="AU129">
            <v>2241</v>
          </cell>
          <cell r="AV129">
            <v>692</v>
          </cell>
          <cell r="AW129">
            <v>824</v>
          </cell>
          <cell r="AX129">
            <v>35</v>
          </cell>
          <cell r="AY129">
            <v>13</v>
          </cell>
          <cell r="AZ129">
            <v>201</v>
          </cell>
          <cell r="BA129">
            <v>476</v>
          </cell>
        </row>
        <row r="130">
          <cell r="AS130" t="str">
            <v>17031080202</v>
          </cell>
          <cell r="AT130">
            <v>3321</v>
          </cell>
          <cell r="AU130">
            <v>2383</v>
          </cell>
          <cell r="AV130">
            <v>660</v>
          </cell>
          <cell r="AW130">
            <v>816</v>
          </cell>
          <cell r="AX130">
            <v>102</v>
          </cell>
          <cell r="AY130">
            <v>37</v>
          </cell>
          <cell r="AZ130">
            <v>371</v>
          </cell>
          <cell r="BA130">
            <v>397</v>
          </cell>
        </row>
        <row r="131">
          <cell r="AS131" t="str">
            <v>17031080300</v>
          </cell>
          <cell r="AT131">
            <v>4697</v>
          </cell>
          <cell r="AU131">
            <v>3683</v>
          </cell>
          <cell r="AV131">
            <v>1127</v>
          </cell>
          <cell r="AW131">
            <v>1395</v>
          </cell>
          <cell r="AX131">
            <v>81</v>
          </cell>
          <cell r="AY131">
            <v>113</v>
          </cell>
          <cell r="AZ131">
            <v>455</v>
          </cell>
          <cell r="BA131">
            <v>512</v>
          </cell>
        </row>
        <row r="132">
          <cell r="AS132" t="str">
            <v>17031080400</v>
          </cell>
          <cell r="AT132">
            <v>4440</v>
          </cell>
          <cell r="AU132">
            <v>2512</v>
          </cell>
          <cell r="AV132">
            <v>773</v>
          </cell>
          <cell r="AW132">
            <v>995</v>
          </cell>
          <cell r="AX132">
            <v>0</v>
          </cell>
          <cell r="AY132">
            <v>29</v>
          </cell>
          <cell r="AZ132">
            <v>103</v>
          </cell>
          <cell r="BA132">
            <v>612</v>
          </cell>
        </row>
        <row r="133">
          <cell r="AS133" t="str">
            <v>17031081000</v>
          </cell>
          <cell r="AT133">
            <v>8078</v>
          </cell>
          <cell r="AU133">
            <v>5527</v>
          </cell>
          <cell r="AV133">
            <v>950</v>
          </cell>
          <cell r="AW133">
            <v>1476</v>
          </cell>
          <cell r="AX133">
            <v>167</v>
          </cell>
          <cell r="AY133">
            <v>22</v>
          </cell>
          <cell r="AZ133">
            <v>1944</v>
          </cell>
          <cell r="BA133">
            <v>968</v>
          </cell>
        </row>
        <row r="134">
          <cell r="AS134" t="str">
            <v>17031081100</v>
          </cell>
          <cell r="AT134">
            <v>4404</v>
          </cell>
          <cell r="AU134">
            <v>3192</v>
          </cell>
          <cell r="AV134">
            <v>520</v>
          </cell>
          <cell r="AW134">
            <v>1037</v>
          </cell>
          <cell r="AX134">
            <v>309</v>
          </cell>
          <cell r="AY134">
            <v>11</v>
          </cell>
          <cell r="AZ134">
            <v>809</v>
          </cell>
          <cell r="BA134">
            <v>506</v>
          </cell>
        </row>
        <row r="135">
          <cell r="AS135" t="str">
            <v>17031081201</v>
          </cell>
          <cell r="AT135">
            <v>4688</v>
          </cell>
          <cell r="AU135">
            <v>3032</v>
          </cell>
          <cell r="AV135">
            <v>642</v>
          </cell>
          <cell r="AW135">
            <v>717</v>
          </cell>
          <cell r="AX135">
            <v>236</v>
          </cell>
          <cell r="AY135">
            <v>61</v>
          </cell>
          <cell r="AZ135">
            <v>987</v>
          </cell>
          <cell r="BA135">
            <v>389</v>
          </cell>
        </row>
        <row r="136">
          <cell r="AS136" t="str">
            <v>17031081202</v>
          </cell>
          <cell r="AT136">
            <v>3011</v>
          </cell>
          <cell r="AU136">
            <v>1492</v>
          </cell>
          <cell r="AV136">
            <v>463</v>
          </cell>
          <cell r="AW136">
            <v>216</v>
          </cell>
          <cell r="AX136">
            <v>124</v>
          </cell>
          <cell r="AY136">
            <v>33</v>
          </cell>
          <cell r="AZ136">
            <v>409</v>
          </cell>
          <cell r="BA136">
            <v>247</v>
          </cell>
        </row>
        <row r="137">
          <cell r="AS137" t="str">
            <v>17031081300</v>
          </cell>
          <cell r="AT137">
            <v>5726</v>
          </cell>
          <cell r="AU137">
            <v>2955</v>
          </cell>
          <cell r="AV137">
            <v>818</v>
          </cell>
          <cell r="AW137">
            <v>568</v>
          </cell>
          <cell r="AX137">
            <v>93</v>
          </cell>
          <cell r="AY137">
            <v>36</v>
          </cell>
          <cell r="AZ137">
            <v>1095</v>
          </cell>
          <cell r="BA137">
            <v>345</v>
          </cell>
        </row>
        <row r="138">
          <cell r="AS138" t="str">
            <v>17031081401</v>
          </cell>
          <cell r="AT138">
            <v>2039</v>
          </cell>
          <cell r="AU138">
            <v>1337</v>
          </cell>
          <cell r="AV138">
            <v>376</v>
          </cell>
          <cell r="AW138">
            <v>200</v>
          </cell>
          <cell r="AX138">
            <v>22</v>
          </cell>
          <cell r="AY138">
            <v>12</v>
          </cell>
          <cell r="AZ138">
            <v>465</v>
          </cell>
          <cell r="BA138">
            <v>262</v>
          </cell>
        </row>
        <row r="139">
          <cell r="AS139" t="str">
            <v>17031081402</v>
          </cell>
          <cell r="AT139">
            <v>5429</v>
          </cell>
          <cell r="AU139">
            <v>3208</v>
          </cell>
          <cell r="AV139">
            <v>1275</v>
          </cell>
          <cell r="AW139">
            <v>618</v>
          </cell>
          <cell r="AX139">
            <v>89</v>
          </cell>
          <cell r="AY139">
            <v>29</v>
          </cell>
          <cell r="AZ139">
            <v>719</v>
          </cell>
          <cell r="BA139">
            <v>478</v>
          </cell>
        </row>
        <row r="140">
          <cell r="AS140" t="str">
            <v>17031081403</v>
          </cell>
          <cell r="AT140">
            <v>9069</v>
          </cell>
          <cell r="AU140">
            <v>6619</v>
          </cell>
          <cell r="AV140">
            <v>1820</v>
          </cell>
          <cell r="AW140">
            <v>915</v>
          </cell>
          <cell r="AX140">
            <v>375</v>
          </cell>
          <cell r="AY140">
            <v>69</v>
          </cell>
          <cell r="AZ140">
            <v>2358</v>
          </cell>
          <cell r="BA140">
            <v>1082</v>
          </cell>
        </row>
        <row r="141">
          <cell r="AS141" t="str">
            <v>17031081500</v>
          </cell>
          <cell r="AT141">
            <v>4645</v>
          </cell>
          <cell r="AU141">
            <v>3613</v>
          </cell>
          <cell r="AV141">
            <v>1036</v>
          </cell>
          <cell r="AW141">
            <v>539</v>
          </cell>
          <cell r="AX141">
            <v>313</v>
          </cell>
          <cell r="AY141">
            <v>20</v>
          </cell>
          <cell r="AZ141">
            <v>1216</v>
          </cell>
          <cell r="BA141">
            <v>489</v>
          </cell>
        </row>
        <row r="142">
          <cell r="AS142" t="str">
            <v>17031081600</v>
          </cell>
          <cell r="AT142">
            <v>3986</v>
          </cell>
          <cell r="AU142">
            <v>2751</v>
          </cell>
          <cell r="AV142">
            <v>516</v>
          </cell>
          <cell r="AW142">
            <v>675</v>
          </cell>
          <cell r="AX142">
            <v>151</v>
          </cell>
          <cell r="AY142">
            <v>10</v>
          </cell>
          <cell r="AZ142">
            <v>1040</v>
          </cell>
          <cell r="BA142">
            <v>359</v>
          </cell>
        </row>
        <row r="143">
          <cell r="AS143" t="str">
            <v>17031081700</v>
          </cell>
          <cell r="AT143">
            <v>4377</v>
          </cell>
          <cell r="AU143">
            <v>3553</v>
          </cell>
          <cell r="AV143">
            <v>757</v>
          </cell>
          <cell r="AW143">
            <v>274</v>
          </cell>
          <cell r="AX143">
            <v>138</v>
          </cell>
          <cell r="AY143">
            <v>133</v>
          </cell>
          <cell r="AZ143">
            <v>1968</v>
          </cell>
          <cell r="BA143">
            <v>283</v>
          </cell>
        </row>
        <row r="144">
          <cell r="AS144" t="str">
            <v>17031081800</v>
          </cell>
          <cell r="AT144">
            <v>10974</v>
          </cell>
          <cell r="AU144">
            <v>8827</v>
          </cell>
          <cell r="AV144">
            <v>2240</v>
          </cell>
          <cell r="AW144">
            <v>1022</v>
          </cell>
          <cell r="AX144">
            <v>517</v>
          </cell>
          <cell r="AY144">
            <v>74</v>
          </cell>
          <cell r="AZ144">
            <v>3516</v>
          </cell>
          <cell r="BA144">
            <v>1458</v>
          </cell>
        </row>
        <row r="145">
          <cell r="AS145" t="str">
            <v>17031081900</v>
          </cell>
          <cell r="AT145">
            <v>1051</v>
          </cell>
          <cell r="AU145">
            <v>735</v>
          </cell>
          <cell r="AV145">
            <v>325</v>
          </cell>
          <cell r="AW145">
            <v>154</v>
          </cell>
          <cell r="AX145">
            <v>14</v>
          </cell>
          <cell r="AY145">
            <v>22</v>
          </cell>
          <cell r="AZ145">
            <v>140</v>
          </cell>
          <cell r="BA145">
            <v>80</v>
          </cell>
        </row>
        <row r="146">
          <cell r="AS146" t="str">
            <v>17031090100</v>
          </cell>
          <cell r="AT146">
            <v>3486</v>
          </cell>
          <cell r="AU146">
            <v>1939</v>
          </cell>
          <cell r="AV146">
            <v>1631</v>
          </cell>
          <cell r="AW146">
            <v>162</v>
          </cell>
          <cell r="AX146">
            <v>0</v>
          </cell>
          <cell r="AY146">
            <v>0</v>
          </cell>
          <cell r="AZ146">
            <v>49</v>
          </cell>
          <cell r="BA146">
            <v>97</v>
          </cell>
        </row>
        <row r="147">
          <cell r="AS147" t="str">
            <v>17031090200</v>
          </cell>
          <cell r="AT147">
            <v>6166</v>
          </cell>
          <cell r="AU147">
            <v>3416</v>
          </cell>
          <cell r="AV147">
            <v>2620</v>
          </cell>
          <cell r="AW147">
            <v>528</v>
          </cell>
          <cell r="AX147">
            <v>0</v>
          </cell>
          <cell r="AY147">
            <v>0</v>
          </cell>
          <cell r="AZ147">
            <v>28</v>
          </cell>
          <cell r="BA147">
            <v>240</v>
          </cell>
        </row>
        <row r="148">
          <cell r="AS148" t="str">
            <v>17031090300</v>
          </cell>
          <cell r="AT148">
            <v>1350</v>
          </cell>
          <cell r="AU148">
            <v>780</v>
          </cell>
          <cell r="AV148">
            <v>640</v>
          </cell>
          <cell r="AW148">
            <v>55</v>
          </cell>
          <cell r="AX148">
            <v>0</v>
          </cell>
          <cell r="AY148">
            <v>0</v>
          </cell>
          <cell r="AZ148">
            <v>24</v>
          </cell>
          <cell r="BA148">
            <v>61</v>
          </cell>
        </row>
        <row r="149">
          <cell r="AS149" t="str">
            <v>17031100100</v>
          </cell>
          <cell r="AT149">
            <v>5746</v>
          </cell>
          <cell r="AU149">
            <v>2915</v>
          </cell>
          <cell r="AV149">
            <v>2298</v>
          </cell>
          <cell r="AW149">
            <v>156</v>
          </cell>
          <cell r="AX149">
            <v>0</v>
          </cell>
          <cell r="AY149">
            <v>0</v>
          </cell>
          <cell r="AZ149">
            <v>201</v>
          </cell>
          <cell r="BA149">
            <v>260</v>
          </cell>
        </row>
        <row r="150">
          <cell r="AS150" t="str">
            <v>17031100200</v>
          </cell>
          <cell r="AT150">
            <v>6755</v>
          </cell>
          <cell r="AU150">
            <v>3477</v>
          </cell>
          <cell r="AV150">
            <v>2801</v>
          </cell>
          <cell r="AW150">
            <v>322</v>
          </cell>
          <cell r="AX150">
            <v>0</v>
          </cell>
          <cell r="AY150">
            <v>35</v>
          </cell>
          <cell r="AZ150">
            <v>26</v>
          </cell>
          <cell r="BA150">
            <v>293</v>
          </cell>
        </row>
        <row r="151">
          <cell r="AS151" t="str">
            <v>17031100300</v>
          </cell>
          <cell r="AT151">
            <v>6343</v>
          </cell>
          <cell r="AU151">
            <v>2877</v>
          </cell>
          <cell r="AV151">
            <v>2358</v>
          </cell>
          <cell r="AW151">
            <v>283</v>
          </cell>
          <cell r="AX151">
            <v>0</v>
          </cell>
          <cell r="AY151">
            <v>0</v>
          </cell>
          <cell r="AZ151">
            <v>0</v>
          </cell>
          <cell r="BA151">
            <v>236</v>
          </cell>
        </row>
        <row r="152">
          <cell r="AS152" t="str">
            <v>17031100400</v>
          </cell>
          <cell r="AT152">
            <v>3386</v>
          </cell>
          <cell r="AU152">
            <v>1662</v>
          </cell>
          <cell r="AV152">
            <v>1480</v>
          </cell>
          <cell r="AW152">
            <v>48</v>
          </cell>
          <cell r="AX152">
            <v>0</v>
          </cell>
          <cell r="AY152">
            <v>0</v>
          </cell>
          <cell r="AZ152">
            <v>34</v>
          </cell>
          <cell r="BA152">
            <v>100</v>
          </cell>
        </row>
        <row r="153">
          <cell r="AS153" t="str">
            <v>17031100500</v>
          </cell>
          <cell r="AT153">
            <v>5620</v>
          </cell>
          <cell r="AU153">
            <v>2552</v>
          </cell>
          <cell r="AV153">
            <v>2065</v>
          </cell>
          <cell r="AW153">
            <v>182</v>
          </cell>
          <cell r="AX153">
            <v>0</v>
          </cell>
          <cell r="AY153">
            <v>0</v>
          </cell>
          <cell r="AZ153">
            <v>59</v>
          </cell>
          <cell r="BA153">
            <v>246</v>
          </cell>
        </row>
        <row r="154">
          <cell r="AS154" t="str">
            <v>17031100600</v>
          </cell>
          <cell r="AT154">
            <v>4821</v>
          </cell>
          <cell r="AU154">
            <v>2449</v>
          </cell>
          <cell r="AV154">
            <v>1945</v>
          </cell>
          <cell r="AW154">
            <v>280</v>
          </cell>
          <cell r="AX154">
            <v>0</v>
          </cell>
          <cell r="AY154">
            <v>0</v>
          </cell>
          <cell r="AZ154">
            <v>85</v>
          </cell>
          <cell r="BA154">
            <v>139</v>
          </cell>
        </row>
        <row r="155">
          <cell r="AS155" t="str">
            <v>17031100700</v>
          </cell>
          <cell r="AT155">
            <v>5417</v>
          </cell>
          <cell r="AU155">
            <v>2581</v>
          </cell>
          <cell r="AV155">
            <v>2212</v>
          </cell>
          <cell r="AW155">
            <v>256</v>
          </cell>
          <cell r="AX155">
            <v>0</v>
          </cell>
          <cell r="AY155">
            <v>10</v>
          </cell>
          <cell r="AZ155">
            <v>0</v>
          </cell>
          <cell r="BA155">
            <v>103</v>
          </cell>
        </row>
        <row r="156">
          <cell r="AS156" t="str">
            <v>17031110100</v>
          </cell>
          <cell r="AT156">
            <v>5686</v>
          </cell>
          <cell r="AU156">
            <v>3041</v>
          </cell>
          <cell r="AV156">
            <v>2440</v>
          </cell>
          <cell r="AW156">
            <v>359</v>
          </cell>
          <cell r="AX156">
            <v>13</v>
          </cell>
          <cell r="AY156">
            <v>40</v>
          </cell>
          <cell r="AZ156">
            <v>35</v>
          </cell>
          <cell r="BA156">
            <v>154</v>
          </cell>
        </row>
        <row r="157">
          <cell r="AS157" t="str">
            <v>17031110200</v>
          </cell>
          <cell r="AT157">
            <v>3107</v>
          </cell>
          <cell r="AU157">
            <v>1173</v>
          </cell>
          <cell r="AV157">
            <v>919</v>
          </cell>
          <cell r="AW157">
            <v>152</v>
          </cell>
          <cell r="AX157">
            <v>0</v>
          </cell>
          <cell r="AY157">
            <v>0</v>
          </cell>
          <cell r="AZ157">
            <v>23</v>
          </cell>
          <cell r="BA157">
            <v>79</v>
          </cell>
        </row>
        <row r="158">
          <cell r="AS158" t="str">
            <v>17031110300</v>
          </cell>
          <cell r="AT158">
            <v>5305</v>
          </cell>
          <cell r="AU158">
            <v>2505</v>
          </cell>
          <cell r="AV158">
            <v>1863</v>
          </cell>
          <cell r="AW158">
            <v>364</v>
          </cell>
          <cell r="AX158">
            <v>0</v>
          </cell>
          <cell r="AY158">
            <v>0</v>
          </cell>
          <cell r="AZ158">
            <v>36</v>
          </cell>
          <cell r="BA158">
            <v>242</v>
          </cell>
        </row>
        <row r="159">
          <cell r="AS159" t="str">
            <v>17031110400</v>
          </cell>
          <cell r="AT159">
            <v>4480</v>
          </cell>
          <cell r="AU159">
            <v>2379</v>
          </cell>
          <cell r="AV159">
            <v>1548</v>
          </cell>
          <cell r="AW159">
            <v>500</v>
          </cell>
          <cell r="AX159">
            <v>0</v>
          </cell>
          <cell r="AY159">
            <v>26</v>
          </cell>
          <cell r="AZ159">
            <v>21</v>
          </cell>
          <cell r="BA159">
            <v>284</v>
          </cell>
        </row>
        <row r="160">
          <cell r="AS160" t="str">
            <v>17031110501</v>
          </cell>
          <cell r="AT160">
            <v>5076</v>
          </cell>
          <cell r="AU160">
            <v>2916</v>
          </cell>
          <cell r="AV160">
            <v>1908</v>
          </cell>
          <cell r="AW160">
            <v>861</v>
          </cell>
          <cell r="AX160">
            <v>0</v>
          </cell>
          <cell r="AY160">
            <v>4</v>
          </cell>
          <cell r="AZ160">
            <v>55</v>
          </cell>
          <cell r="BA160">
            <v>88</v>
          </cell>
        </row>
        <row r="161">
          <cell r="AS161" t="str">
            <v>17031110502</v>
          </cell>
          <cell r="AT161">
            <v>3540</v>
          </cell>
          <cell r="AU161">
            <v>1862</v>
          </cell>
          <cell r="AV161">
            <v>1154</v>
          </cell>
          <cell r="AW161">
            <v>512</v>
          </cell>
          <cell r="AX161">
            <v>0</v>
          </cell>
          <cell r="AY161">
            <v>0</v>
          </cell>
          <cell r="AZ161">
            <v>16</v>
          </cell>
          <cell r="BA161">
            <v>180</v>
          </cell>
        </row>
        <row r="162">
          <cell r="AS162" t="str">
            <v>17031120100</v>
          </cell>
          <cell r="AT162">
            <v>4515</v>
          </cell>
          <cell r="AU162">
            <v>2116</v>
          </cell>
          <cell r="AV162">
            <v>1550</v>
          </cell>
          <cell r="AW162">
            <v>348</v>
          </cell>
          <cell r="AX162">
            <v>0</v>
          </cell>
          <cell r="AY162">
            <v>7</v>
          </cell>
          <cell r="AZ162">
            <v>38</v>
          </cell>
          <cell r="BA162">
            <v>173</v>
          </cell>
        </row>
        <row r="163">
          <cell r="AS163" t="str">
            <v>17031120200</v>
          </cell>
          <cell r="AT163">
            <v>4771</v>
          </cell>
          <cell r="AU163">
            <v>2212</v>
          </cell>
          <cell r="AV163">
            <v>1678</v>
          </cell>
          <cell r="AW163">
            <v>175</v>
          </cell>
          <cell r="AX163">
            <v>0</v>
          </cell>
          <cell r="AY163">
            <v>16</v>
          </cell>
          <cell r="AZ163">
            <v>38</v>
          </cell>
          <cell r="BA163">
            <v>305</v>
          </cell>
        </row>
        <row r="164">
          <cell r="AS164" t="str">
            <v>17031120300</v>
          </cell>
          <cell r="AT164">
            <v>6826</v>
          </cell>
          <cell r="AU164">
            <v>3204</v>
          </cell>
          <cell r="AV164">
            <v>2459</v>
          </cell>
          <cell r="AW164">
            <v>279</v>
          </cell>
          <cell r="AX164">
            <v>0</v>
          </cell>
          <cell r="AY164">
            <v>22</v>
          </cell>
          <cell r="AZ164">
            <v>30</v>
          </cell>
          <cell r="BA164">
            <v>414</v>
          </cell>
        </row>
        <row r="165">
          <cell r="AS165" t="str">
            <v>17031120400</v>
          </cell>
          <cell r="AT165">
            <v>3816</v>
          </cell>
          <cell r="AU165">
            <v>1953</v>
          </cell>
          <cell r="AV165">
            <v>1369</v>
          </cell>
          <cell r="AW165">
            <v>465</v>
          </cell>
          <cell r="AX165">
            <v>0</v>
          </cell>
          <cell r="AY165">
            <v>39</v>
          </cell>
          <cell r="AZ165">
            <v>0</v>
          </cell>
          <cell r="BA165">
            <v>80</v>
          </cell>
        </row>
        <row r="166">
          <cell r="AS166" t="str">
            <v>17031130100</v>
          </cell>
          <cell r="AT166">
            <v>5279</v>
          </cell>
          <cell r="AU166">
            <v>1679</v>
          </cell>
          <cell r="AV166">
            <v>1293</v>
          </cell>
          <cell r="AW166">
            <v>201</v>
          </cell>
          <cell r="AX166">
            <v>0</v>
          </cell>
          <cell r="AY166">
            <v>20</v>
          </cell>
          <cell r="AZ166">
            <v>35</v>
          </cell>
          <cell r="BA166">
            <v>130</v>
          </cell>
        </row>
        <row r="167">
          <cell r="AS167" t="str">
            <v>17031130200</v>
          </cell>
          <cell r="AT167">
            <v>1658</v>
          </cell>
          <cell r="AU167">
            <v>744</v>
          </cell>
          <cell r="AV167">
            <v>582</v>
          </cell>
          <cell r="AW167">
            <v>106</v>
          </cell>
          <cell r="AX167">
            <v>0</v>
          </cell>
          <cell r="AY167">
            <v>2</v>
          </cell>
          <cell r="AZ167">
            <v>30</v>
          </cell>
          <cell r="BA167">
            <v>24</v>
          </cell>
        </row>
        <row r="168">
          <cell r="AS168" t="str">
            <v>17031130300</v>
          </cell>
          <cell r="AT168">
            <v>5617</v>
          </cell>
          <cell r="AU168">
            <v>2747</v>
          </cell>
          <cell r="AV168">
            <v>1981</v>
          </cell>
          <cell r="AW168">
            <v>403</v>
          </cell>
          <cell r="AX168">
            <v>7</v>
          </cell>
          <cell r="AY168">
            <v>16</v>
          </cell>
          <cell r="AZ168">
            <v>117</v>
          </cell>
          <cell r="BA168">
            <v>223</v>
          </cell>
        </row>
        <row r="169">
          <cell r="AS169" t="str">
            <v>17031140100</v>
          </cell>
          <cell r="AT169">
            <v>3332</v>
          </cell>
          <cell r="AU169">
            <v>1637</v>
          </cell>
          <cell r="AV169">
            <v>724</v>
          </cell>
          <cell r="AW169">
            <v>520</v>
          </cell>
          <cell r="AX169">
            <v>7</v>
          </cell>
          <cell r="AY169">
            <v>23</v>
          </cell>
          <cell r="AZ169">
            <v>102</v>
          </cell>
          <cell r="BA169">
            <v>261</v>
          </cell>
        </row>
        <row r="170">
          <cell r="AS170" t="str">
            <v>17031140200</v>
          </cell>
          <cell r="AT170">
            <v>6634</v>
          </cell>
          <cell r="AU170">
            <v>3439</v>
          </cell>
          <cell r="AV170">
            <v>1436</v>
          </cell>
          <cell r="AW170">
            <v>1012</v>
          </cell>
          <cell r="AX170">
            <v>0</v>
          </cell>
          <cell r="AY170">
            <v>7</v>
          </cell>
          <cell r="AZ170">
            <v>406</v>
          </cell>
          <cell r="BA170">
            <v>578</v>
          </cell>
        </row>
        <row r="171">
          <cell r="AS171" t="str">
            <v>17031140301</v>
          </cell>
          <cell r="AT171">
            <v>2824</v>
          </cell>
          <cell r="AU171">
            <v>1480</v>
          </cell>
          <cell r="AV171">
            <v>846</v>
          </cell>
          <cell r="AW171">
            <v>455</v>
          </cell>
          <cell r="AX171">
            <v>0</v>
          </cell>
          <cell r="AY171">
            <v>20</v>
          </cell>
          <cell r="AZ171">
            <v>24</v>
          </cell>
          <cell r="BA171">
            <v>135</v>
          </cell>
        </row>
        <row r="172">
          <cell r="AS172" t="str">
            <v>17031140302</v>
          </cell>
          <cell r="AT172">
            <v>3842</v>
          </cell>
          <cell r="AU172">
            <v>2065</v>
          </cell>
          <cell r="AV172">
            <v>1376</v>
          </cell>
          <cell r="AW172">
            <v>407</v>
          </cell>
          <cell r="AX172">
            <v>0</v>
          </cell>
          <cell r="AY172">
            <v>36</v>
          </cell>
          <cell r="AZ172">
            <v>87</v>
          </cell>
          <cell r="BA172">
            <v>159</v>
          </cell>
        </row>
        <row r="173">
          <cell r="AS173" t="str">
            <v>17031140400</v>
          </cell>
          <cell r="AT173">
            <v>5639</v>
          </cell>
          <cell r="AU173">
            <v>2749</v>
          </cell>
          <cell r="AV173">
            <v>1946</v>
          </cell>
          <cell r="AW173">
            <v>483</v>
          </cell>
          <cell r="AX173">
            <v>0</v>
          </cell>
          <cell r="AY173">
            <v>0</v>
          </cell>
          <cell r="AZ173">
            <v>72</v>
          </cell>
          <cell r="BA173">
            <v>248</v>
          </cell>
        </row>
        <row r="174">
          <cell r="AS174" t="str">
            <v>17031140500</v>
          </cell>
          <cell r="AT174">
            <v>3782</v>
          </cell>
          <cell r="AU174">
            <v>2014</v>
          </cell>
          <cell r="AV174">
            <v>1345</v>
          </cell>
          <cell r="AW174">
            <v>320</v>
          </cell>
          <cell r="AX174">
            <v>0</v>
          </cell>
          <cell r="AY174">
            <v>48</v>
          </cell>
          <cell r="AZ174">
            <v>124</v>
          </cell>
          <cell r="BA174">
            <v>177</v>
          </cell>
        </row>
        <row r="175">
          <cell r="AS175" t="str">
            <v>17031140601</v>
          </cell>
          <cell r="AT175">
            <v>2803</v>
          </cell>
          <cell r="AU175">
            <v>1293</v>
          </cell>
          <cell r="AV175">
            <v>859</v>
          </cell>
          <cell r="AW175">
            <v>318</v>
          </cell>
          <cell r="AX175">
            <v>13</v>
          </cell>
          <cell r="AY175">
            <v>7</v>
          </cell>
          <cell r="AZ175">
            <v>22</v>
          </cell>
          <cell r="BA175">
            <v>74</v>
          </cell>
        </row>
        <row r="176">
          <cell r="AS176" t="str">
            <v>17031140602</v>
          </cell>
          <cell r="AT176">
            <v>5124</v>
          </cell>
          <cell r="AU176">
            <v>2722</v>
          </cell>
          <cell r="AV176">
            <v>1447</v>
          </cell>
          <cell r="AW176">
            <v>984</v>
          </cell>
          <cell r="AX176">
            <v>0</v>
          </cell>
          <cell r="AY176">
            <v>84</v>
          </cell>
          <cell r="AZ176">
            <v>63</v>
          </cell>
          <cell r="BA176">
            <v>144</v>
          </cell>
        </row>
        <row r="177">
          <cell r="AS177" t="str">
            <v>17031140701</v>
          </cell>
          <cell r="AT177">
            <v>2999</v>
          </cell>
          <cell r="AU177">
            <v>1911</v>
          </cell>
          <cell r="AV177">
            <v>873</v>
          </cell>
          <cell r="AW177">
            <v>809</v>
          </cell>
          <cell r="AX177">
            <v>11</v>
          </cell>
          <cell r="AY177">
            <v>39</v>
          </cell>
          <cell r="AZ177">
            <v>70</v>
          </cell>
          <cell r="BA177">
            <v>109</v>
          </cell>
        </row>
        <row r="178">
          <cell r="AS178" t="str">
            <v>17031140702</v>
          </cell>
          <cell r="AT178">
            <v>6083</v>
          </cell>
          <cell r="AU178">
            <v>3183</v>
          </cell>
          <cell r="AV178">
            <v>1863</v>
          </cell>
          <cell r="AW178">
            <v>870</v>
          </cell>
          <cell r="AX178">
            <v>14</v>
          </cell>
          <cell r="AY178">
            <v>173</v>
          </cell>
          <cell r="AZ178">
            <v>161</v>
          </cell>
          <cell r="BA178">
            <v>102</v>
          </cell>
        </row>
        <row r="179">
          <cell r="AS179" t="str">
            <v>17031140800</v>
          </cell>
          <cell r="AT179">
            <v>6218</v>
          </cell>
          <cell r="AU179">
            <v>3311</v>
          </cell>
          <cell r="AV179">
            <v>1305</v>
          </cell>
          <cell r="AW179">
            <v>1433</v>
          </cell>
          <cell r="AX179">
            <v>0</v>
          </cell>
          <cell r="AY179">
            <v>116</v>
          </cell>
          <cell r="AZ179">
            <v>121</v>
          </cell>
          <cell r="BA179">
            <v>336</v>
          </cell>
        </row>
        <row r="180">
          <cell r="AS180" t="str">
            <v>17031150200</v>
          </cell>
          <cell r="AT180">
            <v>7856</v>
          </cell>
          <cell r="AU180">
            <v>3926</v>
          </cell>
          <cell r="AV180">
            <v>2364</v>
          </cell>
          <cell r="AW180">
            <v>966</v>
          </cell>
          <cell r="AX180">
            <v>18</v>
          </cell>
          <cell r="AY180">
            <v>113</v>
          </cell>
          <cell r="AZ180">
            <v>70</v>
          </cell>
          <cell r="BA180">
            <v>395</v>
          </cell>
        </row>
        <row r="181">
          <cell r="AS181" t="str">
            <v>17031150300</v>
          </cell>
          <cell r="AT181">
            <v>7479</v>
          </cell>
          <cell r="AU181">
            <v>4241</v>
          </cell>
          <cell r="AV181">
            <v>2940</v>
          </cell>
          <cell r="AW181">
            <v>1006</v>
          </cell>
          <cell r="AX181">
            <v>0</v>
          </cell>
          <cell r="AY181">
            <v>67</v>
          </cell>
          <cell r="AZ181">
            <v>52</v>
          </cell>
          <cell r="BA181">
            <v>176</v>
          </cell>
        </row>
        <row r="182">
          <cell r="AS182" t="str">
            <v>17031150401</v>
          </cell>
          <cell r="AT182">
            <v>4700</v>
          </cell>
          <cell r="AU182">
            <v>2379</v>
          </cell>
          <cell r="AV182">
            <v>1839</v>
          </cell>
          <cell r="AW182">
            <v>354</v>
          </cell>
          <cell r="AX182">
            <v>7</v>
          </cell>
          <cell r="AY182">
            <v>0</v>
          </cell>
          <cell r="AZ182">
            <v>1</v>
          </cell>
          <cell r="BA182">
            <v>178</v>
          </cell>
        </row>
        <row r="183">
          <cell r="AS183" t="str">
            <v>17031150402</v>
          </cell>
          <cell r="AT183">
            <v>3540</v>
          </cell>
          <cell r="AU183">
            <v>1840</v>
          </cell>
          <cell r="AV183">
            <v>1350</v>
          </cell>
          <cell r="AW183">
            <v>251</v>
          </cell>
          <cell r="AX183">
            <v>3</v>
          </cell>
          <cell r="AY183">
            <v>0</v>
          </cell>
          <cell r="AZ183">
            <v>90</v>
          </cell>
          <cell r="BA183">
            <v>146</v>
          </cell>
        </row>
        <row r="184">
          <cell r="AS184" t="str">
            <v>17031150501</v>
          </cell>
          <cell r="AT184">
            <v>3793</v>
          </cell>
          <cell r="AU184">
            <v>2187</v>
          </cell>
          <cell r="AV184">
            <v>1769</v>
          </cell>
          <cell r="AW184">
            <v>322</v>
          </cell>
          <cell r="AX184">
            <v>0</v>
          </cell>
          <cell r="AY184">
            <v>0</v>
          </cell>
          <cell r="AZ184">
            <v>6</v>
          </cell>
          <cell r="BA184">
            <v>90</v>
          </cell>
        </row>
        <row r="185">
          <cell r="AS185" t="str">
            <v>17031150502</v>
          </cell>
          <cell r="AT185">
            <v>3734</v>
          </cell>
          <cell r="AU185">
            <v>1808</v>
          </cell>
          <cell r="AV185">
            <v>1591</v>
          </cell>
          <cell r="AW185">
            <v>122</v>
          </cell>
          <cell r="AX185">
            <v>0</v>
          </cell>
          <cell r="AY185">
            <v>23</v>
          </cell>
          <cell r="AZ185">
            <v>26</v>
          </cell>
          <cell r="BA185">
            <v>46</v>
          </cell>
        </row>
        <row r="186">
          <cell r="AS186" t="str">
            <v>17031150600</v>
          </cell>
          <cell r="AT186">
            <v>4384</v>
          </cell>
          <cell r="AU186">
            <v>2379</v>
          </cell>
          <cell r="AV186">
            <v>1845</v>
          </cell>
          <cell r="AW186">
            <v>259</v>
          </cell>
          <cell r="AX186">
            <v>0</v>
          </cell>
          <cell r="AY186">
            <v>12</v>
          </cell>
          <cell r="AZ186">
            <v>59</v>
          </cell>
          <cell r="BA186">
            <v>204</v>
          </cell>
        </row>
        <row r="187">
          <cell r="AS187" t="str">
            <v>17031150700</v>
          </cell>
          <cell r="AT187">
            <v>4088</v>
          </cell>
          <cell r="AU187">
            <v>1930</v>
          </cell>
          <cell r="AV187">
            <v>1330</v>
          </cell>
          <cell r="AW187">
            <v>383</v>
          </cell>
          <cell r="AX187">
            <v>0</v>
          </cell>
          <cell r="AY187">
            <v>0</v>
          </cell>
          <cell r="AZ187">
            <v>65</v>
          </cell>
          <cell r="BA187">
            <v>152</v>
          </cell>
        </row>
        <row r="188">
          <cell r="AS188" t="str">
            <v>17031150800</v>
          </cell>
          <cell r="AT188">
            <v>4871</v>
          </cell>
          <cell r="AU188">
            <v>2829</v>
          </cell>
          <cell r="AV188">
            <v>2203</v>
          </cell>
          <cell r="AW188">
            <v>334</v>
          </cell>
          <cell r="AX188">
            <v>66</v>
          </cell>
          <cell r="AY188">
            <v>7</v>
          </cell>
          <cell r="AZ188">
            <v>28</v>
          </cell>
          <cell r="BA188">
            <v>191</v>
          </cell>
        </row>
        <row r="189">
          <cell r="AS189" t="str">
            <v>17031151001</v>
          </cell>
          <cell r="AT189">
            <v>2666</v>
          </cell>
          <cell r="AU189">
            <v>1370</v>
          </cell>
          <cell r="AV189">
            <v>1067</v>
          </cell>
          <cell r="AW189">
            <v>232</v>
          </cell>
          <cell r="AX189">
            <v>0</v>
          </cell>
          <cell r="AY189">
            <v>0</v>
          </cell>
          <cell r="AZ189">
            <v>0</v>
          </cell>
          <cell r="BA189">
            <v>71</v>
          </cell>
        </row>
        <row r="190">
          <cell r="AS190" t="str">
            <v>17031151002</v>
          </cell>
          <cell r="AT190">
            <v>5333</v>
          </cell>
          <cell r="AU190">
            <v>2664</v>
          </cell>
          <cell r="AV190">
            <v>1908</v>
          </cell>
          <cell r="AW190">
            <v>605</v>
          </cell>
          <cell r="AX190">
            <v>0</v>
          </cell>
          <cell r="AY190">
            <v>13</v>
          </cell>
          <cell r="AZ190">
            <v>21</v>
          </cell>
          <cell r="BA190">
            <v>117</v>
          </cell>
        </row>
        <row r="191">
          <cell r="AS191" t="str">
            <v>17031151100</v>
          </cell>
          <cell r="AT191">
            <v>5347</v>
          </cell>
          <cell r="AU191">
            <v>2813</v>
          </cell>
          <cell r="AV191">
            <v>2254</v>
          </cell>
          <cell r="AW191">
            <v>466</v>
          </cell>
          <cell r="AX191">
            <v>0</v>
          </cell>
          <cell r="AY191">
            <v>0</v>
          </cell>
          <cell r="AZ191">
            <v>10</v>
          </cell>
          <cell r="BA191">
            <v>83</v>
          </cell>
        </row>
        <row r="192">
          <cell r="AS192" t="str">
            <v>17031151200</v>
          </cell>
          <cell r="AT192">
            <v>3890</v>
          </cell>
          <cell r="AU192">
            <v>2230</v>
          </cell>
          <cell r="AV192">
            <v>1767</v>
          </cell>
          <cell r="AW192">
            <v>205</v>
          </cell>
          <cell r="AX192">
            <v>20</v>
          </cell>
          <cell r="AY192">
            <v>7</v>
          </cell>
          <cell r="AZ192">
            <v>87</v>
          </cell>
          <cell r="BA192">
            <v>144</v>
          </cell>
        </row>
        <row r="193">
          <cell r="AS193" t="str">
            <v>17031160100</v>
          </cell>
          <cell r="AT193">
            <v>2534</v>
          </cell>
          <cell r="AU193">
            <v>1178</v>
          </cell>
          <cell r="AV193">
            <v>774</v>
          </cell>
          <cell r="AW193">
            <v>228</v>
          </cell>
          <cell r="AX193">
            <v>0</v>
          </cell>
          <cell r="AY193">
            <v>0</v>
          </cell>
          <cell r="AZ193">
            <v>0</v>
          </cell>
          <cell r="BA193">
            <v>176</v>
          </cell>
        </row>
        <row r="194">
          <cell r="AS194" t="str">
            <v>17031160200</v>
          </cell>
          <cell r="AT194">
            <v>3138</v>
          </cell>
          <cell r="AU194">
            <v>1494</v>
          </cell>
          <cell r="AV194">
            <v>964</v>
          </cell>
          <cell r="AW194">
            <v>292</v>
          </cell>
          <cell r="AX194">
            <v>0</v>
          </cell>
          <cell r="AY194">
            <v>7</v>
          </cell>
          <cell r="AZ194">
            <v>38</v>
          </cell>
          <cell r="BA194">
            <v>193</v>
          </cell>
        </row>
        <row r="195">
          <cell r="AS195" t="str">
            <v>17031160300</v>
          </cell>
          <cell r="AT195">
            <v>3672</v>
          </cell>
          <cell r="AU195">
            <v>2187</v>
          </cell>
          <cell r="AV195">
            <v>1017</v>
          </cell>
          <cell r="AW195">
            <v>839</v>
          </cell>
          <cell r="AX195">
            <v>39</v>
          </cell>
          <cell r="AY195">
            <v>0</v>
          </cell>
          <cell r="AZ195">
            <v>65</v>
          </cell>
          <cell r="BA195">
            <v>227</v>
          </cell>
        </row>
        <row r="196">
          <cell r="AS196" t="str">
            <v>17031160400</v>
          </cell>
          <cell r="AT196">
            <v>4799</v>
          </cell>
          <cell r="AU196">
            <v>2733</v>
          </cell>
          <cell r="AV196">
            <v>1519</v>
          </cell>
          <cell r="AW196">
            <v>741</v>
          </cell>
          <cell r="AX196">
            <v>6</v>
          </cell>
          <cell r="AY196">
            <v>24</v>
          </cell>
          <cell r="AZ196">
            <v>71</v>
          </cell>
          <cell r="BA196">
            <v>372</v>
          </cell>
        </row>
        <row r="197">
          <cell r="AS197" t="str">
            <v>17031160501</v>
          </cell>
          <cell r="AT197">
            <v>3631</v>
          </cell>
          <cell r="AU197">
            <v>1886</v>
          </cell>
          <cell r="AV197">
            <v>1238</v>
          </cell>
          <cell r="AW197">
            <v>465</v>
          </cell>
          <cell r="AX197">
            <v>13</v>
          </cell>
          <cell r="AY197">
            <v>11</v>
          </cell>
          <cell r="AZ197">
            <v>59</v>
          </cell>
          <cell r="BA197">
            <v>100</v>
          </cell>
        </row>
        <row r="198">
          <cell r="AS198" t="str">
            <v>17031160502</v>
          </cell>
          <cell r="AT198">
            <v>3838</v>
          </cell>
          <cell r="AU198">
            <v>2089</v>
          </cell>
          <cell r="AV198">
            <v>1296</v>
          </cell>
          <cell r="AW198">
            <v>493</v>
          </cell>
          <cell r="AX198">
            <v>0</v>
          </cell>
          <cell r="AY198">
            <v>16</v>
          </cell>
          <cell r="AZ198">
            <v>48</v>
          </cell>
          <cell r="BA198">
            <v>236</v>
          </cell>
        </row>
        <row r="199">
          <cell r="AS199" t="str">
            <v>17031160601</v>
          </cell>
          <cell r="AT199">
            <v>3191</v>
          </cell>
          <cell r="AU199">
            <v>1930</v>
          </cell>
          <cell r="AV199">
            <v>1113</v>
          </cell>
          <cell r="AW199">
            <v>508</v>
          </cell>
          <cell r="AX199">
            <v>20</v>
          </cell>
          <cell r="AY199">
            <v>61</v>
          </cell>
          <cell r="AZ199">
            <v>9</v>
          </cell>
          <cell r="BA199">
            <v>219</v>
          </cell>
        </row>
        <row r="200">
          <cell r="AS200" t="str">
            <v>17031160602</v>
          </cell>
          <cell r="AT200">
            <v>3703</v>
          </cell>
          <cell r="AU200">
            <v>2163</v>
          </cell>
          <cell r="AV200">
            <v>1352</v>
          </cell>
          <cell r="AW200">
            <v>398</v>
          </cell>
          <cell r="AX200">
            <v>0</v>
          </cell>
          <cell r="AY200">
            <v>38</v>
          </cell>
          <cell r="AZ200">
            <v>53</v>
          </cell>
          <cell r="BA200">
            <v>322</v>
          </cell>
        </row>
        <row r="201">
          <cell r="AS201" t="str">
            <v>17031160700</v>
          </cell>
          <cell r="AT201">
            <v>5860</v>
          </cell>
          <cell r="AU201">
            <v>3893</v>
          </cell>
          <cell r="AV201">
            <v>2183</v>
          </cell>
          <cell r="AW201">
            <v>879</v>
          </cell>
          <cell r="AX201">
            <v>0</v>
          </cell>
          <cell r="AY201">
            <v>83</v>
          </cell>
          <cell r="AZ201">
            <v>210</v>
          </cell>
          <cell r="BA201">
            <v>538</v>
          </cell>
        </row>
        <row r="202">
          <cell r="AS202" t="str">
            <v>17031160800</v>
          </cell>
          <cell r="AT202">
            <v>5640</v>
          </cell>
          <cell r="AU202">
            <v>3019</v>
          </cell>
          <cell r="AV202">
            <v>1878</v>
          </cell>
          <cell r="AW202">
            <v>590</v>
          </cell>
          <cell r="AX202">
            <v>0</v>
          </cell>
          <cell r="AY202">
            <v>60</v>
          </cell>
          <cell r="AZ202">
            <v>51</v>
          </cell>
          <cell r="BA202">
            <v>440</v>
          </cell>
        </row>
        <row r="203">
          <cell r="AS203" t="str">
            <v>17031160900</v>
          </cell>
          <cell r="AT203">
            <v>2653</v>
          </cell>
          <cell r="AU203">
            <v>1674</v>
          </cell>
          <cell r="AV203">
            <v>718</v>
          </cell>
          <cell r="AW203">
            <v>590</v>
          </cell>
          <cell r="AX203">
            <v>0</v>
          </cell>
          <cell r="AY203">
            <v>12</v>
          </cell>
          <cell r="AZ203">
            <v>1</v>
          </cell>
          <cell r="BA203">
            <v>353</v>
          </cell>
        </row>
        <row r="204">
          <cell r="AS204" t="str">
            <v>17031161000</v>
          </cell>
          <cell r="AT204">
            <v>2228</v>
          </cell>
          <cell r="AU204">
            <v>1228</v>
          </cell>
          <cell r="AV204">
            <v>691</v>
          </cell>
          <cell r="AW204">
            <v>281</v>
          </cell>
          <cell r="AX204">
            <v>0</v>
          </cell>
          <cell r="AY204">
            <v>8</v>
          </cell>
          <cell r="AZ204">
            <v>6</v>
          </cell>
          <cell r="BA204">
            <v>242</v>
          </cell>
        </row>
        <row r="205">
          <cell r="AS205" t="str">
            <v>17031161100</v>
          </cell>
          <cell r="AT205">
            <v>2040</v>
          </cell>
          <cell r="AU205">
            <v>1158</v>
          </cell>
          <cell r="AV205">
            <v>670</v>
          </cell>
          <cell r="AW205">
            <v>227</v>
          </cell>
          <cell r="AX205">
            <v>12</v>
          </cell>
          <cell r="AY205">
            <v>9</v>
          </cell>
          <cell r="AZ205">
            <v>29</v>
          </cell>
          <cell r="BA205">
            <v>211</v>
          </cell>
        </row>
        <row r="206">
          <cell r="AS206" t="str">
            <v>17031161200</v>
          </cell>
          <cell r="AT206">
            <v>3116</v>
          </cell>
          <cell r="AU206">
            <v>1614</v>
          </cell>
          <cell r="AV206">
            <v>1104</v>
          </cell>
          <cell r="AW206">
            <v>254</v>
          </cell>
          <cell r="AX206">
            <v>0</v>
          </cell>
          <cell r="AY206">
            <v>17</v>
          </cell>
          <cell r="AZ206">
            <v>72</v>
          </cell>
          <cell r="BA206">
            <v>167</v>
          </cell>
        </row>
        <row r="207">
          <cell r="AS207" t="str">
            <v>17031161300</v>
          </cell>
          <cell r="AT207">
            <v>3561</v>
          </cell>
          <cell r="AU207">
            <v>1928</v>
          </cell>
          <cell r="AV207">
            <v>1170</v>
          </cell>
          <cell r="AW207">
            <v>516</v>
          </cell>
          <cell r="AX207">
            <v>0</v>
          </cell>
          <cell r="AY207">
            <v>65</v>
          </cell>
          <cell r="AZ207">
            <v>55</v>
          </cell>
          <cell r="BA207">
            <v>122</v>
          </cell>
        </row>
        <row r="208">
          <cell r="AS208" t="str">
            <v>17031170100</v>
          </cell>
          <cell r="AT208">
            <v>2038</v>
          </cell>
          <cell r="AU208">
            <v>697</v>
          </cell>
          <cell r="AV208">
            <v>579</v>
          </cell>
          <cell r="AW208">
            <v>43</v>
          </cell>
          <cell r="AX208">
            <v>0</v>
          </cell>
          <cell r="AY208">
            <v>66</v>
          </cell>
          <cell r="AZ208">
            <v>9</v>
          </cell>
          <cell r="BA208">
            <v>0</v>
          </cell>
        </row>
        <row r="209">
          <cell r="AS209" t="str">
            <v>17031170200</v>
          </cell>
          <cell r="AT209">
            <v>3789</v>
          </cell>
          <cell r="AU209">
            <v>1874</v>
          </cell>
          <cell r="AV209">
            <v>1551</v>
          </cell>
          <cell r="AW209">
            <v>184</v>
          </cell>
          <cell r="AX209">
            <v>0</v>
          </cell>
          <cell r="AY209">
            <v>6</v>
          </cell>
          <cell r="AZ209">
            <v>34</v>
          </cell>
          <cell r="BA209">
            <v>99</v>
          </cell>
        </row>
        <row r="210">
          <cell r="AS210" t="str">
            <v>17031170300</v>
          </cell>
          <cell r="AT210">
            <v>5536</v>
          </cell>
          <cell r="AU210">
            <v>2788</v>
          </cell>
          <cell r="AV210">
            <v>2459</v>
          </cell>
          <cell r="AW210">
            <v>207</v>
          </cell>
          <cell r="AX210">
            <v>6</v>
          </cell>
          <cell r="AY210">
            <v>0</v>
          </cell>
          <cell r="AZ210">
            <v>20</v>
          </cell>
          <cell r="BA210">
            <v>96</v>
          </cell>
        </row>
        <row r="211">
          <cell r="AS211" t="str">
            <v>17031170400</v>
          </cell>
          <cell r="AT211">
            <v>4061</v>
          </cell>
          <cell r="AU211">
            <v>2166</v>
          </cell>
          <cell r="AV211">
            <v>1762</v>
          </cell>
          <cell r="AW211">
            <v>212</v>
          </cell>
          <cell r="AX211">
            <v>8</v>
          </cell>
          <cell r="AY211">
            <v>0</v>
          </cell>
          <cell r="AZ211">
            <v>0</v>
          </cell>
          <cell r="BA211">
            <v>184</v>
          </cell>
        </row>
        <row r="212">
          <cell r="AS212" t="str">
            <v>17031170500</v>
          </cell>
          <cell r="AT212">
            <v>5339</v>
          </cell>
          <cell r="AU212">
            <v>2937</v>
          </cell>
          <cell r="AV212">
            <v>2610</v>
          </cell>
          <cell r="AW212">
            <v>179</v>
          </cell>
          <cell r="AX212">
            <v>0</v>
          </cell>
          <cell r="AY212">
            <v>0</v>
          </cell>
          <cell r="AZ212">
            <v>53</v>
          </cell>
          <cell r="BA212">
            <v>95</v>
          </cell>
        </row>
        <row r="213">
          <cell r="AS213" t="str">
            <v>17031170600</v>
          </cell>
          <cell r="AT213">
            <v>2363</v>
          </cell>
          <cell r="AU213">
            <v>1163</v>
          </cell>
          <cell r="AV213">
            <v>1026</v>
          </cell>
          <cell r="AW213">
            <v>52</v>
          </cell>
          <cell r="AX213">
            <v>0</v>
          </cell>
          <cell r="AY213">
            <v>2</v>
          </cell>
          <cell r="AZ213">
            <v>31</v>
          </cell>
          <cell r="BA213">
            <v>52</v>
          </cell>
        </row>
        <row r="214">
          <cell r="AS214" t="str">
            <v>17031170700</v>
          </cell>
          <cell r="AT214">
            <v>3309</v>
          </cell>
          <cell r="AU214">
            <v>1760</v>
          </cell>
          <cell r="AV214">
            <v>1405</v>
          </cell>
          <cell r="AW214">
            <v>206</v>
          </cell>
          <cell r="AX214">
            <v>0</v>
          </cell>
          <cell r="AY214">
            <v>0</v>
          </cell>
          <cell r="AZ214">
            <v>13</v>
          </cell>
          <cell r="BA214">
            <v>136</v>
          </cell>
        </row>
        <row r="215">
          <cell r="AS215" t="str">
            <v>17031170800</v>
          </cell>
          <cell r="AT215">
            <v>4088</v>
          </cell>
          <cell r="AU215">
            <v>2299</v>
          </cell>
          <cell r="AV215">
            <v>1998</v>
          </cell>
          <cell r="AW215">
            <v>175</v>
          </cell>
          <cell r="AX215">
            <v>0</v>
          </cell>
          <cell r="AY215">
            <v>15</v>
          </cell>
          <cell r="AZ215">
            <v>6</v>
          </cell>
          <cell r="BA215">
            <v>105</v>
          </cell>
        </row>
        <row r="216">
          <cell r="AS216" t="str">
            <v>17031170900</v>
          </cell>
          <cell r="AT216">
            <v>2000</v>
          </cell>
          <cell r="AU216">
            <v>932</v>
          </cell>
          <cell r="AV216">
            <v>859</v>
          </cell>
          <cell r="AW216">
            <v>45</v>
          </cell>
          <cell r="AX216">
            <v>0</v>
          </cell>
          <cell r="AY216">
            <v>0</v>
          </cell>
          <cell r="AZ216">
            <v>0</v>
          </cell>
          <cell r="BA216">
            <v>28</v>
          </cell>
        </row>
        <row r="217">
          <cell r="AS217" t="str">
            <v>17031171000</v>
          </cell>
          <cell r="AT217">
            <v>6951</v>
          </cell>
          <cell r="AU217">
            <v>3715</v>
          </cell>
          <cell r="AV217">
            <v>2761</v>
          </cell>
          <cell r="AW217">
            <v>425</v>
          </cell>
          <cell r="AX217">
            <v>82</v>
          </cell>
          <cell r="AY217">
            <v>11</v>
          </cell>
          <cell r="AZ217">
            <v>62</v>
          </cell>
          <cell r="BA217">
            <v>374</v>
          </cell>
        </row>
        <row r="218">
          <cell r="AS218" t="str">
            <v>17031171100</v>
          </cell>
          <cell r="AT218">
            <v>4113</v>
          </cell>
          <cell r="AU218">
            <v>2156</v>
          </cell>
          <cell r="AV218">
            <v>1928</v>
          </cell>
          <cell r="AW218">
            <v>99</v>
          </cell>
          <cell r="AX218">
            <v>0</v>
          </cell>
          <cell r="AY218">
            <v>8</v>
          </cell>
          <cell r="AZ218">
            <v>0</v>
          </cell>
          <cell r="BA218">
            <v>121</v>
          </cell>
        </row>
        <row r="219">
          <cell r="AS219" t="str">
            <v>17031180100</v>
          </cell>
          <cell r="AT219">
            <v>6330</v>
          </cell>
          <cell r="AU219">
            <v>3245</v>
          </cell>
          <cell r="AV219">
            <v>2928</v>
          </cell>
          <cell r="AW219">
            <v>212</v>
          </cell>
          <cell r="AX219">
            <v>0</v>
          </cell>
          <cell r="AY219">
            <v>0</v>
          </cell>
          <cell r="AZ219">
            <v>42</v>
          </cell>
          <cell r="BA219">
            <v>63</v>
          </cell>
        </row>
        <row r="220">
          <cell r="AS220" t="str">
            <v>17031190100</v>
          </cell>
          <cell r="AT220">
            <v>2470</v>
          </cell>
          <cell r="AU220">
            <v>1314</v>
          </cell>
          <cell r="AV220">
            <v>889</v>
          </cell>
          <cell r="AW220">
            <v>296</v>
          </cell>
          <cell r="AX220">
            <v>35</v>
          </cell>
          <cell r="AY220">
            <v>11</v>
          </cell>
          <cell r="AZ220">
            <v>65</v>
          </cell>
          <cell r="BA220">
            <v>18</v>
          </cell>
        </row>
        <row r="221">
          <cell r="AS221" t="str">
            <v>17031190200</v>
          </cell>
          <cell r="AT221">
            <v>6162</v>
          </cell>
          <cell r="AU221">
            <v>2892</v>
          </cell>
          <cell r="AV221">
            <v>2137</v>
          </cell>
          <cell r="AW221">
            <v>489</v>
          </cell>
          <cell r="AX221">
            <v>21</v>
          </cell>
          <cell r="AY221">
            <v>8</v>
          </cell>
          <cell r="AZ221">
            <v>121</v>
          </cell>
          <cell r="BA221">
            <v>116</v>
          </cell>
        </row>
        <row r="222">
          <cell r="AS222" t="str">
            <v>17031190300</v>
          </cell>
          <cell r="AT222">
            <v>5568</v>
          </cell>
          <cell r="AU222">
            <v>2876</v>
          </cell>
          <cell r="AV222">
            <v>2408</v>
          </cell>
          <cell r="AW222">
            <v>263</v>
          </cell>
          <cell r="AX222">
            <v>46</v>
          </cell>
          <cell r="AY222">
            <v>0</v>
          </cell>
          <cell r="AZ222">
            <v>40</v>
          </cell>
          <cell r="BA222">
            <v>119</v>
          </cell>
        </row>
        <row r="223">
          <cell r="AS223" t="str">
            <v>17031190401</v>
          </cell>
          <cell r="AT223">
            <v>4408</v>
          </cell>
          <cell r="AU223">
            <v>2438</v>
          </cell>
          <cell r="AV223">
            <v>1851</v>
          </cell>
          <cell r="AW223">
            <v>367</v>
          </cell>
          <cell r="AX223">
            <v>0</v>
          </cell>
          <cell r="AY223">
            <v>0</v>
          </cell>
          <cell r="AZ223">
            <v>43</v>
          </cell>
          <cell r="BA223">
            <v>177</v>
          </cell>
        </row>
        <row r="224">
          <cell r="AS224" t="str">
            <v>17031190402</v>
          </cell>
          <cell r="AT224">
            <v>5238</v>
          </cell>
          <cell r="AU224">
            <v>2600</v>
          </cell>
          <cell r="AV224">
            <v>2241</v>
          </cell>
          <cell r="AW224">
            <v>125</v>
          </cell>
          <cell r="AX224">
            <v>0</v>
          </cell>
          <cell r="AY224">
            <v>21</v>
          </cell>
          <cell r="AZ224">
            <v>60</v>
          </cell>
          <cell r="BA224">
            <v>153</v>
          </cell>
        </row>
        <row r="225">
          <cell r="AS225" t="str">
            <v>17031190601</v>
          </cell>
          <cell r="AT225">
            <v>4802</v>
          </cell>
          <cell r="AU225">
            <v>2426</v>
          </cell>
          <cell r="AV225">
            <v>1782</v>
          </cell>
          <cell r="AW225">
            <v>372</v>
          </cell>
          <cell r="AX225">
            <v>32</v>
          </cell>
          <cell r="AY225">
            <v>51</v>
          </cell>
          <cell r="AZ225">
            <v>1</v>
          </cell>
          <cell r="BA225">
            <v>188</v>
          </cell>
        </row>
        <row r="226">
          <cell r="AS226" t="str">
            <v>17031190602</v>
          </cell>
          <cell r="AT226">
            <v>5532</v>
          </cell>
          <cell r="AU226">
            <v>2358</v>
          </cell>
          <cell r="AV226">
            <v>1774</v>
          </cell>
          <cell r="AW226">
            <v>456</v>
          </cell>
          <cell r="AX226">
            <v>0</v>
          </cell>
          <cell r="AY226">
            <v>36</v>
          </cell>
          <cell r="AZ226">
            <v>32</v>
          </cell>
          <cell r="BA226">
            <v>60</v>
          </cell>
        </row>
        <row r="227">
          <cell r="AS227" t="str">
            <v>17031190701</v>
          </cell>
          <cell r="AT227">
            <v>2870</v>
          </cell>
          <cell r="AU227">
            <v>1221</v>
          </cell>
          <cell r="AV227">
            <v>903</v>
          </cell>
          <cell r="AW227">
            <v>221</v>
          </cell>
          <cell r="AX227">
            <v>0</v>
          </cell>
          <cell r="AY227">
            <v>6</v>
          </cell>
          <cell r="AZ227">
            <v>35</v>
          </cell>
          <cell r="BA227">
            <v>56</v>
          </cell>
        </row>
        <row r="228">
          <cell r="AS228" t="str">
            <v>17031190702</v>
          </cell>
          <cell r="AT228">
            <v>4644</v>
          </cell>
          <cell r="AU228">
            <v>2263</v>
          </cell>
          <cell r="AV228">
            <v>1695</v>
          </cell>
          <cell r="AW228">
            <v>373</v>
          </cell>
          <cell r="AX228">
            <v>19</v>
          </cell>
          <cell r="AY228">
            <v>0</v>
          </cell>
          <cell r="AZ228">
            <v>47</v>
          </cell>
          <cell r="BA228">
            <v>129</v>
          </cell>
        </row>
        <row r="229">
          <cell r="AS229" t="str">
            <v>17031190800</v>
          </cell>
          <cell r="AT229">
            <v>6949</v>
          </cell>
          <cell r="AU229">
            <v>3148</v>
          </cell>
          <cell r="AV229">
            <v>2615</v>
          </cell>
          <cell r="AW229">
            <v>368</v>
          </cell>
          <cell r="AX229">
            <v>26</v>
          </cell>
          <cell r="AY229">
            <v>13</v>
          </cell>
          <cell r="AZ229">
            <v>27</v>
          </cell>
          <cell r="BA229">
            <v>99</v>
          </cell>
        </row>
        <row r="230">
          <cell r="AS230" t="str">
            <v>17031190900</v>
          </cell>
          <cell r="AT230">
            <v>2162</v>
          </cell>
          <cell r="AU230">
            <v>975</v>
          </cell>
          <cell r="AV230">
            <v>618</v>
          </cell>
          <cell r="AW230">
            <v>225</v>
          </cell>
          <cell r="AX230">
            <v>23</v>
          </cell>
          <cell r="AY230">
            <v>3</v>
          </cell>
          <cell r="AZ230">
            <v>23</v>
          </cell>
          <cell r="BA230">
            <v>83</v>
          </cell>
        </row>
        <row r="231">
          <cell r="AS231" t="str">
            <v>17031191000</v>
          </cell>
          <cell r="AT231">
            <v>2735</v>
          </cell>
          <cell r="AU231">
            <v>1215</v>
          </cell>
          <cell r="AV231">
            <v>965</v>
          </cell>
          <cell r="AW231">
            <v>204</v>
          </cell>
          <cell r="AX231">
            <v>0</v>
          </cell>
          <cell r="AY231">
            <v>12</v>
          </cell>
          <cell r="AZ231">
            <v>27</v>
          </cell>
          <cell r="BA231">
            <v>7</v>
          </cell>
        </row>
        <row r="232">
          <cell r="AS232" t="str">
            <v>17031191100</v>
          </cell>
          <cell r="AT232">
            <v>6701</v>
          </cell>
          <cell r="AU232">
            <v>2704</v>
          </cell>
          <cell r="AV232">
            <v>2366</v>
          </cell>
          <cell r="AW232">
            <v>303</v>
          </cell>
          <cell r="AX232">
            <v>0</v>
          </cell>
          <cell r="AY232">
            <v>0</v>
          </cell>
          <cell r="AZ232">
            <v>0</v>
          </cell>
          <cell r="BA232">
            <v>35</v>
          </cell>
        </row>
        <row r="233">
          <cell r="AS233" t="str">
            <v>17031191200</v>
          </cell>
          <cell r="AT233">
            <v>4038</v>
          </cell>
          <cell r="AU233">
            <v>1665</v>
          </cell>
          <cell r="AV233">
            <v>1262</v>
          </cell>
          <cell r="AW233">
            <v>323</v>
          </cell>
          <cell r="AX233">
            <v>0</v>
          </cell>
          <cell r="AY233">
            <v>13</v>
          </cell>
          <cell r="AZ233">
            <v>56</v>
          </cell>
          <cell r="BA233">
            <v>11</v>
          </cell>
        </row>
        <row r="234">
          <cell r="AS234" t="str">
            <v>17031191301</v>
          </cell>
          <cell r="AT234">
            <v>5729</v>
          </cell>
          <cell r="AU234">
            <v>2788</v>
          </cell>
          <cell r="AV234">
            <v>2315</v>
          </cell>
          <cell r="AW234">
            <v>271</v>
          </cell>
          <cell r="AX234">
            <v>0</v>
          </cell>
          <cell r="AY234">
            <v>0</v>
          </cell>
          <cell r="AZ234">
            <v>65</v>
          </cell>
          <cell r="BA234">
            <v>137</v>
          </cell>
        </row>
        <row r="235">
          <cell r="AS235" t="str">
            <v>17031191302</v>
          </cell>
          <cell r="AT235">
            <v>4942</v>
          </cell>
          <cell r="AU235">
            <v>2552</v>
          </cell>
          <cell r="AV235">
            <v>1884</v>
          </cell>
          <cell r="AW235">
            <v>421</v>
          </cell>
          <cell r="AX235">
            <v>0</v>
          </cell>
          <cell r="AY235">
            <v>0</v>
          </cell>
          <cell r="AZ235">
            <v>136</v>
          </cell>
          <cell r="BA235">
            <v>111</v>
          </cell>
        </row>
        <row r="236">
          <cell r="AS236" t="str">
            <v>17031200100</v>
          </cell>
          <cell r="AT236">
            <v>3598</v>
          </cell>
          <cell r="AU236">
            <v>1874</v>
          </cell>
          <cell r="AV236">
            <v>1434</v>
          </cell>
          <cell r="AW236">
            <v>318</v>
          </cell>
          <cell r="AX236">
            <v>0</v>
          </cell>
          <cell r="AY236">
            <v>4</v>
          </cell>
          <cell r="AZ236">
            <v>67</v>
          </cell>
          <cell r="BA236">
            <v>51</v>
          </cell>
        </row>
        <row r="237">
          <cell r="AS237" t="str">
            <v>17031200200</v>
          </cell>
          <cell r="AT237">
            <v>4768</v>
          </cell>
          <cell r="AU237">
            <v>2659</v>
          </cell>
          <cell r="AV237">
            <v>1954</v>
          </cell>
          <cell r="AW237">
            <v>605</v>
          </cell>
          <cell r="AX237">
            <v>0</v>
          </cell>
          <cell r="AY237">
            <v>0</v>
          </cell>
          <cell r="AZ237">
            <v>66</v>
          </cell>
          <cell r="BA237">
            <v>34</v>
          </cell>
        </row>
        <row r="238">
          <cell r="AS238" t="str">
            <v>17031200300</v>
          </cell>
          <cell r="AT238">
            <v>1980</v>
          </cell>
          <cell r="AU238">
            <v>1044</v>
          </cell>
          <cell r="AV238">
            <v>829</v>
          </cell>
          <cell r="AW238">
            <v>141</v>
          </cell>
          <cell r="AX238">
            <v>6</v>
          </cell>
          <cell r="AY238">
            <v>0</v>
          </cell>
          <cell r="AZ238">
            <v>14</v>
          </cell>
          <cell r="BA238">
            <v>54</v>
          </cell>
        </row>
        <row r="239">
          <cell r="AS239" t="str">
            <v>17031200401</v>
          </cell>
          <cell r="AT239">
            <v>3201</v>
          </cell>
          <cell r="AU239">
            <v>1524</v>
          </cell>
          <cell r="AV239">
            <v>1021</v>
          </cell>
          <cell r="AW239">
            <v>288</v>
          </cell>
          <cell r="AX239">
            <v>0</v>
          </cell>
          <cell r="AY239">
            <v>56</v>
          </cell>
          <cell r="AZ239">
            <v>44</v>
          </cell>
          <cell r="BA239">
            <v>115</v>
          </cell>
        </row>
        <row r="240">
          <cell r="AS240" t="str">
            <v>17031200402</v>
          </cell>
          <cell r="AT240">
            <v>4806</v>
          </cell>
          <cell r="AU240">
            <v>2399</v>
          </cell>
          <cell r="AV240">
            <v>1884</v>
          </cell>
          <cell r="AW240">
            <v>283</v>
          </cell>
          <cell r="AX240">
            <v>0</v>
          </cell>
          <cell r="AY240">
            <v>6</v>
          </cell>
          <cell r="AZ240">
            <v>61</v>
          </cell>
          <cell r="BA240">
            <v>165</v>
          </cell>
        </row>
        <row r="241">
          <cell r="AS241" t="str">
            <v>17031210100</v>
          </cell>
          <cell r="AT241">
            <v>4356</v>
          </cell>
          <cell r="AU241">
            <v>2693</v>
          </cell>
          <cell r="AV241">
            <v>1620</v>
          </cell>
          <cell r="AW241">
            <v>544</v>
          </cell>
          <cell r="AX241">
            <v>0</v>
          </cell>
          <cell r="AY241">
            <v>14</v>
          </cell>
          <cell r="AZ241">
            <v>58</v>
          </cell>
          <cell r="BA241">
            <v>457</v>
          </cell>
        </row>
        <row r="242">
          <cell r="AS242" t="str">
            <v>17031210400</v>
          </cell>
          <cell r="AT242">
            <v>2351</v>
          </cell>
          <cell r="AU242">
            <v>1069</v>
          </cell>
          <cell r="AV242">
            <v>629</v>
          </cell>
          <cell r="AW242">
            <v>271</v>
          </cell>
          <cell r="AX242">
            <v>0</v>
          </cell>
          <cell r="AY242">
            <v>1</v>
          </cell>
          <cell r="AZ242">
            <v>18</v>
          </cell>
          <cell r="BA242">
            <v>150</v>
          </cell>
        </row>
        <row r="243">
          <cell r="AS243" t="str">
            <v>17031210501</v>
          </cell>
          <cell r="AT243">
            <v>3001</v>
          </cell>
          <cell r="AU243">
            <v>1810</v>
          </cell>
          <cell r="AV243">
            <v>865</v>
          </cell>
          <cell r="AW243">
            <v>682</v>
          </cell>
          <cell r="AX243">
            <v>27</v>
          </cell>
          <cell r="AY243">
            <v>0</v>
          </cell>
          <cell r="AZ243">
            <v>57</v>
          </cell>
          <cell r="BA243">
            <v>179</v>
          </cell>
        </row>
        <row r="244">
          <cell r="AS244" t="str">
            <v>17031210502</v>
          </cell>
          <cell r="AT244">
            <v>4536</v>
          </cell>
          <cell r="AU244">
            <v>2395</v>
          </cell>
          <cell r="AV244">
            <v>1440</v>
          </cell>
          <cell r="AW244">
            <v>705</v>
          </cell>
          <cell r="AX244">
            <v>0</v>
          </cell>
          <cell r="AY244">
            <v>0</v>
          </cell>
          <cell r="AZ244">
            <v>36</v>
          </cell>
          <cell r="BA244">
            <v>214</v>
          </cell>
        </row>
        <row r="245">
          <cell r="AS245" t="str">
            <v>17031210601</v>
          </cell>
          <cell r="AT245">
            <v>3145</v>
          </cell>
          <cell r="AU245">
            <v>1885</v>
          </cell>
          <cell r="AV245">
            <v>1025</v>
          </cell>
          <cell r="AW245">
            <v>709</v>
          </cell>
          <cell r="AX245">
            <v>0</v>
          </cell>
          <cell r="AY245">
            <v>13</v>
          </cell>
          <cell r="AZ245">
            <v>2</v>
          </cell>
          <cell r="BA245">
            <v>136</v>
          </cell>
        </row>
        <row r="246">
          <cell r="AS246" t="str">
            <v>17031210602</v>
          </cell>
          <cell r="AT246">
            <v>4022</v>
          </cell>
          <cell r="AU246">
            <v>2486</v>
          </cell>
          <cell r="AV246">
            <v>1360</v>
          </cell>
          <cell r="AW246">
            <v>753</v>
          </cell>
          <cell r="AX246">
            <v>0</v>
          </cell>
          <cell r="AY246">
            <v>9</v>
          </cell>
          <cell r="AZ246">
            <v>62</v>
          </cell>
          <cell r="BA246">
            <v>302</v>
          </cell>
        </row>
        <row r="247">
          <cell r="AS247" t="str">
            <v>17031210700</v>
          </cell>
          <cell r="AT247">
            <v>3911</v>
          </cell>
          <cell r="AU247">
            <v>2179</v>
          </cell>
          <cell r="AV247">
            <v>1297</v>
          </cell>
          <cell r="AW247">
            <v>526</v>
          </cell>
          <cell r="AX247">
            <v>17</v>
          </cell>
          <cell r="AY247">
            <v>22</v>
          </cell>
          <cell r="AZ247">
            <v>88</v>
          </cell>
          <cell r="BA247">
            <v>229</v>
          </cell>
        </row>
        <row r="248">
          <cell r="AS248" t="str">
            <v>17031210800</v>
          </cell>
          <cell r="AT248">
            <v>1131</v>
          </cell>
          <cell r="AU248">
            <v>737</v>
          </cell>
          <cell r="AV248">
            <v>420</v>
          </cell>
          <cell r="AW248">
            <v>190</v>
          </cell>
          <cell r="AX248">
            <v>12</v>
          </cell>
          <cell r="AY248">
            <v>15</v>
          </cell>
          <cell r="AZ248">
            <v>41</v>
          </cell>
          <cell r="BA248">
            <v>59</v>
          </cell>
        </row>
        <row r="249">
          <cell r="AS249" t="str">
            <v>17031210900</v>
          </cell>
          <cell r="AT249">
            <v>3127</v>
          </cell>
          <cell r="AU249">
            <v>2126</v>
          </cell>
          <cell r="AV249">
            <v>1079</v>
          </cell>
          <cell r="AW249">
            <v>382</v>
          </cell>
          <cell r="AX249">
            <v>54</v>
          </cell>
          <cell r="AY249">
            <v>76</v>
          </cell>
          <cell r="AZ249">
            <v>186</v>
          </cell>
          <cell r="BA249">
            <v>349</v>
          </cell>
        </row>
        <row r="250">
          <cell r="AS250" t="str">
            <v>17031220300</v>
          </cell>
          <cell r="AT250">
            <v>2072</v>
          </cell>
          <cell r="AU250">
            <v>1450</v>
          </cell>
          <cell r="AV250">
            <v>731</v>
          </cell>
          <cell r="AW250">
            <v>460</v>
          </cell>
          <cell r="AX250">
            <v>4</v>
          </cell>
          <cell r="AY250">
            <v>27</v>
          </cell>
          <cell r="AZ250">
            <v>24</v>
          </cell>
          <cell r="BA250">
            <v>204</v>
          </cell>
        </row>
        <row r="251">
          <cell r="AS251" t="str">
            <v>17031220400</v>
          </cell>
          <cell r="AT251">
            <v>2712</v>
          </cell>
          <cell r="AU251">
            <v>1622</v>
          </cell>
          <cell r="AV251">
            <v>700</v>
          </cell>
          <cell r="AW251">
            <v>449</v>
          </cell>
          <cell r="AX251">
            <v>0</v>
          </cell>
          <cell r="AY251">
            <v>48</v>
          </cell>
          <cell r="AZ251">
            <v>41</v>
          </cell>
          <cell r="BA251">
            <v>384</v>
          </cell>
        </row>
        <row r="252">
          <cell r="AS252" t="str">
            <v>17031220500</v>
          </cell>
          <cell r="AT252">
            <v>2492</v>
          </cell>
          <cell r="AU252">
            <v>1722</v>
          </cell>
          <cell r="AV252">
            <v>613</v>
          </cell>
          <cell r="AW252">
            <v>730</v>
          </cell>
          <cell r="AX252">
            <v>55</v>
          </cell>
          <cell r="AY252">
            <v>14</v>
          </cell>
          <cell r="AZ252">
            <v>65</v>
          </cell>
          <cell r="BA252">
            <v>245</v>
          </cell>
        </row>
        <row r="253">
          <cell r="AS253" t="str">
            <v>17031220601</v>
          </cell>
          <cell r="AT253">
            <v>1488</v>
          </cell>
          <cell r="AU253">
            <v>944</v>
          </cell>
          <cell r="AV253">
            <v>363</v>
          </cell>
          <cell r="AW253">
            <v>346</v>
          </cell>
          <cell r="AX253">
            <v>0</v>
          </cell>
          <cell r="AY253">
            <v>69</v>
          </cell>
          <cell r="AZ253">
            <v>35</v>
          </cell>
          <cell r="BA253">
            <v>131</v>
          </cell>
        </row>
        <row r="254">
          <cell r="AS254" t="str">
            <v>17031220602</v>
          </cell>
          <cell r="AT254">
            <v>4715</v>
          </cell>
          <cell r="AU254">
            <v>3093</v>
          </cell>
          <cell r="AV254">
            <v>857</v>
          </cell>
          <cell r="AW254">
            <v>1606</v>
          </cell>
          <cell r="AX254">
            <v>0</v>
          </cell>
          <cell r="AY254">
            <v>197</v>
          </cell>
          <cell r="AZ254">
            <v>90</v>
          </cell>
          <cell r="BA254">
            <v>343</v>
          </cell>
        </row>
        <row r="255">
          <cell r="AS255" t="str">
            <v>17031220701</v>
          </cell>
          <cell r="AT255">
            <v>3283</v>
          </cell>
          <cell r="AU255">
            <v>2014</v>
          </cell>
          <cell r="AV255">
            <v>1093</v>
          </cell>
          <cell r="AW255">
            <v>672</v>
          </cell>
          <cell r="AX255">
            <v>0</v>
          </cell>
          <cell r="AY255">
            <v>44</v>
          </cell>
          <cell r="AZ255">
            <v>80</v>
          </cell>
          <cell r="BA255">
            <v>125</v>
          </cell>
        </row>
        <row r="256">
          <cell r="AS256" t="str">
            <v>17031220702</v>
          </cell>
          <cell r="AT256">
            <v>4155</v>
          </cell>
          <cell r="AU256">
            <v>2566</v>
          </cell>
          <cell r="AV256">
            <v>1527</v>
          </cell>
          <cell r="AW256">
            <v>616</v>
          </cell>
          <cell r="AX256">
            <v>0</v>
          </cell>
          <cell r="AY256">
            <v>24</v>
          </cell>
          <cell r="AZ256">
            <v>29</v>
          </cell>
          <cell r="BA256">
            <v>370</v>
          </cell>
        </row>
        <row r="257">
          <cell r="AS257" t="str">
            <v>17031220901</v>
          </cell>
          <cell r="AT257">
            <v>2894</v>
          </cell>
          <cell r="AU257">
            <v>1703</v>
          </cell>
          <cell r="AV257">
            <v>864</v>
          </cell>
          <cell r="AW257">
            <v>378</v>
          </cell>
          <cell r="AX257">
            <v>0</v>
          </cell>
          <cell r="AY257">
            <v>212</v>
          </cell>
          <cell r="AZ257">
            <v>59</v>
          </cell>
          <cell r="BA257">
            <v>190</v>
          </cell>
        </row>
        <row r="258">
          <cell r="AS258" t="str">
            <v>17031220902</v>
          </cell>
          <cell r="AT258">
            <v>3049</v>
          </cell>
          <cell r="AU258">
            <v>1575</v>
          </cell>
          <cell r="AV258">
            <v>1067</v>
          </cell>
          <cell r="AW258">
            <v>336</v>
          </cell>
          <cell r="AX258">
            <v>3</v>
          </cell>
          <cell r="AY258">
            <v>24</v>
          </cell>
          <cell r="AZ258">
            <v>53</v>
          </cell>
          <cell r="BA258">
            <v>92</v>
          </cell>
        </row>
        <row r="259">
          <cell r="AS259" t="str">
            <v>17031221000</v>
          </cell>
          <cell r="AT259">
            <v>2754</v>
          </cell>
          <cell r="AU259">
            <v>1686</v>
          </cell>
          <cell r="AV259">
            <v>1059</v>
          </cell>
          <cell r="AW259">
            <v>397</v>
          </cell>
          <cell r="AX259">
            <v>4</v>
          </cell>
          <cell r="AY259">
            <v>81</v>
          </cell>
          <cell r="AZ259">
            <v>40</v>
          </cell>
          <cell r="BA259">
            <v>105</v>
          </cell>
        </row>
        <row r="260">
          <cell r="AS260" t="str">
            <v>17031221100</v>
          </cell>
          <cell r="AT260">
            <v>4484</v>
          </cell>
          <cell r="AU260">
            <v>2874</v>
          </cell>
          <cell r="AV260">
            <v>984</v>
          </cell>
          <cell r="AW260">
            <v>998</v>
          </cell>
          <cell r="AX260">
            <v>0</v>
          </cell>
          <cell r="AY260">
            <v>167</v>
          </cell>
          <cell r="AZ260">
            <v>193</v>
          </cell>
          <cell r="BA260">
            <v>532</v>
          </cell>
        </row>
        <row r="261">
          <cell r="AS261" t="str">
            <v>17031221200</v>
          </cell>
          <cell r="AT261">
            <v>3148</v>
          </cell>
          <cell r="AU261">
            <v>2045</v>
          </cell>
          <cell r="AV261">
            <v>843</v>
          </cell>
          <cell r="AW261">
            <v>723</v>
          </cell>
          <cell r="AX261">
            <v>29</v>
          </cell>
          <cell r="AY261">
            <v>120</v>
          </cell>
          <cell r="AZ261">
            <v>90</v>
          </cell>
          <cell r="BA261">
            <v>240</v>
          </cell>
        </row>
        <row r="262">
          <cell r="AS262" t="str">
            <v>17031221300</v>
          </cell>
          <cell r="AT262">
            <v>2925</v>
          </cell>
          <cell r="AU262">
            <v>1977</v>
          </cell>
          <cell r="AV262">
            <v>795</v>
          </cell>
          <cell r="AW262">
            <v>865</v>
          </cell>
          <cell r="AX262">
            <v>8</v>
          </cell>
          <cell r="AY262">
            <v>41</v>
          </cell>
          <cell r="AZ262">
            <v>120</v>
          </cell>
          <cell r="BA262">
            <v>148</v>
          </cell>
        </row>
        <row r="263">
          <cell r="AS263" t="str">
            <v>17031221400</v>
          </cell>
          <cell r="AT263">
            <v>3169</v>
          </cell>
          <cell r="AU263">
            <v>2158</v>
          </cell>
          <cell r="AV263">
            <v>832</v>
          </cell>
          <cell r="AW263">
            <v>828</v>
          </cell>
          <cell r="AX263">
            <v>8</v>
          </cell>
          <cell r="AY263">
            <v>78</v>
          </cell>
          <cell r="AZ263">
            <v>58</v>
          </cell>
          <cell r="BA263">
            <v>354</v>
          </cell>
        </row>
        <row r="264">
          <cell r="AS264" t="str">
            <v>17031221500</v>
          </cell>
          <cell r="AT264">
            <v>2805</v>
          </cell>
          <cell r="AU264">
            <v>1707</v>
          </cell>
          <cell r="AV264">
            <v>705</v>
          </cell>
          <cell r="AW264">
            <v>666</v>
          </cell>
          <cell r="AX264">
            <v>0</v>
          </cell>
          <cell r="AY264">
            <v>84</v>
          </cell>
          <cell r="AZ264">
            <v>121</v>
          </cell>
          <cell r="BA264">
            <v>131</v>
          </cell>
        </row>
        <row r="265">
          <cell r="AS265" t="str">
            <v>17031221600</v>
          </cell>
          <cell r="AT265">
            <v>3190</v>
          </cell>
          <cell r="AU265">
            <v>2224</v>
          </cell>
          <cell r="AV265">
            <v>889</v>
          </cell>
          <cell r="AW265">
            <v>906</v>
          </cell>
          <cell r="AX265">
            <v>0</v>
          </cell>
          <cell r="AY265">
            <v>46</v>
          </cell>
          <cell r="AZ265">
            <v>27</v>
          </cell>
          <cell r="BA265">
            <v>356</v>
          </cell>
        </row>
        <row r="266">
          <cell r="AS266" t="str">
            <v>17031222200</v>
          </cell>
          <cell r="AT266">
            <v>2203</v>
          </cell>
          <cell r="AU266">
            <v>1574</v>
          </cell>
          <cell r="AV266">
            <v>645</v>
          </cell>
          <cell r="AW266">
            <v>612</v>
          </cell>
          <cell r="AX266">
            <v>9</v>
          </cell>
          <cell r="AY266">
            <v>42</v>
          </cell>
          <cell r="AZ266">
            <v>45</v>
          </cell>
          <cell r="BA266">
            <v>221</v>
          </cell>
        </row>
        <row r="267">
          <cell r="AS267" t="str">
            <v>17031222500</v>
          </cell>
          <cell r="AT267">
            <v>1699</v>
          </cell>
          <cell r="AU267">
            <v>1017</v>
          </cell>
          <cell r="AV267">
            <v>555</v>
          </cell>
          <cell r="AW267">
            <v>286</v>
          </cell>
          <cell r="AX267">
            <v>5</v>
          </cell>
          <cell r="AY267">
            <v>24</v>
          </cell>
          <cell r="AZ267">
            <v>8</v>
          </cell>
          <cell r="BA267">
            <v>139</v>
          </cell>
        </row>
        <row r="268">
          <cell r="AS268" t="str">
            <v>17031222600</v>
          </cell>
          <cell r="AT268">
            <v>1615</v>
          </cell>
          <cell r="AU268">
            <v>1101</v>
          </cell>
          <cell r="AV268">
            <v>504</v>
          </cell>
          <cell r="AW268">
            <v>304</v>
          </cell>
          <cell r="AX268">
            <v>0</v>
          </cell>
          <cell r="AY268">
            <v>74</v>
          </cell>
          <cell r="AZ268">
            <v>36</v>
          </cell>
          <cell r="BA268">
            <v>183</v>
          </cell>
        </row>
        <row r="269">
          <cell r="AS269" t="str">
            <v>17031222700</v>
          </cell>
          <cell r="AT269">
            <v>2379</v>
          </cell>
          <cell r="AU269">
            <v>1194</v>
          </cell>
          <cell r="AV269">
            <v>684</v>
          </cell>
          <cell r="AW269">
            <v>386</v>
          </cell>
          <cell r="AX269">
            <v>4</v>
          </cell>
          <cell r="AY269">
            <v>50</v>
          </cell>
          <cell r="AZ269">
            <v>21</v>
          </cell>
          <cell r="BA269">
            <v>49</v>
          </cell>
        </row>
        <row r="270">
          <cell r="AS270" t="str">
            <v>17031222800</v>
          </cell>
          <cell r="AT270">
            <v>972</v>
          </cell>
          <cell r="AU270">
            <v>541</v>
          </cell>
          <cell r="AV270">
            <v>349</v>
          </cell>
          <cell r="AW270">
            <v>124</v>
          </cell>
          <cell r="AX270">
            <v>0</v>
          </cell>
          <cell r="AY270">
            <v>25</v>
          </cell>
          <cell r="AZ270">
            <v>8</v>
          </cell>
          <cell r="BA270">
            <v>35</v>
          </cell>
        </row>
        <row r="271">
          <cell r="AS271" t="str">
            <v>17031222900</v>
          </cell>
          <cell r="AT271">
            <v>1045</v>
          </cell>
          <cell r="AU271">
            <v>509</v>
          </cell>
          <cell r="AV271">
            <v>332</v>
          </cell>
          <cell r="AW271">
            <v>78</v>
          </cell>
          <cell r="AX271">
            <v>0</v>
          </cell>
          <cell r="AY271">
            <v>19</v>
          </cell>
          <cell r="AZ271">
            <v>17</v>
          </cell>
          <cell r="BA271">
            <v>63</v>
          </cell>
        </row>
        <row r="272">
          <cell r="AS272" t="str">
            <v>17031230100</v>
          </cell>
          <cell r="AT272">
            <v>1750</v>
          </cell>
          <cell r="AU272">
            <v>1026</v>
          </cell>
          <cell r="AV272">
            <v>553</v>
          </cell>
          <cell r="AW272">
            <v>245</v>
          </cell>
          <cell r="AX272">
            <v>4</v>
          </cell>
          <cell r="AY272">
            <v>91</v>
          </cell>
          <cell r="AZ272">
            <v>69</v>
          </cell>
          <cell r="BA272">
            <v>64</v>
          </cell>
        </row>
        <row r="273">
          <cell r="AS273" t="str">
            <v>17031230200</v>
          </cell>
          <cell r="AT273">
            <v>2080</v>
          </cell>
          <cell r="AU273">
            <v>1042</v>
          </cell>
          <cell r="AV273">
            <v>741</v>
          </cell>
          <cell r="AW273">
            <v>155</v>
          </cell>
          <cell r="AX273">
            <v>0</v>
          </cell>
          <cell r="AY273">
            <v>60</v>
          </cell>
          <cell r="AZ273">
            <v>37</v>
          </cell>
          <cell r="BA273">
            <v>49</v>
          </cell>
        </row>
        <row r="274">
          <cell r="AS274" t="str">
            <v>17031230300</v>
          </cell>
          <cell r="AT274">
            <v>878</v>
          </cell>
          <cell r="AU274">
            <v>464</v>
          </cell>
          <cell r="AV274">
            <v>335</v>
          </cell>
          <cell r="AW274">
            <v>74</v>
          </cell>
          <cell r="AX274">
            <v>0</v>
          </cell>
          <cell r="AY274">
            <v>4</v>
          </cell>
          <cell r="AZ274">
            <v>10</v>
          </cell>
          <cell r="BA274">
            <v>41</v>
          </cell>
        </row>
        <row r="275">
          <cell r="AS275" t="str">
            <v>17031230400</v>
          </cell>
          <cell r="AT275">
            <v>2325</v>
          </cell>
          <cell r="AU275">
            <v>1074</v>
          </cell>
          <cell r="AV275">
            <v>736</v>
          </cell>
          <cell r="AW275">
            <v>259</v>
          </cell>
          <cell r="AX275">
            <v>0</v>
          </cell>
          <cell r="AY275">
            <v>0</v>
          </cell>
          <cell r="AZ275">
            <v>0</v>
          </cell>
          <cell r="BA275">
            <v>79</v>
          </cell>
        </row>
        <row r="276">
          <cell r="AS276" t="str">
            <v>17031230500</v>
          </cell>
          <cell r="AT276">
            <v>3074</v>
          </cell>
          <cell r="AU276">
            <v>1314</v>
          </cell>
          <cell r="AV276">
            <v>837</v>
          </cell>
          <cell r="AW276">
            <v>195</v>
          </cell>
          <cell r="AX276">
            <v>0</v>
          </cell>
          <cell r="AY276">
            <v>0</v>
          </cell>
          <cell r="AZ276">
            <v>69</v>
          </cell>
          <cell r="BA276">
            <v>213</v>
          </cell>
        </row>
        <row r="277">
          <cell r="AS277" t="str">
            <v>17031230600</v>
          </cell>
          <cell r="AT277">
            <v>7302</v>
          </cell>
          <cell r="AU277">
            <v>2889</v>
          </cell>
          <cell r="AV277">
            <v>2075</v>
          </cell>
          <cell r="AW277">
            <v>497</v>
          </cell>
          <cell r="AX277">
            <v>65</v>
          </cell>
          <cell r="AY277">
            <v>28</v>
          </cell>
          <cell r="AZ277">
            <v>167</v>
          </cell>
          <cell r="BA277">
            <v>57</v>
          </cell>
        </row>
        <row r="278">
          <cell r="AS278" t="str">
            <v>17031230700</v>
          </cell>
          <cell r="AT278">
            <v>6349</v>
          </cell>
          <cell r="AU278">
            <v>2626</v>
          </cell>
          <cell r="AV278">
            <v>1914</v>
          </cell>
          <cell r="AW278">
            <v>528</v>
          </cell>
          <cell r="AX278">
            <v>1</v>
          </cell>
          <cell r="AY278">
            <v>134</v>
          </cell>
          <cell r="AZ278">
            <v>0</v>
          </cell>
          <cell r="BA278">
            <v>49</v>
          </cell>
        </row>
        <row r="279">
          <cell r="AS279" t="str">
            <v>17031230800</v>
          </cell>
          <cell r="AT279">
            <v>1170</v>
          </cell>
          <cell r="AU279">
            <v>512</v>
          </cell>
          <cell r="AV279">
            <v>377</v>
          </cell>
          <cell r="AW279">
            <v>75</v>
          </cell>
          <cell r="AX279">
            <v>9</v>
          </cell>
          <cell r="AY279">
            <v>8</v>
          </cell>
          <cell r="AZ279">
            <v>8</v>
          </cell>
          <cell r="BA279">
            <v>35</v>
          </cell>
        </row>
        <row r="280">
          <cell r="AS280" t="str">
            <v>17031230900</v>
          </cell>
          <cell r="AT280">
            <v>4483</v>
          </cell>
          <cell r="AU280">
            <v>2678</v>
          </cell>
          <cell r="AV280">
            <v>1689</v>
          </cell>
          <cell r="AW280">
            <v>593</v>
          </cell>
          <cell r="AX280">
            <v>29</v>
          </cell>
          <cell r="AY280">
            <v>80</v>
          </cell>
          <cell r="AZ280">
            <v>107</v>
          </cell>
          <cell r="BA280">
            <v>180</v>
          </cell>
        </row>
        <row r="281">
          <cell r="AS281" t="str">
            <v>17031231100</v>
          </cell>
          <cell r="AT281">
            <v>1281</v>
          </cell>
          <cell r="AU281">
            <v>634</v>
          </cell>
          <cell r="AV281">
            <v>437</v>
          </cell>
          <cell r="AW281">
            <v>163</v>
          </cell>
          <cell r="AX281">
            <v>0</v>
          </cell>
          <cell r="AY281">
            <v>6</v>
          </cell>
          <cell r="AZ281">
            <v>18</v>
          </cell>
          <cell r="BA281">
            <v>10</v>
          </cell>
        </row>
        <row r="282">
          <cell r="AS282" t="str">
            <v>17031231200</v>
          </cell>
          <cell r="AT282">
            <v>6021</v>
          </cell>
          <cell r="AU282">
            <v>2199</v>
          </cell>
          <cell r="AV282">
            <v>1269</v>
          </cell>
          <cell r="AW282">
            <v>558</v>
          </cell>
          <cell r="AX282">
            <v>0</v>
          </cell>
          <cell r="AY282">
            <v>87</v>
          </cell>
          <cell r="AZ282">
            <v>29</v>
          </cell>
          <cell r="BA282">
            <v>256</v>
          </cell>
        </row>
        <row r="283">
          <cell r="AS283" t="str">
            <v>17031231500</v>
          </cell>
          <cell r="AT283">
            <v>5699</v>
          </cell>
          <cell r="AU283">
            <v>1789</v>
          </cell>
          <cell r="AV283">
            <v>1061</v>
          </cell>
          <cell r="AW283">
            <v>665</v>
          </cell>
          <cell r="AX283">
            <v>0</v>
          </cell>
          <cell r="AY283">
            <v>0</v>
          </cell>
          <cell r="AZ283">
            <v>0</v>
          </cell>
          <cell r="BA283">
            <v>63</v>
          </cell>
        </row>
        <row r="284">
          <cell r="AS284" t="str">
            <v>17031240200</v>
          </cell>
          <cell r="AT284">
            <v>1713</v>
          </cell>
          <cell r="AU284">
            <v>1088</v>
          </cell>
          <cell r="AV284">
            <v>445</v>
          </cell>
          <cell r="AW284">
            <v>355</v>
          </cell>
          <cell r="AX284">
            <v>16</v>
          </cell>
          <cell r="AY284">
            <v>44</v>
          </cell>
          <cell r="AZ284">
            <v>42</v>
          </cell>
          <cell r="BA284">
            <v>186</v>
          </cell>
        </row>
        <row r="285">
          <cell r="AS285" t="str">
            <v>17031240300</v>
          </cell>
          <cell r="AT285">
            <v>1282</v>
          </cell>
          <cell r="AU285">
            <v>859</v>
          </cell>
          <cell r="AV285">
            <v>326</v>
          </cell>
          <cell r="AW285">
            <v>332</v>
          </cell>
          <cell r="AX285">
            <v>7</v>
          </cell>
          <cell r="AY285">
            <v>10</v>
          </cell>
          <cell r="AZ285">
            <v>30</v>
          </cell>
          <cell r="BA285">
            <v>154</v>
          </cell>
        </row>
        <row r="286">
          <cell r="AS286" t="str">
            <v>17031240500</v>
          </cell>
          <cell r="AT286">
            <v>2443</v>
          </cell>
          <cell r="AU286">
            <v>1925</v>
          </cell>
          <cell r="AV286">
            <v>686</v>
          </cell>
          <cell r="AW286">
            <v>646</v>
          </cell>
          <cell r="AX286">
            <v>12</v>
          </cell>
          <cell r="AY286">
            <v>28</v>
          </cell>
          <cell r="AZ286">
            <v>79</v>
          </cell>
          <cell r="BA286">
            <v>474</v>
          </cell>
        </row>
        <row r="287">
          <cell r="AS287" t="str">
            <v>17031240600</v>
          </cell>
          <cell r="AT287">
            <v>1677</v>
          </cell>
          <cell r="AU287">
            <v>1067</v>
          </cell>
          <cell r="AV287">
            <v>573</v>
          </cell>
          <cell r="AW287">
            <v>270</v>
          </cell>
          <cell r="AX287">
            <v>0</v>
          </cell>
          <cell r="AY287">
            <v>65</v>
          </cell>
          <cell r="AZ287">
            <v>27</v>
          </cell>
          <cell r="BA287">
            <v>132</v>
          </cell>
        </row>
        <row r="288">
          <cell r="AS288" t="str">
            <v>17031240700</v>
          </cell>
          <cell r="AT288">
            <v>1872</v>
          </cell>
          <cell r="AU288">
            <v>1153</v>
          </cell>
          <cell r="AV288">
            <v>740</v>
          </cell>
          <cell r="AW288">
            <v>274</v>
          </cell>
          <cell r="AX288">
            <v>0</v>
          </cell>
          <cell r="AY288">
            <v>4</v>
          </cell>
          <cell r="AZ288">
            <v>5</v>
          </cell>
          <cell r="BA288">
            <v>130</v>
          </cell>
        </row>
        <row r="289">
          <cell r="AS289" t="str">
            <v>17031240800</v>
          </cell>
          <cell r="AT289">
            <v>1373</v>
          </cell>
          <cell r="AU289">
            <v>822</v>
          </cell>
          <cell r="AV289">
            <v>507</v>
          </cell>
          <cell r="AW289">
            <v>163</v>
          </cell>
          <cell r="AX289">
            <v>0</v>
          </cell>
          <cell r="AY289">
            <v>12</v>
          </cell>
          <cell r="AZ289">
            <v>51</v>
          </cell>
          <cell r="BA289">
            <v>89</v>
          </cell>
        </row>
        <row r="290">
          <cell r="AS290" t="str">
            <v>17031240900</v>
          </cell>
          <cell r="AT290">
            <v>983</v>
          </cell>
          <cell r="AU290">
            <v>562</v>
          </cell>
          <cell r="AV290">
            <v>230</v>
          </cell>
          <cell r="AW290">
            <v>66</v>
          </cell>
          <cell r="AX290">
            <v>0</v>
          </cell>
          <cell r="AY290">
            <v>53</v>
          </cell>
          <cell r="AZ290">
            <v>64</v>
          </cell>
          <cell r="BA290">
            <v>149</v>
          </cell>
        </row>
        <row r="291">
          <cell r="AS291" t="str">
            <v>17031241000</v>
          </cell>
          <cell r="AT291">
            <v>1935</v>
          </cell>
          <cell r="AU291">
            <v>1219</v>
          </cell>
          <cell r="AV291">
            <v>642</v>
          </cell>
          <cell r="AW291">
            <v>273</v>
          </cell>
          <cell r="AX291">
            <v>23</v>
          </cell>
          <cell r="AY291">
            <v>33</v>
          </cell>
          <cell r="AZ291">
            <v>67</v>
          </cell>
          <cell r="BA291">
            <v>181</v>
          </cell>
        </row>
        <row r="292">
          <cell r="AS292" t="str">
            <v>17031241100</v>
          </cell>
          <cell r="AT292">
            <v>3441</v>
          </cell>
          <cell r="AU292">
            <v>2309</v>
          </cell>
          <cell r="AV292">
            <v>1148</v>
          </cell>
          <cell r="AW292">
            <v>715</v>
          </cell>
          <cell r="AX292">
            <v>29</v>
          </cell>
          <cell r="AY292">
            <v>29</v>
          </cell>
          <cell r="AZ292">
            <v>83</v>
          </cell>
          <cell r="BA292">
            <v>305</v>
          </cell>
        </row>
        <row r="293">
          <cell r="AS293" t="str">
            <v>17031241200</v>
          </cell>
          <cell r="AT293">
            <v>1775</v>
          </cell>
          <cell r="AU293">
            <v>1302</v>
          </cell>
          <cell r="AV293">
            <v>536</v>
          </cell>
          <cell r="AW293">
            <v>397</v>
          </cell>
          <cell r="AX293">
            <v>10</v>
          </cell>
          <cell r="AY293">
            <v>59</v>
          </cell>
          <cell r="AZ293">
            <v>70</v>
          </cell>
          <cell r="BA293">
            <v>230</v>
          </cell>
        </row>
        <row r="294">
          <cell r="AS294" t="str">
            <v>17031241300</v>
          </cell>
          <cell r="AT294">
            <v>1982</v>
          </cell>
          <cell r="AU294">
            <v>1309</v>
          </cell>
          <cell r="AV294">
            <v>478</v>
          </cell>
          <cell r="AW294">
            <v>528</v>
          </cell>
          <cell r="AX294">
            <v>6</v>
          </cell>
          <cell r="AY294">
            <v>60</v>
          </cell>
          <cell r="AZ294">
            <v>54</v>
          </cell>
          <cell r="BA294">
            <v>183</v>
          </cell>
        </row>
        <row r="295">
          <cell r="AS295" t="str">
            <v>17031241400</v>
          </cell>
          <cell r="AT295">
            <v>5503</v>
          </cell>
          <cell r="AU295">
            <v>4005</v>
          </cell>
          <cell r="AV295">
            <v>1642</v>
          </cell>
          <cell r="AW295">
            <v>1660</v>
          </cell>
          <cell r="AX295">
            <v>0</v>
          </cell>
          <cell r="AY295">
            <v>77</v>
          </cell>
          <cell r="AZ295">
            <v>154</v>
          </cell>
          <cell r="BA295">
            <v>472</v>
          </cell>
        </row>
        <row r="296">
          <cell r="AS296" t="str">
            <v>17031241500</v>
          </cell>
          <cell r="AT296">
            <v>2981</v>
          </cell>
          <cell r="AU296">
            <v>2167</v>
          </cell>
          <cell r="AV296">
            <v>670</v>
          </cell>
          <cell r="AW296">
            <v>1104</v>
          </cell>
          <cell r="AX296">
            <v>0</v>
          </cell>
          <cell r="AY296">
            <v>80</v>
          </cell>
          <cell r="AZ296">
            <v>110</v>
          </cell>
          <cell r="BA296">
            <v>203</v>
          </cell>
        </row>
        <row r="297">
          <cell r="AS297" t="str">
            <v>17031241600</v>
          </cell>
          <cell r="AT297">
            <v>3325</v>
          </cell>
          <cell r="AU297">
            <v>2583</v>
          </cell>
          <cell r="AV297">
            <v>1021</v>
          </cell>
          <cell r="AW297">
            <v>1029</v>
          </cell>
          <cell r="AX297">
            <v>62</v>
          </cell>
          <cell r="AY297">
            <v>45</v>
          </cell>
          <cell r="AZ297">
            <v>165</v>
          </cell>
          <cell r="BA297">
            <v>261</v>
          </cell>
        </row>
        <row r="298">
          <cell r="AS298" t="str">
            <v>17031242000</v>
          </cell>
          <cell r="AT298">
            <v>4755</v>
          </cell>
          <cell r="AU298">
            <v>3361</v>
          </cell>
          <cell r="AV298">
            <v>1456</v>
          </cell>
          <cell r="AW298">
            <v>1465</v>
          </cell>
          <cell r="AX298">
            <v>48</v>
          </cell>
          <cell r="AY298">
            <v>137</v>
          </cell>
          <cell r="AZ298">
            <v>52</v>
          </cell>
          <cell r="BA298">
            <v>203</v>
          </cell>
        </row>
        <row r="299">
          <cell r="AS299" t="str">
            <v>17031242100</v>
          </cell>
          <cell r="AT299">
            <v>3813</v>
          </cell>
          <cell r="AU299">
            <v>2917</v>
          </cell>
          <cell r="AV299">
            <v>1026</v>
          </cell>
          <cell r="AW299">
            <v>878</v>
          </cell>
          <cell r="AX299">
            <v>88</v>
          </cell>
          <cell r="AY299">
            <v>136</v>
          </cell>
          <cell r="AZ299">
            <v>56</v>
          </cell>
          <cell r="BA299">
            <v>733</v>
          </cell>
        </row>
        <row r="300">
          <cell r="AS300" t="str">
            <v>17031242200</v>
          </cell>
          <cell r="AT300">
            <v>3802</v>
          </cell>
          <cell r="AU300">
            <v>2928</v>
          </cell>
          <cell r="AV300">
            <v>1353</v>
          </cell>
          <cell r="AW300">
            <v>790</v>
          </cell>
          <cell r="AX300">
            <v>51</v>
          </cell>
          <cell r="AY300">
            <v>142</v>
          </cell>
          <cell r="AZ300">
            <v>142</v>
          </cell>
          <cell r="BA300">
            <v>450</v>
          </cell>
        </row>
        <row r="301">
          <cell r="AS301" t="str">
            <v>17031242300</v>
          </cell>
          <cell r="AT301">
            <v>3394</v>
          </cell>
          <cell r="AU301">
            <v>2330</v>
          </cell>
          <cell r="AV301">
            <v>1053</v>
          </cell>
          <cell r="AW301">
            <v>531</v>
          </cell>
          <cell r="AX301">
            <v>7</v>
          </cell>
          <cell r="AY301">
            <v>230</v>
          </cell>
          <cell r="AZ301">
            <v>32</v>
          </cell>
          <cell r="BA301">
            <v>477</v>
          </cell>
        </row>
        <row r="302">
          <cell r="AS302" t="str">
            <v>17031242400</v>
          </cell>
          <cell r="AT302">
            <v>3004</v>
          </cell>
          <cell r="AU302">
            <v>2208</v>
          </cell>
          <cell r="AV302">
            <v>887</v>
          </cell>
          <cell r="AW302">
            <v>794</v>
          </cell>
          <cell r="AX302">
            <v>31</v>
          </cell>
          <cell r="AY302">
            <v>156</v>
          </cell>
          <cell r="AZ302">
            <v>84</v>
          </cell>
          <cell r="BA302">
            <v>256</v>
          </cell>
        </row>
        <row r="303">
          <cell r="AS303" t="str">
            <v>17031242500</v>
          </cell>
          <cell r="AT303">
            <v>3245</v>
          </cell>
          <cell r="AU303">
            <v>2384</v>
          </cell>
          <cell r="AV303">
            <v>1279</v>
          </cell>
          <cell r="AW303">
            <v>531</v>
          </cell>
          <cell r="AX303">
            <v>114</v>
          </cell>
          <cell r="AY303">
            <v>154</v>
          </cell>
          <cell r="AZ303">
            <v>69</v>
          </cell>
          <cell r="BA303">
            <v>237</v>
          </cell>
        </row>
        <row r="304">
          <cell r="AS304" t="str">
            <v>17031242600</v>
          </cell>
          <cell r="AT304">
            <v>5079</v>
          </cell>
          <cell r="AU304">
            <v>3261</v>
          </cell>
          <cell r="AV304">
            <v>1946</v>
          </cell>
          <cell r="AW304">
            <v>690</v>
          </cell>
          <cell r="AX304">
            <v>61</v>
          </cell>
          <cell r="AY304">
            <v>277</v>
          </cell>
          <cell r="AZ304">
            <v>32</v>
          </cell>
          <cell r="BA304">
            <v>255</v>
          </cell>
        </row>
        <row r="305">
          <cell r="AS305" t="str">
            <v>17031242700</v>
          </cell>
          <cell r="AT305">
            <v>1704</v>
          </cell>
          <cell r="AU305">
            <v>1039</v>
          </cell>
          <cell r="AV305">
            <v>551</v>
          </cell>
          <cell r="AW305">
            <v>196</v>
          </cell>
          <cell r="AX305">
            <v>0</v>
          </cell>
          <cell r="AY305">
            <v>32</v>
          </cell>
          <cell r="AZ305">
            <v>24</v>
          </cell>
          <cell r="BA305">
            <v>236</v>
          </cell>
        </row>
        <row r="306">
          <cell r="AS306" t="str">
            <v>17031242800</v>
          </cell>
          <cell r="AT306">
            <v>1637</v>
          </cell>
          <cell r="AU306">
            <v>969</v>
          </cell>
          <cell r="AV306">
            <v>408</v>
          </cell>
          <cell r="AW306">
            <v>287</v>
          </cell>
          <cell r="AX306">
            <v>10</v>
          </cell>
          <cell r="AY306">
            <v>118</v>
          </cell>
          <cell r="AZ306">
            <v>11</v>
          </cell>
          <cell r="BA306">
            <v>135</v>
          </cell>
        </row>
        <row r="307">
          <cell r="AS307" t="str">
            <v>17031242900</v>
          </cell>
          <cell r="AT307">
            <v>1836</v>
          </cell>
          <cell r="AU307">
            <v>1325</v>
          </cell>
          <cell r="AV307">
            <v>682</v>
          </cell>
          <cell r="AW307">
            <v>262</v>
          </cell>
          <cell r="AX307">
            <v>47</v>
          </cell>
          <cell r="AY307">
            <v>93</v>
          </cell>
          <cell r="AZ307">
            <v>30</v>
          </cell>
          <cell r="BA307">
            <v>211</v>
          </cell>
        </row>
        <row r="308">
          <cell r="AS308" t="str">
            <v>17031243000</v>
          </cell>
          <cell r="AT308">
            <v>2134</v>
          </cell>
          <cell r="AU308">
            <v>1422</v>
          </cell>
          <cell r="AV308">
            <v>691</v>
          </cell>
          <cell r="AW308">
            <v>395</v>
          </cell>
          <cell r="AX308">
            <v>16</v>
          </cell>
          <cell r="AY308">
            <v>84</v>
          </cell>
          <cell r="AZ308">
            <v>87</v>
          </cell>
          <cell r="BA308">
            <v>149</v>
          </cell>
        </row>
        <row r="309">
          <cell r="AS309" t="str">
            <v>17031243100</v>
          </cell>
          <cell r="AT309">
            <v>2230</v>
          </cell>
          <cell r="AU309">
            <v>1418</v>
          </cell>
          <cell r="AV309">
            <v>702</v>
          </cell>
          <cell r="AW309">
            <v>381</v>
          </cell>
          <cell r="AX309">
            <v>15</v>
          </cell>
          <cell r="AY309">
            <v>30</v>
          </cell>
          <cell r="AZ309">
            <v>81</v>
          </cell>
          <cell r="BA309">
            <v>209</v>
          </cell>
        </row>
        <row r="310">
          <cell r="AS310" t="str">
            <v>17031243200</v>
          </cell>
          <cell r="AT310">
            <v>2191</v>
          </cell>
          <cell r="AU310">
            <v>1599</v>
          </cell>
          <cell r="AV310">
            <v>609</v>
          </cell>
          <cell r="AW310">
            <v>347</v>
          </cell>
          <cell r="AX310">
            <v>15</v>
          </cell>
          <cell r="AY310">
            <v>71</v>
          </cell>
          <cell r="AZ310">
            <v>137</v>
          </cell>
          <cell r="BA310">
            <v>420</v>
          </cell>
        </row>
        <row r="311">
          <cell r="AS311" t="str">
            <v>17031243300</v>
          </cell>
          <cell r="AT311">
            <v>2261</v>
          </cell>
          <cell r="AU311">
            <v>1882</v>
          </cell>
          <cell r="AV311">
            <v>778</v>
          </cell>
          <cell r="AW311">
            <v>569</v>
          </cell>
          <cell r="AX311">
            <v>17</v>
          </cell>
          <cell r="AY311">
            <v>74</v>
          </cell>
          <cell r="AZ311">
            <v>45</v>
          </cell>
          <cell r="BA311">
            <v>399</v>
          </cell>
        </row>
        <row r="312">
          <cell r="AS312" t="str">
            <v>17031243400</v>
          </cell>
          <cell r="AT312">
            <v>2982</v>
          </cell>
          <cell r="AU312">
            <v>1995</v>
          </cell>
          <cell r="AV312">
            <v>938</v>
          </cell>
          <cell r="AW312">
            <v>544</v>
          </cell>
          <cell r="AX312">
            <v>21</v>
          </cell>
          <cell r="AY312">
            <v>66</v>
          </cell>
          <cell r="AZ312">
            <v>183</v>
          </cell>
          <cell r="BA312">
            <v>243</v>
          </cell>
        </row>
        <row r="313">
          <cell r="AS313" t="str">
            <v>17031243500</v>
          </cell>
          <cell r="AT313">
            <v>4031</v>
          </cell>
          <cell r="AU313">
            <v>2988</v>
          </cell>
          <cell r="AV313">
            <v>1015</v>
          </cell>
          <cell r="AW313">
            <v>996</v>
          </cell>
          <cell r="AX313">
            <v>59</v>
          </cell>
          <cell r="AY313">
            <v>76</v>
          </cell>
          <cell r="AZ313">
            <v>497</v>
          </cell>
          <cell r="BA313">
            <v>345</v>
          </cell>
        </row>
        <row r="314">
          <cell r="AS314" t="str">
            <v>17031250200</v>
          </cell>
          <cell r="AT314">
            <v>2922</v>
          </cell>
          <cell r="AU314">
            <v>1350</v>
          </cell>
          <cell r="AV314">
            <v>882</v>
          </cell>
          <cell r="AW314">
            <v>293</v>
          </cell>
          <cell r="AX314">
            <v>0</v>
          </cell>
          <cell r="AY314">
            <v>0</v>
          </cell>
          <cell r="AZ314">
            <v>86</v>
          </cell>
          <cell r="BA314">
            <v>89</v>
          </cell>
        </row>
        <row r="315">
          <cell r="AS315" t="str">
            <v>17031250300</v>
          </cell>
          <cell r="AT315">
            <v>5433</v>
          </cell>
          <cell r="AU315">
            <v>2099</v>
          </cell>
          <cell r="AV315">
            <v>1306</v>
          </cell>
          <cell r="AW315">
            <v>703</v>
          </cell>
          <cell r="AX315">
            <v>0</v>
          </cell>
          <cell r="AY315">
            <v>0</v>
          </cell>
          <cell r="AZ315">
            <v>61</v>
          </cell>
          <cell r="BA315">
            <v>29</v>
          </cell>
        </row>
        <row r="316">
          <cell r="AS316" t="str">
            <v>17031250400</v>
          </cell>
          <cell r="AT316">
            <v>5471</v>
          </cell>
          <cell r="AU316">
            <v>2225</v>
          </cell>
          <cell r="AV316">
            <v>1485</v>
          </cell>
          <cell r="AW316">
            <v>607</v>
          </cell>
          <cell r="AX316">
            <v>0</v>
          </cell>
          <cell r="AY316">
            <v>0</v>
          </cell>
          <cell r="AZ316">
            <v>0</v>
          </cell>
          <cell r="BA316">
            <v>133</v>
          </cell>
        </row>
        <row r="317">
          <cell r="AS317" t="str">
            <v>17031250500</v>
          </cell>
          <cell r="AT317">
            <v>7141</v>
          </cell>
          <cell r="AU317">
            <v>3964</v>
          </cell>
          <cell r="AV317">
            <v>3127</v>
          </cell>
          <cell r="AW317">
            <v>486</v>
          </cell>
          <cell r="AX317">
            <v>0</v>
          </cell>
          <cell r="AY317">
            <v>32</v>
          </cell>
          <cell r="AZ317">
            <v>0</v>
          </cell>
          <cell r="BA317">
            <v>319</v>
          </cell>
        </row>
        <row r="318">
          <cell r="AS318" t="str">
            <v>17031250600</v>
          </cell>
          <cell r="AT318">
            <v>4383</v>
          </cell>
          <cell r="AU318">
            <v>1725</v>
          </cell>
          <cell r="AV318">
            <v>1397</v>
          </cell>
          <cell r="AW318">
            <v>238</v>
          </cell>
          <cell r="AX318">
            <v>0</v>
          </cell>
          <cell r="AY318">
            <v>0</v>
          </cell>
          <cell r="AZ318">
            <v>8</v>
          </cell>
          <cell r="BA318">
            <v>82</v>
          </cell>
        </row>
        <row r="319">
          <cell r="AS319" t="str">
            <v>17031250700</v>
          </cell>
          <cell r="AT319">
            <v>5430</v>
          </cell>
          <cell r="AU319">
            <v>2504</v>
          </cell>
          <cell r="AV319">
            <v>2072</v>
          </cell>
          <cell r="AW319">
            <v>361</v>
          </cell>
          <cell r="AX319">
            <v>22</v>
          </cell>
          <cell r="AY319">
            <v>0</v>
          </cell>
          <cell r="AZ319">
            <v>0</v>
          </cell>
          <cell r="BA319">
            <v>49</v>
          </cell>
        </row>
        <row r="320">
          <cell r="AS320" t="str">
            <v>17031250800</v>
          </cell>
          <cell r="AT320">
            <v>2607</v>
          </cell>
          <cell r="AU320">
            <v>1010</v>
          </cell>
          <cell r="AV320">
            <v>583</v>
          </cell>
          <cell r="AW320">
            <v>296</v>
          </cell>
          <cell r="AX320">
            <v>0</v>
          </cell>
          <cell r="AY320">
            <v>0</v>
          </cell>
          <cell r="AZ320">
            <v>76</v>
          </cell>
          <cell r="BA320">
            <v>55</v>
          </cell>
        </row>
        <row r="321">
          <cell r="AS321" t="str">
            <v>17031251000</v>
          </cell>
          <cell r="AT321">
            <v>997</v>
          </cell>
          <cell r="AU321">
            <v>397</v>
          </cell>
          <cell r="AV321">
            <v>317</v>
          </cell>
          <cell r="AW321">
            <v>55</v>
          </cell>
          <cell r="AX321">
            <v>0</v>
          </cell>
          <cell r="AY321">
            <v>0</v>
          </cell>
          <cell r="AZ321">
            <v>0</v>
          </cell>
          <cell r="BA321">
            <v>25</v>
          </cell>
        </row>
        <row r="322">
          <cell r="AS322" t="str">
            <v>17031251100</v>
          </cell>
          <cell r="AT322">
            <v>4763</v>
          </cell>
          <cell r="AU322">
            <v>1699</v>
          </cell>
          <cell r="AV322">
            <v>1161</v>
          </cell>
          <cell r="AW322">
            <v>456</v>
          </cell>
          <cell r="AX322">
            <v>0</v>
          </cell>
          <cell r="AY322">
            <v>0</v>
          </cell>
          <cell r="AZ322">
            <v>0</v>
          </cell>
          <cell r="BA322">
            <v>82</v>
          </cell>
        </row>
        <row r="323">
          <cell r="AS323" t="str">
            <v>17031251200</v>
          </cell>
          <cell r="AT323">
            <v>4527</v>
          </cell>
          <cell r="AU323">
            <v>1790</v>
          </cell>
          <cell r="AV323">
            <v>1517</v>
          </cell>
          <cell r="AW323">
            <v>193</v>
          </cell>
          <cell r="AX323">
            <v>0</v>
          </cell>
          <cell r="AY323">
            <v>0</v>
          </cell>
          <cell r="AZ323">
            <v>33</v>
          </cell>
          <cell r="BA323">
            <v>47</v>
          </cell>
        </row>
        <row r="324">
          <cell r="AS324" t="str">
            <v>17031251300</v>
          </cell>
          <cell r="AT324">
            <v>3920</v>
          </cell>
          <cell r="AU324">
            <v>1337</v>
          </cell>
          <cell r="AV324">
            <v>837</v>
          </cell>
          <cell r="AW324">
            <v>317</v>
          </cell>
          <cell r="AX324">
            <v>0</v>
          </cell>
          <cell r="AY324">
            <v>0</v>
          </cell>
          <cell r="AZ324">
            <v>69</v>
          </cell>
          <cell r="BA324">
            <v>114</v>
          </cell>
        </row>
        <row r="325">
          <cell r="AS325" t="str">
            <v>17031251400</v>
          </cell>
          <cell r="AT325">
            <v>3894</v>
          </cell>
          <cell r="AU325">
            <v>1365</v>
          </cell>
          <cell r="AV325">
            <v>793</v>
          </cell>
          <cell r="AW325">
            <v>467</v>
          </cell>
          <cell r="AX325">
            <v>0</v>
          </cell>
          <cell r="AY325">
            <v>25</v>
          </cell>
          <cell r="AZ325">
            <v>17</v>
          </cell>
          <cell r="BA325">
            <v>63</v>
          </cell>
        </row>
        <row r="326">
          <cell r="AS326" t="str">
            <v>17031251500</v>
          </cell>
          <cell r="AT326">
            <v>4601</v>
          </cell>
          <cell r="AU326">
            <v>1617</v>
          </cell>
          <cell r="AV326">
            <v>903</v>
          </cell>
          <cell r="AW326">
            <v>509</v>
          </cell>
          <cell r="AX326">
            <v>12</v>
          </cell>
          <cell r="AY326">
            <v>43</v>
          </cell>
          <cell r="AZ326">
            <v>26</v>
          </cell>
          <cell r="BA326">
            <v>124</v>
          </cell>
        </row>
        <row r="327">
          <cell r="AS327" t="str">
            <v>17031251600</v>
          </cell>
          <cell r="AT327">
            <v>4300</v>
          </cell>
          <cell r="AU327">
            <v>1326</v>
          </cell>
          <cell r="AV327">
            <v>861</v>
          </cell>
          <cell r="AW327">
            <v>373</v>
          </cell>
          <cell r="AX327">
            <v>0</v>
          </cell>
          <cell r="AY327">
            <v>0</v>
          </cell>
          <cell r="AZ327">
            <v>32</v>
          </cell>
          <cell r="BA327">
            <v>60</v>
          </cell>
        </row>
        <row r="328">
          <cell r="AS328" t="str">
            <v>17031251700</v>
          </cell>
          <cell r="AT328">
            <v>1262</v>
          </cell>
          <cell r="AU328">
            <v>644</v>
          </cell>
          <cell r="AV328">
            <v>497</v>
          </cell>
          <cell r="AW328">
            <v>122</v>
          </cell>
          <cell r="AX328">
            <v>0</v>
          </cell>
          <cell r="AY328">
            <v>0</v>
          </cell>
          <cell r="AZ328">
            <v>0</v>
          </cell>
          <cell r="BA328">
            <v>25</v>
          </cell>
        </row>
        <row r="329">
          <cell r="AS329" t="str">
            <v>17031251800</v>
          </cell>
          <cell r="AT329">
            <v>5175</v>
          </cell>
          <cell r="AU329">
            <v>1718</v>
          </cell>
          <cell r="AV329">
            <v>999</v>
          </cell>
          <cell r="AW329">
            <v>585</v>
          </cell>
          <cell r="AX329">
            <v>0</v>
          </cell>
          <cell r="AY329">
            <v>5</v>
          </cell>
          <cell r="AZ329">
            <v>0</v>
          </cell>
          <cell r="BA329">
            <v>129</v>
          </cell>
        </row>
        <row r="330">
          <cell r="AS330" t="str">
            <v>17031251900</v>
          </cell>
          <cell r="AT330">
            <v>4763</v>
          </cell>
          <cell r="AU330">
            <v>1732</v>
          </cell>
          <cell r="AV330">
            <v>1022</v>
          </cell>
          <cell r="AW330">
            <v>624</v>
          </cell>
          <cell r="AX330">
            <v>0</v>
          </cell>
          <cell r="AY330">
            <v>0</v>
          </cell>
          <cell r="AZ330">
            <v>40</v>
          </cell>
          <cell r="BA330">
            <v>46</v>
          </cell>
        </row>
        <row r="331">
          <cell r="AS331" t="str">
            <v>17031252000</v>
          </cell>
          <cell r="AT331">
            <v>4958</v>
          </cell>
          <cell r="AU331">
            <v>1578</v>
          </cell>
          <cell r="AV331">
            <v>900</v>
          </cell>
          <cell r="AW331">
            <v>533</v>
          </cell>
          <cell r="AX331">
            <v>0</v>
          </cell>
          <cell r="AY331">
            <v>0</v>
          </cell>
          <cell r="AZ331">
            <v>108</v>
          </cell>
          <cell r="BA331">
            <v>37</v>
          </cell>
        </row>
        <row r="332">
          <cell r="AS332" t="str">
            <v>17031252101</v>
          </cell>
          <cell r="AT332">
            <v>1289</v>
          </cell>
          <cell r="AU332">
            <v>323</v>
          </cell>
          <cell r="AV332">
            <v>210</v>
          </cell>
          <cell r="AW332">
            <v>109</v>
          </cell>
          <cell r="AX332">
            <v>0</v>
          </cell>
          <cell r="AY332">
            <v>0</v>
          </cell>
          <cell r="AZ332">
            <v>3</v>
          </cell>
          <cell r="BA332">
            <v>1</v>
          </cell>
        </row>
        <row r="333">
          <cell r="AS333" t="str">
            <v>17031252102</v>
          </cell>
          <cell r="AT333">
            <v>6452</v>
          </cell>
          <cell r="AU333">
            <v>2324</v>
          </cell>
          <cell r="AV333">
            <v>1110</v>
          </cell>
          <cell r="AW333">
            <v>997</v>
          </cell>
          <cell r="AX333">
            <v>0</v>
          </cell>
          <cell r="AY333">
            <v>21</v>
          </cell>
          <cell r="AZ333">
            <v>145</v>
          </cell>
          <cell r="BA333">
            <v>51</v>
          </cell>
        </row>
        <row r="334">
          <cell r="AS334" t="str">
            <v>17031252201</v>
          </cell>
          <cell r="AT334">
            <v>2672</v>
          </cell>
          <cell r="AU334">
            <v>824</v>
          </cell>
          <cell r="AV334">
            <v>574</v>
          </cell>
          <cell r="AW334">
            <v>201</v>
          </cell>
          <cell r="AX334">
            <v>0</v>
          </cell>
          <cell r="AY334">
            <v>0</v>
          </cell>
          <cell r="AZ334">
            <v>0</v>
          </cell>
          <cell r="BA334">
            <v>49</v>
          </cell>
        </row>
        <row r="335">
          <cell r="AS335" t="str">
            <v>17031252202</v>
          </cell>
          <cell r="AT335">
            <v>4385</v>
          </cell>
          <cell r="AU335">
            <v>1729</v>
          </cell>
          <cell r="AV335">
            <v>1107</v>
          </cell>
          <cell r="AW335">
            <v>520</v>
          </cell>
          <cell r="AX335">
            <v>33</v>
          </cell>
          <cell r="AY335">
            <v>0</v>
          </cell>
          <cell r="AZ335">
            <v>0</v>
          </cell>
          <cell r="BA335">
            <v>69</v>
          </cell>
        </row>
        <row r="336">
          <cell r="AS336" t="str">
            <v>17031260100</v>
          </cell>
          <cell r="AT336">
            <v>1200</v>
          </cell>
          <cell r="AU336">
            <v>401</v>
          </cell>
          <cell r="AV336">
            <v>138</v>
          </cell>
          <cell r="AW336">
            <v>190</v>
          </cell>
          <cell r="AX336">
            <v>14</v>
          </cell>
          <cell r="AY336">
            <v>23</v>
          </cell>
          <cell r="AZ336">
            <v>0</v>
          </cell>
          <cell r="BA336">
            <v>36</v>
          </cell>
        </row>
        <row r="337">
          <cell r="AS337" t="str">
            <v>17031260200</v>
          </cell>
          <cell r="AT337">
            <v>873</v>
          </cell>
          <cell r="AU337">
            <v>321</v>
          </cell>
          <cell r="AV337">
            <v>219</v>
          </cell>
          <cell r="AW337">
            <v>78</v>
          </cell>
          <cell r="AX337">
            <v>8</v>
          </cell>
          <cell r="AY337">
            <v>0</v>
          </cell>
          <cell r="AZ337">
            <v>4</v>
          </cell>
          <cell r="BA337">
            <v>12</v>
          </cell>
        </row>
        <row r="338">
          <cell r="AS338" t="str">
            <v>17031260300</v>
          </cell>
          <cell r="AT338">
            <v>1777</v>
          </cell>
          <cell r="AU338">
            <v>468</v>
          </cell>
          <cell r="AV338">
            <v>285</v>
          </cell>
          <cell r="AW338">
            <v>116</v>
          </cell>
          <cell r="AX338">
            <v>31</v>
          </cell>
          <cell r="AY338">
            <v>0</v>
          </cell>
          <cell r="AZ338">
            <v>12</v>
          </cell>
          <cell r="BA338">
            <v>24</v>
          </cell>
        </row>
        <row r="339">
          <cell r="AS339" t="str">
            <v>17031260400</v>
          </cell>
          <cell r="AT339">
            <v>1158</v>
          </cell>
          <cell r="AU339">
            <v>384</v>
          </cell>
          <cell r="AV339">
            <v>178</v>
          </cell>
          <cell r="AW339">
            <v>172</v>
          </cell>
          <cell r="AX339">
            <v>0</v>
          </cell>
          <cell r="AY339">
            <v>0</v>
          </cell>
          <cell r="AZ339">
            <v>0</v>
          </cell>
          <cell r="BA339">
            <v>34</v>
          </cell>
        </row>
        <row r="340">
          <cell r="AS340" t="str">
            <v>17031260500</v>
          </cell>
          <cell r="AT340">
            <v>1733</v>
          </cell>
          <cell r="AU340">
            <v>609</v>
          </cell>
          <cell r="AV340">
            <v>287</v>
          </cell>
          <cell r="AW340">
            <v>232</v>
          </cell>
          <cell r="AX340">
            <v>0</v>
          </cell>
          <cell r="AY340">
            <v>0</v>
          </cell>
          <cell r="AZ340">
            <v>0</v>
          </cell>
          <cell r="BA340">
            <v>90</v>
          </cell>
        </row>
        <row r="341">
          <cell r="AS341" t="str">
            <v>17031260600</v>
          </cell>
          <cell r="AT341">
            <v>2097</v>
          </cell>
          <cell r="AU341">
            <v>395</v>
          </cell>
          <cell r="AV341">
            <v>258</v>
          </cell>
          <cell r="AW341">
            <v>104</v>
          </cell>
          <cell r="AX341">
            <v>0</v>
          </cell>
          <cell r="AY341">
            <v>0</v>
          </cell>
          <cell r="AZ341">
            <v>0</v>
          </cell>
          <cell r="BA341">
            <v>33</v>
          </cell>
        </row>
        <row r="342">
          <cell r="AS342" t="str">
            <v>17031260700</v>
          </cell>
          <cell r="AT342">
            <v>1633</v>
          </cell>
          <cell r="AU342">
            <v>374</v>
          </cell>
          <cell r="AV342">
            <v>150</v>
          </cell>
          <cell r="AW342">
            <v>200</v>
          </cell>
          <cell r="AX342">
            <v>0</v>
          </cell>
          <cell r="AY342">
            <v>0</v>
          </cell>
          <cell r="AZ342">
            <v>0</v>
          </cell>
          <cell r="BA342">
            <v>24</v>
          </cell>
        </row>
        <row r="343">
          <cell r="AS343" t="str">
            <v>17031260800</v>
          </cell>
          <cell r="AT343">
            <v>2328</v>
          </cell>
          <cell r="AU343">
            <v>658</v>
          </cell>
          <cell r="AV343">
            <v>406</v>
          </cell>
          <cell r="AW343">
            <v>252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S344" t="str">
            <v>17031260900</v>
          </cell>
          <cell r="AT344">
            <v>1419</v>
          </cell>
          <cell r="AU344">
            <v>428</v>
          </cell>
          <cell r="AV344">
            <v>276</v>
          </cell>
          <cell r="AW344">
            <v>64</v>
          </cell>
          <cell r="AX344">
            <v>0</v>
          </cell>
          <cell r="AY344">
            <v>0</v>
          </cell>
          <cell r="AZ344">
            <v>18</v>
          </cell>
          <cell r="BA344">
            <v>70</v>
          </cell>
        </row>
        <row r="345">
          <cell r="AS345" t="str">
            <v>17031261000</v>
          </cell>
          <cell r="AT345">
            <v>2271</v>
          </cell>
          <cell r="AU345">
            <v>938</v>
          </cell>
          <cell r="AV345">
            <v>562</v>
          </cell>
          <cell r="AW345">
            <v>299</v>
          </cell>
          <cell r="AX345">
            <v>0</v>
          </cell>
          <cell r="AY345">
            <v>0</v>
          </cell>
          <cell r="AZ345">
            <v>13</v>
          </cell>
          <cell r="BA345">
            <v>64</v>
          </cell>
        </row>
        <row r="346">
          <cell r="AS346" t="str">
            <v>17031270500</v>
          </cell>
          <cell r="AT346">
            <v>1285</v>
          </cell>
          <cell r="AU346">
            <v>372</v>
          </cell>
          <cell r="AV346">
            <v>219</v>
          </cell>
          <cell r="AW346">
            <v>132</v>
          </cell>
          <cell r="AX346">
            <v>0</v>
          </cell>
          <cell r="AY346">
            <v>0</v>
          </cell>
          <cell r="AZ346">
            <v>21</v>
          </cell>
          <cell r="BA346">
            <v>0</v>
          </cell>
        </row>
        <row r="347">
          <cell r="AS347" t="str">
            <v>17031271200</v>
          </cell>
          <cell r="AT347">
            <v>1273</v>
          </cell>
          <cell r="AU347">
            <v>453</v>
          </cell>
          <cell r="AV347">
            <v>261</v>
          </cell>
          <cell r="AW347">
            <v>161</v>
          </cell>
          <cell r="AX347">
            <v>0</v>
          </cell>
          <cell r="AY347">
            <v>16</v>
          </cell>
          <cell r="AZ347">
            <v>10</v>
          </cell>
          <cell r="BA347">
            <v>5</v>
          </cell>
        </row>
        <row r="348">
          <cell r="AS348" t="str">
            <v>17031271300</v>
          </cell>
          <cell r="AT348">
            <v>1122</v>
          </cell>
          <cell r="AU348">
            <v>391</v>
          </cell>
          <cell r="AV348">
            <v>243</v>
          </cell>
          <cell r="AW348">
            <v>113</v>
          </cell>
          <cell r="AX348">
            <v>5</v>
          </cell>
          <cell r="AY348">
            <v>0</v>
          </cell>
          <cell r="AZ348">
            <v>20</v>
          </cell>
          <cell r="BA348">
            <v>10</v>
          </cell>
        </row>
        <row r="349">
          <cell r="AS349" t="str">
            <v>17031271400</v>
          </cell>
          <cell r="AT349">
            <v>1228</v>
          </cell>
          <cell r="AU349">
            <v>340</v>
          </cell>
          <cell r="AV349">
            <v>147</v>
          </cell>
          <cell r="AW349">
            <v>111</v>
          </cell>
          <cell r="AX349">
            <v>17</v>
          </cell>
          <cell r="AY349">
            <v>0</v>
          </cell>
          <cell r="AZ349">
            <v>31</v>
          </cell>
          <cell r="BA349">
            <v>34</v>
          </cell>
        </row>
        <row r="350">
          <cell r="AS350" t="str">
            <v>17031271500</v>
          </cell>
          <cell r="AT350">
            <v>1531</v>
          </cell>
          <cell r="AU350">
            <v>544</v>
          </cell>
          <cell r="AV350">
            <v>488</v>
          </cell>
          <cell r="AW350">
            <v>56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</row>
        <row r="351">
          <cell r="AS351" t="str">
            <v>17031271800</v>
          </cell>
          <cell r="AT351">
            <v>459</v>
          </cell>
          <cell r="AU351">
            <v>170</v>
          </cell>
          <cell r="AV351">
            <v>98</v>
          </cell>
          <cell r="AW351">
            <v>72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</row>
        <row r="352">
          <cell r="AS352" t="str">
            <v>17031280100</v>
          </cell>
          <cell r="AT352">
            <v>6725</v>
          </cell>
          <cell r="AU352">
            <v>5766</v>
          </cell>
          <cell r="AV352">
            <v>1149</v>
          </cell>
          <cell r="AW352">
            <v>700</v>
          </cell>
          <cell r="AX352">
            <v>101</v>
          </cell>
          <cell r="AY352">
            <v>44</v>
          </cell>
          <cell r="AZ352">
            <v>2927</v>
          </cell>
          <cell r="BA352">
            <v>845</v>
          </cell>
        </row>
        <row r="353">
          <cell r="AS353" t="str">
            <v>17031280400</v>
          </cell>
          <cell r="AT353">
            <v>1371</v>
          </cell>
          <cell r="AU353">
            <v>739</v>
          </cell>
          <cell r="AV353">
            <v>334</v>
          </cell>
          <cell r="AW353">
            <v>264</v>
          </cell>
          <cell r="AX353">
            <v>7</v>
          </cell>
          <cell r="AY353">
            <v>7</v>
          </cell>
          <cell r="AZ353">
            <v>92</v>
          </cell>
          <cell r="BA353">
            <v>35</v>
          </cell>
        </row>
        <row r="354">
          <cell r="AS354" t="str">
            <v>17031280800</v>
          </cell>
          <cell r="AT354">
            <v>809</v>
          </cell>
          <cell r="AU354">
            <v>327</v>
          </cell>
          <cell r="AV354">
            <v>135</v>
          </cell>
          <cell r="AW354">
            <v>124</v>
          </cell>
          <cell r="AX354">
            <v>0</v>
          </cell>
          <cell r="AY354">
            <v>0</v>
          </cell>
          <cell r="AZ354">
            <v>68</v>
          </cell>
          <cell r="BA354">
            <v>0</v>
          </cell>
        </row>
        <row r="355">
          <cell r="AS355" t="str">
            <v>17031280900</v>
          </cell>
          <cell r="AT355">
            <v>782</v>
          </cell>
          <cell r="AU355">
            <v>281</v>
          </cell>
          <cell r="AV355">
            <v>126</v>
          </cell>
          <cell r="AW355">
            <v>64</v>
          </cell>
          <cell r="AX355">
            <v>14</v>
          </cell>
          <cell r="AY355">
            <v>0</v>
          </cell>
          <cell r="AZ355">
            <v>0</v>
          </cell>
          <cell r="BA355">
            <v>77</v>
          </cell>
        </row>
        <row r="356">
          <cell r="AS356" t="str">
            <v>17031281900</v>
          </cell>
          <cell r="AT356">
            <v>6487</v>
          </cell>
          <cell r="AU356">
            <v>4820</v>
          </cell>
          <cell r="AV356">
            <v>1115</v>
          </cell>
          <cell r="AW356">
            <v>745</v>
          </cell>
          <cell r="AX356">
            <v>0</v>
          </cell>
          <cell r="AY356">
            <v>72</v>
          </cell>
          <cell r="AZ356">
            <v>2178</v>
          </cell>
          <cell r="BA356">
            <v>710</v>
          </cell>
        </row>
        <row r="357">
          <cell r="AS357" t="str">
            <v>17031282700</v>
          </cell>
          <cell r="AT357">
            <v>2042</v>
          </cell>
          <cell r="AU357">
            <v>1124</v>
          </cell>
          <cell r="AV357">
            <v>635</v>
          </cell>
          <cell r="AW357">
            <v>302</v>
          </cell>
          <cell r="AX357">
            <v>74</v>
          </cell>
          <cell r="AY357">
            <v>14</v>
          </cell>
          <cell r="AZ357">
            <v>73</v>
          </cell>
          <cell r="BA357">
            <v>26</v>
          </cell>
        </row>
        <row r="358">
          <cell r="AS358" t="str">
            <v>17031282800</v>
          </cell>
          <cell r="AT358">
            <v>1627</v>
          </cell>
          <cell r="AU358">
            <v>812</v>
          </cell>
          <cell r="AV358">
            <v>345</v>
          </cell>
          <cell r="AW358">
            <v>285</v>
          </cell>
          <cell r="AX358">
            <v>0</v>
          </cell>
          <cell r="AY358">
            <v>13</v>
          </cell>
          <cell r="AZ358">
            <v>93</v>
          </cell>
          <cell r="BA358">
            <v>76</v>
          </cell>
        </row>
        <row r="359">
          <cell r="AS359" t="str">
            <v>17031283100</v>
          </cell>
          <cell r="AT359">
            <v>3091</v>
          </cell>
          <cell r="AU359">
            <v>1290</v>
          </cell>
          <cell r="AV359">
            <v>417</v>
          </cell>
          <cell r="AW359">
            <v>487</v>
          </cell>
          <cell r="AX359">
            <v>0</v>
          </cell>
          <cell r="AY359">
            <v>9</v>
          </cell>
          <cell r="AZ359">
            <v>301</v>
          </cell>
          <cell r="BA359">
            <v>76</v>
          </cell>
        </row>
        <row r="360">
          <cell r="AS360" t="str">
            <v>17031283200</v>
          </cell>
          <cell r="AT360">
            <v>1676</v>
          </cell>
          <cell r="AU360">
            <v>825</v>
          </cell>
          <cell r="AV360">
            <v>382</v>
          </cell>
          <cell r="AW360">
            <v>305</v>
          </cell>
          <cell r="AX360">
            <v>0</v>
          </cell>
          <cell r="AY360">
            <v>21</v>
          </cell>
          <cell r="AZ360">
            <v>90</v>
          </cell>
          <cell r="BA360">
            <v>27</v>
          </cell>
        </row>
        <row r="361">
          <cell r="AS361" t="str">
            <v>17031283800</v>
          </cell>
          <cell r="AT361">
            <v>3670</v>
          </cell>
          <cell r="AU361">
            <v>1930</v>
          </cell>
          <cell r="AV361">
            <v>1410</v>
          </cell>
          <cell r="AW361">
            <v>214</v>
          </cell>
          <cell r="AX361">
            <v>7</v>
          </cell>
          <cell r="AY361">
            <v>42</v>
          </cell>
          <cell r="AZ361">
            <v>88</v>
          </cell>
          <cell r="BA361">
            <v>169</v>
          </cell>
        </row>
        <row r="362">
          <cell r="AS362" t="str">
            <v>17031290900</v>
          </cell>
          <cell r="AT362">
            <v>3611</v>
          </cell>
          <cell r="AU362">
            <v>1153</v>
          </cell>
          <cell r="AV362">
            <v>667</v>
          </cell>
          <cell r="AW362">
            <v>434</v>
          </cell>
          <cell r="AX362">
            <v>30</v>
          </cell>
          <cell r="AY362">
            <v>22</v>
          </cell>
          <cell r="AZ362">
            <v>0</v>
          </cell>
          <cell r="BA362">
            <v>0</v>
          </cell>
        </row>
        <row r="363">
          <cell r="AS363" t="str">
            <v>17031291200</v>
          </cell>
          <cell r="AT363">
            <v>1959</v>
          </cell>
          <cell r="AU363">
            <v>778</v>
          </cell>
          <cell r="AV363">
            <v>586</v>
          </cell>
          <cell r="AW363">
            <v>183</v>
          </cell>
          <cell r="AX363">
            <v>9</v>
          </cell>
          <cell r="AY363">
            <v>0</v>
          </cell>
          <cell r="AZ363">
            <v>0</v>
          </cell>
          <cell r="BA363">
            <v>0</v>
          </cell>
        </row>
        <row r="364">
          <cell r="AS364" t="str">
            <v>17031291600</v>
          </cell>
          <cell r="AT364">
            <v>912</v>
          </cell>
          <cell r="AU364">
            <v>435</v>
          </cell>
          <cell r="AV364">
            <v>266</v>
          </cell>
          <cell r="AW364">
            <v>83</v>
          </cell>
          <cell r="AX364">
            <v>0</v>
          </cell>
          <cell r="AY364">
            <v>29</v>
          </cell>
          <cell r="AZ364">
            <v>27</v>
          </cell>
          <cell r="BA364">
            <v>30</v>
          </cell>
        </row>
        <row r="365">
          <cell r="AS365" t="str">
            <v>17031292200</v>
          </cell>
          <cell r="AT365">
            <v>2527</v>
          </cell>
          <cell r="AU365">
            <v>878</v>
          </cell>
          <cell r="AV365">
            <v>505</v>
          </cell>
          <cell r="AW365">
            <v>246</v>
          </cell>
          <cell r="AX365">
            <v>42</v>
          </cell>
          <cell r="AY365">
            <v>13</v>
          </cell>
          <cell r="AZ365">
            <v>0</v>
          </cell>
          <cell r="BA365">
            <v>72</v>
          </cell>
        </row>
        <row r="366">
          <cell r="AS366" t="str">
            <v>17031292400</v>
          </cell>
          <cell r="AT366">
            <v>2189</v>
          </cell>
          <cell r="AU366">
            <v>976</v>
          </cell>
          <cell r="AV366">
            <v>385</v>
          </cell>
          <cell r="AW366">
            <v>505</v>
          </cell>
          <cell r="AX366">
            <v>0</v>
          </cell>
          <cell r="AY366">
            <v>0</v>
          </cell>
          <cell r="AZ366">
            <v>10</v>
          </cell>
          <cell r="BA366">
            <v>76</v>
          </cell>
        </row>
        <row r="367">
          <cell r="AS367" t="str">
            <v>17031292500</v>
          </cell>
          <cell r="AT367">
            <v>3588</v>
          </cell>
          <cell r="AU367">
            <v>1208</v>
          </cell>
          <cell r="AV367">
            <v>789</v>
          </cell>
          <cell r="AW367">
            <v>378</v>
          </cell>
          <cell r="AX367">
            <v>0</v>
          </cell>
          <cell r="AY367">
            <v>0</v>
          </cell>
          <cell r="AZ367">
            <v>41</v>
          </cell>
          <cell r="BA367">
            <v>0</v>
          </cell>
        </row>
        <row r="368">
          <cell r="AS368" t="str">
            <v>17031300500</v>
          </cell>
          <cell r="AT368">
            <v>2793</v>
          </cell>
          <cell r="AU368">
            <v>1322</v>
          </cell>
          <cell r="AV368">
            <v>855</v>
          </cell>
          <cell r="AW368">
            <v>232</v>
          </cell>
          <cell r="AX368">
            <v>0</v>
          </cell>
          <cell r="AY368">
            <v>13</v>
          </cell>
          <cell r="AZ368">
            <v>128</v>
          </cell>
          <cell r="BA368">
            <v>94</v>
          </cell>
        </row>
        <row r="369">
          <cell r="AS369" t="str">
            <v>17031300600</v>
          </cell>
          <cell r="AT369">
            <v>2757</v>
          </cell>
          <cell r="AU369">
            <v>1117</v>
          </cell>
          <cell r="AV369">
            <v>802</v>
          </cell>
          <cell r="AW369">
            <v>297</v>
          </cell>
          <cell r="AX369">
            <v>0</v>
          </cell>
          <cell r="AY369">
            <v>0</v>
          </cell>
          <cell r="AZ369">
            <v>6</v>
          </cell>
          <cell r="BA369">
            <v>12</v>
          </cell>
        </row>
        <row r="370">
          <cell r="AS370" t="str">
            <v>17031300700</v>
          </cell>
          <cell r="AT370">
            <v>4572</v>
          </cell>
          <cell r="AU370">
            <v>2330</v>
          </cell>
          <cell r="AV370">
            <v>1707</v>
          </cell>
          <cell r="AW370">
            <v>450</v>
          </cell>
          <cell r="AX370">
            <v>0</v>
          </cell>
          <cell r="AY370">
            <v>0</v>
          </cell>
          <cell r="AZ370">
            <v>51</v>
          </cell>
          <cell r="BA370">
            <v>122</v>
          </cell>
        </row>
        <row r="371">
          <cell r="AS371" t="str">
            <v>17031300800</v>
          </cell>
          <cell r="AT371">
            <v>3973</v>
          </cell>
          <cell r="AU371">
            <v>1361</v>
          </cell>
          <cell r="AV371">
            <v>805</v>
          </cell>
          <cell r="AW371">
            <v>420</v>
          </cell>
          <cell r="AX371">
            <v>37</v>
          </cell>
          <cell r="AY371">
            <v>7</v>
          </cell>
          <cell r="AZ371">
            <v>71</v>
          </cell>
          <cell r="BA371">
            <v>21</v>
          </cell>
        </row>
        <row r="372">
          <cell r="AS372" t="str">
            <v>17031300900</v>
          </cell>
          <cell r="AT372">
            <v>4016</v>
          </cell>
          <cell r="AU372">
            <v>1374</v>
          </cell>
          <cell r="AV372">
            <v>990</v>
          </cell>
          <cell r="AW372">
            <v>308</v>
          </cell>
          <cell r="AX372">
            <v>0</v>
          </cell>
          <cell r="AY372">
            <v>0</v>
          </cell>
          <cell r="AZ372">
            <v>57</v>
          </cell>
          <cell r="BA372">
            <v>19</v>
          </cell>
        </row>
        <row r="373">
          <cell r="AS373" t="str">
            <v>17031301100</v>
          </cell>
          <cell r="AT373">
            <v>2148</v>
          </cell>
          <cell r="AU373">
            <v>887</v>
          </cell>
          <cell r="AV373">
            <v>487</v>
          </cell>
          <cell r="AW373">
            <v>208</v>
          </cell>
          <cell r="AX373">
            <v>0</v>
          </cell>
          <cell r="AY373">
            <v>92</v>
          </cell>
          <cell r="AZ373">
            <v>47</v>
          </cell>
          <cell r="BA373">
            <v>53</v>
          </cell>
        </row>
        <row r="374">
          <cell r="AS374" t="str">
            <v>17031301200</v>
          </cell>
          <cell r="AT374">
            <v>4654</v>
          </cell>
          <cell r="AU374">
            <v>1700</v>
          </cell>
          <cell r="AV374">
            <v>1020</v>
          </cell>
          <cell r="AW374">
            <v>367</v>
          </cell>
          <cell r="AX374">
            <v>28</v>
          </cell>
          <cell r="AY374">
            <v>0</v>
          </cell>
          <cell r="AZ374">
            <v>195</v>
          </cell>
          <cell r="BA374">
            <v>90</v>
          </cell>
        </row>
        <row r="375">
          <cell r="AS375" t="str">
            <v>17031301600</v>
          </cell>
          <cell r="AT375">
            <v>3754</v>
          </cell>
          <cell r="AU375">
            <v>1245</v>
          </cell>
          <cell r="AV375">
            <v>932</v>
          </cell>
          <cell r="AW375">
            <v>250</v>
          </cell>
          <cell r="AX375">
            <v>0</v>
          </cell>
          <cell r="AY375">
            <v>0</v>
          </cell>
          <cell r="AZ375">
            <v>63</v>
          </cell>
          <cell r="BA375">
            <v>0</v>
          </cell>
        </row>
        <row r="376">
          <cell r="AS376" t="str">
            <v>17031301701</v>
          </cell>
          <cell r="AT376">
            <v>4099</v>
          </cell>
          <cell r="AU376">
            <v>2009</v>
          </cell>
          <cell r="AV376">
            <v>1611</v>
          </cell>
          <cell r="AW376">
            <v>325</v>
          </cell>
          <cell r="AX376">
            <v>0</v>
          </cell>
          <cell r="AY376">
            <v>0</v>
          </cell>
          <cell r="AZ376">
            <v>73</v>
          </cell>
          <cell r="BA376">
            <v>0</v>
          </cell>
        </row>
        <row r="377">
          <cell r="AS377" t="str">
            <v>17031301702</v>
          </cell>
          <cell r="AT377">
            <v>3961</v>
          </cell>
          <cell r="AU377">
            <v>1710</v>
          </cell>
          <cell r="AV377">
            <v>1214</v>
          </cell>
          <cell r="AW377">
            <v>305</v>
          </cell>
          <cell r="AX377">
            <v>0</v>
          </cell>
          <cell r="AY377">
            <v>23</v>
          </cell>
          <cell r="AZ377">
            <v>126</v>
          </cell>
          <cell r="BA377">
            <v>42</v>
          </cell>
        </row>
        <row r="378">
          <cell r="AS378" t="str">
            <v>17031301801</v>
          </cell>
          <cell r="AT378">
            <v>4437</v>
          </cell>
          <cell r="AU378">
            <v>1518</v>
          </cell>
          <cell r="AV378">
            <v>1130</v>
          </cell>
          <cell r="AW378">
            <v>42</v>
          </cell>
          <cell r="AX378">
            <v>80</v>
          </cell>
          <cell r="AY378">
            <v>13</v>
          </cell>
          <cell r="AZ378">
            <v>175</v>
          </cell>
          <cell r="BA378">
            <v>78</v>
          </cell>
        </row>
        <row r="379">
          <cell r="AS379" t="str">
            <v>17031301802</v>
          </cell>
          <cell r="AT379">
            <v>2746</v>
          </cell>
          <cell r="AU379">
            <v>1115</v>
          </cell>
          <cell r="AV379">
            <v>829</v>
          </cell>
          <cell r="AW379">
            <v>162</v>
          </cell>
          <cell r="AX379">
            <v>0</v>
          </cell>
          <cell r="AY379">
            <v>17</v>
          </cell>
          <cell r="AZ379">
            <v>60</v>
          </cell>
          <cell r="BA379">
            <v>47</v>
          </cell>
        </row>
        <row r="380">
          <cell r="AS380" t="str">
            <v>17031301803</v>
          </cell>
          <cell r="AT380">
            <v>3547</v>
          </cell>
          <cell r="AU380">
            <v>1652</v>
          </cell>
          <cell r="AV380">
            <v>1254</v>
          </cell>
          <cell r="AW380">
            <v>220</v>
          </cell>
          <cell r="AX380">
            <v>0</v>
          </cell>
          <cell r="AY380">
            <v>12</v>
          </cell>
          <cell r="AZ380">
            <v>55</v>
          </cell>
          <cell r="BA380">
            <v>111</v>
          </cell>
        </row>
        <row r="381">
          <cell r="AS381" t="str">
            <v>17031310200</v>
          </cell>
          <cell r="AT381">
            <v>1697</v>
          </cell>
          <cell r="AU381">
            <v>1034</v>
          </cell>
          <cell r="AV381">
            <v>561</v>
          </cell>
          <cell r="AW381">
            <v>128</v>
          </cell>
          <cell r="AX381">
            <v>74</v>
          </cell>
          <cell r="AY381">
            <v>94</v>
          </cell>
          <cell r="AZ381">
            <v>20</v>
          </cell>
          <cell r="BA381">
            <v>157</v>
          </cell>
        </row>
        <row r="382">
          <cell r="AS382" t="str">
            <v>17031310300</v>
          </cell>
          <cell r="AT382">
            <v>1891</v>
          </cell>
          <cell r="AU382">
            <v>910</v>
          </cell>
          <cell r="AV382">
            <v>573</v>
          </cell>
          <cell r="AW382">
            <v>94</v>
          </cell>
          <cell r="AX382">
            <v>39</v>
          </cell>
          <cell r="AY382">
            <v>52</v>
          </cell>
          <cell r="AZ382">
            <v>58</v>
          </cell>
          <cell r="BA382">
            <v>94</v>
          </cell>
        </row>
        <row r="383">
          <cell r="AS383" t="str">
            <v>17031310400</v>
          </cell>
          <cell r="AT383">
            <v>1061</v>
          </cell>
          <cell r="AU383">
            <v>743</v>
          </cell>
          <cell r="AV383">
            <v>374</v>
          </cell>
          <cell r="AW383">
            <v>206</v>
          </cell>
          <cell r="AX383">
            <v>0</v>
          </cell>
          <cell r="AY383">
            <v>21</v>
          </cell>
          <cell r="AZ383">
            <v>13</v>
          </cell>
          <cell r="BA383">
            <v>129</v>
          </cell>
        </row>
        <row r="384">
          <cell r="AS384" t="str">
            <v>17031310500</v>
          </cell>
          <cell r="AT384">
            <v>1434</v>
          </cell>
          <cell r="AU384">
            <v>697</v>
          </cell>
          <cell r="AV384">
            <v>361</v>
          </cell>
          <cell r="AW384">
            <v>212</v>
          </cell>
          <cell r="AX384">
            <v>0</v>
          </cell>
          <cell r="AY384">
            <v>59</v>
          </cell>
          <cell r="AZ384">
            <v>30</v>
          </cell>
          <cell r="BA384">
            <v>35</v>
          </cell>
        </row>
        <row r="385">
          <cell r="AS385" t="str">
            <v>17031310600</v>
          </cell>
          <cell r="AT385">
            <v>4780</v>
          </cell>
          <cell r="AU385">
            <v>2763</v>
          </cell>
          <cell r="AV385">
            <v>1247</v>
          </cell>
          <cell r="AW385">
            <v>749</v>
          </cell>
          <cell r="AX385">
            <v>60</v>
          </cell>
          <cell r="AY385">
            <v>402</v>
          </cell>
          <cell r="AZ385">
            <v>193</v>
          </cell>
          <cell r="BA385">
            <v>112</v>
          </cell>
        </row>
        <row r="386">
          <cell r="AS386" t="str">
            <v>17031310700</v>
          </cell>
          <cell r="AT386">
            <v>1322</v>
          </cell>
          <cell r="AU386">
            <v>681</v>
          </cell>
          <cell r="AV386">
            <v>311</v>
          </cell>
          <cell r="AW386">
            <v>265</v>
          </cell>
          <cell r="AX386">
            <v>0</v>
          </cell>
          <cell r="AY386">
            <v>55</v>
          </cell>
          <cell r="AZ386">
            <v>30</v>
          </cell>
          <cell r="BA386">
            <v>20</v>
          </cell>
        </row>
        <row r="387">
          <cell r="AS387" t="str">
            <v>17031310800</v>
          </cell>
          <cell r="AT387">
            <v>4272</v>
          </cell>
          <cell r="AU387">
            <v>2328</v>
          </cell>
          <cell r="AV387">
            <v>1222</v>
          </cell>
          <cell r="AW387">
            <v>868</v>
          </cell>
          <cell r="AX387">
            <v>23</v>
          </cell>
          <cell r="AY387">
            <v>72</v>
          </cell>
          <cell r="AZ387">
            <v>97</v>
          </cell>
          <cell r="BA387">
            <v>46</v>
          </cell>
        </row>
        <row r="388">
          <cell r="AS388" t="str">
            <v>17031310900</v>
          </cell>
          <cell r="AT388">
            <v>4983</v>
          </cell>
          <cell r="AU388">
            <v>2798</v>
          </cell>
          <cell r="AV388">
            <v>1152</v>
          </cell>
          <cell r="AW388">
            <v>1016</v>
          </cell>
          <cell r="AX388">
            <v>29</v>
          </cell>
          <cell r="AY388">
            <v>232</v>
          </cell>
          <cell r="AZ388">
            <v>185</v>
          </cell>
          <cell r="BA388">
            <v>184</v>
          </cell>
        </row>
        <row r="389">
          <cell r="AS389" t="str">
            <v>17031320101</v>
          </cell>
          <cell r="AT389">
            <v>8886</v>
          </cell>
          <cell r="AU389">
            <v>5086</v>
          </cell>
          <cell r="AV389">
            <v>1323</v>
          </cell>
          <cell r="AW389">
            <v>636</v>
          </cell>
          <cell r="AX389">
            <v>207</v>
          </cell>
          <cell r="AY389">
            <v>102</v>
          </cell>
          <cell r="AZ389">
            <v>1829</v>
          </cell>
          <cell r="BA389">
            <v>989</v>
          </cell>
        </row>
        <row r="390">
          <cell r="AS390" t="str">
            <v>17031320102</v>
          </cell>
          <cell r="AT390">
            <v>4356</v>
          </cell>
          <cell r="AU390">
            <v>3072</v>
          </cell>
          <cell r="AV390">
            <v>313</v>
          </cell>
          <cell r="AW390">
            <v>931</v>
          </cell>
          <cell r="AX390">
            <v>0</v>
          </cell>
          <cell r="AY390">
            <v>0</v>
          </cell>
          <cell r="AZ390">
            <v>1256</v>
          </cell>
          <cell r="BA390">
            <v>572</v>
          </cell>
        </row>
        <row r="391">
          <cell r="AS391" t="str">
            <v>17031320400</v>
          </cell>
          <cell r="AT391">
            <v>3049</v>
          </cell>
          <cell r="AU391">
            <v>1235</v>
          </cell>
          <cell r="AV391">
            <v>199</v>
          </cell>
          <cell r="AW391">
            <v>207</v>
          </cell>
          <cell r="AX391">
            <v>19</v>
          </cell>
          <cell r="AY391">
            <v>0</v>
          </cell>
          <cell r="AZ391">
            <v>547</v>
          </cell>
          <cell r="BA391">
            <v>263</v>
          </cell>
        </row>
        <row r="392">
          <cell r="AS392" t="str">
            <v>17031320600</v>
          </cell>
          <cell r="AT392">
            <v>5094</v>
          </cell>
          <cell r="AU392">
            <v>3476</v>
          </cell>
          <cell r="AV392">
            <v>876</v>
          </cell>
          <cell r="AW392">
            <v>1038</v>
          </cell>
          <cell r="AX392">
            <v>15</v>
          </cell>
          <cell r="AY392">
            <v>106</v>
          </cell>
          <cell r="AZ392">
            <v>727</v>
          </cell>
          <cell r="BA392">
            <v>714</v>
          </cell>
        </row>
        <row r="393">
          <cell r="AS393" t="str">
            <v>17031330101</v>
          </cell>
          <cell r="AT393">
            <v>5082</v>
          </cell>
          <cell r="AU393">
            <v>3538</v>
          </cell>
          <cell r="AV393">
            <v>2502</v>
          </cell>
          <cell r="AW393">
            <v>573</v>
          </cell>
          <cell r="AX393">
            <v>106</v>
          </cell>
          <cell r="AY393">
            <v>0</v>
          </cell>
          <cell r="AZ393">
            <v>182</v>
          </cell>
          <cell r="BA393">
            <v>175</v>
          </cell>
        </row>
        <row r="394">
          <cell r="AS394" t="str">
            <v>17031330102</v>
          </cell>
          <cell r="AT394">
            <v>9396</v>
          </cell>
          <cell r="AU394">
            <v>6486</v>
          </cell>
          <cell r="AV394">
            <v>2520</v>
          </cell>
          <cell r="AW394">
            <v>2169</v>
          </cell>
          <cell r="AX394">
            <v>63</v>
          </cell>
          <cell r="AY394">
            <v>208</v>
          </cell>
          <cell r="AZ394">
            <v>395</v>
          </cell>
          <cell r="BA394">
            <v>1131</v>
          </cell>
        </row>
        <row r="395">
          <cell r="AS395" t="str">
            <v>17031330103</v>
          </cell>
          <cell r="AT395">
            <v>6969</v>
          </cell>
          <cell r="AU395">
            <v>5229</v>
          </cell>
          <cell r="AV395">
            <v>2627</v>
          </cell>
          <cell r="AW395">
            <v>1599</v>
          </cell>
          <cell r="AX395">
            <v>112</v>
          </cell>
          <cell r="AY395">
            <v>149</v>
          </cell>
          <cell r="AZ395">
            <v>39</v>
          </cell>
          <cell r="BA395">
            <v>703</v>
          </cell>
        </row>
        <row r="396">
          <cell r="AS396" t="str">
            <v>17031330200</v>
          </cell>
          <cell r="AT396">
            <v>3904</v>
          </cell>
          <cell r="AU396">
            <v>1918</v>
          </cell>
          <cell r="AV396">
            <v>949</v>
          </cell>
          <cell r="AW396">
            <v>438</v>
          </cell>
          <cell r="AX396">
            <v>41</v>
          </cell>
          <cell r="AY396">
            <v>98</v>
          </cell>
          <cell r="AZ396">
            <v>145</v>
          </cell>
          <cell r="BA396">
            <v>247</v>
          </cell>
        </row>
        <row r="397">
          <cell r="AS397" t="str">
            <v>17031340300</v>
          </cell>
          <cell r="AT397">
            <v>1915</v>
          </cell>
          <cell r="AU397">
            <v>737</v>
          </cell>
          <cell r="AV397">
            <v>447</v>
          </cell>
          <cell r="AW397">
            <v>187</v>
          </cell>
          <cell r="AX397">
            <v>0</v>
          </cell>
          <cell r="AY397">
            <v>16</v>
          </cell>
          <cell r="AZ397">
            <v>58</v>
          </cell>
          <cell r="BA397">
            <v>29</v>
          </cell>
        </row>
        <row r="398">
          <cell r="AS398" t="str">
            <v>17031340400</v>
          </cell>
          <cell r="AT398">
            <v>1750</v>
          </cell>
          <cell r="AU398">
            <v>861</v>
          </cell>
          <cell r="AV398">
            <v>468</v>
          </cell>
          <cell r="AW398">
            <v>204</v>
          </cell>
          <cell r="AX398">
            <v>0</v>
          </cell>
          <cell r="AY398">
            <v>35</v>
          </cell>
          <cell r="AZ398">
            <v>144</v>
          </cell>
          <cell r="BA398">
            <v>10</v>
          </cell>
        </row>
        <row r="399">
          <cell r="AS399" t="str">
            <v>17031340500</v>
          </cell>
          <cell r="AT399">
            <v>1535</v>
          </cell>
          <cell r="AU399">
            <v>579</v>
          </cell>
          <cell r="AV399">
            <v>335</v>
          </cell>
          <cell r="AW399">
            <v>97</v>
          </cell>
          <cell r="AX399">
            <v>0</v>
          </cell>
          <cell r="AY399">
            <v>28</v>
          </cell>
          <cell r="AZ399">
            <v>48</v>
          </cell>
          <cell r="BA399">
            <v>71</v>
          </cell>
        </row>
        <row r="400">
          <cell r="AS400" t="str">
            <v>17031340600</v>
          </cell>
          <cell r="AT400">
            <v>1036</v>
          </cell>
          <cell r="AU400">
            <v>239</v>
          </cell>
          <cell r="AV400">
            <v>118</v>
          </cell>
          <cell r="AW400">
            <v>71</v>
          </cell>
          <cell r="AX400">
            <v>0</v>
          </cell>
          <cell r="AY400">
            <v>0</v>
          </cell>
          <cell r="AZ400">
            <v>31</v>
          </cell>
          <cell r="BA400">
            <v>19</v>
          </cell>
        </row>
        <row r="401">
          <cell r="AS401" t="str">
            <v>17031350100</v>
          </cell>
          <cell r="AT401">
            <v>2562</v>
          </cell>
          <cell r="AU401">
            <v>1465</v>
          </cell>
          <cell r="AV401">
            <v>682</v>
          </cell>
          <cell r="AW401">
            <v>523</v>
          </cell>
          <cell r="AX401">
            <v>47</v>
          </cell>
          <cell r="AY401">
            <v>0</v>
          </cell>
          <cell r="AZ401">
            <v>130</v>
          </cell>
          <cell r="BA401">
            <v>83</v>
          </cell>
        </row>
        <row r="402">
          <cell r="AS402" t="str">
            <v>17031350400</v>
          </cell>
          <cell r="AT402">
            <v>2018</v>
          </cell>
          <cell r="AU402">
            <v>444</v>
          </cell>
          <cell r="AV402">
            <v>196</v>
          </cell>
          <cell r="AW402">
            <v>156</v>
          </cell>
          <cell r="AX402">
            <v>10</v>
          </cell>
          <cell r="AY402">
            <v>0</v>
          </cell>
          <cell r="AZ402">
            <v>20</v>
          </cell>
          <cell r="BA402">
            <v>62</v>
          </cell>
        </row>
        <row r="403">
          <cell r="AS403" t="str">
            <v>17031351000</v>
          </cell>
          <cell r="AT403">
            <v>3197</v>
          </cell>
          <cell r="AU403">
            <v>1811</v>
          </cell>
          <cell r="AV403">
            <v>929</v>
          </cell>
          <cell r="AW403">
            <v>639</v>
          </cell>
          <cell r="AX403">
            <v>30</v>
          </cell>
          <cell r="AY403">
            <v>0</v>
          </cell>
          <cell r="AZ403">
            <v>54</v>
          </cell>
          <cell r="BA403">
            <v>159</v>
          </cell>
        </row>
        <row r="404">
          <cell r="AS404" t="str">
            <v>17031351100</v>
          </cell>
          <cell r="AT404">
            <v>2327</v>
          </cell>
          <cell r="AU404">
            <v>510</v>
          </cell>
          <cell r="AV404">
            <v>149</v>
          </cell>
          <cell r="AW404">
            <v>220</v>
          </cell>
          <cell r="AX404">
            <v>66</v>
          </cell>
          <cell r="AY404">
            <v>0</v>
          </cell>
          <cell r="AZ404">
            <v>15</v>
          </cell>
          <cell r="BA404">
            <v>60</v>
          </cell>
        </row>
        <row r="405">
          <cell r="AS405" t="str">
            <v>17031351400</v>
          </cell>
          <cell r="AT405">
            <v>1778</v>
          </cell>
          <cell r="AU405">
            <v>416</v>
          </cell>
          <cell r="AV405">
            <v>109</v>
          </cell>
          <cell r="AW405">
            <v>190</v>
          </cell>
          <cell r="AX405">
            <v>35</v>
          </cell>
          <cell r="AY405">
            <v>11</v>
          </cell>
          <cell r="AZ405">
            <v>25</v>
          </cell>
          <cell r="BA405">
            <v>46</v>
          </cell>
        </row>
        <row r="406">
          <cell r="AS406" t="str">
            <v>17031351500</v>
          </cell>
          <cell r="AT406">
            <v>713</v>
          </cell>
          <cell r="AU406">
            <v>314</v>
          </cell>
          <cell r="AV406">
            <v>102</v>
          </cell>
          <cell r="AW406">
            <v>159</v>
          </cell>
          <cell r="AX406">
            <v>0</v>
          </cell>
          <cell r="AY406">
            <v>32</v>
          </cell>
          <cell r="AZ406">
            <v>21</v>
          </cell>
          <cell r="BA406">
            <v>0</v>
          </cell>
        </row>
        <row r="407">
          <cell r="AS407" t="str">
            <v>17031360200</v>
          </cell>
          <cell r="AT407">
            <v>1456</v>
          </cell>
          <cell r="AU407">
            <v>564</v>
          </cell>
          <cell r="AV407">
            <v>267</v>
          </cell>
          <cell r="AW407">
            <v>244</v>
          </cell>
          <cell r="AX407">
            <v>0</v>
          </cell>
          <cell r="AY407">
            <v>0</v>
          </cell>
          <cell r="AZ407">
            <v>6</v>
          </cell>
          <cell r="BA407">
            <v>47</v>
          </cell>
        </row>
        <row r="408">
          <cell r="AS408" t="str">
            <v>17031380100</v>
          </cell>
          <cell r="AT408">
            <v>1913</v>
          </cell>
          <cell r="AU408">
            <v>704</v>
          </cell>
          <cell r="AV408">
            <v>458</v>
          </cell>
          <cell r="AW408">
            <v>90</v>
          </cell>
          <cell r="AX408">
            <v>19</v>
          </cell>
          <cell r="AY408">
            <v>0</v>
          </cell>
          <cell r="AZ408">
            <v>26</v>
          </cell>
          <cell r="BA408">
            <v>111</v>
          </cell>
        </row>
        <row r="409">
          <cell r="AS409" t="str">
            <v>17031380200</v>
          </cell>
          <cell r="AT409">
            <v>1642</v>
          </cell>
          <cell r="AU409">
            <v>568</v>
          </cell>
          <cell r="AV409">
            <v>296</v>
          </cell>
          <cell r="AW409">
            <v>176</v>
          </cell>
          <cell r="AX409">
            <v>20</v>
          </cell>
          <cell r="AY409">
            <v>0</v>
          </cell>
          <cell r="AZ409">
            <v>43</v>
          </cell>
          <cell r="BA409">
            <v>33</v>
          </cell>
        </row>
        <row r="410">
          <cell r="AS410" t="str">
            <v>17031380600</v>
          </cell>
          <cell r="AT410">
            <v>3764</v>
          </cell>
          <cell r="AU410">
            <v>1515</v>
          </cell>
          <cell r="AV410">
            <v>800</v>
          </cell>
          <cell r="AW410">
            <v>515</v>
          </cell>
          <cell r="AX410">
            <v>9</v>
          </cell>
          <cell r="AY410">
            <v>0</v>
          </cell>
          <cell r="AZ410">
            <v>13</v>
          </cell>
          <cell r="BA410">
            <v>178</v>
          </cell>
        </row>
        <row r="411">
          <cell r="AS411" t="str">
            <v>17031381200</v>
          </cell>
          <cell r="AT411">
            <v>1980</v>
          </cell>
          <cell r="AU411">
            <v>871</v>
          </cell>
          <cell r="AV411">
            <v>322</v>
          </cell>
          <cell r="AW411">
            <v>393</v>
          </cell>
          <cell r="AX411">
            <v>0</v>
          </cell>
          <cell r="AY411">
            <v>30</v>
          </cell>
          <cell r="AZ411">
            <v>80</v>
          </cell>
          <cell r="BA411">
            <v>46</v>
          </cell>
        </row>
        <row r="412">
          <cell r="AS412" t="str">
            <v>17031381400</v>
          </cell>
          <cell r="AT412">
            <v>1559</v>
          </cell>
          <cell r="AU412">
            <v>595</v>
          </cell>
          <cell r="AV412">
            <v>415</v>
          </cell>
          <cell r="AW412">
            <v>159</v>
          </cell>
          <cell r="AX412">
            <v>0</v>
          </cell>
          <cell r="AY412">
            <v>0</v>
          </cell>
          <cell r="AZ412">
            <v>0</v>
          </cell>
          <cell r="BA412">
            <v>21</v>
          </cell>
        </row>
        <row r="413">
          <cell r="AS413" t="str">
            <v>17031381500</v>
          </cell>
          <cell r="AT413">
            <v>433</v>
          </cell>
          <cell r="AU413">
            <v>153</v>
          </cell>
          <cell r="AV413">
            <v>68</v>
          </cell>
          <cell r="AW413">
            <v>63</v>
          </cell>
          <cell r="AX413">
            <v>0</v>
          </cell>
          <cell r="AY413">
            <v>0</v>
          </cell>
          <cell r="AZ413">
            <v>6</v>
          </cell>
          <cell r="BA413">
            <v>16</v>
          </cell>
        </row>
        <row r="414">
          <cell r="AS414" t="str">
            <v>17031381700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</row>
        <row r="415">
          <cell r="AS415" t="str">
            <v>17031381800</v>
          </cell>
          <cell r="AT415">
            <v>1149</v>
          </cell>
          <cell r="AU415">
            <v>539</v>
          </cell>
          <cell r="AV415">
            <v>343</v>
          </cell>
          <cell r="AW415">
            <v>127</v>
          </cell>
          <cell r="AX415">
            <v>0</v>
          </cell>
          <cell r="AY415">
            <v>0</v>
          </cell>
          <cell r="AZ415">
            <v>60</v>
          </cell>
          <cell r="BA415">
            <v>9</v>
          </cell>
        </row>
        <row r="416">
          <cell r="AS416" t="str">
            <v>17031381900</v>
          </cell>
          <cell r="AT416">
            <v>1300</v>
          </cell>
          <cell r="AU416">
            <v>603</v>
          </cell>
          <cell r="AV416">
            <v>412</v>
          </cell>
          <cell r="AW416">
            <v>107</v>
          </cell>
          <cell r="AX416">
            <v>0</v>
          </cell>
          <cell r="AY416">
            <v>0</v>
          </cell>
          <cell r="AZ416">
            <v>0</v>
          </cell>
          <cell r="BA416">
            <v>84</v>
          </cell>
        </row>
        <row r="417">
          <cell r="AS417" t="str">
            <v>17031390100</v>
          </cell>
          <cell r="AT417">
            <v>1587</v>
          </cell>
          <cell r="AU417">
            <v>812</v>
          </cell>
          <cell r="AV417">
            <v>478</v>
          </cell>
          <cell r="AW417">
            <v>279</v>
          </cell>
          <cell r="AX417">
            <v>0</v>
          </cell>
          <cell r="AY417">
            <v>5</v>
          </cell>
          <cell r="AZ417">
            <v>0</v>
          </cell>
          <cell r="BA417">
            <v>50</v>
          </cell>
        </row>
        <row r="418">
          <cell r="AS418" t="str">
            <v>17031390200</v>
          </cell>
          <cell r="AT418">
            <v>2174</v>
          </cell>
          <cell r="AU418">
            <v>1125</v>
          </cell>
          <cell r="AV418">
            <v>675</v>
          </cell>
          <cell r="AW418">
            <v>197</v>
          </cell>
          <cell r="AX418">
            <v>0</v>
          </cell>
          <cell r="AY418">
            <v>20</v>
          </cell>
          <cell r="AZ418">
            <v>0</v>
          </cell>
          <cell r="BA418">
            <v>233</v>
          </cell>
        </row>
        <row r="419">
          <cell r="AS419" t="str">
            <v>17031390300</v>
          </cell>
          <cell r="AT419">
            <v>3002</v>
          </cell>
          <cell r="AU419">
            <v>930</v>
          </cell>
          <cell r="AV419">
            <v>540</v>
          </cell>
          <cell r="AW419">
            <v>313</v>
          </cell>
          <cell r="AX419">
            <v>0</v>
          </cell>
          <cell r="AY419">
            <v>0</v>
          </cell>
          <cell r="AZ419">
            <v>38</v>
          </cell>
          <cell r="BA419">
            <v>39</v>
          </cell>
        </row>
        <row r="420">
          <cell r="AS420" t="str">
            <v>17031390400</v>
          </cell>
          <cell r="AT420">
            <v>2324</v>
          </cell>
          <cell r="AU420">
            <v>789</v>
          </cell>
          <cell r="AV420">
            <v>455</v>
          </cell>
          <cell r="AW420">
            <v>142</v>
          </cell>
          <cell r="AX420">
            <v>0</v>
          </cell>
          <cell r="AY420">
            <v>13</v>
          </cell>
          <cell r="AZ420">
            <v>45</v>
          </cell>
          <cell r="BA420">
            <v>134</v>
          </cell>
        </row>
        <row r="421">
          <cell r="AS421" t="str">
            <v>17031390500</v>
          </cell>
          <cell r="AT421">
            <v>1616</v>
          </cell>
          <cell r="AU421">
            <v>801</v>
          </cell>
          <cell r="AV421">
            <v>351</v>
          </cell>
          <cell r="AW421">
            <v>246</v>
          </cell>
          <cell r="AX421">
            <v>0</v>
          </cell>
          <cell r="AY421">
            <v>25</v>
          </cell>
          <cell r="AZ421">
            <v>51</v>
          </cell>
          <cell r="BA421">
            <v>128</v>
          </cell>
        </row>
        <row r="422">
          <cell r="AS422" t="str">
            <v>17031390600</v>
          </cell>
          <cell r="AT422">
            <v>1714</v>
          </cell>
          <cell r="AU422">
            <v>818</v>
          </cell>
          <cell r="AV422">
            <v>361</v>
          </cell>
          <cell r="AW422">
            <v>234</v>
          </cell>
          <cell r="AX422">
            <v>15</v>
          </cell>
          <cell r="AY422">
            <v>46</v>
          </cell>
          <cell r="AZ422">
            <v>70</v>
          </cell>
          <cell r="BA422">
            <v>92</v>
          </cell>
        </row>
        <row r="423">
          <cell r="AS423" t="str">
            <v>17031390700</v>
          </cell>
          <cell r="AT423">
            <v>5555</v>
          </cell>
          <cell r="AU423">
            <v>2930</v>
          </cell>
          <cell r="AV423">
            <v>1090</v>
          </cell>
          <cell r="AW423">
            <v>967</v>
          </cell>
          <cell r="AX423">
            <v>20</v>
          </cell>
          <cell r="AY423">
            <v>107</v>
          </cell>
          <cell r="AZ423">
            <v>112</v>
          </cell>
          <cell r="BA423">
            <v>634</v>
          </cell>
        </row>
        <row r="424">
          <cell r="AS424" t="str">
            <v>17031400300</v>
          </cell>
          <cell r="AT424">
            <v>1274</v>
          </cell>
          <cell r="AU424">
            <v>481</v>
          </cell>
          <cell r="AV424">
            <v>207</v>
          </cell>
          <cell r="AW424">
            <v>157</v>
          </cell>
          <cell r="AX424">
            <v>0</v>
          </cell>
          <cell r="AY424">
            <v>0</v>
          </cell>
          <cell r="AZ424">
            <v>14</v>
          </cell>
          <cell r="BA424">
            <v>103</v>
          </cell>
        </row>
        <row r="425">
          <cell r="AS425" t="str">
            <v>17031400400</v>
          </cell>
          <cell r="AT425">
            <v>1964</v>
          </cell>
          <cell r="AU425">
            <v>676</v>
          </cell>
          <cell r="AV425">
            <v>322</v>
          </cell>
          <cell r="AW425">
            <v>261</v>
          </cell>
          <cell r="AX425">
            <v>0</v>
          </cell>
          <cell r="AY425">
            <v>0</v>
          </cell>
          <cell r="AZ425">
            <v>0</v>
          </cell>
          <cell r="BA425">
            <v>93</v>
          </cell>
        </row>
        <row r="426">
          <cell r="AS426" t="str">
            <v>17031400500</v>
          </cell>
          <cell r="AT426">
            <v>2110</v>
          </cell>
          <cell r="AU426">
            <v>772</v>
          </cell>
          <cell r="AV426">
            <v>446</v>
          </cell>
          <cell r="AW426">
            <v>282</v>
          </cell>
          <cell r="AX426">
            <v>0</v>
          </cell>
          <cell r="AY426">
            <v>0</v>
          </cell>
          <cell r="AZ426">
            <v>39</v>
          </cell>
          <cell r="BA426">
            <v>5</v>
          </cell>
        </row>
        <row r="427">
          <cell r="AS427" t="str">
            <v>17031400800</v>
          </cell>
          <cell r="AT427">
            <v>2166</v>
          </cell>
          <cell r="AU427">
            <v>591</v>
          </cell>
          <cell r="AV427">
            <v>255</v>
          </cell>
          <cell r="AW427">
            <v>330</v>
          </cell>
          <cell r="AX427">
            <v>0</v>
          </cell>
          <cell r="AY427">
            <v>0</v>
          </cell>
          <cell r="AZ427">
            <v>0</v>
          </cell>
          <cell r="BA427">
            <v>6</v>
          </cell>
        </row>
        <row r="428">
          <cell r="AS428" t="str">
            <v>17031410100</v>
          </cell>
          <cell r="AT428">
            <v>2148</v>
          </cell>
          <cell r="AU428">
            <v>1369</v>
          </cell>
          <cell r="AV428">
            <v>182</v>
          </cell>
          <cell r="AW428">
            <v>508</v>
          </cell>
          <cell r="AX428">
            <v>26</v>
          </cell>
          <cell r="AY428">
            <v>35</v>
          </cell>
          <cell r="AZ428">
            <v>280</v>
          </cell>
          <cell r="BA428">
            <v>338</v>
          </cell>
        </row>
        <row r="429">
          <cell r="AS429" t="str">
            <v>17031410200</v>
          </cell>
          <cell r="AT429">
            <v>1466</v>
          </cell>
          <cell r="AU429">
            <v>769</v>
          </cell>
          <cell r="AV429">
            <v>211</v>
          </cell>
          <cell r="AW429">
            <v>240</v>
          </cell>
          <cell r="AX429">
            <v>0</v>
          </cell>
          <cell r="AY429">
            <v>60</v>
          </cell>
          <cell r="AZ429">
            <v>177</v>
          </cell>
          <cell r="BA429">
            <v>81</v>
          </cell>
        </row>
        <row r="430">
          <cell r="AS430" t="str">
            <v>17031410500</v>
          </cell>
          <cell r="AT430">
            <v>2728</v>
          </cell>
          <cell r="AU430">
            <v>1681</v>
          </cell>
          <cell r="AV430">
            <v>642</v>
          </cell>
          <cell r="AW430">
            <v>548</v>
          </cell>
          <cell r="AX430">
            <v>0</v>
          </cell>
          <cell r="AY430">
            <v>104</v>
          </cell>
          <cell r="AZ430">
            <v>214</v>
          </cell>
          <cell r="BA430">
            <v>173</v>
          </cell>
        </row>
        <row r="431">
          <cell r="AS431" t="str">
            <v>17031410600</v>
          </cell>
          <cell r="AT431">
            <v>2483</v>
          </cell>
          <cell r="AU431">
            <v>1335</v>
          </cell>
          <cell r="AV431">
            <v>322</v>
          </cell>
          <cell r="AW431">
            <v>297</v>
          </cell>
          <cell r="AX431">
            <v>0</v>
          </cell>
          <cell r="AY431">
            <v>108</v>
          </cell>
          <cell r="AZ431">
            <v>373</v>
          </cell>
          <cell r="BA431">
            <v>235</v>
          </cell>
        </row>
        <row r="432">
          <cell r="AS432" t="str">
            <v>17031410700</v>
          </cell>
          <cell r="AT432">
            <v>2227</v>
          </cell>
          <cell r="AU432">
            <v>1129</v>
          </cell>
          <cell r="AV432">
            <v>267</v>
          </cell>
          <cell r="AW432">
            <v>176</v>
          </cell>
          <cell r="AX432">
            <v>11</v>
          </cell>
          <cell r="AY432">
            <v>100</v>
          </cell>
          <cell r="AZ432">
            <v>467</v>
          </cell>
          <cell r="BA432">
            <v>108</v>
          </cell>
        </row>
        <row r="433">
          <cell r="AS433" t="str">
            <v>17031410800</v>
          </cell>
          <cell r="AT433">
            <v>2920</v>
          </cell>
          <cell r="AU433">
            <v>1694</v>
          </cell>
          <cell r="AV433">
            <v>387</v>
          </cell>
          <cell r="AW433">
            <v>523</v>
          </cell>
          <cell r="AX433">
            <v>12</v>
          </cell>
          <cell r="AY433">
            <v>34</v>
          </cell>
          <cell r="AZ433">
            <v>398</v>
          </cell>
          <cell r="BA433">
            <v>340</v>
          </cell>
        </row>
        <row r="434">
          <cell r="AS434" t="str">
            <v>17031410900</v>
          </cell>
          <cell r="AT434">
            <v>3395</v>
          </cell>
          <cell r="AU434">
            <v>2043</v>
          </cell>
          <cell r="AV434">
            <v>525</v>
          </cell>
          <cell r="AW434">
            <v>576</v>
          </cell>
          <cell r="AX434">
            <v>11</v>
          </cell>
          <cell r="AY434">
            <v>95</v>
          </cell>
          <cell r="AZ434">
            <v>411</v>
          </cell>
          <cell r="BA434">
            <v>425</v>
          </cell>
        </row>
        <row r="435">
          <cell r="AS435" t="str">
            <v>17031411000</v>
          </cell>
          <cell r="AT435">
            <v>3428</v>
          </cell>
          <cell r="AU435">
            <v>1239</v>
          </cell>
          <cell r="AV435">
            <v>306</v>
          </cell>
          <cell r="AW435">
            <v>466</v>
          </cell>
          <cell r="AX435">
            <v>0</v>
          </cell>
          <cell r="AY435">
            <v>172</v>
          </cell>
          <cell r="AZ435">
            <v>195</v>
          </cell>
          <cell r="BA435">
            <v>100</v>
          </cell>
        </row>
        <row r="436">
          <cell r="AS436" t="str">
            <v>17031411100</v>
          </cell>
          <cell r="AT436">
            <v>2254</v>
          </cell>
          <cell r="AU436">
            <v>1024</v>
          </cell>
          <cell r="AV436">
            <v>188</v>
          </cell>
          <cell r="AW436">
            <v>82</v>
          </cell>
          <cell r="AX436">
            <v>0</v>
          </cell>
          <cell r="AY436">
            <v>70</v>
          </cell>
          <cell r="AZ436">
            <v>489</v>
          </cell>
          <cell r="BA436">
            <v>195</v>
          </cell>
        </row>
        <row r="437">
          <cell r="AS437" t="str">
            <v>17031411200</v>
          </cell>
          <cell r="AT437">
            <v>1678</v>
          </cell>
          <cell r="AU437">
            <v>742</v>
          </cell>
          <cell r="AV437">
            <v>203</v>
          </cell>
          <cell r="AW437">
            <v>83</v>
          </cell>
          <cell r="AX437">
            <v>0</v>
          </cell>
          <cell r="AY437">
            <v>63</v>
          </cell>
          <cell r="AZ437">
            <v>340</v>
          </cell>
          <cell r="BA437">
            <v>53</v>
          </cell>
        </row>
        <row r="438">
          <cell r="AS438" t="str">
            <v>17031420100</v>
          </cell>
          <cell r="AT438">
            <v>1526</v>
          </cell>
          <cell r="AU438">
            <v>498</v>
          </cell>
          <cell r="AV438">
            <v>287</v>
          </cell>
          <cell r="AW438">
            <v>154</v>
          </cell>
          <cell r="AX438">
            <v>0</v>
          </cell>
          <cell r="AY438">
            <v>11</v>
          </cell>
          <cell r="AZ438">
            <v>41</v>
          </cell>
          <cell r="BA438">
            <v>5</v>
          </cell>
        </row>
        <row r="439">
          <cell r="AS439" t="str">
            <v>17031420200</v>
          </cell>
          <cell r="AT439">
            <v>1626</v>
          </cell>
          <cell r="AU439">
            <v>610</v>
          </cell>
          <cell r="AV439">
            <v>189</v>
          </cell>
          <cell r="AW439">
            <v>215</v>
          </cell>
          <cell r="AX439">
            <v>0</v>
          </cell>
          <cell r="AY439">
            <v>0</v>
          </cell>
          <cell r="AZ439">
            <v>160</v>
          </cell>
          <cell r="BA439">
            <v>46</v>
          </cell>
        </row>
        <row r="440">
          <cell r="AS440" t="str">
            <v>17031420300</v>
          </cell>
          <cell r="AT440">
            <v>2665</v>
          </cell>
          <cell r="AU440">
            <v>895</v>
          </cell>
          <cell r="AV440">
            <v>228</v>
          </cell>
          <cell r="AW440">
            <v>248</v>
          </cell>
          <cell r="AX440">
            <v>0</v>
          </cell>
          <cell r="AY440">
            <v>25</v>
          </cell>
          <cell r="AZ440">
            <v>275</v>
          </cell>
          <cell r="BA440">
            <v>119</v>
          </cell>
        </row>
        <row r="441">
          <cell r="AS441" t="str">
            <v>17031420400</v>
          </cell>
          <cell r="AT441">
            <v>1084</v>
          </cell>
          <cell r="AU441">
            <v>380</v>
          </cell>
          <cell r="AV441">
            <v>90</v>
          </cell>
          <cell r="AW441">
            <v>47</v>
          </cell>
          <cell r="AX441">
            <v>0</v>
          </cell>
          <cell r="AY441">
            <v>7</v>
          </cell>
          <cell r="AZ441">
            <v>219</v>
          </cell>
          <cell r="BA441">
            <v>17</v>
          </cell>
        </row>
        <row r="442">
          <cell r="AS442" t="str">
            <v>17031420500</v>
          </cell>
          <cell r="AT442">
            <v>1809</v>
          </cell>
          <cell r="AU442">
            <v>647</v>
          </cell>
          <cell r="AV442">
            <v>311</v>
          </cell>
          <cell r="AW442">
            <v>200</v>
          </cell>
          <cell r="AX442">
            <v>0</v>
          </cell>
          <cell r="AY442">
            <v>0</v>
          </cell>
          <cell r="AZ442">
            <v>34</v>
          </cell>
          <cell r="BA442">
            <v>102</v>
          </cell>
        </row>
        <row r="443">
          <cell r="AS443" t="str">
            <v>17031420600</v>
          </cell>
          <cell r="AT443">
            <v>1988</v>
          </cell>
          <cell r="AU443">
            <v>714</v>
          </cell>
          <cell r="AV443">
            <v>340</v>
          </cell>
          <cell r="AW443">
            <v>260</v>
          </cell>
          <cell r="AX443">
            <v>0</v>
          </cell>
          <cell r="AY443">
            <v>15</v>
          </cell>
          <cell r="AZ443">
            <v>16</v>
          </cell>
          <cell r="BA443">
            <v>83</v>
          </cell>
        </row>
        <row r="444">
          <cell r="AS444" t="str">
            <v>17031420700</v>
          </cell>
          <cell r="AT444">
            <v>2452</v>
          </cell>
          <cell r="AU444">
            <v>790</v>
          </cell>
          <cell r="AV444">
            <v>415</v>
          </cell>
          <cell r="AW444">
            <v>225</v>
          </cell>
          <cell r="AX444">
            <v>28</v>
          </cell>
          <cell r="AY444">
            <v>9</v>
          </cell>
          <cell r="AZ444">
            <v>14</v>
          </cell>
          <cell r="BA444">
            <v>99</v>
          </cell>
        </row>
        <row r="445">
          <cell r="AS445" t="str">
            <v>17031420800</v>
          </cell>
          <cell r="AT445">
            <v>2681</v>
          </cell>
          <cell r="AU445">
            <v>942</v>
          </cell>
          <cell r="AV445">
            <v>480</v>
          </cell>
          <cell r="AW445">
            <v>348</v>
          </cell>
          <cell r="AX445">
            <v>29</v>
          </cell>
          <cell r="AY445">
            <v>6</v>
          </cell>
          <cell r="AZ445">
            <v>22</v>
          </cell>
          <cell r="BA445">
            <v>57</v>
          </cell>
        </row>
        <row r="446">
          <cell r="AS446" t="str">
            <v>17031421200</v>
          </cell>
          <cell r="AT446">
            <v>1133</v>
          </cell>
          <cell r="AU446">
            <v>423</v>
          </cell>
          <cell r="AV446">
            <v>260</v>
          </cell>
          <cell r="AW446">
            <v>138</v>
          </cell>
          <cell r="AX446">
            <v>0</v>
          </cell>
          <cell r="AY446">
            <v>0</v>
          </cell>
          <cell r="AZ446">
            <v>0</v>
          </cell>
          <cell r="BA446">
            <v>25</v>
          </cell>
        </row>
        <row r="447">
          <cell r="AS447" t="str">
            <v>17031430101</v>
          </cell>
          <cell r="AT447">
            <v>2826</v>
          </cell>
          <cell r="AU447">
            <v>1283</v>
          </cell>
          <cell r="AV447">
            <v>735</v>
          </cell>
          <cell r="AW447">
            <v>447</v>
          </cell>
          <cell r="AX447">
            <v>0</v>
          </cell>
          <cell r="AY447">
            <v>0</v>
          </cell>
          <cell r="AZ447">
            <v>0</v>
          </cell>
          <cell r="BA447">
            <v>101</v>
          </cell>
        </row>
        <row r="448">
          <cell r="AS448" t="str">
            <v>17031430102</v>
          </cell>
          <cell r="AT448">
            <v>3627</v>
          </cell>
          <cell r="AU448">
            <v>2144</v>
          </cell>
          <cell r="AV448">
            <v>1288</v>
          </cell>
          <cell r="AW448">
            <v>700</v>
          </cell>
          <cell r="AX448">
            <v>0</v>
          </cell>
          <cell r="AY448">
            <v>18</v>
          </cell>
          <cell r="AZ448">
            <v>34</v>
          </cell>
          <cell r="BA448">
            <v>104</v>
          </cell>
        </row>
        <row r="449">
          <cell r="AS449" t="str">
            <v>17031430200</v>
          </cell>
          <cell r="AT449">
            <v>5220</v>
          </cell>
          <cell r="AU449">
            <v>2507</v>
          </cell>
          <cell r="AV449">
            <v>1008</v>
          </cell>
          <cell r="AW449">
            <v>1280</v>
          </cell>
          <cell r="AX449">
            <v>0</v>
          </cell>
          <cell r="AY449">
            <v>0</v>
          </cell>
          <cell r="AZ449">
            <v>203</v>
          </cell>
          <cell r="BA449">
            <v>16</v>
          </cell>
        </row>
        <row r="450">
          <cell r="AS450" t="str">
            <v>17031430300</v>
          </cell>
          <cell r="AT450">
            <v>2371</v>
          </cell>
          <cell r="AU450">
            <v>744</v>
          </cell>
          <cell r="AV450">
            <v>483</v>
          </cell>
          <cell r="AW450">
            <v>238</v>
          </cell>
          <cell r="AX450">
            <v>0</v>
          </cell>
          <cell r="AY450">
            <v>0</v>
          </cell>
          <cell r="AZ450">
            <v>0</v>
          </cell>
          <cell r="BA450">
            <v>23</v>
          </cell>
        </row>
        <row r="451">
          <cell r="AS451" t="str">
            <v>17031430400</v>
          </cell>
          <cell r="AT451">
            <v>2893</v>
          </cell>
          <cell r="AU451">
            <v>1186</v>
          </cell>
          <cell r="AV451">
            <v>659</v>
          </cell>
          <cell r="AW451">
            <v>492</v>
          </cell>
          <cell r="AX451">
            <v>0</v>
          </cell>
          <cell r="AY451">
            <v>0</v>
          </cell>
          <cell r="AZ451">
            <v>12</v>
          </cell>
          <cell r="BA451">
            <v>23</v>
          </cell>
        </row>
        <row r="452">
          <cell r="AS452" t="str">
            <v>17031430500</v>
          </cell>
          <cell r="AT452">
            <v>3427</v>
          </cell>
          <cell r="AU452">
            <v>1435</v>
          </cell>
          <cell r="AV452">
            <v>574</v>
          </cell>
          <cell r="AW452">
            <v>752</v>
          </cell>
          <cell r="AX452">
            <v>0</v>
          </cell>
          <cell r="AY452">
            <v>0</v>
          </cell>
          <cell r="AZ452">
            <v>1</v>
          </cell>
          <cell r="BA452">
            <v>108</v>
          </cell>
        </row>
        <row r="453">
          <cell r="AS453" t="str">
            <v>17031430600</v>
          </cell>
          <cell r="AT453">
            <v>2222</v>
          </cell>
          <cell r="AU453">
            <v>896</v>
          </cell>
          <cell r="AV453">
            <v>389</v>
          </cell>
          <cell r="AW453">
            <v>410</v>
          </cell>
          <cell r="AX453">
            <v>0</v>
          </cell>
          <cell r="AY453">
            <v>0</v>
          </cell>
          <cell r="AZ453">
            <v>3</v>
          </cell>
          <cell r="BA453">
            <v>94</v>
          </cell>
        </row>
        <row r="454">
          <cell r="AS454" t="str">
            <v>17031430700</v>
          </cell>
          <cell r="AT454">
            <v>2686</v>
          </cell>
          <cell r="AU454">
            <v>1163</v>
          </cell>
          <cell r="AV454">
            <v>575</v>
          </cell>
          <cell r="AW454">
            <v>389</v>
          </cell>
          <cell r="AX454">
            <v>0</v>
          </cell>
          <cell r="AY454">
            <v>0</v>
          </cell>
          <cell r="AZ454">
            <v>8</v>
          </cell>
          <cell r="BA454">
            <v>191</v>
          </cell>
        </row>
        <row r="455">
          <cell r="AS455" t="str">
            <v>17031430800</v>
          </cell>
          <cell r="AT455">
            <v>1888</v>
          </cell>
          <cell r="AU455">
            <v>970</v>
          </cell>
          <cell r="AV455">
            <v>603</v>
          </cell>
          <cell r="AW455">
            <v>274</v>
          </cell>
          <cell r="AX455">
            <v>0</v>
          </cell>
          <cell r="AY455">
            <v>0</v>
          </cell>
          <cell r="AZ455">
            <v>53</v>
          </cell>
          <cell r="BA455">
            <v>40</v>
          </cell>
        </row>
        <row r="456">
          <cell r="AS456" t="str">
            <v>17031430900</v>
          </cell>
          <cell r="AT456">
            <v>1526</v>
          </cell>
          <cell r="AU456">
            <v>612</v>
          </cell>
          <cell r="AV456">
            <v>406</v>
          </cell>
          <cell r="AW456">
            <v>148</v>
          </cell>
          <cell r="AX456">
            <v>0</v>
          </cell>
          <cell r="AY456">
            <v>0</v>
          </cell>
          <cell r="AZ456">
            <v>41</v>
          </cell>
          <cell r="BA456">
            <v>17</v>
          </cell>
        </row>
        <row r="457">
          <cell r="AS457" t="str">
            <v>17031431200</v>
          </cell>
          <cell r="AT457">
            <v>2589</v>
          </cell>
          <cell r="AU457">
            <v>1339</v>
          </cell>
          <cell r="AV457">
            <v>769</v>
          </cell>
          <cell r="AW457">
            <v>494</v>
          </cell>
          <cell r="AX457">
            <v>0</v>
          </cell>
          <cell r="AY457">
            <v>0</v>
          </cell>
          <cell r="AZ457">
            <v>0</v>
          </cell>
          <cell r="BA457">
            <v>76</v>
          </cell>
        </row>
        <row r="458">
          <cell r="AS458" t="str">
            <v>17031431301</v>
          </cell>
          <cell r="AT458">
            <v>3720</v>
          </cell>
          <cell r="AU458">
            <v>1441</v>
          </cell>
          <cell r="AV458">
            <v>580</v>
          </cell>
          <cell r="AW458">
            <v>690</v>
          </cell>
          <cell r="AX458">
            <v>57</v>
          </cell>
          <cell r="AY458">
            <v>0</v>
          </cell>
          <cell r="AZ458">
            <v>0</v>
          </cell>
          <cell r="BA458">
            <v>114</v>
          </cell>
        </row>
        <row r="459">
          <cell r="AS459" t="str">
            <v>17031431302</v>
          </cell>
          <cell r="AT459">
            <v>3538</v>
          </cell>
          <cell r="AU459">
            <v>1208</v>
          </cell>
          <cell r="AV459">
            <v>636</v>
          </cell>
          <cell r="AW459">
            <v>460</v>
          </cell>
          <cell r="AX459">
            <v>0</v>
          </cell>
          <cell r="AY459">
            <v>0</v>
          </cell>
          <cell r="AZ459">
            <v>53</v>
          </cell>
          <cell r="BA459">
            <v>59</v>
          </cell>
        </row>
        <row r="460">
          <cell r="AS460" t="str">
            <v>17031431400</v>
          </cell>
          <cell r="AT460">
            <v>7068</v>
          </cell>
          <cell r="AU460">
            <v>2843</v>
          </cell>
          <cell r="AV460">
            <v>1254</v>
          </cell>
          <cell r="AW460">
            <v>1303</v>
          </cell>
          <cell r="AX460">
            <v>0</v>
          </cell>
          <cell r="AY460">
            <v>0</v>
          </cell>
          <cell r="AZ460">
            <v>114</v>
          </cell>
          <cell r="BA460">
            <v>172</v>
          </cell>
        </row>
        <row r="461">
          <cell r="AS461" t="str">
            <v>17031440101</v>
          </cell>
          <cell r="AT461">
            <v>4154</v>
          </cell>
          <cell r="AU461">
            <v>1670</v>
          </cell>
          <cell r="AV461">
            <v>786</v>
          </cell>
          <cell r="AW461">
            <v>789</v>
          </cell>
          <cell r="AX461">
            <v>0</v>
          </cell>
          <cell r="AY461">
            <v>0</v>
          </cell>
          <cell r="AZ461">
            <v>52</v>
          </cell>
          <cell r="BA461">
            <v>43</v>
          </cell>
        </row>
        <row r="462">
          <cell r="AS462" t="str">
            <v>17031440102</v>
          </cell>
          <cell r="AT462">
            <v>3359</v>
          </cell>
          <cell r="AU462">
            <v>1725</v>
          </cell>
          <cell r="AV462">
            <v>959</v>
          </cell>
          <cell r="AW462">
            <v>674</v>
          </cell>
          <cell r="AX462">
            <v>0</v>
          </cell>
          <cell r="AY462">
            <v>0</v>
          </cell>
          <cell r="AZ462">
            <v>44</v>
          </cell>
          <cell r="BA462">
            <v>48</v>
          </cell>
        </row>
        <row r="463">
          <cell r="AS463" t="str">
            <v>17031440201</v>
          </cell>
          <cell r="AT463">
            <v>5918</v>
          </cell>
          <cell r="AU463">
            <v>2188</v>
          </cell>
          <cell r="AV463">
            <v>1162</v>
          </cell>
          <cell r="AW463">
            <v>541</v>
          </cell>
          <cell r="AX463">
            <v>0</v>
          </cell>
          <cell r="AY463">
            <v>0</v>
          </cell>
          <cell r="AZ463">
            <v>0</v>
          </cell>
          <cell r="BA463">
            <v>485</v>
          </cell>
        </row>
        <row r="464">
          <cell r="AS464" t="str">
            <v>17031440202</v>
          </cell>
          <cell r="AT464">
            <v>2674</v>
          </cell>
          <cell r="AU464">
            <v>924</v>
          </cell>
          <cell r="AV464">
            <v>602</v>
          </cell>
          <cell r="AW464">
            <v>225</v>
          </cell>
          <cell r="AX464">
            <v>0</v>
          </cell>
          <cell r="AY464">
            <v>0</v>
          </cell>
          <cell r="AZ464">
            <v>11</v>
          </cell>
          <cell r="BA464">
            <v>86</v>
          </cell>
        </row>
        <row r="465">
          <cell r="AS465" t="str">
            <v>17031440300</v>
          </cell>
          <cell r="AT465">
            <v>4572</v>
          </cell>
          <cell r="AU465">
            <v>1944</v>
          </cell>
          <cell r="AV465">
            <v>1381</v>
          </cell>
          <cell r="AW465">
            <v>216</v>
          </cell>
          <cell r="AX465">
            <v>0</v>
          </cell>
          <cell r="AY465">
            <v>0</v>
          </cell>
          <cell r="AZ465">
            <v>1</v>
          </cell>
          <cell r="BA465">
            <v>346</v>
          </cell>
        </row>
        <row r="466">
          <cell r="AS466" t="str">
            <v>17031440600</v>
          </cell>
          <cell r="AT466">
            <v>1759</v>
          </cell>
          <cell r="AU466">
            <v>837</v>
          </cell>
          <cell r="AV466">
            <v>596</v>
          </cell>
          <cell r="AW466">
            <v>84</v>
          </cell>
          <cell r="AX466">
            <v>5</v>
          </cell>
          <cell r="AY466">
            <v>11</v>
          </cell>
          <cell r="AZ466">
            <v>25</v>
          </cell>
          <cell r="BA466">
            <v>116</v>
          </cell>
        </row>
        <row r="467">
          <cell r="AS467" t="str">
            <v>17031440700</v>
          </cell>
          <cell r="AT467">
            <v>1392</v>
          </cell>
          <cell r="AU467">
            <v>542</v>
          </cell>
          <cell r="AV467">
            <v>409</v>
          </cell>
          <cell r="AW467">
            <v>113</v>
          </cell>
          <cell r="AX467">
            <v>0</v>
          </cell>
          <cell r="AY467">
            <v>0</v>
          </cell>
          <cell r="AZ467">
            <v>0</v>
          </cell>
          <cell r="BA467">
            <v>20</v>
          </cell>
        </row>
        <row r="468">
          <cell r="AS468" t="str">
            <v>17031440800</v>
          </cell>
          <cell r="AT468">
            <v>1927</v>
          </cell>
          <cell r="AU468">
            <v>614</v>
          </cell>
          <cell r="AV468">
            <v>294</v>
          </cell>
          <cell r="AW468">
            <v>172</v>
          </cell>
          <cell r="AX468">
            <v>0</v>
          </cell>
          <cell r="AY468">
            <v>0</v>
          </cell>
          <cell r="AZ468">
            <v>119</v>
          </cell>
          <cell r="BA468">
            <v>29</v>
          </cell>
        </row>
        <row r="469">
          <cell r="AS469" t="str">
            <v>17031440900</v>
          </cell>
          <cell r="AT469">
            <v>2510</v>
          </cell>
          <cell r="AU469">
            <v>850</v>
          </cell>
          <cell r="AV469">
            <v>582</v>
          </cell>
          <cell r="AW469">
            <v>103</v>
          </cell>
          <cell r="AX469">
            <v>0</v>
          </cell>
          <cell r="AY469">
            <v>0</v>
          </cell>
          <cell r="AZ469">
            <v>30</v>
          </cell>
          <cell r="BA469">
            <v>135</v>
          </cell>
        </row>
        <row r="470">
          <cell r="AS470" t="str">
            <v>17031450300</v>
          </cell>
          <cell r="AT470">
            <v>3335</v>
          </cell>
          <cell r="AU470">
            <v>1413</v>
          </cell>
          <cell r="AV470">
            <v>963</v>
          </cell>
          <cell r="AW470">
            <v>328</v>
          </cell>
          <cell r="AX470">
            <v>23</v>
          </cell>
          <cell r="AY470">
            <v>0</v>
          </cell>
          <cell r="AZ470">
            <v>0</v>
          </cell>
          <cell r="BA470">
            <v>99</v>
          </cell>
        </row>
        <row r="471">
          <cell r="AS471" t="str">
            <v>17031460100</v>
          </cell>
          <cell r="AT471">
            <v>2784</v>
          </cell>
          <cell r="AU471">
            <v>1189</v>
          </cell>
          <cell r="AV471">
            <v>715</v>
          </cell>
          <cell r="AW471">
            <v>408</v>
          </cell>
          <cell r="AX471">
            <v>0</v>
          </cell>
          <cell r="AY471">
            <v>0</v>
          </cell>
          <cell r="AZ471">
            <v>1</v>
          </cell>
          <cell r="BA471">
            <v>65</v>
          </cell>
        </row>
        <row r="472">
          <cell r="AS472" t="str">
            <v>17031460200</v>
          </cell>
          <cell r="AT472">
            <v>2242</v>
          </cell>
          <cell r="AU472">
            <v>849</v>
          </cell>
          <cell r="AV472">
            <v>458</v>
          </cell>
          <cell r="AW472">
            <v>296</v>
          </cell>
          <cell r="AX472">
            <v>0</v>
          </cell>
          <cell r="AY472">
            <v>0</v>
          </cell>
          <cell r="AZ472">
            <v>71</v>
          </cell>
          <cell r="BA472">
            <v>24</v>
          </cell>
        </row>
        <row r="473">
          <cell r="AS473" t="str">
            <v>17031460301</v>
          </cell>
          <cell r="AT473">
            <v>3486</v>
          </cell>
          <cell r="AU473">
            <v>1395</v>
          </cell>
          <cell r="AV473">
            <v>751</v>
          </cell>
          <cell r="AW473">
            <v>616</v>
          </cell>
          <cell r="AX473">
            <v>0</v>
          </cell>
          <cell r="AY473">
            <v>0</v>
          </cell>
          <cell r="AZ473">
            <v>14</v>
          </cell>
          <cell r="BA473">
            <v>14</v>
          </cell>
        </row>
        <row r="474">
          <cell r="AS474" t="str">
            <v>17031460302</v>
          </cell>
          <cell r="AT474">
            <v>3593</v>
          </cell>
          <cell r="AU474">
            <v>1114</v>
          </cell>
          <cell r="AV474">
            <v>737</v>
          </cell>
          <cell r="AW474">
            <v>296</v>
          </cell>
          <cell r="AX474">
            <v>0</v>
          </cell>
          <cell r="AY474">
            <v>0</v>
          </cell>
          <cell r="AZ474">
            <v>15</v>
          </cell>
          <cell r="BA474">
            <v>66</v>
          </cell>
        </row>
        <row r="475">
          <cell r="AS475" t="str">
            <v>17031460400</v>
          </cell>
          <cell r="AT475">
            <v>3492</v>
          </cell>
          <cell r="AU475">
            <v>1338</v>
          </cell>
          <cell r="AV475">
            <v>946</v>
          </cell>
          <cell r="AW475">
            <v>336</v>
          </cell>
          <cell r="AX475">
            <v>0</v>
          </cell>
          <cell r="AY475">
            <v>0</v>
          </cell>
          <cell r="AZ475">
            <v>9</v>
          </cell>
          <cell r="BA475">
            <v>47</v>
          </cell>
        </row>
        <row r="476">
          <cell r="AS476" t="str">
            <v>17031460500</v>
          </cell>
          <cell r="AT476">
            <v>6093</v>
          </cell>
          <cell r="AU476">
            <v>3179</v>
          </cell>
          <cell r="AV476">
            <v>1790</v>
          </cell>
          <cell r="AW476">
            <v>1208</v>
          </cell>
          <cell r="AX476">
            <v>0</v>
          </cell>
          <cell r="AY476">
            <v>0</v>
          </cell>
          <cell r="AZ476">
            <v>58</v>
          </cell>
          <cell r="BA476">
            <v>123</v>
          </cell>
        </row>
        <row r="477">
          <cell r="AS477" t="str">
            <v>17031460800</v>
          </cell>
          <cell r="AT477">
            <v>4230</v>
          </cell>
          <cell r="AU477">
            <v>1090</v>
          </cell>
          <cell r="AV477">
            <v>634</v>
          </cell>
          <cell r="AW477">
            <v>432</v>
          </cell>
          <cell r="AX477">
            <v>0</v>
          </cell>
          <cell r="AY477">
            <v>0</v>
          </cell>
          <cell r="AZ477">
            <v>1</v>
          </cell>
          <cell r="BA477">
            <v>23</v>
          </cell>
        </row>
        <row r="478">
          <cell r="AS478" t="str">
            <v>17031461000</v>
          </cell>
          <cell r="AT478">
            <v>1361</v>
          </cell>
          <cell r="AU478">
            <v>349</v>
          </cell>
          <cell r="AV478">
            <v>201</v>
          </cell>
          <cell r="AW478">
            <v>131</v>
          </cell>
          <cell r="AX478">
            <v>0</v>
          </cell>
          <cell r="AY478">
            <v>0</v>
          </cell>
          <cell r="AZ478">
            <v>17</v>
          </cell>
          <cell r="BA478">
            <v>0</v>
          </cell>
        </row>
        <row r="479">
          <cell r="AS479" t="str">
            <v>17031470100</v>
          </cell>
          <cell r="AT479">
            <v>2180</v>
          </cell>
          <cell r="AU479">
            <v>918</v>
          </cell>
          <cell r="AV479">
            <v>647</v>
          </cell>
          <cell r="AW479">
            <v>196</v>
          </cell>
          <cell r="AX479">
            <v>0</v>
          </cell>
          <cell r="AY479">
            <v>0</v>
          </cell>
          <cell r="AZ479">
            <v>0</v>
          </cell>
          <cell r="BA479">
            <v>75</v>
          </cell>
        </row>
        <row r="480">
          <cell r="AS480" t="str">
            <v>17031480100</v>
          </cell>
          <cell r="AT480">
            <v>2064</v>
          </cell>
          <cell r="AU480">
            <v>831</v>
          </cell>
          <cell r="AV480">
            <v>574</v>
          </cell>
          <cell r="AW480">
            <v>127</v>
          </cell>
          <cell r="AX480">
            <v>0</v>
          </cell>
          <cell r="AY480">
            <v>0</v>
          </cell>
          <cell r="AZ480">
            <v>25</v>
          </cell>
          <cell r="BA480">
            <v>105</v>
          </cell>
        </row>
        <row r="481">
          <cell r="AS481" t="str">
            <v>17031480200</v>
          </cell>
          <cell r="AT481">
            <v>930</v>
          </cell>
          <cell r="AU481">
            <v>424</v>
          </cell>
          <cell r="AV481">
            <v>236</v>
          </cell>
          <cell r="AW481">
            <v>92</v>
          </cell>
          <cell r="AX481">
            <v>0</v>
          </cell>
          <cell r="AY481">
            <v>0</v>
          </cell>
          <cell r="AZ481">
            <v>0</v>
          </cell>
          <cell r="BA481">
            <v>96</v>
          </cell>
        </row>
        <row r="482">
          <cell r="AS482" t="str">
            <v>17031480300</v>
          </cell>
          <cell r="AT482">
            <v>1133</v>
          </cell>
          <cell r="AU482">
            <v>448</v>
          </cell>
          <cell r="AV482">
            <v>310</v>
          </cell>
          <cell r="AW482">
            <v>98</v>
          </cell>
          <cell r="AX482">
            <v>0</v>
          </cell>
          <cell r="AY482">
            <v>0</v>
          </cell>
          <cell r="AZ482">
            <v>0</v>
          </cell>
          <cell r="BA482">
            <v>40</v>
          </cell>
        </row>
        <row r="483">
          <cell r="AS483" t="str">
            <v>17031480400</v>
          </cell>
          <cell r="AT483">
            <v>5309</v>
          </cell>
          <cell r="AU483">
            <v>2825</v>
          </cell>
          <cell r="AV483">
            <v>1800</v>
          </cell>
          <cell r="AW483">
            <v>449</v>
          </cell>
          <cell r="AX483">
            <v>0</v>
          </cell>
          <cell r="AY483">
            <v>0</v>
          </cell>
          <cell r="AZ483">
            <v>37</v>
          </cell>
          <cell r="BA483">
            <v>539</v>
          </cell>
        </row>
        <row r="484">
          <cell r="AS484" t="str">
            <v>17031480500</v>
          </cell>
          <cell r="AT484">
            <v>2907</v>
          </cell>
          <cell r="AU484">
            <v>991</v>
          </cell>
          <cell r="AV484">
            <v>534</v>
          </cell>
          <cell r="AW484">
            <v>287</v>
          </cell>
          <cell r="AX484">
            <v>0</v>
          </cell>
          <cell r="AY484">
            <v>0</v>
          </cell>
          <cell r="AZ484">
            <v>0</v>
          </cell>
          <cell r="BA484">
            <v>170</v>
          </cell>
        </row>
        <row r="485">
          <cell r="AS485" t="str">
            <v>17031490200</v>
          </cell>
          <cell r="AT485">
            <v>3114</v>
          </cell>
          <cell r="AU485">
            <v>1356</v>
          </cell>
          <cell r="AV485">
            <v>940</v>
          </cell>
          <cell r="AW485">
            <v>282</v>
          </cell>
          <cell r="AX485">
            <v>0</v>
          </cell>
          <cell r="AY485">
            <v>0</v>
          </cell>
          <cell r="AZ485">
            <v>27</v>
          </cell>
          <cell r="BA485">
            <v>107</v>
          </cell>
        </row>
        <row r="486">
          <cell r="AS486" t="str">
            <v>17031490500</v>
          </cell>
          <cell r="AT486">
            <v>2025</v>
          </cell>
          <cell r="AU486">
            <v>632</v>
          </cell>
          <cell r="AV486">
            <v>413</v>
          </cell>
          <cell r="AW486">
            <v>143</v>
          </cell>
          <cell r="AX486">
            <v>0</v>
          </cell>
          <cell r="AY486">
            <v>0</v>
          </cell>
          <cell r="AZ486">
            <v>33</v>
          </cell>
          <cell r="BA486">
            <v>43</v>
          </cell>
        </row>
        <row r="487">
          <cell r="AS487" t="str">
            <v>17031490600</v>
          </cell>
          <cell r="AT487">
            <v>1482</v>
          </cell>
          <cell r="AU487">
            <v>497</v>
          </cell>
          <cell r="AV487">
            <v>333</v>
          </cell>
          <cell r="AW487">
            <v>57</v>
          </cell>
          <cell r="AX487">
            <v>0</v>
          </cell>
          <cell r="AY487">
            <v>0</v>
          </cell>
          <cell r="AZ487">
            <v>35</v>
          </cell>
          <cell r="BA487">
            <v>72</v>
          </cell>
        </row>
        <row r="488">
          <cell r="AS488" t="str">
            <v>17031490700</v>
          </cell>
          <cell r="AT488">
            <v>2785</v>
          </cell>
          <cell r="AU488">
            <v>993</v>
          </cell>
          <cell r="AV488">
            <v>653</v>
          </cell>
          <cell r="AW488">
            <v>284</v>
          </cell>
          <cell r="AX488">
            <v>0</v>
          </cell>
          <cell r="AY488">
            <v>0</v>
          </cell>
          <cell r="AZ488">
            <v>0</v>
          </cell>
          <cell r="BA488">
            <v>56</v>
          </cell>
        </row>
        <row r="489">
          <cell r="AS489" t="str">
            <v>17031490800</v>
          </cell>
          <cell r="AT489">
            <v>3947</v>
          </cell>
          <cell r="AU489">
            <v>1422</v>
          </cell>
          <cell r="AV489">
            <v>1037</v>
          </cell>
          <cell r="AW489">
            <v>375</v>
          </cell>
          <cell r="AX489">
            <v>0</v>
          </cell>
          <cell r="AY489">
            <v>0</v>
          </cell>
          <cell r="AZ489">
            <v>10</v>
          </cell>
          <cell r="BA489">
            <v>0</v>
          </cell>
        </row>
        <row r="490">
          <cell r="AS490" t="str">
            <v>17031490901</v>
          </cell>
          <cell r="AT490">
            <v>2928</v>
          </cell>
          <cell r="AU490">
            <v>961</v>
          </cell>
          <cell r="AV490">
            <v>569</v>
          </cell>
          <cell r="AW490">
            <v>269</v>
          </cell>
          <cell r="AX490">
            <v>0</v>
          </cell>
          <cell r="AY490">
            <v>0</v>
          </cell>
          <cell r="AZ490">
            <v>50</v>
          </cell>
          <cell r="BA490">
            <v>73</v>
          </cell>
        </row>
        <row r="491">
          <cell r="AS491" t="str">
            <v>17031490902</v>
          </cell>
          <cell r="AT491">
            <v>4565</v>
          </cell>
          <cell r="AU491">
            <v>1627</v>
          </cell>
          <cell r="AV491">
            <v>1126</v>
          </cell>
          <cell r="AW491">
            <v>359</v>
          </cell>
          <cell r="AX491">
            <v>0</v>
          </cell>
          <cell r="AY491">
            <v>0</v>
          </cell>
          <cell r="AZ491">
            <v>4</v>
          </cell>
          <cell r="BA491">
            <v>138</v>
          </cell>
        </row>
        <row r="492">
          <cell r="AS492" t="str">
            <v>17031491000</v>
          </cell>
          <cell r="AT492">
            <v>3562</v>
          </cell>
          <cell r="AU492">
            <v>925</v>
          </cell>
          <cell r="AV492">
            <v>520</v>
          </cell>
          <cell r="AW492">
            <v>348</v>
          </cell>
          <cell r="AX492">
            <v>0</v>
          </cell>
          <cell r="AY492">
            <v>0</v>
          </cell>
          <cell r="AZ492">
            <v>0</v>
          </cell>
          <cell r="BA492">
            <v>57</v>
          </cell>
        </row>
        <row r="493">
          <cell r="AS493" t="str">
            <v>17031491100</v>
          </cell>
          <cell r="AT493">
            <v>4175</v>
          </cell>
          <cell r="AU493">
            <v>1479</v>
          </cell>
          <cell r="AV493">
            <v>1067</v>
          </cell>
          <cell r="AW493">
            <v>346</v>
          </cell>
          <cell r="AX493">
            <v>0</v>
          </cell>
          <cell r="AY493">
            <v>10</v>
          </cell>
          <cell r="AZ493">
            <v>0</v>
          </cell>
          <cell r="BA493">
            <v>56</v>
          </cell>
        </row>
        <row r="494">
          <cell r="AS494" t="str">
            <v>17031491200</v>
          </cell>
          <cell r="AT494">
            <v>1962</v>
          </cell>
          <cell r="AU494">
            <v>611</v>
          </cell>
          <cell r="AV494">
            <v>483</v>
          </cell>
          <cell r="AW494">
            <v>87</v>
          </cell>
          <cell r="AX494">
            <v>14</v>
          </cell>
          <cell r="AY494">
            <v>0</v>
          </cell>
          <cell r="AZ494">
            <v>3</v>
          </cell>
          <cell r="BA494">
            <v>24</v>
          </cell>
        </row>
        <row r="495">
          <cell r="AS495" t="str">
            <v>17031491300</v>
          </cell>
          <cell r="AT495">
            <v>2436</v>
          </cell>
          <cell r="AU495">
            <v>868</v>
          </cell>
          <cell r="AV495">
            <v>574</v>
          </cell>
          <cell r="AW495">
            <v>210</v>
          </cell>
          <cell r="AX495">
            <v>0</v>
          </cell>
          <cell r="AY495">
            <v>0</v>
          </cell>
          <cell r="AZ495">
            <v>10</v>
          </cell>
          <cell r="BA495">
            <v>74</v>
          </cell>
        </row>
        <row r="496">
          <cell r="AS496" t="str">
            <v>17031491400</v>
          </cell>
          <cell r="AT496">
            <v>3455</v>
          </cell>
          <cell r="AU496">
            <v>1061</v>
          </cell>
          <cell r="AV496">
            <v>647</v>
          </cell>
          <cell r="AW496">
            <v>263</v>
          </cell>
          <cell r="AX496">
            <v>0</v>
          </cell>
          <cell r="AY496">
            <v>0</v>
          </cell>
          <cell r="AZ496">
            <v>0</v>
          </cell>
          <cell r="BA496">
            <v>151</v>
          </cell>
        </row>
        <row r="497">
          <cell r="AS497" t="str">
            <v>17031500100</v>
          </cell>
          <cell r="AT497">
            <v>3282</v>
          </cell>
          <cell r="AU497">
            <v>1853</v>
          </cell>
          <cell r="AV497">
            <v>1402</v>
          </cell>
          <cell r="AW497">
            <v>342</v>
          </cell>
          <cell r="AX497">
            <v>74</v>
          </cell>
          <cell r="AY497">
            <v>0</v>
          </cell>
          <cell r="AZ497">
            <v>0</v>
          </cell>
          <cell r="BA497">
            <v>35</v>
          </cell>
        </row>
        <row r="498">
          <cell r="AS498" t="str">
            <v>17031500200</v>
          </cell>
          <cell r="AT498">
            <v>2140</v>
          </cell>
          <cell r="AU498">
            <v>612</v>
          </cell>
          <cell r="AV498">
            <v>407</v>
          </cell>
          <cell r="AW498">
            <v>155</v>
          </cell>
          <cell r="AX498">
            <v>0</v>
          </cell>
          <cell r="AY498">
            <v>0</v>
          </cell>
          <cell r="AZ498">
            <v>8</v>
          </cell>
          <cell r="BA498">
            <v>42</v>
          </cell>
        </row>
        <row r="499">
          <cell r="AS499" t="str">
            <v>17031500300</v>
          </cell>
          <cell r="AT499">
            <v>1709</v>
          </cell>
          <cell r="AU499">
            <v>831</v>
          </cell>
          <cell r="AV499">
            <v>431</v>
          </cell>
          <cell r="AW499">
            <v>267</v>
          </cell>
          <cell r="AX499">
            <v>0</v>
          </cell>
          <cell r="AY499">
            <v>5</v>
          </cell>
          <cell r="AZ499">
            <v>34</v>
          </cell>
          <cell r="BA499">
            <v>94</v>
          </cell>
        </row>
        <row r="500">
          <cell r="AS500" t="str">
            <v>17031510100</v>
          </cell>
          <cell r="AT500">
            <v>3597</v>
          </cell>
          <cell r="AU500">
            <v>1388</v>
          </cell>
          <cell r="AV500">
            <v>922</v>
          </cell>
          <cell r="AW500">
            <v>356</v>
          </cell>
          <cell r="AX500">
            <v>0</v>
          </cell>
          <cell r="AY500">
            <v>0</v>
          </cell>
          <cell r="AZ500">
            <v>25</v>
          </cell>
          <cell r="BA500">
            <v>85</v>
          </cell>
        </row>
        <row r="501">
          <cell r="AS501" t="str">
            <v>17031510200</v>
          </cell>
          <cell r="AT501">
            <v>3709</v>
          </cell>
          <cell r="AU501">
            <v>1359</v>
          </cell>
          <cell r="AV501">
            <v>1093</v>
          </cell>
          <cell r="AW501">
            <v>214</v>
          </cell>
          <cell r="AX501">
            <v>6</v>
          </cell>
          <cell r="AY501">
            <v>0</v>
          </cell>
          <cell r="AZ501">
            <v>1</v>
          </cell>
          <cell r="BA501">
            <v>45</v>
          </cell>
        </row>
        <row r="502">
          <cell r="AS502" t="str">
            <v>17031510300</v>
          </cell>
          <cell r="AT502">
            <v>4805</v>
          </cell>
          <cell r="AU502">
            <v>1249</v>
          </cell>
          <cell r="AV502">
            <v>876</v>
          </cell>
          <cell r="AW502">
            <v>290</v>
          </cell>
          <cell r="AX502">
            <v>0</v>
          </cell>
          <cell r="AY502">
            <v>14</v>
          </cell>
          <cell r="AZ502">
            <v>0</v>
          </cell>
          <cell r="BA502">
            <v>69</v>
          </cell>
        </row>
        <row r="503">
          <cell r="AS503" t="str">
            <v>17031520100</v>
          </cell>
          <cell r="AT503">
            <v>2219</v>
          </cell>
          <cell r="AU503">
            <v>847</v>
          </cell>
          <cell r="AV503">
            <v>690</v>
          </cell>
          <cell r="AW503">
            <v>142</v>
          </cell>
          <cell r="AX503">
            <v>0</v>
          </cell>
          <cell r="AY503">
            <v>0</v>
          </cell>
          <cell r="AZ503">
            <v>0</v>
          </cell>
          <cell r="BA503">
            <v>15</v>
          </cell>
        </row>
        <row r="504">
          <cell r="AS504" t="str">
            <v>17031520200</v>
          </cell>
          <cell r="AT504">
            <v>3039</v>
          </cell>
          <cell r="AU504">
            <v>1301</v>
          </cell>
          <cell r="AV504">
            <v>982</v>
          </cell>
          <cell r="AW504">
            <v>230</v>
          </cell>
          <cell r="AX504">
            <v>0</v>
          </cell>
          <cell r="AY504">
            <v>0</v>
          </cell>
          <cell r="AZ504">
            <v>48</v>
          </cell>
          <cell r="BA504">
            <v>41</v>
          </cell>
        </row>
        <row r="505">
          <cell r="AS505" t="str">
            <v>17031520300</v>
          </cell>
          <cell r="AT505">
            <v>5528</v>
          </cell>
          <cell r="AU505">
            <v>2196</v>
          </cell>
          <cell r="AV505">
            <v>1798</v>
          </cell>
          <cell r="AW505">
            <v>261</v>
          </cell>
          <cell r="AX505">
            <v>0</v>
          </cell>
          <cell r="AY505">
            <v>0</v>
          </cell>
          <cell r="AZ505">
            <v>20</v>
          </cell>
          <cell r="BA505">
            <v>117</v>
          </cell>
        </row>
        <row r="506">
          <cell r="AS506" t="str">
            <v>17031520400</v>
          </cell>
          <cell r="AT506">
            <v>4278</v>
          </cell>
          <cell r="AU506">
            <v>1767</v>
          </cell>
          <cell r="AV506">
            <v>1515</v>
          </cell>
          <cell r="AW506">
            <v>122</v>
          </cell>
          <cell r="AX506">
            <v>0</v>
          </cell>
          <cell r="AY506">
            <v>0</v>
          </cell>
          <cell r="AZ506">
            <v>18</v>
          </cell>
          <cell r="BA506">
            <v>112</v>
          </cell>
        </row>
        <row r="507">
          <cell r="AS507" t="str">
            <v>17031520500</v>
          </cell>
          <cell r="AT507">
            <v>5208</v>
          </cell>
          <cell r="AU507">
            <v>2234</v>
          </cell>
          <cell r="AV507">
            <v>1805</v>
          </cell>
          <cell r="AW507">
            <v>245</v>
          </cell>
          <cell r="AX507">
            <v>0</v>
          </cell>
          <cell r="AY507">
            <v>0</v>
          </cell>
          <cell r="AZ507">
            <v>60</v>
          </cell>
          <cell r="BA507">
            <v>124</v>
          </cell>
        </row>
        <row r="508">
          <cell r="AS508" t="str">
            <v>17031520600</v>
          </cell>
          <cell r="AT508">
            <v>2727</v>
          </cell>
          <cell r="AU508">
            <v>989</v>
          </cell>
          <cell r="AV508">
            <v>858</v>
          </cell>
          <cell r="AW508">
            <v>92</v>
          </cell>
          <cell r="AX508">
            <v>0</v>
          </cell>
          <cell r="AY508">
            <v>0</v>
          </cell>
          <cell r="AZ508">
            <v>13</v>
          </cell>
          <cell r="BA508">
            <v>26</v>
          </cell>
        </row>
        <row r="509">
          <cell r="AS509" t="str">
            <v>17031530100</v>
          </cell>
          <cell r="AT509">
            <v>2089</v>
          </cell>
          <cell r="AU509">
            <v>888</v>
          </cell>
          <cell r="AV509">
            <v>718</v>
          </cell>
          <cell r="AW509">
            <v>124</v>
          </cell>
          <cell r="AX509">
            <v>0</v>
          </cell>
          <cell r="AY509">
            <v>0</v>
          </cell>
          <cell r="AZ509">
            <v>13</v>
          </cell>
          <cell r="BA509">
            <v>33</v>
          </cell>
        </row>
        <row r="510">
          <cell r="AS510" t="str">
            <v>17031530200</v>
          </cell>
          <cell r="AT510">
            <v>4185</v>
          </cell>
          <cell r="AU510">
            <v>1261</v>
          </cell>
          <cell r="AV510">
            <v>969</v>
          </cell>
          <cell r="AW510">
            <v>211</v>
          </cell>
          <cell r="AX510">
            <v>0</v>
          </cell>
          <cell r="AY510">
            <v>0</v>
          </cell>
          <cell r="AZ510">
            <v>26</v>
          </cell>
          <cell r="BA510">
            <v>55</v>
          </cell>
        </row>
        <row r="511">
          <cell r="AS511" t="str">
            <v>17031530300</v>
          </cell>
          <cell r="AT511">
            <v>3794</v>
          </cell>
          <cell r="AU511">
            <v>1502</v>
          </cell>
          <cell r="AV511">
            <v>1143</v>
          </cell>
          <cell r="AW511">
            <v>163</v>
          </cell>
          <cell r="AX511">
            <v>0</v>
          </cell>
          <cell r="AY511">
            <v>0</v>
          </cell>
          <cell r="AZ511">
            <v>86</v>
          </cell>
          <cell r="BA511">
            <v>110</v>
          </cell>
        </row>
        <row r="512">
          <cell r="AS512" t="str">
            <v>17031530400</v>
          </cell>
          <cell r="AT512">
            <v>2174</v>
          </cell>
          <cell r="AU512">
            <v>928</v>
          </cell>
          <cell r="AV512">
            <v>710</v>
          </cell>
          <cell r="AW512">
            <v>188</v>
          </cell>
          <cell r="AX512">
            <v>14</v>
          </cell>
          <cell r="AY512">
            <v>0</v>
          </cell>
          <cell r="AZ512">
            <v>0</v>
          </cell>
          <cell r="BA512">
            <v>16</v>
          </cell>
        </row>
        <row r="513">
          <cell r="AS513" t="str">
            <v>17031530501</v>
          </cell>
          <cell r="AT513">
            <v>5073</v>
          </cell>
          <cell r="AU513">
            <v>1929</v>
          </cell>
          <cell r="AV513">
            <v>1611</v>
          </cell>
          <cell r="AW513">
            <v>242</v>
          </cell>
          <cell r="AX513">
            <v>45</v>
          </cell>
          <cell r="AY513">
            <v>0</v>
          </cell>
          <cell r="AZ513">
            <v>0</v>
          </cell>
          <cell r="BA513">
            <v>31</v>
          </cell>
        </row>
        <row r="514">
          <cell r="AS514" t="str">
            <v>17031530502</v>
          </cell>
          <cell r="AT514">
            <v>1609</v>
          </cell>
          <cell r="AU514">
            <v>728</v>
          </cell>
          <cell r="AV514">
            <v>482</v>
          </cell>
          <cell r="AW514">
            <v>95</v>
          </cell>
          <cell r="AX514">
            <v>0</v>
          </cell>
          <cell r="AY514">
            <v>0</v>
          </cell>
          <cell r="AZ514">
            <v>0</v>
          </cell>
          <cell r="BA514">
            <v>151</v>
          </cell>
        </row>
        <row r="515">
          <cell r="AS515" t="str">
            <v>17031530503</v>
          </cell>
          <cell r="AT515">
            <v>5192</v>
          </cell>
          <cell r="AU515">
            <v>1828</v>
          </cell>
          <cell r="AV515">
            <v>1416</v>
          </cell>
          <cell r="AW515">
            <v>242</v>
          </cell>
          <cell r="AX515">
            <v>14</v>
          </cell>
          <cell r="AY515">
            <v>0</v>
          </cell>
          <cell r="AZ515">
            <v>46</v>
          </cell>
          <cell r="BA515">
            <v>110</v>
          </cell>
        </row>
        <row r="516">
          <cell r="AS516" t="str">
            <v>17031530600</v>
          </cell>
          <cell r="AT516">
            <v>2368</v>
          </cell>
          <cell r="AU516">
            <v>1057</v>
          </cell>
          <cell r="AV516">
            <v>775</v>
          </cell>
          <cell r="AW516">
            <v>145</v>
          </cell>
          <cell r="AX516">
            <v>14</v>
          </cell>
          <cell r="AY516">
            <v>0</v>
          </cell>
          <cell r="AZ516">
            <v>62</v>
          </cell>
          <cell r="BA516">
            <v>61</v>
          </cell>
        </row>
        <row r="517">
          <cell r="AS517" t="str">
            <v>17031540101</v>
          </cell>
          <cell r="AT517">
            <v>4219</v>
          </cell>
          <cell r="AU517">
            <v>1127</v>
          </cell>
          <cell r="AV517">
            <v>660</v>
          </cell>
          <cell r="AW517">
            <v>419</v>
          </cell>
          <cell r="AX517">
            <v>0</v>
          </cell>
          <cell r="AY517">
            <v>0</v>
          </cell>
          <cell r="AZ517">
            <v>19</v>
          </cell>
          <cell r="BA517">
            <v>29</v>
          </cell>
        </row>
        <row r="518">
          <cell r="AS518" t="str">
            <v>17031540102</v>
          </cell>
          <cell r="AT518">
            <v>3195</v>
          </cell>
          <cell r="AU518">
            <v>890</v>
          </cell>
          <cell r="AV518">
            <v>472</v>
          </cell>
          <cell r="AW518">
            <v>333</v>
          </cell>
          <cell r="AX518">
            <v>0</v>
          </cell>
          <cell r="AY518">
            <v>0</v>
          </cell>
          <cell r="AZ518">
            <v>46</v>
          </cell>
          <cell r="BA518">
            <v>39</v>
          </cell>
        </row>
        <row r="519">
          <cell r="AS519" t="str">
            <v>17031550100</v>
          </cell>
          <cell r="AT519">
            <v>6584</v>
          </cell>
          <cell r="AU519">
            <v>2446</v>
          </cell>
          <cell r="AV519">
            <v>2216</v>
          </cell>
          <cell r="AW519">
            <v>127</v>
          </cell>
          <cell r="AX519">
            <v>0</v>
          </cell>
          <cell r="AY519">
            <v>0</v>
          </cell>
          <cell r="AZ519">
            <v>30</v>
          </cell>
          <cell r="BA519">
            <v>73</v>
          </cell>
        </row>
        <row r="520">
          <cell r="AS520" t="str">
            <v>17031550200</v>
          </cell>
          <cell r="AT520">
            <v>2591</v>
          </cell>
          <cell r="AU520">
            <v>1152</v>
          </cell>
          <cell r="AV520">
            <v>930</v>
          </cell>
          <cell r="AW520">
            <v>113</v>
          </cell>
          <cell r="AX520">
            <v>0</v>
          </cell>
          <cell r="AY520">
            <v>0</v>
          </cell>
          <cell r="AZ520">
            <v>6</v>
          </cell>
          <cell r="BA520">
            <v>103</v>
          </cell>
        </row>
        <row r="521">
          <cell r="AS521" t="str">
            <v>17031560100</v>
          </cell>
          <cell r="AT521">
            <v>1314</v>
          </cell>
          <cell r="AU521">
            <v>465</v>
          </cell>
          <cell r="AV521">
            <v>400</v>
          </cell>
          <cell r="AW521">
            <v>30</v>
          </cell>
          <cell r="AX521">
            <v>0</v>
          </cell>
          <cell r="AY521">
            <v>0</v>
          </cell>
          <cell r="AZ521">
            <v>15</v>
          </cell>
          <cell r="BA521">
            <v>20</v>
          </cell>
        </row>
        <row r="522">
          <cell r="AS522" t="str">
            <v>17031560200</v>
          </cell>
          <cell r="AT522">
            <v>1560</v>
          </cell>
          <cell r="AU522">
            <v>516</v>
          </cell>
          <cell r="AV522">
            <v>386</v>
          </cell>
          <cell r="AW522">
            <v>130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</row>
        <row r="523">
          <cell r="AS523" t="str">
            <v>17031560300</v>
          </cell>
          <cell r="AT523">
            <v>3102</v>
          </cell>
          <cell r="AU523">
            <v>1245</v>
          </cell>
          <cell r="AV523">
            <v>1126</v>
          </cell>
          <cell r="AW523">
            <v>85</v>
          </cell>
          <cell r="AX523">
            <v>19</v>
          </cell>
          <cell r="AY523">
            <v>0</v>
          </cell>
          <cell r="AZ523">
            <v>15</v>
          </cell>
          <cell r="BA523">
            <v>0</v>
          </cell>
        </row>
        <row r="524">
          <cell r="AS524" t="str">
            <v>17031560400</v>
          </cell>
          <cell r="AT524">
            <v>1640</v>
          </cell>
          <cell r="AU524">
            <v>648</v>
          </cell>
          <cell r="AV524">
            <v>505</v>
          </cell>
          <cell r="AW524">
            <v>86</v>
          </cell>
          <cell r="AX524">
            <v>0</v>
          </cell>
          <cell r="AY524">
            <v>0</v>
          </cell>
          <cell r="AZ524">
            <v>31</v>
          </cell>
          <cell r="BA524">
            <v>26</v>
          </cell>
        </row>
        <row r="525">
          <cell r="AS525" t="str">
            <v>17031560700</v>
          </cell>
          <cell r="AT525">
            <v>3656</v>
          </cell>
          <cell r="AU525">
            <v>1757</v>
          </cell>
          <cell r="AV525">
            <v>1337</v>
          </cell>
          <cell r="AW525">
            <v>289</v>
          </cell>
          <cell r="AX525">
            <v>0</v>
          </cell>
          <cell r="AY525">
            <v>0</v>
          </cell>
          <cell r="AZ525">
            <v>92</v>
          </cell>
          <cell r="BA525">
            <v>39</v>
          </cell>
        </row>
        <row r="526">
          <cell r="AS526" t="str">
            <v>17031560800</v>
          </cell>
          <cell r="AT526">
            <v>5873</v>
          </cell>
          <cell r="AU526">
            <v>2551</v>
          </cell>
          <cell r="AV526">
            <v>1926</v>
          </cell>
          <cell r="AW526">
            <v>305</v>
          </cell>
          <cell r="AX526">
            <v>0</v>
          </cell>
          <cell r="AY526">
            <v>0</v>
          </cell>
          <cell r="AZ526">
            <v>76</v>
          </cell>
          <cell r="BA526">
            <v>244</v>
          </cell>
        </row>
        <row r="527">
          <cell r="AS527" t="str">
            <v>17031560900</v>
          </cell>
          <cell r="AT527">
            <v>5299</v>
          </cell>
          <cell r="AU527">
            <v>2685</v>
          </cell>
          <cell r="AV527">
            <v>2349</v>
          </cell>
          <cell r="AW527">
            <v>156</v>
          </cell>
          <cell r="AX527">
            <v>0</v>
          </cell>
          <cell r="AY527">
            <v>0</v>
          </cell>
          <cell r="AZ527">
            <v>55</v>
          </cell>
          <cell r="BA527">
            <v>125</v>
          </cell>
        </row>
        <row r="528">
          <cell r="AS528" t="str">
            <v>17031561000</v>
          </cell>
          <cell r="AT528">
            <v>5999</v>
          </cell>
          <cell r="AU528">
            <v>3054</v>
          </cell>
          <cell r="AV528">
            <v>2654</v>
          </cell>
          <cell r="AW528">
            <v>293</v>
          </cell>
          <cell r="AX528">
            <v>0</v>
          </cell>
          <cell r="AY528">
            <v>0</v>
          </cell>
          <cell r="AZ528">
            <v>0</v>
          </cell>
          <cell r="BA528">
            <v>107</v>
          </cell>
        </row>
        <row r="529">
          <cell r="AS529" t="str">
            <v>17031561100</v>
          </cell>
          <cell r="AT529">
            <v>5684</v>
          </cell>
          <cell r="AU529">
            <v>2997</v>
          </cell>
          <cell r="AV529">
            <v>2470</v>
          </cell>
          <cell r="AW529">
            <v>255</v>
          </cell>
          <cell r="AX529">
            <v>0</v>
          </cell>
          <cell r="AY529">
            <v>0</v>
          </cell>
          <cell r="AZ529">
            <v>67</v>
          </cell>
          <cell r="BA529">
            <v>205</v>
          </cell>
        </row>
        <row r="530">
          <cell r="AS530" t="str">
            <v>17031570100</v>
          </cell>
          <cell r="AT530">
            <v>1309</v>
          </cell>
          <cell r="AU530">
            <v>662</v>
          </cell>
          <cell r="AV530">
            <v>459</v>
          </cell>
          <cell r="AW530">
            <v>89</v>
          </cell>
          <cell r="AX530">
            <v>21</v>
          </cell>
          <cell r="AY530">
            <v>16</v>
          </cell>
          <cell r="AZ530">
            <v>27</v>
          </cell>
          <cell r="BA530">
            <v>50</v>
          </cell>
        </row>
        <row r="531">
          <cell r="AS531" t="str">
            <v>17031570200</v>
          </cell>
          <cell r="AT531">
            <v>2252</v>
          </cell>
          <cell r="AU531">
            <v>1212</v>
          </cell>
          <cell r="AV531">
            <v>991</v>
          </cell>
          <cell r="AW531">
            <v>133</v>
          </cell>
          <cell r="AX531">
            <v>0</v>
          </cell>
          <cell r="AY531">
            <v>0</v>
          </cell>
          <cell r="AZ531">
            <v>45</v>
          </cell>
          <cell r="BA531">
            <v>43</v>
          </cell>
        </row>
        <row r="532">
          <cell r="AS532" t="str">
            <v>17031570300</v>
          </cell>
          <cell r="AT532">
            <v>5790</v>
          </cell>
          <cell r="AU532">
            <v>2160</v>
          </cell>
          <cell r="AV532">
            <v>1369</v>
          </cell>
          <cell r="AW532">
            <v>615</v>
          </cell>
          <cell r="AX532">
            <v>0</v>
          </cell>
          <cell r="AY532">
            <v>6</v>
          </cell>
          <cell r="AZ532">
            <v>168</v>
          </cell>
          <cell r="BA532">
            <v>2</v>
          </cell>
        </row>
        <row r="533">
          <cell r="AS533" t="str">
            <v>17031570400</v>
          </cell>
          <cell r="AT533">
            <v>1685</v>
          </cell>
          <cell r="AU533">
            <v>818</v>
          </cell>
          <cell r="AV533">
            <v>648</v>
          </cell>
          <cell r="AW533">
            <v>127</v>
          </cell>
          <cell r="AX533">
            <v>0</v>
          </cell>
          <cell r="AY533">
            <v>7</v>
          </cell>
          <cell r="AZ533">
            <v>33</v>
          </cell>
          <cell r="BA533">
            <v>3</v>
          </cell>
        </row>
        <row r="534">
          <cell r="AS534" t="str">
            <v>17031570500</v>
          </cell>
          <cell r="AT534">
            <v>2497</v>
          </cell>
          <cell r="AU534">
            <v>946</v>
          </cell>
          <cell r="AV534">
            <v>739</v>
          </cell>
          <cell r="AW534">
            <v>181</v>
          </cell>
          <cell r="AX534">
            <v>0</v>
          </cell>
          <cell r="AY534">
            <v>0</v>
          </cell>
          <cell r="AZ534">
            <v>0</v>
          </cell>
          <cell r="BA534">
            <v>26</v>
          </cell>
        </row>
        <row r="535">
          <cell r="AS535" t="str">
            <v>17031580100</v>
          </cell>
          <cell r="AT535">
            <v>2663</v>
          </cell>
          <cell r="AU535">
            <v>976</v>
          </cell>
          <cell r="AV535">
            <v>660</v>
          </cell>
          <cell r="AW535">
            <v>214</v>
          </cell>
          <cell r="AX535">
            <v>0</v>
          </cell>
          <cell r="AY535">
            <v>0</v>
          </cell>
          <cell r="AZ535">
            <v>19</v>
          </cell>
          <cell r="BA535">
            <v>83</v>
          </cell>
        </row>
        <row r="536">
          <cell r="AS536" t="str">
            <v>17031580200</v>
          </cell>
          <cell r="AT536">
            <v>3377</v>
          </cell>
          <cell r="AU536">
            <v>1239</v>
          </cell>
          <cell r="AV536">
            <v>1090</v>
          </cell>
          <cell r="AW536">
            <v>123</v>
          </cell>
          <cell r="AX536">
            <v>0</v>
          </cell>
          <cell r="AY536">
            <v>0</v>
          </cell>
          <cell r="AZ536">
            <v>26</v>
          </cell>
          <cell r="BA536">
            <v>0</v>
          </cell>
        </row>
        <row r="537">
          <cell r="AS537" t="str">
            <v>17031580300</v>
          </cell>
          <cell r="AT537">
            <v>2524</v>
          </cell>
          <cell r="AU537">
            <v>1231</v>
          </cell>
          <cell r="AV537">
            <v>1084</v>
          </cell>
          <cell r="AW537">
            <v>113</v>
          </cell>
          <cell r="AX537">
            <v>0</v>
          </cell>
          <cell r="AY537">
            <v>11</v>
          </cell>
          <cell r="AZ537">
            <v>23</v>
          </cell>
          <cell r="BA537">
            <v>0</v>
          </cell>
        </row>
        <row r="538">
          <cell r="AS538" t="str">
            <v>17031580400</v>
          </cell>
          <cell r="AT538">
            <v>4739</v>
          </cell>
          <cell r="AU538">
            <v>2259</v>
          </cell>
          <cell r="AV538">
            <v>1772</v>
          </cell>
          <cell r="AW538">
            <v>390</v>
          </cell>
          <cell r="AX538">
            <v>0</v>
          </cell>
          <cell r="AY538">
            <v>9</v>
          </cell>
          <cell r="AZ538">
            <v>17</v>
          </cell>
          <cell r="BA538">
            <v>71</v>
          </cell>
        </row>
        <row r="539">
          <cell r="AS539" t="str">
            <v>17031580501</v>
          </cell>
          <cell r="AT539">
            <v>4580</v>
          </cell>
          <cell r="AU539">
            <v>1784</v>
          </cell>
          <cell r="AV539">
            <v>1274</v>
          </cell>
          <cell r="AW539">
            <v>432</v>
          </cell>
          <cell r="AX539">
            <v>0</v>
          </cell>
          <cell r="AY539">
            <v>0</v>
          </cell>
          <cell r="AZ539">
            <v>37</v>
          </cell>
          <cell r="BA539">
            <v>41</v>
          </cell>
        </row>
        <row r="540">
          <cell r="AS540" t="str">
            <v>17031580502</v>
          </cell>
          <cell r="AT540">
            <v>5064</v>
          </cell>
          <cell r="AU540">
            <v>2274</v>
          </cell>
          <cell r="AV540">
            <v>1616</v>
          </cell>
          <cell r="AW540">
            <v>445</v>
          </cell>
          <cell r="AX540">
            <v>0</v>
          </cell>
          <cell r="AY540">
            <v>0</v>
          </cell>
          <cell r="AZ540">
            <v>61</v>
          </cell>
          <cell r="BA540">
            <v>152</v>
          </cell>
        </row>
        <row r="541">
          <cell r="AS541" t="str">
            <v>17031580600</v>
          </cell>
          <cell r="AT541">
            <v>4691</v>
          </cell>
          <cell r="AU541">
            <v>1771</v>
          </cell>
          <cell r="AV541">
            <v>1240</v>
          </cell>
          <cell r="AW541">
            <v>354</v>
          </cell>
          <cell r="AX541">
            <v>0</v>
          </cell>
          <cell r="AY541">
            <v>0</v>
          </cell>
          <cell r="AZ541">
            <v>40</v>
          </cell>
          <cell r="BA541">
            <v>137</v>
          </cell>
        </row>
        <row r="542">
          <cell r="AS542" t="str">
            <v>17031580700</v>
          </cell>
          <cell r="AT542">
            <v>5968</v>
          </cell>
          <cell r="AU542">
            <v>2123</v>
          </cell>
          <cell r="AV542">
            <v>1486</v>
          </cell>
          <cell r="AW542">
            <v>369</v>
          </cell>
          <cell r="AX542">
            <v>51</v>
          </cell>
          <cell r="AY542">
            <v>33</v>
          </cell>
          <cell r="AZ542">
            <v>71</v>
          </cell>
          <cell r="BA542">
            <v>113</v>
          </cell>
        </row>
        <row r="543">
          <cell r="AS543" t="str">
            <v>17031580800</v>
          </cell>
          <cell r="AT543">
            <v>2206</v>
          </cell>
          <cell r="AU543">
            <v>1009</v>
          </cell>
          <cell r="AV543">
            <v>692</v>
          </cell>
          <cell r="AW543">
            <v>277</v>
          </cell>
          <cell r="AX543">
            <v>0</v>
          </cell>
          <cell r="AY543">
            <v>0</v>
          </cell>
          <cell r="AZ543">
            <v>26</v>
          </cell>
          <cell r="BA543">
            <v>14</v>
          </cell>
        </row>
        <row r="544">
          <cell r="AS544" t="str">
            <v>17031590500</v>
          </cell>
          <cell r="AT544">
            <v>1861</v>
          </cell>
          <cell r="AU544">
            <v>859</v>
          </cell>
          <cell r="AV544">
            <v>509</v>
          </cell>
          <cell r="AW544">
            <v>251</v>
          </cell>
          <cell r="AX544">
            <v>0</v>
          </cell>
          <cell r="AY544">
            <v>13</v>
          </cell>
          <cell r="AZ544">
            <v>22</v>
          </cell>
          <cell r="BA544">
            <v>64</v>
          </cell>
        </row>
        <row r="545">
          <cell r="AS545" t="str">
            <v>17031590600</v>
          </cell>
          <cell r="AT545">
            <v>3550</v>
          </cell>
          <cell r="AU545">
            <v>2046</v>
          </cell>
          <cell r="AV545">
            <v>1283</v>
          </cell>
          <cell r="AW545">
            <v>436</v>
          </cell>
          <cell r="AX545">
            <v>0</v>
          </cell>
          <cell r="AY545">
            <v>40</v>
          </cell>
          <cell r="AZ545">
            <v>78</v>
          </cell>
          <cell r="BA545">
            <v>209</v>
          </cell>
        </row>
        <row r="546">
          <cell r="AS546" t="str">
            <v>17031590700</v>
          </cell>
          <cell r="AT546">
            <v>3064</v>
          </cell>
          <cell r="AU546">
            <v>1704</v>
          </cell>
          <cell r="AV546">
            <v>1217</v>
          </cell>
          <cell r="AW546">
            <v>329</v>
          </cell>
          <cell r="AX546">
            <v>0</v>
          </cell>
          <cell r="AY546">
            <v>60</v>
          </cell>
          <cell r="AZ546">
            <v>29</v>
          </cell>
          <cell r="BA546">
            <v>69</v>
          </cell>
        </row>
        <row r="547">
          <cell r="AS547" t="str">
            <v>17031600400</v>
          </cell>
          <cell r="AT547">
            <v>3736</v>
          </cell>
          <cell r="AU547">
            <v>1943</v>
          </cell>
          <cell r="AV547">
            <v>1178</v>
          </cell>
          <cell r="AW547">
            <v>573</v>
          </cell>
          <cell r="AX547">
            <v>0</v>
          </cell>
          <cell r="AY547">
            <v>27</v>
          </cell>
          <cell r="AZ547">
            <v>58</v>
          </cell>
          <cell r="BA547">
            <v>107</v>
          </cell>
        </row>
        <row r="548">
          <cell r="AS548" t="str">
            <v>17031600600</v>
          </cell>
          <cell r="AT548">
            <v>2998</v>
          </cell>
          <cell r="AU548">
            <v>1314</v>
          </cell>
          <cell r="AV548">
            <v>913</v>
          </cell>
          <cell r="AW548">
            <v>255</v>
          </cell>
          <cell r="AX548">
            <v>6</v>
          </cell>
          <cell r="AY548">
            <v>0</v>
          </cell>
          <cell r="AZ548">
            <v>74</v>
          </cell>
          <cell r="BA548">
            <v>66</v>
          </cell>
        </row>
        <row r="549">
          <cell r="AS549" t="str">
            <v>17031600700</v>
          </cell>
          <cell r="AT549">
            <v>2786</v>
          </cell>
          <cell r="AU549">
            <v>1300</v>
          </cell>
          <cell r="AV549">
            <v>797</v>
          </cell>
          <cell r="AW549">
            <v>192</v>
          </cell>
          <cell r="AX549">
            <v>228</v>
          </cell>
          <cell r="AY549">
            <v>46</v>
          </cell>
          <cell r="AZ549">
            <v>37</v>
          </cell>
          <cell r="BA549">
            <v>0</v>
          </cell>
        </row>
        <row r="550">
          <cell r="AS550" t="str">
            <v>17031600900</v>
          </cell>
          <cell r="AT550">
            <v>3496</v>
          </cell>
          <cell r="AU550">
            <v>1922</v>
          </cell>
          <cell r="AV550">
            <v>1069</v>
          </cell>
          <cell r="AW550">
            <v>513</v>
          </cell>
          <cell r="AX550">
            <v>0</v>
          </cell>
          <cell r="AY550">
            <v>111</v>
          </cell>
          <cell r="AZ550">
            <v>133</v>
          </cell>
          <cell r="BA550">
            <v>96</v>
          </cell>
        </row>
        <row r="551">
          <cell r="AS551" t="str">
            <v>17031610300</v>
          </cell>
          <cell r="AT551">
            <v>5803</v>
          </cell>
          <cell r="AU551">
            <v>2295</v>
          </cell>
          <cell r="AV551">
            <v>1457</v>
          </cell>
          <cell r="AW551">
            <v>448</v>
          </cell>
          <cell r="AX551">
            <v>112</v>
          </cell>
          <cell r="AY551">
            <v>0</v>
          </cell>
          <cell r="AZ551">
            <v>185</v>
          </cell>
          <cell r="BA551">
            <v>93</v>
          </cell>
        </row>
        <row r="552">
          <cell r="AS552" t="str">
            <v>17031610400</v>
          </cell>
          <cell r="AT552">
            <v>1812</v>
          </cell>
          <cell r="AU552">
            <v>698</v>
          </cell>
          <cell r="AV552">
            <v>464</v>
          </cell>
          <cell r="AW552">
            <v>139</v>
          </cell>
          <cell r="AX552">
            <v>3</v>
          </cell>
          <cell r="AY552">
            <v>16</v>
          </cell>
          <cell r="AZ552">
            <v>40</v>
          </cell>
          <cell r="BA552">
            <v>36</v>
          </cell>
        </row>
        <row r="553">
          <cell r="AS553" t="str">
            <v>17031610800</v>
          </cell>
          <cell r="AT553">
            <v>1533</v>
          </cell>
          <cell r="AU553">
            <v>689</v>
          </cell>
          <cell r="AV553">
            <v>552</v>
          </cell>
          <cell r="AW553">
            <v>101</v>
          </cell>
          <cell r="AX553">
            <v>0</v>
          </cell>
          <cell r="AY553">
            <v>0</v>
          </cell>
          <cell r="AZ553">
            <v>22</v>
          </cell>
          <cell r="BA553">
            <v>14</v>
          </cell>
        </row>
        <row r="554">
          <cell r="AS554" t="str">
            <v>17031611200</v>
          </cell>
          <cell r="AT554">
            <v>2248</v>
          </cell>
          <cell r="AU554">
            <v>936</v>
          </cell>
          <cell r="AV554">
            <v>560</v>
          </cell>
          <cell r="AW554">
            <v>210</v>
          </cell>
          <cell r="AX554">
            <v>0</v>
          </cell>
          <cell r="AY554">
            <v>0</v>
          </cell>
          <cell r="AZ554">
            <v>77</v>
          </cell>
          <cell r="BA554">
            <v>89</v>
          </cell>
        </row>
        <row r="555">
          <cell r="AS555" t="str">
            <v>17031611300</v>
          </cell>
          <cell r="AT555">
            <v>2832</v>
          </cell>
          <cell r="AU555">
            <v>826</v>
          </cell>
          <cell r="AV555">
            <v>516</v>
          </cell>
          <cell r="AW555">
            <v>226</v>
          </cell>
          <cell r="AX555">
            <v>0</v>
          </cell>
          <cell r="AY555">
            <v>0</v>
          </cell>
          <cell r="AZ555">
            <v>82</v>
          </cell>
          <cell r="BA555">
            <v>2</v>
          </cell>
        </row>
        <row r="556">
          <cell r="AS556" t="str">
            <v>17031611400</v>
          </cell>
          <cell r="AT556">
            <v>2936</v>
          </cell>
          <cell r="AU556">
            <v>1149</v>
          </cell>
          <cell r="AV556">
            <v>742</v>
          </cell>
          <cell r="AW556">
            <v>338</v>
          </cell>
          <cell r="AX556">
            <v>0</v>
          </cell>
          <cell r="AY556">
            <v>0</v>
          </cell>
          <cell r="AZ556">
            <v>43</v>
          </cell>
          <cell r="BA556">
            <v>26</v>
          </cell>
        </row>
        <row r="557">
          <cell r="AS557" t="str">
            <v>17031611500</v>
          </cell>
          <cell r="AT557">
            <v>3104</v>
          </cell>
          <cell r="AU557">
            <v>1030</v>
          </cell>
          <cell r="AV557">
            <v>723</v>
          </cell>
          <cell r="AW557">
            <v>193</v>
          </cell>
          <cell r="AX557">
            <v>0</v>
          </cell>
          <cell r="AY557">
            <v>0</v>
          </cell>
          <cell r="AZ557">
            <v>84</v>
          </cell>
          <cell r="BA557">
            <v>30</v>
          </cell>
        </row>
        <row r="558">
          <cell r="AS558" t="str">
            <v>17031611600</v>
          </cell>
          <cell r="AT558">
            <v>1535</v>
          </cell>
          <cell r="AU558">
            <v>570</v>
          </cell>
          <cell r="AV558">
            <v>369</v>
          </cell>
          <cell r="AW558">
            <v>174</v>
          </cell>
          <cell r="AX558">
            <v>0</v>
          </cell>
          <cell r="AY558">
            <v>0</v>
          </cell>
          <cell r="AZ558">
            <v>0</v>
          </cell>
          <cell r="BA558">
            <v>27</v>
          </cell>
        </row>
        <row r="559">
          <cell r="AS559" t="str">
            <v>17031611700</v>
          </cell>
          <cell r="AT559">
            <v>1963</v>
          </cell>
          <cell r="AU559">
            <v>878</v>
          </cell>
          <cell r="AV559">
            <v>441</v>
          </cell>
          <cell r="AW559">
            <v>91</v>
          </cell>
          <cell r="AX559">
            <v>0</v>
          </cell>
          <cell r="AY559">
            <v>0</v>
          </cell>
          <cell r="AZ559">
            <v>0</v>
          </cell>
          <cell r="BA559">
            <v>346</v>
          </cell>
        </row>
        <row r="560">
          <cell r="AS560" t="str">
            <v>17031611800</v>
          </cell>
          <cell r="AT560">
            <v>2247</v>
          </cell>
          <cell r="AU560">
            <v>903</v>
          </cell>
          <cell r="AV560">
            <v>583</v>
          </cell>
          <cell r="AW560">
            <v>302</v>
          </cell>
          <cell r="AX560">
            <v>0</v>
          </cell>
          <cell r="AY560">
            <v>0</v>
          </cell>
          <cell r="AZ560">
            <v>0</v>
          </cell>
          <cell r="BA560">
            <v>18</v>
          </cell>
        </row>
        <row r="561">
          <cell r="AS561" t="str">
            <v>17031611900</v>
          </cell>
          <cell r="AT561">
            <v>1545</v>
          </cell>
          <cell r="AU561">
            <v>471</v>
          </cell>
          <cell r="AV561">
            <v>253</v>
          </cell>
          <cell r="AW561">
            <v>190</v>
          </cell>
          <cell r="AX561">
            <v>0</v>
          </cell>
          <cell r="AY561">
            <v>0</v>
          </cell>
          <cell r="AZ561">
            <v>0</v>
          </cell>
          <cell r="BA561">
            <v>28</v>
          </cell>
        </row>
        <row r="562">
          <cell r="AS562" t="str">
            <v>17031612000</v>
          </cell>
          <cell r="AT562">
            <v>1190</v>
          </cell>
          <cell r="AU562">
            <v>447</v>
          </cell>
          <cell r="AV562">
            <v>252</v>
          </cell>
          <cell r="AW562">
            <v>149</v>
          </cell>
          <cell r="AX562">
            <v>17</v>
          </cell>
          <cell r="AY562">
            <v>0</v>
          </cell>
          <cell r="AZ562">
            <v>17</v>
          </cell>
          <cell r="BA562">
            <v>12</v>
          </cell>
        </row>
        <row r="563">
          <cell r="AS563" t="str">
            <v>17031612100</v>
          </cell>
          <cell r="AT563">
            <v>999</v>
          </cell>
          <cell r="AU563">
            <v>269</v>
          </cell>
          <cell r="AV563">
            <v>181</v>
          </cell>
          <cell r="AW563">
            <v>80</v>
          </cell>
          <cell r="AX563">
            <v>0</v>
          </cell>
          <cell r="AY563">
            <v>0</v>
          </cell>
          <cell r="AZ563">
            <v>0</v>
          </cell>
          <cell r="BA563">
            <v>8</v>
          </cell>
        </row>
        <row r="564">
          <cell r="AS564" t="str">
            <v>17031612200</v>
          </cell>
          <cell r="AT564">
            <v>3678</v>
          </cell>
          <cell r="AU564">
            <v>1138</v>
          </cell>
          <cell r="AV564">
            <v>893</v>
          </cell>
          <cell r="AW564">
            <v>177</v>
          </cell>
          <cell r="AX564">
            <v>0</v>
          </cell>
          <cell r="AY564">
            <v>5</v>
          </cell>
          <cell r="AZ564">
            <v>36</v>
          </cell>
          <cell r="BA564">
            <v>27</v>
          </cell>
        </row>
        <row r="565">
          <cell r="AS565" t="str">
            <v>17031620100</v>
          </cell>
          <cell r="AT565">
            <v>4532</v>
          </cell>
          <cell r="AU565">
            <v>2180</v>
          </cell>
          <cell r="AV565">
            <v>1828</v>
          </cell>
          <cell r="AW565">
            <v>305</v>
          </cell>
          <cell r="AX565">
            <v>0</v>
          </cell>
          <cell r="AY565">
            <v>0</v>
          </cell>
          <cell r="AZ565">
            <v>19</v>
          </cell>
          <cell r="BA565">
            <v>28</v>
          </cell>
        </row>
        <row r="566">
          <cell r="AS566" t="str">
            <v>17031620200</v>
          </cell>
          <cell r="AT566">
            <v>1982</v>
          </cell>
          <cell r="AU566">
            <v>957</v>
          </cell>
          <cell r="AV566">
            <v>602</v>
          </cell>
          <cell r="AW566">
            <v>256</v>
          </cell>
          <cell r="AX566">
            <v>11</v>
          </cell>
          <cell r="AY566">
            <v>0</v>
          </cell>
          <cell r="AZ566">
            <v>28</v>
          </cell>
          <cell r="BA566">
            <v>60</v>
          </cell>
        </row>
        <row r="567">
          <cell r="AS567" t="str">
            <v>17031620300</v>
          </cell>
          <cell r="AT567">
            <v>7322</v>
          </cell>
          <cell r="AU567">
            <v>2919</v>
          </cell>
          <cell r="AV567">
            <v>2229</v>
          </cell>
          <cell r="AW567">
            <v>283</v>
          </cell>
          <cell r="AX567">
            <v>119</v>
          </cell>
          <cell r="AY567">
            <v>17</v>
          </cell>
          <cell r="AZ567">
            <v>174</v>
          </cell>
          <cell r="BA567">
            <v>97</v>
          </cell>
        </row>
        <row r="568">
          <cell r="AS568" t="str">
            <v>17031620400</v>
          </cell>
          <cell r="AT568">
            <v>4687</v>
          </cell>
          <cell r="AU568">
            <v>2039</v>
          </cell>
          <cell r="AV568">
            <v>1516</v>
          </cell>
          <cell r="AW568">
            <v>398</v>
          </cell>
          <cell r="AX568">
            <v>0</v>
          </cell>
          <cell r="AY568">
            <v>7</v>
          </cell>
          <cell r="AZ568">
            <v>57</v>
          </cell>
          <cell r="BA568">
            <v>61</v>
          </cell>
        </row>
        <row r="569">
          <cell r="AS569" t="str">
            <v>17031630300</v>
          </cell>
          <cell r="AT569">
            <v>5178</v>
          </cell>
          <cell r="AU569">
            <v>1768</v>
          </cell>
          <cell r="AV569">
            <v>1286</v>
          </cell>
          <cell r="AW569">
            <v>393</v>
          </cell>
          <cell r="AX569">
            <v>0</v>
          </cell>
          <cell r="AY569">
            <v>0</v>
          </cell>
          <cell r="AZ569">
            <v>39</v>
          </cell>
          <cell r="BA569">
            <v>50</v>
          </cell>
        </row>
        <row r="570">
          <cell r="AS570" t="str">
            <v>17031630400</v>
          </cell>
          <cell r="AT570">
            <v>5869</v>
          </cell>
          <cell r="AU570">
            <v>2070</v>
          </cell>
          <cell r="AV570">
            <v>1597</v>
          </cell>
          <cell r="AW570">
            <v>391</v>
          </cell>
          <cell r="AX570">
            <v>0</v>
          </cell>
          <cell r="AY570">
            <v>0</v>
          </cell>
          <cell r="AZ570">
            <v>59</v>
          </cell>
          <cell r="BA570">
            <v>23</v>
          </cell>
        </row>
        <row r="571">
          <cell r="AS571" t="str">
            <v>17031630500</v>
          </cell>
          <cell r="AT571">
            <v>5879</v>
          </cell>
          <cell r="AU571">
            <v>2182</v>
          </cell>
          <cell r="AV571">
            <v>1483</v>
          </cell>
          <cell r="AW571">
            <v>415</v>
          </cell>
          <cell r="AX571">
            <v>0</v>
          </cell>
          <cell r="AY571">
            <v>52</v>
          </cell>
          <cell r="AZ571">
            <v>178</v>
          </cell>
          <cell r="BA571">
            <v>54</v>
          </cell>
        </row>
        <row r="572">
          <cell r="AS572" t="str">
            <v>17031630600</v>
          </cell>
          <cell r="AT572">
            <v>2768</v>
          </cell>
          <cell r="AU572">
            <v>1131</v>
          </cell>
          <cell r="AV572">
            <v>773</v>
          </cell>
          <cell r="AW572">
            <v>328</v>
          </cell>
          <cell r="AX572">
            <v>0</v>
          </cell>
          <cell r="AY572">
            <v>0</v>
          </cell>
          <cell r="AZ572">
            <v>24</v>
          </cell>
          <cell r="BA572">
            <v>6</v>
          </cell>
        </row>
        <row r="573">
          <cell r="AS573" t="str">
            <v>17031630800</v>
          </cell>
          <cell r="AT573">
            <v>6302</v>
          </cell>
          <cell r="AU573">
            <v>2506</v>
          </cell>
          <cell r="AV573">
            <v>1725</v>
          </cell>
          <cell r="AW573">
            <v>645</v>
          </cell>
          <cell r="AX573">
            <v>41</v>
          </cell>
          <cell r="AY573">
            <v>0</v>
          </cell>
          <cell r="AZ573">
            <v>86</v>
          </cell>
          <cell r="BA573">
            <v>9</v>
          </cell>
        </row>
        <row r="574">
          <cell r="AS574" t="str">
            <v>17031630900</v>
          </cell>
          <cell r="AT574">
            <v>4401</v>
          </cell>
          <cell r="AU574">
            <v>1444</v>
          </cell>
          <cell r="AV574">
            <v>1205</v>
          </cell>
          <cell r="AW574">
            <v>101</v>
          </cell>
          <cell r="AX574">
            <v>0</v>
          </cell>
          <cell r="AY574">
            <v>0</v>
          </cell>
          <cell r="AZ574">
            <v>88</v>
          </cell>
          <cell r="BA574">
            <v>50</v>
          </cell>
        </row>
        <row r="575">
          <cell r="AS575" t="str">
            <v>17031640100</v>
          </cell>
          <cell r="AT575">
            <v>1502</v>
          </cell>
          <cell r="AU575">
            <v>741</v>
          </cell>
          <cell r="AV575">
            <v>484</v>
          </cell>
          <cell r="AW575">
            <v>115</v>
          </cell>
          <cell r="AX575">
            <v>0</v>
          </cell>
          <cell r="AY575">
            <v>0</v>
          </cell>
          <cell r="AZ575">
            <v>117</v>
          </cell>
          <cell r="BA575">
            <v>25</v>
          </cell>
        </row>
        <row r="576">
          <cell r="AS576" t="str">
            <v>17031640300</v>
          </cell>
          <cell r="AT576">
            <v>6575</v>
          </cell>
          <cell r="AU576">
            <v>2800</v>
          </cell>
          <cell r="AV576">
            <v>2230</v>
          </cell>
          <cell r="AW576">
            <v>238</v>
          </cell>
          <cell r="AX576">
            <v>0</v>
          </cell>
          <cell r="AY576">
            <v>54</v>
          </cell>
          <cell r="AZ576">
            <v>253</v>
          </cell>
          <cell r="BA576">
            <v>25</v>
          </cell>
        </row>
        <row r="577">
          <cell r="AS577" t="str">
            <v>17031640400</v>
          </cell>
          <cell r="AT577">
            <v>3361</v>
          </cell>
          <cell r="AU577">
            <v>1525</v>
          </cell>
          <cell r="AV577">
            <v>1348</v>
          </cell>
          <cell r="AW577">
            <v>130</v>
          </cell>
          <cell r="AX577">
            <v>0</v>
          </cell>
          <cell r="AY577">
            <v>0</v>
          </cell>
          <cell r="AZ577">
            <v>16</v>
          </cell>
          <cell r="BA577">
            <v>31</v>
          </cell>
        </row>
        <row r="578">
          <cell r="AS578" t="str">
            <v>17031640500</v>
          </cell>
          <cell r="AT578">
            <v>3864</v>
          </cell>
          <cell r="AU578">
            <v>1999</v>
          </cell>
          <cell r="AV578">
            <v>1673</v>
          </cell>
          <cell r="AW578">
            <v>174</v>
          </cell>
          <cell r="AX578">
            <v>0</v>
          </cell>
          <cell r="AY578">
            <v>0</v>
          </cell>
          <cell r="AZ578">
            <v>0</v>
          </cell>
          <cell r="BA578">
            <v>152</v>
          </cell>
        </row>
        <row r="579">
          <cell r="AS579" t="str">
            <v>17031640600</v>
          </cell>
          <cell r="AT579">
            <v>4123</v>
          </cell>
          <cell r="AU579">
            <v>1704</v>
          </cell>
          <cell r="AV579">
            <v>1453</v>
          </cell>
          <cell r="AW579">
            <v>105</v>
          </cell>
          <cell r="AX579">
            <v>39</v>
          </cell>
          <cell r="AY579">
            <v>32</v>
          </cell>
          <cell r="AZ579">
            <v>0</v>
          </cell>
          <cell r="BA579">
            <v>75</v>
          </cell>
        </row>
        <row r="580">
          <cell r="AS580" t="str">
            <v>17031640700</v>
          </cell>
          <cell r="AT580">
            <v>3275</v>
          </cell>
          <cell r="AU580">
            <v>1238</v>
          </cell>
          <cell r="AV580">
            <v>1005</v>
          </cell>
          <cell r="AW580">
            <v>169</v>
          </cell>
          <cell r="AX580">
            <v>0</v>
          </cell>
          <cell r="AY580">
            <v>0</v>
          </cell>
          <cell r="AZ580">
            <v>9</v>
          </cell>
          <cell r="BA580">
            <v>55</v>
          </cell>
        </row>
        <row r="581">
          <cell r="AS581" t="str">
            <v>17031640800</v>
          </cell>
          <cell r="AT581">
            <v>1682</v>
          </cell>
          <cell r="AU581">
            <v>779</v>
          </cell>
          <cell r="AV581">
            <v>572</v>
          </cell>
          <cell r="AW581">
            <v>169</v>
          </cell>
          <cell r="AX581">
            <v>0</v>
          </cell>
          <cell r="AY581">
            <v>5</v>
          </cell>
          <cell r="AZ581">
            <v>0</v>
          </cell>
          <cell r="BA581">
            <v>33</v>
          </cell>
        </row>
        <row r="582">
          <cell r="AS582" t="str">
            <v>17031650100</v>
          </cell>
          <cell r="AT582">
            <v>4375</v>
          </cell>
          <cell r="AU582">
            <v>1770</v>
          </cell>
          <cell r="AV582">
            <v>1333</v>
          </cell>
          <cell r="AW582">
            <v>294</v>
          </cell>
          <cell r="AX582">
            <v>0</v>
          </cell>
          <cell r="AY582">
            <v>10</v>
          </cell>
          <cell r="AZ582">
            <v>57</v>
          </cell>
          <cell r="BA582">
            <v>76</v>
          </cell>
        </row>
        <row r="583">
          <cell r="AS583" t="str">
            <v>17031650200</v>
          </cell>
          <cell r="AT583">
            <v>7290</v>
          </cell>
          <cell r="AU583">
            <v>3034</v>
          </cell>
          <cell r="AV583">
            <v>2529</v>
          </cell>
          <cell r="AW583">
            <v>280</v>
          </cell>
          <cell r="AX583">
            <v>30</v>
          </cell>
          <cell r="AY583">
            <v>0</v>
          </cell>
          <cell r="AZ583">
            <v>54</v>
          </cell>
          <cell r="BA583">
            <v>141</v>
          </cell>
        </row>
        <row r="584">
          <cell r="AS584" t="str">
            <v>17031650301</v>
          </cell>
          <cell r="AT584">
            <v>4527</v>
          </cell>
          <cell r="AU584">
            <v>2130</v>
          </cell>
          <cell r="AV584">
            <v>1671</v>
          </cell>
          <cell r="AW584">
            <v>366</v>
          </cell>
          <cell r="AX584">
            <v>0</v>
          </cell>
          <cell r="AY584">
            <v>0</v>
          </cell>
          <cell r="AZ584">
            <v>40</v>
          </cell>
          <cell r="BA584">
            <v>53</v>
          </cell>
        </row>
        <row r="585">
          <cell r="AS585" t="str">
            <v>17031650302</v>
          </cell>
          <cell r="AT585">
            <v>4766</v>
          </cell>
          <cell r="AU585">
            <v>1892</v>
          </cell>
          <cell r="AV585">
            <v>1777</v>
          </cell>
          <cell r="AW585">
            <v>50</v>
          </cell>
          <cell r="AX585">
            <v>0</v>
          </cell>
          <cell r="AY585">
            <v>0</v>
          </cell>
          <cell r="AZ585">
            <v>0</v>
          </cell>
          <cell r="BA585">
            <v>65</v>
          </cell>
        </row>
        <row r="586">
          <cell r="AS586" t="str">
            <v>17031650400</v>
          </cell>
          <cell r="AT586">
            <v>6657</v>
          </cell>
          <cell r="AU586">
            <v>2350</v>
          </cell>
          <cell r="AV586">
            <v>2020</v>
          </cell>
          <cell r="AW586">
            <v>178</v>
          </cell>
          <cell r="AX586">
            <v>0</v>
          </cell>
          <cell r="AY586">
            <v>0</v>
          </cell>
          <cell r="AZ586">
            <v>70</v>
          </cell>
          <cell r="BA586">
            <v>82</v>
          </cell>
        </row>
        <row r="587">
          <cell r="AS587" t="str">
            <v>17031650500</v>
          </cell>
          <cell r="AT587">
            <v>4547</v>
          </cell>
          <cell r="AU587">
            <v>2169</v>
          </cell>
          <cell r="AV587">
            <v>1839</v>
          </cell>
          <cell r="AW587">
            <v>265</v>
          </cell>
          <cell r="AX587">
            <v>0</v>
          </cell>
          <cell r="AY587">
            <v>9</v>
          </cell>
          <cell r="AZ587">
            <v>27</v>
          </cell>
          <cell r="BA587">
            <v>29</v>
          </cell>
        </row>
        <row r="588">
          <cell r="AS588" t="str">
            <v>17031660301</v>
          </cell>
          <cell r="AT588">
            <v>1585</v>
          </cell>
          <cell r="AU588">
            <v>460</v>
          </cell>
          <cell r="AV588">
            <v>336</v>
          </cell>
          <cell r="AW588">
            <v>93</v>
          </cell>
          <cell r="AX588">
            <v>0</v>
          </cell>
          <cell r="AY588">
            <v>7</v>
          </cell>
          <cell r="AZ588">
            <v>24</v>
          </cell>
          <cell r="BA588">
            <v>0</v>
          </cell>
        </row>
        <row r="589">
          <cell r="AS589" t="str">
            <v>17031660302</v>
          </cell>
          <cell r="AT589">
            <v>4550</v>
          </cell>
          <cell r="AU589">
            <v>1925</v>
          </cell>
          <cell r="AV589">
            <v>1309</v>
          </cell>
          <cell r="AW589">
            <v>375</v>
          </cell>
          <cell r="AX589">
            <v>0</v>
          </cell>
          <cell r="AY589">
            <v>0</v>
          </cell>
          <cell r="AZ589">
            <v>68</v>
          </cell>
          <cell r="BA589">
            <v>173</v>
          </cell>
        </row>
        <row r="590">
          <cell r="AS590" t="str">
            <v>17031660400</v>
          </cell>
          <cell r="AT590">
            <v>5270</v>
          </cell>
          <cell r="AU590">
            <v>2028</v>
          </cell>
          <cell r="AV590">
            <v>1678</v>
          </cell>
          <cell r="AW590">
            <v>236</v>
          </cell>
          <cell r="AX590">
            <v>0</v>
          </cell>
          <cell r="AY590">
            <v>0</v>
          </cell>
          <cell r="AZ590">
            <v>38</v>
          </cell>
          <cell r="BA590">
            <v>76</v>
          </cell>
        </row>
        <row r="591">
          <cell r="AS591" t="str">
            <v>17031660500</v>
          </cell>
          <cell r="AT591">
            <v>4481</v>
          </cell>
          <cell r="AU591">
            <v>1607</v>
          </cell>
          <cell r="AV591">
            <v>1371</v>
          </cell>
          <cell r="AW591">
            <v>159</v>
          </cell>
          <cell r="AX591">
            <v>0</v>
          </cell>
          <cell r="AY591">
            <v>0</v>
          </cell>
          <cell r="AZ591">
            <v>0</v>
          </cell>
          <cell r="BA591">
            <v>77</v>
          </cell>
        </row>
        <row r="592">
          <cell r="AS592" t="str">
            <v>17031660600</v>
          </cell>
          <cell r="AT592">
            <v>5377</v>
          </cell>
          <cell r="AU592">
            <v>1810</v>
          </cell>
          <cell r="AV592">
            <v>1308</v>
          </cell>
          <cell r="AW592">
            <v>307</v>
          </cell>
          <cell r="AX592">
            <v>0</v>
          </cell>
          <cell r="AY592">
            <v>0</v>
          </cell>
          <cell r="AZ592">
            <v>21</v>
          </cell>
          <cell r="BA592">
            <v>174</v>
          </cell>
        </row>
        <row r="593">
          <cell r="AS593" t="str">
            <v>17031660700</v>
          </cell>
          <cell r="AT593">
            <v>1525</v>
          </cell>
          <cell r="AU593">
            <v>389</v>
          </cell>
          <cell r="AV593">
            <v>296</v>
          </cell>
          <cell r="AW593">
            <v>56</v>
          </cell>
          <cell r="AX593">
            <v>0</v>
          </cell>
          <cell r="AY593">
            <v>0</v>
          </cell>
          <cell r="AZ593">
            <v>11</v>
          </cell>
          <cell r="BA593">
            <v>26</v>
          </cell>
        </row>
        <row r="594">
          <cell r="AS594" t="str">
            <v>17031660800</v>
          </cell>
          <cell r="AT594">
            <v>5503</v>
          </cell>
          <cell r="AU594">
            <v>2410</v>
          </cell>
          <cell r="AV594">
            <v>1856</v>
          </cell>
          <cell r="AW594">
            <v>468</v>
          </cell>
          <cell r="AX594">
            <v>23</v>
          </cell>
          <cell r="AY594">
            <v>0</v>
          </cell>
          <cell r="AZ594">
            <v>27</v>
          </cell>
          <cell r="BA594">
            <v>36</v>
          </cell>
        </row>
        <row r="595">
          <cell r="AS595" t="str">
            <v>17031660900</v>
          </cell>
          <cell r="AT595">
            <v>4883</v>
          </cell>
          <cell r="AU595">
            <v>1741</v>
          </cell>
          <cell r="AV595">
            <v>1366</v>
          </cell>
          <cell r="AW595">
            <v>269</v>
          </cell>
          <cell r="AX595">
            <v>0</v>
          </cell>
          <cell r="AY595">
            <v>0</v>
          </cell>
          <cell r="AZ595">
            <v>92</v>
          </cell>
          <cell r="BA595">
            <v>14</v>
          </cell>
        </row>
        <row r="596">
          <cell r="AS596" t="str">
            <v>17031661000</v>
          </cell>
          <cell r="AT596">
            <v>5692</v>
          </cell>
          <cell r="AU596">
            <v>1939</v>
          </cell>
          <cell r="AV596">
            <v>1450</v>
          </cell>
          <cell r="AW596">
            <v>396</v>
          </cell>
          <cell r="AX596">
            <v>0</v>
          </cell>
          <cell r="AY596">
            <v>0</v>
          </cell>
          <cell r="AZ596">
            <v>0</v>
          </cell>
          <cell r="BA596">
            <v>93</v>
          </cell>
        </row>
        <row r="597">
          <cell r="AS597" t="str">
            <v>17031661100</v>
          </cell>
          <cell r="AT597">
            <v>6881</v>
          </cell>
          <cell r="AU597">
            <v>2923</v>
          </cell>
          <cell r="AV597">
            <v>2396</v>
          </cell>
          <cell r="AW597">
            <v>470</v>
          </cell>
          <cell r="AX597">
            <v>0</v>
          </cell>
          <cell r="AY597">
            <v>0</v>
          </cell>
          <cell r="AZ597">
            <v>0</v>
          </cell>
          <cell r="BA597">
            <v>57</v>
          </cell>
        </row>
        <row r="598">
          <cell r="AS598" t="str">
            <v>17031670100</v>
          </cell>
          <cell r="AT598">
            <v>978</v>
          </cell>
          <cell r="AU598">
            <v>252</v>
          </cell>
          <cell r="AV598">
            <v>151</v>
          </cell>
          <cell r="AW598">
            <v>84</v>
          </cell>
          <cell r="AX598">
            <v>0</v>
          </cell>
          <cell r="AY598">
            <v>9</v>
          </cell>
          <cell r="AZ598">
            <v>0</v>
          </cell>
          <cell r="BA598">
            <v>8</v>
          </cell>
        </row>
        <row r="599">
          <cell r="AS599" t="str">
            <v>17031670200</v>
          </cell>
          <cell r="AT599">
            <v>970</v>
          </cell>
          <cell r="AU599">
            <v>347</v>
          </cell>
          <cell r="AV599">
            <v>250</v>
          </cell>
          <cell r="AW599">
            <v>73</v>
          </cell>
          <cell r="AX599">
            <v>0</v>
          </cell>
          <cell r="AY599">
            <v>0</v>
          </cell>
          <cell r="AZ599">
            <v>9</v>
          </cell>
          <cell r="BA599">
            <v>15</v>
          </cell>
        </row>
        <row r="600">
          <cell r="AS600" t="str">
            <v>17031670300</v>
          </cell>
          <cell r="AT600">
            <v>1209</v>
          </cell>
          <cell r="AU600">
            <v>386</v>
          </cell>
          <cell r="AV600">
            <v>309</v>
          </cell>
          <cell r="AW600">
            <v>77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AS601" t="str">
            <v>17031670400</v>
          </cell>
          <cell r="AT601">
            <v>1693</v>
          </cell>
          <cell r="AU601">
            <v>517</v>
          </cell>
          <cell r="AV601">
            <v>246</v>
          </cell>
          <cell r="AW601">
            <v>262</v>
          </cell>
          <cell r="AX601">
            <v>0</v>
          </cell>
          <cell r="AY601">
            <v>0</v>
          </cell>
          <cell r="AZ601">
            <v>0</v>
          </cell>
          <cell r="BA601">
            <v>9</v>
          </cell>
        </row>
        <row r="602">
          <cell r="AS602" t="str">
            <v>17031670500</v>
          </cell>
          <cell r="AT602">
            <v>944</v>
          </cell>
          <cell r="AU602">
            <v>295</v>
          </cell>
          <cell r="AV602">
            <v>185</v>
          </cell>
          <cell r="AW602">
            <v>66</v>
          </cell>
          <cell r="AX602">
            <v>0</v>
          </cell>
          <cell r="AY602">
            <v>0</v>
          </cell>
          <cell r="AZ602">
            <v>5</v>
          </cell>
          <cell r="BA602">
            <v>39</v>
          </cell>
        </row>
        <row r="603">
          <cell r="AS603" t="str">
            <v>17031670600</v>
          </cell>
          <cell r="AT603">
            <v>972</v>
          </cell>
          <cell r="AU603">
            <v>260</v>
          </cell>
          <cell r="AV603">
            <v>151</v>
          </cell>
          <cell r="AW603">
            <v>103</v>
          </cell>
          <cell r="AX603">
            <v>0</v>
          </cell>
          <cell r="AY603">
            <v>0</v>
          </cell>
          <cell r="AZ603">
            <v>0</v>
          </cell>
          <cell r="BA603">
            <v>6</v>
          </cell>
        </row>
        <row r="604">
          <cell r="AS604" t="str">
            <v>17031670700</v>
          </cell>
          <cell r="AT604">
            <v>1130</v>
          </cell>
          <cell r="AU604">
            <v>388</v>
          </cell>
          <cell r="AV604">
            <v>298</v>
          </cell>
          <cell r="AW604">
            <v>22</v>
          </cell>
          <cell r="AX604">
            <v>0</v>
          </cell>
          <cell r="AY604">
            <v>0</v>
          </cell>
          <cell r="AZ604">
            <v>0</v>
          </cell>
          <cell r="BA604">
            <v>68</v>
          </cell>
        </row>
        <row r="605">
          <cell r="AS605" t="str">
            <v>17031670800</v>
          </cell>
          <cell r="AT605">
            <v>1012</v>
          </cell>
          <cell r="AU605">
            <v>300</v>
          </cell>
          <cell r="AV605">
            <v>153</v>
          </cell>
          <cell r="AW605">
            <v>134</v>
          </cell>
          <cell r="AX605">
            <v>0</v>
          </cell>
          <cell r="AY605">
            <v>0</v>
          </cell>
          <cell r="AZ605">
            <v>10</v>
          </cell>
          <cell r="BA605">
            <v>3</v>
          </cell>
        </row>
        <row r="606">
          <cell r="AS606" t="str">
            <v>17031670900</v>
          </cell>
          <cell r="AT606">
            <v>1337</v>
          </cell>
          <cell r="AU606">
            <v>490</v>
          </cell>
          <cell r="AV606">
            <v>320</v>
          </cell>
          <cell r="AW606">
            <v>170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</row>
        <row r="607">
          <cell r="AS607" t="str">
            <v>17031671100</v>
          </cell>
          <cell r="AT607">
            <v>604</v>
          </cell>
          <cell r="AU607">
            <v>132</v>
          </cell>
          <cell r="AV607">
            <v>104</v>
          </cell>
          <cell r="AW607">
            <v>28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AS608" t="str">
            <v>17031671200</v>
          </cell>
          <cell r="AT608">
            <v>1031</v>
          </cell>
          <cell r="AU608">
            <v>293</v>
          </cell>
          <cell r="AV608">
            <v>204</v>
          </cell>
          <cell r="AW608">
            <v>81</v>
          </cell>
          <cell r="AX608">
            <v>0</v>
          </cell>
          <cell r="AY608">
            <v>0</v>
          </cell>
          <cell r="AZ608">
            <v>0</v>
          </cell>
          <cell r="BA608">
            <v>8</v>
          </cell>
        </row>
        <row r="609">
          <cell r="AS609" t="str">
            <v>17031671300</v>
          </cell>
          <cell r="AT609">
            <v>1745</v>
          </cell>
          <cell r="AU609">
            <v>370</v>
          </cell>
          <cell r="AV609">
            <v>197</v>
          </cell>
          <cell r="AW609">
            <v>140</v>
          </cell>
          <cell r="AX609">
            <v>0</v>
          </cell>
          <cell r="AY609">
            <v>0</v>
          </cell>
          <cell r="AZ609">
            <v>0</v>
          </cell>
          <cell r="BA609">
            <v>33</v>
          </cell>
        </row>
        <row r="610">
          <cell r="AS610" t="str">
            <v>17031671400</v>
          </cell>
          <cell r="AT610">
            <v>1177</v>
          </cell>
          <cell r="AU610">
            <v>206</v>
          </cell>
          <cell r="AV610">
            <v>161</v>
          </cell>
          <cell r="AW610">
            <v>45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</row>
        <row r="611">
          <cell r="AS611" t="str">
            <v>17031671500</v>
          </cell>
          <cell r="AT611">
            <v>2360</v>
          </cell>
          <cell r="AU611">
            <v>752</v>
          </cell>
          <cell r="AV611">
            <v>414</v>
          </cell>
          <cell r="AW611">
            <v>277</v>
          </cell>
          <cell r="AX611">
            <v>0</v>
          </cell>
          <cell r="AY611">
            <v>0</v>
          </cell>
          <cell r="AZ611">
            <v>0</v>
          </cell>
          <cell r="BA611">
            <v>61</v>
          </cell>
        </row>
        <row r="612">
          <cell r="AS612" t="str">
            <v>17031671600</v>
          </cell>
          <cell r="AT612">
            <v>1693</v>
          </cell>
          <cell r="AU612">
            <v>427</v>
          </cell>
          <cell r="AV612">
            <v>233</v>
          </cell>
          <cell r="AW612">
            <v>150</v>
          </cell>
          <cell r="AX612">
            <v>0</v>
          </cell>
          <cell r="AY612">
            <v>3</v>
          </cell>
          <cell r="AZ612">
            <v>8</v>
          </cell>
          <cell r="BA612">
            <v>33</v>
          </cell>
        </row>
        <row r="613">
          <cell r="AS613" t="str">
            <v>17031671800</v>
          </cell>
          <cell r="AT613">
            <v>1235</v>
          </cell>
          <cell r="AU613">
            <v>254</v>
          </cell>
          <cell r="AV613">
            <v>143</v>
          </cell>
          <cell r="AW613">
            <v>90</v>
          </cell>
          <cell r="AX613">
            <v>0</v>
          </cell>
          <cell r="AY613">
            <v>0</v>
          </cell>
          <cell r="AZ613">
            <v>0</v>
          </cell>
          <cell r="BA613">
            <v>21</v>
          </cell>
        </row>
        <row r="614">
          <cell r="AS614" t="str">
            <v>17031671900</v>
          </cell>
          <cell r="AT614">
            <v>1136</v>
          </cell>
          <cell r="AU614">
            <v>479</v>
          </cell>
          <cell r="AV614">
            <v>333</v>
          </cell>
          <cell r="AW614">
            <v>56</v>
          </cell>
          <cell r="AX614">
            <v>0</v>
          </cell>
          <cell r="AY614">
            <v>14</v>
          </cell>
          <cell r="AZ614">
            <v>0</v>
          </cell>
          <cell r="BA614">
            <v>76</v>
          </cell>
        </row>
        <row r="615">
          <cell r="AS615" t="str">
            <v>17031672000</v>
          </cell>
          <cell r="AT615">
            <v>3584</v>
          </cell>
          <cell r="AU615">
            <v>1121</v>
          </cell>
          <cell r="AV615">
            <v>649</v>
          </cell>
          <cell r="AW615">
            <v>306</v>
          </cell>
          <cell r="AX615">
            <v>0</v>
          </cell>
          <cell r="AY615">
            <v>0</v>
          </cell>
          <cell r="AZ615">
            <v>41</v>
          </cell>
          <cell r="BA615">
            <v>125</v>
          </cell>
        </row>
        <row r="616">
          <cell r="AS616" t="str">
            <v>17031680500</v>
          </cell>
          <cell r="AT616">
            <v>1050</v>
          </cell>
          <cell r="AU616">
            <v>359</v>
          </cell>
          <cell r="AV616">
            <v>272</v>
          </cell>
          <cell r="AW616">
            <v>56</v>
          </cell>
          <cell r="AX616">
            <v>15</v>
          </cell>
          <cell r="AY616">
            <v>0</v>
          </cell>
          <cell r="AZ616">
            <v>0</v>
          </cell>
          <cell r="BA616">
            <v>16</v>
          </cell>
        </row>
        <row r="617">
          <cell r="AS617" t="str">
            <v>17031680600</v>
          </cell>
          <cell r="AT617">
            <v>1254</v>
          </cell>
          <cell r="AU617">
            <v>371</v>
          </cell>
          <cell r="AV617">
            <v>232</v>
          </cell>
          <cell r="AW617">
            <v>110</v>
          </cell>
          <cell r="AX617">
            <v>0</v>
          </cell>
          <cell r="AY617">
            <v>0</v>
          </cell>
          <cell r="AZ617">
            <v>25</v>
          </cell>
          <cell r="BA617">
            <v>4</v>
          </cell>
        </row>
        <row r="618">
          <cell r="AS618" t="str">
            <v>17031680900</v>
          </cell>
          <cell r="AT618">
            <v>3317</v>
          </cell>
          <cell r="AU618">
            <v>717</v>
          </cell>
          <cell r="AV618">
            <v>351</v>
          </cell>
          <cell r="AW618">
            <v>289</v>
          </cell>
          <cell r="AX618">
            <v>0</v>
          </cell>
          <cell r="AY618">
            <v>13</v>
          </cell>
          <cell r="AZ618">
            <v>26</v>
          </cell>
          <cell r="BA618">
            <v>38</v>
          </cell>
        </row>
        <row r="619">
          <cell r="AS619" t="str">
            <v>17031681000</v>
          </cell>
          <cell r="AT619">
            <v>2307</v>
          </cell>
          <cell r="AU619">
            <v>637</v>
          </cell>
          <cell r="AV619">
            <v>198</v>
          </cell>
          <cell r="AW619">
            <v>346</v>
          </cell>
          <cell r="AX619">
            <v>0</v>
          </cell>
          <cell r="AY619">
            <v>0</v>
          </cell>
          <cell r="AZ619">
            <v>0</v>
          </cell>
          <cell r="BA619">
            <v>93</v>
          </cell>
        </row>
        <row r="620">
          <cell r="AS620" t="str">
            <v>17031681100</v>
          </cell>
          <cell r="AT620">
            <v>2381</v>
          </cell>
          <cell r="AU620">
            <v>621</v>
          </cell>
          <cell r="AV620">
            <v>190</v>
          </cell>
          <cell r="AW620">
            <v>279</v>
          </cell>
          <cell r="AX620">
            <v>0</v>
          </cell>
          <cell r="AY620">
            <v>0</v>
          </cell>
          <cell r="AZ620">
            <v>0</v>
          </cell>
          <cell r="BA620">
            <v>152</v>
          </cell>
        </row>
        <row r="621">
          <cell r="AS621" t="str">
            <v>17031681200</v>
          </cell>
          <cell r="AT621">
            <v>2254</v>
          </cell>
          <cell r="AU621">
            <v>617</v>
          </cell>
          <cell r="AV621">
            <v>349</v>
          </cell>
          <cell r="AW621">
            <v>259</v>
          </cell>
          <cell r="AX621">
            <v>0</v>
          </cell>
          <cell r="AY621">
            <v>0</v>
          </cell>
          <cell r="AZ621">
            <v>0</v>
          </cell>
          <cell r="BA621">
            <v>9</v>
          </cell>
        </row>
        <row r="622">
          <cell r="AS622" t="str">
            <v>17031681300</v>
          </cell>
          <cell r="AT622">
            <v>2532</v>
          </cell>
          <cell r="AU622">
            <v>562</v>
          </cell>
          <cell r="AV622">
            <v>308</v>
          </cell>
          <cell r="AW622">
            <v>229</v>
          </cell>
          <cell r="AX622">
            <v>0</v>
          </cell>
          <cell r="AY622">
            <v>0</v>
          </cell>
          <cell r="AZ622">
            <v>0</v>
          </cell>
          <cell r="BA622">
            <v>25</v>
          </cell>
        </row>
        <row r="623">
          <cell r="AS623" t="str">
            <v>17031681400</v>
          </cell>
          <cell r="AT623">
            <v>2419</v>
          </cell>
          <cell r="AU623">
            <v>754</v>
          </cell>
          <cell r="AV623">
            <v>543</v>
          </cell>
          <cell r="AW623">
            <v>160</v>
          </cell>
          <cell r="AX623">
            <v>0</v>
          </cell>
          <cell r="AY623">
            <v>0</v>
          </cell>
          <cell r="AZ623">
            <v>0</v>
          </cell>
          <cell r="BA623">
            <v>51</v>
          </cell>
        </row>
        <row r="624">
          <cell r="AS624" t="str">
            <v>17031690300</v>
          </cell>
          <cell r="AT624">
            <v>2284</v>
          </cell>
          <cell r="AU624">
            <v>759</v>
          </cell>
          <cell r="AV624">
            <v>425</v>
          </cell>
          <cell r="AW624">
            <v>318</v>
          </cell>
          <cell r="AX624">
            <v>0</v>
          </cell>
          <cell r="AY624">
            <v>0</v>
          </cell>
          <cell r="AZ624">
            <v>0</v>
          </cell>
          <cell r="BA624">
            <v>16</v>
          </cell>
        </row>
        <row r="625">
          <cell r="AS625" t="str">
            <v>17031690400</v>
          </cell>
          <cell r="AT625">
            <v>2958</v>
          </cell>
          <cell r="AU625">
            <v>1385</v>
          </cell>
          <cell r="AV625">
            <v>578</v>
          </cell>
          <cell r="AW625">
            <v>580</v>
          </cell>
          <cell r="AX625">
            <v>0</v>
          </cell>
          <cell r="AY625">
            <v>9</v>
          </cell>
          <cell r="AZ625">
            <v>43</v>
          </cell>
          <cell r="BA625">
            <v>175</v>
          </cell>
        </row>
        <row r="626">
          <cell r="AS626" t="str">
            <v>17031690500</v>
          </cell>
          <cell r="AT626">
            <v>744</v>
          </cell>
          <cell r="AU626">
            <v>264</v>
          </cell>
          <cell r="AV626">
            <v>165</v>
          </cell>
          <cell r="AW626">
            <v>73</v>
          </cell>
          <cell r="AX626">
            <v>0</v>
          </cell>
          <cell r="AY626">
            <v>0</v>
          </cell>
          <cell r="AZ626">
            <v>0</v>
          </cell>
          <cell r="BA626">
            <v>26</v>
          </cell>
        </row>
        <row r="627">
          <cell r="AS627" t="str">
            <v>17031690900</v>
          </cell>
          <cell r="AT627">
            <v>4230</v>
          </cell>
          <cell r="AU627">
            <v>1476</v>
          </cell>
          <cell r="AV627">
            <v>968</v>
          </cell>
          <cell r="AW627">
            <v>401</v>
          </cell>
          <cell r="AX627">
            <v>0</v>
          </cell>
          <cell r="AY627">
            <v>0</v>
          </cell>
          <cell r="AZ627">
            <v>0</v>
          </cell>
          <cell r="BA627">
            <v>107</v>
          </cell>
        </row>
        <row r="628">
          <cell r="AS628" t="str">
            <v>17031691000</v>
          </cell>
          <cell r="AT628">
            <v>2102</v>
          </cell>
          <cell r="AU628">
            <v>803</v>
          </cell>
          <cell r="AV628">
            <v>503</v>
          </cell>
          <cell r="AW628">
            <v>231</v>
          </cell>
          <cell r="AX628">
            <v>0</v>
          </cell>
          <cell r="AY628">
            <v>0</v>
          </cell>
          <cell r="AZ628">
            <v>0</v>
          </cell>
          <cell r="BA628">
            <v>69</v>
          </cell>
        </row>
        <row r="629">
          <cell r="AS629" t="str">
            <v>17031691100</v>
          </cell>
          <cell r="AT629">
            <v>2477</v>
          </cell>
          <cell r="AU629">
            <v>718</v>
          </cell>
          <cell r="AV629">
            <v>349</v>
          </cell>
          <cell r="AW629">
            <v>274</v>
          </cell>
          <cell r="AX629">
            <v>0</v>
          </cell>
          <cell r="AY629">
            <v>0</v>
          </cell>
          <cell r="AZ629">
            <v>0</v>
          </cell>
          <cell r="BA629">
            <v>95</v>
          </cell>
        </row>
        <row r="630">
          <cell r="AS630" t="str">
            <v>17031691200</v>
          </cell>
          <cell r="AT630">
            <v>2483</v>
          </cell>
          <cell r="AU630">
            <v>935</v>
          </cell>
          <cell r="AV630">
            <v>417</v>
          </cell>
          <cell r="AW630">
            <v>483</v>
          </cell>
          <cell r="AX630">
            <v>0</v>
          </cell>
          <cell r="AY630">
            <v>0</v>
          </cell>
          <cell r="AZ630">
            <v>0</v>
          </cell>
          <cell r="BA630">
            <v>35</v>
          </cell>
        </row>
        <row r="631">
          <cell r="AS631" t="str">
            <v>17031691300</v>
          </cell>
          <cell r="AT631">
            <v>2352</v>
          </cell>
          <cell r="AU631">
            <v>918</v>
          </cell>
          <cell r="AV631">
            <v>612</v>
          </cell>
          <cell r="AW631">
            <v>206</v>
          </cell>
          <cell r="AX631">
            <v>0</v>
          </cell>
          <cell r="AY631">
            <v>0</v>
          </cell>
          <cell r="AZ631">
            <v>0</v>
          </cell>
          <cell r="BA631">
            <v>100</v>
          </cell>
        </row>
        <row r="632">
          <cell r="AS632" t="str">
            <v>17031691400</v>
          </cell>
          <cell r="AT632">
            <v>3080</v>
          </cell>
          <cell r="AU632">
            <v>1206</v>
          </cell>
          <cell r="AV632">
            <v>782</v>
          </cell>
          <cell r="AW632">
            <v>339</v>
          </cell>
          <cell r="AX632">
            <v>0</v>
          </cell>
          <cell r="AY632">
            <v>0</v>
          </cell>
          <cell r="AZ632">
            <v>0</v>
          </cell>
          <cell r="BA632">
            <v>85</v>
          </cell>
        </row>
        <row r="633">
          <cell r="AS633" t="str">
            <v>17031691500</v>
          </cell>
          <cell r="AT633">
            <v>2072</v>
          </cell>
          <cell r="AU633">
            <v>552</v>
          </cell>
          <cell r="AV633">
            <v>350</v>
          </cell>
          <cell r="AW633">
            <v>139</v>
          </cell>
          <cell r="AX633">
            <v>0</v>
          </cell>
          <cell r="AY633">
            <v>0</v>
          </cell>
          <cell r="AZ633">
            <v>0</v>
          </cell>
          <cell r="BA633">
            <v>63</v>
          </cell>
        </row>
        <row r="634">
          <cell r="AS634" t="str">
            <v>17031700100</v>
          </cell>
          <cell r="AT634">
            <v>3769</v>
          </cell>
          <cell r="AU634">
            <v>1809</v>
          </cell>
          <cell r="AV634">
            <v>1434</v>
          </cell>
          <cell r="AW634">
            <v>265</v>
          </cell>
          <cell r="AX634">
            <v>21</v>
          </cell>
          <cell r="AY634">
            <v>0</v>
          </cell>
          <cell r="AZ634">
            <v>29</v>
          </cell>
          <cell r="BA634">
            <v>60</v>
          </cell>
        </row>
        <row r="635">
          <cell r="AS635" t="str">
            <v>17031700200</v>
          </cell>
          <cell r="AT635">
            <v>6506</v>
          </cell>
          <cell r="AU635">
            <v>2586</v>
          </cell>
          <cell r="AV635">
            <v>2177</v>
          </cell>
          <cell r="AW635">
            <v>233</v>
          </cell>
          <cell r="AX635">
            <v>10</v>
          </cell>
          <cell r="AY635">
            <v>0</v>
          </cell>
          <cell r="AZ635">
            <v>0</v>
          </cell>
          <cell r="BA635">
            <v>166</v>
          </cell>
        </row>
        <row r="636">
          <cell r="AS636" t="str">
            <v>17031700301</v>
          </cell>
          <cell r="AT636">
            <v>6359</v>
          </cell>
          <cell r="AU636">
            <v>2525</v>
          </cell>
          <cell r="AV636">
            <v>2149</v>
          </cell>
          <cell r="AW636">
            <v>283</v>
          </cell>
          <cell r="AX636">
            <v>0</v>
          </cell>
          <cell r="AY636">
            <v>0</v>
          </cell>
          <cell r="AZ636">
            <v>1</v>
          </cell>
          <cell r="BA636">
            <v>92</v>
          </cell>
        </row>
        <row r="637">
          <cell r="AS637" t="str">
            <v>17031700302</v>
          </cell>
          <cell r="AT637">
            <v>5851</v>
          </cell>
          <cell r="AU637">
            <v>2392</v>
          </cell>
          <cell r="AV637">
            <v>2042</v>
          </cell>
          <cell r="AW637">
            <v>303</v>
          </cell>
          <cell r="AX637">
            <v>0</v>
          </cell>
          <cell r="AY637">
            <v>0</v>
          </cell>
          <cell r="AZ637">
            <v>0</v>
          </cell>
          <cell r="BA637">
            <v>47</v>
          </cell>
        </row>
        <row r="638">
          <cell r="AS638" t="str">
            <v>17031700401</v>
          </cell>
          <cell r="AT638">
            <v>6455</v>
          </cell>
          <cell r="AU638">
            <v>3052</v>
          </cell>
          <cell r="AV638">
            <v>2318</v>
          </cell>
          <cell r="AW638">
            <v>430</v>
          </cell>
          <cell r="AX638">
            <v>21</v>
          </cell>
          <cell r="AY638">
            <v>0</v>
          </cell>
          <cell r="AZ638">
            <v>53</v>
          </cell>
          <cell r="BA638">
            <v>230</v>
          </cell>
        </row>
        <row r="639">
          <cell r="AS639" t="str">
            <v>17031700402</v>
          </cell>
          <cell r="AT639">
            <v>3801</v>
          </cell>
          <cell r="AU639">
            <v>1683</v>
          </cell>
          <cell r="AV639">
            <v>1028</v>
          </cell>
          <cell r="AW639">
            <v>499</v>
          </cell>
          <cell r="AX639">
            <v>0</v>
          </cell>
          <cell r="AY639">
            <v>0</v>
          </cell>
          <cell r="AZ639">
            <v>0</v>
          </cell>
          <cell r="BA639">
            <v>156</v>
          </cell>
        </row>
        <row r="640">
          <cell r="AS640" t="str">
            <v>17031700501</v>
          </cell>
          <cell r="AT640">
            <v>6485</v>
          </cell>
          <cell r="AU640">
            <v>3235</v>
          </cell>
          <cell r="AV640">
            <v>2497</v>
          </cell>
          <cell r="AW640">
            <v>472</v>
          </cell>
          <cell r="AX640">
            <v>0</v>
          </cell>
          <cell r="AY640">
            <v>0</v>
          </cell>
          <cell r="AZ640">
            <v>0</v>
          </cell>
          <cell r="BA640">
            <v>266</v>
          </cell>
        </row>
        <row r="641">
          <cell r="AS641" t="str">
            <v>17031700502</v>
          </cell>
          <cell r="AT641">
            <v>3676</v>
          </cell>
          <cell r="AU641">
            <v>1405</v>
          </cell>
          <cell r="AV641">
            <v>1239</v>
          </cell>
          <cell r="AW641">
            <v>116</v>
          </cell>
          <cell r="AX641">
            <v>0</v>
          </cell>
          <cell r="AY641">
            <v>0</v>
          </cell>
          <cell r="AZ641">
            <v>7</v>
          </cell>
          <cell r="BA641">
            <v>43</v>
          </cell>
        </row>
        <row r="642">
          <cell r="AS642" t="str">
            <v>17031710100</v>
          </cell>
          <cell r="AT642">
            <v>1085</v>
          </cell>
          <cell r="AU642">
            <v>411</v>
          </cell>
          <cell r="AV642">
            <v>300</v>
          </cell>
          <cell r="AW642">
            <v>84</v>
          </cell>
          <cell r="AX642">
            <v>0</v>
          </cell>
          <cell r="AY642">
            <v>0</v>
          </cell>
          <cell r="AZ642">
            <v>0</v>
          </cell>
          <cell r="BA642">
            <v>27</v>
          </cell>
        </row>
        <row r="643">
          <cell r="AS643" t="str">
            <v>17031710200</v>
          </cell>
          <cell r="AT643">
            <v>4324</v>
          </cell>
          <cell r="AU643">
            <v>1621</v>
          </cell>
          <cell r="AV643">
            <v>1065</v>
          </cell>
          <cell r="AW643">
            <v>427</v>
          </cell>
          <cell r="AX643">
            <v>0</v>
          </cell>
          <cell r="AY643">
            <v>0</v>
          </cell>
          <cell r="AZ643">
            <v>0</v>
          </cell>
          <cell r="BA643">
            <v>129</v>
          </cell>
        </row>
        <row r="644">
          <cell r="AS644" t="str">
            <v>17031710300</v>
          </cell>
          <cell r="AT644">
            <v>1541</v>
          </cell>
          <cell r="AU644">
            <v>663</v>
          </cell>
          <cell r="AV644">
            <v>444</v>
          </cell>
          <cell r="AW644">
            <v>140</v>
          </cell>
          <cell r="AX644">
            <v>0</v>
          </cell>
          <cell r="AY644">
            <v>0</v>
          </cell>
          <cell r="AZ644">
            <v>10</v>
          </cell>
          <cell r="BA644">
            <v>69</v>
          </cell>
        </row>
        <row r="645">
          <cell r="AS645" t="str">
            <v>17031710400</v>
          </cell>
          <cell r="AT645">
            <v>5743</v>
          </cell>
          <cell r="AU645">
            <v>2025</v>
          </cell>
          <cell r="AV645">
            <v>1360</v>
          </cell>
          <cell r="AW645">
            <v>383</v>
          </cell>
          <cell r="AX645">
            <v>0</v>
          </cell>
          <cell r="AY645">
            <v>0</v>
          </cell>
          <cell r="AZ645">
            <v>0</v>
          </cell>
          <cell r="BA645">
            <v>282</v>
          </cell>
        </row>
        <row r="646">
          <cell r="AS646" t="str">
            <v>17031710500</v>
          </cell>
          <cell r="AT646">
            <v>4329</v>
          </cell>
          <cell r="AU646">
            <v>1434</v>
          </cell>
          <cell r="AV646">
            <v>958</v>
          </cell>
          <cell r="AW646">
            <v>268</v>
          </cell>
          <cell r="AX646">
            <v>0</v>
          </cell>
          <cell r="AY646">
            <v>0</v>
          </cell>
          <cell r="AZ646">
            <v>13</v>
          </cell>
          <cell r="BA646">
            <v>195</v>
          </cell>
        </row>
        <row r="647">
          <cell r="AS647" t="str">
            <v>17031710600</v>
          </cell>
          <cell r="AT647">
            <v>1805</v>
          </cell>
          <cell r="AU647">
            <v>675</v>
          </cell>
          <cell r="AV647">
            <v>316</v>
          </cell>
          <cell r="AW647">
            <v>338</v>
          </cell>
          <cell r="AX647">
            <v>0</v>
          </cell>
          <cell r="AY647">
            <v>0</v>
          </cell>
          <cell r="AZ647">
            <v>0</v>
          </cell>
          <cell r="BA647">
            <v>21</v>
          </cell>
        </row>
        <row r="648">
          <cell r="AS648" t="str">
            <v>17031710700</v>
          </cell>
          <cell r="AT648">
            <v>3425</v>
          </cell>
          <cell r="AU648">
            <v>1235</v>
          </cell>
          <cell r="AV648">
            <v>791</v>
          </cell>
          <cell r="AW648">
            <v>370</v>
          </cell>
          <cell r="AX648">
            <v>0</v>
          </cell>
          <cell r="AY648">
            <v>11</v>
          </cell>
          <cell r="AZ648">
            <v>0</v>
          </cell>
          <cell r="BA648">
            <v>63</v>
          </cell>
        </row>
        <row r="649">
          <cell r="AS649" t="str">
            <v>17031710800</v>
          </cell>
          <cell r="AT649">
            <v>4788</v>
          </cell>
          <cell r="AU649">
            <v>1148</v>
          </cell>
          <cell r="AV649">
            <v>771</v>
          </cell>
          <cell r="AW649">
            <v>269</v>
          </cell>
          <cell r="AX649">
            <v>0</v>
          </cell>
          <cell r="AY649">
            <v>0</v>
          </cell>
          <cell r="AZ649">
            <v>14</v>
          </cell>
          <cell r="BA649">
            <v>94</v>
          </cell>
        </row>
        <row r="650">
          <cell r="AS650" t="str">
            <v>17031710900</v>
          </cell>
          <cell r="AT650">
            <v>2011</v>
          </cell>
          <cell r="AU650">
            <v>725</v>
          </cell>
          <cell r="AV650">
            <v>505</v>
          </cell>
          <cell r="AW650">
            <v>214</v>
          </cell>
          <cell r="AX650">
            <v>0</v>
          </cell>
          <cell r="AY650">
            <v>0</v>
          </cell>
          <cell r="AZ650">
            <v>6</v>
          </cell>
          <cell r="BA650">
            <v>0</v>
          </cell>
        </row>
        <row r="651">
          <cell r="AS651" t="str">
            <v>17031711000</v>
          </cell>
          <cell r="AT651">
            <v>3635</v>
          </cell>
          <cell r="AU651">
            <v>1140</v>
          </cell>
          <cell r="AV651">
            <v>698</v>
          </cell>
          <cell r="AW651">
            <v>335</v>
          </cell>
          <cell r="AX651">
            <v>0</v>
          </cell>
          <cell r="AY651">
            <v>19</v>
          </cell>
          <cell r="AZ651">
            <v>0</v>
          </cell>
          <cell r="BA651">
            <v>88</v>
          </cell>
        </row>
        <row r="652">
          <cell r="AS652" t="str">
            <v>17031711100</v>
          </cell>
          <cell r="AT652">
            <v>2429</v>
          </cell>
          <cell r="AU652">
            <v>879</v>
          </cell>
          <cell r="AV652">
            <v>468</v>
          </cell>
          <cell r="AW652">
            <v>244</v>
          </cell>
          <cell r="AX652">
            <v>0</v>
          </cell>
          <cell r="AY652">
            <v>0</v>
          </cell>
          <cell r="AZ652">
            <v>0</v>
          </cell>
          <cell r="BA652">
            <v>167</v>
          </cell>
        </row>
        <row r="653">
          <cell r="AS653" t="str">
            <v>17031711200</v>
          </cell>
          <cell r="AT653">
            <v>4657</v>
          </cell>
          <cell r="AU653">
            <v>1945</v>
          </cell>
          <cell r="AV653">
            <v>1287</v>
          </cell>
          <cell r="AW653">
            <v>532</v>
          </cell>
          <cell r="AX653">
            <v>0</v>
          </cell>
          <cell r="AY653">
            <v>5</v>
          </cell>
          <cell r="AZ653">
            <v>0</v>
          </cell>
          <cell r="BA653">
            <v>121</v>
          </cell>
        </row>
        <row r="654">
          <cell r="AS654" t="str">
            <v>17031711300</v>
          </cell>
          <cell r="AT654">
            <v>1612</v>
          </cell>
          <cell r="AU654">
            <v>515</v>
          </cell>
          <cell r="AV654">
            <v>444</v>
          </cell>
          <cell r="AW654">
            <v>32</v>
          </cell>
          <cell r="AX654">
            <v>0</v>
          </cell>
          <cell r="AY654">
            <v>0</v>
          </cell>
          <cell r="AZ654">
            <v>11</v>
          </cell>
          <cell r="BA654">
            <v>28</v>
          </cell>
        </row>
        <row r="655">
          <cell r="AS655" t="str">
            <v>17031711400</v>
          </cell>
          <cell r="AT655">
            <v>2586</v>
          </cell>
          <cell r="AU655">
            <v>905</v>
          </cell>
          <cell r="AV655">
            <v>590</v>
          </cell>
          <cell r="AW655">
            <v>258</v>
          </cell>
          <cell r="AX655">
            <v>24</v>
          </cell>
          <cell r="AY655">
            <v>0</v>
          </cell>
          <cell r="AZ655">
            <v>5</v>
          </cell>
          <cell r="BA655">
            <v>28</v>
          </cell>
        </row>
        <row r="656">
          <cell r="AS656" t="str">
            <v>17031711500</v>
          </cell>
          <cell r="AT656">
            <v>2728</v>
          </cell>
          <cell r="AU656">
            <v>999</v>
          </cell>
          <cell r="AV656">
            <v>718</v>
          </cell>
          <cell r="AW656">
            <v>261</v>
          </cell>
          <cell r="AX656">
            <v>0</v>
          </cell>
          <cell r="AY656">
            <v>0</v>
          </cell>
          <cell r="AZ656">
            <v>0</v>
          </cell>
          <cell r="BA656">
            <v>20</v>
          </cell>
        </row>
        <row r="657">
          <cell r="AS657" t="str">
            <v>17031720100</v>
          </cell>
          <cell r="AT657">
            <v>3357</v>
          </cell>
          <cell r="AU657">
            <v>1396</v>
          </cell>
          <cell r="AV657">
            <v>895</v>
          </cell>
          <cell r="AW657">
            <v>295</v>
          </cell>
          <cell r="AX657">
            <v>0</v>
          </cell>
          <cell r="AY657">
            <v>20</v>
          </cell>
          <cell r="AZ657">
            <v>20</v>
          </cell>
          <cell r="BA657">
            <v>166</v>
          </cell>
        </row>
        <row r="658">
          <cell r="AS658" t="str">
            <v>17031720200</v>
          </cell>
          <cell r="AT658">
            <v>3938</v>
          </cell>
          <cell r="AU658">
            <v>1633</v>
          </cell>
          <cell r="AV658">
            <v>978</v>
          </cell>
          <cell r="AW658">
            <v>449</v>
          </cell>
          <cell r="AX658">
            <v>0</v>
          </cell>
          <cell r="AY658">
            <v>9</v>
          </cell>
          <cell r="AZ658">
            <v>59</v>
          </cell>
          <cell r="BA658">
            <v>138</v>
          </cell>
        </row>
        <row r="659">
          <cell r="AS659" t="str">
            <v>17031720300</v>
          </cell>
          <cell r="AT659">
            <v>3930</v>
          </cell>
          <cell r="AU659">
            <v>2067</v>
          </cell>
          <cell r="AV659">
            <v>1446</v>
          </cell>
          <cell r="AW659">
            <v>367</v>
          </cell>
          <cell r="AX659">
            <v>0</v>
          </cell>
          <cell r="AY659">
            <v>0</v>
          </cell>
          <cell r="AZ659">
            <v>97</v>
          </cell>
          <cell r="BA659">
            <v>157</v>
          </cell>
        </row>
        <row r="660">
          <cell r="AS660" t="str">
            <v>17031720400</v>
          </cell>
          <cell r="AT660">
            <v>1819</v>
          </cell>
          <cell r="AU660">
            <v>941</v>
          </cell>
          <cell r="AV660">
            <v>775</v>
          </cell>
          <cell r="AW660">
            <v>68</v>
          </cell>
          <cell r="AX660">
            <v>0</v>
          </cell>
          <cell r="AY660">
            <v>0</v>
          </cell>
          <cell r="AZ660">
            <v>7</v>
          </cell>
          <cell r="BA660">
            <v>91</v>
          </cell>
        </row>
        <row r="661">
          <cell r="AS661" t="str">
            <v>17031720500</v>
          </cell>
          <cell r="AT661">
            <v>1846</v>
          </cell>
          <cell r="AU661">
            <v>1044</v>
          </cell>
          <cell r="AV661">
            <v>859</v>
          </cell>
          <cell r="AW661">
            <v>124</v>
          </cell>
          <cell r="AX661">
            <v>0</v>
          </cell>
          <cell r="AY661">
            <v>0</v>
          </cell>
          <cell r="AZ661">
            <v>18</v>
          </cell>
          <cell r="BA661">
            <v>43</v>
          </cell>
        </row>
        <row r="662">
          <cell r="AS662" t="str">
            <v>17031720600</v>
          </cell>
          <cell r="AT662">
            <v>1819</v>
          </cell>
          <cell r="AU662">
            <v>816</v>
          </cell>
          <cell r="AV662">
            <v>514</v>
          </cell>
          <cell r="AW662">
            <v>225</v>
          </cell>
          <cell r="AX662">
            <v>0</v>
          </cell>
          <cell r="AY662">
            <v>0</v>
          </cell>
          <cell r="AZ662">
            <v>0</v>
          </cell>
          <cell r="BA662">
            <v>77</v>
          </cell>
        </row>
        <row r="663">
          <cell r="AS663" t="str">
            <v>17031720700</v>
          </cell>
          <cell r="AT663">
            <v>3108</v>
          </cell>
          <cell r="AU663">
            <v>1765</v>
          </cell>
          <cell r="AV663">
            <v>1224</v>
          </cell>
          <cell r="AW663">
            <v>380</v>
          </cell>
          <cell r="AX663">
            <v>8</v>
          </cell>
          <cell r="AY663">
            <v>0</v>
          </cell>
          <cell r="AZ663">
            <v>3</v>
          </cell>
          <cell r="BA663">
            <v>150</v>
          </cell>
        </row>
        <row r="664">
          <cell r="AS664" t="str">
            <v>17031730100</v>
          </cell>
          <cell r="AT664">
            <v>2775</v>
          </cell>
          <cell r="AU664">
            <v>979</v>
          </cell>
          <cell r="AV664">
            <v>659</v>
          </cell>
          <cell r="AW664">
            <v>232</v>
          </cell>
          <cell r="AX664">
            <v>0</v>
          </cell>
          <cell r="AY664">
            <v>0</v>
          </cell>
          <cell r="AZ664">
            <v>11</v>
          </cell>
          <cell r="BA664">
            <v>77</v>
          </cell>
        </row>
        <row r="665">
          <cell r="AS665" t="str">
            <v>17031730201</v>
          </cell>
          <cell r="AT665">
            <v>5069</v>
          </cell>
          <cell r="AU665">
            <v>2051</v>
          </cell>
          <cell r="AV665">
            <v>1102</v>
          </cell>
          <cell r="AW665">
            <v>497</v>
          </cell>
          <cell r="AX665">
            <v>183</v>
          </cell>
          <cell r="AY665">
            <v>0</v>
          </cell>
          <cell r="AZ665">
            <v>53</v>
          </cell>
          <cell r="BA665">
            <v>216</v>
          </cell>
        </row>
        <row r="666">
          <cell r="AS666" t="str">
            <v>17031730202</v>
          </cell>
          <cell r="AT666">
            <v>3055</v>
          </cell>
          <cell r="AU666">
            <v>1207</v>
          </cell>
          <cell r="AV666">
            <v>993</v>
          </cell>
          <cell r="AW666">
            <v>96</v>
          </cell>
          <cell r="AX666">
            <v>88</v>
          </cell>
          <cell r="AY666">
            <v>0</v>
          </cell>
          <cell r="AZ666">
            <v>0</v>
          </cell>
          <cell r="BA666">
            <v>30</v>
          </cell>
        </row>
        <row r="667">
          <cell r="AS667" t="str">
            <v>17031730300</v>
          </cell>
          <cell r="AT667">
            <v>983</v>
          </cell>
          <cell r="AU667">
            <v>266</v>
          </cell>
          <cell r="AV667">
            <v>189</v>
          </cell>
          <cell r="AW667">
            <v>56</v>
          </cell>
          <cell r="AX667">
            <v>21</v>
          </cell>
          <cell r="AY667">
            <v>0</v>
          </cell>
          <cell r="AZ667">
            <v>0</v>
          </cell>
          <cell r="BA667">
            <v>0</v>
          </cell>
        </row>
        <row r="668">
          <cell r="AS668" t="str">
            <v>17031730400</v>
          </cell>
          <cell r="AT668">
            <v>4284</v>
          </cell>
          <cell r="AU668">
            <v>1963</v>
          </cell>
          <cell r="AV668">
            <v>1432</v>
          </cell>
          <cell r="AW668">
            <v>416</v>
          </cell>
          <cell r="AX668">
            <v>0</v>
          </cell>
          <cell r="AY668">
            <v>0</v>
          </cell>
          <cell r="AZ668">
            <v>1</v>
          </cell>
          <cell r="BA668">
            <v>114</v>
          </cell>
        </row>
        <row r="669">
          <cell r="AS669" t="str">
            <v>17031730500</v>
          </cell>
          <cell r="AT669">
            <v>4367</v>
          </cell>
          <cell r="AU669">
            <v>1783</v>
          </cell>
          <cell r="AV669">
            <v>1040</v>
          </cell>
          <cell r="AW669">
            <v>614</v>
          </cell>
          <cell r="AX669">
            <v>9</v>
          </cell>
          <cell r="AY669">
            <v>0</v>
          </cell>
          <cell r="AZ669">
            <v>25</v>
          </cell>
          <cell r="BA669">
            <v>95</v>
          </cell>
        </row>
        <row r="670">
          <cell r="AS670" t="str">
            <v>17031730600</v>
          </cell>
          <cell r="AT670">
            <v>4013</v>
          </cell>
          <cell r="AU670">
            <v>1196</v>
          </cell>
          <cell r="AV670">
            <v>670</v>
          </cell>
          <cell r="AW670">
            <v>260</v>
          </cell>
          <cell r="AX670">
            <v>0</v>
          </cell>
          <cell r="AY670">
            <v>0</v>
          </cell>
          <cell r="AZ670">
            <v>65</v>
          </cell>
          <cell r="BA670">
            <v>201</v>
          </cell>
        </row>
        <row r="671">
          <cell r="AS671" t="str">
            <v>17031730700</v>
          </cell>
          <cell r="AT671">
            <v>2394</v>
          </cell>
          <cell r="AU671">
            <v>837</v>
          </cell>
          <cell r="AV671">
            <v>594</v>
          </cell>
          <cell r="AW671">
            <v>210</v>
          </cell>
          <cell r="AX671">
            <v>0</v>
          </cell>
          <cell r="AY671">
            <v>0</v>
          </cell>
          <cell r="AZ671">
            <v>19</v>
          </cell>
          <cell r="BA671">
            <v>14</v>
          </cell>
        </row>
        <row r="672">
          <cell r="AS672" t="str">
            <v>17031740100</v>
          </cell>
          <cell r="AT672">
            <v>2962</v>
          </cell>
          <cell r="AU672">
            <v>1338</v>
          </cell>
          <cell r="AV672">
            <v>1219</v>
          </cell>
          <cell r="AW672">
            <v>28</v>
          </cell>
          <cell r="AX672">
            <v>0</v>
          </cell>
          <cell r="AY672">
            <v>0</v>
          </cell>
          <cell r="AZ672">
            <v>0</v>
          </cell>
          <cell r="BA672">
            <v>91</v>
          </cell>
        </row>
        <row r="673">
          <cell r="AS673" t="str">
            <v>17031740200</v>
          </cell>
          <cell r="AT673">
            <v>6573</v>
          </cell>
          <cell r="AU673">
            <v>2804</v>
          </cell>
          <cell r="AV673">
            <v>2127</v>
          </cell>
          <cell r="AW673">
            <v>399</v>
          </cell>
          <cell r="AX673">
            <v>0</v>
          </cell>
          <cell r="AY673">
            <v>10</v>
          </cell>
          <cell r="AZ673">
            <v>148</v>
          </cell>
          <cell r="BA673">
            <v>120</v>
          </cell>
        </row>
        <row r="674">
          <cell r="AS674" t="str">
            <v>17031740300</v>
          </cell>
          <cell r="AT674">
            <v>4865</v>
          </cell>
          <cell r="AU674">
            <v>2427</v>
          </cell>
          <cell r="AV674">
            <v>2257</v>
          </cell>
          <cell r="AW674">
            <v>66</v>
          </cell>
          <cell r="AX674">
            <v>0</v>
          </cell>
          <cell r="AY674">
            <v>19</v>
          </cell>
          <cell r="AZ674">
            <v>0</v>
          </cell>
          <cell r="BA674">
            <v>85</v>
          </cell>
        </row>
        <row r="675">
          <cell r="AS675" t="str">
            <v>17031740400</v>
          </cell>
          <cell r="AT675">
            <v>4440</v>
          </cell>
          <cell r="AU675">
            <v>2278</v>
          </cell>
          <cell r="AV675">
            <v>2045</v>
          </cell>
          <cell r="AW675">
            <v>155</v>
          </cell>
          <cell r="AX675">
            <v>0</v>
          </cell>
          <cell r="AY675">
            <v>0</v>
          </cell>
          <cell r="AZ675">
            <v>11</v>
          </cell>
          <cell r="BA675">
            <v>67</v>
          </cell>
        </row>
        <row r="676">
          <cell r="AS676" t="str">
            <v>17031750100</v>
          </cell>
          <cell r="AT676">
            <v>3680</v>
          </cell>
          <cell r="AU676">
            <v>1361</v>
          </cell>
          <cell r="AV676">
            <v>1109</v>
          </cell>
          <cell r="AW676">
            <v>179</v>
          </cell>
          <cell r="AX676">
            <v>0</v>
          </cell>
          <cell r="AY676">
            <v>0</v>
          </cell>
          <cell r="AZ676">
            <v>0</v>
          </cell>
          <cell r="BA676">
            <v>73</v>
          </cell>
        </row>
        <row r="677">
          <cell r="AS677" t="str">
            <v>17031750200</v>
          </cell>
          <cell r="AT677">
            <v>2700</v>
          </cell>
          <cell r="AU677">
            <v>1551</v>
          </cell>
          <cell r="AV677">
            <v>1273</v>
          </cell>
          <cell r="AW677">
            <v>181</v>
          </cell>
          <cell r="AX677">
            <v>0</v>
          </cell>
          <cell r="AY677">
            <v>0</v>
          </cell>
          <cell r="AZ677">
            <v>29</v>
          </cell>
          <cell r="BA677">
            <v>68</v>
          </cell>
        </row>
        <row r="678">
          <cell r="AS678" t="str">
            <v>17031750300</v>
          </cell>
          <cell r="AT678">
            <v>2523</v>
          </cell>
          <cell r="AU678">
            <v>1254</v>
          </cell>
          <cell r="AV678">
            <v>860</v>
          </cell>
          <cell r="AW678">
            <v>142</v>
          </cell>
          <cell r="AX678">
            <v>8</v>
          </cell>
          <cell r="AY678">
            <v>0</v>
          </cell>
          <cell r="AZ678">
            <v>10</v>
          </cell>
          <cell r="BA678">
            <v>234</v>
          </cell>
        </row>
        <row r="679">
          <cell r="AS679" t="str">
            <v>17031750400</v>
          </cell>
          <cell r="AT679">
            <v>2883</v>
          </cell>
          <cell r="AU679">
            <v>1700</v>
          </cell>
          <cell r="AV679">
            <v>1381</v>
          </cell>
          <cell r="AW679">
            <v>54</v>
          </cell>
          <cell r="AX679">
            <v>0</v>
          </cell>
          <cell r="AY679">
            <v>0</v>
          </cell>
          <cell r="AZ679">
            <v>27</v>
          </cell>
          <cell r="BA679">
            <v>238</v>
          </cell>
        </row>
        <row r="680">
          <cell r="AS680" t="str">
            <v>17031750500</v>
          </cell>
          <cell r="AT680">
            <v>5355</v>
          </cell>
          <cell r="AU680">
            <v>1841</v>
          </cell>
          <cell r="AV680">
            <v>1481</v>
          </cell>
          <cell r="AW680">
            <v>106</v>
          </cell>
          <cell r="AX680">
            <v>0</v>
          </cell>
          <cell r="AY680">
            <v>0</v>
          </cell>
          <cell r="AZ680">
            <v>43</v>
          </cell>
          <cell r="BA680">
            <v>211</v>
          </cell>
        </row>
        <row r="681">
          <cell r="AS681" t="str">
            <v>17031750600</v>
          </cell>
          <cell r="AT681">
            <v>3385</v>
          </cell>
          <cell r="AU681">
            <v>1181</v>
          </cell>
          <cell r="AV681">
            <v>909</v>
          </cell>
          <cell r="AW681">
            <v>151</v>
          </cell>
          <cell r="AX681">
            <v>0</v>
          </cell>
          <cell r="AY681">
            <v>0</v>
          </cell>
          <cell r="AZ681">
            <v>0</v>
          </cell>
          <cell r="BA681">
            <v>121</v>
          </cell>
        </row>
        <row r="682">
          <cell r="AS682" t="str">
            <v>17031760801</v>
          </cell>
          <cell r="AT682">
            <v>5012</v>
          </cell>
          <cell r="AU682">
            <v>2696</v>
          </cell>
          <cell r="AV682">
            <v>1759</v>
          </cell>
          <cell r="AW682">
            <v>703</v>
          </cell>
          <cell r="AX682">
            <v>33</v>
          </cell>
          <cell r="AY682">
            <v>0</v>
          </cell>
          <cell r="AZ682">
            <v>77</v>
          </cell>
          <cell r="BA682">
            <v>124</v>
          </cell>
        </row>
        <row r="683">
          <cell r="AS683" t="str">
            <v>17031760802</v>
          </cell>
          <cell r="AT683">
            <v>2343</v>
          </cell>
          <cell r="AU683">
            <v>1105</v>
          </cell>
          <cell r="AV683">
            <v>920</v>
          </cell>
          <cell r="AW683">
            <v>143</v>
          </cell>
          <cell r="AX683">
            <v>0</v>
          </cell>
          <cell r="AY683">
            <v>0</v>
          </cell>
          <cell r="AZ683">
            <v>10</v>
          </cell>
          <cell r="BA683">
            <v>32</v>
          </cell>
        </row>
        <row r="684">
          <cell r="AS684" t="str">
            <v>17031760803</v>
          </cell>
          <cell r="AT684">
            <v>5930</v>
          </cell>
          <cell r="AU684">
            <v>3571</v>
          </cell>
          <cell r="AV684">
            <v>2961</v>
          </cell>
          <cell r="AW684">
            <v>422</v>
          </cell>
          <cell r="AX684">
            <v>0</v>
          </cell>
          <cell r="AY684">
            <v>0</v>
          </cell>
          <cell r="AZ684">
            <v>0</v>
          </cell>
          <cell r="BA684">
            <v>188</v>
          </cell>
        </row>
        <row r="685">
          <cell r="AS685" t="str">
            <v>17031770201</v>
          </cell>
          <cell r="AT685">
            <v>6163</v>
          </cell>
          <cell r="AU685">
            <v>3395</v>
          </cell>
          <cell r="AV685">
            <v>2945</v>
          </cell>
          <cell r="AW685">
            <v>93</v>
          </cell>
          <cell r="AX685">
            <v>0</v>
          </cell>
          <cell r="AY685">
            <v>0</v>
          </cell>
          <cell r="AZ685">
            <v>46</v>
          </cell>
          <cell r="BA685">
            <v>311</v>
          </cell>
        </row>
        <row r="686">
          <cell r="AS686" t="str">
            <v>17031770202</v>
          </cell>
          <cell r="AT686">
            <v>4425</v>
          </cell>
          <cell r="AU686">
            <v>1759</v>
          </cell>
          <cell r="AV686">
            <v>1392</v>
          </cell>
          <cell r="AW686">
            <v>30</v>
          </cell>
          <cell r="AX686">
            <v>14</v>
          </cell>
          <cell r="AY686">
            <v>0</v>
          </cell>
          <cell r="AZ686">
            <v>25</v>
          </cell>
          <cell r="BA686">
            <v>298</v>
          </cell>
        </row>
        <row r="687">
          <cell r="AS687" t="str">
            <v>17031770300</v>
          </cell>
          <cell r="AT687">
            <v>6870</v>
          </cell>
          <cell r="AU687">
            <v>3812</v>
          </cell>
          <cell r="AV687">
            <v>3335</v>
          </cell>
          <cell r="AW687">
            <v>215</v>
          </cell>
          <cell r="AX687">
            <v>0</v>
          </cell>
          <cell r="AY687">
            <v>15</v>
          </cell>
          <cell r="AZ687">
            <v>20</v>
          </cell>
          <cell r="BA687">
            <v>227</v>
          </cell>
        </row>
        <row r="688">
          <cell r="AS688" t="str">
            <v>17031770400</v>
          </cell>
          <cell r="AT688">
            <v>4516</v>
          </cell>
          <cell r="AU688">
            <v>2472</v>
          </cell>
          <cell r="AV688">
            <v>2167</v>
          </cell>
          <cell r="AW688">
            <v>37</v>
          </cell>
          <cell r="AX688">
            <v>8</v>
          </cell>
          <cell r="AY688">
            <v>43</v>
          </cell>
          <cell r="AZ688">
            <v>26</v>
          </cell>
          <cell r="BA688">
            <v>191</v>
          </cell>
        </row>
        <row r="689">
          <cell r="AS689" t="str">
            <v>17031770500</v>
          </cell>
          <cell r="AT689">
            <v>3752</v>
          </cell>
          <cell r="AU689">
            <v>1660</v>
          </cell>
          <cell r="AV689">
            <v>1623</v>
          </cell>
          <cell r="AW689">
            <v>28</v>
          </cell>
          <cell r="AX689">
            <v>0</v>
          </cell>
          <cell r="AY689">
            <v>0</v>
          </cell>
          <cell r="AZ689">
            <v>0</v>
          </cell>
          <cell r="BA689">
            <v>9</v>
          </cell>
        </row>
        <row r="690">
          <cell r="AS690" t="str">
            <v>17031770601</v>
          </cell>
          <cell r="AT690">
            <v>3540</v>
          </cell>
          <cell r="AU690">
            <v>1917</v>
          </cell>
          <cell r="AV690">
            <v>1698</v>
          </cell>
          <cell r="AW690">
            <v>97</v>
          </cell>
          <cell r="AX690">
            <v>0</v>
          </cell>
          <cell r="AY690">
            <v>0</v>
          </cell>
          <cell r="AZ690">
            <v>0</v>
          </cell>
          <cell r="BA690">
            <v>122</v>
          </cell>
        </row>
        <row r="691">
          <cell r="AS691" t="str">
            <v>17031770602</v>
          </cell>
          <cell r="AT691">
            <v>4787</v>
          </cell>
          <cell r="AU691">
            <v>2342</v>
          </cell>
          <cell r="AV691">
            <v>1984</v>
          </cell>
          <cell r="AW691">
            <v>231</v>
          </cell>
          <cell r="AX691">
            <v>0</v>
          </cell>
          <cell r="AY691">
            <v>31</v>
          </cell>
          <cell r="AZ691">
            <v>46</v>
          </cell>
          <cell r="BA691">
            <v>50</v>
          </cell>
        </row>
        <row r="692">
          <cell r="AS692" t="str">
            <v>17031770700</v>
          </cell>
          <cell r="AT692">
            <v>2283</v>
          </cell>
          <cell r="AU692">
            <v>1121</v>
          </cell>
          <cell r="AV692">
            <v>954</v>
          </cell>
          <cell r="AW692">
            <v>59</v>
          </cell>
          <cell r="AX692">
            <v>18</v>
          </cell>
          <cell r="AY692">
            <v>2</v>
          </cell>
          <cell r="AZ692">
            <v>49</v>
          </cell>
          <cell r="BA692">
            <v>39</v>
          </cell>
        </row>
        <row r="693">
          <cell r="AS693" t="str">
            <v>17031770800</v>
          </cell>
          <cell r="AT693">
            <v>5154</v>
          </cell>
          <cell r="AU693">
            <v>2675</v>
          </cell>
          <cell r="AV693">
            <v>2549</v>
          </cell>
          <cell r="AW693">
            <v>2</v>
          </cell>
          <cell r="AX693">
            <v>0</v>
          </cell>
          <cell r="AY693">
            <v>0</v>
          </cell>
          <cell r="AZ693">
            <v>26</v>
          </cell>
          <cell r="BA693">
            <v>98</v>
          </cell>
        </row>
        <row r="694">
          <cell r="AS694" t="str">
            <v>17031770901</v>
          </cell>
          <cell r="AT694">
            <v>4650</v>
          </cell>
          <cell r="AU694">
            <v>2447</v>
          </cell>
          <cell r="AV694">
            <v>2016</v>
          </cell>
          <cell r="AW694">
            <v>189</v>
          </cell>
          <cell r="AX694">
            <v>0</v>
          </cell>
          <cell r="AY694">
            <v>9</v>
          </cell>
          <cell r="AZ694">
            <v>0</v>
          </cell>
          <cell r="BA694">
            <v>233</v>
          </cell>
        </row>
        <row r="695">
          <cell r="AS695" t="str">
            <v>17031770902</v>
          </cell>
          <cell r="AT695">
            <v>3427</v>
          </cell>
          <cell r="AU695">
            <v>1721</v>
          </cell>
          <cell r="AV695">
            <v>1515</v>
          </cell>
          <cell r="AW695">
            <v>108</v>
          </cell>
          <cell r="AX695">
            <v>8</v>
          </cell>
          <cell r="AY695">
            <v>0</v>
          </cell>
          <cell r="AZ695">
            <v>19</v>
          </cell>
          <cell r="BA695">
            <v>71</v>
          </cell>
        </row>
        <row r="696">
          <cell r="AS696" t="str">
            <v>17031800100</v>
          </cell>
          <cell r="AT696">
            <v>2275</v>
          </cell>
          <cell r="AU696">
            <v>879</v>
          </cell>
          <cell r="AV696">
            <v>551</v>
          </cell>
          <cell r="AW696">
            <v>201</v>
          </cell>
          <cell r="AX696">
            <v>0</v>
          </cell>
          <cell r="AY696">
            <v>0</v>
          </cell>
          <cell r="AZ696">
            <v>0</v>
          </cell>
          <cell r="BA696">
            <v>127</v>
          </cell>
        </row>
        <row r="697">
          <cell r="AS697" t="str">
            <v>17031800200</v>
          </cell>
          <cell r="AT697">
            <v>6561</v>
          </cell>
          <cell r="AU697">
            <v>2412</v>
          </cell>
          <cell r="AV697">
            <v>1555</v>
          </cell>
          <cell r="AW697">
            <v>570</v>
          </cell>
          <cell r="AX697">
            <v>0</v>
          </cell>
          <cell r="AY697">
            <v>16</v>
          </cell>
          <cell r="AZ697">
            <v>30</v>
          </cell>
          <cell r="BA697">
            <v>241</v>
          </cell>
        </row>
        <row r="698">
          <cell r="AS698" t="str">
            <v>17031800300</v>
          </cell>
          <cell r="AT698">
            <v>3302</v>
          </cell>
          <cell r="AU698">
            <v>1216</v>
          </cell>
          <cell r="AV698">
            <v>596</v>
          </cell>
          <cell r="AW698">
            <v>337</v>
          </cell>
          <cell r="AX698">
            <v>0</v>
          </cell>
          <cell r="AY698">
            <v>0</v>
          </cell>
          <cell r="AZ698">
            <v>22</v>
          </cell>
          <cell r="BA698">
            <v>261</v>
          </cell>
        </row>
        <row r="699">
          <cell r="AS699" t="str">
            <v>17031800400</v>
          </cell>
          <cell r="AT699">
            <v>3517</v>
          </cell>
          <cell r="AU699">
            <v>1384</v>
          </cell>
          <cell r="AV699">
            <v>731</v>
          </cell>
          <cell r="AW699">
            <v>337</v>
          </cell>
          <cell r="AX699">
            <v>0</v>
          </cell>
          <cell r="AY699">
            <v>0</v>
          </cell>
          <cell r="AZ699">
            <v>17</v>
          </cell>
          <cell r="BA699">
            <v>299</v>
          </cell>
        </row>
        <row r="700">
          <cell r="AS700" t="str">
            <v>17031800500</v>
          </cell>
          <cell r="AT700">
            <v>5498</v>
          </cell>
          <cell r="AU700">
            <v>2310</v>
          </cell>
          <cell r="AV700">
            <v>1286</v>
          </cell>
          <cell r="AW700">
            <v>493</v>
          </cell>
          <cell r="AX700">
            <v>0</v>
          </cell>
          <cell r="AY700">
            <v>4</v>
          </cell>
          <cell r="AZ700">
            <v>65</v>
          </cell>
          <cell r="BA700">
            <v>462</v>
          </cell>
        </row>
        <row r="701">
          <cell r="AS701" t="str">
            <v>17031800600</v>
          </cell>
          <cell r="AT701">
            <v>2191</v>
          </cell>
          <cell r="AU701">
            <v>781</v>
          </cell>
          <cell r="AV701">
            <v>353</v>
          </cell>
          <cell r="AW701">
            <v>242</v>
          </cell>
          <cell r="AX701">
            <v>0</v>
          </cell>
          <cell r="AY701">
            <v>12</v>
          </cell>
          <cell r="AZ701">
            <v>34</v>
          </cell>
          <cell r="BA701">
            <v>140</v>
          </cell>
        </row>
        <row r="702">
          <cell r="AS702" t="str">
            <v>17031800700</v>
          </cell>
          <cell r="AT702">
            <v>4774</v>
          </cell>
          <cell r="AU702">
            <v>1802</v>
          </cell>
          <cell r="AV702">
            <v>1034</v>
          </cell>
          <cell r="AW702">
            <v>470</v>
          </cell>
          <cell r="AX702">
            <v>7</v>
          </cell>
          <cell r="AY702">
            <v>0</v>
          </cell>
          <cell r="AZ702">
            <v>64</v>
          </cell>
          <cell r="BA702">
            <v>227</v>
          </cell>
        </row>
        <row r="703">
          <cell r="AS703" t="str">
            <v>17031800800</v>
          </cell>
          <cell r="AT703">
            <v>2351</v>
          </cell>
          <cell r="AU703">
            <v>999</v>
          </cell>
          <cell r="AV703">
            <v>736</v>
          </cell>
          <cell r="AW703">
            <v>75</v>
          </cell>
          <cell r="AX703">
            <v>0</v>
          </cell>
          <cell r="AY703">
            <v>14</v>
          </cell>
          <cell r="AZ703">
            <v>32</v>
          </cell>
          <cell r="BA703">
            <v>142</v>
          </cell>
        </row>
        <row r="704">
          <cell r="AS704" t="str">
            <v>17031800900</v>
          </cell>
          <cell r="AT704">
            <v>4357</v>
          </cell>
          <cell r="AU704">
            <v>1982</v>
          </cell>
          <cell r="AV704">
            <v>1368</v>
          </cell>
          <cell r="AW704">
            <v>373</v>
          </cell>
          <cell r="AX704">
            <v>14</v>
          </cell>
          <cell r="AY704">
            <v>8</v>
          </cell>
          <cell r="AZ704">
            <v>64</v>
          </cell>
          <cell r="BA704">
            <v>155</v>
          </cell>
        </row>
        <row r="705">
          <cell r="AS705" t="str">
            <v>17031801000</v>
          </cell>
          <cell r="AT705">
            <v>5158</v>
          </cell>
          <cell r="AU705">
            <v>2296</v>
          </cell>
          <cell r="AV705">
            <v>1448</v>
          </cell>
          <cell r="AW705">
            <v>395</v>
          </cell>
          <cell r="AX705">
            <v>0</v>
          </cell>
          <cell r="AY705">
            <v>11</v>
          </cell>
          <cell r="AZ705">
            <v>44</v>
          </cell>
          <cell r="BA705">
            <v>398</v>
          </cell>
        </row>
        <row r="706">
          <cell r="AS706" t="str">
            <v>17031801100</v>
          </cell>
          <cell r="AT706">
            <v>4896</v>
          </cell>
          <cell r="AU706">
            <v>2473</v>
          </cell>
          <cell r="AV706">
            <v>1155</v>
          </cell>
          <cell r="AW706">
            <v>480</v>
          </cell>
          <cell r="AX706">
            <v>0</v>
          </cell>
          <cell r="AY706">
            <v>20</v>
          </cell>
          <cell r="AZ706">
            <v>30</v>
          </cell>
          <cell r="BA706">
            <v>788</v>
          </cell>
        </row>
        <row r="707">
          <cell r="AS707" t="str">
            <v>17031801200</v>
          </cell>
          <cell r="AT707">
            <v>3604</v>
          </cell>
          <cell r="AU707">
            <v>1431</v>
          </cell>
          <cell r="AV707">
            <v>823</v>
          </cell>
          <cell r="AW707">
            <v>281</v>
          </cell>
          <cell r="AX707">
            <v>0</v>
          </cell>
          <cell r="AY707">
            <v>12</v>
          </cell>
          <cell r="AZ707">
            <v>66</v>
          </cell>
          <cell r="BA707">
            <v>249</v>
          </cell>
        </row>
        <row r="708">
          <cell r="AS708" t="str">
            <v>17031801300</v>
          </cell>
          <cell r="AT708">
            <v>4279</v>
          </cell>
          <cell r="AU708">
            <v>1748</v>
          </cell>
          <cell r="AV708">
            <v>789</v>
          </cell>
          <cell r="AW708">
            <v>536</v>
          </cell>
          <cell r="AX708">
            <v>0</v>
          </cell>
          <cell r="AY708">
            <v>12</v>
          </cell>
          <cell r="AZ708">
            <v>56</v>
          </cell>
          <cell r="BA708">
            <v>355</v>
          </cell>
        </row>
        <row r="709">
          <cell r="AS709" t="str">
            <v>17031801400</v>
          </cell>
          <cell r="AT709">
            <v>3133</v>
          </cell>
          <cell r="AU709">
            <v>1357</v>
          </cell>
          <cell r="AV709">
            <v>1128</v>
          </cell>
          <cell r="AW709">
            <v>120</v>
          </cell>
          <cell r="AX709">
            <v>0</v>
          </cell>
          <cell r="AY709">
            <v>0</v>
          </cell>
          <cell r="AZ709">
            <v>14</v>
          </cell>
          <cell r="BA709">
            <v>95</v>
          </cell>
        </row>
        <row r="710">
          <cell r="AS710" t="str">
            <v>17031801500</v>
          </cell>
          <cell r="AT710">
            <v>5814</v>
          </cell>
          <cell r="AU710">
            <v>2551</v>
          </cell>
          <cell r="AV710">
            <v>1606</v>
          </cell>
          <cell r="AW710">
            <v>272</v>
          </cell>
          <cell r="AX710">
            <v>0</v>
          </cell>
          <cell r="AY710">
            <v>18</v>
          </cell>
          <cell r="AZ710">
            <v>50</v>
          </cell>
          <cell r="BA710">
            <v>605</v>
          </cell>
        </row>
        <row r="711">
          <cell r="AS711" t="str">
            <v>17031801601</v>
          </cell>
          <cell r="AT711">
            <v>3938</v>
          </cell>
          <cell r="AU711">
            <v>1818</v>
          </cell>
          <cell r="AV711">
            <v>1438</v>
          </cell>
          <cell r="AW711">
            <v>113</v>
          </cell>
          <cell r="AX711">
            <v>23</v>
          </cell>
          <cell r="AY711">
            <v>0</v>
          </cell>
          <cell r="AZ711">
            <v>16</v>
          </cell>
          <cell r="BA711">
            <v>228</v>
          </cell>
        </row>
        <row r="712">
          <cell r="AS712" t="str">
            <v>17031801603</v>
          </cell>
          <cell r="AT712">
            <v>3821</v>
          </cell>
          <cell r="AU712">
            <v>1774</v>
          </cell>
          <cell r="AV712">
            <v>1419</v>
          </cell>
          <cell r="AW712">
            <v>156</v>
          </cell>
          <cell r="AX712">
            <v>10</v>
          </cell>
          <cell r="AY712">
            <v>0</v>
          </cell>
          <cell r="AZ712">
            <v>34</v>
          </cell>
          <cell r="BA712">
            <v>155</v>
          </cell>
        </row>
        <row r="713">
          <cell r="AS713" t="str">
            <v>17031801605</v>
          </cell>
          <cell r="AT713">
            <v>5349</v>
          </cell>
          <cell r="AU713">
            <v>2426</v>
          </cell>
          <cell r="AV713">
            <v>1600</v>
          </cell>
          <cell r="AW713">
            <v>376</v>
          </cell>
          <cell r="AX713">
            <v>0</v>
          </cell>
          <cell r="AY713">
            <v>0</v>
          </cell>
          <cell r="AZ713">
            <v>12</v>
          </cell>
          <cell r="BA713">
            <v>438</v>
          </cell>
        </row>
        <row r="714">
          <cell r="AS714" t="str">
            <v>17031801606</v>
          </cell>
          <cell r="AT714">
            <v>6972</v>
          </cell>
          <cell r="AU714">
            <v>3610</v>
          </cell>
          <cell r="AV714">
            <v>3143</v>
          </cell>
          <cell r="AW714">
            <v>227</v>
          </cell>
          <cell r="AX714">
            <v>5</v>
          </cell>
          <cell r="AY714">
            <v>0</v>
          </cell>
          <cell r="AZ714">
            <v>20</v>
          </cell>
          <cell r="BA714">
            <v>215</v>
          </cell>
        </row>
        <row r="715">
          <cell r="AS715" t="str">
            <v>17031801607</v>
          </cell>
          <cell r="AT715">
            <v>5582</v>
          </cell>
          <cell r="AU715">
            <v>2755</v>
          </cell>
          <cell r="AV715">
            <v>2097</v>
          </cell>
          <cell r="AW715">
            <v>251</v>
          </cell>
          <cell r="AX715">
            <v>14</v>
          </cell>
          <cell r="AY715">
            <v>0</v>
          </cell>
          <cell r="AZ715">
            <v>11</v>
          </cell>
          <cell r="BA715">
            <v>382</v>
          </cell>
        </row>
        <row r="716">
          <cell r="AS716" t="str">
            <v>17031801608</v>
          </cell>
          <cell r="AT716">
            <v>6526</v>
          </cell>
          <cell r="AU716">
            <v>2711</v>
          </cell>
          <cell r="AV716">
            <v>1906</v>
          </cell>
          <cell r="AW716">
            <v>452</v>
          </cell>
          <cell r="AX716">
            <v>0</v>
          </cell>
          <cell r="AY716">
            <v>10</v>
          </cell>
          <cell r="AZ716">
            <v>17</v>
          </cell>
          <cell r="BA716">
            <v>326</v>
          </cell>
        </row>
        <row r="717">
          <cell r="AS717" t="str">
            <v>17031801701</v>
          </cell>
          <cell r="AT717">
            <v>3488</v>
          </cell>
          <cell r="AU717">
            <v>1714</v>
          </cell>
          <cell r="AV717">
            <v>1311</v>
          </cell>
          <cell r="AW717">
            <v>201</v>
          </cell>
          <cell r="AX717">
            <v>0</v>
          </cell>
          <cell r="AY717">
            <v>22</v>
          </cell>
          <cell r="AZ717">
            <v>0</v>
          </cell>
          <cell r="BA717">
            <v>180</v>
          </cell>
        </row>
        <row r="718">
          <cell r="AS718" t="str">
            <v>17031801702</v>
          </cell>
          <cell r="AT718">
            <v>4575</v>
          </cell>
          <cell r="AU718">
            <v>2155</v>
          </cell>
          <cell r="AV718">
            <v>1474</v>
          </cell>
          <cell r="AW718">
            <v>241</v>
          </cell>
          <cell r="AX718">
            <v>0</v>
          </cell>
          <cell r="AY718">
            <v>23</v>
          </cell>
          <cell r="AZ718">
            <v>67</v>
          </cell>
          <cell r="BA718">
            <v>350</v>
          </cell>
        </row>
        <row r="719">
          <cell r="AS719" t="str">
            <v>17031801800</v>
          </cell>
          <cell r="AT719">
            <v>5857</v>
          </cell>
          <cell r="AU719">
            <v>2511</v>
          </cell>
          <cell r="AV719">
            <v>1420</v>
          </cell>
          <cell r="AW719">
            <v>365</v>
          </cell>
          <cell r="AX719">
            <v>0</v>
          </cell>
          <cell r="AY719">
            <v>16</v>
          </cell>
          <cell r="AZ719">
            <v>27</v>
          </cell>
          <cell r="BA719">
            <v>683</v>
          </cell>
        </row>
        <row r="720">
          <cell r="AS720" t="str">
            <v>17031801901</v>
          </cell>
          <cell r="AT720">
            <v>4298</v>
          </cell>
          <cell r="AU720">
            <v>1837</v>
          </cell>
          <cell r="AV720">
            <v>1388</v>
          </cell>
          <cell r="AW720">
            <v>186</v>
          </cell>
          <cell r="AX720">
            <v>0</v>
          </cell>
          <cell r="AY720">
            <v>0</v>
          </cell>
          <cell r="AZ720">
            <v>23</v>
          </cell>
          <cell r="BA720">
            <v>240</v>
          </cell>
        </row>
        <row r="721">
          <cell r="AS721" t="str">
            <v>17031801902</v>
          </cell>
          <cell r="AT721">
            <v>3860</v>
          </cell>
          <cell r="AU721">
            <v>1808</v>
          </cell>
          <cell r="AV721">
            <v>1211</v>
          </cell>
          <cell r="AW721">
            <v>189</v>
          </cell>
          <cell r="AX721">
            <v>0</v>
          </cell>
          <cell r="AY721">
            <v>0</v>
          </cell>
          <cell r="AZ721">
            <v>43</v>
          </cell>
          <cell r="BA721">
            <v>365</v>
          </cell>
        </row>
        <row r="722">
          <cell r="AS722" t="str">
            <v>17031802002</v>
          </cell>
          <cell r="AT722">
            <v>5146</v>
          </cell>
          <cell r="AU722">
            <v>2460</v>
          </cell>
          <cell r="AV722">
            <v>1939</v>
          </cell>
          <cell r="AW722">
            <v>168</v>
          </cell>
          <cell r="AX722">
            <v>0</v>
          </cell>
          <cell r="AY722">
            <v>51</v>
          </cell>
          <cell r="AZ722">
            <v>11</v>
          </cell>
          <cell r="BA722">
            <v>291</v>
          </cell>
        </row>
        <row r="723">
          <cell r="AS723" t="str">
            <v>17031802003</v>
          </cell>
          <cell r="AT723">
            <v>2275</v>
          </cell>
          <cell r="AU723">
            <v>978</v>
          </cell>
          <cell r="AV723">
            <v>784</v>
          </cell>
          <cell r="AW723">
            <v>81</v>
          </cell>
          <cell r="AX723">
            <v>0</v>
          </cell>
          <cell r="AY723">
            <v>5</v>
          </cell>
          <cell r="AZ723">
            <v>11</v>
          </cell>
          <cell r="BA723">
            <v>97</v>
          </cell>
        </row>
        <row r="724">
          <cell r="AS724" t="str">
            <v>17031802004</v>
          </cell>
          <cell r="AT724">
            <v>5610</v>
          </cell>
          <cell r="AU724">
            <v>2278</v>
          </cell>
          <cell r="AV724">
            <v>2121</v>
          </cell>
          <cell r="AW724">
            <v>32</v>
          </cell>
          <cell r="AX724">
            <v>11</v>
          </cell>
          <cell r="AY724">
            <v>0</v>
          </cell>
          <cell r="AZ724">
            <v>0</v>
          </cell>
          <cell r="BA724">
            <v>114</v>
          </cell>
        </row>
        <row r="725">
          <cell r="AS725" t="str">
            <v>17031802100</v>
          </cell>
          <cell r="AT725">
            <v>3555</v>
          </cell>
          <cell r="AU725">
            <v>1396</v>
          </cell>
          <cell r="AV725">
            <v>854</v>
          </cell>
          <cell r="AW725">
            <v>301</v>
          </cell>
          <cell r="AX725">
            <v>0</v>
          </cell>
          <cell r="AY725">
            <v>0</v>
          </cell>
          <cell r="AZ725">
            <v>22</v>
          </cell>
          <cell r="BA725">
            <v>219</v>
          </cell>
        </row>
        <row r="726">
          <cell r="AS726" t="str">
            <v>17031802200</v>
          </cell>
          <cell r="AT726">
            <v>4778</v>
          </cell>
          <cell r="AU726">
            <v>2325</v>
          </cell>
          <cell r="AV726">
            <v>1497</v>
          </cell>
          <cell r="AW726">
            <v>369</v>
          </cell>
          <cell r="AX726">
            <v>0</v>
          </cell>
          <cell r="AY726">
            <v>0</v>
          </cell>
          <cell r="AZ726">
            <v>114</v>
          </cell>
          <cell r="BA726">
            <v>345</v>
          </cell>
        </row>
        <row r="727">
          <cell r="AS727" t="str">
            <v>17031802300</v>
          </cell>
          <cell r="AT727">
            <v>5378</v>
          </cell>
          <cell r="AU727">
            <v>2243</v>
          </cell>
          <cell r="AV727">
            <v>1496</v>
          </cell>
          <cell r="AW727">
            <v>396</v>
          </cell>
          <cell r="AX727">
            <v>0</v>
          </cell>
          <cell r="AY727">
            <v>0</v>
          </cell>
          <cell r="AZ727">
            <v>0</v>
          </cell>
          <cell r="BA727">
            <v>351</v>
          </cell>
        </row>
        <row r="728">
          <cell r="AS728" t="str">
            <v>17031802402</v>
          </cell>
          <cell r="AT728">
            <v>6333</v>
          </cell>
          <cell r="AU728">
            <v>3004</v>
          </cell>
          <cell r="AV728">
            <v>2643</v>
          </cell>
          <cell r="AW728">
            <v>112</v>
          </cell>
          <cell r="AX728">
            <v>0</v>
          </cell>
          <cell r="AY728">
            <v>0</v>
          </cell>
          <cell r="AZ728">
            <v>186</v>
          </cell>
          <cell r="BA728">
            <v>63</v>
          </cell>
        </row>
        <row r="729">
          <cell r="AS729" t="str">
            <v>17031802403</v>
          </cell>
          <cell r="AT729">
            <v>1356</v>
          </cell>
          <cell r="AU729">
            <v>747</v>
          </cell>
          <cell r="AV729">
            <v>681</v>
          </cell>
          <cell r="AW729">
            <v>0</v>
          </cell>
          <cell r="AX729">
            <v>0</v>
          </cell>
          <cell r="AY729">
            <v>0</v>
          </cell>
          <cell r="AZ729">
            <v>1</v>
          </cell>
          <cell r="BA729">
            <v>65</v>
          </cell>
        </row>
        <row r="730">
          <cell r="AS730" t="str">
            <v>17031802404</v>
          </cell>
          <cell r="AT730">
            <v>7413</v>
          </cell>
          <cell r="AU730">
            <v>4129</v>
          </cell>
          <cell r="AV730">
            <v>3871</v>
          </cell>
          <cell r="AW730">
            <v>61</v>
          </cell>
          <cell r="AX730">
            <v>0</v>
          </cell>
          <cell r="AY730">
            <v>0</v>
          </cell>
          <cell r="AZ730">
            <v>0</v>
          </cell>
          <cell r="BA730">
            <v>197</v>
          </cell>
        </row>
        <row r="731">
          <cell r="AS731" t="str">
            <v>17031802503</v>
          </cell>
          <cell r="AT731">
            <v>6971</v>
          </cell>
          <cell r="AU731">
            <v>3654</v>
          </cell>
          <cell r="AV731">
            <v>2866</v>
          </cell>
          <cell r="AW731">
            <v>179</v>
          </cell>
          <cell r="AX731">
            <v>0</v>
          </cell>
          <cell r="AY731">
            <v>0</v>
          </cell>
          <cell r="AZ731">
            <v>0</v>
          </cell>
          <cell r="BA731">
            <v>609</v>
          </cell>
        </row>
        <row r="732">
          <cell r="AS732" t="str">
            <v>17031802504</v>
          </cell>
          <cell r="AT732">
            <v>6627</v>
          </cell>
          <cell r="AU732">
            <v>3422</v>
          </cell>
          <cell r="AV732">
            <v>3148</v>
          </cell>
          <cell r="AW732">
            <v>82</v>
          </cell>
          <cell r="AX732">
            <v>0</v>
          </cell>
          <cell r="AY732">
            <v>0</v>
          </cell>
          <cell r="AZ732">
            <v>39</v>
          </cell>
          <cell r="BA732">
            <v>153</v>
          </cell>
        </row>
        <row r="733">
          <cell r="AS733" t="str">
            <v>17031802505</v>
          </cell>
          <cell r="AT733">
            <v>6335</v>
          </cell>
          <cell r="AU733">
            <v>3572</v>
          </cell>
          <cell r="AV733">
            <v>3170</v>
          </cell>
          <cell r="AW733">
            <v>28</v>
          </cell>
          <cell r="AX733">
            <v>65</v>
          </cell>
          <cell r="AY733">
            <v>69</v>
          </cell>
          <cell r="AZ733">
            <v>56</v>
          </cell>
          <cell r="BA733">
            <v>184</v>
          </cell>
        </row>
        <row r="734">
          <cell r="AS734" t="str">
            <v>17031802506</v>
          </cell>
          <cell r="AT734">
            <v>2541</v>
          </cell>
          <cell r="AU734">
            <v>1530</v>
          </cell>
          <cell r="AV734">
            <v>1355</v>
          </cell>
          <cell r="AW734">
            <v>55</v>
          </cell>
          <cell r="AX734">
            <v>12</v>
          </cell>
          <cell r="AY734">
            <v>0</v>
          </cell>
          <cell r="AZ734">
            <v>30</v>
          </cell>
          <cell r="BA734">
            <v>78</v>
          </cell>
        </row>
        <row r="735">
          <cell r="AS735" t="str">
            <v>17031802605</v>
          </cell>
          <cell r="AT735">
            <v>6946</v>
          </cell>
          <cell r="AU735">
            <v>3852</v>
          </cell>
          <cell r="AV735">
            <v>3008</v>
          </cell>
          <cell r="AW735">
            <v>105</v>
          </cell>
          <cell r="AX735">
            <v>30</v>
          </cell>
          <cell r="AY735">
            <v>0</v>
          </cell>
          <cell r="AZ735">
            <v>40</v>
          </cell>
          <cell r="BA735">
            <v>669</v>
          </cell>
        </row>
        <row r="736">
          <cell r="AS736" t="str">
            <v>17031802607</v>
          </cell>
          <cell r="AT736">
            <v>1199</v>
          </cell>
          <cell r="AU736">
            <v>480</v>
          </cell>
          <cell r="AV736">
            <v>379</v>
          </cell>
          <cell r="AW736">
            <v>27</v>
          </cell>
          <cell r="AX736">
            <v>0</v>
          </cell>
          <cell r="AY736">
            <v>0</v>
          </cell>
          <cell r="AZ736">
            <v>0</v>
          </cell>
          <cell r="BA736">
            <v>74</v>
          </cell>
        </row>
        <row r="737">
          <cell r="AS737" t="str">
            <v>17031802608</v>
          </cell>
          <cell r="AT737">
            <v>6039</v>
          </cell>
          <cell r="AU737">
            <v>2790</v>
          </cell>
          <cell r="AV737">
            <v>2297</v>
          </cell>
          <cell r="AW737">
            <v>117</v>
          </cell>
          <cell r="AX737">
            <v>0</v>
          </cell>
          <cell r="AY737">
            <v>22</v>
          </cell>
          <cell r="AZ737">
            <v>28</v>
          </cell>
          <cell r="BA737">
            <v>326</v>
          </cell>
        </row>
        <row r="738">
          <cell r="AS738" t="str">
            <v>17031802609</v>
          </cell>
          <cell r="AT738">
            <v>6371</v>
          </cell>
          <cell r="AU738">
            <v>3808</v>
          </cell>
          <cell r="AV738">
            <v>3217</v>
          </cell>
          <cell r="AW738">
            <v>118</v>
          </cell>
          <cell r="AX738">
            <v>23</v>
          </cell>
          <cell r="AY738">
            <v>13</v>
          </cell>
          <cell r="AZ738">
            <v>6</v>
          </cell>
          <cell r="BA738">
            <v>431</v>
          </cell>
        </row>
        <row r="739">
          <cell r="AS739" t="str">
            <v>17031802610</v>
          </cell>
          <cell r="AT739">
            <v>1977</v>
          </cell>
          <cell r="AU739">
            <v>963</v>
          </cell>
          <cell r="AV739">
            <v>795</v>
          </cell>
          <cell r="AW739">
            <v>13</v>
          </cell>
          <cell r="AX739">
            <v>0</v>
          </cell>
          <cell r="AY739">
            <v>0</v>
          </cell>
          <cell r="AZ739">
            <v>0</v>
          </cell>
          <cell r="BA739">
            <v>155</v>
          </cell>
        </row>
        <row r="740">
          <cell r="AS740" t="str">
            <v>17031802701</v>
          </cell>
          <cell r="AT740">
            <v>6542</v>
          </cell>
          <cell r="AU740">
            <v>3283</v>
          </cell>
          <cell r="AV740">
            <v>2756</v>
          </cell>
          <cell r="AW740">
            <v>215</v>
          </cell>
          <cell r="AX740">
            <v>81</v>
          </cell>
          <cell r="AY740">
            <v>0</v>
          </cell>
          <cell r="AZ740">
            <v>16</v>
          </cell>
          <cell r="BA740">
            <v>215</v>
          </cell>
        </row>
        <row r="741">
          <cell r="AS741" t="str">
            <v>17031802702</v>
          </cell>
          <cell r="AT741">
            <v>4579</v>
          </cell>
          <cell r="AU741">
            <v>2142</v>
          </cell>
          <cell r="AV741">
            <v>1791</v>
          </cell>
          <cell r="AW741">
            <v>205</v>
          </cell>
          <cell r="AX741">
            <v>0</v>
          </cell>
          <cell r="AY741">
            <v>0</v>
          </cell>
          <cell r="AZ741">
            <v>12</v>
          </cell>
          <cell r="BA741">
            <v>134</v>
          </cell>
        </row>
        <row r="742">
          <cell r="AS742" t="str">
            <v>17031802801</v>
          </cell>
          <cell r="AT742">
            <v>4629</v>
          </cell>
          <cell r="AU742">
            <v>2470</v>
          </cell>
          <cell r="AV742">
            <v>1850</v>
          </cell>
          <cell r="AW742">
            <v>267</v>
          </cell>
          <cell r="AX742">
            <v>0</v>
          </cell>
          <cell r="AY742">
            <v>0</v>
          </cell>
          <cell r="AZ742">
            <v>2</v>
          </cell>
          <cell r="BA742">
            <v>351</v>
          </cell>
        </row>
        <row r="743">
          <cell r="AS743" t="str">
            <v>17031802802</v>
          </cell>
          <cell r="AT743">
            <v>6701</v>
          </cell>
          <cell r="AU743">
            <v>3444</v>
          </cell>
          <cell r="AV743">
            <v>2839</v>
          </cell>
          <cell r="AW743">
            <v>290</v>
          </cell>
          <cell r="AX743">
            <v>29</v>
          </cell>
          <cell r="AY743">
            <v>0</v>
          </cell>
          <cell r="AZ743">
            <v>15</v>
          </cell>
          <cell r="BA743">
            <v>271</v>
          </cell>
        </row>
        <row r="744">
          <cell r="AS744" t="str">
            <v>17031802900</v>
          </cell>
          <cell r="AT744">
            <v>5820</v>
          </cell>
          <cell r="AU744">
            <v>2719</v>
          </cell>
          <cell r="AV744">
            <v>2242</v>
          </cell>
          <cell r="AW744">
            <v>293</v>
          </cell>
          <cell r="AX744">
            <v>0</v>
          </cell>
          <cell r="AY744">
            <v>0</v>
          </cell>
          <cell r="AZ744">
            <v>12</v>
          </cell>
          <cell r="BA744">
            <v>172</v>
          </cell>
        </row>
        <row r="745">
          <cell r="AS745" t="str">
            <v>17031803005</v>
          </cell>
          <cell r="AT745">
            <v>2595</v>
          </cell>
          <cell r="AU745">
            <v>1468</v>
          </cell>
          <cell r="AV745">
            <v>1045</v>
          </cell>
          <cell r="AW745">
            <v>33</v>
          </cell>
          <cell r="AX745">
            <v>0</v>
          </cell>
          <cell r="AY745">
            <v>0</v>
          </cell>
          <cell r="AZ745">
            <v>10</v>
          </cell>
          <cell r="BA745">
            <v>380</v>
          </cell>
        </row>
        <row r="746">
          <cell r="AS746" t="str">
            <v>17031803007</v>
          </cell>
          <cell r="AT746">
            <v>5396</v>
          </cell>
          <cell r="AU746">
            <v>2609</v>
          </cell>
          <cell r="AV746">
            <v>2417</v>
          </cell>
          <cell r="AW746">
            <v>28</v>
          </cell>
          <cell r="AX746">
            <v>0</v>
          </cell>
          <cell r="AY746">
            <v>0</v>
          </cell>
          <cell r="AZ746">
            <v>0</v>
          </cell>
          <cell r="BA746">
            <v>164</v>
          </cell>
        </row>
        <row r="747">
          <cell r="AS747" t="str">
            <v>17031803008</v>
          </cell>
          <cell r="AT747">
            <v>4733</v>
          </cell>
          <cell r="AU747">
            <v>2403</v>
          </cell>
          <cell r="AV747">
            <v>1922</v>
          </cell>
          <cell r="AW747">
            <v>225</v>
          </cell>
          <cell r="AX747">
            <v>0</v>
          </cell>
          <cell r="AY747">
            <v>18</v>
          </cell>
          <cell r="AZ747">
            <v>10</v>
          </cell>
          <cell r="BA747">
            <v>228</v>
          </cell>
        </row>
        <row r="748">
          <cell r="AS748" t="str">
            <v>17031803010</v>
          </cell>
          <cell r="AT748">
            <v>4627</v>
          </cell>
          <cell r="AU748">
            <v>2497</v>
          </cell>
          <cell r="AV748">
            <v>2189</v>
          </cell>
          <cell r="AW748">
            <v>138</v>
          </cell>
          <cell r="AX748">
            <v>11</v>
          </cell>
          <cell r="AY748">
            <v>8</v>
          </cell>
          <cell r="AZ748">
            <v>0</v>
          </cell>
          <cell r="BA748">
            <v>151</v>
          </cell>
        </row>
        <row r="749">
          <cell r="AS749" t="str">
            <v>17031803012</v>
          </cell>
          <cell r="AT749">
            <v>2041</v>
          </cell>
          <cell r="AU749">
            <v>1173</v>
          </cell>
          <cell r="AV749">
            <v>1043</v>
          </cell>
          <cell r="AW749">
            <v>48</v>
          </cell>
          <cell r="AX749">
            <v>0</v>
          </cell>
          <cell r="AY749">
            <v>0</v>
          </cell>
          <cell r="AZ749">
            <v>6</v>
          </cell>
          <cell r="BA749">
            <v>76</v>
          </cell>
        </row>
        <row r="750">
          <cell r="AS750" t="str">
            <v>17031803013</v>
          </cell>
          <cell r="AT750">
            <v>5486</v>
          </cell>
          <cell r="AU750">
            <v>3089</v>
          </cell>
          <cell r="AV750">
            <v>2247</v>
          </cell>
          <cell r="AW750">
            <v>136</v>
          </cell>
          <cell r="AX750">
            <v>0</v>
          </cell>
          <cell r="AY750">
            <v>0</v>
          </cell>
          <cell r="AZ750">
            <v>24</v>
          </cell>
          <cell r="BA750">
            <v>682</v>
          </cell>
        </row>
        <row r="751">
          <cell r="AS751" t="str">
            <v>17031803014</v>
          </cell>
          <cell r="AT751">
            <v>3348</v>
          </cell>
          <cell r="AU751">
            <v>1955</v>
          </cell>
          <cell r="AV751">
            <v>1752</v>
          </cell>
          <cell r="AW751">
            <v>135</v>
          </cell>
          <cell r="AX751">
            <v>0</v>
          </cell>
          <cell r="AY751">
            <v>0</v>
          </cell>
          <cell r="AZ751">
            <v>37</v>
          </cell>
          <cell r="BA751">
            <v>31</v>
          </cell>
        </row>
        <row r="752">
          <cell r="AS752" t="str">
            <v>17031803015</v>
          </cell>
          <cell r="AT752">
            <v>4391</v>
          </cell>
          <cell r="AU752">
            <v>2277</v>
          </cell>
          <cell r="AV752">
            <v>1927</v>
          </cell>
          <cell r="AW752">
            <v>44</v>
          </cell>
          <cell r="AX752">
            <v>15</v>
          </cell>
          <cell r="AY752">
            <v>7</v>
          </cell>
          <cell r="AZ752">
            <v>46</v>
          </cell>
          <cell r="BA752">
            <v>238</v>
          </cell>
        </row>
        <row r="753">
          <cell r="AS753" t="str">
            <v>17031803016</v>
          </cell>
          <cell r="AT753">
            <v>2765</v>
          </cell>
          <cell r="AU753">
            <v>1257</v>
          </cell>
          <cell r="AV753">
            <v>999</v>
          </cell>
          <cell r="AW753">
            <v>90</v>
          </cell>
          <cell r="AX753">
            <v>0</v>
          </cell>
          <cell r="AY753">
            <v>0</v>
          </cell>
          <cell r="AZ753">
            <v>5</v>
          </cell>
          <cell r="BA753">
            <v>163</v>
          </cell>
        </row>
        <row r="754">
          <cell r="AS754" t="str">
            <v>17031803017</v>
          </cell>
          <cell r="AT754">
            <v>5767</v>
          </cell>
          <cell r="AU754">
            <v>3214</v>
          </cell>
          <cell r="AV754">
            <v>2701</v>
          </cell>
          <cell r="AW754">
            <v>221</v>
          </cell>
          <cell r="AX754">
            <v>0</v>
          </cell>
          <cell r="AY754">
            <v>0</v>
          </cell>
          <cell r="AZ754">
            <v>24</v>
          </cell>
          <cell r="BA754">
            <v>268</v>
          </cell>
        </row>
        <row r="755">
          <cell r="AS755" t="str">
            <v>17031803100</v>
          </cell>
          <cell r="AT755">
            <v>3374</v>
          </cell>
          <cell r="AU755">
            <v>1603</v>
          </cell>
          <cell r="AV755">
            <v>1189</v>
          </cell>
          <cell r="AW755">
            <v>169</v>
          </cell>
          <cell r="AX755">
            <v>0</v>
          </cell>
          <cell r="AY755">
            <v>0</v>
          </cell>
          <cell r="AZ755">
            <v>10</v>
          </cell>
          <cell r="BA755">
            <v>235</v>
          </cell>
        </row>
        <row r="756">
          <cell r="AS756" t="str">
            <v>17031803200</v>
          </cell>
          <cell r="AT756">
            <v>5077</v>
          </cell>
          <cell r="AU756">
            <v>2148</v>
          </cell>
          <cell r="AV756">
            <v>1722</v>
          </cell>
          <cell r="AW756">
            <v>87</v>
          </cell>
          <cell r="AX756">
            <v>0</v>
          </cell>
          <cell r="AY756">
            <v>14</v>
          </cell>
          <cell r="AZ756">
            <v>44</v>
          </cell>
          <cell r="BA756">
            <v>281</v>
          </cell>
        </row>
        <row r="757">
          <cell r="AS757" t="str">
            <v>17031803300</v>
          </cell>
          <cell r="AT757">
            <v>5635</v>
          </cell>
          <cell r="AU757">
            <v>3416</v>
          </cell>
          <cell r="AV757">
            <v>2544</v>
          </cell>
          <cell r="AW757">
            <v>253</v>
          </cell>
          <cell r="AX757">
            <v>0</v>
          </cell>
          <cell r="AY757">
            <v>0</v>
          </cell>
          <cell r="AZ757">
            <v>79</v>
          </cell>
          <cell r="BA757">
            <v>540</v>
          </cell>
        </row>
        <row r="758">
          <cell r="AS758" t="str">
            <v>17031803400</v>
          </cell>
          <cell r="AT758">
            <v>6407</v>
          </cell>
          <cell r="AU758">
            <v>2821</v>
          </cell>
          <cell r="AV758">
            <v>2349</v>
          </cell>
          <cell r="AW758">
            <v>247</v>
          </cell>
          <cell r="AX758">
            <v>0</v>
          </cell>
          <cell r="AY758">
            <v>0</v>
          </cell>
          <cell r="AZ758">
            <v>2</v>
          </cell>
          <cell r="BA758">
            <v>223</v>
          </cell>
        </row>
        <row r="759">
          <cell r="AS759" t="str">
            <v>17031803500</v>
          </cell>
          <cell r="AT759">
            <v>5532</v>
          </cell>
          <cell r="AU759">
            <v>2777</v>
          </cell>
          <cell r="AV759">
            <v>2099</v>
          </cell>
          <cell r="AW759">
            <v>118</v>
          </cell>
          <cell r="AX759">
            <v>0</v>
          </cell>
          <cell r="AY759">
            <v>22</v>
          </cell>
          <cell r="AZ759">
            <v>150</v>
          </cell>
          <cell r="BA759">
            <v>388</v>
          </cell>
        </row>
        <row r="760">
          <cell r="AS760" t="str">
            <v>17031803603</v>
          </cell>
          <cell r="AT760">
            <v>6370</v>
          </cell>
          <cell r="AU760">
            <v>3188</v>
          </cell>
          <cell r="AV760">
            <v>2610</v>
          </cell>
          <cell r="AW760">
            <v>246</v>
          </cell>
          <cell r="AX760">
            <v>0</v>
          </cell>
          <cell r="AY760">
            <v>0</v>
          </cell>
          <cell r="AZ760">
            <v>30</v>
          </cell>
          <cell r="BA760">
            <v>302</v>
          </cell>
        </row>
        <row r="761">
          <cell r="AS761" t="str">
            <v>17031803604</v>
          </cell>
          <cell r="AT761">
            <v>4381</v>
          </cell>
          <cell r="AU761">
            <v>2091</v>
          </cell>
          <cell r="AV761">
            <v>1651</v>
          </cell>
          <cell r="AW761">
            <v>169</v>
          </cell>
          <cell r="AX761">
            <v>43</v>
          </cell>
          <cell r="AY761">
            <v>0</v>
          </cell>
          <cell r="AZ761">
            <v>30</v>
          </cell>
          <cell r="BA761">
            <v>198</v>
          </cell>
        </row>
        <row r="762">
          <cell r="AS762" t="str">
            <v>17031803605</v>
          </cell>
          <cell r="AT762">
            <v>6507</v>
          </cell>
          <cell r="AU762">
            <v>3534</v>
          </cell>
          <cell r="AV762">
            <v>2970</v>
          </cell>
          <cell r="AW762">
            <v>222</v>
          </cell>
          <cell r="AX762">
            <v>0</v>
          </cell>
          <cell r="AY762">
            <v>0</v>
          </cell>
          <cell r="AZ762">
            <v>23</v>
          </cell>
          <cell r="BA762">
            <v>319</v>
          </cell>
        </row>
        <row r="763">
          <cell r="AS763" t="str">
            <v>17031803607</v>
          </cell>
          <cell r="AT763">
            <v>4555</v>
          </cell>
          <cell r="AU763">
            <v>2463</v>
          </cell>
          <cell r="AV763">
            <v>2047</v>
          </cell>
          <cell r="AW763">
            <v>136</v>
          </cell>
          <cell r="AX763">
            <v>0</v>
          </cell>
          <cell r="AY763">
            <v>118</v>
          </cell>
          <cell r="AZ763">
            <v>18</v>
          </cell>
          <cell r="BA763">
            <v>144</v>
          </cell>
        </row>
        <row r="764">
          <cell r="AS764" t="str">
            <v>17031803608</v>
          </cell>
          <cell r="AT764">
            <v>7396</v>
          </cell>
          <cell r="AU764">
            <v>3905</v>
          </cell>
          <cell r="AV764">
            <v>3385</v>
          </cell>
          <cell r="AW764">
            <v>172</v>
          </cell>
          <cell r="AX764">
            <v>0</v>
          </cell>
          <cell r="AY764">
            <v>0</v>
          </cell>
          <cell r="AZ764">
            <v>58</v>
          </cell>
          <cell r="BA764">
            <v>290</v>
          </cell>
        </row>
        <row r="765">
          <cell r="AS765" t="str">
            <v>17031803611</v>
          </cell>
          <cell r="AT765">
            <v>6174</v>
          </cell>
          <cell r="AU765">
            <v>3616</v>
          </cell>
          <cell r="AV765">
            <v>3066</v>
          </cell>
          <cell r="AW765">
            <v>34</v>
          </cell>
          <cell r="AX765">
            <v>56</v>
          </cell>
          <cell r="AY765">
            <v>20</v>
          </cell>
          <cell r="AZ765">
            <v>0</v>
          </cell>
          <cell r="BA765">
            <v>440</v>
          </cell>
        </row>
        <row r="766">
          <cell r="AS766" t="str">
            <v>17031803612</v>
          </cell>
          <cell r="AT766">
            <v>3500</v>
          </cell>
          <cell r="AU766">
            <v>1899</v>
          </cell>
          <cell r="AV766">
            <v>1724</v>
          </cell>
          <cell r="AW766">
            <v>21</v>
          </cell>
          <cell r="AX766">
            <v>4</v>
          </cell>
          <cell r="AY766">
            <v>0</v>
          </cell>
          <cell r="AZ766">
            <v>49</v>
          </cell>
          <cell r="BA766">
            <v>101</v>
          </cell>
        </row>
        <row r="767">
          <cell r="AS767" t="str">
            <v>17031803613</v>
          </cell>
          <cell r="AT767">
            <v>3776</v>
          </cell>
          <cell r="AU767">
            <v>1769</v>
          </cell>
          <cell r="AV767">
            <v>1501</v>
          </cell>
          <cell r="AW767">
            <v>25</v>
          </cell>
          <cell r="AX767">
            <v>0</v>
          </cell>
          <cell r="AY767">
            <v>0</v>
          </cell>
          <cell r="AZ767">
            <v>0</v>
          </cell>
          <cell r="BA767">
            <v>243</v>
          </cell>
        </row>
        <row r="768">
          <cell r="AS768" t="str">
            <v>17031803614</v>
          </cell>
          <cell r="AT768">
            <v>4775</v>
          </cell>
          <cell r="AU768">
            <v>2625</v>
          </cell>
          <cell r="AV768">
            <v>2240</v>
          </cell>
          <cell r="AW768">
            <v>31</v>
          </cell>
          <cell r="AX768">
            <v>0</v>
          </cell>
          <cell r="AY768">
            <v>0</v>
          </cell>
          <cell r="AZ768">
            <v>249</v>
          </cell>
          <cell r="BA768">
            <v>105</v>
          </cell>
        </row>
        <row r="769">
          <cell r="AS769" t="str">
            <v>17031803615</v>
          </cell>
          <cell r="AT769">
            <v>2436</v>
          </cell>
          <cell r="AU769">
            <v>1363</v>
          </cell>
          <cell r="AV769">
            <v>1306</v>
          </cell>
          <cell r="AW769">
            <v>28</v>
          </cell>
          <cell r="AX769">
            <v>0</v>
          </cell>
          <cell r="AY769">
            <v>0</v>
          </cell>
          <cell r="AZ769">
            <v>0</v>
          </cell>
          <cell r="BA769">
            <v>29</v>
          </cell>
        </row>
        <row r="770">
          <cell r="AS770" t="str">
            <v>17031803616</v>
          </cell>
          <cell r="AT770">
            <v>5179</v>
          </cell>
          <cell r="AU770">
            <v>2945</v>
          </cell>
          <cell r="AV770">
            <v>2464</v>
          </cell>
          <cell r="AW770">
            <v>71</v>
          </cell>
          <cell r="AX770">
            <v>0</v>
          </cell>
          <cell r="AY770">
            <v>0</v>
          </cell>
          <cell r="AZ770">
            <v>240</v>
          </cell>
          <cell r="BA770">
            <v>170</v>
          </cell>
        </row>
        <row r="771">
          <cell r="AS771" t="str">
            <v>17031803701</v>
          </cell>
          <cell r="AT771">
            <v>2598</v>
          </cell>
          <cell r="AU771">
            <v>1650</v>
          </cell>
          <cell r="AV771">
            <v>1391</v>
          </cell>
          <cell r="AW771">
            <v>60</v>
          </cell>
          <cell r="AX771">
            <v>0</v>
          </cell>
          <cell r="AY771">
            <v>0</v>
          </cell>
          <cell r="AZ771">
            <v>60</v>
          </cell>
          <cell r="BA771">
            <v>139</v>
          </cell>
        </row>
        <row r="772">
          <cell r="AS772" t="str">
            <v>17031803702</v>
          </cell>
          <cell r="AT772">
            <v>6319</v>
          </cell>
          <cell r="AU772">
            <v>3180</v>
          </cell>
          <cell r="AV772">
            <v>2362</v>
          </cell>
          <cell r="AW772">
            <v>361</v>
          </cell>
          <cell r="AX772">
            <v>0</v>
          </cell>
          <cell r="AY772">
            <v>0</v>
          </cell>
          <cell r="AZ772">
            <v>42</v>
          </cell>
          <cell r="BA772">
            <v>415</v>
          </cell>
        </row>
        <row r="773">
          <cell r="AS773" t="str">
            <v>17031803800</v>
          </cell>
          <cell r="AT773">
            <v>4404</v>
          </cell>
          <cell r="AU773">
            <v>2511</v>
          </cell>
          <cell r="AV773">
            <v>2053</v>
          </cell>
          <cell r="AW773">
            <v>105</v>
          </cell>
          <cell r="AX773">
            <v>0</v>
          </cell>
          <cell r="AY773">
            <v>9</v>
          </cell>
          <cell r="AZ773">
            <v>82</v>
          </cell>
          <cell r="BA773">
            <v>262</v>
          </cell>
        </row>
        <row r="774">
          <cell r="AS774" t="str">
            <v>17031803901</v>
          </cell>
          <cell r="AT774">
            <v>3706</v>
          </cell>
          <cell r="AU774">
            <v>2119</v>
          </cell>
          <cell r="AV774">
            <v>1817</v>
          </cell>
          <cell r="AW774">
            <v>142</v>
          </cell>
          <cell r="AX774">
            <v>0</v>
          </cell>
          <cell r="AY774">
            <v>59</v>
          </cell>
          <cell r="AZ774">
            <v>0</v>
          </cell>
          <cell r="BA774">
            <v>101</v>
          </cell>
        </row>
        <row r="775">
          <cell r="AS775" t="str">
            <v>17031803902</v>
          </cell>
          <cell r="AT775">
            <v>3518</v>
          </cell>
          <cell r="AU775">
            <v>1910</v>
          </cell>
          <cell r="AV775">
            <v>1766</v>
          </cell>
          <cell r="AW775">
            <v>8</v>
          </cell>
          <cell r="AX775">
            <v>0</v>
          </cell>
          <cell r="AY775">
            <v>6</v>
          </cell>
          <cell r="AZ775">
            <v>74</v>
          </cell>
          <cell r="BA775">
            <v>56</v>
          </cell>
        </row>
        <row r="776">
          <cell r="AS776" t="str">
            <v>17031804000</v>
          </cell>
          <cell r="AT776">
            <v>4613</v>
          </cell>
          <cell r="AU776">
            <v>2320</v>
          </cell>
          <cell r="AV776">
            <v>2097</v>
          </cell>
          <cell r="AW776">
            <v>54</v>
          </cell>
          <cell r="AX776">
            <v>9</v>
          </cell>
          <cell r="AY776">
            <v>20</v>
          </cell>
          <cell r="AZ776">
            <v>6</v>
          </cell>
          <cell r="BA776">
            <v>134</v>
          </cell>
        </row>
        <row r="777">
          <cell r="AS777" t="str">
            <v>17031804102</v>
          </cell>
          <cell r="AT777">
            <v>6686</v>
          </cell>
          <cell r="AU777">
            <v>2998</v>
          </cell>
          <cell r="AV777">
            <v>2361</v>
          </cell>
          <cell r="AW777">
            <v>154</v>
          </cell>
          <cell r="AX777">
            <v>0</v>
          </cell>
          <cell r="AY777">
            <v>0</v>
          </cell>
          <cell r="AZ777">
            <v>40</v>
          </cell>
          <cell r="BA777">
            <v>443</v>
          </cell>
        </row>
        <row r="778">
          <cell r="AS778" t="str">
            <v>17031804104</v>
          </cell>
          <cell r="AT778">
            <v>5076</v>
          </cell>
          <cell r="AU778">
            <v>2583</v>
          </cell>
          <cell r="AV778">
            <v>2343</v>
          </cell>
          <cell r="AW778">
            <v>104</v>
          </cell>
          <cell r="AX778">
            <v>0</v>
          </cell>
          <cell r="AY778">
            <v>0</v>
          </cell>
          <cell r="AZ778">
            <v>2</v>
          </cell>
          <cell r="BA778">
            <v>134</v>
          </cell>
        </row>
        <row r="779">
          <cell r="AS779" t="str">
            <v>17031804105</v>
          </cell>
          <cell r="AT779">
            <v>3950</v>
          </cell>
          <cell r="AU779">
            <v>1977</v>
          </cell>
          <cell r="AV779">
            <v>1848</v>
          </cell>
          <cell r="AW779">
            <v>29</v>
          </cell>
          <cell r="AX779">
            <v>0</v>
          </cell>
          <cell r="AY779">
            <v>0</v>
          </cell>
          <cell r="AZ779">
            <v>0</v>
          </cell>
          <cell r="BA779">
            <v>100</v>
          </cell>
        </row>
        <row r="780">
          <cell r="AS780" t="str">
            <v>17031804106</v>
          </cell>
          <cell r="AT780">
            <v>7187</v>
          </cell>
          <cell r="AU780">
            <v>4011</v>
          </cell>
          <cell r="AV780">
            <v>3010</v>
          </cell>
          <cell r="AW780">
            <v>170</v>
          </cell>
          <cell r="AX780">
            <v>0</v>
          </cell>
          <cell r="AY780">
            <v>0</v>
          </cell>
          <cell r="AZ780">
            <v>83</v>
          </cell>
          <cell r="BA780">
            <v>748</v>
          </cell>
        </row>
        <row r="781">
          <cell r="AS781" t="str">
            <v>17031804108</v>
          </cell>
          <cell r="AT781">
            <v>3783</v>
          </cell>
          <cell r="AU781">
            <v>2175</v>
          </cell>
          <cell r="AV781">
            <v>1795</v>
          </cell>
          <cell r="AW781">
            <v>214</v>
          </cell>
          <cell r="AX781">
            <v>6</v>
          </cell>
          <cell r="AY781">
            <v>0</v>
          </cell>
          <cell r="AZ781">
            <v>7</v>
          </cell>
          <cell r="BA781">
            <v>153</v>
          </cell>
        </row>
        <row r="782">
          <cell r="AS782" t="str">
            <v>17031804109</v>
          </cell>
          <cell r="AT782">
            <v>3103</v>
          </cell>
          <cell r="AU782">
            <v>1440</v>
          </cell>
          <cell r="AV782">
            <v>1157</v>
          </cell>
          <cell r="AW782">
            <v>92</v>
          </cell>
          <cell r="AX782">
            <v>0</v>
          </cell>
          <cell r="AY782">
            <v>10</v>
          </cell>
          <cell r="AZ782">
            <v>37</v>
          </cell>
          <cell r="BA782">
            <v>144</v>
          </cell>
        </row>
        <row r="783">
          <cell r="AS783" t="str">
            <v>17031804202</v>
          </cell>
          <cell r="AT783">
            <v>7499</v>
          </cell>
          <cell r="AU783">
            <v>3670</v>
          </cell>
          <cell r="AV783">
            <v>2801</v>
          </cell>
          <cell r="AW783">
            <v>263</v>
          </cell>
          <cell r="AX783">
            <v>19</v>
          </cell>
          <cell r="AY783">
            <v>0</v>
          </cell>
          <cell r="AZ783">
            <v>32</v>
          </cell>
          <cell r="BA783">
            <v>555</v>
          </cell>
        </row>
        <row r="784">
          <cell r="AS784" t="str">
            <v>17031804203</v>
          </cell>
          <cell r="AT784">
            <v>3260</v>
          </cell>
          <cell r="AU784">
            <v>1284</v>
          </cell>
          <cell r="AV784">
            <v>1039</v>
          </cell>
          <cell r="AW784">
            <v>18</v>
          </cell>
          <cell r="AX784">
            <v>0</v>
          </cell>
          <cell r="AY784">
            <v>0</v>
          </cell>
          <cell r="AZ784">
            <v>0</v>
          </cell>
          <cell r="BA784">
            <v>227</v>
          </cell>
        </row>
        <row r="785">
          <cell r="AS785" t="str">
            <v>17031804204</v>
          </cell>
          <cell r="AT785">
            <v>5221</v>
          </cell>
          <cell r="AU785">
            <v>2052</v>
          </cell>
          <cell r="AV785">
            <v>1473</v>
          </cell>
          <cell r="AW785">
            <v>154</v>
          </cell>
          <cell r="AX785">
            <v>0</v>
          </cell>
          <cell r="AY785">
            <v>18</v>
          </cell>
          <cell r="AZ785">
            <v>94</v>
          </cell>
          <cell r="BA785">
            <v>313</v>
          </cell>
        </row>
        <row r="786">
          <cell r="AS786" t="str">
            <v>17031804305</v>
          </cell>
          <cell r="AT786">
            <v>7418</v>
          </cell>
          <cell r="AU786">
            <v>4389</v>
          </cell>
          <cell r="AV786">
            <v>3924</v>
          </cell>
          <cell r="AW786">
            <v>75</v>
          </cell>
          <cell r="AX786">
            <v>0</v>
          </cell>
          <cell r="AY786">
            <v>61</v>
          </cell>
          <cell r="AZ786">
            <v>0</v>
          </cell>
          <cell r="BA786">
            <v>329</v>
          </cell>
        </row>
        <row r="787">
          <cell r="AS787" t="str">
            <v>17031804306</v>
          </cell>
          <cell r="AT787">
            <v>6518</v>
          </cell>
          <cell r="AU787">
            <v>2799</v>
          </cell>
          <cell r="AV787">
            <v>2692</v>
          </cell>
          <cell r="AW787">
            <v>0</v>
          </cell>
          <cell r="AX787">
            <v>0</v>
          </cell>
          <cell r="AY787">
            <v>0</v>
          </cell>
          <cell r="AZ787">
            <v>20</v>
          </cell>
          <cell r="BA787">
            <v>87</v>
          </cell>
        </row>
        <row r="788">
          <cell r="AS788" t="str">
            <v>17031804308</v>
          </cell>
          <cell r="AT788">
            <v>5435</v>
          </cell>
          <cell r="AU788">
            <v>2935</v>
          </cell>
          <cell r="AV788">
            <v>2667</v>
          </cell>
          <cell r="AW788">
            <v>39</v>
          </cell>
          <cell r="AX788">
            <v>15</v>
          </cell>
          <cell r="AY788">
            <v>0</v>
          </cell>
          <cell r="AZ788">
            <v>0</v>
          </cell>
          <cell r="BA788">
            <v>214</v>
          </cell>
        </row>
        <row r="789">
          <cell r="AS789" t="str">
            <v>17031804309</v>
          </cell>
          <cell r="AT789">
            <v>3124</v>
          </cell>
          <cell r="AU789">
            <v>1665</v>
          </cell>
          <cell r="AV789">
            <v>1543</v>
          </cell>
          <cell r="AW789">
            <v>55</v>
          </cell>
          <cell r="AX789">
            <v>7</v>
          </cell>
          <cell r="AY789">
            <v>0</v>
          </cell>
          <cell r="AZ789">
            <v>0</v>
          </cell>
          <cell r="BA789">
            <v>60</v>
          </cell>
        </row>
        <row r="790">
          <cell r="AS790" t="str">
            <v>17031804312</v>
          </cell>
          <cell r="AT790">
            <v>1952</v>
          </cell>
          <cell r="AU790">
            <v>816</v>
          </cell>
          <cell r="AV790">
            <v>623</v>
          </cell>
          <cell r="AW790">
            <v>28</v>
          </cell>
          <cell r="AX790">
            <v>0</v>
          </cell>
          <cell r="AY790">
            <v>0</v>
          </cell>
          <cell r="AZ790">
            <v>0</v>
          </cell>
          <cell r="BA790">
            <v>165</v>
          </cell>
        </row>
        <row r="791">
          <cell r="AS791" t="str">
            <v>17031804313</v>
          </cell>
          <cell r="AT791">
            <v>6554</v>
          </cell>
          <cell r="AU791">
            <v>3216</v>
          </cell>
          <cell r="AV791">
            <v>2669</v>
          </cell>
          <cell r="AW791">
            <v>155</v>
          </cell>
          <cell r="AX791">
            <v>0</v>
          </cell>
          <cell r="AY791">
            <v>0</v>
          </cell>
          <cell r="AZ791">
            <v>16</v>
          </cell>
          <cell r="BA791">
            <v>376</v>
          </cell>
        </row>
        <row r="792">
          <cell r="AS792" t="str">
            <v>17031804314</v>
          </cell>
          <cell r="AT792">
            <v>1254</v>
          </cell>
          <cell r="AU792">
            <v>775</v>
          </cell>
          <cell r="AV792">
            <v>705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70</v>
          </cell>
        </row>
        <row r="793">
          <cell r="AS793" t="str">
            <v>17031804315</v>
          </cell>
          <cell r="AT793">
            <v>2545</v>
          </cell>
          <cell r="AU793">
            <v>1130</v>
          </cell>
          <cell r="AV793">
            <v>1046</v>
          </cell>
          <cell r="AW793">
            <v>29</v>
          </cell>
          <cell r="AX793">
            <v>0</v>
          </cell>
          <cell r="AY793">
            <v>0</v>
          </cell>
          <cell r="AZ793">
            <v>19</v>
          </cell>
          <cell r="BA793">
            <v>36</v>
          </cell>
        </row>
        <row r="794">
          <cell r="AS794" t="str">
            <v>17031804316</v>
          </cell>
          <cell r="AT794">
            <v>4963</v>
          </cell>
          <cell r="AU794">
            <v>2691</v>
          </cell>
          <cell r="AV794">
            <v>2557</v>
          </cell>
          <cell r="AW794">
            <v>60</v>
          </cell>
          <cell r="AX794">
            <v>0</v>
          </cell>
          <cell r="AY794">
            <v>0</v>
          </cell>
          <cell r="AZ794">
            <v>0</v>
          </cell>
          <cell r="BA794">
            <v>74</v>
          </cell>
        </row>
        <row r="795">
          <cell r="AS795" t="str">
            <v>17031804403</v>
          </cell>
          <cell r="AT795">
            <v>6865</v>
          </cell>
          <cell r="AU795">
            <v>3395</v>
          </cell>
          <cell r="AV795">
            <v>3025</v>
          </cell>
          <cell r="AW795">
            <v>174</v>
          </cell>
          <cell r="AX795">
            <v>0</v>
          </cell>
          <cell r="AY795">
            <v>0</v>
          </cell>
          <cell r="AZ795">
            <v>36</v>
          </cell>
          <cell r="BA795">
            <v>160</v>
          </cell>
        </row>
        <row r="796">
          <cell r="AS796" t="str">
            <v>17031804404</v>
          </cell>
          <cell r="AT796">
            <v>5968</v>
          </cell>
          <cell r="AU796">
            <v>3090</v>
          </cell>
          <cell r="AV796">
            <v>2666</v>
          </cell>
          <cell r="AW796">
            <v>106</v>
          </cell>
          <cell r="AX796">
            <v>0</v>
          </cell>
          <cell r="AY796">
            <v>0</v>
          </cell>
          <cell r="AZ796">
            <v>0</v>
          </cell>
          <cell r="BA796">
            <v>318</v>
          </cell>
        </row>
        <row r="797">
          <cell r="AS797" t="str">
            <v>17031804405</v>
          </cell>
          <cell r="AT797">
            <v>3472</v>
          </cell>
          <cell r="AU797">
            <v>1520</v>
          </cell>
          <cell r="AV797">
            <v>1477</v>
          </cell>
          <cell r="AW797">
            <v>26</v>
          </cell>
          <cell r="AX797">
            <v>0</v>
          </cell>
          <cell r="AY797">
            <v>0</v>
          </cell>
          <cell r="AZ797">
            <v>0</v>
          </cell>
          <cell r="BA797">
            <v>17</v>
          </cell>
        </row>
        <row r="798">
          <cell r="AS798" t="str">
            <v>17031804406</v>
          </cell>
          <cell r="AT798">
            <v>6064</v>
          </cell>
          <cell r="AU798">
            <v>2924</v>
          </cell>
          <cell r="AV798">
            <v>2649</v>
          </cell>
          <cell r="AW798">
            <v>45</v>
          </cell>
          <cell r="AX798">
            <v>0</v>
          </cell>
          <cell r="AY798">
            <v>0</v>
          </cell>
          <cell r="AZ798">
            <v>0</v>
          </cell>
          <cell r="BA798">
            <v>230</v>
          </cell>
        </row>
        <row r="799">
          <cell r="AS799" t="str">
            <v>17031804505</v>
          </cell>
          <cell r="AT799">
            <v>3238</v>
          </cell>
          <cell r="AU799">
            <v>1757</v>
          </cell>
          <cell r="AV799">
            <v>1555</v>
          </cell>
          <cell r="AW799">
            <v>125</v>
          </cell>
          <cell r="AX799">
            <v>0</v>
          </cell>
          <cell r="AY799">
            <v>0</v>
          </cell>
          <cell r="AZ799">
            <v>0</v>
          </cell>
          <cell r="BA799">
            <v>77</v>
          </cell>
        </row>
        <row r="800">
          <cell r="AS800" t="str">
            <v>17031804506</v>
          </cell>
          <cell r="AT800">
            <v>4997</v>
          </cell>
          <cell r="AU800">
            <v>2450</v>
          </cell>
          <cell r="AV800">
            <v>2008</v>
          </cell>
          <cell r="AW800">
            <v>105</v>
          </cell>
          <cell r="AX800">
            <v>0</v>
          </cell>
          <cell r="AY800">
            <v>0</v>
          </cell>
          <cell r="AZ800">
            <v>12</v>
          </cell>
          <cell r="BA800">
            <v>325</v>
          </cell>
        </row>
        <row r="801">
          <cell r="AS801" t="str">
            <v>17031804508</v>
          </cell>
          <cell r="AT801">
            <v>2279</v>
          </cell>
          <cell r="AU801">
            <v>1240</v>
          </cell>
          <cell r="AV801">
            <v>1092</v>
          </cell>
          <cell r="AW801">
            <v>42</v>
          </cell>
          <cell r="AX801">
            <v>6</v>
          </cell>
          <cell r="AY801">
            <v>0</v>
          </cell>
          <cell r="AZ801">
            <v>0</v>
          </cell>
          <cell r="BA801">
            <v>100</v>
          </cell>
        </row>
        <row r="802">
          <cell r="AS802" t="str">
            <v>17031804509</v>
          </cell>
          <cell r="AT802">
            <v>6687</v>
          </cell>
          <cell r="AU802">
            <v>3086</v>
          </cell>
          <cell r="AV802">
            <v>2856</v>
          </cell>
          <cell r="AW802">
            <v>43</v>
          </cell>
          <cell r="AX802">
            <v>0</v>
          </cell>
          <cell r="AY802">
            <v>31</v>
          </cell>
          <cell r="AZ802">
            <v>63</v>
          </cell>
          <cell r="BA802">
            <v>93</v>
          </cell>
        </row>
        <row r="803">
          <cell r="AS803" t="str">
            <v>17031804510</v>
          </cell>
          <cell r="AT803">
            <v>5611</v>
          </cell>
          <cell r="AU803">
            <v>2624</v>
          </cell>
          <cell r="AV803">
            <v>2498</v>
          </cell>
          <cell r="AW803">
            <v>18</v>
          </cell>
          <cell r="AX803">
            <v>0</v>
          </cell>
          <cell r="AY803">
            <v>0</v>
          </cell>
          <cell r="AZ803">
            <v>58</v>
          </cell>
          <cell r="BA803">
            <v>50</v>
          </cell>
        </row>
        <row r="804">
          <cell r="AS804" t="str">
            <v>17031804511</v>
          </cell>
          <cell r="AT804">
            <v>2318</v>
          </cell>
          <cell r="AU804">
            <v>1134</v>
          </cell>
          <cell r="AV804">
            <v>1030</v>
          </cell>
          <cell r="AW804">
            <v>60</v>
          </cell>
          <cell r="AX804">
            <v>22</v>
          </cell>
          <cell r="AY804">
            <v>0</v>
          </cell>
          <cell r="AZ804">
            <v>0</v>
          </cell>
          <cell r="BA804">
            <v>22</v>
          </cell>
        </row>
        <row r="805">
          <cell r="AS805" t="str">
            <v>17031804512</v>
          </cell>
          <cell r="AT805">
            <v>2894</v>
          </cell>
          <cell r="AU805">
            <v>1707</v>
          </cell>
          <cell r="AV805">
            <v>1333</v>
          </cell>
          <cell r="AW805">
            <v>177</v>
          </cell>
          <cell r="AX805">
            <v>0</v>
          </cell>
          <cell r="AY805">
            <v>0</v>
          </cell>
          <cell r="AZ805">
            <v>2</v>
          </cell>
          <cell r="BA805">
            <v>195</v>
          </cell>
        </row>
        <row r="806">
          <cell r="AS806" t="str">
            <v>17031804513</v>
          </cell>
          <cell r="AT806">
            <v>3990</v>
          </cell>
          <cell r="AU806">
            <v>1971</v>
          </cell>
          <cell r="AV806">
            <v>1451</v>
          </cell>
          <cell r="AW806">
            <v>245</v>
          </cell>
          <cell r="AX806">
            <v>0</v>
          </cell>
          <cell r="AY806">
            <v>0</v>
          </cell>
          <cell r="AZ806">
            <v>0</v>
          </cell>
          <cell r="BA806">
            <v>275</v>
          </cell>
        </row>
        <row r="807">
          <cell r="AS807" t="str">
            <v>17031804514</v>
          </cell>
          <cell r="AT807">
            <v>5300</v>
          </cell>
          <cell r="AU807">
            <v>2371</v>
          </cell>
          <cell r="AV807">
            <v>2048</v>
          </cell>
          <cell r="AW807">
            <v>142</v>
          </cell>
          <cell r="AX807">
            <v>0</v>
          </cell>
          <cell r="AY807">
            <v>21</v>
          </cell>
          <cell r="AZ807">
            <v>0</v>
          </cell>
          <cell r="BA807">
            <v>160</v>
          </cell>
        </row>
        <row r="808">
          <cell r="AS808" t="str">
            <v>17031804603</v>
          </cell>
          <cell r="AT808">
            <v>6306</v>
          </cell>
          <cell r="AU808">
            <v>3529</v>
          </cell>
          <cell r="AV808">
            <v>3006</v>
          </cell>
          <cell r="AW808">
            <v>61</v>
          </cell>
          <cell r="AX808">
            <v>13</v>
          </cell>
          <cell r="AY808">
            <v>0</v>
          </cell>
          <cell r="AZ808">
            <v>8</v>
          </cell>
          <cell r="BA808">
            <v>441</v>
          </cell>
        </row>
        <row r="809">
          <cell r="AS809" t="str">
            <v>17031804606</v>
          </cell>
          <cell r="AT809">
            <v>6669</v>
          </cell>
          <cell r="AU809">
            <v>3508</v>
          </cell>
          <cell r="AV809">
            <v>2976</v>
          </cell>
          <cell r="AW809">
            <v>254</v>
          </cell>
          <cell r="AX809">
            <v>0</v>
          </cell>
          <cell r="AY809">
            <v>0</v>
          </cell>
          <cell r="AZ809">
            <v>82</v>
          </cell>
          <cell r="BA809">
            <v>196</v>
          </cell>
        </row>
        <row r="810">
          <cell r="AS810" t="str">
            <v>17031804607</v>
          </cell>
          <cell r="AT810">
            <v>7409</v>
          </cell>
          <cell r="AU810">
            <v>3761</v>
          </cell>
          <cell r="AV810">
            <v>3290</v>
          </cell>
          <cell r="AW810">
            <v>119</v>
          </cell>
          <cell r="AX810">
            <v>30</v>
          </cell>
          <cell r="AY810">
            <v>0</v>
          </cell>
          <cell r="AZ810">
            <v>0</v>
          </cell>
          <cell r="BA810">
            <v>322</v>
          </cell>
        </row>
        <row r="811">
          <cell r="AS811" t="str">
            <v>17031804608</v>
          </cell>
          <cell r="AT811">
            <v>3237</v>
          </cell>
          <cell r="AU811">
            <v>1686</v>
          </cell>
          <cell r="AV811">
            <v>1323</v>
          </cell>
          <cell r="AW811">
            <v>81</v>
          </cell>
          <cell r="AX811">
            <v>0</v>
          </cell>
          <cell r="AY811">
            <v>0</v>
          </cell>
          <cell r="AZ811">
            <v>7</v>
          </cell>
          <cell r="BA811">
            <v>275</v>
          </cell>
        </row>
        <row r="812">
          <cell r="AS812" t="str">
            <v>17031804609</v>
          </cell>
          <cell r="AT812">
            <v>5707</v>
          </cell>
          <cell r="AU812">
            <v>3195</v>
          </cell>
          <cell r="AV812">
            <v>2534</v>
          </cell>
          <cell r="AW812">
            <v>242</v>
          </cell>
          <cell r="AX812">
            <v>0</v>
          </cell>
          <cell r="AY812">
            <v>0</v>
          </cell>
          <cell r="AZ812">
            <v>9</v>
          </cell>
          <cell r="BA812">
            <v>410</v>
          </cell>
        </row>
        <row r="813">
          <cell r="AS813" t="str">
            <v>17031804610</v>
          </cell>
          <cell r="AT813">
            <v>2463</v>
          </cell>
          <cell r="AU813">
            <v>1338</v>
          </cell>
          <cell r="AV813">
            <v>1210</v>
          </cell>
          <cell r="AW813">
            <v>17</v>
          </cell>
          <cell r="AX813">
            <v>0</v>
          </cell>
          <cell r="AY813">
            <v>0</v>
          </cell>
          <cell r="AZ813">
            <v>7</v>
          </cell>
          <cell r="BA813">
            <v>104</v>
          </cell>
        </row>
        <row r="814">
          <cell r="AS814" t="str">
            <v>17031804611</v>
          </cell>
          <cell r="AT814">
            <v>3955</v>
          </cell>
          <cell r="AU814">
            <v>2047</v>
          </cell>
          <cell r="AV814">
            <v>1787</v>
          </cell>
          <cell r="AW814">
            <v>80</v>
          </cell>
          <cell r="AX814">
            <v>0</v>
          </cell>
          <cell r="AY814">
            <v>14</v>
          </cell>
          <cell r="AZ814">
            <v>30</v>
          </cell>
          <cell r="BA814">
            <v>136</v>
          </cell>
        </row>
        <row r="815">
          <cell r="AS815" t="str">
            <v>17031804701</v>
          </cell>
          <cell r="AT815">
            <v>5790</v>
          </cell>
          <cell r="AU815">
            <v>2915</v>
          </cell>
          <cell r="AV815">
            <v>2402</v>
          </cell>
          <cell r="AW815">
            <v>111</v>
          </cell>
          <cell r="AX815">
            <v>0</v>
          </cell>
          <cell r="AY815">
            <v>36</v>
          </cell>
          <cell r="AZ815">
            <v>50</v>
          </cell>
          <cell r="BA815">
            <v>316</v>
          </cell>
        </row>
        <row r="816">
          <cell r="AS816" t="str">
            <v>17031804705</v>
          </cell>
          <cell r="AT816">
            <v>4707</v>
          </cell>
          <cell r="AU816">
            <v>2551</v>
          </cell>
          <cell r="AV816">
            <v>2151</v>
          </cell>
          <cell r="AW816">
            <v>52</v>
          </cell>
          <cell r="AX816">
            <v>44</v>
          </cell>
          <cell r="AY816">
            <v>25</v>
          </cell>
          <cell r="AZ816">
            <v>7</v>
          </cell>
          <cell r="BA816">
            <v>272</v>
          </cell>
        </row>
        <row r="817">
          <cell r="AS817" t="str">
            <v>17031804706</v>
          </cell>
          <cell r="AT817">
            <v>2170</v>
          </cell>
          <cell r="AU817">
            <v>1209</v>
          </cell>
          <cell r="AV817">
            <v>1109</v>
          </cell>
          <cell r="AW817">
            <v>32</v>
          </cell>
          <cell r="AX817">
            <v>0</v>
          </cell>
          <cell r="AY817">
            <v>5</v>
          </cell>
          <cell r="AZ817">
            <v>6</v>
          </cell>
          <cell r="BA817">
            <v>57</v>
          </cell>
        </row>
        <row r="818">
          <cell r="AS818" t="str">
            <v>17031804709</v>
          </cell>
          <cell r="AT818">
            <v>7485</v>
          </cell>
          <cell r="AU818">
            <v>3781</v>
          </cell>
          <cell r="AV818">
            <v>3347</v>
          </cell>
          <cell r="AW818">
            <v>140</v>
          </cell>
          <cell r="AX818">
            <v>13</v>
          </cell>
          <cell r="AY818">
            <v>0</v>
          </cell>
          <cell r="AZ818">
            <v>0</v>
          </cell>
          <cell r="BA818">
            <v>281</v>
          </cell>
        </row>
        <row r="819">
          <cell r="AS819" t="str">
            <v>17031804710</v>
          </cell>
          <cell r="AT819">
            <v>3620</v>
          </cell>
          <cell r="AU819">
            <v>2123</v>
          </cell>
          <cell r="AV819">
            <v>1873</v>
          </cell>
          <cell r="AW819">
            <v>109</v>
          </cell>
          <cell r="AX819">
            <v>0</v>
          </cell>
          <cell r="AY819">
            <v>0</v>
          </cell>
          <cell r="AZ819">
            <v>8</v>
          </cell>
          <cell r="BA819">
            <v>133</v>
          </cell>
        </row>
        <row r="820">
          <cell r="AS820" t="str">
            <v>17031804711</v>
          </cell>
          <cell r="AT820">
            <v>7987</v>
          </cell>
          <cell r="AU820">
            <v>3583</v>
          </cell>
          <cell r="AV820">
            <v>3008</v>
          </cell>
          <cell r="AW820">
            <v>204</v>
          </cell>
          <cell r="AX820">
            <v>0</v>
          </cell>
          <cell r="AY820">
            <v>41</v>
          </cell>
          <cell r="AZ820">
            <v>0</v>
          </cell>
          <cell r="BA820">
            <v>330</v>
          </cell>
        </row>
        <row r="821">
          <cell r="AS821" t="str">
            <v>17031804712</v>
          </cell>
          <cell r="AT821">
            <v>5199</v>
          </cell>
          <cell r="AU821">
            <v>2712</v>
          </cell>
          <cell r="AV821">
            <v>2402</v>
          </cell>
          <cell r="AW821">
            <v>147</v>
          </cell>
          <cell r="AX821">
            <v>0</v>
          </cell>
          <cell r="AY821">
            <v>5</v>
          </cell>
          <cell r="AZ821">
            <v>9</v>
          </cell>
          <cell r="BA821">
            <v>149</v>
          </cell>
        </row>
        <row r="822">
          <cell r="AS822" t="str">
            <v>17031804713</v>
          </cell>
          <cell r="AT822">
            <v>5045</v>
          </cell>
          <cell r="AU822">
            <v>3074</v>
          </cell>
          <cell r="AV822">
            <v>2348</v>
          </cell>
          <cell r="AW822">
            <v>247</v>
          </cell>
          <cell r="AX822">
            <v>76</v>
          </cell>
          <cell r="AY822">
            <v>0</v>
          </cell>
          <cell r="AZ822">
            <v>62</v>
          </cell>
          <cell r="BA822">
            <v>341</v>
          </cell>
        </row>
        <row r="823">
          <cell r="AS823" t="str">
            <v>17031804714</v>
          </cell>
          <cell r="AT823">
            <v>3086</v>
          </cell>
          <cell r="AU823">
            <v>1694</v>
          </cell>
          <cell r="AV823">
            <v>1445</v>
          </cell>
          <cell r="AW823">
            <v>138</v>
          </cell>
          <cell r="AX823">
            <v>0</v>
          </cell>
          <cell r="AY823">
            <v>0</v>
          </cell>
          <cell r="AZ823">
            <v>0</v>
          </cell>
          <cell r="BA823">
            <v>111</v>
          </cell>
        </row>
        <row r="824">
          <cell r="AS824" t="str">
            <v>17031804715</v>
          </cell>
          <cell r="AT824">
            <v>3609</v>
          </cell>
          <cell r="AU824">
            <v>1674</v>
          </cell>
          <cell r="AV824">
            <v>1504</v>
          </cell>
          <cell r="AW824">
            <v>11</v>
          </cell>
          <cell r="AX824">
            <v>0</v>
          </cell>
          <cell r="AY824">
            <v>0</v>
          </cell>
          <cell r="AZ824">
            <v>15</v>
          </cell>
          <cell r="BA824">
            <v>144</v>
          </cell>
        </row>
        <row r="825">
          <cell r="AS825" t="str">
            <v>17031804716</v>
          </cell>
          <cell r="AT825">
            <v>4467</v>
          </cell>
          <cell r="AU825">
            <v>2286</v>
          </cell>
          <cell r="AV825">
            <v>1911</v>
          </cell>
          <cell r="AW825">
            <v>100</v>
          </cell>
          <cell r="AX825">
            <v>33</v>
          </cell>
          <cell r="AY825">
            <v>0</v>
          </cell>
          <cell r="AZ825">
            <v>0</v>
          </cell>
          <cell r="BA825">
            <v>242</v>
          </cell>
        </row>
        <row r="826">
          <cell r="AS826" t="str">
            <v>17031804803</v>
          </cell>
          <cell r="AT826">
            <v>5189</v>
          </cell>
          <cell r="AU826">
            <v>2550</v>
          </cell>
          <cell r="AV826">
            <v>2193</v>
          </cell>
          <cell r="AW826">
            <v>57</v>
          </cell>
          <cell r="AX826">
            <v>0</v>
          </cell>
          <cell r="AY826">
            <v>0</v>
          </cell>
          <cell r="AZ826">
            <v>18</v>
          </cell>
          <cell r="BA826">
            <v>282</v>
          </cell>
        </row>
        <row r="827">
          <cell r="AS827" t="str">
            <v>17031804804</v>
          </cell>
          <cell r="AT827">
            <v>6041</v>
          </cell>
          <cell r="AU827">
            <v>3524</v>
          </cell>
          <cell r="AV827">
            <v>2796</v>
          </cell>
          <cell r="AW827">
            <v>281</v>
          </cell>
          <cell r="AX827">
            <v>0</v>
          </cell>
          <cell r="AY827">
            <v>0</v>
          </cell>
          <cell r="AZ827">
            <v>165</v>
          </cell>
          <cell r="BA827">
            <v>282</v>
          </cell>
        </row>
        <row r="828">
          <cell r="AS828" t="str">
            <v>17031804805</v>
          </cell>
          <cell r="AT828">
            <v>6518</v>
          </cell>
          <cell r="AU828">
            <v>3298</v>
          </cell>
          <cell r="AV828">
            <v>2877</v>
          </cell>
          <cell r="AW828">
            <v>120</v>
          </cell>
          <cell r="AX828">
            <v>0</v>
          </cell>
          <cell r="AY828">
            <v>21</v>
          </cell>
          <cell r="AZ828">
            <v>37</v>
          </cell>
          <cell r="BA828">
            <v>243</v>
          </cell>
        </row>
        <row r="829">
          <cell r="AS829" t="str">
            <v>17031804806</v>
          </cell>
          <cell r="AT829">
            <v>3836</v>
          </cell>
          <cell r="AU829">
            <v>1830</v>
          </cell>
          <cell r="AV829">
            <v>1601</v>
          </cell>
          <cell r="AW829">
            <v>91</v>
          </cell>
          <cell r="AX829">
            <v>0</v>
          </cell>
          <cell r="AY829">
            <v>0</v>
          </cell>
          <cell r="AZ829">
            <v>95</v>
          </cell>
          <cell r="BA829">
            <v>43</v>
          </cell>
        </row>
        <row r="830">
          <cell r="AS830" t="str">
            <v>17031804807</v>
          </cell>
          <cell r="AT830">
            <v>5555</v>
          </cell>
          <cell r="AU830">
            <v>2861</v>
          </cell>
          <cell r="AV830">
            <v>2310</v>
          </cell>
          <cell r="AW830">
            <v>127</v>
          </cell>
          <cell r="AX830">
            <v>5</v>
          </cell>
          <cell r="AY830">
            <v>30</v>
          </cell>
          <cell r="AZ830">
            <v>17</v>
          </cell>
          <cell r="BA830">
            <v>372</v>
          </cell>
        </row>
        <row r="831">
          <cell r="AS831" t="str">
            <v>17031804808</v>
          </cell>
          <cell r="AT831">
            <v>2623</v>
          </cell>
          <cell r="AU831">
            <v>1466</v>
          </cell>
          <cell r="AV831">
            <v>1318</v>
          </cell>
          <cell r="AW831">
            <v>36</v>
          </cell>
          <cell r="AX831">
            <v>4</v>
          </cell>
          <cell r="AY831">
            <v>0</v>
          </cell>
          <cell r="AZ831">
            <v>29</v>
          </cell>
          <cell r="BA831">
            <v>79</v>
          </cell>
        </row>
        <row r="832">
          <cell r="AS832" t="str">
            <v>17031804809</v>
          </cell>
          <cell r="AT832">
            <v>4348</v>
          </cell>
          <cell r="AU832">
            <v>2210</v>
          </cell>
          <cell r="AV832">
            <v>1928</v>
          </cell>
          <cell r="AW832">
            <v>111</v>
          </cell>
          <cell r="AX832">
            <v>0</v>
          </cell>
          <cell r="AY832">
            <v>0</v>
          </cell>
          <cell r="AZ832">
            <v>0</v>
          </cell>
          <cell r="BA832">
            <v>171</v>
          </cell>
        </row>
        <row r="833">
          <cell r="AS833" t="str">
            <v>17031804810</v>
          </cell>
          <cell r="AT833">
            <v>6583</v>
          </cell>
          <cell r="AU833">
            <v>3535</v>
          </cell>
          <cell r="AV833">
            <v>3170</v>
          </cell>
          <cell r="AW833">
            <v>120</v>
          </cell>
          <cell r="AX833">
            <v>35</v>
          </cell>
          <cell r="AY833">
            <v>0</v>
          </cell>
          <cell r="AZ833">
            <v>13</v>
          </cell>
          <cell r="BA833">
            <v>197</v>
          </cell>
        </row>
        <row r="834">
          <cell r="AS834" t="str">
            <v>17031804901</v>
          </cell>
          <cell r="AT834">
            <v>6076</v>
          </cell>
          <cell r="AU834">
            <v>3130</v>
          </cell>
          <cell r="AV834">
            <v>2389</v>
          </cell>
          <cell r="AW834">
            <v>371</v>
          </cell>
          <cell r="AX834">
            <v>0</v>
          </cell>
          <cell r="AY834">
            <v>34</v>
          </cell>
          <cell r="AZ834">
            <v>74</v>
          </cell>
          <cell r="BA834">
            <v>262</v>
          </cell>
        </row>
        <row r="835">
          <cell r="AS835" t="str">
            <v>17031804902</v>
          </cell>
          <cell r="AT835">
            <v>6064</v>
          </cell>
          <cell r="AU835">
            <v>2892</v>
          </cell>
          <cell r="AV835">
            <v>2394</v>
          </cell>
          <cell r="AW835">
            <v>197</v>
          </cell>
          <cell r="AX835">
            <v>0</v>
          </cell>
          <cell r="AY835">
            <v>49</v>
          </cell>
          <cell r="AZ835">
            <v>51</v>
          </cell>
          <cell r="BA835">
            <v>201</v>
          </cell>
        </row>
        <row r="836">
          <cell r="AS836" t="str">
            <v>17031805001</v>
          </cell>
          <cell r="AT836">
            <v>4805</v>
          </cell>
          <cell r="AU836">
            <v>2437</v>
          </cell>
          <cell r="AV836">
            <v>1905</v>
          </cell>
          <cell r="AW836">
            <v>189</v>
          </cell>
          <cell r="AX836">
            <v>0</v>
          </cell>
          <cell r="AY836">
            <v>18</v>
          </cell>
          <cell r="AZ836">
            <v>17</v>
          </cell>
          <cell r="BA836">
            <v>308</v>
          </cell>
        </row>
        <row r="837">
          <cell r="AS837" t="str">
            <v>17031805002</v>
          </cell>
          <cell r="AT837">
            <v>6602</v>
          </cell>
          <cell r="AU837">
            <v>3436</v>
          </cell>
          <cell r="AV837">
            <v>2890</v>
          </cell>
          <cell r="AW837">
            <v>255</v>
          </cell>
          <cell r="AX837">
            <v>0</v>
          </cell>
          <cell r="AY837">
            <v>25</v>
          </cell>
          <cell r="AZ837">
            <v>13</v>
          </cell>
          <cell r="BA837">
            <v>253</v>
          </cell>
        </row>
        <row r="838">
          <cell r="AS838" t="str">
            <v>17031805105</v>
          </cell>
          <cell r="AT838">
            <v>7124</v>
          </cell>
          <cell r="AU838">
            <v>3671</v>
          </cell>
          <cell r="AV838">
            <v>3399</v>
          </cell>
          <cell r="AW838">
            <v>31</v>
          </cell>
          <cell r="AX838">
            <v>0</v>
          </cell>
          <cell r="AY838">
            <v>44</v>
          </cell>
          <cell r="AZ838">
            <v>102</v>
          </cell>
          <cell r="BA838">
            <v>95</v>
          </cell>
        </row>
        <row r="839">
          <cell r="AS839" t="str">
            <v>17031805106</v>
          </cell>
          <cell r="AT839">
            <v>2842</v>
          </cell>
          <cell r="AU839">
            <v>1385</v>
          </cell>
          <cell r="AV839">
            <v>1142</v>
          </cell>
          <cell r="AW839">
            <v>72</v>
          </cell>
          <cell r="AX839">
            <v>0</v>
          </cell>
          <cell r="AY839">
            <v>0</v>
          </cell>
          <cell r="AZ839">
            <v>38</v>
          </cell>
          <cell r="BA839">
            <v>133</v>
          </cell>
        </row>
        <row r="840">
          <cell r="AS840" t="str">
            <v>17031805107</v>
          </cell>
          <cell r="AT840">
            <v>6210</v>
          </cell>
          <cell r="AU840">
            <v>3649</v>
          </cell>
          <cell r="AV840">
            <v>3123</v>
          </cell>
          <cell r="AW840">
            <v>35</v>
          </cell>
          <cell r="AX840">
            <v>20</v>
          </cell>
          <cell r="AY840">
            <v>9</v>
          </cell>
          <cell r="AZ840">
            <v>68</v>
          </cell>
          <cell r="BA840">
            <v>394</v>
          </cell>
        </row>
        <row r="841">
          <cell r="AS841" t="str">
            <v>17031805108</v>
          </cell>
          <cell r="AT841">
            <v>6191</v>
          </cell>
          <cell r="AU841">
            <v>3443</v>
          </cell>
          <cell r="AV841">
            <v>2656</v>
          </cell>
          <cell r="AW841">
            <v>352</v>
          </cell>
          <cell r="AX841">
            <v>0</v>
          </cell>
          <cell r="AY841">
            <v>9</v>
          </cell>
          <cell r="AZ841">
            <v>108</v>
          </cell>
          <cell r="BA841">
            <v>318</v>
          </cell>
        </row>
        <row r="842">
          <cell r="AS842" t="str">
            <v>17031805109</v>
          </cell>
          <cell r="AT842">
            <v>4667</v>
          </cell>
          <cell r="AU842">
            <v>1984</v>
          </cell>
          <cell r="AV842">
            <v>1634</v>
          </cell>
          <cell r="AW842">
            <v>41</v>
          </cell>
          <cell r="AX842">
            <v>0</v>
          </cell>
          <cell r="AY842">
            <v>0</v>
          </cell>
          <cell r="AZ842">
            <v>7</v>
          </cell>
          <cell r="BA842">
            <v>302</v>
          </cell>
        </row>
        <row r="843">
          <cell r="AS843" t="str">
            <v>17031805110</v>
          </cell>
          <cell r="AT843">
            <v>4590</v>
          </cell>
          <cell r="AU843">
            <v>2164</v>
          </cell>
          <cell r="AV843">
            <v>1807</v>
          </cell>
          <cell r="AW843">
            <v>104</v>
          </cell>
          <cell r="AX843">
            <v>26</v>
          </cell>
          <cell r="AY843">
            <v>0</v>
          </cell>
          <cell r="AZ843">
            <v>99</v>
          </cell>
          <cell r="BA843">
            <v>128</v>
          </cell>
        </row>
        <row r="844">
          <cell r="AS844" t="str">
            <v>17031805111</v>
          </cell>
          <cell r="AT844">
            <v>7779</v>
          </cell>
          <cell r="AU844">
            <v>3953</v>
          </cell>
          <cell r="AV844">
            <v>3338</v>
          </cell>
          <cell r="AW844">
            <v>235</v>
          </cell>
          <cell r="AX844">
            <v>0</v>
          </cell>
          <cell r="AY844">
            <v>40</v>
          </cell>
          <cell r="AZ844">
            <v>69</v>
          </cell>
          <cell r="BA844">
            <v>271</v>
          </cell>
        </row>
        <row r="845">
          <cell r="AS845" t="str">
            <v>17031805112</v>
          </cell>
          <cell r="AT845">
            <v>3057</v>
          </cell>
          <cell r="AU845">
            <v>1561</v>
          </cell>
          <cell r="AV845">
            <v>1456</v>
          </cell>
          <cell r="AW845">
            <v>52</v>
          </cell>
          <cell r="AX845">
            <v>0</v>
          </cell>
          <cell r="AY845">
            <v>0</v>
          </cell>
          <cell r="AZ845">
            <v>0</v>
          </cell>
          <cell r="BA845">
            <v>53</v>
          </cell>
        </row>
        <row r="846">
          <cell r="AS846" t="str">
            <v>17031805201</v>
          </cell>
          <cell r="AT846">
            <v>4092</v>
          </cell>
          <cell r="AU846">
            <v>1754</v>
          </cell>
          <cell r="AV846">
            <v>1605</v>
          </cell>
          <cell r="AW846">
            <v>94</v>
          </cell>
          <cell r="AX846">
            <v>0</v>
          </cell>
          <cell r="AY846">
            <v>0</v>
          </cell>
          <cell r="AZ846">
            <v>6</v>
          </cell>
          <cell r="BA846">
            <v>49</v>
          </cell>
        </row>
        <row r="847">
          <cell r="AS847" t="str">
            <v>17031805202</v>
          </cell>
          <cell r="AT847">
            <v>4128</v>
          </cell>
          <cell r="AU847">
            <v>2100</v>
          </cell>
          <cell r="AV847">
            <v>1810</v>
          </cell>
          <cell r="AW847">
            <v>90</v>
          </cell>
          <cell r="AX847">
            <v>9</v>
          </cell>
          <cell r="AY847">
            <v>5</v>
          </cell>
          <cell r="AZ847">
            <v>41</v>
          </cell>
          <cell r="BA847">
            <v>145</v>
          </cell>
        </row>
        <row r="848">
          <cell r="AS848" t="str">
            <v>17031805301</v>
          </cell>
          <cell r="AT848">
            <v>2921</v>
          </cell>
          <cell r="AU848">
            <v>1480</v>
          </cell>
          <cell r="AV848">
            <v>1325</v>
          </cell>
          <cell r="AW848">
            <v>71</v>
          </cell>
          <cell r="AX848">
            <v>0</v>
          </cell>
          <cell r="AY848">
            <v>0</v>
          </cell>
          <cell r="AZ848">
            <v>10</v>
          </cell>
          <cell r="BA848">
            <v>74</v>
          </cell>
        </row>
        <row r="849">
          <cell r="AS849" t="str">
            <v>17031805302</v>
          </cell>
          <cell r="AT849">
            <v>3727</v>
          </cell>
          <cell r="AU849">
            <v>1707</v>
          </cell>
          <cell r="AV849">
            <v>1507</v>
          </cell>
          <cell r="AW849">
            <v>73</v>
          </cell>
          <cell r="AX849">
            <v>19</v>
          </cell>
          <cell r="AY849">
            <v>0</v>
          </cell>
          <cell r="AZ849">
            <v>0</v>
          </cell>
          <cell r="BA849">
            <v>108</v>
          </cell>
        </row>
        <row r="850">
          <cell r="AS850" t="str">
            <v>17031805401</v>
          </cell>
          <cell r="AT850">
            <v>4212</v>
          </cell>
          <cell r="AU850">
            <v>2117</v>
          </cell>
          <cell r="AV850">
            <v>1763</v>
          </cell>
          <cell r="AW850">
            <v>208</v>
          </cell>
          <cell r="AX850">
            <v>0</v>
          </cell>
          <cell r="AY850">
            <v>7</v>
          </cell>
          <cell r="AZ850">
            <v>28</v>
          </cell>
          <cell r="BA850">
            <v>111</v>
          </cell>
        </row>
        <row r="851">
          <cell r="AS851" t="str">
            <v>17031805402</v>
          </cell>
          <cell r="AT851">
            <v>4305</v>
          </cell>
          <cell r="AU851">
            <v>2576</v>
          </cell>
          <cell r="AV851">
            <v>2292</v>
          </cell>
          <cell r="AW851">
            <v>108</v>
          </cell>
          <cell r="AX851">
            <v>0</v>
          </cell>
          <cell r="AY851">
            <v>0</v>
          </cell>
          <cell r="AZ851">
            <v>0</v>
          </cell>
          <cell r="BA851">
            <v>176</v>
          </cell>
        </row>
        <row r="852">
          <cell r="AS852" t="str">
            <v>17031805501</v>
          </cell>
          <cell r="AT852">
            <v>3454</v>
          </cell>
          <cell r="AU852">
            <v>1785</v>
          </cell>
          <cell r="AV852">
            <v>1390</v>
          </cell>
          <cell r="AW852">
            <v>173</v>
          </cell>
          <cell r="AX852">
            <v>0</v>
          </cell>
          <cell r="AY852">
            <v>0</v>
          </cell>
          <cell r="AZ852">
            <v>83</v>
          </cell>
          <cell r="BA852">
            <v>139</v>
          </cell>
        </row>
        <row r="853">
          <cell r="AS853" t="str">
            <v>17031805502</v>
          </cell>
          <cell r="AT853">
            <v>4140</v>
          </cell>
          <cell r="AU853">
            <v>2047</v>
          </cell>
          <cell r="AV853">
            <v>1503</v>
          </cell>
          <cell r="AW853">
            <v>269</v>
          </cell>
          <cell r="AX853">
            <v>0</v>
          </cell>
          <cell r="AY853">
            <v>0</v>
          </cell>
          <cell r="AZ853">
            <v>57</v>
          </cell>
          <cell r="BA853">
            <v>218</v>
          </cell>
        </row>
        <row r="854">
          <cell r="AS854" t="str">
            <v>17031805600</v>
          </cell>
          <cell r="AT854">
            <v>4500</v>
          </cell>
          <cell r="AU854">
            <v>2027</v>
          </cell>
          <cell r="AV854">
            <v>1120</v>
          </cell>
          <cell r="AW854">
            <v>442</v>
          </cell>
          <cell r="AX854">
            <v>0</v>
          </cell>
          <cell r="AY854">
            <v>0</v>
          </cell>
          <cell r="AZ854">
            <v>91</v>
          </cell>
          <cell r="BA854">
            <v>374</v>
          </cell>
        </row>
        <row r="855">
          <cell r="AS855" t="str">
            <v>17031805701</v>
          </cell>
          <cell r="AT855">
            <v>4834</v>
          </cell>
          <cell r="AU855">
            <v>2359</v>
          </cell>
          <cell r="AV855">
            <v>1792</v>
          </cell>
          <cell r="AW855">
            <v>269</v>
          </cell>
          <cell r="AX855">
            <v>0</v>
          </cell>
          <cell r="AY855">
            <v>8</v>
          </cell>
          <cell r="AZ855">
            <v>11</v>
          </cell>
          <cell r="BA855">
            <v>279</v>
          </cell>
        </row>
        <row r="856">
          <cell r="AS856" t="str">
            <v>17031805702</v>
          </cell>
          <cell r="AT856">
            <v>2081</v>
          </cell>
          <cell r="AU856">
            <v>1116</v>
          </cell>
          <cell r="AV856">
            <v>893</v>
          </cell>
          <cell r="AW856">
            <v>66</v>
          </cell>
          <cell r="AX856">
            <v>0</v>
          </cell>
          <cell r="AY856">
            <v>4</v>
          </cell>
          <cell r="AZ856">
            <v>7</v>
          </cell>
          <cell r="BA856">
            <v>146</v>
          </cell>
        </row>
        <row r="857">
          <cell r="AS857" t="str">
            <v>17031805801</v>
          </cell>
          <cell r="AT857">
            <v>2333</v>
          </cell>
          <cell r="AU857">
            <v>1076</v>
          </cell>
          <cell r="AV857">
            <v>836</v>
          </cell>
          <cell r="AW857">
            <v>128</v>
          </cell>
          <cell r="AX857">
            <v>0</v>
          </cell>
          <cell r="AY857">
            <v>22</v>
          </cell>
          <cell r="AZ857">
            <v>0</v>
          </cell>
          <cell r="BA857">
            <v>90</v>
          </cell>
        </row>
        <row r="858">
          <cell r="AS858" t="str">
            <v>17031805802</v>
          </cell>
          <cell r="AT858">
            <v>4988</v>
          </cell>
          <cell r="AU858">
            <v>2470</v>
          </cell>
          <cell r="AV858">
            <v>1618</v>
          </cell>
          <cell r="AW858">
            <v>505</v>
          </cell>
          <cell r="AX858">
            <v>0</v>
          </cell>
          <cell r="AY858">
            <v>0</v>
          </cell>
          <cell r="AZ858">
            <v>49</v>
          </cell>
          <cell r="BA858">
            <v>298</v>
          </cell>
        </row>
        <row r="859">
          <cell r="AS859" t="str">
            <v>17031805901</v>
          </cell>
          <cell r="AT859">
            <v>4113</v>
          </cell>
          <cell r="AU859">
            <v>2026</v>
          </cell>
          <cell r="AV859">
            <v>1663</v>
          </cell>
          <cell r="AW859">
            <v>152</v>
          </cell>
          <cell r="AX859">
            <v>0</v>
          </cell>
          <cell r="AY859">
            <v>0</v>
          </cell>
          <cell r="AZ859">
            <v>18</v>
          </cell>
          <cell r="BA859">
            <v>193</v>
          </cell>
        </row>
        <row r="860">
          <cell r="AS860" t="str">
            <v>17031805902</v>
          </cell>
          <cell r="AT860">
            <v>5792</v>
          </cell>
          <cell r="AU860">
            <v>2847</v>
          </cell>
          <cell r="AV860">
            <v>2129</v>
          </cell>
          <cell r="AW860">
            <v>166</v>
          </cell>
          <cell r="AX860">
            <v>0</v>
          </cell>
          <cell r="AY860">
            <v>13</v>
          </cell>
          <cell r="AZ860">
            <v>196</v>
          </cell>
          <cell r="BA860">
            <v>343</v>
          </cell>
        </row>
        <row r="861">
          <cell r="AS861" t="str">
            <v>17031806001</v>
          </cell>
          <cell r="AT861">
            <v>5631</v>
          </cell>
          <cell r="AU861">
            <v>3062</v>
          </cell>
          <cell r="AV861">
            <v>2502</v>
          </cell>
          <cell r="AW861">
            <v>137</v>
          </cell>
          <cell r="AX861">
            <v>0</v>
          </cell>
          <cell r="AY861">
            <v>0</v>
          </cell>
          <cell r="AZ861">
            <v>138</v>
          </cell>
          <cell r="BA861">
            <v>285</v>
          </cell>
        </row>
        <row r="862">
          <cell r="AS862" t="str">
            <v>17031806002</v>
          </cell>
          <cell r="AT862">
            <v>6639</v>
          </cell>
          <cell r="AU862">
            <v>3154</v>
          </cell>
          <cell r="AV862">
            <v>2652</v>
          </cell>
          <cell r="AW862">
            <v>68</v>
          </cell>
          <cell r="AX862">
            <v>0</v>
          </cell>
          <cell r="AY862">
            <v>0</v>
          </cell>
          <cell r="AZ862">
            <v>252</v>
          </cell>
          <cell r="BA862">
            <v>182</v>
          </cell>
        </row>
        <row r="863">
          <cell r="AS863" t="str">
            <v>17031806004</v>
          </cell>
          <cell r="AT863">
            <v>8594</v>
          </cell>
          <cell r="AU863">
            <v>4178</v>
          </cell>
          <cell r="AV863">
            <v>3543</v>
          </cell>
          <cell r="AW863">
            <v>383</v>
          </cell>
          <cell r="AX863">
            <v>0</v>
          </cell>
          <cell r="AY863">
            <v>184</v>
          </cell>
          <cell r="AZ863">
            <v>29</v>
          </cell>
          <cell r="BA863">
            <v>39</v>
          </cell>
        </row>
        <row r="864">
          <cell r="AS864" t="str">
            <v>17031806005</v>
          </cell>
          <cell r="AT864">
            <v>3465</v>
          </cell>
          <cell r="AU864">
            <v>2065</v>
          </cell>
          <cell r="AV864">
            <v>1836</v>
          </cell>
          <cell r="AW864">
            <v>74</v>
          </cell>
          <cell r="AX864">
            <v>0</v>
          </cell>
          <cell r="AY864">
            <v>0</v>
          </cell>
          <cell r="AZ864">
            <v>12</v>
          </cell>
          <cell r="BA864">
            <v>143</v>
          </cell>
        </row>
        <row r="865">
          <cell r="AS865" t="str">
            <v>17031806006</v>
          </cell>
          <cell r="AT865">
            <v>4794</v>
          </cell>
          <cell r="AU865">
            <v>2293</v>
          </cell>
          <cell r="AV865">
            <v>2167</v>
          </cell>
          <cell r="AW865">
            <v>82</v>
          </cell>
          <cell r="AX865">
            <v>0</v>
          </cell>
          <cell r="AY865">
            <v>0</v>
          </cell>
          <cell r="AZ865">
            <v>0</v>
          </cell>
          <cell r="BA865">
            <v>44</v>
          </cell>
        </row>
        <row r="866">
          <cell r="AS866" t="str">
            <v>17031806102</v>
          </cell>
          <cell r="AT866">
            <v>3755</v>
          </cell>
          <cell r="AU866">
            <v>1962</v>
          </cell>
          <cell r="AV866">
            <v>1664</v>
          </cell>
          <cell r="AW866">
            <v>192</v>
          </cell>
          <cell r="AX866">
            <v>0</v>
          </cell>
          <cell r="AY866">
            <v>0</v>
          </cell>
          <cell r="AZ866">
            <v>0</v>
          </cell>
          <cell r="BA866">
            <v>106</v>
          </cell>
        </row>
        <row r="867">
          <cell r="AS867" t="str">
            <v>17031806103</v>
          </cell>
          <cell r="AT867">
            <v>5175</v>
          </cell>
          <cell r="AU867">
            <v>2692</v>
          </cell>
          <cell r="AV867">
            <v>2215</v>
          </cell>
          <cell r="AW867">
            <v>211</v>
          </cell>
          <cell r="AX867">
            <v>0</v>
          </cell>
          <cell r="AY867">
            <v>0</v>
          </cell>
          <cell r="AZ867">
            <v>32</v>
          </cell>
          <cell r="BA867">
            <v>234</v>
          </cell>
        </row>
        <row r="868">
          <cell r="AS868" t="str">
            <v>17031806104</v>
          </cell>
          <cell r="AT868">
            <v>4130</v>
          </cell>
          <cell r="AU868">
            <v>2299</v>
          </cell>
          <cell r="AV868">
            <v>1931</v>
          </cell>
          <cell r="AW868">
            <v>220</v>
          </cell>
          <cell r="AX868">
            <v>31</v>
          </cell>
          <cell r="AY868">
            <v>0</v>
          </cell>
          <cell r="AZ868">
            <v>6</v>
          </cell>
          <cell r="BA868">
            <v>111</v>
          </cell>
        </row>
        <row r="869">
          <cell r="AS869" t="str">
            <v>17031806201</v>
          </cell>
          <cell r="AT869">
            <v>4444</v>
          </cell>
          <cell r="AU869">
            <v>2385</v>
          </cell>
          <cell r="AV869">
            <v>1906</v>
          </cell>
          <cell r="AW869">
            <v>230</v>
          </cell>
          <cell r="AX869">
            <v>0</v>
          </cell>
          <cell r="AY869">
            <v>0</v>
          </cell>
          <cell r="AZ869">
            <v>63</v>
          </cell>
          <cell r="BA869">
            <v>186</v>
          </cell>
        </row>
        <row r="870">
          <cell r="AS870" t="str">
            <v>17031806202</v>
          </cell>
          <cell r="AT870">
            <v>5092</v>
          </cell>
          <cell r="AU870">
            <v>2797</v>
          </cell>
          <cell r="AV870">
            <v>2234</v>
          </cell>
          <cell r="AW870">
            <v>133</v>
          </cell>
          <cell r="AX870">
            <v>0</v>
          </cell>
          <cell r="AY870">
            <v>0</v>
          </cell>
          <cell r="AZ870">
            <v>110</v>
          </cell>
          <cell r="BA870">
            <v>320</v>
          </cell>
        </row>
        <row r="871">
          <cell r="AS871" t="str">
            <v>17031806300</v>
          </cell>
          <cell r="AT871">
            <v>4409</v>
          </cell>
          <cell r="AU871">
            <v>2277</v>
          </cell>
          <cell r="AV871">
            <v>1915</v>
          </cell>
          <cell r="AW871">
            <v>151</v>
          </cell>
          <cell r="AX871">
            <v>0</v>
          </cell>
          <cell r="AY871">
            <v>0</v>
          </cell>
          <cell r="AZ871">
            <v>60</v>
          </cell>
          <cell r="BA871">
            <v>151</v>
          </cell>
        </row>
        <row r="872">
          <cell r="AS872" t="str">
            <v>17031806400</v>
          </cell>
          <cell r="AT872">
            <v>2381</v>
          </cell>
          <cell r="AU872">
            <v>1290</v>
          </cell>
          <cell r="AV872">
            <v>1113</v>
          </cell>
          <cell r="AW872">
            <v>93</v>
          </cell>
          <cell r="AX872">
            <v>0</v>
          </cell>
          <cell r="AY872">
            <v>0</v>
          </cell>
          <cell r="AZ872">
            <v>15</v>
          </cell>
          <cell r="BA872">
            <v>69</v>
          </cell>
        </row>
        <row r="873">
          <cell r="AS873" t="str">
            <v>17031806501</v>
          </cell>
          <cell r="AT873">
            <v>2609</v>
          </cell>
          <cell r="AU873">
            <v>1117</v>
          </cell>
          <cell r="AV873">
            <v>933</v>
          </cell>
          <cell r="AW873">
            <v>51</v>
          </cell>
          <cell r="AX873">
            <v>0</v>
          </cell>
          <cell r="AY873">
            <v>36</v>
          </cell>
          <cell r="AZ873">
            <v>21</v>
          </cell>
          <cell r="BA873">
            <v>76</v>
          </cell>
        </row>
        <row r="874">
          <cell r="AS874" t="str">
            <v>17031806502</v>
          </cell>
          <cell r="AT874">
            <v>3981</v>
          </cell>
          <cell r="AU874">
            <v>1897</v>
          </cell>
          <cell r="AV874">
            <v>1617</v>
          </cell>
          <cell r="AW874">
            <v>55</v>
          </cell>
          <cell r="AX874">
            <v>35</v>
          </cell>
          <cell r="AY874">
            <v>0</v>
          </cell>
          <cell r="AZ874">
            <v>58</v>
          </cell>
          <cell r="BA874">
            <v>132</v>
          </cell>
        </row>
        <row r="875">
          <cell r="AS875" t="str">
            <v>17031806600</v>
          </cell>
          <cell r="AT875">
            <v>3375</v>
          </cell>
          <cell r="AU875">
            <v>2017</v>
          </cell>
          <cell r="AV875">
            <v>1621</v>
          </cell>
          <cell r="AW875">
            <v>142</v>
          </cell>
          <cell r="AX875">
            <v>0</v>
          </cell>
          <cell r="AY875">
            <v>22</v>
          </cell>
          <cell r="AZ875">
            <v>19</v>
          </cell>
          <cell r="BA875">
            <v>213</v>
          </cell>
        </row>
        <row r="876">
          <cell r="AS876" t="str">
            <v>17031806700</v>
          </cell>
          <cell r="AT876">
            <v>3896</v>
          </cell>
          <cell r="AU876">
            <v>1763</v>
          </cell>
          <cell r="AV876">
            <v>1263</v>
          </cell>
          <cell r="AW876">
            <v>212</v>
          </cell>
          <cell r="AX876">
            <v>0</v>
          </cell>
          <cell r="AY876">
            <v>6</v>
          </cell>
          <cell r="AZ876">
            <v>5</v>
          </cell>
          <cell r="BA876">
            <v>277</v>
          </cell>
        </row>
        <row r="877">
          <cell r="AS877" t="str">
            <v>17031806801</v>
          </cell>
          <cell r="AT877">
            <v>4272</v>
          </cell>
          <cell r="AU877">
            <v>1701</v>
          </cell>
          <cell r="AV877">
            <v>1326</v>
          </cell>
          <cell r="AW877">
            <v>106</v>
          </cell>
          <cell r="AX877">
            <v>0</v>
          </cell>
          <cell r="AY877">
            <v>139</v>
          </cell>
          <cell r="AZ877">
            <v>62</v>
          </cell>
          <cell r="BA877">
            <v>68</v>
          </cell>
        </row>
        <row r="878">
          <cell r="AS878" t="str">
            <v>17031806802</v>
          </cell>
          <cell r="AT878">
            <v>2941</v>
          </cell>
          <cell r="AU878">
            <v>1269</v>
          </cell>
          <cell r="AV878">
            <v>1006</v>
          </cell>
          <cell r="AW878">
            <v>145</v>
          </cell>
          <cell r="AX878">
            <v>14</v>
          </cell>
          <cell r="AY878">
            <v>0</v>
          </cell>
          <cell r="AZ878">
            <v>61</v>
          </cell>
          <cell r="BA878">
            <v>43</v>
          </cell>
        </row>
        <row r="879">
          <cell r="AS879" t="str">
            <v>17031806900</v>
          </cell>
          <cell r="AT879">
            <v>5325</v>
          </cell>
          <cell r="AU879">
            <v>2257</v>
          </cell>
          <cell r="AV879">
            <v>1758</v>
          </cell>
          <cell r="AW879">
            <v>208</v>
          </cell>
          <cell r="AX879">
            <v>0</v>
          </cell>
          <cell r="AY879">
            <v>25</v>
          </cell>
          <cell r="AZ879">
            <v>26</v>
          </cell>
          <cell r="BA879">
            <v>240</v>
          </cell>
        </row>
        <row r="880">
          <cell r="AS880" t="str">
            <v>17031807000</v>
          </cell>
          <cell r="AT880">
            <v>5202</v>
          </cell>
          <cell r="AU880">
            <v>2755</v>
          </cell>
          <cell r="AV880">
            <v>1977</v>
          </cell>
          <cell r="AW880">
            <v>278</v>
          </cell>
          <cell r="AX880">
            <v>25</v>
          </cell>
          <cell r="AY880">
            <v>0</v>
          </cell>
          <cell r="AZ880">
            <v>210</v>
          </cell>
          <cell r="BA880">
            <v>265</v>
          </cell>
        </row>
        <row r="881">
          <cell r="AS881" t="str">
            <v>17031807100</v>
          </cell>
          <cell r="AT881">
            <v>3637</v>
          </cell>
          <cell r="AU881">
            <v>1499</v>
          </cell>
          <cell r="AV881">
            <v>1019</v>
          </cell>
          <cell r="AW881">
            <v>100</v>
          </cell>
          <cell r="AX881">
            <v>7</v>
          </cell>
          <cell r="AY881">
            <v>7</v>
          </cell>
          <cell r="AZ881">
            <v>18</v>
          </cell>
          <cell r="BA881">
            <v>348</v>
          </cell>
        </row>
        <row r="882">
          <cell r="AS882" t="str">
            <v>17031807200</v>
          </cell>
          <cell r="AT882">
            <v>5336</v>
          </cell>
          <cell r="AU882">
            <v>2564</v>
          </cell>
          <cell r="AV882">
            <v>2081</v>
          </cell>
          <cell r="AW882">
            <v>99</v>
          </cell>
          <cell r="AX882">
            <v>8</v>
          </cell>
          <cell r="AY882">
            <v>3</v>
          </cell>
          <cell r="AZ882">
            <v>82</v>
          </cell>
          <cell r="BA882">
            <v>291</v>
          </cell>
        </row>
        <row r="883">
          <cell r="AS883" t="str">
            <v>17031807300</v>
          </cell>
          <cell r="AT883">
            <v>8154</v>
          </cell>
          <cell r="AU883">
            <v>3876</v>
          </cell>
          <cell r="AV883">
            <v>3419</v>
          </cell>
          <cell r="AW883">
            <v>140</v>
          </cell>
          <cell r="AX883">
            <v>11</v>
          </cell>
          <cell r="AY883">
            <v>64</v>
          </cell>
          <cell r="AZ883">
            <v>122</v>
          </cell>
          <cell r="BA883">
            <v>120</v>
          </cell>
        </row>
        <row r="884">
          <cell r="AS884" t="str">
            <v>17031807400</v>
          </cell>
          <cell r="AT884">
            <v>6725</v>
          </cell>
          <cell r="AU884">
            <v>2967</v>
          </cell>
          <cell r="AV884">
            <v>2380</v>
          </cell>
          <cell r="AW884">
            <v>207</v>
          </cell>
          <cell r="AX884">
            <v>47</v>
          </cell>
          <cell r="AY884">
            <v>12</v>
          </cell>
          <cell r="AZ884">
            <v>81</v>
          </cell>
          <cell r="BA884">
            <v>240</v>
          </cell>
        </row>
        <row r="885">
          <cell r="AS885" t="str">
            <v>17031807500</v>
          </cell>
          <cell r="AT885">
            <v>3201</v>
          </cell>
          <cell r="AU885">
            <v>1567</v>
          </cell>
          <cell r="AV885">
            <v>1276</v>
          </cell>
          <cell r="AW885">
            <v>180</v>
          </cell>
          <cell r="AX885">
            <v>0</v>
          </cell>
          <cell r="AY885">
            <v>54</v>
          </cell>
          <cell r="AZ885">
            <v>0</v>
          </cell>
          <cell r="BA885">
            <v>57</v>
          </cell>
        </row>
        <row r="886">
          <cell r="AS886" t="str">
            <v>17031807600</v>
          </cell>
          <cell r="AT886">
            <v>5818</v>
          </cell>
          <cell r="AU886">
            <v>2596</v>
          </cell>
          <cell r="AV886">
            <v>2343</v>
          </cell>
          <cell r="AW886">
            <v>124</v>
          </cell>
          <cell r="AX886">
            <v>14</v>
          </cell>
          <cell r="AY886">
            <v>0</v>
          </cell>
          <cell r="AZ886">
            <v>17</v>
          </cell>
          <cell r="BA886">
            <v>98</v>
          </cell>
        </row>
        <row r="887">
          <cell r="AS887" t="str">
            <v>17031807700</v>
          </cell>
          <cell r="AT887">
            <v>5432</v>
          </cell>
          <cell r="AU887">
            <v>2339</v>
          </cell>
          <cell r="AV887">
            <v>1905</v>
          </cell>
          <cell r="AW887">
            <v>146</v>
          </cell>
          <cell r="AX887">
            <v>0</v>
          </cell>
          <cell r="AY887">
            <v>0</v>
          </cell>
          <cell r="AZ887">
            <v>100</v>
          </cell>
          <cell r="BA887">
            <v>188</v>
          </cell>
        </row>
        <row r="888">
          <cell r="AS888" t="str">
            <v>17031807800</v>
          </cell>
          <cell r="AT888">
            <v>2589</v>
          </cell>
          <cell r="AU888">
            <v>1145</v>
          </cell>
          <cell r="AV888">
            <v>873</v>
          </cell>
          <cell r="AW888">
            <v>122</v>
          </cell>
          <cell r="AX888">
            <v>0</v>
          </cell>
          <cell r="AY888">
            <v>0</v>
          </cell>
          <cell r="AZ888">
            <v>18</v>
          </cell>
          <cell r="BA888">
            <v>132</v>
          </cell>
        </row>
        <row r="889">
          <cell r="AS889" t="str">
            <v>17031807900</v>
          </cell>
          <cell r="AT889">
            <v>3793</v>
          </cell>
          <cell r="AU889">
            <v>1645</v>
          </cell>
          <cell r="AV889">
            <v>1431</v>
          </cell>
          <cell r="AW889">
            <v>54</v>
          </cell>
          <cell r="AX889">
            <v>0</v>
          </cell>
          <cell r="AY889">
            <v>0</v>
          </cell>
          <cell r="AZ889">
            <v>0</v>
          </cell>
          <cell r="BA889">
            <v>160</v>
          </cell>
        </row>
        <row r="890">
          <cell r="AS890" t="str">
            <v>17031808001</v>
          </cell>
          <cell r="AT890">
            <v>3651</v>
          </cell>
          <cell r="AU890">
            <v>1686</v>
          </cell>
          <cell r="AV890">
            <v>1215</v>
          </cell>
          <cell r="AW890">
            <v>89</v>
          </cell>
          <cell r="AX890">
            <v>11</v>
          </cell>
          <cell r="AY890">
            <v>0</v>
          </cell>
          <cell r="AZ890">
            <v>12</v>
          </cell>
          <cell r="BA890">
            <v>359</v>
          </cell>
        </row>
        <row r="891">
          <cell r="AS891" t="str">
            <v>17031808002</v>
          </cell>
          <cell r="AT891">
            <v>4894</v>
          </cell>
          <cell r="AU891">
            <v>1491</v>
          </cell>
          <cell r="AV891">
            <v>1357</v>
          </cell>
          <cell r="AW891">
            <v>28</v>
          </cell>
          <cell r="AX891">
            <v>10</v>
          </cell>
          <cell r="AY891">
            <v>9</v>
          </cell>
          <cell r="AZ891">
            <v>5</v>
          </cell>
          <cell r="BA891">
            <v>82</v>
          </cell>
        </row>
        <row r="892">
          <cell r="AS892" t="str">
            <v>17031808100</v>
          </cell>
          <cell r="AT892">
            <v>3632</v>
          </cell>
          <cell r="AU892">
            <v>970</v>
          </cell>
          <cell r="AV892">
            <v>824</v>
          </cell>
          <cell r="AW892">
            <v>71</v>
          </cell>
          <cell r="AX892">
            <v>10</v>
          </cell>
          <cell r="AY892">
            <v>0</v>
          </cell>
          <cell r="AZ892">
            <v>17</v>
          </cell>
          <cell r="BA892">
            <v>48</v>
          </cell>
        </row>
        <row r="893">
          <cell r="AS893" t="str">
            <v>17031808200</v>
          </cell>
          <cell r="AT893">
            <v>5339</v>
          </cell>
          <cell r="AU893">
            <v>2545</v>
          </cell>
          <cell r="AV893">
            <v>2211</v>
          </cell>
          <cell r="AW893">
            <v>79</v>
          </cell>
          <cell r="AX893">
            <v>44</v>
          </cell>
          <cell r="AY893">
            <v>37</v>
          </cell>
          <cell r="AZ893">
            <v>30</v>
          </cell>
          <cell r="BA893">
            <v>144</v>
          </cell>
        </row>
        <row r="894">
          <cell r="AS894" t="str">
            <v>17031808301</v>
          </cell>
          <cell r="AT894">
            <v>5435</v>
          </cell>
          <cell r="AU894">
            <v>2545</v>
          </cell>
          <cell r="AV894">
            <v>2004</v>
          </cell>
          <cell r="AW894">
            <v>202</v>
          </cell>
          <cell r="AX894">
            <v>0</v>
          </cell>
          <cell r="AY894">
            <v>5</v>
          </cell>
          <cell r="AZ894">
            <v>83</v>
          </cell>
          <cell r="BA894">
            <v>251</v>
          </cell>
        </row>
        <row r="895">
          <cell r="AS895" t="str">
            <v>17031808302</v>
          </cell>
          <cell r="AT895">
            <v>4153</v>
          </cell>
          <cell r="AU895">
            <v>2071</v>
          </cell>
          <cell r="AV895">
            <v>1817</v>
          </cell>
          <cell r="AW895">
            <v>109</v>
          </cell>
          <cell r="AX895">
            <v>0</v>
          </cell>
          <cell r="AY895">
            <v>0</v>
          </cell>
          <cell r="AZ895">
            <v>34</v>
          </cell>
          <cell r="BA895">
            <v>111</v>
          </cell>
        </row>
        <row r="896">
          <cell r="AS896" t="str">
            <v>17031808400</v>
          </cell>
          <cell r="AT896">
            <v>4088</v>
          </cell>
          <cell r="AU896">
            <v>2056</v>
          </cell>
          <cell r="AV896">
            <v>1614</v>
          </cell>
          <cell r="AW896">
            <v>203</v>
          </cell>
          <cell r="AX896">
            <v>0</v>
          </cell>
          <cell r="AY896">
            <v>10</v>
          </cell>
          <cell r="AZ896">
            <v>20</v>
          </cell>
          <cell r="BA896">
            <v>209</v>
          </cell>
        </row>
        <row r="897">
          <cell r="AS897" t="str">
            <v>17031808500</v>
          </cell>
          <cell r="AT897">
            <v>4211</v>
          </cell>
          <cell r="AU897">
            <v>1993</v>
          </cell>
          <cell r="AV897">
            <v>1631</v>
          </cell>
          <cell r="AW897">
            <v>173</v>
          </cell>
          <cell r="AX897">
            <v>0</v>
          </cell>
          <cell r="AY897">
            <v>0</v>
          </cell>
          <cell r="AZ897">
            <v>10</v>
          </cell>
          <cell r="BA897">
            <v>179</v>
          </cell>
        </row>
        <row r="898">
          <cell r="AS898" t="str">
            <v>17031808600</v>
          </cell>
          <cell r="AT898">
            <v>2064</v>
          </cell>
          <cell r="AU898">
            <v>1010</v>
          </cell>
          <cell r="AV898">
            <v>702</v>
          </cell>
          <cell r="AW898">
            <v>189</v>
          </cell>
          <cell r="AX898">
            <v>0</v>
          </cell>
          <cell r="AY898">
            <v>0</v>
          </cell>
          <cell r="AZ898">
            <v>13</v>
          </cell>
          <cell r="BA898">
            <v>106</v>
          </cell>
        </row>
        <row r="899">
          <cell r="AS899" t="str">
            <v>17031808702</v>
          </cell>
          <cell r="AT899">
            <v>5304</v>
          </cell>
          <cell r="AU899">
            <v>1545</v>
          </cell>
          <cell r="AV899">
            <v>322</v>
          </cell>
          <cell r="AW899">
            <v>194</v>
          </cell>
          <cell r="AX899">
            <v>7</v>
          </cell>
          <cell r="AY899">
            <v>8</v>
          </cell>
          <cell r="AZ899">
            <v>800</v>
          </cell>
          <cell r="BA899">
            <v>214</v>
          </cell>
        </row>
        <row r="900">
          <cell r="AS900" t="str">
            <v>17031808800</v>
          </cell>
          <cell r="AT900">
            <v>3765</v>
          </cell>
          <cell r="AU900">
            <v>1923</v>
          </cell>
          <cell r="AV900">
            <v>856</v>
          </cell>
          <cell r="AW900">
            <v>425</v>
          </cell>
          <cell r="AX900">
            <v>0</v>
          </cell>
          <cell r="AY900">
            <v>39</v>
          </cell>
          <cell r="AZ900">
            <v>170</v>
          </cell>
          <cell r="BA900">
            <v>433</v>
          </cell>
        </row>
        <row r="901">
          <cell r="AS901" t="str">
            <v>17031808900</v>
          </cell>
          <cell r="AT901">
            <v>4046</v>
          </cell>
          <cell r="AU901">
            <v>1907</v>
          </cell>
          <cell r="AV901">
            <v>971</v>
          </cell>
          <cell r="AW901">
            <v>342</v>
          </cell>
          <cell r="AX901">
            <v>0</v>
          </cell>
          <cell r="AY901">
            <v>69</v>
          </cell>
          <cell r="AZ901">
            <v>44</v>
          </cell>
          <cell r="BA901">
            <v>481</v>
          </cell>
        </row>
        <row r="902">
          <cell r="AS902" t="str">
            <v>17031809000</v>
          </cell>
          <cell r="AT902">
            <v>3771</v>
          </cell>
          <cell r="AU902">
            <v>1587</v>
          </cell>
          <cell r="AV902">
            <v>956</v>
          </cell>
          <cell r="AW902">
            <v>306</v>
          </cell>
          <cell r="AX902">
            <v>0</v>
          </cell>
          <cell r="AY902">
            <v>5</v>
          </cell>
          <cell r="AZ902">
            <v>28</v>
          </cell>
          <cell r="BA902">
            <v>292</v>
          </cell>
        </row>
        <row r="903">
          <cell r="AS903" t="str">
            <v>17031809100</v>
          </cell>
          <cell r="AT903">
            <v>3221</v>
          </cell>
          <cell r="AU903">
            <v>1635</v>
          </cell>
          <cell r="AV903">
            <v>936</v>
          </cell>
          <cell r="AW903">
            <v>388</v>
          </cell>
          <cell r="AX903">
            <v>0</v>
          </cell>
          <cell r="AY903">
            <v>10</v>
          </cell>
          <cell r="AZ903">
            <v>74</v>
          </cell>
          <cell r="BA903">
            <v>227</v>
          </cell>
        </row>
        <row r="904">
          <cell r="AS904" t="str">
            <v>17031809200</v>
          </cell>
          <cell r="AT904">
            <v>4555</v>
          </cell>
          <cell r="AU904">
            <v>1846</v>
          </cell>
          <cell r="AV904">
            <v>1374</v>
          </cell>
          <cell r="AW904">
            <v>140</v>
          </cell>
          <cell r="AX904">
            <v>11</v>
          </cell>
          <cell r="AY904">
            <v>34</v>
          </cell>
          <cell r="AZ904">
            <v>94</v>
          </cell>
          <cell r="BA904">
            <v>193</v>
          </cell>
        </row>
        <row r="905">
          <cell r="AS905" t="str">
            <v>17031809300</v>
          </cell>
          <cell r="AT905">
            <v>4268</v>
          </cell>
          <cell r="AU905">
            <v>1729</v>
          </cell>
          <cell r="AV905">
            <v>651</v>
          </cell>
          <cell r="AW905">
            <v>138</v>
          </cell>
          <cell r="AX905">
            <v>0</v>
          </cell>
          <cell r="AY905">
            <v>110</v>
          </cell>
          <cell r="AZ905">
            <v>624</v>
          </cell>
          <cell r="BA905">
            <v>206</v>
          </cell>
        </row>
        <row r="906">
          <cell r="AS906" t="str">
            <v>17031809401</v>
          </cell>
          <cell r="AT906">
            <v>2705</v>
          </cell>
          <cell r="AU906">
            <v>954</v>
          </cell>
          <cell r="AV906">
            <v>347</v>
          </cell>
          <cell r="AW906">
            <v>247</v>
          </cell>
          <cell r="AX906">
            <v>0</v>
          </cell>
          <cell r="AY906">
            <v>15</v>
          </cell>
          <cell r="AZ906">
            <v>112</v>
          </cell>
          <cell r="BA906">
            <v>233</v>
          </cell>
        </row>
        <row r="907">
          <cell r="AS907" t="str">
            <v>17031809402</v>
          </cell>
          <cell r="AT907">
            <v>2611</v>
          </cell>
          <cell r="AU907">
            <v>934</v>
          </cell>
          <cell r="AV907">
            <v>306</v>
          </cell>
          <cell r="AW907">
            <v>204</v>
          </cell>
          <cell r="AX907">
            <v>0</v>
          </cell>
          <cell r="AY907">
            <v>39</v>
          </cell>
          <cell r="AZ907">
            <v>201</v>
          </cell>
          <cell r="BA907">
            <v>184</v>
          </cell>
        </row>
        <row r="908">
          <cell r="AS908" t="str">
            <v>17031809500</v>
          </cell>
          <cell r="AT908">
            <v>3990</v>
          </cell>
          <cell r="AU908">
            <v>2213</v>
          </cell>
          <cell r="AV908">
            <v>964</v>
          </cell>
          <cell r="AW908">
            <v>392</v>
          </cell>
          <cell r="AX908">
            <v>0</v>
          </cell>
          <cell r="AY908">
            <v>128</v>
          </cell>
          <cell r="AZ908">
            <v>320</v>
          </cell>
          <cell r="BA908">
            <v>409</v>
          </cell>
        </row>
        <row r="909">
          <cell r="AS909" t="str">
            <v>17031809600</v>
          </cell>
          <cell r="AT909">
            <v>3150</v>
          </cell>
          <cell r="AU909">
            <v>1467</v>
          </cell>
          <cell r="AV909">
            <v>1014</v>
          </cell>
          <cell r="AW909">
            <v>214</v>
          </cell>
          <cell r="AX909">
            <v>0</v>
          </cell>
          <cell r="AY909">
            <v>78</v>
          </cell>
          <cell r="AZ909">
            <v>79</v>
          </cell>
          <cell r="BA909">
            <v>82</v>
          </cell>
        </row>
        <row r="910">
          <cell r="AS910" t="str">
            <v>17031809700</v>
          </cell>
          <cell r="AT910">
            <v>3714</v>
          </cell>
          <cell r="AU910">
            <v>1668</v>
          </cell>
          <cell r="AV910">
            <v>1128</v>
          </cell>
          <cell r="AW910">
            <v>211</v>
          </cell>
          <cell r="AX910">
            <v>13</v>
          </cell>
          <cell r="AY910">
            <v>88</v>
          </cell>
          <cell r="AZ910">
            <v>43</v>
          </cell>
          <cell r="BA910">
            <v>185</v>
          </cell>
        </row>
        <row r="911">
          <cell r="AS911" t="str">
            <v>17031809800</v>
          </cell>
          <cell r="AT911">
            <v>2608</v>
          </cell>
          <cell r="AU911">
            <v>1244</v>
          </cell>
          <cell r="AV911">
            <v>541</v>
          </cell>
          <cell r="AW911">
            <v>417</v>
          </cell>
          <cell r="AX911">
            <v>9</v>
          </cell>
          <cell r="AY911">
            <v>93</v>
          </cell>
          <cell r="AZ911">
            <v>60</v>
          </cell>
          <cell r="BA911">
            <v>124</v>
          </cell>
        </row>
        <row r="912">
          <cell r="AS912" t="str">
            <v>17031809900</v>
          </cell>
          <cell r="AT912">
            <v>2774</v>
          </cell>
          <cell r="AU912">
            <v>1404</v>
          </cell>
          <cell r="AV912">
            <v>744</v>
          </cell>
          <cell r="AW912">
            <v>382</v>
          </cell>
          <cell r="AX912">
            <v>0</v>
          </cell>
          <cell r="AY912">
            <v>31</v>
          </cell>
          <cell r="AZ912">
            <v>33</v>
          </cell>
          <cell r="BA912">
            <v>214</v>
          </cell>
        </row>
        <row r="913">
          <cell r="AS913" t="str">
            <v>17031810000</v>
          </cell>
          <cell r="AT913">
            <v>5440</v>
          </cell>
          <cell r="AU913">
            <v>3533</v>
          </cell>
          <cell r="AV913">
            <v>1704</v>
          </cell>
          <cell r="AW913">
            <v>923</v>
          </cell>
          <cell r="AX913">
            <v>0</v>
          </cell>
          <cell r="AY913">
            <v>92</v>
          </cell>
          <cell r="AZ913">
            <v>122</v>
          </cell>
          <cell r="BA913">
            <v>692</v>
          </cell>
        </row>
        <row r="914">
          <cell r="AS914" t="str">
            <v>17031810100</v>
          </cell>
          <cell r="AT914">
            <v>4233</v>
          </cell>
          <cell r="AU914">
            <v>2562</v>
          </cell>
          <cell r="AV914">
            <v>1372</v>
          </cell>
          <cell r="AW914">
            <v>505</v>
          </cell>
          <cell r="AX914">
            <v>0</v>
          </cell>
          <cell r="AY914">
            <v>84</v>
          </cell>
          <cell r="AZ914">
            <v>142</v>
          </cell>
          <cell r="BA914">
            <v>459</v>
          </cell>
        </row>
        <row r="915">
          <cell r="AS915" t="str">
            <v>17031810200</v>
          </cell>
          <cell r="AT915">
            <v>6398</v>
          </cell>
          <cell r="AU915">
            <v>3523</v>
          </cell>
          <cell r="AV915">
            <v>1890</v>
          </cell>
          <cell r="AW915">
            <v>977</v>
          </cell>
          <cell r="AX915">
            <v>21</v>
          </cell>
          <cell r="AY915">
            <v>31</v>
          </cell>
          <cell r="AZ915">
            <v>154</v>
          </cell>
          <cell r="BA915">
            <v>450</v>
          </cell>
        </row>
        <row r="916">
          <cell r="AS916" t="str">
            <v>17031810301</v>
          </cell>
          <cell r="AT916">
            <v>4463</v>
          </cell>
          <cell r="AU916">
            <v>1962</v>
          </cell>
          <cell r="AV916">
            <v>1427</v>
          </cell>
          <cell r="AW916">
            <v>293</v>
          </cell>
          <cell r="AX916">
            <v>0</v>
          </cell>
          <cell r="AY916">
            <v>88</v>
          </cell>
          <cell r="AZ916">
            <v>27</v>
          </cell>
          <cell r="BA916">
            <v>127</v>
          </cell>
        </row>
        <row r="917">
          <cell r="AS917" t="str">
            <v>17031810302</v>
          </cell>
          <cell r="AT917">
            <v>2963</v>
          </cell>
          <cell r="AU917">
            <v>1639</v>
          </cell>
          <cell r="AV917">
            <v>1105</v>
          </cell>
          <cell r="AW917">
            <v>162</v>
          </cell>
          <cell r="AX917">
            <v>0</v>
          </cell>
          <cell r="AY917">
            <v>83</v>
          </cell>
          <cell r="AZ917">
            <v>83</v>
          </cell>
          <cell r="BA917">
            <v>206</v>
          </cell>
        </row>
        <row r="918">
          <cell r="AS918" t="str">
            <v>17031810400</v>
          </cell>
          <cell r="AT918">
            <v>5700</v>
          </cell>
          <cell r="AU918">
            <v>2967</v>
          </cell>
          <cell r="AV918">
            <v>2492</v>
          </cell>
          <cell r="AW918">
            <v>268</v>
          </cell>
          <cell r="AX918">
            <v>0</v>
          </cell>
          <cell r="AY918">
            <v>0</v>
          </cell>
          <cell r="AZ918">
            <v>61</v>
          </cell>
          <cell r="BA918">
            <v>146</v>
          </cell>
        </row>
        <row r="919">
          <cell r="AS919" t="str">
            <v>17031810501</v>
          </cell>
          <cell r="AT919">
            <v>4930</v>
          </cell>
          <cell r="AU919">
            <v>1930</v>
          </cell>
          <cell r="AV919">
            <v>1785</v>
          </cell>
          <cell r="AW919">
            <v>51</v>
          </cell>
          <cell r="AX919">
            <v>0</v>
          </cell>
          <cell r="AY919">
            <v>0</v>
          </cell>
          <cell r="AZ919">
            <v>27</v>
          </cell>
          <cell r="BA919">
            <v>67</v>
          </cell>
        </row>
        <row r="920">
          <cell r="AS920" t="str">
            <v>17031810502</v>
          </cell>
          <cell r="AT920">
            <v>5900</v>
          </cell>
          <cell r="AU920">
            <v>2786</v>
          </cell>
          <cell r="AV920">
            <v>2294</v>
          </cell>
          <cell r="AW920">
            <v>268</v>
          </cell>
          <cell r="AX920">
            <v>18</v>
          </cell>
          <cell r="AY920">
            <v>0</v>
          </cell>
          <cell r="AZ920">
            <v>100</v>
          </cell>
          <cell r="BA920">
            <v>106</v>
          </cell>
        </row>
        <row r="921">
          <cell r="AS921" t="str">
            <v>17031810600</v>
          </cell>
          <cell r="AT921">
            <v>4253</v>
          </cell>
          <cell r="AU921">
            <v>2074</v>
          </cell>
          <cell r="AV921">
            <v>1732</v>
          </cell>
          <cell r="AW921">
            <v>169</v>
          </cell>
          <cell r="AX921">
            <v>12</v>
          </cell>
          <cell r="AY921">
            <v>0</v>
          </cell>
          <cell r="AZ921">
            <v>27</v>
          </cell>
          <cell r="BA921">
            <v>134</v>
          </cell>
        </row>
        <row r="922">
          <cell r="AS922" t="str">
            <v>17031810701</v>
          </cell>
          <cell r="AT922">
            <v>4568</v>
          </cell>
          <cell r="AU922">
            <v>2542</v>
          </cell>
          <cell r="AV922">
            <v>2085</v>
          </cell>
          <cell r="AW922">
            <v>281</v>
          </cell>
          <cell r="AX922">
            <v>0</v>
          </cell>
          <cell r="AY922">
            <v>17</v>
          </cell>
          <cell r="AZ922">
            <v>28</v>
          </cell>
          <cell r="BA922">
            <v>131</v>
          </cell>
        </row>
        <row r="923">
          <cell r="AS923" t="str">
            <v>17031810702</v>
          </cell>
          <cell r="AT923">
            <v>4054</v>
          </cell>
          <cell r="AU923">
            <v>2125</v>
          </cell>
          <cell r="AV923">
            <v>1719</v>
          </cell>
          <cell r="AW923">
            <v>259</v>
          </cell>
          <cell r="AX923">
            <v>0</v>
          </cell>
          <cell r="AY923">
            <v>0</v>
          </cell>
          <cell r="AZ923">
            <v>55</v>
          </cell>
          <cell r="BA923">
            <v>92</v>
          </cell>
        </row>
        <row r="924">
          <cell r="AS924" t="str">
            <v>17031810800</v>
          </cell>
          <cell r="AT924">
            <v>5338</v>
          </cell>
          <cell r="AU924">
            <v>2632</v>
          </cell>
          <cell r="AV924">
            <v>2322</v>
          </cell>
          <cell r="AW924">
            <v>179</v>
          </cell>
          <cell r="AX924">
            <v>0</v>
          </cell>
          <cell r="AY924">
            <v>0</v>
          </cell>
          <cell r="AZ924">
            <v>27</v>
          </cell>
          <cell r="BA924">
            <v>104</v>
          </cell>
        </row>
        <row r="925">
          <cell r="AS925" t="str">
            <v>17031810900</v>
          </cell>
          <cell r="AT925">
            <v>6314</v>
          </cell>
          <cell r="AU925">
            <v>3236</v>
          </cell>
          <cell r="AV925">
            <v>2706</v>
          </cell>
          <cell r="AW925">
            <v>319</v>
          </cell>
          <cell r="AX925">
            <v>11</v>
          </cell>
          <cell r="AY925">
            <v>0</v>
          </cell>
          <cell r="AZ925">
            <v>46</v>
          </cell>
          <cell r="BA925">
            <v>154</v>
          </cell>
        </row>
        <row r="926">
          <cell r="AS926" t="str">
            <v>17031811000</v>
          </cell>
          <cell r="AT926">
            <v>4000</v>
          </cell>
          <cell r="AU926">
            <v>1946</v>
          </cell>
          <cell r="AV926">
            <v>1607</v>
          </cell>
          <cell r="AW926">
            <v>139</v>
          </cell>
          <cell r="AX926">
            <v>22</v>
          </cell>
          <cell r="AY926">
            <v>0</v>
          </cell>
          <cell r="AZ926">
            <v>0</v>
          </cell>
          <cell r="BA926">
            <v>178</v>
          </cell>
        </row>
        <row r="927">
          <cell r="AS927" t="str">
            <v>17031811100</v>
          </cell>
          <cell r="AT927">
            <v>6604</v>
          </cell>
          <cell r="AU927">
            <v>3186</v>
          </cell>
          <cell r="AV927">
            <v>2920</v>
          </cell>
          <cell r="AW927">
            <v>142</v>
          </cell>
          <cell r="AX927">
            <v>0</v>
          </cell>
          <cell r="AY927">
            <v>43</v>
          </cell>
          <cell r="AZ927">
            <v>0</v>
          </cell>
          <cell r="BA927">
            <v>81</v>
          </cell>
        </row>
        <row r="928">
          <cell r="AS928" t="str">
            <v>17031811200</v>
          </cell>
          <cell r="AT928">
            <v>4720</v>
          </cell>
          <cell r="AU928">
            <v>2455</v>
          </cell>
          <cell r="AV928">
            <v>2195</v>
          </cell>
          <cell r="AW928">
            <v>89</v>
          </cell>
          <cell r="AX928">
            <v>0</v>
          </cell>
          <cell r="AY928">
            <v>0</v>
          </cell>
          <cell r="AZ928">
            <v>10</v>
          </cell>
          <cell r="BA928">
            <v>161</v>
          </cell>
        </row>
        <row r="929">
          <cell r="AS929" t="str">
            <v>17031811301</v>
          </cell>
          <cell r="AT929">
            <v>4323</v>
          </cell>
          <cell r="AU929">
            <v>2158</v>
          </cell>
          <cell r="AV929">
            <v>1974</v>
          </cell>
          <cell r="AW929">
            <v>1</v>
          </cell>
          <cell r="AX929">
            <v>23</v>
          </cell>
          <cell r="AY929">
            <v>25</v>
          </cell>
          <cell r="AZ929">
            <v>70</v>
          </cell>
          <cell r="BA929">
            <v>65</v>
          </cell>
        </row>
        <row r="930">
          <cell r="AS930" t="str">
            <v>17031811302</v>
          </cell>
          <cell r="AT930">
            <v>4199</v>
          </cell>
          <cell r="AU930">
            <v>1716</v>
          </cell>
          <cell r="AV930">
            <v>1574</v>
          </cell>
          <cell r="AW930">
            <v>49</v>
          </cell>
          <cell r="AX930">
            <v>0</v>
          </cell>
          <cell r="AY930">
            <v>0</v>
          </cell>
          <cell r="AZ930">
            <v>48</v>
          </cell>
          <cell r="BA930">
            <v>45</v>
          </cell>
        </row>
        <row r="931">
          <cell r="AS931" t="str">
            <v>17031811401</v>
          </cell>
          <cell r="AT931">
            <v>4567</v>
          </cell>
          <cell r="AU931">
            <v>2589</v>
          </cell>
          <cell r="AV931">
            <v>2424</v>
          </cell>
          <cell r="AW931">
            <v>91</v>
          </cell>
          <cell r="AX931">
            <v>0</v>
          </cell>
          <cell r="AY931">
            <v>0</v>
          </cell>
          <cell r="AZ931">
            <v>67</v>
          </cell>
          <cell r="BA931">
            <v>7</v>
          </cell>
        </row>
        <row r="932">
          <cell r="AS932" t="str">
            <v>17031811402</v>
          </cell>
          <cell r="AT932">
            <v>3773</v>
          </cell>
          <cell r="AU932">
            <v>2113</v>
          </cell>
          <cell r="AV932">
            <v>1767</v>
          </cell>
          <cell r="AW932">
            <v>147</v>
          </cell>
          <cell r="AX932">
            <v>41</v>
          </cell>
          <cell r="AY932">
            <v>0</v>
          </cell>
          <cell r="AZ932">
            <v>94</v>
          </cell>
          <cell r="BA932">
            <v>64</v>
          </cell>
        </row>
        <row r="933">
          <cell r="AS933" t="str">
            <v>17031811500</v>
          </cell>
          <cell r="AT933">
            <v>6387</v>
          </cell>
          <cell r="AU933">
            <v>3055</v>
          </cell>
          <cell r="AV933">
            <v>2559</v>
          </cell>
          <cell r="AW933">
            <v>174</v>
          </cell>
          <cell r="AX933">
            <v>5</v>
          </cell>
          <cell r="AY933">
            <v>0</v>
          </cell>
          <cell r="AZ933">
            <v>61</v>
          </cell>
          <cell r="BA933">
            <v>256</v>
          </cell>
        </row>
        <row r="934">
          <cell r="AS934" t="str">
            <v>17031811600</v>
          </cell>
          <cell r="AT934">
            <v>6345</v>
          </cell>
          <cell r="AU934">
            <v>3384</v>
          </cell>
          <cell r="AV934">
            <v>3046</v>
          </cell>
          <cell r="AW934">
            <v>223</v>
          </cell>
          <cell r="AX934">
            <v>12</v>
          </cell>
          <cell r="AY934">
            <v>17</v>
          </cell>
          <cell r="AZ934">
            <v>0</v>
          </cell>
          <cell r="BA934">
            <v>86</v>
          </cell>
        </row>
        <row r="935">
          <cell r="AS935" t="str">
            <v>17031811701</v>
          </cell>
          <cell r="AT935">
            <v>3471</v>
          </cell>
          <cell r="AU935">
            <v>1830</v>
          </cell>
          <cell r="AV935">
            <v>1521</v>
          </cell>
          <cell r="AW935">
            <v>143</v>
          </cell>
          <cell r="AX935">
            <v>0</v>
          </cell>
          <cell r="AY935">
            <v>0</v>
          </cell>
          <cell r="AZ935">
            <v>49</v>
          </cell>
          <cell r="BA935">
            <v>117</v>
          </cell>
        </row>
        <row r="936">
          <cell r="AS936" t="str">
            <v>17031811702</v>
          </cell>
          <cell r="AT936">
            <v>5612</v>
          </cell>
          <cell r="AU936">
            <v>2554</v>
          </cell>
          <cell r="AV936">
            <v>2448</v>
          </cell>
          <cell r="AW936">
            <v>28</v>
          </cell>
          <cell r="AX936">
            <v>6</v>
          </cell>
          <cell r="AY936">
            <v>0</v>
          </cell>
          <cell r="AZ936">
            <v>0</v>
          </cell>
          <cell r="BA936">
            <v>72</v>
          </cell>
        </row>
        <row r="937">
          <cell r="AS937" t="str">
            <v>17031811800</v>
          </cell>
          <cell r="AT937">
            <v>5136</v>
          </cell>
          <cell r="AU937">
            <v>2435</v>
          </cell>
          <cell r="AV937">
            <v>2179</v>
          </cell>
          <cell r="AW937">
            <v>69</v>
          </cell>
          <cell r="AX937">
            <v>0</v>
          </cell>
          <cell r="AY937">
            <v>7</v>
          </cell>
          <cell r="AZ937">
            <v>48</v>
          </cell>
          <cell r="BA937">
            <v>132</v>
          </cell>
        </row>
        <row r="938">
          <cell r="AS938" t="str">
            <v>17031811900</v>
          </cell>
          <cell r="AT938">
            <v>5826</v>
          </cell>
          <cell r="AU938">
            <v>2737</v>
          </cell>
          <cell r="AV938">
            <v>1458</v>
          </cell>
          <cell r="AW938">
            <v>584</v>
          </cell>
          <cell r="AX938">
            <v>24</v>
          </cell>
          <cell r="AY938">
            <v>17</v>
          </cell>
          <cell r="AZ938">
            <v>226</v>
          </cell>
          <cell r="BA938">
            <v>428</v>
          </cell>
        </row>
        <row r="939">
          <cell r="AS939" t="str">
            <v>17031812000</v>
          </cell>
          <cell r="AT939">
            <v>5057</v>
          </cell>
          <cell r="AU939">
            <v>2429</v>
          </cell>
          <cell r="AV939">
            <v>1358</v>
          </cell>
          <cell r="AW939">
            <v>560</v>
          </cell>
          <cell r="AX939">
            <v>0</v>
          </cell>
          <cell r="AY939">
            <v>49</v>
          </cell>
          <cell r="AZ939">
            <v>59</v>
          </cell>
          <cell r="BA939">
            <v>403</v>
          </cell>
        </row>
        <row r="940">
          <cell r="AS940" t="str">
            <v>17031812100</v>
          </cell>
          <cell r="AT940">
            <v>4428</v>
          </cell>
          <cell r="AU940">
            <v>2336</v>
          </cell>
          <cell r="AV940">
            <v>1420</v>
          </cell>
          <cell r="AW940">
            <v>402</v>
          </cell>
          <cell r="AX940">
            <v>0</v>
          </cell>
          <cell r="AY940">
            <v>14</v>
          </cell>
          <cell r="AZ940">
            <v>25</v>
          </cell>
          <cell r="BA940">
            <v>475</v>
          </cell>
        </row>
        <row r="941">
          <cell r="AS941" t="str">
            <v>17031812200</v>
          </cell>
          <cell r="AT941">
            <v>3772</v>
          </cell>
          <cell r="AU941">
            <v>1869</v>
          </cell>
          <cell r="AV941">
            <v>944</v>
          </cell>
          <cell r="AW941">
            <v>512</v>
          </cell>
          <cell r="AX941">
            <v>0</v>
          </cell>
          <cell r="AY941">
            <v>0</v>
          </cell>
          <cell r="AZ941">
            <v>0</v>
          </cell>
          <cell r="BA941">
            <v>413</v>
          </cell>
        </row>
        <row r="942">
          <cell r="AS942" t="str">
            <v>17031812301</v>
          </cell>
          <cell r="AT942">
            <v>4670</v>
          </cell>
          <cell r="AU942">
            <v>2538</v>
          </cell>
          <cell r="AV942">
            <v>1503</v>
          </cell>
          <cell r="AW942">
            <v>663</v>
          </cell>
          <cell r="AX942">
            <v>0</v>
          </cell>
          <cell r="AY942">
            <v>62</v>
          </cell>
          <cell r="AZ942">
            <v>45</v>
          </cell>
          <cell r="BA942">
            <v>265</v>
          </cell>
        </row>
        <row r="943">
          <cell r="AS943" t="str">
            <v>17031812302</v>
          </cell>
          <cell r="AT943">
            <v>2755</v>
          </cell>
          <cell r="AU943">
            <v>1425</v>
          </cell>
          <cell r="AV943">
            <v>861</v>
          </cell>
          <cell r="AW943">
            <v>384</v>
          </cell>
          <cell r="AX943">
            <v>0</v>
          </cell>
          <cell r="AY943">
            <v>0</v>
          </cell>
          <cell r="AZ943">
            <v>54</v>
          </cell>
          <cell r="BA943">
            <v>126</v>
          </cell>
        </row>
        <row r="944">
          <cell r="AS944" t="str">
            <v>17031812400</v>
          </cell>
          <cell r="AT944">
            <v>3151</v>
          </cell>
          <cell r="AU944">
            <v>1431</v>
          </cell>
          <cell r="AV944">
            <v>696</v>
          </cell>
          <cell r="AW944">
            <v>416</v>
          </cell>
          <cell r="AX944">
            <v>0</v>
          </cell>
          <cell r="AY944">
            <v>27</v>
          </cell>
          <cell r="AZ944">
            <v>20</v>
          </cell>
          <cell r="BA944">
            <v>272</v>
          </cell>
        </row>
        <row r="945">
          <cell r="AS945" t="str">
            <v>17031812500</v>
          </cell>
          <cell r="AT945">
            <v>3236</v>
          </cell>
          <cell r="AU945">
            <v>1754</v>
          </cell>
          <cell r="AV945">
            <v>891</v>
          </cell>
          <cell r="AW945">
            <v>480</v>
          </cell>
          <cell r="AX945">
            <v>0</v>
          </cell>
          <cell r="AY945">
            <v>32</v>
          </cell>
          <cell r="AZ945">
            <v>80</v>
          </cell>
          <cell r="BA945">
            <v>271</v>
          </cell>
        </row>
        <row r="946">
          <cell r="AS946" t="str">
            <v>17031812600</v>
          </cell>
          <cell r="AT946">
            <v>3341</v>
          </cell>
          <cell r="AU946">
            <v>1769</v>
          </cell>
          <cell r="AV946">
            <v>1153</v>
          </cell>
          <cell r="AW946">
            <v>397</v>
          </cell>
          <cell r="AX946">
            <v>0</v>
          </cell>
          <cell r="AY946">
            <v>18</v>
          </cell>
          <cell r="AZ946">
            <v>39</v>
          </cell>
          <cell r="BA946">
            <v>162</v>
          </cell>
        </row>
        <row r="947">
          <cell r="AS947" t="str">
            <v>17031812700</v>
          </cell>
          <cell r="AT947">
            <v>3147</v>
          </cell>
          <cell r="AU947">
            <v>1764</v>
          </cell>
          <cell r="AV947">
            <v>1173</v>
          </cell>
          <cell r="AW947">
            <v>308</v>
          </cell>
          <cell r="AX947">
            <v>0</v>
          </cell>
          <cell r="AY947">
            <v>20</v>
          </cell>
          <cell r="AZ947">
            <v>78</v>
          </cell>
          <cell r="BA947">
            <v>185</v>
          </cell>
        </row>
        <row r="948">
          <cell r="AS948" t="str">
            <v>17031812801</v>
          </cell>
          <cell r="AT948">
            <v>3107</v>
          </cell>
          <cell r="AU948">
            <v>1614</v>
          </cell>
          <cell r="AV948">
            <v>777</v>
          </cell>
          <cell r="AW948">
            <v>552</v>
          </cell>
          <cell r="AX948">
            <v>0</v>
          </cell>
          <cell r="AY948">
            <v>6</v>
          </cell>
          <cell r="AZ948">
            <v>122</v>
          </cell>
          <cell r="BA948">
            <v>157</v>
          </cell>
        </row>
        <row r="949">
          <cell r="AS949" t="str">
            <v>17031812802</v>
          </cell>
          <cell r="AT949">
            <v>2765</v>
          </cell>
          <cell r="AU949">
            <v>1515</v>
          </cell>
          <cell r="AV949">
            <v>828</v>
          </cell>
          <cell r="AW949">
            <v>388</v>
          </cell>
          <cell r="AX949">
            <v>12</v>
          </cell>
          <cell r="AY949">
            <v>10</v>
          </cell>
          <cell r="AZ949">
            <v>99</v>
          </cell>
          <cell r="BA949">
            <v>178</v>
          </cell>
        </row>
        <row r="950">
          <cell r="AS950" t="str">
            <v>17031812900</v>
          </cell>
          <cell r="AT950">
            <v>4591</v>
          </cell>
          <cell r="AU950">
            <v>2369</v>
          </cell>
          <cell r="AV950">
            <v>1430</v>
          </cell>
          <cell r="AW950">
            <v>563</v>
          </cell>
          <cell r="AX950">
            <v>0</v>
          </cell>
          <cell r="AY950">
            <v>47</v>
          </cell>
          <cell r="AZ950">
            <v>105</v>
          </cell>
          <cell r="BA950">
            <v>224</v>
          </cell>
        </row>
        <row r="951">
          <cell r="AS951" t="str">
            <v>17031813000</v>
          </cell>
          <cell r="AT951">
            <v>4146</v>
          </cell>
          <cell r="AU951">
            <v>2248</v>
          </cell>
          <cell r="AV951">
            <v>1354</v>
          </cell>
          <cell r="AW951">
            <v>358</v>
          </cell>
          <cell r="AX951">
            <v>0</v>
          </cell>
          <cell r="AY951">
            <v>34</v>
          </cell>
          <cell r="AZ951">
            <v>279</v>
          </cell>
          <cell r="BA951">
            <v>223</v>
          </cell>
        </row>
        <row r="952">
          <cell r="AS952" t="str">
            <v>17031813100</v>
          </cell>
          <cell r="AT952">
            <v>4724</v>
          </cell>
          <cell r="AU952">
            <v>2397</v>
          </cell>
          <cell r="AV952">
            <v>1701</v>
          </cell>
          <cell r="AW952">
            <v>473</v>
          </cell>
          <cell r="AX952">
            <v>0</v>
          </cell>
          <cell r="AY952">
            <v>22</v>
          </cell>
          <cell r="AZ952">
            <v>7</v>
          </cell>
          <cell r="BA952">
            <v>194</v>
          </cell>
        </row>
        <row r="953">
          <cell r="AS953" t="str">
            <v>17031813200</v>
          </cell>
          <cell r="AT953">
            <v>4269</v>
          </cell>
          <cell r="AU953">
            <v>2254</v>
          </cell>
          <cell r="AV953">
            <v>1176</v>
          </cell>
          <cell r="AW953">
            <v>688</v>
          </cell>
          <cell r="AX953">
            <v>23</v>
          </cell>
          <cell r="AY953">
            <v>39</v>
          </cell>
          <cell r="AZ953">
            <v>30</v>
          </cell>
          <cell r="BA953">
            <v>298</v>
          </cell>
        </row>
        <row r="954">
          <cell r="AS954" t="str">
            <v>17031813301</v>
          </cell>
          <cell r="AT954">
            <v>3216</v>
          </cell>
          <cell r="AU954">
            <v>1398</v>
          </cell>
          <cell r="AV954">
            <v>1233</v>
          </cell>
          <cell r="AW954">
            <v>159</v>
          </cell>
          <cell r="AX954">
            <v>0</v>
          </cell>
          <cell r="AY954">
            <v>0</v>
          </cell>
          <cell r="AZ954">
            <v>6</v>
          </cell>
          <cell r="BA954">
            <v>0</v>
          </cell>
        </row>
        <row r="955">
          <cell r="AS955" t="str">
            <v>17031813302</v>
          </cell>
          <cell r="AT955">
            <v>2830</v>
          </cell>
          <cell r="AU955">
            <v>1226</v>
          </cell>
          <cell r="AV955">
            <v>970</v>
          </cell>
          <cell r="AW955">
            <v>146</v>
          </cell>
          <cell r="AX955">
            <v>28</v>
          </cell>
          <cell r="AY955">
            <v>0</v>
          </cell>
          <cell r="AZ955">
            <v>32</v>
          </cell>
          <cell r="BA955">
            <v>50</v>
          </cell>
        </row>
        <row r="956">
          <cell r="AS956" t="str">
            <v>17031813400</v>
          </cell>
          <cell r="AT956">
            <v>8103</v>
          </cell>
          <cell r="AU956">
            <v>3165</v>
          </cell>
          <cell r="AV956">
            <v>2825</v>
          </cell>
          <cell r="AW956">
            <v>215</v>
          </cell>
          <cell r="AX956">
            <v>0</v>
          </cell>
          <cell r="AY956">
            <v>5</v>
          </cell>
          <cell r="AZ956">
            <v>89</v>
          </cell>
          <cell r="BA956">
            <v>31</v>
          </cell>
        </row>
        <row r="957">
          <cell r="AS957" t="str">
            <v>17031813500</v>
          </cell>
          <cell r="AT957">
            <v>6195</v>
          </cell>
          <cell r="AU957">
            <v>3306</v>
          </cell>
          <cell r="AV957">
            <v>2971</v>
          </cell>
          <cell r="AW957">
            <v>186</v>
          </cell>
          <cell r="AX957">
            <v>0</v>
          </cell>
          <cell r="AY957">
            <v>0</v>
          </cell>
          <cell r="AZ957">
            <v>59</v>
          </cell>
          <cell r="BA957">
            <v>90</v>
          </cell>
        </row>
        <row r="958">
          <cell r="AS958" t="str">
            <v>17031813600</v>
          </cell>
          <cell r="AT958">
            <v>5544</v>
          </cell>
          <cell r="AU958">
            <v>2748</v>
          </cell>
          <cell r="AV958">
            <v>2575</v>
          </cell>
          <cell r="AW958">
            <v>66</v>
          </cell>
          <cell r="AX958">
            <v>20</v>
          </cell>
          <cell r="AY958">
            <v>0</v>
          </cell>
          <cell r="AZ958">
            <v>54</v>
          </cell>
          <cell r="BA958">
            <v>33</v>
          </cell>
        </row>
        <row r="959">
          <cell r="AS959" t="str">
            <v>17031813701</v>
          </cell>
          <cell r="AT959">
            <v>3304</v>
          </cell>
          <cell r="AU959">
            <v>1655</v>
          </cell>
          <cell r="AV959">
            <v>1290</v>
          </cell>
          <cell r="AW959">
            <v>229</v>
          </cell>
          <cell r="AX959">
            <v>0</v>
          </cell>
          <cell r="AY959">
            <v>28</v>
          </cell>
          <cell r="AZ959">
            <v>36</v>
          </cell>
          <cell r="BA959">
            <v>72</v>
          </cell>
        </row>
        <row r="960">
          <cell r="AS960" t="str">
            <v>17031813702</v>
          </cell>
          <cell r="AT960">
            <v>4596</v>
          </cell>
          <cell r="AU960">
            <v>2409</v>
          </cell>
          <cell r="AV960">
            <v>1856</v>
          </cell>
          <cell r="AW960">
            <v>430</v>
          </cell>
          <cell r="AX960">
            <v>17</v>
          </cell>
          <cell r="AY960">
            <v>0</v>
          </cell>
          <cell r="AZ960">
            <v>54</v>
          </cell>
          <cell r="BA960">
            <v>52</v>
          </cell>
        </row>
        <row r="961">
          <cell r="AS961" t="str">
            <v>17031813801</v>
          </cell>
          <cell r="AT961">
            <v>3075</v>
          </cell>
          <cell r="AU961">
            <v>1404</v>
          </cell>
          <cell r="AV961">
            <v>1012</v>
          </cell>
          <cell r="AW961">
            <v>214</v>
          </cell>
          <cell r="AX961">
            <v>0</v>
          </cell>
          <cell r="AY961">
            <v>0</v>
          </cell>
          <cell r="AZ961">
            <v>130</v>
          </cell>
          <cell r="BA961">
            <v>48</v>
          </cell>
        </row>
        <row r="962">
          <cell r="AS962" t="str">
            <v>17031813802</v>
          </cell>
          <cell r="AT962">
            <v>4368</v>
          </cell>
          <cell r="AU962">
            <v>1933</v>
          </cell>
          <cell r="AV962">
            <v>1473</v>
          </cell>
          <cell r="AW962">
            <v>289</v>
          </cell>
          <cell r="AX962">
            <v>18</v>
          </cell>
          <cell r="AY962">
            <v>0</v>
          </cell>
          <cell r="AZ962">
            <v>126</v>
          </cell>
          <cell r="BA962">
            <v>27</v>
          </cell>
        </row>
        <row r="963">
          <cell r="AS963" t="str">
            <v>17031813900</v>
          </cell>
          <cell r="AT963">
            <v>6716</v>
          </cell>
          <cell r="AU963">
            <v>2917</v>
          </cell>
          <cell r="AV963">
            <v>2405</v>
          </cell>
          <cell r="AW963">
            <v>329</v>
          </cell>
          <cell r="AX963">
            <v>0</v>
          </cell>
          <cell r="AY963">
            <v>43</v>
          </cell>
          <cell r="AZ963">
            <v>94</v>
          </cell>
          <cell r="BA963">
            <v>46</v>
          </cell>
        </row>
        <row r="964">
          <cell r="AS964" t="str">
            <v>17031814000</v>
          </cell>
          <cell r="AT964">
            <v>4370</v>
          </cell>
          <cell r="AU964">
            <v>2077</v>
          </cell>
          <cell r="AV964">
            <v>1807</v>
          </cell>
          <cell r="AW964">
            <v>139</v>
          </cell>
          <cell r="AX964">
            <v>0</v>
          </cell>
          <cell r="AY964">
            <v>8</v>
          </cell>
          <cell r="AZ964">
            <v>82</v>
          </cell>
          <cell r="BA964">
            <v>41</v>
          </cell>
        </row>
        <row r="965">
          <cell r="AS965" t="str">
            <v>17031814100</v>
          </cell>
          <cell r="AT965">
            <v>4265</v>
          </cell>
          <cell r="AU965">
            <v>2029</v>
          </cell>
          <cell r="AV965">
            <v>1631</v>
          </cell>
          <cell r="AW965">
            <v>357</v>
          </cell>
          <cell r="AX965">
            <v>0</v>
          </cell>
          <cell r="AY965">
            <v>0</v>
          </cell>
          <cell r="AZ965">
            <v>41</v>
          </cell>
          <cell r="BA965">
            <v>0</v>
          </cell>
        </row>
        <row r="966">
          <cell r="AS966" t="str">
            <v>17031814200</v>
          </cell>
          <cell r="AT966">
            <v>7099</v>
          </cell>
          <cell r="AU966">
            <v>3615</v>
          </cell>
          <cell r="AV966">
            <v>3103</v>
          </cell>
          <cell r="AW966">
            <v>224</v>
          </cell>
          <cell r="AX966">
            <v>0</v>
          </cell>
          <cell r="AY966">
            <v>0</v>
          </cell>
          <cell r="AZ966">
            <v>112</v>
          </cell>
          <cell r="BA966">
            <v>176</v>
          </cell>
        </row>
        <row r="967">
          <cell r="AS967" t="str">
            <v>17031814300</v>
          </cell>
          <cell r="AT967">
            <v>4700</v>
          </cell>
          <cell r="AU967">
            <v>2006</v>
          </cell>
          <cell r="AV967">
            <v>1834</v>
          </cell>
          <cell r="AW967">
            <v>52</v>
          </cell>
          <cell r="AX967">
            <v>0</v>
          </cell>
          <cell r="AY967">
            <v>12</v>
          </cell>
          <cell r="AZ967">
            <v>76</v>
          </cell>
          <cell r="BA967">
            <v>32</v>
          </cell>
        </row>
        <row r="968">
          <cell r="AS968" t="str">
            <v>17031814400</v>
          </cell>
          <cell r="AT968">
            <v>7690</v>
          </cell>
          <cell r="AU968">
            <v>3190</v>
          </cell>
          <cell r="AV968">
            <v>2905</v>
          </cell>
          <cell r="AW968">
            <v>195</v>
          </cell>
          <cell r="AX968">
            <v>0</v>
          </cell>
          <cell r="AY968">
            <v>0</v>
          </cell>
          <cell r="AZ968">
            <v>16</v>
          </cell>
          <cell r="BA968">
            <v>74</v>
          </cell>
        </row>
        <row r="969">
          <cell r="AS969" t="str">
            <v>17031814500</v>
          </cell>
          <cell r="AT969">
            <v>5400</v>
          </cell>
          <cell r="AU969">
            <v>2484</v>
          </cell>
          <cell r="AV969">
            <v>2321</v>
          </cell>
          <cell r="AW969">
            <v>70</v>
          </cell>
          <cell r="AX969">
            <v>48</v>
          </cell>
          <cell r="AY969">
            <v>5</v>
          </cell>
          <cell r="AZ969">
            <v>0</v>
          </cell>
          <cell r="BA969">
            <v>40</v>
          </cell>
        </row>
        <row r="970">
          <cell r="AS970" t="str">
            <v>17031814600</v>
          </cell>
          <cell r="AT970">
            <v>5912</v>
          </cell>
          <cell r="AU970">
            <v>2829</v>
          </cell>
          <cell r="AV970">
            <v>2262</v>
          </cell>
          <cell r="AW970">
            <v>378</v>
          </cell>
          <cell r="AX970">
            <v>0</v>
          </cell>
          <cell r="AY970">
            <v>67</v>
          </cell>
          <cell r="AZ970">
            <v>64</v>
          </cell>
          <cell r="BA970">
            <v>58</v>
          </cell>
        </row>
        <row r="971">
          <cell r="AS971" t="str">
            <v>17031814700</v>
          </cell>
          <cell r="AT971">
            <v>4967</v>
          </cell>
          <cell r="AU971">
            <v>2369</v>
          </cell>
          <cell r="AV971">
            <v>2006</v>
          </cell>
          <cell r="AW971">
            <v>252</v>
          </cell>
          <cell r="AX971">
            <v>22</v>
          </cell>
          <cell r="AY971">
            <v>0</v>
          </cell>
          <cell r="AZ971">
            <v>78</v>
          </cell>
          <cell r="BA971">
            <v>11</v>
          </cell>
        </row>
        <row r="972">
          <cell r="AS972" t="str">
            <v>17031814800</v>
          </cell>
          <cell r="AT972">
            <v>5781</v>
          </cell>
          <cell r="AU972">
            <v>2791</v>
          </cell>
          <cell r="AV972">
            <v>2375</v>
          </cell>
          <cell r="AW972">
            <v>245</v>
          </cell>
          <cell r="AX972">
            <v>43</v>
          </cell>
          <cell r="AY972">
            <v>0</v>
          </cell>
          <cell r="AZ972">
            <v>72</v>
          </cell>
          <cell r="BA972">
            <v>56</v>
          </cell>
        </row>
        <row r="973">
          <cell r="AS973" t="str">
            <v>17031814900</v>
          </cell>
          <cell r="AT973">
            <v>6553</v>
          </cell>
          <cell r="AU973">
            <v>3234</v>
          </cell>
          <cell r="AV973">
            <v>2560</v>
          </cell>
          <cell r="AW973">
            <v>347</v>
          </cell>
          <cell r="AX973">
            <v>61</v>
          </cell>
          <cell r="AY973">
            <v>0</v>
          </cell>
          <cell r="AZ973">
            <v>191</v>
          </cell>
          <cell r="BA973">
            <v>75</v>
          </cell>
        </row>
        <row r="974">
          <cell r="AS974" t="str">
            <v>17031815000</v>
          </cell>
          <cell r="AT974">
            <v>3532</v>
          </cell>
          <cell r="AU974">
            <v>1833</v>
          </cell>
          <cell r="AV974">
            <v>1366</v>
          </cell>
          <cell r="AW974">
            <v>284</v>
          </cell>
          <cell r="AX974">
            <v>22</v>
          </cell>
          <cell r="AY974">
            <v>0</v>
          </cell>
          <cell r="AZ974">
            <v>31</v>
          </cell>
          <cell r="BA974">
            <v>130</v>
          </cell>
        </row>
        <row r="975">
          <cell r="AS975" t="str">
            <v>17031815100</v>
          </cell>
          <cell r="AT975">
            <v>4502</v>
          </cell>
          <cell r="AU975">
            <v>2154</v>
          </cell>
          <cell r="AV975">
            <v>1933</v>
          </cell>
          <cell r="AW975">
            <v>180</v>
          </cell>
          <cell r="AX975">
            <v>0</v>
          </cell>
          <cell r="AY975">
            <v>0</v>
          </cell>
          <cell r="AZ975">
            <v>35</v>
          </cell>
          <cell r="BA975">
            <v>6</v>
          </cell>
        </row>
        <row r="976">
          <cell r="AS976" t="str">
            <v>17031815200</v>
          </cell>
          <cell r="AT976">
            <v>7251</v>
          </cell>
          <cell r="AU976">
            <v>3629</v>
          </cell>
          <cell r="AV976">
            <v>3071</v>
          </cell>
          <cell r="AW976">
            <v>305</v>
          </cell>
          <cell r="AX976">
            <v>20</v>
          </cell>
          <cell r="AY976">
            <v>15</v>
          </cell>
          <cell r="AZ976">
            <v>81</v>
          </cell>
          <cell r="BA976">
            <v>137</v>
          </cell>
        </row>
        <row r="977">
          <cell r="AS977" t="str">
            <v>17031815300</v>
          </cell>
          <cell r="AT977">
            <v>3360</v>
          </cell>
          <cell r="AU977">
            <v>1562</v>
          </cell>
          <cell r="AV977">
            <v>1215</v>
          </cell>
          <cell r="AW977">
            <v>237</v>
          </cell>
          <cell r="AX977">
            <v>0</v>
          </cell>
          <cell r="AY977">
            <v>12</v>
          </cell>
          <cell r="AZ977">
            <v>52</v>
          </cell>
          <cell r="BA977">
            <v>46</v>
          </cell>
        </row>
        <row r="978">
          <cell r="AS978" t="str">
            <v>17031815400</v>
          </cell>
          <cell r="AT978">
            <v>4669</v>
          </cell>
          <cell r="AU978">
            <v>2410</v>
          </cell>
          <cell r="AV978">
            <v>1717</v>
          </cell>
          <cell r="AW978">
            <v>360</v>
          </cell>
          <cell r="AX978">
            <v>135</v>
          </cell>
          <cell r="AY978">
            <v>0</v>
          </cell>
          <cell r="AZ978">
            <v>74</v>
          </cell>
          <cell r="BA978">
            <v>124</v>
          </cell>
        </row>
        <row r="979">
          <cell r="AS979" t="str">
            <v>17031815500</v>
          </cell>
          <cell r="AT979">
            <v>8323</v>
          </cell>
          <cell r="AU979">
            <v>3624</v>
          </cell>
          <cell r="AV979">
            <v>2964</v>
          </cell>
          <cell r="AW979">
            <v>286</v>
          </cell>
          <cell r="AX979">
            <v>0</v>
          </cell>
          <cell r="AY979">
            <v>0</v>
          </cell>
          <cell r="AZ979">
            <v>78</v>
          </cell>
          <cell r="BA979">
            <v>296</v>
          </cell>
        </row>
        <row r="980">
          <cell r="AS980" t="str">
            <v>17031815600</v>
          </cell>
          <cell r="AT980">
            <v>4980</v>
          </cell>
          <cell r="AU980">
            <v>2128</v>
          </cell>
          <cell r="AV980">
            <v>1902</v>
          </cell>
          <cell r="AW980">
            <v>74</v>
          </cell>
          <cell r="AX980">
            <v>0</v>
          </cell>
          <cell r="AY980">
            <v>14</v>
          </cell>
          <cell r="AZ980">
            <v>0</v>
          </cell>
          <cell r="BA980">
            <v>138</v>
          </cell>
        </row>
        <row r="981">
          <cell r="AS981" t="str">
            <v>17031815701</v>
          </cell>
          <cell r="AT981">
            <v>3572</v>
          </cell>
          <cell r="AU981">
            <v>1730</v>
          </cell>
          <cell r="AV981">
            <v>1200</v>
          </cell>
          <cell r="AW981">
            <v>256</v>
          </cell>
          <cell r="AX981">
            <v>0</v>
          </cell>
          <cell r="AY981">
            <v>13</v>
          </cell>
          <cell r="AZ981">
            <v>1</v>
          </cell>
          <cell r="BA981">
            <v>260</v>
          </cell>
        </row>
        <row r="982">
          <cell r="AS982" t="str">
            <v>17031815702</v>
          </cell>
          <cell r="AT982">
            <v>5012</v>
          </cell>
          <cell r="AU982">
            <v>2581</v>
          </cell>
          <cell r="AV982">
            <v>1815</v>
          </cell>
          <cell r="AW982">
            <v>522</v>
          </cell>
          <cell r="AX982">
            <v>20</v>
          </cell>
          <cell r="AY982">
            <v>12</v>
          </cell>
          <cell r="AZ982">
            <v>21</v>
          </cell>
          <cell r="BA982">
            <v>191</v>
          </cell>
        </row>
        <row r="983">
          <cell r="AS983" t="str">
            <v>17031815800</v>
          </cell>
          <cell r="AT983">
            <v>1587</v>
          </cell>
          <cell r="AU983">
            <v>727</v>
          </cell>
          <cell r="AV983">
            <v>476</v>
          </cell>
          <cell r="AW983">
            <v>78</v>
          </cell>
          <cell r="AX983">
            <v>0</v>
          </cell>
          <cell r="AY983">
            <v>6</v>
          </cell>
          <cell r="AZ983">
            <v>48</v>
          </cell>
          <cell r="BA983">
            <v>119</v>
          </cell>
        </row>
        <row r="984">
          <cell r="AS984" t="str">
            <v>17031815900</v>
          </cell>
          <cell r="AT984">
            <v>5067</v>
          </cell>
          <cell r="AU984">
            <v>3421</v>
          </cell>
          <cell r="AV984">
            <v>2026</v>
          </cell>
          <cell r="AW984">
            <v>665</v>
          </cell>
          <cell r="AX984">
            <v>37</v>
          </cell>
          <cell r="AY984">
            <v>0</v>
          </cell>
          <cell r="AZ984">
            <v>190</v>
          </cell>
          <cell r="BA984">
            <v>503</v>
          </cell>
        </row>
        <row r="985">
          <cell r="AS985" t="str">
            <v>17031816000</v>
          </cell>
          <cell r="AT985">
            <v>3309</v>
          </cell>
          <cell r="AU985">
            <v>2069</v>
          </cell>
          <cell r="AV985">
            <v>1329</v>
          </cell>
          <cell r="AW985">
            <v>374</v>
          </cell>
          <cell r="AX985">
            <v>0</v>
          </cell>
          <cell r="AY985">
            <v>9</v>
          </cell>
          <cell r="AZ985">
            <v>60</v>
          </cell>
          <cell r="BA985">
            <v>297</v>
          </cell>
        </row>
        <row r="986">
          <cell r="AS986" t="str">
            <v>17031816100</v>
          </cell>
          <cell r="AT986">
            <v>5432</v>
          </cell>
          <cell r="AU986">
            <v>2779</v>
          </cell>
          <cell r="AV986">
            <v>1844</v>
          </cell>
          <cell r="AW986">
            <v>513</v>
          </cell>
          <cell r="AX986">
            <v>14</v>
          </cell>
          <cell r="AY986">
            <v>5</v>
          </cell>
          <cell r="AZ986">
            <v>138</v>
          </cell>
          <cell r="BA986">
            <v>265</v>
          </cell>
        </row>
        <row r="987">
          <cell r="AS987" t="str">
            <v>17031816200</v>
          </cell>
          <cell r="AT987">
            <v>4263</v>
          </cell>
          <cell r="AU987">
            <v>1959</v>
          </cell>
          <cell r="AV987">
            <v>1859</v>
          </cell>
          <cell r="AW987">
            <v>51</v>
          </cell>
          <cell r="AX987">
            <v>0</v>
          </cell>
          <cell r="AY987">
            <v>0</v>
          </cell>
          <cell r="AZ987">
            <v>4</v>
          </cell>
          <cell r="BA987">
            <v>45</v>
          </cell>
        </row>
        <row r="988">
          <cell r="AS988" t="str">
            <v>17031816300</v>
          </cell>
          <cell r="AT988">
            <v>4946</v>
          </cell>
          <cell r="AU988">
            <v>2284</v>
          </cell>
          <cell r="AV988">
            <v>2137</v>
          </cell>
          <cell r="AW988">
            <v>95</v>
          </cell>
          <cell r="AX988">
            <v>0</v>
          </cell>
          <cell r="AY988">
            <v>15</v>
          </cell>
          <cell r="AZ988">
            <v>37</v>
          </cell>
          <cell r="BA988">
            <v>0</v>
          </cell>
        </row>
        <row r="989">
          <cell r="AS989" t="str">
            <v>17031816401</v>
          </cell>
          <cell r="AT989">
            <v>4437</v>
          </cell>
          <cell r="AU989">
            <v>2374</v>
          </cell>
          <cell r="AV989">
            <v>2088</v>
          </cell>
          <cell r="AW989">
            <v>89</v>
          </cell>
          <cell r="AX989">
            <v>17</v>
          </cell>
          <cell r="AY989">
            <v>0</v>
          </cell>
          <cell r="AZ989">
            <v>90</v>
          </cell>
          <cell r="BA989">
            <v>90</v>
          </cell>
        </row>
        <row r="990">
          <cell r="AS990" t="str">
            <v>17031816402</v>
          </cell>
          <cell r="AT990">
            <v>4952</v>
          </cell>
          <cell r="AU990">
            <v>2188</v>
          </cell>
          <cell r="AV990">
            <v>1947</v>
          </cell>
          <cell r="AW990">
            <v>114</v>
          </cell>
          <cell r="AX990">
            <v>22</v>
          </cell>
          <cell r="AY990">
            <v>4</v>
          </cell>
          <cell r="AZ990">
            <v>43</v>
          </cell>
          <cell r="BA990">
            <v>58</v>
          </cell>
        </row>
        <row r="991">
          <cell r="AS991" t="str">
            <v>17031816500</v>
          </cell>
          <cell r="AT991">
            <v>3995</v>
          </cell>
          <cell r="AU991">
            <v>1648</v>
          </cell>
          <cell r="AV991">
            <v>1472</v>
          </cell>
          <cell r="AW991">
            <v>38</v>
          </cell>
          <cell r="AX991">
            <v>0</v>
          </cell>
          <cell r="AY991">
            <v>0</v>
          </cell>
          <cell r="AZ991">
            <v>92</v>
          </cell>
          <cell r="BA991">
            <v>46</v>
          </cell>
        </row>
        <row r="992">
          <cell r="AS992" t="str">
            <v>17031816600</v>
          </cell>
          <cell r="AT992">
            <v>4653</v>
          </cell>
          <cell r="AU992">
            <v>2144</v>
          </cell>
          <cell r="AV992">
            <v>1955</v>
          </cell>
          <cell r="AW992">
            <v>44</v>
          </cell>
          <cell r="AX992">
            <v>0</v>
          </cell>
          <cell r="AY992">
            <v>0</v>
          </cell>
          <cell r="AZ992">
            <v>78</v>
          </cell>
          <cell r="BA992">
            <v>67</v>
          </cell>
        </row>
        <row r="993">
          <cell r="AS993" t="str">
            <v>17031816700</v>
          </cell>
          <cell r="AT993">
            <v>2818</v>
          </cell>
          <cell r="AU993">
            <v>1244</v>
          </cell>
          <cell r="AV993">
            <v>1173</v>
          </cell>
          <cell r="AW993">
            <v>11</v>
          </cell>
          <cell r="AX993">
            <v>13</v>
          </cell>
          <cell r="AY993">
            <v>0</v>
          </cell>
          <cell r="AZ993">
            <v>28</v>
          </cell>
          <cell r="BA993">
            <v>19</v>
          </cell>
        </row>
        <row r="994">
          <cell r="AS994" t="str">
            <v>17031816800</v>
          </cell>
          <cell r="AT994">
            <v>5210</v>
          </cell>
          <cell r="AU994">
            <v>2471</v>
          </cell>
          <cell r="AV994">
            <v>2212</v>
          </cell>
          <cell r="AW994">
            <v>45</v>
          </cell>
          <cell r="AX994">
            <v>14</v>
          </cell>
          <cell r="AY994">
            <v>0</v>
          </cell>
          <cell r="AZ994">
            <v>13</v>
          </cell>
          <cell r="BA994">
            <v>187</v>
          </cell>
        </row>
        <row r="995">
          <cell r="AS995" t="str">
            <v>17031816900</v>
          </cell>
          <cell r="AT995">
            <v>6101</v>
          </cell>
          <cell r="AU995">
            <v>3140</v>
          </cell>
          <cell r="AV995">
            <v>2718</v>
          </cell>
          <cell r="AW995">
            <v>215</v>
          </cell>
          <cell r="AX995">
            <v>0</v>
          </cell>
          <cell r="AY995">
            <v>0</v>
          </cell>
          <cell r="AZ995">
            <v>45</v>
          </cell>
          <cell r="BA995">
            <v>162</v>
          </cell>
        </row>
        <row r="996">
          <cell r="AS996" t="str">
            <v>17031817000</v>
          </cell>
          <cell r="AT996">
            <v>4946</v>
          </cell>
          <cell r="AU996">
            <v>2277</v>
          </cell>
          <cell r="AV996">
            <v>1966</v>
          </cell>
          <cell r="AW996">
            <v>106</v>
          </cell>
          <cell r="AX996">
            <v>52</v>
          </cell>
          <cell r="AY996">
            <v>23</v>
          </cell>
          <cell r="AZ996">
            <v>74</v>
          </cell>
          <cell r="BA996">
            <v>56</v>
          </cell>
        </row>
        <row r="997">
          <cell r="AS997" t="str">
            <v>17031817101</v>
          </cell>
          <cell r="AT997">
            <v>4552</v>
          </cell>
          <cell r="AU997">
            <v>1993</v>
          </cell>
          <cell r="AV997">
            <v>1635</v>
          </cell>
          <cell r="AW997">
            <v>231</v>
          </cell>
          <cell r="AX997">
            <v>0</v>
          </cell>
          <cell r="AY997">
            <v>0</v>
          </cell>
          <cell r="AZ997">
            <v>53</v>
          </cell>
          <cell r="BA997">
            <v>74</v>
          </cell>
        </row>
        <row r="998">
          <cell r="AS998" t="str">
            <v>17031817102</v>
          </cell>
          <cell r="AT998">
            <v>3200</v>
          </cell>
          <cell r="AU998">
            <v>1462</v>
          </cell>
          <cell r="AV998">
            <v>1320</v>
          </cell>
          <cell r="AW998">
            <v>136</v>
          </cell>
          <cell r="AX998">
            <v>0</v>
          </cell>
          <cell r="AY998">
            <v>0</v>
          </cell>
          <cell r="AZ998">
            <v>0</v>
          </cell>
          <cell r="BA998">
            <v>6</v>
          </cell>
        </row>
        <row r="999">
          <cell r="AS999" t="str">
            <v>17031817200</v>
          </cell>
          <cell r="AT999">
            <v>4192</v>
          </cell>
          <cell r="AU999">
            <v>1867</v>
          </cell>
          <cell r="AV999">
            <v>1531</v>
          </cell>
          <cell r="AW999">
            <v>173</v>
          </cell>
          <cell r="AX999">
            <v>0</v>
          </cell>
          <cell r="AY999">
            <v>0</v>
          </cell>
          <cell r="AZ999">
            <v>68</v>
          </cell>
          <cell r="BA999">
            <v>95</v>
          </cell>
        </row>
        <row r="1000">
          <cell r="AS1000" t="str">
            <v>17031817300</v>
          </cell>
          <cell r="AT1000">
            <v>2467</v>
          </cell>
          <cell r="AU1000">
            <v>1092</v>
          </cell>
          <cell r="AV1000">
            <v>987</v>
          </cell>
          <cell r="AW1000">
            <v>52</v>
          </cell>
          <cell r="AX1000">
            <v>0</v>
          </cell>
          <cell r="AY1000">
            <v>0</v>
          </cell>
          <cell r="AZ1000">
            <v>2</v>
          </cell>
          <cell r="BA1000">
            <v>51</v>
          </cell>
        </row>
        <row r="1001">
          <cell r="AS1001" t="str">
            <v>17031817400</v>
          </cell>
          <cell r="AT1001">
            <v>4303</v>
          </cell>
          <cell r="AU1001">
            <v>2293</v>
          </cell>
          <cell r="AV1001">
            <v>2120</v>
          </cell>
          <cell r="AW1001">
            <v>93</v>
          </cell>
          <cell r="AX1001">
            <v>0</v>
          </cell>
          <cell r="AY1001">
            <v>0</v>
          </cell>
          <cell r="AZ1001">
            <v>37</v>
          </cell>
          <cell r="BA1001">
            <v>43</v>
          </cell>
        </row>
        <row r="1002">
          <cell r="AS1002" t="str">
            <v>17031817500</v>
          </cell>
          <cell r="AT1002">
            <v>3419</v>
          </cell>
          <cell r="AU1002">
            <v>1446</v>
          </cell>
          <cell r="AV1002">
            <v>1220</v>
          </cell>
          <cell r="AW1002">
            <v>116</v>
          </cell>
          <cell r="AX1002">
            <v>0</v>
          </cell>
          <cell r="AY1002">
            <v>0</v>
          </cell>
          <cell r="AZ1002">
            <v>49</v>
          </cell>
          <cell r="BA1002">
            <v>61</v>
          </cell>
        </row>
        <row r="1003">
          <cell r="AS1003" t="str">
            <v>17031817600</v>
          </cell>
          <cell r="AT1003">
            <v>3591</v>
          </cell>
          <cell r="AU1003">
            <v>1596</v>
          </cell>
          <cell r="AV1003">
            <v>1301</v>
          </cell>
          <cell r="AW1003">
            <v>160</v>
          </cell>
          <cell r="AX1003">
            <v>0</v>
          </cell>
          <cell r="AY1003">
            <v>16</v>
          </cell>
          <cell r="AZ1003">
            <v>28</v>
          </cell>
          <cell r="BA1003">
            <v>91</v>
          </cell>
        </row>
        <row r="1004">
          <cell r="AS1004" t="str">
            <v>17031817700</v>
          </cell>
          <cell r="AT1004">
            <v>5379</v>
          </cell>
          <cell r="AU1004">
            <v>2531</v>
          </cell>
          <cell r="AV1004">
            <v>2311</v>
          </cell>
          <cell r="AW1004">
            <v>188</v>
          </cell>
          <cell r="AX1004">
            <v>0</v>
          </cell>
          <cell r="AY1004">
            <v>0</v>
          </cell>
          <cell r="AZ1004">
            <v>32</v>
          </cell>
          <cell r="BA1004">
            <v>0</v>
          </cell>
        </row>
        <row r="1005">
          <cell r="AS1005" t="str">
            <v>17031817900</v>
          </cell>
          <cell r="AT1005">
            <v>5570</v>
          </cell>
          <cell r="AU1005">
            <v>2611</v>
          </cell>
          <cell r="AV1005">
            <v>2241</v>
          </cell>
          <cell r="AW1005">
            <v>225</v>
          </cell>
          <cell r="AX1005">
            <v>18</v>
          </cell>
          <cell r="AY1005">
            <v>0</v>
          </cell>
          <cell r="AZ1005">
            <v>14</v>
          </cell>
          <cell r="BA1005">
            <v>113</v>
          </cell>
        </row>
        <row r="1006">
          <cell r="AS1006" t="str">
            <v>17031818000</v>
          </cell>
          <cell r="AT1006">
            <v>3911</v>
          </cell>
          <cell r="AU1006">
            <v>1746</v>
          </cell>
          <cell r="AV1006">
            <v>1435</v>
          </cell>
          <cell r="AW1006">
            <v>131</v>
          </cell>
          <cell r="AX1006">
            <v>0</v>
          </cell>
          <cell r="AY1006">
            <v>0</v>
          </cell>
          <cell r="AZ1006">
            <v>98</v>
          </cell>
          <cell r="BA1006">
            <v>82</v>
          </cell>
        </row>
        <row r="1007">
          <cell r="AS1007" t="str">
            <v>17031818100</v>
          </cell>
          <cell r="AT1007">
            <v>2265</v>
          </cell>
          <cell r="AU1007">
            <v>1247</v>
          </cell>
          <cell r="AV1007">
            <v>1076</v>
          </cell>
          <cell r="AW1007">
            <v>94</v>
          </cell>
          <cell r="AX1007">
            <v>0</v>
          </cell>
          <cell r="AY1007">
            <v>0</v>
          </cell>
          <cell r="AZ1007">
            <v>6</v>
          </cell>
          <cell r="BA1007">
            <v>71</v>
          </cell>
        </row>
        <row r="1008">
          <cell r="AS1008" t="str">
            <v>17031818200</v>
          </cell>
          <cell r="AT1008">
            <v>4709</v>
          </cell>
          <cell r="AU1008">
            <v>2634</v>
          </cell>
          <cell r="AV1008">
            <v>2323</v>
          </cell>
          <cell r="AW1008">
            <v>119</v>
          </cell>
          <cell r="AX1008">
            <v>0</v>
          </cell>
          <cell r="AY1008">
            <v>0</v>
          </cell>
          <cell r="AZ1008">
            <v>10</v>
          </cell>
          <cell r="BA1008">
            <v>182</v>
          </cell>
        </row>
        <row r="1009">
          <cell r="AS1009" t="str">
            <v>17031818300</v>
          </cell>
          <cell r="AT1009">
            <v>6122</v>
          </cell>
          <cell r="AU1009">
            <v>2776</v>
          </cell>
          <cell r="AV1009">
            <v>2421</v>
          </cell>
          <cell r="AW1009">
            <v>93</v>
          </cell>
          <cell r="AX1009">
            <v>11</v>
          </cell>
          <cell r="AY1009">
            <v>0</v>
          </cell>
          <cell r="AZ1009">
            <v>59</v>
          </cell>
          <cell r="BA1009">
            <v>192</v>
          </cell>
        </row>
        <row r="1010">
          <cell r="AS1010" t="str">
            <v>17031818401</v>
          </cell>
          <cell r="AT1010">
            <v>3381</v>
          </cell>
          <cell r="AU1010">
            <v>1842</v>
          </cell>
          <cell r="AV1010">
            <v>1486</v>
          </cell>
          <cell r="AW1010">
            <v>74</v>
          </cell>
          <cell r="AX1010">
            <v>67</v>
          </cell>
          <cell r="AY1010">
            <v>0</v>
          </cell>
          <cell r="AZ1010">
            <v>35</v>
          </cell>
          <cell r="BA1010">
            <v>180</v>
          </cell>
        </row>
        <row r="1011">
          <cell r="AS1011" t="str">
            <v>17031818402</v>
          </cell>
          <cell r="AT1011">
            <v>3170</v>
          </cell>
          <cell r="AU1011">
            <v>1532</v>
          </cell>
          <cell r="AV1011">
            <v>1311</v>
          </cell>
          <cell r="AW1011">
            <v>94</v>
          </cell>
          <cell r="AX1011">
            <v>5</v>
          </cell>
          <cell r="AY1011">
            <v>0</v>
          </cell>
          <cell r="AZ1011">
            <v>0</v>
          </cell>
          <cell r="BA1011">
            <v>122</v>
          </cell>
        </row>
        <row r="1012">
          <cell r="AS1012" t="str">
            <v>17031818500</v>
          </cell>
          <cell r="AT1012">
            <v>5128</v>
          </cell>
          <cell r="AU1012">
            <v>2268</v>
          </cell>
          <cell r="AV1012">
            <v>1763</v>
          </cell>
          <cell r="AW1012">
            <v>116</v>
          </cell>
          <cell r="AX1012">
            <v>29</v>
          </cell>
          <cell r="AY1012">
            <v>0</v>
          </cell>
          <cell r="AZ1012">
            <v>192</v>
          </cell>
          <cell r="BA1012">
            <v>168</v>
          </cell>
        </row>
        <row r="1013">
          <cell r="AS1013" t="str">
            <v>17031818600</v>
          </cell>
          <cell r="AT1013">
            <v>4869</v>
          </cell>
          <cell r="AU1013">
            <v>2450</v>
          </cell>
          <cell r="AV1013">
            <v>1808</v>
          </cell>
          <cell r="AW1013">
            <v>341</v>
          </cell>
          <cell r="AX1013">
            <v>0</v>
          </cell>
          <cell r="AY1013">
            <v>0</v>
          </cell>
          <cell r="AZ1013">
            <v>4</v>
          </cell>
          <cell r="BA1013">
            <v>297</v>
          </cell>
        </row>
        <row r="1014">
          <cell r="AS1014" t="str">
            <v>17031818700</v>
          </cell>
          <cell r="AT1014">
            <v>3795</v>
          </cell>
          <cell r="AU1014">
            <v>2028</v>
          </cell>
          <cell r="AV1014">
            <v>1626</v>
          </cell>
          <cell r="AW1014">
            <v>271</v>
          </cell>
          <cell r="AX1014">
            <v>0</v>
          </cell>
          <cell r="AY1014">
            <v>46</v>
          </cell>
          <cell r="AZ1014">
            <v>6</v>
          </cell>
          <cell r="BA1014">
            <v>79</v>
          </cell>
        </row>
        <row r="1015">
          <cell r="AS1015" t="str">
            <v>17031818800</v>
          </cell>
          <cell r="AT1015">
            <v>5123</v>
          </cell>
          <cell r="AU1015">
            <v>2569</v>
          </cell>
          <cell r="AV1015">
            <v>2107</v>
          </cell>
          <cell r="AW1015">
            <v>290</v>
          </cell>
          <cell r="AX1015">
            <v>0</v>
          </cell>
          <cell r="AY1015">
            <v>17</v>
          </cell>
          <cell r="AZ1015">
            <v>40</v>
          </cell>
          <cell r="BA1015">
            <v>115</v>
          </cell>
        </row>
        <row r="1016">
          <cell r="AS1016" t="str">
            <v>17031818900</v>
          </cell>
          <cell r="AT1016">
            <v>4274</v>
          </cell>
          <cell r="AU1016">
            <v>2025</v>
          </cell>
          <cell r="AV1016">
            <v>1622</v>
          </cell>
          <cell r="AW1016">
            <v>236</v>
          </cell>
          <cell r="AX1016">
            <v>0</v>
          </cell>
          <cell r="AY1016">
            <v>0</v>
          </cell>
          <cell r="AZ1016">
            <v>68</v>
          </cell>
          <cell r="BA1016">
            <v>99</v>
          </cell>
        </row>
        <row r="1017">
          <cell r="AS1017" t="str">
            <v>17031819000</v>
          </cell>
          <cell r="AT1017">
            <v>4445</v>
          </cell>
          <cell r="AU1017">
            <v>2013</v>
          </cell>
          <cell r="AV1017">
            <v>1343</v>
          </cell>
          <cell r="AW1017">
            <v>378</v>
          </cell>
          <cell r="AX1017">
            <v>0</v>
          </cell>
          <cell r="AY1017">
            <v>27</v>
          </cell>
          <cell r="AZ1017">
            <v>31</v>
          </cell>
          <cell r="BA1017">
            <v>234</v>
          </cell>
        </row>
        <row r="1018">
          <cell r="AS1018" t="str">
            <v>17031819100</v>
          </cell>
          <cell r="AT1018">
            <v>3976</v>
          </cell>
          <cell r="AU1018">
            <v>1516</v>
          </cell>
          <cell r="AV1018">
            <v>1234</v>
          </cell>
          <cell r="AW1018">
            <v>123</v>
          </cell>
          <cell r="AX1018">
            <v>0</v>
          </cell>
          <cell r="AY1018">
            <v>0</v>
          </cell>
          <cell r="AZ1018">
            <v>26</v>
          </cell>
          <cell r="BA1018">
            <v>133</v>
          </cell>
        </row>
        <row r="1019">
          <cell r="AS1019" t="str">
            <v>17031819200</v>
          </cell>
          <cell r="AT1019">
            <v>6526</v>
          </cell>
          <cell r="AU1019">
            <v>3331</v>
          </cell>
          <cell r="AV1019">
            <v>2701</v>
          </cell>
          <cell r="AW1019">
            <v>298</v>
          </cell>
          <cell r="AX1019">
            <v>20</v>
          </cell>
          <cell r="AY1019">
            <v>56</v>
          </cell>
          <cell r="AZ1019">
            <v>24</v>
          </cell>
          <cell r="BA1019">
            <v>232</v>
          </cell>
        </row>
        <row r="1020">
          <cell r="AS1020" t="str">
            <v>17031819300</v>
          </cell>
          <cell r="AT1020">
            <v>2417</v>
          </cell>
          <cell r="AU1020">
            <v>1326</v>
          </cell>
          <cell r="AV1020">
            <v>1053</v>
          </cell>
          <cell r="AW1020">
            <v>114</v>
          </cell>
          <cell r="AX1020">
            <v>0</v>
          </cell>
          <cell r="AY1020">
            <v>0</v>
          </cell>
          <cell r="AZ1020">
            <v>15</v>
          </cell>
          <cell r="BA1020">
            <v>144</v>
          </cell>
        </row>
        <row r="1021">
          <cell r="AS1021" t="str">
            <v>17031819400</v>
          </cell>
          <cell r="AT1021">
            <v>5598</v>
          </cell>
          <cell r="AU1021">
            <v>2863</v>
          </cell>
          <cell r="AV1021">
            <v>2294</v>
          </cell>
          <cell r="AW1021">
            <v>214</v>
          </cell>
          <cell r="AX1021">
            <v>49</v>
          </cell>
          <cell r="AY1021">
            <v>31</v>
          </cell>
          <cell r="AZ1021">
            <v>57</v>
          </cell>
          <cell r="BA1021">
            <v>218</v>
          </cell>
        </row>
        <row r="1022">
          <cell r="AS1022" t="str">
            <v>17031819500</v>
          </cell>
          <cell r="AT1022">
            <v>3399</v>
          </cell>
          <cell r="AU1022">
            <v>1626</v>
          </cell>
          <cell r="AV1022">
            <v>1070</v>
          </cell>
          <cell r="AW1022">
            <v>333</v>
          </cell>
          <cell r="AX1022">
            <v>0</v>
          </cell>
          <cell r="AY1022">
            <v>0</v>
          </cell>
          <cell r="AZ1022">
            <v>72</v>
          </cell>
          <cell r="BA1022">
            <v>151</v>
          </cell>
        </row>
        <row r="1023">
          <cell r="AS1023" t="str">
            <v>17031819600</v>
          </cell>
          <cell r="AT1023">
            <v>3831</v>
          </cell>
          <cell r="AU1023">
            <v>1897</v>
          </cell>
          <cell r="AV1023">
            <v>1231</v>
          </cell>
          <cell r="AW1023">
            <v>442</v>
          </cell>
          <cell r="AX1023">
            <v>0</v>
          </cell>
          <cell r="AY1023">
            <v>8</v>
          </cell>
          <cell r="AZ1023">
            <v>33</v>
          </cell>
          <cell r="BA1023">
            <v>183</v>
          </cell>
        </row>
        <row r="1024">
          <cell r="AS1024" t="str">
            <v>17031819700</v>
          </cell>
          <cell r="AT1024">
            <v>5531</v>
          </cell>
          <cell r="AU1024">
            <v>2336</v>
          </cell>
          <cell r="AV1024">
            <v>1396</v>
          </cell>
          <cell r="AW1024">
            <v>522</v>
          </cell>
          <cell r="AX1024">
            <v>0</v>
          </cell>
          <cell r="AY1024">
            <v>0</v>
          </cell>
          <cell r="AZ1024">
            <v>42</v>
          </cell>
          <cell r="BA1024">
            <v>376</v>
          </cell>
        </row>
        <row r="1025">
          <cell r="AS1025" t="str">
            <v>17031819801</v>
          </cell>
          <cell r="AT1025">
            <v>5400</v>
          </cell>
          <cell r="AU1025">
            <v>2478</v>
          </cell>
          <cell r="AV1025">
            <v>1733</v>
          </cell>
          <cell r="AW1025">
            <v>381</v>
          </cell>
          <cell r="AX1025">
            <v>0</v>
          </cell>
          <cell r="AY1025">
            <v>20</v>
          </cell>
          <cell r="AZ1025">
            <v>63</v>
          </cell>
          <cell r="BA1025">
            <v>281</v>
          </cell>
        </row>
        <row r="1026">
          <cell r="AS1026" t="str">
            <v>17031819802</v>
          </cell>
          <cell r="AT1026">
            <v>2514</v>
          </cell>
          <cell r="AU1026">
            <v>1043</v>
          </cell>
          <cell r="AV1026">
            <v>737</v>
          </cell>
          <cell r="AW1026">
            <v>185</v>
          </cell>
          <cell r="AX1026">
            <v>0</v>
          </cell>
          <cell r="AY1026">
            <v>0</v>
          </cell>
          <cell r="AZ1026">
            <v>18</v>
          </cell>
          <cell r="BA1026">
            <v>103</v>
          </cell>
        </row>
        <row r="1027">
          <cell r="AS1027" t="str">
            <v>17031819900</v>
          </cell>
          <cell r="AT1027">
            <v>3255</v>
          </cell>
          <cell r="AU1027">
            <v>1409</v>
          </cell>
          <cell r="AV1027">
            <v>1001</v>
          </cell>
          <cell r="AW1027">
            <v>285</v>
          </cell>
          <cell r="AX1027">
            <v>9</v>
          </cell>
          <cell r="AY1027">
            <v>7</v>
          </cell>
          <cell r="AZ1027">
            <v>8</v>
          </cell>
          <cell r="BA1027">
            <v>99</v>
          </cell>
        </row>
        <row r="1028">
          <cell r="AS1028" t="str">
            <v>17031820000</v>
          </cell>
          <cell r="AT1028">
            <v>1965</v>
          </cell>
          <cell r="AU1028">
            <v>827</v>
          </cell>
          <cell r="AV1028">
            <v>546</v>
          </cell>
          <cell r="AW1028">
            <v>201</v>
          </cell>
          <cell r="AX1028">
            <v>0</v>
          </cell>
          <cell r="AY1028">
            <v>5</v>
          </cell>
          <cell r="AZ1028">
            <v>0</v>
          </cell>
          <cell r="BA1028">
            <v>75</v>
          </cell>
        </row>
        <row r="1029">
          <cell r="AS1029" t="str">
            <v>17031820101</v>
          </cell>
          <cell r="AT1029">
            <v>7155</v>
          </cell>
          <cell r="AU1029">
            <v>2873</v>
          </cell>
          <cell r="AV1029">
            <v>1947</v>
          </cell>
          <cell r="AW1029">
            <v>391</v>
          </cell>
          <cell r="AX1029">
            <v>0</v>
          </cell>
          <cell r="AY1029">
            <v>0</v>
          </cell>
          <cell r="AZ1029">
            <v>46</v>
          </cell>
          <cell r="BA1029">
            <v>489</v>
          </cell>
        </row>
        <row r="1030">
          <cell r="AS1030" t="str">
            <v>17031820103</v>
          </cell>
          <cell r="AT1030">
            <v>4156</v>
          </cell>
          <cell r="AU1030">
            <v>1891</v>
          </cell>
          <cell r="AV1030">
            <v>1517</v>
          </cell>
          <cell r="AW1030">
            <v>177</v>
          </cell>
          <cell r="AX1030">
            <v>0</v>
          </cell>
          <cell r="AY1030">
            <v>55</v>
          </cell>
          <cell r="AZ1030">
            <v>13</v>
          </cell>
          <cell r="BA1030">
            <v>129</v>
          </cell>
        </row>
        <row r="1031">
          <cell r="AS1031" t="str">
            <v>17031820104</v>
          </cell>
          <cell r="AT1031">
            <v>4106</v>
          </cell>
          <cell r="AU1031">
            <v>2147</v>
          </cell>
          <cell r="AV1031">
            <v>1786</v>
          </cell>
          <cell r="AW1031">
            <v>143</v>
          </cell>
          <cell r="AX1031">
            <v>0</v>
          </cell>
          <cell r="AY1031">
            <v>36</v>
          </cell>
          <cell r="AZ1031">
            <v>0</v>
          </cell>
          <cell r="BA1031">
            <v>182</v>
          </cell>
        </row>
        <row r="1032">
          <cell r="AS1032" t="str">
            <v>17031820202</v>
          </cell>
          <cell r="AT1032">
            <v>3206</v>
          </cell>
          <cell r="AU1032">
            <v>1356</v>
          </cell>
          <cell r="AV1032">
            <v>1230</v>
          </cell>
          <cell r="AW1032">
            <v>33</v>
          </cell>
          <cell r="AX1032">
            <v>1</v>
          </cell>
          <cell r="AY1032">
            <v>0</v>
          </cell>
          <cell r="AZ1032">
            <v>57</v>
          </cell>
          <cell r="BA1032">
            <v>35</v>
          </cell>
        </row>
        <row r="1033">
          <cell r="AS1033" t="str">
            <v>17031820203</v>
          </cell>
          <cell r="AT1033">
            <v>3314</v>
          </cell>
          <cell r="AU1033">
            <v>1580</v>
          </cell>
          <cell r="AV1033">
            <v>1329</v>
          </cell>
          <cell r="AW1033">
            <v>49</v>
          </cell>
          <cell r="AX1033">
            <v>0</v>
          </cell>
          <cell r="AY1033">
            <v>0</v>
          </cell>
          <cell r="AZ1033">
            <v>10</v>
          </cell>
          <cell r="BA1033">
            <v>192</v>
          </cell>
        </row>
        <row r="1034">
          <cell r="AS1034" t="str">
            <v>17031820204</v>
          </cell>
          <cell r="AT1034">
            <v>3781</v>
          </cell>
          <cell r="AU1034">
            <v>1953</v>
          </cell>
          <cell r="AV1034">
            <v>1460</v>
          </cell>
          <cell r="AW1034">
            <v>213</v>
          </cell>
          <cell r="AX1034">
            <v>41</v>
          </cell>
          <cell r="AY1034">
            <v>0</v>
          </cell>
          <cell r="AZ1034">
            <v>16</v>
          </cell>
          <cell r="BA1034">
            <v>223</v>
          </cell>
        </row>
        <row r="1035">
          <cell r="AS1035" t="str">
            <v>17031820300</v>
          </cell>
          <cell r="AT1035">
            <v>5546</v>
          </cell>
          <cell r="AU1035">
            <v>2335</v>
          </cell>
          <cell r="AV1035">
            <v>2211</v>
          </cell>
          <cell r="AW1035">
            <v>105</v>
          </cell>
          <cell r="AX1035">
            <v>0</v>
          </cell>
          <cell r="AY1035">
            <v>0</v>
          </cell>
          <cell r="AZ1035">
            <v>0</v>
          </cell>
          <cell r="BA1035">
            <v>19</v>
          </cell>
        </row>
        <row r="1036">
          <cell r="AS1036" t="str">
            <v>17031820400</v>
          </cell>
          <cell r="AT1036">
            <v>5625</v>
          </cell>
          <cell r="AU1036">
            <v>2128</v>
          </cell>
          <cell r="AV1036">
            <v>1677</v>
          </cell>
          <cell r="AW1036">
            <v>202</v>
          </cell>
          <cell r="AX1036">
            <v>0</v>
          </cell>
          <cell r="AY1036">
            <v>13</v>
          </cell>
          <cell r="AZ1036">
            <v>135</v>
          </cell>
          <cell r="BA1036">
            <v>101</v>
          </cell>
        </row>
        <row r="1037">
          <cell r="AS1037" t="str">
            <v>17031820501</v>
          </cell>
          <cell r="AT1037">
            <v>5352</v>
          </cell>
          <cell r="AU1037">
            <v>2618</v>
          </cell>
          <cell r="AV1037">
            <v>2425</v>
          </cell>
          <cell r="AW1037">
            <v>83</v>
          </cell>
          <cell r="AX1037">
            <v>32</v>
          </cell>
          <cell r="AY1037">
            <v>0</v>
          </cell>
          <cell r="AZ1037">
            <v>19</v>
          </cell>
          <cell r="BA1037">
            <v>59</v>
          </cell>
        </row>
        <row r="1038">
          <cell r="AS1038" t="str">
            <v>17031820502</v>
          </cell>
          <cell r="AT1038">
            <v>5647</v>
          </cell>
          <cell r="AU1038">
            <v>2383</v>
          </cell>
          <cell r="AV1038">
            <v>2142</v>
          </cell>
          <cell r="AW1038">
            <v>52</v>
          </cell>
          <cell r="AX1038">
            <v>0</v>
          </cell>
          <cell r="AY1038">
            <v>0</v>
          </cell>
          <cell r="AZ1038">
            <v>47</v>
          </cell>
          <cell r="BA1038">
            <v>142</v>
          </cell>
        </row>
        <row r="1039">
          <cell r="AS1039" t="str">
            <v>17031820603</v>
          </cell>
          <cell r="AT1039">
            <v>5809</v>
          </cell>
          <cell r="AU1039">
            <v>2484</v>
          </cell>
          <cell r="AV1039">
            <v>2389</v>
          </cell>
          <cell r="AW1039">
            <v>60</v>
          </cell>
          <cell r="AX1039">
            <v>0</v>
          </cell>
          <cell r="AY1039">
            <v>9</v>
          </cell>
          <cell r="AZ1039">
            <v>26</v>
          </cell>
          <cell r="BA1039">
            <v>0</v>
          </cell>
        </row>
        <row r="1040">
          <cell r="AS1040" t="str">
            <v>17031820604</v>
          </cell>
          <cell r="AT1040">
            <v>3670</v>
          </cell>
          <cell r="AU1040">
            <v>1494</v>
          </cell>
          <cell r="AV1040">
            <v>1409</v>
          </cell>
          <cell r="AW1040">
            <v>13</v>
          </cell>
          <cell r="AX1040">
            <v>0</v>
          </cell>
          <cell r="AY1040">
            <v>10</v>
          </cell>
          <cell r="AZ1040">
            <v>62</v>
          </cell>
          <cell r="BA1040">
            <v>0</v>
          </cell>
        </row>
        <row r="1041">
          <cell r="AS1041" t="str">
            <v>17031820605</v>
          </cell>
          <cell r="AT1041">
            <v>5358</v>
          </cell>
          <cell r="AU1041">
            <v>3099</v>
          </cell>
          <cell r="AV1041">
            <v>2746</v>
          </cell>
          <cell r="AW1041">
            <v>275</v>
          </cell>
          <cell r="AX1041">
            <v>0</v>
          </cell>
          <cell r="AY1041">
            <v>0</v>
          </cell>
          <cell r="AZ1041">
            <v>15</v>
          </cell>
          <cell r="BA1041">
            <v>63</v>
          </cell>
        </row>
        <row r="1042">
          <cell r="AS1042" t="str">
            <v>17031820606</v>
          </cell>
          <cell r="AT1042">
            <v>4163</v>
          </cell>
          <cell r="AU1042">
            <v>2228</v>
          </cell>
          <cell r="AV1042">
            <v>1806</v>
          </cell>
          <cell r="AW1042">
            <v>92</v>
          </cell>
          <cell r="AX1042">
            <v>0</v>
          </cell>
          <cell r="AY1042">
            <v>0</v>
          </cell>
          <cell r="AZ1042">
            <v>0</v>
          </cell>
          <cell r="BA1042">
            <v>330</v>
          </cell>
        </row>
        <row r="1043">
          <cell r="AS1043" t="str">
            <v>17031820700</v>
          </cell>
          <cell r="AT1043">
            <v>6607</v>
          </cell>
          <cell r="AU1043">
            <v>3338</v>
          </cell>
          <cell r="AV1043">
            <v>3012</v>
          </cell>
          <cell r="AW1043">
            <v>241</v>
          </cell>
          <cell r="AX1043">
            <v>0</v>
          </cell>
          <cell r="AY1043">
            <v>0</v>
          </cell>
          <cell r="AZ1043">
            <v>38</v>
          </cell>
          <cell r="BA1043">
            <v>47</v>
          </cell>
        </row>
        <row r="1044">
          <cell r="AS1044" t="str">
            <v>17031820800</v>
          </cell>
          <cell r="AT1044">
            <v>3827</v>
          </cell>
          <cell r="AU1044">
            <v>1866</v>
          </cell>
          <cell r="AV1044">
            <v>1634</v>
          </cell>
          <cell r="AW1044">
            <v>137</v>
          </cell>
          <cell r="AX1044">
            <v>7</v>
          </cell>
          <cell r="AY1044">
            <v>0</v>
          </cell>
          <cell r="AZ1044">
            <v>37</v>
          </cell>
          <cell r="BA1044">
            <v>51</v>
          </cell>
        </row>
        <row r="1045">
          <cell r="AS1045" t="str">
            <v>17031820901</v>
          </cell>
          <cell r="AT1045">
            <v>4986</v>
          </cell>
          <cell r="AU1045">
            <v>2286</v>
          </cell>
          <cell r="AV1045">
            <v>2036</v>
          </cell>
          <cell r="AW1045">
            <v>170</v>
          </cell>
          <cell r="AX1045">
            <v>0</v>
          </cell>
          <cell r="AY1045">
            <v>0</v>
          </cell>
          <cell r="AZ1045">
            <v>53</v>
          </cell>
          <cell r="BA1045">
            <v>27</v>
          </cell>
        </row>
        <row r="1046">
          <cell r="AS1046" t="str">
            <v>17031820902</v>
          </cell>
          <cell r="AT1046">
            <v>5661</v>
          </cell>
          <cell r="AU1046">
            <v>2726</v>
          </cell>
          <cell r="AV1046">
            <v>2334</v>
          </cell>
          <cell r="AW1046">
            <v>248</v>
          </cell>
          <cell r="AX1046">
            <v>0</v>
          </cell>
          <cell r="AY1046">
            <v>9</v>
          </cell>
          <cell r="AZ1046">
            <v>70</v>
          </cell>
          <cell r="BA1046">
            <v>65</v>
          </cell>
        </row>
        <row r="1047">
          <cell r="AS1047" t="str">
            <v>17031821001</v>
          </cell>
          <cell r="AT1047">
            <v>4701</v>
          </cell>
          <cell r="AU1047">
            <v>2165</v>
          </cell>
          <cell r="AV1047">
            <v>1827</v>
          </cell>
          <cell r="AW1047">
            <v>157</v>
          </cell>
          <cell r="AX1047">
            <v>6</v>
          </cell>
          <cell r="AY1047">
            <v>0</v>
          </cell>
          <cell r="AZ1047">
            <v>16</v>
          </cell>
          <cell r="BA1047">
            <v>159</v>
          </cell>
        </row>
        <row r="1048">
          <cell r="AS1048" t="str">
            <v>17031821002</v>
          </cell>
          <cell r="AT1048">
            <v>5136</v>
          </cell>
          <cell r="AU1048">
            <v>2181</v>
          </cell>
          <cell r="AV1048">
            <v>2045</v>
          </cell>
          <cell r="AW1048">
            <v>70</v>
          </cell>
          <cell r="AX1048">
            <v>10</v>
          </cell>
          <cell r="AY1048">
            <v>10</v>
          </cell>
          <cell r="AZ1048">
            <v>11</v>
          </cell>
          <cell r="BA1048">
            <v>35</v>
          </cell>
        </row>
        <row r="1049">
          <cell r="AS1049" t="str">
            <v>17031821101</v>
          </cell>
          <cell r="AT1049">
            <v>4507</v>
          </cell>
          <cell r="AU1049">
            <v>1857</v>
          </cell>
          <cell r="AV1049">
            <v>1601</v>
          </cell>
          <cell r="AW1049">
            <v>125</v>
          </cell>
          <cell r="AX1049">
            <v>0</v>
          </cell>
          <cell r="AY1049">
            <v>31</v>
          </cell>
          <cell r="AZ1049">
            <v>17</v>
          </cell>
          <cell r="BA1049">
            <v>83</v>
          </cell>
        </row>
        <row r="1050">
          <cell r="AS1050" t="str">
            <v>17031821102</v>
          </cell>
          <cell r="AT1050">
            <v>4593</v>
          </cell>
          <cell r="AU1050">
            <v>2027</v>
          </cell>
          <cell r="AV1050">
            <v>1856</v>
          </cell>
          <cell r="AW1050">
            <v>69</v>
          </cell>
          <cell r="AX1050">
            <v>0</v>
          </cell>
          <cell r="AY1050">
            <v>0</v>
          </cell>
          <cell r="AZ1050">
            <v>39</v>
          </cell>
          <cell r="BA1050">
            <v>63</v>
          </cell>
        </row>
        <row r="1051">
          <cell r="AS1051" t="str">
            <v>17031821200</v>
          </cell>
          <cell r="AT1051">
            <v>6189</v>
          </cell>
          <cell r="AU1051">
            <v>2742</v>
          </cell>
          <cell r="AV1051">
            <v>2170</v>
          </cell>
          <cell r="AW1051">
            <v>504</v>
          </cell>
          <cell r="AX1051">
            <v>0</v>
          </cell>
          <cell r="AY1051">
            <v>0</v>
          </cell>
          <cell r="AZ1051">
            <v>28</v>
          </cell>
          <cell r="BA1051">
            <v>40</v>
          </cell>
        </row>
        <row r="1052">
          <cell r="AS1052" t="str">
            <v>17031821300</v>
          </cell>
          <cell r="AT1052">
            <v>5474</v>
          </cell>
          <cell r="AU1052">
            <v>2600</v>
          </cell>
          <cell r="AV1052">
            <v>2252</v>
          </cell>
          <cell r="AW1052">
            <v>246</v>
          </cell>
          <cell r="AX1052">
            <v>15</v>
          </cell>
          <cell r="AY1052">
            <v>0</v>
          </cell>
          <cell r="AZ1052">
            <v>30</v>
          </cell>
          <cell r="BA1052">
            <v>57</v>
          </cell>
        </row>
        <row r="1053">
          <cell r="AS1053" t="str">
            <v>17031821401</v>
          </cell>
          <cell r="AT1053">
            <v>3828</v>
          </cell>
          <cell r="AU1053">
            <v>1631</v>
          </cell>
          <cell r="AV1053">
            <v>1087</v>
          </cell>
          <cell r="AW1053">
            <v>324</v>
          </cell>
          <cell r="AX1053">
            <v>11</v>
          </cell>
          <cell r="AY1053">
            <v>0</v>
          </cell>
          <cell r="AZ1053">
            <v>52</v>
          </cell>
          <cell r="BA1053">
            <v>157</v>
          </cell>
        </row>
        <row r="1054">
          <cell r="AS1054" t="str">
            <v>17031821402</v>
          </cell>
          <cell r="AT1054">
            <v>3137</v>
          </cell>
          <cell r="AU1054">
            <v>1388</v>
          </cell>
          <cell r="AV1054">
            <v>1126</v>
          </cell>
          <cell r="AW1054">
            <v>208</v>
          </cell>
          <cell r="AX1054">
            <v>0</v>
          </cell>
          <cell r="AY1054">
            <v>0</v>
          </cell>
          <cell r="AZ1054">
            <v>54</v>
          </cell>
          <cell r="BA1054">
            <v>0</v>
          </cell>
        </row>
        <row r="1055">
          <cell r="AS1055" t="str">
            <v>17031821500</v>
          </cell>
          <cell r="AT1055">
            <v>1642</v>
          </cell>
          <cell r="AU1055">
            <v>561</v>
          </cell>
          <cell r="AV1055">
            <v>439</v>
          </cell>
          <cell r="AW1055">
            <v>88</v>
          </cell>
          <cell r="AX1055">
            <v>0</v>
          </cell>
          <cell r="AY1055">
            <v>0</v>
          </cell>
          <cell r="AZ1055">
            <v>0</v>
          </cell>
          <cell r="BA1055">
            <v>34</v>
          </cell>
        </row>
        <row r="1056">
          <cell r="AS1056" t="str">
            <v>17031821600</v>
          </cell>
          <cell r="AT1056">
            <v>4338</v>
          </cell>
          <cell r="AU1056">
            <v>2274</v>
          </cell>
          <cell r="AV1056">
            <v>1933</v>
          </cell>
          <cell r="AW1056">
            <v>148</v>
          </cell>
          <cell r="AX1056">
            <v>30</v>
          </cell>
          <cell r="AY1056">
            <v>0</v>
          </cell>
          <cell r="AZ1056">
            <v>0</v>
          </cell>
          <cell r="BA1056">
            <v>163</v>
          </cell>
        </row>
        <row r="1057">
          <cell r="AS1057" t="str">
            <v>17031821700</v>
          </cell>
          <cell r="AT1057">
            <v>4694</v>
          </cell>
          <cell r="AU1057">
            <v>2153</v>
          </cell>
          <cell r="AV1057">
            <v>1754</v>
          </cell>
          <cell r="AW1057">
            <v>279</v>
          </cell>
          <cell r="AX1057">
            <v>0</v>
          </cell>
          <cell r="AY1057">
            <v>0</v>
          </cell>
          <cell r="AZ1057">
            <v>15</v>
          </cell>
          <cell r="BA1057">
            <v>105</v>
          </cell>
        </row>
        <row r="1058">
          <cell r="AS1058" t="str">
            <v>17031821800</v>
          </cell>
          <cell r="AT1058">
            <v>5246</v>
          </cell>
          <cell r="AU1058">
            <v>2885</v>
          </cell>
          <cell r="AV1058">
            <v>2296</v>
          </cell>
          <cell r="AW1058">
            <v>305</v>
          </cell>
          <cell r="AX1058">
            <v>0</v>
          </cell>
          <cell r="AY1058">
            <v>0</v>
          </cell>
          <cell r="AZ1058">
            <v>41</v>
          </cell>
          <cell r="BA1058">
            <v>243</v>
          </cell>
        </row>
        <row r="1059">
          <cell r="AS1059" t="str">
            <v>17031821900</v>
          </cell>
          <cell r="AT1059">
            <v>5012</v>
          </cell>
          <cell r="AU1059">
            <v>2264</v>
          </cell>
          <cell r="AV1059">
            <v>1831</v>
          </cell>
          <cell r="AW1059">
            <v>212</v>
          </cell>
          <cell r="AX1059">
            <v>40</v>
          </cell>
          <cell r="AY1059">
            <v>0</v>
          </cell>
          <cell r="AZ1059">
            <v>48</v>
          </cell>
          <cell r="BA1059">
            <v>133</v>
          </cell>
        </row>
        <row r="1060">
          <cell r="AS1060" t="str">
            <v>17031822000</v>
          </cell>
          <cell r="AT1060">
            <v>4216</v>
          </cell>
          <cell r="AU1060">
            <v>1992</v>
          </cell>
          <cell r="AV1060">
            <v>1678</v>
          </cell>
          <cell r="AW1060">
            <v>156</v>
          </cell>
          <cell r="AX1060">
            <v>10</v>
          </cell>
          <cell r="AY1060">
            <v>0</v>
          </cell>
          <cell r="AZ1060">
            <v>47</v>
          </cell>
          <cell r="BA1060">
            <v>101</v>
          </cell>
        </row>
        <row r="1061">
          <cell r="AS1061" t="str">
            <v>17031822101</v>
          </cell>
          <cell r="AT1061">
            <v>4337</v>
          </cell>
          <cell r="AU1061">
            <v>1734</v>
          </cell>
          <cell r="AV1061">
            <v>1475</v>
          </cell>
          <cell r="AW1061">
            <v>156</v>
          </cell>
          <cell r="AX1061">
            <v>0</v>
          </cell>
          <cell r="AY1061">
            <v>0</v>
          </cell>
          <cell r="AZ1061">
            <v>39</v>
          </cell>
          <cell r="BA1061">
            <v>64</v>
          </cell>
        </row>
        <row r="1062">
          <cell r="AS1062" t="str">
            <v>17031822102</v>
          </cell>
          <cell r="AT1062">
            <v>4151</v>
          </cell>
          <cell r="AU1062">
            <v>2071</v>
          </cell>
          <cell r="AV1062">
            <v>1570</v>
          </cell>
          <cell r="AW1062">
            <v>235</v>
          </cell>
          <cell r="AX1062">
            <v>0</v>
          </cell>
          <cell r="AY1062">
            <v>0</v>
          </cell>
          <cell r="AZ1062">
            <v>134</v>
          </cell>
          <cell r="BA1062">
            <v>132</v>
          </cell>
        </row>
        <row r="1063">
          <cell r="AS1063" t="str">
            <v>17031822200</v>
          </cell>
          <cell r="AT1063">
            <v>3583</v>
          </cell>
          <cell r="AU1063">
            <v>1662</v>
          </cell>
          <cell r="AV1063">
            <v>1400</v>
          </cell>
          <cell r="AW1063">
            <v>225</v>
          </cell>
          <cell r="AX1063">
            <v>0</v>
          </cell>
          <cell r="AY1063">
            <v>0</v>
          </cell>
          <cell r="AZ1063">
            <v>0</v>
          </cell>
          <cell r="BA1063">
            <v>37</v>
          </cell>
        </row>
        <row r="1064">
          <cell r="AS1064" t="str">
            <v>17031822301</v>
          </cell>
          <cell r="AT1064">
            <v>3234</v>
          </cell>
          <cell r="AU1064">
            <v>1464</v>
          </cell>
          <cell r="AV1064">
            <v>1356</v>
          </cell>
          <cell r="AW1064">
            <v>42</v>
          </cell>
          <cell r="AX1064">
            <v>0</v>
          </cell>
          <cell r="AY1064">
            <v>0</v>
          </cell>
          <cell r="AZ1064">
            <v>46</v>
          </cell>
          <cell r="BA1064">
            <v>20</v>
          </cell>
        </row>
        <row r="1065">
          <cell r="AS1065" t="str">
            <v>17031822302</v>
          </cell>
          <cell r="AT1065">
            <v>4391</v>
          </cell>
          <cell r="AU1065">
            <v>1894</v>
          </cell>
          <cell r="AV1065">
            <v>1753</v>
          </cell>
          <cell r="AW1065">
            <v>60</v>
          </cell>
          <cell r="AX1065">
            <v>0</v>
          </cell>
          <cell r="AY1065">
            <v>0</v>
          </cell>
          <cell r="AZ1065">
            <v>45</v>
          </cell>
          <cell r="BA1065">
            <v>36</v>
          </cell>
        </row>
        <row r="1066">
          <cell r="AS1066" t="str">
            <v>17031822400</v>
          </cell>
          <cell r="AT1066">
            <v>6214</v>
          </cell>
          <cell r="AU1066">
            <v>2468</v>
          </cell>
          <cell r="AV1066">
            <v>2326</v>
          </cell>
          <cell r="AW1066">
            <v>30</v>
          </cell>
          <cell r="AX1066">
            <v>5</v>
          </cell>
          <cell r="AY1066">
            <v>0</v>
          </cell>
          <cell r="AZ1066">
            <v>70</v>
          </cell>
          <cell r="BA1066">
            <v>37</v>
          </cell>
        </row>
        <row r="1067">
          <cell r="AS1067" t="str">
            <v>17031822500</v>
          </cell>
          <cell r="AT1067">
            <v>4195</v>
          </cell>
          <cell r="AU1067">
            <v>1839</v>
          </cell>
          <cell r="AV1067">
            <v>1491</v>
          </cell>
          <cell r="AW1067">
            <v>162</v>
          </cell>
          <cell r="AX1067">
            <v>16</v>
          </cell>
          <cell r="AY1067">
            <v>11</v>
          </cell>
          <cell r="AZ1067">
            <v>22</v>
          </cell>
          <cell r="BA1067">
            <v>137</v>
          </cell>
        </row>
        <row r="1068">
          <cell r="AS1068" t="str">
            <v>17031822601</v>
          </cell>
          <cell r="AT1068">
            <v>4214</v>
          </cell>
          <cell r="AU1068">
            <v>2110</v>
          </cell>
          <cell r="AV1068">
            <v>1889</v>
          </cell>
          <cell r="AW1068">
            <v>94</v>
          </cell>
          <cell r="AX1068">
            <v>0</v>
          </cell>
          <cell r="AY1068">
            <v>15</v>
          </cell>
          <cell r="AZ1068">
            <v>0</v>
          </cell>
          <cell r="BA1068">
            <v>112</v>
          </cell>
        </row>
        <row r="1069">
          <cell r="AS1069" t="str">
            <v>17031822602</v>
          </cell>
          <cell r="AT1069">
            <v>7510</v>
          </cell>
          <cell r="AU1069">
            <v>2963</v>
          </cell>
          <cell r="AV1069">
            <v>2538</v>
          </cell>
          <cell r="AW1069">
            <v>207</v>
          </cell>
          <cell r="AX1069">
            <v>0</v>
          </cell>
          <cell r="AY1069">
            <v>0</v>
          </cell>
          <cell r="AZ1069">
            <v>1</v>
          </cell>
          <cell r="BA1069">
            <v>217</v>
          </cell>
        </row>
        <row r="1070">
          <cell r="AS1070" t="str">
            <v>17031822701</v>
          </cell>
          <cell r="AT1070">
            <v>4834</v>
          </cell>
          <cell r="AU1070">
            <v>2104</v>
          </cell>
          <cell r="AV1070">
            <v>1817</v>
          </cell>
          <cell r="AW1070">
            <v>211</v>
          </cell>
          <cell r="AX1070">
            <v>7</v>
          </cell>
          <cell r="AY1070">
            <v>0</v>
          </cell>
          <cell r="AZ1070">
            <v>42</v>
          </cell>
          <cell r="BA1070">
            <v>27</v>
          </cell>
        </row>
        <row r="1071">
          <cell r="AS1071" t="str">
            <v>17031822702</v>
          </cell>
          <cell r="AT1071">
            <v>3400</v>
          </cell>
          <cell r="AU1071">
            <v>1535</v>
          </cell>
          <cell r="AV1071">
            <v>1389</v>
          </cell>
          <cell r="AW1071">
            <v>85</v>
          </cell>
          <cell r="AX1071">
            <v>0</v>
          </cell>
          <cell r="AY1071">
            <v>23</v>
          </cell>
          <cell r="AZ1071">
            <v>22</v>
          </cell>
          <cell r="BA1071">
            <v>16</v>
          </cell>
        </row>
        <row r="1072">
          <cell r="AS1072" t="str">
            <v>17031822801</v>
          </cell>
          <cell r="AT1072">
            <v>3171</v>
          </cell>
          <cell r="AU1072">
            <v>1869</v>
          </cell>
          <cell r="AV1072">
            <v>1452</v>
          </cell>
          <cell r="AW1072">
            <v>334</v>
          </cell>
          <cell r="AX1072">
            <v>0</v>
          </cell>
          <cell r="AY1072">
            <v>0</v>
          </cell>
          <cell r="AZ1072">
            <v>0</v>
          </cell>
          <cell r="BA1072">
            <v>83</v>
          </cell>
        </row>
        <row r="1073">
          <cell r="AS1073" t="str">
            <v>17031822802</v>
          </cell>
          <cell r="AT1073">
            <v>3615</v>
          </cell>
          <cell r="AU1073">
            <v>1383</v>
          </cell>
          <cell r="AV1073">
            <v>1271</v>
          </cell>
          <cell r="AW1073">
            <v>81</v>
          </cell>
          <cell r="AX1073">
            <v>0</v>
          </cell>
          <cell r="AY1073">
            <v>0</v>
          </cell>
          <cell r="AZ1073">
            <v>2</v>
          </cell>
          <cell r="BA1073">
            <v>29</v>
          </cell>
        </row>
        <row r="1074">
          <cell r="AS1074" t="str">
            <v>17031822900</v>
          </cell>
          <cell r="AT1074">
            <v>1966</v>
          </cell>
          <cell r="AU1074">
            <v>981</v>
          </cell>
          <cell r="AV1074">
            <v>814</v>
          </cell>
          <cell r="AW1074">
            <v>83</v>
          </cell>
          <cell r="AX1074">
            <v>0</v>
          </cell>
          <cell r="AY1074">
            <v>0</v>
          </cell>
          <cell r="AZ1074">
            <v>10</v>
          </cell>
          <cell r="BA1074">
            <v>74</v>
          </cell>
        </row>
        <row r="1075">
          <cell r="AS1075" t="str">
            <v>17031823001</v>
          </cell>
          <cell r="AT1075">
            <v>6887</v>
          </cell>
          <cell r="AU1075">
            <v>3206</v>
          </cell>
          <cell r="AV1075">
            <v>2899</v>
          </cell>
          <cell r="AW1075">
            <v>239</v>
          </cell>
          <cell r="AX1075">
            <v>0</v>
          </cell>
          <cell r="AY1075">
            <v>0</v>
          </cell>
          <cell r="AZ1075">
            <v>0</v>
          </cell>
          <cell r="BA1075">
            <v>68</v>
          </cell>
        </row>
        <row r="1076">
          <cell r="AS1076" t="str">
            <v>17031823002</v>
          </cell>
          <cell r="AT1076">
            <v>5236</v>
          </cell>
          <cell r="AU1076">
            <v>2216</v>
          </cell>
          <cell r="AV1076">
            <v>1926</v>
          </cell>
          <cell r="AW1076">
            <v>115</v>
          </cell>
          <cell r="AX1076">
            <v>0</v>
          </cell>
          <cell r="AY1076">
            <v>0</v>
          </cell>
          <cell r="AZ1076">
            <v>0</v>
          </cell>
          <cell r="BA1076">
            <v>175</v>
          </cell>
        </row>
        <row r="1077">
          <cell r="AS1077" t="str">
            <v>17031823101</v>
          </cell>
          <cell r="AT1077">
            <v>4061</v>
          </cell>
          <cell r="AU1077">
            <v>1863</v>
          </cell>
          <cell r="AV1077">
            <v>1664</v>
          </cell>
          <cell r="AW1077">
            <v>128</v>
          </cell>
          <cell r="AX1077">
            <v>0</v>
          </cell>
          <cell r="AY1077">
            <v>0</v>
          </cell>
          <cell r="AZ1077">
            <v>14</v>
          </cell>
          <cell r="BA1077">
            <v>57</v>
          </cell>
        </row>
        <row r="1078">
          <cell r="AS1078" t="str">
            <v>17031823102</v>
          </cell>
          <cell r="AT1078">
            <v>3833</v>
          </cell>
          <cell r="AU1078">
            <v>1695</v>
          </cell>
          <cell r="AV1078">
            <v>1545</v>
          </cell>
          <cell r="AW1078">
            <v>109</v>
          </cell>
          <cell r="AX1078">
            <v>0</v>
          </cell>
          <cell r="AY1078">
            <v>28</v>
          </cell>
          <cell r="AZ1078">
            <v>13</v>
          </cell>
          <cell r="BA1078">
            <v>0</v>
          </cell>
        </row>
        <row r="1079">
          <cell r="AS1079" t="str">
            <v>17031823200</v>
          </cell>
          <cell r="AT1079">
            <v>4792</v>
          </cell>
          <cell r="AU1079">
            <v>2165</v>
          </cell>
          <cell r="AV1079">
            <v>1869</v>
          </cell>
          <cell r="AW1079">
            <v>139</v>
          </cell>
          <cell r="AX1079">
            <v>0</v>
          </cell>
          <cell r="AY1079">
            <v>61</v>
          </cell>
          <cell r="AZ1079">
            <v>11</v>
          </cell>
          <cell r="BA1079">
            <v>85</v>
          </cell>
        </row>
        <row r="1080">
          <cell r="AS1080" t="str">
            <v>17031823302</v>
          </cell>
          <cell r="AT1080">
            <v>6060</v>
          </cell>
          <cell r="AU1080">
            <v>2895</v>
          </cell>
          <cell r="AV1080">
            <v>2644</v>
          </cell>
          <cell r="AW1080">
            <v>174</v>
          </cell>
          <cell r="AX1080">
            <v>0</v>
          </cell>
          <cell r="AY1080">
            <v>0</v>
          </cell>
          <cell r="AZ1080">
            <v>0</v>
          </cell>
          <cell r="BA1080">
            <v>77</v>
          </cell>
        </row>
        <row r="1081">
          <cell r="AS1081" t="str">
            <v>17031823303</v>
          </cell>
          <cell r="AT1081">
            <v>4001</v>
          </cell>
          <cell r="AU1081">
            <v>2203</v>
          </cell>
          <cell r="AV1081">
            <v>1999</v>
          </cell>
          <cell r="AW1081">
            <v>141</v>
          </cell>
          <cell r="AX1081">
            <v>0</v>
          </cell>
          <cell r="AY1081">
            <v>0</v>
          </cell>
          <cell r="AZ1081">
            <v>44</v>
          </cell>
          <cell r="BA1081">
            <v>19</v>
          </cell>
        </row>
        <row r="1082">
          <cell r="AS1082" t="str">
            <v>17031823304</v>
          </cell>
          <cell r="AT1082">
            <v>6345</v>
          </cell>
          <cell r="AU1082">
            <v>2666</v>
          </cell>
          <cell r="AV1082">
            <v>2218</v>
          </cell>
          <cell r="AW1082">
            <v>188</v>
          </cell>
          <cell r="AX1082">
            <v>0</v>
          </cell>
          <cell r="AY1082">
            <v>0</v>
          </cell>
          <cell r="AZ1082">
            <v>43</v>
          </cell>
          <cell r="BA1082">
            <v>217</v>
          </cell>
        </row>
        <row r="1083">
          <cell r="AS1083" t="str">
            <v>17031823400</v>
          </cell>
          <cell r="AT1083">
            <v>4969</v>
          </cell>
          <cell r="AU1083">
            <v>2147</v>
          </cell>
          <cell r="AV1083">
            <v>1995</v>
          </cell>
          <cell r="AW1083">
            <v>115</v>
          </cell>
          <cell r="AX1083">
            <v>0</v>
          </cell>
          <cell r="AY1083">
            <v>0</v>
          </cell>
          <cell r="AZ1083">
            <v>24</v>
          </cell>
          <cell r="BA1083">
            <v>13</v>
          </cell>
        </row>
        <row r="1084">
          <cell r="AS1084" t="str">
            <v>17031823500</v>
          </cell>
          <cell r="AT1084">
            <v>4448</v>
          </cell>
          <cell r="AU1084">
            <v>2010</v>
          </cell>
          <cell r="AV1084">
            <v>1721</v>
          </cell>
          <cell r="AW1084">
            <v>201</v>
          </cell>
          <cell r="AX1084">
            <v>0</v>
          </cell>
          <cell r="AY1084">
            <v>0</v>
          </cell>
          <cell r="AZ1084">
            <v>34</v>
          </cell>
          <cell r="BA1084">
            <v>54</v>
          </cell>
        </row>
        <row r="1085">
          <cell r="AS1085" t="str">
            <v>17031823602</v>
          </cell>
          <cell r="AT1085">
            <v>6369</v>
          </cell>
          <cell r="AU1085">
            <v>2986</v>
          </cell>
          <cell r="AV1085">
            <v>2628</v>
          </cell>
          <cell r="AW1085">
            <v>234</v>
          </cell>
          <cell r="AX1085">
            <v>0</v>
          </cell>
          <cell r="AY1085">
            <v>0</v>
          </cell>
          <cell r="AZ1085">
            <v>10</v>
          </cell>
          <cell r="BA1085">
            <v>114</v>
          </cell>
        </row>
        <row r="1086">
          <cell r="AS1086" t="str">
            <v>17031823603</v>
          </cell>
          <cell r="AT1086">
            <v>2143</v>
          </cell>
          <cell r="AU1086">
            <v>780</v>
          </cell>
          <cell r="AV1086">
            <v>680</v>
          </cell>
          <cell r="AW1086">
            <v>38</v>
          </cell>
          <cell r="AX1086">
            <v>0</v>
          </cell>
          <cell r="AY1086">
            <v>0</v>
          </cell>
          <cell r="AZ1086">
            <v>10</v>
          </cell>
          <cell r="BA1086">
            <v>52</v>
          </cell>
        </row>
        <row r="1087">
          <cell r="AS1087" t="str">
            <v>17031823604</v>
          </cell>
          <cell r="AT1087">
            <v>3510</v>
          </cell>
          <cell r="AU1087">
            <v>1639</v>
          </cell>
          <cell r="AV1087">
            <v>1366</v>
          </cell>
          <cell r="AW1087">
            <v>79</v>
          </cell>
          <cell r="AX1087">
            <v>0</v>
          </cell>
          <cell r="AY1087">
            <v>11</v>
          </cell>
          <cell r="AZ1087">
            <v>50</v>
          </cell>
          <cell r="BA1087">
            <v>133</v>
          </cell>
        </row>
        <row r="1088">
          <cell r="AS1088" t="str">
            <v>17031823605</v>
          </cell>
          <cell r="AT1088">
            <v>4297</v>
          </cell>
          <cell r="AU1088">
            <v>2135</v>
          </cell>
          <cell r="AV1088">
            <v>1773</v>
          </cell>
          <cell r="AW1088">
            <v>49</v>
          </cell>
          <cell r="AX1088">
            <v>0</v>
          </cell>
          <cell r="AY1088">
            <v>0</v>
          </cell>
          <cell r="AZ1088">
            <v>154</v>
          </cell>
          <cell r="BA1088">
            <v>159</v>
          </cell>
        </row>
        <row r="1089">
          <cell r="AS1089" t="str">
            <v>17031823702</v>
          </cell>
          <cell r="AT1089">
            <v>5757</v>
          </cell>
          <cell r="AU1089">
            <v>2866</v>
          </cell>
          <cell r="AV1089">
            <v>2591</v>
          </cell>
          <cell r="AW1089">
            <v>149</v>
          </cell>
          <cell r="AX1089">
            <v>0</v>
          </cell>
          <cell r="AY1089">
            <v>0</v>
          </cell>
          <cell r="AZ1089">
            <v>48</v>
          </cell>
          <cell r="BA1089">
            <v>78</v>
          </cell>
        </row>
        <row r="1090">
          <cell r="AS1090" t="str">
            <v>17031823703</v>
          </cell>
          <cell r="AT1090">
            <v>8236</v>
          </cell>
          <cell r="AU1090">
            <v>3654</v>
          </cell>
          <cell r="AV1090">
            <v>3161</v>
          </cell>
          <cell r="AW1090">
            <v>323</v>
          </cell>
          <cell r="AX1090">
            <v>0</v>
          </cell>
          <cell r="AY1090">
            <v>0</v>
          </cell>
          <cell r="AZ1090">
            <v>0</v>
          </cell>
          <cell r="BA1090">
            <v>170</v>
          </cell>
        </row>
        <row r="1091">
          <cell r="AS1091" t="str">
            <v>17031823704</v>
          </cell>
          <cell r="AT1091">
            <v>3946</v>
          </cell>
          <cell r="AU1091">
            <v>1956</v>
          </cell>
          <cell r="AV1091">
            <v>1786</v>
          </cell>
          <cell r="AW1091">
            <v>87</v>
          </cell>
          <cell r="AX1091">
            <v>0</v>
          </cell>
          <cell r="AY1091">
            <v>0</v>
          </cell>
          <cell r="AZ1091">
            <v>48</v>
          </cell>
          <cell r="BA1091">
            <v>35</v>
          </cell>
        </row>
        <row r="1092">
          <cell r="AS1092" t="str">
            <v>17031823705</v>
          </cell>
          <cell r="AT1092">
            <v>4498</v>
          </cell>
          <cell r="AU1092">
            <v>1872</v>
          </cell>
          <cell r="AV1092">
            <v>1704</v>
          </cell>
          <cell r="AW1092">
            <v>87</v>
          </cell>
          <cell r="AX1092">
            <v>0</v>
          </cell>
          <cell r="AY1092">
            <v>0</v>
          </cell>
          <cell r="AZ1092">
            <v>8</v>
          </cell>
          <cell r="BA1092">
            <v>73</v>
          </cell>
        </row>
        <row r="1093">
          <cell r="AS1093" t="str">
            <v>17031823801</v>
          </cell>
          <cell r="AT1093">
            <v>5268</v>
          </cell>
          <cell r="AU1093">
            <v>2425</v>
          </cell>
          <cell r="AV1093">
            <v>2153</v>
          </cell>
          <cell r="AW1093">
            <v>111</v>
          </cell>
          <cell r="AX1093">
            <v>0</v>
          </cell>
          <cell r="AY1093">
            <v>0</v>
          </cell>
          <cell r="AZ1093">
            <v>31</v>
          </cell>
          <cell r="BA1093">
            <v>130</v>
          </cell>
        </row>
        <row r="1094">
          <cell r="AS1094" t="str">
            <v>17031823803</v>
          </cell>
          <cell r="AT1094">
            <v>6703</v>
          </cell>
          <cell r="AU1094">
            <v>2677</v>
          </cell>
          <cell r="AV1094">
            <v>2415</v>
          </cell>
          <cell r="AW1094">
            <v>106</v>
          </cell>
          <cell r="AX1094">
            <v>0</v>
          </cell>
          <cell r="AY1094">
            <v>0</v>
          </cell>
          <cell r="AZ1094">
            <v>0</v>
          </cell>
          <cell r="BA1094">
            <v>156</v>
          </cell>
        </row>
        <row r="1095">
          <cell r="AS1095" t="str">
            <v>17031823805</v>
          </cell>
          <cell r="AT1095">
            <v>2918</v>
          </cell>
          <cell r="AU1095">
            <v>1425</v>
          </cell>
          <cell r="AV1095">
            <v>1245</v>
          </cell>
          <cell r="AW1095">
            <v>24</v>
          </cell>
          <cell r="AX1095">
            <v>14</v>
          </cell>
          <cell r="AY1095">
            <v>0</v>
          </cell>
          <cell r="AZ1095">
            <v>0</v>
          </cell>
          <cell r="BA1095">
            <v>142</v>
          </cell>
        </row>
        <row r="1096">
          <cell r="AS1096" t="str">
            <v>17031823806</v>
          </cell>
          <cell r="AT1096">
            <v>4037</v>
          </cell>
          <cell r="AU1096">
            <v>1772</v>
          </cell>
          <cell r="AV1096">
            <v>1492</v>
          </cell>
          <cell r="AW1096">
            <v>72</v>
          </cell>
          <cell r="AX1096">
            <v>0</v>
          </cell>
          <cell r="AY1096">
            <v>0</v>
          </cell>
          <cell r="AZ1096">
            <v>17</v>
          </cell>
          <cell r="BA1096">
            <v>191</v>
          </cell>
        </row>
        <row r="1097">
          <cell r="AS1097" t="str">
            <v>17031823901</v>
          </cell>
          <cell r="AT1097">
            <v>4009</v>
          </cell>
          <cell r="AU1097">
            <v>1708</v>
          </cell>
          <cell r="AV1097">
            <v>1451</v>
          </cell>
          <cell r="AW1097">
            <v>116</v>
          </cell>
          <cell r="AX1097">
            <v>0</v>
          </cell>
          <cell r="AY1097">
            <v>0</v>
          </cell>
          <cell r="AZ1097">
            <v>11</v>
          </cell>
          <cell r="BA1097">
            <v>130</v>
          </cell>
        </row>
        <row r="1098">
          <cell r="AS1098" t="str">
            <v>17031823903</v>
          </cell>
          <cell r="AT1098">
            <v>4529</v>
          </cell>
          <cell r="AU1098">
            <v>1794</v>
          </cell>
          <cell r="AV1098">
            <v>1507</v>
          </cell>
          <cell r="AW1098">
            <v>68</v>
          </cell>
          <cell r="AX1098">
            <v>0</v>
          </cell>
          <cell r="AY1098">
            <v>0</v>
          </cell>
          <cell r="AZ1098">
            <v>0</v>
          </cell>
          <cell r="BA1098">
            <v>219</v>
          </cell>
        </row>
        <row r="1099">
          <cell r="AS1099" t="str">
            <v>17031823904</v>
          </cell>
          <cell r="AT1099">
            <v>4000</v>
          </cell>
          <cell r="AU1099">
            <v>1821</v>
          </cell>
          <cell r="AV1099">
            <v>1489</v>
          </cell>
          <cell r="AW1099">
            <v>157</v>
          </cell>
          <cell r="AX1099">
            <v>0</v>
          </cell>
          <cell r="AY1099">
            <v>0</v>
          </cell>
          <cell r="AZ1099">
            <v>59</v>
          </cell>
          <cell r="BA1099">
            <v>116</v>
          </cell>
        </row>
        <row r="1100">
          <cell r="AS1100" t="str">
            <v>17031824003</v>
          </cell>
          <cell r="AT1100">
            <v>6189</v>
          </cell>
          <cell r="AU1100">
            <v>2750</v>
          </cell>
          <cell r="AV1100">
            <v>2450</v>
          </cell>
          <cell r="AW1100">
            <v>77</v>
          </cell>
          <cell r="AX1100">
            <v>0</v>
          </cell>
          <cell r="AY1100">
            <v>11</v>
          </cell>
          <cell r="AZ1100">
            <v>0</v>
          </cell>
          <cell r="BA1100">
            <v>212</v>
          </cell>
        </row>
        <row r="1101">
          <cell r="AS1101" t="str">
            <v>17031824004</v>
          </cell>
          <cell r="AT1101">
            <v>5014</v>
          </cell>
          <cell r="AU1101">
            <v>1879</v>
          </cell>
          <cell r="AV1101">
            <v>1461</v>
          </cell>
          <cell r="AW1101">
            <v>199</v>
          </cell>
          <cell r="AX1101">
            <v>0</v>
          </cell>
          <cell r="AY1101">
            <v>0</v>
          </cell>
          <cell r="AZ1101">
            <v>28</v>
          </cell>
          <cell r="BA1101">
            <v>191</v>
          </cell>
        </row>
        <row r="1102">
          <cell r="AS1102" t="str">
            <v>17031824005</v>
          </cell>
          <cell r="AT1102">
            <v>5468</v>
          </cell>
          <cell r="AU1102">
            <v>3020</v>
          </cell>
          <cell r="AV1102">
            <v>2762</v>
          </cell>
          <cell r="AW1102">
            <v>110</v>
          </cell>
          <cell r="AX1102">
            <v>0</v>
          </cell>
          <cell r="AY1102">
            <v>0</v>
          </cell>
          <cell r="AZ1102">
            <v>32</v>
          </cell>
          <cell r="BA1102">
            <v>116</v>
          </cell>
        </row>
        <row r="1103">
          <cell r="AS1103" t="str">
            <v>17031824006</v>
          </cell>
          <cell r="AT1103">
            <v>5470</v>
          </cell>
          <cell r="AU1103">
            <v>2538</v>
          </cell>
          <cell r="AV1103">
            <v>2096</v>
          </cell>
          <cell r="AW1103">
            <v>145</v>
          </cell>
          <cell r="AX1103">
            <v>19</v>
          </cell>
          <cell r="AY1103">
            <v>0</v>
          </cell>
          <cell r="AZ1103">
            <v>29</v>
          </cell>
          <cell r="BA1103">
            <v>249</v>
          </cell>
        </row>
        <row r="1104">
          <cell r="AS1104" t="str">
            <v>17031824105</v>
          </cell>
          <cell r="AT1104">
            <v>7220</v>
          </cell>
          <cell r="AU1104">
            <v>3982</v>
          </cell>
          <cell r="AV1104">
            <v>3410</v>
          </cell>
          <cell r="AW1104">
            <v>147</v>
          </cell>
          <cell r="AX1104">
            <v>0</v>
          </cell>
          <cell r="AY1104">
            <v>0</v>
          </cell>
          <cell r="AZ1104">
            <v>0</v>
          </cell>
          <cell r="BA1104">
            <v>425</v>
          </cell>
        </row>
        <row r="1105">
          <cell r="AS1105" t="str">
            <v>17031824106</v>
          </cell>
          <cell r="AT1105">
            <v>6267</v>
          </cell>
          <cell r="AU1105">
            <v>2844</v>
          </cell>
          <cell r="AV1105">
            <v>2428</v>
          </cell>
          <cell r="AW1105">
            <v>159</v>
          </cell>
          <cell r="AX1105">
            <v>0</v>
          </cell>
          <cell r="AY1105">
            <v>0</v>
          </cell>
          <cell r="AZ1105">
            <v>50</v>
          </cell>
          <cell r="BA1105">
            <v>207</v>
          </cell>
        </row>
        <row r="1106">
          <cell r="AS1106" t="str">
            <v>17031824107</v>
          </cell>
          <cell r="AT1106">
            <v>7553</v>
          </cell>
          <cell r="AU1106">
            <v>3138</v>
          </cell>
          <cell r="AV1106">
            <v>2638</v>
          </cell>
          <cell r="AW1106">
            <v>161</v>
          </cell>
          <cell r="AX1106">
            <v>0</v>
          </cell>
          <cell r="AY1106">
            <v>0</v>
          </cell>
          <cell r="AZ1106">
            <v>31</v>
          </cell>
          <cell r="BA1106">
            <v>308</v>
          </cell>
        </row>
        <row r="1107">
          <cell r="AS1107" t="str">
            <v>17031824113</v>
          </cell>
          <cell r="AT1107">
            <v>6891</v>
          </cell>
          <cell r="AU1107">
            <v>3392</v>
          </cell>
          <cell r="AV1107">
            <v>2941</v>
          </cell>
          <cell r="AW1107">
            <v>247</v>
          </cell>
          <cell r="AX1107">
            <v>0</v>
          </cell>
          <cell r="AY1107">
            <v>0</v>
          </cell>
          <cell r="AZ1107">
            <v>0</v>
          </cell>
          <cell r="BA1107">
            <v>204</v>
          </cell>
        </row>
        <row r="1108">
          <cell r="AS1108" t="str">
            <v>17031824114</v>
          </cell>
          <cell r="AT1108">
            <v>5166</v>
          </cell>
          <cell r="AU1108">
            <v>2557</v>
          </cell>
          <cell r="AV1108">
            <v>2060</v>
          </cell>
          <cell r="AW1108">
            <v>152</v>
          </cell>
          <cell r="AX1108">
            <v>0</v>
          </cell>
          <cell r="AY1108">
            <v>0</v>
          </cell>
          <cell r="AZ1108">
            <v>0</v>
          </cell>
          <cell r="BA1108">
            <v>345</v>
          </cell>
        </row>
        <row r="1109">
          <cell r="AS1109" t="str">
            <v>17031824115</v>
          </cell>
          <cell r="AT1109">
            <v>4019</v>
          </cell>
          <cell r="AU1109">
            <v>1552</v>
          </cell>
          <cell r="AV1109">
            <v>1371</v>
          </cell>
          <cell r="AW1109">
            <v>32</v>
          </cell>
          <cell r="AX1109">
            <v>0</v>
          </cell>
          <cell r="AY1109">
            <v>0</v>
          </cell>
          <cell r="AZ1109">
            <v>23</v>
          </cell>
          <cell r="BA1109">
            <v>126</v>
          </cell>
        </row>
        <row r="1110">
          <cell r="AS1110" t="str">
            <v>17031824116</v>
          </cell>
          <cell r="AT1110">
            <v>5192</v>
          </cell>
          <cell r="AU1110">
            <v>2390</v>
          </cell>
          <cell r="AV1110">
            <v>1884</v>
          </cell>
          <cell r="AW1110">
            <v>166</v>
          </cell>
          <cell r="AX1110">
            <v>0</v>
          </cell>
          <cell r="AY1110">
            <v>60</v>
          </cell>
          <cell r="AZ1110">
            <v>126</v>
          </cell>
          <cell r="BA1110">
            <v>154</v>
          </cell>
        </row>
        <row r="1111">
          <cell r="AS1111" t="str">
            <v>17031824119</v>
          </cell>
          <cell r="AT1111">
            <v>5553</v>
          </cell>
          <cell r="AU1111">
            <v>2595</v>
          </cell>
          <cell r="AV1111">
            <v>2058</v>
          </cell>
          <cell r="AW1111">
            <v>326</v>
          </cell>
          <cell r="AX1111">
            <v>0</v>
          </cell>
          <cell r="AY1111">
            <v>0</v>
          </cell>
          <cell r="AZ1111">
            <v>16</v>
          </cell>
          <cell r="BA1111">
            <v>195</v>
          </cell>
        </row>
        <row r="1112">
          <cell r="AS1112" t="str">
            <v>17031824121</v>
          </cell>
          <cell r="AT1112">
            <v>3277</v>
          </cell>
          <cell r="AU1112">
            <v>1595</v>
          </cell>
          <cell r="AV1112">
            <v>1411</v>
          </cell>
          <cell r="AW1112">
            <v>139</v>
          </cell>
          <cell r="AX1112">
            <v>0</v>
          </cell>
          <cell r="AY1112">
            <v>12</v>
          </cell>
          <cell r="AZ1112">
            <v>0</v>
          </cell>
          <cell r="BA1112">
            <v>33</v>
          </cell>
        </row>
        <row r="1113">
          <cell r="AS1113" t="str">
            <v>17031824122</v>
          </cell>
          <cell r="AT1113">
            <v>6262</v>
          </cell>
          <cell r="AU1113">
            <v>3195</v>
          </cell>
          <cell r="AV1113">
            <v>2642</v>
          </cell>
          <cell r="AW1113">
            <v>237</v>
          </cell>
          <cell r="AX1113">
            <v>0</v>
          </cell>
          <cell r="AY1113">
            <v>0</v>
          </cell>
          <cell r="AZ1113">
            <v>0</v>
          </cell>
          <cell r="BA1113">
            <v>316</v>
          </cell>
        </row>
        <row r="1114">
          <cell r="AS1114" t="str">
            <v>17031824123</v>
          </cell>
          <cell r="AT1114">
            <v>7357</v>
          </cell>
          <cell r="AU1114">
            <v>3895</v>
          </cell>
          <cell r="AV1114">
            <v>3570</v>
          </cell>
          <cell r="AW1114">
            <v>220</v>
          </cell>
          <cell r="AX1114">
            <v>0</v>
          </cell>
          <cell r="AY1114">
            <v>39</v>
          </cell>
          <cell r="AZ1114">
            <v>0</v>
          </cell>
          <cell r="BA1114">
            <v>66</v>
          </cell>
        </row>
        <row r="1115">
          <cell r="AS1115" t="str">
            <v>17031824124</v>
          </cell>
          <cell r="AT1115">
            <v>2808</v>
          </cell>
          <cell r="AU1115">
            <v>1482</v>
          </cell>
          <cell r="AV1115">
            <v>1245</v>
          </cell>
          <cell r="AW1115">
            <v>72</v>
          </cell>
          <cell r="AX1115">
            <v>0</v>
          </cell>
          <cell r="AY1115">
            <v>0</v>
          </cell>
          <cell r="AZ1115">
            <v>1</v>
          </cell>
          <cell r="BA1115">
            <v>164</v>
          </cell>
        </row>
        <row r="1116">
          <cell r="AS1116" t="str">
            <v>17031824125</v>
          </cell>
          <cell r="AT1116">
            <v>4858</v>
          </cell>
          <cell r="AU1116">
            <v>2739</v>
          </cell>
          <cell r="AV1116">
            <v>2320</v>
          </cell>
          <cell r="AW1116">
            <v>109</v>
          </cell>
          <cell r="AX1116">
            <v>0</v>
          </cell>
          <cell r="AY1116">
            <v>0</v>
          </cell>
          <cell r="AZ1116">
            <v>0</v>
          </cell>
          <cell r="BA1116">
            <v>310</v>
          </cell>
        </row>
        <row r="1117">
          <cell r="AS1117" t="str">
            <v>17031824126</v>
          </cell>
          <cell r="AT1117">
            <v>5733</v>
          </cell>
          <cell r="AU1117">
            <v>3181</v>
          </cell>
          <cell r="AV1117">
            <v>2929</v>
          </cell>
          <cell r="AW1117">
            <v>144</v>
          </cell>
          <cell r="AX1117">
            <v>0</v>
          </cell>
          <cell r="AY1117">
            <v>0</v>
          </cell>
          <cell r="AZ1117">
            <v>30</v>
          </cell>
          <cell r="BA1117">
            <v>78</v>
          </cell>
        </row>
        <row r="1118">
          <cell r="AS1118" t="str">
            <v>17031824127</v>
          </cell>
          <cell r="AT1118">
            <v>3940</v>
          </cell>
          <cell r="AU1118">
            <v>1844</v>
          </cell>
          <cell r="AV1118">
            <v>1566</v>
          </cell>
          <cell r="AW1118">
            <v>116</v>
          </cell>
          <cell r="AX1118">
            <v>0</v>
          </cell>
          <cell r="AY1118">
            <v>22</v>
          </cell>
          <cell r="AZ1118">
            <v>0</v>
          </cell>
          <cell r="BA1118">
            <v>140</v>
          </cell>
        </row>
        <row r="1119">
          <cell r="AS1119" t="str">
            <v>17031824128</v>
          </cell>
          <cell r="AT1119">
            <v>4576</v>
          </cell>
          <cell r="AU1119">
            <v>2066</v>
          </cell>
          <cell r="AV1119">
            <v>1879</v>
          </cell>
          <cell r="AW1119">
            <v>81</v>
          </cell>
          <cell r="AX1119">
            <v>0</v>
          </cell>
          <cell r="AY1119">
            <v>0</v>
          </cell>
          <cell r="AZ1119">
            <v>0</v>
          </cell>
          <cell r="BA1119">
            <v>106</v>
          </cell>
        </row>
        <row r="1120">
          <cell r="AS1120" t="str">
            <v>17031824129</v>
          </cell>
          <cell r="AT1120">
            <v>4305</v>
          </cell>
          <cell r="AU1120">
            <v>2025</v>
          </cell>
          <cell r="AV1120">
            <v>1798</v>
          </cell>
          <cell r="AW1120">
            <v>180</v>
          </cell>
          <cell r="AX1120">
            <v>0</v>
          </cell>
          <cell r="AY1120">
            <v>0</v>
          </cell>
          <cell r="AZ1120">
            <v>0</v>
          </cell>
          <cell r="BA1120">
            <v>47</v>
          </cell>
        </row>
        <row r="1121">
          <cell r="AS1121" t="str">
            <v>17031824300</v>
          </cell>
          <cell r="AT1121">
            <v>4977</v>
          </cell>
          <cell r="AU1121">
            <v>1483</v>
          </cell>
          <cell r="AV1121">
            <v>1024</v>
          </cell>
          <cell r="AW1121">
            <v>76</v>
          </cell>
          <cell r="AX1121">
            <v>0</v>
          </cell>
          <cell r="AY1121">
            <v>0</v>
          </cell>
          <cell r="AZ1121">
            <v>8</v>
          </cell>
          <cell r="BA1121">
            <v>375</v>
          </cell>
        </row>
        <row r="1122">
          <cell r="AS1122" t="str">
            <v>17031824400</v>
          </cell>
          <cell r="AT1122">
            <v>1986</v>
          </cell>
          <cell r="AU1122">
            <v>625</v>
          </cell>
          <cell r="AV1122">
            <v>537</v>
          </cell>
          <cell r="AW1122">
            <v>30</v>
          </cell>
          <cell r="AX1122">
            <v>0</v>
          </cell>
          <cell r="AY1122">
            <v>0</v>
          </cell>
          <cell r="AZ1122">
            <v>0</v>
          </cell>
          <cell r="BA1122">
            <v>58</v>
          </cell>
        </row>
        <row r="1123">
          <cell r="AS1123" t="str">
            <v>17031824503</v>
          </cell>
          <cell r="AT1123">
            <v>6314</v>
          </cell>
          <cell r="AU1123">
            <v>2978</v>
          </cell>
          <cell r="AV1123">
            <v>2520</v>
          </cell>
          <cell r="AW1123">
            <v>233</v>
          </cell>
          <cell r="AX1123">
            <v>0</v>
          </cell>
          <cell r="AY1123">
            <v>0</v>
          </cell>
          <cell r="AZ1123">
            <v>38</v>
          </cell>
          <cell r="BA1123">
            <v>187</v>
          </cell>
        </row>
        <row r="1124">
          <cell r="AS1124" t="str">
            <v>17031824505</v>
          </cell>
          <cell r="AT1124">
            <v>6145</v>
          </cell>
          <cell r="AU1124">
            <v>3297</v>
          </cell>
          <cell r="AV1124">
            <v>3033</v>
          </cell>
          <cell r="AW1124">
            <v>115</v>
          </cell>
          <cell r="AX1124">
            <v>0</v>
          </cell>
          <cell r="AY1124">
            <v>0</v>
          </cell>
          <cell r="AZ1124">
            <v>22</v>
          </cell>
          <cell r="BA1124">
            <v>127</v>
          </cell>
        </row>
        <row r="1125">
          <cell r="AS1125" t="str">
            <v>17031824507</v>
          </cell>
          <cell r="AT1125">
            <v>3992</v>
          </cell>
          <cell r="AU1125">
            <v>1772</v>
          </cell>
          <cell r="AV1125">
            <v>1580</v>
          </cell>
          <cell r="AW1125">
            <v>127</v>
          </cell>
          <cell r="AX1125">
            <v>0</v>
          </cell>
          <cell r="AY1125">
            <v>0</v>
          </cell>
          <cell r="AZ1125">
            <v>0</v>
          </cell>
          <cell r="BA1125">
            <v>65</v>
          </cell>
        </row>
        <row r="1126">
          <cell r="AS1126" t="str">
            <v>17031824508</v>
          </cell>
          <cell r="AT1126">
            <v>2980</v>
          </cell>
          <cell r="AU1126">
            <v>1479</v>
          </cell>
          <cell r="AV1126">
            <v>1304</v>
          </cell>
          <cell r="AW1126">
            <v>104</v>
          </cell>
          <cell r="AX1126">
            <v>0</v>
          </cell>
          <cell r="AY1126">
            <v>0</v>
          </cell>
          <cell r="AZ1126">
            <v>15</v>
          </cell>
          <cell r="BA1126">
            <v>56</v>
          </cell>
        </row>
        <row r="1127">
          <cell r="AS1127" t="str">
            <v>17031824509</v>
          </cell>
          <cell r="AT1127">
            <v>4723</v>
          </cell>
          <cell r="AU1127">
            <v>2236</v>
          </cell>
          <cell r="AV1127">
            <v>1760</v>
          </cell>
          <cell r="AW1127">
            <v>182</v>
          </cell>
          <cell r="AX1127">
            <v>0</v>
          </cell>
          <cell r="AY1127">
            <v>0</v>
          </cell>
          <cell r="AZ1127">
            <v>115</v>
          </cell>
          <cell r="BA1127">
            <v>179</v>
          </cell>
        </row>
        <row r="1128">
          <cell r="AS1128" t="str">
            <v>17031824601</v>
          </cell>
          <cell r="AT1128">
            <v>4368</v>
          </cell>
          <cell r="AU1128">
            <v>2443</v>
          </cell>
          <cell r="AV1128">
            <v>2256</v>
          </cell>
          <cell r="AW1128">
            <v>159</v>
          </cell>
          <cell r="AX1128">
            <v>0</v>
          </cell>
          <cell r="AY1128">
            <v>0</v>
          </cell>
          <cell r="AZ1128">
            <v>19</v>
          </cell>
          <cell r="BA1128">
            <v>9</v>
          </cell>
        </row>
        <row r="1129">
          <cell r="AS1129" t="str">
            <v>17031824602</v>
          </cell>
          <cell r="AT1129">
            <v>6751</v>
          </cell>
          <cell r="AU1129">
            <v>3205</v>
          </cell>
          <cell r="AV1129">
            <v>2504</v>
          </cell>
          <cell r="AW1129">
            <v>218</v>
          </cell>
          <cell r="AX1129">
            <v>0</v>
          </cell>
          <cell r="AY1129">
            <v>0</v>
          </cell>
          <cell r="AZ1129">
            <v>0</v>
          </cell>
          <cell r="BA1129">
            <v>483</v>
          </cell>
        </row>
        <row r="1130">
          <cell r="AS1130" t="str">
            <v>17031824701</v>
          </cell>
          <cell r="AT1130">
            <v>3890</v>
          </cell>
          <cell r="AU1130">
            <v>1727</v>
          </cell>
          <cell r="AV1130">
            <v>1532</v>
          </cell>
          <cell r="AW1130">
            <v>53</v>
          </cell>
          <cell r="AX1130">
            <v>0</v>
          </cell>
          <cell r="AY1130">
            <v>0</v>
          </cell>
          <cell r="AZ1130">
            <v>75</v>
          </cell>
          <cell r="BA1130">
            <v>67</v>
          </cell>
        </row>
        <row r="1131">
          <cell r="AS1131" t="str">
            <v>17031824702</v>
          </cell>
          <cell r="AT1131">
            <v>5653</v>
          </cell>
          <cell r="AU1131">
            <v>2813</v>
          </cell>
          <cell r="AV1131">
            <v>2598</v>
          </cell>
          <cell r="AW1131">
            <v>77</v>
          </cell>
          <cell r="AX1131">
            <v>0</v>
          </cell>
          <cell r="AY1131">
            <v>0</v>
          </cell>
          <cell r="AZ1131">
            <v>18</v>
          </cell>
          <cell r="BA1131">
            <v>120</v>
          </cell>
        </row>
        <row r="1132">
          <cell r="AS1132" t="str">
            <v>17031824800</v>
          </cell>
          <cell r="AT1132">
            <v>7837</v>
          </cell>
          <cell r="AU1132">
            <v>3200</v>
          </cell>
          <cell r="AV1132">
            <v>2920</v>
          </cell>
          <cell r="AW1132">
            <v>112</v>
          </cell>
          <cell r="AX1132">
            <v>0</v>
          </cell>
          <cell r="AY1132">
            <v>0</v>
          </cell>
          <cell r="AZ1132">
            <v>14</v>
          </cell>
          <cell r="BA1132">
            <v>154</v>
          </cell>
        </row>
        <row r="1133">
          <cell r="AS1133" t="str">
            <v>17031824900</v>
          </cell>
          <cell r="AT1133">
            <v>3353</v>
          </cell>
          <cell r="AU1133">
            <v>1196</v>
          </cell>
          <cell r="AV1133">
            <v>979</v>
          </cell>
          <cell r="AW1133">
            <v>27</v>
          </cell>
          <cell r="AX1133">
            <v>0</v>
          </cell>
          <cell r="AY1133">
            <v>0</v>
          </cell>
          <cell r="AZ1133">
            <v>0</v>
          </cell>
          <cell r="BA1133">
            <v>190</v>
          </cell>
        </row>
        <row r="1134">
          <cell r="AS1134" t="str">
            <v>17031825000</v>
          </cell>
          <cell r="AT1134">
            <v>4376</v>
          </cell>
          <cell r="AU1134">
            <v>2451</v>
          </cell>
          <cell r="AV1134">
            <v>2072</v>
          </cell>
          <cell r="AW1134">
            <v>278</v>
          </cell>
          <cell r="AX1134">
            <v>0</v>
          </cell>
          <cell r="AY1134">
            <v>0</v>
          </cell>
          <cell r="AZ1134">
            <v>16</v>
          </cell>
          <cell r="BA1134">
            <v>85</v>
          </cell>
        </row>
        <row r="1135">
          <cell r="AS1135" t="str">
            <v>17031825200</v>
          </cell>
          <cell r="AT1135">
            <v>2018</v>
          </cell>
          <cell r="AU1135">
            <v>1077</v>
          </cell>
          <cell r="AV1135">
            <v>858</v>
          </cell>
          <cell r="AW1135">
            <v>93</v>
          </cell>
          <cell r="AX1135">
            <v>0</v>
          </cell>
          <cell r="AY1135">
            <v>0</v>
          </cell>
          <cell r="AZ1135">
            <v>0</v>
          </cell>
          <cell r="BA1135">
            <v>126</v>
          </cell>
        </row>
        <row r="1136">
          <cell r="AS1136" t="str">
            <v>17031825302</v>
          </cell>
          <cell r="AT1136">
            <v>6016</v>
          </cell>
          <cell r="AU1136">
            <v>3177</v>
          </cell>
          <cell r="AV1136">
            <v>2745</v>
          </cell>
          <cell r="AW1136">
            <v>214</v>
          </cell>
          <cell r="AX1136">
            <v>0</v>
          </cell>
          <cell r="AY1136">
            <v>0</v>
          </cell>
          <cell r="AZ1136">
            <v>55</v>
          </cell>
          <cell r="BA1136">
            <v>163</v>
          </cell>
        </row>
        <row r="1137">
          <cell r="AS1137" t="str">
            <v>17031825303</v>
          </cell>
          <cell r="AT1137">
            <v>4057</v>
          </cell>
          <cell r="AU1137">
            <v>2143</v>
          </cell>
          <cell r="AV1137">
            <v>1935</v>
          </cell>
          <cell r="AW1137">
            <v>111</v>
          </cell>
          <cell r="AX1137">
            <v>0</v>
          </cell>
          <cell r="AY1137">
            <v>24</v>
          </cell>
          <cell r="AZ1137">
            <v>0</v>
          </cell>
          <cell r="BA1137">
            <v>73</v>
          </cell>
        </row>
        <row r="1138">
          <cell r="AS1138" t="str">
            <v>17031825304</v>
          </cell>
          <cell r="AT1138">
            <v>4201</v>
          </cell>
          <cell r="AU1138">
            <v>2378</v>
          </cell>
          <cell r="AV1138">
            <v>1968</v>
          </cell>
          <cell r="AW1138">
            <v>132</v>
          </cell>
          <cell r="AX1138">
            <v>0</v>
          </cell>
          <cell r="AY1138">
            <v>51</v>
          </cell>
          <cell r="AZ1138">
            <v>0</v>
          </cell>
          <cell r="BA1138">
            <v>227</v>
          </cell>
        </row>
        <row r="1139">
          <cell r="AS1139" t="str">
            <v>17031825400</v>
          </cell>
          <cell r="AT1139">
            <v>5459</v>
          </cell>
          <cell r="AU1139">
            <v>2825</v>
          </cell>
          <cell r="AV1139">
            <v>2269</v>
          </cell>
          <cell r="AW1139">
            <v>395</v>
          </cell>
          <cell r="AX1139">
            <v>0</v>
          </cell>
          <cell r="AY1139">
            <v>37</v>
          </cell>
          <cell r="AZ1139">
            <v>19</v>
          </cell>
          <cell r="BA1139">
            <v>105</v>
          </cell>
        </row>
        <row r="1140">
          <cell r="AS1140" t="str">
            <v>17031825501</v>
          </cell>
          <cell r="AT1140">
            <v>5460</v>
          </cell>
          <cell r="AU1140">
            <v>2493</v>
          </cell>
          <cell r="AV1140">
            <v>2013</v>
          </cell>
          <cell r="AW1140">
            <v>215</v>
          </cell>
          <cell r="AX1140">
            <v>9</v>
          </cell>
          <cell r="AY1140">
            <v>0</v>
          </cell>
          <cell r="AZ1140">
            <v>52</v>
          </cell>
          <cell r="BA1140">
            <v>204</v>
          </cell>
        </row>
        <row r="1141">
          <cell r="AS1141" t="str">
            <v>17031825503</v>
          </cell>
          <cell r="AT1141">
            <v>6411</v>
          </cell>
          <cell r="AU1141">
            <v>2481</v>
          </cell>
          <cell r="AV1141">
            <v>1922</v>
          </cell>
          <cell r="AW1141">
            <v>359</v>
          </cell>
          <cell r="AX1141">
            <v>17</v>
          </cell>
          <cell r="AY1141">
            <v>0</v>
          </cell>
          <cell r="AZ1141">
            <v>0</v>
          </cell>
          <cell r="BA1141">
            <v>183</v>
          </cell>
        </row>
        <row r="1142">
          <cell r="AS1142" t="str">
            <v>17031825504</v>
          </cell>
          <cell r="AT1142">
            <v>3404</v>
          </cell>
          <cell r="AU1142">
            <v>1770</v>
          </cell>
          <cell r="AV1142">
            <v>1373</v>
          </cell>
          <cell r="AW1142">
            <v>47</v>
          </cell>
          <cell r="AX1142">
            <v>14</v>
          </cell>
          <cell r="AY1142">
            <v>0</v>
          </cell>
          <cell r="AZ1142">
            <v>0</v>
          </cell>
          <cell r="BA1142">
            <v>336</v>
          </cell>
        </row>
        <row r="1143">
          <cell r="AS1143" t="str">
            <v>17031825505</v>
          </cell>
          <cell r="AT1143">
            <v>6023</v>
          </cell>
          <cell r="AU1143">
            <v>2140</v>
          </cell>
          <cell r="AV1143">
            <v>1797</v>
          </cell>
          <cell r="AW1143">
            <v>143</v>
          </cell>
          <cell r="AX1143">
            <v>0</v>
          </cell>
          <cell r="AY1143">
            <v>0</v>
          </cell>
          <cell r="AZ1143">
            <v>55</v>
          </cell>
          <cell r="BA1143">
            <v>145</v>
          </cell>
        </row>
        <row r="1144">
          <cell r="AS1144" t="str">
            <v>17031825600</v>
          </cell>
          <cell r="AT1144">
            <v>5221</v>
          </cell>
          <cell r="AU1144">
            <v>1979</v>
          </cell>
          <cell r="AV1144">
            <v>1516</v>
          </cell>
          <cell r="AW1144">
            <v>199</v>
          </cell>
          <cell r="AX1144">
            <v>0</v>
          </cell>
          <cell r="AY1144">
            <v>24</v>
          </cell>
          <cell r="AZ1144">
            <v>0</v>
          </cell>
          <cell r="BA1144">
            <v>240</v>
          </cell>
        </row>
        <row r="1145">
          <cell r="AS1145" t="str">
            <v>17031825700</v>
          </cell>
          <cell r="AT1145">
            <v>4121</v>
          </cell>
          <cell r="AU1145">
            <v>1891</v>
          </cell>
          <cell r="AV1145">
            <v>1505</v>
          </cell>
          <cell r="AW1145">
            <v>246</v>
          </cell>
          <cell r="AX1145">
            <v>29</v>
          </cell>
          <cell r="AY1145">
            <v>0</v>
          </cell>
          <cell r="AZ1145">
            <v>11</v>
          </cell>
          <cell r="BA1145">
            <v>100</v>
          </cell>
        </row>
        <row r="1146">
          <cell r="AS1146" t="str">
            <v>17031825801</v>
          </cell>
          <cell r="AT1146">
            <v>3865</v>
          </cell>
          <cell r="AU1146">
            <v>1524</v>
          </cell>
          <cell r="AV1146">
            <v>1178</v>
          </cell>
          <cell r="AW1146">
            <v>178</v>
          </cell>
          <cell r="AX1146">
            <v>0</v>
          </cell>
          <cell r="AY1146">
            <v>14</v>
          </cell>
          <cell r="AZ1146">
            <v>15</v>
          </cell>
          <cell r="BA1146">
            <v>139</v>
          </cell>
        </row>
        <row r="1147">
          <cell r="AS1147" t="str">
            <v>17031825802</v>
          </cell>
          <cell r="AT1147">
            <v>6740</v>
          </cell>
          <cell r="AU1147">
            <v>3085</v>
          </cell>
          <cell r="AV1147">
            <v>2543</v>
          </cell>
          <cell r="AW1147">
            <v>177</v>
          </cell>
          <cell r="AX1147">
            <v>0</v>
          </cell>
          <cell r="AY1147">
            <v>0</v>
          </cell>
          <cell r="AZ1147">
            <v>2</v>
          </cell>
          <cell r="BA1147">
            <v>363</v>
          </cell>
        </row>
        <row r="1148">
          <cell r="AS1148" t="str">
            <v>17031825803</v>
          </cell>
          <cell r="AT1148">
            <v>5540</v>
          </cell>
          <cell r="AU1148">
            <v>2664</v>
          </cell>
          <cell r="AV1148">
            <v>2089</v>
          </cell>
          <cell r="AW1148">
            <v>364</v>
          </cell>
          <cell r="AX1148">
            <v>0</v>
          </cell>
          <cell r="AY1148">
            <v>0</v>
          </cell>
          <cell r="AZ1148">
            <v>124</v>
          </cell>
          <cell r="BA1148">
            <v>87</v>
          </cell>
        </row>
        <row r="1149">
          <cell r="AS1149" t="str">
            <v>17031825900</v>
          </cell>
          <cell r="AT1149">
            <v>3529</v>
          </cell>
          <cell r="AU1149">
            <v>1572</v>
          </cell>
          <cell r="AV1149">
            <v>1131</v>
          </cell>
          <cell r="AW1149">
            <v>134</v>
          </cell>
          <cell r="AX1149">
            <v>0</v>
          </cell>
          <cell r="AY1149">
            <v>0</v>
          </cell>
          <cell r="AZ1149">
            <v>51</v>
          </cell>
          <cell r="BA1149">
            <v>256</v>
          </cell>
        </row>
        <row r="1150">
          <cell r="AS1150" t="str">
            <v>17031826000</v>
          </cell>
          <cell r="AT1150">
            <v>2888</v>
          </cell>
          <cell r="AU1150">
            <v>965</v>
          </cell>
          <cell r="AV1150">
            <v>850</v>
          </cell>
          <cell r="AW1150">
            <v>57</v>
          </cell>
          <cell r="AX1150">
            <v>0</v>
          </cell>
          <cell r="AY1150">
            <v>0</v>
          </cell>
          <cell r="AZ1150">
            <v>8</v>
          </cell>
          <cell r="BA1150">
            <v>50</v>
          </cell>
        </row>
        <row r="1151">
          <cell r="AS1151" t="str">
            <v>17031826100</v>
          </cell>
          <cell r="AT1151">
            <v>5307</v>
          </cell>
          <cell r="AU1151">
            <v>2393</v>
          </cell>
          <cell r="AV1151">
            <v>1821</v>
          </cell>
          <cell r="AW1151">
            <v>381</v>
          </cell>
          <cell r="AX1151">
            <v>25</v>
          </cell>
          <cell r="AY1151">
            <v>0</v>
          </cell>
          <cell r="AZ1151">
            <v>0</v>
          </cell>
          <cell r="BA1151">
            <v>166</v>
          </cell>
        </row>
        <row r="1152">
          <cell r="AS1152" t="str">
            <v>17031826201</v>
          </cell>
          <cell r="AT1152">
            <v>3638</v>
          </cell>
          <cell r="AU1152">
            <v>1459</v>
          </cell>
          <cell r="AV1152">
            <v>1187</v>
          </cell>
          <cell r="AW1152">
            <v>80</v>
          </cell>
          <cell r="AX1152">
            <v>0</v>
          </cell>
          <cell r="AY1152">
            <v>9</v>
          </cell>
          <cell r="AZ1152">
            <v>22</v>
          </cell>
          <cell r="BA1152">
            <v>161</v>
          </cell>
        </row>
        <row r="1153">
          <cell r="AS1153" t="str">
            <v>17031826202</v>
          </cell>
          <cell r="AT1153">
            <v>5703</v>
          </cell>
          <cell r="AU1153">
            <v>2393</v>
          </cell>
          <cell r="AV1153">
            <v>1854</v>
          </cell>
          <cell r="AW1153">
            <v>341</v>
          </cell>
          <cell r="AX1153">
            <v>29</v>
          </cell>
          <cell r="AY1153">
            <v>0</v>
          </cell>
          <cell r="AZ1153">
            <v>28</v>
          </cell>
          <cell r="BA1153">
            <v>141</v>
          </cell>
        </row>
        <row r="1154">
          <cell r="AS1154" t="str">
            <v>17031826301</v>
          </cell>
          <cell r="AT1154">
            <v>4299</v>
          </cell>
          <cell r="AU1154">
            <v>2229</v>
          </cell>
          <cell r="AV1154">
            <v>1488</v>
          </cell>
          <cell r="AW1154">
            <v>356</v>
          </cell>
          <cell r="AX1154">
            <v>15</v>
          </cell>
          <cell r="AY1154">
            <v>0</v>
          </cell>
          <cell r="AZ1154">
            <v>183</v>
          </cell>
          <cell r="BA1154">
            <v>187</v>
          </cell>
        </row>
        <row r="1155">
          <cell r="AS1155" t="str">
            <v>17031826303</v>
          </cell>
          <cell r="AT1155">
            <v>3759</v>
          </cell>
          <cell r="AU1155">
            <v>1510</v>
          </cell>
          <cell r="AV1155">
            <v>1116</v>
          </cell>
          <cell r="AW1155">
            <v>176</v>
          </cell>
          <cell r="AX1155">
            <v>0</v>
          </cell>
          <cell r="AY1155">
            <v>0</v>
          </cell>
          <cell r="AZ1155">
            <v>0</v>
          </cell>
          <cell r="BA1155">
            <v>218</v>
          </cell>
        </row>
        <row r="1156">
          <cell r="AS1156" t="str">
            <v>17031826304</v>
          </cell>
          <cell r="AT1156">
            <v>2860</v>
          </cell>
          <cell r="AU1156">
            <v>1093</v>
          </cell>
          <cell r="AV1156">
            <v>887</v>
          </cell>
          <cell r="AW1156">
            <v>140</v>
          </cell>
          <cell r="AX1156">
            <v>0</v>
          </cell>
          <cell r="AY1156">
            <v>0</v>
          </cell>
          <cell r="AZ1156">
            <v>33</v>
          </cell>
          <cell r="BA1156">
            <v>33</v>
          </cell>
        </row>
        <row r="1157">
          <cell r="AS1157" t="str">
            <v>17031826401</v>
          </cell>
          <cell r="AT1157">
            <v>3886</v>
          </cell>
          <cell r="AU1157">
            <v>1679</v>
          </cell>
          <cell r="AV1157">
            <v>1565</v>
          </cell>
          <cell r="AW1157">
            <v>76</v>
          </cell>
          <cell r="AX1157">
            <v>0</v>
          </cell>
          <cell r="AY1157">
            <v>0</v>
          </cell>
          <cell r="AZ1157">
            <v>2</v>
          </cell>
          <cell r="BA1157">
            <v>36</v>
          </cell>
        </row>
        <row r="1158">
          <cell r="AS1158" t="str">
            <v>17031826402</v>
          </cell>
          <cell r="AT1158">
            <v>5080</v>
          </cell>
          <cell r="AU1158">
            <v>1816</v>
          </cell>
          <cell r="AV1158">
            <v>1455</v>
          </cell>
          <cell r="AW1158">
            <v>233</v>
          </cell>
          <cell r="AX1158">
            <v>0</v>
          </cell>
          <cell r="AY1158">
            <v>0</v>
          </cell>
          <cell r="AZ1158">
            <v>0</v>
          </cell>
          <cell r="BA1158">
            <v>128</v>
          </cell>
        </row>
        <row r="1159">
          <cell r="AS1159" t="str">
            <v>17031826500</v>
          </cell>
          <cell r="AT1159">
            <v>5909</v>
          </cell>
          <cell r="AU1159">
            <v>2011</v>
          </cell>
          <cell r="AV1159">
            <v>1551</v>
          </cell>
          <cell r="AW1159">
            <v>250</v>
          </cell>
          <cell r="AX1159">
            <v>9</v>
          </cell>
          <cell r="AY1159">
            <v>0</v>
          </cell>
          <cell r="AZ1159">
            <v>39</v>
          </cell>
          <cell r="BA1159">
            <v>162</v>
          </cell>
        </row>
        <row r="1160">
          <cell r="AS1160" t="str">
            <v>17031826600</v>
          </cell>
          <cell r="AT1160">
            <v>5931</v>
          </cell>
          <cell r="AU1160">
            <v>2062</v>
          </cell>
          <cell r="AV1160">
            <v>1825</v>
          </cell>
          <cell r="AW1160">
            <v>178</v>
          </cell>
          <cell r="AX1160">
            <v>16</v>
          </cell>
          <cell r="AY1160">
            <v>0</v>
          </cell>
          <cell r="AZ1160">
            <v>1</v>
          </cell>
          <cell r="BA1160">
            <v>42</v>
          </cell>
        </row>
        <row r="1161">
          <cell r="AS1161" t="str">
            <v>17031826700</v>
          </cell>
          <cell r="AT1161">
            <v>4957</v>
          </cell>
          <cell r="AU1161">
            <v>1962</v>
          </cell>
          <cell r="AV1161">
            <v>1328</v>
          </cell>
          <cell r="AW1161">
            <v>466</v>
          </cell>
          <cell r="AX1161">
            <v>18</v>
          </cell>
          <cell r="AY1161">
            <v>0</v>
          </cell>
          <cell r="AZ1161">
            <v>120</v>
          </cell>
          <cell r="BA1161">
            <v>30</v>
          </cell>
        </row>
        <row r="1162">
          <cell r="AS1162" t="str">
            <v>17031826800</v>
          </cell>
          <cell r="AT1162">
            <v>5436</v>
          </cell>
          <cell r="AU1162">
            <v>2288</v>
          </cell>
          <cell r="AV1162">
            <v>1987</v>
          </cell>
          <cell r="AW1162">
            <v>121</v>
          </cell>
          <cell r="AX1162">
            <v>0</v>
          </cell>
          <cell r="AY1162">
            <v>0</v>
          </cell>
          <cell r="AZ1162">
            <v>6</v>
          </cell>
          <cell r="BA1162">
            <v>174</v>
          </cell>
        </row>
        <row r="1163">
          <cell r="AS1163" t="str">
            <v>17031826901</v>
          </cell>
          <cell r="AT1163">
            <v>2081</v>
          </cell>
          <cell r="AU1163">
            <v>858</v>
          </cell>
          <cell r="AV1163">
            <v>609</v>
          </cell>
          <cell r="AW1163">
            <v>187</v>
          </cell>
          <cell r="AX1163">
            <v>0</v>
          </cell>
          <cell r="AY1163">
            <v>0</v>
          </cell>
          <cell r="AZ1163">
            <v>11</v>
          </cell>
          <cell r="BA1163">
            <v>51</v>
          </cell>
        </row>
        <row r="1164">
          <cell r="AS1164" t="str">
            <v>17031826902</v>
          </cell>
          <cell r="AT1164">
            <v>1575</v>
          </cell>
          <cell r="AU1164">
            <v>495</v>
          </cell>
          <cell r="AV1164">
            <v>385</v>
          </cell>
          <cell r="AW1164">
            <v>66</v>
          </cell>
          <cell r="AX1164">
            <v>23</v>
          </cell>
          <cell r="AY1164">
            <v>0</v>
          </cell>
          <cell r="AZ1164">
            <v>1</v>
          </cell>
          <cell r="BA1164">
            <v>20</v>
          </cell>
        </row>
        <row r="1165">
          <cell r="AS1165" t="str">
            <v>17031827000</v>
          </cell>
          <cell r="AT1165">
            <v>4096</v>
          </cell>
          <cell r="AU1165">
            <v>1400</v>
          </cell>
          <cell r="AV1165">
            <v>1153</v>
          </cell>
          <cell r="AW1165">
            <v>171</v>
          </cell>
          <cell r="AX1165">
            <v>0</v>
          </cell>
          <cell r="AY1165">
            <v>0</v>
          </cell>
          <cell r="AZ1165">
            <v>39</v>
          </cell>
          <cell r="BA1165">
            <v>37</v>
          </cell>
        </row>
        <row r="1166">
          <cell r="AS1166" t="str">
            <v>17031827100</v>
          </cell>
          <cell r="AT1166">
            <v>2514</v>
          </cell>
          <cell r="AU1166">
            <v>999</v>
          </cell>
          <cell r="AV1166">
            <v>771</v>
          </cell>
          <cell r="AW1166">
            <v>122</v>
          </cell>
          <cell r="AX1166">
            <v>0</v>
          </cell>
          <cell r="AY1166">
            <v>10</v>
          </cell>
          <cell r="AZ1166">
            <v>14</v>
          </cell>
          <cell r="BA1166">
            <v>82</v>
          </cell>
        </row>
        <row r="1167">
          <cell r="AS1167" t="str">
            <v>17031827200</v>
          </cell>
          <cell r="AT1167">
            <v>3838</v>
          </cell>
          <cell r="AU1167">
            <v>1726</v>
          </cell>
          <cell r="AV1167">
            <v>1263</v>
          </cell>
          <cell r="AW1167">
            <v>281</v>
          </cell>
          <cell r="AX1167">
            <v>9</v>
          </cell>
          <cell r="AY1167">
            <v>0</v>
          </cell>
          <cell r="AZ1167">
            <v>4</v>
          </cell>
          <cell r="BA1167">
            <v>169</v>
          </cell>
        </row>
        <row r="1168">
          <cell r="AS1168" t="str">
            <v>17031827300</v>
          </cell>
          <cell r="AT1168">
            <v>2794</v>
          </cell>
          <cell r="AU1168">
            <v>908</v>
          </cell>
          <cell r="AV1168">
            <v>730</v>
          </cell>
          <cell r="AW1168">
            <v>108</v>
          </cell>
          <cell r="AX1168">
            <v>31</v>
          </cell>
          <cell r="AY1168">
            <v>0</v>
          </cell>
          <cell r="AZ1168">
            <v>28</v>
          </cell>
          <cell r="BA1168">
            <v>11</v>
          </cell>
        </row>
        <row r="1169">
          <cell r="AS1169" t="str">
            <v>17031827400</v>
          </cell>
          <cell r="AT1169">
            <v>3817</v>
          </cell>
          <cell r="AU1169">
            <v>1542</v>
          </cell>
          <cell r="AV1169">
            <v>1227</v>
          </cell>
          <cell r="AW1169">
            <v>181</v>
          </cell>
          <cell r="AX1169">
            <v>0</v>
          </cell>
          <cell r="AY1169">
            <v>0</v>
          </cell>
          <cell r="AZ1169">
            <v>0</v>
          </cell>
          <cell r="BA1169">
            <v>134</v>
          </cell>
        </row>
        <row r="1170">
          <cell r="AS1170" t="str">
            <v>17031827500</v>
          </cell>
          <cell r="AT1170">
            <v>5163</v>
          </cell>
          <cell r="AU1170">
            <v>2035</v>
          </cell>
          <cell r="AV1170">
            <v>1678</v>
          </cell>
          <cell r="AW1170">
            <v>168</v>
          </cell>
          <cell r="AX1170">
            <v>141</v>
          </cell>
          <cell r="AY1170">
            <v>0</v>
          </cell>
          <cell r="AZ1170">
            <v>13</v>
          </cell>
          <cell r="BA1170">
            <v>35</v>
          </cell>
        </row>
        <row r="1171">
          <cell r="AS1171" t="str">
            <v>17031827600</v>
          </cell>
          <cell r="AT1171">
            <v>3136</v>
          </cell>
          <cell r="AU1171">
            <v>938</v>
          </cell>
          <cell r="AV1171">
            <v>745</v>
          </cell>
          <cell r="AW1171">
            <v>146</v>
          </cell>
          <cell r="AX1171">
            <v>0</v>
          </cell>
          <cell r="AY1171">
            <v>0</v>
          </cell>
          <cell r="AZ1171">
            <v>0</v>
          </cell>
          <cell r="BA1171">
            <v>47</v>
          </cell>
        </row>
        <row r="1172">
          <cell r="AS1172" t="str">
            <v>17031827700</v>
          </cell>
          <cell r="AT1172">
            <v>2826</v>
          </cell>
          <cell r="AU1172">
            <v>1264</v>
          </cell>
          <cell r="AV1172">
            <v>1028</v>
          </cell>
          <cell r="AW1172">
            <v>200</v>
          </cell>
          <cell r="AX1172">
            <v>5</v>
          </cell>
          <cell r="AY1172">
            <v>0</v>
          </cell>
          <cell r="AZ1172">
            <v>27</v>
          </cell>
          <cell r="BA1172">
            <v>4</v>
          </cell>
        </row>
        <row r="1173">
          <cell r="AS1173" t="str">
            <v>17031827801</v>
          </cell>
          <cell r="AT1173">
            <v>5263</v>
          </cell>
          <cell r="AU1173">
            <v>2203</v>
          </cell>
          <cell r="AV1173">
            <v>1631</v>
          </cell>
          <cell r="AW1173">
            <v>316</v>
          </cell>
          <cell r="AX1173">
            <v>36</v>
          </cell>
          <cell r="AY1173">
            <v>0</v>
          </cell>
          <cell r="AZ1173">
            <v>23</v>
          </cell>
          <cell r="BA1173">
            <v>197</v>
          </cell>
        </row>
        <row r="1174">
          <cell r="AS1174" t="str">
            <v>17031827802</v>
          </cell>
          <cell r="AT1174">
            <v>3237</v>
          </cell>
          <cell r="AU1174">
            <v>1506</v>
          </cell>
          <cell r="AV1174">
            <v>1309</v>
          </cell>
          <cell r="AW1174">
            <v>126</v>
          </cell>
          <cell r="AX1174">
            <v>0</v>
          </cell>
          <cell r="AY1174">
            <v>0</v>
          </cell>
          <cell r="AZ1174">
            <v>7</v>
          </cell>
          <cell r="BA1174">
            <v>64</v>
          </cell>
        </row>
        <row r="1175">
          <cell r="AS1175" t="str">
            <v>17031827804</v>
          </cell>
          <cell r="AT1175">
            <v>3194</v>
          </cell>
          <cell r="AU1175">
            <v>1219</v>
          </cell>
          <cell r="AV1175">
            <v>938</v>
          </cell>
          <cell r="AW1175">
            <v>109</v>
          </cell>
          <cell r="AX1175">
            <v>3</v>
          </cell>
          <cell r="AY1175">
            <v>0</v>
          </cell>
          <cell r="AZ1175">
            <v>21</v>
          </cell>
          <cell r="BA1175">
            <v>148</v>
          </cell>
        </row>
        <row r="1176">
          <cell r="AS1176" t="str">
            <v>17031827805</v>
          </cell>
          <cell r="AT1176">
            <v>2755</v>
          </cell>
          <cell r="AU1176">
            <v>1045</v>
          </cell>
          <cell r="AV1176">
            <v>848</v>
          </cell>
          <cell r="AW1176">
            <v>88</v>
          </cell>
          <cell r="AX1176">
            <v>0</v>
          </cell>
          <cell r="AY1176">
            <v>30</v>
          </cell>
          <cell r="AZ1176">
            <v>0</v>
          </cell>
          <cell r="BA1176">
            <v>79</v>
          </cell>
        </row>
        <row r="1177">
          <cell r="AS1177" t="str">
            <v>17031827901</v>
          </cell>
          <cell r="AT1177">
            <v>2006</v>
          </cell>
          <cell r="AU1177">
            <v>742</v>
          </cell>
          <cell r="AV1177">
            <v>567</v>
          </cell>
          <cell r="AW1177">
            <v>109</v>
          </cell>
          <cell r="AX1177">
            <v>0</v>
          </cell>
          <cell r="AY1177">
            <v>0</v>
          </cell>
          <cell r="AZ1177">
            <v>8</v>
          </cell>
          <cell r="BA1177">
            <v>58</v>
          </cell>
        </row>
        <row r="1178">
          <cell r="AS1178" t="str">
            <v>17031827902</v>
          </cell>
          <cell r="AT1178">
            <v>4186</v>
          </cell>
          <cell r="AU1178">
            <v>1653</v>
          </cell>
          <cell r="AV1178">
            <v>1538</v>
          </cell>
          <cell r="AW1178">
            <v>51</v>
          </cell>
          <cell r="AX1178">
            <v>19</v>
          </cell>
          <cell r="AY1178">
            <v>0</v>
          </cell>
          <cell r="AZ1178">
            <v>18</v>
          </cell>
          <cell r="BA1178">
            <v>27</v>
          </cell>
        </row>
        <row r="1179">
          <cell r="AS1179" t="str">
            <v>17031828000</v>
          </cell>
          <cell r="AT1179">
            <v>4847</v>
          </cell>
          <cell r="AU1179">
            <v>2198</v>
          </cell>
          <cell r="AV1179">
            <v>1891</v>
          </cell>
          <cell r="AW1179">
            <v>118</v>
          </cell>
          <cell r="AX1179">
            <v>22</v>
          </cell>
          <cell r="AY1179">
            <v>0</v>
          </cell>
          <cell r="AZ1179">
            <v>34</v>
          </cell>
          <cell r="BA1179">
            <v>133</v>
          </cell>
        </row>
        <row r="1180">
          <cell r="AS1180" t="str">
            <v>17031828100</v>
          </cell>
          <cell r="AT1180">
            <v>5410</v>
          </cell>
          <cell r="AU1180">
            <v>2113</v>
          </cell>
          <cell r="AV1180">
            <v>1870</v>
          </cell>
          <cell r="AW1180">
            <v>82</v>
          </cell>
          <cell r="AX1180">
            <v>0</v>
          </cell>
          <cell r="AY1180">
            <v>0</v>
          </cell>
          <cell r="AZ1180">
            <v>48</v>
          </cell>
          <cell r="BA1180">
            <v>113</v>
          </cell>
        </row>
        <row r="1181">
          <cell r="AS1181" t="str">
            <v>17031828201</v>
          </cell>
          <cell r="AT1181">
            <v>3598</v>
          </cell>
          <cell r="AU1181">
            <v>1956</v>
          </cell>
          <cell r="AV1181">
            <v>1635</v>
          </cell>
          <cell r="AW1181">
            <v>170</v>
          </cell>
          <cell r="AX1181">
            <v>0</v>
          </cell>
          <cell r="AY1181">
            <v>0</v>
          </cell>
          <cell r="AZ1181">
            <v>63</v>
          </cell>
          <cell r="BA1181">
            <v>88</v>
          </cell>
        </row>
        <row r="1182">
          <cell r="AS1182" t="str">
            <v>17031828202</v>
          </cell>
          <cell r="AT1182">
            <v>4978</v>
          </cell>
          <cell r="AU1182">
            <v>2235</v>
          </cell>
          <cell r="AV1182">
            <v>1919</v>
          </cell>
          <cell r="AW1182">
            <v>124</v>
          </cell>
          <cell r="AX1182">
            <v>0</v>
          </cell>
          <cell r="AY1182">
            <v>0</v>
          </cell>
          <cell r="AZ1182">
            <v>0</v>
          </cell>
          <cell r="BA1182">
            <v>192</v>
          </cell>
        </row>
        <row r="1183">
          <cell r="AS1183" t="str">
            <v>17031828300</v>
          </cell>
          <cell r="AT1183">
            <v>3227</v>
          </cell>
          <cell r="AU1183">
            <v>1586</v>
          </cell>
          <cell r="AV1183">
            <v>1411</v>
          </cell>
          <cell r="AW1183">
            <v>99</v>
          </cell>
          <cell r="AX1183">
            <v>0</v>
          </cell>
          <cell r="AY1183">
            <v>0</v>
          </cell>
          <cell r="AZ1183">
            <v>43</v>
          </cell>
          <cell r="BA1183">
            <v>33</v>
          </cell>
        </row>
        <row r="1184">
          <cell r="AS1184" t="str">
            <v>17031828401</v>
          </cell>
          <cell r="AT1184">
            <v>3581</v>
          </cell>
          <cell r="AU1184">
            <v>1959</v>
          </cell>
          <cell r="AV1184">
            <v>1523</v>
          </cell>
          <cell r="AW1184">
            <v>188</v>
          </cell>
          <cell r="AX1184">
            <v>0</v>
          </cell>
          <cell r="AY1184">
            <v>36</v>
          </cell>
          <cell r="AZ1184">
            <v>48</v>
          </cell>
          <cell r="BA1184">
            <v>164</v>
          </cell>
        </row>
        <row r="1185">
          <cell r="AS1185" t="str">
            <v>17031828402</v>
          </cell>
          <cell r="AT1185">
            <v>3735</v>
          </cell>
          <cell r="AU1185">
            <v>1373</v>
          </cell>
          <cell r="AV1185">
            <v>986</v>
          </cell>
          <cell r="AW1185">
            <v>220</v>
          </cell>
          <cell r="AX1185">
            <v>0</v>
          </cell>
          <cell r="AY1185">
            <v>0</v>
          </cell>
          <cell r="AZ1185">
            <v>24</v>
          </cell>
          <cell r="BA1185">
            <v>143</v>
          </cell>
        </row>
        <row r="1186">
          <cell r="AS1186" t="str">
            <v>17031828503</v>
          </cell>
          <cell r="AT1186">
            <v>4634</v>
          </cell>
          <cell r="AU1186">
            <v>2095</v>
          </cell>
          <cell r="AV1186">
            <v>1830</v>
          </cell>
          <cell r="AW1186">
            <v>48</v>
          </cell>
          <cell r="AX1186">
            <v>0</v>
          </cell>
          <cell r="AY1186">
            <v>0</v>
          </cell>
          <cell r="AZ1186">
            <v>0</v>
          </cell>
          <cell r="BA1186">
            <v>217</v>
          </cell>
        </row>
        <row r="1187">
          <cell r="AS1187" t="str">
            <v>17031828504</v>
          </cell>
          <cell r="AT1187">
            <v>5761</v>
          </cell>
          <cell r="AU1187">
            <v>2370</v>
          </cell>
          <cell r="AV1187">
            <v>2135</v>
          </cell>
          <cell r="AW1187">
            <v>45</v>
          </cell>
          <cell r="AX1187">
            <v>0</v>
          </cell>
          <cell r="AY1187">
            <v>0</v>
          </cell>
          <cell r="AZ1187">
            <v>48</v>
          </cell>
          <cell r="BA1187">
            <v>142</v>
          </cell>
        </row>
        <row r="1188">
          <cell r="AS1188" t="str">
            <v>17031828505</v>
          </cell>
          <cell r="AT1188">
            <v>7194</v>
          </cell>
          <cell r="AU1188">
            <v>3318</v>
          </cell>
          <cell r="AV1188">
            <v>2530</v>
          </cell>
          <cell r="AW1188">
            <v>247</v>
          </cell>
          <cell r="AX1188">
            <v>0</v>
          </cell>
          <cell r="AY1188">
            <v>0</v>
          </cell>
          <cell r="AZ1188">
            <v>31</v>
          </cell>
          <cell r="BA1188">
            <v>510</v>
          </cell>
        </row>
        <row r="1189">
          <cell r="AS1189" t="str">
            <v>17031828507</v>
          </cell>
          <cell r="AT1189">
            <v>3856</v>
          </cell>
          <cell r="AU1189">
            <v>1788</v>
          </cell>
          <cell r="AV1189">
            <v>1633</v>
          </cell>
          <cell r="AW1189">
            <v>95</v>
          </cell>
          <cell r="AX1189">
            <v>0</v>
          </cell>
          <cell r="AY1189">
            <v>0</v>
          </cell>
          <cell r="AZ1189">
            <v>0</v>
          </cell>
          <cell r="BA1189">
            <v>60</v>
          </cell>
        </row>
        <row r="1190">
          <cell r="AS1190" t="str">
            <v>17031828508</v>
          </cell>
          <cell r="AT1190">
            <v>4065</v>
          </cell>
          <cell r="AU1190">
            <v>1846</v>
          </cell>
          <cell r="AV1190">
            <v>1555</v>
          </cell>
          <cell r="AW1190">
            <v>37</v>
          </cell>
          <cell r="AX1190">
            <v>0</v>
          </cell>
          <cell r="AY1190">
            <v>0</v>
          </cell>
          <cell r="AZ1190">
            <v>22</v>
          </cell>
          <cell r="BA1190">
            <v>232</v>
          </cell>
        </row>
        <row r="1191">
          <cell r="AS1191" t="str">
            <v>17031828601</v>
          </cell>
          <cell r="AT1191">
            <v>4140</v>
          </cell>
          <cell r="AU1191">
            <v>2068</v>
          </cell>
          <cell r="AV1191">
            <v>1657</v>
          </cell>
          <cell r="AW1191">
            <v>224</v>
          </cell>
          <cell r="AX1191">
            <v>0</v>
          </cell>
          <cell r="AY1191">
            <v>0</v>
          </cell>
          <cell r="AZ1191">
            <v>44</v>
          </cell>
          <cell r="BA1191">
            <v>143</v>
          </cell>
        </row>
        <row r="1192">
          <cell r="AS1192" t="str">
            <v>17031828602</v>
          </cell>
          <cell r="AT1192">
            <v>4356</v>
          </cell>
          <cell r="AU1192">
            <v>1791</v>
          </cell>
          <cell r="AV1192">
            <v>1576</v>
          </cell>
          <cell r="AW1192">
            <v>142</v>
          </cell>
          <cell r="AX1192">
            <v>0</v>
          </cell>
          <cell r="AY1192">
            <v>0</v>
          </cell>
          <cell r="AZ1192">
            <v>25</v>
          </cell>
          <cell r="BA1192">
            <v>48</v>
          </cell>
        </row>
        <row r="1193">
          <cell r="AS1193" t="str">
            <v>17031828701</v>
          </cell>
          <cell r="AT1193">
            <v>4571</v>
          </cell>
          <cell r="AU1193">
            <v>1764</v>
          </cell>
          <cell r="AV1193">
            <v>1215</v>
          </cell>
          <cell r="AW1193">
            <v>253</v>
          </cell>
          <cell r="AX1193">
            <v>0</v>
          </cell>
          <cell r="AY1193">
            <v>0</v>
          </cell>
          <cell r="AZ1193">
            <v>117</v>
          </cell>
          <cell r="BA1193">
            <v>179</v>
          </cell>
        </row>
        <row r="1194">
          <cell r="AS1194" t="str">
            <v>17031828702</v>
          </cell>
          <cell r="AT1194">
            <v>4207</v>
          </cell>
          <cell r="AU1194">
            <v>1787</v>
          </cell>
          <cell r="AV1194">
            <v>1553</v>
          </cell>
          <cell r="AW1194">
            <v>124</v>
          </cell>
          <cell r="AX1194">
            <v>11</v>
          </cell>
          <cell r="AY1194">
            <v>0</v>
          </cell>
          <cell r="AZ1194">
            <v>11</v>
          </cell>
          <cell r="BA1194">
            <v>88</v>
          </cell>
        </row>
        <row r="1195">
          <cell r="AS1195" t="str">
            <v>17031828801</v>
          </cell>
          <cell r="AT1195">
            <v>5405</v>
          </cell>
          <cell r="AU1195">
            <v>2531</v>
          </cell>
          <cell r="AV1195">
            <v>1869</v>
          </cell>
          <cell r="AW1195">
            <v>418</v>
          </cell>
          <cell r="AX1195">
            <v>0</v>
          </cell>
          <cell r="AY1195">
            <v>0</v>
          </cell>
          <cell r="AZ1195">
            <v>2</v>
          </cell>
          <cell r="BA1195">
            <v>242</v>
          </cell>
        </row>
        <row r="1196">
          <cell r="AS1196" t="str">
            <v>17031828802</v>
          </cell>
          <cell r="AT1196">
            <v>3221</v>
          </cell>
          <cell r="AU1196">
            <v>1639</v>
          </cell>
          <cell r="AV1196">
            <v>1576</v>
          </cell>
          <cell r="AW1196">
            <v>63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</row>
        <row r="1197">
          <cell r="AS1197" t="str">
            <v>17031828900</v>
          </cell>
          <cell r="AT1197">
            <v>3659</v>
          </cell>
          <cell r="AU1197">
            <v>1628</v>
          </cell>
          <cell r="AV1197">
            <v>1338</v>
          </cell>
          <cell r="AW1197">
            <v>76</v>
          </cell>
          <cell r="AX1197">
            <v>18</v>
          </cell>
          <cell r="AY1197">
            <v>0</v>
          </cell>
          <cell r="AZ1197">
            <v>0</v>
          </cell>
          <cell r="BA1197">
            <v>196</v>
          </cell>
        </row>
        <row r="1198">
          <cell r="AS1198" t="str">
            <v>17031829000</v>
          </cell>
          <cell r="AT1198">
            <v>1305</v>
          </cell>
          <cell r="AU1198">
            <v>321</v>
          </cell>
          <cell r="AV1198">
            <v>211</v>
          </cell>
          <cell r="AW1198">
            <v>55</v>
          </cell>
          <cell r="AX1198">
            <v>0</v>
          </cell>
          <cell r="AY1198">
            <v>0</v>
          </cell>
          <cell r="AZ1198">
            <v>0</v>
          </cell>
          <cell r="BA1198">
            <v>55</v>
          </cell>
        </row>
        <row r="1199">
          <cell r="AS1199" t="str">
            <v>17031829100</v>
          </cell>
          <cell r="AT1199">
            <v>3693</v>
          </cell>
          <cell r="AU1199">
            <v>1355</v>
          </cell>
          <cell r="AV1199">
            <v>1205</v>
          </cell>
          <cell r="AW1199">
            <v>0</v>
          </cell>
          <cell r="AX1199">
            <v>0</v>
          </cell>
          <cell r="AY1199">
            <v>0</v>
          </cell>
          <cell r="AZ1199">
            <v>1</v>
          </cell>
          <cell r="BA1199">
            <v>149</v>
          </cell>
        </row>
        <row r="1200">
          <cell r="AS1200" t="str">
            <v>17031829200</v>
          </cell>
          <cell r="AT1200">
            <v>5733</v>
          </cell>
          <cell r="AU1200">
            <v>2006</v>
          </cell>
          <cell r="AV1200">
            <v>1873</v>
          </cell>
          <cell r="AW1200">
            <v>61</v>
          </cell>
          <cell r="AX1200">
            <v>0</v>
          </cell>
          <cell r="AY1200">
            <v>0</v>
          </cell>
          <cell r="AZ1200">
            <v>5</v>
          </cell>
          <cell r="BA1200">
            <v>67</v>
          </cell>
        </row>
        <row r="1201">
          <cell r="AS1201" t="str">
            <v>17031829301</v>
          </cell>
          <cell r="AT1201">
            <v>4273</v>
          </cell>
          <cell r="AU1201">
            <v>1777</v>
          </cell>
          <cell r="AV1201">
            <v>1438</v>
          </cell>
          <cell r="AW1201">
            <v>198</v>
          </cell>
          <cell r="AX1201">
            <v>0</v>
          </cell>
          <cell r="AY1201">
            <v>0</v>
          </cell>
          <cell r="AZ1201">
            <v>0</v>
          </cell>
          <cell r="BA1201">
            <v>141</v>
          </cell>
        </row>
        <row r="1202">
          <cell r="AS1202" t="str">
            <v>17031829302</v>
          </cell>
          <cell r="AT1202">
            <v>3854</v>
          </cell>
          <cell r="AU1202">
            <v>1608</v>
          </cell>
          <cell r="AV1202">
            <v>1463</v>
          </cell>
          <cell r="AW1202">
            <v>59</v>
          </cell>
          <cell r="AX1202">
            <v>0</v>
          </cell>
          <cell r="AY1202">
            <v>0</v>
          </cell>
          <cell r="AZ1202">
            <v>13</v>
          </cell>
          <cell r="BA1202">
            <v>73</v>
          </cell>
        </row>
        <row r="1203">
          <cell r="AS1203" t="str">
            <v>17031829401</v>
          </cell>
          <cell r="AT1203">
            <v>965</v>
          </cell>
          <cell r="AU1203">
            <v>346</v>
          </cell>
          <cell r="AV1203">
            <v>344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2</v>
          </cell>
        </row>
        <row r="1204">
          <cell r="AS1204" t="str">
            <v>17031829402</v>
          </cell>
          <cell r="AT1204">
            <v>3231</v>
          </cell>
          <cell r="AU1204">
            <v>1498</v>
          </cell>
          <cell r="AV1204">
            <v>1239</v>
          </cell>
          <cell r="AW1204">
            <v>124</v>
          </cell>
          <cell r="AX1204">
            <v>0</v>
          </cell>
          <cell r="AY1204">
            <v>12</v>
          </cell>
          <cell r="AZ1204">
            <v>19</v>
          </cell>
          <cell r="BA1204">
            <v>104</v>
          </cell>
        </row>
        <row r="1205">
          <cell r="AS1205" t="str">
            <v>17031829500</v>
          </cell>
          <cell r="AT1205">
            <v>4042</v>
          </cell>
          <cell r="AU1205">
            <v>1507</v>
          </cell>
          <cell r="AV1205">
            <v>1305</v>
          </cell>
          <cell r="AW1205">
            <v>110</v>
          </cell>
          <cell r="AX1205">
            <v>0</v>
          </cell>
          <cell r="AY1205">
            <v>0</v>
          </cell>
          <cell r="AZ1205">
            <v>14</v>
          </cell>
          <cell r="BA1205">
            <v>78</v>
          </cell>
        </row>
        <row r="1206">
          <cell r="AS1206" t="str">
            <v>17031829600</v>
          </cell>
          <cell r="AT1206">
            <v>2856</v>
          </cell>
          <cell r="AU1206">
            <v>1218</v>
          </cell>
          <cell r="AV1206">
            <v>1135</v>
          </cell>
          <cell r="AW1206">
            <v>42</v>
          </cell>
          <cell r="AX1206">
            <v>0</v>
          </cell>
          <cell r="AY1206">
            <v>0</v>
          </cell>
          <cell r="AZ1206">
            <v>12</v>
          </cell>
          <cell r="BA1206">
            <v>29</v>
          </cell>
        </row>
        <row r="1207">
          <cell r="AS1207" t="str">
            <v>17031829700</v>
          </cell>
          <cell r="AT1207">
            <v>4131</v>
          </cell>
          <cell r="AU1207">
            <v>1502</v>
          </cell>
          <cell r="AV1207">
            <v>1243</v>
          </cell>
          <cell r="AW1207">
            <v>103</v>
          </cell>
          <cell r="AX1207">
            <v>6</v>
          </cell>
          <cell r="AY1207">
            <v>0</v>
          </cell>
          <cell r="AZ1207">
            <v>6</v>
          </cell>
          <cell r="BA1207">
            <v>144</v>
          </cell>
        </row>
        <row r="1208">
          <cell r="AS1208" t="str">
            <v>17031829800</v>
          </cell>
          <cell r="AT1208">
            <v>5399</v>
          </cell>
          <cell r="AU1208">
            <v>2545</v>
          </cell>
          <cell r="AV1208">
            <v>1631</v>
          </cell>
          <cell r="AW1208">
            <v>494</v>
          </cell>
          <cell r="AX1208">
            <v>14</v>
          </cell>
          <cell r="AY1208">
            <v>0</v>
          </cell>
          <cell r="AZ1208">
            <v>53</v>
          </cell>
          <cell r="BA1208">
            <v>353</v>
          </cell>
        </row>
        <row r="1209">
          <cell r="AS1209" t="str">
            <v>17031829902</v>
          </cell>
          <cell r="AT1209">
            <v>6890</v>
          </cell>
          <cell r="AU1209">
            <v>2727</v>
          </cell>
          <cell r="AV1209">
            <v>2124</v>
          </cell>
          <cell r="AW1209">
            <v>291</v>
          </cell>
          <cell r="AX1209">
            <v>0</v>
          </cell>
          <cell r="AY1209">
            <v>0</v>
          </cell>
          <cell r="AZ1209">
            <v>0</v>
          </cell>
          <cell r="BA1209">
            <v>312</v>
          </cell>
        </row>
        <row r="1210">
          <cell r="AS1210" t="str">
            <v>17031829903</v>
          </cell>
          <cell r="AT1210">
            <v>4336</v>
          </cell>
          <cell r="AU1210">
            <v>1766</v>
          </cell>
          <cell r="AV1210">
            <v>1626</v>
          </cell>
          <cell r="AW1210">
            <v>81</v>
          </cell>
          <cell r="AX1210">
            <v>0</v>
          </cell>
          <cell r="AY1210">
            <v>0</v>
          </cell>
          <cell r="AZ1210">
            <v>0</v>
          </cell>
          <cell r="BA1210">
            <v>59</v>
          </cell>
        </row>
        <row r="1211">
          <cell r="AS1211" t="str">
            <v>17031829904</v>
          </cell>
          <cell r="AT1211">
            <v>4786</v>
          </cell>
          <cell r="AU1211">
            <v>1880</v>
          </cell>
          <cell r="AV1211">
            <v>1611</v>
          </cell>
          <cell r="AW1211">
            <v>232</v>
          </cell>
          <cell r="AX1211">
            <v>18</v>
          </cell>
          <cell r="AY1211">
            <v>0</v>
          </cell>
          <cell r="AZ1211">
            <v>0</v>
          </cell>
          <cell r="BA1211">
            <v>19</v>
          </cell>
        </row>
        <row r="1212">
          <cell r="AS1212" t="str">
            <v>17031830001</v>
          </cell>
          <cell r="AT1212">
            <v>2366</v>
          </cell>
          <cell r="AU1212">
            <v>1110</v>
          </cell>
          <cell r="AV1212">
            <v>1026</v>
          </cell>
          <cell r="AW1212">
            <v>22</v>
          </cell>
          <cell r="AX1212">
            <v>0</v>
          </cell>
          <cell r="AY1212">
            <v>0</v>
          </cell>
          <cell r="AZ1212">
            <v>0</v>
          </cell>
          <cell r="BA1212">
            <v>62</v>
          </cell>
        </row>
        <row r="1213">
          <cell r="AS1213" t="str">
            <v>17031830003</v>
          </cell>
          <cell r="AT1213">
            <v>8436</v>
          </cell>
          <cell r="AU1213">
            <v>3932</v>
          </cell>
          <cell r="AV1213">
            <v>2793</v>
          </cell>
          <cell r="AW1213">
            <v>530</v>
          </cell>
          <cell r="AX1213">
            <v>0</v>
          </cell>
          <cell r="AY1213">
            <v>0</v>
          </cell>
          <cell r="AZ1213">
            <v>0</v>
          </cell>
          <cell r="BA1213">
            <v>609</v>
          </cell>
        </row>
        <row r="1214">
          <cell r="AS1214" t="str">
            <v>17031830004</v>
          </cell>
          <cell r="AT1214">
            <v>6613</v>
          </cell>
          <cell r="AU1214">
            <v>3259</v>
          </cell>
          <cell r="AV1214">
            <v>2545</v>
          </cell>
          <cell r="AW1214">
            <v>282</v>
          </cell>
          <cell r="AX1214">
            <v>0</v>
          </cell>
          <cell r="AY1214">
            <v>0</v>
          </cell>
          <cell r="AZ1214">
            <v>2</v>
          </cell>
          <cell r="BA1214">
            <v>430</v>
          </cell>
        </row>
        <row r="1215">
          <cell r="AS1215" t="str">
            <v>17031830005</v>
          </cell>
          <cell r="AT1215">
            <v>4143</v>
          </cell>
          <cell r="AU1215">
            <v>1691</v>
          </cell>
          <cell r="AV1215">
            <v>1464</v>
          </cell>
          <cell r="AW1215">
            <v>114</v>
          </cell>
          <cell r="AX1215">
            <v>0</v>
          </cell>
          <cell r="AY1215">
            <v>0</v>
          </cell>
          <cell r="AZ1215">
            <v>27</v>
          </cell>
          <cell r="BA1215">
            <v>86</v>
          </cell>
        </row>
        <row r="1216">
          <cell r="AS1216" t="str">
            <v>17031830006</v>
          </cell>
          <cell r="AT1216">
            <v>2901</v>
          </cell>
          <cell r="AU1216">
            <v>1303</v>
          </cell>
          <cell r="AV1216">
            <v>1155</v>
          </cell>
          <cell r="AW1216">
            <v>148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</row>
        <row r="1217">
          <cell r="AS1217" t="str">
            <v>17031830007</v>
          </cell>
          <cell r="AT1217">
            <v>4973</v>
          </cell>
          <cell r="AU1217">
            <v>1930</v>
          </cell>
          <cell r="AV1217">
            <v>1589</v>
          </cell>
          <cell r="AW1217">
            <v>191</v>
          </cell>
          <cell r="AX1217">
            <v>0</v>
          </cell>
          <cell r="AY1217">
            <v>0</v>
          </cell>
          <cell r="AZ1217">
            <v>22</v>
          </cell>
          <cell r="BA1217">
            <v>128</v>
          </cell>
        </row>
        <row r="1218">
          <cell r="AS1218" t="str">
            <v>17031830008</v>
          </cell>
          <cell r="AT1218">
            <v>4601</v>
          </cell>
          <cell r="AU1218">
            <v>2318</v>
          </cell>
          <cell r="AV1218">
            <v>2030</v>
          </cell>
          <cell r="AW1218">
            <v>187</v>
          </cell>
          <cell r="AX1218">
            <v>17</v>
          </cell>
          <cell r="AY1218">
            <v>0</v>
          </cell>
          <cell r="AZ1218">
            <v>0</v>
          </cell>
          <cell r="BA1218">
            <v>84</v>
          </cell>
        </row>
        <row r="1219">
          <cell r="AS1219" t="str">
            <v>17031830100</v>
          </cell>
          <cell r="AT1219">
            <v>3433</v>
          </cell>
          <cell r="AU1219">
            <v>1503</v>
          </cell>
          <cell r="AV1219">
            <v>1271</v>
          </cell>
          <cell r="AW1219">
            <v>79</v>
          </cell>
          <cell r="AX1219">
            <v>5</v>
          </cell>
          <cell r="AY1219">
            <v>10</v>
          </cell>
          <cell r="AZ1219">
            <v>0</v>
          </cell>
          <cell r="BA1219">
            <v>138</v>
          </cell>
        </row>
        <row r="1220">
          <cell r="AS1220" t="str">
            <v>17031830201</v>
          </cell>
          <cell r="AT1220">
            <v>4963</v>
          </cell>
          <cell r="AU1220">
            <v>2546</v>
          </cell>
          <cell r="AV1220">
            <v>1997</v>
          </cell>
          <cell r="AW1220">
            <v>239</v>
          </cell>
          <cell r="AX1220">
            <v>0</v>
          </cell>
          <cell r="AY1220">
            <v>16</v>
          </cell>
          <cell r="AZ1220">
            <v>0</v>
          </cell>
          <cell r="BA1220">
            <v>294</v>
          </cell>
        </row>
        <row r="1221">
          <cell r="AS1221" t="str">
            <v>17031830202</v>
          </cell>
          <cell r="AT1221">
            <v>3491</v>
          </cell>
          <cell r="AU1221">
            <v>1462</v>
          </cell>
          <cell r="AV1221">
            <v>1242</v>
          </cell>
          <cell r="AW1221">
            <v>150</v>
          </cell>
          <cell r="AX1221">
            <v>0</v>
          </cell>
          <cell r="AY1221">
            <v>0</v>
          </cell>
          <cell r="AZ1221">
            <v>2</v>
          </cell>
          <cell r="BA1221">
            <v>68</v>
          </cell>
        </row>
        <row r="1222">
          <cell r="AS1222" t="str">
            <v>17031830300</v>
          </cell>
          <cell r="AT1222">
            <v>4536</v>
          </cell>
          <cell r="AU1222">
            <v>1906</v>
          </cell>
          <cell r="AV1222">
            <v>1504</v>
          </cell>
          <cell r="AW1222">
            <v>190</v>
          </cell>
          <cell r="AX1222">
            <v>0</v>
          </cell>
          <cell r="AY1222">
            <v>0</v>
          </cell>
          <cell r="AZ1222">
            <v>0</v>
          </cell>
          <cell r="BA1222">
            <v>212</v>
          </cell>
        </row>
        <row r="1223">
          <cell r="AS1223" t="str">
            <v>17031830400</v>
          </cell>
          <cell r="AT1223">
            <v>3992</v>
          </cell>
          <cell r="AU1223">
            <v>1853</v>
          </cell>
          <cell r="AV1223">
            <v>1497</v>
          </cell>
          <cell r="AW1223">
            <v>213</v>
          </cell>
          <cell r="AX1223">
            <v>0</v>
          </cell>
          <cell r="AY1223">
            <v>0</v>
          </cell>
          <cell r="AZ1223">
            <v>25</v>
          </cell>
          <cell r="BA1223">
            <v>118</v>
          </cell>
        </row>
        <row r="1224">
          <cell r="AS1224" t="str">
            <v>17031830500</v>
          </cell>
          <cell r="AT1224">
            <v>3910</v>
          </cell>
          <cell r="AU1224">
            <v>1385</v>
          </cell>
          <cell r="AV1224">
            <v>1149</v>
          </cell>
          <cell r="AW1224">
            <v>144</v>
          </cell>
          <cell r="AX1224">
            <v>0</v>
          </cell>
          <cell r="AY1224">
            <v>0</v>
          </cell>
          <cell r="AZ1224">
            <v>17</v>
          </cell>
          <cell r="BA1224">
            <v>75</v>
          </cell>
        </row>
        <row r="1225">
          <cell r="AS1225" t="str">
            <v>17031830600</v>
          </cell>
          <cell r="AT1225">
            <v>4923</v>
          </cell>
          <cell r="AU1225">
            <v>2996</v>
          </cell>
          <cell r="AV1225">
            <v>1263</v>
          </cell>
          <cell r="AW1225">
            <v>1328</v>
          </cell>
          <cell r="AX1225">
            <v>31</v>
          </cell>
          <cell r="AY1225">
            <v>89</v>
          </cell>
          <cell r="AZ1225">
            <v>72</v>
          </cell>
          <cell r="BA1225">
            <v>213</v>
          </cell>
        </row>
        <row r="1226">
          <cell r="AS1226" t="str">
            <v>17031830700</v>
          </cell>
          <cell r="AT1226">
            <v>4148</v>
          </cell>
          <cell r="AU1226">
            <v>2501</v>
          </cell>
          <cell r="AV1226">
            <v>917</v>
          </cell>
          <cell r="AW1226">
            <v>1143</v>
          </cell>
          <cell r="AX1226">
            <v>22</v>
          </cell>
          <cell r="AY1226">
            <v>51</v>
          </cell>
          <cell r="AZ1226">
            <v>121</v>
          </cell>
          <cell r="BA1226">
            <v>247</v>
          </cell>
        </row>
        <row r="1227">
          <cell r="AS1227" t="str">
            <v>17031830800</v>
          </cell>
          <cell r="AT1227">
            <v>2638</v>
          </cell>
          <cell r="AU1227">
            <v>1928</v>
          </cell>
          <cell r="AV1227">
            <v>484</v>
          </cell>
          <cell r="AW1227">
            <v>795</v>
          </cell>
          <cell r="AX1227">
            <v>14</v>
          </cell>
          <cell r="AY1227">
            <v>18</v>
          </cell>
          <cell r="AZ1227">
            <v>150</v>
          </cell>
          <cell r="BA1227">
            <v>467</v>
          </cell>
        </row>
        <row r="1228">
          <cell r="AS1228" t="str">
            <v>17031830900</v>
          </cell>
          <cell r="AT1228">
            <v>2754</v>
          </cell>
          <cell r="AU1228">
            <v>2072</v>
          </cell>
          <cell r="AV1228">
            <v>963</v>
          </cell>
          <cell r="AW1228">
            <v>692</v>
          </cell>
          <cell r="AX1228">
            <v>80</v>
          </cell>
          <cell r="AY1228">
            <v>28</v>
          </cell>
          <cell r="AZ1228">
            <v>12</v>
          </cell>
          <cell r="BA1228">
            <v>297</v>
          </cell>
        </row>
        <row r="1229">
          <cell r="AS1229" t="str">
            <v>17031831000</v>
          </cell>
          <cell r="AT1229">
            <v>2116</v>
          </cell>
          <cell r="AU1229">
            <v>1469</v>
          </cell>
          <cell r="AV1229">
            <v>606</v>
          </cell>
          <cell r="AW1229">
            <v>570</v>
          </cell>
          <cell r="AX1229">
            <v>25</v>
          </cell>
          <cell r="AY1229">
            <v>36</v>
          </cell>
          <cell r="AZ1229">
            <v>21</v>
          </cell>
          <cell r="BA1229">
            <v>211</v>
          </cell>
        </row>
        <row r="1230">
          <cell r="AS1230" t="str">
            <v>17031831100</v>
          </cell>
          <cell r="AT1230">
            <v>7780</v>
          </cell>
          <cell r="AU1230">
            <v>4429</v>
          </cell>
          <cell r="AV1230">
            <v>2470</v>
          </cell>
          <cell r="AW1230">
            <v>1276</v>
          </cell>
          <cell r="AX1230">
            <v>18</v>
          </cell>
          <cell r="AY1230">
            <v>133</v>
          </cell>
          <cell r="AZ1230">
            <v>159</v>
          </cell>
          <cell r="BA1230">
            <v>373</v>
          </cell>
        </row>
        <row r="1231">
          <cell r="AS1231" t="str">
            <v>17031831200</v>
          </cell>
          <cell r="AT1231">
            <v>4810</v>
          </cell>
          <cell r="AU1231">
            <v>2261</v>
          </cell>
          <cell r="AV1231">
            <v>1589</v>
          </cell>
          <cell r="AW1231">
            <v>381</v>
          </cell>
          <cell r="AX1231">
            <v>0</v>
          </cell>
          <cell r="AY1231">
            <v>30</v>
          </cell>
          <cell r="AZ1231">
            <v>84</v>
          </cell>
          <cell r="BA1231">
            <v>177</v>
          </cell>
        </row>
        <row r="1232">
          <cell r="AS1232" t="str">
            <v>17031831300</v>
          </cell>
          <cell r="AT1232">
            <v>908</v>
          </cell>
          <cell r="AU1232">
            <v>356</v>
          </cell>
          <cell r="AV1232">
            <v>199</v>
          </cell>
          <cell r="AW1232">
            <v>131</v>
          </cell>
          <cell r="AX1232">
            <v>0</v>
          </cell>
          <cell r="AY1232">
            <v>0</v>
          </cell>
          <cell r="AZ1232">
            <v>0</v>
          </cell>
          <cell r="BA1232">
            <v>26</v>
          </cell>
        </row>
        <row r="1233">
          <cell r="AS1233" t="str">
            <v>17031831400</v>
          </cell>
          <cell r="AT1233">
            <v>2820</v>
          </cell>
          <cell r="AU1233">
            <v>959</v>
          </cell>
          <cell r="AV1233">
            <v>548</v>
          </cell>
          <cell r="AW1233">
            <v>411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</row>
        <row r="1234">
          <cell r="AS1234" t="str">
            <v>17031831500</v>
          </cell>
          <cell r="AT1234">
            <v>3838</v>
          </cell>
          <cell r="AU1234">
            <v>1853</v>
          </cell>
          <cell r="AV1234">
            <v>1412</v>
          </cell>
          <cell r="AW1234">
            <v>257</v>
          </cell>
          <cell r="AX1234">
            <v>0</v>
          </cell>
          <cell r="AY1234">
            <v>0</v>
          </cell>
          <cell r="AZ1234">
            <v>47</v>
          </cell>
          <cell r="BA1234">
            <v>137</v>
          </cell>
        </row>
        <row r="1235">
          <cell r="AS1235" t="str">
            <v>17031831600</v>
          </cell>
          <cell r="AT1235">
            <v>8052</v>
          </cell>
          <cell r="AU1235">
            <v>3692</v>
          </cell>
          <cell r="AV1235">
            <v>2781</v>
          </cell>
          <cell r="AW1235">
            <v>405</v>
          </cell>
          <cell r="AX1235">
            <v>241</v>
          </cell>
          <cell r="AY1235">
            <v>0</v>
          </cell>
          <cell r="AZ1235">
            <v>115</v>
          </cell>
          <cell r="BA1235">
            <v>150</v>
          </cell>
        </row>
        <row r="1236">
          <cell r="AS1236" t="str">
            <v>17031831700</v>
          </cell>
          <cell r="AT1236">
            <v>2238</v>
          </cell>
          <cell r="AU1236">
            <v>1068</v>
          </cell>
          <cell r="AV1236">
            <v>625</v>
          </cell>
          <cell r="AW1236">
            <v>300</v>
          </cell>
          <cell r="AX1236">
            <v>0</v>
          </cell>
          <cell r="AY1236">
            <v>5</v>
          </cell>
          <cell r="AZ1236">
            <v>18</v>
          </cell>
          <cell r="BA1236">
            <v>120</v>
          </cell>
        </row>
        <row r="1237">
          <cell r="AS1237" t="str">
            <v>17031831800</v>
          </cell>
          <cell r="AT1237">
            <v>6252</v>
          </cell>
          <cell r="AU1237">
            <v>3259</v>
          </cell>
          <cell r="AV1237">
            <v>2056</v>
          </cell>
          <cell r="AW1237">
            <v>469</v>
          </cell>
          <cell r="AX1237">
            <v>88</v>
          </cell>
          <cell r="AY1237">
            <v>31</v>
          </cell>
          <cell r="AZ1237">
            <v>284</v>
          </cell>
          <cell r="BA1237">
            <v>331</v>
          </cell>
        </row>
        <row r="1238">
          <cell r="AS1238" t="str">
            <v>17031831900</v>
          </cell>
          <cell r="AT1238">
            <v>3384</v>
          </cell>
          <cell r="AU1238">
            <v>2387</v>
          </cell>
          <cell r="AV1238">
            <v>746</v>
          </cell>
          <cell r="AW1238">
            <v>1204</v>
          </cell>
          <cell r="AX1238">
            <v>38</v>
          </cell>
          <cell r="AY1238">
            <v>28</v>
          </cell>
          <cell r="AZ1238">
            <v>49</v>
          </cell>
          <cell r="BA1238">
            <v>322</v>
          </cell>
        </row>
        <row r="1239">
          <cell r="AS1239" t="str">
            <v>17031832000</v>
          </cell>
          <cell r="AT1239">
            <v>1698</v>
          </cell>
          <cell r="AU1239">
            <v>1315</v>
          </cell>
          <cell r="AV1239">
            <v>345</v>
          </cell>
          <cell r="AW1239">
            <v>592</v>
          </cell>
          <cell r="AX1239">
            <v>16</v>
          </cell>
          <cell r="AY1239">
            <v>32</v>
          </cell>
          <cell r="AZ1239">
            <v>63</v>
          </cell>
          <cell r="BA1239">
            <v>267</v>
          </cell>
        </row>
        <row r="1240">
          <cell r="AS1240" t="str">
            <v>17031832100</v>
          </cell>
          <cell r="AT1240">
            <v>3590</v>
          </cell>
          <cell r="AU1240">
            <v>2485</v>
          </cell>
          <cell r="AV1240">
            <v>610</v>
          </cell>
          <cell r="AW1240">
            <v>1257</v>
          </cell>
          <cell r="AX1240">
            <v>7</v>
          </cell>
          <cell r="AY1240">
            <v>29</v>
          </cell>
          <cell r="AZ1240">
            <v>118</v>
          </cell>
          <cell r="BA1240">
            <v>464</v>
          </cell>
        </row>
        <row r="1241">
          <cell r="AS1241" t="str">
            <v>17031832200</v>
          </cell>
          <cell r="AT1241">
            <v>3031</v>
          </cell>
          <cell r="AU1241">
            <v>2174</v>
          </cell>
          <cell r="AV1241">
            <v>847</v>
          </cell>
          <cell r="AW1241">
            <v>687</v>
          </cell>
          <cell r="AX1241">
            <v>0</v>
          </cell>
          <cell r="AY1241">
            <v>129</v>
          </cell>
          <cell r="AZ1241">
            <v>82</v>
          </cell>
          <cell r="BA1241">
            <v>429</v>
          </cell>
        </row>
        <row r="1242">
          <cell r="AS1242" t="str">
            <v>17031832300</v>
          </cell>
          <cell r="AT1242">
            <v>1950</v>
          </cell>
          <cell r="AU1242">
            <v>1408</v>
          </cell>
          <cell r="AV1242">
            <v>726</v>
          </cell>
          <cell r="AW1242">
            <v>303</v>
          </cell>
          <cell r="AX1242">
            <v>32</v>
          </cell>
          <cell r="AY1242">
            <v>52</v>
          </cell>
          <cell r="AZ1242">
            <v>41</v>
          </cell>
          <cell r="BA1242">
            <v>254</v>
          </cell>
        </row>
        <row r="1243">
          <cell r="AS1243" t="str">
            <v>17031832400</v>
          </cell>
          <cell r="AT1243">
            <v>3206</v>
          </cell>
          <cell r="AU1243">
            <v>2226</v>
          </cell>
          <cell r="AV1243">
            <v>730</v>
          </cell>
          <cell r="AW1243">
            <v>867</v>
          </cell>
          <cell r="AX1243">
            <v>0</v>
          </cell>
          <cell r="AY1243">
            <v>39</v>
          </cell>
          <cell r="AZ1243">
            <v>223</v>
          </cell>
          <cell r="BA1243">
            <v>367</v>
          </cell>
        </row>
        <row r="1244">
          <cell r="AS1244" t="str">
            <v>17031832500</v>
          </cell>
          <cell r="AT1244">
            <v>3192</v>
          </cell>
          <cell r="AU1244">
            <v>1886</v>
          </cell>
          <cell r="AV1244">
            <v>738</v>
          </cell>
          <cell r="AW1244">
            <v>560</v>
          </cell>
          <cell r="AX1244">
            <v>0</v>
          </cell>
          <cell r="AY1244">
            <v>52</v>
          </cell>
          <cell r="AZ1244">
            <v>97</v>
          </cell>
          <cell r="BA1244">
            <v>439</v>
          </cell>
        </row>
        <row r="1245">
          <cell r="AS1245" t="str">
            <v>17031832600</v>
          </cell>
          <cell r="AT1245">
            <v>4022</v>
          </cell>
          <cell r="AU1245">
            <v>2535</v>
          </cell>
          <cell r="AV1245">
            <v>965</v>
          </cell>
          <cell r="AW1245">
            <v>1212</v>
          </cell>
          <cell r="AX1245">
            <v>0</v>
          </cell>
          <cell r="AY1245">
            <v>74</v>
          </cell>
          <cell r="AZ1245">
            <v>71</v>
          </cell>
          <cell r="BA1245">
            <v>213</v>
          </cell>
        </row>
        <row r="1246">
          <cell r="AS1246" t="str">
            <v>17031832900</v>
          </cell>
          <cell r="AT1246">
            <v>1926</v>
          </cell>
          <cell r="AU1246">
            <v>1160</v>
          </cell>
          <cell r="AV1246">
            <v>343</v>
          </cell>
          <cell r="AW1246">
            <v>147</v>
          </cell>
          <cell r="AX1246">
            <v>21</v>
          </cell>
          <cell r="AY1246">
            <v>50</v>
          </cell>
          <cell r="AZ1246">
            <v>478</v>
          </cell>
          <cell r="BA1246">
            <v>121</v>
          </cell>
        </row>
        <row r="1247">
          <cell r="AS1247" t="str">
            <v>17031833000</v>
          </cell>
          <cell r="AT1247">
            <v>4686</v>
          </cell>
          <cell r="AU1247">
            <v>3013</v>
          </cell>
          <cell r="AV1247">
            <v>812</v>
          </cell>
          <cell r="AW1247">
            <v>906</v>
          </cell>
          <cell r="AX1247">
            <v>95</v>
          </cell>
          <cell r="AY1247">
            <v>90</v>
          </cell>
          <cell r="AZ1247">
            <v>755</v>
          </cell>
          <cell r="BA1247">
            <v>355</v>
          </cell>
        </row>
        <row r="1248">
          <cell r="AS1248" t="str">
            <v>17031833100</v>
          </cell>
          <cell r="AT1248">
            <v>7573</v>
          </cell>
          <cell r="AU1248">
            <v>5457</v>
          </cell>
          <cell r="AV1248">
            <v>1991</v>
          </cell>
          <cell r="AW1248">
            <v>1216</v>
          </cell>
          <cell r="AX1248">
            <v>144</v>
          </cell>
          <cell r="AY1248">
            <v>148</v>
          </cell>
          <cell r="AZ1248">
            <v>1190</v>
          </cell>
          <cell r="BA1248">
            <v>768</v>
          </cell>
        </row>
        <row r="1249">
          <cell r="AS1249" t="str">
            <v>17031833300</v>
          </cell>
          <cell r="AT1249">
            <v>2850</v>
          </cell>
          <cell r="AU1249">
            <v>1414</v>
          </cell>
          <cell r="AV1249">
            <v>448</v>
          </cell>
          <cell r="AW1249">
            <v>389</v>
          </cell>
          <cell r="AX1249">
            <v>24</v>
          </cell>
          <cell r="AY1249">
            <v>26</v>
          </cell>
          <cell r="AZ1249">
            <v>241</v>
          </cell>
          <cell r="BA1249">
            <v>286</v>
          </cell>
        </row>
        <row r="1250">
          <cell r="AS1250" t="str">
            <v>17031833900</v>
          </cell>
          <cell r="AT1250">
            <v>2696</v>
          </cell>
          <cell r="AU1250">
            <v>900</v>
          </cell>
          <cell r="AV1250">
            <v>542</v>
          </cell>
          <cell r="AW1250">
            <v>279</v>
          </cell>
          <cell r="AX1250">
            <v>0</v>
          </cell>
          <cell r="AY1250">
            <v>6</v>
          </cell>
          <cell r="AZ1250">
            <v>35</v>
          </cell>
          <cell r="BA1250">
            <v>38</v>
          </cell>
        </row>
        <row r="1251">
          <cell r="AS1251" t="str">
            <v>17031834000</v>
          </cell>
          <cell r="AT1251">
            <v>3187</v>
          </cell>
          <cell r="AU1251">
            <v>1329</v>
          </cell>
          <cell r="AV1251">
            <v>808</v>
          </cell>
          <cell r="AW1251">
            <v>358</v>
          </cell>
          <cell r="AX1251">
            <v>0</v>
          </cell>
          <cell r="AY1251">
            <v>0</v>
          </cell>
          <cell r="AZ1251">
            <v>23</v>
          </cell>
          <cell r="BA1251">
            <v>140</v>
          </cell>
        </row>
        <row r="1252">
          <cell r="AS1252" t="str">
            <v>17031834200</v>
          </cell>
          <cell r="AT1252">
            <v>4674</v>
          </cell>
          <cell r="AU1252">
            <v>1821</v>
          </cell>
          <cell r="AV1252">
            <v>1448</v>
          </cell>
          <cell r="AW1252">
            <v>363</v>
          </cell>
          <cell r="AX1252">
            <v>0</v>
          </cell>
          <cell r="AY1252">
            <v>0</v>
          </cell>
          <cell r="AZ1252">
            <v>0</v>
          </cell>
          <cell r="BA1252">
            <v>10</v>
          </cell>
        </row>
        <row r="1253">
          <cell r="AS1253" t="str">
            <v>17031834300</v>
          </cell>
          <cell r="AT1253">
            <v>6294</v>
          </cell>
          <cell r="AU1253">
            <v>2390</v>
          </cell>
          <cell r="AV1253">
            <v>1787</v>
          </cell>
          <cell r="AW1253">
            <v>448</v>
          </cell>
          <cell r="AX1253">
            <v>0</v>
          </cell>
          <cell r="AY1253">
            <v>0</v>
          </cell>
          <cell r="AZ1253">
            <v>0</v>
          </cell>
          <cell r="BA1253">
            <v>155</v>
          </cell>
        </row>
        <row r="1254">
          <cell r="AS1254" t="str">
            <v>17031834400</v>
          </cell>
          <cell r="AT1254">
            <v>4570</v>
          </cell>
          <cell r="AU1254">
            <v>2134</v>
          </cell>
          <cell r="AV1254">
            <v>1170</v>
          </cell>
          <cell r="AW1254">
            <v>824</v>
          </cell>
          <cell r="AX1254">
            <v>9</v>
          </cell>
          <cell r="AY1254">
            <v>0</v>
          </cell>
          <cell r="AZ1254">
            <v>20</v>
          </cell>
          <cell r="BA1254">
            <v>111</v>
          </cell>
        </row>
        <row r="1255">
          <cell r="AS1255" t="str">
            <v>17031834500</v>
          </cell>
          <cell r="AT1255">
            <v>1079</v>
          </cell>
          <cell r="AU1255">
            <v>461</v>
          </cell>
          <cell r="AV1255">
            <v>287</v>
          </cell>
          <cell r="AW1255">
            <v>153</v>
          </cell>
          <cell r="AX1255">
            <v>0</v>
          </cell>
          <cell r="AY1255">
            <v>0</v>
          </cell>
          <cell r="AZ1255">
            <v>0</v>
          </cell>
          <cell r="BA1255">
            <v>21</v>
          </cell>
        </row>
        <row r="1256">
          <cell r="AS1256" t="str">
            <v>17031834600</v>
          </cell>
          <cell r="AT1256">
            <v>1683</v>
          </cell>
          <cell r="AU1256">
            <v>559</v>
          </cell>
          <cell r="AV1256">
            <v>359</v>
          </cell>
          <cell r="AW1256">
            <v>106</v>
          </cell>
          <cell r="AX1256">
            <v>12</v>
          </cell>
          <cell r="AY1256">
            <v>0</v>
          </cell>
          <cell r="AZ1256">
            <v>18</v>
          </cell>
          <cell r="BA1256">
            <v>64</v>
          </cell>
        </row>
        <row r="1257">
          <cell r="AS1257" t="str">
            <v>17031834700</v>
          </cell>
          <cell r="AT1257">
            <v>1130</v>
          </cell>
          <cell r="AU1257">
            <v>321</v>
          </cell>
          <cell r="AV1257">
            <v>152</v>
          </cell>
          <cell r="AW1257">
            <v>137</v>
          </cell>
          <cell r="AX1257">
            <v>0</v>
          </cell>
          <cell r="AY1257">
            <v>0</v>
          </cell>
          <cell r="AZ1257">
            <v>32</v>
          </cell>
          <cell r="BA1257">
            <v>0</v>
          </cell>
        </row>
        <row r="1258">
          <cell r="AS1258" t="str">
            <v>17031834800</v>
          </cell>
          <cell r="AT1258">
            <v>1692</v>
          </cell>
          <cell r="AU1258">
            <v>515</v>
          </cell>
          <cell r="AV1258">
            <v>306</v>
          </cell>
          <cell r="AW1258">
            <v>131</v>
          </cell>
          <cell r="AX1258">
            <v>0</v>
          </cell>
          <cell r="AY1258">
            <v>5</v>
          </cell>
          <cell r="AZ1258">
            <v>42</v>
          </cell>
          <cell r="BA1258">
            <v>31</v>
          </cell>
        </row>
        <row r="1259">
          <cell r="AS1259" t="str">
            <v>17031834900</v>
          </cell>
          <cell r="AT1259">
            <v>1348</v>
          </cell>
          <cell r="AU1259">
            <v>283</v>
          </cell>
          <cell r="AV1259">
            <v>174</v>
          </cell>
          <cell r="AW1259">
            <v>102</v>
          </cell>
          <cell r="AX1259">
            <v>0</v>
          </cell>
          <cell r="AY1259">
            <v>0</v>
          </cell>
          <cell r="AZ1259">
            <v>7</v>
          </cell>
          <cell r="BA1259">
            <v>0</v>
          </cell>
        </row>
        <row r="1260">
          <cell r="AS1260" t="str">
            <v>17031835000</v>
          </cell>
          <cell r="AT1260">
            <v>5496</v>
          </cell>
          <cell r="AU1260">
            <v>1783</v>
          </cell>
          <cell r="AV1260">
            <v>1281</v>
          </cell>
          <cell r="AW1260">
            <v>343</v>
          </cell>
          <cell r="AX1260">
            <v>14</v>
          </cell>
          <cell r="AY1260">
            <v>0</v>
          </cell>
          <cell r="AZ1260">
            <v>50</v>
          </cell>
          <cell r="BA1260">
            <v>95</v>
          </cell>
        </row>
        <row r="1261">
          <cell r="AS1261" t="str">
            <v>17031835100</v>
          </cell>
          <cell r="AT1261">
            <v>4903</v>
          </cell>
          <cell r="AU1261">
            <v>1933</v>
          </cell>
          <cell r="AV1261">
            <v>1350</v>
          </cell>
          <cell r="AW1261">
            <v>452</v>
          </cell>
          <cell r="AX1261">
            <v>0</v>
          </cell>
          <cell r="AY1261">
            <v>0</v>
          </cell>
          <cell r="AZ1261">
            <v>57</v>
          </cell>
          <cell r="BA1261">
            <v>74</v>
          </cell>
        </row>
        <row r="1262">
          <cell r="AS1262" t="str">
            <v>17031835200</v>
          </cell>
          <cell r="AT1262">
            <v>1922</v>
          </cell>
          <cell r="AU1262">
            <v>907</v>
          </cell>
          <cell r="AV1262">
            <v>727</v>
          </cell>
          <cell r="AW1262">
            <v>120</v>
          </cell>
          <cell r="AX1262">
            <v>0</v>
          </cell>
          <cell r="AY1262">
            <v>0</v>
          </cell>
          <cell r="AZ1262">
            <v>0</v>
          </cell>
          <cell r="BA1262">
            <v>60</v>
          </cell>
        </row>
        <row r="1263">
          <cell r="AS1263" t="str">
            <v>17031835500</v>
          </cell>
          <cell r="AT1263">
            <v>1356</v>
          </cell>
          <cell r="AU1263">
            <v>301</v>
          </cell>
          <cell r="AV1263">
            <v>180</v>
          </cell>
          <cell r="AW1263">
            <v>100</v>
          </cell>
          <cell r="AX1263">
            <v>0</v>
          </cell>
          <cell r="AY1263">
            <v>0</v>
          </cell>
          <cell r="AZ1263">
            <v>0</v>
          </cell>
          <cell r="BA1263">
            <v>21</v>
          </cell>
        </row>
        <row r="1264">
          <cell r="AS1264" t="str">
            <v>17031835600</v>
          </cell>
          <cell r="AT1264">
            <v>793</v>
          </cell>
          <cell r="AU1264">
            <v>168</v>
          </cell>
          <cell r="AV1264">
            <v>105</v>
          </cell>
          <cell r="AW1264">
            <v>55</v>
          </cell>
          <cell r="AX1264">
            <v>0</v>
          </cell>
          <cell r="AY1264">
            <v>0</v>
          </cell>
          <cell r="AZ1264">
            <v>8</v>
          </cell>
          <cell r="BA1264">
            <v>0</v>
          </cell>
        </row>
        <row r="1265">
          <cell r="AS1265" t="str">
            <v>17031835800</v>
          </cell>
          <cell r="AT1265">
            <v>1798</v>
          </cell>
          <cell r="AU1265">
            <v>832</v>
          </cell>
          <cell r="AV1265">
            <v>320</v>
          </cell>
          <cell r="AW1265">
            <v>410</v>
          </cell>
          <cell r="AX1265">
            <v>20</v>
          </cell>
          <cell r="AY1265">
            <v>33</v>
          </cell>
          <cell r="AZ1265">
            <v>11</v>
          </cell>
          <cell r="BA1265">
            <v>38</v>
          </cell>
        </row>
        <row r="1266">
          <cell r="AS1266" t="str">
            <v>17031836000</v>
          </cell>
          <cell r="AT1266">
            <v>2950</v>
          </cell>
          <cell r="AU1266">
            <v>1363</v>
          </cell>
          <cell r="AV1266">
            <v>662</v>
          </cell>
          <cell r="AW1266">
            <v>343</v>
          </cell>
          <cell r="AX1266">
            <v>0</v>
          </cell>
          <cell r="AY1266">
            <v>11</v>
          </cell>
          <cell r="AZ1266">
            <v>36</v>
          </cell>
          <cell r="BA1266">
            <v>311</v>
          </cell>
        </row>
        <row r="1267">
          <cell r="AS1267" t="str">
            <v>17031836100</v>
          </cell>
          <cell r="AT1267">
            <v>1834</v>
          </cell>
          <cell r="AU1267">
            <v>571</v>
          </cell>
          <cell r="AV1267">
            <v>333</v>
          </cell>
          <cell r="AW1267">
            <v>69</v>
          </cell>
          <cell r="AX1267">
            <v>0</v>
          </cell>
          <cell r="AY1267">
            <v>35</v>
          </cell>
          <cell r="AZ1267">
            <v>13</v>
          </cell>
          <cell r="BA1267">
            <v>121</v>
          </cell>
        </row>
        <row r="1268">
          <cell r="AS1268" t="str">
            <v>17031836200</v>
          </cell>
          <cell r="AT1268">
            <v>1517</v>
          </cell>
          <cell r="AU1268">
            <v>334</v>
          </cell>
          <cell r="AV1268">
            <v>89</v>
          </cell>
          <cell r="AW1268">
            <v>59</v>
          </cell>
          <cell r="AX1268">
            <v>0</v>
          </cell>
          <cell r="AY1268">
            <v>8</v>
          </cell>
          <cell r="AZ1268">
            <v>143</v>
          </cell>
          <cell r="BA1268">
            <v>35</v>
          </cell>
        </row>
        <row r="1269">
          <cell r="AS1269" t="str">
            <v>17031836300</v>
          </cell>
          <cell r="AT1269">
            <v>1478</v>
          </cell>
          <cell r="AU1269">
            <v>804</v>
          </cell>
          <cell r="AV1269">
            <v>376</v>
          </cell>
          <cell r="AW1269">
            <v>179</v>
          </cell>
          <cell r="AX1269">
            <v>0</v>
          </cell>
          <cell r="AY1269">
            <v>27</v>
          </cell>
          <cell r="AZ1269">
            <v>128</v>
          </cell>
          <cell r="BA1269">
            <v>94</v>
          </cell>
        </row>
        <row r="1270">
          <cell r="AS1270" t="str">
            <v>17031836400</v>
          </cell>
          <cell r="AT1270">
            <v>3726</v>
          </cell>
          <cell r="AU1270">
            <v>1438</v>
          </cell>
          <cell r="AV1270">
            <v>862</v>
          </cell>
          <cell r="AW1270">
            <v>255</v>
          </cell>
          <cell r="AX1270">
            <v>28</v>
          </cell>
          <cell r="AY1270">
            <v>10</v>
          </cell>
          <cell r="AZ1270">
            <v>46</v>
          </cell>
          <cell r="BA1270">
            <v>237</v>
          </cell>
        </row>
        <row r="1271">
          <cell r="AS1271" t="str">
            <v>17031836500</v>
          </cell>
          <cell r="AT1271">
            <v>1791</v>
          </cell>
          <cell r="AU1271">
            <v>764</v>
          </cell>
          <cell r="AV1271">
            <v>546</v>
          </cell>
          <cell r="AW1271">
            <v>129</v>
          </cell>
          <cell r="AX1271">
            <v>0</v>
          </cell>
          <cell r="AY1271">
            <v>26</v>
          </cell>
          <cell r="AZ1271">
            <v>17</v>
          </cell>
          <cell r="BA1271">
            <v>46</v>
          </cell>
        </row>
        <row r="1272">
          <cell r="AS1272" t="str">
            <v>17031836600</v>
          </cell>
          <cell r="AT1272">
            <v>2044</v>
          </cell>
          <cell r="AU1272">
            <v>1189</v>
          </cell>
          <cell r="AV1272">
            <v>605</v>
          </cell>
          <cell r="AW1272">
            <v>236</v>
          </cell>
          <cell r="AX1272">
            <v>0</v>
          </cell>
          <cell r="AY1272">
            <v>54</v>
          </cell>
          <cell r="AZ1272">
            <v>36</v>
          </cell>
          <cell r="BA1272">
            <v>258</v>
          </cell>
        </row>
        <row r="1273">
          <cell r="AS1273" t="str">
            <v>17031836700</v>
          </cell>
          <cell r="AT1273">
            <v>2337</v>
          </cell>
          <cell r="AU1273">
            <v>1140</v>
          </cell>
          <cell r="AV1273">
            <v>735</v>
          </cell>
          <cell r="AW1273">
            <v>324</v>
          </cell>
          <cell r="AX1273">
            <v>0</v>
          </cell>
          <cell r="AY1273">
            <v>12</v>
          </cell>
          <cell r="AZ1273">
            <v>6</v>
          </cell>
          <cell r="BA1273">
            <v>63</v>
          </cell>
        </row>
        <row r="1274">
          <cell r="AS1274" t="str">
            <v>17031836800</v>
          </cell>
          <cell r="AT1274">
            <v>2149</v>
          </cell>
          <cell r="AU1274">
            <v>638</v>
          </cell>
          <cell r="AV1274">
            <v>439</v>
          </cell>
          <cell r="AW1274">
            <v>114</v>
          </cell>
          <cell r="AX1274">
            <v>0</v>
          </cell>
          <cell r="AY1274">
            <v>52</v>
          </cell>
          <cell r="AZ1274">
            <v>33</v>
          </cell>
          <cell r="BA1274">
            <v>0</v>
          </cell>
        </row>
        <row r="1275">
          <cell r="AS1275" t="str">
            <v>17031836900</v>
          </cell>
          <cell r="AT1275">
            <v>1120</v>
          </cell>
          <cell r="AU1275">
            <v>384</v>
          </cell>
          <cell r="AV1275">
            <v>196</v>
          </cell>
          <cell r="AW1275">
            <v>157</v>
          </cell>
          <cell r="AX1275">
            <v>0</v>
          </cell>
          <cell r="AY1275">
            <v>17</v>
          </cell>
          <cell r="AZ1275">
            <v>14</v>
          </cell>
          <cell r="BA1275">
            <v>0</v>
          </cell>
        </row>
        <row r="1276">
          <cell r="AS1276" t="str">
            <v>17031837000</v>
          </cell>
          <cell r="AT1276">
            <v>1672</v>
          </cell>
          <cell r="AU1276">
            <v>621</v>
          </cell>
          <cell r="AV1276">
            <v>353</v>
          </cell>
          <cell r="AW1276">
            <v>233</v>
          </cell>
          <cell r="AX1276">
            <v>0</v>
          </cell>
          <cell r="AY1276">
            <v>13</v>
          </cell>
          <cell r="AZ1276">
            <v>9</v>
          </cell>
          <cell r="BA1276">
            <v>13</v>
          </cell>
        </row>
        <row r="1277">
          <cell r="AS1277" t="str">
            <v>17031837100</v>
          </cell>
          <cell r="AT1277">
            <v>1349</v>
          </cell>
          <cell r="AU1277">
            <v>434</v>
          </cell>
          <cell r="AV1277">
            <v>191</v>
          </cell>
          <cell r="AW1277">
            <v>156</v>
          </cell>
          <cell r="AX1277">
            <v>0</v>
          </cell>
          <cell r="AY1277">
            <v>0</v>
          </cell>
          <cell r="AZ1277">
            <v>5</v>
          </cell>
          <cell r="BA1277">
            <v>82</v>
          </cell>
        </row>
        <row r="1278">
          <cell r="AS1278" t="str">
            <v>17031837300</v>
          </cell>
          <cell r="AT1278">
            <v>2688</v>
          </cell>
          <cell r="AU1278">
            <v>860</v>
          </cell>
          <cell r="AV1278">
            <v>490</v>
          </cell>
          <cell r="AW1278">
            <v>267</v>
          </cell>
          <cell r="AX1278">
            <v>0</v>
          </cell>
          <cell r="AY1278">
            <v>0</v>
          </cell>
          <cell r="AZ1278">
            <v>90</v>
          </cell>
          <cell r="BA1278">
            <v>13</v>
          </cell>
        </row>
        <row r="1279">
          <cell r="AS1279" t="str">
            <v>17031837400</v>
          </cell>
          <cell r="AT1279">
            <v>2199</v>
          </cell>
          <cell r="AU1279">
            <v>748</v>
          </cell>
          <cell r="AV1279">
            <v>491</v>
          </cell>
          <cell r="AW1279">
            <v>247</v>
          </cell>
          <cell r="AX1279">
            <v>0</v>
          </cell>
          <cell r="AY1279">
            <v>0</v>
          </cell>
          <cell r="AZ1279">
            <v>0</v>
          </cell>
          <cell r="BA1279">
            <v>10</v>
          </cell>
        </row>
        <row r="1280">
          <cell r="AS1280" t="str">
            <v>17031837800</v>
          </cell>
          <cell r="AT1280">
            <v>2409</v>
          </cell>
          <cell r="AU1280">
            <v>1096</v>
          </cell>
          <cell r="AV1280">
            <v>378</v>
          </cell>
          <cell r="AW1280">
            <v>433</v>
          </cell>
          <cell r="AX1280">
            <v>0</v>
          </cell>
          <cell r="AY1280">
            <v>54</v>
          </cell>
          <cell r="AZ1280">
            <v>0</v>
          </cell>
          <cell r="BA1280">
            <v>231</v>
          </cell>
        </row>
        <row r="1281">
          <cell r="AS1281" t="str">
            <v>17031838000</v>
          </cell>
          <cell r="AT1281">
            <v>2201</v>
          </cell>
          <cell r="AU1281">
            <v>972</v>
          </cell>
          <cell r="AV1281">
            <v>540</v>
          </cell>
          <cell r="AW1281">
            <v>274</v>
          </cell>
          <cell r="AX1281">
            <v>39</v>
          </cell>
          <cell r="AY1281">
            <v>0</v>
          </cell>
          <cell r="AZ1281">
            <v>24</v>
          </cell>
          <cell r="BA1281">
            <v>95</v>
          </cell>
        </row>
        <row r="1282">
          <cell r="AS1282" t="str">
            <v>17031838100</v>
          </cell>
          <cell r="AT1282">
            <v>1589</v>
          </cell>
          <cell r="AU1282">
            <v>710</v>
          </cell>
          <cell r="AV1282">
            <v>323</v>
          </cell>
          <cell r="AW1282">
            <v>229</v>
          </cell>
          <cell r="AX1282">
            <v>0</v>
          </cell>
          <cell r="AY1282">
            <v>18</v>
          </cell>
          <cell r="AZ1282">
            <v>112</v>
          </cell>
          <cell r="BA1282">
            <v>28</v>
          </cell>
        </row>
        <row r="1283">
          <cell r="AS1283" t="str">
            <v>17031838200</v>
          </cell>
          <cell r="AT1283">
            <v>2200</v>
          </cell>
          <cell r="AU1283">
            <v>817</v>
          </cell>
          <cell r="AV1283">
            <v>314</v>
          </cell>
          <cell r="AW1283">
            <v>189</v>
          </cell>
          <cell r="AX1283">
            <v>0</v>
          </cell>
          <cell r="AY1283">
            <v>6</v>
          </cell>
          <cell r="AZ1283">
            <v>161</v>
          </cell>
          <cell r="BA1283">
            <v>147</v>
          </cell>
        </row>
        <row r="1284">
          <cell r="AS1284" t="str">
            <v>17031838300</v>
          </cell>
          <cell r="AT1284">
            <v>1869</v>
          </cell>
          <cell r="AU1284">
            <v>1264</v>
          </cell>
          <cell r="AV1284">
            <v>391</v>
          </cell>
          <cell r="AW1284">
            <v>399</v>
          </cell>
          <cell r="AX1284">
            <v>11</v>
          </cell>
          <cell r="AY1284">
            <v>49</v>
          </cell>
          <cell r="AZ1284">
            <v>263</v>
          </cell>
          <cell r="BA1284">
            <v>151</v>
          </cell>
        </row>
        <row r="1285">
          <cell r="AS1285" t="str">
            <v>17031838600</v>
          </cell>
          <cell r="AT1285">
            <v>1735</v>
          </cell>
          <cell r="AU1285">
            <v>503</v>
          </cell>
          <cell r="AV1285">
            <v>238</v>
          </cell>
          <cell r="AW1285">
            <v>242</v>
          </cell>
          <cell r="AX1285">
            <v>0</v>
          </cell>
          <cell r="AY1285">
            <v>0</v>
          </cell>
          <cell r="AZ1285">
            <v>5</v>
          </cell>
          <cell r="BA1285">
            <v>18</v>
          </cell>
        </row>
        <row r="1286">
          <cell r="AS1286" t="str">
            <v>17031838700</v>
          </cell>
          <cell r="AT1286">
            <v>3932</v>
          </cell>
          <cell r="AU1286">
            <v>1323</v>
          </cell>
          <cell r="AV1286">
            <v>817</v>
          </cell>
          <cell r="AW1286">
            <v>471</v>
          </cell>
          <cell r="AX1286">
            <v>0</v>
          </cell>
          <cell r="AY1286">
            <v>0</v>
          </cell>
          <cell r="AZ1286">
            <v>0</v>
          </cell>
          <cell r="BA1286">
            <v>35</v>
          </cell>
        </row>
        <row r="1287">
          <cell r="AS1287" t="str">
            <v>17031838800</v>
          </cell>
          <cell r="AT1287">
            <v>3033</v>
          </cell>
          <cell r="AU1287">
            <v>1079</v>
          </cell>
          <cell r="AV1287">
            <v>682</v>
          </cell>
          <cell r="AW1287">
            <v>298</v>
          </cell>
          <cell r="AX1287">
            <v>0</v>
          </cell>
          <cell r="AY1287">
            <v>0</v>
          </cell>
          <cell r="AZ1287">
            <v>16</v>
          </cell>
          <cell r="BA1287">
            <v>83</v>
          </cell>
        </row>
        <row r="1288">
          <cell r="AS1288" t="str">
            <v>17031839000</v>
          </cell>
          <cell r="AT1288">
            <v>10026</v>
          </cell>
          <cell r="AU1288">
            <v>6790</v>
          </cell>
          <cell r="AV1288">
            <v>2375</v>
          </cell>
          <cell r="AW1288">
            <v>1689</v>
          </cell>
          <cell r="AX1288">
            <v>8</v>
          </cell>
          <cell r="AY1288">
            <v>83</v>
          </cell>
          <cell r="AZ1288">
            <v>1838</v>
          </cell>
          <cell r="BA1288">
            <v>797</v>
          </cell>
        </row>
        <row r="1289">
          <cell r="AS1289" t="str">
            <v>17031839100</v>
          </cell>
          <cell r="AT1289">
            <v>7916</v>
          </cell>
          <cell r="AU1289">
            <v>5638</v>
          </cell>
          <cell r="AV1289">
            <v>848</v>
          </cell>
          <cell r="AW1289">
            <v>1184</v>
          </cell>
          <cell r="AX1289">
            <v>174</v>
          </cell>
          <cell r="AY1289">
            <v>19</v>
          </cell>
          <cell r="AZ1289">
            <v>2398</v>
          </cell>
          <cell r="BA1289">
            <v>1015</v>
          </cell>
        </row>
        <row r="1290">
          <cell r="AS1290" t="str">
            <v>17031839200</v>
          </cell>
          <cell r="AT1290">
            <v>2434</v>
          </cell>
          <cell r="AU1290">
            <v>1163</v>
          </cell>
          <cell r="AV1290">
            <v>614</v>
          </cell>
          <cell r="AW1290">
            <v>289</v>
          </cell>
          <cell r="AX1290">
            <v>75</v>
          </cell>
          <cell r="AY1290">
            <v>31</v>
          </cell>
          <cell r="AZ1290">
            <v>0</v>
          </cell>
          <cell r="BA1290">
            <v>154</v>
          </cell>
        </row>
        <row r="1291">
          <cell r="AS1291" t="str">
            <v>17031839500</v>
          </cell>
          <cell r="AT1291">
            <v>1588</v>
          </cell>
          <cell r="AU1291">
            <v>576</v>
          </cell>
          <cell r="AV1291">
            <v>284</v>
          </cell>
          <cell r="AW1291">
            <v>94</v>
          </cell>
          <cell r="AX1291">
            <v>0</v>
          </cell>
          <cell r="AY1291">
            <v>13</v>
          </cell>
          <cell r="AZ1291">
            <v>62</v>
          </cell>
          <cell r="BA1291">
            <v>123</v>
          </cell>
        </row>
        <row r="1292">
          <cell r="AS1292" t="str">
            <v>17031839600</v>
          </cell>
          <cell r="AT1292">
            <v>1688</v>
          </cell>
          <cell r="AU1292">
            <v>669</v>
          </cell>
          <cell r="AV1292">
            <v>374</v>
          </cell>
          <cell r="AW1292">
            <v>154</v>
          </cell>
          <cell r="AX1292">
            <v>0</v>
          </cell>
          <cell r="AY1292">
            <v>0</v>
          </cell>
          <cell r="AZ1292">
            <v>55</v>
          </cell>
          <cell r="BA1292">
            <v>86</v>
          </cell>
        </row>
        <row r="1293">
          <cell r="AS1293" t="str">
            <v>17031839700</v>
          </cell>
          <cell r="AT1293">
            <v>4752</v>
          </cell>
          <cell r="AU1293">
            <v>2285</v>
          </cell>
          <cell r="AV1293">
            <v>1468</v>
          </cell>
          <cell r="AW1293">
            <v>530</v>
          </cell>
          <cell r="AX1293">
            <v>27</v>
          </cell>
          <cell r="AY1293">
            <v>71</v>
          </cell>
          <cell r="AZ1293">
            <v>71</v>
          </cell>
          <cell r="BA1293">
            <v>118</v>
          </cell>
        </row>
        <row r="1294">
          <cell r="AS1294" t="str">
            <v>17031839800</v>
          </cell>
          <cell r="AT1294">
            <v>2667</v>
          </cell>
          <cell r="AU1294">
            <v>1407</v>
          </cell>
          <cell r="AV1294">
            <v>762</v>
          </cell>
          <cell r="AW1294">
            <v>363</v>
          </cell>
          <cell r="AX1294">
            <v>0</v>
          </cell>
          <cell r="AY1294">
            <v>53</v>
          </cell>
          <cell r="AZ1294">
            <v>75</v>
          </cell>
          <cell r="BA1294">
            <v>154</v>
          </cell>
        </row>
        <row r="1295">
          <cell r="AS1295" t="str">
            <v>17031839900</v>
          </cell>
          <cell r="AT1295">
            <v>4471</v>
          </cell>
          <cell r="AU1295">
            <v>2566</v>
          </cell>
          <cell r="AV1295">
            <v>1785</v>
          </cell>
          <cell r="AW1295">
            <v>455</v>
          </cell>
          <cell r="AX1295">
            <v>0</v>
          </cell>
          <cell r="AY1295">
            <v>32</v>
          </cell>
          <cell r="AZ1295">
            <v>33</v>
          </cell>
          <cell r="BA1295">
            <v>261</v>
          </cell>
        </row>
        <row r="1296">
          <cell r="AS1296" t="str">
            <v>17031840000</v>
          </cell>
          <cell r="AT1296">
            <v>2502</v>
          </cell>
          <cell r="AU1296">
            <v>1361</v>
          </cell>
          <cell r="AV1296">
            <v>889</v>
          </cell>
          <cell r="AW1296">
            <v>308</v>
          </cell>
          <cell r="AX1296">
            <v>10</v>
          </cell>
          <cell r="AY1296">
            <v>0</v>
          </cell>
          <cell r="AZ1296">
            <v>55</v>
          </cell>
          <cell r="BA1296">
            <v>99</v>
          </cell>
        </row>
        <row r="1297">
          <cell r="AS1297" t="str">
            <v>17031840100</v>
          </cell>
          <cell r="AT1297">
            <v>3303</v>
          </cell>
          <cell r="AU1297">
            <v>1644</v>
          </cell>
          <cell r="AV1297">
            <v>998</v>
          </cell>
          <cell r="AW1297">
            <v>430</v>
          </cell>
          <cell r="AX1297">
            <v>0</v>
          </cell>
          <cell r="AY1297">
            <v>55</v>
          </cell>
          <cell r="AZ1297">
            <v>115</v>
          </cell>
          <cell r="BA1297">
            <v>46</v>
          </cell>
        </row>
        <row r="1298">
          <cell r="AS1298" t="str">
            <v>17031840200</v>
          </cell>
          <cell r="AT1298">
            <v>2190</v>
          </cell>
          <cell r="AU1298">
            <v>998</v>
          </cell>
          <cell r="AV1298">
            <v>671</v>
          </cell>
          <cell r="AW1298">
            <v>217</v>
          </cell>
          <cell r="AX1298">
            <v>0</v>
          </cell>
          <cell r="AY1298">
            <v>6</v>
          </cell>
          <cell r="AZ1298">
            <v>52</v>
          </cell>
          <cell r="BA1298">
            <v>52</v>
          </cell>
        </row>
        <row r="1299">
          <cell r="AS1299" t="str">
            <v>17031840300</v>
          </cell>
          <cell r="AT1299">
            <v>3618</v>
          </cell>
          <cell r="AU1299">
            <v>1783</v>
          </cell>
          <cell r="AV1299">
            <v>1095</v>
          </cell>
          <cell r="AW1299">
            <v>532</v>
          </cell>
          <cell r="AX1299">
            <v>0</v>
          </cell>
          <cell r="AY1299">
            <v>0</v>
          </cell>
          <cell r="AZ1299">
            <v>41</v>
          </cell>
          <cell r="BA1299">
            <v>115</v>
          </cell>
        </row>
        <row r="1300">
          <cell r="AS1300" t="str">
            <v>17031840400</v>
          </cell>
          <cell r="AT1300">
            <v>3153</v>
          </cell>
          <cell r="AU1300">
            <v>1558</v>
          </cell>
          <cell r="AV1300">
            <v>1098</v>
          </cell>
          <cell r="AW1300">
            <v>401</v>
          </cell>
          <cell r="AX1300">
            <v>0</v>
          </cell>
          <cell r="AY1300">
            <v>0</v>
          </cell>
          <cell r="AZ1300">
            <v>41</v>
          </cell>
          <cell r="BA1300">
            <v>18</v>
          </cell>
        </row>
        <row r="1301">
          <cell r="AS1301" t="str">
            <v>17031840700</v>
          </cell>
          <cell r="AT1301">
            <v>3508</v>
          </cell>
          <cell r="AU1301">
            <v>1785</v>
          </cell>
          <cell r="AV1301">
            <v>836</v>
          </cell>
          <cell r="AW1301">
            <v>690</v>
          </cell>
          <cell r="AX1301">
            <v>0</v>
          </cell>
          <cell r="AY1301">
            <v>50</v>
          </cell>
          <cell r="AZ1301">
            <v>47</v>
          </cell>
          <cell r="BA1301">
            <v>162</v>
          </cell>
        </row>
        <row r="1302">
          <cell r="AS1302" t="str">
            <v>17031840800</v>
          </cell>
          <cell r="AT1302">
            <v>3243</v>
          </cell>
          <cell r="AU1302">
            <v>1239</v>
          </cell>
          <cell r="AV1302">
            <v>907</v>
          </cell>
          <cell r="AW1302">
            <v>195</v>
          </cell>
          <cell r="AX1302">
            <v>0</v>
          </cell>
          <cell r="AY1302">
            <v>51</v>
          </cell>
          <cell r="AZ1302">
            <v>38</v>
          </cell>
          <cell r="BA1302">
            <v>48</v>
          </cell>
        </row>
        <row r="1303">
          <cell r="AS1303" t="str">
            <v>17031841000</v>
          </cell>
          <cell r="AT1303">
            <v>1025</v>
          </cell>
          <cell r="AU1303">
            <v>643</v>
          </cell>
          <cell r="AV1303">
            <v>362</v>
          </cell>
          <cell r="AW1303">
            <v>130</v>
          </cell>
          <cell r="AX1303">
            <v>0</v>
          </cell>
          <cell r="AY1303">
            <v>30</v>
          </cell>
          <cell r="AZ1303">
            <v>39</v>
          </cell>
          <cell r="BA1303">
            <v>82</v>
          </cell>
        </row>
        <row r="1304">
          <cell r="AS1304" t="str">
            <v>17031841100</v>
          </cell>
          <cell r="AT1304">
            <v>7165</v>
          </cell>
          <cell r="AU1304">
            <v>3248</v>
          </cell>
          <cell r="AV1304">
            <v>1889</v>
          </cell>
          <cell r="AW1304">
            <v>775</v>
          </cell>
          <cell r="AX1304">
            <v>0</v>
          </cell>
          <cell r="AY1304">
            <v>0</v>
          </cell>
          <cell r="AZ1304">
            <v>394</v>
          </cell>
          <cell r="BA1304">
            <v>190</v>
          </cell>
        </row>
        <row r="1305">
          <cell r="AS1305" t="str">
            <v>17031841200</v>
          </cell>
          <cell r="AT1305">
            <v>4682</v>
          </cell>
          <cell r="AU1305">
            <v>2299</v>
          </cell>
          <cell r="AV1305">
            <v>1250</v>
          </cell>
          <cell r="AW1305">
            <v>598</v>
          </cell>
          <cell r="AX1305">
            <v>68</v>
          </cell>
          <cell r="AY1305">
            <v>13</v>
          </cell>
          <cell r="AZ1305">
            <v>148</v>
          </cell>
          <cell r="BA1305">
            <v>222</v>
          </cell>
        </row>
        <row r="1306">
          <cell r="AS1306" t="str">
            <v>17031841300</v>
          </cell>
          <cell r="AT1306">
            <v>4299</v>
          </cell>
          <cell r="AU1306">
            <v>2339</v>
          </cell>
          <cell r="AV1306">
            <v>1354</v>
          </cell>
          <cell r="AW1306">
            <v>675</v>
          </cell>
          <cell r="AX1306">
            <v>35</v>
          </cell>
          <cell r="AY1306">
            <v>52</v>
          </cell>
          <cell r="AZ1306">
            <v>67</v>
          </cell>
          <cell r="BA1306">
            <v>156</v>
          </cell>
        </row>
        <row r="1307">
          <cell r="AS1307" t="str">
            <v>17031841500</v>
          </cell>
          <cell r="AT1307">
            <v>2369</v>
          </cell>
          <cell r="AU1307">
            <v>732</v>
          </cell>
          <cell r="AV1307">
            <v>351</v>
          </cell>
          <cell r="AW1307">
            <v>287</v>
          </cell>
          <cell r="AX1307">
            <v>12</v>
          </cell>
          <cell r="AY1307">
            <v>8</v>
          </cell>
          <cell r="AZ1307">
            <v>0</v>
          </cell>
          <cell r="BA1307">
            <v>74</v>
          </cell>
        </row>
        <row r="1308">
          <cell r="AS1308" t="str">
            <v>17031841700</v>
          </cell>
          <cell r="AT1308">
            <v>1444</v>
          </cell>
          <cell r="AU1308">
            <v>350</v>
          </cell>
          <cell r="AV1308">
            <v>220</v>
          </cell>
          <cell r="AW1308">
            <v>104</v>
          </cell>
          <cell r="AX1308">
            <v>0</v>
          </cell>
          <cell r="AY1308">
            <v>5</v>
          </cell>
          <cell r="AZ1308">
            <v>14</v>
          </cell>
          <cell r="BA1308">
            <v>7</v>
          </cell>
        </row>
        <row r="1309">
          <cell r="AS1309" t="str">
            <v>17031841800</v>
          </cell>
          <cell r="AT1309">
            <v>2502</v>
          </cell>
          <cell r="AU1309">
            <v>825</v>
          </cell>
          <cell r="AV1309">
            <v>573</v>
          </cell>
          <cell r="AW1309">
            <v>190</v>
          </cell>
          <cell r="AX1309">
            <v>0</v>
          </cell>
          <cell r="AY1309">
            <v>8</v>
          </cell>
          <cell r="AZ1309">
            <v>23</v>
          </cell>
          <cell r="BA1309">
            <v>31</v>
          </cell>
        </row>
        <row r="1310">
          <cell r="AS1310" t="str">
            <v>17031841900</v>
          </cell>
          <cell r="AT1310">
            <v>6391</v>
          </cell>
          <cell r="AU1310">
            <v>2804</v>
          </cell>
          <cell r="AV1310">
            <v>972</v>
          </cell>
          <cell r="AW1310">
            <v>537</v>
          </cell>
          <cell r="AX1310">
            <v>67</v>
          </cell>
          <cell r="AY1310">
            <v>53</v>
          </cell>
          <cell r="AZ1310">
            <v>838</v>
          </cell>
          <cell r="BA1310">
            <v>337</v>
          </cell>
        </row>
        <row r="1311">
          <cell r="AS1311" t="str">
            <v>17031842000</v>
          </cell>
          <cell r="AT1311">
            <v>3145</v>
          </cell>
          <cell r="AU1311">
            <v>876</v>
          </cell>
          <cell r="AV1311">
            <v>321</v>
          </cell>
          <cell r="AW1311">
            <v>115</v>
          </cell>
          <cell r="AX1311">
            <v>0</v>
          </cell>
          <cell r="AY1311">
            <v>7</v>
          </cell>
          <cell r="AZ1311">
            <v>301</v>
          </cell>
          <cell r="BA1311">
            <v>132</v>
          </cell>
        </row>
        <row r="1312">
          <cell r="AS1312" t="str">
            <v>17031842100</v>
          </cell>
          <cell r="AT1312">
            <v>7608</v>
          </cell>
          <cell r="AU1312">
            <v>3053</v>
          </cell>
          <cell r="AV1312">
            <v>2413</v>
          </cell>
          <cell r="AW1312">
            <v>564</v>
          </cell>
          <cell r="AX1312">
            <v>0</v>
          </cell>
          <cell r="AY1312">
            <v>0</v>
          </cell>
          <cell r="AZ1312">
            <v>43</v>
          </cell>
          <cell r="BA1312">
            <v>33</v>
          </cell>
        </row>
        <row r="1313">
          <cell r="AS1313" t="str">
            <v>17031842200</v>
          </cell>
          <cell r="AT1313">
            <v>3619</v>
          </cell>
          <cell r="AU1313">
            <v>2400</v>
          </cell>
          <cell r="AV1313">
            <v>737</v>
          </cell>
          <cell r="AW1313">
            <v>806</v>
          </cell>
          <cell r="AX1313">
            <v>68</v>
          </cell>
          <cell r="AY1313">
            <v>18</v>
          </cell>
          <cell r="AZ1313">
            <v>440</v>
          </cell>
          <cell r="BA1313">
            <v>331</v>
          </cell>
        </row>
        <row r="1314">
          <cell r="AS1314" t="str">
            <v>17031842300</v>
          </cell>
          <cell r="AT1314">
            <v>3123</v>
          </cell>
          <cell r="AU1314">
            <v>2161</v>
          </cell>
          <cell r="AV1314">
            <v>652</v>
          </cell>
          <cell r="AW1314">
            <v>570</v>
          </cell>
          <cell r="AX1314">
            <v>82</v>
          </cell>
          <cell r="AY1314">
            <v>20</v>
          </cell>
          <cell r="AZ1314">
            <v>371</v>
          </cell>
          <cell r="BA1314">
            <v>466</v>
          </cell>
        </row>
        <row r="1315">
          <cell r="AS1315" t="str">
            <v>17031842400</v>
          </cell>
          <cell r="AT1315">
            <v>3098</v>
          </cell>
          <cell r="AU1315">
            <v>950</v>
          </cell>
          <cell r="AV1315">
            <v>569</v>
          </cell>
          <cell r="AW1315">
            <v>283</v>
          </cell>
          <cell r="AX1315">
            <v>37</v>
          </cell>
          <cell r="AY1315">
            <v>0</v>
          </cell>
          <cell r="AZ1315">
            <v>0</v>
          </cell>
          <cell r="BA1315">
            <v>61</v>
          </cell>
        </row>
        <row r="1316">
          <cell r="AS1316" t="str">
            <v>17031842500</v>
          </cell>
          <cell r="AT1316">
            <v>2145</v>
          </cell>
          <cell r="AU1316">
            <v>451</v>
          </cell>
          <cell r="AV1316">
            <v>112</v>
          </cell>
          <cell r="AW1316">
            <v>327</v>
          </cell>
          <cell r="AX1316">
            <v>0</v>
          </cell>
          <cell r="AY1316">
            <v>0</v>
          </cell>
          <cell r="AZ1316">
            <v>0</v>
          </cell>
          <cell r="BA1316">
            <v>12</v>
          </cell>
        </row>
        <row r="1317">
          <cell r="AS1317" t="str">
            <v>17031842600</v>
          </cell>
          <cell r="AT1317">
            <v>4155</v>
          </cell>
          <cell r="AU1317">
            <v>2075</v>
          </cell>
          <cell r="AV1317">
            <v>1586</v>
          </cell>
          <cell r="AW1317">
            <v>281</v>
          </cell>
          <cell r="AX1317">
            <v>24</v>
          </cell>
          <cell r="AY1317">
            <v>29</v>
          </cell>
          <cell r="AZ1317">
            <v>71</v>
          </cell>
          <cell r="BA1317">
            <v>84</v>
          </cell>
        </row>
        <row r="1318">
          <cell r="AS1318" t="str">
            <v>17031842800</v>
          </cell>
          <cell r="AT1318">
            <v>6916</v>
          </cell>
          <cell r="AU1318">
            <v>2438</v>
          </cell>
          <cell r="AV1318">
            <v>1659</v>
          </cell>
          <cell r="AW1318">
            <v>523</v>
          </cell>
          <cell r="AX1318">
            <v>0</v>
          </cell>
          <cell r="AY1318">
            <v>78</v>
          </cell>
          <cell r="AZ1318">
            <v>160</v>
          </cell>
          <cell r="BA1318">
            <v>18</v>
          </cell>
        </row>
        <row r="1319">
          <cell r="AS1319" t="str">
            <v>17031842900</v>
          </cell>
          <cell r="AT1319">
            <v>2711</v>
          </cell>
          <cell r="AU1319">
            <v>1216</v>
          </cell>
          <cell r="AV1319">
            <v>745</v>
          </cell>
          <cell r="AW1319">
            <v>262</v>
          </cell>
          <cell r="AX1319">
            <v>0</v>
          </cell>
          <cell r="AY1319">
            <v>4</v>
          </cell>
          <cell r="AZ1319">
            <v>109</v>
          </cell>
          <cell r="BA1319">
            <v>96</v>
          </cell>
        </row>
        <row r="1320">
          <cell r="AS1320" t="str">
            <v>17031843000</v>
          </cell>
          <cell r="AT1320">
            <v>2494</v>
          </cell>
          <cell r="AU1320">
            <v>680</v>
          </cell>
          <cell r="AV1320">
            <v>439</v>
          </cell>
          <cell r="AW1320">
            <v>163</v>
          </cell>
          <cell r="AX1320">
            <v>0</v>
          </cell>
          <cell r="AY1320">
            <v>0</v>
          </cell>
          <cell r="AZ1320">
            <v>0</v>
          </cell>
          <cell r="BA1320">
            <v>78</v>
          </cell>
        </row>
        <row r="1321">
          <cell r="AS1321" t="str">
            <v>17031843100</v>
          </cell>
          <cell r="AT1321">
            <v>1449</v>
          </cell>
          <cell r="AU1321">
            <v>613</v>
          </cell>
          <cell r="AV1321">
            <v>417</v>
          </cell>
          <cell r="AW1321">
            <v>183</v>
          </cell>
          <cell r="AX1321">
            <v>0</v>
          </cell>
          <cell r="AY1321">
            <v>5</v>
          </cell>
          <cell r="AZ1321">
            <v>8</v>
          </cell>
          <cell r="BA1321">
            <v>0</v>
          </cell>
        </row>
        <row r="1322">
          <cell r="AS1322" t="str">
            <v>17031843200</v>
          </cell>
          <cell r="AT1322">
            <v>2251</v>
          </cell>
          <cell r="AU1322">
            <v>1325</v>
          </cell>
          <cell r="AV1322">
            <v>589</v>
          </cell>
          <cell r="AW1322">
            <v>455</v>
          </cell>
          <cell r="AX1322">
            <v>13</v>
          </cell>
          <cell r="AY1322">
            <v>11</v>
          </cell>
          <cell r="AZ1322">
            <v>54</v>
          </cell>
          <cell r="BA1322">
            <v>203</v>
          </cell>
        </row>
        <row r="1323">
          <cell r="AS1323" t="str">
            <v>17031843300</v>
          </cell>
          <cell r="AT1323">
            <v>1713</v>
          </cell>
          <cell r="AU1323">
            <v>622</v>
          </cell>
          <cell r="AV1323">
            <v>296</v>
          </cell>
          <cell r="AW1323">
            <v>172</v>
          </cell>
          <cell r="AX1323">
            <v>32</v>
          </cell>
          <cell r="AY1323">
            <v>12</v>
          </cell>
          <cell r="AZ1323">
            <v>57</v>
          </cell>
          <cell r="BA1323">
            <v>53</v>
          </cell>
        </row>
        <row r="1324">
          <cell r="AS1324" t="str">
            <v>17031843400</v>
          </cell>
          <cell r="AT1324">
            <v>1379</v>
          </cell>
          <cell r="AU1324">
            <v>483</v>
          </cell>
          <cell r="AV1324">
            <v>263</v>
          </cell>
          <cell r="AW1324">
            <v>151</v>
          </cell>
          <cell r="AX1324">
            <v>0</v>
          </cell>
          <cell r="AY1324">
            <v>0</v>
          </cell>
          <cell r="AZ1324">
            <v>55</v>
          </cell>
          <cell r="BA1324">
            <v>14</v>
          </cell>
        </row>
        <row r="1325">
          <cell r="AS1325" t="str">
            <v>17031843500</v>
          </cell>
          <cell r="AT1325">
            <v>10673</v>
          </cell>
          <cell r="AU1325">
            <v>340</v>
          </cell>
          <cell r="AV1325">
            <v>329</v>
          </cell>
          <cell r="AW1325">
            <v>5</v>
          </cell>
          <cell r="AX1325">
            <v>0</v>
          </cell>
          <cell r="AY1325">
            <v>0</v>
          </cell>
          <cell r="AZ1325">
            <v>6</v>
          </cell>
          <cell r="BA1325">
            <v>0</v>
          </cell>
        </row>
        <row r="1326">
          <cell r="AS1326" t="str">
            <v>17031843600</v>
          </cell>
          <cell r="AT1326">
            <v>2993</v>
          </cell>
          <cell r="AU1326">
            <v>1470</v>
          </cell>
          <cell r="AV1326">
            <v>905</v>
          </cell>
          <cell r="AW1326">
            <v>382</v>
          </cell>
          <cell r="AX1326">
            <v>11</v>
          </cell>
          <cell r="AY1326">
            <v>0</v>
          </cell>
          <cell r="AZ1326">
            <v>12</v>
          </cell>
          <cell r="BA1326">
            <v>160</v>
          </cell>
        </row>
        <row r="1327">
          <cell r="AS1327" t="str">
            <v>17031843700</v>
          </cell>
          <cell r="AT1327">
            <v>2376</v>
          </cell>
          <cell r="AU1327">
            <v>1329</v>
          </cell>
          <cell r="AV1327">
            <v>607</v>
          </cell>
          <cell r="AW1327">
            <v>343</v>
          </cell>
          <cell r="AX1327">
            <v>0</v>
          </cell>
          <cell r="AY1327">
            <v>19</v>
          </cell>
          <cell r="AZ1327">
            <v>13</v>
          </cell>
          <cell r="BA1327">
            <v>347</v>
          </cell>
        </row>
        <row r="1328">
          <cell r="AS1328" t="str">
            <v>17031843800</v>
          </cell>
          <cell r="AT1328">
            <v>1475</v>
          </cell>
          <cell r="AU1328">
            <v>587</v>
          </cell>
          <cell r="AV1328">
            <v>403</v>
          </cell>
          <cell r="AW1328">
            <v>106</v>
          </cell>
          <cell r="AX1328">
            <v>0</v>
          </cell>
          <cell r="AY1328">
            <v>0</v>
          </cell>
          <cell r="AZ1328">
            <v>16</v>
          </cell>
          <cell r="BA1328">
            <v>62</v>
          </cell>
        </row>
        <row r="1329">
          <cell r="AS1329" t="str">
            <v>17031843900</v>
          </cell>
          <cell r="AT1329">
            <v>3433</v>
          </cell>
          <cell r="AU1329">
            <v>1711</v>
          </cell>
          <cell r="AV1329">
            <v>973</v>
          </cell>
          <cell r="AW1329">
            <v>508</v>
          </cell>
          <cell r="AX1329">
            <v>0</v>
          </cell>
          <cell r="AY1329">
            <v>0</v>
          </cell>
          <cell r="AZ1329">
            <v>11</v>
          </cell>
          <cell r="BA1329">
            <v>219</v>
          </cell>
        </row>
        <row r="1330">
          <cell r="AS1330" t="str">
            <v>17031844600</v>
          </cell>
          <cell r="AT1330">
            <v>2188</v>
          </cell>
          <cell r="AU1330">
            <v>751</v>
          </cell>
          <cell r="AV1330">
            <v>416</v>
          </cell>
          <cell r="AW1330">
            <v>159</v>
          </cell>
          <cell r="AX1330">
            <v>24</v>
          </cell>
          <cell r="AY1330">
            <v>21</v>
          </cell>
          <cell r="AZ1330">
            <v>0</v>
          </cell>
          <cell r="BA1330">
            <v>131</v>
          </cell>
        </row>
        <row r="1331">
          <cell r="AS1331" t="str">
            <v>17031844700</v>
          </cell>
          <cell r="AT1331">
            <v>1453</v>
          </cell>
          <cell r="AU1331">
            <v>603</v>
          </cell>
          <cell r="AV1331">
            <v>340</v>
          </cell>
          <cell r="AW1331">
            <v>182</v>
          </cell>
          <cell r="AX1331">
            <v>0</v>
          </cell>
          <cell r="AY1331">
            <v>8</v>
          </cell>
          <cell r="AZ1331">
            <v>16</v>
          </cell>
          <cell r="BA1331">
            <v>57</v>
          </cell>
        </row>
        <row r="1332">
          <cell r="AS1332" t="str">
            <v>17031980000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</row>
        <row r="1333">
          <cell r="AS1333" t="str">
            <v>17031980100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</row>
        <row r="1334">
          <cell r="AS1334" t="str">
            <v>17031990000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S_16_5YR_B01003_with_ann"/>
    </sheetNames>
    <sheetDataSet>
      <sheetData sheetId="0">
        <row r="3">
          <cell r="B3">
            <v>17031010100</v>
          </cell>
          <cell r="D3">
            <v>4388</v>
          </cell>
        </row>
        <row r="4">
          <cell r="B4">
            <v>17031010201</v>
          </cell>
          <cell r="D4">
            <v>7032</v>
          </cell>
        </row>
        <row r="5">
          <cell r="B5">
            <v>17031010202</v>
          </cell>
          <cell r="D5">
            <v>2275</v>
          </cell>
        </row>
        <row r="6">
          <cell r="B6">
            <v>17031010300</v>
          </cell>
          <cell r="D6">
            <v>6205</v>
          </cell>
        </row>
        <row r="7">
          <cell r="B7">
            <v>17031010400</v>
          </cell>
          <cell r="D7">
            <v>5603</v>
          </cell>
        </row>
        <row r="8">
          <cell r="B8">
            <v>17031010501</v>
          </cell>
          <cell r="D8">
            <v>3906</v>
          </cell>
        </row>
        <row r="9">
          <cell r="B9">
            <v>17031010502</v>
          </cell>
          <cell r="D9">
            <v>3045</v>
          </cell>
        </row>
        <row r="10">
          <cell r="B10">
            <v>17031010503</v>
          </cell>
          <cell r="D10">
            <v>2112</v>
          </cell>
        </row>
        <row r="11">
          <cell r="B11">
            <v>17031010600</v>
          </cell>
          <cell r="D11">
            <v>6624</v>
          </cell>
        </row>
        <row r="12">
          <cell r="B12">
            <v>17031010701</v>
          </cell>
          <cell r="D12">
            <v>3921</v>
          </cell>
        </row>
        <row r="13">
          <cell r="B13">
            <v>17031010702</v>
          </cell>
          <cell r="D13">
            <v>5608</v>
          </cell>
        </row>
        <row r="14">
          <cell r="B14">
            <v>17031020100</v>
          </cell>
          <cell r="D14">
            <v>4025</v>
          </cell>
        </row>
        <row r="15">
          <cell r="B15">
            <v>17031020200</v>
          </cell>
          <cell r="D15">
            <v>6796</v>
          </cell>
        </row>
        <row r="16">
          <cell r="B16">
            <v>17031020301</v>
          </cell>
          <cell r="D16">
            <v>5297</v>
          </cell>
        </row>
        <row r="17">
          <cell r="B17">
            <v>17031020302</v>
          </cell>
          <cell r="D17">
            <v>4940</v>
          </cell>
        </row>
        <row r="18">
          <cell r="B18">
            <v>17031020400</v>
          </cell>
          <cell r="D18">
            <v>4624</v>
          </cell>
        </row>
        <row r="19">
          <cell r="B19">
            <v>17031020500</v>
          </cell>
          <cell r="D19">
            <v>5927</v>
          </cell>
        </row>
        <row r="20">
          <cell r="B20">
            <v>17031020601</v>
          </cell>
          <cell r="D20">
            <v>6380</v>
          </cell>
        </row>
        <row r="21">
          <cell r="B21">
            <v>17031020602</v>
          </cell>
          <cell r="D21">
            <v>4378</v>
          </cell>
        </row>
        <row r="22">
          <cell r="B22">
            <v>17031020701</v>
          </cell>
          <cell r="D22">
            <v>1692</v>
          </cell>
        </row>
        <row r="23">
          <cell r="B23">
            <v>17031020702</v>
          </cell>
          <cell r="D23">
            <v>7795</v>
          </cell>
        </row>
        <row r="24">
          <cell r="B24">
            <v>17031020801</v>
          </cell>
          <cell r="D24">
            <v>5084</v>
          </cell>
        </row>
        <row r="25">
          <cell r="B25">
            <v>17031020802</v>
          </cell>
          <cell r="D25">
            <v>7436</v>
          </cell>
        </row>
        <row r="26">
          <cell r="B26">
            <v>17031020901</v>
          </cell>
          <cell r="D26">
            <v>5203</v>
          </cell>
        </row>
        <row r="27">
          <cell r="B27">
            <v>17031020902</v>
          </cell>
          <cell r="D27">
            <v>4146</v>
          </cell>
        </row>
        <row r="28">
          <cell r="B28">
            <v>17031030101</v>
          </cell>
          <cell r="D28">
            <v>3547</v>
          </cell>
        </row>
        <row r="29">
          <cell r="B29">
            <v>17031030102</v>
          </cell>
          <cell r="D29">
            <v>2914</v>
          </cell>
        </row>
        <row r="30">
          <cell r="B30">
            <v>17031030103</v>
          </cell>
          <cell r="D30">
            <v>2313</v>
          </cell>
        </row>
        <row r="31">
          <cell r="B31">
            <v>17031030104</v>
          </cell>
          <cell r="D31">
            <v>3484</v>
          </cell>
        </row>
        <row r="32">
          <cell r="B32">
            <v>17031030200</v>
          </cell>
          <cell r="D32">
            <v>5251</v>
          </cell>
        </row>
        <row r="33">
          <cell r="B33">
            <v>17031030300</v>
          </cell>
          <cell r="D33">
            <v>3174</v>
          </cell>
        </row>
        <row r="34">
          <cell r="B34">
            <v>17031030400</v>
          </cell>
          <cell r="D34">
            <v>2584</v>
          </cell>
        </row>
        <row r="35">
          <cell r="B35">
            <v>17031030500</v>
          </cell>
          <cell r="D35">
            <v>6468</v>
          </cell>
        </row>
        <row r="36">
          <cell r="B36">
            <v>17031030601</v>
          </cell>
          <cell r="D36">
            <v>4001</v>
          </cell>
        </row>
        <row r="37">
          <cell r="B37">
            <v>17031030603</v>
          </cell>
          <cell r="D37">
            <v>1954</v>
          </cell>
        </row>
        <row r="38">
          <cell r="B38">
            <v>17031030604</v>
          </cell>
          <cell r="D38">
            <v>2973</v>
          </cell>
        </row>
        <row r="39">
          <cell r="B39">
            <v>17031030701</v>
          </cell>
          <cell r="D39">
            <v>1654</v>
          </cell>
        </row>
        <row r="40">
          <cell r="B40">
            <v>17031030702</v>
          </cell>
          <cell r="D40">
            <v>1572</v>
          </cell>
        </row>
        <row r="41">
          <cell r="B41">
            <v>17031030703</v>
          </cell>
          <cell r="D41">
            <v>2727</v>
          </cell>
        </row>
        <row r="42">
          <cell r="B42">
            <v>17031030706</v>
          </cell>
          <cell r="D42">
            <v>3590</v>
          </cell>
        </row>
        <row r="43">
          <cell r="B43">
            <v>17031030800</v>
          </cell>
          <cell r="D43">
            <v>4184</v>
          </cell>
        </row>
        <row r="44">
          <cell r="B44">
            <v>17031030900</v>
          </cell>
          <cell r="D44">
            <v>3040</v>
          </cell>
        </row>
        <row r="45">
          <cell r="B45">
            <v>17031031000</v>
          </cell>
          <cell r="D45">
            <v>3987</v>
          </cell>
        </row>
        <row r="46">
          <cell r="B46">
            <v>17031031100</v>
          </cell>
          <cell r="D46">
            <v>4377</v>
          </cell>
        </row>
        <row r="47">
          <cell r="B47">
            <v>17031031200</v>
          </cell>
          <cell r="D47">
            <v>5756</v>
          </cell>
        </row>
        <row r="48">
          <cell r="B48">
            <v>17031031300</v>
          </cell>
          <cell r="D48">
            <v>7800</v>
          </cell>
        </row>
        <row r="49">
          <cell r="B49">
            <v>17031031400</v>
          </cell>
          <cell r="D49">
            <v>5068</v>
          </cell>
        </row>
        <row r="50">
          <cell r="B50">
            <v>17031031501</v>
          </cell>
          <cell r="D50">
            <v>4118</v>
          </cell>
        </row>
        <row r="51">
          <cell r="B51">
            <v>17031031502</v>
          </cell>
          <cell r="D51">
            <v>4052</v>
          </cell>
        </row>
        <row r="52">
          <cell r="B52">
            <v>17031031700</v>
          </cell>
          <cell r="D52">
            <v>6925</v>
          </cell>
        </row>
        <row r="53">
          <cell r="B53">
            <v>17031031800</v>
          </cell>
          <cell r="D53">
            <v>1770</v>
          </cell>
        </row>
        <row r="54">
          <cell r="B54">
            <v>17031031900</v>
          </cell>
          <cell r="D54">
            <v>2327</v>
          </cell>
        </row>
        <row r="55">
          <cell r="B55">
            <v>17031032100</v>
          </cell>
          <cell r="D55">
            <v>6685</v>
          </cell>
        </row>
        <row r="56">
          <cell r="B56">
            <v>17031040100</v>
          </cell>
          <cell r="D56">
            <v>3996</v>
          </cell>
        </row>
        <row r="57">
          <cell r="B57">
            <v>17031040201</v>
          </cell>
          <cell r="D57">
            <v>6703</v>
          </cell>
        </row>
        <row r="58">
          <cell r="B58">
            <v>17031040202</v>
          </cell>
          <cell r="D58">
            <v>7188</v>
          </cell>
        </row>
        <row r="59">
          <cell r="B59">
            <v>17031040300</v>
          </cell>
          <cell r="D59">
            <v>2939</v>
          </cell>
        </row>
        <row r="60">
          <cell r="B60">
            <v>17031040401</v>
          </cell>
          <cell r="D60">
            <v>3179</v>
          </cell>
        </row>
        <row r="61">
          <cell r="B61">
            <v>17031040402</v>
          </cell>
          <cell r="D61">
            <v>4969</v>
          </cell>
        </row>
        <row r="62">
          <cell r="B62">
            <v>17031040600</v>
          </cell>
          <cell r="D62">
            <v>2560</v>
          </cell>
        </row>
        <row r="63">
          <cell r="B63">
            <v>17031040700</v>
          </cell>
          <cell r="D63">
            <v>3393</v>
          </cell>
        </row>
        <row r="64">
          <cell r="B64">
            <v>17031040800</v>
          </cell>
          <cell r="D64">
            <v>1838</v>
          </cell>
        </row>
        <row r="65">
          <cell r="B65">
            <v>17031040900</v>
          </cell>
          <cell r="D65">
            <v>2153</v>
          </cell>
        </row>
        <row r="66">
          <cell r="B66">
            <v>17031050100</v>
          </cell>
          <cell r="D66">
            <v>2584</v>
          </cell>
        </row>
        <row r="67">
          <cell r="B67">
            <v>17031050200</v>
          </cell>
          <cell r="D67">
            <v>4953</v>
          </cell>
        </row>
        <row r="68">
          <cell r="B68">
            <v>17031050300</v>
          </cell>
          <cell r="D68">
            <v>2633</v>
          </cell>
        </row>
        <row r="69">
          <cell r="B69">
            <v>17031050500</v>
          </cell>
          <cell r="D69">
            <v>6129</v>
          </cell>
        </row>
        <row r="70">
          <cell r="B70">
            <v>17031050600</v>
          </cell>
          <cell r="D70">
            <v>2164</v>
          </cell>
        </row>
        <row r="71">
          <cell r="B71">
            <v>17031050700</v>
          </cell>
          <cell r="D71">
            <v>1610</v>
          </cell>
        </row>
        <row r="72">
          <cell r="B72">
            <v>17031050800</v>
          </cell>
          <cell r="D72">
            <v>1436</v>
          </cell>
        </row>
        <row r="73">
          <cell r="B73">
            <v>17031050900</v>
          </cell>
          <cell r="D73">
            <v>1452</v>
          </cell>
        </row>
        <row r="74">
          <cell r="B74">
            <v>17031051000</v>
          </cell>
          <cell r="D74">
            <v>1708</v>
          </cell>
        </row>
        <row r="75">
          <cell r="B75">
            <v>17031051100</v>
          </cell>
          <cell r="D75">
            <v>1516</v>
          </cell>
        </row>
        <row r="76">
          <cell r="B76">
            <v>17031051200</v>
          </cell>
          <cell r="D76">
            <v>1699</v>
          </cell>
        </row>
        <row r="77">
          <cell r="B77">
            <v>17031051300</v>
          </cell>
          <cell r="D77">
            <v>2691</v>
          </cell>
        </row>
        <row r="78">
          <cell r="B78">
            <v>17031051400</v>
          </cell>
          <cell r="D78">
            <v>1852</v>
          </cell>
        </row>
        <row r="79">
          <cell r="B79">
            <v>17031060100</v>
          </cell>
          <cell r="D79">
            <v>2708</v>
          </cell>
        </row>
        <row r="80">
          <cell r="B80">
            <v>17031060200</v>
          </cell>
          <cell r="D80">
            <v>2255</v>
          </cell>
        </row>
        <row r="81">
          <cell r="B81">
            <v>17031060300</v>
          </cell>
          <cell r="D81">
            <v>3259</v>
          </cell>
        </row>
        <row r="82">
          <cell r="B82">
            <v>17031060400</v>
          </cell>
          <cell r="D82">
            <v>3971</v>
          </cell>
        </row>
        <row r="83">
          <cell r="B83">
            <v>17031060500</v>
          </cell>
          <cell r="D83">
            <v>1264</v>
          </cell>
        </row>
        <row r="84">
          <cell r="B84">
            <v>17031060800</v>
          </cell>
          <cell r="D84">
            <v>5042</v>
          </cell>
        </row>
        <row r="85">
          <cell r="B85">
            <v>17031060900</v>
          </cell>
          <cell r="D85">
            <v>7062</v>
          </cell>
        </row>
        <row r="86">
          <cell r="B86">
            <v>17031061000</v>
          </cell>
          <cell r="D86">
            <v>1878</v>
          </cell>
        </row>
        <row r="87">
          <cell r="B87">
            <v>17031061100</v>
          </cell>
          <cell r="D87">
            <v>1508</v>
          </cell>
        </row>
        <row r="88">
          <cell r="B88">
            <v>17031061200</v>
          </cell>
          <cell r="D88">
            <v>2061</v>
          </cell>
        </row>
        <row r="89">
          <cell r="B89">
            <v>17031061500</v>
          </cell>
          <cell r="D89">
            <v>1820</v>
          </cell>
        </row>
        <row r="90">
          <cell r="B90">
            <v>17031061800</v>
          </cell>
          <cell r="D90">
            <v>1216</v>
          </cell>
        </row>
        <row r="91">
          <cell r="B91">
            <v>17031061901</v>
          </cell>
          <cell r="D91">
            <v>3810</v>
          </cell>
        </row>
        <row r="92">
          <cell r="B92">
            <v>17031061902</v>
          </cell>
          <cell r="D92">
            <v>4327</v>
          </cell>
        </row>
        <row r="93">
          <cell r="B93">
            <v>17031062000</v>
          </cell>
          <cell r="D93">
            <v>2942</v>
          </cell>
        </row>
        <row r="94">
          <cell r="B94">
            <v>17031062100</v>
          </cell>
          <cell r="D94">
            <v>3671</v>
          </cell>
        </row>
        <row r="95">
          <cell r="B95">
            <v>17031062200</v>
          </cell>
          <cell r="D95">
            <v>2878</v>
          </cell>
        </row>
        <row r="96">
          <cell r="B96">
            <v>17031062300</v>
          </cell>
          <cell r="D96">
            <v>1682</v>
          </cell>
        </row>
        <row r="97">
          <cell r="B97">
            <v>17031062400</v>
          </cell>
          <cell r="D97">
            <v>1486</v>
          </cell>
        </row>
        <row r="98">
          <cell r="B98">
            <v>17031062500</v>
          </cell>
          <cell r="D98">
            <v>1531</v>
          </cell>
        </row>
        <row r="99">
          <cell r="B99">
            <v>17031062600</v>
          </cell>
          <cell r="D99">
            <v>2247</v>
          </cell>
        </row>
        <row r="100">
          <cell r="B100">
            <v>17031062700</v>
          </cell>
          <cell r="D100">
            <v>2880</v>
          </cell>
        </row>
        <row r="101">
          <cell r="B101">
            <v>17031062800</v>
          </cell>
          <cell r="D101">
            <v>3760</v>
          </cell>
        </row>
        <row r="102">
          <cell r="B102">
            <v>17031062900</v>
          </cell>
          <cell r="D102">
            <v>3920</v>
          </cell>
        </row>
        <row r="103">
          <cell r="B103">
            <v>17031063000</v>
          </cell>
          <cell r="D103">
            <v>3302</v>
          </cell>
        </row>
        <row r="104">
          <cell r="B104">
            <v>17031063100</v>
          </cell>
          <cell r="D104">
            <v>2374</v>
          </cell>
        </row>
        <row r="105">
          <cell r="B105">
            <v>17031063200</v>
          </cell>
          <cell r="D105">
            <v>7124</v>
          </cell>
        </row>
        <row r="106">
          <cell r="B106">
            <v>17031063301</v>
          </cell>
          <cell r="D106">
            <v>2596</v>
          </cell>
        </row>
        <row r="107">
          <cell r="B107">
            <v>17031063302</v>
          </cell>
          <cell r="D107">
            <v>4336</v>
          </cell>
        </row>
        <row r="108">
          <cell r="B108">
            <v>17031063303</v>
          </cell>
          <cell r="D108">
            <v>1292</v>
          </cell>
        </row>
        <row r="109">
          <cell r="B109">
            <v>17031063400</v>
          </cell>
          <cell r="D109">
            <v>2060</v>
          </cell>
        </row>
        <row r="110">
          <cell r="B110">
            <v>17031070101</v>
          </cell>
          <cell r="D110">
            <v>3671</v>
          </cell>
        </row>
        <row r="111">
          <cell r="B111">
            <v>17031070102</v>
          </cell>
          <cell r="D111">
            <v>2779</v>
          </cell>
        </row>
        <row r="112">
          <cell r="B112">
            <v>17031070103</v>
          </cell>
          <cell r="D112">
            <v>1562</v>
          </cell>
        </row>
        <row r="113">
          <cell r="B113">
            <v>17031070200</v>
          </cell>
          <cell r="D113">
            <v>3985</v>
          </cell>
        </row>
        <row r="114">
          <cell r="B114">
            <v>17031070300</v>
          </cell>
          <cell r="D114">
            <v>3490</v>
          </cell>
        </row>
        <row r="115">
          <cell r="B115">
            <v>17031070400</v>
          </cell>
          <cell r="D115">
            <v>3400</v>
          </cell>
        </row>
        <row r="116">
          <cell r="B116">
            <v>17031070500</v>
          </cell>
          <cell r="D116">
            <v>3183</v>
          </cell>
        </row>
        <row r="117">
          <cell r="B117">
            <v>17031070600</v>
          </cell>
          <cell r="D117">
            <v>3366</v>
          </cell>
        </row>
        <row r="118">
          <cell r="B118">
            <v>17031070700</v>
          </cell>
          <cell r="D118">
            <v>4342</v>
          </cell>
        </row>
        <row r="119">
          <cell r="B119">
            <v>17031071000</v>
          </cell>
          <cell r="D119">
            <v>4079</v>
          </cell>
        </row>
        <row r="120">
          <cell r="B120">
            <v>17031071100</v>
          </cell>
          <cell r="D120">
            <v>2898</v>
          </cell>
        </row>
        <row r="121">
          <cell r="B121">
            <v>17031071200</v>
          </cell>
          <cell r="D121">
            <v>1993</v>
          </cell>
        </row>
        <row r="122">
          <cell r="B122">
            <v>17031071300</v>
          </cell>
          <cell r="D122">
            <v>3809</v>
          </cell>
        </row>
        <row r="123">
          <cell r="B123">
            <v>17031071400</v>
          </cell>
          <cell r="D123">
            <v>4703</v>
          </cell>
        </row>
        <row r="124">
          <cell r="B124">
            <v>17031071500</v>
          </cell>
          <cell r="D124">
            <v>5977</v>
          </cell>
        </row>
        <row r="125">
          <cell r="B125">
            <v>17031071600</v>
          </cell>
          <cell r="D125">
            <v>1712</v>
          </cell>
        </row>
        <row r="126">
          <cell r="B126">
            <v>17031071700</v>
          </cell>
          <cell r="D126">
            <v>1780</v>
          </cell>
        </row>
        <row r="127">
          <cell r="B127">
            <v>17031071800</v>
          </cell>
          <cell r="D127">
            <v>2841</v>
          </cell>
        </row>
        <row r="128">
          <cell r="B128">
            <v>17031080100</v>
          </cell>
          <cell r="D128">
            <v>6823</v>
          </cell>
        </row>
        <row r="129">
          <cell r="B129">
            <v>17031080201</v>
          </cell>
          <cell r="D129">
            <v>3246</v>
          </cell>
        </row>
        <row r="130">
          <cell r="B130">
            <v>17031080202</v>
          </cell>
          <cell r="D130">
            <v>3661</v>
          </cell>
        </row>
        <row r="131">
          <cell r="B131">
            <v>17031080300</v>
          </cell>
          <cell r="D131">
            <v>4748</v>
          </cell>
        </row>
        <row r="132">
          <cell r="B132">
            <v>17031080400</v>
          </cell>
          <cell r="D132">
            <v>4074</v>
          </cell>
        </row>
        <row r="133">
          <cell r="B133">
            <v>17031081000</v>
          </cell>
          <cell r="D133">
            <v>7380</v>
          </cell>
        </row>
        <row r="134">
          <cell r="B134">
            <v>17031081100</v>
          </cell>
          <cell r="D134">
            <v>3744</v>
          </cell>
        </row>
        <row r="135">
          <cell r="B135">
            <v>17031081201</v>
          </cell>
          <cell r="D135">
            <v>4381</v>
          </cell>
        </row>
        <row r="136">
          <cell r="B136">
            <v>17031081202</v>
          </cell>
          <cell r="D136">
            <v>3009</v>
          </cell>
        </row>
        <row r="137">
          <cell r="B137">
            <v>17031081300</v>
          </cell>
          <cell r="D137">
            <v>5161</v>
          </cell>
        </row>
        <row r="138">
          <cell r="B138">
            <v>17031081401</v>
          </cell>
          <cell r="D138">
            <v>2251</v>
          </cell>
        </row>
        <row r="139">
          <cell r="B139">
            <v>17031081402</v>
          </cell>
          <cell r="D139">
            <v>4742</v>
          </cell>
        </row>
        <row r="140">
          <cell r="B140">
            <v>17031081403</v>
          </cell>
          <cell r="D140">
            <v>7544</v>
          </cell>
        </row>
        <row r="141">
          <cell r="B141">
            <v>17031081500</v>
          </cell>
          <cell r="D141">
            <v>5015</v>
          </cell>
        </row>
        <row r="142">
          <cell r="B142">
            <v>17031081600</v>
          </cell>
          <cell r="D142">
            <v>3816</v>
          </cell>
        </row>
        <row r="143">
          <cell r="B143">
            <v>17031081700</v>
          </cell>
          <cell r="D143">
            <v>3338</v>
          </cell>
        </row>
        <row r="144">
          <cell r="B144">
            <v>17031081800</v>
          </cell>
          <cell r="D144">
            <v>8265</v>
          </cell>
        </row>
        <row r="145">
          <cell r="B145">
            <v>17031081900</v>
          </cell>
          <cell r="D145">
            <v>1007</v>
          </cell>
        </row>
        <row r="146">
          <cell r="B146">
            <v>17031090100</v>
          </cell>
          <cell r="D146">
            <v>3293</v>
          </cell>
        </row>
        <row r="147">
          <cell r="B147">
            <v>17031090200</v>
          </cell>
          <cell r="D147">
            <v>6556</v>
          </cell>
        </row>
        <row r="148">
          <cell r="B148">
            <v>17031090300</v>
          </cell>
          <cell r="D148">
            <v>1301</v>
          </cell>
        </row>
        <row r="149">
          <cell r="B149">
            <v>17031100100</v>
          </cell>
          <cell r="D149">
            <v>5095</v>
          </cell>
        </row>
        <row r="150">
          <cell r="B150">
            <v>17031100200</v>
          </cell>
          <cell r="D150">
            <v>6548</v>
          </cell>
        </row>
        <row r="151">
          <cell r="B151">
            <v>17031100300</v>
          </cell>
          <cell r="D151">
            <v>5943</v>
          </cell>
        </row>
        <row r="152">
          <cell r="B152">
            <v>17031100400</v>
          </cell>
          <cell r="D152">
            <v>3061</v>
          </cell>
        </row>
        <row r="153">
          <cell r="B153">
            <v>17031100500</v>
          </cell>
          <cell r="D153">
            <v>5611</v>
          </cell>
        </row>
        <row r="154">
          <cell r="B154">
            <v>17031100600</v>
          </cell>
          <cell r="D154">
            <v>5030</v>
          </cell>
        </row>
        <row r="155">
          <cell r="B155">
            <v>17031100700</v>
          </cell>
          <cell r="D155">
            <v>4714</v>
          </cell>
        </row>
        <row r="156">
          <cell r="B156">
            <v>17031110100</v>
          </cell>
          <cell r="D156">
            <v>5248</v>
          </cell>
        </row>
        <row r="157">
          <cell r="B157">
            <v>17031110200</v>
          </cell>
          <cell r="D157">
            <v>3057</v>
          </cell>
        </row>
        <row r="158">
          <cell r="B158">
            <v>17031110300</v>
          </cell>
          <cell r="D158">
            <v>5241</v>
          </cell>
        </row>
        <row r="159">
          <cell r="B159">
            <v>17031110400</v>
          </cell>
          <cell r="D159">
            <v>4442</v>
          </cell>
        </row>
        <row r="160">
          <cell r="B160">
            <v>17031110501</v>
          </cell>
          <cell r="D160">
            <v>5232</v>
          </cell>
        </row>
        <row r="161">
          <cell r="B161">
            <v>17031110502</v>
          </cell>
          <cell r="D161">
            <v>3535</v>
          </cell>
        </row>
        <row r="162">
          <cell r="B162">
            <v>17031120100</v>
          </cell>
          <cell r="D162">
            <v>3820</v>
          </cell>
        </row>
        <row r="163">
          <cell r="B163">
            <v>17031120200</v>
          </cell>
          <cell r="D163">
            <v>4613</v>
          </cell>
        </row>
        <row r="164">
          <cell r="B164">
            <v>17031120300</v>
          </cell>
          <cell r="D164">
            <v>6600</v>
          </cell>
        </row>
        <row r="165">
          <cell r="B165">
            <v>17031120400</v>
          </cell>
          <cell r="D165">
            <v>3598</v>
          </cell>
        </row>
        <row r="166">
          <cell r="B166">
            <v>17031130100</v>
          </cell>
          <cell r="D166">
            <v>5510</v>
          </cell>
        </row>
        <row r="167">
          <cell r="B167">
            <v>17031130200</v>
          </cell>
          <cell r="D167">
            <v>1664</v>
          </cell>
        </row>
        <row r="168">
          <cell r="B168">
            <v>17031130300</v>
          </cell>
          <cell r="D168">
            <v>5496</v>
          </cell>
        </row>
        <row r="169">
          <cell r="B169">
            <v>17031140100</v>
          </cell>
          <cell r="D169">
            <v>3558</v>
          </cell>
        </row>
        <row r="170">
          <cell r="B170">
            <v>17031140200</v>
          </cell>
          <cell r="D170">
            <v>6138</v>
          </cell>
        </row>
        <row r="171">
          <cell r="B171">
            <v>17031140301</v>
          </cell>
          <cell r="D171">
            <v>2779</v>
          </cell>
        </row>
        <row r="172">
          <cell r="B172">
            <v>17031140302</v>
          </cell>
          <cell r="D172">
            <v>4152</v>
          </cell>
        </row>
        <row r="173">
          <cell r="B173">
            <v>17031140400</v>
          </cell>
          <cell r="D173">
            <v>7056</v>
          </cell>
        </row>
        <row r="174">
          <cell r="B174">
            <v>17031140500</v>
          </cell>
          <cell r="D174">
            <v>4366</v>
          </cell>
        </row>
        <row r="175">
          <cell r="B175">
            <v>17031140601</v>
          </cell>
          <cell r="D175">
            <v>2757</v>
          </cell>
        </row>
        <row r="176">
          <cell r="B176">
            <v>17031140602</v>
          </cell>
          <cell r="D176">
            <v>5360</v>
          </cell>
        </row>
        <row r="177">
          <cell r="B177">
            <v>17031140701</v>
          </cell>
          <cell r="D177">
            <v>2733</v>
          </cell>
        </row>
        <row r="178">
          <cell r="B178">
            <v>17031140702</v>
          </cell>
          <cell r="D178">
            <v>6090</v>
          </cell>
        </row>
        <row r="179">
          <cell r="B179">
            <v>17031140800</v>
          </cell>
          <cell r="D179">
            <v>6586</v>
          </cell>
        </row>
        <row r="180">
          <cell r="B180">
            <v>17031150200</v>
          </cell>
          <cell r="D180">
            <v>7767</v>
          </cell>
        </row>
        <row r="181">
          <cell r="B181">
            <v>17031150300</v>
          </cell>
          <cell r="D181">
            <v>8095</v>
          </cell>
        </row>
        <row r="182">
          <cell r="B182">
            <v>17031150401</v>
          </cell>
          <cell r="D182">
            <v>4999</v>
          </cell>
        </row>
        <row r="183">
          <cell r="B183">
            <v>17031150402</v>
          </cell>
          <cell r="D183">
            <v>3527</v>
          </cell>
        </row>
        <row r="184">
          <cell r="B184">
            <v>17031150501</v>
          </cell>
          <cell r="D184">
            <v>4243</v>
          </cell>
        </row>
        <row r="185">
          <cell r="B185">
            <v>17031150502</v>
          </cell>
          <cell r="D185">
            <v>4270</v>
          </cell>
        </row>
        <row r="186">
          <cell r="B186">
            <v>17031150600</v>
          </cell>
          <cell r="D186">
            <v>4064</v>
          </cell>
        </row>
        <row r="187">
          <cell r="B187">
            <v>17031150700</v>
          </cell>
          <cell r="D187">
            <v>4357</v>
          </cell>
        </row>
        <row r="188">
          <cell r="B188">
            <v>17031150800</v>
          </cell>
          <cell r="D188">
            <v>5020</v>
          </cell>
        </row>
        <row r="189">
          <cell r="B189">
            <v>17031151001</v>
          </cell>
          <cell r="D189">
            <v>2358</v>
          </cell>
        </row>
        <row r="190">
          <cell r="B190">
            <v>17031151002</v>
          </cell>
          <cell r="D190">
            <v>4438</v>
          </cell>
        </row>
        <row r="191">
          <cell r="B191">
            <v>17031151100</v>
          </cell>
          <cell r="D191">
            <v>5486</v>
          </cell>
        </row>
        <row r="192">
          <cell r="B192">
            <v>17031151200</v>
          </cell>
          <cell r="D192">
            <v>3574</v>
          </cell>
        </row>
        <row r="193">
          <cell r="B193">
            <v>17031160100</v>
          </cell>
          <cell r="D193">
            <v>2556</v>
          </cell>
        </row>
        <row r="194">
          <cell r="B194">
            <v>17031160200</v>
          </cell>
          <cell r="D194">
            <v>3127</v>
          </cell>
        </row>
        <row r="195">
          <cell r="B195">
            <v>17031160300</v>
          </cell>
          <cell r="D195">
            <v>3969</v>
          </cell>
        </row>
        <row r="196">
          <cell r="B196">
            <v>17031160400</v>
          </cell>
          <cell r="D196">
            <v>4819</v>
          </cell>
        </row>
        <row r="197">
          <cell r="B197">
            <v>17031160501</v>
          </cell>
          <cell r="D197">
            <v>4306</v>
          </cell>
        </row>
        <row r="198">
          <cell r="B198">
            <v>17031160502</v>
          </cell>
          <cell r="D198">
            <v>4023</v>
          </cell>
        </row>
        <row r="199">
          <cell r="B199">
            <v>17031160601</v>
          </cell>
          <cell r="D199">
            <v>4263</v>
          </cell>
        </row>
        <row r="200">
          <cell r="B200">
            <v>17031160602</v>
          </cell>
          <cell r="D200">
            <v>3909</v>
          </cell>
        </row>
        <row r="201">
          <cell r="B201">
            <v>17031160700</v>
          </cell>
          <cell r="D201">
            <v>6161</v>
          </cell>
        </row>
        <row r="202">
          <cell r="B202">
            <v>17031160800</v>
          </cell>
          <cell r="D202">
            <v>5275</v>
          </cell>
        </row>
        <row r="203">
          <cell r="B203">
            <v>17031160900</v>
          </cell>
          <cell r="D203">
            <v>2492</v>
          </cell>
        </row>
        <row r="204">
          <cell r="B204">
            <v>17031161000</v>
          </cell>
          <cell r="D204">
            <v>1932</v>
          </cell>
        </row>
        <row r="205">
          <cell r="B205">
            <v>17031161100</v>
          </cell>
          <cell r="D205">
            <v>1820</v>
          </cell>
        </row>
        <row r="206">
          <cell r="B206">
            <v>17031161200</v>
          </cell>
          <cell r="D206">
            <v>2948</v>
          </cell>
        </row>
        <row r="207">
          <cell r="B207">
            <v>17031161300</v>
          </cell>
          <cell r="D207">
            <v>3817</v>
          </cell>
        </row>
        <row r="208">
          <cell r="B208">
            <v>17031170100</v>
          </cell>
          <cell r="D208">
            <v>1894</v>
          </cell>
        </row>
        <row r="209">
          <cell r="B209">
            <v>17031170200</v>
          </cell>
          <cell r="D209">
            <v>4023</v>
          </cell>
        </row>
        <row r="210">
          <cell r="B210">
            <v>17031170300</v>
          </cell>
          <cell r="D210">
            <v>5203</v>
          </cell>
        </row>
        <row r="211">
          <cell r="B211">
            <v>17031170400</v>
          </cell>
          <cell r="D211">
            <v>3867</v>
          </cell>
        </row>
        <row r="212">
          <cell r="B212">
            <v>17031170500</v>
          </cell>
          <cell r="D212">
            <v>5316</v>
          </cell>
        </row>
        <row r="213">
          <cell r="B213">
            <v>17031170600</v>
          </cell>
          <cell r="D213">
            <v>2737</v>
          </cell>
        </row>
        <row r="214">
          <cell r="B214">
            <v>17031170700</v>
          </cell>
          <cell r="D214">
            <v>3043</v>
          </cell>
        </row>
        <row r="215">
          <cell r="B215">
            <v>17031170800</v>
          </cell>
          <cell r="D215">
            <v>3860</v>
          </cell>
        </row>
        <row r="216">
          <cell r="B216">
            <v>17031170900</v>
          </cell>
          <cell r="D216">
            <v>1711</v>
          </cell>
        </row>
        <row r="217">
          <cell r="B217">
            <v>17031171000</v>
          </cell>
          <cell r="D217">
            <v>7943</v>
          </cell>
        </row>
        <row r="218">
          <cell r="B218">
            <v>17031171100</v>
          </cell>
          <cell r="D218">
            <v>3847</v>
          </cell>
        </row>
        <row r="219">
          <cell r="B219">
            <v>17031180100</v>
          </cell>
          <cell r="D219">
            <v>5621</v>
          </cell>
        </row>
        <row r="220">
          <cell r="B220">
            <v>17031190100</v>
          </cell>
          <cell r="D220">
            <v>2593</v>
          </cell>
        </row>
        <row r="221">
          <cell r="B221">
            <v>17031190200</v>
          </cell>
          <cell r="D221">
            <v>5502</v>
          </cell>
        </row>
        <row r="222">
          <cell r="B222">
            <v>17031190300</v>
          </cell>
          <cell r="D222">
            <v>5100</v>
          </cell>
        </row>
        <row r="223">
          <cell r="B223">
            <v>17031190401</v>
          </cell>
          <cell r="D223">
            <v>3917</v>
          </cell>
        </row>
        <row r="224">
          <cell r="B224">
            <v>17031190402</v>
          </cell>
          <cell r="D224">
            <v>5022</v>
          </cell>
        </row>
        <row r="225">
          <cell r="B225">
            <v>17031190601</v>
          </cell>
          <cell r="D225">
            <v>4778</v>
          </cell>
        </row>
        <row r="226">
          <cell r="B226">
            <v>17031190602</v>
          </cell>
          <cell r="D226">
            <v>5678</v>
          </cell>
        </row>
        <row r="227">
          <cell r="B227">
            <v>17031190701</v>
          </cell>
          <cell r="D227">
            <v>2785</v>
          </cell>
        </row>
        <row r="228">
          <cell r="B228">
            <v>17031190702</v>
          </cell>
          <cell r="D228">
            <v>5006</v>
          </cell>
        </row>
        <row r="229">
          <cell r="B229">
            <v>17031190800</v>
          </cell>
          <cell r="D229">
            <v>6948</v>
          </cell>
        </row>
        <row r="230">
          <cell r="B230">
            <v>17031190900</v>
          </cell>
          <cell r="D230">
            <v>1994</v>
          </cell>
        </row>
        <row r="231">
          <cell r="B231">
            <v>17031191000</v>
          </cell>
          <cell r="D231">
            <v>2649</v>
          </cell>
        </row>
        <row r="232">
          <cell r="B232">
            <v>17031191100</v>
          </cell>
          <cell r="D232">
            <v>7705</v>
          </cell>
        </row>
        <row r="233">
          <cell r="B233">
            <v>17031191200</v>
          </cell>
          <cell r="D233">
            <v>3854</v>
          </cell>
        </row>
        <row r="234">
          <cell r="B234">
            <v>17031191301</v>
          </cell>
          <cell r="D234">
            <v>5868</v>
          </cell>
        </row>
        <row r="235">
          <cell r="B235">
            <v>17031191302</v>
          </cell>
          <cell r="D235">
            <v>5197</v>
          </cell>
        </row>
        <row r="236">
          <cell r="B236">
            <v>17031200100</v>
          </cell>
          <cell r="D236">
            <v>4625</v>
          </cell>
        </row>
        <row r="237">
          <cell r="B237">
            <v>17031200200</v>
          </cell>
          <cell r="D237">
            <v>4866</v>
          </cell>
        </row>
        <row r="238">
          <cell r="B238">
            <v>17031200300</v>
          </cell>
          <cell r="D238">
            <v>2136</v>
          </cell>
        </row>
        <row r="239">
          <cell r="B239">
            <v>17031200401</v>
          </cell>
          <cell r="D239">
            <v>3722</v>
          </cell>
        </row>
        <row r="240">
          <cell r="B240">
            <v>17031200402</v>
          </cell>
          <cell r="D240">
            <v>4186</v>
          </cell>
        </row>
        <row r="241">
          <cell r="B241">
            <v>17031210100</v>
          </cell>
          <cell r="D241">
            <v>3480</v>
          </cell>
        </row>
        <row r="242">
          <cell r="B242">
            <v>17031210400</v>
          </cell>
          <cell r="D242">
            <v>2682</v>
          </cell>
        </row>
        <row r="243">
          <cell r="B243">
            <v>17031210501</v>
          </cell>
          <cell r="D243">
            <v>3972</v>
          </cell>
        </row>
        <row r="244">
          <cell r="B244">
            <v>17031210502</v>
          </cell>
          <cell r="D244">
            <v>4686</v>
          </cell>
        </row>
        <row r="245">
          <cell r="B245">
            <v>17031210601</v>
          </cell>
          <cell r="D245">
            <v>2686</v>
          </cell>
        </row>
        <row r="246">
          <cell r="B246">
            <v>17031210602</v>
          </cell>
          <cell r="D246">
            <v>3997</v>
          </cell>
        </row>
        <row r="247">
          <cell r="B247">
            <v>17031210700</v>
          </cell>
          <cell r="D247">
            <v>4282</v>
          </cell>
        </row>
        <row r="248">
          <cell r="B248">
            <v>17031210800</v>
          </cell>
          <cell r="D248">
            <v>1165</v>
          </cell>
        </row>
        <row r="249">
          <cell r="B249">
            <v>17031210900</v>
          </cell>
          <cell r="D249">
            <v>3067</v>
          </cell>
        </row>
        <row r="250">
          <cell r="B250">
            <v>17031220300</v>
          </cell>
          <cell r="D250">
            <v>2306</v>
          </cell>
        </row>
        <row r="251">
          <cell r="B251">
            <v>17031220400</v>
          </cell>
          <cell r="D251">
            <v>2564</v>
          </cell>
        </row>
        <row r="252">
          <cell r="B252">
            <v>17031220500</v>
          </cell>
          <cell r="D252">
            <v>2771</v>
          </cell>
        </row>
        <row r="253">
          <cell r="B253">
            <v>17031220601</v>
          </cell>
          <cell r="D253">
            <v>1917</v>
          </cell>
        </row>
        <row r="254">
          <cell r="B254">
            <v>17031220602</v>
          </cell>
          <cell r="D254">
            <v>5163</v>
          </cell>
        </row>
        <row r="255">
          <cell r="B255">
            <v>17031220701</v>
          </cell>
          <cell r="D255">
            <v>3403</v>
          </cell>
        </row>
        <row r="256">
          <cell r="B256">
            <v>17031220702</v>
          </cell>
          <cell r="D256">
            <v>3948</v>
          </cell>
        </row>
        <row r="257">
          <cell r="B257">
            <v>17031220901</v>
          </cell>
          <cell r="D257">
            <v>3064</v>
          </cell>
        </row>
        <row r="258">
          <cell r="B258">
            <v>17031220902</v>
          </cell>
          <cell r="D258">
            <v>2954</v>
          </cell>
        </row>
        <row r="259">
          <cell r="B259">
            <v>17031221000</v>
          </cell>
          <cell r="D259">
            <v>3008</v>
          </cell>
        </row>
        <row r="260">
          <cell r="B260">
            <v>17031221100</v>
          </cell>
          <cell r="D260">
            <v>5259</v>
          </cell>
        </row>
        <row r="261">
          <cell r="B261">
            <v>17031221200</v>
          </cell>
          <cell r="D261">
            <v>3069</v>
          </cell>
        </row>
        <row r="262">
          <cell r="B262">
            <v>17031221300</v>
          </cell>
          <cell r="D262">
            <v>2573</v>
          </cell>
        </row>
        <row r="263">
          <cell r="B263">
            <v>17031221400</v>
          </cell>
          <cell r="D263">
            <v>2994</v>
          </cell>
        </row>
        <row r="264">
          <cell r="B264">
            <v>17031221500</v>
          </cell>
          <cell r="D264">
            <v>2816</v>
          </cell>
        </row>
        <row r="265">
          <cell r="B265">
            <v>17031221600</v>
          </cell>
          <cell r="D265">
            <v>2950</v>
          </cell>
        </row>
        <row r="266">
          <cell r="B266">
            <v>17031222200</v>
          </cell>
          <cell r="D266">
            <v>2095</v>
          </cell>
        </row>
        <row r="267">
          <cell r="B267">
            <v>17031222500</v>
          </cell>
          <cell r="D267">
            <v>1535</v>
          </cell>
        </row>
        <row r="268">
          <cell r="B268">
            <v>17031222600</v>
          </cell>
          <cell r="D268">
            <v>1681</v>
          </cell>
        </row>
        <row r="269">
          <cell r="B269">
            <v>17031222700</v>
          </cell>
          <cell r="D269">
            <v>2760</v>
          </cell>
        </row>
        <row r="270">
          <cell r="B270">
            <v>17031222800</v>
          </cell>
          <cell r="D270">
            <v>1107</v>
          </cell>
        </row>
        <row r="271">
          <cell r="B271">
            <v>17031222900</v>
          </cell>
          <cell r="D271">
            <v>901</v>
          </cell>
        </row>
        <row r="272">
          <cell r="B272">
            <v>17031230100</v>
          </cell>
          <cell r="D272">
            <v>1587</v>
          </cell>
        </row>
        <row r="273">
          <cell r="B273">
            <v>17031230200</v>
          </cell>
          <cell r="D273">
            <v>2268</v>
          </cell>
        </row>
        <row r="274">
          <cell r="B274">
            <v>17031230300</v>
          </cell>
          <cell r="D274">
            <v>1092</v>
          </cell>
        </row>
        <row r="275">
          <cell r="B275">
            <v>17031230400</v>
          </cell>
          <cell r="D275">
            <v>2430</v>
          </cell>
        </row>
        <row r="276">
          <cell r="B276">
            <v>17031230500</v>
          </cell>
          <cell r="D276">
            <v>3559</v>
          </cell>
        </row>
        <row r="277">
          <cell r="B277">
            <v>17031230600</v>
          </cell>
          <cell r="D277">
            <v>6445</v>
          </cell>
        </row>
        <row r="278">
          <cell r="B278">
            <v>17031230700</v>
          </cell>
          <cell r="D278">
            <v>5267</v>
          </cell>
        </row>
        <row r="279">
          <cell r="B279">
            <v>17031230800</v>
          </cell>
          <cell r="D279">
            <v>1339</v>
          </cell>
        </row>
        <row r="280">
          <cell r="B280">
            <v>17031230900</v>
          </cell>
          <cell r="D280">
            <v>5435</v>
          </cell>
        </row>
        <row r="281">
          <cell r="B281">
            <v>17031231100</v>
          </cell>
          <cell r="D281">
            <v>1294</v>
          </cell>
        </row>
        <row r="282">
          <cell r="B282">
            <v>17031231200</v>
          </cell>
          <cell r="D282">
            <v>5783</v>
          </cell>
        </row>
        <row r="283">
          <cell r="B283">
            <v>17031231500</v>
          </cell>
          <cell r="D283">
            <v>6990</v>
          </cell>
        </row>
        <row r="284">
          <cell r="B284">
            <v>17031240200</v>
          </cell>
          <cell r="D284">
            <v>1525</v>
          </cell>
        </row>
        <row r="285">
          <cell r="B285">
            <v>17031240300</v>
          </cell>
          <cell r="D285">
            <v>1312</v>
          </cell>
        </row>
        <row r="286">
          <cell r="B286">
            <v>17031240500</v>
          </cell>
          <cell r="D286">
            <v>2275</v>
          </cell>
        </row>
        <row r="287">
          <cell r="B287">
            <v>17031240600</v>
          </cell>
          <cell r="D287">
            <v>1548</v>
          </cell>
        </row>
        <row r="288">
          <cell r="B288">
            <v>17031240700</v>
          </cell>
          <cell r="D288">
            <v>1630</v>
          </cell>
        </row>
        <row r="289">
          <cell r="B289">
            <v>17031240800</v>
          </cell>
          <cell r="D289">
            <v>1672</v>
          </cell>
        </row>
        <row r="290">
          <cell r="B290">
            <v>17031240900</v>
          </cell>
          <cell r="D290">
            <v>1152</v>
          </cell>
        </row>
        <row r="291">
          <cell r="B291">
            <v>17031241000</v>
          </cell>
          <cell r="D291">
            <v>2093</v>
          </cell>
        </row>
        <row r="292">
          <cell r="B292">
            <v>17031241100</v>
          </cell>
          <cell r="D292">
            <v>3822</v>
          </cell>
        </row>
        <row r="293">
          <cell r="B293">
            <v>17031241200</v>
          </cell>
          <cell r="D293">
            <v>1956</v>
          </cell>
        </row>
        <row r="294">
          <cell r="B294">
            <v>17031241300</v>
          </cell>
          <cell r="D294">
            <v>2028</v>
          </cell>
        </row>
        <row r="295">
          <cell r="B295">
            <v>17031241400</v>
          </cell>
          <cell r="D295">
            <v>5122</v>
          </cell>
        </row>
        <row r="296">
          <cell r="B296">
            <v>17031241500</v>
          </cell>
          <cell r="D296">
            <v>3077</v>
          </cell>
        </row>
        <row r="297">
          <cell r="B297">
            <v>17031241600</v>
          </cell>
          <cell r="D297">
            <v>3541</v>
          </cell>
        </row>
        <row r="298">
          <cell r="B298">
            <v>17031242000</v>
          </cell>
          <cell r="D298">
            <v>4901</v>
          </cell>
        </row>
        <row r="299">
          <cell r="B299">
            <v>17031242100</v>
          </cell>
          <cell r="D299">
            <v>3622</v>
          </cell>
        </row>
        <row r="300">
          <cell r="B300">
            <v>17031242200</v>
          </cell>
          <cell r="D300">
            <v>3642</v>
          </cell>
        </row>
        <row r="301">
          <cell r="B301">
            <v>17031242300</v>
          </cell>
          <cell r="D301">
            <v>3096</v>
          </cell>
        </row>
        <row r="302">
          <cell r="B302">
            <v>17031242400</v>
          </cell>
          <cell r="D302">
            <v>2767</v>
          </cell>
        </row>
        <row r="303">
          <cell r="B303">
            <v>17031242500</v>
          </cell>
          <cell r="D303">
            <v>3958</v>
          </cell>
        </row>
        <row r="304">
          <cell r="B304">
            <v>17031242600</v>
          </cell>
          <cell r="D304">
            <v>6182</v>
          </cell>
        </row>
        <row r="305">
          <cell r="B305">
            <v>17031242700</v>
          </cell>
          <cell r="D305">
            <v>1679</v>
          </cell>
        </row>
        <row r="306">
          <cell r="B306">
            <v>17031242800</v>
          </cell>
          <cell r="D306">
            <v>1378</v>
          </cell>
        </row>
        <row r="307">
          <cell r="B307">
            <v>17031242900</v>
          </cell>
          <cell r="D307">
            <v>1673</v>
          </cell>
        </row>
        <row r="308">
          <cell r="B308">
            <v>17031243000</v>
          </cell>
          <cell r="D308">
            <v>2186</v>
          </cell>
        </row>
        <row r="309">
          <cell r="B309">
            <v>17031243100</v>
          </cell>
          <cell r="D309">
            <v>2445</v>
          </cell>
        </row>
        <row r="310">
          <cell r="B310">
            <v>17031243200</v>
          </cell>
          <cell r="D310">
            <v>2243</v>
          </cell>
        </row>
        <row r="311">
          <cell r="B311">
            <v>17031243300</v>
          </cell>
          <cell r="D311">
            <v>2468</v>
          </cell>
        </row>
        <row r="312">
          <cell r="B312">
            <v>17031243400</v>
          </cell>
          <cell r="D312">
            <v>2677</v>
          </cell>
        </row>
        <row r="313">
          <cell r="B313">
            <v>17031243500</v>
          </cell>
          <cell r="D313">
            <v>3241</v>
          </cell>
        </row>
        <row r="314">
          <cell r="B314">
            <v>17031250200</v>
          </cell>
          <cell r="D314">
            <v>2867</v>
          </cell>
        </row>
        <row r="315">
          <cell r="B315">
            <v>17031250300</v>
          </cell>
          <cell r="D315">
            <v>4864</v>
          </cell>
        </row>
        <row r="316">
          <cell r="B316">
            <v>17031250400</v>
          </cell>
          <cell r="D316">
            <v>5051</v>
          </cell>
        </row>
        <row r="317">
          <cell r="B317">
            <v>17031250500</v>
          </cell>
          <cell r="D317">
            <v>8015</v>
          </cell>
        </row>
        <row r="318">
          <cell r="B318">
            <v>17031250600</v>
          </cell>
          <cell r="D318">
            <v>4088</v>
          </cell>
        </row>
        <row r="319">
          <cell r="B319">
            <v>17031250700</v>
          </cell>
          <cell r="D319">
            <v>5247</v>
          </cell>
        </row>
        <row r="320">
          <cell r="B320">
            <v>17031250800</v>
          </cell>
          <cell r="D320">
            <v>2444</v>
          </cell>
        </row>
        <row r="321">
          <cell r="B321">
            <v>17031251000</v>
          </cell>
          <cell r="D321">
            <v>1064</v>
          </cell>
        </row>
        <row r="322">
          <cell r="B322">
            <v>17031251100</v>
          </cell>
          <cell r="D322">
            <v>4251</v>
          </cell>
        </row>
        <row r="323">
          <cell r="B323">
            <v>17031251200</v>
          </cell>
          <cell r="D323">
            <v>4307</v>
          </cell>
        </row>
        <row r="324">
          <cell r="B324">
            <v>17031251300</v>
          </cell>
          <cell r="D324">
            <v>4686</v>
          </cell>
        </row>
        <row r="325">
          <cell r="B325">
            <v>17031251400</v>
          </cell>
          <cell r="D325">
            <v>4694</v>
          </cell>
        </row>
        <row r="326">
          <cell r="B326">
            <v>17031251500</v>
          </cell>
          <cell r="D326">
            <v>4395</v>
          </cell>
        </row>
        <row r="327">
          <cell r="B327">
            <v>17031251600</v>
          </cell>
          <cell r="D327">
            <v>3863</v>
          </cell>
        </row>
        <row r="328">
          <cell r="B328">
            <v>17031251700</v>
          </cell>
          <cell r="D328">
            <v>1301</v>
          </cell>
        </row>
        <row r="329">
          <cell r="B329">
            <v>17031251800</v>
          </cell>
          <cell r="D329">
            <v>5482</v>
          </cell>
        </row>
        <row r="330">
          <cell r="B330">
            <v>17031251900</v>
          </cell>
          <cell r="D330">
            <v>4866</v>
          </cell>
        </row>
        <row r="331">
          <cell r="B331">
            <v>17031252000</v>
          </cell>
          <cell r="D331">
            <v>5702</v>
          </cell>
        </row>
        <row r="332">
          <cell r="B332">
            <v>17031252101</v>
          </cell>
          <cell r="D332">
            <v>1462</v>
          </cell>
        </row>
        <row r="333">
          <cell r="B333">
            <v>17031252102</v>
          </cell>
          <cell r="D333">
            <v>6866</v>
          </cell>
        </row>
        <row r="334">
          <cell r="B334">
            <v>17031252201</v>
          </cell>
          <cell r="D334">
            <v>2851</v>
          </cell>
        </row>
        <row r="335">
          <cell r="B335">
            <v>17031252202</v>
          </cell>
          <cell r="D335">
            <v>5146</v>
          </cell>
        </row>
        <row r="336">
          <cell r="B336">
            <v>17031260100</v>
          </cell>
          <cell r="D336">
            <v>1201</v>
          </cell>
        </row>
        <row r="337">
          <cell r="B337">
            <v>17031260200</v>
          </cell>
          <cell r="D337">
            <v>1148</v>
          </cell>
        </row>
        <row r="338">
          <cell r="B338">
            <v>17031260300</v>
          </cell>
          <cell r="D338">
            <v>1639</v>
          </cell>
        </row>
        <row r="339">
          <cell r="B339">
            <v>17031260400</v>
          </cell>
          <cell r="D339">
            <v>1470</v>
          </cell>
        </row>
        <row r="340">
          <cell r="B340">
            <v>17031260500</v>
          </cell>
          <cell r="D340">
            <v>1679</v>
          </cell>
        </row>
        <row r="341">
          <cell r="B341">
            <v>17031260600</v>
          </cell>
          <cell r="D341">
            <v>1978</v>
          </cell>
        </row>
        <row r="342">
          <cell r="B342">
            <v>17031260700</v>
          </cell>
          <cell r="D342">
            <v>1911</v>
          </cell>
        </row>
        <row r="343">
          <cell r="B343">
            <v>17031260800</v>
          </cell>
          <cell r="D343">
            <v>2524</v>
          </cell>
        </row>
        <row r="344">
          <cell r="B344">
            <v>17031260900</v>
          </cell>
          <cell r="D344">
            <v>1450</v>
          </cell>
        </row>
        <row r="345">
          <cell r="B345">
            <v>17031261000</v>
          </cell>
          <cell r="D345">
            <v>2490</v>
          </cell>
        </row>
        <row r="346">
          <cell r="B346">
            <v>17031270500</v>
          </cell>
          <cell r="D346">
            <v>1890</v>
          </cell>
        </row>
        <row r="347">
          <cell r="B347">
            <v>17031271200</v>
          </cell>
          <cell r="D347">
            <v>1251</v>
          </cell>
        </row>
        <row r="348">
          <cell r="B348">
            <v>17031271300</v>
          </cell>
          <cell r="D348">
            <v>1341</v>
          </cell>
        </row>
        <row r="349">
          <cell r="B349">
            <v>17031271400</v>
          </cell>
          <cell r="D349">
            <v>1179</v>
          </cell>
        </row>
        <row r="350">
          <cell r="B350">
            <v>17031271500</v>
          </cell>
          <cell r="D350">
            <v>1452</v>
          </cell>
        </row>
        <row r="351">
          <cell r="B351">
            <v>17031271800</v>
          </cell>
          <cell r="D351">
            <v>967</v>
          </cell>
        </row>
        <row r="352">
          <cell r="B352">
            <v>17031280100</v>
          </cell>
          <cell r="D352">
            <v>6725</v>
          </cell>
        </row>
        <row r="353">
          <cell r="B353">
            <v>17031280400</v>
          </cell>
          <cell r="D353">
            <v>1638</v>
          </cell>
        </row>
        <row r="354">
          <cell r="B354">
            <v>17031280800</v>
          </cell>
          <cell r="D354">
            <v>1002</v>
          </cell>
        </row>
        <row r="355">
          <cell r="B355">
            <v>17031280900</v>
          </cell>
          <cell r="D355">
            <v>1007</v>
          </cell>
        </row>
        <row r="356">
          <cell r="B356">
            <v>17031281900</v>
          </cell>
          <cell r="D356">
            <v>5358</v>
          </cell>
        </row>
        <row r="357">
          <cell r="B357">
            <v>17031282700</v>
          </cell>
          <cell r="D357">
            <v>2187</v>
          </cell>
        </row>
        <row r="358">
          <cell r="B358">
            <v>17031282800</v>
          </cell>
          <cell r="D358">
            <v>1583</v>
          </cell>
        </row>
        <row r="359">
          <cell r="B359">
            <v>17031283100</v>
          </cell>
          <cell r="D359">
            <v>2988</v>
          </cell>
        </row>
        <row r="360">
          <cell r="B360">
            <v>17031283200</v>
          </cell>
          <cell r="D360">
            <v>1505</v>
          </cell>
        </row>
        <row r="361">
          <cell r="B361">
            <v>17031283800</v>
          </cell>
          <cell r="D361">
            <v>3656</v>
          </cell>
        </row>
        <row r="362">
          <cell r="B362">
            <v>17031290900</v>
          </cell>
          <cell r="D362">
            <v>3904</v>
          </cell>
        </row>
        <row r="363">
          <cell r="B363">
            <v>17031291200</v>
          </cell>
          <cell r="D363">
            <v>2359</v>
          </cell>
        </row>
        <row r="364">
          <cell r="B364">
            <v>17031291600</v>
          </cell>
          <cell r="D364">
            <v>1068</v>
          </cell>
        </row>
        <row r="365">
          <cell r="B365">
            <v>17031292200</v>
          </cell>
          <cell r="D365">
            <v>2863</v>
          </cell>
        </row>
        <row r="366">
          <cell r="B366">
            <v>17031292400</v>
          </cell>
          <cell r="D366">
            <v>2204</v>
          </cell>
        </row>
        <row r="367">
          <cell r="B367">
            <v>17031292500</v>
          </cell>
          <cell r="D367">
            <v>4104</v>
          </cell>
        </row>
        <row r="368">
          <cell r="B368">
            <v>17031300500</v>
          </cell>
          <cell r="D368">
            <v>2980</v>
          </cell>
        </row>
        <row r="369">
          <cell r="B369">
            <v>17031300600</v>
          </cell>
          <cell r="D369">
            <v>3347</v>
          </cell>
        </row>
        <row r="370">
          <cell r="B370">
            <v>17031300700</v>
          </cell>
          <cell r="D370">
            <v>4691</v>
          </cell>
        </row>
        <row r="371">
          <cell r="B371">
            <v>17031300800</v>
          </cell>
          <cell r="D371">
            <v>3999</v>
          </cell>
        </row>
        <row r="372">
          <cell r="B372">
            <v>17031300900</v>
          </cell>
          <cell r="D372">
            <v>4107</v>
          </cell>
        </row>
        <row r="373">
          <cell r="B373">
            <v>17031301100</v>
          </cell>
          <cell r="D373">
            <v>2708</v>
          </cell>
        </row>
        <row r="374">
          <cell r="B374">
            <v>17031301200</v>
          </cell>
          <cell r="D374">
            <v>3231</v>
          </cell>
        </row>
        <row r="375">
          <cell r="B375">
            <v>17031301600</v>
          </cell>
          <cell r="D375">
            <v>5114</v>
          </cell>
        </row>
        <row r="376">
          <cell r="B376">
            <v>17031301701</v>
          </cell>
          <cell r="D376">
            <v>4276</v>
          </cell>
        </row>
        <row r="377">
          <cell r="B377">
            <v>17031301702</v>
          </cell>
          <cell r="D377">
            <v>4477</v>
          </cell>
        </row>
        <row r="378">
          <cell r="B378">
            <v>17031301801</v>
          </cell>
          <cell r="D378">
            <v>4057</v>
          </cell>
        </row>
        <row r="379">
          <cell r="B379">
            <v>17031301802</v>
          </cell>
          <cell r="D379">
            <v>3253</v>
          </cell>
        </row>
        <row r="380">
          <cell r="B380">
            <v>17031301803</v>
          </cell>
          <cell r="D380">
            <v>5183</v>
          </cell>
        </row>
        <row r="381">
          <cell r="B381">
            <v>17031310200</v>
          </cell>
          <cell r="D381">
            <v>1521</v>
          </cell>
        </row>
        <row r="382">
          <cell r="B382">
            <v>17031310300</v>
          </cell>
          <cell r="D382">
            <v>1800</v>
          </cell>
        </row>
        <row r="383">
          <cell r="B383">
            <v>17031310400</v>
          </cell>
          <cell r="D383">
            <v>1266</v>
          </cell>
        </row>
        <row r="384">
          <cell r="B384">
            <v>17031310500</v>
          </cell>
          <cell r="D384">
            <v>1505</v>
          </cell>
        </row>
        <row r="385">
          <cell r="B385">
            <v>17031310600</v>
          </cell>
          <cell r="D385">
            <v>4654</v>
          </cell>
        </row>
        <row r="386">
          <cell r="B386">
            <v>17031310700</v>
          </cell>
          <cell r="D386">
            <v>1327</v>
          </cell>
        </row>
        <row r="387">
          <cell r="B387">
            <v>17031310800</v>
          </cell>
          <cell r="D387">
            <v>4095</v>
          </cell>
        </row>
        <row r="388">
          <cell r="B388">
            <v>17031310900</v>
          </cell>
          <cell r="D388">
            <v>5220</v>
          </cell>
        </row>
        <row r="389">
          <cell r="B389">
            <v>17031320100</v>
          </cell>
          <cell r="D389">
            <v>12695</v>
          </cell>
        </row>
        <row r="390">
          <cell r="B390">
            <v>17031320400</v>
          </cell>
          <cell r="D390">
            <v>3057</v>
          </cell>
        </row>
        <row r="391">
          <cell r="B391">
            <v>17031320600</v>
          </cell>
          <cell r="D391">
            <v>4624</v>
          </cell>
        </row>
        <row r="392">
          <cell r="B392">
            <v>17031330100</v>
          </cell>
          <cell r="D392">
            <v>18726</v>
          </cell>
        </row>
        <row r="393">
          <cell r="B393">
            <v>17031330200</v>
          </cell>
          <cell r="D393">
            <v>3634</v>
          </cell>
        </row>
        <row r="394">
          <cell r="B394">
            <v>17031340300</v>
          </cell>
          <cell r="D394">
            <v>1824</v>
          </cell>
        </row>
        <row r="395">
          <cell r="B395">
            <v>17031340400</v>
          </cell>
          <cell r="D395">
            <v>2128</v>
          </cell>
        </row>
        <row r="396">
          <cell r="B396">
            <v>17031340500</v>
          </cell>
          <cell r="D396">
            <v>1490</v>
          </cell>
        </row>
        <row r="397">
          <cell r="B397">
            <v>17031340600</v>
          </cell>
          <cell r="D397">
            <v>885</v>
          </cell>
        </row>
        <row r="398">
          <cell r="B398">
            <v>17031350100</v>
          </cell>
          <cell r="D398">
            <v>2077</v>
          </cell>
        </row>
        <row r="399">
          <cell r="B399">
            <v>17031350400</v>
          </cell>
          <cell r="D399">
            <v>1721</v>
          </cell>
        </row>
        <row r="400">
          <cell r="B400">
            <v>17031351000</v>
          </cell>
          <cell r="D400">
            <v>3831</v>
          </cell>
        </row>
        <row r="401">
          <cell r="B401">
            <v>17031351100</v>
          </cell>
          <cell r="D401">
            <v>2022</v>
          </cell>
        </row>
        <row r="402">
          <cell r="B402">
            <v>17031351400</v>
          </cell>
          <cell r="D402">
            <v>1785</v>
          </cell>
        </row>
        <row r="403">
          <cell r="B403">
            <v>17031351500</v>
          </cell>
          <cell r="D403">
            <v>456</v>
          </cell>
        </row>
        <row r="404">
          <cell r="B404">
            <v>17031360200</v>
          </cell>
          <cell r="D404">
            <v>1609</v>
          </cell>
        </row>
        <row r="405">
          <cell r="B405">
            <v>17031380100</v>
          </cell>
          <cell r="D405">
            <v>1891</v>
          </cell>
        </row>
        <row r="406">
          <cell r="B406">
            <v>17031380200</v>
          </cell>
          <cell r="D406">
            <v>1770</v>
          </cell>
        </row>
        <row r="407">
          <cell r="B407">
            <v>17031380500</v>
          </cell>
          <cell r="D407">
            <v>767</v>
          </cell>
        </row>
        <row r="408">
          <cell r="B408">
            <v>17031380700</v>
          </cell>
          <cell r="D408">
            <v>1085</v>
          </cell>
        </row>
        <row r="409">
          <cell r="B409">
            <v>17031381200</v>
          </cell>
          <cell r="D409">
            <v>1891</v>
          </cell>
        </row>
        <row r="410">
          <cell r="B410">
            <v>17031381400</v>
          </cell>
          <cell r="D410">
            <v>1705</v>
          </cell>
        </row>
        <row r="411">
          <cell r="B411">
            <v>17031381500</v>
          </cell>
          <cell r="D411">
            <v>298</v>
          </cell>
        </row>
        <row r="412">
          <cell r="B412">
            <v>17031381700</v>
          </cell>
          <cell r="D412">
            <v>0</v>
          </cell>
        </row>
        <row r="413">
          <cell r="B413">
            <v>17031381800</v>
          </cell>
          <cell r="D413">
            <v>1142</v>
          </cell>
        </row>
        <row r="414">
          <cell r="B414">
            <v>17031381900</v>
          </cell>
          <cell r="D414">
            <v>1257</v>
          </cell>
        </row>
        <row r="415">
          <cell r="B415">
            <v>17031390100</v>
          </cell>
          <cell r="D415">
            <v>1510</v>
          </cell>
        </row>
        <row r="416">
          <cell r="B416">
            <v>17031390200</v>
          </cell>
          <cell r="D416">
            <v>1674</v>
          </cell>
        </row>
        <row r="417">
          <cell r="B417">
            <v>17031390300</v>
          </cell>
          <cell r="D417">
            <v>2735</v>
          </cell>
        </row>
        <row r="418">
          <cell r="B418">
            <v>17031390400</v>
          </cell>
          <cell r="D418">
            <v>2370</v>
          </cell>
        </row>
        <row r="419">
          <cell r="B419">
            <v>17031390500</v>
          </cell>
          <cell r="D419">
            <v>1551</v>
          </cell>
        </row>
        <row r="420">
          <cell r="B420">
            <v>17031390600</v>
          </cell>
          <cell r="D420">
            <v>1885</v>
          </cell>
        </row>
        <row r="421">
          <cell r="B421">
            <v>17031390700</v>
          </cell>
          <cell r="D421">
            <v>5349</v>
          </cell>
        </row>
        <row r="422">
          <cell r="B422">
            <v>17031400300</v>
          </cell>
          <cell r="D422">
            <v>1312</v>
          </cell>
        </row>
        <row r="423">
          <cell r="B423">
            <v>17031400400</v>
          </cell>
          <cell r="D423">
            <v>1946</v>
          </cell>
        </row>
        <row r="424">
          <cell r="B424">
            <v>17031400500</v>
          </cell>
          <cell r="D424">
            <v>2273</v>
          </cell>
        </row>
        <row r="425">
          <cell r="B425">
            <v>17031400800</v>
          </cell>
          <cell r="D425">
            <v>3024</v>
          </cell>
        </row>
        <row r="426">
          <cell r="B426">
            <v>17031410100</v>
          </cell>
          <cell r="D426">
            <v>1777</v>
          </cell>
        </row>
        <row r="427">
          <cell r="B427">
            <v>17031410200</v>
          </cell>
          <cell r="D427">
            <v>1377</v>
          </cell>
        </row>
        <row r="428">
          <cell r="B428">
            <v>17031410500</v>
          </cell>
          <cell r="D428">
            <v>2567</v>
          </cell>
        </row>
        <row r="429">
          <cell r="B429">
            <v>17031410600</v>
          </cell>
          <cell r="D429">
            <v>2501</v>
          </cell>
        </row>
        <row r="430">
          <cell r="B430">
            <v>17031410700</v>
          </cell>
          <cell r="D430">
            <v>1998</v>
          </cell>
        </row>
        <row r="431">
          <cell r="B431">
            <v>17031410800</v>
          </cell>
          <cell r="D431">
            <v>3189</v>
          </cell>
        </row>
        <row r="432">
          <cell r="B432">
            <v>17031410900</v>
          </cell>
          <cell r="D432">
            <v>3075</v>
          </cell>
        </row>
        <row r="433">
          <cell r="B433">
            <v>17031411000</v>
          </cell>
          <cell r="D433">
            <v>3070</v>
          </cell>
        </row>
        <row r="434">
          <cell r="B434">
            <v>17031411100</v>
          </cell>
          <cell r="D434">
            <v>2292</v>
          </cell>
        </row>
        <row r="435">
          <cell r="B435">
            <v>17031411200</v>
          </cell>
          <cell r="D435">
            <v>1604</v>
          </cell>
        </row>
        <row r="436">
          <cell r="B436">
            <v>17031420100</v>
          </cell>
          <cell r="D436">
            <v>1378</v>
          </cell>
        </row>
        <row r="437">
          <cell r="B437">
            <v>17031420200</v>
          </cell>
          <cell r="D437">
            <v>1720</v>
          </cell>
        </row>
        <row r="438">
          <cell r="B438">
            <v>17031420300</v>
          </cell>
          <cell r="D438">
            <v>2524</v>
          </cell>
        </row>
        <row r="439">
          <cell r="B439">
            <v>17031420400</v>
          </cell>
          <cell r="D439">
            <v>1105</v>
          </cell>
        </row>
        <row r="440">
          <cell r="B440">
            <v>17031420500</v>
          </cell>
          <cell r="D440">
            <v>1968</v>
          </cell>
        </row>
        <row r="441">
          <cell r="B441">
            <v>17031420600</v>
          </cell>
          <cell r="D441">
            <v>2147</v>
          </cell>
        </row>
        <row r="442">
          <cell r="B442">
            <v>17031420700</v>
          </cell>
          <cell r="D442">
            <v>3375</v>
          </cell>
        </row>
        <row r="443">
          <cell r="B443">
            <v>17031420800</v>
          </cell>
          <cell r="D443">
            <v>2120</v>
          </cell>
        </row>
        <row r="444">
          <cell r="B444">
            <v>17031421200</v>
          </cell>
          <cell r="D444">
            <v>1526</v>
          </cell>
        </row>
        <row r="445">
          <cell r="B445">
            <v>17031430101</v>
          </cell>
          <cell r="D445">
            <v>3599</v>
          </cell>
        </row>
        <row r="446">
          <cell r="B446">
            <v>17031430102</v>
          </cell>
          <cell r="D446">
            <v>3037</v>
          </cell>
        </row>
        <row r="447">
          <cell r="B447">
            <v>17031430200</v>
          </cell>
          <cell r="D447">
            <v>4874</v>
          </cell>
        </row>
        <row r="448">
          <cell r="B448">
            <v>17031430300</v>
          </cell>
          <cell r="D448">
            <v>2118</v>
          </cell>
        </row>
        <row r="449">
          <cell r="B449">
            <v>17031430400</v>
          </cell>
          <cell r="D449">
            <v>2946</v>
          </cell>
        </row>
        <row r="450">
          <cell r="B450">
            <v>17031430500</v>
          </cell>
          <cell r="D450">
            <v>3334</v>
          </cell>
        </row>
        <row r="451">
          <cell r="B451">
            <v>17031430600</v>
          </cell>
          <cell r="D451">
            <v>1668</v>
          </cell>
        </row>
        <row r="452">
          <cell r="B452">
            <v>17031430700</v>
          </cell>
          <cell r="D452">
            <v>2526</v>
          </cell>
        </row>
        <row r="453">
          <cell r="B453">
            <v>17031430800</v>
          </cell>
          <cell r="D453">
            <v>1652</v>
          </cell>
        </row>
        <row r="454">
          <cell r="B454">
            <v>17031430900</v>
          </cell>
          <cell r="D454">
            <v>1382</v>
          </cell>
        </row>
        <row r="455">
          <cell r="B455">
            <v>17031431200</v>
          </cell>
          <cell r="D455">
            <v>3059</v>
          </cell>
        </row>
        <row r="456">
          <cell r="B456">
            <v>17031431301</v>
          </cell>
          <cell r="D456">
            <v>3194</v>
          </cell>
        </row>
        <row r="457">
          <cell r="B457">
            <v>17031431302</v>
          </cell>
          <cell r="D457">
            <v>4263</v>
          </cell>
        </row>
        <row r="458">
          <cell r="B458">
            <v>17031431400</v>
          </cell>
          <cell r="D458">
            <v>6361</v>
          </cell>
        </row>
        <row r="459">
          <cell r="B459">
            <v>17031440101</v>
          </cell>
          <cell r="D459">
            <v>3712</v>
          </cell>
        </row>
        <row r="460">
          <cell r="B460">
            <v>17031440102</v>
          </cell>
          <cell r="D460">
            <v>3431</v>
          </cell>
        </row>
        <row r="461">
          <cell r="B461">
            <v>17031440201</v>
          </cell>
          <cell r="D461">
            <v>5213</v>
          </cell>
        </row>
        <row r="462">
          <cell r="B462">
            <v>17031440202</v>
          </cell>
          <cell r="D462">
            <v>3514</v>
          </cell>
        </row>
        <row r="463">
          <cell r="B463">
            <v>17031440300</v>
          </cell>
          <cell r="D463">
            <v>4404</v>
          </cell>
        </row>
        <row r="464">
          <cell r="B464">
            <v>17031440600</v>
          </cell>
          <cell r="D464">
            <v>1881</v>
          </cell>
        </row>
        <row r="465">
          <cell r="B465">
            <v>17031440700</v>
          </cell>
          <cell r="D465">
            <v>1564</v>
          </cell>
        </row>
        <row r="466">
          <cell r="B466">
            <v>17031440800</v>
          </cell>
          <cell r="D466">
            <v>1699</v>
          </cell>
        </row>
        <row r="467">
          <cell r="B467">
            <v>17031440900</v>
          </cell>
          <cell r="D467">
            <v>2494</v>
          </cell>
        </row>
        <row r="468">
          <cell r="B468">
            <v>17031450300</v>
          </cell>
          <cell r="D468">
            <v>3737</v>
          </cell>
        </row>
        <row r="469">
          <cell r="B469">
            <v>17031460100</v>
          </cell>
          <cell r="D469">
            <v>3336</v>
          </cell>
        </row>
        <row r="470">
          <cell r="B470">
            <v>17031460200</v>
          </cell>
          <cell r="D470">
            <v>2551</v>
          </cell>
        </row>
        <row r="471">
          <cell r="B471">
            <v>17031460301</v>
          </cell>
          <cell r="D471">
            <v>2868</v>
          </cell>
        </row>
        <row r="472">
          <cell r="B472">
            <v>17031460302</v>
          </cell>
          <cell r="D472">
            <v>3362</v>
          </cell>
        </row>
        <row r="473">
          <cell r="B473">
            <v>17031460400</v>
          </cell>
          <cell r="D473">
            <v>3302</v>
          </cell>
        </row>
        <row r="474">
          <cell r="B474">
            <v>17031460500</v>
          </cell>
          <cell r="D474">
            <v>4666</v>
          </cell>
        </row>
        <row r="475">
          <cell r="B475">
            <v>17031460600</v>
          </cell>
          <cell r="D475">
            <v>982</v>
          </cell>
        </row>
        <row r="476">
          <cell r="B476">
            <v>17031460700</v>
          </cell>
          <cell r="D476">
            <v>2569</v>
          </cell>
        </row>
        <row r="477">
          <cell r="B477">
            <v>17031461000</v>
          </cell>
          <cell r="D477">
            <v>1703</v>
          </cell>
        </row>
        <row r="478">
          <cell r="B478">
            <v>17031470100</v>
          </cell>
          <cell r="D478">
            <v>2442</v>
          </cell>
        </row>
        <row r="479">
          <cell r="B479">
            <v>17031480100</v>
          </cell>
          <cell r="D479">
            <v>2066</v>
          </cell>
        </row>
        <row r="480">
          <cell r="B480">
            <v>17031480200</v>
          </cell>
          <cell r="D480">
            <v>1130</v>
          </cell>
        </row>
        <row r="481">
          <cell r="B481">
            <v>17031480300</v>
          </cell>
          <cell r="D481">
            <v>1238</v>
          </cell>
        </row>
        <row r="482">
          <cell r="B482">
            <v>17031480400</v>
          </cell>
          <cell r="D482">
            <v>5788</v>
          </cell>
        </row>
        <row r="483">
          <cell r="B483">
            <v>17031480500</v>
          </cell>
          <cell r="D483">
            <v>3084</v>
          </cell>
        </row>
        <row r="484">
          <cell r="B484">
            <v>17031490300</v>
          </cell>
          <cell r="D484">
            <v>2296</v>
          </cell>
        </row>
        <row r="485">
          <cell r="B485">
            <v>17031490400</v>
          </cell>
          <cell r="D485">
            <v>780</v>
          </cell>
        </row>
        <row r="486">
          <cell r="B486">
            <v>17031490500</v>
          </cell>
          <cell r="D486">
            <v>2089</v>
          </cell>
        </row>
        <row r="487">
          <cell r="B487">
            <v>17031490600</v>
          </cell>
          <cell r="D487">
            <v>1528</v>
          </cell>
        </row>
        <row r="488">
          <cell r="B488">
            <v>17031490700</v>
          </cell>
          <cell r="D488">
            <v>2661</v>
          </cell>
        </row>
        <row r="489">
          <cell r="B489">
            <v>17031490800</v>
          </cell>
          <cell r="D489">
            <v>4266</v>
          </cell>
        </row>
        <row r="490">
          <cell r="B490">
            <v>17031490901</v>
          </cell>
          <cell r="D490">
            <v>3962</v>
          </cell>
        </row>
        <row r="491">
          <cell r="B491">
            <v>17031490902</v>
          </cell>
          <cell r="D491">
            <v>4936</v>
          </cell>
        </row>
        <row r="492">
          <cell r="B492">
            <v>17031491000</v>
          </cell>
          <cell r="D492">
            <v>4759</v>
          </cell>
        </row>
        <row r="493">
          <cell r="B493">
            <v>17031491100</v>
          </cell>
          <cell r="D493">
            <v>4369</v>
          </cell>
        </row>
        <row r="494">
          <cell r="B494">
            <v>17031491200</v>
          </cell>
          <cell r="D494">
            <v>2168</v>
          </cell>
        </row>
        <row r="495">
          <cell r="B495">
            <v>17031491300</v>
          </cell>
          <cell r="D495">
            <v>2338</v>
          </cell>
        </row>
        <row r="496">
          <cell r="B496">
            <v>17031491400</v>
          </cell>
          <cell r="D496">
            <v>3155</v>
          </cell>
        </row>
        <row r="497">
          <cell r="B497">
            <v>17031500100</v>
          </cell>
          <cell r="D497">
            <v>3073</v>
          </cell>
        </row>
        <row r="498">
          <cell r="B498">
            <v>17031500200</v>
          </cell>
          <cell r="D498">
            <v>2131</v>
          </cell>
        </row>
        <row r="499">
          <cell r="B499">
            <v>17031500300</v>
          </cell>
          <cell r="D499">
            <v>1416</v>
          </cell>
        </row>
        <row r="500">
          <cell r="B500">
            <v>17031510100</v>
          </cell>
          <cell r="D500">
            <v>2918</v>
          </cell>
        </row>
        <row r="501">
          <cell r="B501">
            <v>17031510200</v>
          </cell>
          <cell r="D501">
            <v>2413</v>
          </cell>
        </row>
        <row r="502">
          <cell r="B502">
            <v>17031510300</v>
          </cell>
          <cell r="D502">
            <v>5761</v>
          </cell>
        </row>
        <row r="503">
          <cell r="B503">
            <v>17031520100</v>
          </cell>
          <cell r="D503">
            <v>2181</v>
          </cell>
        </row>
        <row r="504">
          <cell r="B504">
            <v>17031520200</v>
          </cell>
          <cell r="D504">
            <v>3510</v>
          </cell>
        </row>
        <row r="505">
          <cell r="B505">
            <v>17031520300</v>
          </cell>
          <cell r="D505">
            <v>5835</v>
          </cell>
        </row>
        <row r="506">
          <cell r="B506">
            <v>17031520400</v>
          </cell>
          <cell r="D506">
            <v>4000</v>
          </cell>
        </row>
        <row r="507">
          <cell r="B507">
            <v>17031520500</v>
          </cell>
          <cell r="D507">
            <v>4638</v>
          </cell>
        </row>
        <row r="508">
          <cell r="B508">
            <v>17031520600</v>
          </cell>
          <cell r="D508">
            <v>2849</v>
          </cell>
        </row>
        <row r="509">
          <cell r="B509">
            <v>17031530100</v>
          </cell>
          <cell r="D509">
            <v>2223</v>
          </cell>
        </row>
        <row r="510">
          <cell r="B510">
            <v>17031530200</v>
          </cell>
          <cell r="D510">
            <v>4429</v>
          </cell>
        </row>
        <row r="511">
          <cell r="B511">
            <v>17031530300</v>
          </cell>
          <cell r="D511">
            <v>4168</v>
          </cell>
        </row>
        <row r="512">
          <cell r="B512">
            <v>17031530400</v>
          </cell>
          <cell r="D512">
            <v>2004</v>
          </cell>
        </row>
        <row r="513">
          <cell r="B513">
            <v>17031530501</v>
          </cell>
          <cell r="D513">
            <v>4966</v>
          </cell>
        </row>
        <row r="514">
          <cell r="B514">
            <v>17031530502</v>
          </cell>
          <cell r="D514">
            <v>1510</v>
          </cell>
        </row>
        <row r="515">
          <cell r="B515">
            <v>17031530503</v>
          </cell>
          <cell r="D515">
            <v>5650</v>
          </cell>
        </row>
        <row r="516">
          <cell r="B516">
            <v>17031530600</v>
          </cell>
          <cell r="D516">
            <v>2622</v>
          </cell>
        </row>
        <row r="517">
          <cell r="B517">
            <v>17031540101</v>
          </cell>
          <cell r="D517">
            <v>3943</v>
          </cell>
        </row>
        <row r="518">
          <cell r="B518">
            <v>17031540102</v>
          </cell>
          <cell r="D518">
            <v>3439</v>
          </cell>
        </row>
        <row r="519">
          <cell r="B519">
            <v>17031550100</v>
          </cell>
          <cell r="D519">
            <v>6306</v>
          </cell>
        </row>
        <row r="520">
          <cell r="B520">
            <v>17031550200</v>
          </cell>
          <cell r="D520">
            <v>2845</v>
          </cell>
        </row>
        <row r="521">
          <cell r="B521">
            <v>17031560100</v>
          </cell>
          <cell r="D521">
            <v>1477</v>
          </cell>
        </row>
        <row r="522">
          <cell r="B522">
            <v>17031560200</v>
          </cell>
          <cell r="D522">
            <v>1524</v>
          </cell>
        </row>
        <row r="523">
          <cell r="B523">
            <v>17031560300</v>
          </cell>
          <cell r="D523">
            <v>3332</v>
          </cell>
        </row>
        <row r="524">
          <cell r="B524">
            <v>17031560400</v>
          </cell>
          <cell r="D524">
            <v>1697</v>
          </cell>
        </row>
        <row r="525">
          <cell r="B525">
            <v>17031560700</v>
          </cell>
          <cell r="D525">
            <v>3500</v>
          </cell>
        </row>
        <row r="526">
          <cell r="B526">
            <v>17031560800</v>
          </cell>
          <cell r="D526">
            <v>6039</v>
          </cell>
        </row>
        <row r="527">
          <cell r="B527">
            <v>17031560900</v>
          </cell>
          <cell r="D527">
            <v>5141</v>
          </cell>
        </row>
        <row r="528">
          <cell r="B528">
            <v>17031561000</v>
          </cell>
          <cell r="D528">
            <v>5406</v>
          </cell>
        </row>
        <row r="529">
          <cell r="B529">
            <v>17031561100</v>
          </cell>
          <cell r="D529">
            <v>5639</v>
          </cell>
        </row>
        <row r="530">
          <cell r="B530">
            <v>17031570100</v>
          </cell>
          <cell r="D530">
            <v>1296</v>
          </cell>
        </row>
        <row r="531">
          <cell r="B531">
            <v>17031570200</v>
          </cell>
          <cell r="D531">
            <v>1892</v>
          </cell>
        </row>
        <row r="532">
          <cell r="B532">
            <v>17031570300</v>
          </cell>
          <cell r="D532">
            <v>5995</v>
          </cell>
        </row>
        <row r="533">
          <cell r="B533">
            <v>17031570400</v>
          </cell>
          <cell r="D533">
            <v>1770</v>
          </cell>
        </row>
        <row r="534">
          <cell r="B534">
            <v>17031570500</v>
          </cell>
          <cell r="D534">
            <v>2306</v>
          </cell>
        </row>
        <row r="535">
          <cell r="B535">
            <v>17031580100</v>
          </cell>
          <cell r="D535">
            <v>2966</v>
          </cell>
        </row>
        <row r="536">
          <cell r="B536">
            <v>17031580200</v>
          </cell>
          <cell r="D536">
            <v>3450</v>
          </cell>
        </row>
        <row r="537">
          <cell r="B537">
            <v>17031580300</v>
          </cell>
          <cell r="D537">
            <v>2352</v>
          </cell>
        </row>
        <row r="538">
          <cell r="B538">
            <v>17031580400</v>
          </cell>
          <cell r="D538">
            <v>4210</v>
          </cell>
        </row>
        <row r="539">
          <cell r="B539">
            <v>17031580501</v>
          </cell>
          <cell r="D539">
            <v>5090</v>
          </cell>
        </row>
        <row r="540">
          <cell r="B540">
            <v>17031580502</v>
          </cell>
          <cell r="D540">
            <v>5404</v>
          </cell>
        </row>
        <row r="541">
          <cell r="B541">
            <v>17031580600</v>
          </cell>
          <cell r="D541">
            <v>5289</v>
          </cell>
        </row>
        <row r="542">
          <cell r="B542">
            <v>17031580700</v>
          </cell>
          <cell r="D542">
            <v>6124</v>
          </cell>
        </row>
        <row r="543">
          <cell r="B543">
            <v>17031580800</v>
          </cell>
          <cell r="D543">
            <v>1886</v>
          </cell>
        </row>
        <row r="544">
          <cell r="B544">
            <v>17031590500</v>
          </cell>
          <cell r="D544">
            <v>1835</v>
          </cell>
        </row>
        <row r="545">
          <cell r="B545">
            <v>17031590600</v>
          </cell>
          <cell r="D545">
            <v>3838</v>
          </cell>
        </row>
        <row r="546">
          <cell r="B546">
            <v>17031590700</v>
          </cell>
          <cell r="D546">
            <v>3284</v>
          </cell>
        </row>
        <row r="547">
          <cell r="B547">
            <v>17031600400</v>
          </cell>
          <cell r="D547">
            <v>4470</v>
          </cell>
        </row>
        <row r="548">
          <cell r="B548">
            <v>17031600600</v>
          </cell>
          <cell r="D548">
            <v>2891</v>
          </cell>
        </row>
        <row r="549">
          <cell r="B549">
            <v>17031600700</v>
          </cell>
          <cell r="D549">
            <v>2517</v>
          </cell>
        </row>
        <row r="550">
          <cell r="B550">
            <v>17031600900</v>
          </cell>
          <cell r="D550">
            <v>3516</v>
          </cell>
        </row>
        <row r="551">
          <cell r="B551">
            <v>17031610300</v>
          </cell>
          <cell r="D551">
            <v>6052</v>
          </cell>
        </row>
        <row r="552">
          <cell r="B552">
            <v>17031610400</v>
          </cell>
          <cell r="D552">
            <v>2040</v>
          </cell>
        </row>
        <row r="553">
          <cell r="B553">
            <v>17031610800</v>
          </cell>
          <cell r="D553">
            <v>1664</v>
          </cell>
        </row>
        <row r="554">
          <cell r="B554">
            <v>17031611000</v>
          </cell>
          <cell r="D554">
            <v>904</v>
          </cell>
        </row>
        <row r="555">
          <cell r="B555">
            <v>17031611100</v>
          </cell>
          <cell r="D555">
            <v>2368</v>
          </cell>
        </row>
        <row r="556">
          <cell r="B556">
            <v>17031611200</v>
          </cell>
          <cell r="D556">
            <v>2512</v>
          </cell>
        </row>
        <row r="557">
          <cell r="B557">
            <v>17031611300</v>
          </cell>
          <cell r="D557">
            <v>2598</v>
          </cell>
        </row>
        <row r="558">
          <cell r="B558">
            <v>17031611400</v>
          </cell>
          <cell r="D558">
            <v>3481</v>
          </cell>
        </row>
        <row r="559">
          <cell r="B559">
            <v>17031611500</v>
          </cell>
          <cell r="D559">
            <v>3254</v>
          </cell>
        </row>
        <row r="560">
          <cell r="B560">
            <v>17031611600</v>
          </cell>
          <cell r="D560">
            <v>1699</v>
          </cell>
        </row>
        <row r="561">
          <cell r="B561">
            <v>17031611700</v>
          </cell>
          <cell r="D561">
            <v>1350</v>
          </cell>
        </row>
        <row r="562">
          <cell r="B562">
            <v>17031611800</v>
          </cell>
          <cell r="D562">
            <v>2487</v>
          </cell>
        </row>
        <row r="563">
          <cell r="B563">
            <v>17031611900</v>
          </cell>
          <cell r="D563">
            <v>2036</v>
          </cell>
        </row>
        <row r="564">
          <cell r="B564">
            <v>17031612000</v>
          </cell>
          <cell r="D564">
            <v>1452</v>
          </cell>
        </row>
        <row r="565">
          <cell r="B565">
            <v>17031612100</v>
          </cell>
          <cell r="D565">
            <v>960</v>
          </cell>
        </row>
        <row r="566">
          <cell r="B566">
            <v>17031620100</v>
          </cell>
          <cell r="D566">
            <v>4939</v>
          </cell>
        </row>
        <row r="567">
          <cell r="B567">
            <v>17031620200</v>
          </cell>
          <cell r="D567">
            <v>2451</v>
          </cell>
        </row>
        <row r="568">
          <cell r="B568">
            <v>17031620300</v>
          </cell>
          <cell r="D568">
            <v>7868</v>
          </cell>
        </row>
        <row r="569">
          <cell r="B569">
            <v>17031620400</v>
          </cell>
          <cell r="D569">
            <v>4674</v>
          </cell>
        </row>
        <row r="570">
          <cell r="B570">
            <v>17031630100</v>
          </cell>
          <cell r="D570">
            <v>935</v>
          </cell>
        </row>
        <row r="571">
          <cell r="B571">
            <v>17031630200</v>
          </cell>
          <cell r="D571">
            <v>2237</v>
          </cell>
        </row>
        <row r="572">
          <cell r="B572">
            <v>17031630300</v>
          </cell>
          <cell r="D572">
            <v>5791</v>
          </cell>
        </row>
        <row r="573">
          <cell r="B573">
            <v>17031630400</v>
          </cell>
          <cell r="D573">
            <v>7155</v>
          </cell>
        </row>
        <row r="574">
          <cell r="B574">
            <v>17031630500</v>
          </cell>
          <cell r="D574">
            <v>6351</v>
          </cell>
        </row>
        <row r="575">
          <cell r="B575">
            <v>17031630800</v>
          </cell>
          <cell r="D575">
            <v>7420</v>
          </cell>
        </row>
        <row r="576">
          <cell r="B576">
            <v>17031630900</v>
          </cell>
          <cell r="D576">
            <v>5192</v>
          </cell>
        </row>
        <row r="577">
          <cell r="B577">
            <v>17031640100</v>
          </cell>
          <cell r="D577">
            <v>1473</v>
          </cell>
        </row>
        <row r="578">
          <cell r="B578">
            <v>17031640300</v>
          </cell>
          <cell r="D578">
            <v>6809</v>
          </cell>
        </row>
        <row r="579">
          <cell r="B579">
            <v>17031640400</v>
          </cell>
          <cell r="D579">
            <v>3844</v>
          </cell>
        </row>
        <row r="580">
          <cell r="B580">
            <v>17031640500</v>
          </cell>
          <cell r="D580">
            <v>3484</v>
          </cell>
        </row>
        <row r="581">
          <cell r="B581">
            <v>17031640600</v>
          </cell>
          <cell r="D581">
            <v>4357</v>
          </cell>
        </row>
        <row r="582">
          <cell r="B582">
            <v>17031640700</v>
          </cell>
          <cell r="D582">
            <v>3404</v>
          </cell>
        </row>
        <row r="583">
          <cell r="B583">
            <v>17031640800</v>
          </cell>
          <cell r="D583">
            <v>1829</v>
          </cell>
        </row>
        <row r="584">
          <cell r="B584">
            <v>17031650100</v>
          </cell>
          <cell r="D584">
            <v>4626</v>
          </cell>
        </row>
        <row r="585">
          <cell r="B585">
            <v>17031650200</v>
          </cell>
          <cell r="D585">
            <v>7788</v>
          </cell>
        </row>
        <row r="586">
          <cell r="B586">
            <v>17031650301</v>
          </cell>
          <cell r="D586">
            <v>5887</v>
          </cell>
        </row>
        <row r="587">
          <cell r="B587">
            <v>17031650302</v>
          </cell>
          <cell r="D587">
            <v>4267</v>
          </cell>
        </row>
        <row r="588">
          <cell r="B588">
            <v>17031650400</v>
          </cell>
          <cell r="D588">
            <v>6737</v>
          </cell>
        </row>
        <row r="589">
          <cell r="B589">
            <v>17031650500</v>
          </cell>
          <cell r="D589">
            <v>4290</v>
          </cell>
        </row>
        <row r="590">
          <cell r="B590">
            <v>17031660301</v>
          </cell>
          <cell r="D590">
            <v>1801</v>
          </cell>
        </row>
        <row r="591">
          <cell r="B591">
            <v>17031660302</v>
          </cell>
          <cell r="D591">
            <v>5402</v>
          </cell>
        </row>
        <row r="592">
          <cell r="B592">
            <v>17031660400</v>
          </cell>
          <cell r="D592">
            <v>6458</v>
          </cell>
        </row>
        <row r="593">
          <cell r="B593">
            <v>17031660500</v>
          </cell>
          <cell r="D593">
            <v>5005</v>
          </cell>
        </row>
        <row r="594">
          <cell r="B594">
            <v>17031660600</v>
          </cell>
          <cell r="D594">
            <v>6378</v>
          </cell>
        </row>
        <row r="595">
          <cell r="B595">
            <v>17031660700</v>
          </cell>
          <cell r="D595">
            <v>2170</v>
          </cell>
        </row>
        <row r="596">
          <cell r="B596">
            <v>17031660800</v>
          </cell>
          <cell r="D596">
            <v>5291</v>
          </cell>
        </row>
        <row r="597">
          <cell r="B597">
            <v>17031660900</v>
          </cell>
          <cell r="D597">
            <v>4255</v>
          </cell>
        </row>
        <row r="598">
          <cell r="B598">
            <v>17031661000</v>
          </cell>
          <cell r="D598">
            <v>5128</v>
          </cell>
        </row>
        <row r="599">
          <cell r="B599">
            <v>17031661100</v>
          </cell>
          <cell r="D599">
            <v>6241</v>
          </cell>
        </row>
        <row r="600">
          <cell r="B600">
            <v>17031670100</v>
          </cell>
          <cell r="D600">
            <v>1192</v>
          </cell>
        </row>
        <row r="601">
          <cell r="B601">
            <v>17031670200</v>
          </cell>
          <cell r="D601">
            <v>827</v>
          </cell>
        </row>
        <row r="602">
          <cell r="B602">
            <v>17031670300</v>
          </cell>
          <cell r="D602">
            <v>1198</v>
          </cell>
        </row>
        <row r="603">
          <cell r="B603">
            <v>17031670400</v>
          </cell>
          <cell r="D603">
            <v>1809</v>
          </cell>
        </row>
        <row r="604">
          <cell r="B604">
            <v>17031670500</v>
          </cell>
          <cell r="D604">
            <v>1200</v>
          </cell>
        </row>
        <row r="605">
          <cell r="B605">
            <v>17031670600</v>
          </cell>
          <cell r="D605">
            <v>1144</v>
          </cell>
        </row>
        <row r="606">
          <cell r="B606">
            <v>17031670700</v>
          </cell>
          <cell r="D606">
            <v>1130</v>
          </cell>
        </row>
        <row r="607">
          <cell r="B607">
            <v>17031670800</v>
          </cell>
          <cell r="D607">
            <v>1527</v>
          </cell>
        </row>
        <row r="608">
          <cell r="B608">
            <v>17031670900</v>
          </cell>
          <cell r="D608">
            <v>1596</v>
          </cell>
        </row>
        <row r="609">
          <cell r="B609">
            <v>17031671100</v>
          </cell>
          <cell r="D609">
            <v>1277</v>
          </cell>
        </row>
        <row r="610">
          <cell r="B610">
            <v>17031671200</v>
          </cell>
          <cell r="D610">
            <v>914</v>
          </cell>
        </row>
        <row r="611">
          <cell r="B611">
            <v>17031671300</v>
          </cell>
          <cell r="D611">
            <v>1978</v>
          </cell>
        </row>
        <row r="612">
          <cell r="B612">
            <v>17031671400</v>
          </cell>
          <cell r="D612">
            <v>1720</v>
          </cell>
        </row>
        <row r="613">
          <cell r="B613">
            <v>17031671500</v>
          </cell>
          <cell r="D613">
            <v>2794</v>
          </cell>
        </row>
        <row r="614">
          <cell r="B614">
            <v>17031671600</v>
          </cell>
          <cell r="D614">
            <v>1960</v>
          </cell>
        </row>
        <row r="615">
          <cell r="B615">
            <v>17031671800</v>
          </cell>
          <cell r="D615">
            <v>1265</v>
          </cell>
        </row>
        <row r="616">
          <cell r="B616">
            <v>17031671900</v>
          </cell>
          <cell r="D616">
            <v>1120</v>
          </cell>
        </row>
        <row r="617">
          <cell r="B617">
            <v>17031672000</v>
          </cell>
          <cell r="D617">
            <v>3949</v>
          </cell>
        </row>
        <row r="618">
          <cell r="B618">
            <v>17031680500</v>
          </cell>
          <cell r="D618">
            <v>1378</v>
          </cell>
        </row>
        <row r="619">
          <cell r="B619">
            <v>17031680600</v>
          </cell>
          <cell r="D619">
            <v>1728</v>
          </cell>
        </row>
        <row r="620">
          <cell r="B620">
            <v>17031680900</v>
          </cell>
          <cell r="D620">
            <v>3035</v>
          </cell>
        </row>
        <row r="621">
          <cell r="B621">
            <v>17031681000</v>
          </cell>
          <cell r="D621">
            <v>3107</v>
          </cell>
        </row>
        <row r="622">
          <cell r="B622">
            <v>17031681100</v>
          </cell>
          <cell r="D622">
            <v>3311</v>
          </cell>
        </row>
        <row r="623">
          <cell r="B623">
            <v>17031681200</v>
          </cell>
          <cell r="D623">
            <v>2567</v>
          </cell>
        </row>
        <row r="624">
          <cell r="B624">
            <v>17031681300</v>
          </cell>
          <cell r="D624">
            <v>2187</v>
          </cell>
        </row>
        <row r="625">
          <cell r="B625">
            <v>17031681400</v>
          </cell>
          <cell r="D625">
            <v>2517</v>
          </cell>
        </row>
        <row r="626">
          <cell r="B626">
            <v>17031690300</v>
          </cell>
          <cell r="D626">
            <v>2428</v>
          </cell>
        </row>
        <row r="627">
          <cell r="B627">
            <v>17031690400</v>
          </cell>
          <cell r="D627">
            <v>3527</v>
          </cell>
        </row>
        <row r="628">
          <cell r="B628">
            <v>17031690500</v>
          </cell>
          <cell r="D628">
            <v>786</v>
          </cell>
        </row>
        <row r="629">
          <cell r="B629">
            <v>17031690900</v>
          </cell>
          <cell r="D629">
            <v>4556</v>
          </cell>
        </row>
        <row r="630">
          <cell r="B630">
            <v>17031691000</v>
          </cell>
          <cell r="D630">
            <v>2536</v>
          </cell>
        </row>
        <row r="631">
          <cell r="B631">
            <v>17031691100</v>
          </cell>
          <cell r="D631">
            <v>3081</v>
          </cell>
        </row>
        <row r="632">
          <cell r="B632">
            <v>17031691200</v>
          </cell>
          <cell r="D632">
            <v>3252</v>
          </cell>
        </row>
        <row r="633">
          <cell r="B633">
            <v>17031691300</v>
          </cell>
          <cell r="D633">
            <v>2665</v>
          </cell>
        </row>
        <row r="634">
          <cell r="B634">
            <v>17031691400</v>
          </cell>
          <cell r="D634">
            <v>2923</v>
          </cell>
        </row>
        <row r="635">
          <cell r="B635">
            <v>17031691500</v>
          </cell>
          <cell r="D635">
            <v>2010</v>
          </cell>
        </row>
        <row r="636">
          <cell r="B636">
            <v>17031700100</v>
          </cell>
          <cell r="D636">
            <v>3347</v>
          </cell>
        </row>
        <row r="637">
          <cell r="B637">
            <v>17031700200</v>
          </cell>
          <cell r="D637">
            <v>6773</v>
          </cell>
        </row>
        <row r="638">
          <cell r="B638">
            <v>17031700301</v>
          </cell>
          <cell r="D638">
            <v>6155</v>
          </cell>
        </row>
        <row r="639">
          <cell r="B639">
            <v>17031700302</v>
          </cell>
          <cell r="D639">
            <v>5417</v>
          </cell>
        </row>
        <row r="640">
          <cell r="B640">
            <v>17031700401</v>
          </cell>
          <cell r="D640">
            <v>6171</v>
          </cell>
        </row>
        <row r="641">
          <cell r="B641">
            <v>17031700402</v>
          </cell>
          <cell r="D641">
            <v>4264</v>
          </cell>
        </row>
        <row r="642">
          <cell r="B642">
            <v>17031700501</v>
          </cell>
          <cell r="D642">
            <v>7645</v>
          </cell>
        </row>
        <row r="643">
          <cell r="B643">
            <v>17031700502</v>
          </cell>
          <cell r="D643">
            <v>3511</v>
          </cell>
        </row>
        <row r="644">
          <cell r="B644">
            <v>17031710100</v>
          </cell>
          <cell r="D644">
            <v>1296</v>
          </cell>
        </row>
        <row r="645">
          <cell r="B645">
            <v>17031710200</v>
          </cell>
          <cell r="D645">
            <v>4939</v>
          </cell>
        </row>
        <row r="646">
          <cell r="B646">
            <v>17031710300</v>
          </cell>
          <cell r="D646">
            <v>1338</v>
          </cell>
        </row>
        <row r="647">
          <cell r="B647">
            <v>17031710400</v>
          </cell>
          <cell r="D647">
            <v>5364</v>
          </cell>
        </row>
        <row r="648">
          <cell r="B648">
            <v>17031710500</v>
          </cell>
          <cell r="D648">
            <v>4104</v>
          </cell>
        </row>
        <row r="649">
          <cell r="B649">
            <v>17031710600</v>
          </cell>
          <cell r="D649">
            <v>1934</v>
          </cell>
        </row>
        <row r="650">
          <cell r="B650">
            <v>17031710700</v>
          </cell>
          <cell r="D650">
            <v>2767</v>
          </cell>
        </row>
        <row r="651">
          <cell r="B651">
            <v>17031710800</v>
          </cell>
          <cell r="D651">
            <v>4606</v>
          </cell>
        </row>
        <row r="652">
          <cell r="B652">
            <v>17031710900</v>
          </cell>
          <cell r="D652">
            <v>2348</v>
          </cell>
        </row>
        <row r="653">
          <cell r="B653">
            <v>17031711000</v>
          </cell>
          <cell r="D653">
            <v>3121</v>
          </cell>
        </row>
        <row r="654">
          <cell r="B654">
            <v>17031711100</v>
          </cell>
          <cell r="D654">
            <v>2373</v>
          </cell>
        </row>
        <row r="655">
          <cell r="B655">
            <v>17031711200</v>
          </cell>
          <cell r="D655">
            <v>5041</v>
          </cell>
        </row>
        <row r="656">
          <cell r="B656">
            <v>17031711300</v>
          </cell>
          <cell r="D656">
            <v>1744</v>
          </cell>
        </row>
        <row r="657">
          <cell r="B657">
            <v>17031711400</v>
          </cell>
          <cell r="D657">
            <v>2331</v>
          </cell>
        </row>
        <row r="658">
          <cell r="B658">
            <v>17031711500</v>
          </cell>
          <cell r="D658">
            <v>2464</v>
          </cell>
        </row>
        <row r="659">
          <cell r="B659">
            <v>17031720100</v>
          </cell>
          <cell r="D659">
            <v>3459</v>
          </cell>
        </row>
        <row r="660">
          <cell r="B660">
            <v>17031720200</v>
          </cell>
          <cell r="D660">
            <v>4059</v>
          </cell>
        </row>
        <row r="661">
          <cell r="B661">
            <v>17031720300</v>
          </cell>
          <cell r="D661">
            <v>4093</v>
          </cell>
        </row>
        <row r="662">
          <cell r="B662">
            <v>17031720400</v>
          </cell>
          <cell r="D662">
            <v>1957</v>
          </cell>
        </row>
        <row r="663">
          <cell r="B663">
            <v>17031720500</v>
          </cell>
          <cell r="D663">
            <v>2194</v>
          </cell>
        </row>
        <row r="664">
          <cell r="B664">
            <v>17031720600</v>
          </cell>
          <cell r="D664">
            <v>1743</v>
          </cell>
        </row>
        <row r="665">
          <cell r="B665">
            <v>17031720700</v>
          </cell>
          <cell r="D665">
            <v>3331</v>
          </cell>
        </row>
        <row r="666">
          <cell r="B666">
            <v>17031730100</v>
          </cell>
          <cell r="D666">
            <v>2514</v>
          </cell>
        </row>
        <row r="667">
          <cell r="B667">
            <v>17031730201</v>
          </cell>
          <cell r="D667">
            <v>6286</v>
          </cell>
        </row>
        <row r="668">
          <cell r="B668">
            <v>17031730202</v>
          </cell>
          <cell r="D668">
            <v>3450</v>
          </cell>
        </row>
        <row r="669">
          <cell r="B669">
            <v>17031730300</v>
          </cell>
          <cell r="D669">
            <v>1135</v>
          </cell>
        </row>
        <row r="670">
          <cell r="B670">
            <v>17031730400</v>
          </cell>
          <cell r="D670">
            <v>3967</v>
          </cell>
        </row>
        <row r="671">
          <cell r="B671">
            <v>17031730500</v>
          </cell>
          <cell r="D671">
            <v>4357</v>
          </cell>
        </row>
        <row r="672">
          <cell r="B672">
            <v>17031730600</v>
          </cell>
          <cell r="D672">
            <v>3022</v>
          </cell>
        </row>
        <row r="673">
          <cell r="B673">
            <v>17031730700</v>
          </cell>
          <cell r="D673">
            <v>2324</v>
          </cell>
        </row>
        <row r="674">
          <cell r="B674">
            <v>17031740100</v>
          </cell>
          <cell r="D674">
            <v>3100</v>
          </cell>
        </row>
        <row r="675">
          <cell r="B675">
            <v>17031740200</v>
          </cell>
          <cell r="D675">
            <v>6679</v>
          </cell>
        </row>
        <row r="676">
          <cell r="B676">
            <v>17031740300</v>
          </cell>
          <cell r="D676">
            <v>4775</v>
          </cell>
        </row>
        <row r="677">
          <cell r="B677">
            <v>17031740400</v>
          </cell>
          <cell r="D677">
            <v>4475</v>
          </cell>
        </row>
        <row r="678">
          <cell r="B678">
            <v>17031750100</v>
          </cell>
          <cell r="D678">
            <v>4219</v>
          </cell>
        </row>
        <row r="679">
          <cell r="B679">
            <v>17031750200</v>
          </cell>
          <cell r="D679">
            <v>3218</v>
          </cell>
        </row>
        <row r="680">
          <cell r="B680">
            <v>17031750300</v>
          </cell>
          <cell r="D680">
            <v>2466</v>
          </cell>
        </row>
        <row r="681">
          <cell r="B681">
            <v>17031750400</v>
          </cell>
          <cell r="D681">
            <v>3224</v>
          </cell>
        </row>
        <row r="682">
          <cell r="B682">
            <v>17031750500</v>
          </cell>
          <cell r="D682">
            <v>6298</v>
          </cell>
        </row>
        <row r="683">
          <cell r="B683">
            <v>17031750600</v>
          </cell>
          <cell r="D683">
            <v>3594</v>
          </cell>
        </row>
        <row r="684">
          <cell r="B684">
            <v>17031760801</v>
          </cell>
          <cell r="D684">
            <v>4125</v>
          </cell>
        </row>
        <row r="685">
          <cell r="B685">
            <v>17031760802</v>
          </cell>
          <cell r="D685">
            <v>2503</v>
          </cell>
        </row>
        <row r="686">
          <cell r="B686">
            <v>17031760803</v>
          </cell>
          <cell r="D686">
            <v>6274</v>
          </cell>
        </row>
        <row r="687">
          <cell r="B687">
            <v>17031770201</v>
          </cell>
          <cell r="D687">
            <v>5732</v>
          </cell>
        </row>
        <row r="688">
          <cell r="B688">
            <v>17031770202</v>
          </cell>
          <cell r="D688">
            <v>4845</v>
          </cell>
        </row>
        <row r="689">
          <cell r="B689">
            <v>17031770300</v>
          </cell>
          <cell r="D689">
            <v>7090</v>
          </cell>
        </row>
        <row r="690">
          <cell r="B690">
            <v>17031770400</v>
          </cell>
          <cell r="D690">
            <v>4952</v>
          </cell>
        </row>
        <row r="691">
          <cell r="B691">
            <v>17031770500</v>
          </cell>
          <cell r="D691">
            <v>4015</v>
          </cell>
        </row>
        <row r="692">
          <cell r="B692">
            <v>17031770601</v>
          </cell>
          <cell r="D692">
            <v>3324</v>
          </cell>
        </row>
        <row r="693">
          <cell r="B693">
            <v>17031770602</v>
          </cell>
          <cell r="D693">
            <v>5159</v>
          </cell>
        </row>
        <row r="694">
          <cell r="B694">
            <v>17031770700</v>
          </cell>
          <cell r="D694">
            <v>2638</v>
          </cell>
        </row>
        <row r="695">
          <cell r="B695">
            <v>17031770800</v>
          </cell>
          <cell r="D695">
            <v>5617</v>
          </cell>
        </row>
        <row r="696">
          <cell r="B696">
            <v>17031770901</v>
          </cell>
          <cell r="D696">
            <v>5531</v>
          </cell>
        </row>
        <row r="697">
          <cell r="B697">
            <v>17031770902</v>
          </cell>
          <cell r="D697">
            <v>3695</v>
          </cell>
        </row>
        <row r="698">
          <cell r="B698">
            <v>17031800100</v>
          </cell>
          <cell r="D698">
            <v>2581</v>
          </cell>
        </row>
        <row r="699">
          <cell r="B699">
            <v>17031800200</v>
          </cell>
          <cell r="D699">
            <v>6289</v>
          </cell>
        </row>
        <row r="700">
          <cell r="B700">
            <v>17031800300</v>
          </cell>
          <cell r="D700">
            <v>3524</v>
          </cell>
        </row>
        <row r="701">
          <cell r="B701">
            <v>17031800400</v>
          </cell>
          <cell r="D701">
            <v>3733</v>
          </cell>
        </row>
        <row r="702">
          <cell r="B702">
            <v>17031800500</v>
          </cell>
          <cell r="D702">
            <v>5148</v>
          </cell>
        </row>
        <row r="703">
          <cell r="B703">
            <v>17031800600</v>
          </cell>
          <cell r="D703">
            <v>2544</v>
          </cell>
        </row>
        <row r="704">
          <cell r="B704">
            <v>17031800700</v>
          </cell>
          <cell r="D704">
            <v>5047</v>
          </cell>
        </row>
        <row r="705">
          <cell r="B705">
            <v>17031800800</v>
          </cell>
          <cell r="D705">
            <v>2164</v>
          </cell>
        </row>
        <row r="706">
          <cell r="B706">
            <v>17031800900</v>
          </cell>
          <cell r="D706">
            <v>4377</v>
          </cell>
        </row>
        <row r="707">
          <cell r="B707">
            <v>17031801000</v>
          </cell>
          <cell r="D707">
            <v>4911</v>
          </cell>
        </row>
        <row r="708">
          <cell r="B708">
            <v>17031801100</v>
          </cell>
          <cell r="D708">
            <v>4675</v>
          </cell>
        </row>
        <row r="709">
          <cell r="B709">
            <v>17031801200</v>
          </cell>
          <cell r="D709">
            <v>3489</v>
          </cell>
        </row>
        <row r="710">
          <cell r="B710">
            <v>17031801300</v>
          </cell>
          <cell r="D710">
            <v>4699</v>
          </cell>
        </row>
        <row r="711">
          <cell r="B711">
            <v>17031801400</v>
          </cell>
          <cell r="D711">
            <v>2986</v>
          </cell>
        </row>
        <row r="712">
          <cell r="B712">
            <v>17031801500</v>
          </cell>
          <cell r="D712">
            <v>6196</v>
          </cell>
        </row>
        <row r="713">
          <cell r="B713">
            <v>17031801601</v>
          </cell>
          <cell r="D713">
            <v>4676</v>
          </cell>
        </row>
        <row r="714">
          <cell r="B714">
            <v>17031801603</v>
          </cell>
          <cell r="D714">
            <v>3999</v>
          </cell>
        </row>
        <row r="715">
          <cell r="B715">
            <v>17031801605</v>
          </cell>
          <cell r="D715">
            <v>5427</v>
          </cell>
        </row>
        <row r="716">
          <cell r="B716">
            <v>17031801606</v>
          </cell>
          <cell r="D716">
            <v>5949</v>
          </cell>
        </row>
        <row r="717">
          <cell r="B717">
            <v>17031801607</v>
          </cell>
          <cell r="D717">
            <v>5478</v>
          </cell>
        </row>
        <row r="718">
          <cell r="B718">
            <v>17031801608</v>
          </cell>
          <cell r="D718">
            <v>6634</v>
          </cell>
        </row>
        <row r="719">
          <cell r="B719">
            <v>17031801701</v>
          </cell>
          <cell r="D719">
            <v>3749</v>
          </cell>
        </row>
        <row r="720">
          <cell r="B720">
            <v>17031801702</v>
          </cell>
          <cell r="D720">
            <v>4770</v>
          </cell>
        </row>
        <row r="721">
          <cell r="B721">
            <v>17031801800</v>
          </cell>
          <cell r="D721">
            <v>5968</v>
          </cell>
        </row>
        <row r="722">
          <cell r="B722">
            <v>17031801901</v>
          </cell>
          <cell r="D722">
            <v>4084</v>
          </cell>
        </row>
        <row r="723">
          <cell r="B723">
            <v>17031801902</v>
          </cell>
          <cell r="D723">
            <v>3571</v>
          </cell>
        </row>
        <row r="724">
          <cell r="B724">
            <v>17031802002</v>
          </cell>
          <cell r="D724">
            <v>5136</v>
          </cell>
        </row>
        <row r="725">
          <cell r="B725">
            <v>17031802003</v>
          </cell>
          <cell r="D725">
            <v>2826</v>
          </cell>
        </row>
        <row r="726">
          <cell r="B726">
            <v>17031802004</v>
          </cell>
          <cell r="D726">
            <v>5118</v>
          </cell>
        </row>
        <row r="727">
          <cell r="B727">
            <v>17031802100</v>
          </cell>
          <cell r="D727">
            <v>3487</v>
          </cell>
        </row>
        <row r="728">
          <cell r="B728">
            <v>17031802200</v>
          </cell>
          <cell r="D728">
            <v>4520</v>
          </cell>
        </row>
        <row r="729">
          <cell r="B729">
            <v>17031802300</v>
          </cell>
          <cell r="D729">
            <v>5257</v>
          </cell>
        </row>
        <row r="730">
          <cell r="B730">
            <v>17031802402</v>
          </cell>
          <cell r="D730">
            <v>5713</v>
          </cell>
        </row>
        <row r="731">
          <cell r="B731">
            <v>17031802403</v>
          </cell>
          <cell r="D731">
            <v>1439</v>
          </cell>
        </row>
        <row r="732">
          <cell r="B732">
            <v>17031802404</v>
          </cell>
          <cell r="D732">
            <v>7991</v>
          </cell>
        </row>
        <row r="733">
          <cell r="B733">
            <v>17031802503</v>
          </cell>
          <cell r="D733">
            <v>5631</v>
          </cell>
        </row>
        <row r="734">
          <cell r="B734">
            <v>17031802504</v>
          </cell>
          <cell r="D734">
            <v>6872</v>
          </cell>
        </row>
        <row r="735">
          <cell r="B735">
            <v>17031802505</v>
          </cell>
          <cell r="D735">
            <v>6680</v>
          </cell>
        </row>
        <row r="736">
          <cell r="B736">
            <v>17031802506</v>
          </cell>
          <cell r="D736">
            <v>2654</v>
          </cell>
        </row>
        <row r="737">
          <cell r="B737">
            <v>17031802605</v>
          </cell>
          <cell r="D737">
            <v>7081</v>
          </cell>
        </row>
        <row r="738">
          <cell r="B738">
            <v>17031802607</v>
          </cell>
          <cell r="D738">
            <v>1459</v>
          </cell>
        </row>
        <row r="739">
          <cell r="B739">
            <v>17031802608</v>
          </cell>
          <cell r="D739">
            <v>6564</v>
          </cell>
        </row>
        <row r="740">
          <cell r="B740">
            <v>17031802609</v>
          </cell>
          <cell r="D740">
            <v>6379</v>
          </cell>
        </row>
        <row r="741">
          <cell r="B741">
            <v>17031802610</v>
          </cell>
          <cell r="D741">
            <v>1718</v>
          </cell>
        </row>
        <row r="742">
          <cell r="B742">
            <v>17031802701</v>
          </cell>
          <cell r="D742">
            <v>6749</v>
          </cell>
        </row>
        <row r="743">
          <cell r="B743">
            <v>17031802702</v>
          </cell>
          <cell r="D743">
            <v>4561</v>
          </cell>
        </row>
        <row r="744">
          <cell r="B744">
            <v>17031802801</v>
          </cell>
          <cell r="D744">
            <v>4840</v>
          </cell>
        </row>
        <row r="745">
          <cell r="B745">
            <v>17031802802</v>
          </cell>
          <cell r="D745">
            <v>6712</v>
          </cell>
        </row>
        <row r="746">
          <cell r="B746">
            <v>17031802900</v>
          </cell>
          <cell r="D746">
            <v>5852</v>
          </cell>
        </row>
        <row r="747">
          <cell r="B747">
            <v>17031803005</v>
          </cell>
          <cell r="D747">
            <v>2828</v>
          </cell>
        </row>
        <row r="748">
          <cell r="B748">
            <v>17031803007</v>
          </cell>
          <cell r="D748">
            <v>4703</v>
          </cell>
        </row>
        <row r="749">
          <cell r="B749">
            <v>17031803008</v>
          </cell>
          <cell r="D749">
            <v>4484</v>
          </cell>
        </row>
        <row r="750">
          <cell r="B750">
            <v>17031803010</v>
          </cell>
          <cell r="D750">
            <v>4910</v>
          </cell>
        </row>
        <row r="751">
          <cell r="B751">
            <v>17031803012</v>
          </cell>
          <cell r="D751">
            <v>2322</v>
          </cell>
        </row>
        <row r="752">
          <cell r="B752">
            <v>17031803013</v>
          </cell>
          <cell r="D752">
            <v>5466</v>
          </cell>
        </row>
        <row r="753">
          <cell r="B753">
            <v>17031803014</v>
          </cell>
          <cell r="D753">
            <v>3289</v>
          </cell>
        </row>
        <row r="754">
          <cell r="B754">
            <v>17031803015</v>
          </cell>
          <cell r="D754">
            <v>4479</v>
          </cell>
        </row>
        <row r="755">
          <cell r="B755">
            <v>17031803016</v>
          </cell>
          <cell r="D755">
            <v>2597</v>
          </cell>
        </row>
        <row r="756">
          <cell r="B756">
            <v>17031803017</v>
          </cell>
          <cell r="D756">
            <v>6017</v>
          </cell>
        </row>
        <row r="757">
          <cell r="B757">
            <v>17031803100</v>
          </cell>
          <cell r="D757">
            <v>3443</v>
          </cell>
        </row>
        <row r="758">
          <cell r="B758">
            <v>17031803200</v>
          </cell>
          <cell r="D758">
            <v>5565</v>
          </cell>
        </row>
        <row r="759">
          <cell r="B759">
            <v>17031803300</v>
          </cell>
          <cell r="D759">
            <v>5691</v>
          </cell>
        </row>
        <row r="760">
          <cell r="B760">
            <v>17031803400</v>
          </cell>
          <cell r="D760">
            <v>6037</v>
          </cell>
        </row>
        <row r="761">
          <cell r="B761">
            <v>17031803500</v>
          </cell>
          <cell r="D761">
            <v>6093</v>
          </cell>
        </row>
        <row r="762">
          <cell r="B762">
            <v>17031803603</v>
          </cell>
          <cell r="D762">
            <v>6553</v>
          </cell>
        </row>
        <row r="763">
          <cell r="B763">
            <v>17031803604</v>
          </cell>
          <cell r="D763">
            <v>4222</v>
          </cell>
        </row>
        <row r="764">
          <cell r="B764">
            <v>17031803605</v>
          </cell>
          <cell r="D764">
            <v>7187</v>
          </cell>
        </row>
        <row r="765">
          <cell r="B765">
            <v>17031803606</v>
          </cell>
          <cell r="D765">
            <v>8926</v>
          </cell>
        </row>
        <row r="766">
          <cell r="B766">
            <v>17031803607</v>
          </cell>
          <cell r="D766">
            <v>5017</v>
          </cell>
        </row>
        <row r="767">
          <cell r="B767">
            <v>17031803608</v>
          </cell>
          <cell r="D767">
            <v>7784</v>
          </cell>
        </row>
        <row r="768">
          <cell r="B768">
            <v>17031803610</v>
          </cell>
          <cell r="D768">
            <v>7616</v>
          </cell>
        </row>
        <row r="769">
          <cell r="B769">
            <v>17031803611</v>
          </cell>
          <cell r="D769">
            <v>6075</v>
          </cell>
        </row>
        <row r="770">
          <cell r="B770">
            <v>17031803612</v>
          </cell>
          <cell r="D770">
            <v>3726</v>
          </cell>
        </row>
        <row r="771">
          <cell r="B771">
            <v>17031803701</v>
          </cell>
          <cell r="D771">
            <v>2780</v>
          </cell>
        </row>
        <row r="772">
          <cell r="B772">
            <v>17031803702</v>
          </cell>
          <cell r="D772">
            <v>6022</v>
          </cell>
        </row>
        <row r="773">
          <cell r="B773">
            <v>17031803800</v>
          </cell>
          <cell r="D773">
            <v>4676</v>
          </cell>
        </row>
        <row r="774">
          <cell r="B774">
            <v>17031803901</v>
          </cell>
          <cell r="D774">
            <v>3339</v>
          </cell>
        </row>
        <row r="775">
          <cell r="B775">
            <v>17031803902</v>
          </cell>
          <cell r="D775">
            <v>3481</v>
          </cell>
        </row>
        <row r="776">
          <cell r="B776">
            <v>17031804000</v>
          </cell>
          <cell r="D776">
            <v>4508</v>
          </cell>
        </row>
        <row r="777">
          <cell r="B777">
            <v>17031804102</v>
          </cell>
          <cell r="D777">
            <v>6722</v>
          </cell>
        </row>
        <row r="778">
          <cell r="B778">
            <v>17031804104</v>
          </cell>
          <cell r="D778">
            <v>4892</v>
          </cell>
        </row>
        <row r="779">
          <cell r="B779">
            <v>17031804105</v>
          </cell>
          <cell r="D779">
            <v>4114</v>
          </cell>
        </row>
        <row r="780">
          <cell r="B780">
            <v>17031804106</v>
          </cell>
          <cell r="D780">
            <v>7211</v>
          </cell>
        </row>
        <row r="781">
          <cell r="B781">
            <v>17031804108</v>
          </cell>
          <cell r="D781">
            <v>4115</v>
          </cell>
        </row>
        <row r="782">
          <cell r="B782">
            <v>17031804109</v>
          </cell>
          <cell r="D782">
            <v>3003</v>
          </cell>
        </row>
        <row r="783">
          <cell r="B783">
            <v>17031804201</v>
          </cell>
          <cell r="D783">
            <v>8214</v>
          </cell>
        </row>
        <row r="784">
          <cell r="B784">
            <v>17031804202</v>
          </cell>
          <cell r="D784">
            <v>7746</v>
          </cell>
        </row>
        <row r="785">
          <cell r="B785">
            <v>17031804305</v>
          </cell>
          <cell r="D785">
            <v>7691</v>
          </cell>
        </row>
        <row r="786">
          <cell r="B786">
            <v>17031804306</v>
          </cell>
          <cell r="D786">
            <v>5729</v>
          </cell>
        </row>
        <row r="787">
          <cell r="B787">
            <v>17031804308</v>
          </cell>
          <cell r="D787">
            <v>5140</v>
          </cell>
        </row>
        <row r="788">
          <cell r="B788">
            <v>17031804309</v>
          </cell>
          <cell r="D788">
            <v>3215</v>
          </cell>
        </row>
        <row r="789">
          <cell r="B789">
            <v>17031804310</v>
          </cell>
          <cell r="D789">
            <v>8813</v>
          </cell>
        </row>
        <row r="790">
          <cell r="B790">
            <v>17031804311</v>
          </cell>
          <cell r="D790">
            <v>8384</v>
          </cell>
        </row>
        <row r="791">
          <cell r="B791">
            <v>17031804403</v>
          </cell>
          <cell r="D791">
            <v>7052</v>
          </cell>
        </row>
        <row r="792">
          <cell r="B792">
            <v>17031804404</v>
          </cell>
          <cell r="D792">
            <v>5400</v>
          </cell>
        </row>
        <row r="793">
          <cell r="B793">
            <v>17031804405</v>
          </cell>
          <cell r="D793">
            <v>3434</v>
          </cell>
        </row>
        <row r="794">
          <cell r="B794">
            <v>17031804406</v>
          </cell>
          <cell r="D794">
            <v>6674</v>
          </cell>
        </row>
        <row r="795">
          <cell r="B795">
            <v>17031804505</v>
          </cell>
          <cell r="D795">
            <v>3457</v>
          </cell>
        </row>
        <row r="796">
          <cell r="B796">
            <v>17031804506</v>
          </cell>
          <cell r="D796">
            <v>5165</v>
          </cell>
        </row>
        <row r="797">
          <cell r="B797">
            <v>17031804507</v>
          </cell>
          <cell r="D797">
            <v>12695</v>
          </cell>
        </row>
        <row r="798">
          <cell r="B798">
            <v>17031804508</v>
          </cell>
          <cell r="D798">
            <v>2448</v>
          </cell>
        </row>
        <row r="799">
          <cell r="B799">
            <v>17031804509</v>
          </cell>
          <cell r="D799">
            <v>5882</v>
          </cell>
        </row>
        <row r="800">
          <cell r="B800">
            <v>17031804510</v>
          </cell>
          <cell r="D800">
            <v>6796</v>
          </cell>
        </row>
        <row r="801">
          <cell r="B801">
            <v>17031804511</v>
          </cell>
          <cell r="D801">
            <v>2817</v>
          </cell>
        </row>
        <row r="802">
          <cell r="B802">
            <v>17031804603</v>
          </cell>
          <cell r="D802">
            <v>5538</v>
          </cell>
        </row>
        <row r="803">
          <cell r="B803">
            <v>17031804606</v>
          </cell>
          <cell r="D803">
            <v>7369</v>
          </cell>
        </row>
        <row r="804">
          <cell r="B804">
            <v>17031804607</v>
          </cell>
          <cell r="D804">
            <v>6861</v>
          </cell>
        </row>
        <row r="805">
          <cell r="B805">
            <v>17031804608</v>
          </cell>
          <cell r="D805">
            <v>3500</v>
          </cell>
        </row>
        <row r="806">
          <cell r="B806">
            <v>17031804609</v>
          </cell>
          <cell r="D806">
            <v>5922</v>
          </cell>
        </row>
        <row r="807">
          <cell r="B807">
            <v>17031804610</v>
          </cell>
          <cell r="D807">
            <v>2359</v>
          </cell>
        </row>
        <row r="808">
          <cell r="B808">
            <v>17031804611</v>
          </cell>
          <cell r="D808">
            <v>4390</v>
          </cell>
        </row>
        <row r="809">
          <cell r="B809">
            <v>17031804701</v>
          </cell>
          <cell r="D809">
            <v>6768</v>
          </cell>
        </row>
        <row r="810">
          <cell r="B810">
            <v>17031804705</v>
          </cell>
          <cell r="D810">
            <v>4078</v>
          </cell>
        </row>
        <row r="811">
          <cell r="B811">
            <v>17031804706</v>
          </cell>
          <cell r="D811">
            <v>2469</v>
          </cell>
        </row>
        <row r="812">
          <cell r="B812">
            <v>17031804709</v>
          </cell>
          <cell r="D812">
            <v>6083</v>
          </cell>
        </row>
        <row r="813">
          <cell r="B813">
            <v>17031804710</v>
          </cell>
          <cell r="D813">
            <v>4172</v>
          </cell>
        </row>
        <row r="814">
          <cell r="B814">
            <v>17031804711</v>
          </cell>
          <cell r="D814">
            <v>8197</v>
          </cell>
        </row>
        <row r="815">
          <cell r="B815">
            <v>17031804712</v>
          </cell>
          <cell r="D815">
            <v>5181</v>
          </cell>
        </row>
        <row r="816">
          <cell r="B816">
            <v>17031804713</v>
          </cell>
          <cell r="D816">
            <v>4848</v>
          </cell>
        </row>
        <row r="817">
          <cell r="B817">
            <v>17031804714</v>
          </cell>
          <cell r="D817">
            <v>3551</v>
          </cell>
        </row>
        <row r="818">
          <cell r="B818">
            <v>17031804715</v>
          </cell>
          <cell r="D818">
            <v>3280</v>
          </cell>
        </row>
        <row r="819">
          <cell r="B819">
            <v>17031804716</v>
          </cell>
          <cell r="D819">
            <v>5205</v>
          </cell>
        </row>
        <row r="820">
          <cell r="B820">
            <v>17031804803</v>
          </cell>
          <cell r="D820">
            <v>6147</v>
          </cell>
        </row>
        <row r="821">
          <cell r="B821">
            <v>17031804804</v>
          </cell>
          <cell r="D821">
            <v>6588</v>
          </cell>
        </row>
        <row r="822">
          <cell r="B822">
            <v>17031804805</v>
          </cell>
          <cell r="D822">
            <v>6850</v>
          </cell>
        </row>
        <row r="823">
          <cell r="B823">
            <v>17031804806</v>
          </cell>
          <cell r="D823">
            <v>3667</v>
          </cell>
        </row>
        <row r="824">
          <cell r="B824">
            <v>17031804807</v>
          </cell>
          <cell r="D824">
            <v>4802</v>
          </cell>
        </row>
        <row r="825">
          <cell r="B825">
            <v>17031804808</v>
          </cell>
          <cell r="D825">
            <v>2724</v>
          </cell>
        </row>
        <row r="826">
          <cell r="B826">
            <v>17031804809</v>
          </cell>
          <cell r="D826">
            <v>4276</v>
          </cell>
        </row>
        <row r="827">
          <cell r="B827">
            <v>17031804810</v>
          </cell>
          <cell r="D827">
            <v>7248</v>
          </cell>
        </row>
        <row r="828">
          <cell r="B828">
            <v>17031804901</v>
          </cell>
          <cell r="D828">
            <v>6134</v>
          </cell>
        </row>
        <row r="829">
          <cell r="B829">
            <v>17031804902</v>
          </cell>
          <cell r="D829">
            <v>5671</v>
          </cell>
        </row>
        <row r="830">
          <cell r="B830">
            <v>17031805001</v>
          </cell>
          <cell r="D830">
            <v>4663</v>
          </cell>
        </row>
        <row r="831">
          <cell r="B831">
            <v>17031805002</v>
          </cell>
          <cell r="D831">
            <v>6706</v>
          </cell>
        </row>
        <row r="832">
          <cell r="B832">
            <v>17031805105</v>
          </cell>
          <cell r="D832">
            <v>7255</v>
          </cell>
        </row>
        <row r="833">
          <cell r="B833">
            <v>17031805106</v>
          </cell>
          <cell r="D833">
            <v>3084</v>
          </cell>
        </row>
        <row r="834">
          <cell r="B834">
            <v>17031805107</v>
          </cell>
          <cell r="D834">
            <v>6851</v>
          </cell>
        </row>
        <row r="835">
          <cell r="B835">
            <v>17031805108</v>
          </cell>
          <cell r="D835">
            <v>6475</v>
          </cell>
        </row>
        <row r="836">
          <cell r="B836">
            <v>17031805109</v>
          </cell>
          <cell r="D836">
            <v>4374</v>
          </cell>
        </row>
        <row r="837">
          <cell r="B837">
            <v>17031805110</v>
          </cell>
          <cell r="D837">
            <v>4532</v>
          </cell>
        </row>
        <row r="838">
          <cell r="B838">
            <v>17031805111</v>
          </cell>
          <cell r="D838">
            <v>7573</v>
          </cell>
        </row>
        <row r="839">
          <cell r="B839">
            <v>17031805112</v>
          </cell>
          <cell r="D839">
            <v>3267</v>
          </cell>
        </row>
        <row r="840">
          <cell r="B840">
            <v>17031805201</v>
          </cell>
          <cell r="D840">
            <v>3613</v>
          </cell>
        </row>
        <row r="841">
          <cell r="B841">
            <v>17031805202</v>
          </cell>
          <cell r="D841">
            <v>4382</v>
          </cell>
        </row>
        <row r="842">
          <cell r="B842">
            <v>17031805301</v>
          </cell>
          <cell r="D842">
            <v>3302</v>
          </cell>
        </row>
        <row r="843">
          <cell r="B843">
            <v>17031805302</v>
          </cell>
          <cell r="D843">
            <v>3731</v>
          </cell>
        </row>
        <row r="844">
          <cell r="B844">
            <v>17031805401</v>
          </cell>
          <cell r="D844">
            <v>3753</v>
          </cell>
        </row>
        <row r="845">
          <cell r="B845">
            <v>17031805402</v>
          </cell>
          <cell r="D845">
            <v>4626</v>
          </cell>
        </row>
        <row r="846">
          <cell r="B846">
            <v>17031805501</v>
          </cell>
          <cell r="D846">
            <v>3882</v>
          </cell>
        </row>
        <row r="847">
          <cell r="B847">
            <v>17031805502</v>
          </cell>
          <cell r="D847">
            <v>4042</v>
          </cell>
        </row>
        <row r="848">
          <cell r="B848">
            <v>17031805600</v>
          </cell>
          <cell r="D848">
            <v>4513</v>
          </cell>
        </row>
        <row r="849">
          <cell r="B849">
            <v>17031805701</v>
          </cell>
          <cell r="D849">
            <v>5037</v>
          </cell>
        </row>
        <row r="850">
          <cell r="B850">
            <v>17031805702</v>
          </cell>
          <cell r="D850">
            <v>1934</v>
          </cell>
        </row>
        <row r="851">
          <cell r="B851">
            <v>17031805801</v>
          </cell>
          <cell r="D851">
            <v>2424</v>
          </cell>
        </row>
        <row r="852">
          <cell r="B852">
            <v>17031805802</v>
          </cell>
          <cell r="D852">
            <v>4790</v>
          </cell>
        </row>
        <row r="853">
          <cell r="B853">
            <v>17031805901</v>
          </cell>
          <cell r="D853">
            <v>4121</v>
          </cell>
        </row>
        <row r="854">
          <cell r="B854">
            <v>17031805902</v>
          </cell>
          <cell r="D854">
            <v>6638</v>
          </cell>
        </row>
        <row r="855">
          <cell r="B855">
            <v>17031806001</v>
          </cell>
          <cell r="D855">
            <v>6315</v>
          </cell>
        </row>
        <row r="856">
          <cell r="B856">
            <v>17031806002</v>
          </cell>
          <cell r="D856">
            <v>7304</v>
          </cell>
        </row>
        <row r="857">
          <cell r="B857">
            <v>17031806003</v>
          </cell>
          <cell r="D857">
            <v>7577</v>
          </cell>
        </row>
        <row r="858">
          <cell r="B858">
            <v>17031806004</v>
          </cell>
          <cell r="D858">
            <v>7421</v>
          </cell>
        </row>
        <row r="859">
          <cell r="B859">
            <v>17031806102</v>
          </cell>
          <cell r="D859">
            <v>4027</v>
          </cell>
        </row>
        <row r="860">
          <cell r="B860">
            <v>17031806103</v>
          </cell>
          <cell r="D860">
            <v>4970</v>
          </cell>
        </row>
        <row r="861">
          <cell r="B861">
            <v>17031806104</v>
          </cell>
          <cell r="D861">
            <v>4575</v>
          </cell>
        </row>
        <row r="862">
          <cell r="B862">
            <v>17031806201</v>
          </cell>
          <cell r="D862">
            <v>4877</v>
          </cell>
        </row>
        <row r="863">
          <cell r="B863">
            <v>17031806202</v>
          </cell>
          <cell r="D863">
            <v>4325</v>
          </cell>
        </row>
        <row r="864">
          <cell r="B864">
            <v>17031806300</v>
          </cell>
          <cell r="D864">
            <v>4351</v>
          </cell>
        </row>
        <row r="865">
          <cell r="B865">
            <v>17031806400</v>
          </cell>
          <cell r="D865">
            <v>2684</v>
          </cell>
        </row>
        <row r="866">
          <cell r="B866">
            <v>17031806501</v>
          </cell>
          <cell r="D866">
            <v>2590</v>
          </cell>
        </row>
        <row r="867">
          <cell r="B867">
            <v>17031806502</v>
          </cell>
          <cell r="D867">
            <v>4460</v>
          </cell>
        </row>
        <row r="868">
          <cell r="B868">
            <v>17031806600</v>
          </cell>
          <cell r="D868">
            <v>3450</v>
          </cell>
        </row>
        <row r="869">
          <cell r="B869">
            <v>17031806700</v>
          </cell>
          <cell r="D869">
            <v>4096</v>
          </cell>
        </row>
        <row r="870">
          <cell r="B870">
            <v>17031806801</v>
          </cell>
          <cell r="D870">
            <v>4022</v>
          </cell>
        </row>
        <row r="871">
          <cell r="B871">
            <v>17031806802</v>
          </cell>
          <cell r="D871">
            <v>2943</v>
          </cell>
        </row>
        <row r="872">
          <cell r="B872">
            <v>17031806900</v>
          </cell>
          <cell r="D872">
            <v>4699</v>
          </cell>
        </row>
        <row r="873">
          <cell r="B873">
            <v>17031807000</v>
          </cell>
          <cell r="D873">
            <v>6408</v>
          </cell>
        </row>
        <row r="874">
          <cell r="B874">
            <v>17031807100</v>
          </cell>
          <cell r="D874">
            <v>3401</v>
          </cell>
        </row>
        <row r="875">
          <cell r="B875">
            <v>17031807200</v>
          </cell>
          <cell r="D875">
            <v>5386</v>
          </cell>
        </row>
        <row r="876">
          <cell r="B876">
            <v>17031807300</v>
          </cell>
          <cell r="D876">
            <v>7530</v>
          </cell>
        </row>
        <row r="877">
          <cell r="B877">
            <v>17031807400</v>
          </cell>
          <cell r="D877">
            <v>7110</v>
          </cell>
        </row>
        <row r="878">
          <cell r="B878">
            <v>17031807500</v>
          </cell>
          <cell r="D878">
            <v>3501</v>
          </cell>
        </row>
        <row r="879">
          <cell r="B879">
            <v>17031807600</v>
          </cell>
          <cell r="D879">
            <v>6313</v>
          </cell>
        </row>
        <row r="880">
          <cell r="B880">
            <v>17031807700</v>
          </cell>
          <cell r="D880">
            <v>5827</v>
          </cell>
        </row>
        <row r="881">
          <cell r="B881">
            <v>17031807800</v>
          </cell>
          <cell r="D881">
            <v>2737</v>
          </cell>
        </row>
        <row r="882">
          <cell r="B882">
            <v>17031807900</v>
          </cell>
          <cell r="D882">
            <v>4194</v>
          </cell>
        </row>
        <row r="883">
          <cell r="B883">
            <v>17031808001</v>
          </cell>
          <cell r="D883">
            <v>3672</v>
          </cell>
        </row>
        <row r="884">
          <cell r="B884">
            <v>17031808002</v>
          </cell>
          <cell r="D884">
            <v>4771</v>
          </cell>
        </row>
        <row r="885">
          <cell r="B885">
            <v>17031808100</v>
          </cell>
          <cell r="D885">
            <v>3413</v>
          </cell>
        </row>
        <row r="886">
          <cell r="B886">
            <v>17031808200</v>
          </cell>
          <cell r="D886">
            <v>5505</v>
          </cell>
        </row>
        <row r="887">
          <cell r="B887">
            <v>17031808301</v>
          </cell>
          <cell r="D887">
            <v>6232</v>
          </cell>
        </row>
        <row r="888">
          <cell r="B888">
            <v>17031808302</v>
          </cell>
          <cell r="D888">
            <v>3555</v>
          </cell>
        </row>
        <row r="889">
          <cell r="B889">
            <v>17031808400</v>
          </cell>
          <cell r="D889">
            <v>4473</v>
          </cell>
        </row>
        <row r="890">
          <cell r="B890">
            <v>17031808500</v>
          </cell>
          <cell r="D890">
            <v>4100</v>
          </cell>
        </row>
        <row r="891">
          <cell r="B891">
            <v>17031808600</v>
          </cell>
          <cell r="D891">
            <v>2277</v>
          </cell>
        </row>
        <row r="892">
          <cell r="B892">
            <v>17031808702</v>
          </cell>
          <cell r="D892">
            <v>5370</v>
          </cell>
        </row>
        <row r="893">
          <cell r="B893">
            <v>17031808800</v>
          </cell>
          <cell r="D893">
            <v>3730</v>
          </cell>
        </row>
        <row r="894">
          <cell r="B894">
            <v>17031808900</v>
          </cell>
          <cell r="D894">
            <v>4235</v>
          </cell>
        </row>
        <row r="895">
          <cell r="B895">
            <v>17031809000</v>
          </cell>
          <cell r="D895">
            <v>4157</v>
          </cell>
        </row>
        <row r="896">
          <cell r="B896">
            <v>17031809100</v>
          </cell>
          <cell r="D896">
            <v>3411</v>
          </cell>
        </row>
        <row r="897">
          <cell r="B897">
            <v>17031809200</v>
          </cell>
          <cell r="D897">
            <v>4998</v>
          </cell>
        </row>
        <row r="898">
          <cell r="B898">
            <v>17031809300</v>
          </cell>
          <cell r="D898">
            <v>4733</v>
          </cell>
        </row>
        <row r="899">
          <cell r="B899">
            <v>17031809400</v>
          </cell>
          <cell r="D899">
            <v>5339</v>
          </cell>
        </row>
        <row r="900">
          <cell r="B900">
            <v>17031809500</v>
          </cell>
          <cell r="D900">
            <v>3973</v>
          </cell>
        </row>
        <row r="901">
          <cell r="B901">
            <v>17031809600</v>
          </cell>
          <cell r="D901">
            <v>3110</v>
          </cell>
        </row>
        <row r="902">
          <cell r="B902">
            <v>17031809700</v>
          </cell>
          <cell r="D902">
            <v>3950</v>
          </cell>
        </row>
        <row r="903">
          <cell r="B903">
            <v>17031809800</v>
          </cell>
          <cell r="D903">
            <v>2778</v>
          </cell>
        </row>
        <row r="904">
          <cell r="B904">
            <v>17031809900</v>
          </cell>
          <cell r="D904">
            <v>3087</v>
          </cell>
        </row>
        <row r="905">
          <cell r="B905">
            <v>17031810000</v>
          </cell>
          <cell r="D905">
            <v>4853</v>
          </cell>
        </row>
        <row r="906">
          <cell r="B906">
            <v>17031810100</v>
          </cell>
          <cell r="D906">
            <v>4743</v>
          </cell>
        </row>
        <row r="907">
          <cell r="B907">
            <v>17031810200</v>
          </cell>
          <cell r="D907">
            <v>6065</v>
          </cell>
        </row>
        <row r="908">
          <cell r="B908">
            <v>17031810301</v>
          </cell>
          <cell r="D908">
            <v>3834</v>
          </cell>
        </row>
        <row r="909">
          <cell r="B909">
            <v>17031810302</v>
          </cell>
          <cell r="D909">
            <v>3106</v>
          </cell>
        </row>
        <row r="910">
          <cell r="B910">
            <v>17031810400</v>
          </cell>
          <cell r="D910">
            <v>5349</v>
          </cell>
        </row>
        <row r="911">
          <cell r="B911">
            <v>17031810501</v>
          </cell>
          <cell r="D911">
            <v>4994</v>
          </cell>
        </row>
        <row r="912">
          <cell r="B912">
            <v>17031810502</v>
          </cell>
          <cell r="D912">
            <v>5273</v>
          </cell>
        </row>
        <row r="913">
          <cell r="B913">
            <v>17031810600</v>
          </cell>
          <cell r="D913">
            <v>4352</v>
          </cell>
        </row>
        <row r="914">
          <cell r="B914">
            <v>17031810701</v>
          </cell>
          <cell r="D914">
            <v>5180</v>
          </cell>
        </row>
        <row r="915">
          <cell r="B915">
            <v>17031810702</v>
          </cell>
          <cell r="D915">
            <v>3889</v>
          </cell>
        </row>
        <row r="916">
          <cell r="B916">
            <v>17031810800</v>
          </cell>
          <cell r="D916">
            <v>5071</v>
          </cell>
        </row>
        <row r="917">
          <cell r="B917">
            <v>17031810900</v>
          </cell>
          <cell r="D917">
            <v>6667</v>
          </cell>
        </row>
        <row r="918">
          <cell r="B918">
            <v>17031811000</v>
          </cell>
          <cell r="D918">
            <v>4038</v>
          </cell>
        </row>
        <row r="919">
          <cell r="B919">
            <v>17031811100</v>
          </cell>
          <cell r="D919">
            <v>6035</v>
          </cell>
        </row>
        <row r="920">
          <cell r="B920">
            <v>17031811200</v>
          </cell>
          <cell r="D920">
            <v>5620</v>
          </cell>
        </row>
        <row r="921">
          <cell r="B921">
            <v>17031811301</v>
          </cell>
          <cell r="D921">
            <v>4783</v>
          </cell>
        </row>
        <row r="922">
          <cell r="B922">
            <v>17031811302</v>
          </cell>
          <cell r="D922">
            <v>3576</v>
          </cell>
        </row>
        <row r="923">
          <cell r="B923">
            <v>17031811401</v>
          </cell>
          <cell r="D923">
            <v>5032</v>
          </cell>
        </row>
        <row r="924">
          <cell r="B924">
            <v>17031811402</v>
          </cell>
          <cell r="D924">
            <v>4465</v>
          </cell>
        </row>
        <row r="925">
          <cell r="B925">
            <v>17031811500</v>
          </cell>
          <cell r="D925">
            <v>6175</v>
          </cell>
        </row>
        <row r="926">
          <cell r="B926">
            <v>17031811600</v>
          </cell>
          <cell r="D926">
            <v>6196</v>
          </cell>
        </row>
        <row r="927">
          <cell r="B927">
            <v>17031811701</v>
          </cell>
          <cell r="D927">
            <v>3736</v>
          </cell>
        </row>
        <row r="928">
          <cell r="B928">
            <v>17031811702</v>
          </cell>
          <cell r="D928">
            <v>4721</v>
          </cell>
        </row>
        <row r="929">
          <cell r="B929">
            <v>17031811800</v>
          </cell>
          <cell r="D929">
            <v>5432</v>
          </cell>
        </row>
        <row r="930">
          <cell r="B930">
            <v>17031811900</v>
          </cell>
          <cell r="D930">
            <v>5883</v>
          </cell>
        </row>
        <row r="931">
          <cell r="B931">
            <v>17031812000</v>
          </cell>
          <cell r="D931">
            <v>5334</v>
          </cell>
        </row>
        <row r="932">
          <cell r="B932">
            <v>17031812100</v>
          </cell>
          <cell r="D932">
            <v>4674</v>
          </cell>
        </row>
        <row r="933">
          <cell r="B933">
            <v>17031812200</v>
          </cell>
          <cell r="D933">
            <v>4032</v>
          </cell>
        </row>
        <row r="934">
          <cell r="B934">
            <v>17031812301</v>
          </cell>
          <cell r="D934">
            <v>3925</v>
          </cell>
        </row>
        <row r="935">
          <cell r="B935">
            <v>17031812302</v>
          </cell>
          <cell r="D935">
            <v>2777</v>
          </cell>
        </row>
        <row r="936">
          <cell r="B936">
            <v>17031812400</v>
          </cell>
          <cell r="D936">
            <v>3449</v>
          </cell>
        </row>
        <row r="937">
          <cell r="B937">
            <v>17031812500</v>
          </cell>
          <cell r="D937">
            <v>3415</v>
          </cell>
        </row>
        <row r="938">
          <cell r="B938">
            <v>17031812600</v>
          </cell>
          <cell r="D938">
            <v>3260</v>
          </cell>
        </row>
        <row r="939">
          <cell r="B939">
            <v>17031812700</v>
          </cell>
          <cell r="D939">
            <v>3358</v>
          </cell>
        </row>
        <row r="940">
          <cell r="B940">
            <v>17031812801</v>
          </cell>
          <cell r="D940">
            <v>3006</v>
          </cell>
        </row>
        <row r="941">
          <cell r="B941">
            <v>17031812802</v>
          </cell>
          <cell r="D941">
            <v>2543</v>
          </cell>
        </row>
        <row r="942">
          <cell r="B942">
            <v>17031812900</v>
          </cell>
          <cell r="D942">
            <v>4761</v>
          </cell>
        </row>
        <row r="943">
          <cell r="B943">
            <v>17031813000</v>
          </cell>
          <cell r="D943">
            <v>3662</v>
          </cell>
        </row>
        <row r="944">
          <cell r="B944">
            <v>17031813100</v>
          </cell>
          <cell r="D944">
            <v>4716</v>
          </cell>
        </row>
        <row r="945">
          <cell r="B945">
            <v>17031813200</v>
          </cell>
          <cell r="D945">
            <v>4411</v>
          </cell>
        </row>
        <row r="946">
          <cell r="B946">
            <v>17031813301</v>
          </cell>
          <cell r="D946">
            <v>3409</v>
          </cell>
        </row>
        <row r="947">
          <cell r="B947">
            <v>17031813302</v>
          </cell>
          <cell r="D947">
            <v>3744</v>
          </cell>
        </row>
        <row r="948">
          <cell r="B948">
            <v>17031813400</v>
          </cell>
          <cell r="D948">
            <v>7796</v>
          </cell>
        </row>
        <row r="949">
          <cell r="B949">
            <v>17031813500</v>
          </cell>
          <cell r="D949">
            <v>6722</v>
          </cell>
        </row>
        <row r="950">
          <cell r="B950">
            <v>17031813600</v>
          </cell>
          <cell r="D950">
            <v>4744</v>
          </cell>
        </row>
        <row r="951">
          <cell r="B951">
            <v>17031813701</v>
          </cell>
          <cell r="D951">
            <v>3618</v>
          </cell>
        </row>
        <row r="952">
          <cell r="B952">
            <v>17031813702</v>
          </cell>
          <cell r="D952">
            <v>3776</v>
          </cell>
        </row>
        <row r="953">
          <cell r="B953">
            <v>17031813801</v>
          </cell>
          <cell r="D953">
            <v>3031</v>
          </cell>
        </row>
        <row r="954">
          <cell r="B954">
            <v>17031813802</v>
          </cell>
          <cell r="D954">
            <v>5303</v>
          </cell>
        </row>
        <row r="955">
          <cell r="B955">
            <v>17031813900</v>
          </cell>
          <cell r="D955">
            <v>6897</v>
          </cell>
        </row>
        <row r="956">
          <cell r="B956">
            <v>17031814000</v>
          </cell>
          <cell r="D956">
            <v>5121</v>
          </cell>
        </row>
        <row r="957">
          <cell r="B957">
            <v>17031814100</v>
          </cell>
          <cell r="D957">
            <v>4233</v>
          </cell>
        </row>
        <row r="958">
          <cell r="B958">
            <v>17031814200</v>
          </cell>
          <cell r="D958">
            <v>6635</v>
          </cell>
        </row>
        <row r="959">
          <cell r="B959">
            <v>17031814300</v>
          </cell>
          <cell r="D959">
            <v>4951</v>
          </cell>
        </row>
        <row r="960">
          <cell r="B960">
            <v>17031814400</v>
          </cell>
          <cell r="D960">
            <v>8223</v>
          </cell>
        </row>
        <row r="961">
          <cell r="B961">
            <v>17031814500</v>
          </cell>
          <cell r="D961">
            <v>5769</v>
          </cell>
        </row>
        <row r="962">
          <cell r="B962">
            <v>17031814600</v>
          </cell>
          <cell r="D962">
            <v>5279</v>
          </cell>
        </row>
        <row r="963">
          <cell r="B963">
            <v>17031814700</v>
          </cell>
          <cell r="D963">
            <v>6007</v>
          </cell>
        </row>
        <row r="964">
          <cell r="B964">
            <v>17031814800</v>
          </cell>
          <cell r="D964">
            <v>6328</v>
          </cell>
        </row>
        <row r="965">
          <cell r="B965">
            <v>17031814900</v>
          </cell>
          <cell r="D965">
            <v>6987</v>
          </cell>
        </row>
        <row r="966">
          <cell r="B966">
            <v>17031815000</v>
          </cell>
          <cell r="D966">
            <v>3866</v>
          </cell>
        </row>
        <row r="967">
          <cell r="B967">
            <v>17031815100</v>
          </cell>
          <cell r="D967">
            <v>4309</v>
          </cell>
        </row>
        <row r="968">
          <cell r="B968">
            <v>17031815200</v>
          </cell>
          <cell r="D968">
            <v>6283</v>
          </cell>
        </row>
        <row r="969">
          <cell r="B969">
            <v>17031815300</v>
          </cell>
          <cell r="D969">
            <v>3572</v>
          </cell>
        </row>
        <row r="970">
          <cell r="B970">
            <v>17031815400</v>
          </cell>
          <cell r="D970">
            <v>5223</v>
          </cell>
        </row>
        <row r="971">
          <cell r="B971">
            <v>17031815500</v>
          </cell>
          <cell r="D971">
            <v>8560</v>
          </cell>
        </row>
        <row r="972">
          <cell r="B972">
            <v>17031815600</v>
          </cell>
          <cell r="D972">
            <v>5156</v>
          </cell>
        </row>
        <row r="973">
          <cell r="B973">
            <v>17031815701</v>
          </cell>
          <cell r="D973">
            <v>3644</v>
          </cell>
        </row>
        <row r="974">
          <cell r="B974">
            <v>17031815702</v>
          </cell>
          <cell r="D974">
            <v>5179</v>
          </cell>
        </row>
        <row r="975">
          <cell r="B975">
            <v>17031815800</v>
          </cell>
          <cell r="D975">
            <v>1562</v>
          </cell>
        </row>
        <row r="976">
          <cell r="B976">
            <v>17031815900</v>
          </cell>
          <cell r="D976">
            <v>4700</v>
          </cell>
        </row>
        <row r="977">
          <cell r="B977">
            <v>17031816000</v>
          </cell>
          <cell r="D977">
            <v>3319</v>
          </cell>
        </row>
        <row r="978">
          <cell r="B978">
            <v>17031816100</v>
          </cell>
          <cell r="D978">
            <v>6118</v>
          </cell>
        </row>
        <row r="979">
          <cell r="B979">
            <v>17031816200</v>
          </cell>
          <cell r="D979">
            <v>3940</v>
          </cell>
        </row>
        <row r="980">
          <cell r="B980">
            <v>17031816300</v>
          </cell>
          <cell r="D980">
            <v>5036</v>
          </cell>
        </row>
        <row r="981">
          <cell r="B981">
            <v>17031816401</v>
          </cell>
          <cell r="D981">
            <v>5401</v>
          </cell>
        </row>
        <row r="982">
          <cell r="B982">
            <v>17031816402</v>
          </cell>
          <cell r="D982">
            <v>4209</v>
          </cell>
        </row>
        <row r="983">
          <cell r="B983">
            <v>17031816500</v>
          </cell>
          <cell r="D983">
            <v>4516</v>
          </cell>
        </row>
        <row r="984">
          <cell r="B984">
            <v>17031816600</v>
          </cell>
          <cell r="D984">
            <v>4686</v>
          </cell>
        </row>
        <row r="985">
          <cell r="B985">
            <v>17031816700</v>
          </cell>
          <cell r="D985">
            <v>2812</v>
          </cell>
        </row>
        <row r="986">
          <cell r="B986">
            <v>17031816800</v>
          </cell>
          <cell r="D986">
            <v>5371</v>
          </cell>
        </row>
        <row r="987">
          <cell r="B987">
            <v>17031816900</v>
          </cell>
          <cell r="D987">
            <v>5496</v>
          </cell>
        </row>
        <row r="988">
          <cell r="B988">
            <v>17031817000</v>
          </cell>
          <cell r="D988">
            <v>5447</v>
          </cell>
        </row>
        <row r="989">
          <cell r="B989">
            <v>17031817101</v>
          </cell>
          <cell r="D989">
            <v>4782</v>
          </cell>
        </row>
        <row r="990">
          <cell r="B990">
            <v>17031817102</v>
          </cell>
          <cell r="D990">
            <v>3421</v>
          </cell>
        </row>
        <row r="991">
          <cell r="B991">
            <v>17031817200</v>
          </cell>
          <cell r="D991">
            <v>4533</v>
          </cell>
        </row>
        <row r="992">
          <cell r="B992">
            <v>17031817300</v>
          </cell>
          <cell r="D992">
            <v>2514</v>
          </cell>
        </row>
        <row r="993">
          <cell r="B993">
            <v>17031817400</v>
          </cell>
          <cell r="D993">
            <v>4077</v>
          </cell>
        </row>
        <row r="994">
          <cell r="B994">
            <v>17031817500</v>
          </cell>
          <cell r="D994">
            <v>3654</v>
          </cell>
        </row>
        <row r="995">
          <cell r="B995">
            <v>17031817600</v>
          </cell>
          <cell r="D995">
            <v>4028</v>
          </cell>
        </row>
        <row r="996">
          <cell r="B996">
            <v>17031817700</v>
          </cell>
          <cell r="D996">
            <v>5223</v>
          </cell>
        </row>
        <row r="997">
          <cell r="B997">
            <v>17031817900</v>
          </cell>
          <cell r="D997">
            <v>5594</v>
          </cell>
        </row>
        <row r="998">
          <cell r="B998">
            <v>17031818000</v>
          </cell>
          <cell r="D998">
            <v>4340</v>
          </cell>
        </row>
        <row r="999">
          <cell r="B999">
            <v>17031818100</v>
          </cell>
          <cell r="D999">
            <v>2514</v>
          </cell>
        </row>
        <row r="1000">
          <cell r="B1000">
            <v>17031818200</v>
          </cell>
          <cell r="D1000">
            <v>4559</v>
          </cell>
        </row>
        <row r="1001">
          <cell r="B1001">
            <v>17031818300</v>
          </cell>
          <cell r="D1001">
            <v>6137</v>
          </cell>
        </row>
        <row r="1002">
          <cell r="B1002">
            <v>17031818401</v>
          </cell>
          <cell r="D1002">
            <v>3497</v>
          </cell>
        </row>
        <row r="1003">
          <cell r="B1003">
            <v>17031818402</v>
          </cell>
          <cell r="D1003">
            <v>3235</v>
          </cell>
        </row>
        <row r="1004">
          <cell r="B1004">
            <v>17031818500</v>
          </cell>
          <cell r="D1004">
            <v>5304</v>
          </cell>
        </row>
        <row r="1005">
          <cell r="B1005">
            <v>17031818600</v>
          </cell>
          <cell r="D1005">
            <v>4812</v>
          </cell>
        </row>
        <row r="1006">
          <cell r="B1006">
            <v>17031818700</v>
          </cell>
          <cell r="D1006">
            <v>3538</v>
          </cell>
        </row>
        <row r="1007">
          <cell r="B1007">
            <v>17031818800</v>
          </cell>
          <cell r="D1007">
            <v>5626</v>
          </cell>
        </row>
        <row r="1008">
          <cell r="B1008">
            <v>17031818900</v>
          </cell>
          <cell r="D1008">
            <v>4802</v>
          </cell>
        </row>
        <row r="1009">
          <cell r="B1009">
            <v>17031819000</v>
          </cell>
          <cell r="D1009">
            <v>4465</v>
          </cell>
        </row>
        <row r="1010">
          <cell r="B1010">
            <v>17031819100</v>
          </cell>
          <cell r="D1010">
            <v>4856</v>
          </cell>
        </row>
        <row r="1011">
          <cell r="B1011">
            <v>17031819200</v>
          </cell>
          <cell r="D1011">
            <v>5746</v>
          </cell>
        </row>
        <row r="1012">
          <cell r="B1012">
            <v>17031819300</v>
          </cell>
          <cell r="D1012">
            <v>2890</v>
          </cell>
        </row>
        <row r="1013">
          <cell r="B1013">
            <v>17031819400</v>
          </cell>
          <cell r="D1013">
            <v>5350</v>
          </cell>
        </row>
        <row r="1014">
          <cell r="B1014">
            <v>17031819500</v>
          </cell>
          <cell r="D1014">
            <v>3095</v>
          </cell>
        </row>
        <row r="1015">
          <cell r="B1015">
            <v>17031819600</v>
          </cell>
          <cell r="D1015">
            <v>3793</v>
          </cell>
        </row>
        <row r="1016">
          <cell r="B1016">
            <v>17031819700</v>
          </cell>
          <cell r="D1016">
            <v>5960</v>
          </cell>
        </row>
        <row r="1017">
          <cell r="B1017">
            <v>17031819801</v>
          </cell>
          <cell r="D1017">
            <v>5547</v>
          </cell>
        </row>
        <row r="1018">
          <cell r="B1018">
            <v>17031819802</v>
          </cell>
          <cell r="D1018">
            <v>2694</v>
          </cell>
        </row>
        <row r="1019">
          <cell r="B1019">
            <v>17031819900</v>
          </cell>
          <cell r="D1019">
            <v>3474</v>
          </cell>
        </row>
        <row r="1020">
          <cell r="B1020">
            <v>17031820000</v>
          </cell>
          <cell r="D1020">
            <v>2263</v>
          </cell>
        </row>
        <row r="1021">
          <cell r="B1021">
            <v>17031820101</v>
          </cell>
          <cell r="D1021">
            <v>6834</v>
          </cell>
        </row>
        <row r="1022">
          <cell r="B1022">
            <v>17031820103</v>
          </cell>
          <cell r="D1022">
            <v>4324</v>
          </cell>
        </row>
        <row r="1023">
          <cell r="B1023">
            <v>17031820104</v>
          </cell>
          <cell r="D1023">
            <v>4229</v>
          </cell>
        </row>
        <row r="1024">
          <cell r="B1024">
            <v>17031820201</v>
          </cell>
          <cell r="D1024">
            <v>8091</v>
          </cell>
        </row>
        <row r="1025">
          <cell r="B1025">
            <v>17031820202</v>
          </cell>
          <cell r="D1025">
            <v>3308</v>
          </cell>
        </row>
        <row r="1026">
          <cell r="B1026">
            <v>17031820300</v>
          </cell>
          <cell r="D1026">
            <v>5298</v>
          </cell>
        </row>
        <row r="1027">
          <cell r="B1027">
            <v>17031820400</v>
          </cell>
          <cell r="D1027">
            <v>6111</v>
          </cell>
        </row>
        <row r="1028">
          <cell r="B1028">
            <v>17031820501</v>
          </cell>
          <cell r="D1028">
            <v>6228</v>
          </cell>
        </row>
        <row r="1029">
          <cell r="B1029">
            <v>17031820502</v>
          </cell>
          <cell r="D1029">
            <v>5083</v>
          </cell>
        </row>
        <row r="1030">
          <cell r="B1030">
            <v>17031820603</v>
          </cell>
          <cell r="D1030">
            <v>5415</v>
          </cell>
        </row>
        <row r="1031">
          <cell r="B1031">
            <v>17031820604</v>
          </cell>
          <cell r="D1031">
            <v>4105</v>
          </cell>
        </row>
        <row r="1032">
          <cell r="B1032">
            <v>17031820605</v>
          </cell>
          <cell r="D1032">
            <v>4213</v>
          </cell>
        </row>
        <row r="1033">
          <cell r="B1033">
            <v>17031820606</v>
          </cell>
          <cell r="D1033">
            <v>3801</v>
          </cell>
        </row>
        <row r="1034">
          <cell r="B1034">
            <v>17031820700</v>
          </cell>
          <cell r="D1034">
            <v>6778</v>
          </cell>
        </row>
        <row r="1035">
          <cell r="B1035">
            <v>17031820800</v>
          </cell>
          <cell r="D1035">
            <v>4216</v>
          </cell>
        </row>
        <row r="1036">
          <cell r="B1036">
            <v>17031820901</v>
          </cell>
          <cell r="D1036">
            <v>5533</v>
          </cell>
        </row>
        <row r="1037">
          <cell r="B1037">
            <v>17031820902</v>
          </cell>
          <cell r="D1037">
            <v>4869</v>
          </cell>
        </row>
        <row r="1038">
          <cell r="B1038">
            <v>17031821001</v>
          </cell>
          <cell r="D1038">
            <v>5144</v>
          </cell>
        </row>
        <row r="1039">
          <cell r="B1039">
            <v>17031821002</v>
          </cell>
          <cell r="D1039">
            <v>5582</v>
          </cell>
        </row>
        <row r="1040">
          <cell r="B1040">
            <v>17031821101</v>
          </cell>
          <cell r="D1040">
            <v>4533</v>
          </cell>
        </row>
        <row r="1041">
          <cell r="B1041">
            <v>17031821102</v>
          </cell>
          <cell r="D1041">
            <v>4282</v>
          </cell>
        </row>
        <row r="1042">
          <cell r="B1042">
            <v>17031821200</v>
          </cell>
          <cell r="D1042">
            <v>6008</v>
          </cell>
        </row>
        <row r="1043">
          <cell r="B1043">
            <v>17031821300</v>
          </cell>
          <cell r="D1043">
            <v>5778</v>
          </cell>
        </row>
        <row r="1044">
          <cell r="B1044">
            <v>17031821401</v>
          </cell>
          <cell r="D1044">
            <v>3934</v>
          </cell>
        </row>
        <row r="1045">
          <cell r="B1045">
            <v>17031821402</v>
          </cell>
          <cell r="D1045">
            <v>3221</v>
          </cell>
        </row>
        <row r="1046">
          <cell r="B1046">
            <v>17031821500</v>
          </cell>
          <cell r="D1046">
            <v>1847</v>
          </cell>
        </row>
        <row r="1047">
          <cell r="B1047">
            <v>17031821600</v>
          </cell>
          <cell r="D1047">
            <v>4566</v>
          </cell>
        </row>
        <row r="1048">
          <cell r="B1048">
            <v>17031821700</v>
          </cell>
          <cell r="D1048">
            <v>4867</v>
          </cell>
        </row>
        <row r="1049">
          <cell r="B1049">
            <v>17031821800</v>
          </cell>
          <cell r="D1049">
            <v>5432</v>
          </cell>
        </row>
        <row r="1050">
          <cell r="B1050">
            <v>17031821900</v>
          </cell>
          <cell r="D1050">
            <v>4984</v>
          </cell>
        </row>
        <row r="1051">
          <cell r="B1051">
            <v>17031822000</v>
          </cell>
          <cell r="D1051">
            <v>4343</v>
          </cell>
        </row>
        <row r="1052">
          <cell r="B1052">
            <v>17031822101</v>
          </cell>
          <cell r="D1052">
            <v>4278</v>
          </cell>
        </row>
        <row r="1053">
          <cell r="B1053">
            <v>17031822102</v>
          </cell>
          <cell r="D1053">
            <v>4700</v>
          </cell>
        </row>
        <row r="1054">
          <cell r="B1054">
            <v>17031822200</v>
          </cell>
          <cell r="D1054">
            <v>4161</v>
          </cell>
        </row>
        <row r="1055">
          <cell r="B1055">
            <v>17031822301</v>
          </cell>
          <cell r="D1055">
            <v>3907</v>
          </cell>
        </row>
        <row r="1056">
          <cell r="B1056">
            <v>17031822302</v>
          </cell>
          <cell r="D1056">
            <v>4678</v>
          </cell>
        </row>
        <row r="1057">
          <cell r="B1057">
            <v>17031822400</v>
          </cell>
          <cell r="D1057">
            <v>6179</v>
          </cell>
        </row>
        <row r="1058">
          <cell r="B1058">
            <v>17031822500</v>
          </cell>
          <cell r="D1058">
            <v>4528</v>
          </cell>
        </row>
        <row r="1059">
          <cell r="B1059">
            <v>17031822601</v>
          </cell>
          <cell r="D1059">
            <v>4747</v>
          </cell>
        </row>
        <row r="1060">
          <cell r="B1060">
            <v>17031822602</v>
          </cell>
          <cell r="D1060">
            <v>7417</v>
          </cell>
        </row>
        <row r="1061">
          <cell r="B1061">
            <v>17031822701</v>
          </cell>
          <cell r="D1061">
            <v>4338</v>
          </cell>
        </row>
        <row r="1062">
          <cell r="B1062">
            <v>17031822702</v>
          </cell>
          <cell r="D1062">
            <v>3285</v>
          </cell>
        </row>
        <row r="1063">
          <cell r="B1063">
            <v>17031822801</v>
          </cell>
          <cell r="D1063">
            <v>3012</v>
          </cell>
        </row>
        <row r="1064">
          <cell r="B1064">
            <v>17031822802</v>
          </cell>
          <cell r="D1064">
            <v>3394</v>
          </cell>
        </row>
        <row r="1065">
          <cell r="B1065">
            <v>17031822900</v>
          </cell>
          <cell r="D1065">
            <v>2094</v>
          </cell>
        </row>
        <row r="1066">
          <cell r="B1066">
            <v>17031823001</v>
          </cell>
          <cell r="D1066">
            <v>6431</v>
          </cell>
        </row>
        <row r="1067">
          <cell r="B1067">
            <v>17031823002</v>
          </cell>
          <cell r="D1067">
            <v>5735</v>
          </cell>
        </row>
        <row r="1068">
          <cell r="B1068">
            <v>17031823101</v>
          </cell>
          <cell r="D1068">
            <v>4517</v>
          </cell>
        </row>
        <row r="1069">
          <cell r="B1069">
            <v>17031823102</v>
          </cell>
          <cell r="D1069">
            <v>3558</v>
          </cell>
        </row>
        <row r="1070">
          <cell r="B1070">
            <v>17031823200</v>
          </cell>
          <cell r="D1070">
            <v>4560</v>
          </cell>
        </row>
        <row r="1071">
          <cell r="B1071">
            <v>17031823302</v>
          </cell>
          <cell r="D1071">
            <v>6679</v>
          </cell>
        </row>
        <row r="1072">
          <cell r="B1072">
            <v>17031823303</v>
          </cell>
          <cell r="D1072">
            <v>4537</v>
          </cell>
        </row>
        <row r="1073">
          <cell r="B1073">
            <v>17031823304</v>
          </cell>
          <cell r="D1073">
            <v>5900</v>
          </cell>
        </row>
        <row r="1074">
          <cell r="B1074">
            <v>17031823400</v>
          </cell>
          <cell r="D1074">
            <v>5237</v>
          </cell>
        </row>
        <row r="1075">
          <cell r="B1075">
            <v>17031823500</v>
          </cell>
          <cell r="D1075">
            <v>4694</v>
          </cell>
        </row>
        <row r="1076">
          <cell r="B1076">
            <v>17031823602</v>
          </cell>
          <cell r="D1076">
            <v>6139</v>
          </cell>
        </row>
        <row r="1077">
          <cell r="B1077">
            <v>17031823603</v>
          </cell>
          <cell r="D1077">
            <v>2417</v>
          </cell>
        </row>
        <row r="1078">
          <cell r="B1078">
            <v>17031823604</v>
          </cell>
          <cell r="D1078">
            <v>3563</v>
          </cell>
        </row>
        <row r="1079">
          <cell r="B1079">
            <v>17031823605</v>
          </cell>
          <cell r="D1079">
            <v>4017</v>
          </cell>
        </row>
        <row r="1080">
          <cell r="B1080">
            <v>17031823702</v>
          </cell>
          <cell r="D1080">
            <v>6456</v>
          </cell>
        </row>
        <row r="1081">
          <cell r="B1081">
            <v>17031823703</v>
          </cell>
          <cell r="D1081">
            <v>7648</v>
          </cell>
        </row>
        <row r="1082">
          <cell r="B1082">
            <v>17031823704</v>
          </cell>
          <cell r="D1082">
            <v>4312</v>
          </cell>
        </row>
        <row r="1083">
          <cell r="B1083">
            <v>17031823705</v>
          </cell>
          <cell r="D1083">
            <v>4785</v>
          </cell>
        </row>
        <row r="1084">
          <cell r="B1084">
            <v>17031823801</v>
          </cell>
          <cell r="D1084">
            <v>5295</v>
          </cell>
        </row>
        <row r="1085">
          <cell r="B1085">
            <v>17031823803</v>
          </cell>
          <cell r="D1085">
            <v>6935</v>
          </cell>
        </row>
        <row r="1086">
          <cell r="B1086">
            <v>17031823805</v>
          </cell>
          <cell r="D1086">
            <v>2852</v>
          </cell>
        </row>
        <row r="1087">
          <cell r="B1087">
            <v>17031823806</v>
          </cell>
          <cell r="D1087">
            <v>3744</v>
          </cell>
        </row>
        <row r="1088">
          <cell r="B1088">
            <v>17031823901</v>
          </cell>
          <cell r="D1088">
            <v>3808</v>
          </cell>
        </row>
        <row r="1089">
          <cell r="B1089">
            <v>17031823903</v>
          </cell>
          <cell r="D1089">
            <v>4694</v>
          </cell>
        </row>
        <row r="1090">
          <cell r="B1090">
            <v>17031823904</v>
          </cell>
          <cell r="D1090">
            <v>4283</v>
          </cell>
        </row>
        <row r="1091">
          <cell r="B1091">
            <v>17031824003</v>
          </cell>
          <cell r="D1091">
            <v>6438</v>
          </cell>
        </row>
        <row r="1092">
          <cell r="B1092">
            <v>17031824004</v>
          </cell>
          <cell r="D1092">
            <v>5571</v>
          </cell>
        </row>
        <row r="1093">
          <cell r="B1093">
            <v>17031824005</v>
          </cell>
          <cell r="D1093">
            <v>5609</v>
          </cell>
        </row>
        <row r="1094">
          <cell r="B1094">
            <v>17031824006</v>
          </cell>
          <cell r="D1094">
            <v>4051</v>
          </cell>
        </row>
        <row r="1095">
          <cell r="B1095">
            <v>17031824105</v>
          </cell>
          <cell r="D1095">
            <v>6505</v>
          </cell>
        </row>
        <row r="1096">
          <cell r="B1096">
            <v>17031824106</v>
          </cell>
          <cell r="D1096">
            <v>6943</v>
          </cell>
        </row>
        <row r="1097">
          <cell r="B1097">
            <v>17031824107</v>
          </cell>
          <cell r="D1097">
            <v>6731</v>
          </cell>
        </row>
        <row r="1098">
          <cell r="B1098">
            <v>17031824108</v>
          </cell>
          <cell r="D1098">
            <v>8041</v>
          </cell>
        </row>
        <row r="1099">
          <cell r="B1099">
            <v>17031824113</v>
          </cell>
          <cell r="D1099">
            <v>7054</v>
          </cell>
        </row>
        <row r="1100">
          <cell r="B1100">
            <v>17031824114</v>
          </cell>
          <cell r="D1100">
            <v>5207</v>
          </cell>
        </row>
        <row r="1101">
          <cell r="B1101">
            <v>17031824115</v>
          </cell>
          <cell r="D1101">
            <v>3781</v>
          </cell>
        </row>
        <row r="1102">
          <cell r="B1102">
            <v>17031824116</v>
          </cell>
          <cell r="D1102">
            <v>4863</v>
          </cell>
        </row>
        <row r="1103">
          <cell r="B1103">
            <v>17031824117</v>
          </cell>
          <cell r="D1103">
            <v>9811</v>
          </cell>
        </row>
        <row r="1104">
          <cell r="B1104">
            <v>17031824119</v>
          </cell>
          <cell r="D1104">
            <v>5806</v>
          </cell>
        </row>
        <row r="1105">
          <cell r="B1105">
            <v>17031824120</v>
          </cell>
          <cell r="D1105">
            <v>8969</v>
          </cell>
        </row>
        <row r="1106">
          <cell r="B1106">
            <v>17031824121</v>
          </cell>
          <cell r="D1106">
            <v>3110</v>
          </cell>
        </row>
        <row r="1107">
          <cell r="B1107">
            <v>17031824122</v>
          </cell>
          <cell r="D1107">
            <v>6236</v>
          </cell>
        </row>
        <row r="1108">
          <cell r="B1108">
            <v>17031824123</v>
          </cell>
          <cell r="D1108">
            <v>8049</v>
          </cell>
        </row>
        <row r="1109">
          <cell r="B1109">
            <v>17031824300</v>
          </cell>
          <cell r="D1109">
            <v>4260</v>
          </cell>
        </row>
        <row r="1110">
          <cell r="B1110">
            <v>17031824400</v>
          </cell>
          <cell r="D1110">
            <v>2397</v>
          </cell>
        </row>
        <row r="1111">
          <cell r="B1111">
            <v>17031824503</v>
          </cell>
          <cell r="D1111">
            <v>7183</v>
          </cell>
        </row>
        <row r="1112">
          <cell r="B1112">
            <v>17031824505</v>
          </cell>
          <cell r="D1112">
            <v>6703</v>
          </cell>
        </row>
        <row r="1113">
          <cell r="B1113">
            <v>17031824506</v>
          </cell>
          <cell r="D1113">
            <v>7574</v>
          </cell>
        </row>
        <row r="1114">
          <cell r="B1114">
            <v>17031824507</v>
          </cell>
          <cell r="D1114">
            <v>4250</v>
          </cell>
        </row>
        <row r="1115">
          <cell r="B1115">
            <v>17031824601</v>
          </cell>
          <cell r="D1115">
            <v>4786</v>
          </cell>
        </row>
        <row r="1116">
          <cell r="B1116">
            <v>17031824602</v>
          </cell>
          <cell r="D1116">
            <v>6505</v>
          </cell>
        </row>
        <row r="1117">
          <cell r="B1117">
            <v>17031824701</v>
          </cell>
          <cell r="D1117">
            <v>4199</v>
          </cell>
        </row>
        <row r="1118">
          <cell r="B1118">
            <v>17031824702</v>
          </cell>
          <cell r="D1118">
            <v>5920</v>
          </cell>
        </row>
        <row r="1119">
          <cell r="B1119">
            <v>17031824800</v>
          </cell>
          <cell r="D1119">
            <v>7987</v>
          </cell>
        </row>
        <row r="1120">
          <cell r="B1120">
            <v>17031824900</v>
          </cell>
          <cell r="D1120">
            <v>3128</v>
          </cell>
        </row>
        <row r="1121">
          <cell r="B1121">
            <v>17031825000</v>
          </cell>
          <cell r="D1121">
            <v>4982</v>
          </cell>
        </row>
        <row r="1122">
          <cell r="B1122">
            <v>17031825200</v>
          </cell>
          <cell r="D1122">
            <v>1964</v>
          </cell>
        </row>
        <row r="1123">
          <cell r="B1123">
            <v>17031825302</v>
          </cell>
          <cell r="D1123">
            <v>6078</v>
          </cell>
        </row>
        <row r="1124">
          <cell r="B1124">
            <v>17031825303</v>
          </cell>
          <cell r="D1124">
            <v>4071</v>
          </cell>
        </row>
        <row r="1125">
          <cell r="B1125">
            <v>17031825304</v>
          </cell>
          <cell r="D1125">
            <v>4316</v>
          </cell>
        </row>
        <row r="1126">
          <cell r="B1126">
            <v>17031825400</v>
          </cell>
          <cell r="D1126">
            <v>5366</v>
          </cell>
        </row>
        <row r="1127">
          <cell r="B1127">
            <v>17031825501</v>
          </cell>
          <cell r="D1127">
            <v>5254</v>
          </cell>
        </row>
        <row r="1128">
          <cell r="B1128">
            <v>17031825503</v>
          </cell>
          <cell r="D1128">
            <v>7095</v>
          </cell>
        </row>
        <row r="1129">
          <cell r="B1129">
            <v>17031825504</v>
          </cell>
          <cell r="D1129">
            <v>3853</v>
          </cell>
        </row>
        <row r="1130">
          <cell r="B1130">
            <v>17031825505</v>
          </cell>
          <cell r="D1130">
            <v>5427</v>
          </cell>
        </row>
        <row r="1131">
          <cell r="B1131">
            <v>17031825600</v>
          </cell>
          <cell r="D1131">
            <v>5592</v>
          </cell>
        </row>
        <row r="1132">
          <cell r="B1132">
            <v>17031825700</v>
          </cell>
          <cell r="D1132">
            <v>4212</v>
          </cell>
        </row>
        <row r="1133">
          <cell r="B1133">
            <v>17031825801</v>
          </cell>
          <cell r="D1133">
            <v>3397</v>
          </cell>
        </row>
        <row r="1134">
          <cell r="B1134">
            <v>17031825802</v>
          </cell>
          <cell r="D1134">
            <v>5974</v>
          </cell>
        </row>
        <row r="1135">
          <cell r="B1135">
            <v>17031825803</v>
          </cell>
          <cell r="D1135">
            <v>5339</v>
          </cell>
        </row>
        <row r="1136">
          <cell r="B1136">
            <v>17031825900</v>
          </cell>
          <cell r="D1136">
            <v>3780</v>
          </cell>
        </row>
        <row r="1137">
          <cell r="B1137">
            <v>17031826000</v>
          </cell>
          <cell r="D1137">
            <v>2986</v>
          </cell>
        </row>
        <row r="1138">
          <cell r="B1138">
            <v>17031826100</v>
          </cell>
          <cell r="D1138">
            <v>7227</v>
          </cell>
        </row>
        <row r="1139">
          <cell r="B1139">
            <v>17031826201</v>
          </cell>
          <cell r="D1139">
            <v>3569</v>
          </cell>
        </row>
        <row r="1140">
          <cell r="B1140">
            <v>17031826202</v>
          </cell>
          <cell r="D1140">
            <v>5829</v>
          </cell>
        </row>
        <row r="1141">
          <cell r="B1141">
            <v>17031826301</v>
          </cell>
          <cell r="D1141">
            <v>3998</v>
          </cell>
        </row>
        <row r="1142">
          <cell r="B1142">
            <v>17031826303</v>
          </cell>
          <cell r="D1142">
            <v>4292</v>
          </cell>
        </row>
        <row r="1143">
          <cell r="B1143">
            <v>17031826304</v>
          </cell>
          <cell r="D1143">
            <v>2780</v>
          </cell>
        </row>
        <row r="1144">
          <cell r="B1144">
            <v>17031826401</v>
          </cell>
          <cell r="D1144">
            <v>3811</v>
          </cell>
        </row>
        <row r="1145">
          <cell r="B1145">
            <v>17031826402</v>
          </cell>
          <cell r="D1145">
            <v>5063</v>
          </cell>
        </row>
        <row r="1146">
          <cell r="B1146">
            <v>17031826500</v>
          </cell>
          <cell r="D1146">
            <v>6505</v>
          </cell>
        </row>
        <row r="1147">
          <cell r="B1147">
            <v>17031826600</v>
          </cell>
          <cell r="D1147">
            <v>5881</v>
          </cell>
        </row>
        <row r="1148">
          <cell r="B1148">
            <v>17031826700</v>
          </cell>
          <cell r="D1148">
            <v>5319</v>
          </cell>
        </row>
        <row r="1149">
          <cell r="B1149">
            <v>17031826800</v>
          </cell>
          <cell r="D1149">
            <v>5055</v>
          </cell>
        </row>
        <row r="1150">
          <cell r="B1150">
            <v>17031826901</v>
          </cell>
          <cell r="D1150">
            <v>1823</v>
          </cell>
        </row>
        <row r="1151">
          <cell r="B1151">
            <v>17031826902</v>
          </cell>
          <cell r="D1151">
            <v>1096</v>
          </cell>
        </row>
        <row r="1152">
          <cell r="B1152">
            <v>17031827000</v>
          </cell>
          <cell r="D1152">
            <v>3690</v>
          </cell>
        </row>
        <row r="1153">
          <cell r="B1153">
            <v>17031827100</v>
          </cell>
          <cell r="D1153">
            <v>2791</v>
          </cell>
        </row>
        <row r="1154">
          <cell r="B1154">
            <v>17031827200</v>
          </cell>
          <cell r="D1154">
            <v>4375</v>
          </cell>
        </row>
        <row r="1155">
          <cell r="B1155">
            <v>17031827300</v>
          </cell>
          <cell r="D1155">
            <v>2796</v>
          </cell>
        </row>
        <row r="1156">
          <cell r="B1156">
            <v>17031827400</v>
          </cell>
          <cell r="D1156">
            <v>4292</v>
          </cell>
        </row>
        <row r="1157">
          <cell r="B1157">
            <v>17031827500</v>
          </cell>
          <cell r="D1157">
            <v>5702</v>
          </cell>
        </row>
        <row r="1158">
          <cell r="B1158">
            <v>17031827600</v>
          </cell>
          <cell r="D1158">
            <v>3317</v>
          </cell>
        </row>
        <row r="1159">
          <cell r="B1159">
            <v>17031827700</v>
          </cell>
          <cell r="D1159">
            <v>2894</v>
          </cell>
        </row>
        <row r="1160">
          <cell r="B1160">
            <v>17031827801</v>
          </cell>
          <cell r="D1160">
            <v>5401</v>
          </cell>
        </row>
        <row r="1161">
          <cell r="B1161">
            <v>17031827802</v>
          </cell>
          <cell r="D1161">
            <v>3551</v>
          </cell>
        </row>
        <row r="1162">
          <cell r="B1162">
            <v>17031827804</v>
          </cell>
          <cell r="D1162">
            <v>3202</v>
          </cell>
        </row>
        <row r="1163">
          <cell r="B1163">
            <v>17031827805</v>
          </cell>
          <cell r="D1163">
            <v>2683</v>
          </cell>
        </row>
        <row r="1164">
          <cell r="B1164">
            <v>17031827901</v>
          </cell>
          <cell r="D1164">
            <v>2557</v>
          </cell>
        </row>
        <row r="1165">
          <cell r="B1165">
            <v>17031827902</v>
          </cell>
          <cell r="D1165">
            <v>4833</v>
          </cell>
        </row>
        <row r="1166">
          <cell r="B1166">
            <v>17031828000</v>
          </cell>
          <cell r="D1166">
            <v>5454</v>
          </cell>
        </row>
        <row r="1167">
          <cell r="B1167">
            <v>17031828100</v>
          </cell>
          <cell r="D1167">
            <v>4557</v>
          </cell>
        </row>
        <row r="1168">
          <cell r="B1168">
            <v>17031828201</v>
          </cell>
          <cell r="D1168">
            <v>4057</v>
          </cell>
        </row>
        <row r="1169">
          <cell r="B1169">
            <v>17031828202</v>
          </cell>
          <cell r="D1169">
            <v>4461</v>
          </cell>
        </row>
        <row r="1170">
          <cell r="B1170">
            <v>17031828300</v>
          </cell>
          <cell r="D1170">
            <v>3361</v>
          </cell>
        </row>
        <row r="1171">
          <cell r="B1171">
            <v>17031828401</v>
          </cell>
          <cell r="D1171">
            <v>3661</v>
          </cell>
        </row>
        <row r="1172">
          <cell r="B1172">
            <v>17031828402</v>
          </cell>
          <cell r="D1172">
            <v>3888</v>
          </cell>
        </row>
        <row r="1173">
          <cell r="B1173">
            <v>17031828503</v>
          </cell>
          <cell r="D1173">
            <v>4632</v>
          </cell>
        </row>
        <row r="1174">
          <cell r="B1174">
            <v>17031828504</v>
          </cell>
          <cell r="D1174">
            <v>6018</v>
          </cell>
        </row>
        <row r="1175">
          <cell r="B1175">
            <v>17031828505</v>
          </cell>
          <cell r="D1175">
            <v>6335</v>
          </cell>
        </row>
        <row r="1176">
          <cell r="B1176">
            <v>17031828506</v>
          </cell>
          <cell r="D1176">
            <v>9181</v>
          </cell>
        </row>
        <row r="1177">
          <cell r="B1177">
            <v>17031828601</v>
          </cell>
          <cell r="D1177">
            <v>3925</v>
          </cell>
        </row>
        <row r="1178">
          <cell r="B1178">
            <v>17031828602</v>
          </cell>
          <cell r="D1178">
            <v>4787</v>
          </cell>
        </row>
        <row r="1179">
          <cell r="B1179">
            <v>17031828701</v>
          </cell>
          <cell r="D1179">
            <v>3753</v>
          </cell>
        </row>
        <row r="1180">
          <cell r="B1180">
            <v>17031828702</v>
          </cell>
          <cell r="D1180">
            <v>5175</v>
          </cell>
        </row>
        <row r="1181">
          <cell r="B1181">
            <v>17031828801</v>
          </cell>
          <cell r="D1181">
            <v>5750</v>
          </cell>
        </row>
        <row r="1182">
          <cell r="B1182">
            <v>17031828802</v>
          </cell>
          <cell r="D1182">
            <v>3424</v>
          </cell>
        </row>
        <row r="1183">
          <cell r="B1183">
            <v>17031828900</v>
          </cell>
          <cell r="D1183">
            <v>3140</v>
          </cell>
        </row>
        <row r="1184">
          <cell r="B1184">
            <v>17031829000</v>
          </cell>
          <cell r="D1184">
            <v>1313</v>
          </cell>
        </row>
        <row r="1185">
          <cell r="B1185">
            <v>17031829100</v>
          </cell>
          <cell r="D1185">
            <v>3627</v>
          </cell>
        </row>
        <row r="1186">
          <cell r="B1186">
            <v>17031829200</v>
          </cell>
          <cell r="D1186">
            <v>5614</v>
          </cell>
        </row>
        <row r="1187">
          <cell r="B1187">
            <v>17031829301</v>
          </cell>
          <cell r="D1187">
            <v>4175</v>
          </cell>
        </row>
        <row r="1188">
          <cell r="B1188">
            <v>17031829302</v>
          </cell>
          <cell r="D1188">
            <v>4444</v>
          </cell>
        </row>
        <row r="1189">
          <cell r="B1189">
            <v>17031829401</v>
          </cell>
          <cell r="D1189">
            <v>1210</v>
          </cell>
        </row>
        <row r="1190">
          <cell r="B1190">
            <v>17031829402</v>
          </cell>
          <cell r="D1190">
            <v>3343</v>
          </cell>
        </row>
        <row r="1191">
          <cell r="B1191">
            <v>17031829500</v>
          </cell>
          <cell r="D1191">
            <v>4141</v>
          </cell>
        </row>
        <row r="1192">
          <cell r="B1192">
            <v>17031829600</v>
          </cell>
          <cell r="D1192">
            <v>2918</v>
          </cell>
        </row>
        <row r="1193">
          <cell r="B1193">
            <v>17031829700</v>
          </cell>
          <cell r="D1193">
            <v>4275</v>
          </cell>
        </row>
        <row r="1194">
          <cell r="B1194">
            <v>17031829800</v>
          </cell>
          <cell r="D1194">
            <v>6616</v>
          </cell>
        </row>
        <row r="1195">
          <cell r="B1195">
            <v>17031829901</v>
          </cell>
          <cell r="D1195">
            <v>8947</v>
          </cell>
        </row>
        <row r="1196">
          <cell r="B1196">
            <v>17031829902</v>
          </cell>
          <cell r="D1196">
            <v>6434</v>
          </cell>
        </row>
        <row r="1197">
          <cell r="B1197">
            <v>17031830001</v>
          </cell>
          <cell r="D1197">
            <v>2363</v>
          </cell>
        </row>
        <row r="1198">
          <cell r="B1198">
            <v>17031830003</v>
          </cell>
          <cell r="D1198">
            <v>7579</v>
          </cell>
        </row>
        <row r="1199">
          <cell r="B1199">
            <v>17031830004</v>
          </cell>
          <cell r="D1199">
            <v>7441</v>
          </cell>
        </row>
        <row r="1200">
          <cell r="B1200">
            <v>17031830005</v>
          </cell>
          <cell r="D1200">
            <v>4182</v>
          </cell>
        </row>
        <row r="1201">
          <cell r="B1201">
            <v>17031830006</v>
          </cell>
          <cell r="D1201">
            <v>2242</v>
          </cell>
        </row>
        <row r="1202">
          <cell r="B1202">
            <v>17031830007</v>
          </cell>
          <cell r="D1202">
            <v>4969</v>
          </cell>
        </row>
        <row r="1203">
          <cell r="B1203">
            <v>17031830008</v>
          </cell>
          <cell r="D1203">
            <v>4592</v>
          </cell>
        </row>
        <row r="1204">
          <cell r="B1204">
            <v>17031830100</v>
          </cell>
          <cell r="D1204">
            <v>3045</v>
          </cell>
        </row>
        <row r="1205">
          <cell r="B1205">
            <v>17031830201</v>
          </cell>
          <cell r="D1205">
            <v>5513</v>
          </cell>
        </row>
        <row r="1206">
          <cell r="B1206">
            <v>17031830202</v>
          </cell>
          <cell r="D1206">
            <v>3628</v>
          </cell>
        </row>
        <row r="1207">
          <cell r="B1207">
            <v>17031830300</v>
          </cell>
          <cell r="D1207">
            <v>4808</v>
          </cell>
        </row>
        <row r="1208">
          <cell r="B1208">
            <v>17031830400</v>
          </cell>
          <cell r="D1208">
            <v>4676</v>
          </cell>
        </row>
        <row r="1209">
          <cell r="B1209">
            <v>17031830500</v>
          </cell>
          <cell r="D1209">
            <v>4829</v>
          </cell>
        </row>
        <row r="1210">
          <cell r="B1210">
            <v>17031830600</v>
          </cell>
          <cell r="D1210">
            <v>4781</v>
          </cell>
        </row>
        <row r="1211">
          <cell r="B1211">
            <v>17031830700</v>
          </cell>
          <cell r="D1211">
            <v>3431</v>
          </cell>
        </row>
        <row r="1212">
          <cell r="B1212">
            <v>17031830800</v>
          </cell>
          <cell r="D1212">
            <v>2565</v>
          </cell>
        </row>
        <row r="1213">
          <cell r="B1213">
            <v>17031830900</v>
          </cell>
          <cell r="D1213">
            <v>2948</v>
          </cell>
        </row>
        <row r="1214">
          <cell r="B1214">
            <v>17031831000</v>
          </cell>
          <cell r="D1214">
            <v>2191</v>
          </cell>
        </row>
        <row r="1215">
          <cell r="B1215">
            <v>17031831100</v>
          </cell>
          <cell r="D1215">
            <v>8174</v>
          </cell>
        </row>
        <row r="1216">
          <cell r="B1216">
            <v>17031831200</v>
          </cell>
          <cell r="D1216">
            <v>4915</v>
          </cell>
        </row>
        <row r="1217">
          <cell r="B1217">
            <v>17031831300</v>
          </cell>
          <cell r="D1217">
            <v>1082</v>
          </cell>
        </row>
        <row r="1218">
          <cell r="B1218">
            <v>17031831400</v>
          </cell>
          <cell r="D1218">
            <v>3017</v>
          </cell>
        </row>
        <row r="1219">
          <cell r="B1219">
            <v>17031831500</v>
          </cell>
          <cell r="D1219">
            <v>3559</v>
          </cell>
        </row>
        <row r="1220">
          <cell r="B1220">
            <v>17031831600</v>
          </cell>
          <cell r="D1220">
            <v>7371</v>
          </cell>
        </row>
        <row r="1221">
          <cell r="B1221">
            <v>17031831700</v>
          </cell>
          <cell r="D1221">
            <v>2325</v>
          </cell>
        </row>
        <row r="1222">
          <cell r="B1222">
            <v>17031831800</v>
          </cell>
          <cell r="D1222">
            <v>6073</v>
          </cell>
        </row>
        <row r="1223">
          <cell r="B1223">
            <v>17031831900</v>
          </cell>
          <cell r="D1223">
            <v>2633</v>
          </cell>
        </row>
        <row r="1224">
          <cell r="B1224">
            <v>17031832000</v>
          </cell>
          <cell r="D1224">
            <v>1824</v>
          </cell>
        </row>
        <row r="1225">
          <cell r="B1225">
            <v>17031832100</v>
          </cell>
          <cell r="D1225">
            <v>3157</v>
          </cell>
        </row>
        <row r="1226">
          <cell r="B1226">
            <v>17031832200</v>
          </cell>
          <cell r="D1226">
            <v>3538</v>
          </cell>
        </row>
        <row r="1227">
          <cell r="B1227">
            <v>17031832300</v>
          </cell>
          <cell r="D1227">
            <v>2007</v>
          </cell>
        </row>
        <row r="1228">
          <cell r="B1228">
            <v>17031832400</v>
          </cell>
          <cell r="D1228">
            <v>3084</v>
          </cell>
        </row>
        <row r="1229">
          <cell r="B1229">
            <v>17031832500</v>
          </cell>
          <cell r="D1229">
            <v>3838</v>
          </cell>
        </row>
        <row r="1230">
          <cell r="B1230">
            <v>17031832600</v>
          </cell>
          <cell r="D1230">
            <v>3852</v>
          </cell>
        </row>
        <row r="1231">
          <cell r="B1231">
            <v>17031832900</v>
          </cell>
          <cell r="D1231">
            <v>2616</v>
          </cell>
        </row>
        <row r="1232">
          <cell r="B1232">
            <v>17031833000</v>
          </cell>
          <cell r="D1232">
            <v>3206</v>
          </cell>
        </row>
        <row r="1233">
          <cell r="B1233">
            <v>17031833100</v>
          </cell>
          <cell r="D1233">
            <v>7709</v>
          </cell>
        </row>
        <row r="1234">
          <cell r="B1234">
            <v>17031833300</v>
          </cell>
          <cell r="D1234">
            <v>2636</v>
          </cell>
        </row>
        <row r="1235">
          <cell r="B1235">
            <v>17031833900</v>
          </cell>
          <cell r="D1235">
            <v>2262</v>
          </cell>
        </row>
        <row r="1236">
          <cell r="B1236">
            <v>17031834000</v>
          </cell>
          <cell r="D1236">
            <v>3020</v>
          </cell>
        </row>
        <row r="1237">
          <cell r="B1237">
            <v>17031834200</v>
          </cell>
          <cell r="D1237">
            <v>4539</v>
          </cell>
        </row>
        <row r="1238">
          <cell r="B1238">
            <v>17031834300</v>
          </cell>
          <cell r="D1238">
            <v>6103</v>
          </cell>
        </row>
        <row r="1239">
          <cell r="B1239">
            <v>17031834400</v>
          </cell>
          <cell r="D1239">
            <v>4454</v>
          </cell>
        </row>
        <row r="1240">
          <cell r="B1240">
            <v>17031834500</v>
          </cell>
          <cell r="D1240">
            <v>1449</v>
          </cell>
        </row>
        <row r="1241">
          <cell r="B1241">
            <v>17031834600</v>
          </cell>
          <cell r="D1241">
            <v>2889</v>
          </cell>
        </row>
        <row r="1242">
          <cell r="B1242">
            <v>17031834700</v>
          </cell>
          <cell r="D1242">
            <v>1783</v>
          </cell>
        </row>
        <row r="1243">
          <cell r="B1243">
            <v>17031834800</v>
          </cell>
          <cell r="D1243">
            <v>1518</v>
          </cell>
        </row>
        <row r="1244">
          <cell r="B1244">
            <v>17031834900</v>
          </cell>
          <cell r="D1244">
            <v>2198</v>
          </cell>
        </row>
        <row r="1245">
          <cell r="B1245">
            <v>17031835000</v>
          </cell>
          <cell r="D1245">
            <v>6136</v>
          </cell>
        </row>
        <row r="1246">
          <cell r="B1246">
            <v>17031835100</v>
          </cell>
          <cell r="D1246">
            <v>5845</v>
          </cell>
        </row>
        <row r="1247">
          <cell r="B1247">
            <v>17031835200</v>
          </cell>
          <cell r="D1247">
            <v>1787</v>
          </cell>
        </row>
        <row r="1248">
          <cell r="B1248">
            <v>17031835500</v>
          </cell>
          <cell r="D1248">
            <v>1433</v>
          </cell>
        </row>
        <row r="1249">
          <cell r="B1249">
            <v>17031835600</v>
          </cell>
          <cell r="D1249">
            <v>944</v>
          </cell>
        </row>
        <row r="1250">
          <cell r="B1250">
            <v>17031835700</v>
          </cell>
          <cell r="D1250">
            <v>578</v>
          </cell>
        </row>
        <row r="1251">
          <cell r="B1251">
            <v>17031835800</v>
          </cell>
          <cell r="D1251">
            <v>1720</v>
          </cell>
        </row>
        <row r="1252">
          <cell r="B1252">
            <v>17031835900</v>
          </cell>
          <cell r="D1252">
            <v>3109</v>
          </cell>
        </row>
        <row r="1253">
          <cell r="B1253">
            <v>17031836000</v>
          </cell>
          <cell r="D1253">
            <v>2743</v>
          </cell>
        </row>
        <row r="1254">
          <cell r="B1254">
            <v>17031836100</v>
          </cell>
          <cell r="D1254">
            <v>1864</v>
          </cell>
        </row>
        <row r="1255">
          <cell r="B1255">
            <v>17031836200</v>
          </cell>
          <cell r="D1255">
            <v>1660</v>
          </cell>
        </row>
        <row r="1256">
          <cell r="B1256">
            <v>17031836300</v>
          </cell>
          <cell r="D1256">
            <v>1463</v>
          </cell>
        </row>
        <row r="1257">
          <cell r="B1257">
            <v>17031836400</v>
          </cell>
          <cell r="D1257">
            <v>3262</v>
          </cell>
        </row>
        <row r="1258">
          <cell r="B1258">
            <v>17031836500</v>
          </cell>
          <cell r="D1258">
            <v>1603</v>
          </cell>
        </row>
        <row r="1259">
          <cell r="B1259">
            <v>17031836600</v>
          </cell>
          <cell r="D1259">
            <v>2746</v>
          </cell>
        </row>
        <row r="1260">
          <cell r="B1260">
            <v>17031836700</v>
          </cell>
          <cell r="D1260">
            <v>2291</v>
          </cell>
        </row>
        <row r="1261">
          <cell r="B1261">
            <v>17031836800</v>
          </cell>
          <cell r="D1261">
            <v>2218</v>
          </cell>
        </row>
        <row r="1262">
          <cell r="B1262">
            <v>17031836900</v>
          </cell>
          <cell r="D1262">
            <v>1438</v>
          </cell>
        </row>
        <row r="1263">
          <cell r="B1263">
            <v>17031837000</v>
          </cell>
          <cell r="D1263">
            <v>1919</v>
          </cell>
        </row>
        <row r="1264">
          <cell r="B1264">
            <v>17031837100</v>
          </cell>
          <cell r="D1264">
            <v>1857</v>
          </cell>
        </row>
        <row r="1265">
          <cell r="B1265">
            <v>17031837300</v>
          </cell>
          <cell r="D1265">
            <v>2419</v>
          </cell>
        </row>
        <row r="1266">
          <cell r="B1266">
            <v>17031837400</v>
          </cell>
          <cell r="D1266">
            <v>2303</v>
          </cell>
        </row>
        <row r="1267">
          <cell r="B1267">
            <v>17031837800</v>
          </cell>
          <cell r="D1267">
            <v>3333</v>
          </cell>
        </row>
        <row r="1268">
          <cell r="B1268">
            <v>17031838000</v>
          </cell>
          <cell r="D1268">
            <v>2785</v>
          </cell>
        </row>
        <row r="1269">
          <cell r="B1269">
            <v>17031838100</v>
          </cell>
          <cell r="D1269">
            <v>1853</v>
          </cell>
        </row>
        <row r="1270">
          <cell r="B1270">
            <v>17031838200</v>
          </cell>
          <cell r="D1270">
            <v>2094</v>
          </cell>
        </row>
        <row r="1271">
          <cell r="B1271">
            <v>17031838300</v>
          </cell>
          <cell r="D1271">
            <v>1527</v>
          </cell>
        </row>
        <row r="1272">
          <cell r="B1272">
            <v>17031838600</v>
          </cell>
          <cell r="D1272">
            <v>1506</v>
          </cell>
        </row>
        <row r="1273">
          <cell r="B1273">
            <v>17031838700</v>
          </cell>
          <cell r="D1273">
            <v>4808</v>
          </cell>
        </row>
        <row r="1274">
          <cell r="B1274">
            <v>17031838800</v>
          </cell>
          <cell r="D1274">
            <v>3543</v>
          </cell>
        </row>
        <row r="1275">
          <cell r="B1275">
            <v>17031839000</v>
          </cell>
          <cell r="D1275">
            <v>8421</v>
          </cell>
        </row>
        <row r="1276">
          <cell r="B1276">
            <v>17031839100</v>
          </cell>
          <cell r="D1276">
            <v>6213</v>
          </cell>
        </row>
        <row r="1277">
          <cell r="B1277">
            <v>17031839200</v>
          </cell>
          <cell r="D1277">
            <v>2488</v>
          </cell>
        </row>
        <row r="1278">
          <cell r="B1278">
            <v>17031839500</v>
          </cell>
          <cell r="D1278">
            <v>1360</v>
          </cell>
        </row>
        <row r="1279">
          <cell r="B1279">
            <v>17031839600</v>
          </cell>
          <cell r="D1279">
            <v>1727</v>
          </cell>
        </row>
        <row r="1280">
          <cell r="B1280">
            <v>17031839700</v>
          </cell>
          <cell r="D1280">
            <v>4464</v>
          </cell>
        </row>
        <row r="1281">
          <cell r="B1281">
            <v>17031839800</v>
          </cell>
          <cell r="D1281">
            <v>2895</v>
          </cell>
        </row>
        <row r="1282">
          <cell r="B1282">
            <v>17031839900</v>
          </cell>
          <cell r="D1282">
            <v>4065</v>
          </cell>
        </row>
        <row r="1283">
          <cell r="B1283">
            <v>17031840000</v>
          </cell>
          <cell r="D1283">
            <v>2804</v>
          </cell>
        </row>
        <row r="1284">
          <cell r="B1284">
            <v>17031840100</v>
          </cell>
          <cell r="D1284">
            <v>2776</v>
          </cell>
        </row>
        <row r="1285">
          <cell r="B1285">
            <v>17031840200</v>
          </cell>
          <cell r="D1285">
            <v>2455</v>
          </cell>
        </row>
        <row r="1286">
          <cell r="B1286">
            <v>17031840300</v>
          </cell>
          <cell r="D1286">
            <v>3764</v>
          </cell>
        </row>
        <row r="1287">
          <cell r="B1287">
            <v>17031840400</v>
          </cell>
          <cell r="D1287">
            <v>3343</v>
          </cell>
        </row>
        <row r="1288">
          <cell r="B1288">
            <v>17031840700</v>
          </cell>
          <cell r="D1288">
            <v>3695</v>
          </cell>
        </row>
        <row r="1289">
          <cell r="B1289">
            <v>17031840800</v>
          </cell>
          <cell r="D1289">
            <v>2974</v>
          </cell>
        </row>
        <row r="1290">
          <cell r="B1290">
            <v>17031841000</v>
          </cell>
          <cell r="D1290">
            <v>830</v>
          </cell>
        </row>
        <row r="1291">
          <cell r="B1291">
            <v>17031841100</v>
          </cell>
          <cell r="D1291">
            <v>7308</v>
          </cell>
        </row>
        <row r="1292">
          <cell r="B1292">
            <v>17031841200</v>
          </cell>
          <cell r="D1292">
            <v>5252</v>
          </cell>
        </row>
        <row r="1293">
          <cell r="B1293">
            <v>17031841300</v>
          </cell>
          <cell r="D1293">
            <v>4176</v>
          </cell>
        </row>
        <row r="1294">
          <cell r="B1294">
            <v>17031841400</v>
          </cell>
          <cell r="D1294">
            <v>1228</v>
          </cell>
        </row>
        <row r="1295">
          <cell r="B1295">
            <v>17031841500</v>
          </cell>
          <cell r="D1295">
            <v>2838</v>
          </cell>
        </row>
        <row r="1296">
          <cell r="B1296">
            <v>17031841600</v>
          </cell>
          <cell r="D1296">
            <v>676</v>
          </cell>
        </row>
        <row r="1297">
          <cell r="B1297">
            <v>17031841700</v>
          </cell>
          <cell r="D1297">
            <v>1698</v>
          </cell>
        </row>
        <row r="1298">
          <cell r="B1298">
            <v>17031841800</v>
          </cell>
          <cell r="D1298">
            <v>2578</v>
          </cell>
        </row>
        <row r="1299">
          <cell r="B1299">
            <v>17031841900</v>
          </cell>
          <cell r="D1299">
            <v>6388</v>
          </cell>
        </row>
        <row r="1300">
          <cell r="B1300">
            <v>17031842000</v>
          </cell>
          <cell r="D1300">
            <v>3092</v>
          </cell>
        </row>
        <row r="1301">
          <cell r="B1301">
            <v>17031842100</v>
          </cell>
          <cell r="D1301">
            <v>7722</v>
          </cell>
        </row>
        <row r="1302">
          <cell r="B1302">
            <v>17031842200</v>
          </cell>
          <cell r="D1302">
            <v>2611</v>
          </cell>
        </row>
        <row r="1303">
          <cell r="B1303">
            <v>17031842300</v>
          </cell>
          <cell r="D1303">
            <v>3547</v>
          </cell>
        </row>
        <row r="1304">
          <cell r="B1304">
            <v>17031842400</v>
          </cell>
          <cell r="D1304">
            <v>3034</v>
          </cell>
        </row>
        <row r="1305">
          <cell r="B1305">
            <v>17031842500</v>
          </cell>
          <cell r="D1305">
            <v>2119</v>
          </cell>
        </row>
        <row r="1306">
          <cell r="B1306">
            <v>17031842600</v>
          </cell>
          <cell r="D1306">
            <v>4622</v>
          </cell>
        </row>
        <row r="1307">
          <cell r="B1307">
            <v>17031842800</v>
          </cell>
          <cell r="D1307">
            <v>7460</v>
          </cell>
        </row>
        <row r="1308">
          <cell r="B1308">
            <v>17031842900</v>
          </cell>
          <cell r="D1308">
            <v>2291</v>
          </cell>
        </row>
        <row r="1309">
          <cell r="B1309">
            <v>17031843000</v>
          </cell>
          <cell r="D1309">
            <v>2637</v>
          </cell>
        </row>
        <row r="1310">
          <cell r="B1310">
            <v>17031843100</v>
          </cell>
          <cell r="D1310">
            <v>1872</v>
          </cell>
        </row>
        <row r="1311">
          <cell r="B1311">
            <v>17031843200</v>
          </cell>
          <cell r="D1311">
            <v>2182</v>
          </cell>
        </row>
        <row r="1312">
          <cell r="B1312">
            <v>17031843300</v>
          </cell>
          <cell r="D1312">
            <v>2090</v>
          </cell>
        </row>
        <row r="1313">
          <cell r="B1313">
            <v>17031843400</v>
          </cell>
          <cell r="D1313">
            <v>1266</v>
          </cell>
        </row>
        <row r="1314">
          <cell r="B1314">
            <v>17031843500</v>
          </cell>
          <cell r="D1314">
            <v>9364</v>
          </cell>
        </row>
        <row r="1315">
          <cell r="B1315">
            <v>17031843600</v>
          </cell>
          <cell r="D1315">
            <v>2678</v>
          </cell>
        </row>
        <row r="1316">
          <cell r="B1316">
            <v>17031843700</v>
          </cell>
          <cell r="D1316">
            <v>2515</v>
          </cell>
        </row>
        <row r="1317">
          <cell r="B1317">
            <v>17031843800</v>
          </cell>
          <cell r="D1317">
            <v>1699</v>
          </cell>
        </row>
        <row r="1318">
          <cell r="B1318">
            <v>17031843900</v>
          </cell>
          <cell r="D1318">
            <v>3707</v>
          </cell>
        </row>
        <row r="1319">
          <cell r="B1319">
            <v>17031980000</v>
          </cell>
          <cell r="D1319">
            <v>0</v>
          </cell>
        </row>
        <row r="1320">
          <cell r="B1320">
            <v>17031980100</v>
          </cell>
          <cell r="D1320">
            <v>0</v>
          </cell>
        </row>
        <row r="1321">
          <cell r="B1321">
            <v>17031990000</v>
          </cell>
          <cell r="D1321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S_16_5YR_B08301_with_ann"/>
    </sheetNames>
    <sheetDataSet>
      <sheetData sheetId="0">
        <row r="1">
          <cell r="D1" t="str">
            <v>HD01_VD01</v>
          </cell>
          <cell r="E1" t="str">
            <v>HD02_VD01</v>
          </cell>
          <cell r="F1" t="str">
            <v>HD01_VD02</v>
          </cell>
          <cell r="G1" t="str">
            <v>HD02_VD02</v>
          </cell>
          <cell r="H1" t="str">
            <v>HD01_VD03</v>
          </cell>
          <cell r="I1" t="str">
            <v>HD02_VD03</v>
          </cell>
          <cell r="J1" t="str">
            <v>HD01_VD04</v>
          </cell>
          <cell r="K1" t="str">
            <v>HD02_VD04</v>
          </cell>
          <cell r="L1" t="str">
            <v>HD01_VD05</v>
          </cell>
          <cell r="M1" t="str">
            <v>HD02_VD05</v>
          </cell>
          <cell r="N1" t="str">
            <v>HD01_VD06</v>
          </cell>
          <cell r="O1" t="str">
            <v>HD02_VD06</v>
          </cell>
          <cell r="P1" t="str">
            <v>HD01_VD07</v>
          </cell>
          <cell r="Q1" t="str">
            <v>HD02_VD07</v>
          </cell>
          <cell r="R1" t="str">
            <v>HD01_VD08</v>
          </cell>
          <cell r="S1" t="str">
            <v>HD02_VD08</v>
          </cell>
          <cell r="T1" t="str">
            <v>HD01_VD09</v>
          </cell>
          <cell r="U1" t="str">
            <v>HD02_VD09</v>
          </cell>
          <cell r="V1" t="str">
            <v>HD01_VD10</v>
          </cell>
          <cell r="W1" t="str">
            <v>HD02_VD10</v>
          </cell>
          <cell r="X1" t="str">
            <v>HD01_VD11</v>
          </cell>
          <cell r="Y1" t="str">
            <v>HD02_VD11</v>
          </cell>
          <cell r="Z1" t="str">
            <v>HD01_VD12</v>
          </cell>
          <cell r="AA1" t="str">
            <v>HD02_VD12</v>
          </cell>
          <cell r="AB1" t="str">
            <v>HD01_VD13</v>
          </cell>
          <cell r="AC1" t="str">
            <v>HD02_VD13</v>
          </cell>
          <cell r="AD1" t="str">
            <v>HD01_VD14</v>
          </cell>
          <cell r="AE1" t="str">
            <v>HD02_VD14</v>
          </cell>
          <cell r="AF1" t="str">
            <v>HD01_VD15</v>
          </cell>
          <cell r="AG1" t="str">
            <v>HD02_VD15</v>
          </cell>
          <cell r="AH1" t="str">
            <v>HD01_VD16</v>
          </cell>
          <cell r="AI1" t="str">
            <v>HD02_VD16</v>
          </cell>
          <cell r="AJ1" t="str">
            <v>HD01_VD17</v>
          </cell>
          <cell r="AK1" t="str">
            <v>HD02_VD17</v>
          </cell>
          <cell r="AL1" t="str">
            <v>HD01_VD18</v>
          </cell>
          <cell r="AM1" t="str">
            <v>HD02_VD18</v>
          </cell>
          <cell r="AN1" t="str">
            <v>HD01_VD19</v>
          </cell>
          <cell r="AO1" t="str">
            <v>HD02_VD19</v>
          </cell>
          <cell r="AP1" t="str">
            <v>HD01_VD20</v>
          </cell>
          <cell r="AQ1" t="str">
            <v>HD02_VD20</v>
          </cell>
          <cell r="AR1" t="str">
            <v>HD01_VD21</v>
          </cell>
          <cell r="AS1" t="str">
            <v>HD02_VD21</v>
          </cell>
        </row>
        <row r="3">
          <cell r="B3">
            <v>17031010100</v>
          </cell>
          <cell r="D3">
            <v>2476</v>
          </cell>
          <cell r="E3">
            <v>383</v>
          </cell>
          <cell r="F3">
            <v>992</v>
          </cell>
          <cell r="G3">
            <v>323</v>
          </cell>
          <cell r="H3">
            <v>885</v>
          </cell>
          <cell r="I3">
            <v>273</v>
          </cell>
          <cell r="J3">
            <v>107</v>
          </cell>
          <cell r="K3">
            <v>127</v>
          </cell>
          <cell r="L3">
            <v>94</v>
          </cell>
          <cell r="M3">
            <v>125</v>
          </cell>
          <cell r="N3">
            <v>13</v>
          </cell>
          <cell r="O3">
            <v>21</v>
          </cell>
          <cell r="P3">
            <v>0</v>
          </cell>
          <cell r="Q3">
            <v>11</v>
          </cell>
          <cell r="R3">
            <v>0</v>
          </cell>
          <cell r="S3">
            <v>11</v>
          </cell>
          <cell r="T3">
            <v>0</v>
          </cell>
          <cell r="U3">
            <v>11</v>
          </cell>
          <cell r="V3">
            <v>968</v>
          </cell>
          <cell r="W3">
            <v>241</v>
          </cell>
          <cell r="X3">
            <v>408</v>
          </cell>
          <cell r="Y3">
            <v>169</v>
          </cell>
          <cell r="Z3">
            <v>0</v>
          </cell>
          <cell r="AA3">
            <v>11</v>
          </cell>
          <cell r="AB3">
            <v>477</v>
          </cell>
          <cell r="AC3">
            <v>179</v>
          </cell>
          <cell r="AD3">
            <v>83</v>
          </cell>
          <cell r="AE3">
            <v>84</v>
          </cell>
          <cell r="AF3">
            <v>0</v>
          </cell>
          <cell r="AG3">
            <v>11</v>
          </cell>
          <cell r="AH3">
            <v>0</v>
          </cell>
          <cell r="AI3">
            <v>11</v>
          </cell>
          <cell r="AJ3">
            <v>0</v>
          </cell>
          <cell r="AK3">
            <v>11</v>
          </cell>
          <cell r="AL3">
            <v>35</v>
          </cell>
          <cell r="AM3">
            <v>39</v>
          </cell>
          <cell r="AN3">
            <v>122</v>
          </cell>
          <cell r="AO3">
            <v>90</v>
          </cell>
          <cell r="AP3">
            <v>119</v>
          </cell>
          <cell r="AQ3">
            <v>97</v>
          </cell>
          <cell r="AR3">
            <v>240</v>
          </cell>
          <cell r="AS3">
            <v>112</v>
          </cell>
        </row>
        <row r="4">
          <cell r="B4">
            <v>17031010201</v>
          </cell>
          <cell r="D4">
            <v>3028</v>
          </cell>
          <cell r="E4">
            <v>333</v>
          </cell>
          <cell r="F4">
            <v>1679</v>
          </cell>
          <cell r="G4">
            <v>271</v>
          </cell>
          <cell r="H4">
            <v>1528</v>
          </cell>
          <cell r="I4">
            <v>241</v>
          </cell>
          <cell r="J4">
            <v>151</v>
          </cell>
          <cell r="K4">
            <v>122</v>
          </cell>
          <cell r="L4">
            <v>151</v>
          </cell>
          <cell r="M4">
            <v>122</v>
          </cell>
          <cell r="N4">
            <v>0</v>
          </cell>
          <cell r="O4">
            <v>15</v>
          </cell>
          <cell r="P4">
            <v>0</v>
          </cell>
          <cell r="Q4">
            <v>15</v>
          </cell>
          <cell r="R4">
            <v>0</v>
          </cell>
          <cell r="S4">
            <v>15</v>
          </cell>
          <cell r="T4">
            <v>0</v>
          </cell>
          <cell r="U4">
            <v>15</v>
          </cell>
          <cell r="V4">
            <v>943</v>
          </cell>
          <cell r="W4">
            <v>248</v>
          </cell>
          <cell r="X4">
            <v>375</v>
          </cell>
          <cell r="Y4">
            <v>186</v>
          </cell>
          <cell r="Z4">
            <v>0</v>
          </cell>
          <cell r="AA4">
            <v>15</v>
          </cell>
          <cell r="AB4">
            <v>475</v>
          </cell>
          <cell r="AC4">
            <v>159</v>
          </cell>
          <cell r="AD4">
            <v>93</v>
          </cell>
          <cell r="AE4">
            <v>73</v>
          </cell>
          <cell r="AF4">
            <v>0</v>
          </cell>
          <cell r="AG4">
            <v>15</v>
          </cell>
          <cell r="AH4">
            <v>35</v>
          </cell>
          <cell r="AI4">
            <v>49</v>
          </cell>
          <cell r="AJ4">
            <v>2</v>
          </cell>
          <cell r="AK4">
            <v>9</v>
          </cell>
          <cell r="AL4">
            <v>103</v>
          </cell>
          <cell r="AM4">
            <v>98</v>
          </cell>
          <cell r="AN4">
            <v>89</v>
          </cell>
          <cell r="AO4">
            <v>68</v>
          </cell>
          <cell r="AP4">
            <v>0</v>
          </cell>
          <cell r="AQ4">
            <v>15</v>
          </cell>
          <cell r="AR4">
            <v>177</v>
          </cell>
          <cell r="AS4">
            <v>89</v>
          </cell>
        </row>
        <row r="5">
          <cell r="B5">
            <v>17031010202</v>
          </cell>
          <cell r="D5">
            <v>1110</v>
          </cell>
          <cell r="E5">
            <v>210</v>
          </cell>
          <cell r="F5">
            <v>558</v>
          </cell>
          <cell r="G5">
            <v>164</v>
          </cell>
          <cell r="H5">
            <v>487</v>
          </cell>
          <cell r="I5">
            <v>142</v>
          </cell>
          <cell r="J5">
            <v>71</v>
          </cell>
          <cell r="K5">
            <v>52</v>
          </cell>
          <cell r="L5">
            <v>71</v>
          </cell>
          <cell r="M5">
            <v>52</v>
          </cell>
          <cell r="N5">
            <v>0</v>
          </cell>
          <cell r="O5">
            <v>11</v>
          </cell>
          <cell r="P5">
            <v>0</v>
          </cell>
          <cell r="Q5">
            <v>11</v>
          </cell>
          <cell r="R5">
            <v>0</v>
          </cell>
          <cell r="S5">
            <v>11</v>
          </cell>
          <cell r="T5">
            <v>0</v>
          </cell>
          <cell r="U5">
            <v>11</v>
          </cell>
          <cell r="V5">
            <v>427</v>
          </cell>
          <cell r="W5">
            <v>115</v>
          </cell>
          <cell r="X5">
            <v>112</v>
          </cell>
          <cell r="Y5">
            <v>74</v>
          </cell>
          <cell r="Z5">
            <v>0</v>
          </cell>
          <cell r="AA5">
            <v>11</v>
          </cell>
          <cell r="AB5">
            <v>243</v>
          </cell>
          <cell r="AC5">
            <v>89</v>
          </cell>
          <cell r="AD5">
            <v>72</v>
          </cell>
          <cell r="AE5">
            <v>50</v>
          </cell>
          <cell r="AF5">
            <v>0</v>
          </cell>
          <cell r="AG5">
            <v>11</v>
          </cell>
          <cell r="AH5">
            <v>0</v>
          </cell>
          <cell r="AI5">
            <v>11</v>
          </cell>
          <cell r="AJ5">
            <v>0</v>
          </cell>
          <cell r="AK5">
            <v>11</v>
          </cell>
          <cell r="AL5">
            <v>44</v>
          </cell>
          <cell r="AM5">
            <v>38</v>
          </cell>
          <cell r="AN5">
            <v>5</v>
          </cell>
          <cell r="AO5">
            <v>9</v>
          </cell>
          <cell r="AP5">
            <v>11</v>
          </cell>
          <cell r="AQ5">
            <v>17</v>
          </cell>
          <cell r="AR5">
            <v>65</v>
          </cell>
          <cell r="AS5">
            <v>35</v>
          </cell>
        </row>
        <row r="6">
          <cell r="B6">
            <v>17031010300</v>
          </cell>
          <cell r="D6">
            <v>3035</v>
          </cell>
          <cell r="E6">
            <v>341</v>
          </cell>
          <cell r="F6">
            <v>1439</v>
          </cell>
          <cell r="G6">
            <v>310</v>
          </cell>
          <cell r="H6">
            <v>1124</v>
          </cell>
          <cell r="I6">
            <v>243</v>
          </cell>
          <cell r="J6">
            <v>315</v>
          </cell>
          <cell r="K6">
            <v>184</v>
          </cell>
          <cell r="L6">
            <v>264</v>
          </cell>
          <cell r="M6">
            <v>170</v>
          </cell>
          <cell r="N6">
            <v>18</v>
          </cell>
          <cell r="O6">
            <v>31</v>
          </cell>
          <cell r="P6">
            <v>0</v>
          </cell>
          <cell r="Q6">
            <v>15</v>
          </cell>
          <cell r="R6">
            <v>0</v>
          </cell>
          <cell r="S6">
            <v>15</v>
          </cell>
          <cell r="T6">
            <v>33</v>
          </cell>
          <cell r="U6">
            <v>58</v>
          </cell>
          <cell r="V6">
            <v>1234</v>
          </cell>
          <cell r="W6">
            <v>262</v>
          </cell>
          <cell r="X6">
            <v>334</v>
          </cell>
          <cell r="Y6">
            <v>138</v>
          </cell>
          <cell r="Z6">
            <v>0</v>
          </cell>
          <cell r="AA6">
            <v>15</v>
          </cell>
          <cell r="AB6">
            <v>742</v>
          </cell>
          <cell r="AC6">
            <v>187</v>
          </cell>
          <cell r="AD6">
            <v>158</v>
          </cell>
          <cell r="AE6">
            <v>140</v>
          </cell>
          <cell r="AF6">
            <v>0</v>
          </cell>
          <cell r="AG6">
            <v>15</v>
          </cell>
          <cell r="AH6">
            <v>0</v>
          </cell>
          <cell r="AI6">
            <v>15</v>
          </cell>
          <cell r="AJ6">
            <v>0</v>
          </cell>
          <cell r="AK6">
            <v>15</v>
          </cell>
          <cell r="AL6">
            <v>57</v>
          </cell>
          <cell r="AM6">
            <v>39</v>
          </cell>
          <cell r="AN6">
            <v>77</v>
          </cell>
          <cell r="AO6">
            <v>71</v>
          </cell>
          <cell r="AP6">
            <v>51</v>
          </cell>
          <cell r="AQ6">
            <v>73</v>
          </cell>
          <cell r="AR6">
            <v>177</v>
          </cell>
          <cell r="AS6">
            <v>100</v>
          </cell>
        </row>
        <row r="7">
          <cell r="B7">
            <v>17031010400</v>
          </cell>
          <cell r="D7">
            <v>2710</v>
          </cell>
          <cell r="E7">
            <v>332</v>
          </cell>
          <cell r="F7">
            <v>721</v>
          </cell>
          <cell r="G7">
            <v>178</v>
          </cell>
          <cell r="H7">
            <v>554</v>
          </cell>
          <cell r="I7">
            <v>145</v>
          </cell>
          <cell r="J7">
            <v>167</v>
          </cell>
          <cell r="K7">
            <v>110</v>
          </cell>
          <cell r="L7">
            <v>101</v>
          </cell>
          <cell r="M7">
            <v>86</v>
          </cell>
          <cell r="N7">
            <v>53</v>
          </cell>
          <cell r="O7">
            <v>67</v>
          </cell>
          <cell r="P7">
            <v>8</v>
          </cell>
          <cell r="Q7">
            <v>15</v>
          </cell>
          <cell r="R7">
            <v>0</v>
          </cell>
          <cell r="S7">
            <v>15</v>
          </cell>
          <cell r="T7">
            <v>5</v>
          </cell>
          <cell r="U7">
            <v>11</v>
          </cell>
          <cell r="V7">
            <v>1246</v>
          </cell>
          <cell r="W7">
            <v>242</v>
          </cell>
          <cell r="X7">
            <v>505</v>
          </cell>
          <cell r="Y7">
            <v>195</v>
          </cell>
          <cell r="Z7">
            <v>0</v>
          </cell>
          <cell r="AA7">
            <v>15</v>
          </cell>
          <cell r="AB7">
            <v>602</v>
          </cell>
          <cell r="AC7">
            <v>156</v>
          </cell>
          <cell r="AD7">
            <v>139</v>
          </cell>
          <cell r="AE7">
            <v>93</v>
          </cell>
          <cell r="AF7">
            <v>0</v>
          </cell>
          <cell r="AG7">
            <v>15</v>
          </cell>
          <cell r="AH7">
            <v>0</v>
          </cell>
          <cell r="AI7">
            <v>15</v>
          </cell>
          <cell r="AJ7">
            <v>0</v>
          </cell>
          <cell r="AK7">
            <v>15</v>
          </cell>
          <cell r="AL7">
            <v>66</v>
          </cell>
          <cell r="AM7">
            <v>67</v>
          </cell>
          <cell r="AN7">
            <v>425</v>
          </cell>
          <cell r="AO7">
            <v>148</v>
          </cell>
          <cell r="AP7">
            <v>4</v>
          </cell>
          <cell r="AQ7">
            <v>11</v>
          </cell>
          <cell r="AR7">
            <v>248</v>
          </cell>
          <cell r="AS7">
            <v>121</v>
          </cell>
        </row>
        <row r="8">
          <cell r="B8">
            <v>17031010501</v>
          </cell>
          <cell r="D8">
            <v>2180</v>
          </cell>
          <cell r="E8">
            <v>311</v>
          </cell>
          <cell r="F8">
            <v>795</v>
          </cell>
          <cell r="G8">
            <v>167</v>
          </cell>
          <cell r="H8">
            <v>720</v>
          </cell>
          <cell r="I8">
            <v>165</v>
          </cell>
          <cell r="J8">
            <v>75</v>
          </cell>
          <cell r="K8">
            <v>58</v>
          </cell>
          <cell r="L8">
            <v>37</v>
          </cell>
          <cell r="M8">
            <v>43</v>
          </cell>
          <cell r="N8">
            <v>38</v>
          </cell>
          <cell r="O8">
            <v>39</v>
          </cell>
          <cell r="P8">
            <v>0</v>
          </cell>
          <cell r="Q8">
            <v>11</v>
          </cell>
          <cell r="R8">
            <v>0</v>
          </cell>
          <cell r="S8">
            <v>11</v>
          </cell>
          <cell r="T8">
            <v>0</v>
          </cell>
          <cell r="U8">
            <v>11</v>
          </cell>
          <cell r="V8">
            <v>1069</v>
          </cell>
          <cell r="W8">
            <v>250</v>
          </cell>
          <cell r="X8">
            <v>428</v>
          </cell>
          <cell r="Y8">
            <v>144</v>
          </cell>
          <cell r="Z8">
            <v>0</v>
          </cell>
          <cell r="AA8">
            <v>11</v>
          </cell>
          <cell r="AB8">
            <v>593</v>
          </cell>
          <cell r="AC8">
            <v>205</v>
          </cell>
          <cell r="AD8">
            <v>48</v>
          </cell>
          <cell r="AE8">
            <v>54</v>
          </cell>
          <cell r="AF8">
            <v>0</v>
          </cell>
          <cell r="AG8">
            <v>11</v>
          </cell>
          <cell r="AH8">
            <v>0</v>
          </cell>
          <cell r="AI8">
            <v>11</v>
          </cell>
          <cell r="AJ8">
            <v>0</v>
          </cell>
          <cell r="AK8">
            <v>11</v>
          </cell>
          <cell r="AL8">
            <v>30</v>
          </cell>
          <cell r="AM8">
            <v>36</v>
          </cell>
          <cell r="AN8">
            <v>133</v>
          </cell>
          <cell r="AO8">
            <v>85</v>
          </cell>
          <cell r="AP8">
            <v>0</v>
          </cell>
          <cell r="AQ8">
            <v>11</v>
          </cell>
          <cell r="AR8">
            <v>153</v>
          </cell>
          <cell r="AS8">
            <v>103</v>
          </cell>
        </row>
        <row r="9">
          <cell r="B9">
            <v>17031010502</v>
          </cell>
          <cell r="D9">
            <v>1846</v>
          </cell>
          <cell r="E9">
            <v>215</v>
          </cell>
          <cell r="F9">
            <v>540</v>
          </cell>
          <cell r="G9">
            <v>122</v>
          </cell>
          <cell r="H9">
            <v>426</v>
          </cell>
          <cell r="I9">
            <v>113</v>
          </cell>
          <cell r="J9">
            <v>114</v>
          </cell>
          <cell r="K9">
            <v>66</v>
          </cell>
          <cell r="L9">
            <v>114</v>
          </cell>
          <cell r="M9">
            <v>66</v>
          </cell>
          <cell r="N9">
            <v>0</v>
          </cell>
          <cell r="O9">
            <v>11</v>
          </cell>
          <cell r="P9">
            <v>0</v>
          </cell>
          <cell r="Q9">
            <v>11</v>
          </cell>
          <cell r="R9">
            <v>0</v>
          </cell>
          <cell r="S9">
            <v>11</v>
          </cell>
          <cell r="T9">
            <v>0</v>
          </cell>
          <cell r="U9">
            <v>11</v>
          </cell>
          <cell r="V9">
            <v>892</v>
          </cell>
          <cell r="W9">
            <v>154</v>
          </cell>
          <cell r="X9">
            <v>281</v>
          </cell>
          <cell r="Y9">
            <v>97</v>
          </cell>
          <cell r="Z9">
            <v>51</v>
          </cell>
          <cell r="AA9">
            <v>80</v>
          </cell>
          <cell r="AB9">
            <v>475</v>
          </cell>
          <cell r="AC9">
            <v>105</v>
          </cell>
          <cell r="AD9">
            <v>85</v>
          </cell>
          <cell r="AE9">
            <v>57</v>
          </cell>
          <cell r="AF9">
            <v>0</v>
          </cell>
          <cell r="AG9">
            <v>11</v>
          </cell>
          <cell r="AH9">
            <v>22</v>
          </cell>
          <cell r="AI9">
            <v>32</v>
          </cell>
          <cell r="AJ9">
            <v>0</v>
          </cell>
          <cell r="AK9">
            <v>11</v>
          </cell>
          <cell r="AL9">
            <v>31</v>
          </cell>
          <cell r="AM9">
            <v>25</v>
          </cell>
          <cell r="AN9">
            <v>285</v>
          </cell>
          <cell r="AO9">
            <v>113</v>
          </cell>
          <cell r="AP9">
            <v>0</v>
          </cell>
          <cell r="AQ9">
            <v>11</v>
          </cell>
          <cell r="AR9">
            <v>76</v>
          </cell>
          <cell r="AS9">
            <v>49</v>
          </cell>
        </row>
        <row r="10">
          <cell r="B10">
            <v>17031010503</v>
          </cell>
          <cell r="D10">
            <v>983</v>
          </cell>
          <cell r="E10">
            <v>203</v>
          </cell>
          <cell r="F10">
            <v>378</v>
          </cell>
          <cell r="G10">
            <v>135</v>
          </cell>
          <cell r="H10">
            <v>357</v>
          </cell>
          <cell r="I10">
            <v>136</v>
          </cell>
          <cell r="J10">
            <v>21</v>
          </cell>
          <cell r="K10">
            <v>24</v>
          </cell>
          <cell r="L10">
            <v>21</v>
          </cell>
          <cell r="M10">
            <v>24</v>
          </cell>
          <cell r="N10">
            <v>0</v>
          </cell>
          <cell r="O10">
            <v>11</v>
          </cell>
          <cell r="P10">
            <v>0</v>
          </cell>
          <cell r="Q10">
            <v>11</v>
          </cell>
          <cell r="R10">
            <v>0</v>
          </cell>
          <cell r="S10">
            <v>11</v>
          </cell>
          <cell r="T10">
            <v>0</v>
          </cell>
          <cell r="U10">
            <v>11</v>
          </cell>
          <cell r="V10">
            <v>406</v>
          </cell>
          <cell r="W10">
            <v>140</v>
          </cell>
          <cell r="X10">
            <v>106</v>
          </cell>
          <cell r="Y10">
            <v>88</v>
          </cell>
          <cell r="Z10">
            <v>0</v>
          </cell>
          <cell r="AA10">
            <v>11</v>
          </cell>
          <cell r="AB10">
            <v>249</v>
          </cell>
          <cell r="AC10">
            <v>122</v>
          </cell>
          <cell r="AD10">
            <v>51</v>
          </cell>
          <cell r="AE10">
            <v>57</v>
          </cell>
          <cell r="AF10">
            <v>0</v>
          </cell>
          <cell r="AG10">
            <v>11</v>
          </cell>
          <cell r="AH10">
            <v>0</v>
          </cell>
          <cell r="AI10">
            <v>11</v>
          </cell>
          <cell r="AJ10">
            <v>0</v>
          </cell>
          <cell r="AK10">
            <v>11</v>
          </cell>
          <cell r="AL10">
            <v>18</v>
          </cell>
          <cell r="AM10">
            <v>28</v>
          </cell>
          <cell r="AN10">
            <v>136</v>
          </cell>
          <cell r="AO10">
            <v>67</v>
          </cell>
          <cell r="AP10">
            <v>0</v>
          </cell>
          <cell r="AQ10">
            <v>11</v>
          </cell>
          <cell r="AR10">
            <v>45</v>
          </cell>
          <cell r="AS10">
            <v>35</v>
          </cell>
        </row>
        <row r="11">
          <cell r="B11">
            <v>17031010600</v>
          </cell>
          <cell r="D11">
            <v>3890</v>
          </cell>
          <cell r="E11">
            <v>370</v>
          </cell>
          <cell r="F11">
            <v>1650</v>
          </cell>
          <cell r="G11">
            <v>365</v>
          </cell>
          <cell r="H11">
            <v>1316</v>
          </cell>
          <cell r="I11">
            <v>300</v>
          </cell>
          <cell r="J11">
            <v>334</v>
          </cell>
          <cell r="K11">
            <v>257</v>
          </cell>
          <cell r="L11">
            <v>259</v>
          </cell>
          <cell r="M11">
            <v>222</v>
          </cell>
          <cell r="N11">
            <v>45</v>
          </cell>
          <cell r="O11">
            <v>69</v>
          </cell>
          <cell r="P11">
            <v>0</v>
          </cell>
          <cell r="Q11">
            <v>15</v>
          </cell>
          <cell r="R11">
            <v>0</v>
          </cell>
          <cell r="S11">
            <v>15</v>
          </cell>
          <cell r="T11">
            <v>30</v>
          </cell>
          <cell r="U11">
            <v>47</v>
          </cell>
          <cell r="V11">
            <v>1629</v>
          </cell>
          <cell r="W11">
            <v>356</v>
          </cell>
          <cell r="X11">
            <v>290</v>
          </cell>
          <cell r="Y11">
            <v>147</v>
          </cell>
          <cell r="Z11">
            <v>15</v>
          </cell>
          <cell r="AA11">
            <v>24</v>
          </cell>
          <cell r="AB11">
            <v>1097</v>
          </cell>
          <cell r="AC11">
            <v>255</v>
          </cell>
          <cell r="AD11">
            <v>227</v>
          </cell>
          <cell r="AE11">
            <v>123</v>
          </cell>
          <cell r="AF11">
            <v>0</v>
          </cell>
          <cell r="AG11">
            <v>15</v>
          </cell>
          <cell r="AH11">
            <v>27</v>
          </cell>
          <cell r="AI11">
            <v>35</v>
          </cell>
          <cell r="AJ11">
            <v>0</v>
          </cell>
          <cell r="AK11">
            <v>15</v>
          </cell>
          <cell r="AL11">
            <v>94</v>
          </cell>
          <cell r="AM11">
            <v>57</v>
          </cell>
          <cell r="AN11">
            <v>334</v>
          </cell>
          <cell r="AO11">
            <v>145</v>
          </cell>
          <cell r="AP11">
            <v>62</v>
          </cell>
          <cell r="AQ11">
            <v>85</v>
          </cell>
          <cell r="AR11">
            <v>94</v>
          </cell>
          <cell r="AS11">
            <v>88</v>
          </cell>
        </row>
        <row r="12">
          <cell r="B12">
            <v>17031010701</v>
          </cell>
          <cell r="D12">
            <v>1975</v>
          </cell>
          <cell r="E12">
            <v>194</v>
          </cell>
          <cell r="F12">
            <v>1069</v>
          </cell>
          <cell r="G12">
            <v>194</v>
          </cell>
          <cell r="H12">
            <v>965</v>
          </cell>
          <cell r="I12">
            <v>190</v>
          </cell>
          <cell r="J12">
            <v>104</v>
          </cell>
          <cell r="K12">
            <v>62</v>
          </cell>
          <cell r="L12">
            <v>73</v>
          </cell>
          <cell r="M12">
            <v>48</v>
          </cell>
          <cell r="N12">
            <v>31</v>
          </cell>
          <cell r="O12">
            <v>35</v>
          </cell>
          <cell r="P12">
            <v>0</v>
          </cell>
          <cell r="Q12">
            <v>11</v>
          </cell>
          <cell r="R12">
            <v>0</v>
          </cell>
          <cell r="S12">
            <v>11</v>
          </cell>
          <cell r="T12">
            <v>0</v>
          </cell>
          <cell r="U12">
            <v>11</v>
          </cell>
          <cell r="V12">
            <v>577</v>
          </cell>
          <cell r="W12">
            <v>146</v>
          </cell>
          <cell r="X12">
            <v>176</v>
          </cell>
          <cell r="Y12">
            <v>100</v>
          </cell>
          <cell r="Z12">
            <v>0</v>
          </cell>
          <cell r="AA12">
            <v>11</v>
          </cell>
          <cell r="AB12">
            <v>171</v>
          </cell>
          <cell r="AC12">
            <v>72</v>
          </cell>
          <cell r="AD12">
            <v>230</v>
          </cell>
          <cell r="AE12">
            <v>82</v>
          </cell>
          <cell r="AF12">
            <v>0</v>
          </cell>
          <cell r="AG12">
            <v>11</v>
          </cell>
          <cell r="AH12">
            <v>23</v>
          </cell>
          <cell r="AI12">
            <v>25</v>
          </cell>
          <cell r="AJ12">
            <v>0</v>
          </cell>
          <cell r="AK12">
            <v>11</v>
          </cell>
          <cell r="AL12">
            <v>37</v>
          </cell>
          <cell r="AM12">
            <v>33</v>
          </cell>
          <cell r="AN12">
            <v>144</v>
          </cell>
          <cell r="AO12">
            <v>87</v>
          </cell>
          <cell r="AP12">
            <v>0</v>
          </cell>
          <cell r="AQ12">
            <v>11</v>
          </cell>
          <cell r="AR12">
            <v>125</v>
          </cell>
          <cell r="AS12">
            <v>59</v>
          </cell>
        </row>
        <row r="13">
          <cell r="B13">
            <v>17031010702</v>
          </cell>
          <cell r="D13">
            <v>2940</v>
          </cell>
          <cell r="E13">
            <v>348</v>
          </cell>
          <cell r="F13">
            <v>1238</v>
          </cell>
          <cell r="G13">
            <v>248</v>
          </cell>
          <cell r="H13">
            <v>1082</v>
          </cell>
          <cell r="I13">
            <v>224</v>
          </cell>
          <cell r="J13">
            <v>156</v>
          </cell>
          <cell r="K13">
            <v>96</v>
          </cell>
          <cell r="L13">
            <v>80</v>
          </cell>
          <cell r="M13">
            <v>51</v>
          </cell>
          <cell r="N13">
            <v>53</v>
          </cell>
          <cell r="O13">
            <v>72</v>
          </cell>
          <cell r="P13">
            <v>23</v>
          </cell>
          <cell r="Q13">
            <v>34</v>
          </cell>
          <cell r="R13">
            <v>0</v>
          </cell>
          <cell r="S13">
            <v>15</v>
          </cell>
          <cell r="T13">
            <v>0</v>
          </cell>
          <cell r="U13">
            <v>15</v>
          </cell>
          <cell r="V13">
            <v>1255</v>
          </cell>
          <cell r="W13">
            <v>295</v>
          </cell>
          <cell r="X13">
            <v>339</v>
          </cell>
          <cell r="Y13">
            <v>176</v>
          </cell>
          <cell r="Z13">
            <v>0</v>
          </cell>
          <cell r="AA13">
            <v>15</v>
          </cell>
          <cell r="AB13">
            <v>697</v>
          </cell>
          <cell r="AC13">
            <v>173</v>
          </cell>
          <cell r="AD13">
            <v>219</v>
          </cell>
          <cell r="AE13">
            <v>95</v>
          </cell>
          <cell r="AF13">
            <v>0</v>
          </cell>
          <cell r="AG13">
            <v>15</v>
          </cell>
          <cell r="AH13">
            <v>38</v>
          </cell>
          <cell r="AI13">
            <v>49</v>
          </cell>
          <cell r="AJ13">
            <v>0</v>
          </cell>
          <cell r="AK13">
            <v>15</v>
          </cell>
          <cell r="AL13">
            <v>43</v>
          </cell>
          <cell r="AM13">
            <v>32</v>
          </cell>
          <cell r="AN13">
            <v>289</v>
          </cell>
          <cell r="AO13">
            <v>130</v>
          </cell>
          <cell r="AP13">
            <v>20</v>
          </cell>
          <cell r="AQ13">
            <v>21</v>
          </cell>
          <cell r="AR13">
            <v>57</v>
          </cell>
          <cell r="AS13">
            <v>31</v>
          </cell>
        </row>
        <row r="14">
          <cell r="B14">
            <v>17031020100</v>
          </cell>
          <cell r="D14">
            <v>1781</v>
          </cell>
          <cell r="E14">
            <v>286</v>
          </cell>
          <cell r="F14">
            <v>1334</v>
          </cell>
          <cell r="G14">
            <v>244</v>
          </cell>
          <cell r="H14">
            <v>938</v>
          </cell>
          <cell r="I14">
            <v>242</v>
          </cell>
          <cell r="J14">
            <v>396</v>
          </cell>
          <cell r="K14">
            <v>179</v>
          </cell>
          <cell r="L14">
            <v>362</v>
          </cell>
          <cell r="M14">
            <v>171</v>
          </cell>
          <cell r="N14">
            <v>0</v>
          </cell>
          <cell r="O14">
            <v>11</v>
          </cell>
          <cell r="P14">
            <v>34</v>
          </cell>
          <cell r="Q14">
            <v>35</v>
          </cell>
          <cell r="R14">
            <v>0</v>
          </cell>
          <cell r="S14">
            <v>11</v>
          </cell>
          <cell r="T14">
            <v>0</v>
          </cell>
          <cell r="U14">
            <v>11</v>
          </cell>
          <cell r="V14">
            <v>349</v>
          </cell>
          <cell r="W14">
            <v>120</v>
          </cell>
          <cell r="X14">
            <v>255</v>
          </cell>
          <cell r="Y14">
            <v>111</v>
          </cell>
          <cell r="Z14">
            <v>10</v>
          </cell>
          <cell r="AA14">
            <v>16</v>
          </cell>
          <cell r="AB14">
            <v>71</v>
          </cell>
          <cell r="AC14">
            <v>46</v>
          </cell>
          <cell r="AD14">
            <v>13</v>
          </cell>
          <cell r="AE14">
            <v>22</v>
          </cell>
          <cell r="AF14">
            <v>0</v>
          </cell>
          <cell r="AG14">
            <v>11</v>
          </cell>
          <cell r="AH14">
            <v>29</v>
          </cell>
          <cell r="AI14">
            <v>27</v>
          </cell>
          <cell r="AJ14">
            <v>0</v>
          </cell>
          <cell r="AK14">
            <v>11</v>
          </cell>
          <cell r="AL14">
            <v>11</v>
          </cell>
          <cell r="AM14">
            <v>17</v>
          </cell>
          <cell r="AN14">
            <v>36</v>
          </cell>
          <cell r="AO14">
            <v>41</v>
          </cell>
          <cell r="AP14">
            <v>0</v>
          </cell>
          <cell r="AQ14">
            <v>11</v>
          </cell>
          <cell r="AR14">
            <v>22</v>
          </cell>
          <cell r="AS14">
            <v>29</v>
          </cell>
        </row>
        <row r="15">
          <cell r="B15">
            <v>17031020200</v>
          </cell>
          <cell r="D15">
            <v>2674</v>
          </cell>
          <cell r="E15">
            <v>387</v>
          </cell>
          <cell r="F15">
            <v>2116</v>
          </cell>
          <cell r="G15">
            <v>380</v>
          </cell>
          <cell r="H15">
            <v>1699</v>
          </cell>
          <cell r="I15">
            <v>318</v>
          </cell>
          <cell r="J15">
            <v>417</v>
          </cell>
          <cell r="K15">
            <v>200</v>
          </cell>
          <cell r="L15">
            <v>362</v>
          </cell>
          <cell r="M15">
            <v>196</v>
          </cell>
          <cell r="N15">
            <v>22</v>
          </cell>
          <cell r="O15">
            <v>32</v>
          </cell>
          <cell r="P15">
            <v>15</v>
          </cell>
          <cell r="Q15">
            <v>27</v>
          </cell>
          <cell r="R15">
            <v>18</v>
          </cell>
          <cell r="S15">
            <v>30</v>
          </cell>
          <cell r="T15">
            <v>0</v>
          </cell>
          <cell r="U15">
            <v>15</v>
          </cell>
          <cell r="V15">
            <v>362</v>
          </cell>
          <cell r="W15">
            <v>172</v>
          </cell>
          <cell r="X15">
            <v>162</v>
          </cell>
          <cell r="Y15">
            <v>123</v>
          </cell>
          <cell r="Z15">
            <v>0</v>
          </cell>
          <cell r="AA15">
            <v>15</v>
          </cell>
          <cell r="AB15">
            <v>111</v>
          </cell>
          <cell r="AC15">
            <v>80</v>
          </cell>
          <cell r="AD15">
            <v>89</v>
          </cell>
          <cell r="AE15">
            <v>71</v>
          </cell>
          <cell r="AF15">
            <v>0</v>
          </cell>
          <cell r="AG15">
            <v>15</v>
          </cell>
          <cell r="AH15">
            <v>54</v>
          </cell>
          <cell r="AI15">
            <v>71</v>
          </cell>
          <cell r="AJ15">
            <v>0</v>
          </cell>
          <cell r="AK15">
            <v>15</v>
          </cell>
          <cell r="AL15">
            <v>8</v>
          </cell>
          <cell r="AM15">
            <v>16</v>
          </cell>
          <cell r="AN15">
            <v>43</v>
          </cell>
          <cell r="AO15">
            <v>57</v>
          </cell>
          <cell r="AP15">
            <v>0</v>
          </cell>
          <cell r="AQ15">
            <v>15</v>
          </cell>
          <cell r="AR15">
            <v>91</v>
          </cell>
          <cell r="AS15">
            <v>77</v>
          </cell>
        </row>
        <row r="16">
          <cell r="B16">
            <v>17031020301</v>
          </cell>
          <cell r="D16">
            <v>1943</v>
          </cell>
          <cell r="E16">
            <v>152</v>
          </cell>
          <cell r="F16">
            <v>1472</v>
          </cell>
          <cell r="G16">
            <v>168</v>
          </cell>
          <cell r="H16">
            <v>1254</v>
          </cell>
          <cell r="I16">
            <v>162</v>
          </cell>
          <cell r="J16">
            <v>218</v>
          </cell>
          <cell r="K16">
            <v>84</v>
          </cell>
          <cell r="L16">
            <v>170</v>
          </cell>
          <cell r="M16">
            <v>73</v>
          </cell>
          <cell r="N16">
            <v>10</v>
          </cell>
          <cell r="O16">
            <v>14</v>
          </cell>
          <cell r="P16">
            <v>38</v>
          </cell>
          <cell r="Q16">
            <v>34</v>
          </cell>
          <cell r="R16">
            <v>0</v>
          </cell>
          <cell r="S16">
            <v>15</v>
          </cell>
          <cell r="T16">
            <v>0</v>
          </cell>
          <cell r="U16">
            <v>15</v>
          </cell>
          <cell r="V16">
            <v>269</v>
          </cell>
          <cell r="W16">
            <v>89</v>
          </cell>
          <cell r="X16">
            <v>84</v>
          </cell>
          <cell r="Y16">
            <v>65</v>
          </cell>
          <cell r="Z16">
            <v>0</v>
          </cell>
          <cell r="AA16">
            <v>15</v>
          </cell>
          <cell r="AB16">
            <v>122</v>
          </cell>
          <cell r="AC16">
            <v>78</v>
          </cell>
          <cell r="AD16">
            <v>63</v>
          </cell>
          <cell r="AE16">
            <v>42</v>
          </cell>
          <cell r="AF16">
            <v>0</v>
          </cell>
          <cell r="AG16">
            <v>15</v>
          </cell>
          <cell r="AH16">
            <v>0</v>
          </cell>
          <cell r="AI16">
            <v>15</v>
          </cell>
          <cell r="AJ16">
            <v>0</v>
          </cell>
          <cell r="AK16">
            <v>15</v>
          </cell>
          <cell r="AL16">
            <v>14</v>
          </cell>
          <cell r="AM16">
            <v>20</v>
          </cell>
          <cell r="AN16">
            <v>121</v>
          </cell>
          <cell r="AO16">
            <v>58</v>
          </cell>
          <cell r="AP16">
            <v>12</v>
          </cell>
          <cell r="AQ16">
            <v>21</v>
          </cell>
          <cell r="AR16">
            <v>55</v>
          </cell>
          <cell r="AS16">
            <v>48</v>
          </cell>
        </row>
        <row r="17">
          <cell r="B17">
            <v>17031020302</v>
          </cell>
          <cell r="D17">
            <v>2232</v>
          </cell>
          <cell r="E17">
            <v>209</v>
          </cell>
          <cell r="F17">
            <v>1555</v>
          </cell>
          <cell r="G17">
            <v>172</v>
          </cell>
          <cell r="H17">
            <v>1338</v>
          </cell>
          <cell r="I17">
            <v>172</v>
          </cell>
          <cell r="J17">
            <v>217</v>
          </cell>
          <cell r="K17">
            <v>115</v>
          </cell>
          <cell r="L17">
            <v>171</v>
          </cell>
          <cell r="M17">
            <v>96</v>
          </cell>
          <cell r="N17">
            <v>46</v>
          </cell>
          <cell r="O17">
            <v>51</v>
          </cell>
          <cell r="P17">
            <v>0</v>
          </cell>
          <cell r="Q17">
            <v>11</v>
          </cell>
          <cell r="R17">
            <v>0</v>
          </cell>
          <cell r="S17">
            <v>11</v>
          </cell>
          <cell r="T17">
            <v>0</v>
          </cell>
          <cell r="U17">
            <v>11</v>
          </cell>
          <cell r="V17">
            <v>410</v>
          </cell>
          <cell r="W17">
            <v>148</v>
          </cell>
          <cell r="X17">
            <v>194</v>
          </cell>
          <cell r="Y17">
            <v>125</v>
          </cell>
          <cell r="Z17">
            <v>0</v>
          </cell>
          <cell r="AA17">
            <v>11</v>
          </cell>
          <cell r="AB17">
            <v>133</v>
          </cell>
          <cell r="AC17">
            <v>71</v>
          </cell>
          <cell r="AD17">
            <v>83</v>
          </cell>
          <cell r="AE17">
            <v>57</v>
          </cell>
          <cell r="AF17">
            <v>0</v>
          </cell>
          <cell r="AG17">
            <v>11</v>
          </cell>
          <cell r="AH17">
            <v>0</v>
          </cell>
          <cell r="AI17">
            <v>11</v>
          </cell>
          <cell r="AJ17">
            <v>0</v>
          </cell>
          <cell r="AK17">
            <v>11</v>
          </cell>
          <cell r="AL17">
            <v>55</v>
          </cell>
          <cell r="AM17">
            <v>41</v>
          </cell>
          <cell r="AN17">
            <v>66</v>
          </cell>
          <cell r="AO17">
            <v>64</v>
          </cell>
          <cell r="AP17">
            <v>31</v>
          </cell>
          <cell r="AQ17">
            <v>43</v>
          </cell>
          <cell r="AR17">
            <v>115</v>
          </cell>
          <cell r="AS17">
            <v>54</v>
          </cell>
        </row>
        <row r="18">
          <cell r="B18">
            <v>17031020400</v>
          </cell>
          <cell r="D18">
            <v>2272</v>
          </cell>
          <cell r="E18">
            <v>244</v>
          </cell>
          <cell r="F18">
            <v>1464</v>
          </cell>
          <cell r="G18">
            <v>186</v>
          </cell>
          <cell r="H18">
            <v>1370</v>
          </cell>
          <cell r="I18">
            <v>187</v>
          </cell>
          <cell r="J18">
            <v>94</v>
          </cell>
          <cell r="K18">
            <v>50</v>
          </cell>
          <cell r="L18">
            <v>54</v>
          </cell>
          <cell r="M18">
            <v>33</v>
          </cell>
          <cell r="N18">
            <v>40</v>
          </cell>
          <cell r="O18">
            <v>41</v>
          </cell>
          <cell r="P18">
            <v>0</v>
          </cell>
          <cell r="Q18">
            <v>11</v>
          </cell>
          <cell r="R18">
            <v>0</v>
          </cell>
          <cell r="S18">
            <v>11</v>
          </cell>
          <cell r="T18">
            <v>0</v>
          </cell>
          <cell r="U18">
            <v>11</v>
          </cell>
          <cell r="V18">
            <v>546</v>
          </cell>
          <cell r="W18">
            <v>149</v>
          </cell>
          <cell r="X18">
            <v>173</v>
          </cell>
          <cell r="Y18">
            <v>93</v>
          </cell>
          <cell r="Z18">
            <v>0</v>
          </cell>
          <cell r="AA18">
            <v>11</v>
          </cell>
          <cell r="AB18">
            <v>189</v>
          </cell>
          <cell r="AC18">
            <v>84</v>
          </cell>
          <cell r="AD18">
            <v>184</v>
          </cell>
          <cell r="AE18">
            <v>95</v>
          </cell>
          <cell r="AF18">
            <v>0</v>
          </cell>
          <cell r="AG18">
            <v>11</v>
          </cell>
          <cell r="AH18">
            <v>15</v>
          </cell>
          <cell r="AI18">
            <v>19</v>
          </cell>
          <cell r="AJ18">
            <v>0</v>
          </cell>
          <cell r="AK18">
            <v>11</v>
          </cell>
          <cell r="AL18">
            <v>23</v>
          </cell>
          <cell r="AM18">
            <v>38</v>
          </cell>
          <cell r="AN18">
            <v>100</v>
          </cell>
          <cell r="AO18">
            <v>62</v>
          </cell>
          <cell r="AP18">
            <v>25</v>
          </cell>
          <cell r="AQ18">
            <v>28</v>
          </cell>
          <cell r="AR18">
            <v>99</v>
          </cell>
          <cell r="AS18">
            <v>65</v>
          </cell>
        </row>
        <row r="19">
          <cell r="B19">
            <v>17031020500</v>
          </cell>
          <cell r="D19">
            <v>2491</v>
          </cell>
          <cell r="E19">
            <v>480</v>
          </cell>
          <cell r="F19">
            <v>1454</v>
          </cell>
          <cell r="G19">
            <v>438</v>
          </cell>
          <cell r="H19">
            <v>1185</v>
          </cell>
          <cell r="I19">
            <v>442</v>
          </cell>
          <cell r="J19">
            <v>269</v>
          </cell>
          <cell r="K19">
            <v>153</v>
          </cell>
          <cell r="L19">
            <v>220</v>
          </cell>
          <cell r="M19">
            <v>165</v>
          </cell>
          <cell r="N19">
            <v>9</v>
          </cell>
          <cell r="O19">
            <v>18</v>
          </cell>
          <cell r="P19">
            <v>40</v>
          </cell>
          <cell r="Q19">
            <v>59</v>
          </cell>
          <cell r="R19">
            <v>0</v>
          </cell>
          <cell r="S19">
            <v>15</v>
          </cell>
          <cell r="T19">
            <v>0</v>
          </cell>
          <cell r="U19">
            <v>15</v>
          </cell>
          <cell r="V19">
            <v>470</v>
          </cell>
          <cell r="W19">
            <v>196</v>
          </cell>
          <cell r="X19">
            <v>295</v>
          </cell>
          <cell r="Y19">
            <v>157</v>
          </cell>
          <cell r="Z19">
            <v>0</v>
          </cell>
          <cell r="AA19">
            <v>15</v>
          </cell>
          <cell r="AB19">
            <v>175</v>
          </cell>
          <cell r="AC19">
            <v>152</v>
          </cell>
          <cell r="AD19">
            <v>0</v>
          </cell>
          <cell r="AE19">
            <v>15</v>
          </cell>
          <cell r="AF19">
            <v>0</v>
          </cell>
          <cell r="AG19">
            <v>15</v>
          </cell>
          <cell r="AH19">
            <v>99</v>
          </cell>
          <cell r="AI19">
            <v>136</v>
          </cell>
          <cell r="AJ19">
            <v>0</v>
          </cell>
          <cell r="AK19">
            <v>15</v>
          </cell>
          <cell r="AL19">
            <v>39</v>
          </cell>
          <cell r="AM19">
            <v>61</v>
          </cell>
          <cell r="AN19">
            <v>316</v>
          </cell>
          <cell r="AO19">
            <v>165</v>
          </cell>
          <cell r="AP19">
            <v>36</v>
          </cell>
          <cell r="AQ19">
            <v>43</v>
          </cell>
          <cell r="AR19">
            <v>77</v>
          </cell>
          <cell r="AS19">
            <v>61</v>
          </cell>
        </row>
        <row r="20">
          <cell r="B20">
            <v>17031020601</v>
          </cell>
          <cell r="D20">
            <v>2700</v>
          </cell>
          <cell r="E20">
            <v>345</v>
          </cell>
          <cell r="F20">
            <v>1732</v>
          </cell>
          <cell r="G20">
            <v>366</v>
          </cell>
          <cell r="H20">
            <v>1437</v>
          </cell>
          <cell r="I20">
            <v>309</v>
          </cell>
          <cell r="J20">
            <v>295</v>
          </cell>
          <cell r="K20">
            <v>140</v>
          </cell>
          <cell r="L20">
            <v>272</v>
          </cell>
          <cell r="M20">
            <v>140</v>
          </cell>
          <cell r="N20">
            <v>23</v>
          </cell>
          <cell r="O20">
            <v>28</v>
          </cell>
          <cell r="P20">
            <v>0</v>
          </cell>
          <cell r="Q20">
            <v>15</v>
          </cell>
          <cell r="R20">
            <v>0</v>
          </cell>
          <cell r="S20">
            <v>15</v>
          </cell>
          <cell r="T20">
            <v>0</v>
          </cell>
          <cell r="U20">
            <v>15</v>
          </cell>
          <cell r="V20">
            <v>431</v>
          </cell>
          <cell r="W20">
            <v>170</v>
          </cell>
          <cell r="X20">
            <v>364</v>
          </cell>
          <cell r="Y20">
            <v>156</v>
          </cell>
          <cell r="Z20">
            <v>0</v>
          </cell>
          <cell r="AA20">
            <v>15</v>
          </cell>
          <cell r="AB20">
            <v>13</v>
          </cell>
          <cell r="AC20">
            <v>22</v>
          </cell>
          <cell r="AD20">
            <v>54</v>
          </cell>
          <cell r="AE20">
            <v>50</v>
          </cell>
          <cell r="AF20">
            <v>0</v>
          </cell>
          <cell r="AG20">
            <v>15</v>
          </cell>
          <cell r="AH20">
            <v>25</v>
          </cell>
          <cell r="AI20">
            <v>35</v>
          </cell>
          <cell r="AJ20">
            <v>0</v>
          </cell>
          <cell r="AK20">
            <v>15</v>
          </cell>
          <cell r="AL20">
            <v>57</v>
          </cell>
          <cell r="AM20">
            <v>57</v>
          </cell>
          <cell r="AN20">
            <v>344</v>
          </cell>
          <cell r="AO20">
            <v>192</v>
          </cell>
          <cell r="AP20">
            <v>14</v>
          </cell>
          <cell r="AQ20">
            <v>22</v>
          </cell>
          <cell r="AR20">
            <v>97</v>
          </cell>
          <cell r="AS20">
            <v>59</v>
          </cell>
        </row>
        <row r="21">
          <cell r="B21">
            <v>17031020602</v>
          </cell>
          <cell r="D21">
            <v>1751</v>
          </cell>
          <cell r="E21">
            <v>191</v>
          </cell>
          <cell r="F21">
            <v>1050</v>
          </cell>
          <cell r="G21">
            <v>144</v>
          </cell>
          <cell r="H21">
            <v>950</v>
          </cell>
          <cell r="I21">
            <v>139</v>
          </cell>
          <cell r="J21">
            <v>100</v>
          </cell>
          <cell r="K21">
            <v>57</v>
          </cell>
          <cell r="L21">
            <v>82</v>
          </cell>
          <cell r="M21">
            <v>48</v>
          </cell>
          <cell r="N21">
            <v>0</v>
          </cell>
          <cell r="O21">
            <v>11</v>
          </cell>
          <cell r="P21">
            <v>18</v>
          </cell>
          <cell r="Q21">
            <v>29</v>
          </cell>
          <cell r="R21">
            <v>0</v>
          </cell>
          <cell r="S21">
            <v>11</v>
          </cell>
          <cell r="T21">
            <v>0</v>
          </cell>
          <cell r="U21">
            <v>11</v>
          </cell>
          <cell r="V21">
            <v>383</v>
          </cell>
          <cell r="W21">
            <v>125</v>
          </cell>
          <cell r="X21">
            <v>252</v>
          </cell>
          <cell r="Y21">
            <v>106</v>
          </cell>
          <cell r="Z21">
            <v>0</v>
          </cell>
          <cell r="AA21">
            <v>11</v>
          </cell>
          <cell r="AB21">
            <v>86</v>
          </cell>
          <cell r="AC21">
            <v>51</v>
          </cell>
          <cell r="AD21">
            <v>45</v>
          </cell>
          <cell r="AE21">
            <v>45</v>
          </cell>
          <cell r="AF21">
            <v>0</v>
          </cell>
          <cell r="AG21">
            <v>11</v>
          </cell>
          <cell r="AH21">
            <v>13</v>
          </cell>
          <cell r="AI21">
            <v>20</v>
          </cell>
          <cell r="AJ21">
            <v>0</v>
          </cell>
          <cell r="AK21">
            <v>11</v>
          </cell>
          <cell r="AL21">
            <v>85</v>
          </cell>
          <cell r="AM21">
            <v>54</v>
          </cell>
          <cell r="AN21">
            <v>157</v>
          </cell>
          <cell r="AO21">
            <v>70</v>
          </cell>
          <cell r="AP21">
            <v>12</v>
          </cell>
          <cell r="AQ21">
            <v>19</v>
          </cell>
          <cell r="AR21">
            <v>51</v>
          </cell>
          <cell r="AS21">
            <v>28</v>
          </cell>
        </row>
        <row r="22">
          <cell r="B22">
            <v>17031020701</v>
          </cell>
          <cell r="D22">
            <v>776</v>
          </cell>
          <cell r="E22">
            <v>145</v>
          </cell>
          <cell r="F22">
            <v>612</v>
          </cell>
          <cell r="G22">
            <v>132</v>
          </cell>
          <cell r="H22">
            <v>526</v>
          </cell>
          <cell r="I22">
            <v>114</v>
          </cell>
          <cell r="J22">
            <v>86</v>
          </cell>
          <cell r="K22">
            <v>45</v>
          </cell>
          <cell r="L22">
            <v>64</v>
          </cell>
          <cell r="M22">
            <v>35</v>
          </cell>
          <cell r="N22">
            <v>6</v>
          </cell>
          <cell r="O22">
            <v>9</v>
          </cell>
          <cell r="P22">
            <v>10</v>
          </cell>
          <cell r="Q22">
            <v>15</v>
          </cell>
          <cell r="R22">
            <v>0</v>
          </cell>
          <cell r="S22">
            <v>11</v>
          </cell>
          <cell r="T22">
            <v>6</v>
          </cell>
          <cell r="U22">
            <v>9</v>
          </cell>
          <cell r="V22">
            <v>73</v>
          </cell>
          <cell r="W22">
            <v>37</v>
          </cell>
          <cell r="X22">
            <v>23</v>
          </cell>
          <cell r="Y22">
            <v>25</v>
          </cell>
          <cell r="Z22">
            <v>0</v>
          </cell>
          <cell r="AA22">
            <v>11</v>
          </cell>
          <cell r="AB22">
            <v>34</v>
          </cell>
          <cell r="AC22">
            <v>22</v>
          </cell>
          <cell r="AD22">
            <v>16</v>
          </cell>
          <cell r="AE22">
            <v>14</v>
          </cell>
          <cell r="AF22">
            <v>0</v>
          </cell>
          <cell r="AG22">
            <v>11</v>
          </cell>
          <cell r="AH22">
            <v>0</v>
          </cell>
          <cell r="AI22">
            <v>11</v>
          </cell>
          <cell r="AJ22">
            <v>0</v>
          </cell>
          <cell r="AK22">
            <v>11</v>
          </cell>
          <cell r="AL22">
            <v>0</v>
          </cell>
          <cell r="AM22">
            <v>11</v>
          </cell>
          <cell r="AN22">
            <v>16</v>
          </cell>
          <cell r="AO22">
            <v>15</v>
          </cell>
          <cell r="AP22">
            <v>0</v>
          </cell>
          <cell r="AQ22">
            <v>11</v>
          </cell>
          <cell r="AR22">
            <v>75</v>
          </cell>
          <cell r="AS22">
            <v>28</v>
          </cell>
        </row>
        <row r="23">
          <cell r="B23">
            <v>17031020702</v>
          </cell>
          <cell r="D23">
            <v>3781</v>
          </cell>
          <cell r="E23">
            <v>548</v>
          </cell>
          <cell r="F23">
            <v>2876</v>
          </cell>
          <cell r="G23">
            <v>514</v>
          </cell>
          <cell r="H23">
            <v>2370</v>
          </cell>
          <cell r="I23">
            <v>414</v>
          </cell>
          <cell r="J23">
            <v>506</v>
          </cell>
          <cell r="K23">
            <v>220</v>
          </cell>
          <cell r="L23">
            <v>301</v>
          </cell>
          <cell r="M23">
            <v>185</v>
          </cell>
          <cell r="N23">
            <v>64</v>
          </cell>
          <cell r="O23">
            <v>74</v>
          </cell>
          <cell r="P23">
            <v>125</v>
          </cell>
          <cell r="Q23">
            <v>142</v>
          </cell>
          <cell r="R23">
            <v>16</v>
          </cell>
          <cell r="S23">
            <v>29</v>
          </cell>
          <cell r="T23">
            <v>0</v>
          </cell>
          <cell r="U23">
            <v>15</v>
          </cell>
          <cell r="V23">
            <v>408</v>
          </cell>
          <cell r="W23">
            <v>223</v>
          </cell>
          <cell r="X23">
            <v>308</v>
          </cell>
          <cell r="Y23">
            <v>147</v>
          </cell>
          <cell r="Z23">
            <v>0</v>
          </cell>
          <cell r="AA23">
            <v>15</v>
          </cell>
          <cell r="AB23">
            <v>34</v>
          </cell>
          <cell r="AC23">
            <v>44</v>
          </cell>
          <cell r="AD23">
            <v>66</v>
          </cell>
          <cell r="AE23">
            <v>104</v>
          </cell>
          <cell r="AF23">
            <v>0</v>
          </cell>
          <cell r="AG23">
            <v>15</v>
          </cell>
          <cell r="AH23">
            <v>14</v>
          </cell>
          <cell r="AI23">
            <v>23</v>
          </cell>
          <cell r="AJ23">
            <v>0</v>
          </cell>
          <cell r="AK23">
            <v>15</v>
          </cell>
          <cell r="AL23">
            <v>0</v>
          </cell>
          <cell r="AM23">
            <v>15</v>
          </cell>
          <cell r="AN23">
            <v>432</v>
          </cell>
          <cell r="AO23">
            <v>185</v>
          </cell>
          <cell r="AP23">
            <v>0</v>
          </cell>
          <cell r="AQ23">
            <v>15</v>
          </cell>
          <cell r="AR23">
            <v>51</v>
          </cell>
          <cell r="AS23">
            <v>64</v>
          </cell>
        </row>
        <row r="24">
          <cell r="B24">
            <v>17031020801</v>
          </cell>
          <cell r="D24">
            <v>2775</v>
          </cell>
          <cell r="E24">
            <v>382</v>
          </cell>
          <cell r="F24">
            <v>2149</v>
          </cell>
          <cell r="G24">
            <v>307</v>
          </cell>
          <cell r="H24">
            <v>1757</v>
          </cell>
          <cell r="I24">
            <v>312</v>
          </cell>
          <cell r="J24">
            <v>392</v>
          </cell>
          <cell r="K24">
            <v>166</v>
          </cell>
          <cell r="L24">
            <v>220</v>
          </cell>
          <cell r="M24">
            <v>131</v>
          </cell>
          <cell r="N24">
            <v>105</v>
          </cell>
          <cell r="O24">
            <v>99</v>
          </cell>
          <cell r="P24">
            <v>0</v>
          </cell>
          <cell r="Q24">
            <v>15</v>
          </cell>
          <cell r="R24">
            <v>67</v>
          </cell>
          <cell r="S24">
            <v>104</v>
          </cell>
          <cell r="T24">
            <v>0</v>
          </cell>
          <cell r="U24">
            <v>15</v>
          </cell>
          <cell r="V24">
            <v>413</v>
          </cell>
          <cell r="W24">
            <v>183</v>
          </cell>
          <cell r="X24">
            <v>246</v>
          </cell>
          <cell r="Y24">
            <v>143</v>
          </cell>
          <cell r="Z24">
            <v>0</v>
          </cell>
          <cell r="AA24">
            <v>15</v>
          </cell>
          <cell r="AB24">
            <v>167</v>
          </cell>
          <cell r="AC24">
            <v>98</v>
          </cell>
          <cell r="AD24">
            <v>0</v>
          </cell>
          <cell r="AE24">
            <v>15</v>
          </cell>
          <cell r="AF24">
            <v>0</v>
          </cell>
          <cell r="AG24">
            <v>15</v>
          </cell>
          <cell r="AH24">
            <v>0</v>
          </cell>
          <cell r="AI24">
            <v>15</v>
          </cell>
          <cell r="AJ24">
            <v>0</v>
          </cell>
          <cell r="AK24">
            <v>15</v>
          </cell>
          <cell r="AL24">
            <v>40</v>
          </cell>
          <cell r="AM24">
            <v>37</v>
          </cell>
          <cell r="AN24">
            <v>51</v>
          </cell>
          <cell r="AO24">
            <v>49</v>
          </cell>
          <cell r="AP24">
            <v>42</v>
          </cell>
          <cell r="AQ24">
            <v>68</v>
          </cell>
          <cell r="AR24">
            <v>80</v>
          </cell>
          <cell r="AS24">
            <v>78</v>
          </cell>
        </row>
        <row r="25">
          <cell r="B25">
            <v>17031020802</v>
          </cell>
          <cell r="D25">
            <v>3760</v>
          </cell>
          <cell r="E25">
            <v>455</v>
          </cell>
          <cell r="F25">
            <v>2239</v>
          </cell>
          <cell r="G25">
            <v>381</v>
          </cell>
          <cell r="H25">
            <v>1982</v>
          </cell>
          <cell r="I25">
            <v>376</v>
          </cell>
          <cell r="J25">
            <v>257</v>
          </cell>
          <cell r="K25">
            <v>171</v>
          </cell>
          <cell r="L25">
            <v>152</v>
          </cell>
          <cell r="M25">
            <v>100</v>
          </cell>
          <cell r="N25">
            <v>50</v>
          </cell>
          <cell r="O25">
            <v>79</v>
          </cell>
          <cell r="P25">
            <v>55</v>
          </cell>
          <cell r="Q25">
            <v>95</v>
          </cell>
          <cell r="R25">
            <v>0</v>
          </cell>
          <cell r="S25">
            <v>15</v>
          </cell>
          <cell r="T25">
            <v>0</v>
          </cell>
          <cell r="U25">
            <v>15</v>
          </cell>
          <cell r="V25">
            <v>902</v>
          </cell>
          <cell r="W25">
            <v>294</v>
          </cell>
          <cell r="X25">
            <v>645</v>
          </cell>
          <cell r="Y25">
            <v>277</v>
          </cell>
          <cell r="Z25">
            <v>0</v>
          </cell>
          <cell r="AA25">
            <v>15</v>
          </cell>
          <cell r="AB25">
            <v>204</v>
          </cell>
          <cell r="AC25">
            <v>125</v>
          </cell>
          <cell r="AD25">
            <v>53</v>
          </cell>
          <cell r="AE25">
            <v>61</v>
          </cell>
          <cell r="AF25">
            <v>0</v>
          </cell>
          <cell r="AG25">
            <v>15</v>
          </cell>
          <cell r="AH25">
            <v>18</v>
          </cell>
          <cell r="AI25">
            <v>29</v>
          </cell>
          <cell r="AJ25">
            <v>0</v>
          </cell>
          <cell r="AK25">
            <v>15</v>
          </cell>
          <cell r="AL25">
            <v>164</v>
          </cell>
          <cell r="AM25">
            <v>157</v>
          </cell>
          <cell r="AN25">
            <v>299</v>
          </cell>
          <cell r="AO25">
            <v>174</v>
          </cell>
          <cell r="AP25">
            <v>42</v>
          </cell>
          <cell r="AQ25">
            <v>62</v>
          </cell>
          <cell r="AR25">
            <v>96</v>
          </cell>
          <cell r="AS25">
            <v>124</v>
          </cell>
        </row>
        <row r="26">
          <cell r="B26">
            <v>17031020901</v>
          </cell>
          <cell r="D26">
            <v>2461</v>
          </cell>
          <cell r="E26">
            <v>304</v>
          </cell>
          <cell r="F26">
            <v>1526</v>
          </cell>
          <cell r="G26">
            <v>218</v>
          </cell>
          <cell r="H26">
            <v>1291</v>
          </cell>
          <cell r="I26">
            <v>213</v>
          </cell>
          <cell r="J26">
            <v>235</v>
          </cell>
          <cell r="K26">
            <v>92</v>
          </cell>
          <cell r="L26">
            <v>207</v>
          </cell>
          <cell r="M26">
            <v>89</v>
          </cell>
          <cell r="N26">
            <v>19</v>
          </cell>
          <cell r="O26">
            <v>21</v>
          </cell>
          <cell r="P26">
            <v>9</v>
          </cell>
          <cell r="Q26">
            <v>16</v>
          </cell>
          <cell r="R26">
            <v>0</v>
          </cell>
          <cell r="S26">
            <v>15</v>
          </cell>
          <cell r="T26">
            <v>0</v>
          </cell>
          <cell r="U26">
            <v>15</v>
          </cell>
          <cell r="V26">
            <v>670</v>
          </cell>
          <cell r="W26">
            <v>177</v>
          </cell>
          <cell r="X26">
            <v>367</v>
          </cell>
          <cell r="Y26">
            <v>140</v>
          </cell>
          <cell r="Z26">
            <v>0</v>
          </cell>
          <cell r="AA26">
            <v>15</v>
          </cell>
          <cell r="AB26">
            <v>279</v>
          </cell>
          <cell r="AC26">
            <v>150</v>
          </cell>
          <cell r="AD26">
            <v>24</v>
          </cell>
          <cell r="AE26">
            <v>37</v>
          </cell>
          <cell r="AF26">
            <v>0</v>
          </cell>
          <cell r="AG26">
            <v>15</v>
          </cell>
          <cell r="AH26">
            <v>7</v>
          </cell>
          <cell r="AI26">
            <v>13</v>
          </cell>
          <cell r="AJ26">
            <v>0</v>
          </cell>
          <cell r="AK26">
            <v>15</v>
          </cell>
          <cell r="AL26">
            <v>25</v>
          </cell>
          <cell r="AM26">
            <v>32</v>
          </cell>
          <cell r="AN26">
            <v>81</v>
          </cell>
          <cell r="AO26">
            <v>75</v>
          </cell>
          <cell r="AP26">
            <v>48</v>
          </cell>
          <cell r="AQ26">
            <v>45</v>
          </cell>
          <cell r="AR26">
            <v>104</v>
          </cell>
          <cell r="AS26">
            <v>75</v>
          </cell>
        </row>
        <row r="27">
          <cell r="B27">
            <v>17031020902</v>
          </cell>
          <cell r="D27">
            <v>1750</v>
          </cell>
          <cell r="E27">
            <v>228</v>
          </cell>
          <cell r="F27">
            <v>1111</v>
          </cell>
          <cell r="G27">
            <v>197</v>
          </cell>
          <cell r="H27">
            <v>828</v>
          </cell>
          <cell r="I27">
            <v>176</v>
          </cell>
          <cell r="J27">
            <v>283</v>
          </cell>
          <cell r="K27">
            <v>120</v>
          </cell>
          <cell r="L27">
            <v>235</v>
          </cell>
          <cell r="M27">
            <v>111</v>
          </cell>
          <cell r="N27">
            <v>15</v>
          </cell>
          <cell r="O27">
            <v>17</v>
          </cell>
          <cell r="P27">
            <v>18</v>
          </cell>
          <cell r="Q27">
            <v>20</v>
          </cell>
          <cell r="R27">
            <v>7</v>
          </cell>
          <cell r="S27">
            <v>12</v>
          </cell>
          <cell r="T27">
            <v>8</v>
          </cell>
          <cell r="U27">
            <v>13</v>
          </cell>
          <cell r="V27">
            <v>486</v>
          </cell>
          <cell r="W27">
            <v>128</v>
          </cell>
          <cell r="X27">
            <v>270</v>
          </cell>
          <cell r="Y27">
            <v>94</v>
          </cell>
          <cell r="Z27">
            <v>0</v>
          </cell>
          <cell r="AA27">
            <v>11</v>
          </cell>
          <cell r="AB27">
            <v>170</v>
          </cell>
          <cell r="AC27">
            <v>80</v>
          </cell>
          <cell r="AD27">
            <v>46</v>
          </cell>
          <cell r="AE27">
            <v>75</v>
          </cell>
          <cell r="AF27">
            <v>0</v>
          </cell>
          <cell r="AG27">
            <v>11</v>
          </cell>
          <cell r="AH27">
            <v>10</v>
          </cell>
          <cell r="AI27">
            <v>18</v>
          </cell>
          <cell r="AJ27">
            <v>0</v>
          </cell>
          <cell r="AK27">
            <v>11</v>
          </cell>
          <cell r="AL27">
            <v>18</v>
          </cell>
          <cell r="AM27">
            <v>21</v>
          </cell>
          <cell r="AN27">
            <v>65</v>
          </cell>
          <cell r="AO27">
            <v>58</v>
          </cell>
          <cell r="AP27">
            <v>21</v>
          </cell>
          <cell r="AQ27">
            <v>30</v>
          </cell>
          <cell r="AR27">
            <v>39</v>
          </cell>
          <cell r="AS27">
            <v>25</v>
          </cell>
        </row>
        <row r="28">
          <cell r="B28">
            <v>17031030101</v>
          </cell>
          <cell r="D28">
            <v>2050</v>
          </cell>
          <cell r="E28">
            <v>293</v>
          </cell>
          <cell r="F28">
            <v>875</v>
          </cell>
          <cell r="G28">
            <v>242</v>
          </cell>
          <cell r="H28">
            <v>732</v>
          </cell>
          <cell r="I28">
            <v>255</v>
          </cell>
          <cell r="J28">
            <v>143</v>
          </cell>
          <cell r="K28">
            <v>88</v>
          </cell>
          <cell r="L28">
            <v>143</v>
          </cell>
          <cell r="M28">
            <v>88</v>
          </cell>
          <cell r="N28">
            <v>0</v>
          </cell>
          <cell r="O28">
            <v>11</v>
          </cell>
          <cell r="P28">
            <v>0</v>
          </cell>
          <cell r="Q28">
            <v>11</v>
          </cell>
          <cell r="R28">
            <v>0</v>
          </cell>
          <cell r="S28">
            <v>11</v>
          </cell>
          <cell r="T28">
            <v>0</v>
          </cell>
          <cell r="U28">
            <v>11</v>
          </cell>
          <cell r="V28">
            <v>904</v>
          </cell>
          <cell r="W28">
            <v>293</v>
          </cell>
          <cell r="X28">
            <v>401</v>
          </cell>
          <cell r="Y28">
            <v>184</v>
          </cell>
          <cell r="Z28">
            <v>0</v>
          </cell>
          <cell r="AA28">
            <v>11</v>
          </cell>
          <cell r="AB28">
            <v>487</v>
          </cell>
          <cell r="AC28">
            <v>228</v>
          </cell>
          <cell r="AD28">
            <v>16</v>
          </cell>
          <cell r="AE28">
            <v>25</v>
          </cell>
          <cell r="AF28">
            <v>0</v>
          </cell>
          <cell r="AG28">
            <v>11</v>
          </cell>
          <cell r="AH28">
            <v>102</v>
          </cell>
          <cell r="AI28">
            <v>92</v>
          </cell>
          <cell r="AJ28">
            <v>14</v>
          </cell>
          <cell r="AK28">
            <v>23</v>
          </cell>
          <cell r="AL28">
            <v>64</v>
          </cell>
          <cell r="AM28">
            <v>68</v>
          </cell>
          <cell r="AN28">
            <v>11</v>
          </cell>
          <cell r="AO28">
            <v>18</v>
          </cell>
          <cell r="AP28">
            <v>54</v>
          </cell>
          <cell r="AQ28">
            <v>72</v>
          </cell>
          <cell r="AR28">
            <v>26</v>
          </cell>
          <cell r="AS28">
            <v>29</v>
          </cell>
        </row>
        <row r="29">
          <cell r="B29">
            <v>17031030102</v>
          </cell>
          <cell r="D29">
            <v>1783</v>
          </cell>
          <cell r="E29">
            <v>230</v>
          </cell>
          <cell r="F29">
            <v>629</v>
          </cell>
          <cell r="G29">
            <v>142</v>
          </cell>
          <cell r="H29">
            <v>588</v>
          </cell>
          <cell r="I29">
            <v>137</v>
          </cell>
          <cell r="J29">
            <v>41</v>
          </cell>
          <cell r="K29">
            <v>29</v>
          </cell>
          <cell r="L29">
            <v>36</v>
          </cell>
          <cell r="M29">
            <v>31</v>
          </cell>
          <cell r="N29">
            <v>5</v>
          </cell>
          <cell r="O29">
            <v>9</v>
          </cell>
          <cell r="P29">
            <v>0</v>
          </cell>
          <cell r="Q29">
            <v>11</v>
          </cell>
          <cell r="R29">
            <v>0</v>
          </cell>
          <cell r="S29">
            <v>11</v>
          </cell>
          <cell r="T29">
            <v>0</v>
          </cell>
          <cell r="U29">
            <v>11</v>
          </cell>
          <cell r="V29">
            <v>891</v>
          </cell>
          <cell r="W29">
            <v>231</v>
          </cell>
          <cell r="X29">
            <v>308</v>
          </cell>
          <cell r="Y29">
            <v>114</v>
          </cell>
          <cell r="Z29">
            <v>90</v>
          </cell>
          <cell r="AA29">
            <v>77</v>
          </cell>
          <cell r="AB29">
            <v>468</v>
          </cell>
          <cell r="AC29">
            <v>140</v>
          </cell>
          <cell r="AD29">
            <v>25</v>
          </cell>
          <cell r="AE29">
            <v>23</v>
          </cell>
          <cell r="AF29">
            <v>0</v>
          </cell>
          <cell r="AG29">
            <v>11</v>
          </cell>
          <cell r="AH29">
            <v>33</v>
          </cell>
          <cell r="AI29">
            <v>43</v>
          </cell>
          <cell r="AJ29">
            <v>2</v>
          </cell>
          <cell r="AK29">
            <v>7</v>
          </cell>
          <cell r="AL29">
            <v>0</v>
          </cell>
          <cell r="AM29">
            <v>11</v>
          </cell>
          <cell r="AN29">
            <v>127</v>
          </cell>
          <cell r="AO29">
            <v>71</v>
          </cell>
          <cell r="AP29">
            <v>21</v>
          </cell>
          <cell r="AQ29">
            <v>25</v>
          </cell>
          <cell r="AR29">
            <v>80</v>
          </cell>
          <cell r="AS29">
            <v>47</v>
          </cell>
        </row>
        <row r="30">
          <cell r="B30">
            <v>17031030103</v>
          </cell>
          <cell r="D30">
            <v>1238</v>
          </cell>
          <cell r="E30">
            <v>172</v>
          </cell>
          <cell r="F30">
            <v>425</v>
          </cell>
          <cell r="G30">
            <v>134</v>
          </cell>
          <cell r="H30">
            <v>310</v>
          </cell>
          <cell r="I30">
            <v>109</v>
          </cell>
          <cell r="J30">
            <v>115</v>
          </cell>
          <cell r="K30">
            <v>80</v>
          </cell>
          <cell r="L30">
            <v>115</v>
          </cell>
          <cell r="M30">
            <v>80</v>
          </cell>
          <cell r="N30">
            <v>0</v>
          </cell>
          <cell r="O30">
            <v>11</v>
          </cell>
          <cell r="P30">
            <v>0</v>
          </cell>
          <cell r="Q30">
            <v>11</v>
          </cell>
          <cell r="R30">
            <v>0</v>
          </cell>
          <cell r="S30">
            <v>11</v>
          </cell>
          <cell r="T30">
            <v>0</v>
          </cell>
          <cell r="U30">
            <v>11</v>
          </cell>
          <cell r="V30">
            <v>562</v>
          </cell>
          <cell r="W30">
            <v>124</v>
          </cell>
          <cell r="X30">
            <v>196</v>
          </cell>
          <cell r="Y30">
            <v>78</v>
          </cell>
          <cell r="Z30">
            <v>0</v>
          </cell>
          <cell r="AA30">
            <v>11</v>
          </cell>
          <cell r="AB30">
            <v>347</v>
          </cell>
          <cell r="AC30">
            <v>96</v>
          </cell>
          <cell r="AD30">
            <v>19</v>
          </cell>
          <cell r="AE30">
            <v>26</v>
          </cell>
          <cell r="AF30">
            <v>0</v>
          </cell>
          <cell r="AG30">
            <v>11</v>
          </cell>
          <cell r="AH30">
            <v>8</v>
          </cell>
          <cell r="AI30">
            <v>12</v>
          </cell>
          <cell r="AJ30">
            <v>0</v>
          </cell>
          <cell r="AK30">
            <v>11</v>
          </cell>
          <cell r="AL30">
            <v>6</v>
          </cell>
          <cell r="AM30">
            <v>9</v>
          </cell>
          <cell r="AN30">
            <v>125</v>
          </cell>
          <cell r="AO30">
            <v>66</v>
          </cell>
          <cell r="AP30">
            <v>0</v>
          </cell>
          <cell r="AQ30">
            <v>11</v>
          </cell>
          <cell r="AR30">
            <v>112</v>
          </cell>
          <cell r="AS30">
            <v>64</v>
          </cell>
        </row>
        <row r="31">
          <cell r="B31">
            <v>17031030104</v>
          </cell>
          <cell r="D31">
            <v>1634</v>
          </cell>
          <cell r="E31">
            <v>277</v>
          </cell>
          <cell r="F31">
            <v>414</v>
          </cell>
          <cell r="G31">
            <v>136</v>
          </cell>
          <cell r="H31">
            <v>280</v>
          </cell>
          <cell r="I31">
            <v>110</v>
          </cell>
          <cell r="J31">
            <v>134</v>
          </cell>
          <cell r="K31">
            <v>60</v>
          </cell>
          <cell r="L31">
            <v>109</v>
          </cell>
          <cell r="M31">
            <v>51</v>
          </cell>
          <cell r="N31">
            <v>12</v>
          </cell>
          <cell r="O31">
            <v>22</v>
          </cell>
          <cell r="P31">
            <v>13</v>
          </cell>
          <cell r="Q31">
            <v>18</v>
          </cell>
          <cell r="R31">
            <v>0</v>
          </cell>
          <cell r="S31">
            <v>11</v>
          </cell>
          <cell r="T31">
            <v>0</v>
          </cell>
          <cell r="U31">
            <v>11</v>
          </cell>
          <cell r="V31">
            <v>840</v>
          </cell>
          <cell r="W31">
            <v>193</v>
          </cell>
          <cell r="X31">
            <v>345</v>
          </cell>
          <cell r="Y31">
            <v>123</v>
          </cell>
          <cell r="Z31">
            <v>0</v>
          </cell>
          <cell r="AA31">
            <v>11</v>
          </cell>
          <cell r="AB31">
            <v>452</v>
          </cell>
          <cell r="AC31">
            <v>142</v>
          </cell>
          <cell r="AD31">
            <v>43</v>
          </cell>
          <cell r="AE31">
            <v>47</v>
          </cell>
          <cell r="AF31">
            <v>0</v>
          </cell>
          <cell r="AG31">
            <v>11</v>
          </cell>
          <cell r="AH31">
            <v>0</v>
          </cell>
          <cell r="AI31">
            <v>11</v>
          </cell>
          <cell r="AJ31">
            <v>0</v>
          </cell>
          <cell r="AK31">
            <v>11</v>
          </cell>
          <cell r="AL31">
            <v>29</v>
          </cell>
          <cell r="AM31">
            <v>36</v>
          </cell>
          <cell r="AN31">
            <v>278</v>
          </cell>
          <cell r="AO31">
            <v>134</v>
          </cell>
          <cell r="AP31">
            <v>0</v>
          </cell>
          <cell r="AQ31">
            <v>11</v>
          </cell>
          <cell r="AR31">
            <v>73</v>
          </cell>
          <cell r="AS31">
            <v>52</v>
          </cell>
        </row>
        <row r="32">
          <cell r="B32">
            <v>17031030200</v>
          </cell>
          <cell r="D32">
            <v>3001</v>
          </cell>
          <cell r="E32">
            <v>400</v>
          </cell>
          <cell r="F32">
            <v>1447</v>
          </cell>
          <cell r="G32">
            <v>290</v>
          </cell>
          <cell r="H32">
            <v>1233</v>
          </cell>
          <cell r="I32">
            <v>254</v>
          </cell>
          <cell r="J32">
            <v>214</v>
          </cell>
          <cell r="K32">
            <v>125</v>
          </cell>
          <cell r="L32">
            <v>214</v>
          </cell>
          <cell r="M32">
            <v>125</v>
          </cell>
          <cell r="N32">
            <v>0</v>
          </cell>
          <cell r="O32">
            <v>15</v>
          </cell>
          <cell r="P32">
            <v>0</v>
          </cell>
          <cell r="Q32">
            <v>15</v>
          </cell>
          <cell r="R32">
            <v>0</v>
          </cell>
          <cell r="S32">
            <v>15</v>
          </cell>
          <cell r="T32">
            <v>0</v>
          </cell>
          <cell r="U32">
            <v>15</v>
          </cell>
          <cell r="V32">
            <v>1149</v>
          </cell>
          <cell r="W32">
            <v>269</v>
          </cell>
          <cell r="X32">
            <v>251</v>
          </cell>
          <cell r="Y32">
            <v>184</v>
          </cell>
          <cell r="Z32">
            <v>0</v>
          </cell>
          <cell r="AA32">
            <v>15</v>
          </cell>
          <cell r="AB32">
            <v>874</v>
          </cell>
          <cell r="AC32">
            <v>201</v>
          </cell>
          <cell r="AD32">
            <v>24</v>
          </cell>
          <cell r="AE32">
            <v>28</v>
          </cell>
          <cell r="AF32">
            <v>0</v>
          </cell>
          <cell r="AG32">
            <v>15</v>
          </cell>
          <cell r="AH32">
            <v>0</v>
          </cell>
          <cell r="AI32">
            <v>15</v>
          </cell>
          <cell r="AJ32">
            <v>0</v>
          </cell>
          <cell r="AK32">
            <v>15</v>
          </cell>
          <cell r="AL32">
            <v>65</v>
          </cell>
          <cell r="AM32">
            <v>52</v>
          </cell>
          <cell r="AN32">
            <v>67</v>
          </cell>
          <cell r="AO32">
            <v>57</v>
          </cell>
          <cell r="AP32">
            <v>77</v>
          </cell>
          <cell r="AQ32">
            <v>69</v>
          </cell>
          <cell r="AR32">
            <v>196</v>
          </cell>
          <cell r="AS32">
            <v>99</v>
          </cell>
        </row>
        <row r="33">
          <cell r="B33">
            <v>17031030300</v>
          </cell>
          <cell r="D33">
            <v>1629</v>
          </cell>
          <cell r="E33">
            <v>196</v>
          </cell>
          <cell r="F33">
            <v>968</v>
          </cell>
          <cell r="G33">
            <v>222</v>
          </cell>
          <cell r="H33">
            <v>803</v>
          </cell>
          <cell r="I33">
            <v>207</v>
          </cell>
          <cell r="J33">
            <v>165</v>
          </cell>
          <cell r="K33">
            <v>86</v>
          </cell>
          <cell r="L33">
            <v>125</v>
          </cell>
          <cell r="M33">
            <v>77</v>
          </cell>
          <cell r="N33">
            <v>40</v>
          </cell>
          <cell r="O33">
            <v>37</v>
          </cell>
          <cell r="P33">
            <v>0</v>
          </cell>
          <cell r="Q33">
            <v>11</v>
          </cell>
          <cell r="R33">
            <v>0</v>
          </cell>
          <cell r="S33">
            <v>11</v>
          </cell>
          <cell r="T33">
            <v>0</v>
          </cell>
          <cell r="U33">
            <v>11</v>
          </cell>
          <cell r="V33">
            <v>399</v>
          </cell>
          <cell r="W33">
            <v>117</v>
          </cell>
          <cell r="X33">
            <v>201</v>
          </cell>
          <cell r="Y33">
            <v>95</v>
          </cell>
          <cell r="Z33">
            <v>0</v>
          </cell>
          <cell r="AA33">
            <v>11</v>
          </cell>
          <cell r="AB33">
            <v>198</v>
          </cell>
          <cell r="AC33">
            <v>73</v>
          </cell>
          <cell r="AD33">
            <v>0</v>
          </cell>
          <cell r="AE33">
            <v>11</v>
          </cell>
          <cell r="AF33">
            <v>0</v>
          </cell>
          <cell r="AG33">
            <v>11</v>
          </cell>
          <cell r="AH33">
            <v>11</v>
          </cell>
          <cell r="AI33">
            <v>15</v>
          </cell>
          <cell r="AJ33">
            <v>7</v>
          </cell>
          <cell r="AK33">
            <v>11</v>
          </cell>
          <cell r="AL33">
            <v>34</v>
          </cell>
          <cell r="AM33">
            <v>41</v>
          </cell>
          <cell r="AN33">
            <v>174</v>
          </cell>
          <cell r="AO33">
            <v>77</v>
          </cell>
          <cell r="AP33">
            <v>9</v>
          </cell>
          <cell r="AQ33">
            <v>14</v>
          </cell>
          <cell r="AR33">
            <v>27</v>
          </cell>
          <cell r="AS33">
            <v>27</v>
          </cell>
        </row>
        <row r="34">
          <cell r="B34">
            <v>17031030400</v>
          </cell>
          <cell r="D34">
            <v>1406</v>
          </cell>
          <cell r="E34">
            <v>159</v>
          </cell>
          <cell r="F34">
            <v>651</v>
          </cell>
          <cell r="G34">
            <v>137</v>
          </cell>
          <cell r="H34">
            <v>593</v>
          </cell>
          <cell r="I34">
            <v>135</v>
          </cell>
          <cell r="J34">
            <v>58</v>
          </cell>
          <cell r="K34">
            <v>43</v>
          </cell>
          <cell r="L34">
            <v>58</v>
          </cell>
          <cell r="M34">
            <v>43</v>
          </cell>
          <cell r="N34">
            <v>0</v>
          </cell>
          <cell r="O34">
            <v>11</v>
          </cell>
          <cell r="P34">
            <v>0</v>
          </cell>
          <cell r="Q34">
            <v>11</v>
          </cell>
          <cell r="R34">
            <v>0</v>
          </cell>
          <cell r="S34">
            <v>11</v>
          </cell>
          <cell r="T34">
            <v>0</v>
          </cell>
          <cell r="U34">
            <v>11</v>
          </cell>
          <cell r="V34">
            <v>471</v>
          </cell>
          <cell r="W34">
            <v>116</v>
          </cell>
          <cell r="X34">
            <v>217</v>
          </cell>
          <cell r="Y34">
            <v>108</v>
          </cell>
          <cell r="Z34">
            <v>0</v>
          </cell>
          <cell r="AA34">
            <v>11</v>
          </cell>
          <cell r="AB34">
            <v>177</v>
          </cell>
          <cell r="AC34">
            <v>69</v>
          </cell>
          <cell r="AD34">
            <v>77</v>
          </cell>
          <cell r="AE34">
            <v>45</v>
          </cell>
          <cell r="AF34">
            <v>0</v>
          </cell>
          <cell r="AG34">
            <v>11</v>
          </cell>
          <cell r="AH34">
            <v>7</v>
          </cell>
          <cell r="AI34">
            <v>11</v>
          </cell>
          <cell r="AJ34">
            <v>0</v>
          </cell>
          <cell r="AK34">
            <v>11</v>
          </cell>
          <cell r="AL34">
            <v>29</v>
          </cell>
          <cell r="AM34">
            <v>23</v>
          </cell>
          <cell r="AN34">
            <v>116</v>
          </cell>
          <cell r="AO34">
            <v>61</v>
          </cell>
          <cell r="AP34">
            <v>6</v>
          </cell>
          <cell r="AQ34">
            <v>9</v>
          </cell>
          <cell r="AR34">
            <v>126</v>
          </cell>
          <cell r="AS34">
            <v>52</v>
          </cell>
        </row>
        <row r="35">
          <cell r="B35">
            <v>17031030500</v>
          </cell>
          <cell r="D35">
            <v>4348</v>
          </cell>
          <cell r="E35">
            <v>373</v>
          </cell>
          <cell r="F35">
            <v>1782</v>
          </cell>
          <cell r="G35">
            <v>368</v>
          </cell>
          <cell r="H35">
            <v>1508</v>
          </cell>
          <cell r="I35">
            <v>352</v>
          </cell>
          <cell r="J35">
            <v>274</v>
          </cell>
          <cell r="K35">
            <v>126</v>
          </cell>
          <cell r="L35">
            <v>211</v>
          </cell>
          <cell r="M35">
            <v>95</v>
          </cell>
          <cell r="N35">
            <v>63</v>
          </cell>
          <cell r="O35">
            <v>77</v>
          </cell>
          <cell r="P35">
            <v>0</v>
          </cell>
          <cell r="Q35">
            <v>15</v>
          </cell>
          <cell r="R35">
            <v>0</v>
          </cell>
          <cell r="S35">
            <v>15</v>
          </cell>
          <cell r="T35">
            <v>0</v>
          </cell>
          <cell r="U35">
            <v>15</v>
          </cell>
          <cell r="V35">
            <v>1870</v>
          </cell>
          <cell r="W35">
            <v>282</v>
          </cell>
          <cell r="X35">
            <v>372</v>
          </cell>
          <cell r="Y35">
            <v>137</v>
          </cell>
          <cell r="Z35">
            <v>64</v>
          </cell>
          <cell r="AA35">
            <v>64</v>
          </cell>
          <cell r="AB35">
            <v>1224</v>
          </cell>
          <cell r="AC35">
            <v>233</v>
          </cell>
          <cell r="AD35">
            <v>210</v>
          </cell>
          <cell r="AE35">
            <v>150</v>
          </cell>
          <cell r="AF35">
            <v>0</v>
          </cell>
          <cell r="AG35">
            <v>15</v>
          </cell>
          <cell r="AH35">
            <v>19</v>
          </cell>
          <cell r="AI35">
            <v>30</v>
          </cell>
          <cell r="AJ35">
            <v>0</v>
          </cell>
          <cell r="AK35">
            <v>15</v>
          </cell>
          <cell r="AL35">
            <v>83</v>
          </cell>
          <cell r="AM35">
            <v>53</v>
          </cell>
          <cell r="AN35">
            <v>230</v>
          </cell>
          <cell r="AO35">
            <v>112</v>
          </cell>
          <cell r="AP35">
            <v>50</v>
          </cell>
          <cell r="AQ35">
            <v>48</v>
          </cell>
          <cell r="AR35">
            <v>314</v>
          </cell>
          <cell r="AS35">
            <v>131</v>
          </cell>
        </row>
        <row r="36">
          <cell r="B36">
            <v>17031030601</v>
          </cell>
          <cell r="D36">
            <v>2084</v>
          </cell>
          <cell r="E36">
            <v>317</v>
          </cell>
          <cell r="F36">
            <v>833</v>
          </cell>
          <cell r="G36">
            <v>261</v>
          </cell>
          <cell r="H36">
            <v>784</v>
          </cell>
          <cell r="I36">
            <v>257</v>
          </cell>
          <cell r="J36">
            <v>49</v>
          </cell>
          <cell r="K36">
            <v>67</v>
          </cell>
          <cell r="L36">
            <v>49</v>
          </cell>
          <cell r="M36">
            <v>67</v>
          </cell>
          <cell r="N36">
            <v>0</v>
          </cell>
          <cell r="O36">
            <v>11</v>
          </cell>
          <cell r="P36">
            <v>0</v>
          </cell>
          <cell r="Q36">
            <v>11</v>
          </cell>
          <cell r="R36">
            <v>0</v>
          </cell>
          <cell r="S36">
            <v>11</v>
          </cell>
          <cell r="T36">
            <v>0</v>
          </cell>
          <cell r="U36">
            <v>11</v>
          </cell>
          <cell r="V36">
            <v>1080</v>
          </cell>
          <cell r="W36">
            <v>238</v>
          </cell>
          <cell r="X36">
            <v>397</v>
          </cell>
          <cell r="Y36">
            <v>200</v>
          </cell>
          <cell r="Z36">
            <v>13</v>
          </cell>
          <cell r="AA36">
            <v>21</v>
          </cell>
          <cell r="AB36">
            <v>641</v>
          </cell>
          <cell r="AC36">
            <v>194</v>
          </cell>
          <cell r="AD36">
            <v>29</v>
          </cell>
          <cell r="AE36">
            <v>45</v>
          </cell>
          <cell r="AF36">
            <v>0</v>
          </cell>
          <cell r="AG36">
            <v>11</v>
          </cell>
          <cell r="AH36">
            <v>14</v>
          </cell>
          <cell r="AI36">
            <v>22</v>
          </cell>
          <cell r="AJ36">
            <v>0</v>
          </cell>
          <cell r="AK36">
            <v>11</v>
          </cell>
          <cell r="AL36">
            <v>53</v>
          </cell>
          <cell r="AM36">
            <v>80</v>
          </cell>
          <cell r="AN36">
            <v>25</v>
          </cell>
          <cell r="AO36">
            <v>29</v>
          </cell>
          <cell r="AP36">
            <v>14</v>
          </cell>
          <cell r="AQ36">
            <v>23</v>
          </cell>
          <cell r="AR36">
            <v>65</v>
          </cell>
          <cell r="AS36">
            <v>55</v>
          </cell>
        </row>
        <row r="37">
          <cell r="B37">
            <v>17031030603</v>
          </cell>
          <cell r="D37">
            <v>1110</v>
          </cell>
          <cell r="E37">
            <v>130</v>
          </cell>
          <cell r="F37">
            <v>256</v>
          </cell>
          <cell r="G37">
            <v>82</v>
          </cell>
          <cell r="H37">
            <v>195</v>
          </cell>
          <cell r="I37">
            <v>72</v>
          </cell>
          <cell r="J37">
            <v>61</v>
          </cell>
          <cell r="K37">
            <v>46</v>
          </cell>
          <cell r="L37">
            <v>54</v>
          </cell>
          <cell r="M37">
            <v>45</v>
          </cell>
          <cell r="N37">
            <v>7</v>
          </cell>
          <cell r="O37">
            <v>10</v>
          </cell>
          <cell r="P37">
            <v>0</v>
          </cell>
          <cell r="Q37">
            <v>11</v>
          </cell>
          <cell r="R37">
            <v>0</v>
          </cell>
          <cell r="S37">
            <v>11</v>
          </cell>
          <cell r="T37">
            <v>0</v>
          </cell>
          <cell r="U37">
            <v>11</v>
          </cell>
          <cell r="V37">
            <v>662</v>
          </cell>
          <cell r="W37">
            <v>126</v>
          </cell>
          <cell r="X37">
            <v>313</v>
          </cell>
          <cell r="Y37">
            <v>104</v>
          </cell>
          <cell r="Z37">
            <v>0</v>
          </cell>
          <cell r="AA37">
            <v>11</v>
          </cell>
          <cell r="AB37">
            <v>322</v>
          </cell>
          <cell r="AC37">
            <v>87</v>
          </cell>
          <cell r="AD37">
            <v>27</v>
          </cell>
          <cell r="AE37">
            <v>33</v>
          </cell>
          <cell r="AF37">
            <v>0</v>
          </cell>
          <cell r="AG37">
            <v>11</v>
          </cell>
          <cell r="AH37">
            <v>44</v>
          </cell>
          <cell r="AI37">
            <v>41</v>
          </cell>
          <cell r="AJ37">
            <v>7</v>
          </cell>
          <cell r="AK37">
            <v>10</v>
          </cell>
          <cell r="AL37">
            <v>33</v>
          </cell>
          <cell r="AM37">
            <v>36</v>
          </cell>
          <cell r="AN37">
            <v>36</v>
          </cell>
          <cell r="AO37">
            <v>26</v>
          </cell>
          <cell r="AP37">
            <v>11</v>
          </cell>
          <cell r="AQ37">
            <v>18</v>
          </cell>
          <cell r="AR37">
            <v>61</v>
          </cell>
          <cell r="AS37">
            <v>51</v>
          </cell>
        </row>
        <row r="38">
          <cell r="B38">
            <v>17031030604</v>
          </cell>
          <cell r="D38">
            <v>1541</v>
          </cell>
          <cell r="E38">
            <v>155</v>
          </cell>
          <cell r="F38">
            <v>550</v>
          </cell>
          <cell r="G38">
            <v>136</v>
          </cell>
          <cell r="H38">
            <v>447</v>
          </cell>
          <cell r="I38">
            <v>112</v>
          </cell>
          <cell r="J38">
            <v>103</v>
          </cell>
          <cell r="K38">
            <v>76</v>
          </cell>
          <cell r="L38">
            <v>103</v>
          </cell>
          <cell r="M38">
            <v>76</v>
          </cell>
          <cell r="N38">
            <v>0</v>
          </cell>
          <cell r="O38">
            <v>11</v>
          </cell>
          <cell r="P38">
            <v>0</v>
          </cell>
          <cell r="Q38">
            <v>11</v>
          </cell>
          <cell r="R38">
            <v>0</v>
          </cell>
          <cell r="S38">
            <v>11</v>
          </cell>
          <cell r="T38">
            <v>0</v>
          </cell>
          <cell r="U38">
            <v>11</v>
          </cell>
          <cell r="V38">
            <v>850</v>
          </cell>
          <cell r="W38">
            <v>147</v>
          </cell>
          <cell r="X38">
            <v>486</v>
          </cell>
          <cell r="Y38">
            <v>142</v>
          </cell>
          <cell r="Z38">
            <v>0</v>
          </cell>
          <cell r="AA38">
            <v>11</v>
          </cell>
          <cell r="AB38">
            <v>312</v>
          </cell>
          <cell r="AC38">
            <v>131</v>
          </cell>
          <cell r="AD38">
            <v>52</v>
          </cell>
          <cell r="AE38">
            <v>37</v>
          </cell>
          <cell r="AF38">
            <v>0</v>
          </cell>
          <cell r="AG38">
            <v>11</v>
          </cell>
          <cell r="AH38">
            <v>0</v>
          </cell>
          <cell r="AI38">
            <v>11</v>
          </cell>
          <cell r="AJ38">
            <v>0</v>
          </cell>
          <cell r="AK38">
            <v>11</v>
          </cell>
          <cell r="AL38">
            <v>29</v>
          </cell>
          <cell r="AM38">
            <v>26</v>
          </cell>
          <cell r="AN38">
            <v>12</v>
          </cell>
          <cell r="AO38">
            <v>17</v>
          </cell>
          <cell r="AP38">
            <v>0</v>
          </cell>
          <cell r="AQ38">
            <v>11</v>
          </cell>
          <cell r="AR38">
            <v>100</v>
          </cell>
          <cell r="AS38">
            <v>65</v>
          </cell>
        </row>
        <row r="39">
          <cell r="B39">
            <v>17031030701</v>
          </cell>
          <cell r="D39">
            <v>932</v>
          </cell>
          <cell r="E39">
            <v>80</v>
          </cell>
          <cell r="F39">
            <v>224</v>
          </cell>
          <cell r="G39">
            <v>68</v>
          </cell>
          <cell r="H39">
            <v>189</v>
          </cell>
          <cell r="I39">
            <v>62</v>
          </cell>
          <cell r="J39">
            <v>35</v>
          </cell>
          <cell r="K39">
            <v>35</v>
          </cell>
          <cell r="L39">
            <v>35</v>
          </cell>
          <cell r="M39">
            <v>35</v>
          </cell>
          <cell r="N39">
            <v>0</v>
          </cell>
          <cell r="O39">
            <v>11</v>
          </cell>
          <cell r="P39">
            <v>0</v>
          </cell>
          <cell r="Q39">
            <v>11</v>
          </cell>
          <cell r="R39">
            <v>0</v>
          </cell>
          <cell r="S39">
            <v>11</v>
          </cell>
          <cell r="T39">
            <v>0</v>
          </cell>
          <cell r="U39">
            <v>11</v>
          </cell>
          <cell r="V39">
            <v>637</v>
          </cell>
          <cell r="W39">
            <v>81</v>
          </cell>
          <cell r="X39">
            <v>247</v>
          </cell>
          <cell r="Y39">
            <v>77</v>
          </cell>
          <cell r="Z39">
            <v>0</v>
          </cell>
          <cell r="AA39">
            <v>11</v>
          </cell>
          <cell r="AB39">
            <v>361</v>
          </cell>
          <cell r="AC39">
            <v>85</v>
          </cell>
          <cell r="AD39">
            <v>29</v>
          </cell>
          <cell r="AE39">
            <v>33</v>
          </cell>
          <cell r="AF39">
            <v>0</v>
          </cell>
          <cell r="AG39">
            <v>11</v>
          </cell>
          <cell r="AH39">
            <v>0</v>
          </cell>
          <cell r="AI39">
            <v>11</v>
          </cell>
          <cell r="AJ39">
            <v>0</v>
          </cell>
          <cell r="AK39">
            <v>11</v>
          </cell>
          <cell r="AL39">
            <v>8</v>
          </cell>
          <cell r="AM39">
            <v>12</v>
          </cell>
          <cell r="AN39">
            <v>38</v>
          </cell>
          <cell r="AO39">
            <v>29</v>
          </cell>
          <cell r="AP39">
            <v>9</v>
          </cell>
          <cell r="AQ39">
            <v>11</v>
          </cell>
          <cell r="AR39">
            <v>16</v>
          </cell>
          <cell r="AS39">
            <v>17</v>
          </cell>
        </row>
        <row r="40">
          <cell r="B40">
            <v>17031030702</v>
          </cell>
          <cell r="D40">
            <v>794</v>
          </cell>
          <cell r="E40">
            <v>116</v>
          </cell>
          <cell r="F40">
            <v>417</v>
          </cell>
          <cell r="G40">
            <v>95</v>
          </cell>
          <cell r="H40">
            <v>399</v>
          </cell>
          <cell r="I40">
            <v>90</v>
          </cell>
          <cell r="J40">
            <v>18</v>
          </cell>
          <cell r="K40">
            <v>19</v>
          </cell>
          <cell r="L40">
            <v>18</v>
          </cell>
          <cell r="M40">
            <v>19</v>
          </cell>
          <cell r="N40">
            <v>0</v>
          </cell>
          <cell r="O40">
            <v>11</v>
          </cell>
          <cell r="P40">
            <v>0</v>
          </cell>
          <cell r="Q40">
            <v>11</v>
          </cell>
          <cell r="R40">
            <v>0</v>
          </cell>
          <cell r="S40">
            <v>11</v>
          </cell>
          <cell r="T40">
            <v>0</v>
          </cell>
          <cell r="U40">
            <v>11</v>
          </cell>
          <cell r="V40">
            <v>303</v>
          </cell>
          <cell r="W40">
            <v>83</v>
          </cell>
          <cell r="X40">
            <v>168</v>
          </cell>
          <cell r="Y40">
            <v>72</v>
          </cell>
          <cell r="Z40">
            <v>0</v>
          </cell>
          <cell r="AA40">
            <v>11</v>
          </cell>
          <cell r="AB40">
            <v>95</v>
          </cell>
          <cell r="AC40">
            <v>55</v>
          </cell>
          <cell r="AD40">
            <v>40</v>
          </cell>
          <cell r="AE40">
            <v>38</v>
          </cell>
          <cell r="AF40">
            <v>0</v>
          </cell>
          <cell r="AG40">
            <v>11</v>
          </cell>
          <cell r="AH40">
            <v>0</v>
          </cell>
          <cell r="AI40">
            <v>11</v>
          </cell>
          <cell r="AJ40">
            <v>0</v>
          </cell>
          <cell r="AK40">
            <v>11</v>
          </cell>
          <cell r="AL40">
            <v>0</v>
          </cell>
          <cell r="AM40">
            <v>11</v>
          </cell>
          <cell r="AN40">
            <v>6</v>
          </cell>
          <cell r="AO40">
            <v>10</v>
          </cell>
          <cell r="AP40">
            <v>0</v>
          </cell>
          <cell r="AQ40">
            <v>11</v>
          </cell>
          <cell r="AR40">
            <v>68</v>
          </cell>
          <cell r="AS40">
            <v>42</v>
          </cell>
        </row>
        <row r="41">
          <cell r="B41">
            <v>17031030703</v>
          </cell>
          <cell r="D41">
            <v>1645</v>
          </cell>
          <cell r="E41">
            <v>167</v>
          </cell>
          <cell r="F41">
            <v>588</v>
          </cell>
          <cell r="G41">
            <v>119</v>
          </cell>
          <cell r="H41">
            <v>503</v>
          </cell>
          <cell r="I41">
            <v>101</v>
          </cell>
          <cell r="J41">
            <v>85</v>
          </cell>
          <cell r="K41">
            <v>73</v>
          </cell>
          <cell r="L41">
            <v>76</v>
          </cell>
          <cell r="M41">
            <v>72</v>
          </cell>
          <cell r="N41">
            <v>0</v>
          </cell>
          <cell r="O41">
            <v>11</v>
          </cell>
          <cell r="P41">
            <v>0</v>
          </cell>
          <cell r="Q41">
            <v>11</v>
          </cell>
          <cell r="R41">
            <v>9</v>
          </cell>
          <cell r="S41">
            <v>15</v>
          </cell>
          <cell r="T41">
            <v>0</v>
          </cell>
          <cell r="U41">
            <v>11</v>
          </cell>
          <cell r="V41">
            <v>800</v>
          </cell>
          <cell r="W41">
            <v>143</v>
          </cell>
          <cell r="X41">
            <v>278</v>
          </cell>
          <cell r="Y41">
            <v>107</v>
          </cell>
          <cell r="Z41">
            <v>0</v>
          </cell>
          <cell r="AA41">
            <v>11</v>
          </cell>
          <cell r="AB41">
            <v>514</v>
          </cell>
          <cell r="AC41">
            <v>144</v>
          </cell>
          <cell r="AD41">
            <v>8</v>
          </cell>
          <cell r="AE41">
            <v>13</v>
          </cell>
          <cell r="AF41">
            <v>0</v>
          </cell>
          <cell r="AG41">
            <v>11</v>
          </cell>
          <cell r="AH41">
            <v>0</v>
          </cell>
          <cell r="AI41">
            <v>11</v>
          </cell>
          <cell r="AJ41">
            <v>0</v>
          </cell>
          <cell r="AK41">
            <v>11</v>
          </cell>
          <cell r="AL41">
            <v>16</v>
          </cell>
          <cell r="AM41">
            <v>19</v>
          </cell>
          <cell r="AN41">
            <v>45</v>
          </cell>
          <cell r="AO41">
            <v>36</v>
          </cell>
          <cell r="AP41">
            <v>29</v>
          </cell>
          <cell r="AQ41">
            <v>33</v>
          </cell>
          <cell r="AR41">
            <v>167</v>
          </cell>
          <cell r="AS41">
            <v>86</v>
          </cell>
        </row>
        <row r="42">
          <cell r="B42">
            <v>17031030706</v>
          </cell>
          <cell r="D42">
            <v>1831</v>
          </cell>
          <cell r="E42">
            <v>273</v>
          </cell>
          <cell r="F42">
            <v>739</v>
          </cell>
          <cell r="G42">
            <v>256</v>
          </cell>
          <cell r="H42">
            <v>636</v>
          </cell>
          <cell r="I42">
            <v>229</v>
          </cell>
          <cell r="J42">
            <v>103</v>
          </cell>
          <cell r="K42">
            <v>131</v>
          </cell>
          <cell r="L42">
            <v>103</v>
          </cell>
          <cell r="M42">
            <v>131</v>
          </cell>
          <cell r="N42">
            <v>0</v>
          </cell>
          <cell r="O42">
            <v>11</v>
          </cell>
          <cell r="P42">
            <v>0</v>
          </cell>
          <cell r="Q42">
            <v>11</v>
          </cell>
          <cell r="R42">
            <v>0</v>
          </cell>
          <cell r="S42">
            <v>11</v>
          </cell>
          <cell r="T42">
            <v>0</v>
          </cell>
          <cell r="U42">
            <v>11</v>
          </cell>
          <cell r="V42">
            <v>933</v>
          </cell>
          <cell r="W42">
            <v>183</v>
          </cell>
          <cell r="X42">
            <v>455</v>
          </cell>
          <cell r="Y42">
            <v>166</v>
          </cell>
          <cell r="Z42">
            <v>19</v>
          </cell>
          <cell r="AA42">
            <v>31</v>
          </cell>
          <cell r="AB42">
            <v>408</v>
          </cell>
          <cell r="AC42">
            <v>147</v>
          </cell>
          <cell r="AD42">
            <v>51</v>
          </cell>
          <cell r="AE42">
            <v>45</v>
          </cell>
          <cell r="AF42">
            <v>0</v>
          </cell>
          <cell r="AG42">
            <v>11</v>
          </cell>
          <cell r="AH42">
            <v>10</v>
          </cell>
          <cell r="AI42">
            <v>19</v>
          </cell>
          <cell r="AJ42">
            <v>0</v>
          </cell>
          <cell r="AK42">
            <v>11</v>
          </cell>
          <cell r="AL42">
            <v>39</v>
          </cell>
          <cell r="AM42">
            <v>33</v>
          </cell>
          <cell r="AN42">
            <v>56</v>
          </cell>
          <cell r="AO42">
            <v>46</v>
          </cell>
          <cell r="AP42">
            <v>0</v>
          </cell>
          <cell r="AQ42">
            <v>11</v>
          </cell>
          <cell r="AR42">
            <v>54</v>
          </cell>
          <cell r="AS42">
            <v>46</v>
          </cell>
        </row>
        <row r="43">
          <cell r="B43">
            <v>17031030800</v>
          </cell>
          <cell r="D43">
            <v>2298</v>
          </cell>
          <cell r="E43">
            <v>350</v>
          </cell>
          <cell r="F43">
            <v>1228</v>
          </cell>
          <cell r="G43">
            <v>272</v>
          </cell>
          <cell r="H43">
            <v>1043</v>
          </cell>
          <cell r="I43">
            <v>245</v>
          </cell>
          <cell r="J43">
            <v>185</v>
          </cell>
          <cell r="K43">
            <v>123</v>
          </cell>
          <cell r="L43">
            <v>136</v>
          </cell>
          <cell r="M43">
            <v>98</v>
          </cell>
          <cell r="N43">
            <v>49</v>
          </cell>
          <cell r="O43">
            <v>63</v>
          </cell>
          <cell r="P43">
            <v>0</v>
          </cell>
          <cell r="Q43">
            <v>11</v>
          </cell>
          <cell r="R43">
            <v>0</v>
          </cell>
          <cell r="S43">
            <v>11</v>
          </cell>
          <cell r="T43">
            <v>0</v>
          </cell>
          <cell r="U43">
            <v>11</v>
          </cell>
          <cell r="V43">
            <v>627</v>
          </cell>
          <cell r="W43">
            <v>162</v>
          </cell>
          <cell r="X43">
            <v>252</v>
          </cell>
          <cell r="Y43">
            <v>146</v>
          </cell>
          <cell r="Z43">
            <v>0</v>
          </cell>
          <cell r="AA43">
            <v>11</v>
          </cell>
          <cell r="AB43">
            <v>361</v>
          </cell>
          <cell r="AC43">
            <v>130</v>
          </cell>
          <cell r="AD43">
            <v>14</v>
          </cell>
          <cell r="AE43">
            <v>25</v>
          </cell>
          <cell r="AF43">
            <v>0</v>
          </cell>
          <cell r="AG43">
            <v>11</v>
          </cell>
          <cell r="AH43">
            <v>13</v>
          </cell>
          <cell r="AI43">
            <v>21</v>
          </cell>
          <cell r="AJ43">
            <v>0</v>
          </cell>
          <cell r="AK43">
            <v>11</v>
          </cell>
          <cell r="AL43">
            <v>40</v>
          </cell>
          <cell r="AM43">
            <v>63</v>
          </cell>
          <cell r="AN43">
            <v>87</v>
          </cell>
          <cell r="AO43">
            <v>55</v>
          </cell>
          <cell r="AP43">
            <v>31</v>
          </cell>
          <cell r="AQ43">
            <v>37</v>
          </cell>
          <cell r="AR43">
            <v>272</v>
          </cell>
          <cell r="AS43">
            <v>129</v>
          </cell>
        </row>
        <row r="44">
          <cell r="B44">
            <v>17031030900</v>
          </cell>
          <cell r="D44">
            <v>1941</v>
          </cell>
          <cell r="E44">
            <v>306</v>
          </cell>
          <cell r="F44">
            <v>862</v>
          </cell>
          <cell r="G44">
            <v>177</v>
          </cell>
          <cell r="H44">
            <v>802</v>
          </cell>
          <cell r="I44">
            <v>163</v>
          </cell>
          <cell r="J44">
            <v>60</v>
          </cell>
          <cell r="K44">
            <v>57</v>
          </cell>
          <cell r="L44">
            <v>45</v>
          </cell>
          <cell r="M44">
            <v>54</v>
          </cell>
          <cell r="N44">
            <v>15</v>
          </cell>
          <cell r="O44">
            <v>16</v>
          </cell>
          <cell r="P44">
            <v>0</v>
          </cell>
          <cell r="Q44">
            <v>11</v>
          </cell>
          <cell r="R44">
            <v>0</v>
          </cell>
          <cell r="S44">
            <v>11</v>
          </cell>
          <cell r="T44">
            <v>0</v>
          </cell>
          <cell r="U44">
            <v>11</v>
          </cell>
          <cell r="V44">
            <v>602</v>
          </cell>
          <cell r="W44">
            <v>182</v>
          </cell>
          <cell r="X44">
            <v>184</v>
          </cell>
          <cell r="Y44">
            <v>127</v>
          </cell>
          <cell r="Z44">
            <v>0</v>
          </cell>
          <cell r="AA44">
            <v>11</v>
          </cell>
          <cell r="AB44">
            <v>338</v>
          </cell>
          <cell r="AC44">
            <v>174</v>
          </cell>
          <cell r="AD44">
            <v>80</v>
          </cell>
          <cell r="AE44">
            <v>46</v>
          </cell>
          <cell r="AF44">
            <v>0</v>
          </cell>
          <cell r="AG44">
            <v>11</v>
          </cell>
          <cell r="AH44">
            <v>0</v>
          </cell>
          <cell r="AI44">
            <v>11</v>
          </cell>
          <cell r="AJ44">
            <v>0</v>
          </cell>
          <cell r="AK44">
            <v>11</v>
          </cell>
          <cell r="AL44">
            <v>10</v>
          </cell>
          <cell r="AM44">
            <v>18</v>
          </cell>
          <cell r="AN44">
            <v>219</v>
          </cell>
          <cell r="AO44">
            <v>94</v>
          </cell>
          <cell r="AP44">
            <v>37</v>
          </cell>
          <cell r="AQ44">
            <v>59</v>
          </cell>
          <cell r="AR44">
            <v>211</v>
          </cell>
          <cell r="AS44">
            <v>135</v>
          </cell>
        </row>
        <row r="45">
          <cell r="B45">
            <v>17031031000</v>
          </cell>
          <cell r="D45">
            <v>2759</v>
          </cell>
          <cell r="E45">
            <v>239</v>
          </cell>
          <cell r="F45">
            <v>1172</v>
          </cell>
          <cell r="G45">
            <v>198</v>
          </cell>
          <cell r="H45">
            <v>1074</v>
          </cell>
          <cell r="I45">
            <v>179</v>
          </cell>
          <cell r="J45">
            <v>98</v>
          </cell>
          <cell r="K45">
            <v>63</v>
          </cell>
          <cell r="L45">
            <v>79</v>
          </cell>
          <cell r="M45">
            <v>55</v>
          </cell>
          <cell r="N45">
            <v>19</v>
          </cell>
          <cell r="O45">
            <v>29</v>
          </cell>
          <cell r="P45">
            <v>0</v>
          </cell>
          <cell r="Q45">
            <v>11</v>
          </cell>
          <cell r="R45">
            <v>0</v>
          </cell>
          <cell r="S45">
            <v>11</v>
          </cell>
          <cell r="T45">
            <v>0</v>
          </cell>
          <cell r="U45">
            <v>11</v>
          </cell>
          <cell r="V45">
            <v>1021</v>
          </cell>
          <cell r="W45">
            <v>171</v>
          </cell>
          <cell r="X45">
            <v>296</v>
          </cell>
          <cell r="Y45">
            <v>106</v>
          </cell>
          <cell r="Z45">
            <v>0</v>
          </cell>
          <cell r="AA45">
            <v>11</v>
          </cell>
          <cell r="AB45">
            <v>566</v>
          </cell>
          <cell r="AC45">
            <v>144</v>
          </cell>
          <cell r="AD45">
            <v>159</v>
          </cell>
          <cell r="AE45">
            <v>60</v>
          </cell>
          <cell r="AF45">
            <v>0</v>
          </cell>
          <cell r="AG45">
            <v>11</v>
          </cell>
          <cell r="AH45">
            <v>0</v>
          </cell>
          <cell r="AI45">
            <v>11</v>
          </cell>
          <cell r="AJ45">
            <v>8</v>
          </cell>
          <cell r="AK45">
            <v>13</v>
          </cell>
          <cell r="AL45">
            <v>146</v>
          </cell>
          <cell r="AM45">
            <v>58</v>
          </cell>
          <cell r="AN45">
            <v>112</v>
          </cell>
          <cell r="AO45">
            <v>66</v>
          </cell>
          <cell r="AP45">
            <v>31</v>
          </cell>
          <cell r="AQ45">
            <v>50</v>
          </cell>
          <cell r="AR45">
            <v>269</v>
          </cell>
          <cell r="AS45">
            <v>82</v>
          </cell>
        </row>
        <row r="46">
          <cell r="B46">
            <v>17031031100</v>
          </cell>
          <cell r="D46">
            <v>3007</v>
          </cell>
          <cell r="E46">
            <v>288</v>
          </cell>
          <cell r="F46">
            <v>1031</v>
          </cell>
          <cell r="G46">
            <v>257</v>
          </cell>
          <cell r="H46">
            <v>861</v>
          </cell>
          <cell r="I46">
            <v>214</v>
          </cell>
          <cell r="J46">
            <v>170</v>
          </cell>
          <cell r="K46">
            <v>74</v>
          </cell>
          <cell r="L46">
            <v>100</v>
          </cell>
          <cell r="M46">
            <v>46</v>
          </cell>
          <cell r="N46">
            <v>70</v>
          </cell>
          <cell r="O46">
            <v>34</v>
          </cell>
          <cell r="P46">
            <v>0</v>
          </cell>
          <cell r="Q46">
            <v>11</v>
          </cell>
          <cell r="R46">
            <v>0</v>
          </cell>
          <cell r="S46">
            <v>11</v>
          </cell>
          <cell r="T46">
            <v>0</v>
          </cell>
          <cell r="U46">
            <v>11</v>
          </cell>
          <cell r="V46">
            <v>1289</v>
          </cell>
          <cell r="W46">
            <v>258</v>
          </cell>
          <cell r="X46">
            <v>184</v>
          </cell>
          <cell r="Y46">
            <v>126</v>
          </cell>
          <cell r="Z46">
            <v>0</v>
          </cell>
          <cell r="AA46">
            <v>11</v>
          </cell>
          <cell r="AB46">
            <v>944</v>
          </cell>
          <cell r="AC46">
            <v>238</v>
          </cell>
          <cell r="AD46">
            <v>161</v>
          </cell>
          <cell r="AE46">
            <v>73</v>
          </cell>
          <cell r="AF46">
            <v>0</v>
          </cell>
          <cell r="AG46">
            <v>11</v>
          </cell>
          <cell r="AH46">
            <v>0</v>
          </cell>
          <cell r="AI46">
            <v>11</v>
          </cell>
          <cell r="AJ46">
            <v>0</v>
          </cell>
          <cell r="AK46">
            <v>11</v>
          </cell>
          <cell r="AL46">
            <v>181</v>
          </cell>
          <cell r="AM46">
            <v>121</v>
          </cell>
          <cell r="AN46">
            <v>152</v>
          </cell>
          <cell r="AO46">
            <v>92</v>
          </cell>
          <cell r="AP46">
            <v>14</v>
          </cell>
          <cell r="AQ46">
            <v>22</v>
          </cell>
          <cell r="AR46">
            <v>340</v>
          </cell>
          <cell r="AS46">
            <v>145</v>
          </cell>
        </row>
        <row r="47">
          <cell r="B47">
            <v>17031031200</v>
          </cell>
          <cell r="D47">
            <v>2902</v>
          </cell>
          <cell r="E47">
            <v>605</v>
          </cell>
          <cell r="F47">
            <v>1283</v>
          </cell>
          <cell r="G47">
            <v>465</v>
          </cell>
          <cell r="H47">
            <v>1021</v>
          </cell>
          <cell r="I47">
            <v>376</v>
          </cell>
          <cell r="J47">
            <v>262</v>
          </cell>
          <cell r="K47">
            <v>155</v>
          </cell>
          <cell r="L47">
            <v>244</v>
          </cell>
          <cell r="M47">
            <v>153</v>
          </cell>
          <cell r="N47">
            <v>0</v>
          </cell>
          <cell r="O47">
            <v>15</v>
          </cell>
          <cell r="P47">
            <v>18</v>
          </cell>
          <cell r="Q47">
            <v>28</v>
          </cell>
          <cell r="R47">
            <v>0</v>
          </cell>
          <cell r="S47">
            <v>15</v>
          </cell>
          <cell r="T47">
            <v>0</v>
          </cell>
          <cell r="U47">
            <v>15</v>
          </cell>
          <cell r="V47">
            <v>1295</v>
          </cell>
          <cell r="W47">
            <v>360</v>
          </cell>
          <cell r="X47">
            <v>292</v>
          </cell>
          <cell r="Y47">
            <v>123</v>
          </cell>
          <cell r="Z47">
            <v>0</v>
          </cell>
          <cell r="AA47">
            <v>15</v>
          </cell>
          <cell r="AB47">
            <v>947</v>
          </cell>
          <cell r="AC47">
            <v>352</v>
          </cell>
          <cell r="AD47">
            <v>56</v>
          </cell>
          <cell r="AE47">
            <v>72</v>
          </cell>
          <cell r="AF47">
            <v>0</v>
          </cell>
          <cell r="AG47">
            <v>15</v>
          </cell>
          <cell r="AH47">
            <v>0</v>
          </cell>
          <cell r="AI47">
            <v>15</v>
          </cell>
          <cell r="AJ47">
            <v>0</v>
          </cell>
          <cell r="AK47">
            <v>15</v>
          </cell>
          <cell r="AL47">
            <v>32</v>
          </cell>
          <cell r="AM47">
            <v>38</v>
          </cell>
          <cell r="AN47">
            <v>146</v>
          </cell>
          <cell r="AO47">
            <v>119</v>
          </cell>
          <cell r="AP47">
            <v>16</v>
          </cell>
          <cell r="AQ47">
            <v>24</v>
          </cell>
          <cell r="AR47">
            <v>130</v>
          </cell>
          <cell r="AS47">
            <v>93</v>
          </cell>
        </row>
        <row r="48">
          <cell r="B48">
            <v>17031031300</v>
          </cell>
          <cell r="D48">
            <v>3722</v>
          </cell>
          <cell r="E48">
            <v>376</v>
          </cell>
          <cell r="F48">
            <v>1144</v>
          </cell>
          <cell r="G48">
            <v>243</v>
          </cell>
          <cell r="H48">
            <v>1048</v>
          </cell>
          <cell r="I48">
            <v>229</v>
          </cell>
          <cell r="J48">
            <v>96</v>
          </cell>
          <cell r="K48">
            <v>64</v>
          </cell>
          <cell r="L48">
            <v>96</v>
          </cell>
          <cell r="M48">
            <v>64</v>
          </cell>
          <cell r="N48">
            <v>0</v>
          </cell>
          <cell r="O48">
            <v>15</v>
          </cell>
          <cell r="P48">
            <v>0</v>
          </cell>
          <cell r="Q48">
            <v>15</v>
          </cell>
          <cell r="R48">
            <v>0</v>
          </cell>
          <cell r="S48">
            <v>15</v>
          </cell>
          <cell r="T48">
            <v>0</v>
          </cell>
          <cell r="U48">
            <v>15</v>
          </cell>
          <cell r="V48">
            <v>1708</v>
          </cell>
          <cell r="W48">
            <v>314</v>
          </cell>
          <cell r="X48">
            <v>1101</v>
          </cell>
          <cell r="Y48">
            <v>256</v>
          </cell>
          <cell r="Z48">
            <v>0</v>
          </cell>
          <cell r="AA48">
            <v>15</v>
          </cell>
          <cell r="AB48">
            <v>607</v>
          </cell>
          <cell r="AC48">
            <v>215</v>
          </cell>
          <cell r="AD48">
            <v>0</v>
          </cell>
          <cell r="AE48">
            <v>15</v>
          </cell>
          <cell r="AF48">
            <v>0</v>
          </cell>
          <cell r="AG48">
            <v>15</v>
          </cell>
          <cell r="AH48">
            <v>88</v>
          </cell>
          <cell r="AI48">
            <v>84</v>
          </cell>
          <cell r="AJ48">
            <v>31</v>
          </cell>
          <cell r="AK48">
            <v>34</v>
          </cell>
          <cell r="AL48">
            <v>162</v>
          </cell>
          <cell r="AM48">
            <v>103</v>
          </cell>
          <cell r="AN48">
            <v>245</v>
          </cell>
          <cell r="AO48">
            <v>113</v>
          </cell>
          <cell r="AP48">
            <v>110</v>
          </cell>
          <cell r="AQ48">
            <v>95</v>
          </cell>
          <cell r="AR48">
            <v>234</v>
          </cell>
          <cell r="AS48">
            <v>117</v>
          </cell>
        </row>
        <row r="49">
          <cell r="B49">
            <v>17031031400</v>
          </cell>
          <cell r="D49">
            <v>3273</v>
          </cell>
          <cell r="E49">
            <v>318</v>
          </cell>
          <cell r="F49">
            <v>1519</v>
          </cell>
          <cell r="G49">
            <v>239</v>
          </cell>
          <cell r="H49">
            <v>1450</v>
          </cell>
          <cell r="I49">
            <v>245</v>
          </cell>
          <cell r="J49">
            <v>69</v>
          </cell>
          <cell r="K49">
            <v>61</v>
          </cell>
          <cell r="L49">
            <v>69</v>
          </cell>
          <cell r="M49">
            <v>61</v>
          </cell>
          <cell r="N49">
            <v>0</v>
          </cell>
          <cell r="O49">
            <v>15</v>
          </cell>
          <cell r="P49">
            <v>0</v>
          </cell>
          <cell r="Q49">
            <v>15</v>
          </cell>
          <cell r="R49">
            <v>0</v>
          </cell>
          <cell r="S49">
            <v>15</v>
          </cell>
          <cell r="T49">
            <v>0</v>
          </cell>
          <cell r="U49">
            <v>15</v>
          </cell>
          <cell r="V49">
            <v>1249</v>
          </cell>
          <cell r="W49">
            <v>232</v>
          </cell>
          <cell r="X49">
            <v>953</v>
          </cell>
          <cell r="Y49">
            <v>230</v>
          </cell>
          <cell r="Z49">
            <v>0</v>
          </cell>
          <cell r="AA49">
            <v>15</v>
          </cell>
          <cell r="AB49">
            <v>265</v>
          </cell>
          <cell r="AC49">
            <v>145</v>
          </cell>
          <cell r="AD49">
            <v>31</v>
          </cell>
          <cell r="AE49">
            <v>34</v>
          </cell>
          <cell r="AF49">
            <v>0</v>
          </cell>
          <cell r="AG49">
            <v>15</v>
          </cell>
          <cell r="AH49">
            <v>26</v>
          </cell>
          <cell r="AI49">
            <v>30</v>
          </cell>
          <cell r="AJ49">
            <v>0</v>
          </cell>
          <cell r="AK49">
            <v>15</v>
          </cell>
          <cell r="AL49">
            <v>83</v>
          </cell>
          <cell r="AM49">
            <v>59</v>
          </cell>
          <cell r="AN49">
            <v>56</v>
          </cell>
          <cell r="AO49">
            <v>45</v>
          </cell>
          <cell r="AP49">
            <v>0</v>
          </cell>
          <cell r="AQ49">
            <v>15</v>
          </cell>
          <cell r="AR49">
            <v>340</v>
          </cell>
          <cell r="AS49">
            <v>158</v>
          </cell>
        </row>
        <row r="50">
          <cell r="B50">
            <v>17031031501</v>
          </cell>
          <cell r="D50">
            <v>1643</v>
          </cell>
          <cell r="E50">
            <v>243</v>
          </cell>
          <cell r="F50">
            <v>548</v>
          </cell>
          <cell r="G50">
            <v>131</v>
          </cell>
          <cell r="H50">
            <v>436</v>
          </cell>
          <cell r="I50">
            <v>96</v>
          </cell>
          <cell r="J50">
            <v>112</v>
          </cell>
          <cell r="K50">
            <v>83</v>
          </cell>
          <cell r="L50">
            <v>89</v>
          </cell>
          <cell r="M50">
            <v>52</v>
          </cell>
          <cell r="N50">
            <v>15</v>
          </cell>
          <cell r="O50">
            <v>34</v>
          </cell>
          <cell r="P50">
            <v>0</v>
          </cell>
          <cell r="Q50">
            <v>11</v>
          </cell>
          <cell r="R50">
            <v>8</v>
          </cell>
          <cell r="S50">
            <v>17</v>
          </cell>
          <cell r="T50">
            <v>0</v>
          </cell>
          <cell r="U50">
            <v>11</v>
          </cell>
          <cell r="V50">
            <v>730</v>
          </cell>
          <cell r="W50">
            <v>162</v>
          </cell>
          <cell r="X50">
            <v>506</v>
          </cell>
          <cell r="Y50">
            <v>136</v>
          </cell>
          <cell r="Z50">
            <v>0</v>
          </cell>
          <cell r="AA50">
            <v>11</v>
          </cell>
          <cell r="AB50">
            <v>203</v>
          </cell>
          <cell r="AC50">
            <v>78</v>
          </cell>
          <cell r="AD50">
            <v>21</v>
          </cell>
          <cell r="AE50">
            <v>17</v>
          </cell>
          <cell r="AF50">
            <v>0</v>
          </cell>
          <cell r="AG50">
            <v>11</v>
          </cell>
          <cell r="AH50">
            <v>9</v>
          </cell>
          <cell r="AI50">
            <v>15</v>
          </cell>
          <cell r="AJ50">
            <v>0</v>
          </cell>
          <cell r="AK50">
            <v>11</v>
          </cell>
          <cell r="AL50">
            <v>34</v>
          </cell>
          <cell r="AM50">
            <v>23</v>
          </cell>
          <cell r="AN50">
            <v>116</v>
          </cell>
          <cell r="AO50">
            <v>82</v>
          </cell>
          <cell r="AP50">
            <v>23</v>
          </cell>
          <cell r="AQ50">
            <v>24</v>
          </cell>
          <cell r="AR50">
            <v>183</v>
          </cell>
          <cell r="AS50">
            <v>92</v>
          </cell>
        </row>
        <row r="51">
          <cell r="B51">
            <v>17031031502</v>
          </cell>
          <cell r="D51">
            <v>2175</v>
          </cell>
          <cell r="E51">
            <v>455</v>
          </cell>
          <cell r="F51">
            <v>560</v>
          </cell>
          <cell r="G51">
            <v>193</v>
          </cell>
          <cell r="H51">
            <v>533</v>
          </cell>
          <cell r="I51">
            <v>193</v>
          </cell>
          <cell r="J51">
            <v>27</v>
          </cell>
          <cell r="K51">
            <v>38</v>
          </cell>
          <cell r="L51">
            <v>27</v>
          </cell>
          <cell r="M51">
            <v>38</v>
          </cell>
          <cell r="N51">
            <v>0</v>
          </cell>
          <cell r="O51">
            <v>11</v>
          </cell>
          <cell r="P51">
            <v>0</v>
          </cell>
          <cell r="Q51">
            <v>11</v>
          </cell>
          <cell r="R51">
            <v>0</v>
          </cell>
          <cell r="S51">
            <v>11</v>
          </cell>
          <cell r="T51">
            <v>0</v>
          </cell>
          <cell r="U51">
            <v>11</v>
          </cell>
          <cell r="V51">
            <v>1137</v>
          </cell>
          <cell r="W51">
            <v>329</v>
          </cell>
          <cell r="X51">
            <v>635</v>
          </cell>
          <cell r="Y51">
            <v>238</v>
          </cell>
          <cell r="Z51">
            <v>0</v>
          </cell>
          <cell r="AA51">
            <v>11</v>
          </cell>
          <cell r="AB51">
            <v>502</v>
          </cell>
          <cell r="AC51">
            <v>235</v>
          </cell>
          <cell r="AD51">
            <v>0</v>
          </cell>
          <cell r="AE51">
            <v>11</v>
          </cell>
          <cell r="AF51">
            <v>0</v>
          </cell>
          <cell r="AG51">
            <v>11</v>
          </cell>
          <cell r="AH51">
            <v>103</v>
          </cell>
          <cell r="AI51">
            <v>78</v>
          </cell>
          <cell r="AJ51">
            <v>0</v>
          </cell>
          <cell r="AK51">
            <v>11</v>
          </cell>
          <cell r="AL51">
            <v>120</v>
          </cell>
          <cell r="AM51">
            <v>101</v>
          </cell>
          <cell r="AN51">
            <v>118</v>
          </cell>
          <cell r="AO51">
            <v>81</v>
          </cell>
          <cell r="AP51">
            <v>61</v>
          </cell>
          <cell r="AQ51">
            <v>56</v>
          </cell>
          <cell r="AR51">
            <v>76</v>
          </cell>
          <cell r="AS51">
            <v>76</v>
          </cell>
        </row>
        <row r="52">
          <cell r="B52">
            <v>17031031700</v>
          </cell>
          <cell r="D52">
            <v>3958</v>
          </cell>
          <cell r="E52">
            <v>473</v>
          </cell>
          <cell r="F52">
            <v>1483</v>
          </cell>
          <cell r="G52">
            <v>277</v>
          </cell>
          <cell r="H52">
            <v>1219</v>
          </cell>
          <cell r="I52">
            <v>277</v>
          </cell>
          <cell r="J52">
            <v>264</v>
          </cell>
          <cell r="K52">
            <v>134</v>
          </cell>
          <cell r="L52">
            <v>262</v>
          </cell>
          <cell r="M52">
            <v>129</v>
          </cell>
          <cell r="N52">
            <v>2</v>
          </cell>
          <cell r="O52">
            <v>25</v>
          </cell>
          <cell r="P52">
            <v>0</v>
          </cell>
          <cell r="Q52">
            <v>15</v>
          </cell>
          <cell r="R52">
            <v>0</v>
          </cell>
          <cell r="S52">
            <v>15</v>
          </cell>
          <cell r="T52">
            <v>0</v>
          </cell>
          <cell r="U52">
            <v>15</v>
          </cell>
          <cell r="V52">
            <v>1751</v>
          </cell>
          <cell r="W52">
            <v>347</v>
          </cell>
          <cell r="X52">
            <v>357</v>
          </cell>
          <cell r="Y52">
            <v>157</v>
          </cell>
          <cell r="Z52">
            <v>0</v>
          </cell>
          <cell r="AA52">
            <v>15</v>
          </cell>
          <cell r="AB52">
            <v>1280</v>
          </cell>
          <cell r="AC52">
            <v>298</v>
          </cell>
          <cell r="AD52">
            <v>114</v>
          </cell>
          <cell r="AE52">
            <v>70</v>
          </cell>
          <cell r="AF52">
            <v>0</v>
          </cell>
          <cell r="AG52">
            <v>15</v>
          </cell>
          <cell r="AH52">
            <v>0</v>
          </cell>
          <cell r="AI52">
            <v>15</v>
          </cell>
          <cell r="AJ52">
            <v>21</v>
          </cell>
          <cell r="AK52">
            <v>35</v>
          </cell>
          <cell r="AL52">
            <v>94</v>
          </cell>
          <cell r="AM52">
            <v>55</v>
          </cell>
          <cell r="AN52">
            <v>160</v>
          </cell>
          <cell r="AO52">
            <v>106</v>
          </cell>
          <cell r="AP52">
            <v>44</v>
          </cell>
          <cell r="AQ52">
            <v>54</v>
          </cell>
          <cell r="AR52">
            <v>405</v>
          </cell>
          <cell r="AS52">
            <v>160</v>
          </cell>
        </row>
        <row r="53">
          <cell r="B53">
            <v>17031031800</v>
          </cell>
          <cell r="D53">
            <v>1270</v>
          </cell>
          <cell r="E53">
            <v>120</v>
          </cell>
          <cell r="F53">
            <v>476</v>
          </cell>
          <cell r="G53">
            <v>86</v>
          </cell>
          <cell r="H53">
            <v>404</v>
          </cell>
          <cell r="I53">
            <v>80</v>
          </cell>
          <cell r="J53">
            <v>72</v>
          </cell>
          <cell r="K53">
            <v>43</v>
          </cell>
          <cell r="L53">
            <v>53</v>
          </cell>
          <cell r="M53">
            <v>42</v>
          </cell>
          <cell r="N53">
            <v>19</v>
          </cell>
          <cell r="O53">
            <v>17</v>
          </cell>
          <cell r="P53">
            <v>0</v>
          </cell>
          <cell r="Q53">
            <v>11</v>
          </cell>
          <cell r="R53">
            <v>0</v>
          </cell>
          <cell r="S53">
            <v>11</v>
          </cell>
          <cell r="T53">
            <v>0</v>
          </cell>
          <cell r="U53">
            <v>11</v>
          </cell>
          <cell r="V53">
            <v>686</v>
          </cell>
          <cell r="W53">
            <v>102</v>
          </cell>
          <cell r="X53">
            <v>179</v>
          </cell>
          <cell r="Y53">
            <v>71</v>
          </cell>
          <cell r="Z53">
            <v>0</v>
          </cell>
          <cell r="AA53">
            <v>11</v>
          </cell>
          <cell r="AB53">
            <v>342</v>
          </cell>
          <cell r="AC53">
            <v>78</v>
          </cell>
          <cell r="AD53">
            <v>165</v>
          </cell>
          <cell r="AE53">
            <v>50</v>
          </cell>
          <cell r="AF53">
            <v>0</v>
          </cell>
          <cell r="AG53">
            <v>11</v>
          </cell>
          <cell r="AH53">
            <v>0</v>
          </cell>
          <cell r="AI53">
            <v>11</v>
          </cell>
          <cell r="AJ53">
            <v>0</v>
          </cell>
          <cell r="AK53">
            <v>11</v>
          </cell>
          <cell r="AL53">
            <v>18</v>
          </cell>
          <cell r="AM53">
            <v>14</v>
          </cell>
          <cell r="AN53">
            <v>37</v>
          </cell>
          <cell r="AO53">
            <v>24</v>
          </cell>
          <cell r="AP53">
            <v>10</v>
          </cell>
          <cell r="AQ53">
            <v>11</v>
          </cell>
          <cell r="AR53">
            <v>43</v>
          </cell>
          <cell r="AS53">
            <v>27</v>
          </cell>
        </row>
        <row r="54">
          <cell r="B54">
            <v>17031031900</v>
          </cell>
          <cell r="D54">
            <v>1449</v>
          </cell>
          <cell r="E54">
            <v>156</v>
          </cell>
          <cell r="F54">
            <v>589</v>
          </cell>
          <cell r="G54">
            <v>165</v>
          </cell>
          <cell r="H54">
            <v>551</v>
          </cell>
          <cell r="I54">
            <v>163</v>
          </cell>
          <cell r="J54">
            <v>38</v>
          </cell>
          <cell r="K54">
            <v>28</v>
          </cell>
          <cell r="L54">
            <v>38</v>
          </cell>
          <cell r="M54">
            <v>28</v>
          </cell>
          <cell r="N54">
            <v>0</v>
          </cell>
          <cell r="O54">
            <v>11</v>
          </cell>
          <cell r="P54">
            <v>0</v>
          </cell>
          <cell r="Q54">
            <v>11</v>
          </cell>
          <cell r="R54">
            <v>0</v>
          </cell>
          <cell r="S54">
            <v>11</v>
          </cell>
          <cell r="T54">
            <v>0</v>
          </cell>
          <cell r="U54">
            <v>11</v>
          </cell>
          <cell r="V54">
            <v>659</v>
          </cell>
          <cell r="W54">
            <v>146</v>
          </cell>
          <cell r="X54">
            <v>212</v>
          </cell>
          <cell r="Y54">
            <v>103</v>
          </cell>
          <cell r="Z54">
            <v>0</v>
          </cell>
          <cell r="AA54">
            <v>11</v>
          </cell>
          <cell r="AB54">
            <v>344</v>
          </cell>
          <cell r="AC54">
            <v>88</v>
          </cell>
          <cell r="AD54">
            <v>103</v>
          </cell>
          <cell r="AE54">
            <v>49</v>
          </cell>
          <cell r="AF54">
            <v>0</v>
          </cell>
          <cell r="AG54">
            <v>11</v>
          </cell>
          <cell r="AH54">
            <v>5</v>
          </cell>
          <cell r="AI54">
            <v>8</v>
          </cell>
          <cell r="AJ54">
            <v>0</v>
          </cell>
          <cell r="AK54">
            <v>11</v>
          </cell>
          <cell r="AL54">
            <v>64</v>
          </cell>
          <cell r="AM54">
            <v>42</v>
          </cell>
          <cell r="AN54">
            <v>37</v>
          </cell>
          <cell r="AO54">
            <v>30</v>
          </cell>
          <cell r="AP54">
            <v>35</v>
          </cell>
          <cell r="AQ54">
            <v>26</v>
          </cell>
          <cell r="AR54">
            <v>60</v>
          </cell>
          <cell r="AS54">
            <v>42</v>
          </cell>
        </row>
        <row r="55">
          <cell r="B55">
            <v>17031032100</v>
          </cell>
          <cell r="D55">
            <v>3975</v>
          </cell>
          <cell r="E55">
            <v>555</v>
          </cell>
          <cell r="F55">
            <v>1427</v>
          </cell>
          <cell r="G55">
            <v>383</v>
          </cell>
          <cell r="H55">
            <v>1188</v>
          </cell>
          <cell r="I55">
            <v>330</v>
          </cell>
          <cell r="J55">
            <v>239</v>
          </cell>
          <cell r="K55">
            <v>170</v>
          </cell>
          <cell r="L55">
            <v>228</v>
          </cell>
          <cell r="M55">
            <v>167</v>
          </cell>
          <cell r="N55">
            <v>0</v>
          </cell>
          <cell r="O55">
            <v>15</v>
          </cell>
          <cell r="P55">
            <v>11</v>
          </cell>
          <cell r="Q55">
            <v>19</v>
          </cell>
          <cell r="R55">
            <v>0</v>
          </cell>
          <cell r="S55">
            <v>15</v>
          </cell>
          <cell r="T55">
            <v>0</v>
          </cell>
          <cell r="U55">
            <v>15</v>
          </cell>
          <cell r="V55">
            <v>1951</v>
          </cell>
          <cell r="W55">
            <v>403</v>
          </cell>
          <cell r="X55">
            <v>1136</v>
          </cell>
          <cell r="Y55">
            <v>298</v>
          </cell>
          <cell r="Z55">
            <v>0</v>
          </cell>
          <cell r="AA55">
            <v>15</v>
          </cell>
          <cell r="AB55">
            <v>746</v>
          </cell>
          <cell r="AC55">
            <v>266</v>
          </cell>
          <cell r="AD55">
            <v>69</v>
          </cell>
          <cell r="AE55">
            <v>114</v>
          </cell>
          <cell r="AF55">
            <v>0</v>
          </cell>
          <cell r="AG55">
            <v>15</v>
          </cell>
          <cell r="AH55">
            <v>0</v>
          </cell>
          <cell r="AI55">
            <v>15</v>
          </cell>
          <cell r="AJ55">
            <v>0</v>
          </cell>
          <cell r="AK55">
            <v>15</v>
          </cell>
          <cell r="AL55">
            <v>275</v>
          </cell>
          <cell r="AM55">
            <v>198</v>
          </cell>
          <cell r="AN55">
            <v>172</v>
          </cell>
          <cell r="AO55">
            <v>114</v>
          </cell>
          <cell r="AP55">
            <v>27</v>
          </cell>
          <cell r="AQ55">
            <v>44</v>
          </cell>
          <cell r="AR55">
            <v>123</v>
          </cell>
          <cell r="AS55">
            <v>123</v>
          </cell>
        </row>
        <row r="56">
          <cell r="B56">
            <v>17031040100</v>
          </cell>
          <cell r="D56">
            <v>2122</v>
          </cell>
          <cell r="E56">
            <v>163</v>
          </cell>
          <cell r="F56">
            <v>1393</v>
          </cell>
          <cell r="G56">
            <v>166</v>
          </cell>
          <cell r="H56">
            <v>1280</v>
          </cell>
          <cell r="I56">
            <v>167</v>
          </cell>
          <cell r="J56">
            <v>113</v>
          </cell>
          <cell r="K56">
            <v>62</v>
          </cell>
          <cell r="L56">
            <v>99</v>
          </cell>
          <cell r="M56">
            <v>64</v>
          </cell>
          <cell r="N56">
            <v>0</v>
          </cell>
          <cell r="O56">
            <v>11</v>
          </cell>
          <cell r="P56">
            <v>0</v>
          </cell>
          <cell r="Q56">
            <v>11</v>
          </cell>
          <cell r="R56">
            <v>0</v>
          </cell>
          <cell r="S56">
            <v>11</v>
          </cell>
          <cell r="T56">
            <v>14</v>
          </cell>
          <cell r="U56">
            <v>20</v>
          </cell>
          <cell r="V56">
            <v>513</v>
          </cell>
          <cell r="W56">
            <v>119</v>
          </cell>
          <cell r="X56">
            <v>150</v>
          </cell>
          <cell r="Y56">
            <v>81</v>
          </cell>
          <cell r="Z56">
            <v>0</v>
          </cell>
          <cell r="AA56">
            <v>11</v>
          </cell>
          <cell r="AB56">
            <v>280</v>
          </cell>
          <cell r="AC56">
            <v>92</v>
          </cell>
          <cell r="AD56">
            <v>83</v>
          </cell>
          <cell r="AE56">
            <v>42</v>
          </cell>
          <cell r="AF56">
            <v>0</v>
          </cell>
          <cell r="AG56">
            <v>11</v>
          </cell>
          <cell r="AH56">
            <v>10</v>
          </cell>
          <cell r="AI56">
            <v>12</v>
          </cell>
          <cell r="AJ56">
            <v>0</v>
          </cell>
          <cell r="AK56">
            <v>11</v>
          </cell>
          <cell r="AL56">
            <v>24</v>
          </cell>
          <cell r="AM56">
            <v>22</v>
          </cell>
          <cell r="AN56">
            <v>47</v>
          </cell>
          <cell r="AO56">
            <v>32</v>
          </cell>
          <cell r="AP56">
            <v>46</v>
          </cell>
          <cell r="AQ56">
            <v>35</v>
          </cell>
          <cell r="AR56">
            <v>89</v>
          </cell>
          <cell r="AS56">
            <v>51</v>
          </cell>
        </row>
        <row r="57">
          <cell r="B57">
            <v>17031040201</v>
          </cell>
          <cell r="D57">
            <v>3985</v>
          </cell>
          <cell r="E57">
            <v>364</v>
          </cell>
          <cell r="F57">
            <v>1893</v>
          </cell>
          <cell r="G57">
            <v>346</v>
          </cell>
          <cell r="H57">
            <v>1520</v>
          </cell>
          <cell r="I57">
            <v>305</v>
          </cell>
          <cell r="J57">
            <v>373</v>
          </cell>
          <cell r="K57">
            <v>191</v>
          </cell>
          <cell r="L57">
            <v>248</v>
          </cell>
          <cell r="M57">
            <v>122</v>
          </cell>
          <cell r="N57">
            <v>125</v>
          </cell>
          <cell r="O57">
            <v>161</v>
          </cell>
          <cell r="P57">
            <v>0</v>
          </cell>
          <cell r="Q57">
            <v>15</v>
          </cell>
          <cell r="R57">
            <v>0</v>
          </cell>
          <cell r="S57">
            <v>15</v>
          </cell>
          <cell r="T57">
            <v>0</v>
          </cell>
          <cell r="U57">
            <v>15</v>
          </cell>
          <cell r="V57">
            <v>1346</v>
          </cell>
          <cell r="W57">
            <v>273</v>
          </cell>
          <cell r="X57">
            <v>412</v>
          </cell>
          <cell r="Y57">
            <v>177</v>
          </cell>
          <cell r="Z57">
            <v>0</v>
          </cell>
          <cell r="AA57">
            <v>15</v>
          </cell>
          <cell r="AB57">
            <v>897</v>
          </cell>
          <cell r="AC57">
            <v>207</v>
          </cell>
          <cell r="AD57">
            <v>37</v>
          </cell>
          <cell r="AE57">
            <v>33</v>
          </cell>
          <cell r="AF57">
            <v>0</v>
          </cell>
          <cell r="AG57">
            <v>15</v>
          </cell>
          <cell r="AH57">
            <v>0</v>
          </cell>
          <cell r="AI57">
            <v>15</v>
          </cell>
          <cell r="AJ57">
            <v>0</v>
          </cell>
          <cell r="AK57">
            <v>15</v>
          </cell>
          <cell r="AL57">
            <v>115</v>
          </cell>
          <cell r="AM57">
            <v>88</v>
          </cell>
          <cell r="AN57">
            <v>313</v>
          </cell>
          <cell r="AO57">
            <v>124</v>
          </cell>
          <cell r="AP57">
            <v>17</v>
          </cell>
          <cell r="AQ57">
            <v>26</v>
          </cell>
          <cell r="AR57">
            <v>301</v>
          </cell>
          <cell r="AS57">
            <v>128</v>
          </cell>
        </row>
        <row r="58">
          <cell r="B58">
            <v>17031040202</v>
          </cell>
          <cell r="D58">
            <v>3536</v>
          </cell>
          <cell r="E58">
            <v>374</v>
          </cell>
          <cell r="F58">
            <v>2438</v>
          </cell>
          <cell r="G58">
            <v>325</v>
          </cell>
          <cell r="H58">
            <v>2061</v>
          </cell>
          <cell r="I58">
            <v>310</v>
          </cell>
          <cell r="J58">
            <v>377</v>
          </cell>
          <cell r="K58">
            <v>146</v>
          </cell>
          <cell r="L58">
            <v>377</v>
          </cell>
          <cell r="M58">
            <v>146</v>
          </cell>
          <cell r="N58">
            <v>0</v>
          </cell>
          <cell r="O58">
            <v>15</v>
          </cell>
          <cell r="P58">
            <v>0</v>
          </cell>
          <cell r="Q58">
            <v>15</v>
          </cell>
          <cell r="R58">
            <v>0</v>
          </cell>
          <cell r="S58">
            <v>15</v>
          </cell>
          <cell r="T58">
            <v>0</v>
          </cell>
          <cell r="U58">
            <v>15</v>
          </cell>
          <cell r="V58">
            <v>839</v>
          </cell>
          <cell r="W58">
            <v>230</v>
          </cell>
          <cell r="X58">
            <v>406</v>
          </cell>
          <cell r="Y58">
            <v>151</v>
          </cell>
          <cell r="Z58">
            <v>0</v>
          </cell>
          <cell r="AA58">
            <v>15</v>
          </cell>
          <cell r="AB58">
            <v>416</v>
          </cell>
          <cell r="AC58">
            <v>217</v>
          </cell>
          <cell r="AD58">
            <v>17</v>
          </cell>
          <cell r="AE58">
            <v>27</v>
          </cell>
          <cell r="AF58">
            <v>0</v>
          </cell>
          <cell r="AG58">
            <v>15</v>
          </cell>
          <cell r="AH58">
            <v>0</v>
          </cell>
          <cell r="AI58">
            <v>15</v>
          </cell>
          <cell r="AJ58">
            <v>26</v>
          </cell>
          <cell r="AK58">
            <v>29</v>
          </cell>
          <cell r="AL58">
            <v>35</v>
          </cell>
          <cell r="AM58">
            <v>40</v>
          </cell>
          <cell r="AN58">
            <v>58</v>
          </cell>
          <cell r="AO58">
            <v>53</v>
          </cell>
          <cell r="AP58">
            <v>0</v>
          </cell>
          <cell r="AQ58">
            <v>15</v>
          </cell>
          <cell r="AR58">
            <v>140</v>
          </cell>
          <cell r="AS58">
            <v>125</v>
          </cell>
        </row>
        <row r="59">
          <cell r="B59">
            <v>17031040300</v>
          </cell>
          <cell r="D59">
            <v>1471</v>
          </cell>
          <cell r="E59">
            <v>193</v>
          </cell>
          <cell r="F59">
            <v>1062</v>
          </cell>
          <cell r="G59">
            <v>164</v>
          </cell>
          <cell r="H59">
            <v>921</v>
          </cell>
          <cell r="I59">
            <v>145</v>
          </cell>
          <cell r="J59">
            <v>141</v>
          </cell>
          <cell r="K59">
            <v>105</v>
          </cell>
          <cell r="L59">
            <v>98</v>
          </cell>
          <cell r="M59">
            <v>100</v>
          </cell>
          <cell r="N59">
            <v>19</v>
          </cell>
          <cell r="O59">
            <v>21</v>
          </cell>
          <cell r="P59">
            <v>0</v>
          </cell>
          <cell r="Q59">
            <v>11</v>
          </cell>
          <cell r="R59">
            <v>0</v>
          </cell>
          <cell r="S59">
            <v>11</v>
          </cell>
          <cell r="T59">
            <v>24</v>
          </cell>
          <cell r="U59">
            <v>27</v>
          </cell>
          <cell r="V59">
            <v>289</v>
          </cell>
          <cell r="W59">
            <v>90</v>
          </cell>
          <cell r="X59">
            <v>81</v>
          </cell>
          <cell r="Y59">
            <v>57</v>
          </cell>
          <cell r="Z59">
            <v>0</v>
          </cell>
          <cell r="AA59">
            <v>11</v>
          </cell>
          <cell r="AB59">
            <v>179</v>
          </cell>
          <cell r="AC59">
            <v>69</v>
          </cell>
          <cell r="AD59">
            <v>29</v>
          </cell>
          <cell r="AE59">
            <v>30</v>
          </cell>
          <cell r="AF59">
            <v>0</v>
          </cell>
          <cell r="AG59">
            <v>11</v>
          </cell>
          <cell r="AH59">
            <v>0</v>
          </cell>
          <cell r="AI59">
            <v>11</v>
          </cell>
          <cell r="AJ59">
            <v>0</v>
          </cell>
          <cell r="AK59">
            <v>11</v>
          </cell>
          <cell r="AL59">
            <v>21</v>
          </cell>
          <cell r="AM59">
            <v>22</v>
          </cell>
          <cell r="AN59">
            <v>57</v>
          </cell>
          <cell r="AO59">
            <v>41</v>
          </cell>
          <cell r="AP59">
            <v>0</v>
          </cell>
          <cell r="AQ59">
            <v>11</v>
          </cell>
          <cell r="AR59">
            <v>42</v>
          </cell>
          <cell r="AS59">
            <v>36</v>
          </cell>
        </row>
        <row r="60">
          <cell r="B60">
            <v>17031040401</v>
          </cell>
          <cell r="D60">
            <v>1910</v>
          </cell>
          <cell r="E60">
            <v>209</v>
          </cell>
          <cell r="F60">
            <v>960</v>
          </cell>
          <cell r="G60">
            <v>157</v>
          </cell>
          <cell r="H60">
            <v>918</v>
          </cell>
          <cell r="I60">
            <v>153</v>
          </cell>
          <cell r="J60">
            <v>42</v>
          </cell>
          <cell r="K60">
            <v>34</v>
          </cell>
          <cell r="L60">
            <v>33</v>
          </cell>
          <cell r="M60">
            <v>28</v>
          </cell>
          <cell r="N60">
            <v>9</v>
          </cell>
          <cell r="O60">
            <v>15</v>
          </cell>
          <cell r="P60">
            <v>0</v>
          </cell>
          <cell r="Q60">
            <v>11</v>
          </cell>
          <cell r="R60">
            <v>0</v>
          </cell>
          <cell r="S60">
            <v>11</v>
          </cell>
          <cell r="T60">
            <v>0</v>
          </cell>
          <cell r="U60">
            <v>11</v>
          </cell>
          <cell r="V60">
            <v>659</v>
          </cell>
          <cell r="W60">
            <v>124</v>
          </cell>
          <cell r="X60">
            <v>140</v>
          </cell>
          <cell r="Y60">
            <v>69</v>
          </cell>
          <cell r="Z60">
            <v>0</v>
          </cell>
          <cell r="AA60">
            <v>11</v>
          </cell>
          <cell r="AB60">
            <v>481</v>
          </cell>
          <cell r="AC60">
            <v>107</v>
          </cell>
          <cell r="AD60">
            <v>38</v>
          </cell>
          <cell r="AE60">
            <v>29</v>
          </cell>
          <cell r="AF60">
            <v>0</v>
          </cell>
          <cell r="AG60">
            <v>11</v>
          </cell>
          <cell r="AH60">
            <v>0</v>
          </cell>
          <cell r="AI60">
            <v>11</v>
          </cell>
          <cell r="AJ60">
            <v>0</v>
          </cell>
          <cell r="AK60">
            <v>11</v>
          </cell>
          <cell r="AL60">
            <v>34</v>
          </cell>
          <cell r="AM60">
            <v>27</v>
          </cell>
          <cell r="AN60">
            <v>92</v>
          </cell>
          <cell r="AO60">
            <v>61</v>
          </cell>
          <cell r="AP60">
            <v>0</v>
          </cell>
          <cell r="AQ60">
            <v>11</v>
          </cell>
          <cell r="AR60">
            <v>165</v>
          </cell>
          <cell r="AS60">
            <v>108</v>
          </cell>
        </row>
        <row r="61">
          <cell r="B61">
            <v>17031040402</v>
          </cell>
          <cell r="D61">
            <v>3403</v>
          </cell>
          <cell r="E61">
            <v>256</v>
          </cell>
          <cell r="F61">
            <v>1409</v>
          </cell>
          <cell r="G61">
            <v>230</v>
          </cell>
          <cell r="H61">
            <v>1297</v>
          </cell>
          <cell r="I61">
            <v>235</v>
          </cell>
          <cell r="J61">
            <v>112</v>
          </cell>
          <cell r="K61">
            <v>72</v>
          </cell>
          <cell r="L61">
            <v>56</v>
          </cell>
          <cell r="M61">
            <v>56</v>
          </cell>
          <cell r="N61">
            <v>56</v>
          </cell>
          <cell r="O61">
            <v>45</v>
          </cell>
          <cell r="P61">
            <v>0</v>
          </cell>
          <cell r="Q61">
            <v>11</v>
          </cell>
          <cell r="R61">
            <v>0</v>
          </cell>
          <cell r="S61">
            <v>11</v>
          </cell>
          <cell r="T61">
            <v>0</v>
          </cell>
          <cell r="U61">
            <v>11</v>
          </cell>
          <cell r="V61">
            <v>1686</v>
          </cell>
          <cell r="W61">
            <v>203</v>
          </cell>
          <cell r="X61">
            <v>140</v>
          </cell>
          <cell r="Y61">
            <v>105</v>
          </cell>
          <cell r="Z61">
            <v>37</v>
          </cell>
          <cell r="AA61">
            <v>61</v>
          </cell>
          <cell r="AB61">
            <v>881</v>
          </cell>
          <cell r="AC61">
            <v>206</v>
          </cell>
          <cell r="AD61">
            <v>628</v>
          </cell>
          <cell r="AE61">
            <v>214</v>
          </cell>
          <cell r="AF61">
            <v>0</v>
          </cell>
          <cell r="AG61">
            <v>11</v>
          </cell>
          <cell r="AH61">
            <v>0</v>
          </cell>
          <cell r="AI61">
            <v>11</v>
          </cell>
          <cell r="AJ61">
            <v>0</v>
          </cell>
          <cell r="AK61">
            <v>11</v>
          </cell>
          <cell r="AL61">
            <v>38</v>
          </cell>
          <cell r="AM61">
            <v>35</v>
          </cell>
          <cell r="AN61">
            <v>103</v>
          </cell>
          <cell r="AO61">
            <v>77</v>
          </cell>
          <cell r="AP61">
            <v>37</v>
          </cell>
          <cell r="AQ61">
            <v>38</v>
          </cell>
          <cell r="AR61">
            <v>130</v>
          </cell>
          <cell r="AS61">
            <v>81</v>
          </cell>
        </row>
        <row r="62">
          <cell r="B62">
            <v>17031040600</v>
          </cell>
          <cell r="D62">
            <v>1650</v>
          </cell>
          <cell r="E62">
            <v>196</v>
          </cell>
          <cell r="F62">
            <v>793</v>
          </cell>
          <cell r="G62">
            <v>158</v>
          </cell>
          <cell r="H62">
            <v>741</v>
          </cell>
          <cell r="I62">
            <v>152</v>
          </cell>
          <cell r="J62">
            <v>52</v>
          </cell>
          <cell r="K62">
            <v>35</v>
          </cell>
          <cell r="L62">
            <v>28</v>
          </cell>
          <cell r="M62">
            <v>28</v>
          </cell>
          <cell r="N62">
            <v>16</v>
          </cell>
          <cell r="O62">
            <v>17</v>
          </cell>
          <cell r="P62">
            <v>8</v>
          </cell>
          <cell r="Q62">
            <v>13</v>
          </cell>
          <cell r="R62">
            <v>0</v>
          </cell>
          <cell r="S62">
            <v>11</v>
          </cell>
          <cell r="T62">
            <v>0</v>
          </cell>
          <cell r="U62">
            <v>11</v>
          </cell>
          <cell r="V62">
            <v>607</v>
          </cell>
          <cell r="W62">
            <v>130</v>
          </cell>
          <cell r="X62">
            <v>61</v>
          </cell>
          <cell r="Y62">
            <v>51</v>
          </cell>
          <cell r="Z62">
            <v>0</v>
          </cell>
          <cell r="AA62">
            <v>11</v>
          </cell>
          <cell r="AB62">
            <v>488</v>
          </cell>
          <cell r="AC62">
            <v>122</v>
          </cell>
          <cell r="AD62">
            <v>58</v>
          </cell>
          <cell r="AE62">
            <v>63</v>
          </cell>
          <cell r="AF62">
            <v>0</v>
          </cell>
          <cell r="AG62">
            <v>11</v>
          </cell>
          <cell r="AH62">
            <v>0</v>
          </cell>
          <cell r="AI62">
            <v>11</v>
          </cell>
          <cell r="AJ62">
            <v>0</v>
          </cell>
          <cell r="AK62">
            <v>11</v>
          </cell>
          <cell r="AL62">
            <v>43</v>
          </cell>
          <cell r="AM62">
            <v>41</v>
          </cell>
          <cell r="AN62">
            <v>126</v>
          </cell>
          <cell r="AO62">
            <v>58</v>
          </cell>
          <cell r="AP62">
            <v>0</v>
          </cell>
          <cell r="AQ62">
            <v>11</v>
          </cell>
          <cell r="AR62">
            <v>81</v>
          </cell>
          <cell r="AS62">
            <v>43</v>
          </cell>
        </row>
        <row r="63">
          <cell r="B63">
            <v>17031040700</v>
          </cell>
          <cell r="D63">
            <v>2187</v>
          </cell>
          <cell r="E63">
            <v>207</v>
          </cell>
          <cell r="F63">
            <v>842</v>
          </cell>
          <cell r="G63">
            <v>156</v>
          </cell>
          <cell r="H63">
            <v>765</v>
          </cell>
          <cell r="I63">
            <v>150</v>
          </cell>
          <cell r="J63">
            <v>77</v>
          </cell>
          <cell r="K63">
            <v>47</v>
          </cell>
          <cell r="L63">
            <v>77</v>
          </cell>
          <cell r="M63">
            <v>47</v>
          </cell>
          <cell r="N63">
            <v>0</v>
          </cell>
          <cell r="O63">
            <v>11</v>
          </cell>
          <cell r="P63">
            <v>0</v>
          </cell>
          <cell r="Q63">
            <v>11</v>
          </cell>
          <cell r="R63">
            <v>0</v>
          </cell>
          <cell r="S63">
            <v>11</v>
          </cell>
          <cell r="T63">
            <v>0</v>
          </cell>
          <cell r="U63">
            <v>11</v>
          </cell>
          <cell r="V63">
            <v>937</v>
          </cell>
          <cell r="W63">
            <v>180</v>
          </cell>
          <cell r="X63">
            <v>119</v>
          </cell>
          <cell r="Y63">
            <v>85</v>
          </cell>
          <cell r="Z63">
            <v>0</v>
          </cell>
          <cell r="AA63">
            <v>11</v>
          </cell>
          <cell r="AB63">
            <v>744</v>
          </cell>
          <cell r="AC63">
            <v>177</v>
          </cell>
          <cell r="AD63">
            <v>74</v>
          </cell>
          <cell r="AE63">
            <v>60</v>
          </cell>
          <cell r="AF63">
            <v>0</v>
          </cell>
          <cell r="AG63">
            <v>11</v>
          </cell>
          <cell r="AH63">
            <v>0</v>
          </cell>
          <cell r="AI63">
            <v>11</v>
          </cell>
          <cell r="AJ63">
            <v>0</v>
          </cell>
          <cell r="AK63">
            <v>11</v>
          </cell>
          <cell r="AL63">
            <v>59</v>
          </cell>
          <cell r="AM63">
            <v>39</v>
          </cell>
          <cell r="AN63">
            <v>139</v>
          </cell>
          <cell r="AO63">
            <v>109</v>
          </cell>
          <cell r="AP63">
            <v>8</v>
          </cell>
          <cell r="AQ63">
            <v>13</v>
          </cell>
          <cell r="AR63">
            <v>202</v>
          </cell>
          <cell r="AS63">
            <v>78</v>
          </cell>
        </row>
        <row r="64">
          <cell r="B64">
            <v>17031040800</v>
          </cell>
          <cell r="D64">
            <v>1099</v>
          </cell>
          <cell r="E64">
            <v>92</v>
          </cell>
          <cell r="F64">
            <v>469</v>
          </cell>
          <cell r="G64">
            <v>84</v>
          </cell>
          <cell r="H64">
            <v>414</v>
          </cell>
          <cell r="I64">
            <v>80</v>
          </cell>
          <cell r="J64">
            <v>55</v>
          </cell>
          <cell r="K64">
            <v>23</v>
          </cell>
          <cell r="L64">
            <v>46</v>
          </cell>
          <cell r="M64">
            <v>23</v>
          </cell>
          <cell r="N64">
            <v>5</v>
          </cell>
          <cell r="O64">
            <v>7</v>
          </cell>
          <cell r="P64">
            <v>4</v>
          </cell>
          <cell r="Q64">
            <v>6</v>
          </cell>
          <cell r="R64">
            <v>0</v>
          </cell>
          <cell r="S64">
            <v>11</v>
          </cell>
          <cell r="T64">
            <v>0</v>
          </cell>
          <cell r="U64">
            <v>11</v>
          </cell>
          <cell r="V64">
            <v>432</v>
          </cell>
          <cell r="W64">
            <v>73</v>
          </cell>
          <cell r="X64">
            <v>9</v>
          </cell>
          <cell r="Y64">
            <v>12</v>
          </cell>
          <cell r="Z64">
            <v>0</v>
          </cell>
          <cell r="AA64">
            <v>11</v>
          </cell>
          <cell r="AB64">
            <v>406</v>
          </cell>
          <cell r="AC64">
            <v>75</v>
          </cell>
          <cell r="AD64">
            <v>17</v>
          </cell>
          <cell r="AE64">
            <v>13</v>
          </cell>
          <cell r="AF64">
            <v>0</v>
          </cell>
          <cell r="AG64">
            <v>11</v>
          </cell>
          <cell r="AH64">
            <v>12</v>
          </cell>
          <cell r="AI64">
            <v>18</v>
          </cell>
          <cell r="AJ64">
            <v>0</v>
          </cell>
          <cell r="AK64">
            <v>11</v>
          </cell>
          <cell r="AL64">
            <v>25</v>
          </cell>
          <cell r="AM64">
            <v>18</v>
          </cell>
          <cell r="AN64">
            <v>34</v>
          </cell>
          <cell r="AO64">
            <v>22</v>
          </cell>
          <cell r="AP64">
            <v>16</v>
          </cell>
          <cell r="AQ64">
            <v>12</v>
          </cell>
          <cell r="AR64">
            <v>111</v>
          </cell>
          <cell r="AS64">
            <v>41</v>
          </cell>
        </row>
        <row r="65">
          <cell r="B65">
            <v>17031040900</v>
          </cell>
          <cell r="D65">
            <v>1505</v>
          </cell>
          <cell r="E65">
            <v>187</v>
          </cell>
          <cell r="F65">
            <v>566</v>
          </cell>
          <cell r="G65">
            <v>160</v>
          </cell>
          <cell r="H65">
            <v>522</v>
          </cell>
          <cell r="I65">
            <v>154</v>
          </cell>
          <cell r="J65">
            <v>44</v>
          </cell>
          <cell r="K65">
            <v>40</v>
          </cell>
          <cell r="L65">
            <v>33</v>
          </cell>
          <cell r="M65">
            <v>37</v>
          </cell>
          <cell r="N65">
            <v>11</v>
          </cell>
          <cell r="O65">
            <v>17</v>
          </cell>
          <cell r="P65">
            <v>0</v>
          </cell>
          <cell r="Q65">
            <v>11</v>
          </cell>
          <cell r="R65">
            <v>0</v>
          </cell>
          <cell r="S65">
            <v>11</v>
          </cell>
          <cell r="T65">
            <v>0</v>
          </cell>
          <cell r="U65">
            <v>11</v>
          </cell>
          <cell r="V65">
            <v>631</v>
          </cell>
          <cell r="W65">
            <v>138</v>
          </cell>
          <cell r="X65">
            <v>37</v>
          </cell>
          <cell r="Y65">
            <v>29</v>
          </cell>
          <cell r="Z65">
            <v>0</v>
          </cell>
          <cell r="AA65">
            <v>11</v>
          </cell>
          <cell r="AB65">
            <v>563</v>
          </cell>
          <cell r="AC65">
            <v>129</v>
          </cell>
          <cell r="AD65">
            <v>31</v>
          </cell>
          <cell r="AE65">
            <v>35</v>
          </cell>
          <cell r="AF65">
            <v>0</v>
          </cell>
          <cell r="AG65">
            <v>11</v>
          </cell>
          <cell r="AH65">
            <v>7</v>
          </cell>
          <cell r="AI65">
            <v>12</v>
          </cell>
          <cell r="AJ65">
            <v>0</v>
          </cell>
          <cell r="AK65">
            <v>11</v>
          </cell>
          <cell r="AL65">
            <v>42</v>
          </cell>
          <cell r="AM65">
            <v>30</v>
          </cell>
          <cell r="AN65">
            <v>128</v>
          </cell>
          <cell r="AO65">
            <v>66</v>
          </cell>
          <cell r="AP65">
            <v>26</v>
          </cell>
          <cell r="AQ65">
            <v>25</v>
          </cell>
          <cell r="AR65">
            <v>105</v>
          </cell>
          <cell r="AS65">
            <v>54</v>
          </cell>
        </row>
        <row r="66">
          <cell r="B66">
            <v>17031050100</v>
          </cell>
          <cell r="D66">
            <v>1631</v>
          </cell>
          <cell r="E66">
            <v>200</v>
          </cell>
          <cell r="F66">
            <v>766</v>
          </cell>
          <cell r="G66">
            <v>196</v>
          </cell>
          <cell r="H66">
            <v>754</v>
          </cell>
          <cell r="I66">
            <v>193</v>
          </cell>
          <cell r="J66">
            <v>12</v>
          </cell>
          <cell r="K66">
            <v>20</v>
          </cell>
          <cell r="L66">
            <v>0</v>
          </cell>
          <cell r="M66">
            <v>11</v>
          </cell>
          <cell r="N66">
            <v>12</v>
          </cell>
          <cell r="O66">
            <v>20</v>
          </cell>
          <cell r="P66">
            <v>0</v>
          </cell>
          <cell r="Q66">
            <v>11</v>
          </cell>
          <cell r="R66">
            <v>0</v>
          </cell>
          <cell r="S66">
            <v>11</v>
          </cell>
          <cell r="T66">
            <v>0</v>
          </cell>
          <cell r="U66">
            <v>11</v>
          </cell>
          <cell r="V66">
            <v>607</v>
          </cell>
          <cell r="W66">
            <v>143</v>
          </cell>
          <cell r="X66">
            <v>18</v>
          </cell>
          <cell r="Y66">
            <v>16</v>
          </cell>
          <cell r="Z66">
            <v>0</v>
          </cell>
          <cell r="AA66">
            <v>11</v>
          </cell>
          <cell r="AB66">
            <v>547</v>
          </cell>
          <cell r="AC66">
            <v>136</v>
          </cell>
          <cell r="AD66">
            <v>42</v>
          </cell>
          <cell r="AE66">
            <v>27</v>
          </cell>
          <cell r="AF66">
            <v>0</v>
          </cell>
          <cell r="AG66">
            <v>11</v>
          </cell>
          <cell r="AH66">
            <v>0</v>
          </cell>
          <cell r="AI66">
            <v>11</v>
          </cell>
          <cell r="AJ66">
            <v>0</v>
          </cell>
          <cell r="AK66">
            <v>11</v>
          </cell>
          <cell r="AL66">
            <v>31</v>
          </cell>
          <cell r="AM66">
            <v>31</v>
          </cell>
          <cell r="AN66">
            <v>58</v>
          </cell>
          <cell r="AO66">
            <v>45</v>
          </cell>
          <cell r="AP66">
            <v>11</v>
          </cell>
          <cell r="AQ66">
            <v>16</v>
          </cell>
          <cell r="AR66">
            <v>158</v>
          </cell>
          <cell r="AS66">
            <v>80</v>
          </cell>
        </row>
        <row r="67">
          <cell r="B67">
            <v>17031050200</v>
          </cell>
          <cell r="D67">
            <v>2615</v>
          </cell>
          <cell r="E67">
            <v>261</v>
          </cell>
          <cell r="F67">
            <v>984</v>
          </cell>
          <cell r="G67">
            <v>201</v>
          </cell>
          <cell r="H67">
            <v>962</v>
          </cell>
          <cell r="I67">
            <v>199</v>
          </cell>
          <cell r="J67">
            <v>22</v>
          </cell>
          <cell r="K67">
            <v>24</v>
          </cell>
          <cell r="L67">
            <v>22</v>
          </cell>
          <cell r="M67">
            <v>24</v>
          </cell>
          <cell r="N67">
            <v>0</v>
          </cell>
          <cell r="O67">
            <v>11</v>
          </cell>
          <cell r="P67">
            <v>0</v>
          </cell>
          <cell r="Q67">
            <v>11</v>
          </cell>
          <cell r="R67">
            <v>0</v>
          </cell>
          <cell r="S67">
            <v>11</v>
          </cell>
          <cell r="T67">
            <v>0</v>
          </cell>
          <cell r="U67">
            <v>11</v>
          </cell>
          <cell r="V67">
            <v>897</v>
          </cell>
          <cell r="W67">
            <v>238</v>
          </cell>
          <cell r="X67">
            <v>173</v>
          </cell>
          <cell r="Y67">
            <v>109</v>
          </cell>
          <cell r="Z67">
            <v>0</v>
          </cell>
          <cell r="AA67">
            <v>11</v>
          </cell>
          <cell r="AB67">
            <v>670</v>
          </cell>
          <cell r="AC67">
            <v>242</v>
          </cell>
          <cell r="AD67">
            <v>54</v>
          </cell>
          <cell r="AE67">
            <v>38</v>
          </cell>
          <cell r="AF67">
            <v>0</v>
          </cell>
          <cell r="AG67">
            <v>11</v>
          </cell>
          <cell r="AH67">
            <v>13</v>
          </cell>
          <cell r="AI67">
            <v>20</v>
          </cell>
          <cell r="AJ67">
            <v>0</v>
          </cell>
          <cell r="AK67">
            <v>11</v>
          </cell>
          <cell r="AL67">
            <v>160</v>
          </cell>
          <cell r="AM67">
            <v>84</v>
          </cell>
          <cell r="AN67">
            <v>122</v>
          </cell>
          <cell r="AO67">
            <v>92</v>
          </cell>
          <cell r="AP67">
            <v>11</v>
          </cell>
          <cell r="AQ67">
            <v>18</v>
          </cell>
          <cell r="AR67">
            <v>428</v>
          </cell>
          <cell r="AS67">
            <v>165</v>
          </cell>
        </row>
        <row r="68">
          <cell r="B68">
            <v>17031050300</v>
          </cell>
          <cell r="D68">
            <v>1480</v>
          </cell>
          <cell r="E68">
            <v>155</v>
          </cell>
          <cell r="F68">
            <v>815</v>
          </cell>
          <cell r="G68">
            <v>147</v>
          </cell>
          <cell r="H68">
            <v>757</v>
          </cell>
          <cell r="I68">
            <v>142</v>
          </cell>
          <cell r="J68">
            <v>58</v>
          </cell>
          <cell r="K68">
            <v>40</v>
          </cell>
          <cell r="L68">
            <v>16</v>
          </cell>
          <cell r="M68">
            <v>26</v>
          </cell>
          <cell r="N68">
            <v>19</v>
          </cell>
          <cell r="O68">
            <v>20</v>
          </cell>
          <cell r="P68">
            <v>9</v>
          </cell>
          <cell r="Q68">
            <v>13</v>
          </cell>
          <cell r="R68">
            <v>14</v>
          </cell>
          <cell r="S68">
            <v>20</v>
          </cell>
          <cell r="T68">
            <v>0</v>
          </cell>
          <cell r="U68">
            <v>11</v>
          </cell>
          <cell r="V68">
            <v>466</v>
          </cell>
          <cell r="W68">
            <v>131</v>
          </cell>
          <cell r="X68">
            <v>99</v>
          </cell>
          <cell r="Y68">
            <v>46</v>
          </cell>
          <cell r="Z68">
            <v>0</v>
          </cell>
          <cell r="AA68">
            <v>11</v>
          </cell>
          <cell r="AB68">
            <v>359</v>
          </cell>
          <cell r="AC68">
            <v>120</v>
          </cell>
          <cell r="AD68">
            <v>8</v>
          </cell>
          <cell r="AE68">
            <v>11</v>
          </cell>
          <cell r="AF68">
            <v>0</v>
          </cell>
          <cell r="AG68">
            <v>11</v>
          </cell>
          <cell r="AH68">
            <v>0</v>
          </cell>
          <cell r="AI68">
            <v>11</v>
          </cell>
          <cell r="AJ68">
            <v>0</v>
          </cell>
          <cell r="AK68">
            <v>11</v>
          </cell>
          <cell r="AL68">
            <v>41</v>
          </cell>
          <cell r="AM68">
            <v>32</v>
          </cell>
          <cell r="AN68">
            <v>81</v>
          </cell>
          <cell r="AO68">
            <v>75</v>
          </cell>
          <cell r="AP68">
            <v>0</v>
          </cell>
          <cell r="AQ68">
            <v>11</v>
          </cell>
          <cell r="AR68">
            <v>77</v>
          </cell>
          <cell r="AS68">
            <v>36</v>
          </cell>
        </row>
        <row r="69">
          <cell r="B69">
            <v>17031050500</v>
          </cell>
          <cell r="D69">
            <v>3468</v>
          </cell>
          <cell r="E69">
            <v>350</v>
          </cell>
          <cell r="F69">
            <v>1749</v>
          </cell>
          <cell r="G69">
            <v>320</v>
          </cell>
          <cell r="H69">
            <v>1542</v>
          </cell>
          <cell r="I69">
            <v>309</v>
          </cell>
          <cell r="J69">
            <v>207</v>
          </cell>
          <cell r="K69">
            <v>106</v>
          </cell>
          <cell r="L69">
            <v>165</v>
          </cell>
          <cell r="M69">
            <v>102</v>
          </cell>
          <cell r="N69">
            <v>42</v>
          </cell>
          <cell r="O69">
            <v>47</v>
          </cell>
          <cell r="P69">
            <v>0</v>
          </cell>
          <cell r="Q69">
            <v>15</v>
          </cell>
          <cell r="R69">
            <v>0</v>
          </cell>
          <cell r="S69">
            <v>15</v>
          </cell>
          <cell r="T69">
            <v>0</v>
          </cell>
          <cell r="U69">
            <v>15</v>
          </cell>
          <cell r="V69">
            <v>1237</v>
          </cell>
          <cell r="W69">
            <v>278</v>
          </cell>
          <cell r="X69">
            <v>111</v>
          </cell>
          <cell r="Y69">
            <v>85</v>
          </cell>
          <cell r="Z69">
            <v>0</v>
          </cell>
          <cell r="AA69">
            <v>15</v>
          </cell>
          <cell r="AB69">
            <v>1126</v>
          </cell>
          <cell r="AC69">
            <v>263</v>
          </cell>
          <cell r="AD69">
            <v>0</v>
          </cell>
          <cell r="AE69">
            <v>15</v>
          </cell>
          <cell r="AF69">
            <v>0</v>
          </cell>
          <cell r="AG69">
            <v>15</v>
          </cell>
          <cell r="AH69">
            <v>25</v>
          </cell>
          <cell r="AI69">
            <v>40</v>
          </cell>
          <cell r="AJ69">
            <v>0</v>
          </cell>
          <cell r="AK69">
            <v>15</v>
          </cell>
          <cell r="AL69">
            <v>124</v>
          </cell>
          <cell r="AM69">
            <v>82</v>
          </cell>
          <cell r="AN69">
            <v>144</v>
          </cell>
          <cell r="AO69">
            <v>101</v>
          </cell>
          <cell r="AP69">
            <v>2</v>
          </cell>
          <cell r="AQ69">
            <v>5</v>
          </cell>
          <cell r="AR69">
            <v>187</v>
          </cell>
          <cell r="AS69">
            <v>86</v>
          </cell>
        </row>
        <row r="70">
          <cell r="B70">
            <v>17031050600</v>
          </cell>
          <cell r="D70">
            <v>1460</v>
          </cell>
          <cell r="E70">
            <v>167</v>
          </cell>
          <cell r="F70">
            <v>600</v>
          </cell>
          <cell r="G70">
            <v>140</v>
          </cell>
          <cell r="H70">
            <v>534</v>
          </cell>
          <cell r="I70">
            <v>140</v>
          </cell>
          <cell r="J70">
            <v>66</v>
          </cell>
          <cell r="K70">
            <v>49</v>
          </cell>
          <cell r="L70">
            <v>66</v>
          </cell>
          <cell r="M70">
            <v>49</v>
          </cell>
          <cell r="N70">
            <v>0</v>
          </cell>
          <cell r="O70">
            <v>11</v>
          </cell>
          <cell r="P70">
            <v>0</v>
          </cell>
          <cell r="Q70">
            <v>11</v>
          </cell>
          <cell r="R70">
            <v>0</v>
          </cell>
          <cell r="S70">
            <v>11</v>
          </cell>
          <cell r="T70">
            <v>0</v>
          </cell>
          <cell r="U70">
            <v>11</v>
          </cell>
          <cell r="V70">
            <v>580</v>
          </cell>
          <cell r="W70">
            <v>110</v>
          </cell>
          <cell r="X70">
            <v>23</v>
          </cell>
          <cell r="Y70">
            <v>22</v>
          </cell>
          <cell r="Z70">
            <v>0</v>
          </cell>
          <cell r="AA70">
            <v>11</v>
          </cell>
          <cell r="AB70">
            <v>548</v>
          </cell>
          <cell r="AC70">
            <v>112</v>
          </cell>
          <cell r="AD70">
            <v>9</v>
          </cell>
          <cell r="AE70">
            <v>14</v>
          </cell>
          <cell r="AF70">
            <v>0</v>
          </cell>
          <cell r="AG70">
            <v>11</v>
          </cell>
          <cell r="AH70">
            <v>0</v>
          </cell>
          <cell r="AI70">
            <v>11</v>
          </cell>
          <cell r="AJ70">
            <v>0</v>
          </cell>
          <cell r="AK70">
            <v>11</v>
          </cell>
          <cell r="AL70">
            <v>34</v>
          </cell>
          <cell r="AM70">
            <v>28</v>
          </cell>
          <cell r="AN70">
            <v>63</v>
          </cell>
          <cell r="AO70">
            <v>47</v>
          </cell>
          <cell r="AP70">
            <v>0</v>
          </cell>
          <cell r="AQ70">
            <v>11</v>
          </cell>
          <cell r="AR70">
            <v>183</v>
          </cell>
          <cell r="AS70">
            <v>104</v>
          </cell>
        </row>
        <row r="71">
          <cell r="B71">
            <v>17031050700</v>
          </cell>
          <cell r="D71">
            <v>1119</v>
          </cell>
          <cell r="E71">
            <v>101</v>
          </cell>
          <cell r="F71">
            <v>457</v>
          </cell>
          <cell r="G71">
            <v>101</v>
          </cell>
          <cell r="H71">
            <v>364</v>
          </cell>
          <cell r="I71">
            <v>72</v>
          </cell>
          <cell r="J71">
            <v>93</v>
          </cell>
          <cell r="K71">
            <v>58</v>
          </cell>
          <cell r="L71">
            <v>88</v>
          </cell>
          <cell r="M71">
            <v>55</v>
          </cell>
          <cell r="N71">
            <v>5</v>
          </cell>
          <cell r="O71">
            <v>7</v>
          </cell>
          <cell r="P71">
            <v>0</v>
          </cell>
          <cell r="Q71">
            <v>11</v>
          </cell>
          <cell r="R71">
            <v>0</v>
          </cell>
          <cell r="S71">
            <v>11</v>
          </cell>
          <cell r="T71">
            <v>0</v>
          </cell>
          <cell r="U71">
            <v>11</v>
          </cell>
          <cell r="V71">
            <v>497</v>
          </cell>
          <cell r="W71">
            <v>80</v>
          </cell>
          <cell r="X71">
            <v>18</v>
          </cell>
          <cell r="Y71">
            <v>13</v>
          </cell>
          <cell r="Z71">
            <v>0</v>
          </cell>
          <cell r="AA71">
            <v>11</v>
          </cell>
          <cell r="AB71">
            <v>466</v>
          </cell>
          <cell r="AC71">
            <v>81</v>
          </cell>
          <cell r="AD71">
            <v>13</v>
          </cell>
          <cell r="AE71">
            <v>13</v>
          </cell>
          <cell r="AF71">
            <v>0</v>
          </cell>
          <cell r="AG71">
            <v>11</v>
          </cell>
          <cell r="AH71">
            <v>0</v>
          </cell>
          <cell r="AI71">
            <v>11</v>
          </cell>
          <cell r="AJ71">
            <v>0</v>
          </cell>
          <cell r="AK71">
            <v>11</v>
          </cell>
          <cell r="AL71">
            <v>45</v>
          </cell>
          <cell r="AM71">
            <v>32</v>
          </cell>
          <cell r="AN71">
            <v>42</v>
          </cell>
          <cell r="AO71">
            <v>23</v>
          </cell>
          <cell r="AP71">
            <v>5</v>
          </cell>
          <cell r="AQ71">
            <v>9</v>
          </cell>
          <cell r="AR71">
            <v>73</v>
          </cell>
          <cell r="AS71">
            <v>33</v>
          </cell>
        </row>
        <row r="72">
          <cell r="B72">
            <v>17031050800</v>
          </cell>
          <cell r="D72">
            <v>869</v>
          </cell>
          <cell r="E72">
            <v>82</v>
          </cell>
          <cell r="F72">
            <v>380</v>
          </cell>
          <cell r="G72">
            <v>67</v>
          </cell>
          <cell r="H72">
            <v>322</v>
          </cell>
          <cell r="I72">
            <v>64</v>
          </cell>
          <cell r="J72">
            <v>58</v>
          </cell>
          <cell r="K72">
            <v>32</v>
          </cell>
          <cell r="L72">
            <v>58</v>
          </cell>
          <cell r="M72">
            <v>32</v>
          </cell>
          <cell r="N72">
            <v>0</v>
          </cell>
          <cell r="O72">
            <v>11</v>
          </cell>
          <cell r="P72">
            <v>0</v>
          </cell>
          <cell r="Q72">
            <v>11</v>
          </cell>
          <cell r="R72">
            <v>0</v>
          </cell>
          <cell r="S72">
            <v>11</v>
          </cell>
          <cell r="T72">
            <v>0</v>
          </cell>
          <cell r="U72">
            <v>11</v>
          </cell>
          <cell r="V72">
            <v>333</v>
          </cell>
          <cell r="W72">
            <v>83</v>
          </cell>
          <cell r="X72">
            <v>53</v>
          </cell>
          <cell r="Y72">
            <v>42</v>
          </cell>
          <cell r="Z72">
            <v>0</v>
          </cell>
          <cell r="AA72">
            <v>11</v>
          </cell>
          <cell r="AB72">
            <v>280</v>
          </cell>
          <cell r="AC72">
            <v>79</v>
          </cell>
          <cell r="AD72">
            <v>0</v>
          </cell>
          <cell r="AE72">
            <v>11</v>
          </cell>
          <cell r="AF72">
            <v>0</v>
          </cell>
          <cell r="AG72">
            <v>11</v>
          </cell>
          <cell r="AH72">
            <v>0</v>
          </cell>
          <cell r="AI72">
            <v>11</v>
          </cell>
          <cell r="AJ72">
            <v>0</v>
          </cell>
          <cell r="AK72">
            <v>11</v>
          </cell>
          <cell r="AL72">
            <v>37</v>
          </cell>
          <cell r="AM72">
            <v>21</v>
          </cell>
          <cell r="AN72">
            <v>40</v>
          </cell>
          <cell r="AO72">
            <v>24</v>
          </cell>
          <cell r="AP72">
            <v>0</v>
          </cell>
          <cell r="AQ72">
            <v>11</v>
          </cell>
          <cell r="AR72">
            <v>79</v>
          </cell>
          <cell r="AS72">
            <v>34</v>
          </cell>
        </row>
        <row r="73">
          <cell r="B73">
            <v>17031050900</v>
          </cell>
          <cell r="D73">
            <v>845</v>
          </cell>
          <cell r="E73">
            <v>97</v>
          </cell>
          <cell r="F73">
            <v>494</v>
          </cell>
          <cell r="G73">
            <v>93</v>
          </cell>
          <cell r="H73">
            <v>457</v>
          </cell>
          <cell r="I73">
            <v>85</v>
          </cell>
          <cell r="J73">
            <v>37</v>
          </cell>
          <cell r="K73">
            <v>25</v>
          </cell>
          <cell r="L73">
            <v>27</v>
          </cell>
          <cell r="M73">
            <v>22</v>
          </cell>
          <cell r="N73">
            <v>6</v>
          </cell>
          <cell r="O73">
            <v>8</v>
          </cell>
          <cell r="P73">
            <v>0</v>
          </cell>
          <cell r="Q73">
            <v>11</v>
          </cell>
          <cell r="R73">
            <v>4</v>
          </cell>
          <cell r="S73">
            <v>6</v>
          </cell>
          <cell r="T73">
            <v>0</v>
          </cell>
          <cell r="U73">
            <v>11</v>
          </cell>
          <cell r="V73">
            <v>220</v>
          </cell>
          <cell r="W73">
            <v>68</v>
          </cell>
          <cell r="X73">
            <v>46</v>
          </cell>
          <cell r="Y73">
            <v>24</v>
          </cell>
          <cell r="Z73">
            <v>0</v>
          </cell>
          <cell r="AA73">
            <v>11</v>
          </cell>
          <cell r="AB73">
            <v>164</v>
          </cell>
          <cell r="AC73">
            <v>55</v>
          </cell>
          <cell r="AD73">
            <v>10</v>
          </cell>
          <cell r="AE73">
            <v>8</v>
          </cell>
          <cell r="AF73">
            <v>0</v>
          </cell>
          <cell r="AG73">
            <v>11</v>
          </cell>
          <cell r="AH73">
            <v>5</v>
          </cell>
          <cell r="AI73">
            <v>7</v>
          </cell>
          <cell r="AJ73">
            <v>0</v>
          </cell>
          <cell r="AK73">
            <v>11</v>
          </cell>
          <cell r="AL73">
            <v>20</v>
          </cell>
          <cell r="AM73">
            <v>18</v>
          </cell>
          <cell r="AN73">
            <v>51</v>
          </cell>
          <cell r="AO73">
            <v>32</v>
          </cell>
          <cell r="AP73">
            <v>0</v>
          </cell>
          <cell r="AQ73">
            <v>11</v>
          </cell>
          <cell r="AR73">
            <v>55</v>
          </cell>
          <cell r="AS73">
            <v>30</v>
          </cell>
        </row>
        <row r="74">
          <cell r="B74">
            <v>17031051000</v>
          </cell>
          <cell r="D74">
            <v>1016</v>
          </cell>
          <cell r="E74">
            <v>108</v>
          </cell>
          <cell r="F74">
            <v>608</v>
          </cell>
          <cell r="G74">
            <v>118</v>
          </cell>
          <cell r="H74">
            <v>529</v>
          </cell>
          <cell r="I74">
            <v>108</v>
          </cell>
          <cell r="J74">
            <v>79</v>
          </cell>
          <cell r="K74">
            <v>46</v>
          </cell>
          <cell r="L74">
            <v>68</v>
          </cell>
          <cell r="M74">
            <v>45</v>
          </cell>
          <cell r="N74">
            <v>6</v>
          </cell>
          <cell r="O74">
            <v>9</v>
          </cell>
          <cell r="P74">
            <v>5</v>
          </cell>
          <cell r="Q74">
            <v>8</v>
          </cell>
          <cell r="R74">
            <v>0</v>
          </cell>
          <cell r="S74">
            <v>11</v>
          </cell>
          <cell r="T74">
            <v>0</v>
          </cell>
          <cell r="U74">
            <v>11</v>
          </cell>
          <cell r="V74">
            <v>231</v>
          </cell>
          <cell r="W74">
            <v>66</v>
          </cell>
          <cell r="X74">
            <v>48</v>
          </cell>
          <cell r="Y74">
            <v>40</v>
          </cell>
          <cell r="Z74">
            <v>0</v>
          </cell>
          <cell r="AA74">
            <v>11</v>
          </cell>
          <cell r="AB74">
            <v>168</v>
          </cell>
          <cell r="AC74">
            <v>57</v>
          </cell>
          <cell r="AD74">
            <v>15</v>
          </cell>
          <cell r="AE74">
            <v>17</v>
          </cell>
          <cell r="AF74">
            <v>0</v>
          </cell>
          <cell r="AG74">
            <v>11</v>
          </cell>
          <cell r="AH74">
            <v>0</v>
          </cell>
          <cell r="AI74">
            <v>11</v>
          </cell>
          <cell r="AJ74">
            <v>0</v>
          </cell>
          <cell r="AK74">
            <v>11</v>
          </cell>
          <cell r="AL74">
            <v>22</v>
          </cell>
          <cell r="AM74">
            <v>21</v>
          </cell>
          <cell r="AN74">
            <v>56</v>
          </cell>
          <cell r="AO74">
            <v>50</v>
          </cell>
          <cell r="AP74">
            <v>5</v>
          </cell>
          <cell r="AQ74">
            <v>7</v>
          </cell>
          <cell r="AR74">
            <v>94</v>
          </cell>
          <cell r="AS74">
            <v>42</v>
          </cell>
        </row>
        <row r="75">
          <cell r="B75">
            <v>17031051100</v>
          </cell>
          <cell r="D75">
            <v>991</v>
          </cell>
          <cell r="E75">
            <v>130</v>
          </cell>
          <cell r="F75">
            <v>480</v>
          </cell>
          <cell r="G75">
            <v>120</v>
          </cell>
          <cell r="H75">
            <v>398</v>
          </cell>
          <cell r="I75">
            <v>123</v>
          </cell>
          <cell r="J75">
            <v>82</v>
          </cell>
          <cell r="K75">
            <v>47</v>
          </cell>
          <cell r="L75">
            <v>58</v>
          </cell>
          <cell r="M75">
            <v>32</v>
          </cell>
          <cell r="N75">
            <v>24</v>
          </cell>
          <cell r="O75">
            <v>40</v>
          </cell>
          <cell r="P75">
            <v>0</v>
          </cell>
          <cell r="Q75">
            <v>11</v>
          </cell>
          <cell r="R75">
            <v>0</v>
          </cell>
          <cell r="S75">
            <v>11</v>
          </cell>
          <cell r="T75">
            <v>0</v>
          </cell>
          <cell r="U75">
            <v>11</v>
          </cell>
          <cell r="V75">
            <v>338</v>
          </cell>
          <cell r="W75">
            <v>84</v>
          </cell>
          <cell r="X75">
            <v>34</v>
          </cell>
          <cell r="Y75">
            <v>41</v>
          </cell>
          <cell r="Z75">
            <v>0</v>
          </cell>
          <cell r="AA75">
            <v>11</v>
          </cell>
          <cell r="AB75">
            <v>293</v>
          </cell>
          <cell r="AC75">
            <v>77</v>
          </cell>
          <cell r="AD75">
            <v>11</v>
          </cell>
          <cell r="AE75">
            <v>13</v>
          </cell>
          <cell r="AF75">
            <v>0</v>
          </cell>
          <cell r="AG75">
            <v>11</v>
          </cell>
          <cell r="AH75">
            <v>0</v>
          </cell>
          <cell r="AI75">
            <v>11</v>
          </cell>
          <cell r="AJ75">
            <v>0</v>
          </cell>
          <cell r="AK75">
            <v>11</v>
          </cell>
          <cell r="AL75">
            <v>8</v>
          </cell>
          <cell r="AM75">
            <v>11</v>
          </cell>
          <cell r="AN75">
            <v>60</v>
          </cell>
          <cell r="AO75">
            <v>34</v>
          </cell>
          <cell r="AP75">
            <v>11</v>
          </cell>
          <cell r="AQ75">
            <v>11</v>
          </cell>
          <cell r="AR75">
            <v>94</v>
          </cell>
          <cell r="AS75">
            <v>45</v>
          </cell>
        </row>
        <row r="76">
          <cell r="B76">
            <v>17031051200</v>
          </cell>
          <cell r="D76">
            <v>1021</v>
          </cell>
          <cell r="E76">
            <v>114</v>
          </cell>
          <cell r="F76">
            <v>367</v>
          </cell>
          <cell r="G76">
            <v>100</v>
          </cell>
          <cell r="H76">
            <v>322</v>
          </cell>
          <cell r="I76">
            <v>95</v>
          </cell>
          <cell r="J76">
            <v>45</v>
          </cell>
          <cell r="K76">
            <v>27</v>
          </cell>
          <cell r="L76">
            <v>33</v>
          </cell>
          <cell r="M76">
            <v>25</v>
          </cell>
          <cell r="N76">
            <v>12</v>
          </cell>
          <cell r="O76">
            <v>18</v>
          </cell>
          <cell r="P76">
            <v>0</v>
          </cell>
          <cell r="Q76">
            <v>11</v>
          </cell>
          <cell r="R76">
            <v>0</v>
          </cell>
          <cell r="S76">
            <v>11</v>
          </cell>
          <cell r="T76">
            <v>0</v>
          </cell>
          <cell r="U76">
            <v>11</v>
          </cell>
          <cell r="V76">
            <v>443</v>
          </cell>
          <cell r="W76">
            <v>86</v>
          </cell>
          <cell r="X76">
            <v>35</v>
          </cell>
          <cell r="Y76">
            <v>29</v>
          </cell>
          <cell r="Z76">
            <v>5</v>
          </cell>
          <cell r="AA76">
            <v>7</v>
          </cell>
          <cell r="AB76">
            <v>387</v>
          </cell>
          <cell r="AC76">
            <v>79</v>
          </cell>
          <cell r="AD76">
            <v>16</v>
          </cell>
          <cell r="AE76">
            <v>25</v>
          </cell>
          <cell r="AF76">
            <v>0</v>
          </cell>
          <cell r="AG76">
            <v>11</v>
          </cell>
          <cell r="AH76">
            <v>5</v>
          </cell>
          <cell r="AI76">
            <v>8</v>
          </cell>
          <cell r="AJ76">
            <v>0</v>
          </cell>
          <cell r="AK76">
            <v>11</v>
          </cell>
          <cell r="AL76">
            <v>21</v>
          </cell>
          <cell r="AM76">
            <v>20</v>
          </cell>
          <cell r="AN76">
            <v>93</v>
          </cell>
          <cell r="AO76">
            <v>45</v>
          </cell>
          <cell r="AP76">
            <v>0</v>
          </cell>
          <cell r="AQ76">
            <v>11</v>
          </cell>
          <cell r="AR76">
            <v>92</v>
          </cell>
          <cell r="AS76">
            <v>46</v>
          </cell>
        </row>
        <row r="77">
          <cell r="B77">
            <v>17031051300</v>
          </cell>
          <cell r="D77">
            <v>1745</v>
          </cell>
          <cell r="E77">
            <v>177</v>
          </cell>
          <cell r="F77">
            <v>1151</v>
          </cell>
          <cell r="G77">
            <v>142</v>
          </cell>
          <cell r="H77">
            <v>1065</v>
          </cell>
          <cell r="I77">
            <v>139</v>
          </cell>
          <cell r="J77">
            <v>86</v>
          </cell>
          <cell r="K77">
            <v>61</v>
          </cell>
          <cell r="L77">
            <v>61</v>
          </cell>
          <cell r="M77">
            <v>51</v>
          </cell>
          <cell r="N77">
            <v>18</v>
          </cell>
          <cell r="O77">
            <v>26</v>
          </cell>
          <cell r="P77">
            <v>7</v>
          </cell>
          <cell r="Q77">
            <v>14</v>
          </cell>
          <cell r="R77">
            <v>0</v>
          </cell>
          <cell r="S77">
            <v>11</v>
          </cell>
          <cell r="T77">
            <v>0</v>
          </cell>
          <cell r="U77">
            <v>11</v>
          </cell>
          <cell r="V77">
            <v>337</v>
          </cell>
          <cell r="W77">
            <v>104</v>
          </cell>
          <cell r="X77">
            <v>96</v>
          </cell>
          <cell r="Y77">
            <v>52</v>
          </cell>
          <cell r="Z77">
            <v>0</v>
          </cell>
          <cell r="AA77">
            <v>11</v>
          </cell>
          <cell r="AB77">
            <v>232</v>
          </cell>
          <cell r="AC77">
            <v>94</v>
          </cell>
          <cell r="AD77">
            <v>9</v>
          </cell>
          <cell r="AE77">
            <v>14</v>
          </cell>
          <cell r="AF77">
            <v>0</v>
          </cell>
          <cell r="AG77">
            <v>11</v>
          </cell>
          <cell r="AH77">
            <v>34</v>
          </cell>
          <cell r="AI77">
            <v>43</v>
          </cell>
          <cell r="AJ77">
            <v>0</v>
          </cell>
          <cell r="AK77">
            <v>11</v>
          </cell>
          <cell r="AL77">
            <v>25</v>
          </cell>
          <cell r="AM77">
            <v>22</v>
          </cell>
          <cell r="AN77">
            <v>9</v>
          </cell>
          <cell r="AO77">
            <v>13</v>
          </cell>
          <cell r="AP77">
            <v>10</v>
          </cell>
          <cell r="AQ77">
            <v>16</v>
          </cell>
          <cell r="AR77">
            <v>179</v>
          </cell>
          <cell r="AS77">
            <v>79</v>
          </cell>
        </row>
        <row r="78">
          <cell r="B78">
            <v>17031051400</v>
          </cell>
          <cell r="D78">
            <v>1139</v>
          </cell>
          <cell r="E78">
            <v>123</v>
          </cell>
          <cell r="F78">
            <v>716</v>
          </cell>
          <cell r="G78">
            <v>105</v>
          </cell>
          <cell r="H78">
            <v>630</v>
          </cell>
          <cell r="I78">
            <v>90</v>
          </cell>
          <cell r="J78">
            <v>86</v>
          </cell>
          <cell r="K78">
            <v>43</v>
          </cell>
          <cell r="L78">
            <v>82</v>
          </cell>
          <cell r="M78">
            <v>43</v>
          </cell>
          <cell r="N78">
            <v>0</v>
          </cell>
          <cell r="O78">
            <v>11</v>
          </cell>
          <cell r="P78">
            <v>4</v>
          </cell>
          <cell r="Q78">
            <v>6</v>
          </cell>
          <cell r="R78">
            <v>0</v>
          </cell>
          <cell r="S78">
            <v>11</v>
          </cell>
          <cell r="T78">
            <v>0</v>
          </cell>
          <cell r="U78">
            <v>11</v>
          </cell>
          <cell r="V78">
            <v>239</v>
          </cell>
          <cell r="W78">
            <v>65</v>
          </cell>
          <cell r="X78">
            <v>76</v>
          </cell>
          <cell r="Y78">
            <v>46</v>
          </cell>
          <cell r="Z78">
            <v>3</v>
          </cell>
          <cell r="AA78">
            <v>6</v>
          </cell>
          <cell r="AB78">
            <v>156</v>
          </cell>
          <cell r="AC78">
            <v>53</v>
          </cell>
          <cell r="AD78">
            <v>4</v>
          </cell>
          <cell r="AE78">
            <v>6</v>
          </cell>
          <cell r="AF78">
            <v>0</v>
          </cell>
          <cell r="AG78">
            <v>11</v>
          </cell>
          <cell r="AH78">
            <v>0</v>
          </cell>
          <cell r="AI78">
            <v>11</v>
          </cell>
          <cell r="AJ78">
            <v>0</v>
          </cell>
          <cell r="AK78">
            <v>11</v>
          </cell>
          <cell r="AL78">
            <v>69</v>
          </cell>
          <cell r="AM78">
            <v>33</v>
          </cell>
          <cell r="AN78">
            <v>35</v>
          </cell>
          <cell r="AO78">
            <v>27</v>
          </cell>
          <cell r="AP78">
            <v>5</v>
          </cell>
          <cell r="AQ78">
            <v>7</v>
          </cell>
          <cell r="AR78">
            <v>75</v>
          </cell>
          <cell r="AS78">
            <v>31</v>
          </cell>
        </row>
        <row r="79">
          <cell r="B79">
            <v>17031060100</v>
          </cell>
          <cell r="D79">
            <v>1805</v>
          </cell>
          <cell r="E79">
            <v>186</v>
          </cell>
          <cell r="F79">
            <v>927</v>
          </cell>
          <cell r="G79">
            <v>171</v>
          </cell>
          <cell r="H79">
            <v>867</v>
          </cell>
          <cell r="I79">
            <v>174</v>
          </cell>
          <cell r="J79">
            <v>60</v>
          </cell>
          <cell r="K79">
            <v>47</v>
          </cell>
          <cell r="L79">
            <v>37</v>
          </cell>
          <cell r="M79">
            <v>37</v>
          </cell>
          <cell r="N79">
            <v>9</v>
          </cell>
          <cell r="O79">
            <v>15</v>
          </cell>
          <cell r="P79">
            <v>14</v>
          </cell>
          <cell r="Q79">
            <v>24</v>
          </cell>
          <cell r="R79">
            <v>0</v>
          </cell>
          <cell r="S79">
            <v>11</v>
          </cell>
          <cell r="T79">
            <v>0</v>
          </cell>
          <cell r="U79">
            <v>11</v>
          </cell>
          <cell r="V79">
            <v>559</v>
          </cell>
          <cell r="W79">
            <v>123</v>
          </cell>
          <cell r="X79">
            <v>128</v>
          </cell>
          <cell r="Y79">
            <v>69</v>
          </cell>
          <cell r="Z79">
            <v>0</v>
          </cell>
          <cell r="AA79">
            <v>11</v>
          </cell>
          <cell r="AB79">
            <v>378</v>
          </cell>
          <cell r="AC79">
            <v>99</v>
          </cell>
          <cell r="AD79">
            <v>53</v>
          </cell>
          <cell r="AE79">
            <v>35</v>
          </cell>
          <cell r="AF79">
            <v>0</v>
          </cell>
          <cell r="AG79">
            <v>11</v>
          </cell>
          <cell r="AH79">
            <v>10</v>
          </cell>
          <cell r="AI79">
            <v>17</v>
          </cell>
          <cell r="AJ79">
            <v>0</v>
          </cell>
          <cell r="AK79">
            <v>11</v>
          </cell>
          <cell r="AL79">
            <v>27</v>
          </cell>
          <cell r="AM79">
            <v>25</v>
          </cell>
          <cell r="AN79">
            <v>55</v>
          </cell>
          <cell r="AO79">
            <v>35</v>
          </cell>
          <cell r="AP79">
            <v>13</v>
          </cell>
          <cell r="AQ79">
            <v>19</v>
          </cell>
          <cell r="AR79">
            <v>214</v>
          </cell>
          <cell r="AS79">
            <v>76</v>
          </cell>
        </row>
        <row r="80">
          <cell r="B80">
            <v>17031060200</v>
          </cell>
          <cell r="D80">
            <v>1529</v>
          </cell>
          <cell r="E80">
            <v>161</v>
          </cell>
          <cell r="F80">
            <v>597</v>
          </cell>
          <cell r="G80">
            <v>154</v>
          </cell>
          <cell r="H80">
            <v>533</v>
          </cell>
          <cell r="I80">
            <v>149</v>
          </cell>
          <cell r="J80">
            <v>64</v>
          </cell>
          <cell r="K80">
            <v>40</v>
          </cell>
          <cell r="L80">
            <v>35</v>
          </cell>
          <cell r="M80">
            <v>34</v>
          </cell>
          <cell r="N80">
            <v>29</v>
          </cell>
          <cell r="O80">
            <v>22</v>
          </cell>
          <cell r="P80">
            <v>0</v>
          </cell>
          <cell r="Q80">
            <v>11</v>
          </cell>
          <cell r="R80">
            <v>0</v>
          </cell>
          <cell r="S80">
            <v>11</v>
          </cell>
          <cell r="T80">
            <v>0</v>
          </cell>
          <cell r="U80">
            <v>11</v>
          </cell>
          <cell r="V80">
            <v>693</v>
          </cell>
          <cell r="W80">
            <v>165</v>
          </cell>
          <cell r="X80">
            <v>122</v>
          </cell>
          <cell r="Y80">
            <v>66</v>
          </cell>
          <cell r="Z80">
            <v>19</v>
          </cell>
          <cell r="AA80">
            <v>31</v>
          </cell>
          <cell r="AB80">
            <v>540</v>
          </cell>
          <cell r="AC80">
            <v>124</v>
          </cell>
          <cell r="AD80">
            <v>12</v>
          </cell>
          <cell r="AE80">
            <v>15</v>
          </cell>
          <cell r="AF80">
            <v>0</v>
          </cell>
          <cell r="AG80">
            <v>11</v>
          </cell>
          <cell r="AH80">
            <v>0</v>
          </cell>
          <cell r="AI80">
            <v>11</v>
          </cell>
          <cell r="AJ80">
            <v>0</v>
          </cell>
          <cell r="AK80">
            <v>11</v>
          </cell>
          <cell r="AL80">
            <v>58</v>
          </cell>
          <cell r="AM80">
            <v>53</v>
          </cell>
          <cell r="AN80">
            <v>83</v>
          </cell>
          <cell r="AO80">
            <v>48</v>
          </cell>
          <cell r="AP80">
            <v>22</v>
          </cell>
          <cell r="AQ80">
            <v>21</v>
          </cell>
          <cell r="AR80">
            <v>76</v>
          </cell>
          <cell r="AS80">
            <v>51</v>
          </cell>
        </row>
        <row r="81">
          <cell r="B81">
            <v>17031060300</v>
          </cell>
          <cell r="D81">
            <v>2141</v>
          </cell>
          <cell r="E81">
            <v>216</v>
          </cell>
          <cell r="F81">
            <v>964</v>
          </cell>
          <cell r="G81">
            <v>230</v>
          </cell>
          <cell r="H81">
            <v>867</v>
          </cell>
          <cell r="I81">
            <v>236</v>
          </cell>
          <cell r="J81">
            <v>97</v>
          </cell>
          <cell r="K81">
            <v>61</v>
          </cell>
          <cell r="L81">
            <v>70</v>
          </cell>
          <cell r="M81">
            <v>54</v>
          </cell>
          <cell r="N81">
            <v>17</v>
          </cell>
          <cell r="O81">
            <v>27</v>
          </cell>
          <cell r="P81">
            <v>10</v>
          </cell>
          <cell r="Q81">
            <v>16</v>
          </cell>
          <cell r="R81">
            <v>0</v>
          </cell>
          <cell r="S81">
            <v>11</v>
          </cell>
          <cell r="T81">
            <v>0</v>
          </cell>
          <cell r="U81">
            <v>11</v>
          </cell>
          <cell r="V81">
            <v>854</v>
          </cell>
          <cell r="W81">
            <v>175</v>
          </cell>
          <cell r="X81">
            <v>105</v>
          </cell>
          <cell r="Y81">
            <v>75</v>
          </cell>
          <cell r="Z81">
            <v>0</v>
          </cell>
          <cell r="AA81">
            <v>11</v>
          </cell>
          <cell r="AB81">
            <v>743</v>
          </cell>
          <cell r="AC81">
            <v>152</v>
          </cell>
          <cell r="AD81">
            <v>6</v>
          </cell>
          <cell r="AE81">
            <v>10</v>
          </cell>
          <cell r="AF81">
            <v>0</v>
          </cell>
          <cell r="AG81">
            <v>11</v>
          </cell>
          <cell r="AH81">
            <v>0</v>
          </cell>
          <cell r="AI81">
            <v>11</v>
          </cell>
          <cell r="AJ81">
            <v>0</v>
          </cell>
          <cell r="AK81">
            <v>11</v>
          </cell>
          <cell r="AL81">
            <v>72</v>
          </cell>
          <cell r="AM81">
            <v>46</v>
          </cell>
          <cell r="AN81">
            <v>81</v>
          </cell>
          <cell r="AO81">
            <v>54</v>
          </cell>
          <cell r="AP81">
            <v>56</v>
          </cell>
          <cell r="AQ81">
            <v>67</v>
          </cell>
          <cell r="AR81">
            <v>114</v>
          </cell>
          <cell r="AS81">
            <v>60</v>
          </cell>
        </row>
        <row r="82">
          <cell r="B82">
            <v>17031060400</v>
          </cell>
          <cell r="D82">
            <v>2730</v>
          </cell>
          <cell r="E82">
            <v>306</v>
          </cell>
          <cell r="F82">
            <v>1126</v>
          </cell>
          <cell r="G82">
            <v>210</v>
          </cell>
          <cell r="H82">
            <v>955</v>
          </cell>
          <cell r="I82">
            <v>196</v>
          </cell>
          <cell r="J82">
            <v>171</v>
          </cell>
          <cell r="K82">
            <v>102</v>
          </cell>
          <cell r="L82">
            <v>142</v>
          </cell>
          <cell r="M82">
            <v>91</v>
          </cell>
          <cell r="N82">
            <v>29</v>
          </cell>
          <cell r="O82">
            <v>34</v>
          </cell>
          <cell r="P82">
            <v>0</v>
          </cell>
          <cell r="Q82">
            <v>11</v>
          </cell>
          <cell r="R82">
            <v>0</v>
          </cell>
          <cell r="S82">
            <v>11</v>
          </cell>
          <cell r="T82">
            <v>0</v>
          </cell>
          <cell r="U82">
            <v>11</v>
          </cell>
          <cell r="V82">
            <v>1168</v>
          </cell>
          <cell r="W82">
            <v>251</v>
          </cell>
          <cell r="X82">
            <v>291</v>
          </cell>
          <cell r="Y82">
            <v>211</v>
          </cell>
          <cell r="Z82">
            <v>0</v>
          </cell>
          <cell r="AA82">
            <v>11</v>
          </cell>
          <cell r="AB82">
            <v>867</v>
          </cell>
          <cell r="AC82">
            <v>163</v>
          </cell>
          <cell r="AD82">
            <v>10</v>
          </cell>
          <cell r="AE82">
            <v>16</v>
          </cell>
          <cell r="AF82">
            <v>0</v>
          </cell>
          <cell r="AG82">
            <v>11</v>
          </cell>
          <cell r="AH82">
            <v>0</v>
          </cell>
          <cell r="AI82">
            <v>11</v>
          </cell>
          <cell r="AJ82">
            <v>0</v>
          </cell>
          <cell r="AK82">
            <v>11</v>
          </cell>
          <cell r="AL82">
            <v>20</v>
          </cell>
          <cell r="AM82">
            <v>21</v>
          </cell>
          <cell r="AN82">
            <v>164</v>
          </cell>
          <cell r="AO82">
            <v>144</v>
          </cell>
          <cell r="AP82">
            <v>27</v>
          </cell>
          <cell r="AQ82">
            <v>23</v>
          </cell>
          <cell r="AR82">
            <v>225</v>
          </cell>
          <cell r="AS82">
            <v>93</v>
          </cell>
        </row>
        <row r="83">
          <cell r="B83">
            <v>17031060500</v>
          </cell>
          <cell r="D83">
            <v>699</v>
          </cell>
          <cell r="E83">
            <v>100</v>
          </cell>
          <cell r="F83">
            <v>273</v>
          </cell>
          <cell r="G83">
            <v>75</v>
          </cell>
          <cell r="H83">
            <v>268</v>
          </cell>
          <cell r="I83">
            <v>74</v>
          </cell>
          <cell r="J83">
            <v>5</v>
          </cell>
          <cell r="K83">
            <v>8</v>
          </cell>
          <cell r="L83">
            <v>5</v>
          </cell>
          <cell r="M83">
            <v>8</v>
          </cell>
          <cell r="N83">
            <v>0</v>
          </cell>
          <cell r="O83">
            <v>11</v>
          </cell>
          <cell r="P83">
            <v>0</v>
          </cell>
          <cell r="Q83">
            <v>11</v>
          </cell>
          <cell r="R83">
            <v>0</v>
          </cell>
          <cell r="S83">
            <v>11</v>
          </cell>
          <cell r="T83">
            <v>0</v>
          </cell>
          <cell r="U83">
            <v>11</v>
          </cell>
          <cell r="V83">
            <v>263</v>
          </cell>
          <cell r="W83">
            <v>79</v>
          </cell>
          <cell r="X83">
            <v>102</v>
          </cell>
          <cell r="Y83">
            <v>60</v>
          </cell>
          <cell r="Z83">
            <v>0</v>
          </cell>
          <cell r="AA83">
            <v>11</v>
          </cell>
          <cell r="AB83">
            <v>161</v>
          </cell>
          <cell r="AC83">
            <v>55</v>
          </cell>
          <cell r="AD83">
            <v>0</v>
          </cell>
          <cell r="AE83">
            <v>11</v>
          </cell>
          <cell r="AF83">
            <v>0</v>
          </cell>
          <cell r="AG83">
            <v>11</v>
          </cell>
          <cell r="AH83">
            <v>5</v>
          </cell>
          <cell r="AI83">
            <v>8</v>
          </cell>
          <cell r="AJ83">
            <v>0</v>
          </cell>
          <cell r="AK83">
            <v>11</v>
          </cell>
          <cell r="AL83">
            <v>28</v>
          </cell>
          <cell r="AM83">
            <v>20</v>
          </cell>
          <cell r="AN83">
            <v>59</v>
          </cell>
          <cell r="AO83">
            <v>51</v>
          </cell>
          <cell r="AP83">
            <v>0</v>
          </cell>
          <cell r="AQ83">
            <v>11</v>
          </cell>
          <cell r="AR83">
            <v>71</v>
          </cell>
          <cell r="AS83">
            <v>38</v>
          </cell>
        </row>
        <row r="84">
          <cell r="B84">
            <v>17031060800</v>
          </cell>
          <cell r="D84">
            <v>3672</v>
          </cell>
          <cell r="E84">
            <v>379</v>
          </cell>
          <cell r="F84">
            <v>1426</v>
          </cell>
          <cell r="G84">
            <v>251</v>
          </cell>
          <cell r="H84">
            <v>1228</v>
          </cell>
          <cell r="I84">
            <v>221</v>
          </cell>
          <cell r="J84">
            <v>198</v>
          </cell>
          <cell r="K84">
            <v>126</v>
          </cell>
          <cell r="L84">
            <v>107</v>
          </cell>
          <cell r="M84">
            <v>86</v>
          </cell>
          <cell r="N84">
            <v>30</v>
          </cell>
          <cell r="O84">
            <v>35</v>
          </cell>
          <cell r="P84">
            <v>61</v>
          </cell>
          <cell r="Q84">
            <v>79</v>
          </cell>
          <cell r="R84">
            <v>0</v>
          </cell>
          <cell r="S84">
            <v>15</v>
          </cell>
          <cell r="T84">
            <v>0</v>
          </cell>
          <cell r="U84">
            <v>15</v>
          </cell>
          <cell r="V84">
            <v>1884</v>
          </cell>
          <cell r="W84">
            <v>283</v>
          </cell>
          <cell r="X84">
            <v>1391</v>
          </cell>
          <cell r="Y84">
            <v>244</v>
          </cell>
          <cell r="Z84">
            <v>0</v>
          </cell>
          <cell r="AA84">
            <v>15</v>
          </cell>
          <cell r="AB84">
            <v>477</v>
          </cell>
          <cell r="AC84">
            <v>147</v>
          </cell>
          <cell r="AD84">
            <v>16</v>
          </cell>
          <cell r="AE84">
            <v>25</v>
          </cell>
          <cell r="AF84">
            <v>0</v>
          </cell>
          <cell r="AG84">
            <v>15</v>
          </cell>
          <cell r="AH84">
            <v>20</v>
          </cell>
          <cell r="AI84">
            <v>32</v>
          </cell>
          <cell r="AJ84">
            <v>0</v>
          </cell>
          <cell r="AK84">
            <v>15</v>
          </cell>
          <cell r="AL84">
            <v>33</v>
          </cell>
          <cell r="AM84">
            <v>36</v>
          </cell>
          <cell r="AN84">
            <v>102</v>
          </cell>
          <cell r="AO84">
            <v>65</v>
          </cell>
          <cell r="AP84">
            <v>13</v>
          </cell>
          <cell r="AQ84">
            <v>20</v>
          </cell>
          <cell r="AR84">
            <v>194</v>
          </cell>
          <cell r="AS84">
            <v>90</v>
          </cell>
        </row>
        <row r="85">
          <cell r="B85">
            <v>17031060900</v>
          </cell>
          <cell r="D85">
            <v>4843</v>
          </cell>
          <cell r="E85">
            <v>569</v>
          </cell>
          <cell r="F85">
            <v>1502</v>
          </cell>
          <cell r="G85">
            <v>396</v>
          </cell>
          <cell r="H85">
            <v>1368</v>
          </cell>
          <cell r="I85">
            <v>396</v>
          </cell>
          <cell r="J85">
            <v>134</v>
          </cell>
          <cell r="K85">
            <v>103</v>
          </cell>
          <cell r="L85">
            <v>111</v>
          </cell>
          <cell r="M85">
            <v>92</v>
          </cell>
          <cell r="N85">
            <v>23</v>
          </cell>
          <cell r="O85">
            <v>41</v>
          </cell>
          <cell r="P85">
            <v>0</v>
          </cell>
          <cell r="Q85">
            <v>15</v>
          </cell>
          <cell r="R85">
            <v>0</v>
          </cell>
          <cell r="S85">
            <v>15</v>
          </cell>
          <cell r="T85">
            <v>0</v>
          </cell>
          <cell r="U85">
            <v>15</v>
          </cell>
          <cell r="V85">
            <v>2672</v>
          </cell>
          <cell r="W85">
            <v>413</v>
          </cell>
          <cell r="X85">
            <v>2130</v>
          </cell>
          <cell r="Y85">
            <v>373</v>
          </cell>
          <cell r="Z85">
            <v>0</v>
          </cell>
          <cell r="AA85">
            <v>15</v>
          </cell>
          <cell r="AB85">
            <v>515</v>
          </cell>
          <cell r="AC85">
            <v>213</v>
          </cell>
          <cell r="AD85">
            <v>27</v>
          </cell>
          <cell r="AE85">
            <v>45</v>
          </cell>
          <cell r="AF85">
            <v>0</v>
          </cell>
          <cell r="AG85">
            <v>15</v>
          </cell>
          <cell r="AH85">
            <v>57</v>
          </cell>
          <cell r="AI85">
            <v>67</v>
          </cell>
          <cell r="AJ85">
            <v>31</v>
          </cell>
          <cell r="AK85">
            <v>46</v>
          </cell>
          <cell r="AL85">
            <v>107</v>
          </cell>
          <cell r="AM85">
            <v>89</v>
          </cell>
          <cell r="AN85">
            <v>263</v>
          </cell>
          <cell r="AO85">
            <v>182</v>
          </cell>
          <cell r="AP85">
            <v>25</v>
          </cell>
          <cell r="AQ85">
            <v>34</v>
          </cell>
          <cell r="AR85">
            <v>186</v>
          </cell>
          <cell r="AS85">
            <v>102</v>
          </cell>
        </row>
        <row r="86">
          <cell r="B86">
            <v>17031061000</v>
          </cell>
          <cell r="D86">
            <v>1519</v>
          </cell>
          <cell r="E86">
            <v>133</v>
          </cell>
          <cell r="F86">
            <v>499</v>
          </cell>
          <cell r="G86">
            <v>102</v>
          </cell>
          <cell r="H86">
            <v>448</v>
          </cell>
          <cell r="I86">
            <v>74</v>
          </cell>
          <cell r="J86">
            <v>51</v>
          </cell>
          <cell r="K86">
            <v>67</v>
          </cell>
          <cell r="L86">
            <v>51</v>
          </cell>
          <cell r="M86">
            <v>67</v>
          </cell>
          <cell r="N86">
            <v>0</v>
          </cell>
          <cell r="O86">
            <v>11</v>
          </cell>
          <cell r="P86">
            <v>0</v>
          </cell>
          <cell r="Q86">
            <v>11</v>
          </cell>
          <cell r="R86">
            <v>0</v>
          </cell>
          <cell r="S86">
            <v>11</v>
          </cell>
          <cell r="T86">
            <v>0</v>
          </cell>
          <cell r="U86">
            <v>11</v>
          </cell>
          <cell r="V86">
            <v>771</v>
          </cell>
          <cell r="W86">
            <v>101</v>
          </cell>
          <cell r="X86">
            <v>60</v>
          </cell>
          <cell r="Y86">
            <v>43</v>
          </cell>
          <cell r="Z86">
            <v>0</v>
          </cell>
          <cell r="AA86">
            <v>11</v>
          </cell>
          <cell r="AB86">
            <v>711</v>
          </cell>
          <cell r="AC86">
            <v>98</v>
          </cell>
          <cell r="AD86">
            <v>0</v>
          </cell>
          <cell r="AE86">
            <v>11</v>
          </cell>
          <cell r="AF86">
            <v>0</v>
          </cell>
          <cell r="AG86">
            <v>11</v>
          </cell>
          <cell r="AH86">
            <v>0</v>
          </cell>
          <cell r="AI86">
            <v>11</v>
          </cell>
          <cell r="AJ86">
            <v>0</v>
          </cell>
          <cell r="AK86">
            <v>11</v>
          </cell>
          <cell r="AL86">
            <v>58</v>
          </cell>
          <cell r="AM86">
            <v>64</v>
          </cell>
          <cell r="AN86">
            <v>39</v>
          </cell>
          <cell r="AO86">
            <v>22</v>
          </cell>
          <cell r="AP86">
            <v>12</v>
          </cell>
          <cell r="AQ86">
            <v>11</v>
          </cell>
          <cell r="AR86">
            <v>140</v>
          </cell>
          <cell r="AS86">
            <v>52</v>
          </cell>
        </row>
        <row r="87">
          <cell r="B87">
            <v>17031061100</v>
          </cell>
          <cell r="D87">
            <v>1181</v>
          </cell>
          <cell r="E87">
            <v>133</v>
          </cell>
          <cell r="F87">
            <v>389</v>
          </cell>
          <cell r="G87">
            <v>100</v>
          </cell>
          <cell r="H87">
            <v>343</v>
          </cell>
          <cell r="I87">
            <v>84</v>
          </cell>
          <cell r="J87">
            <v>46</v>
          </cell>
          <cell r="K87">
            <v>36</v>
          </cell>
          <cell r="L87">
            <v>42</v>
          </cell>
          <cell r="M87">
            <v>36</v>
          </cell>
          <cell r="N87">
            <v>4</v>
          </cell>
          <cell r="O87">
            <v>6</v>
          </cell>
          <cell r="P87">
            <v>0</v>
          </cell>
          <cell r="Q87">
            <v>11</v>
          </cell>
          <cell r="R87">
            <v>0</v>
          </cell>
          <cell r="S87">
            <v>11</v>
          </cell>
          <cell r="T87">
            <v>0</v>
          </cell>
          <cell r="U87">
            <v>11</v>
          </cell>
          <cell r="V87">
            <v>632</v>
          </cell>
          <cell r="W87">
            <v>126</v>
          </cell>
          <cell r="X87">
            <v>127</v>
          </cell>
          <cell r="Y87">
            <v>77</v>
          </cell>
          <cell r="Z87">
            <v>0</v>
          </cell>
          <cell r="AA87">
            <v>11</v>
          </cell>
          <cell r="AB87">
            <v>489</v>
          </cell>
          <cell r="AC87">
            <v>110</v>
          </cell>
          <cell r="AD87">
            <v>16</v>
          </cell>
          <cell r="AE87">
            <v>17</v>
          </cell>
          <cell r="AF87">
            <v>0</v>
          </cell>
          <cell r="AG87">
            <v>11</v>
          </cell>
          <cell r="AH87">
            <v>0</v>
          </cell>
          <cell r="AI87">
            <v>11</v>
          </cell>
          <cell r="AJ87">
            <v>6</v>
          </cell>
          <cell r="AK87">
            <v>9</v>
          </cell>
          <cell r="AL87">
            <v>48</v>
          </cell>
          <cell r="AM87">
            <v>50</v>
          </cell>
          <cell r="AN87">
            <v>19</v>
          </cell>
          <cell r="AO87">
            <v>15</v>
          </cell>
          <cell r="AP87">
            <v>0</v>
          </cell>
          <cell r="AQ87">
            <v>11</v>
          </cell>
          <cell r="AR87">
            <v>87</v>
          </cell>
          <cell r="AS87">
            <v>44</v>
          </cell>
        </row>
        <row r="88">
          <cell r="B88">
            <v>17031061200</v>
          </cell>
          <cell r="D88">
            <v>1499</v>
          </cell>
          <cell r="E88">
            <v>176</v>
          </cell>
          <cell r="F88">
            <v>448</v>
          </cell>
          <cell r="G88">
            <v>97</v>
          </cell>
          <cell r="H88">
            <v>388</v>
          </cell>
          <cell r="I88">
            <v>90</v>
          </cell>
          <cell r="J88">
            <v>60</v>
          </cell>
          <cell r="K88">
            <v>49</v>
          </cell>
          <cell r="L88">
            <v>60</v>
          </cell>
          <cell r="M88">
            <v>49</v>
          </cell>
          <cell r="N88">
            <v>0</v>
          </cell>
          <cell r="O88">
            <v>11</v>
          </cell>
          <cell r="P88">
            <v>0</v>
          </cell>
          <cell r="Q88">
            <v>11</v>
          </cell>
          <cell r="R88">
            <v>0</v>
          </cell>
          <cell r="S88">
            <v>11</v>
          </cell>
          <cell r="T88">
            <v>0</v>
          </cell>
          <cell r="U88">
            <v>11</v>
          </cell>
          <cell r="V88">
            <v>869</v>
          </cell>
          <cell r="W88">
            <v>155</v>
          </cell>
          <cell r="X88">
            <v>107</v>
          </cell>
          <cell r="Y88">
            <v>52</v>
          </cell>
          <cell r="Z88">
            <v>0</v>
          </cell>
          <cell r="AA88">
            <v>11</v>
          </cell>
          <cell r="AB88">
            <v>753</v>
          </cell>
          <cell r="AC88">
            <v>157</v>
          </cell>
          <cell r="AD88">
            <v>9</v>
          </cell>
          <cell r="AE88">
            <v>9</v>
          </cell>
          <cell r="AF88">
            <v>0</v>
          </cell>
          <cell r="AG88">
            <v>11</v>
          </cell>
          <cell r="AH88">
            <v>21</v>
          </cell>
          <cell r="AI88">
            <v>16</v>
          </cell>
          <cell r="AJ88">
            <v>0</v>
          </cell>
          <cell r="AK88">
            <v>11</v>
          </cell>
          <cell r="AL88">
            <v>22</v>
          </cell>
          <cell r="AM88">
            <v>28</v>
          </cell>
          <cell r="AN88">
            <v>41</v>
          </cell>
          <cell r="AO88">
            <v>26</v>
          </cell>
          <cell r="AP88">
            <v>16</v>
          </cell>
          <cell r="AQ88">
            <v>14</v>
          </cell>
          <cell r="AR88">
            <v>82</v>
          </cell>
          <cell r="AS88">
            <v>39</v>
          </cell>
        </row>
        <row r="89">
          <cell r="B89">
            <v>17031061500</v>
          </cell>
          <cell r="D89">
            <v>1393</v>
          </cell>
          <cell r="E89">
            <v>121</v>
          </cell>
          <cell r="F89">
            <v>643</v>
          </cell>
          <cell r="G89">
            <v>126</v>
          </cell>
          <cell r="H89">
            <v>556</v>
          </cell>
          <cell r="I89">
            <v>124</v>
          </cell>
          <cell r="J89">
            <v>87</v>
          </cell>
          <cell r="K89">
            <v>52</v>
          </cell>
          <cell r="L89">
            <v>31</v>
          </cell>
          <cell r="M89">
            <v>21</v>
          </cell>
          <cell r="N89">
            <v>56</v>
          </cell>
          <cell r="O89">
            <v>51</v>
          </cell>
          <cell r="P89">
            <v>0</v>
          </cell>
          <cell r="Q89">
            <v>11</v>
          </cell>
          <cell r="R89">
            <v>0</v>
          </cell>
          <cell r="S89">
            <v>11</v>
          </cell>
          <cell r="T89">
            <v>0</v>
          </cell>
          <cell r="U89">
            <v>11</v>
          </cell>
          <cell r="V89">
            <v>603</v>
          </cell>
          <cell r="W89">
            <v>87</v>
          </cell>
          <cell r="X89">
            <v>47</v>
          </cell>
          <cell r="Y89">
            <v>38</v>
          </cell>
          <cell r="Z89">
            <v>0</v>
          </cell>
          <cell r="AA89">
            <v>11</v>
          </cell>
          <cell r="AB89">
            <v>538</v>
          </cell>
          <cell r="AC89">
            <v>85</v>
          </cell>
          <cell r="AD89">
            <v>18</v>
          </cell>
          <cell r="AE89">
            <v>14</v>
          </cell>
          <cell r="AF89">
            <v>0</v>
          </cell>
          <cell r="AG89">
            <v>11</v>
          </cell>
          <cell r="AH89">
            <v>6</v>
          </cell>
          <cell r="AI89">
            <v>8</v>
          </cell>
          <cell r="AJ89">
            <v>4</v>
          </cell>
          <cell r="AK89">
            <v>7</v>
          </cell>
          <cell r="AL89">
            <v>10</v>
          </cell>
          <cell r="AM89">
            <v>12</v>
          </cell>
          <cell r="AN89">
            <v>32</v>
          </cell>
          <cell r="AO89">
            <v>22</v>
          </cell>
          <cell r="AP89">
            <v>14</v>
          </cell>
          <cell r="AQ89">
            <v>14</v>
          </cell>
          <cell r="AR89">
            <v>81</v>
          </cell>
          <cell r="AS89">
            <v>36</v>
          </cell>
        </row>
        <row r="90">
          <cell r="B90">
            <v>17031061800</v>
          </cell>
          <cell r="D90">
            <v>882</v>
          </cell>
          <cell r="E90">
            <v>103</v>
          </cell>
          <cell r="F90">
            <v>207</v>
          </cell>
          <cell r="G90">
            <v>55</v>
          </cell>
          <cell r="H90">
            <v>175</v>
          </cell>
          <cell r="I90">
            <v>58</v>
          </cell>
          <cell r="J90">
            <v>32</v>
          </cell>
          <cell r="K90">
            <v>29</v>
          </cell>
          <cell r="L90">
            <v>14</v>
          </cell>
          <cell r="M90">
            <v>21</v>
          </cell>
          <cell r="N90">
            <v>5</v>
          </cell>
          <cell r="O90">
            <v>7</v>
          </cell>
          <cell r="P90">
            <v>13</v>
          </cell>
          <cell r="Q90">
            <v>19</v>
          </cell>
          <cell r="R90">
            <v>0</v>
          </cell>
          <cell r="S90">
            <v>11</v>
          </cell>
          <cell r="T90">
            <v>0</v>
          </cell>
          <cell r="U90">
            <v>11</v>
          </cell>
          <cell r="V90">
            <v>475</v>
          </cell>
          <cell r="W90">
            <v>101</v>
          </cell>
          <cell r="X90">
            <v>196</v>
          </cell>
          <cell r="Y90">
            <v>63</v>
          </cell>
          <cell r="Z90">
            <v>0</v>
          </cell>
          <cell r="AA90">
            <v>11</v>
          </cell>
          <cell r="AB90">
            <v>265</v>
          </cell>
          <cell r="AC90">
            <v>71</v>
          </cell>
          <cell r="AD90">
            <v>14</v>
          </cell>
          <cell r="AE90">
            <v>14</v>
          </cell>
          <cell r="AF90">
            <v>0</v>
          </cell>
          <cell r="AG90">
            <v>11</v>
          </cell>
          <cell r="AH90">
            <v>0</v>
          </cell>
          <cell r="AI90">
            <v>11</v>
          </cell>
          <cell r="AJ90">
            <v>9</v>
          </cell>
          <cell r="AK90">
            <v>13</v>
          </cell>
          <cell r="AL90">
            <v>11</v>
          </cell>
          <cell r="AM90">
            <v>16</v>
          </cell>
          <cell r="AN90">
            <v>75</v>
          </cell>
          <cell r="AO90">
            <v>63</v>
          </cell>
          <cell r="AP90">
            <v>0</v>
          </cell>
          <cell r="AQ90">
            <v>11</v>
          </cell>
          <cell r="AR90">
            <v>105</v>
          </cell>
          <cell r="AS90">
            <v>51</v>
          </cell>
        </row>
        <row r="91">
          <cell r="B91">
            <v>17031061901</v>
          </cell>
          <cell r="D91">
            <v>2714</v>
          </cell>
          <cell r="E91">
            <v>334</v>
          </cell>
          <cell r="F91">
            <v>801</v>
          </cell>
          <cell r="G91">
            <v>310</v>
          </cell>
          <cell r="H91">
            <v>563</v>
          </cell>
          <cell r="I91">
            <v>207</v>
          </cell>
          <cell r="J91">
            <v>238</v>
          </cell>
          <cell r="K91">
            <v>178</v>
          </cell>
          <cell r="L91">
            <v>238</v>
          </cell>
          <cell r="M91">
            <v>178</v>
          </cell>
          <cell r="N91">
            <v>0</v>
          </cell>
          <cell r="O91">
            <v>11</v>
          </cell>
          <cell r="P91">
            <v>0</v>
          </cell>
          <cell r="Q91">
            <v>11</v>
          </cell>
          <cell r="R91">
            <v>0</v>
          </cell>
          <cell r="S91">
            <v>11</v>
          </cell>
          <cell r="T91">
            <v>0</v>
          </cell>
          <cell r="U91">
            <v>11</v>
          </cell>
          <cell r="V91">
            <v>1463</v>
          </cell>
          <cell r="W91">
            <v>288</v>
          </cell>
          <cell r="X91">
            <v>1057</v>
          </cell>
          <cell r="Y91">
            <v>283</v>
          </cell>
          <cell r="Z91">
            <v>0</v>
          </cell>
          <cell r="AA91">
            <v>11</v>
          </cell>
          <cell r="AB91">
            <v>351</v>
          </cell>
          <cell r="AC91">
            <v>135</v>
          </cell>
          <cell r="AD91">
            <v>55</v>
          </cell>
          <cell r="AE91">
            <v>89</v>
          </cell>
          <cell r="AF91">
            <v>0</v>
          </cell>
          <cell r="AG91">
            <v>11</v>
          </cell>
          <cell r="AH91">
            <v>0</v>
          </cell>
          <cell r="AI91">
            <v>11</v>
          </cell>
          <cell r="AJ91">
            <v>0</v>
          </cell>
          <cell r="AK91">
            <v>11</v>
          </cell>
          <cell r="AL91">
            <v>63</v>
          </cell>
          <cell r="AM91">
            <v>49</v>
          </cell>
          <cell r="AN91">
            <v>134</v>
          </cell>
          <cell r="AO91">
            <v>108</v>
          </cell>
          <cell r="AP91">
            <v>52</v>
          </cell>
          <cell r="AQ91">
            <v>83</v>
          </cell>
          <cell r="AR91">
            <v>201</v>
          </cell>
          <cell r="AS91">
            <v>80</v>
          </cell>
        </row>
        <row r="92">
          <cell r="B92">
            <v>17031061902</v>
          </cell>
          <cell r="D92">
            <v>2674</v>
          </cell>
          <cell r="E92">
            <v>317</v>
          </cell>
          <cell r="F92">
            <v>653</v>
          </cell>
          <cell r="G92">
            <v>168</v>
          </cell>
          <cell r="H92">
            <v>637</v>
          </cell>
          <cell r="I92">
            <v>169</v>
          </cell>
          <cell r="J92">
            <v>16</v>
          </cell>
          <cell r="K92">
            <v>25</v>
          </cell>
          <cell r="L92">
            <v>16</v>
          </cell>
          <cell r="M92">
            <v>25</v>
          </cell>
          <cell r="N92">
            <v>0</v>
          </cell>
          <cell r="O92">
            <v>11</v>
          </cell>
          <cell r="P92">
            <v>0</v>
          </cell>
          <cell r="Q92">
            <v>11</v>
          </cell>
          <cell r="R92">
            <v>0</v>
          </cell>
          <cell r="S92">
            <v>11</v>
          </cell>
          <cell r="T92">
            <v>0</v>
          </cell>
          <cell r="U92">
            <v>11</v>
          </cell>
          <cell r="V92">
            <v>1385</v>
          </cell>
          <cell r="W92">
            <v>242</v>
          </cell>
          <cell r="X92">
            <v>960</v>
          </cell>
          <cell r="Y92">
            <v>203</v>
          </cell>
          <cell r="Z92">
            <v>0</v>
          </cell>
          <cell r="AA92">
            <v>11</v>
          </cell>
          <cell r="AB92">
            <v>361</v>
          </cell>
          <cell r="AC92">
            <v>135</v>
          </cell>
          <cell r="AD92">
            <v>64</v>
          </cell>
          <cell r="AE92">
            <v>85</v>
          </cell>
          <cell r="AF92">
            <v>0</v>
          </cell>
          <cell r="AG92">
            <v>11</v>
          </cell>
          <cell r="AH92">
            <v>44</v>
          </cell>
          <cell r="AI92">
            <v>39</v>
          </cell>
          <cell r="AJ92">
            <v>0</v>
          </cell>
          <cell r="AK92">
            <v>11</v>
          </cell>
          <cell r="AL92">
            <v>57</v>
          </cell>
          <cell r="AM92">
            <v>44</v>
          </cell>
          <cell r="AN92">
            <v>97</v>
          </cell>
          <cell r="AO92">
            <v>56</v>
          </cell>
          <cell r="AP92">
            <v>179</v>
          </cell>
          <cell r="AQ92">
            <v>184</v>
          </cell>
          <cell r="AR92">
            <v>259</v>
          </cell>
          <cell r="AS92">
            <v>130</v>
          </cell>
        </row>
        <row r="93">
          <cell r="B93">
            <v>17031062000</v>
          </cell>
          <cell r="D93">
            <v>2435</v>
          </cell>
          <cell r="E93">
            <v>224</v>
          </cell>
          <cell r="F93">
            <v>693</v>
          </cell>
          <cell r="G93">
            <v>155</v>
          </cell>
          <cell r="H93">
            <v>655</v>
          </cell>
          <cell r="I93">
            <v>155</v>
          </cell>
          <cell r="J93">
            <v>38</v>
          </cell>
          <cell r="K93">
            <v>56</v>
          </cell>
          <cell r="L93">
            <v>8</v>
          </cell>
          <cell r="M93">
            <v>14</v>
          </cell>
          <cell r="N93">
            <v>0</v>
          </cell>
          <cell r="O93">
            <v>11</v>
          </cell>
          <cell r="P93">
            <v>30</v>
          </cell>
          <cell r="Q93">
            <v>48</v>
          </cell>
          <cell r="R93">
            <v>0</v>
          </cell>
          <cell r="S93">
            <v>11</v>
          </cell>
          <cell r="T93">
            <v>0</v>
          </cell>
          <cell r="U93">
            <v>11</v>
          </cell>
          <cell r="V93">
            <v>1292</v>
          </cell>
          <cell r="W93">
            <v>205</v>
          </cell>
          <cell r="X93">
            <v>396</v>
          </cell>
          <cell r="Y93">
            <v>121</v>
          </cell>
          <cell r="Z93">
            <v>21</v>
          </cell>
          <cell r="AA93">
            <v>33</v>
          </cell>
          <cell r="AB93">
            <v>844</v>
          </cell>
          <cell r="AC93">
            <v>177</v>
          </cell>
          <cell r="AD93">
            <v>31</v>
          </cell>
          <cell r="AE93">
            <v>51</v>
          </cell>
          <cell r="AF93">
            <v>0</v>
          </cell>
          <cell r="AG93">
            <v>11</v>
          </cell>
          <cell r="AH93">
            <v>25</v>
          </cell>
          <cell r="AI93">
            <v>31</v>
          </cell>
          <cell r="AJ93">
            <v>0</v>
          </cell>
          <cell r="AK93">
            <v>11</v>
          </cell>
          <cell r="AL93">
            <v>58</v>
          </cell>
          <cell r="AM93">
            <v>37</v>
          </cell>
          <cell r="AN93">
            <v>219</v>
          </cell>
          <cell r="AO93">
            <v>82</v>
          </cell>
          <cell r="AP93">
            <v>0</v>
          </cell>
          <cell r="AQ93">
            <v>11</v>
          </cell>
          <cell r="AR93">
            <v>148</v>
          </cell>
          <cell r="AS93">
            <v>67</v>
          </cell>
        </row>
        <row r="94">
          <cell r="B94">
            <v>17031062100</v>
          </cell>
          <cell r="D94">
            <v>2672</v>
          </cell>
          <cell r="E94">
            <v>328</v>
          </cell>
          <cell r="F94">
            <v>691</v>
          </cell>
          <cell r="G94">
            <v>140</v>
          </cell>
          <cell r="H94">
            <v>643</v>
          </cell>
          <cell r="I94">
            <v>138</v>
          </cell>
          <cell r="J94">
            <v>48</v>
          </cell>
          <cell r="K94">
            <v>39</v>
          </cell>
          <cell r="L94">
            <v>40</v>
          </cell>
          <cell r="M94">
            <v>33</v>
          </cell>
          <cell r="N94">
            <v>8</v>
          </cell>
          <cell r="O94">
            <v>13</v>
          </cell>
          <cell r="P94">
            <v>0</v>
          </cell>
          <cell r="Q94">
            <v>11</v>
          </cell>
          <cell r="R94">
            <v>0</v>
          </cell>
          <cell r="S94">
            <v>11</v>
          </cell>
          <cell r="T94">
            <v>0</v>
          </cell>
          <cell r="U94">
            <v>11</v>
          </cell>
          <cell r="V94">
            <v>1601</v>
          </cell>
          <cell r="W94">
            <v>261</v>
          </cell>
          <cell r="X94">
            <v>323</v>
          </cell>
          <cell r="Y94">
            <v>112</v>
          </cell>
          <cell r="Z94">
            <v>7</v>
          </cell>
          <cell r="AA94">
            <v>12</v>
          </cell>
          <cell r="AB94">
            <v>1245</v>
          </cell>
          <cell r="AC94">
            <v>236</v>
          </cell>
          <cell r="AD94">
            <v>26</v>
          </cell>
          <cell r="AE94">
            <v>41</v>
          </cell>
          <cell r="AF94">
            <v>0</v>
          </cell>
          <cell r="AG94">
            <v>11</v>
          </cell>
          <cell r="AH94">
            <v>9</v>
          </cell>
          <cell r="AI94">
            <v>14</v>
          </cell>
          <cell r="AJ94">
            <v>0</v>
          </cell>
          <cell r="AK94">
            <v>11</v>
          </cell>
          <cell r="AL94">
            <v>45</v>
          </cell>
          <cell r="AM94">
            <v>60</v>
          </cell>
          <cell r="AN94">
            <v>180</v>
          </cell>
          <cell r="AO94">
            <v>76</v>
          </cell>
          <cell r="AP94">
            <v>16</v>
          </cell>
          <cell r="AQ94">
            <v>18</v>
          </cell>
          <cell r="AR94">
            <v>130</v>
          </cell>
          <cell r="AS94">
            <v>64</v>
          </cell>
        </row>
        <row r="95">
          <cell r="B95">
            <v>17031062200</v>
          </cell>
          <cell r="D95">
            <v>2200</v>
          </cell>
          <cell r="E95">
            <v>224</v>
          </cell>
          <cell r="F95">
            <v>855</v>
          </cell>
          <cell r="G95">
            <v>183</v>
          </cell>
          <cell r="H95">
            <v>721</v>
          </cell>
          <cell r="I95">
            <v>158</v>
          </cell>
          <cell r="J95">
            <v>134</v>
          </cell>
          <cell r="K95">
            <v>81</v>
          </cell>
          <cell r="L95">
            <v>104</v>
          </cell>
          <cell r="M95">
            <v>62</v>
          </cell>
          <cell r="N95">
            <v>0</v>
          </cell>
          <cell r="O95">
            <v>11</v>
          </cell>
          <cell r="P95">
            <v>22</v>
          </cell>
          <cell r="Q95">
            <v>33</v>
          </cell>
          <cell r="R95">
            <v>8</v>
          </cell>
          <cell r="S95">
            <v>12</v>
          </cell>
          <cell r="T95">
            <v>0</v>
          </cell>
          <cell r="U95">
            <v>11</v>
          </cell>
          <cell r="V95">
            <v>993</v>
          </cell>
          <cell r="W95">
            <v>171</v>
          </cell>
          <cell r="X95">
            <v>110</v>
          </cell>
          <cell r="Y95">
            <v>95</v>
          </cell>
          <cell r="Z95">
            <v>10</v>
          </cell>
          <cell r="AA95">
            <v>15</v>
          </cell>
          <cell r="AB95">
            <v>850</v>
          </cell>
          <cell r="AC95">
            <v>135</v>
          </cell>
          <cell r="AD95">
            <v>23</v>
          </cell>
          <cell r="AE95">
            <v>21</v>
          </cell>
          <cell r="AF95">
            <v>0</v>
          </cell>
          <cell r="AG95">
            <v>11</v>
          </cell>
          <cell r="AH95">
            <v>0</v>
          </cell>
          <cell r="AI95">
            <v>11</v>
          </cell>
          <cell r="AJ95">
            <v>0</v>
          </cell>
          <cell r="AK95">
            <v>11</v>
          </cell>
          <cell r="AL95">
            <v>35</v>
          </cell>
          <cell r="AM95">
            <v>28</v>
          </cell>
          <cell r="AN95">
            <v>109</v>
          </cell>
          <cell r="AO95">
            <v>71</v>
          </cell>
          <cell r="AP95">
            <v>26</v>
          </cell>
          <cell r="AQ95">
            <v>28</v>
          </cell>
          <cell r="AR95">
            <v>182</v>
          </cell>
          <cell r="AS95">
            <v>83</v>
          </cell>
        </row>
        <row r="96">
          <cell r="B96">
            <v>17031062300</v>
          </cell>
          <cell r="D96">
            <v>1199</v>
          </cell>
          <cell r="E96">
            <v>131</v>
          </cell>
          <cell r="F96">
            <v>551</v>
          </cell>
          <cell r="G96">
            <v>105</v>
          </cell>
          <cell r="H96">
            <v>526</v>
          </cell>
          <cell r="I96">
            <v>94</v>
          </cell>
          <cell r="J96">
            <v>25</v>
          </cell>
          <cell r="K96">
            <v>28</v>
          </cell>
          <cell r="L96">
            <v>25</v>
          </cell>
          <cell r="M96">
            <v>28</v>
          </cell>
          <cell r="N96">
            <v>0</v>
          </cell>
          <cell r="O96">
            <v>11</v>
          </cell>
          <cell r="P96">
            <v>0</v>
          </cell>
          <cell r="Q96">
            <v>11</v>
          </cell>
          <cell r="R96">
            <v>0</v>
          </cell>
          <cell r="S96">
            <v>11</v>
          </cell>
          <cell r="T96">
            <v>0</v>
          </cell>
          <cell r="U96">
            <v>11</v>
          </cell>
          <cell r="V96">
            <v>524</v>
          </cell>
          <cell r="W96">
            <v>110</v>
          </cell>
          <cell r="X96">
            <v>39</v>
          </cell>
          <cell r="Y96">
            <v>41</v>
          </cell>
          <cell r="Z96">
            <v>0</v>
          </cell>
          <cell r="AA96">
            <v>11</v>
          </cell>
          <cell r="AB96">
            <v>485</v>
          </cell>
          <cell r="AC96">
            <v>109</v>
          </cell>
          <cell r="AD96">
            <v>0</v>
          </cell>
          <cell r="AE96">
            <v>11</v>
          </cell>
          <cell r="AF96">
            <v>0</v>
          </cell>
          <cell r="AG96">
            <v>11</v>
          </cell>
          <cell r="AH96">
            <v>0</v>
          </cell>
          <cell r="AI96">
            <v>11</v>
          </cell>
          <cell r="AJ96">
            <v>0</v>
          </cell>
          <cell r="AK96">
            <v>11</v>
          </cell>
          <cell r="AL96">
            <v>26</v>
          </cell>
          <cell r="AM96">
            <v>22</v>
          </cell>
          <cell r="AN96">
            <v>35</v>
          </cell>
          <cell r="AO96">
            <v>30</v>
          </cell>
          <cell r="AP96">
            <v>6</v>
          </cell>
          <cell r="AQ96">
            <v>10</v>
          </cell>
          <cell r="AR96">
            <v>57</v>
          </cell>
          <cell r="AS96">
            <v>30</v>
          </cell>
        </row>
        <row r="97">
          <cell r="B97">
            <v>17031062400</v>
          </cell>
          <cell r="D97">
            <v>1029</v>
          </cell>
          <cell r="E97">
            <v>147</v>
          </cell>
          <cell r="F97">
            <v>395</v>
          </cell>
          <cell r="G97">
            <v>103</v>
          </cell>
          <cell r="H97">
            <v>358</v>
          </cell>
          <cell r="I97">
            <v>96</v>
          </cell>
          <cell r="J97">
            <v>37</v>
          </cell>
          <cell r="K97">
            <v>30</v>
          </cell>
          <cell r="L97">
            <v>37</v>
          </cell>
          <cell r="M97">
            <v>30</v>
          </cell>
          <cell r="N97">
            <v>0</v>
          </cell>
          <cell r="O97">
            <v>11</v>
          </cell>
          <cell r="P97">
            <v>0</v>
          </cell>
          <cell r="Q97">
            <v>11</v>
          </cell>
          <cell r="R97">
            <v>0</v>
          </cell>
          <cell r="S97">
            <v>11</v>
          </cell>
          <cell r="T97">
            <v>0</v>
          </cell>
          <cell r="U97">
            <v>11</v>
          </cell>
          <cell r="V97">
            <v>505</v>
          </cell>
          <cell r="W97">
            <v>128</v>
          </cell>
          <cell r="X97">
            <v>9</v>
          </cell>
          <cell r="Y97">
            <v>14</v>
          </cell>
          <cell r="Z97">
            <v>0</v>
          </cell>
          <cell r="AA97">
            <v>11</v>
          </cell>
          <cell r="AB97">
            <v>491</v>
          </cell>
          <cell r="AC97">
            <v>124</v>
          </cell>
          <cell r="AD97">
            <v>5</v>
          </cell>
          <cell r="AE97">
            <v>8</v>
          </cell>
          <cell r="AF97">
            <v>0</v>
          </cell>
          <cell r="AG97">
            <v>11</v>
          </cell>
          <cell r="AH97">
            <v>0</v>
          </cell>
          <cell r="AI97">
            <v>11</v>
          </cell>
          <cell r="AJ97">
            <v>0</v>
          </cell>
          <cell r="AK97">
            <v>11</v>
          </cell>
          <cell r="AL97">
            <v>11</v>
          </cell>
          <cell r="AM97">
            <v>11</v>
          </cell>
          <cell r="AN97">
            <v>23</v>
          </cell>
          <cell r="AO97">
            <v>17</v>
          </cell>
          <cell r="AP97">
            <v>0</v>
          </cell>
          <cell r="AQ97">
            <v>11</v>
          </cell>
          <cell r="AR97">
            <v>95</v>
          </cell>
          <cell r="AS97">
            <v>54</v>
          </cell>
        </row>
        <row r="98">
          <cell r="B98">
            <v>17031062500</v>
          </cell>
          <cell r="D98">
            <v>1080</v>
          </cell>
          <cell r="E98">
            <v>113</v>
          </cell>
          <cell r="F98">
            <v>409</v>
          </cell>
          <cell r="G98">
            <v>74</v>
          </cell>
          <cell r="H98">
            <v>373</v>
          </cell>
          <cell r="I98">
            <v>74</v>
          </cell>
          <cell r="J98">
            <v>36</v>
          </cell>
          <cell r="K98">
            <v>31</v>
          </cell>
          <cell r="L98">
            <v>21</v>
          </cell>
          <cell r="M98">
            <v>18</v>
          </cell>
          <cell r="N98">
            <v>0</v>
          </cell>
          <cell r="O98">
            <v>11</v>
          </cell>
          <cell r="P98">
            <v>15</v>
          </cell>
          <cell r="Q98">
            <v>25</v>
          </cell>
          <cell r="R98">
            <v>0</v>
          </cell>
          <cell r="S98">
            <v>11</v>
          </cell>
          <cell r="T98">
            <v>0</v>
          </cell>
          <cell r="U98">
            <v>11</v>
          </cell>
          <cell r="V98">
            <v>505</v>
          </cell>
          <cell r="W98">
            <v>86</v>
          </cell>
          <cell r="X98">
            <v>6</v>
          </cell>
          <cell r="Y98">
            <v>8</v>
          </cell>
          <cell r="Z98">
            <v>0</v>
          </cell>
          <cell r="AA98">
            <v>11</v>
          </cell>
          <cell r="AB98">
            <v>499</v>
          </cell>
          <cell r="AC98">
            <v>86</v>
          </cell>
          <cell r="AD98">
            <v>0</v>
          </cell>
          <cell r="AE98">
            <v>11</v>
          </cell>
          <cell r="AF98">
            <v>0</v>
          </cell>
          <cell r="AG98">
            <v>11</v>
          </cell>
          <cell r="AH98">
            <v>0</v>
          </cell>
          <cell r="AI98">
            <v>11</v>
          </cell>
          <cell r="AJ98">
            <v>0</v>
          </cell>
          <cell r="AK98">
            <v>11</v>
          </cell>
          <cell r="AL98">
            <v>30</v>
          </cell>
          <cell r="AM98">
            <v>34</v>
          </cell>
          <cell r="AN98">
            <v>36</v>
          </cell>
          <cell r="AO98">
            <v>31</v>
          </cell>
          <cell r="AP98">
            <v>0</v>
          </cell>
          <cell r="AQ98">
            <v>11</v>
          </cell>
          <cell r="AR98">
            <v>100</v>
          </cell>
          <cell r="AS98">
            <v>38</v>
          </cell>
        </row>
        <row r="99">
          <cell r="B99">
            <v>17031062600</v>
          </cell>
          <cell r="D99">
            <v>1336</v>
          </cell>
          <cell r="E99">
            <v>141</v>
          </cell>
          <cell r="F99">
            <v>705</v>
          </cell>
          <cell r="G99">
            <v>119</v>
          </cell>
          <cell r="H99">
            <v>629</v>
          </cell>
          <cell r="I99">
            <v>118</v>
          </cell>
          <cell r="J99">
            <v>76</v>
          </cell>
          <cell r="K99">
            <v>38</v>
          </cell>
          <cell r="L99">
            <v>53</v>
          </cell>
          <cell r="M99">
            <v>32</v>
          </cell>
          <cell r="N99">
            <v>23</v>
          </cell>
          <cell r="O99">
            <v>19</v>
          </cell>
          <cell r="P99">
            <v>0</v>
          </cell>
          <cell r="Q99">
            <v>11</v>
          </cell>
          <cell r="R99">
            <v>0</v>
          </cell>
          <cell r="S99">
            <v>11</v>
          </cell>
          <cell r="T99">
            <v>0</v>
          </cell>
          <cell r="U99">
            <v>11</v>
          </cell>
          <cell r="V99">
            <v>430</v>
          </cell>
          <cell r="W99">
            <v>88</v>
          </cell>
          <cell r="X99">
            <v>45</v>
          </cell>
          <cell r="Y99">
            <v>37</v>
          </cell>
          <cell r="Z99">
            <v>0</v>
          </cell>
          <cell r="AA99">
            <v>11</v>
          </cell>
          <cell r="AB99">
            <v>374</v>
          </cell>
          <cell r="AC99">
            <v>92</v>
          </cell>
          <cell r="AD99">
            <v>11</v>
          </cell>
          <cell r="AE99">
            <v>11</v>
          </cell>
          <cell r="AF99">
            <v>0</v>
          </cell>
          <cell r="AG99">
            <v>11</v>
          </cell>
          <cell r="AH99">
            <v>6</v>
          </cell>
          <cell r="AI99">
            <v>8</v>
          </cell>
          <cell r="AJ99">
            <v>0</v>
          </cell>
          <cell r="AK99">
            <v>11</v>
          </cell>
          <cell r="AL99">
            <v>34</v>
          </cell>
          <cell r="AM99">
            <v>32</v>
          </cell>
          <cell r="AN99">
            <v>35</v>
          </cell>
          <cell r="AO99">
            <v>22</v>
          </cell>
          <cell r="AP99">
            <v>34</v>
          </cell>
          <cell r="AQ99">
            <v>25</v>
          </cell>
          <cell r="AR99">
            <v>92</v>
          </cell>
          <cell r="AS99">
            <v>37</v>
          </cell>
        </row>
        <row r="100">
          <cell r="B100">
            <v>17031062700</v>
          </cell>
          <cell r="D100">
            <v>1854</v>
          </cell>
          <cell r="E100">
            <v>265</v>
          </cell>
          <cell r="F100">
            <v>733</v>
          </cell>
          <cell r="G100">
            <v>181</v>
          </cell>
          <cell r="H100">
            <v>625</v>
          </cell>
          <cell r="I100">
            <v>165</v>
          </cell>
          <cell r="J100">
            <v>108</v>
          </cell>
          <cell r="K100">
            <v>76</v>
          </cell>
          <cell r="L100">
            <v>64</v>
          </cell>
          <cell r="M100">
            <v>58</v>
          </cell>
          <cell r="N100">
            <v>17</v>
          </cell>
          <cell r="O100">
            <v>25</v>
          </cell>
          <cell r="P100">
            <v>0</v>
          </cell>
          <cell r="Q100">
            <v>11</v>
          </cell>
          <cell r="R100">
            <v>27</v>
          </cell>
          <cell r="S100">
            <v>41</v>
          </cell>
          <cell r="T100">
            <v>0</v>
          </cell>
          <cell r="U100">
            <v>11</v>
          </cell>
          <cell r="V100">
            <v>669</v>
          </cell>
          <cell r="W100">
            <v>190</v>
          </cell>
          <cell r="X100">
            <v>113</v>
          </cell>
          <cell r="Y100">
            <v>60</v>
          </cell>
          <cell r="Z100">
            <v>0</v>
          </cell>
          <cell r="AA100">
            <v>11</v>
          </cell>
          <cell r="AB100">
            <v>541</v>
          </cell>
          <cell r="AC100">
            <v>167</v>
          </cell>
          <cell r="AD100">
            <v>15</v>
          </cell>
          <cell r="AE100">
            <v>17</v>
          </cell>
          <cell r="AF100">
            <v>0</v>
          </cell>
          <cell r="AG100">
            <v>11</v>
          </cell>
          <cell r="AH100">
            <v>44</v>
          </cell>
          <cell r="AI100">
            <v>44</v>
          </cell>
          <cell r="AJ100">
            <v>0</v>
          </cell>
          <cell r="AK100">
            <v>11</v>
          </cell>
          <cell r="AL100">
            <v>97</v>
          </cell>
          <cell r="AM100">
            <v>62</v>
          </cell>
          <cell r="AN100">
            <v>117</v>
          </cell>
          <cell r="AO100">
            <v>96</v>
          </cell>
          <cell r="AP100">
            <v>0</v>
          </cell>
          <cell r="AQ100">
            <v>11</v>
          </cell>
          <cell r="AR100">
            <v>194</v>
          </cell>
          <cell r="AS100">
            <v>69</v>
          </cell>
        </row>
        <row r="101">
          <cell r="B101">
            <v>17031062800</v>
          </cell>
          <cell r="D101">
            <v>2783</v>
          </cell>
          <cell r="E101">
            <v>196</v>
          </cell>
          <cell r="F101">
            <v>1197</v>
          </cell>
          <cell r="G101">
            <v>182</v>
          </cell>
          <cell r="H101">
            <v>1007</v>
          </cell>
          <cell r="I101">
            <v>170</v>
          </cell>
          <cell r="J101">
            <v>190</v>
          </cell>
          <cell r="K101">
            <v>85</v>
          </cell>
          <cell r="L101">
            <v>168</v>
          </cell>
          <cell r="M101">
            <v>82</v>
          </cell>
          <cell r="N101">
            <v>22</v>
          </cell>
          <cell r="O101">
            <v>18</v>
          </cell>
          <cell r="P101">
            <v>0</v>
          </cell>
          <cell r="Q101">
            <v>11</v>
          </cell>
          <cell r="R101">
            <v>0</v>
          </cell>
          <cell r="S101">
            <v>11</v>
          </cell>
          <cell r="T101">
            <v>0</v>
          </cell>
          <cell r="U101">
            <v>11</v>
          </cell>
          <cell r="V101">
            <v>1182</v>
          </cell>
          <cell r="W101">
            <v>175</v>
          </cell>
          <cell r="X101">
            <v>88</v>
          </cell>
          <cell r="Y101">
            <v>56</v>
          </cell>
          <cell r="Z101">
            <v>24</v>
          </cell>
          <cell r="AA101">
            <v>29</v>
          </cell>
          <cell r="AB101">
            <v>1070</v>
          </cell>
          <cell r="AC101">
            <v>168</v>
          </cell>
          <cell r="AD101">
            <v>0</v>
          </cell>
          <cell r="AE101">
            <v>11</v>
          </cell>
          <cell r="AF101">
            <v>0</v>
          </cell>
          <cell r="AG101">
            <v>11</v>
          </cell>
          <cell r="AH101">
            <v>0</v>
          </cell>
          <cell r="AI101">
            <v>11</v>
          </cell>
          <cell r="AJ101">
            <v>16</v>
          </cell>
          <cell r="AK101">
            <v>25</v>
          </cell>
          <cell r="AL101">
            <v>110</v>
          </cell>
          <cell r="AM101">
            <v>56</v>
          </cell>
          <cell r="AN101">
            <v>104</v>
          </cell>
          <cell r="AO101">
            <v>67</v>
          </cell>
          <cell r="AP101">
            <v>10</v>
          </cell>
          <cell r="AQ101">
            <v>16</v>
          </cell>
          <cell r="AR101">
            <v>164</v>
          </cell>
          <cell r="AS101">
            <v>63</v>
          </cell>
        </row>
        <row r="102">
          <cell r="B102">
            <v>17031062900</v>
          </cell>
          <cell r="D102">
            <v>2926</v>
          </cell>
          <cell r="E102">
            <v>275</v>
          </cell>
          <cell r="F102">
            <v>1047</v>
          </cell>
          <cell r="G102">
            <v>191</v>
          </cell>
          <cell r="H102">
            <v>979</v>
          </cell>
          <cell r="I102">
            <v>184</v>
          </cell>
          <cell r="J102">
            <v>68</v>
          </cell>
          <cell r="K102">
            <v>49</v>
          </cell>
          <cell r="L102">
            <v>24</v>
          </cell>
          <cell r="M102">
            <v>27</v>
          </cell>
          <cell r="N102">
            <v>35</v>
          </cell>
          <cell r="O102">
            <v>40</v>
          </cell>
          <cell r="P102">
            <v>9</v>
          </cell>
          <cell r="Q102">
            <v>15</v>
          </cell>
          <cell r="R102">
            <v>0</v>
          </cell>
          <cell r="S102">
            <v>11</v>
          </cell>
          <cell r="T102">
            <v>0</v>
          </cell>
          <cell r="U102">
            <v>11</v>
          </cell>
          <cell r="V102">
            <v>1427</v>
          </cell>
          <cell r="W102">
            <v>210</v>
          </cell>
          <cell r="X102">
            <v>51</v>
          </cell>
          <cell r="Y102">
            <v>50</v>
          </cell>
          <cell r="Z102">
            <v>39</v>
          </cell>
          <cell r="AA102">
            <v>43</v>
          </cell>
          <cell r="AB102">
            <v>1330</v>
          </cell>
          <cell r="AC102">
            <v>201</v>
          </cell>
          <cell r="AD102">
            <v>7</v>
          </cell>
          <cell r="AE102">
            <v>11</v>
          </cell>
          <cell r="AF102">
            <v>0</v>
          </cell>
          <cell r="AG102">
            <v>11</v>
          </cell>
          <cell r="AH102">
            <v>8</v>
          </cell>
          <cell r="AI102">
            <v>13</v>
          </cell>
          <cell r="AJ102">
            <v>0</v>
          </cell>
          <cell r="AK102">
            <v>11</v>
          </cell>
          <cell r="AL102">
            <v>59</v>
          </cell>
          <cell r="AM102">
            <v>37</v>
          </cell>
          <cell r="AN102">
            <v>189</v>
          </cell>
          <cell r="AO102">
            <v>90</v>
          </cell>
          <cell r="AP102">
            <v>19</v>
          </cell>
          <cell r="AQ102">
            <v>30</v>
          </cell>
          <cell r="AR102">
            <v>177</v>
          </cell>
          <cell r="AS102">
            <v>79</v>
          </cell>
        </row>
        <row r="103">
          <cell r="B103">
            <v>17031063000</v>
          </cell>
          <cell r="D103">
            <v>2529</v>
          </cell>
          <cell r="E103">
            <v>197</v>
          </cell>
          <cell r="F103">
            <v>820</v>
          </cell>
          <cell r="G103">
            <v>176</v>
          </cell>
          <cell r="H103">
            <v>769</v>
          </cell>
          <cell r="I103">
            <v>179</v>
          </cell>
          <cell r="J103">
            <v>51</v>
          </cell>
          <cell r="K103">
            <v>42</v>
          </cell>
          <cell r="L103">
            <v>44</v>
          </cell>
          <cell r="M103">
            <v>40</v>
          </cell>
          <cell r="N103">
            <v>7</v>
          </cell>
          <cell r="O103">
            <v>11</v>
          </cell>
          <cell r="P103">
            <v>0</v>
          </cell>
          <cell r="Q103">
            <v>11</v>
          </cell>
          <cell r="R103">
            <v>0</v>
          </cell>
          <cell r="S103">
            <v>11</v>
          </cell>
          <cell r="T103">
            <v>0</v>
          </cell>
          <cell r="U103">
            <v>11</v>
          </cell>
          <cell r="V103">
            <v>1315</v>
          </cell>
          <cell r="W103">
            <v>181</v>
          </cell>
          <cell r="X103">
            <v>200</v>
          </cell>
          <cell r="Y103">
            <v>91</v>
          </cell>
          <cell r="Z103">
            <v>0</v>
          </cell>
          <cell r="AA103">
            <v>11</v>
          </cell>
          <cell r="AB103">
            <v>1108</v>
          </cell>
          <cell r="AC103">
            <v>163</v>
          </cell>
          <cell r="AD103">
            <v>7</v>
          </cell>
          <cell r="AE103">
            <v>11</v>
          </cell>
          <cell r="AF103">
            <v>0</v>
          </cell>
          <cell r="AG103">
            <v>11</v>
          </cell>
          <cell r="AH103">
            <v>0</v>
          </cell>
          <cell r="AI103">
            <v>11</v>
          </cell>
          <cell r="AJ103">
            <v>0</v>
          </cell>
          <cell r="AK103">
            <v>11</v>
          </cell>
          <cell r="AL103">
            <v>37</v>
          </cell>
          <cell r="AM103">
            <v>35</v>
          </cell>
          <cell r="AN103">
            <v>238</v>
          </cell>
          <cell r="AO103">
            <v>115</v>
          </cell>
          <cell r="AP103">
            <v>0</v>
          </cell>
          <cell r="AQ103">
            <v>11</v>
          </cell>
          <cell r="AR103">
            <v>119</v>
          </cell>
          <cell r="AS103">
            <v>51</v>
          </cell>
        </row>
        <row r="104">
          <cell r="B104">
            <v>17031063100</v>
          </cell>
          <cell r="D104">
            <v>1876</v>
          </cell>
          <cell r="E104">
            <v>155</v>
          </cell>
          <cell r="F104">
            <v>490</v>
          </cell>
          <cell r="G104">
            <v>115</v>
          </cell>
          <cell r="H104">
            <v>463</v>
          </cell>
          <cell r="I104">
            <v>113</v>
          </cell>
          <cell r="J104">
            <v>27</v>
          </cell>
          <cell r="K104">
            <v>26</v>
          </cell>
          <cell r="L104">
            <v>27</v>
          </cell>
          <cell r="M104">
            <v>26</v>
          </cell>
          <cell r="N104">
            <v>0</v>
          </cell>
          <cell r="O104">
            <v>11</v>
          </cell>
          <cell r="P104">
            <v>0</v>
          </cell>
          <cell r="Q104">
            <v>11</v>
          </cell>
          <cell r="R104">
            <v>0</v>
          </cell>
          <cell r="S104">
            <v>11</v>
          </cell>
          <cell r="T104">
            <v>0</v>
          </cell>
          <cell r="U104">
            <v>11</v>
          </cell>
          <cell r="V104">
            <v>1081</v>
          </cell>
          <cell r="W104">
            <v>150</v>
          </cell>
          <cell r="X104">
            <v>243</v>
          </cell>
          <cell r="Y104">
            <v>77</v>
          </cell>
          <cell r="Z104">
            <v>32</v>
          </cell>
          <cell r="AA104">
            <v>40</v>
          </cell>
          <cell r="AB104">
            <v>798</v>
          </cell>
          <cell r="AC104">
            <v>142</v>
          </cell>
          <cell r="AD104">
            <v>8</v>
          </cell>
          <cell r="AE104">
            <v>13</v>
          </cell>
          <cell r="AF104">
            <v>0</v>
          </cell>
          <cell r="AG104">
            <v>11</v>
          </cell>
          <cell r="AH104">
            <v>9</v>
          </cell>
          <cell r="AI104">
            <v>13</v>
          </cell>
          <cell r="AJ104">
            <v>0</v>
          </cell>
          <cell r="AK104">
            <v>11</v>
          </cell>
          <cell r="AL104">
            <v>99</v>
          </cell>
          <cell r="AM104">
            <v>56</v>
          </cell>
          <cell r="AN104">
            <v>127</v>
          </cell>
          <cell r="AO104">
            <v>64</v>
          </cell>
          <cell r="AP104">
            <v>0</v>
          </cell>
          <cell r="AQ104">
            <v>11</v>
          </cell>
          <cell r="AR104">
            <v>70</v>
          </cell>
          <cell r="AS104">
            <v>33</v>
          </cell>
        </row>
        <row r="105">
          <cell r="B105">
            <v>17031063200</v>
          </cell>
          <cell r="D105">
            <v>4598</v>
          </cell>
          <cell r="E105">
            <v>436</v>
          </cell>
          <cell r="F105">
            <v>1138</v>
          </cell>
          <cell r="G105">
            <v>360</v>
          </cell>
          <cell r="H105">
            <v>1014</v>
          </cell>
          <cell r="I105">
            <v>309</v>
          </cell>
          <cell r="J105">
            <v>124</v>
          </cell>
          <cell r="K105">
            <v>126</v>
          </cell>
          <cell r="L105">
            <v>124</v>
          </cell>
          <cell r="M105">
            <v>126</v>
          </cell>
          <cell r="N105">
            <v>0</v>
          </cell>
          <cell r="O105">
            <v>15</v>
          </cell>
          <cell r="P105">
            <v>0</v>
          </cell>
          <cell r="Q105">
            <v>15</v>
          </cell>
          <cell r="R105">
            <v>0</v>
          </cell>
          <cell r="S105">
            <v>15</v>
          </cell>
          <cell r="T105">
            <v>0</v>
          </cell>
          <cell r="U105">
            <v>15</v>
          </cell>
          <cell r="V105">
            <v>2582</v>
          </cell>
          <cell r="W105">
            <v>374</v>
          </cell>
          <cell r="X105">
            <v>1944</v>
          </cell>
          <cell r="Y105">
            <v>377</v>
          </cell>
          <cell r="Z105">
            <v>0</v>
          </cell>
          <cell r="AA105">
            <v>15</v>
          </cell>
          <cell r="AB105">
            <v>609</v>
          </cell>
          <cell r="AC105">
            <v>279</v>
          </cell>
          <cell r="AD105">
            <v>29</v>
          </cell>
          <cell r="AE105">
            <v>47</v>
          </cell>
          <cell r="AF105">
            <v>0</v>
          </cell>
          <cell r="AG105">
            <v>15</v>
          </cell>
          <cell r="AH105">
            <v>48</v>
          </cell>
          <cell r="AI105">
            <v>55</v>
          </cell>
          <cell r="AJ105">
            <v>0</v>
          </cell>
          <cell r="AK105">
            <v>15</v>
          </cell>
          <cell r="AL105">
            <v>93</v>
          </cell>
          <cell r="AM105">
            <v>67</v>
          </cell>
          <cell r="AN105">
            <v>254</v>
          </cell>
          <cell r="AO105">
            <v>173</v>
          </cell>
          <cell r="AP105">
            <v>20</v>
          </cell>
          <cell r="AQ105">
            <v>32</v>
          </cell>
          <cell r="AR105">
            <v>463</v>
          </cell>
          <cell r="AS105">
            <v>192</v>
          </cell>
        </row>
        <row r="106">
          <cell r="B106">
            <v>17031063301</v>
          </cell>
          <cell r="D106">
            <v>1754</v>
          </cell>
          <cell r="E106">
            <v>200</v>
          </cell>
          <cell r="F106">
            <v>479</v>
          </cell>
          <cell r="G106">
            <v>153</v>
          </cell>
          <cell r="H106">
            <v>446</v>
          </cell>
          <cell r="I106">
            <v>147</v>
          </cell>
          <cell r="J106">
            <v>33</v>
          </cell>
          <cell r="K106">
            <v>31</v>
          </cell>
          <cell r="L106">
            <v>20</v>
          </cell>
          <cell r="M106">
            <v>23</v>
          </cell>
          <cell r="N106">
            <v>13</v>
          </cell>
          <cell r="O106">
            <v>21</v>
          </cell>
          <cell r="P106">
            <v>0</v>
          </cell>
          <cell r="Q106">
            <v>11</v>
          </cell>
          <cell r="R106">
            <v>0</v>
          </cell>
          <cell r="S106">
            <v>11</v>
          </cell>
          <cell r="T106">
            <v>0</v>
          </cell>
          <cell r="U106">
            <v>11</v>
          </cell>
          <cell r="V106">
            <v>1158</v>
          </cell>
          <cell r="W106">
            <v>195</v>
          </cell>
          <cell r="X106">
            <v>788</v>
          </cell>
          <cell r="Y106">
            <v>160</v>
          </cell>
          <cell r="Z106">
            <v>9</v>
          </cell>
          <cell r="AA106">
            <v>15</v>
          </cell>
          <cell r="AB106">
            <v>316</v>
          </cell>
          <cell r="AC106">
            <v>111</v>
          </cell>
          <cell r="AD106">
            <v>45</v>
          </cell>
          <cell r="AE106">
            <v>55</v>
          </cell>
          <cell r="AF106">
            <v>0</v>
          </cell>
          <cell r="AG106">
            <v>11</v>
          </cell>
          <cell r="AH106">
            <v>0</v>
          </cell>
          <cell r="AI106">
            <v>11</v>
          </cell>
          <cell r="AJ106">
            <v>0</v>
          </cell>
          <cell r="AK106">
            <v>11</v>
          </cell>
          <cell r="AL106">
            <v>53</v>
          </cell>
          <cell r="AM106">
            <v>42</v>
          </cell>
          <cell r="AN106">
            <v>41</v>
          </cell>
          <cell r="AO106">
            <v>32</v>
          </cell>
          <cell r="AP106">
            <v>0</v>
          </cell>
          <cell r="AQ106">
            <v>11</v>
          </cell>
          <cell r="AR106">
            <v>23</v>
          </cell>
          <cell r="AS106">
            <v>25</v>
          </cell>
        </row>
        <row r="107">
          <cell r="B107">
            <v>17031063302</v>
          </cell>
          <cell r="D107">
            <v>3260</v>
          </cell>
          <cell r="E107">
            <v>361</v>
          </cell>
          <cell r="F107">
            <v>928</v>
          </cell>
          <cell r="G107">
            <v>243</v>
          </cell>
          <cell r="H107">
            <v>801</v>
          </cell>
          <cell r="I107">
            <v>197</v>
          </cell>
          <cell r="J107">
            <v>127</v>
          </cell>
          <cell r="K107">
            <v>114</v>
          </cell>
          <cell r="L107">
            <v>34</v>
          </cell>
          <cell r="M107">
            <v>35</v>
          </cell>
          <cell r="N107">
            <v>46</v>
          </cell>
          <cell r="O107">
            <v>75</v>
          </cell>
          <cell r="P107">
            <v>0</v>
          </cell>
          <cell r="Q107">
            <v>11</v>
          </cell>
          <cell r="R107">
            <v>0</v>
          </cell>
          <cell r="S107">
            <v>11</v>
          </cell>
          <cell r="T107">
            <v>47</v>
          </cell>
          <cell r="U107">
            <v>74</v>
          </cell>
          <cell r="V107">
            <v>1922</v>
          </cell>
          <cell r="W107">
            <v>270</v>
          </cell>
          <cell r="X107">
            <v>1744</v>
          </cell>
          <cell r="Y107">
            <v>286</v>
          </cell>
          <cell r="Z107">
            <v>0</v>
          </cell>
          <cell r="AA107">
            <v>11</v>
          </cell>
          <cell r="AB107">
            <v>164</v>
          </cell>
          <cell r="AC107">
            <v>95</v>
          </cell>
          <cell r="AD107">
            <v>14</v>
          </cell>
          <cell r="AE107">
            <v>22</v>
          </cell>
          <cell r="AF107">
            <v>0</v>
          </cell>
          <cell r="AG107">
            <v>11</v>
          </cell>
          <cell r="AH107">
            <v>0</v>
          </cell>
          <cell r="AI107">
            <v>11</v>
          </cell>
          <cell r="AJ107">
            <v>0</v>
          </cell>
          <cell r="AK107">
            <v>11</v>
          </cell>
          <cell r="AL107">
            <v>95</v>
          </cell>
          <cell r="AM107">
            <v>67</v>
          </cell>
          <cell r="AN107">
            <v>92</v>
          </cell>
          <cell r="AO107">
            <v>58</v>
          </cell>
          <cell r="AP107">
            <v>79</v>
          </cell>
          <cell r="AQ107">
            <v>101</v>
          </cell>
          <cell r="AR107">
            <v>144</v>
          </cell>
          <cell r="AS107">
            <v>92</v>
          </cell>
        </row>
        <row r="108">
          <cell r="B108">
            <v>17031063303</v>
          </cell>
          <cell r="D108">
            <v>619</v>
          </cell>
          <cell r="E108">
            <v>80</v>
          </cell>
          <cell r="F108">
            <v>246</v>
          </cell>
          <cell r="G108">
            <v>68</v>
          </cell>
          <cell r="H108">
            <v>215</v>
          </cell>
          <cell r="I108">
            <v>59</v>
          </cell>
          <cell r="J108">
            <v>31</v>
          </cell>
          <cell r="K108">
            <v>29</v>
          </cell>
          <cell r="L108">
            <v>26</v>
          </cell>
          <cell r="M108">
            <v>28</v>
          </cell>
          <cell r="N108">
            <v>5</v>
          </cell>
          <cell r="O108">
            <v>7</v>
          </cell>
          <cell r="P108">
            <v>0</v>
          </cell>
          <cell r="Q108">
            <v>11</v>
          </cell>
          <cell r="R108">
            <v>0</v>
          </cell>
          <cell r="S108">
            <v>11</v>
          </cell>
          <cell r="T108">
            <v>0</v>
          </cell>
          <cell r="U108">
            <v>11</v>
          </cell>
          <cell r="V108">
            <v>224</v>
          </cell>
          <cell r="W108">
            <v>55</v>
          </cell>
          <cell r="X108">
            <v>185</v>
          </cell>
          <cell r="Y108">
            <v>50</v>
          </cell>
          <cell r="Z108">
            <v>0</v>
          </cell>
          <cell r="AA108">
            <v>11</v>
          </cell>
          <cell r="AB108">
            <v>24</v>
          </cell>
          <cell r="AC108">
            <v>20</v>
          </cell>
          <cell r="AD108">
            <v>15</v>
          </cell>
          <cell r="AE108">
            <v>16</v>
          </cell>
          <cell r="AF108">
            <v>0</v>
          </cell>
          <cell r="AG108">
            <v>11</v>
          </cell>
          <cell r="AH108">
            <v>0</v>
          </cell>
          <cell r="AI108">
            <v>11</v>
          </cell>
          <cell r="AJ108">
            <v>0</v>
          </cell>
          <cell r="AK108">
            <v>11</v>
          </cell>
          <cell r="AL108">
            <v>6</v>
          </cell>
          <cell r="AM108">
            <v>9</v>
          </cell>
          <cell r="AN108">
            <v>26</v>
          </cell>
          <cell r="AO108">
            <v>20</v>
          </cell>
          <cell r="AP108">
            <v>4</v>
          </cell>
          <cell r="AQ108">
            <v>9</v>
          </cell>
          <cell r="AR108">
            <v>113</v>
          </cell>
          <cell r="AS108">
            <v>48</v>
          </cell>
        </row>
        <row r="109">
          <cell r="B109">
            <v>17031063400</v>
          </cell>
          <cell r="D109">
            <v>1775</v>
          </cell>
          <cell r="E109">
            <v>184</v>
          </cell>
          <cell r="F109">
            <v>408</v>
          </cell>
          <cell r="G109">
            <v>121</v>
          </cell>
          <cell r="H109">
            <v>360</v>
          </cell>
          <cell r="I109">
            <v>116</v>
          </cell>
          <cell r="J109">
            <v>48</v>
          </cell>
          <cell r="K109">
            <v>36</v>
          </cell>
          <cell r="L109">
            <v>40</v>
          </cell>
          <cell r="M109">
            <v>33</v>
          </cell>
          <cell r="N109">
            <v>8</v>
          </cell>
          <cell r="O109">
            <v>13</v>
          </cell>
          <cell r="P109">
            <v>0</v>
          </cell>
          <cell r="Q109">
            <v>11</v>
          </cell>
          <cell r="R109">
            <v>0</v>
          </cell>
          <cell r="S109">
            <v>11</v>
          </cell>
          <cell r="T109">
            <v>0</v>
          </cell>
          <cell r="U109">
            <v>11</v>
          </cell>
          <cell r="V109">
            <v>1017</v>
          </cell>
          <cell r="W109">
            <v>152</v>
          </cell>
          <cell r="X109">
            <v>402</v>
          </cell>
          <cell r="Y109">
            <v>119</v>
          </cell>
          <cell r="Z109">
            <v>0</v>
          </cell>
          <cell r="AA109">
            <v>11</v>
          </cell>
          <cell r="AB109">
            <v>608</v>
          </cell>
          <cell r="AC109">
            <v>151</v>
          </cell>
          <cell r="AD109">
            <v>7</v>
          </cell>
          <cell r="AE109">
            <v>12</v>
          </cell>
          <cell r="AF109">
            <v>0</v>
          </cell>
          <cell r="AG109">
            <v>11</v>
          </cell>
          <cell r="AH109">
            <v>23</v>
          </cell>
          <cell r="AI109">
            <v>25</v>
          </cell>
          <cell r="AJ109">
            <v>0</v>
          </cell>
          <cell r="AK109">
            <v>11</v>
          </cell>
          <cell r="AL109">
            <v>48</v>
          </cell>
          <cell r="AM109">
            <v>37</v>
          </cell>
          <cell r="AN109">
            <v>95</v>
          </cell>
          <cell r="AO109">
            <v>52</v>
          </cell>
          <cell r="AP109">
            <v>8</v>
          </cell>
          <cell r="AQ109">
            <v>13</v>
          </cell>
          <cell r="AR109">
            <v>176</v>
          </cell>
          <cell r="AS109">
            <v>82</v>
          </cell>
        </row>
        <row r="110">
          <cell r="B110">
            <v>17031070101</v>
          </cell>
          <cell r="D110">
            <v>2540</v>
          </cell>
          <cell r="E110">
            <v>250</v>
          </cell>
          <cell r="F110">
            <v>755</v>
          </cell>
          <cell r="G110">
            <v>238</v>
          </cell>
          <cell r="H110">
            <v>711</v>
          </cell>
          <cell r="I110">
            <v>233</v>
          </cell>
          <cell r="J110">
            <v>44</v>
          </cell>
          <cell r="K110">
            <v>42</v>
          </cell>
          <cell r="L110">
            <v>44</v>
          </cell>
          <cell r="M110">
            <v>42</v>
          </cell>
          <cell r="N110">
            <v>0</v>
          </cell>
          <cell r="O110">
            <v>11</v>
          </cell>
          <cell r="P110">
            <v>0</v>
          </cell>
          <cell r="Q110">
            <v>11</v>
          </cell>
          <cell r="R110">
            <v>0</v>
          </cell>
          <cell r="S110">
            <v>11</v>
          </cell>
          <cell r="T110">
            <v>0</v>
          </cell>
          <cell r="U110">
            <v>11</v>
          </cell>
          <cell r="V110">
            <v>1254</v>
          </cell>
          <cell r="W110">
            <v>210</v>
          </cell>
          <cell r="X110">
            <v>1009</v>
          </cell>
          <cell r="Y110">
            <v>200</v>
          </cell>
          <cell r="Z110">
            <v>0</v>
          </cell>
          <cell r="AA110">
            <v>11</v>
          </cell>
          <cell r="AB110">
            <v>231</v>
          </cell>
          <cell r="AC110">
            <v>104</v>
          </cell>
          <cell r="AD110">
            <v>14</v>
          </cell>
          <cell r="AE110">
            <v>23</v>
          </cell>
          <cell r="AF110">
            <v>0</v>
          </cell>
          <cell r="AG110">
            <v>11</v>
          </cell>
          <cell r="AH110">
            <v>43</v>
          </cell>
          <cell r="AI110">
            <v>42</v>
          </cell>
          <cell r="AJ110">
            <v>0</v>
          </cell>
          <cell r="AK110">
            <v>11</v>
          </cell>
          <cell r="AL110">
            <v>69</v>
          </cell>
          <cell r="AM110">
            <v>64</v>
          </cell>
          <cell r="AN110">
            <v>129</v>
          </cell>
          <cell r="AO110">
            <v>73</v>
          </cell>
          <cell r="AP110">
            <v>95</v>
          </cell>
          <cell r="AQ110">
            <v>71</v>
          </cell>
          <cell r="AR110">
            <v>195</v>
          </cell>
          <cell r="AS110">
            <v>108</v>
          </cell>
        </row>
        <row r="111">
          <cell r="B111">
            <v>17031070102</v>
          </cell>
          <cell r="D111">
            <v>2183</v>
          </cell>
          <cell r="E111">
            <v>155</v>
          </cell>
          <cell r="F111">
            <v>707</v>
          </cell>
          <cell r="G111">
            <v>124</v>
          </cell>
          <cell r="H111">
            <v>646</v>
          </cell>
          <cell r="I111">
            <v>118</v>
          </cell>
          <cell r="J111">
            <v>61</v>
          </cell>
          <cell r="K111">
            <v>51</v>
          </cell>
          <cell r="L111">
            <v>40</v>
          </cell>
          <cell r="M111">
            <v>39</v>
          </cell>
          <cell r="N111">
            <v>21</v>
          </cell>
          <cell r="O111">
            <v>34</v>
          </cell>
          <cell r="P111">
            <v>0</v>
          </cell>
          <cell r="Q111">
            <v>11</v>
          </cell>
          <cell r="R111">
            <v>0</v>
          </cell>
          <cell r="S111">
            <v>11</v>
          </cell>
          <cell r="T111">
            <v>0</v>
          </cell>
          <cell r="U111">
            <v>11</v>
          </cell>
          <cell r="V111">
            <v>1191</v>
          </cell>
          <cell r="W111">
            <v>149</v>
          </cell>
          <cell r="X111">
            <v>891</v>
          </cell>
          <cell r="Y111">
            <v>156</v>
          </cell>
          <cell r="Z111">
            <v>0</v>
          </cell>
          <cell r="AA111">
            <v>11</v>
          </cell>
          <cell r="AB111">
            <v>263</v>
          </cell>
          <cell r="AC111">
            <v>94</v>
          </cell>
          <cell r="AD111">
            <v>37</v>
          </cell>
          <cell r="AE111">
            <v>47</v>
          </cell>
          <cell r="AF111">
            <v>0</v>
          </cell>
          <cell r="AG111">
            <v>11</v>
          </cell>
          <cell r="AH111">
            <v>31</v>
          </cell>
          <cell r="AI111">
            <v>25</v>
          </cell>
          <cell r="AJ111">
            <v>0</v>
          </cell>
          <cell r="AK111">
            <v>11</v>
          </cell>
          <cell r="AL111">
            <v>52</v>
          </cell>
          <cell r="AM111">
            <v>34</v>
          </cell>
          <cell r="AN111">
            <v>79</v>
          </cell>
          <cell r="AO111">
            <v>50</v>
          </cell>
          <cell r="AP111">
            <v>5</v>
          </cell>
          <cell r="AQ111">
            <v>9</v>
          </cell>
          <cell r="AR111">
            <v>118</v>
          </cell>
          <cell r="AS111">
            <v>57</v>
          </cell>
        </row>
        <row r="112">
          <cell r="B112">
            <v>17031070103</v>
          </cell>
          <cell r="D112">
            <v>1213</v>
          </cell>
          <cell r="E112">
            <v>141</v>
          </cell>
          <cell r="F112">
            <v>436</v>
          </cell>
          <cell r="G112">
            <v>110</v>
          </cell>
          <cell r="H112">
            <v>386</v>
          </cell>
          <cell r="I112">
            <v>100</v>
          </cell>
          <cell r="J112">
            <v>50</v>
          </cell>
          <cell r="K112">
            <v>53</v>
          </cell>
          <cell r="L112">
            <v>50</v>
          </cell>
          <cell r="M112">
            <v>53</v>
          </cell>
          <cell r="N112">
            <v>0</v>
          </cell>
          <cell r="O112">
            <v>11</v>
          </cell>
          <cell r="P112">
            <v>0</v>
          </cell>
          <cell r="Q112">
            <v>11</v>
          </cell>
          <cell r="R112">
            <v>0</v>
          </cell>
          <cell r="S112">
            <v>11</v>
          </cell>
          <cell r="T112">
            <v>0</v>
          </cell>
          <cell r="U112">
            <v>11</v>
          </cell>
          <cell r="V112">
            <v>563</v>
          </cell>
          <cell r="W112">
            <v>95</v>
          </cell>
          <cell r="X112">
            <v>442</v>
          </cell>
          <cell r="Y112">
            <v>92</v>
          </cell>
          <cell r="Z112">
            <v>24</v>
          </cell>
          <cell r="AA112">
            <v>39</v>
          </cell>
          <cell r="AB112">
            <v>79</v>
          </cell>
          <cell r="AC112">
            <v>39</v>
          </cell>
          <cell r="AD112">
            <v>18</v>
          </cell>
          <cell r="AE112">
            <v>18</v>
          </cell>
          <cell r="AF112">
            <v>0</v>
          </cell>
          <cell r="AG112">
            <v>11</v>
          </cell>
          <cell r="AH112">
            <v>7</v>
          </cell>
          <cell r="AI112">
            <v>12</v>
          </cell>
          <cell r="AJ112">
            <v>0</v>
          </cell>
          <cell r="AK112">
            <v>11</v>
          </cell>
          <cell r="AL112">
            <v>29</v>
          </cell>
          <cell r="AM112">
            <v>37</v>
          </cell>
          <cell r="AN112">
            <v>92</v>
          </cell>
          <cell r="AO112">
            <v>57</v>
          </cell>
          <cell r="AP112">
            <v>25</v>
          </cell>
          <cell r="AQ112">
            <v>35</v>
          </cell>
          <cell r="AR112">
            <v>61</v>
          </cell>
          <cell r="AS112">
            <v>49</v>
          </cell>
        </row>
        <row r="113">
          <cell r="B113">
            <v>17031070200</v>
          </cell>
          <cell r="D113">
            <v>2895</v>
          </cell>
          <cell r="E113">
            <v>338</v>
          </cell>
          <cell r="F113">
            <v>703</v>
          </cell>
          <cell r="G113">
            <v>161</v>
          </cell>
          <cell r="H113">
            <v>685</v>
          </cell>
          <cell r="I113">
            <v>160</v>
          </cell>
          <cell r="J113">
            <v>18</v>
          </cell>
          <cell r="K113">
            <v>29</v>
          </cell>
          <cell r="L113">
            <v>18</v>
          </cell>
          <cell r="M113">
            <v>29</v>
          </cell>
          <cell r="N113">
            <v>0</v>
          </cell>
          <cell r="O113">
            <v>11</v>
          </cell>
          <cell r="P113">
            <v>0</v>
          </cell>
          <cell r="Q113">
            <v>11</v>
          </cell>
          <cell r="R113">
            <v>0</v>
          </cell>
          <cell r="S113">
            <v>11</v>
          </cell>
          <cell r="T113">
            <v>0</v>
          </cell>
          <cell r="U113">
            <v>11</v>
          </cell>
          <cell r="V113">
            <v>1644</v>
          </cell>
          <cell r="W113">
            <v>250</v>
          </cell>
          <cell r="X113">
            <v>737</v>
          </cell>
          <cell r="Y113">
            <v>178</v>
          </cell>
          <cell r="Z113">
            <v>0</v>
          </cell>
          <cell r="AA113">
            <v>11</v>
          </cell>
          <cell r="AB113">
            <v>812</v>
          </cell>
          <cell r="AC113">
            <v>234</v>
          </cell>
          <cell r="AD113">
            <v>95</v>
          </cell>
          <cell r="AE113">
            <v>84</v>
          </cell>
          <cell r="AF113">
            <v>0</v>
          </cell>
          <cell r="AG113">
            <v>11</v>
          </cell>
          <cell r="AH113">
            <v>26</v>
          </cell>
          <cell r="AI113">
            <v>40</v>
          </cell>
          <cell r="AJ113">
            <v>14</v>
          </cell>
          <cell r="AK113">
            <v>22</v>
          </cell>
          <cell r="AL113">
            <v>110</v>
          </cell>
          <cell r="AM113">
            <v>113</v>
          </cell>
          <cell r="AN113">
            <v>193</v>
          </cell>
          <cell r="AO113">
            <v>164</v>
          </cell>
          <cell r="AP113">
            <v>18</v>
          </cell>
          <cell r="AQ113">
            <v>27</v>
          </cell>
          <cell r="AR113">
            <v>187</v>
          </cell>
          <cell r="AS113">
            <v>93</v>
          </cell>
        </row>
        <row r="114">
          <cell r="B114">
            <v>17031070300</v>
          </cell>
          <cell r="D114">
            <v>2592</v>
          </cell>
          <cell r="E114">
            <v>200</v>
          </cell>
          <cell r="F114">
            <v>895</v>
          </cell>
          <cell r="G114">
            <v>154</v>
          </cell>
          <cell r="H114">
            <v>828</v>
          </cell>
          <cell r="I114">
            <v>153</v>
          </cell>
          <cell r="J114">
            <v>67</v>
          </cell>
          <cell r="K114">
            <v>51</v>
          </cell>
          <cell r="L114">
            <v>15</v>
          </cell>
          <cell r="M114">
            <v>17</v>
          </cell>
          <cell r="N114">
            <v>52</v>
          </cell>
          <cell r="O114">
            <v>44</v>
          </cell>
          <cell r="P114">
            <v>0</v>
          </cell>
          <cell r="Q114">
            <v>11</v>
          </cell>
          <cell r="R114">
            <v>0</v>
          </cell>
          <cell r="S114">
            <v>11</v>
          </cell>
          <cell r="T114">
            <v>0</v>
          </cell>
          <cell r="U114">
            <v>11</v>
          </cell>
          <cell r="V114">
            <v>1305</v>
          </cell>
          <cell r="W114">
            <v>154</v>
          </cell>
          <cell r="X114">
            <v>120</v>
          </cell>
          <cell r="Y114">
            <v>74</v>
          </cell>
          <cell r="Z114">
            <v>0</v>
          </cell>
          <cell r="AA114">
            <v>11</v>
          </cell>
          <cell r="AB114">
            <v>1151</v>
          </cell>
          <cell r="AC114">
            <v>162</v>
          </cell>
          <cell r="AD114">
            <v>34</v>
          </cell>
          <cell r="AE114">
            <v>26</v>
          </cell>
          <cell r="AF114">
            <v>0</v>
          </cell>
          <cell r="AG114">
            <v>11</v>
          </cell>
          <cell r="AH114">
            <v>9</v>
          </cell>
          <cell r="AI114">
            <v>13</v>
          </cell>
          <cell r="AJ114">
            <v>0</v>
          </cell>
          <cell r="AK114">
            <v>11</v>
          </cell>
          <cell r="AL114">
            <v>24</v>
          </cell>
          <cell r="AM114">
            <v>19</v>
          </cell>
          <cell r="AN114">
            <v>225</v>
          </cell>
          <cell r="AO114">
            <v>88</v>
          </cell>
          <cell r="AP114">
            <v>34</v>
          </cell>
          <cell r="AQ114">
            <v>23</v>
          </cell>
          <cell r="AR114">
            <v>100</v>
          </cell>
          <cell r="AS114">
            <v>52</v>
          </cell>
        </row>
        <row r="115">
          <cell r="B115">
            <v>17031070400</v>
          </cell>
          <cell r="D115">
            <v>2128</v>
          </cell>
          <cell r="E115">
            <v>195</v>
          </cell>
          <cell r="F115">
            <v>773</v>
          </cell>
          <cell r="G115">
            <v>142</v>
          </cell>
          <cell r="H115">
            <v>715</v>
          </cell>
          <cell r="I115">
            <v>136</v>
          </cell>
          <cell r="J115">
            <v>58</v>
          </cell>
          <cell r="K115">
            <v>41</v>
          </cell>
          <cell r="L115">
            <v>54</v>
          </cell>
          <cell r="M115">
            <v>42</v>
          </cell>
          <cell r="N115">
            <v>4</v>
          </cell>
          <cell r="O115">
            <v>9</v>
          </cell>
          <cell r="P115">
            <v>0</v>
          </cell>
          <cell r="Q115">
            <v>11</v>
          </cell>
          <cell r="R115">
            <v>0</v>
          </cell>
          <cell r="S115">
            <v>11</v>
          </cell>
          <cell r="T115">
            <v>0</v>
          </cell>
          <cell r="U115">
            <v>11</v>
          </cell>
          <cell r="V115">
            <v>1076</v>
          </cell>
          <cell r="W115">
            <v>210</v>
          </cell>
          <cell r="X115">
            <v>67</v>
          </cell>
          <cell r="Y115">
            <v>50</v>
          </cell>
          <cell r="Z115">
            <v>0</v>
          </cell>
          <cell r="AA115">
            <v>11</v>
          </cell>
          <cell r="AB115">
            <v>996</v>
          </cell>
          <cell r="AC115">
            <v>208</v>
          </cell>
          <cell r="AD115">
            <v>13</v>
          </cell>
          <cell r="AE115">
            <v>15</v>
          </cell>
          <cell r="AF115">
            <v>0</v>
          </cell>
          <cell r="AG115">
            <v>11</v>
          </cell>
          <cell r="AH115">
            <v>10</v>
          </cell>
          <cell r="AI115">
            <v>13</v>
          </cell>
          <cell r="AJ115">
            <v>0</v>
          </cell>
          <cell r="AK115">
            <v>11</v>
          </cell>
          <cell r="AL115">
            <v>7</v>
          </cell>
          <cell r="AM115">
            <v>11</v>
          </cell>
          <cell r="AN115">
            <v>105</v>
          </cell>
          <cell r="AO115">
            <v>70</v>
          </cell>
          <cell r="AP115">
            <v>17</v>
          </cell>
          <cell r="AQ115">
            <v>20</v>
          </cell>
          <cell r="AR115">
            <v>140</v>
          </cell>
          <cell r="AS115">
            <v>66</v>
          </cell>
        </row>
        <row r="116">
          <cell r="B116">
            <v>17031070500</v>
          </cell>
          <cell r="D116">
            <v>1882</v>
          </cell>
          <cell r="E116">
            <v>263</v>
          </cell>
          <cell r="F116">
            <v>988</v>
          </cell>
          <cell r="G116">
            <v>163</v>
          </cell>
          <cell r="H116">
            <v>745</v>
          </cell>
          <cell r="I116">
            <v>125</v>
          </cell>
          <cell r="J116">
            <v>243</v>
          </cell>
          <cell r="K116">
            <v>117</v>
          </cell>
          <cell r="L116">
            <v>169</v>
          </cell>
          <cell r="M116">
            <v>98</v>
          </cell>
          <cell r="N116">
            <v>67</v>
          </cell>
          <cell r="O116">
            <v>59</v>
          </cell>
          <cell r="P116">
            <v>7</v>
          </cell>
          <cell r="Q116">
            <v>11</v>
          </cell>
          <cell r="R116">
            <v>0</v>
          </cell>
          <cell r="S116">
            <v>11</v>
          </cell>
          <cell r="T116">
            <v>0</v>
          </cell>
          <cell r="U116">
            <v>11</v>
          </cell>
          <cell r="V116">
            <v>717</v>
          </cell>
          <cell r="W116">
            <v>186</v>
          </cell>
          <cell r="X116">
            <v>57</v>
          </cell>
          <cell r="Y116">
            <v>58</v>
          </cell>
          <cell r="Z116">
            <v>0</v>
          </cell>
          <cell r="AA116">
            <v>11</v>
          </cell>
          <cell r="AB116">
            <v>626</v>
          </cell>
          <cell r="AC116">
            <v>164</v>
          </cell>
          <cell r="AD116">
            <v>34</v>
          </cell>
          <cell r="AE116">
            <v>24</v>
          </cell>
          <cell r="AF116">
            <v>0</v>
          </cell>
          <cell r="AG116">
            <v>11</v>
          </cell>
          <cell r="AH116">
            <v>24</v>
          </cell>
          <cell r="AI116">
            <v>28</v>
          </cell>
          <cell r="AJ116">
            <v>0</v>
          </cell>
          <cell r="AK116">
            <v>11</v>
          </cell>
          <cell r="AL116">
            <v>12</v>
          </cell>
          <cell r="AM116">
            <v>14</v>
          </cell>
          <cell r="AN116">
            <v>57</v>
          </cell>
          <cell r="AO116">
            <v>48</v>
          </cell>
          <cell r="AP116">
            <v>7</v>
          </cell>
          <cell r="AQ116">
            <v>11</v>
          </cell>
          <cell r="AR116">
            <v>77</v>
          </cell>
          <cell r="AS116">
            <v>47</v>
          </cell>
        </row>
        <row r="117">
          <cell r="B117">
            <v>17031070600</v>
          </cell>
          <cell r="D117">
            <v>1959</v>
          </cell>
          <cell r="E117">
            <v>256</v>
          </cell>
          <cell r="F117">
            <v>1129</v>
          </cell>
          <cell r="G117">
            <v>255</v>
          </cell>
          <cell r="H117">
            <v>1081</v>
          </cell>
          <cell r="I117">
            <v>254</v>
          </cell>
          <cell r="J117">
            <v>48</v>
          </cell>
          <cell r="K117">
            <v>48</v>
          </cell>
          <cell r="L117">
            <v>48</v>
          </cell>
          <cell r="M117">
            <v>48</v>
          </cell>
          <cell r="N117">
            <v>0</v>
          </cell>
          <cell r="O117">
            <v>11</v>
          </cell>
          <cell r="P117">
            <v>0</v>
          </cell>
          <cell r="Q117">
            <v>11</v>
          </cell>
          <cell r="R117">
            <v>0</v>
          </cell>
          <cell r="S117">
            <v>11</v>
          </cell>
          <cell r="T117">
            <v>0</v>
          </cell>
          <cell r="U117">
            <v>11</v>
          </cell>
          <cell r="V117">
            <v>660</v>
          </cell>
          <cell r="W117">
            <v>226</v>
          </cell>
          <cell r="X117">
            <v>104</v>
          </cell>
          <cell r="Y117">
            <v>136</v>
          </cell>
          <cell r="Z117">
            <v>0</v>
          </cell>
          <cell r="AA117">
            <v>11</v>
          </cell>
          <cell r="AB117">
            <v>514</v>
          </cell>
          <cell r="AC117">
            <v>158</v>
          </cell>
          <cell r="AD117">
            <v>42</v>
          </cell>
          <cell r="AE117">
            <v>37</v>
          </cell>
          <cell r="AF117">
            <v>0</v>
          </cell>
          <cell r="AG117">
            <v>11</v>
          </cell>
          <cell r="AH117">
            <v>0</v>
          </cell>
          <cell r="AI117">
            <v>11</v>
          </cell>
          <cell r="AJ117">
            <v>0</v>
          </cell>
          <cell r="AK117">
            <v>11</v>
          </cell>
          <cell r="AL117">
            <v>8</v>
          </cell>
          <cell r="AM117">
            <v>12</v>
          </cell>
          <cell r="AN117">
            <v>0</v>
          </cell>
          <cell r="AO117">
            <v>11</v>
          </cell>
          <cell r="AP117">
            <v>23</v>
          </cell>
          <cell r="AQ117">
            <v>26</v>
          </cell>
          <cell r="AR117">
            <v>139</v>
          </cell>
          <cell r="AS117">
            <v>66</v>
          </cell>
        </row>
        <row r="118">
          <cell r="B118">
            <v>17031070700</v>
          </cell>
          <cell r="D118">
            <v>2598</v>
          </cell>
          <cell r="E118">
            <v>261</v>
          </cell>
          <cell r="F118">
            <v>1604</v>
          </cell>
          <cell r="G118">
            <v>230</v>
          </cell>
          <cell r="H118">
            <v>1500</v>
          </cell>
          <cell r="I118">
            <v>232</v>
          </cell>
          <cell r="J118">
            <v>104</v>
          </cell>
          <cell r="K118">
            <v>59</v>
          </cell>
          <cell r="L118">
            <v>104</v>
          </cell>
          <cell r="M118">
            <v>59</v>
          </cell>
          <cell r="N118">
            <v>0</v>
          </cell>
          <cell r="O118">
            <v>11</v>
          </cell>
          <cell r="P118">
            <v>0</v>
          </cell>
          <cell r="Q118">
            <v>11</v>
          </cell>
          <cell r="R118">
            <v>0</v>
          </cell>
          <cell r="S118">
            <v>11</v>
          </cell>
          <cell r="T118">
            <v>0</v>
          </cell>
          <cell r="U118">
            <v>11</v>
          </cell>
          <cell r="V118">
            <v>547</v>
          </cell>
          <cell r="W118">
            <v>130</v>
          </cell>
          <cell r="X118">
            <v>131</v>
          </cell>
          <cell r="Y118">
            <v>67</v>
          </cell>
          <cell r="Z118">
            <v>0</v>
          </cell>
          <cell r="AA118">
            <v>11</v>
          </cell>
          <cell r="AB118">
            <v>350</v>
          </cell>
          <cell r="AC118">
            <v>104</v>
          </cell>
          <cell r="AD118">
            <v>66</v>
          </cell>
          <cell r="AE118">
            <v>51</v>
          </cell>
          <cell r="AF118">
            <v>0</v>
          </cell>
          <cell r="AG118">
            <v>11</v>
          </cell>
          <cell r="AH118">
            <v>35</v>
          </cell>
          <cell r="AI118">
            <v>42</v>
          </cell>
          <cell r="AJ118">
            <v>0</v>
          </cell>
          <cell r="AK118">
            <v>11</v>
          </cell>
          <cell r="AL118">
            <v>64</v>
          </cell>
          <cell r="AM118">
            <v>49</v>
          </cell>
          <cell r="AN118">
            <v>137</v>
          </cell>
          <cell r="AO118">
            <v>95</v>
          </cell>
          <cell r="AP118">
            <v>18</v>
          </cell>
          <cell r="AQ118">
            <v>19</v>
          </cell>
          <cell r="AR118">
            <v>193</v>
          </cell>
          <cell r="AS118">
            <v>85</v>
          </cell>
        </row>
        <row r="119">
          <cell r="B119">
            <v>17031071000</v>
          </cell>
          <cell r="D119">
            <v>2092</v>
          </cell>
          <cell r="E119">
            <v>288</v>
          </cell>
          <cell r="F119">
            <v>567</v>
          </cell>
          <cell r="G119">
            <v>100</v>
          </cell>
          <cell r="H119">
            <v>503</v>
          </cell>
          <cell r="I119">
            <v>99</v>
          </cell>
          <cell r="J119">
            <v>64</v>
          </cell>
          <cell r="K119">
            <v>40</v>
          </cell>
          <cell r="L119">
            <v>50</v>
          </cell>
          <cell r="M119">
            <v>41</v>
          </cell>
          <cell r="N119">
            <v>0</v>
          </cell>
          <cell r="O119">
            <v>11</v>
          </cell>
          <cell r="P119">
            <v>14</v>
          </cell>
          <cell r="Q119">
            <v>20</v>
          </cell>
          <cell r="R119">
            <v>0</v>
          </cell>
          <cell r="S119">
            <v>11</v>
          </cell>
          <cell r="T119">
            <v>0</v>
          </cell>
          <cell r="U119">
            <v>11</v>
          </cell>
          <cell r="V119">
            <v>812</v>
          </cell>
          <cell r="W119">
            <v>218</v>
          </cell>
          <cell r="X119">
            <v>118</v>
          </cell>
          <cell r="Y119">
            <v>65</v>
          </cell>
          <cell r="Z119">
            <v>0</v>
          </cell>
          <cell r="AA119">
            <v>11</v>
          </cell>
          <cell r="AB119">
            <v>676</v>
          </cell>
          <cell r="AC119">
            <v>215</v>
          </cell>
          <cell r="AD119">
            <v>18</v>
          </cell>
          <cell r="AE119">
            <v>21</v>
          </cell>
          <cell r="AF119">
            <v>0</v>
          </cell>
          <cell r="AG119">
            <v>11</v>
          </cell>
          <cell r="AH119">
            <v>43</v>
          </cell>
          <cell r="AI119">
            <v>44</v>
          </cell>
          <cell r="AJ119">
            <v>6</v>
          </cell>
          <cell r="AK119">
            <v>12</v>
          </cell>
          <cell r="AL119">
            <v>21</v>
          </cell>
          <cell r="AM119">
            <v>22</v>
          </cell>
          <cell r="AN119">
            <v>434</v>
          </cell>
          <cell r="AO119">
            <v>145</v>
          </cell>
          <cell r="AP119">
            <v>12</v>
          </cell>
          <cell r="AQ119">
            <v>18</v>
          </cell>
          <cell r="AR119">
            <v>197</v>
          </cell>
          <cell r="AS119">
            <v>94</v>
          </cell>
        </row>
        <row r="120">
          <cell r="B120">
            <v>17031071100</v>
          </cell>
          <cell r="D120">
            <v>1852</v>
          </cell>
          <cell r="E120">
            <v>201</v>
          </cell>
          <cell r="F120">
            <v>395</v>
          </cell>
          <cell r="G120">
            <v>95</v>
          </cell>
          <cell r="H120">
            <v>363</v>
          </cell>
          <cell r="I120">
            <v>96</v>
          </cell>
          <cell r="J120">
            <v>32</v>
          </cell>
          <cell r="K120">
            <v>28</v>
          </cell>
          <cell r="L120">
            <v>32</v>
          </cell>
          <cell r="M120">
            <v>28</v>
          </cell>
          <cell r="N120">
            <v>0</v>
          </cell>
          <cell r="O120">
            <v>11</v>
          </cell>
          <cell r="P120">
            <v>0</v>
          </cell>
          <cell r="Q120">
            <v>11</v>
          </cell>
          <cell r="R120">
            <v>0</v>
          </cell>
          <cell r="S120">
            <v>11</v>
          </cell>
          <cell r="T120">
            <v>0</v>
          </cell>
          <cell r="U120">
            <v>11</v>
          </cell>
          <cell r="V120">
            <v>886</v>
          </cell>
          <cell r="W120">
            <v>177</v>
          </cell>
          <cell r="X120">
            <v>28</v>
          </cell>
          <cell r="Y120">
            <v>22</v>
          </cell>
          <cell r="Z120">
            <v>0</v>
          </cell>
          <cell r="AA120">
            <v>11</v>
          </cell>
          <cell r="AB120">
            <v>828</v>
          </cell>
          <cell r="AC120">
            <v>176</v>
          </cell>
          <cell r="AD120">
            <v>30</v>
          </cell>
          <cell r="AE120">
            <v>29</v>
          </cell>
          <cell r="AF120">
            <v>0</v>
          </cell>
          <cell r="AG120">
            <v>11</v>
          </cell>
          <cell r="AH120">
            <v>0</v>
          </cell>
          <cell r="AI120">
            <v>11</v>
          </cell>
          <cell r="AJ120">
            <v>0</v>
          </cell>
          <cell r="AK120">
            <v>11</v>
          </cell>
          <cell r="AL120">
            <v>86</v>
          </cell>
          <cell r="AM120">
            <v>78</v>
          </cell>
          <cell r="AN120">
            <v>305</v>
          </cell>
          <cell r="AO120">
            <v>165</v>
          </cell>
          <cell r="AP120">
            <v>97</v>
          </cell>
          <cell r="AQ120">
            <v>66</v>
          </cell>
          <cell r="AR120">
            <v>83</v>
          </cell>
          <cell r="AS120">
            <v>58</v>
          </cell>
        </row>
        <row r="121">
          <cell r="B121">
            <v>17031071200</v>
          </cell>
          <cell r="D121">
            <v>1340</v>
          </cell>
          <cell r="E121">
            <v>176</v>
          </cell>
          <cell r="F121">
            <v>487</v>
          </cell>
          <cell r="G121">
            <v>125</v>
          </cell>
          <cell r="H121">
            <v>440</v>
          </cell>
          <cell r="I121">
            <v>122</v>
          </cell>
          <cell r="J121">
            <v>47</v>
          </cell>
          <cell r="K121">
            <v>36</v>
          </cell>
          <cell r="L121">
            <v>27</v>
          </cell>
          <cell r="M121">
            <v>33</v>
          </cell>
          <cell r="N121">
            <v>0</v>
          </cell>
          <cell r="O121">
            <v>11</v>
          </cell>
          <cell r="P121">
            <v>20</v>
          </cell>
          <cell r="Q121">
            <v>33</v>
          </cell>
          <cell r="R121">
            <v>0</v>
          </cell>
          <cell r="S121">
            <v>11</v>
          </cell>
          <cell r="T121">
            <v>0</v>
          </cell>
          <cell r="U121">
            <v>11</v>
          </cell>
          <cell r="V121">
            <v>515</v>
          </cell>
          <cell r="W121">
            <v>140</v>
          </cell>
          <cell r="X121">
            <v>90</v>
          </cell>
          <cell r="Y121">
            <v>46</v>
          </cell>
          <cell r="Z121">
            <v>0</v>
          </cell>
          <cell r="AA121">
            <v>11</v>
          </cell>
          <cell r="AB121">
            <v>425</v>
          </cell>
          <cell r="AC121">
            <v>124</v>
          </cell>
          <cell r="AD121">
            <v>0</v>
          </cell>
          <cell r="AE121">
            <v>11</v>
          </cell>
          <cell r="AF121">
            <v>0</v>
          </cell>
          <cell r="AG121">
            <v>11</v>
          </cell>
          <cell r="AH121">
            <v>68</v>
          </cell>
          <cell r="AI121">
            <v>47</v>
          </cell>
          <cell r="AJ121">
            <v>0</v>
          </cell>
          <cell r="AK121">
            <v>11</v>
          </cell>
          <cell r="AL121">
            <v>30</v>
          </cell>
          <cell r="AM121">
            <v>29</v>
          </cell>
          <cell r="AN121">
            <v>195</v>
          </cell>
          <cell r="AO121">
            <v>150</v>
          </cell>
          <cell r="AP121">
            <v>11</v>
          </cell>
          <cell r="AQ121">
            <v>20</v>
          </cell>
          <cell r="AR121">
            <v>34</v>
          </cell>
          <cell r="AS121">
            <v>32</v>
          </cell>
        </row>
        <row r="122">
          <cell r="B122">
            <v>17031071300</v>
          </cell>
          <cell r="D122">
            <v>2227</v>
          </cell>
          <cell r="E122">
            <v>268</v>
          </cell>
          <cell r="F122">
            <v>997</v>
          </cell>
          <cell r="G122">
            <v>314</v>
          </cell>
          <cell r="H122">
            <v>971</v>
          </cell>
          <cell r="I122">
            <v>308</v>
          </cell>
          <cell r="J122">
            <v>26</v>
          </cell>
          <cell r="K122">
            <v>30</v>
          </cell>
          <cell r="L122">
            <v>26</v>
          </cell>
          <cell r="M122">
            <v>30</v>
          </cell>
          <cell r="N122">
            <v>0</v>
          </cell>
          <cell r="O122">
            <v>11</v>
          </cell>
          <cell r="P122">
            <v>0</v>
          </cell>
          <cell r="Q122">
            <v>11</v>
          </cell>
          <cell r="R122">
            <v>0</v>
          </cell>
          <cell r="S122">
            <v>11</v>
          </cell>
          <cell r="T122">
            <v>0</v>
          </cell>
          <cell r="U122">
            <v>11</v>
          </cell>
          <cell r="V122">
            <v>876</v>
          </cell>
          <cell r="W122">
            <v>167</v>
          </cell>
          <cell r="X122">
            <v>597</v>
          </cell>
          <cell r="Y122">
            <v>150</v>
          </cell>
          <cell r="Z122">
            <v>0</v>
          </cell>
          <cell r="AA122">
            <v>11</v>
          </cell>
          <cell r="AB122">
            <v>279</v>
          </cell>
          <cell r="AC122">
            <v>92</v>
          </cell>
          <cell r="AD122">
            <v>0</v>
          </cell>
          <cell r="AE122">
            <v>11</v>
          </cell>
          <cell r="AF122">
            <v>0</v>
          </cell>
          <cell r="AG122">
            <v>11</v>
          </cell>
          <cell r="AH122">
            <v>7</v>
          </cell>
          <cell r="AI122">
            <v>12</v>
          </cell>
          <cell r="AJ122">
            <v>0</v>
          </cell>
          <cell r="AK122">
            <v>11</v>
          </cell>
          <cell r="AL122">
            <v>30</v>
          </cell>
          <cell r="AM122">
            <v>30</v>
          </cell>
          <cell r="AN122">
            <v>147</v>
          </cell>
          <cell r="AO122">
            <v>66</v>
          </cell>
          <cell r="AP122">
            <v>32</v>
          </cell>
          <cell r="AQ122">
            <v>30</v>
          </cell>
          <cell r="AR122">
            <v>138</v>
          </cell>
          <cell r="AS122">
            <v>89</v>
          </cell>
        </row>
        <row r="123">
          <cell r="B123">
            <v>17031071400</v>
          </cell>
          <cell r="D123">
            <v>3129</v>
          </cell>
          <cell r="E123">
            <v>389</v>
          </cell>
          <cell r="F123">
            <v>1162</v>
          </cell>
          <cell r="G123">
            <v>260</v>
          </cell>
          <cell r="H123">
            <v>917</v>
          </cell>
          <cell r="I123">
            <v>216</v>
          </cell>
          <cell r="J123">
            <v>245</v>
          </cell>
          <cell r="K123">
            <v>143</v>
          </cell>
          <cell r="L123">
            <v>120</v>
          </cell>
          <cell r="M123">
            <v>98</v>
          </cell>
          <cell r="N123">
            <v>64</v>
          </cell>
          <cell r="O123">
            <v>103</v>
          </cell>
          <cell r="P123">
            <v>0</v>
          </cell>
          <cell r="Q123">
            <v>11</v>
          </cell>
          <cell r="R123">
            <v>19</v>
          </cell>
          <cell r="S123">
            <v>30</v>
          </cell>
          <cell r="T123">
            <v>42</v>
          </cell>
          <cell r="U123">
            <v>67</v>
          </cell>
          <cell r="V123">
            <v>1415</v>
          </cell>
          <cell r="W123">
            <v>261</v>
          </cell>
          <cell r="X123">
            <v>1277</v>
          </cell>
          <cell r="Y123">
            <v>250</v>
          </cell>
          <cell r="Z123">
            <v>0</v>
          </cell>
          <cell r="AA123">
            <v>11</v>
          </cell>
          <cell r="AB123">
            <v>138</v>
          </cell>
          <cell r="AC123">
            <v>76</v>
          </cell>
          <cell r="AD123">
            <v>0</v>
          </cell>
          <cell r="AE123">
            <v>11</v>
          </cell>
          <cell r="AF123">
            <v>0</v>
          </cell>
          <cell r="AG123">
            <v>11</v>
          </cell>
          <cell r="AH123">
            <v>57</v>
          </cell>
          <cell r="AI123">
            <v>45</v>
          </cell>
          <cell r="AJ123">
            <v>20</v>
          </cell>
          <cell r="AK123">
            <v>33</v>
          </cell>
          <cell r="AL123">
            <v>67</v>
          </cell>
          <cell r="AM123">
            <v>57</v>
          </cell>
          <cell r="AN123">
            <v>135</v>
          </cell>
          <cell r="AO123">
            <v>76</v>
          </cell>
          <cell r="AP123">
            <v>15</v>
          </cell>
          <cell r="AQ123">
            <v>24</v>
          </cell>
          <cell r="AR123">
            <v>258</v>
          </cell>
          <cell r="AS123">
            <v>102</v>
          </cell>
        </row>
        <row r="124">
          <cell r="B124">
            <v>17031071500</v>
          </cell>
          <cell r="D124">
            <v>4578</v>
          </cell>
          <cell r="E124">
            <v>318</v>
          </cell>
          <cell r="F124">
            <v>1610</v>
          </cell>
          <cell r="G124">
            <v>235</v>
          </cell>
          <cell r="H124">
            <v>1407</v>
          </cell>
          <cell r="I124">
            <v>236</v>
          </cell>
          <cell r="J124">
            <v>203</v>
          </cell>
          <cell r="K124">
            <v>100</v>
          </cell>
          <cell r="L124">
            <v>188</v>
          </cell>
          <cell r="M124">
            <v>97</v>
          </cell>
          <cell r="N124">
            <v>15</v>
          </cell>
          <cell r="O124">
            <v>24</v>
          </cell>
          <cell r="P124">
            <v>0</v>
          </cell>
          <cell r="Q124">
            <v>15</v>
          </cell>
          <cell r="R124">
            <v>0</v>
          </cell>
          <cell r="S124">
            <v>15</v>
          </cell>
          <cell r="T124">
            <v>0</v>
          </cell>
          <cell r="U124">
            <v>15</v>
          </cell>
          <cell r="V124">
            <v>2158</v>
          </cell>
          <cell r="W124">
            <v>312</v>
          </cell>
          <cell r="X124">
            <v>1609</v>
          </cell>
          <cell r="Y124">
            <v>293</v>
          </cell>
          <cell r="Z124">
            <v>0</v>
          </cell>
          <cell r="AA124">
            <v>15</v>
          </cell>
          <cell r="AB124">
            <v>521</v>
          </cell>
          <cell r="AC124">
            <v>157</v>
          </cell>
          <cell r="AD124">
            <v>28</v>
          </cell>
          <cell r="AE124">
            <v>32</v>
          </cell>
          <cell r="AF124">
            <v>0</v>
          </cell>
          <cell r="AG124">
            <v>15</v>
          </cell>
          <cell r="AH124">
            <v>104</v>
          </cell>
          <cell r="AI124">
            <v>91</v>
          </cell>
          <cell r="AJ124">
            <v>0</v>
          </cell>
          <cell r="AK124">
            <v>15</v>
          </cell>
          <cell r="AL124">
            <v>111</v>
          </cell>
          <cell r="AM124">
            <v>83</v>
          </cell>
          <cell r="AN124">
            <v>281</v>
          </cell>
          <cell r="AO124">
            <v>208</v>
          </cell>
          <cell r="AP124">
            <v>42</v>
          </cell>
          <cell r="AQ124">
            <v>30</v>
          </cell>
          <cell r="AR124">
            <v>272</v>
          </cell>
          <cell r="AS124">
            <v>148</v>
          </cell>
        </row>
        <row r="125">
          <cell r="B125">
            <v>17031071600</v>
          </cell>
          <cell r="D125">
            <v>834</v>
          </cell>
          <cell r="E125">
            <v>109</v>
          </cell>
          <cell r="F125">
            <v>430</v>
          </cell>
          <cell r="G125">
            <v>64</v>
          </cell>
          <cell r="H125">
            <v>346</v>
          </cell>
          <cell r="I125">
            <v>65</v>
          </cell>
          <cell r="J125">
            <v>84</v>
          </cell>
          <cell r="K125">
            <v>38</v>
          </cell>
          <cell r="L125">
            <v>72</v>
          </cell>
          <cell r="M125">
            <v>37</v>
          </cell>
          <cell r="N125">
            <v>6</v>
          </cell>
          <cell r="O125">
            <v>8</v>
          </cell>
          <cell r="P125">
            <v>6</v>
          </cell>
          <cell r="Q125">
            <v>9</v>
          </cell>
          <cell r="R125">
            <v>0</v>
          </cell>
          <cell r="S125">
            <v>11</v>
          </cell>
          <cell r="T125">
            <v>0</v>
          </cell>
          <cell r="U125">
            <v>11</v>
          </cell>
          <cell r="V125">
            <v>214</v>
          </cell>
          <cell r="W125">
            <v>61</v>
          </cell>
          <cell r="X125">
            <v>105</v>
          </cell>
          <cell r="Y125">
            <v>42</v>
          </cell>
          <cell r="Z125">
            <v>0</v>
          </cell>
          <cell r="AA125">
            <v>11</v>
          </cell>
          <cell r="AB125">
            <v>93</v>
          </cell>
          <cell r="AC125">
            <v>34</v>
          </cell>
          <cell r="AD125">
            <v>16</v>
          </cell>
          <cell r="AE125">
            <v>21</v>
          </cell>
          <cell r="AF125">
            <v>0</v>
          </cell>
          <cell r="AG125">
            <v>11</v>
          </cell>
          <cell r="AH125">
            <v>13</v>
          </cell>
          <cell r="AI125">
            <v>15</v>
          </cell>
          <cell r="AJ125">
            <v>0</v>
          </cell>
          <cell r="AK125">
            <v>11</v>
          </cell>
          <cell r="AL125">
            <v>0</v>
          </cell>
          <cell r="AM125">
            <v>11</v>
          </cell>
          <cell r="AN125">
            <v>50</v>
          </cell>
          <cell r="AO125">
            <v>26</v>
          </cell>
          <cell r="AP125">
            <v>11</v>
          </cell>
          <cell r="AQ125">
            <v>14</v>
          </cell>
          <cell r="AR125">
            <v>116</v>
          </cell>
          <cell r="AS125">
            <v>44</v>
          </cell>
        </row>
        <row r="126">
          <cell r="B126">
            <v>17031071700</v>
          </cell>
          <cell r="D126">
            <v>1143</v>
          </cell>
          <cell r="E126">
            <v>93</v>
          </cell>
          <cell r="F126">
            <v>493</v>
          </cell>
          <cell r="G126">
            <v>85</v>
          </cell>
          <cell r="H126">
            <v>434</v>
          </cell>
          <cell r="I126">
            <v>80</v>
          </cell>
          <cell r="J126">
            <v>59</v>
          </cell>
          <cell r="K126">
            <v>30</v>
          </cell>
          <cell r="L126">
            <v>59</v>
          </cell>
          <cell r="M126">
            <v>30</v>
          </cell>
          <cell r="N126">
            <v>0</v>
          </cell>
          <cell r="O126">
            <v>11</v>
          </cell>
          <cell r="P126">
            <v>0</v>
          </cell>
          <cell r="Q126">
            <v>11</v>
          </cell>
          <cell r="R126">
            <v>0</v>
          </cell>
          <cell r="S126">
            <v>11</v>
          </cell>
          <cell r="T126">
            <v>0</v>
          </cell>
          <cell r="U126">
            <v>11</v>
          </cell>
          <cell r="V126">
            <v>423</v>
          </cell>
          <cell r="W126">
            <v>84</v>
          </cell>
          <cell r="X126">
            <v>59</v>
          </cell>
          <cell r="Y126">
            <v>33</v>
          </cell>
          <cell r="Z126">
            <v>0</v>
          </cell>
          <cell r="AA126">
            <v>11</v>
          </cell>
          <cell r="AB126">
            <v>348</v>
          </cell>
          <cell r="AC126">
            <v>82</v>
          </cell>
          <cell r="AD126">
            <v>16</v>
          </cell>
          <cell r="AE126">
            <v>24</v>
          </cell>
          <cell r="AF126">
            <v>0</v>
          </cell>
          <cell r="AG126">
            <v>11</v>
          </cell>
          <cell r="AH126">
            <v>8</v>
          </cell>
          <cell r="AI126">
            <v>12</v>
          </cell>
          <cell r="AJ126">
            <v>0</v>
          </cell>
          <cell r="AK126">
            <v>11</v>
          </cell>
          <cell r="AL126">
            <v>90</v>
          </cell>
          <cell r="AM126">
            <v>47</v>
          </cell>
          <cell r="AN126">
            <v>71</v>
          </cell>
          <cell r="AO126">
            <v>52</v>
          </cell>
          <cell r="AP126">
            <v>13</v>
          </cell>
          <cell r="AQ126">
            <v>20</v>
          </cell>
          <cell r="AR126">
            <v>45</v>
          </cell>
          <cell r="AS126">
            <v>29</v>
          </cell>
        </row>
        <row r="127">
          <cell r="B127">
            <v>17031071800</v>
          </cell>
          <cell r="D127">
            <v>1546</v>
          </cell>
          <cell r="E127">
            <v>192</v>
          </cell>
          <cell r="F127">
            <v>778</v>
          </cell>
          <cell r="G127">
            <v>142</v>
          </cell>
          <cell r="H127">
            <v>669</v>
          </cell>
          <cell r="I127">
            <v>132</v>
          </cell>
          <cell r="J127">
            <v>109</v>
          </cell>
          <cell r="K127">
            <v>72</v>
          </cell>
          <cell r="L127">
            <v>17</v>
          </cell>
          <cell r="M127">
            <v>20</v>
          </cell>
          <cell r="N127">
            <v>43</v>
          </cell>
          <cell r="O127">
            <v>53</v>
          </cell>
          <cell r="P127">
            <v>0</v>
          </cell>
          <cell r="Q127">
            <v>11</v>
          </cell>
          <cell r="R127">
            <v>0</v>
          </cell>
          <cell r="S127">
            <v>11</v>
          </cell>
          <cell r="T127">
            <v>49</v>
          </cell>
          <cell r="U127">
            <v>51</v>
          </cell>
          <cell r="V127">
            <v>492</v>
          </cell>
          <cell r="W127">
            <v>170</v>
          </cell>
          <cell r="X127">
            <v>68</v>
          </cell>
          <cell r="Y127">
            <v>45</v>
          </cell>
          <cell r="Z127">
            <v>0</v>
          </cell>
          <cell r="AA127">
            <v>11</v>
          </cell>
          <cell r="AB127">
            <v>409</v>
          </cell>
          <cell r="AC127">
            <v>167</v>
          </cell>
          <cell r="AD127">
            <v>15</v>
          </cell>
          <cell r="AE127">
            <v>22</v>
          </cell>
          <cell r="AF127">
            <v>0</v>
          </cell>
          <cell r="AG127">
            <v>11</v>
          </cell>
          <cell r="AH127">
            <v>8</v>
          </cell>
          <cell r="AI127">
            <v>13</v>
          </cell>
          <cell r="AJ127">
            <v>0</v>
          </cell>
          <cell r="AK127">
            <v>11</v>
          </cell>
          <cell r="AL127">
            <v>56</v>
          </cell>
          <cell r="AM127">
            <v>39</v>
          </cell>
          <cell r="AN127">
            <v>66</v>
          </cell>
          <cell r="AO127">
            <v>57</v>
          </cell>
          <cell r="AP127">
            <v>19</v>
          </cell>
          <cell r="AQ127">
            <v>31</v>
          </cell>
          <cell r="AR127">
            <v>127</v>
          </cell>
          <cell r="AS127">
            <v>72</v>
          </cell>
        </row>
        <row r="128">
          <cell r="B128">
            <v>17031080100</v>
          </cell>
          <cell r="D128">
            <v>4247</v>
          </cell>
          <cell r="E128">
            <v>543</v>
          </cell>
          <cell r="F128">
            <v>1204</v>
          </cell>
          <cell r="G128">
            <v>318</v>
          </cell>
          <cell r="H128">
            <v>1081</v>
          </cell>
          <cell r="I128">
            <v>303</v>
          </cell>
          <cell r="J128">
            <v>123</v>
          </cell>
          <cell r="K128">
            <v>117</v>
          </cell>
          <cell r="L128">
            <v>90</v>
          </cell>
          <cell r="M128">
            <v>108</v>
          </cell>
          <cell r="N128">
            <v>0</v>
          </cell>
          <cell r="O128">
            <v>15</v>
          </cell>
          <cell r="P128">
            <v>33</v>
          </cell>
          <cell r="Q128">
            <v>51</v>
          </cell>
          <cell r="R128">
            <v>0</v>
          </cell>
          <cell r="S128">
            <v>15</v>
          </cell>
          <cell r="T128">
            <v>0</v>
          </cell>
          <cell r="U128">
            <v>15</v>
          </cell>
          <cell r="V128">
            <v>1402</v>
          </cell>
          <cell r="W128">
            <v>473</v>
          </cell>
          <cell r="X128">
            <v>773</v>
          </cell>
          <cell r="Y128">
            <v>264</v>
          </cell>
          <cell r="Z128">
            <v>0</v>
          </cell>
          <cell r="AA128">
            <v>15</v>
          </cell>
          <cell r="AB128">
            <v>611</v>
          </cell>
          <cell r="AC128">
            <v>436</v>
          </cell>
          <cell r="AD128">
            <v>18</v>
          </cell>
          <cell r="AE128">
            <v>30</v>
          </cell>
          <cell r="AF128">
            <v>0</v>
          </cell>
          <cell r="AG128">
            <v>15</v>
          </cell>
          <cell r="AH128">
            <v>505</v>
          </cell>
          <cell r="AI128">
            <v>295</v>
          </cell>
          <cell r="AJ128">
            <v>0</v>
          </cell>
          <cell r="AK128">
            <v>15</v>
          </cell>
          <cell r="AL128">
            <v>0</v>
          </cell>
          <cell r="AM128">
            <v>15</v>
          </cell>
          <cell r="AN128">
            <v>672</v>
          </cell>
          <cell r="AO128">
            <v>264</v>
          </cell>
          <cell r="AP128">
            <v>0</v>
          </cell>
          <cell r="AQ128">
            <v>15</v>
          </cell>
          <cell r="AR128">
            <v>464</v>
          </cell>
          <cell r="AS128">
            <v>228</v>
          </cell>
        </row>
        <row r="129">
          <cell r="B129">
            <v>17031080201</v>
          </cell>
          <cell r="D129">
            <v>2090</v>
          </cell>
          <cell r="E129">
            <v>227</v>
          </cell>
          <cell r="F129">
            <v>630</v>
          </cell>
          <cell r="G129">
            <v>167</v>
          </cell>
          <cell r="H129">
            <v>577</v>
          </cell>
          <cell r="I129">
            <v>154</v>
          </cell>
          <cell r="J129">
            <v>53</v>
          </cell>
          <cell r="K129">
            <v>50</v>
          </cell>
          <cell r="L129">
            <v>53</v>
          </cell>
          <cell r="M129">
            <v>50</v>
          </cell>
          <cell r="N129">
            <v>0</v>
          </cell>
          <cell r="O129">
            <v>11</v>
          </cell>
          <cell r="P129">
            <v>0</v>
          </cell>
          <cell r="Q129">
            <v>11</v>
          </cell>
          <cell r="R129">
            <v>0</v>
          </cell>
          <cell r="S129">
            <v>11</v>
          </cell>
          <cell r="T129">
            <v>0</v>
          </cell>
          <cell r="U129">
            <v>11</v>
          </cell>
          <cell r="V129">
            <v>809</v>
          </cell>
          <cell r="W129">
            <v>183</v>
          </cell>
          <cell r="X129">
            <v>519</v>
          </cell>
          <cell r="Y129">
            <v>154</v>
          </cell>
          <cell r="Z129">
            <v>0</v>
          </cell>
          <cell r="AA129">
            <v>11</v>
          </cell>
          <cell r="AB129">
            <v>290</v>
          </cell>
          <cell r="AC129">
            <v>129</v>
          </cell>
          <cell r="AD129">
            <v>0</v>
          </cell>
          <cell r="AE129">
            <v>11</v>
          </cell>
          <cell r="AF129">
            <v>0</v>
          </cell>
          <cell r="AG129">
            <v>11</v>
          </cell>
          <cell r="AH129">
            <v>40</v>
          </cell>
          <cell r="AI129">
            <v>36</v>
          </cell>
          <cell r="AJ129">
            <v>0</v>
          </cell>
          <cell r="AK129">
            <v>11</v>
          </cell>
          <cell r="AL129">
            <v>93</v>
          </cell>
          <cell r="AM129">
            <v>85</v>
          </cell>
          <cell r="AN129">
            <v>305</v>
          </cell>
          <cell r="AO129">
            <v>119</v>
          </cell>
          <cell r="AP129">
            <v>27</v>
          </cell>
          <cell r="AQ129">
            <v>34</v>
          </cell>
          <cell r="AR129">
            <v>186</v>
          </cell>
          <cell r="AS129">
            <v>91</v>
          </cell>
        </row>
        <row r="130">
          <cell r="B130">
            <v>17031080202</v>
          </cell>
          <cell r="D130">
            <v>2506</v>
          </cell>
          <cell r="E130">
            <v>279</v>
          </cell>
          <cell r="F130">
            <v>646</v>
          </cell>
          <cell r="G130">
            <v>172</v>
          </cell>
          <cell r="H130">
            <v>590</v>
          </cell>
          <cell r="I130">
            <v>154</v>
          </cell>
          <cell r="J130">
            <v>56</v>
          </cell>
          <cell r="K130">
            <v>65</v>
          </cell>
          <cell r="L130">
            <v>56</v>
          </cell>
          <cell r="M130">
            <v>65</v>
          </cell>
          <cell r="N130">
            <v>0</v>
          </cell>
          <cell r="O130">
            <v>11</v>
          </cell>
          <cell r="P130">
            <v>0</v>
          </cell>
          <cell r="Q130">
            <v>11</v>
          </cell>
          <cell r="R130">
            <v>0</v>
          </cell>
          <cell r="S130">
            <v>11</v>
          </cell>
          <cell r="T130">
            <v>0</v>
          </cell>
          <cell r="U130">
            <v>11</v>
          </cell>
          <cell r="V130">
            <v>890</v>
          </cell>
          <cell r="W130">
            <v>213</v>
          </cell>
          <cell r="X130">
            <v>239</v>
          </cell>
          <cell r="Y130">
            <v>115</v>
          </cell>
          <cell r="Z130">
            <v>0</v>
          </cell>
          <cell r="AA130">
            <v>11</v>
          </cell>
          <cell r="AB130">
            <v>615</v>
          </cell>
          <cell r="AC130">
            <v>192</v>
          </cell>
          <cell r="AD130">
            <v>36</v>
          </cell>
          <cell r="AE130">
            <v>39</v>
          </cell>
          <cell r="AF130">
            <v>0</v>
          </cell>
          <cell r="AG130">
            <v>11</v>
          </cell>
          <cell r="AH130">
            <v>26</v>
          </cell>
          <cell r="AI130">
            <v>28</v>
          </cell>
          <cell r="AJ130">
            <v>0</v>
          </cell>
          <cell r="AK130">
            <v>11</v>
          </cell>
          <cell r="AL130">
            <v>106</v>
          </cell>
          <cell r="AM130">
            <v>94</v>
          </cell>
          <cell r="AN130">
            <v>551</v>
          </cell>
          <cell r="AO130">
            <v>176</v>
          </cell>
          <cell r="AP130">
            <v>27</v>
          </cell>
          <cell r="AQ130">
            <v>31</v>
          </cell>
          <cell r="AR130">
            <v>260</v>
          </cell>
          <cell r="AS130">
            <v>130</v>
          </cell>
        </row>
        <row r="131">
          <cell r="B131">
            <v>17031080300</v>
          </cell>
          <cell r="D131">
            <v>3489</v>
          </cell>
          <cell r="E131">
            <v>400</v>
          </cell>
          <cell r="F131">
            <v>1460</v>
          </cell>
          <cell r="G131">
            <v>283</v>
          </cell>
          <cell r="H131">
            <v>1185</v>
          </cell>
          <cell r="I131">
            <v>269</v>
          </cell>
          <cell r="J131">
            <v>275</v>
          </cell>
          <cell r="K131">
            <v>162</v>
          </cell>
          <cell r="L131">
            <v>232</v>
          </cell>
          <cell r="M131">
            <v>148</v>
          </cell>
          <cell r="N131">
            <v>43</v>
          </cell>
          <cell r="O131">
            <v>53</v>
          </cell>
          <cell r="P131">
            <v>0</v>
          </cell>
          <cell r="Q131">
            <v>11</v>
          </cell>
          <cell r="R131">
            <v>0</v>
          </cell>
          <cell r="S131">
            <v>11</v>
          </cell>
          <cell r="T131">
            <v>0</v>
          </cell>
          <cell r="U131">
            <v>11</v>
          </cell>
          <cell r="V131">
            <v>1377</v>
          </cell>
          <cell r="W131">
            <v>268</v>
          </cell>
          <cell r="X131">
            <v>611</v>
          </cell>
          <cell r="Y131">
            <v>191</v>
          </cell>
          <cell r="Z131">
            <v>0</v>
          </cell>
          <cell r="AA131">
            <v>11</v>
          </cell>
          <cell r="AB131">
            <v>766</v>
          </cell>
          <cell r="AC131">
            <v>247</v>
          </cell>
          <cell r="AD131">
            <v>0</v>
          </cell>
          <cell r="AE131">
            <v>11</v>
          </cell>
          <cell r="AF131">
            <v>0</v>
          </cell>
          <cell r="AG131">
            <v>11</v>
          </cell>
          <cell r="AH131">
            <v>144</v>
          </cell>
          <cell r="AI131">
            <v>75</v>
          </cell>
          <cell r="AJ131">
            <v>17</v>
          </cell>
          <cell r="AK131">
            <v>26</v>
          </cell>
          <cell r="AL131">
            <v>103</v>
          </cell>
          <cell r="AM131">
            <v>81</v>
          </cell>
          <cell r="AN131">
            <v>252</v>
          </cell>
          <cell r="AO131">
            <v>102</v>
          </cell>
          <cell r="AP131">
            <v>0</v>
          </cell>
          <cell r="AQ131">
            <v>11</v>
          </cell>
          <cell r="AR131">
            <v>136</v>
          </cell>
          <cell r="AS131">
            <v>79</v>
          </cell>
        </row>
        <row r="132">
          <cell r="B132">
            <v>17031080400</v>
          </cell>
          <cell r="D132">
            <v>1928</v>
          </cell>
          <cell r="E132">
            <v>463</v>
          </cell>
          <cell r="F132">
            <v>775</v>
          </cell>
          <cell r="G132">
            <v>268</v>
          </cell>
          <cell r="H132">
            <v>735</v>
          </cell>
          <cell r="I132">
            <v>270</v>
          </cell>
          <cell r="J132">
            <v>40</v>
          </cell>
          <cell r="K132">
            <v>66</v>
          </cell>
          <cell r="L132">
            <v>40</v>
          </cell>
          <cell r="M132">
            <v>66</v>
          </cell>
          <cell r="N132">
            <v>0</v>
          </cell>
          <cell r="O132">
            <v>11</v>
          </cell>
          <cell r="P132">
            <v>0</v>
          </cell>
          <cell r="Q132">
            <v>11</v>
          </cell>
          <cell r="R132">
            <v>0</v>
          </cell>
          <cell r="S132">
            <v>11</v>
          </cell>
          <cell r="T132">
            <v>0</v>
          </cell>
          <cell r="U132">
            <v>11</v>
          </cell>
          <cell r="V132">
            <v>556</v>
          </cell>
          <cell r="W132">
            <v>316</v>
          </cell>
          <cell r="X132">
            <v>148</v>
          </cell>
          <cell r="Y132">
            <v>124</v>
          </cell>
          <cell r="Z132">
            <v>0</v>
          </cell>
          <cell r="AA132">
            <v>11</v>
          </cell>
          <cell r="AB132">
            <v>408</v>
          </cell>
          <cell r="AC132">
            <v>310</v>
          </cell>
          <cell r="AD132">
            <v>0</v>
          </cell>
          <cell r="AE132">
            <v>11</v>
          </cell>
          <cell r="AF132">
            <v>0</v>
          </cell>
          <cell r="AG132">
            <v>11</v>
          </cell>
          <cell r="AH132">
            <v>0</v>
          </cell>
          <cell r="AI132">
            <v>11</v>
          </cell>
          <cell r="AJ132">
            <v>0</v>
          </cell>
          <cell r="AK132">
            <v>11</v>
          </cell>
          <cell r="AL132">
            <v>13</v>
          </cell>
          <cell r="AM132">
            <v>31</v>
          </cell>
          <cell r="AN132">
            <v>251</v>
          </cell>
          <cell r="AO132">
            <v>157</v>
          </cell>
          <cell r="AP132">
            <v>15</v>
          </cell>
          <cell r="AQ132">
            <v>24</v>
          </cell>
          <cell r="AR132">
            <v>318</v>
          </cell>
          <cell r="AS132">
            <v>180</v>
          </cell>
        </row>
        <row r="133">
          <cell r="B133">
            <v>17031081000</v>
          </cell>
          <cell r="D133">
            <v>4291</v>
          </cell>
          <cell r="E133">
            <v>450</v>
          </cell>
          <cell r="F133">
            <v>963</v>
          </cell>
          <cell r="G133">
            <v>364</v>
          </cell>
          <cell r="H133">
            <v>794</v>
          </cell>
          <cell r="I133">
            <v>339</v>
          </cell>
          <cell r="J133">
            <v>169</v>
          </cell>
          <cell r="K133">
            <v>121</v>
          </cell>
          <cell r="L133">
            <v>146</v>
          </cell>
          <cell r="M133">
            <v>121</v>
          </cell>
          <cell r="N133">
            <v>23</v>
          </cell>
          <cell r="O133">
            <v>43</v>
          </cell>
          <cell r="P133">
            <v>0</v>
          </cell>
          <cell r="Q133">
            <v>15</v>
          </cell>
          <cell r="R133">
            <v>0</v>
          </cell>
          <cell r="S133">
            <v>15</v>
          </cell>
          <cell r="T133">
            <v>0</v>
          </cell>
          <cell r="U133">
            <v>15</v>
          </cell>
          <cell r="V133">
            <v>1351</v>
          </cell>
          <cell r="W133">
            <v>376</v>
          </cell>
          <cell r="X133">
            <v>613</v>
          </cell>
          <cell r="Y133">
            <v>213</v>
          </cell>
          <cell r="Z133">
            <v>0</v>
          </cell>
          <cell r="AA133">
            <v>15</v>
          </cell>
          <cell r="AB133">
            <v>715</v>
          </cell>
          <cell r="AC133">
            <v>296</v>
          </cell>
          <cell r="AD133">
            <v>23</v>
          </cell>
          <cell r="AE133">
            <v>39</v>
          </cell>
          <cell r="AF133">
            <v>0</v>
          </cell>
          <cell r="AG133">
            <v>15</v>
          </cell>
          <cell r="AH133">
            <v>147</v>
          </cell>
          <cell r="AI133">
            <v>138</v>
          </cell>
          <cell r="AJ133">
            <v>0</v>
          </cell>
          <cell r="AK133">
            <v>15</v>
          </cell>
          <cell r="AL133">
            <v>91</v>
          </cell>
          <cell r="AM133">
            <v>85</v>
          </cell>
          <cell r="AN133">
            <v>1466</v>
          </cell>
          <cell r="AO133">
            <v>324</v>
          </cell>
          <cell r="AP133">
            <v>0</v>
          </cell>
          <cell r="AQ133">
            <v>15</v>
          </cell>
          <cell r="AR133">
            <v>273</v>
          </cell>
          <cell r="AS133">
            <v>119</v>
          </cell>
        </row>
        <row r="134">
          <cell r="B134">
            <v>17031081100</v>
          </cell>
          <cell r="D134">
            <v>2596</v>
          </cell>
          <cell r="E134">
            <v>302</v>
          </cell>
          <cell r="F134">
            <v>647</v>
          </cell>
          <cell r="G134">
            <v>250</v>
          </cell>
          <cell r="H134">
            <v>507</v>
          </cell>
          <cell r="I134">
            <v>185</v>
          </cell>
          <cell r="J134">
            <v>140</v>
          </cell>
          <cell r="K134">
            <v>184</v>
          </cell>
          <cell r="L134">
            <v>140</v>
          </cell>
          <cell r="M134">
            <v>184</v>
          </cell>
          <cell r="N134">
            <v>0</v>
          </cell>
          <cell r="O134">
            <v>11</v>
          </cell>
          <cell r="P134">
            <v>0</v>
          </cell>
          <cell r="Q134">
            <v>11</v>
          </cell>
          <cell r="R134">
            <v>0</v>
          </cell>
          <cell r="S134">
            <v>11</v>
          </cell>
          <cell r="T134">
            <v>0</v>
          </cell>
          <cell r="U134">
            <v>11</v>
          </cell>
          <cell r="V134">
            <v>951</v>
          </cell>
          <cell r="W134">
            <v>239</v>
          </cell>
          <cell r="X134">
            <v>336</v>
          </cell>
          <cell r="Y134">
            <v>144</v>
          </cell>
          <cell r="Z134">
            <v>0</v>
          </cell>
          <cell r="AA134">
            <v>11</v>
          </cell>
          <cell r="AB134">
            <v>577</v>
          </cell>
          <cell r="AC134">
            <v>191</v>
          </cell>
          <cell r="AD134">
            <v>38</v>
          </cell>
          <cell r="AE134">
            <v>61</v>
          </cell>
          <cell r="AF134">
            <v>0</v>
          </cell>
          <cell r="AG134">
            <v>11</v>
          </cell>
          <cell r="AH134">
            <v>170</v>
          </cell>
          <cell r="AI134">
            <v>105</v>
          </cell>
          <cell r="AJ134">
            <v>0</v>
          </cell>
          <cell r="AK134">
            <v>11</v>
          </cell>
          <cell r="AL134">
            <v>0</v>
          </cell>
          <cell r="AM134">
            <v>11</v>
          </cell>
          <cell r="AN134">
            <v>657</v>
          </cell>
          <cell r="AO134">
            <v>193</v>
          </cell>
          <cell r="AP134">
            <v>30</v>
          </cell>
          <cell r="AQ134">
            <v>34</v>
          </cell>
          <cell r="AR134">
            <v>141</v>
          </cell>
          <cell r="AS134">
            <v>92</v>
          </cell>
        </row>
        <row r="135">
          <cell r="B135">
            <v>17031081201</v>
          </cell>
          <cell r="D135">
            <v>2625</v>
          </cell>
          <cell r="E135">
            <v>326</v>
          </cell>
          <cell r="F135">
            <v>626</v>
          </cell>
          <cell r="G135">
            <v>186</v>
          </cell>
          <cell r="H135">
            <v>566</v>
          </cell>
          <cell r="I135">
            <v>185</v>
          </cell>
          <cell r="J135">
            <v>60</v>
          </cell>
          <cell r="K135">
            <v>48</v>
          </cell>
          <cell r="L135">
            <v>34</v>
          </cell>
          <cell r="M135">
            <v>37</v>
          </cell>
          <cell r="N135">
            <v>0</v>
          </cell>
          <cell r="O135">
            <v>11</v>
          </cell>
          <cell r="P135">
            <v>0</v>
          </cell>
          <cell r="Q135">
            <v>11</v>
          </cell>
          <cell r="R135">
            <v>0</v>
          </cell>
          <cell r="S135">
            <v>11</v>
          </cell>
          <cell r="T135">
            <v>26</v>
          </cell>
          <cell r="U135">
            <v>29</v>
          </cell>
          <cell r="V135">
            <v>1031</v>
          </cell>
          <cell r="W135">
            <v>254</v>
          </cell>
          <cell r="X135">
            <v>600</v>
          </cell>
          <cell r="Y135">
            <v>223</v>
          </cell>
          <cell r="Z135">
            <v>0</v>
          </cell>
          <cell r="AA135">
            <v>11</v>
          </cell>
          <cell r="AB135">
            <v>431</v>
          </cell>
          <cell r="AC135">
            <v>140</v>
          </cell>
          <cell r="AD135">
            <v>0</v>
          </cell>
          <cell r="AE135">
            <v>11</v>
          </cell>
          <cell r="AF135">
            <v>0</v>
          </cell>
          <cell r="AG135">
            <v>11</v>
          </cell>
          <cell r="AH135">
            <v>166</v>
          </cell>
          <cell r="AI135">
            <v>107</v>
          </cell>
          <cell r="AJ135">
            <v>0</v>
          </cell>
          <cell r="AK135">
            <v>11</v>
          </cell>
          <cell r="AL135">
            <v>118</v>
          </cell>
          <cell r="AM135">
            <v>25</v>
          </cell>
          <cell r="AN135">
            <v>537</v>
          </cell>
          <cell r="AO135">
            <v>159</v>
          </cell>
          <cell r="AP135">
            <v>15</v>
          </cell>
          <cell r="AQ135">
            <v>25</v>
          </cell>
          <cell r="AR135">
            <v>132</v>
          </cell>
          <cell r="AS135">
            <v>91</v>
          </cell>
        </row>
        <row r="136">
          <cell r="B136">
            <v>17031081202</v>
          </cell>
          <cell r="D136">
            <v>1632</v>
          </cell>
          <cell r="E136">
            <v>206</v>
          </cell>
          <cell r="F136">
            <v>786</v>
          </cell>
          <cell r="G136">
            <v>169</v>
          </cell>
          <cell r="H136">
            <v>699</v>
          </cell>
          <cell r="I136">
            <v>143</v>
          </cell>
          <cell r="J136">
            <v>87</v>
          </cell>
          <cell r="K136">
            <v>71</v>
          </cell>
          <cell r="L136">
            <v>56</v>
          </cell>
          <cell r="M136">
            <v>49</v>
          </cell>
          <cell r="N136">
            <v>31</v>
          </cell>
          <cell r="O136">
            <v>51</v>
          </cell>
          <cell r="P136">
            <v>0</v>
          </cell>
          <cell r="Q136">
            <v>11</v>
          </cell>
          <cell r="R136">
            <v>0</v>
          </cell>
          <cell r="S136">
            <v>11</v>
          </cell>
          <cell r="T136">
            <v>0</v>
          </cell>
          <cell r="U136">
            <v>11</v>
          </cell>
          <cell r="V136">
            <v>330</v>
          </cell>
          <cell r="W136">
            <v>109</v>
          </cell>
          <cell r="X136">
            <v>269</v>
          </cell>
          <cell r="Y136">
            <v>103</v>
          </cell>
          <cell r="Z136">
            <v>0</v>
          </cell>
          <cell r="AA136">
            <v>11</v>
          </cell>
          <cell r="AB136">
            <v>61</v>
          </cell>
          <cell r="AC136">
            <v>44</v>
          </cell>
          <cell r="AD136">
            <v>0</v>
          </cell>
          <cell r="AE136">
            <v>11</v>
          </cell>
          <cell r="AF136">
            <v>0</v>
          </cell>
          <cell r="AG136">
            <v>11</v>
          </cell>
          <cell r="AH136">
            <v>67</v>
          </cell>
          <cell r="AI136">
            <v>36</v>
          </cell>
          <cell r="AJ136">
            <v>0</v>
          </cell>
          <cell r="AK136">
            <v>11</v>
          </cell>
          <cell r="AL136">
            <v>17</v>
          </cell>
          <cell r="AM136">
            <v>19</v>
          </cell>
          <cell r="AN136">
            <v>271</v>
          </cell>
          <cell r="AO136">
            <v>80</v>
          </cell>
          <cell r="AP136">
            <v>34</v>
          </cell>
          <cell r="AQ136">
            <v>39</v>
          </cell>
          <cell r="AR136">
            <v>127</v>
          </cell>
          <cell r="AS136">
            <v>59</v>
          </cell>
        </row>
        <row r="137">
          <cell r="B137">
            <v>17031081300</v>
          </cell>
          <cell r="D137">
            <v>2666</v>
          </cell>
          <cell r="E137">
            <v>371</v>
          </cell>
          <cell r="F137">
            <v>451</v>
          </cell>
          <cell r="G137">
            <v>147</v>
          </cell>
          <cell r="H137">
            <v>451</v>
          </cell>
          <cell r="I137">
            <v>147</v>
          </cell>
          <cell r="J137">
            <v>0</v>
          </cell>
          <cell r="K137">
            <v>15</v>
          </cell>
          <cell r="L137">
            <v>0</v>
          </cell>
          <cell r="M137">
            <v>15</v>
          </cell>
          <cell r="N137">
            <v>0</v>
          </cell>
          <cell r="O137">
            <v>15</v>
          </cell>
          <cell r="P137">
            <v>0</v>
          </cell>
          <cell r="Q137">
            <v>15</v>
          </cell>
          <cell r="R137">
            <v>0</v>
          </cell>
          <cell r="S137">
            <v>15</v>
          </cell>
          <cell r="T137">
            <v>0</v>
          </cell>
          <cell r="U137">
            <v>15</v>
          </cell>
          <cell r="V137">
            <v>863</v>
          </cell>
          <cell r="W137">
            <v>233</v>
          </cell>
          <cell r="X137">
            <v>581</v>
          </cell>
          <cell r="Y137">
            <v>185</v>
          </cell>
          <cell r="Z137">
            <v>0</v>
          </cell>
          <cell r="AA137">
            <v>15</v>
          </cell>
          <cell r="AB137">
            <v>221</v>
          </cell>
          <cell r="AC137">
            <v>105</v>
          </cell>
          <cell r="AD137">
            <v>61</v>
          </cell>
          <cell r="AE137">
            <v>98</v>
          </cell>
          <cell r="AF137">
            <v>0</v>
          </cell>
          <cell r="AG137">
            <v>15</v>
          </cell>
          <cell r="AH137">
            <v>125</v>
          </cell>
          <cell r="AI137">
            <v>69</v>
          </cell>
          <cell r="AJ137">
            <v>0</v>
          </cell>
          <cell r="AK137">
            <v>15</v>
          </cell>
          <cell r="AL137">
            <v>56</v>
          </cell>
          <cell r="AM137">
            <v>91</v>
          </cell>
          <cell r="AN137">
            <v>985</v>
          </cell>
          <cell r="AO137">
            <v>225</v>
          </cell>
          <cell r="AP137">
            <v>52</v>
          </cell>
          <cell r="AQ137">
            <v>50</v>
          </cell>
          <cell r="AR137">
            <v>134</v>
          </cell>
          <cell r="AS137">
            <v>80</v>
          </cell>
        </row>
        <row r="138">
          <cell r="B138">
            <v>17031081401</v>
          </cell>
          <cell r="D138">
            <v>1240</v>
          </cell>
          <cell r="E138">
            <v>196</v>
          </cell>
          <cell r="F138">
            <v>348</v>
          </cell>
          <cell r="G138">
            <v>99</v>
          </cell>
          <cell r="H138">
            <v>323</v>
          </cell>
          <cell r="I138">
            <v>91</v>
          </cell>
          <cell r="J138">
            <v>25</v>
          </cell>
          <cell r="K138">
            <v>40</v>
          </cell>
          <cell r="L138">
            <v>25</v>
          </cell>
          <cell r="M138">
            <v>40</v>
          </cell>
          <cell r="N138">
            <v>0</v>
          </cell>
          <cell r="O138">
            <v>11</v>
          </cell>
          <cell r="P138">
            <v>0</v>
          </cell>
          <cell r="Q138">
            <v>11</v>
          </cell>
          <cell r="R138">
            <v>0</v>
          </cell>
          <cell r="S138">
            <v>11</v>
          </cell>
          <cell r="T138">
            <v>0</v>
          </cell>
          <cell r="U138">
            <v>11</v>
          </cell>
          <cell r="V138">
            <v>162</v>
          </cell>
          <cell r="W138">
            <v>85</v>
          </cell>
          <cell r="X138">
            <v>116</v>
          </cell>
          <cell r="Y138">
            <v>81</v>
          </cell>
          <cell r="Z138">
            <v>0</v>
          </cell>
          <cell r="AA138">
            <v>11</v>
          </cell>
          <cell r="AB138">
            <v>15</v>
          </cell>
          <cell r="AC138">
            <v>17</v>
          </cell>
          <cell r="AD138">
            <v>31</v>
          </cell>
          <cell r="AE138">
            <v>49</v>
          </cell>
          <cell r="AF138">
            <v>0</v>
          </cell>
          <cell r="AG138">
            <v>11</v>
          </cell>
          <cell r="AH138">
            <v>39</v>
          </cell>
          <cell r="AI138">
            <v>31</v>
          </cell>
          <cell r="AJ138">
            <v>0</v>
          </cell>
          <cell r="AK138">
            <v>11</v>
          </cell>
          <cell r="AL138">
            <v>0</v>
          </cell>
          <cell r="AM138">
            <v>11</v>
          </cell>
          <cell r="AN138">
            <v>566</v>
          </cell>
          <cell r="AO138">
            <v>155</v>
          </cell>
          <cell r="AP138">
            <v>10</v>
          </cell>
          <cell r="AQ138">
            <v>16</v>
          </cell>
          <cell r="AR138">
            <v>115</v>
          </cell>
          <cell r="AS138">
            <v>51</v>
          </cell>
        </row>
        <row r="139">
          <cell r="B139">
            <v>17031081402</v>
          </cell>
          <cell r="D139">
            <v>2967</v>
          </cell>
          <cell r="E139">
            <v>358</v>
          </cell>
          <cell r="F139">
            <v>1171</v>
          </cell>
          <cell r="G139">
            <v>327</v>
          </cell>
          <cell r="H139">
            <v>1132</v>
          </cell>
          <cell r="I139">
            <v>321</v>
          </cell>
          <cell r="J139">
            <v>39</v>
          </cell>
          <cell r="K139">
            <v>43</v>
          </cell>
          <cell r="L139">
            <v>17</v>
          </cell>
          <cell r="M139">
            <v>27</v>
          </cell>
          <cell r="N139">
            <v>0</v>
          </cell>
          <cell r="O139">
            <v>11</v>
          </cell>
          <cell r="P139">
            <v>0</v>
          </cell>
          <cell r="Q139">
            <v>11</v>
          </cell>
          <cell r="R139">
            <v>0</v>
          </cell>
          <cell r="S139">
            <v>11</v>
          </cell>
          <cell r="T139">
            <v>22</v>
          </cell>
          <cell r="U139">
            <v>33</v>
          </cell>
          <cell r="V139">
            <v>476</v>
          </cell>
          <cell r="W139">
            <v>188</v>
          </cell>
          <cell r="X139">
            <v>377</v>
          </cell>
          <cell r="Y139">
            <v>168</v>
          </cell>
          <cell r="Z139">
            <v>0</v>
          </cell>
          <cell r="AA139">
            <v>11</v>
          </cell>
          <cell r="AB139">
            <v>79</v>
          </cell>
          <cell r="AC139">
            <v>97</v>
          </cell>
          <cell r="AD139">
            <v>20</v>
          </cell>
          <cell r="AE139">
            <v>33</v>
          </cell>
          <cell r="AF139">
            <v>0</v>
          </cell>
          <cell r="AG139">
            <v>11</v>
          </cell>
          <cell r="AH139">
            <v>78</v>
          </cell>
          <cell r="AI139">
            <v>99</v>
          </cell>
          <cell r="AJ139">
            <v>0</v>
          </cell>
          <cell r="AK139">
            <v>11</v>
          </cell>
          <cell r="AL139">
            <v>66</v>
          </cell>
          <cell r="AM139">
            <v>61</v>
          </cell>
          <cell r="AN139">
            <v>782</v>
          </cell>
          <cell r="AO139">
            <v>227</v>
          </cell>
          <cell r="AP139">
            <v>81</v>
          </cell>
          <cell r="AQ139">
            <v>73</v>
          </cell>
          <cell r="AR139">
            <v>313</v>
          </cell>
          <cell r="AS139">
            <v>136</v>
          </cell>
        </row>
        <row r="140">
          <cell r="B140">
            <v>17031081403</v>
          </cell>
          <cell r="D140">
            <v>5203</v>
          </cell>
          <cell r="E140">
            <v>569</v>
          </cell>
          <cell r="F140">
            <v>1327</v>
          </cell>
          <cell r="G140">
            <v>355</v>
          </cell>
          <cell r="H140">
            <v>1268</v>
          </cell>
          <cell r="I140">
            <v>351</v>
          </cell>
          <cell r="J140">
            <v>59</v>
          </cell>
          <cell r="K140">
            <v>59</v>
          </cell>
          <cell r="L140">
            <v>42</v>
          </cell>
          <cell r="M140">
            <v>52</v>
          </cell>
          <cell r="N140">
            <v>17</v>
          </cell>
          <cell r="O140">
            <v>28</v>
          </cell>
          <cell r="P140">
            <v>0</v>
          </cell>
          <cell r="Q140">
            <v>15</v>
          </cell>
          <cell r="R140">
            <v>0</v>
          </cell>
          <cell r="S140">
            <v>15</v>
          </cell>
          <cell r="T140">
            <v>0</v>
          </cell>
          <cell r="U140">
            <v>15</v>
          </cell>
          <cell r="V140">
            <v>671</v>
          </cell>
          <cell r="W140">
            <v>252</v>
          </cell>
          <cell r="X140">
            <v>510</v>
          </cell>
          <cell r="Y140">
            <v>228</v>
          </cell>
          <cell r="Z140">
            <v>0</v>
          </cell>
          <cell r="AA140">
            <v>15</v>
          </cell>
          <cell r="AB140">
            <v>114</v>
          </cell>
          <cell r="AC140">
            <v>77</v>
          </cell>
          <cell r="AD140">
            <v>47</v>
          </cell>
          <cell r="AE140">
            <v>74</v>
          </cell>
          <cell r="AF140">
            <v>0</v>
          </cell>
          <cell r="AG140">
            <v>15</v>
          </cell>
          <cell r="AH140">
            <v>271</v>
          </cell>
          <cell r="AI140">
            <v>189</v>
          </cell>
          <cell r="AJ140">
            <v>0</v>
          </cell>
          <cell r="AK140">
            <v>15</v>
          </cell>
          <cell r="AL140">
            <v>0</v>
          </cell>
          <cell r="AM140">
            <v>15</v>
          </cell>
          <cell r="AN140">
            <v>2627</v>
          </cell>
          <cell r="AO140">
            <v>561</v>
          </cell>
          <cell r="AP140">
            <v>46</v>
          </cell>
          <cell r="AQ140">
            <v>73</v>
          </cell>
          <cell r="AR140">
            <v>261</v>
          </cell>
          <cell r="AS140">
            <v>175</v>
          </cell>
        </row>
        <row r="141">
          <cell r="B141">
            <v>17031081500</v>
          </cell>
          <cell r="D141">
            <v>3024</v>
          </cell>
          <cell r="E141">
            <v>433</v>
          </cell>
          <cell r="F141">
            <v>806</v>
          </cell>
          <cell r="G141">
            <v>241</v>
          </cell>
          <cell r="H141">
            <v>771</v>
          </cell>
          <cell r="I141">
            <v>239</v>
          </cell>
          <cell r="J141">
            <v>35</v>
          </cell>
          <cell r="K141">
            <v>26</v>
          </cell>
          <cell r="L141">
            <v>35</v>
          </cell>
          <cell r="M141">
            <v>26</v>
          </cell>
          <cell r="N141">
            <v>0</v>
          </cell>
          <cell r="O141">
            <v>15</v>
          </cell>
          <cell r="P141">
            <v>0</v>
          </cell>
          <cell r="Q141">
            <v>15</v>
          </cell>
          <cell r="R141">
            <v>0</v>
          </cell>
          <cell r="S141">
            <v>15</v>
          </cell>
          <cell r="T141">
            <v>0</v>
          </cell>
          <cell r="U141">
            <v>15</v>
          </cell>
          <cell r="V141">
            <v>470</v>
          </cell>
          <cell r="W141">
            <v>167</v>
          </cell>
          <cell r="X141">
            <v>161</v>
          </cell>
          <cell r="Y141">
            <v>91</v>
          </cell>
          <cell r="Z141">
            <v>0</v>
          </cell>
          <cell r="AA141">
            <v>15</v>
          </cell>
          <cell r="AB141">
            <v>309</v>
          </cell>
          <cell r="AC141">
            <v>129</v>
          </cell>
          <cell r="AD141">
            <v>0</v>
          </cell>
          <cell r="AE141">
            <v>15</v>
          </cell>
          <cell r="AF141">
            <v>0</v>
          </cell>
          <cell r="AG141">
            <v>15</v>
          </cell>
          <cell r="AH141">
            <v>60</v>
          </cell>
          <cell r="AI141">
            <v>54</v>
          </cell>
          <cell r="AJ141">
            <v>0</v>
          </cell>
          <cell r="AK141">
            <v>15</v>
          </cell>
          <cell r="AL141">
            <v>18</v>
          </cell>
          <cell r="AM141">
            <v>29</v>
          </cell>
          <cell r="AN141">
            <v>1284</v>
          </cell>
          <cell r="AO141">
            <v>295</v>
          </cell>
          <cell r="AP141">
            <v>43</v>
          </cell>
          <cell r="AQ141">
            <v>50</v>
          </cell>
          <cell r="AR141">
            <v>343</v>
          </cell>
          <cell r="AS141">
            <v>158</v>
          </cell>
        </row>
        <row r="142">
          <cell r="B142">
            <v>17031081600</v>
          </cell>
          <cell r="D142">
            <v>2588</v>
          </cell>
          <cell r="E142">
            <v>295</v>
          </cell>
          <cell r="F142">
            <v>631</v>
          </cell>
          <cell r="G142">
            <v>205</v>
          </cell>
          <cell r="H142">
            <v>573</v>
          </cell>
          <cell r="I142">
            <v>189</v>
          </cell>
          <cell r="J142">
            <v>58</v>
          </cell>
          <cell r="K142">
            <v>66</v>
          </cell>
          <cell r="L142">
            <v>58</v>
          </cell>
          <cell r="M142">
            <v>66</v>
          </cell>
          <cell r="N142">
            <v>0</v>
          </cell>
          <cell r="O142">
            <v>11</v>
          </cell>
          <cell r="P142">
            <v>0</v>
          </cell>
          <cell r="Q142">
            <v>11</v>
          </cell>
          <cell r="R142">
            <v>0</v>
          </cell>
          <cell r="S142">
            <v>11</v>
          </cell>
          <cell r="T142">
            <v>0</v>
          </cell>
          <cell r="U142">
            <v>11</v>
          </cell>
          <cell r="V142">
            <v>457</v>
          </cell>
          <cell r="W142">
            <v>193</v>
          </cell>
          <cell r="X142">
            <v>226</v>
          </cell>
          <cell r="Y142">
            <v>163</v>
          </cell>
          <cell r="Z142">
            <v>0</v>
          </cell>
          <cell r="AA142">
            <v>11</v>
          </cell>
          <cell r="AB142">
            <v>200</v>
          </cell>
          <cell r="AC142">
            <v>90</v>
          </cell>
          <cell r="AD142">
            <v>31</v>
          </cell>
          <cell r="AE142">
            <v>35</v>
          </cell>
          <cell r="AF142">
            <v>0</v>
          </cell>
          <cell r="AG142">
            <v>11</v>
          </cell>
          <cell r="AH142">
            <v>129</v>
          </cell>
          <cell r="AI142">
            <v>74</v>
          </cell>
          <cell r="AJ142">
            <v>0</v>
          </cell>
          <cell r="AK142">
            <v>11</v>
          </cell>
          <cell r="AL142">
            <v>0</v>
          </cell>
          <cell r="AM142">
            <v>11</v>
          </cell>
          <cell r="AN142">
            <v>1135</v>
          </cell>
          <cell r="AO142">
            <v>244</v>
          </cell>
          <cell r="AP142">
            <v>74</v>
          </cell>
          <cell r="AQ142">
            <v>51</v>
          </cell>
          <cell r="AR142">
            <v>162</v>
          </cell>
          <cell r="AS142">
            <v>94</v>
          </cell>
        </row>
        <row r="143">
          <cell r="B143">
            <v>17031081700</v>
          </cell>
          <cell r="D143">
            <v>2672</v>
          </cell>
          <cell r="E143">
            <v>266</v>
          </cell>
          <cell r="F143">
            <v>469</v>
          </cell>
          <cell r="G143">
            <v>135</v>
          </cell>
          <cell r="H143">
            <v>469</v>
          </cell>
          <cell r="I143">
            <v>135</v>
          </cell>
          <cell r="J143">
            <v>0</v>
          </cell>
          <cell r="K143">
            <v>11</v>
          </cell>
          <cell r="L143">
            <v>0</v>
          </cell>
          <cell r="M143">
            <v>11</v>
          </cell>
          <cell r="N143">
            <v>0</v>
          </cell>
          <cell r="O143">
            <v>11</v>
          </cell>
          <cell r="P143">
            <v>0</v>
          </cell>
          <cell r="Q143">
            <v>11</v>
          </cell>
          <cell r="R143">
            <v>0</v>
          </cell>
          <cell r="S143">
            <v>11</v>
          </cell>
          <cell r="T143">
            <v>0</v>
          </cell>
          <cell r="U143">
            <v>11</v>
          </cell>
          <cell r="V143">
            <v>503</v>
          </cell>
          <cell r="W143">
            <v>147</v>
          </cell>
          <cell r="X143">
            <v>139</v>
          </cell>
          <cell r="Y143">
            <v>80</v>
          </cell>
          <cell r="Z143">
            <v>0</v>
          </cell>
          <cell r="AA143">
            <v>11</v>
          </cell>
          <cell r="AB143">
            <v>349</v>
          </cell>
          <cell r="AC143">
            <v>126</v>
          </cell>
          <cell r="AD143">
            <v>15</v>
          </cell>
          <cell r="AE143">
            <v>25</v>
          </cell>
          <cell r="AF143">
            <v>0</v>
          </cell>
          <cell r="AG143">
            <v>11</v>
          </cell>
          <cell r="AH143">
            <v>86</v>
          </cell>
          <cell r="AI143">
            <v>58</v>
          </cell>
          <cell r="AJ143">
            <v>0</v>
          </cell>
          <cell r="AK143">
            <v>11</v>
          </cell>
          <cell r="AL143">
            <v>81</v>
          </cell>
          <cell r="AM143">
            <v>86</v>
          </cell>
          <cell r="AN143">
            <v>1147</v>
          </cell>
          <cell r="AO143">
            <v>220</v>
          </cell>
          <cell r="AP143">
            <v>16</v>
          </cell>
          <cell r="AQ143">
            <v>25</v>
          </cell>
          <cell r="AR143">
            <v>370</v>
          </cell>
          <cell r="AS143">
            <v>143</v>
          </cell>
        </row>
        <row r="144">
          <cell r="B144">
            <v>17031081800</v>
          </cell>
          <cell r="D144">
            <v>6697</v>
          </cell>
          <cell r="E144">
            <v>548</v>
          </cell>
          <cell r="F144">
            <v>2072</v>
          </cell>
          <cell r="G144">
            <v>432</v>
          </cell>
          <cell r="H144">
            <v>1928</v>
          </cell>
          <cell r="I144">
            <v>422</v>
          </cell>
          <cell r="J144">
            <v>144</v>
          </cell>
          <cell r="K144">
            <v>113</v>
          </cell>
          <cell r="L144">
            <v>112</v>
          </cell>
          <cell r="M144">
            <v>111</v>
          </cell>
          <cell r="N144">
            <v>0</v>
          </cell>
          <cell r="O144">
            <v>15</v>
          </cell>
          <cell r="P144">
            <v>0</v>
          </cell>
          <cell r="Q144">
            <v>15</v>
          </cell>
          <cell r="R144">
            <v>32</v>
          </cell>
          <cell r="S144">
            <v>53</v>
          </cell>
          <cell r="T144">
            <v>0</v>
          </cell>
          <cell r="U144">
            <v>15</v>
          </cell>
          <cell r="V144">
            <v>671</v>
          </cell>
          <cell r="W144">
            <v>242</v>
          </cell>
          <cell r="X144">
            <v>99</v>
          </cell>
          <cell r="Y144">
            <v>80</v>
          </cell>
          <cell r="Z144">
            <v>0</v>
          </cell>
          <cell r="AA144">
            <v>15</v>
          </cell>
          <cell r="AB144">
            <v>411</v>
          </cell>
          <cell r="AC144">
            <v>179</v>
          </cell>
          <cell r="AD144">
            <v>129</v>
          </cell>
          <cell r="AE144">
            <v>103</v>
          </cell>
          <cell r="AF144">
            <v>32</v>
          </cell>
          <cell r="AG144">
            <v>38</v>
          </cell>
          <cell r="AH144">
            <v>191</v>
          </cell>
          <cell r="AI144">
            <v>144</v>
          </cell>
          <cell r="AJ144">
            <v>20</v>
          </cell>
          <cell r="AK144">
            <v>33</v>
          </cell>
          <cell r="AL144">
            <v>41</v>
          </cell>
          <cell r="AM144">
            <v>66</v>
          </cell>
          <cell r="AN144">
            <v>3072</v>
          </cell>
          <cell r="AO144">
            <v>517</v>
          </cell>
          <cell r="AP144">
            <v>10</v>
          </cell>
          <cell r="AQ144">
            <v>21</v>
          </cell>
          <cell r="AR144">
            <v>620</v>
          </cell>
          <cell r="AS144">
            <v>326</v>
          </cell>
        </row>
        <row r="145">
          <cell r="B145">
            <v>17031081900</v>
          </cell>
          <cell r="D145">
            <v>642</v>
          </cell>
          <cell r="E145">
            <v>92</v>
          </cell>
          <cell r="F145">
            <v>303</v>
          </cell>
          <cell r="G145">
            <v>71</v>
          </cell>
          <cell r="H145">
            <v>264</v>
          </cell>
          <cell r="I145">
            <v>68</v>
          </cell>
          <cell r="J145">
            <v>39</v>
          </cell>
          <cell r="K145">
            <v>19</v>
          </cell>
          <cell r="L145">
            <v>34</v>
          </cell>
          <cell r="M145">
            <v>17</v>
          </cell>
          <cell r="N145">
            <v>5</v>
          </cell>
          <cell r="O145">
            <v>7</v>
          </cell>
          <cell r="P145">
            <v>0</v>
          </cell>
          <cell r="Q145">
            <v>11</v>
          </cell>
          <cell r="R145">
            <v>0</v>
          </cell>
          <cell r="S145">
            <v>11</v>
          </cell>
          <cell r="T145">
            <v>0</v>
          </cell>
          <cell r="U145">
            <v>11</v>
          </cell>
          <cell r="V145">
            <v>61</v>
          </cell>
          <cell r="W145">
            <v>34</v>
          </cell>
          <cell r="X145">
            <v>34</v>
          </cell>
          <cell r="Y145">
            <v>27</v>
          </cell>
          <cell r="Z145">
            <v>0</v>
          </cell>
          <cell r="AA145">
            <v>11</v>
          </cell>
          <cell r="AB145">
            <v>15</v>
          </cell>
          <cell r="AC145">
            <v>17</v>
          </cell>
          <cell r="AD145">
            <v>12</v>
          </cell>
          <cell r="AE145">
            <v>12</v>
          </cell>
          <cell r="AF145">
            <v>0</v>
          </cell>
          <cell r="AG145">
            <v>11</v>
          </cell>
          <cell r="AH145">
            <v>39</v>
          </cell>
          <cell r="AI145">
            <v>27</v>
          </cell>
          <cell r="AJ145">
            <v>0</v>
          </cell>
          <cell r="AK145">
            <v>11</v>
          </cell>
          <cell r="AL145">
            <v>30</v>
          </cell>
          <cell r="AM145">
            <v>25</v>
          </cell>
          <cell r="AN145">
            <v>156</v>
          </cell>
          <cell r="AO145">
            <v>46</v>
          </cell>
          <cell r="AP145">
            <v>5</v>
          </cell>
          <cell r="AQ145">
            <v>8</v>
          </cell>
          <cell r="AR145">
            <v>48</v>
          </cell>
          <cell r="AS145">
            <v>29</v>
          </cell>
        </row>
        <row r="146">
          <cell r="B146">
            <v>17031090100</v>
          </cell>
          <cell r="D146">
            <v>1720</v>
          </cell>
          <cell r="E146">
            <v>196</v>
          </cell>
          <cell r="F146">
            <v>1386</v>
          </cell>
          <cell r="G146">
            <v>167</v>
          </cell>
          <cell r="H146">
            <v>1329</v>
          </cell>
          <cell r="I146">
            <v>166</v>
          </cell>
          <cell r="J146">
            <v>57</v>
          </cell>
          <cell r="K146">
            <v>42</v>
          </cell>
          <cell r="L146">
            <v>57</v>
          </cell>
          <cell r="M146">
            <v>42</v>
          </cell>
          <cell r="N146">
            <v>0</v>
          </cell>
          <cell r="O146">
            <v>11</v>
          </cell>
          <cell r="P146">
            <v>0</v>
          </cell>
          <cell r="Q146">
            <v>11</v>
          </cell>
          <cell r="R146">
            <v>0</v>
          </cell>
          <cell r="S146">
            <v>11</v>
          </cell>
          <cell r="T146">
            <v>0</v>
          </cell>
          <cell r="U146">
            <v>11</v>
          </cell>
          <cell r="V146">
            <v>120</v>
          </cell>
          <cell r="W146">
            <v>69</v>
          </cell>
          <cell r="X146">
            <v>19</v>
          </cell>
          <cell r="Y146">
            <v>23</v>
          </cell>
          <cell r="Z146">
            <v>0</v>
          </cell>
          <cell r="AA146">
            <v>11</v>
          </cell>
          <cell r="AB146">
            <v>45</v>
          </cell>
          <cell r="AC146">
            <v>45</v>
          </cell>
          <cell r="AD146">
            <v>56</v>
          </cell>
          <cell r="AE146">
            <v>39</v>
          </cell>
          <cell r="AF146">
            <v>0</v>
          </cell>
          <cell r="AG146">
            <v>11</v>
          </cell>
          <cell r="AH146">
            <v>9</v>
          </cell>
          <cell r="AI146">
            <v>14</v>
          </cell>
          <cell r="AJ146">
            <v>0</v>
          </cell>
          <cell r="AK146">
            <v>11</v>
          </cell>
          <cell r="AL146">
            <v>40</v>
          </cell>
          <cell r="AM146">
            <v>63</v>
          </cell>
          <cell r="AN146">
            <v>80</v>
          </cell>
          <cell r="AO146">
            <v>68</v>
          </cell>
          <cell r="AP146">
            <v>8</v>
          </cell>
          <cell r="AQ146">
            <v>12</v>
          </cell>
          <cell r="AR146">
            <v>77</v>
          </cell>
          <cell r="AS146">
            <v>49</v>
          </cell>
        </row>
        <row r="147">
          <cell r="B147">
            <v>17031090200</v>
          </cell>
          <cell r="D147">
            <v>3729</v>
          </cell>
          <cell r="E147">
            <v>334</v>
          </cell>
          <cell r="F147">
            <v>3016</v>
          </cell>
          <cell r="G147">
            <v>377</v>
          </cell>
          <cell r="H147">
            <v>2825</v>
          </cell>
          <cell r="I147">
            <v>365</v>
          </cell>
          <cell r="J147">
            <v>191</v>
          </cell>
          <cell r="K147">
            <v>105</v>
          </cell>
          <cell r="L147">
            <v>146</v>
          </cell>
          <cell r="M147">
            <v>96</v>
          </cell>
          <cell r="N147">
            <v>36</v>
          </cell>
          <cell r="O147">
            <v>41</v>
          </cell>
          <cell r="P147">
            <v>9</v>
          </cell>
          <cell r="Q147">
            <v>15</v>
          </cell>
          <cell r="R147">
            <v>0</v>
          </cell>
          <cell r="S147">
            <v>15</v>
          </cell>
          <cell r="T147">
            <v>0</v>
          </cell>
          <cell r="U147">
            <v>15</v>
          </cell>
          <cell r="V147">
            <v>504</v>
          </cell>
          <cell r="W147">
            <v>166</v>
          </cell>
          <cell r="X147">
            <v>79</v>
          </cell>
          <cell r="Y147">
            <v>83</v>
          </cell>
          <cell r="Z147">
            <v>0</v>
          </cell>
          <cell r="AA147">
            <v>15</v>
          </cell>
          <cell r="AB147">
            <v>128</v>
          </cell>
          <cell r="AC147">
            <v>72</v>
          </cell>
          <cell r="AD147">
            <v>297</v>
          </cell>
          <cell r="AE147">
            <v>121</v>
          </cell>
          <cell r="AF147">
            <v>0</v>
          </cell>
          <cell r="AG147">
            <v>15</v>
          </cell>
          <cell r="AH147">
            <v>0</v>
          </cell>
          <cell r="AI147">
            <v>15</v>
          </cell>
          <cell r="AJ147">
            <v>0</v>
          </cell>
          <cell r="AK147">
            <v>15</v>
          </cell>
          <cell r="AL147">
            <v>16</v>
          </cell>
          <cell r="AM147">
            <v>26</v>
          </cell>
          <cell r="AN147">
            <v>47</v>
          </cell>
          <cell r="AO147">
            <v>47</v>
          </cell>
          <cell r="AP147">
            <v>84</v>
          </cell>
          <cell r="AQ147">
            <v>78</v>
          </cell>
          <cell r="AR147">
            <v>62</v>
          </cell>
          <cell r="AS147">
            <v>48</v>
          </cell>
        </row>
        <row r="148">
          <cell r="B148">
            <v>17031090300</v>
          </cell>
          <cell r="D148">
            <v>629</v>
          </cell>
          <cell r="E148">
            <v>93</v>
          </cell>
          <cell r="F148">
            <v>454</v>
          </cell>
          <cell r="G148">
            <v>72</v>
          </cell>
          <cell r="H148">
            <v>431</v>
          </cell>
          <cell r="I148">
            <v>70</v>
          </cell>
          <cell r="J148">
            <v>23</v>
          </cell>
          <cell r="K148">
            <v>17</v>
          </cell>
          <cell r="L148">
            <v>13</v>
          </cell>
          <cell r="M148">
            <v>13</v>
          </cell>
          <cell r="N148">
            <v>5</v>
          </cell>
          <cell r="O148">
            <v>8</v>
          </cell>
          <cell r="P148">
            <v>5</v>
          </cell>
          <cell r="Q148">
            <v>7</v>
          </cell>
          <cell r="R148">
            <v>0</v>
          </cell>
          <cell r="S148">
            <v>11</v>
          </cell>
          <cell r="T148">
            <v>0</v>
          </cell>
          <cell r="U148">
            <v>11</v>
          </cell>
          <cell r="V148">
            <v>65</v>
          </cell>
          <cell r="W148">
            <v>32</v>
          </cell>
          <cell r="X148">
            <v>11</v>
          </cell>
          <cell r="Y148">
            <v>11</v>
          </cell>
          <cell r="Z148">
            <v>0</v>
          </cell>
          <cell r="AA148">
            <v>11</v>
          </cell>
          <cell r="AB148">
            <v>21</v>
          </cell>
          <cell r="AC148">
            <v>21</v>
          </cell>
          <cell r="AD148">
            <v>33</v>
          </cell>
          <cell r="AE148">
            <v>21</v>
          </cell>
          <cell r="AF148">
            <v>0</v>
          </cell>
          <cell r="AG148">
            <v>11</v>
          </cell>
          <cell r="AH148">
            <v>13</v>
          </cell>
          <cell r="AI148">
            <v>17</v>
          </cell>
          <cell r="AJ148">
            <v>0</v>
          </cell>
          <cell r="AK148">
            <v>11</v>
          </cell>
          <cell r="AL148">
            <v>13</v>
          </cell>
          <cell r="AM148">
            <v>15</v>
          </cell>
          <cell r="AN148">
            <v>37</v>
          </cell>
          <cell r="AO148">
            <v>27</v>
          </cell>
          <cell r="AP148">
            <v>0</v>
          </cell>
          <cell r="AQ148">
            <v>11</v>
          </cell>
          <cell r="AR148">
            <v>47</v>
          </cell>
          <cell r="AS148">
            <v>31</v>
          </cell>
        </row>
        <row r="149">
          <cell r="B149">
            <v>17031100100</v>
          </cell>
          <cell r="D149">
            <v>2340</v>
          </cell>
          <cell r="E149">
            <v>374</v>
          </cell>
          <cell r="F149">
            <v>1929</v>
          </cell>
          <cell r="G149">
            <v>358</v>
          </cell>
          <cell r="H149">
            <v>1641</v>
          </cell>
          <cell r="I149">
            <v>296</v>
          </cell>
          <cell r="J149">
            <v>288</v>
          </cell>
          <cell r="K149">
            <v>165</v>
          </cell>
          <cell r="L149">
            <v>152</v>
          </cell>
          <cell r="M149">
            <v>141</v>
          </cell>
          <cell r="N149">
            <v>95</v>
          </cell>
          <cell r="O149">
            <v>79</v>
          </cell>
          <cell r="P149">
            <v>41</v>
          </cell>
          <cell r="Q149">
            <v>66</v>
          </cell>
          <cell r="R149">
            <v>0</v>
          </cell>
          <cell r="S149">
            <v>15</v>
          </cell>
          <cell r="T149">
            <v>0</v>
          </cell>
          <cell r="U149">
            <v>15</v>
          </cell>
          <cell r="V149">
            <v>302</v>
          </cell>
          <cell r="W149">
            <v>134</v>
          </cell>
          <cell r="X149">
            <v>50</v>
          </cell>
          <cell r="Y149">
            <v>48</v>
          </cell>
          <cell r="Z149">
            <v>0</v>
          </cell>
          <cell r="AA149">
            <v>15</v>
          </cell>
          <cell r="AB149">
            <v>190</v>
          </cell>
          <cell r="AC149">
            <v>97</v>
          </cell>
          <cell r="AD149">
            <v>62</v>
          </cell>
          <cell r="AE149">
            <v>53</v>
          </cell>
          <cell r="AF149">
            <v>0</v>
          </cell>
          <cell r="AG149">
            <v>15</v>
          </cell>
          <cell r="AH149">
            <v>0</v>
          </cell>
          <cell r="AI149">
            <v>15</v>
          </cell>
          <cell r="AJ149">
            <v>0</v>
          </cell>
          <cell r="AK149">
            <v>15</v>
          </cell>
          <cell r="AL149">
            <v>0</v>
          </cell>
          <cell r="AM149">
            <v>15</v>
          </cell>
          <cell r="AN149">
            <v>43</v>
          </cell>
          <cell r="AO149">
            <v>45</v>
          </cell>
          <cell r="AP149">
            <v>0</v>
          </cell>
          <cell r="AQ149">
            <v>15</v>
          </cell>
          <cell r="AR149">
            <v>66</v>
          </cell>
          <cell r="AS149">
            <v>60</v>
          </cell>
        </row>
        <row r="150">
          <cell r="B150">
            <v>17031100200</v>
          </cell>
          <cell r="D150">
            <v>3640</v>
          </cell>
          <cell r="E150">
            <v>399</v>
          </cell>
          <cell r="F150">
            <v>3105</v>
          </cell>
          <cell r="G150">
            <v>403</v>
          </cell>
          <cell r="H150">
            <v>2853</v>
          </cell>
          <cell r="I150">
            <v>407</v>
          </cell>
          <cell r="J150">
            <v>252</v>
          </cell>
          <cell r="K150">
            <v>201</v>
          </cell>
          <cell r="L150">
            <v>215</v>
          </cell>
          <cell r="M150">
            <v>196</v>
          </cell>
          <cell r="N150">
            <v>15</v>
          </cell>
          <cell r="O150">
            <v>24</v>
          </cell>
          <cell r="P150">
            <v>0</v>
          </cell>
          <cell r="Q150">
            <v>15</v>
          </cell>
          <cell r="R150">
            <v>0</v>
          </cell>
          <cell r="S150">
            <v>15</v>
          </cell>
          <cell r="T150">
            <v>22</v>
          </cell>
          <cell r="U150">
            <v>32</v>
          </cell>
          <cell r="V150">
            <v>369</v>
          </cell>
          <cell r="W150">
            <v>145</v>
          </cell>
          <cell r="X150">
            <v>145</v>
          </cell>
          <cell r="Y150">
            <v>105</v>
          </cell>
          <cell r="Z150">
            <v>0</v>
          </cell>
          <cell r="AA150">
            <v>15</v>
          </cell>
          <cell r="AB150">
            <v>157</v>
          </cell>
          <cell r="AC150">
            <v>104</v>
          </cell>
          <cell r="AD150">
            <v>67</v>
          </cell>
          <cell r="AE150">
            <v>51</v>
          </cell>
          <cell r="AF150">
            <v>0</v>
          </cell>
          <cell r="AG150">
            <v>15</v>
          </cell>
          <cell r="AH150">
            <v>0</v>
          </cell>
          <cell r="AI150">
            <v>15</v>
          </cell>
          <cell r="AJ150">
            <v>0</v>
          </cell>
          <cell r="AK150">
            <v>15</v>
          </cell>
          <cell r="AL150">
            <v>43</v>
          </cell>
          <cell r="AM150">
            <v>61</v>
          </cell>
          <cell r="AN150">
            <v>54</v>
          </cell>
          <cell r="AO150">
            <v>44</v>
          </cell>
          <cell r="AP150">
            <v>0</v>
          </cell>
          <cell r="AQ150">
            <v>15</v>
          </cell>
          <cell r="AR150">
            <v>69</v>
          </cell>
          <cell r="AS150">
            <v>61</v>
          </cell>
        </row>
        <row r="151">
          <cell r="B151">
            <v>17031100300</v>
          </cell>
          <cell r="D151">
            <v>2420</v>
          </cell>
          <cell r="E151">
            <v>362</v>
          </cell>
          <cell r="F151">
            <v>1925</v>
          </cell>
          <cell r="G151">
            <v>254</v>
          </cell>
          <cell r="H151">
            <v>1777</v>
          </cell>
          <cell r="I151">
            <v>282</v>
          </cell>
          <cell r="J151">
            <v>148</v>
          </cell>
          <cell r="K151">
            <v>90</v>
          </cell>
          <cell r="L151">
            <v>127</v>
          </cell>
          <cell r="M151">
            <v>79</v>
          </cell>
          <cell r="N151">
            <v>21</v>
          </cell>
          <cell r="O151">
            <v>33</v>
          </cell>
          <cell r="P151">
            <v>0</v>
          </cell>
          <cell r="Q151">
            <v>15</v>
          </cell>
          <cell r="R151">
            <v>0</v>
          </cell>
          <cell r="S151">
            <v>15</v>
          </cell>
          <cell r="T151">
            <v>0</v>
          </cell>
          <cell r="U151">
            <v>15</v>
          </cell>
          <cell r="V151">
            <v>240</v>
          </cell>
          <cell r="W151">
            <v>132</v>
          </cell>
          <cell r="X151">
            <v>54</v>
          </cell>
          <cell r="Y151">
            <v>68</v>
          </cell>
          <cell r="Z151">
            <v>0</v>
          </cell>
          <cell r="AA151">
            <v>15</v>
          </cell>
          <cell r="AB151">
            <v>170</v>
          </cell>
          <cell r="AC151">
            <v>108</v>
          </cell>
          <cell r="AD151">
            <v>16</v>
          </cell>
          <cell r="AE151">
            <v>26</v>
          </cell>
          <cell r="AF151">
            <v>0</v>
          </cell>
          <cell r="AG151">
            <v>15</v>
          </cell>
          <cell r="AH151">
            <v>0</v>
          </cell>
          <cell r="AI151">
            <v>15</v>
          </cell>
          <cell r="AJ151">
            <v>0</v>
          </cell>
          <cell r="AK151">
            <v>15</v>
          </cell>
          <cell r="AL151">
            <v>0</v>
          </cell>
          <cell r="AM151">
            <v>15</v>
          </cell>
          <cell r="AN151">
            <v>122</v>
          </cell>
          <cell r="AO151">
            <v>103</v>
          </cell>
          <cell r="AP151">
            <v>20</v>
          </cell>
          <cell r="AQ151">
            <v>32</v>
          </cell>
          <cell r="AR151">
            <v>113</v>
          </cell>
          <cell r="AS151">
            <v>107</v>
          </cell>
        </row>
        <row r="152">
          <cell r="B152">
            <v>17031100400</v>
          </cell>
          <cell r="D152">
            <v>1532</v>
          </cell>
          <cell r="E152">
            <v>122</v>
          </cell>
          <cell r="F152">
            <v>1339</v>
          </cell>
          <cell r="G152">
            <v>111</v>
          </cell>
          <cell r="H152">
            <v>1265</v>
          </cell>
          <cell r="I152">
            <v>111</v>
          </cell>
          <cell r="J152">
            <v>74</v>
          </cell>
          <cell r="K152">
            <v>54</v>
          </cell>
          <cell r="L152">
            <v>74</v>
          </cell>
          <cell r="M152">
            <v>54</v>
          </cell>
          <cell r="N152">
            <v>0</v>
          </cell>
          <cell r="O152">
            <v>11</v>
          </cell>
          <cell r="P152">
            <v>0</v>
          </cell>
          <cell r="Q152">
            <v>11</v>
          </cell>
          <cell r="R152">
            <v>0</v>
          </cell>
          <cell r="S152">
            <v>11</v>
          </cell>
          <cell r="T152">
            <v>0</v>
          </cell>
          <cell r="U152">
            <v>11</v>
          </cell>
          <cell r="V152">
            <v>109</v>
          </cell>
          <cell r="W152">
            <v>49</v>
          </cell>
          <cell r="X152">
            <v>2</v>
          </cell>
          <cell r="Y152">
            <v>4</v>
          </cell>
          <cell r="Z152">
            <v>0</v>
          </cell>
          <cell r="AA152">
            <v>11</v>
          </cell>
          <cell r="AB152">
            <v>73</v>
          </cell>
          <cell r="AC152">
            <v>40</v>
          </cell>
          <cell r="AD152">
            <v>34</v>
          </cell>
          <cell r="AE152">
            <v>32</v>
          </cell>
          <cell r="AF152">
            <v>0</v>
          </cell>
          <cell r="AG152">
            <v>11</v>
          </cell>
          <cell r="AH152">
            <v>0</v>
          </cell>
          <cell r="AI152">
            <v>11</v>
          </cell>
          <cell r="AJ152">
            <v>0</v>
          </cell>
          <cell r="AK152">
            <v>11</v>
          </cell>
          <cell r="AL152">
            <v>8</v>
          </cell>
          <cell r="AM152">
            <v>12</v>
          </cell>
          <cell r="AN152">
            <v>0</v>
          </cell>
          <cell r="AO152">
            <v>11</v>
          </cell>
          <cell r="AP152">
            <v>14</v>
          </cell>
          <cell r="AQ152">
            <v>18</v>
          </cell>
          <cell r="AR152">
            <v>62</v>
          </cell>
          <cell r="AS152">
            <v>43</v>
          </cell>
        </row>
        <row r="153">
          <cell r="B153">
            <v>17031100500</v>
          </cell>
          <cell r="D153">
            <v>2944</v>
          </cell>
          <cell r="E153">
            <v>369</v>
          </cell>
          <cell r="F153">
            <v>2419</v>
          </cell>
          <cell r="G153">
            <v>409</v>
          </cell>
          <cell r="H153">
            <v>2293</v>
          </cell>
          <cell r="I153">
            <v>391</v>
          </cell>
          <cell r="J153">
            <v>126</v>
          </cell>
          <cell r="K153">
            <v>80</v>
          </cell>
          <cell r="L153">
            <v>126</v>
          </cell>
          <cell r="M153">
            <v>80</v>
          </cell>
          <cell r="N153">
            <v>0</v>
          </cell>
          <cell r="O153">
            <v>15</v>
          </cell>
          <cell r="P153">
            <v>0</v>
          </cell>
          <cell r="Q153">
            <v>15</v>
          </cell>
          <cell r="R153">
            <v>0</v>
          </cell>
          <cell r="S153">
            <v>15</v>
          </cell>
          <cell r="T153">
            <v>0</v>
          </cell>
          <cell r="U153">
            <v>15</v>
          </cell>
          <cell r="V153">
            <v>313</v>
          </cell>
          <cell r="W153">
            <v>146</v>
          </cell>
          <cell r="X153">
            <v>29</v>
          </cell>
          <cell r="Y153">
            <v>38</v>
          </cell>
          <cell r="Z153">
            <v>0</v>
          </cell>
          <cell r="AA153">
            <v>15</v>
          </cell>
          <cell r="AB153">
            <v>247</v>
          </cell>
          <cell r="AC153">
            <v>129</v>
          </cell>
          <cell r="AD153">
            <v>37</v>
          </cell>
          <cell r="AE153">
            <v>48</v>
          </cell>
          <cell r="AF153">
            <v>0</v>
          </cell>
          <cell r="AG153">
            <v>15</v>
          </cell>
          <cell r="AH153">
            <v>0</v>
          </cell>
          <cell r="AI153">
            <v>15</v>
          </cell>
          <cell r="AJ153">
            <v>0</v>
          </cell>
          <cell r="AK153">
            <v>15</v>
          </cell>
          <cell r="AL153">
            <v>0</v>
          </cell>
          <cell r="AM153">
            <v>15</v>
          </cell>
          <cell r="AN153">
            <v>21</v>
          </cell>
          <cell r="AO153">
            <v>33</v>
          </cell>
          <cell r="AP153">
            <v>0</v>
          </cell>
          <cell r="AQ153">
            <v>15</v>
          </cell>
          <cell r="AR153">
            <v>191</v>
          </cell>
          <cell r="AS153">
            <v>186</v>
          </cell>
        </row>
        <row r="154">
          <cell r="B154">
            <v>17031100600</v>
          </cell>
          <cell r="D154">
            <v>2640</v>
          </cell>
          <cell r="E154">
            <v>218</v>
          </cell>
          <cell r="F154">
            <v>2211</v>
          </cell>
          <cell r="G154">
            <v>230</v>
          </cell>
          <cell r="H154">
            <v>1839</v>
          </cell>
          <cell r="I154">
            <v>219</v>
          </cell>
          <cell r="J154">
            <v>372</v>
          </cell>
          <cell r="K154">
            <v>167</v>
          </cell>
          <cell r="L154">
            <v>315</v>
          </cell>
          <cell r="M154">
            <v>176</v>
          </cell>
          <cell r="N154">
            <v>57</v>
          </cell>
          <cell r="O154">
            <v>58</v>
          </cell>
          <cell r="P154">
            <v>0</v>
          </cell>
          <cell r="Q154">
            <v>15</v>
          </cell>
          <cell r="R154">
            <v>0</v>
          </cell>
          <cell r="S154">
            <v>15</v>
          </cell>
          <cell r="T154">
            <v>0</v>
          </cell>
          <cell r="U154">
            <v>15</v>
          </cell>
          <cell r="V154">
            <v>289</v>
          </cell>
          <cell r="W154">
            <v>94</v>
          </cell>
          <cell r="X154">
            <v>64</v>
          </cell>
          <cell r="Y154">
            <v>55</v>
          </cell>
          <cell r="Z154">
            <v>0</v>
          </cell>
          <cell r="AA154">
            <v>15</v>
          </cell>
          <cell r="AB154">
            <v>151</v>
          </cell>
          <cell r="AC154">
            <v>56</v>
          </cell>
          <cell r="AD154">
            <v>74</v>
          </cell>
          <cell r="AE154">
            <v>57</v>
          </cell>
          <cell r="AF154">
            <v>0</v>
          </cell>
          <cell r="AG154">
            <v>15</v>
          </cell>
          <cell r="AH154">
            <v>0</v>
          </cell>
          <cell r="AI154">
            <v>15</v>
          </cell>
          <cell r="AJ154">
            <v>0</v>
          </cell>
          <cell r="AK154">
            <v>15</v>
          </cell>
          <cell r="AL154">
            <v>11</v>
          </cell>
          <cell r="AM154">
            <v>15</v>
          </cell>
          <cell r="AN154">
            <v>18</v>
          </cell>
          <cell r="AO154">
            <v>22</v>
          </cell>
          <cell r="AP154">
            <v>0</v>
          </cell>
          <cell r="AQ154">
            <v>15</v>
          </cell>
          <cell r="AR154">
            <v>111</v>
          </cell>
          <cell r="AS154">
            <v>70</v>
          </cell>
        </row>
        <row r="155">
          <cell r="B155">
            <v>17031100700</v>
          </cell>
          <cell r="D155">
            <v>2213</v>
          </cell>
          <cell r="E155">
            <v>208</v>
          </cell>
          <cell r="F155">
            <v>2012</v>
          </cell>
          <cell r="G155">
            <v>211</v>
          </cell>
          <cell r="H155">
            <v>1781</v>
          </cell>
          <cell r="I155">
            <v>201</v>
          </cell>
          <cell r="J155">
            <v>231</v>
          </cell>
          <cell r="K155">
            <v>92</v>
          </cell>
          <cell r="L155">
            <v>166</v>
          </cell>
          <cell r="M155">
            <v>79</v>
          </cell>
          <cell r="N155">
            <v>45</v>
          </cell>
          <cell r="O155">
            <v>36</v>
          </cell>
          <cell r="P155">
            <v>20</v>
          </cell>
          <cell r="Q155">
            <v>30</v>
          </cell>
          <cell r="R155">
            <v>0</v>
          </cell>
          <cell r="S155">
            <v>11</v>
          </cell>
          <cell r="T155">
            <v>0</v>
          </cell>
          <cell r="U155">
            <v>11</v>
          </cell>
          <cell r="V155">
            <v>144</v>
          </cell>
          <cell r="W155">
            <v>61</v>
          </cell>
          <cell r="X155">
            <v>33</v>
          </cell>
          <cell r="Y155">
            <v>29</v>
          </cell>
          <cell r="Z155">
            <v>0</v>
          </cell>
          <cell r="AA155">
            <v>11</v>
          </cell>
          <cell r="AB155">
            <v>105</v>
          </cell>
          <cell r="AC155">
            <v>49</v>
          </cell>
          <cell r="AD155">
            <v>6</v>
          </cell>
          <cell r="AE155">
            <v>9</v>
          </cell>
          <cell r="AF155">
            <v>0</v>
          </cell>
          <cell r="AG155">
            <v>11</v>
          </cell>
          <cell r="AH155">
            <v>0</v>
          </cell>
          <cell r="AI155">
            <v>11</v>
          </cell>
          <cell r="AJ155">
            <v>0</v>
          </cell>
          <cell r="AK155">
            <v>11</v>
          </cell>
          <cell r="AL155">
            <v>0</v>
          </cell>
          <cell r="AM155">
            <v>11</v>
          </cell>
          <cell r="AN155">
            <v>27</v>
          </cell>
          <cell r="AO155">
            <v>32</v>
          </cell>
          <cell r="AP155">
            <v>0</v>
          </cell>
          <cell r="AQ155">
            <v>11</v>
          </cell>
          <cell r="AR155">
            <v>30</v>
          </cell>
          <cell r="AS155">
            <v>24</v>
          </cell>
        </row>
        <row r="156">
          <cell r="B156">
            <v>17031110100</v>
          </cell>
          <cell r="D156">
            <v>2529</v>
          </cell>
          <cell r="E156">
            <v>303</v>
          </cell>
          <cell r="F156">
            <v>2005</v>
          </cell>
          <cell r="G156">
            <v>299</v>
          </cell>
          <cell r="H156">
            <v>1909</v>
          </cell>
          <cell r="I156">
            <v>301</v>
          </cell>
          <cell r="J156">
            <v>96</v>
          </cell>
          <cell r="K156">
            <v>76</v>
          </cell>
          <cell r="L156">
            <v>78</v>
          </cell>
          <cell r="M156">
            <v>71</v>
          </cell>
          <cell r="N156">
            <v>0</v>
          </cell>
          <cell r="O156">
            <v>15</v>
          </cell>
          <cell r="P156">
            <v>0</v>
          </cell>
          <cell r="Q156">
            <v>15</v>
          </cell>
          <cell r="R156">
            <v>0</v>
          </cell>
          <cell r="S156">
            <v>15</v>
          </cell>
          <cell r="T156">
            <v>18</v>
          </cell>
          <cell r="U156">
            <v>24</v>
          </cell>
          <cell r="V156">
            <v>332</v>
          </cell>
          <cell r="W156">
            <v>155</v>
          </cell>
          <cell r="X156">
            <v>157</v>
          </cell>
          <cell r="Y156">
            <v>116</v>
          </cell>
          <cell r="Z156">
            <v>0</v>
          </cell>
          <cell r="AA156">
            <v>15</v>
          </cell>
          <cell r="AB156">
            <v>141</v>
          </cell>
          <cell r="AC156">
            <v>110</v>
          </cell>
          <cell r="AD156">
            <v>34</v>
          </cell>
          <cell r="AE156">
            <v>29</v>
          </cell>
          <cell r="AF156">
            <v>0</v>
          </cell>
          <cell r="AG156">
            <v>15</v>
          </cell>
          <cell r="AH156">
            <v>0</v>
          </cell>
          <cell r="AI156">
            <v>15</v>
          </cell>
          <cell r="AJ156">
            <v>0</v>
          </cell>
          <cell r="AK156">
            <v>15</v>
          </cell>
          <cell r="AL156">
            <v>0</v>
          </cell>
          <cell r="AM156">
            <v>15</v>
          </cell>
          <cell r="AN156">
            <v>65</v>
          </cell>
          <cell r="AO156">
            <v>85</v>
          </cell>
          <cell r="AP156">
            <v>0</v>
          </cell>
          <cell r="AQ156">
            <v>15</v>
          </cell>
          <cell r="AR156">
            <v>127</v>
          </cell>
          <cell r="AS156">
            <v>95</v>
          </cell>
        </row>
        <row r="157">
          <cell r="B157">
            <v>17031110200</v>
          </cell>
          <cell r="D157">
            <v>1514</v>
          </cell>
          <cell r="E157">
            <v>196</v>
          </cell>
          <cell r="F157">
            <v>1308</v>
          </cell>
          <cell r="G157">
            <v>206</v>
          </cell>
          <cell r="H157">
            <v>1097</v>
          </cell>
          <cell r="I157">
            <v>195</v>
          </cell>
          <cell r="J157">
            <v>211</v>
          </cell>
          <cell r="K157">
            <v>82</v>
          </cell>
          <cell r="L157">
            <v>144</v>
          </cell>
          <cell r="M157">
            <v>85</v>
          </cell>
          <cell r="N157">
            <v>35</v>
          </cell>
          <cell r="O157">
            <v>34</v>
          </cell>
          <cell r="P157">
            <v>32</v>
          </cell>
          <cell r="Q157">
            <v>56</v>
          </cell>
          <cell r="R157">
            <v>0</v>
          </cell>
          <cell r="S157">
            <v>11</v>
          </cell>
          <cell r="T157">
            <v>0</v>
          </cell>
          <cell r="U157">
            <v>11</v>
          </cell>
          <cell r="V157">
            <v>163</v>
          </cell>
          <cell r="W157">
            <v>69</v>
          </cell>
          <cell r="X157">
            <v>48</v>
          </cell>
          <cell r="Y157">
            <v>52</v>
          </cell>
          <cell r="Z157">
            <v>0</v>
          </cell>
          <cell r="AA157">
            <v>11</v>
          </cell>
          <cell r="AB157">
            <v>70</v>
          </cell>
          <cell r="AC157">
            <v>42</v>
          </cell>
          <cell r="AD157">
            <v>45</v>
          </cell>
          <cell r="AE157">
            <v>36</v>
          </cell>
          <cell r="AF157">
            <v>0</v>
          </cell>
          <cell r="AG157">
            <v>11</v>
          </cell>
          <cell r="AH157">
            <v>0</v>
          </cell>
          <cell r="AI157">
            <v>11</v>
          </cell>
          <cell r="AJ157">
            <v>0</v>
          </cell>
          <cell r="AK157">
            <v>11</v>
          </cell>
          <cell r="AL157">
            <v>0</v>
          </cell>
          <cell r="AM157">
            <v>11</v>
          </cell>
          <cell r="AN157">
            <v>13</v>
          </cell>
          <cell r="AO157">
            <v>17</v>
          </cell>
          <cell r="AP157">
            <v>6</v>
          </cell>
          <cell r="AQ157">
            <v>11</v>
          </cell>
          <cell r="AR157">
            <v>24</v>
          </cell>
          <cell r="AS157">
            <v>27</v>
          </cell>
        </row>
        <row r="158">
          <cell r="B158">
            <v>17031110300</v>
          </cell>
          <cell r="D158">
            <v>2836</v>
          </cell>
          <cell r="E158">
            <v>364</v>
          </cell>
          <cell r="F158">
            <v>2303</v>
          </cell>
          <cell r="G158">
            <v>303</v>
          </cell>
          <cell r="H158">
            <v>1949</v>
          </cell>
          <cell r="I158">
            <v>290</v>
          </cell>
          <cell r="J158">
            <v>354</v>
          </cell>
          <cell r="K158">
            <v>151</v>
          </cell>
          <cell r="L158">
            <v>266</v>
          </cell>
          <cell r="M158">
            <v>124</v>
          </cell>
          <cell r="N158">
            <v>29</v>
          </cell>
          <cell r="O158">
            <v>35</v>
          </cell>
          <cell r="P158">
            <v>59</v>
          </cell>
          <cell r="Q158">
            <v>74</v>
          </cell>
          <cell r="R158">
            <v>0</v>
          </cell>
          <cell r="S158">
            <v>15</v>
          </cell>
          <cell r="T158">
            <v>0</v>
          </cell>
          <cell r="U158">
            <v>15</v>
          </cell>
          <cell r="V158">
            <v>490</v>
          </cell>
          <cell r="W158">
            <v>171</v>
          </cell>
          <cell r="X158">
            <v>211</v>
          </cell>
          <cell r="Y158">
            <v>146</v>
          </cell>
          <cell r="Z158">
            <v>0</v>
          </cell>
          <cell r="AA158">
            <v>15</v>
          </cell>
          <cell r="AB158">
            <v>163</v>
          </cell>
          <cell r="AC158">
            <v>91</v>
          </cell>
          <cell r="AD158">
            <v>116</v>
          </cell>
          <cell r="AE158">
            <v>44</v>
          </cell>
          <cell r="AF158">
            <v>0</v>
          </cell>
          <cell r="AG158">
            <v>15</v>
          </cell>
          <cell r="AH158">
            <v>0</v>
          </cell>
          <cell r="AI158">
            <v>15</v>
          </cell>
          <cell r="AJ158">
            <v>0</v>
          </cell>
          <cell r="AK158">
            <v>15</v>
          </cell>
          <cell r="AL158">
            <v>0</v>
          </cell>
          <cell r="AM158">
            <v>15</v>
          </cell>
          <cell r="AN158">
            <v>24</v>
          </cell>
          <cell r="AO158">
            <v>21</v>
          </cell>
          <cell r="AP158">
            <v>8</v>
          </cell>
          <cell r="AQ158">
            <v>12</v>
          </cell>
          <cell r="AR158">
            <v>11</v>
          </cell>
          <cell r="AS158">
            <v>18</v>
          </cell>
        </row>
        <row r="159">
          <cell r="B159">
            <v>17031110400</v>
          </cell>
          <cell r="D159">
            <v>2379</v>
          </cell>
          <cell r="E159">
            <v>218</v>
          </cell>
          <cell r="F159">
            <v>1937</v>
          </cell>
          <cell r="G159">
            <v>207</v>
          </cell>
          <cell r="H159">
            <v>1636</v>
          </cell>
          <cell r="I159">
            <v>200</v>
          </cell>
          <cell r="J159">
            <v>301</v>
          </cell>
          <cell r="K159">
            <v>123</v>
          </cell>
          <cell r="L159">
            <v>170</v>
          </cell>
          <cell r="M159">
            <v>80</v>
          </cell>
          <cell r="N159">
            <v>72</v>
          </cell>
          <cell r="O159">
            <v>40</v>
          </cell>
          <cell r="P159">
            <v>0</v>
          </cell>
          <cell r="Q159">
            <v>11</v>
          </cell>
          <cell r="R159">
            <v>46</v>
          </cell>
          <cell r="S159">
            <v>72</v>
          </cell>
          <cell r="T159">
            <v>13</v>
          </cell>
          <cell r="U159">
            <v>21</v>
          </cell>
          <cell r="V159">
            <v>332</v>
          </cell>
          <cell r="W159">
            <v>83</v>
          </cell>
          <cell r="X159">
            <v>79</v>
          </cell>
          <cell r="Y159">
            <v>45</v>
          </cell>
          <cell r="Z159">
            <v>0</v>
          </cell>
          <cell r="AA159">
            <v>11</v>
          </cell>
          <cell r="AB159">
            <v>223</v>
          </cell>
          <cell r="AC159">
            <v>74</v>
          </cell>
          <cell r="AD159">
            <v>30</v>
          </cell>
          <cell r="AE159">
            <v>27</v>
          </cell>
          <cell r="AF159">
            <v>0</v>
          </cell>
          <cell r="AG159">
            <v>11</v>
          </cell>
          <cell r="AH159">
            <v>0</v>
          </cell>
          <cell r="AI159">
            <v>11</v>
          </cell>
          <cell r="AJ159">
            <v>0</v>
          </cell>
          <cell r="AK159">
            <v>11</v>
          </cell>
          <cell r="AL159">
            <v>51</v>
          </cell>
          <cell r="AM159">
            <v>40</v>
          </cell>
          <cell r="AN159">
            <v>8</v>
          </cell>
          <cell r="AO159">
            <v>12</v>
          </cell>
          <cell r="AP159">
            <v>0</v>
          </cell>
          <cell r="AQ159">
            <v>11</v>
          </cell>
          <cell r="AR159">
            <v>51</v>
          </cell>
          <cell r="AS159">
            <v>43</v>
          </cell>
        </row>
        <row r="160">
          <cell r="B160">
            <v>17031110501</v>
          </cell>
          <cell r="D160">
            <v>2735</v>
          </cell>
          <cell r="E160">
            <v>197</v>
          </cell>
          <cell r="F160">
            <v>2007</v>
          </cell>
          <cell r="G160">
            <v>225</v>
          </cell>
          <cell r="H160">
            <v>1723</v>
          </cell>
          <cell r="I160">
            <v>234</v>
          </cell>
          <cell r="J160">
            <v>284</v>
          </cell>
          <cell r="K160">
            <v>148</v>
          </cell>
          <cell r="L160">
            <v>186</v>
          </cell>
          <cell r="M160">
            <v>119</v>
          </cell>
          <cell r="N160">
            <v>23</v>
          </cell>
          <cell r="O160">
            <v>24</v>
          </cell>
          <cell r="P160">
            <v>75</v>
          </cell>
          <cell r="Q160">
            <v>87</v>
          </cell>
          <cell r="R160">
            <v>0</v>
          </cell>
          <cell r="S160">
            <v>15</v>
          </cell>
          <cell r="T160">
            <v>0</v>
          </cell>
          <cell r="U160">
            <v>15</v>
          </cell>
          <cell r="V160">
            <v>568</v>
          </cell>
          <cell r="W160">
            <v>142</v>
          </cell>
          <cell r="X160">
            <v>190</v>
          </cell>
          <cell r="Y160">
            <v>86</v>
          </cell>
          <cell r="Z160">
            <v>0</v>
          </cell>
          <cell r="AA160">
            <v>15</v>
          </cell>
          <cell r="AB160">
            <v>302</v>
          </cell>
          <cell r="AC160">
            <v>90</v>
          </cell>
          <cell r="AD160">
            <v>76</v>
          </cell>
          <cell r="AE160">
            <v>48</v>
          </cell>
          <cell r="AF160">
            <v>0</v>
          </cell>
          <cell r="AG160">
            <v>15</v>
          </cell>
          <cell r="AH160">
            <v>0</v>
          </cell>
          <cell r="AI160">
            <v>15</v>
          </cell>
          <cell r="AJ160">
            <v>35</v>
          </cell>
          <cell r="AK160">
            <v>51</v>
          </cell>
          <cell r="AL160">
            <v>8</v>
          </cell>
          <cell r="AM160">
            <v>14</v>
          </cell>
          <cell r="AN160">
            <v>58</v>
          </cell>
          <cell r="AO160">
            <v>48</v>
          </cell>
          <cell r="AP160">
            <v>0</v>
          </cell>
          <cell r="AQ160">
            <v>15</v>
          </cell>
          <cell r="AR160">
            <v>59</v>
          </cell>
          <cell r="AS160">
            <v>40</v>
          </cell>
        </row>
        <row r="161">
          <cell r="B161">
            <v>17031110502</v>
          </cell>
          <cell r="D161">
            <v>1658</v>
          </cell>
          <cell r="E161">
            <v>233</v>
          </cell>
          <cell r="F161">
            <v>908</v>
          </cell>
          <cell r="G161">
            <v>200</v>
          </cell>
          <cell r="H161">
            <v>792</v>
          </cell>
          <cell r="I161">
            <v>195</v>
          </cell>
          <cell r="J161">
            <v>116</v>
          </cell>
          <cell r="K161">
            <v>58</v>
          </cell>
          <cell r="L161">
            <v>104</v>
          </cell>
          <cell r="M161">
            <v>58</v>
          </cell>
          <cell r="N161">
            <v>0</v>
          </cell>
          <cell r="O161">
            <v>11</v>
          </cell>
          <cell r="P161">
            <v>0</v>
          </cell>
          <cell r="Q161">
            <v>11</v>
          </cell>
          <cell r="R161">
            <v>12</v>
          </cell>
          <cell r="S161">
            <v>20</v>
          </cell>
          <cell r="T161">
            <v>0</v>
          </cell>
          <cell r="U161">
            <v>11</v>
          </cell>
          <cell r="V161">
            <v>573</v>
          </cell>
          <cell r="W161">
            <v>136</v>
          </cell>
          <cell r="X161">
            <v>193</v>
          </cell>
          <cell r="Y161">
            <v>76</v>
          </cell>
          <cell r="Z161">
            <v>0</v>
          </cell>
          <cell r="AA161">
            <v>11</v>
          </cell>
          <cell r="AB161">
            <v>317</v>
          </cell>
          <cell r="AC161">
            <v>110</v>
          </cell>
          <cell r="AD161">
            <v>63</v>
          </cell>
          <cell r="AE161">
            <v>41</v>
          </cell>
          <cell r="AF161">
            <v>0</v>
          </cell>
          <cell r="AG161">
            <v>11</v>
          </cell>
          <cell r="AH161">
            <v>8</v>
          </cell>
          <cell r="AI161">
            <v>13</v>
          </cell>
          <cell r="AJ161">
            <v>0</v>
          </cell>
          <cell r="AK161">
            <v>11</v>
          </cell>
          <cell r="AL161">
            <v>13</v>
          </cell>
          <cell r="AM161">
            <v>19</v>
          </cell>
          <cell r="AN161">
            <v>0</v>
          </cell>
          <cell r="AO161">
            <v>11</v>
          </cell>
          <cell r="AP161">
            <v>0</v>
          </cell>
          <cell r="AQ161">
            <v>11</v>
          </cell>
          <cell r="AR161">
            <v>156</v>
          </cell>
          <cell r="AS161">
            <v>76</v>
          </cell>
        </row>
        <row r="162">
          <cell r="B162">
            <v>17031120100</v>
          </cell>
          <cell r="D162">
            <v>1821</v>
          </cell>
          <cell r="E162">
            <v>171</v>
          </cell>
          <cell r="F162">
            <v>1461</v>
          </cell>
          <cell r="G162">
            <v>151</v>
          </cell>
          <cell r="H162">
            <v>1269</v>
          </cell>
          <cell r="I162">
            <v>135</v>
          </cell>
          <cell r="J162">
            <v>192</v>
          </cell>
          <cell r="K162">
            <v>83</v>
          </cell>
          <cell r="L162">
            <v>150</v>
          </cell>
          <cell r="M162">
            <v>75</v>
          </cell>
          <cell r="N162">
            <v>42</v>
          </cell>
          <cell r="O162">
            <v>41</v>
          </cell>
          <cell r="P162">
            <v>0</v>
          </cell>
          <cell r="Q162">
            <v>11</v>
          </cell>
          <cell r="R162">
            <v>0</v>
          </cell>
          <cell r="S162">
            <v>11</v>
          </cell>
          <cell r="T162">
            <v>0</v>
          </cell>
          <cell r="U162">
            <v>11</v>
          </cell>
          <cell r="V162">
            <v>271</v>
          </cell>
          <cell r="W162">
            <v>91</v>
          </cell>
          <cell r="X162">
            <v>27</v>
          </cell>
          <cell r="Y162">
            <v>25</v>
          </cell>
          <cell r="Z162">
            <v>0</v>
          </cell>
          <cell r="AA162">
            <v>11</v>
          </cell>
          <cell r="AB162">
            <v>117</v>
          </cell>
          <cell r="AC162">
            <v>63</v>
          </cell>
          <cell r="AD162">
            <v>127</v>
          </cell>
          <cell r="AE162">
            <v>61</v>
          </cell>
          <cell r="AF162">
            <v>0</v>
          </cell>
          <cell r="AG162">
            <v>11</v>
          </cell>
          <cell r="AH162">
            <v>0</v>
          </cell>
          <cell r="AI162">
            <v>11</v>
          </cell>
          <cell r="AJ162">
            <v>0</v>
          </cell>
          <cell r="AK162">
            <v>11</v>
          </cell>
          <cell r="AL162">
            <v>0</v>
          </cell>
          <cell r="AM162">
            <v>11</v>
          </cell>
          <cell r="AN162">
            <v>19</v>
          </cell>
          <cell r="AO162">
            <v>19</v>
          </cell>
          <cell r="AP162">
            <v>0</v>
          </cell>
          <cell r="AQ162">
            <v>11</v>
          </cell>
          <cell r="AR162">
            <v>70</v>
          </cell>
          <cell r="AS162">
            <v>40</v>
          </cell>
        </row>
        <row r="163">
          <cell r="B163">
            <v>17031120200</v>
          </cell>
          <cell r="D163">
            <v>2221</v>
          </cell>
          <cell r="E163">
            <v>195</v>
          </cell>
          <cell r="F163">
            <v>1840</v>
          </cell>
          <cell r="G163">
            <v>200</v>
          </cell>
          <cell r="H163">
            <v>1627</v>
          </cell>
          <cell r="I163">
            <v>172</v>
          </cell>
          <cell r="J163">
            <v>213</v>
          </cell>
          <cell r="K163">
            <v>91</v>
          </cell>
          <cell r="L163">
            <v>205</v>
          </cell>
          <cell r="M163">
            <v>89</v>
          </cell>
          <cell r="N163">
            <v>0</v>
          </cell>
          <cell r="O163">
            <v>11</v>
          </cell>
          <cell r="P163">
            <v>8</v>
          </cell>
          <cell r="Q163">
            <v>12</v>
          </cell>
          <cell r="R163">
            <v>0</v>
          </cell>
          <cell r="S163">
            <v>11</v>
          </cell>
          <cell r="T163">
            <v>0</v>
          </cell>
          <cell r="U163">
            <v>11</v>
          </cell>
          <cell r="V163">
            <v>210</v>
          </cell>
          <cell r="W163">
            <v>76</v>
          </cell>
          <cell r="X163">
            <v>12</v>
          </cell>
          <cell r="Y163">
            <v>16</v>
          </cell>
          <cell r="Z163">
            <v>0</v>
          </cell>
          <cell r="AA163">
            <v>11</v>
          </cell>
          <cell r="AB163">
            <v>104</v>
          </cell>
          <cell r="AC163">
            <v>64</v>
          </cell>
          <cell r="AD163">
            <v>94</v>
          </cell>
          <cell r="AE163">
            <v>52</v>
          </cell>
          <cell r="AF163">
            <v>0</v>
          </cell>
          <cell r="AG163">
            <v>11</v>
          </cell>
          <cell r="AH163">
            <v>0</v>
          </cell>
          <cell r="AI163">
            <v>11</v>
          </cell>
          <cell r="AJ163">
            <v>0</v>
          </cell>
          <cell r="AK163">
            <v>11</v>
          </cell>
          <cell r="AL163">
            <v>0</v>
          </cell>
          <cell r="AM163">
            <v>11</v>
          </cell>
          <cell r="AN163">
            <v>54</v>
          </cell>
          <cell r="AO163">
            <v>45</v>
          </cell>
          <cell r="AP163">
            <v>23</v>
          </cell>
          <cell r="AQ163">
            <v>23</v>
          </cell>
          <cell r="AR163">
            <v>94</v>
          </cell>
          <cell r="AS163">
            <v>47</v>
          </cell>
        </row>
        <row r="164">
          <cell r="B164">
            <v>17031120300</v>
          </cell>
          <cell r="D164">
            <v>3297</v>
          </cell>
          <cell r="E164">
            <v>284</v>
          </cell>
          <cell r="F164">
            <v>2851</v>
          </cell>
          <cell r="G164">
            <v>309</v>
          </cell>
          <cell r="H164">
            <v>2666</v>
          </cell>
          <cell r="I164">
            <v>307</v>
          </cell>
          <cell r="J164">
            <v>185</v>
          </cell>
          <cell r="K164">
            <v>122</v>
          </cell>
          <cell r="L164">
            <v>176</v>
          </cell>
          <cell r="M164">
            <v>121</v>
          </cell>
          <cell r="N164">
            <v>9</v>
          </cell>
          <cell r="O164">
            <v>15</v>
          </cell>
          <cell r="P164">
            <v>0</v>
          </cell>
          <cell r="Q164">
            <v>15</v>
          </cell>
          <cell r="R164">
            <v>0</v>
          </cell>
          <cell r="S164">
            <v>15</v>
          </cell>
          <cell r="T164">
            <v>0</v>
          </cell>
          <cell r="U164">
            <v>15</v>
          </cell>
          <cell r="V164">
            <v>180</v>
          </cell>
          <cell r="W164">
            <v>81</v>
          </cell>
          <cell r="X164">
            <v>0</v>
          </cell>
          <cell r="Y164">
            <v>15</v>
          </cell>
          <cell r="Z164">
            <v>0</v>
          </cell>
          <cell r="AA164">
            <v>15</v>
          </cell>
          <cell r="AB164">
            <v>55</v>
          </cell>
          <cell r="AC164">
            <v>56</v>
          </cell>
          <cell r="AD164">
            <v>125</v>
          </cell>
          <cell r="AE164">
            <v>68</v>
          </cell>
          <cell r="AF164">
            <v>0</v>
          </cell>
          <cell r="AG164">
            <v>15</v>
          </cell>
          <cell r="AH164">
            <v>0</v>
          </cell>
          <cell r="AI164">
            <v>15</v>
          </cell>
          <cell r="AJ164">
            <v>0</v>
          </cell>
          <cell r="AK164">
            <v>15</v>
          </cell>
          <cell r="AL164">
            <v>18</v>
          </cell>
          <cell r="AM164">
            <v>29</v>
          </cell>
          <cell r="AN164">
            <v>16</v>
          </cell>
          <cell r="AO164">
            <v>24</v>
          </cell>
          <cell r="AP164">
            <v>0</v>
          </cell>
          <cell r="AQ164">
            <v>15</v>
          </cell>
          <cell r="AR164">
            <v>232</v>
          </cell>
          <cell r="AS164">
            <v>127</v>
          </cell>
        </row>
        <row r="165">
          <cell r="B165">
            <v>17031120400</v>
          </cell>
          <cell r="D165">
            <v>1714</v>
          </cell>
          <cell r="E165">
            <v>168</v>
          </cell>
          <cell r="F165">
            <v>1291</v>
          </cell>
          <cell r="G165">
            <v>128</v>
          </cell>
          <cell r="H165">
            <v>1212</v>
          </cell>
          <cell r="I165">
            <v>131</v>
          </cell>
          <cell r="J165">
            <v>79</v>
          </cell>
          <cell r="K165">
            <v>48</v>
          </cell>
          <cell r="L165">
            <v>35</v>
          </cell>
          <cell r="M165">
            <v>31</v>
          </cell>
          <cell r="N165">
            <v>27</v>
          </cell>
          <cell r="O165">
            <v>23</v>
          </cell>
          <cell r="P165">
            <v>17</v>
          </cell>
          <cell r="Q165">
            <v>19</v>
          </cell>
          <cell r="R165">
            <v>0</v>
          </cell>
          <cell r="S165">
            <v>11</v>
          </cell>
          <cell r="T165">
            <v>0</v>
          </cell>
          <cell r="U165">
            <v>11</v>
          </cell>
          <cell r="V165">
            <v>388</v>
          </cell>
          <cell r="W165">
            <v>123</v>
          </cell>
          <cell r="X165">
            <v>100</v>
          </cell>
          <cell r="Y165">
            <v>52</v>
          </cell>
          <cell r="Z165">
            <v>0</v>
          </cell>
          <cell r="AA165">
            <v>11</v>
          </cell>
          <cell r="AB165">
            <v>211</v>
          </cell>
          <cell r="AC165">
            <v>102</v>
          </cell>
          <cell r="AD165">
            <v>77</v>
          </cell>
          <cell r="AE165">
            <v>41</v>
          </cell>
          <cell r="AF165">
            <v>0</v>
          </cell>
          <cell r="AG165">
            <v>11</v>
          </cell>
          <cell r="AH165">
            <v>0</v>
          </cell>
          <cell r="AI165">
            <v>11</v>
          </cell>
          <cell r="AJ165">
            <v>0</v>
          </cell>
          <cell r="AK165">
            <v>11</v>
          </cell>
          <cell r="AL165">
            <v>8</v>
          </cell>
          <cell r="AM165">
            <v>13</v>
          </cell>
          <cell r="AN165">
            <v>6</v>
          </cell>
          <cell r="AO165">
            <v>9</v>
          </cell>
          <cell r="AP165">
            <v>21</v>
          </cell>
          <cell r="AQ165">
            <v>21</v>
          </cell>
          <cell r="AR165">
            <v>0</v>
          </cell>
          <cell r="AS165">
            <v>11</v>
          </cell>
        </row>
        <row r="166">
          <cell r="B166">
            <v>17031130100</v>
          </cell>
          <cell r="D166">
            <v>1852</v>
          </cell>
          <cell r="E166">
            <v>270</v>
          </cell>
          <cell r="F166">
            <v>1460</v>
          </cell>
          <cell r="G166">
            <v>232</v>
          </cell>
          <cell r="H166">
            <v>1190</v>
          </cell>
          <cell r="I166">
            <v>211</v>
          </cell>
          <cell r="J166">
            <v>270</v>
          </cell>
          <cell r="K166">
            <v>124</v>
          </cell>
          <cell r="L166">
            <v>198</v>
          </cell>
          <cell r="M166">
            <v>119</v>
          </cell>
          <cell r="N166">
            <v>24</v>
          </cell>
          <cell r="O166">
            <v>29</v>
          </cell>
          <cell r="P166">
            <v>48</v>
          </cell>
          <cell r="Q166">
            <v>63</v>
          </cell>
          <cell r="R166">
            <v>0</v>
          </cell>
          <cell r="S166">
            <v>15</v>
          </cell>
          <cell r="T166">
            <v>0</v>
          </cell>
          <cell r="U166">
            <v>15</v>
          </cell>
          <cell r="V166">
            <v>237</v>
          </cell>
          <cell r="W166">
            <v>139</v>
          </cell>
          <cell r="X166">
            <v>77</v>
          </cell>
          <cell r="Y166">
            <v>74</v>
          </cell>
          <cell r="Z166">
            <v>0</v>
          </cell>
          <cell r="AA166">
            <v>15</v>
          </cell>
          <cell r="AB166">
            <v>106</v>
          </cell>
          <cell r="AC166">
            <v>94</v>
          </cell>
          <cell r="AD166">
            <v>54</v>
          </cell>
          <cell r="AE166">
            <v>62</v>
          </cell>
          <cell r="AF166">
            <v>0</v>
          </cell>
          <cell r="AG166">
            <v>15</v>
          </cell>
          <cell r="AH166">
            <v>0</v>
          </cell>
          <cell r="AI166">
            <v>15</v>
          </cell>
          <cell r="AJ166">
            <v>0</v>
          </cell>
          <cell r="AK166">
            <v>15</v>
          </cell>
          <cell r="AL166">
            <v>0</v>
          </cell>
          <cell r="AM166">
            <v>15</v>
          </cell>
          <cell r="AN166">
            <v>73</v>
          </cell>
          <cell r="AO166">
            <v>74</v>
          </cell>
          <cell r="AP166">
            <v>0</v>
          </cell>
          <cell r="AQ166">
            <v>15</v>
          </cell>
          <cell r="AR166">
            <v>82</v>
          </cell>
          <cell r="AS166">
            <v>57</v>
          </cell>
        </row>
        <row r="167">
          <cell r="B167">
            <v>17031130200</v>
          </cell>
          <cell r="D167">
            <v>889</v>
          </cell>
          <cell r="E167">
            <v>95</v>
          </cell>
          <cell r="F167">
            <v>665</v>
          </cell>
          <cell r="G167">
            <v>85</v>
          </cell>
          <cell r="H167">
            <v>607</v>
          </cell>
          <cell r="I167">
            <v>82</v>
          </cell>
          <cell r="J167">
            <v>58</v>
          </cell>
          <cell r="K167">
            <v>42</v>
          </cell>
          <cell r="L167">
            <v>33</v>
          </cell>
          <cell r="M167">
            <v>28</v>
          </cell>
          <cell r="N167">
            <v>25</v>
          </cell>
          <cell r="O167">
            <v>27</v>
          </cell>
          <cell r="P167">
            <v>0</v>
          </cell>
          <cell r="Q167">
            <v>11</v>
          </cell>
          <cell r="R167">
            <v>0</v>
          </cell>
          <cell r="S167">
            <v>11</v>
          </cell>
          <cell r="T167">
            <v>0</v>
          </cell>
          <cell r="U167">
            <v>11</v>
          </cell>
          <cell r="V167">
            <v>133</v>
          </cell>
          <cell r="W167">
            <v>67</v>
          </cell>
          <cell r="X167">
            <v>57</v>
          </cell>
          <cell r="Y167">
            <v>57</v>
          </cell>
          <cell r="Z167">
            <v>0</v>
          </cell>
          <cell r="AA167">
            <v>11</v>
          </cell>
          <cell r="AB167">
            <v>54</v>
          </cell>
          <cell r="AC167">
            <v>32</v>
          </cell>
          <cell r="AD167">
            <v>22</v>
          </cell>
          <cell r="AE167">
            <v>26</v>
          </cell>
          <cell r="AF167">
            <v>0</v>
          </cell>
          <cell r="AG167">
            <v>11</v>
          </cell>
          <cell r="AH167">
            <v>0</v>
          </cell>
          <cell r="AI167">
            <v>11</v>
          </cell>
          <cell r="AJ167">
            <v>0</v>
          </cell>
          <cell r="AK167">
            <v>11</v>
          </cell>
          <cell r="AL167">
            <v>13</v>
          </cell>
          <cell r="AM167">
            <v>13</v>
          </cell>
          <cell r="AN167">
            <v>41</v>
          </cell>
          <cell r="AO167">
            <v>35</v>
          </cell>
          <cell r="AP167">
            <v>0</v>
          </cell>
          <cell r="AQ167">
            <v>11</v>
          </cell>
          <cell r="AR167">
            <v>37</v>
          </cell>
          <cell r="AS167">
            <v>23</v>
          </cell>
        </row>
        <row r="168">
          <cell r="B168">
            <v>17031130300</v>
          </cell>
          <cell r="D168">
            <v>2385</v>
          </cell>
          <cell r="E168">
            <v>239</v>
          </cell>
          <cell r="F168">
            <v>1822</v>
          </cell>
          <cell r="G168">
            <v>218</v>
          </cell>
          <cell r="H168">
            <v>1507</v>
          </cell>
          <cell r="I168">
            <v>198</v>
          </cell>
          <cell r="J168">
            <v>315</v>
          </cell>
          <cell r="K168">
            <v>108</v>
          </cell>
          <cell r="L168">
            <v>272</v>
          </cell>
          <cell r="M168">
            <v>108</v>
          </cell>
          <cell r="N168">
            <v>43</v>
          </cell>
          <cell r="O168">
            <v>45</v>
          </cell>
          <cell r="P168">
            <v>0</v>
          </cell>
          <cell r="Q168">
            <v>15</v>
          </cell>
          <cell r="R168">
            <v>0</v>
          </cell>
          <cell r="S168">
            <v>15</v>
          </cell>
          <cell r="T168">
            <v>0</v>
          </cell>
          <cell r="U168">
            <v>15</v>
          </cell>
          <cell r="V168">
            <v>379</v>
          </cell>
          <cell r="W168">
            <v>123</v>
          </cell>
          <cell r="X168">
            <v>173</v>
          </cell>
          <cell r="Y168">
            <v>80</v>
          </cell>
          <cell r="Z168">
            <v>0</v>
          </cell>
          <cell r="AA168">
            <v>15</v>
          </cell>
          <cell r="AB168">
            <v>206</v>
          </cell>
          <cell r="AC168">
            <v>104</v>
          </cell>
          <cell r="AD168">
            <v>0</v>
          </cell>
          <cell r="AE168">
            <v>15</v>
          </cell>
          <cell r="AF168">
            <v>0</v>
          </cell>
          <cell r="AG168">
            <v>15</v>
          </cell>
          <cell r="AH168">
            <v>12</v>
          </cell>
          <cell r="AI168">
            <v>19</v>
          </cell>
          <cell r="AJ168">
            <v>8</v>
          </cell>
          <cell r="AK168">
            <v>12</v>
          </cell>
          <cell r="AL168">
            <v>12</v>
          </cell>
          <cell r="AM168">
            <v>18</v>
          </cell>
          <cell r="AN168">
            <v>30</v>
          </cell>
          <cell r="AO168">
            <v>29</v>
          </cell>
          <cell r="AP168">
            <v>0</v>
          </cell>
          <cell r="AQ168">
            <v>15</v>
          </cell>
          <cell r="AR168">
            <v>122</v>
          </cell>
          <cell r="AS168">
            <v>74</v>
          </cell>
        </row>
        <row r="169">
          <cell r="B169">
            <v>17031140100</v>
          </cell>
          <cell r="D169">
            <v>1703</v>
          </cell>
          <cell r="E169">
            <v>265</v>
          </cell>
          <cell r="F169">
            <v>821</v>
          </cell>
          <cell r="G169">
            <v>204</v>
          </cell>
          <cell r="H169">
            <v>732</v>
          </cell>
          <cell r="I169">
            <v>180</v>
          </cell>
          <cell r="J169">
            <v>89</v>
          </cell>
          <cell r="K169">
            <v>72</v>
          </cell>
          <cell r="L169">
            <v>89</v>
          </cell>
          <cell r="M169">
            <v>72</v>
          </cell>
          <cell r="N169">
            <v>0</v>
          </cell>
          <cell r="O169">
            <v>11</v>
          </cell>
          <cell r="P169">
            <v>0</v>
          </cell>
          <cell r="Q169">
            <v>11</v>
          </cell>
          <cell r="R169">
            <v>0</v>
          </cell>
          <cell r="S169">
            <v>11</v>
          </cell>
          <cell r="T169">
            <v>0</v>
          </cell>
          <cell r="U169">
            <v>11</v>
          </cell>
          <cell r="V169">
            <v>639</v>
          </cell>
          <cell r="W169">
            <v>218</v>
          </cell>
          <cell r="X169">
            <v>273</v>
          </cell>
          <cell r="Y169">
            <v>161</v>
          </cell>
          <cell r="Z169">
            <v>0</v>
          </cell>
          <cell r="AA169">
            <v>11</v>
          </cell>
          <cell r="AB169">
            <v>352</v>
          </cell>
          <cell r="AC169">
            <v>158</v>
          </cell>
          <cell r="AD169">
            <v>14</v>
          </cell>
          <cell r="AE169">
            <v>24</v>
          </cell>
          <cell r="AF169">
            <v>0</v>
          </cell>
          <cell r="AG169">
            <v>11</v>
          </cell>
          <cell r="AH169">
            <v>0</v>
          </cell>
          <cell r="AI169">
            <v>11</v>
          </cell>
          <cell r="AJ169">
            <v>0</v>
          </cell>
          <cell r="AK169">
            <v>11</v>
          </cell>
          <cell r="AL169">
            <v>54</v>
          </cell>
          <cell r="AM169">
            <v>39</v>
          </cell>
          <cell r="AN169">
            <v>85</v>
          </cell>
          <cell r="AO169">
            <v>52</v>
          </cell>
          <cell r="AP169">
            <v>33</v>
          </cell>
          <cell r="AQ169">
            <v>47</v>
          </cell>
          <cell r="AR169">
            <v>71</v>
          </cell>
          <cell r="AS169">
            <v>62</v>
          </cell>
        </row>
        <row r="170">
          <cell r="B170">
            <v>17031140200</v>
          </cell>
          <cell r="D170">
            <v>3277</v>
          </cell>
          <cell r="E170">
            <v>512</v>
          </cell>
          <cell r="F170">
            <v>1474</v>
          </cell>
          <cell r="G170">
            <v>371</v>
          </cell>
          <cell r="H170">
            <v>1252</v>
          </cell>
          <cell r="I170">
            <v>365</v>
          </cell>
          <cell r="J170">
            <v>222</v>
          </cell>
          <cell r="K170">
            <v>135</v>
          </cell>
          <cell r="L170">
            <v>188</v>
          </cell>
          <cell r="M170">
            <v>119</v>
          </cell>
          <cell r="N170">
            <v>26</v>
          </cell>
          <cell r="O170">
            <v>29</v>
          </cell>
          <cell r="P170">
            <v>6</v>
          </cell>
          <cell r="Q170">
            <v>12</v>
          </cell>
          <cell r="R170">
            <v>0</v>
          </cell>
          <cell r="S170">
            <v>15</v>
          </cell>
          <cell r="T170">
            <v>2</v>
          </cell>
          <cell r="U170">
            <v>4</v>
          </cell>
          <cell r="V170">
            <v>1316</v>
          </cell>
          <cell r="W170">
            <v>473</v>
          </cell>
          <cell r="X170">
            <v>295</v>
          </cell>
          <cell r="Y170">
            <v>139</v>
          </cell>
          <cell r="Z170">
            <v>8</v>
          </cell>
          <cell r="AA170">
            <v>13</v>
          </cell>
          <cell r="AB170">
            <v>935</v>
          </cell>
          <cell r="AC170">
            <v>473</v>
          </cell>
          <cell r="AD170">
            <v>78</v>
          </cell>
          <cell r="AE170">
            <v>60</v>
          </cell>
          <cell r="AF170">
            <v>0</v>
          </cell>
          <cell r="AG170">
            <v>15</v>
          </cell>
          <cell r="AH170">
            <v>0</v>
          </cell>
          <cell r="AI170">
            <v>15</v>
          </cell>
          <cell r="AJ170">
            <v>0</v>
          </cell>
          <cell r="AK170">
            <v>15</v>
          </cell>
          <cell r="AL170">
            <v>21</v>
          </cell>
          <cell r="AM170">
            <v>21</v>
          </cell>
          <cell r="AN170">
            <v>323</v>
          </cell>
          <cell r="AO170">
            <v>116</v>
          </cell>
          <cell r="AP170">
            <v>19</v>
          </cell>
          <cell r="AQ170">
            <v>32</v>
          </cell>
          <cell r="AR170">
            <v>124</v>
          </cell>
          <cell r="AS170">
            <v>93</v>
          </cell>
        </row>
        <row r="171">
          <cell r="B171">
            <v>17031140301</v>
          </cell>
          <cell r="D171">
            <v>1279</v>
          </cell>
          <cell r="E171">
            <v>264</v>
          </cell>
          <cell r="F171">
            <v>675</v>
          </cell>
          <cell r="G171">
            <v>186</v>
          </cell>
          <cell r="H171">
            <v>605</v>
          </cell>
          <cell r="I171">
            <v>166</v>
          </cell>
          <cell r="J171">
            <v>70</v>
          </cell>
          <cell r="K171">
            <v>56</v>
          </cell>
          <cell r="L171">
            <v>70</v>
          </cell>
          <cell r="M171">
            <v>56</v>
          </cell>
          <cell r="N171">
            <v>0</v>
          </cell>
          <cell r="O171">
            <v>11</v>
          </cell>
          <cell r="P171">
            <v>0</v>
          </cell>
          <cell r="Q171">
            <v>11</v>
          </cell>
          <cell r="R171">
            <v>0</v>
          </cell>
          <cell r="S171">
            <v>11</v>
          </cell>
          <cell r="T171">
            <v>0</v>
          </cell>
          <cell r="U171">
            <v>11</v>
          </cell>
          <cell r="V171">
            <v>504</v>
          </cell>
          <cell r="W171">
            <v>194</v>
          </cell>
          <cell r="X171">
            <v>319</v>
          </cell>
          <cell r="Y171">
            <v>120</v>
          </cell>
          <cell r="Z171">
            <v>0</v>
          </cell>
          <cell r="AA171">
            <v>11</v>
          </cell>
          <cell r="AB171">
            <v>143</v>
          </cell>
          <cell r="AC171">
            <v>61</v>
          </cell>
          <cell r="AD171">
            <v>42</v>
          </cell>
          <cell r="AE171">
            <v>55</v>
          </cell>
          <cell r="AF171">
            <v>0</v>
          </cell>
          <cell r="AG171">
            <v>11</v>
          </cell>
          <cell r="AH171">
            <v>11</v>
          </cell>
          <cell r="AI171">
            <v>12</v>
          </cell>
          <cell r="AJ171">
            <v>0</v>
          </cell>
          <cell r="AK171">
            <v>11</v>
          </cell>
          <cell r="AL171">
            <v>28</v>
          </cell>
          <cell r="AM171">
            <v>34</v>
          </cell>
          <cell r="AN171">
            <v>26</v>
          </cell>
          <cell r="AO171">
            <v>21</v>
          </cell>
          <cell r="AP171">
            <v>0</v>
          </cell>
          <cell r="AQ171">
            <v>11</v>
          </cell>
          <cell r="AR171">
            <v>35</v>
          </cell>
          <cell r="AS171">
            <v>27</v>
          </cell>
        </row>
        <row r="172">
          <cell r="B172">
            <v>17031140302</v>
          </cell>
          <cell r="D172">
            <v>1979</v>
          </cell>
          <cell r="E172">
            <v>240</v>
          </cell>
          <cell r="F172">
            <v>1368</v>
          </cell>
          <cell r="G172">
            <v>185</v>
          </cell>
          <cell r="H172">
            <v>1104</v>
          </cell>
          <cell r="I172">
            <v>193</v>
          </cell>
          <cell r="J172">
            <v>264</v>
          </cell>
          <cell r="K172">
            <v>110</v>
          </cell>
          <cell r="L172">
            <v>208</v>
          </cell>
          <cell r="M172">
            <v>96</v>
          </cell>
          <cell r="N172">
            <v>52</v>
          </cell>
          <cell r="O172">
            <v>52</v>
          </cell>
          <cell r="P172">
            <v>0</v>
          </cell>
          <cell r="Q172">
            <v>11</v>
          </cell>
          <cell r="R172">
            <v>4</v>
          </cell>
          <cell r="S172">
            <v>9</v>
          </cell>
          <cell r="T172">
            <v>0</v>
          </cell>
          <cell r="U172">
            <v>11</v>
          </cell>
          <cell r="V172">
            <v>431</v>
          </cell>
          <cell r="W172">
            <v>145</v>
          </cell>
          <cell r="X172">
            <v>226</v>
          </cell>
          <cell r="Y172">
            <v>90</v>
          </cell>
          <cell r="Z172">
            <v>0</v>
          </cell>
          <cell r="AA172">
            <v>11</v>
          </cell>
          <cell r="AB172">
            <v>192</v>
          </cell>
          <cell r="AC172">
            <v>107</v>
          </cell>
          <cell r="AD172">
            <v>13</v>
          </cell>
          <cell r="AE172">
            <v>19</v>
          </cell>
          <cell r="AF172">
            <v>0</v>
          </cell>
          <cell r="AG172">
            <v>11</v>
          </cell>
          <cell r="AH172">
            <v>0</v>
          </cell>
          <cell r="AI172">
            <v>11</v>
          </cell>
          <cell r="AJ172">
            <v>0</v>
          </cell>
          <cell r="AK172">
            <v>11</v>
          </cell>
          <cell r="AL172">
            <v>10</v>
          </cell>
          <cell r="AM172">
            <v>15</v>
          </cell>
          <cell r="AN172">
            <v>118</v>
          </cell>
          <cell r="AO172">
            <v>77</v>
          </cell>
          <cell r="AP172">
            <v>16</v>
          </cell>
          <cell r="AQ172">
            <v>25</v>
          </cell>
          <cell r="AR172">
            <v>36</v>
          </cell>
          <cell r="AS172">
            <v>41</v>
          </cell>
        </row>
        <row r="173">
          <cell r="B173">
            <v>17031140400</v>
          </cell>
          <cell r="D173">
            <v>3605</v>
          </cell>
          <cell r="E173">
            <v>381</v>
          </cell>
          <cell r="F173">
            <v>2596</v>
          </cell>
          <cell r="G173">
            <v>329</v>
          </cell>
          <cell r="H173">
            <v>2194</v>
          </cell>
          <cell r="I173">
            <v>317</v>
          </cell>
          <cell r="J173">
            <v>402</v>
          </cell>
          <cell r="K173">
            <v>165</v>
          </cell>
          <cell r="L173">
            <v>308</v>
          </cell>
          <cell r="M173">
            <v>119</v>
          </cell>
          <cell r="N173">
            <v>94</v>
          </cell>
          <cell r="O173">
            <v>101</v>
          </cell>
          <cell r="P173">
            <v>0</v>
          </cell>
          <cell r="Q173">
            <v>15</v>
          </cell>
          <cell r="R173">
            <v>0</v>
          </cell>
          <cell r="S173">
            <v>15</v>
          </cell>
          <cell r="T173">
            <v>0</v>
          </cell>
          <cell r="U173">
            <v>15</v>
          </cell>
          <cell r="V173">
            <v>807</v>
          </cell>
          <cell r="W173">
            <v>248</v>
          </cell>
          <cell r="X173">
            <v>363</v>
          </cell>
          <cell r="Y173">
            <v>156</v>
          </cell>
          <cell r="Z173">
            <v>0</v>
          </cell>
          <cell r="AA173">
            <v>15</v>
          </cell>
          <cell r="AB173">
            <v>349</v>
          </cell>
          <cell r="AC173">
            <v>152</v>
          </cell>
          <cell r="AD173">
            <v>95</v>
          </cell>
          <cell r="AE173">
            <v>85</v>
          </cell>
          <cell r="AF173">
            <v>0</v>
          </cell>
          <cell r="AG173">
            <v>15</v>
          </cell>
          <cell r="AH173">
            <v>0</v>
          </cell>
          <cell r="AI173">
            <v>15</v>
          </cell>
          <cell r="AJ173">
            <v>0</v>
          </cell>
          <cell r="AK173">
            <v>15</v>
          </cell>
          <cell r="AL173">
            <v>0</v>
          </cell>
          <cell r="AM173">
            <v>15</v>
          </cell>
          <cell r="AN173">
            <v>47</v>
          </cell>
          <cell r="AO173">
            <v>51</v>
          </cell>
          <cell r="AP173">
            <v>0</v>
          </cell>
          <cell r="AQ173">
            <v>15</v>
          </cell>
          <cell r="AR173">
            <v>155</v>
          </cell>
          <cell r="AS173">
            <v>93</v>
          </cell>
        </row>
        <row r="174">
          <cell r="B174">
            <v>17031140500</v>
          </cell>
          <cell r="D174">
            <v>2024</v>
          </cell>
          <cell r="E174">
            <v>206</v>
          </cell>
          <cell r="F174">
            <v>1485</v>
          </cell>
          <cell r="G174">
            <v>195</v>
          </cell>
          <cell r="H174">
            <v>1178</v>
          </cell>
          <cell r="I174">
            <v>179</v>
          </cell>
          <cell r="J174">
            <v>307</v>
          </cell>
          <cell r="K174">
            <v>201</v>
          </cell>
          <cell r="L174">
            <v>240</v>
          </cell>
          <cell r="M174">
            <v>196</v>
          </cell>
          <cell r="N174">
            <v>0</v>
          </cell>
          <cell r="O174">
            <v>11</v>
          </cell>
          <cell r="P174">
            <v>48</v>
          </cell>
          <cell r="Q174">
            <v>51</v>
          </cell>
          <cell r="R174">
            <v>9</v>
          </cell>
          <cell r="S174">
            <v>14</v>
          </cell>
          <cell r="T174">
            <v>10</v>
          </cell>
          <cell r="U174">
            <v>17</v>
          </cell>
          <cell r="V174">
            <v>370</v>
          </cell>
          <cell r="W174">
            <v>136</v>
          </cell>
          <cell r="X174">
            <v>137</v>
          </cell>
          <cell r="Y174">
            <v>104</v>
          </cell>
          <cell r="Z174">
            <v>0</v>
          </cell>
          <cell r="AA174">
            <v>11</v>
          </cell>
          <cell r="AB174">
            <v>220</v>
          </cell>
          <cell r="AC174">
            <v>100</v>
          </cell>
          <cell r="AD174">
            <v>13</v>
          </cell>
          <cell r="AE174">
            <v>18</v>
          </cell>
          <cell r="AF174">
            <v>0</v>
          </cell>
          <cell r="AG174">
            <v>11</v>
          </cell>
          <cell r="AH174">
            <v>0</v>
          </cell>
          <cell r="AI174">
            <v>11</v>
          </cell>
          <cell r="AJ174">
            <v>0</v>
          </cell>
          <cell r="AK174">
            <v>11</v>
          </cell>
          <cell r="AL174">
            <v>0</v>
          </cell>
          <cell r="AM174">
            <v>11</v>
          </cell>
          <cell r="AN174">
            <v>52</v>
          </cell>
          <cell r="AO174">
            <v>39</v>
          </cell>
          <cell r="AP174">
            <v>0</v>
          </cell>
          <cell r="AQ174">
            <v>11</v>
          </cell>
          <cell r="AR174">
            <v>117</v>
          </cell>
          <cell r="AS174">
            <v>66</v>
          </cell>
        </row>
        <row r="175">
          <cell r="B175">
            <v>17031140601</v>
          </cell>
          <cell r="D175">
            <v>1368</v>
          </cell>
          <cell r="E175">
            <v>181</v>
          </cell>
          <cell r="F175">
            <v>945</v>
          </cell>
          <cell r="G175">
            <v>148</v>
          </cell>
          <cell r="H175">
            <v>746</v>
          </cell>
          <cell r="I175">
            <v>130</v>
          </cell>
          <cell r="J175">
            <v>199</v>
          </cell>
          <cell r="K175">
            <v>79</v>
          </cell>
          <cell r="L175">
            <v>152</v>
          </cell>
          <cell r="M175">
            <v>75</v>
          </cell>
          <cell r="N175">
            <v>32</v>
          </cell>
          <cell r="O175">
            <v>28</v>
          </cell>
          <cell r="P175">
            <v>15</v>
          </cell>
          <cell r="Q175">
            <v>16</v>
          </cell>
          <cell r="R175">
            <v>0</v>
          </cell>
          <cell r="S175">
            <v>11</v>
          </cell>
          <cell r="T175">
            <v>0</v>
          </cell>
          <cell r="U175">
            <v>11</v>
          </cell>
          <cell r="V175">
            <v>306</v>
          </cell>
          <cell r="W175">
            <v>97</v>
          </cell>
          <cell r="X175">
            <v>130</v>
          </cell>
          <cell r="Y175">
            <v>57</v>
          </cell>
          <cell r="Z175">
            <v>0</v>
          </cell>
          <cell r="AA175">
            <v>11</v>
          </cell>
          <cell r="AB175">
            <v>173</v>
          </cell>
          <cell r="AC175">
            <v>59</v>
          </cell>
          <cell r="AD175">
            <v>3</v>
          </cell>
          <cell r="AE175">
            <v>6</v>
          </cell>
          <cell r="AF175">
            <v>0</v>
          </cell>
          <cell r="AG175">
            <v>11</v>
          </cell>
          <cell r="AH175">
            <v>0</v>
          </cell>
          <cell r="AI175">
            <v>11</v>
          </cell>
          <cell r="AJ175">
            <v>0</v>
          </cell>
          <cell r="AK175">
            <v>11</v>
          </cell>
          <cell r="AL175">
            <v>12</v>
          </cell>
          <cell r="AM175">
            <v>12</v>
          </cell>
          <cell r="AN175">
            <v>52</v>
          </cell>
          <cell r="AO175">
            <v>37</v>
          </cell>
          <cell r="AP175">
            <v>19</v>
          </cell>
          <cell r="AQ175">
            <v>20</v>
          </cell>
          <cell r="AR175">
            <v>34</v>
          </cell>
          <cell r="AS175">
            <v>32</v>
          </cell>
        </row>
        <row r="176">
          <cell r="B176">
            <v>17031140602</v>
          </cell>
          <cell r="D176">
            <v>2819</v>
          </cell>
          <cell r="E176">
            <v>483</v>
          </cell>
          <cell r="F176">
            <v>1516</v>
          </cell>
          <cell r="G176">
            <v>245</v>
          </cell>
          <cell r="H176">
            <v>1199</v>
          </cell>
          <cell r="I176">
            <v>216</v>
          </cell>
          <cell r="J176">
            <v>317</v>
          </cell>
          <cell r="K176">
            <v>164</v>
          </cell>
          <cell r="L176">
            <v>281</v>
          </cell>
          <cell r="M176">
            <v>151</v>
          </cell>
          <cell r="N176">
            <v>11</v>
          </cell>
          <cell r="O176">
            <v>18</v>
          </cell>
          <cell r="P176">
            <v>25</v>
          </cell>
          <cell r="Q176">
            <v>37</v>
          </cell>
          <cell r="R176">
            <v>0</v>
          </cell>
          <cell r="S176">
            <v>15</v>
          </cell>
          <cell r="T176">
            <v>0</v>
          </cell>
          <cell r="U176">
            <v>15</v>
          </cell>
          <cell r="V176">
            <v>993</v>
          </cell>
          <cell r="W176">
            <v>402</v>
          </cell>
          <cell r="X176">
            <v>619</v>
          </cell>
          <cell r="Y176">
            <v>347</v>
          </cell>
          <cell r="Z176">
            <v>0</v>
          </cell>
          <cell r="AA176">
            <v>15</v>
          </cell>
          <cell r="AB176">
            <v>365</v>
          </cell>
          <cell r="AC176">
            <v>142</v>
          </cell>
          <cell r="AD176">
            <v>9</v>
          </cell>
          <cell r="AE176">
            <v>15</v>
          </cell>
          <cell r="AF176">
            <v>0</v>
          </cell>
          <cell r="AG176">
            <v>15</v>
          </cell>
          <cell r="AH176">
            <v>0</v>
          </cell>
          <cell r="AI176">
            <v>15</v>
          </cell>
          <cell r="AJ176">
            <v>0</v>
          </cell>
          <cell r="AK176">
            <v>15</v>
          </cell>
          <cell r="AL176">
            <v>10</v>
          </cell>
          <cell r="AM176">
            <v>15</v>
          </cell>
          <cell r="AN176">
            <v>176</v>
          </cell>
          <cell r="AO176">
            <v>112</v>
          </cell>
          <cell r="AP176">
            <v>0</v>
          </cell>
          <cell r="AQ176">
            <v>15</v>
          </cell>
          <cell r="AR176">
            <v>124</v>
          </cell>
          <cell r="AS176">
            <v>69</v>
          </cell>
        </row>
        <row r="177">
          <cell r="B177">
            <v>17031140701</v>
          </cell>
          <cell r="D177">
            <v>1514</v>
          </cell>
          <cell r="E177">
            <v>197</v>
          </cell>
          <cell r="F177">
            <v>752</v>
          </cell>
          <cell r="G177">
            <v>131</v>
          </cell>
          <cell r="H177">
            <v>636</v>
          </cell>
          <cell r="I177">
            <v>119</v>
          </cell>
          <cell r="J177">
            <v>116</v>
          </cell>
          <cell r="K177">
            <v>61</v>
          </cell>
          <cell r="L177">
            <v>101</v>
          </cell>
          <cell r="M177">
            <v>55</v>
          </cell>
          <cell r="N177">
            <v>15</v>
          </cell>
          <cell r="O177">
            <v>13</v>
          </cell>
          <cell r="P177">
            <v>0</v>
          </cell>
          <cell r="Q177">
            <v>11</v>
          </cell>
          <cell r="R177">
            <v>0</v>
          </cell>
          <cell r="S177">
            <v>11</v>
          </cell>
          <cell r="T177">
            <v>0</v>
          </cell>
          <cell r="U177">
            <v>11</v>
          </cell>
          <cell r="V177">
            <v>615</v>
          </cell>
          <cell r="W177">
            <v>115</v>
          </cell>
          <cell r="X177">
            <v>141</v>
          </cell>
          <cell r="Y177">
            <v>59</v>
          </cell>
          <cell r="Z177">
            <v>0</v>
          </cell>
          <cell r="AA177">
            <v>11</v>
          </cell>
          <cell r="AB177">
            <v>458</v>
          </cell>
          <cell r="AC177">
            <v>96</v>
          </cell>
          <cell r="AD177">
            <v>16</v>
          </cell>
          <cell r="AE177">
            <v>14</v>
          </cell>
          <cell r="AF177">
            <v>0</v>
          </cell>
          <cell r="AG177">
            <v>11</v>
          </cell>
          <cell r="AH177">
            <v>6</v>
          </cell>
          <cell r="AI177">
            <v>9</v>
          </cell>
          <cell r="AJ177">
            <v>0</v>
          </cell>
          <cell r="AK177">
            <v>11</v>
          </cell>
          <cell r="AL177">
            <v>25</v>
          </cell>
          <cell r="AM177">
            <v>26</v>
          </cell>
          <cell r="AN177">
            <v>18</v>
          </cell>
          <cell r="AO177">
            <v>21</v>
          </cell>
          <cell r="AP177">
            <v>34</v>
          </cell>
          <cell r="AQ177">
            <v>46</v>
          </cell>
          <cell r="AR177">
            <v>64</v>
          </cell>
          <cell r="AS177">
            <v>33</v>
          </cell>
        </row>
        <row r="178">
          <cell r="B178">
            <v>17031140702</v>
          </cell>
          <cell r="D178">
            <v>3299</v>
          </cell>
          <cell r="E178">
            <v>305</v>
          </cell>
          <cell r="F178">
            <v>1989</v>
          </cell>
          <cell r="G178">
            <v>307</v>
          </cell>
          <cell r="H178">
            <v>1737</v>
          </cell>
          <cell r="I178">
            <v>300</v>
          </cell>
          <cell r="J178">
            <v>252</v>
          </cell>
          <cell r="K178">
            <v>96</v>
          </cell>
          <cell r="L178">
            <v>169</v>
          </cell>
          <cell r="M178">
            <v>79</v>
          </cell>
          <cell r="N178">
            <v>42</v>
          </cell>
          <cell r="O178">
            <v>40</v>
          </cell>
          <cell r="P178">
            <v>19</v>
          </cell>
          <cell r="Q178">
            <v>30</v>
          </cell>
          <cell r="R178">
            <v>22</v>
          </cell>
          <cell r="S178">
            <v>35</v>
          </cell>
          <cell r="T178">
            <v>0</v>
          </cell>
          <cell r="U178">
            <v>15</v>
          </cell>
          <cell r="V178">
            <v>906</v>
          </cell>
          <cell r="W178">
            <v>194</v>
          </cell>
          <cell r="X178">
            <v>307</v>
          </cell>
          <cell r="Y178">
            <v>117</v>
          </cell>
          <cell r="Z178">
            <v>0</v>
          </cell>
          <cell r="AA178">
            <v>15</v>
          </cell>
          <cell r="AB178">
            <v>514</v>
          </cell>
          <cell r="AC178">
            <v>132</v>
          </cell>
          <cell r="AD178">
            <v>85</v>
          </cell>
          <cell r="AE178">
            <v>67</v>
          </cell>
          <cell r="AF178">
            <v>0</v>
          </cell>
          <cell r="AG178">
            <v>15</v>
          </cell>
          <cell r="AH178">
            <v>27</v>
          </cell>
          <cell r="AI178">
            <v>35</v>
          </cell>
          <cell r="AJ178">
            <v>15</v>
          </cell>
          <cell r="AK178">
            <v>24</v>
          </cell>
          <cell r="AL178">
            <v>83</v>
          </cell>
          <cell r="AM178">
            <v>56</v>
          </cell>
          <cell r="AN178">
            <v>188</v>
          </cell>
          <cell r="AO178">
            <v>73</v>
          </cell>
          <cell r="AP178">
            <v>39</v>
          </cell>
          <cell r="AQ178">
            <v>43</v>
          </cell>
          <cell r="AR178">
            <v>52</v>
          </cell>
          <cell r="AS178">
            <v>41</v>
          </cell>
        </row>
        <row r="179">
          <cell r="B179">
            <v>17031140800</v>
          </cell>
          <cell r="D179">
            <v>3903</v>
          </cell>
          <cell r="E179">
            <v>532</v>
          </cell>
          <cell r="F179">
            <v>1687</v>
          </cell>
          <cell r="G179">
            <v>354</v>
          </cell>
          <cell r="H179">
            <v>1431</v>
          </cell>
          <cell r="I179">
            <v>301</v>
          </cell>
          <cell r="J179">
            <v>256</v>
          </cell>
          <cell r="K179">
            <v>117</v>
          </cell>
          <cell r="L179">
            <v>144</v>
          </cell>
          <cell r="M179">
            <v>64</v>
          </cell>
          <cell r="N179">
            <v>23</v>
          </cell>
          <cell r="O179">
            <v>33</v>
          </cell>
          <cell r="P179">
            <v>42</v>
          </cell>
          <cell r="Q179">
            <v>67</v>
          </cell>
          <cell r="R179">
            <v>47</v>
          </cell>
          <cell r="S179">
            <v>75</v>
          </cell>
          <cell r="T179">
            <v>0</v>
          </cell>
          <cell r="U179">
            <v>15</v>
          </cell>
          <cell r="V179">
            <v>1693</v>
          </cell>
          <cell r="W179">
            <v>389</v>
          </cell>
          <cell r="X179">
            <v>302</v>
          </cell>
          <cell r="Y179">
            <v>201</v>
          </cell>
          <cell r="Z179">
            <v>84</v>
          </cell>
          <cell r="AA179">
            <v>96</v>
          </cell>
          <cell r="AB179">
            <v>1218</v>
          </cell>
          <cell r="AC179">
            <v>330</v>
          </cell>
          <cell r="AD179">
            <v>89</v>
          </cell>
          <cell r="AE179">
            <v>77</v>
          </cell>
          <cell r="AF179">
            <v>0</v>
          </cell>
          <cell r="AG179">
            <v>15</v>
          </cell>
          <cell r="AH179">
            <v>0</v>
          </cell>
          <cell r="AI179">
            <v>15</v>
          </cell>
          <cell r="AJ179">
            <v>0</v>
          </cell>
          <cell r="AK179">
            <v>15</v>
          </cell>
          <cell r="AL179">
            <v>108</v>
          </cell>
          <cell r="AM179">
            <v>80</v>
          </cell>
          <cell r="AN179">
            <v>186</v>
          </cell>
          <cell r="AO179">
            <v>114</v>
          </cell>
          <cell r="AP179">
            <v>0</v>
          </cell>
          <cell r="AQ179">
            <v>15</v>
          </cell>
          <cell r="AR179">
            <v>229</v>
          </cell>
          <cell r="AS179">
            <v>99</v>
          </cell>
        </row>
        <row r="180">
          <cell r="B180">
            <v>17031150200</v>
          </cell>
          <cell r="D180">
            <v>4693</v>
          </cell>
          <cell r="E180">
            <v>525</v>
          </cell>
          <cell r="F180">
            <v>3318</v>
          </cell>
          <cell r="G180">
            <v>418</v>
          </cell>
          <cell r="H180">
            <v>2791</v>
          </cell>
          <cell r="I180">
            <v>405</v>
          </cell>
          <cell r="J180">
            <v>527</v>
          </cell>
          <cell r="K180">
            <v>224</v>
          </cell>
          <cell r="L180">
            <v>525</v>
          </cell>
          <cell r="M180">
            <v>229</v>
          </cell>
          <cell r="N180">
            <v>2</v>
          </cell>
          <cell r="O180">
            <v>26</v>
          </cell>
          <cell r="P180">
            <v>0</v>
          </cell>
          <cell r="Q180">
            <v>15</v>
          </cell>
          <cell r="R180">
            <v>0</v>
          </cell>
          <cell r="S180">
            <v>15</v>
          </cell>
          <cell r="T180">
            <v>0</v>
          </cell>
          <cell r="U180">
            <v>15</v>
          </cell>
          <cell r="V180">
            <v>930</v>
          </cell>
          <cell r="W180">
            <v>270</v>
          </cell>
          <cell r="X180">
            <v>301</v>
          </cell>
          <cell r="Y180">
            <v>200</v>
          </cell>
          <cell r="Z180">
            <v>0</v>
          </cell>
          <cell r="AA180">
            <v>15</v>
          </cell>
          <cell r="AB180">
            <v>545</v>
          </cell>
          <cell r="AC180">
            <v>190</v>
          </cell>
          <cell r="AD180">
            <v>84</v>
          </cell>
          <cell r="AE180">
            <v>65</v>
          </cell>
          <cell r="AF180">
            <v>0</v>
          </cell>
          <cell r="AG180">
            <v>15</v>
          </cell>
          <cell r="AH180">
            <v>0</v>
          </cell>
          <cell r="AI180">
            <v>15</v>
          </cell>
          <cell r="AJ180">
            <v>0</v>
          </cell>
          <cell r="AK180">
            <v>15</v>
          </cell>
          <cell r="AL180">
            <v>50</v>
          </cell>
          <cell r="AM180">
            <v>48</v>
          </cell>
          <cell r="AN180">
            <v>81</v>
          </cell>
          <cell r="AO180">
            <v>77</v>
          </cell>
          <cell r="AP180">
            <v>138</v>
          </cell>
          <cell r="AQ180">
            <v>139</v>
          </cell>
          <cell r="AR180">
            <v>176</v>
          </cell>
          <cell r="AS180">
            <v>142</v>
          </cell>
        </row>
        <row r="181">
          <cell r="B181">
            <v>17031150300</v>
          </cell>
          <cell r="D181">
            <v>4375</v>
          </cell>
          <cell r="E181">
            <v>454</v>
          </cell>
          <cell r="F181">
            <v>3160</v>
          </cell>
          <cell r="G181">
            <v>408</v>
          </cell>
          <cell r="H181">
            <v>2661</v>
          </cell>
          <cell r="I181">
            <v>406</v>
          </cell>
          <cell r="J181">
            <v>499</v>
          </cell>
          <cell r="K181">
            <v>304</v>
          </cell>
          <cell r="L181">
            <v>470</v>
          </cell>
          <cell r="M181">
            <v>299</v>
          </cell>
          <cell r="N181">
            <v>29</v>
          </cell>
          <cell r="O181">
            <v>47</v>
          </cell>
          <cell r="P181">
            <v>0</v>
          </cell>
          <cell r="Q181">
            <v>15</v>
          </cell>
          <cell r="R181">
            <v>0</v>
          </cell>
          <cell r="S181">
            <v>15</v>
          </cell>
          <cell r="T181">
            <v>0</v>
          </cell>
          <cell r="U181">
            <v>15</v>
          </cell>
          <cell r="V181">
            <v>892</v>
          </cell>
          <cell r="W181">
            <v>301</v>
          </cell>
          <cell r="X181">
            <v>285</v>
          </cell>
          <cell r="Y181">
            <v>211</v>
          </cell>
          <cell r="Z181">
            <v>0</v>
          </cell>
          <cell r="AA181">
            <v>15</v>
          </cell>
          <cell r="AB181">
            <v>543</v>
          </cell>
          <cell r="AC181">
            <v>205</v>
          </cell>
          <cell r="AD181">
            <v>64</v>
          </cell>
          <cell r="AE181">
            <v>46</v>
          </cell>
          <cell r="AF181">
            <v>0</v>
          </cell>
          <cell r="AG181">
            <v>15</v>
          </cell>
          <cell r="AH181">
            <v>0</v>
          </cell>
          <cell r="AI181">
            <v>15</v>
          </cell>
          <cell r="AJ181">
            <v>32</v>
          </cell>
          <cell r="AK181">
            <v>51</v>
          </cell>
          <cell r="AL181">
            <v>73</v>
          </cell>
          <cell r="AM181">
            <v>67</v>
          </cell>
          <cell r="AN181">
            <v>70</v>
          </cell>
          <cell r="AO181">
            <v>79</v>
          </cell>
          <cell r="AP181">
            <v>11</v>
          </cell>
          <cell r="AQ181">
            <v>18</v>
          </cell>
          <cell r="AR181">
            <v>137</v>
          </cell>
          <cell r="AS181">
            <v>71</v>
          </cell>
        </row>
        <row r="182">
          <cell r="B182">
            <v>17031150401</v>
          </cell>
          <cell r="D182">
            <v>2368</v>
          </cell>
          <cell r="E182">
            <v>229</v>
          </cell>
          <cell r="F182">
            <v>2035</v>
          </cell>
          <cell r="G182">
            <v>236</v>
          </cell>
          <cell r="H182">
            <v>1810</v>
          </cell>
          <cell r="I182">
            <v>221</v>
          </cell>
          <cell r="J182">
            <v>225</v>
          </cell>
          <cell r="K182">
            <v>123</v>
          </cell>
          <cell r="L182">
            <v>184</v>
          </cell>
          <cell r="M182">
            <v>112</v>
          </cell>
          <cell r="N182">
            <v>41</v>
          </cell>
          <cell r="O182">
            <v>44</v>
          </cell>
          <cell r="P182">
            <v>0</v>
          </cell>
          <cell r="Q182">
            <v>11</v>
          </cell>
          <cell r="R182">
            <v>0</v>
          </cell>
          <cell r="S182">
            <v>11</v>
          </cell>
          <cell r="T182">
            <v>0</v>
          </cell>
          <cell r="U182">
            <v>11</v>
          </cell>
          <cell r="V182">
            <v>269</v>
          </cell>
          <cell r="W182">
            <v>102</v>
          </cell>
          <cell r="X182">
            <v>111</v>
          </cell>
          <cell r="Y182">
            <v>72</v>
          </cell>
          <cell r="Z182">
            <v>0</v>
          </cell>
          <cell r="AA182">
            <v>11</v>
          </cell>
          <cell r="AB182">
            <v>117</v>
          </cell>
          <cell r="AC182">
            <v>72</v>
          </cell>
          <cell r="AD182">
            <v>41</v>
          </cell>
          <cell r="AE182">
            <v>30</v>
          </cell>
          <cell r="AF182">
            <v>0</v>
          </cell>
          <cell r="AG182">
            <v>11</v>
          </cell>
          <cell r="AH182">
            <v>0</v>
          </cell>
          <cell r="AI182">
            <v>11</v>
          </cell>
          <cell r="AJ182">
            <v>0</v>
          </cell>
          <cell r="AK182">
            <v>11</v>
          </cell>
          <cell r="AL182">
            <v>0</v>
          </cell>
          <cell r="AM182">
            <v>11</v>
          </cell>
          <cell r="AN182">
            <v>32</v>
          </cell>
          <cell r="AO182">
            <v>29</v>
          </cell>
          <cell r="AP182">
            <v>0</v>
          </cell>
          <cell r="AQ182">
            <v>11</v>
          </cell>
          <cell r="AR182">
            <v>32</v>
          </cell>
          <cell r="AS182">
            <v>25</v>
          </cell>
        </row>
        <row r="183">
          <cell r="B183">
            <v>17031150402</v>
          </cell>
          <cell r="D183">
            <v>1842</v>
          </cell>
          <cell r="E183">
            <v>275</v>
          </cell>
          <cell r="F183">
            <v>1423</v>
          </cell>
          <cell r="G183">
            <v>198</v>
          </cell>
          <cell r="H183">
            <v>1298</v>
          </cell>
          <cell r="I183">
            <v>178</v>
          </cell>
          <cell r="J183">
            <v>125</v>
          </cell>
          <cell r="K183">
            <v>79</v>
          </cell>
          <cell r="L183">
            <v>102</v>
          </cell>
          <cell r="M183">
            <v>70</v>
          </cell>
          <cell r="N183">
            <v>0</v>
          </cell>
          <cell r="O183">
            <v>11</v>
          </cell>
          <cell r="P183">
            <v>23</v>
          </cell>
          <cell r="Q183">
            <v>38</v>
          </cell>
          <cell r="R183">
            <v>0</v>
          </cell>
          <cell r="S183">
            <v>11</v>
          </cell>
          <cell r="T183">
            <v>0</v>
          </cell>
          <cell r="U183">
            <v>11</v>
          </cell>
          <cell r="V183">
            <v>320</v>
          </cell>
          <cell r="W183">
            <v>129</v>
          </cell>
          <cell r="X183">
            <v>128</v>
          </cell>
          <cell r="Y183">
            <v>77</v>
          </cell>
          <cell r="Z183">
            <v>0</v>
          </cell>
          <cell r="AA183">
            <v>11</v>
          </cell>
          <cell r="AB183">
            <v>173</v>
          </cell>
          <cell r="AC183">
            <v>101</v>
          </cell>
          <cell r="AD183">
            <v>19</v>
          </cell>
          <cell r="AE183">
            <v>30</v>
          </cell>
          <cell r="AF183">
            <v>0</v>
          </cell>
          <cell r="AG183">
            <v>11</v>
          </cell>
          <cell r="AH183">
            <v>0</v>
          </cell>
          <cell r="AI183">
            <v>11</v>
          </cell>
          <cell r="AJ183">
            <v>0</v>
          </cell>
          <cell r="AK183">
            <v>11</v>
          </cell>
          <cell r="AL183">
            <v>0</v>
          </cell>
          <cell r="AM183">
            <v>11</v>
          </cell>
          <cell r="AN183">
            <v>58</v>
          </cell>
          <cell r="AO183">
            <v>56</v>
          </cell>
          <cell r="AP183">
            <v>0</v>
          </cell>
          <cell r="AQ183">
            <v>11</v>
          </cell>
          <cell r="AR183">
            <v>41</v>
          </cell>
          <cell r="AS183">
            <v>29</v>
          </cell>
        </row>
        <row r="184">
          <cell r="B184">
            <v>17031150501</v>
          </cell>
          <cell r="D184">
            <v>2094</v>
          </cell>
          <cell r="E184">
            <v>270</v>
          </cell>
          <cell r="F184">
            <v>1662</v>
          </cell>
          <cell r="G184">
            <v>217</v>
          </cell>
          <cell r="H184">
            <v>1520</v>
          </cell>
          <cell r="I184">
            <v>231</v>
          </cell>
          <cell r="J184">
            <v>142</v>
          </cell>
          <cell r="K184">
            <v>60</v>
          </cell>
          <cell r="L184">
            <v>126</v>
          </cell>
          <cell r="M184">
            <v>60</v>
          </cell>
          <cell r="N184">
            <v>5</v>
          </cell>
          <cell r="O184">
            <v>9</v>
          </cell>
          <cell r="P184">
            <v>11</v>
          </cell>
          <cell r="Q184">
            <v>17</v>
          </cell>
          <cell r="R184">
            <v>0</v>
          </cell>
          <cell r="S184">
            <v>11</v>
          </cell>
          <cell r="T184">
            <v>0</v>
          </cell>
          <cell r="U184">
            <v>11</v>
          </cell>
          <cell r="V184">
            <v>383</v>
          </cell>
          <cell r="W184">
            <v>144</v>
          </cell>
          <cell r="X184">
            <v>192</v>
          </cell>
          <cell r="Y184">
            <v>94</v>
          </cell>
          <cell r="Z184">
            <v>0</v>
          </cell>
          <cell r="AA184">
            <v>11</v>
          </cell>
          <cell r="AB184">
            <v>177</v>
          </cell>
          <cell r="AC184">
            <v>90</v>
          </cell>
          <cell r="AD184">
            <v>14</v>
          </cell>
          <cell r="AE184">
            <v>16</v>
          </cell>
          <cell r="AF184">
            <v>0</v>
          </cell>
          <cell r="AG184">
            <v>11</v>
          </cell>
          <cell r="AH184">
            <v>0</v>
          </cell>
          <cell r="AI184">
            <v>11</v>
          </cell>
          <cell r="AJ184">
            <v>0</v>
          </cell>
          <cell r="AK184">
            <v>11</v>
          </cell>
          <cell r="AL184">
            <v>16</v>
          </cell>
          <cell r="AM184">
            <v>19</v>
          </cell>
          <cell r="AN184">
            <v>23</v>
          </cell>
          <cell r="AO184">
            <v>24</v>
          </cell>
          <cell r="AP184">
            <v>0</v>
          </cell>
          <cell r="AQ184">
            <v>11</v>
          </cell>
          <cell r="AR184">
            <v>10</v>
          </cell>
          <cell r="AS184">
            <v>16</v>
          </cell>
        </row>
        <row r="185">
          <cell r="B185">
            <v>17031150502</v>
          </cell>
          <cell r="D185">
            <v>1870</v>
          </cell>
          <cell r="E185">
            <v>345</v>
          </cell>
          <cell r="F185">
            <v>1514</v>
          </cell>
          <cell r="G185">
            <v>304</v>
          </cell>
          <cell r="H185">
            <v>1339</v>
          </cell>
          <cell r="I185">
            <v>248</v>
          </cell>
          <cell r="J185">
            <v>175</v>
          </cell>
          <cell r="K185">
            <v>99</v>
          </cell>
          <cell r="L185">
            <v>137</v>
          </cell>
          <cell r="M185">
            <v>92</v>
          </cell>
          <cell r="N185">
            <v>38</v>
          </cell>
          <cell r="O185">
            <v>38</v>
          </cell>
          <cell r="P185">
            <v>0</v>
          </cell>
          <cell r="Q185">
            <v>11</v>
          </cell>
          <cell r="R185">
            <v>0</v>
          </cell>
          <cell r="S185">
            <v>11</v>
          </cell>
          <cell r="T185">
            <v>0</v>
          </cell>
          <cell r="U185">
            <v>11</v>
          </cell>
          <cell r="V185">
            <v>286</v>
          </cell>
          <cell r="W185">
            <v>117</v>
          </cell>
          <cell r="X185">
            <v>215</v>
          </cell>
          <cell r="Y185">
            <v>114</v>
          </cell>
          <cell r="Z185">
            <v>0</v>
          </cell>
          <cell r="AA185">
            <v>11</v>
          </cell>
          <cell r="AB185">
            <v>64</v>
          </cell>
          <cell r="AC185">
            <v>53</v>
          </cell>
          <cell r="AD185">
            <v>7</v>
          </cell>
          <cell r="AE185">
            <v>11</v>
          </cell>
          <cell r="AF185">
            <v>0</v>
          </cell>
          <cell r="AG185">
            <v>11</v>
          </cell>
          <cell r="AH185">
            <v>0</v>
          </cell>
          <cell r="AI185">
            <v>11</v>
          </cell>
          <cell r="AJ185">
            <v>0</v>
          </cell>
          <cell r="AK185">
            <v>11</v>
          </cell>
          <cell r="AL185">
            <v>0</v>
          </cell>
          <cell r="AM185">
            <v>11</v>
          </cell>
          <cell r="AN185">
            <v>10</v>
          </cell>
          <cell r="AO185">
            <v>16</v>
          </cell>
          <cell r="AP185">
            <v>0</v>
          </cell>
          <cell r="AQ185">
            <v>11</v>
          </cell>
          <cell r="AR185">
            <v>60</v>
          </cell>
          <cell r="AS185">
            <v>41</v>
          </cell>
        </row>
        <row r="186">
          <cell r="B186">
            <v>17031150600</v>
          </cell>
          <cell r="D186">
            <v>1952</v>
          </cell>
          <cell r="E186">
            <v>274</v>
          </cell>
          <cell r="F186">
            <v>1431</v>
          </cell>
          <cell r="G186">
            <v>201</v>
          </cell>
          <cell r="H186">
            <v>1276</v>
          </cell>
          <cell r="I186">
            <v>180</v>
          </cell>
          <cell r="J186">
            <v>155</v>
          </cell>
          <cell r="K186">
            <v>79</v>
          </cell>
          <cell r="L186">
            <v>155</v>
          </cell>
          <cell r="M186">
            <v>79</v>
          </cell>
          <cell r="N186">
            <v>0</v>
          </cell>
          <cell r="O186">
            <v>11</v>
          </cell>
          <cell r="P186">
            <v>0</v>
          </cell>
          <cell r="Q186">
            <v>11</v>
          </cell>
          <cell r="R186">
            <v>0</v>
          </cell>
          <cell r="S186">
            <v>11</v>
          </cell>
          <cell r="T186">
            <v>0</v>
          </cell>
          <cell r="U186">
            <v>11</v>
          </cell>
          <cell r="V186">
            <v>356</v>
          </cell>
          <cell r="W186">
            <v>156</v>
          </cell>
          <cell r="X186">
            <v>192</v>
          </cell>
          <cell r="Y186">
            <v>105</v>
          </cell>
          <cell r="Z186">
            <v>0</v>
          </cell>
          <cell r="AA186">
            <v>11</v>
          </cell>
          <cell r="AB186">
            <v>128</v>
          </cell>
          <cell r="AC186">
            <v>72</v>
          </cell>
          <cell r="AD186">
            <v>36</v>
          </cell>
          <cell r="AE186">
            <v>36</v>
          </cell>
          <cell r="AF186">
            <v>0</v>
          </cell>
          <cell r="AG186">
            <v>11</v>
          </cell>
          <cell r="AH186">
            <v>0</v>
          </cell>
          <cell r="AI186">
            <v>11</v>
          </cell>
          <cell r="AJ186">
            <v>0</v>
          </cell>
          <cell r="AK186">
            <v>11</v>
          </cell>
          <cell r="AL186">
            <v>7</v>
          </cell>
          <cell r="AM186">
            <v>13</v>
          </cell>
          <cell r="AN186">
            <v>27</v>
          </cell>
          <cell r="AO186">
            <v>28</v>
          </cell>
          <cell r="AP186">
            <v>13</v>
          </cell>
          <cell r="AQ186">
            <v>21</v>
          </cell>
          <cell r="AR186">
            <v>118</v>
          </cell>
          <cell r="AS186">
            <v>100</v>
          </cell>
        </row>
        <row r="187">
          <cell r="B187">
            <v>17031150700</v>
          </cell>
          <cell r="D187">
            <v>2287</v>
          </cell>
          <cell r="E187">
            <v>277</v>
          </cell>
          <cell r="F187">
            <v>1681</v>
          </cell>
          <cell r="G187">
            <v>272</v>
          </cell>
          <cell r="H187">
            <v>1381</v>
          </cell>
          <cell r="I187">
            <v>255</v>
          </cell>
          <cell r="J187">
            <v>300</v>
          </cell>
          <cell r="K187">
            <v>131</v>
          </cell>
          <cell r="L187">
            <v>262</v>
          </cell>
          <cell r="M187">
            <v>108</v>
          </cell>
          <cell r="N187">
            <v>0</v>
          </cell>
          <cell r="O187">
            <v>11</v>
          </cell>
          <cell r="P187">
            <v>38</v>
          </cell>
          <cell r="Q187">
            <v>67</v>
          </cell>
          <cell r="R187">
            <v>0</v>
          </cell>
          <cell r="S187">
            <v>11</v>
          </cell>
          <cell r="T187">
            <v>0</v>
          </cell>
          <cell r="U187">
            <v>11</v>
          </cell>
          <cell r="V187">
            <v>497</v>
          </cell>
          <cell r="W187">
            <v>138</v>
          </cell>
          <cell r="X187">
            <v>247</v>
          </cell>
          <cell r="Y187">
            <v>108</v>
          </cell>
          <cell r="Z187">
            <v>0</v>
          </cell>
          <cell r="AA187">
            <v>11</v>
          </cell>
          <cell r="AB187">
            <v>208</v>
          </cell>
          <cell r="AC187">
            <v>92</v>
          </cell>
          <cell r="AD187">
            <v>42</v>
          </cell>
          <cell r="AE187">
            <v>34</v>
          </cell>
          <cell r="AF187">
            <v>0</v>
          </cell>
          <cell r="AG187">
            <v>11</v>
          </cell>
          <cell r="AH187">
            <v>0</v>
          </cell>
          <cell r="AI187">
            <v>11</v>
          </cell>
          <cell r="AJ187">
            <v>0</v>
          </cell>
          <cell r="AK187">
            <v>11</v>
          </cell>
          <cell r="AL187">
            <v>13</v>
          </cell>
          <cell r="AM187">
            <v>20</v>
          </cell>
          <cell r="AN187">
            <v>6</v>
          </cell>
          <cell r="AO187">
            <v>10</v>
          </cell>
          <cell r="AP187">
            <v>11</v>
          </cell>
          <cell r="AQ187">
            <v>18</v>
          </cell>
          <cell r="AR187">
            <v>79</v>
          </cell>
          <cell r="AS187">
            <v>62</v>
          </cell>
        </row>
        <row r="188">
          <cell r="B188">
            <v>17031150800</v>
          </cell>
          <cell r="D188">
            <v>2862</v>
          </cell>
          <cell r="E188">
            <v>344</v>
          </cell>
          <cell r="F188">
            <v>2059</v>
          </cell>
          <cell r="G188">
            <v>349</v>
          </cell>
          <cell r="H188">
            <v>1681</v>
          </cell>
          <cell r="I188">
            <v>324</v>
          </cell>
          <cell r="J188">
            <v>378</v>
          </cell>
          <cell r="K188">
            <v>149</v>
          </cell>
          <cell r="L188">
            <v>304</v>
          </cell>
          <cell r="M188">
            <v>127</v>
          </cell>
          <cell r="N188">
            <v>22</v>
          </cell>
          <cell r="O188">
            <v>25</v>
          </cell>
          <cell r="P188">
            <v>0</v>
          </cell>
          <cell r="Q188">
            <v>15</v>
          </cell>
          <cell r="R188">
            <v>52</v>
          </cell>
          <cell r="S188">
            <v>83</v>
          </cell>
          <cell r="T188">
            <v>0</v>
          </cell>
          <cell r="U188">
            <v>15</v>
          </cell>
          <cell r="V188">
            <v>654</v>
          </cell>
          <cell r="W188">
            <v>247</v>
          </cell>
          <cell r="X188">
            <v>534</v>
          </cell>
          <cell r="Y188">
            <v>223</v>
          </cell>
          <cell r="Z188">
            <v>0</v>
          </cell>
          <cell r="AA188">
            <v>15</v>
          </cell>
          <cell r="AB188">
            <v>91</v>
          </cell>
          <cell r="AC188">
            <v>68</v>
          </cell>
          <cell r="AD188">
            <v>29</v>
          </cell>
          <cell r="AE188">
            <v>27</v>
          </cell>
          <cell r="AF188">
            <v>0</v>
          </cell>
          <cell r="AG188">
            <v>15</v>
          </cell>
          <cell r="AH188">
            <v>15</v>
          </cell>
          <cell r="AI188">
            <v>23</v>
          </cell>
          <cell r="AJ188">
            <v>9</v>
          </cell>
          <cell r="AK188">
            <v>15</v>
          </cell>
          <cell r="AL188">
            <v>0</v>
          </cell>
          <cell r="AM188">
            <v>15</v>
          </cell>
          <cell r="AN188">
            <v>25</v>
          </cell>
          <cell r="AO188">
            <v>24</v>
          </cell>
          <cell r="AP188">
            <v>0</v>
          </cell>
          <cell r="AQ188">
            <v>15</v>
          </cell>
          <cell r="AR188">
            <v>100</v>
          </cell>
          <cell r="AS188">
            <v>77</v>
          </cell>
        </row>
        <row r="189">
          <cell r="B189">
            <v>17031151001</v>
          </cell>
          <cell r="D189">
            <v>1157</v>
          </cell>
          <cell r="E189">
            <v>178</v>
          </cell>
          <cell r="F189">
            <v>994</v>
          </cell>
          <cell r="G189">
            <v>168</v>
          </cell>
          <cell r="H189">
            <v>827</v>
          </cell>
          <cell r="I189">
            <v>153</v>
          </cell>
          <cell r="J189">
            <v>167</v>
          </cell>
          <cell r="K189">
            <v>73</v>
          </cell>
          <cell r="L189">
            <v>144</v>
          </cell>
          <cell r="M189">
            <v>59</v>
          </cell>
          <cell r="N189">
            <v>0</v>
          </cell>
          <cell r="O189">
            <v>11</v>
          </cell>
          <cell r="P189">
            <v>5</v>
          </cell>
          <cell r="Q189">
            <v>9</v>
          </cell>
          <cell r="R189">
            <v>0</v>
          </cell>
          <cell r="S189">
            <v>11</v>
          </cell>
          <cell r="T189">
            <v>18</v>
          </cell>
          <cell r="U189">
            <v>25</v>
          </cell>
          <cell r="V189">
            <v>116</v>
          </cell>
          <cell r="W189">
            <v>52</v>
          </cell>
          <cell r="X189">
            <v>65</v>
          </cell>
          <cell r="Y189">
            <v>40</v>
          </cell>
          <cell r="Z189">
            <v>6</v>
          </cell>
          <cell r="AA189">
            <v>9</v>
          </cell>
          <cell r="AB189">
            <v>25</v>
          </cell>
          <cell r="AC189">
            <v>21</v>
          </cell>
          <cell r="AD189">
            <v>20</v>
          </cell>
          <cell r="AE189">
            <v>25</v>
          </cell>
          <cell r="AF189">
            <v>0</v>
          </cell>
          <cell r="AG189">
            <v>11</v>
          </cell>
          <cell r="AH189">
            <v>0</v>
          </cell>
          <cell r="AI189">
            <v>11</v>
          </cell>
          <cell r="AJ189">
            <v>0</v>
          </cell>
          <cell r="AK189">
            <v>11</v>
          </cell>
          <cell r="AL189">
            <v>15</v>
          </cell>
          <cell r="AM189">
            <v>18</v>
          </cell>
          <cell r="AN189">
            <v>19</v>
          </cell>
          <cell r="AO189">
            <v>19</v>
          </cell>
          <cell r="AP189">
            <v>9</v>
          </cell>
          <cell r="AQ189">
            <v>13</v>
          </cell>
          <cell r="AR189">
            <v>4</v>
          </cell>
          <cell r="AS189">
            <v>7</v>
          </cell>
        </row>
        <row r="190">
          <cell r="B190">
            <v>17031151002</v>
          </cell>
          <cell r="D190">
            <v>2370</v>
          </cell>
          <cell r="E190">
            <v>337</v>
          </cell>
          <cell r="F190">
            <v>1807</v>
          </cell>
          <cell r="G190">
            <v>308</v>
          </cell>
          <cell r="H190">
            <v>1497</v>
          </cell>
          <cell r="I190">
            <v>271</v>
          </cell>
          <cell r="J190">
            <v>310</v>
          </cell>
          <cell r="K190">
            <v>140</v>
          </cell>
          <cell r="L190">
            <v>281</v>
          </cell>
          <cell r="M190">
            <v>139</v>
          </cell>
          <cell r="N190">
            <v>0</v>
          </cell>
          <cell r="O190">
            <v>11</v>
          </cell>
          <cell r="P190">
            <v>0</v>
          </cell>
          <cell r="Q190">
            <v>11</v>
          </cell>
          <cell r="R190">
            <v>0</v>
          </cell>
          <cell r="S190">
            <v>11</v>
          </cell>
          <cell r="T190">
            <v>29</v>
          </cell>
          <cell r="U190">
            <v>34</v>
          </cell>
          <cell r="V190">
            <v>437</v>
          </cell>
          <cell r="W190">
            <v>126</v>
          </cell>
          <cell r="X190">
            <v>332</v>
          </cell>
          <cell r="Y190">
            <v>121</v>
          </cell>
          <cell r="Z190">
            <v>0</v>
          </cell>
          <cell r="AA190">
            <v>11</v>
          </cell>
          <cell r="AB190">
            <v>85</v>
          </cell>
          <cell r="AC190">
            <v>69</v>
          </cell>
          <cell r="AD190">
            <v>20</v>
          </cell>
          <cell r="AE190">
            <v>30</v>
          </cell>
          <cell r="AF190">
            <v>0</v>
          </cell>
          <cell r="AG190">
            <v>11</v>
          </cell>
          <cell r="AH190">
            <v>0</v>
          </cell>
          <cell r="AI190">
            <v>11</v>
          </cell>
          <cell r="AJ190">
            <v>0</v>
          </cell>
          <cell r="AK190">
            <v>11</v>
          </cell>
          <cell r="AL190">
            <v>63</v>
          </cell>
          <cell r="AM190">
            <v>55</v>
          </cell>
          <cell r="AN190">
            <v>50</v>
          </cell>
          <cell r="AO190">
            <v>52</v>
          </cell>
          <cell r="AP190">
            <v>0</v>
          </cell>
          <cell r="AQ190">
            <v>11</v>
          </cell>
          <cell r="AR190">
            <v>13</v>
          </cell>
          <cell r="AS190">
            <v>19</v>
          </cell>
        </row>
        <row r="191">
          <cell r="B191">
            <v>17031151100</v>
          </cell>
          <cell r="D191">
            <v>2797</v>
          </cell>
          <cell r="E191">
            <v>346</v>
          </cell>
          <cell r="F191">
            <v>2129</v>
          </cell>
          <cell r="G191">
            <v>308</v>
          </cell>
          <cell r="H191">
            <v>1879</v>
          </cell>
          <cell r="I191">
            <v>262</v>
          </cell>
          <cell r="J191">
            <v>250</v>
          </cell>
          <cell r="K191">
            <v>131</v>
          </cell>
          <cell r="L191">
            <v>185</v>
          </cell>
          <cell r="M191">
            <v>96</v>
          </cell>
          <cell r="N191">
            <v>0</v>
          </cell>
          <cell r="O191">
            <v>15</v>
          </cell>
          <cell r="P191">
            <v>38</v>
          </cell>
          <cell r="Q191">
            <v>37</v>
          </cell>
          <cell r="R191">
            <v>27</v>
          </cell>
          <cell r="S191">
            <v>41</v>
          </cell>
          <cell r="T191">
            <v>0</v>
          </cell>
          <cell r="U191">
            <v>15</v>
          </cell>
          <cell r="V191">
            <v>439</v>
          </cell>
          <cell r="W191">
            <v>130</v>
          </cell>
          <cell r="X191">
            <v>332</v>
          </cell>
          <cell r="Y191">
            <v>103</v>
          </cell>
          <cell r="Z191">
            <v>0</v>
          </cell>
          <cell r="AA191">
            <v>15</v>
          </cell>
          <cell r="AB191">
            <v>89</v>
          </cell>
          <cell r="AC191">
            <v>68</v>
          </cell>
          <cell r="AD191">
            <v>18</v>
          </cell>
          <cell r="AE191">
            <v>30</v>
          </cell>
          <cell r="AF191">
            <v>0</v>
          </cell>
          <cell r="AG191">
            <v>15</v>
          </cell>
          <cell r="AH191">
            <v>0</v>
          </cell>
          <cell r="AI191">
            <v>15</v>
          </cell>
          <cell r="AJ191">
            <v>0</v>
          </cell>
          <cell r="AK191">
            <v>15</v>
          </cell>
          <cell r="AL191">
            <v>32</v>
          </cell>
          <cell r="AM191">
            <v>53</v>
          </cell>
          <cell r="AN191">
            <v>86</v>
          </cell>
          <cell r="AO191">
            <v>94</v>
          </cell>
          <cell r="AP191">
            <v>39</v>
          </cell>
          <cell r="AQ191">
            <v>51</v>
          </cell>
          <cell r="AR191">
            <v>72</v>
          </cell>
          <cell r="AS191">
            <v>45</v>
          </cell>
        </row>
        <row r="192">
          <cell r="B192">
            <v>17031151200</v>
          </cell>
          <cell r="D192">
            <v>1843</v>
          </cell>
          <cell r="E192">
            <v>234</v>
          </cell>
          <cell r="F192">
            <v>1511</v>
          </cell>
          <cell r="G192">
            <v>199</v>
          </cell>
          <cell r="H192">
            <v>1305</v>
          </cell>
          <cell r="I192">
            <v>180</v>
          </cell>
          <cell r="J192">
            <v>206</v>
          </cell>
          <cell r="K192">
            <v>81</v>
          </cell>
          <cell r="L192">
            <v>164</v>
          </cell>
          <cell r="M192">
            <v>79</v>
          </cell>
          <cell r="N192">
            <v>27</v>
          </cell>
          <cell r="O192">
            <v>30</v>
          </cell>
          <cell r="P192">
            <v>15</v>
          </cell>
          <cell r="Q192">
            <v>26</v>
          </cell>
          <cell r="R192">
            <v>0</v>
          </cell>
          <cell r="S192">
            <v>11</v>
          </cell>
          <cell r="T192">
            <v>0</v>
          </cell>
          <cell r="U192">
            <v>11</v>
          </cell>
          <cell r="V192">
            <v>210</v>
          </cell>
          <cell r="W192">
            <v>81</v>
          </cell>
          <cell r="X192">
            <v>165</v>
          </cell>
          <cell r="Y192">
            <v>76</v>
          </cell>
          <cell r="Z192">
            <v>0</v>
          </cell>
          <cell r="AA192">
            <v>11</v>
          </cell>
          <cell r="AB192">
            <v>34</v>
          </cell>
          <cell r="AC192">
            <v>33</v>
          </cell>
          <cell r="AD192">
            <v>11</v>
          </cell>
          <cell r="AE192">
            <v>18</v>
          </cell>
          <cell r="AF192">
            <v>0</v>
          </cell>
          <cell r="AG192">
            <v>11</v>
          </cell>
          <cell r="AH192">
            <v>0</v>
          </cell>
          <cell r="AI192">
            <v>11</v>
          </cell>
          <cell r="AJ192">
            <v>0</v>
          </cell>
          <cell r="AK192">
            <v>11</v>
          </cell>
          <cell r="AL192">
            <v>0</v>
          </cell>
          <cell r="AM192">
            <v>11</v>
          </cell>
          <cell r="AN192">
            <v>37</v>
          </cell>
          <cell r="AO192">
            <v>28</v>
          </cell>
          <cell r="AP192">
            <v>64</v>
          </cell>
          <cell r="AQ192">
            <v>53</v>
          </cell>
          <cell r="AR192">
            <v>21</v>
          </cell>
          <cell r="AS192">
            <v>31</v>
          </cell>
        </row>
        <row r="193">
          <cell r="B193">
            <v>17031160100</v>
          </cell>
          <cell r="D193">
            <v>1164</v>
          </cell>
          <cell r="E193">
            <v>173</v>
          </cell>
          <cell r="F193">
            <v>820</v>
          </cell>
          <cell r="G193">
            <v>137</v>
          </cell>
          <cell r="H193">
            <v>743</v>
          </cell>
          <cell r="I193">
            <v>130</v>
          </cell>
          <cell r="J193">
            <v>77</v>
          </cell>
          <cell r="K193">
            <v>43</v>
          </cell>
          <cell r="L193">
            <v>73</v>
          </cell>
          <cell r="M193">
            <v>43</v>
          </cell>
          <cell r="N193">
            <v>4</v>
          </cell>
          <cell r="O193">
            <v>7</v>
          </cell>
          <cell r="P193">
            <v>0</v>
          </cell>
          <cell r="Q193">
            <v>11</v>
          </cell>
          <cell r="R193">
            <v>0</v>
          </cell>
          <cell r="S193">
            <v>11</v>
          </cell>
          <cell r="T193">
            <v>0</v>
          </cell>
          <cell r="U193">
            <v>11</v>
          </cell>
          <cell r="V193">
            <v>270</v>
          </cell>
          <cell r="W193">
            <v>88</v>
          </cell>
          <cell r="X193">
            <v>112</v>
          </cell>
          <cell r="Y193">
            <v>69</v>
          </cell>
          <cell r="Z193">
            <v>0</v>
          </cell>
          <cell r="AA193">
            <v>11</v>
          </cell>
          <cell r="AB193">
            <v>151</v>
          </cell>
          <cell r="AC193">
            <v>56</v>
          </cell>
          <cell r="AD193">
            <v>7</v>
          </cell>
          <cell r="AE193">
            <v>12</v>
          </cell>
          <cell r="AF193">
            <v>0</v>
          </cell>
          <cell r="AG193">
            <v>11</v>
          </cell>
          <cell r="AH193">
            <v>0</v>
          </cell>
          <cell r="AI193">
            <v>11</v>
          </cell>
          <cell r="AJ193">
            <v>0</v>
          </cell>
          <cell r="AK193">
            <v>11</v>
          </cell>
          <cell r="AL193">
            <v>6</v>
          </cell>
          <cell r="AM193">
            <v>10</v>
          </cell>
          <cell r="AN193">
            <v>3</v>
          </cell>
          <cell r="AO193">
            <v>6</v>
          </cell>
          <cell r="AP193">
            <v>21</v>
          </cell>
          <cell r="AQ193">
            <v>24</v>
          </cell>
          <cell r="AR193">
            <v>44</v>
          </cell>
          <cell r="AS193">
            <v>25</v>
          </cell>
        </row>
        <row r="194">
          <cell r="B194">
            <v>17031160200</v>
          </cell>
          <cell r="D194">
            <v>1722</v>
          </cell>
          <cell r="E194">
            <v>207</v>
          </cell>
          <cell r="F194">
            <v>1077</v>
          </cell>
          <cell r="G194">
            <v>194</v>
          </cell>
          <cell r="H194">
            <v>1038</v>
          </cell>
          <cell r="I194">
            <v>195</v>
          </cell>
          <cell r="J194">
            <v>39</v>
          </cell>
          <cell r="K194">
            <v>37</v>
          </cell>
          <cell r="L194">
            <v>39</v>
          </cell>
          <cell r="M194">
            <v>37</v>
          </cell>
          <cell r="N194">
            <v>0</v>
          </cell>
          <cell r="O194">
            <v>11</v>
          </cell>
          <cell r="P194">
            <v>0</v>
          </cell>
          <cell r="Q194">
            <v>11</v>
          </cell>
          <cell r="R194">
            <v>0</v>
          </cell>
          <cell r="S194">
            <v>11</v>
          </cell>
          <cell r="T194">
            <v>0</v>
          </cell>
          <cell r="U194">
            <v>11</v>
          </cell>
          <cell r="V194">
            <v>436</v>
          </cell>
          <cell r="W194">
            <v>126</v>
          </cell>
          <cell r="X194">
            <v>53</v>
          </cell>
          <cell r="Y194">
            <v>57</v>
          </cell>
          <cell r="Z194">
            <v>0</v>
          </cell>
          <cell r="AA194">
            <v>11</v>
          </cell>
          <cell r="AB194">
            <v>321</v>
          </cell>
          <cell r="AC194">
            <v>106</v>
          </cell>
          <cell r="AD194">
            <v>62</v>
          </cell>
          <cell r="AE194">
            <v>59</v>
          </cell>
          <cell r="AF194">
            <v>0</v>
          </cell>
          <cell r="AG194">
            <v>11</v>
          </cell>
          <cell r="AH194">
            <v>11</v>
          </cell>
          <cell r="AI194">
            <v>20</v>
          </cell>
          <cell r="AJ194">
            <v>0</v>
          </cell>
          <cell r="AK194">
            <v>11</v>
          </cell>
          <cell r="AL194">
            <v>15</v>
          </cell>
          <cell r="AM194">
            <v>18</v>
          </cell>
          <cell r="AN194">
            <v>97</v>
          </cell>
          <cell r="AO194">
            <v>80</v>
          </cell>
          <cell r="AP194">
            <v>10</v>
          </cell>
          <cell r="AQ194">
            <v>16</v>
          </cell>
          <cell r="AR194">
            <v>76</v>
          </cell>
          <cell r="AS194">
            <v>38</v>
          </cell>
        </row>
        <row r="195">
          <cell r="B195">
            <v>17031160300</v>
          </cell>
          <cell r="D195">
            <v>2225</v>
          </cell>
          <cell r="E195">
            <v>237</v>
          </cell>
          <cell r="F195">
            <v>1225</v>
          </cell>
          <cell r="G195">
            <v>207</v>
          </cell>
          <cell r="H195">
            <v>1136</v>
          </cell>
          <cell r="I195">
            <v>189</v>
          </cell>
          <cell r="J195">
            <v>89</v>
          </cell>
          <cell r="K195">
            <v>66</v>
          </cell>
          <cell r="L195">
            <v>79</v>
          </cell>
          <cell r="M195">
            <v>65</v>
          </cell>
          <cell r="N195">
            <v>0</v>
          </cell>
          <cell r="O195">
            <v>11</v>
          </cell>
          <cell r="P195">
            <v>0</v>
          </cell>
          <cell r="Q195">
            <v>11</v>
          </cell>
          <cell r="R195">
            <v>10</v>
          </cell>
          <cell r="S195">
            <v>16</v>
          </cell>
          <cell r="T195">
            <v>0</v>
          </cell>
          <cell r="U195">
            <v>11</v>
          </cell>
          <cell r="V195">
            <v>866</v>
          </cell>
          <cell r="W195">
            <v>186</v>
          </cell>
          <cell r="X195">
            <v>237</v>
          </cell>
          <cell r="Y195">
            <v>119</v>
          </cell>
          <cell r="Z195">
            <v>0</v>
          </cell>
          <cell r="AA195">
            <v>11</v>
          </cell>
          <cell r="AB195">
            <v>573</v>
          </cell>
          <cell r="AC195">
            <v>139</v>
          </cell>
          <cell r="AD195">
            <v>56</v>
          </cell>
          <cell r="AE195">
            <v>38</v>
          </cell>
          <cell r="AF195">
            <v>0</v>
          </cell>
          <cell r="AG195">
            <v>11</v>
          </cell>
          <cell r="AH195">
            <v>15</v>
          </cell>
          <cell r="AI195">
            <v>18</v>
          </cell>
          <cell r="AJ195">
            <v>0</v>
          </cell>
          <cell r="AK195">
            <v>11</v>
          </cell>
          <cell r="AL195">
            <v>0</v>
          </cell>
          <cell r="AM195">
            <v>11</v>
          </cell>
          <cell r="AN195">
            <v>55</v>
          </cell>
          <cell r="AO195">
            <v>44</v>
          </cell>
          <cell r="AP195">
            <v>0</v>
          </cell>
          <cell r="AQ195">
            <v>11</v>
          </cell>
          <cell r="AR195">
            <v>64</v>
          </cell>
          <cell r="AS195">
            <v>36</v>
          </cell>
        </row>
        <row r="196">
          <cell r="B196">
            <v>17031160400</v>
          </cell>
          <cell r="D196">
            <v>2293</v>
          </cell>
          <cell r="E196">
            <v>216</v>
          </cell>
          <cell r="F196">
            <v>1436</v>
          </cell>
          <cell r="G196">
            <v>212</v>
          </cell>
          <cell r="H196">
            <v>1186</v>
          </cell>
          <cell r="I196">
            <v>198</v>
          </cell>
          <cell r="J196">
            <v>250</v>
          </cell>
          <cell r="K196">
            <v>114</v>
          </cell>
          <cell r="L196">
            <v>206</v>
          </cell>
          <cell r="M196">
            <v>107</v>
          </cell>
          <cell r="N196">
            <v>36</v>
          </cell>
          <cell r="O196">
            <v>42</v>
          </cell>
          <cell r="P196">
            <v>0</v>
          </cell>
          <cell r="Q196">
            <v>11</v>
          </cell>
          <cell r="R196">
            <v>8</v>
          </cell>
          <cell r="S196">
            <v>12</v>
          </cell>
          <cell r="T196">
            <v>0</v>
          </cell>
          <cell r="U196">
            <v>11</v>
          </cell>
          <cell r="V196">
            <v>464</v>
          </cell>
          <cell r="W196">
            <v>131</v>
          </cell>
          <cell r="X196">
            <v>100</v>
          </cell>
          <cell r="Y196">
            <v>62</v>
          </cell>
          <cell r="Z196">
            <v>0</v>
          </cell>
          <cell r="AA196">
            <v>11</v>
          </cell>
          <cell r="AB196">
            <v>324</v>
          </cell>
          <cell r="AC196">
            <v>107</v>
          </cell>
          <cell r="AD196">
            <v>40</v>
          </cell>
          <cell r="AE196">
            <v>29</v>
          </cell>
          <cell r="AF196">
            <v>0</v>
          </cell>
          <cell r="AG196">
            <v>11</v>
          </cell>
          <cell r="AH196">
            <v>11</v>
          </cell>
          <cell r="AI196">
            <v>18</v>
          </cell>
          <cell r="AJ196">
            <v>0</v>
          </cell>
          <cell r="AK196">
            <v>11</v>
          </cell>
          <cell r="AL196">
            <v>60</v>
          </cell>
          <cell r="AM196">
            <v>41</v>
          </cell>
          <cell r="AN196">
            <v>87</v>
          </cell>
          <cell r="AO196">
            <v>50</v>
          </cell>
          <cell r="AP196">
            <v>8</v>
          </cell>
          <cell r="AQ196">
            <v>13</v>
          </cell>
          <cell r="AR196">
            <v>227</v>
          </cell>
          <cell r="AS196">
            <v>103</v>
          </cell>
        </row>
        <row r="197">
          <cell r="B197">
            <v>17031160501</v>
          </cell>
          <cell r="D197">
            <v>2114</v>
          </cell>
          <cell r="E197">
            <v>345</v>
          </cell>
          <cell r="F197">
            <v>1257</v>
          </cell>
          <cell r="G197">
            <v>224</v>
          </cell>
          <cell r="H197">
            <v>999</v>
          </cell>
          <cell r="I197">
            <v>192</v>
          </cell>
          <cell r="J197">
            <v>258</v>
          </cell>
          <cell r="K197">
            <v>148</v>
          </cell>
          <cell r="L197">
            <v>177</v>
          </cell>
          <cell r="M197">
            <v>103</v>
          </cell>
          <cell r="N197">
            <v>9</v>
          </cell>
          <cell r="O197">
            <v>15</v>
          </cell>
          <cell r="P197">
            <v>0</v>
          </cell>
          <cell r="Q197">
            <v>11</v>
          </cell>
          <cell r="R197">
            <v>72</v>
          </cell>
          <cell r="S197">
            <v>115</v>
          </cell>
          <cell r="T197">
            <v>0</v>
          </cell>
          <cell r="U197">
            <v>11</v>
          </cell>
          <cell r="V197">
            <v>772</v>
          </cell>
          <cell r="W197">
            <v>248</v>
          </cell>
          <cell r="X197">
            <v>398</v>
          </cell>
          <cell r="Y197">
            <v>204</v>
          </cell>
          <cell r="Z197">
            <v>0</v>
          </cell>
          <cell r="AA197">
            <v>11</v>
          </cell>
          <cell r="AB197">
            <v>356</v>
          </cell>
          <cell r="AC197">
            <v>164</v>
          </cell>
          <cell r="AD197">
            <v>18</v>
          </cell>
          <cell r="AE197">
            <v>29</v>
          </cell>
          <cell r="AF197">
            <v>0</v>
          </cell>
          <cell r="AG197">
            <v>11</v>
          </cell>
          <cell r="AH197">
            <v>8</v>
          </cell>
          <cell r="AI197">
            <v>13</v>
          </cell>
          <cell r="AJ197">
            <v>0</v>
          </cell>
          <cell r="AK197">
            <v>11</v>
          </cell>
          <cell r="AL197">
            <v>8</v>
          </cell>
          <cell r="AM197">
            <v>13</v>
          </cell>
          <cell r="AN197">
            <v>28</v>
          </cell>
          <cell r="AO197">
            <v>34</v>
          </cell>
          <cell r="AP197">
            <v>24</v>
          </cell>
          <cell r="AQ197">
            <v>38</v>
          </cell>
          <cell r="AR197">
            <v>17</v>
          </cell>
          <cell r="AS197">
            <v>19</v>
          </cell>
        </row>
        <row r="198">
          <cell r="B198">
            <v>17031160502</v>
          </cell>
          <cell r="D198">
            <v>1995</v>
          </cell>
          <cell r="E198">
            <v>261</v>
          </cell>
          <cell r="F198">
            <v>1428</v>
          </cell>
          <cell r="G198">
            <v>200</v>
          </cell>
          <cell r="H198">
            <v>1241</v>
          </cell>
          <cell r="I198">
            <v>167</v>
          </cell>
          <cell r="J198">
            <v>187</v>
          </cell>
          <cell r="K198">
            <v>91</v>
          </cell>
          <cell r="L198">
            <v>171</v>
          </cell>
          <cell r="M198">
            <v>87</v>
          </cell>
          <cell r="N198">
            <v>0</v>
          </cell>
          <cell r="O198">
            <v>11</v>
          </cell>
          <cell r="P198">
            <v>16</v>
          </cell>
          <cell r="Q198">
            <v>27</v>
          </cell>
          <cell r="R198">
            <v>0</v>
          </cell>
          <cell r="S198">
            <v>11</v>
          </cell>
          <cell r="T198">
            <v>0</v>
          </cell>
          <cell r="U198">
            <v>11</v>
          </cell>
          <cell r="V198">
            <v>354</v>
          </cell>
          <cell r="W198">
            <v>118</v>
          </cell>
          <cell r="X198">
            <v>212</v>
          </cell>
          <cell r="Y198">
            <v>91</v>
          </cell>
          <cell r="Z198">
            <v>0</v>
          </cell>
          <cell r="AA198">
            <v>11</v>
          </cell>
          <cell r="AB198">
            <v>136</v>
          </cell>
          <cell r="AC198">
            <v>64</v>
          </cell>
          <cell r="AD198">
            <v>6</v>
          </cell>
          <cell r="AE198">
            <v>11</v>
          </cell>
          <cell r="AF198">
            <v>0</v>
          </cell>
          <cell r="AG198">
            <v>11</v>
          </cell>
          <cell r="AH198">
            <v>0</v>
          </cell>
          <cell r="AI198">
            <v>11</v>
          </cell>
          <cell r="AJ198">
            <v>0</v>
          </cell>
          <cell r="AK198">
            <v>11</v>
          </cell>
          <cell r="AL198">
            <v>39</v>
          </cell>
          <cell r="AM198">
            <v>41</v>
          </cell>
          <cell r="AN198">
            <v>27</v>
          </cell>
          <cell r="AO198">
            <v>33</v>
          </cell>
          <cell r="AP198">
            <v>0</v>
          </cell>
          <cell r="AQ198">
            <v>11</v>
          </cell>
          <cell r="AR198">
            <v>147</v>
          </cell>
          <cell r="AS198">
            <v>77</v>
          </cell>
        </row>
        <row r="199">
          <cell r="B199">
            <v>17031160601</v>
          </cell>
          <cell r="D199">
            <v>2425</v>
          </cell>
          <cell r="E199">
            <v>426</v>
          </cell>
          <cell r="F199">
            <v>1480</v>
          </cell>
          <cell r="G199">
            <v>345</v>
          </cell>
          <cell r="H199">
            <v>1241</v>
          </cell>
          <cell r="I199">
            <v>273</v>
          </cell>
          <cell r="J199">
            <v>239</v>
          </cell>
          <cell r="K199">
            <v>154</v>
          </cell>
          <cell r="L199">
            <v>198</v>
          </cell>
          <cell r="M199">
            <v>156</v>
          </cell>
          <cell r="N199">
            <v>15</v>
          </cell>
          <cell r="O199">
            <v>19</v>
          </cell>
          <cell r="P199">
            <v>26</v>
          </cell>
          <cell r="Q199">
            <v>31</v>
          </cell>
          <cell r="R199">
            <v>0</v>
          </cell>
          <cell r="S199">
            <v>11</v>
          </cell>
          <cell r="T199">
            <v>0</v>
          </cell>
          <cell r="U199">
            <v>11</v>
          </cell>
          <cell r="V199">
            <v>669</v>
          </cell>
          <cell r="W199">
            <v>256</v>
          </cell>
          <cell r="X199">
            <v>165</v>
          </cell>
          <cell r="Y199">
            <v>166</v>
          </cell>
          <cell r="Z199">
            <v>16</v>
          </cell>
          <cell r="AA199">
            <v>24</v>
          </cell>
          <cell r="AB199">
            <v>477</v>
          </cell>
          <cell r="AC199">
            <v>159</v>
          </cell>
          <cell r="AD199">
            <v>11</v>
          </cell>
          <cell r="AE199">
            <v>14</v>
          </cell>
          <cell r="AF199">
            <v>0</v>
          </cell>
          <cell r="AG199">
            <v>11</v>
          </cell>
          <cell r="AH199">
            <v>7</v>
          </cell>
          <cell r="AI199">
            <v>11</v>
          </cell>
          <cell r="AJ199">
            <v>0</v>
          </cell>
          <cell r="AK199">
            <v>11</v>
          </cell>
          <cell r="AL199">
            <v>25</v>
          </cell>
          <cell r="AM199">
            <v>24</v>
          </cell>
          <cell r="AN199">
            <v>44</v>
          </cell>
          <cell r="AO199">
            <v>43</v>
          </cell>
          <cell r="AP199">
            <v>112</v>
          </cell>
          <cell r="AQ199">
            <v>115</v>
          </cell>
          <cell r="AR199">
            <v>88</v>
          </cell>
          <cell r="AS199">
            <v>61</v>
          </cell>
        </row>
        <row r="200">
          <cell r="B200">
            <v>17031160602</v>
          </cell>
          <cell r="D200">
            <v>2211</v>
          </cell>
          <cell r="E200">
            <v>237</v>
          </cell>
          <cell r="F200">
            <v>1478</v>
          </cell>
          <cell r="G200">
            <v>178</v>
          </cell>
          <cell r="H200">
            <v>1340</v>
          </cell>
          <cell r="I200">
            <v>171</v>
          </cell>
          <cell r="J200">
            <v>138</v>
          </cell>
          <cell r="K200">
            <v>61</v>
          </cell>
          <cell r="L200">
            <v>93</v>
          </cell>
          <cell r="M200">
            <v>45</v>
          </cell>
          <cell r="N200">
            <v>38</v>
          </cell>
          <cell r="O200">
            <v>33</v>
          </cell>
          <cell r="P200">
            <v>7</v>
          </cell>
          <cell r="Q200">
            <v>11</v>
          </cell>
          <cell r="R200">
            <v>0</v>
          </cell>
          <cell r="S200">
            <v>11</v>
          </cell>
          <cell r="T200">
            <v>0</v>
          </cell>
          <cell r="U200">
            <v>11</v>
          </cell>
          <cell r="V200">
            <v>518</v>
          </cell>
          <cell r="W200">
            <v>151</v>
          </cell>
          <cell r="X200">
            <v>262</v>
          </cell>
          <cell r="Y200">
            <v>116</v>
          </cell>
          <cell r="Z200">
            <v>0</v>
          </cell>
          <cell r="AA200">
            <v>11</v>
          </cell>
          <cell r="AB200">
            <v>235</v>
          </cell>
          <cell r="AC200">
            <v>82</v>
          </cell>
          <cell r="AD200">
            <v>21</v>
          </cell>
          <cell r="AE200">
            <v>23</v>
          </cell>
          <cell r="AF200">
            <v>0</v>
          </cell>
          <cell r="AG200">
            <v>11</v>
          </cell>
          <cell r="AH200">
            <v>0</v>
          </cell>
          <cell r="AI200">
            <v>11</v>
          </cell>
          <cell r="AJ200">
            <v>0</v>
          </cell>
          <cell r="AK200">
            <v>11</v>
          </cell>
          <cell r="AL200">
            <v>82</v>
          </cell>
          <cell r="AM200">
            <v>71</v>
          </cell>
          <cell r="AN200">
            <v>70</v>
          </cell>
          <cell r="AO200">
            <v>47</v>
          </cell>
          <cell r="AP200">
            <v>19</v>
          </cell>
          <cell r="AQ200">
            <v>26</v>
          </cell>
          <cell r="AR200">
            <v>44</v>
          </cell>
          <cell r="AS200">
            <v>35</v>
          </cell>
        </row>
        <row r="201">
          <cell r="B201">
            <v>17031160700</v>
          </cell>
          <cell r="D201">
            <v>3150</v>
          </cell>
          <cell r="E201">
            <v>453</v>
          </cell>
          <cell r="F201">
            <v>1936</v>
          </cell>
          <cell r="G201">
            <v>470</v>
          </cell>
          <cell r="H201">
            <v>1540</v>
          </cell>
          <cell r="I201">
            <v>380</v>
          </cell>
          <cell r="J201">
            <v>396</v>
          </cell>
          <cell r="K201">
            <v>196</v>
          </cell>
          <cell r="L201">
            <v>238</v>
          </cell>
          <cell r="M201">
            <v>172</v>
          </cell>
          <cell r="N201">
            <v>68</v>
          </cell>
          <cell r="O201">
            <v>78</v>
          </cell>
          <cell r="P201">
            <v>44</v>
          </cell>
          <cell r="Q201">
            <v>66</v>
          </cell>
          <cell r="R201">
            <v>46</v>
          </cell>
          <cell r="S201">
            <v>54</v>
          </cell>
          <cell r="T201">
            <v>0</v>
          </cell>
          <cell r="U201">
            <v>15</v>
          </cell>
          <cell r="V201">
            <v>799</v>
          </cell>
          <cell r="W201">
            <v>223</v>
          </cell>
          <cell r="X201">
            <v>238</v>
          </cell>
          <cell r="Y201">
            <v>147</v>
          </cell>
          <cell r="Z201">
            <v>0</v>
          </cell>
          <cell r="AA201">
            <v>15</v>
          </cell>
          <cell r="AB201">
            <v>542</v>
          </cell>
          <cell r="AC201">
            <v>180</v>
          </cell>
          <cell r="AD201">
            <v>19</v>
          </cell>
          <cell r="AE201">
            <v>30</v>
          </cell>
          <cell r="AF201">
            <v>0</v>
          </cell>
          <cell r="AG201">
            <v>15</v>
          </cell>
          <cell r="AH201">
            <v>0</v>
          </cell>
          <cell r="AI201">
            <v>15</v>
          </cell>
          <cell r="AJ201">
            <v>0</v>
          </cell>
          <cell r="AK201">
            <v>15</v>
          </cell>
          <cell r="AL201">
            <v>68</v>
          </cell>
          <cell r="AM201">
            <v>66</v>
          </cell>
          <cell r="AN201">
            <v>149</v>
          </cell>
          <cell r="AO201">
            <v>95</v>
          </cell>
          <cell r="AP201">
            <v>0</v>
          </cell>
          <cell r="AQ201">
            <v>15</v>
          </cell>
          <cell r="AR201">
            <v>198</v>
          </cell>
          <cell r="AS201">
            <v>210</v>
          </cell>
        </row>
        <row r="202">
          <cell r="B202">
            <v>17031160800</v>
          </cell>
          <cell r="D202">
            <v>3105</v>
          </cell>
          <cell r="E202">
            <v>374</v>
          </cell>
          <cell r="F202">
            <v>1921</v>
          </cell>
          <cell r="G202">
            <v>308</v>
          </cell>
          <cell r="H202">
            <v>1554</v>
          </cell>
          <cell r="I202">
            <v>260</v>
          </cell>
          <cell r="J202">
            <v>367</v>
          </cell>
          <cell r="K202">
            <v>175</v>
          </cell>
          <cell r="L202">
            <v>240</v>
          </cell>
          <cell r="M202">
            <v>96</v>
          </cell>
          <cell r="N202">
            <v>111</v>
          </cell>
          <cell r="O202">
            <v>158</v>
          </cell>
          <cell r="P202">
            <v>10</v>
          </cell>
          <cell r="Q202">
            <v>16</v>
          </cell>
          <cell r="R202">
            <v>6</v>
          </cell>
          <cell r="S202">
            <v>11</v>
          </cell>
          <cell r="T202">
            <v>0</v>
          </cell>
          <cell r="U202">
            <v>15</v>
          </cell>
          <cell r="V202">
            <v>754</v>
          </cell>
          <cell r="W202">
            <v>220</v>
          </cell>
          <cell r="X202">
            <v>151</v>
          </cell>
          <cell r="Y202">
            <v>87</v>
          </cell>
          <cell r="Z202">
            <v>0</v>
          </cell>
          <cell r="AA202">
            <v>15</v>
          </cell>
          <cell r="AB202">
            <v>583</v>
          </cell>
          <cell r="AC202">
            <v>197</v>
          </cell>
          <cell r="AD202">
            <v>20</v>
          </cell>
          <cell r="AE202">
            <v>22</v>
          </cell>
          <cell r="AF202">
            <v>0</v>
          </cell>
          <cell r="AG202">
            <v>15</v>
          </cell>
          <cell r="AH202">
            <v>0</v>
          </cell>
          <cell r="AI202">
            <v>15</v>
          </cell>
          <cell r="AJ202">
            <v>0</v>
          </cell>
          <cell r="AK202">
            <v>15</v>
          </cell>
          <cell r="AL202">
            <v>23</v>
          </cell>
          <cell r="AM202">
            <v>21</v>
          </cell>
          <cell r="AN202">
            <v>52</v>
          </cell>
          <cell r="AO202">
            <v>32</v>
          </cell>
          <cell r="AP202">
            <v>23</v>
          </cell>
          <cell r="AQ202">
            <v>37</v>
          </cell>
          <cell r="AR202">
            <v>332</v>
          </cell>
          <cell r="AS202">
            <v>145</v>
          </cell>
        </row>
        <row r="203">
          <cell r="B203">
            <v>17031160900</v>
          </cell>
          <cell r="D203">
            <v>1457</v>
          </cell>
          <cell r="E203">
            <v>167</v>
          </cell>
          <cell r="F203">
            <v>771</v>
          </cell>
          <cell r="G203">
            <v>137</v>
          </cell>
          <cell r="H203">
            <v>695</v>
          </cell>
          <cell r="I203">
            <v>133</v>
          </cell>
          <cell r="J203">
            <v>76</v>
          </cell>
          <cell r="K203">
            <v>47</v>
          </cell>
          <cell r="L203">
            <v>76</v>
          </cell>
          <cell r="M203">
            <v>47</v>
          </cell>
          <cell r="N203">
            <v>0</v>
          </cell>
          <cell r="O203">
            <v>11</v>
          </cell>
          <cell r="P203">
            <v>0</v>
          </cell>
          <cell r="Q203">
            <v>11</v>
          </cell>
          <cell r="R203">
            <v>0</v>
          </cell>
          <cell r="S203">
            <v>11</v>
          </cell>
          <cell r="T203">
            <v>0</v>
          </cell>
          <cell r="U203">
            <v>11</v>
          </cell>
          <cell r="V203">
            <v>414</v>
          </cell>
          <cell r="W203">
            <v>110</v>
          </cell>
          <cell r="X203">
            <v>113</v>
          </cell>
          <cell r="Y203">
            <v>68</v>
          </cell>
          <cell r="Z203">
            <v>0</v>
          </cell>
          <cell r="AA203">
            <v>11</v>
          </cell>
          <cell r="AB203">
            <v>277</v>
          </cell>
          <cell r="AC203">
            <v>84</v>
          </cell>
          <cell r="AD203">
            <v>24</v>
          </cell>
          <cell r="AE203">
            <v>23</v>
          </cell>
          <cell r="AF203">
            <v>0</v>
          </cell>
          <cell r="AG203">
            <v>11</v>
          </cell>
          <cell r="AH203">
            <v>8</v>
          </cell>
          <cell r="AI203">
            <v>12</v>
          </cell>
          <cell r="AJ203">
            <v>9</v>
          </cell>
          <cell r="AK203">
            <v>14</v>
          </cell>
          <cell r="AL203">
            <v>8</v>
          </cell>
          <cell r="AM203">
            <v>12</v>
          </cell>
          <cell r="AN203">
            <v>95</v>
          </cell>
          <cell r="AO203">
            <v>73</v>
          </cell>
          <cell r="AP203">
            <v>8</v>
          </cell>
          <cell r="AQ203">
            <v>11</v>
          </cell>
          <cell r="AR203">
            <v>144</v>
          </cell>
          <cell r="AS203">
            <v>77</v>
          </cell>
        </row>
        <row r="204">
          <cell r="B204">
            <v>17031161000</v>
          </cell>
          <cell r="D204">
            <v>1084</v>
          </cell>
          <cell r="E204">
            <v>120</v>
          </cell>
          <cell r="F204">
            <v>587</v>
          </cell>
          <cell r="G204">
            <v>100</v>
          </cell>
          <cell r="H204">
            <v>522</v>
          </cell>
          <cell r="I204">
            <v>108</v>
          </cell>
          <cell r="J204">
            <v>65</v>
          </cell>
          <cell r="K204">
            <v>30</v>
          </cell>
          <cell r="L204">
            <v>32</v>
          </cell>
          <cell r="M204">
            <v>25</v>
          </cell>
          <cell r="N204">
            <v>23</v>
          </cell>
          <cell r="O204">
            <v>26</v>
          </cell>
          <cell r="P204">
            <v>4</v>
          </cell>
          <cell r="Q204">
            <v>5</v>
          </cell>
          <cell r="R204">
            <v>6</v>
          </cell>
          <cell r="S204">
            <v>9</v>
          </cell>
          <cell r="T204">
            <v>0</v>
          </cell>
          <cell r="U204">
            <v>11</v>
          </cell>
          <cell r="V204">
            <v>274</v>
          </cell>
          <cell r="W204">
            <v>64</v>
          </cell>
          <cell r="X204">
            <v>37</v>
          </cell>
          <cell r="Y204">
            <v>22</v>
          </cell>
          <cell r="Z204">
            <v>0</v>
          </cell>
          <cell r="AA204">
            <v>11</v>
          </cell>
          <cell r="AB204">
            <v>179</v>
          </cell>
          <cell r="AC204">
            <v>61</v>
          </cell>
          <cell r="AD204">
            <v>58</v>
          </cell>
          <cell r="AE204">
            <v>30</v>
          </cell>
          <cell r="AF204">
            <v>0</v>
          </cell>
          <cell r="AG204">
            <v>11</v>
          </cell>
          <cell r="AH204">
            <v>9</v>
          </cell>
          <cell r="AI204">
            <v>13</v>
          </cell>
          <cell r="AJ204">
            <v>0</v>
          </cell>
          <cell r="AK204">
            <v>11</v>
          </cell>
          <cell r="AL204">
            <v>0</v>
          </cell>
          <cell r="AM204">
            <v>11</v>
          </cell>
          <cell r="AN204">
            <v>66</v>
          </cell>
          <cell r="AO204">
            <v>54</v>
          </cell>
          <cell r="AP204">
            <v>3</v>
          </cell>
          <cell r="AQ204">
            <v>5</v>
          </cell>
          <cell r="AR204">
            <v>145</v>
          </cell>
          <cell r="AS204">
            <v>80</v>
          </cell>
        </row>
        <row r="205">
          <cell r="B205">
            <v>17031161100</v>
          </cell>
          <cell r="D205">
            <v>991</v>
          </cell>
          <cell r="E205">
            <v>88</v>
          </cell>
          <cell r="F205">
            <v>575</v>
          </cell>
          <cell r="G205">
            <v>78</v>
          </cell>
          <cell r="H205">
            <v>505</v>
          </cell>
          <cell r="I205">
            <v>78</v>
          </cell>
          <cell r="J205">
            <v>70</v>
          </cell>
          <cell r="K205">
            <v>41</v>
          </cell>
          <cell r="L205">
            <v>51</v>
          </cell>
          <cell r="M205">
            <v>37</v>
          </cell>
          <cell r="N205">
            <v>8</v>
          </cell>
          <cell r="O205">
            <v>10</v>
          </cell>
          <cell r="P205">
            <v>0</v>
          </cell>
          <cell r="Q205">
            <v>11</v>
          </cell>
          <cell r="R205">
            <v>11</v>
          </cell>
          <cell r="S205">
            <v>17</v>
          </cell>
          <cell r="T205">
            <v>0</v>
          </cell>
          <cell r="U205">
            <v>11</v>
          </cell>
          <cell r="V205">
            <v>260</v>
          </cell>
          <cell r="W205">
            <v>72</v>
          </cell>
          <cell r="X205">
            <v>26</v>
          </cell>
          <cell r="Y205">
            <v>20</v>
          </cell>
          <cell r="Z205">
            <v>5</v>
          </cell>
          <cell r="AA205">
            <v>7</v>
          </cell>
          <cell r="AB205">
            <v>139</v>
          </cell>
          <cell r="AC205">
            <v>67</v>
          </cell>
          <cell r="AD205">
            <v>90</v>
          </cell>
          <cell r="AE205">
            <v>44</v>
          </cell>
          <cell r="AF205">
            <v>0</v>
          </cell>
          <cell r="AG205">
            <v>11</v>
          </cell>
          <cell r="AH205">
            <v>0</v>
          </cell>
          <cell r="AI205">
            <v>11</v>
          </cell>
          <cell r="AJ205">
            <v>0</v>
          </cell>
          <cell r="AK205">
            <v>11</v>
          </cell>
          <cell r="AL205">
            <v>0</v>
          </cell>
          <cell r="AM205">
            <v>11</v>
          </cell>
          <cell r="AN205">
            <v>27</v>
          </cell>
          <cell r="AO205">
            <v>22</v>
          </cell>
          <cell r="AP205">
            <v>12</v>
          </cell>
          <cell r="AQ205">
            <v>12</v>
          </cell>
          <cell r="AR205">
            <v>117</v>
          </cell>
          <cell r="AS205">
            <v>43</v>
          </cell>
        </row>
        <row r="206">
          <cell r="B206">
            <v>17031161200</v>
          </cell>
          <cell r="D206">
            <v>1399</v>
          </cell>
          <cell r="E206">
            <v>132</v>
          </cell>
          <cell r="F206">
            <v>889</v>
          </cell>
          <cell r="G206">
            <v>88</v>
          </cell>
          <cell r="H206">
            <v>675</v>
          </cell>
          <cell r="I206">
            <v>80</v>
          </cell>
          <cell r="J206">
            <v>214</v>
          </cell>
          <cell r="K206">
            <v>69</v>
          </cell>
          <cell r="L206">
            <v>168</v>
          </cell>
          <cell r="M206">
            <v>63</v>
          </cell>
          <cell r="N206">
            <v>25</v>
          </cell>
          <cell r="O206">
            <v>18</v>
          </cell>
          <cell r="P206">
            <v>10</v>
          </cell>
          <cell r="Q206">
            <v>17</v>
          </cell>
          <cell r="R206">
            <v>11</v>
          </cell>
          <cell r="S206">
            <v>18</v>
          </cell>
          <cell r="T206">
            <v>0</v>
          </cell>
          <cell r="U206">
            <v>11</v>
          </cell>
          <cell r="V206">
            <v>353</v>
          </cell>
          <cell r="W206">
            <v>110</v>
          </cell>
          <cell r="X206">
            <v>185</v>
          </cell>
          <cell r="Y206">
            <v>96</v>
          </cell>
          <cell r="Z206">
            <v>0</v>
          </cell>
          <cell r="AA206">
            <v>11</v>
          </cell>
          <cell r="AB206">
            <v>106</v>
          </cell>
          <cell r="AC206">
            <v>48</v>
          </cell>
          <cell r="AD206">
            <v>62</v>
          </cell>
          <cell r="AE206">
            <v>45</v>
          </cell>
          <cell r="AF206">
            <v>0</v>
          </cell>
          <cell r="AG206">
            <v>11</v>
          </cell>
          <cell r="AH206">
            <v>0</v>
          </cell>
          <cell r="AI206">
            <v>11</v>
          </cell>
          <cell r="AJ206">
            <v>0</v>
          </cell>
          <cell r="AK206">
            <v>11</v>
          </cell>
          <cell r="AL206">
            <v>11</v>
          </cell>
          <cell r="AM206">
            <v>12</v>
          </cell>
          <cell r="AN206">
            <v>61</v>
          </cell>
          <cell r="AO206">
            <v>46</v>
          </cell>
          <cell r="AP206">
            <v>20</v>
          </cell>
          <cell r="AQ206">
            <v>22</v>
          </cell>
          <cell r="AR206">
            <v>65</v>
          </cell>
          <cell r="AS206">
            <v>36</v>
          </cell>
        </row>
        <row r="207">
          <cell r="B207">
            <v>17031161300</v>
          </cell>
          <cell r="D207">
            <v>1810</v>
          </cell>
          <cell r="E207">
            <v>226</v>
          </cell>
          <cell r="F207">
            <v>1169</v>
          </cell>
          <cell r="G207">
            <v>162</v>
          </cell>
          <cell r="H207">
            <v>958</v>
          </cell>
          <cell r="I207">
            <v>163</v>
          </cell>
          <cell r="J207">
            <v>211</v>
          </cell>
          <cell r="K207">
            <v>85</v>
          </cell>
          <cell r="L207">
            <v>149</v>
          </cell>
          <cell r="M207">
            <v>84</v>
          </cell>
          <cell r="N207">
            <v>7</v>
          </cell>
          <cell r="O207">
            <v>11</v>
          </cell>
          <cell r="P207">
            <v>45</v>
          </cell>
          <cell r="Q207">
            <v>36</v>
          </cell>
          <cell r="R207">
            <v>0</v>
          </cell>
          <cell r="S207">
            <v>11</v>
          </cell>
          <cell r="T207">
            <v>10</v>
          </cell>
          <cell r="U207">
            <v>15</v>
          </cell>
          <cell r="V207">
            <v>467</v>
          </cell>
          <cell r="W207">
            <v>135</v>
          </cell>
          <cell r="X207">
            <v>212</v>
          </cell>
          <cell r="Y207">
            <v>98</v>
          </cell>
          <cell r="Z207">
            <v>0</v>
          </cell>
          <cell r="AA207">
            <v>11</v>
          </cell>
          <cell r="AB207">
            <v>206</v>
          </cell>
          <cell r="AC207">
            <v>79</v>
          </cell>
          <cell r="AD207">
            <v>49</v>
          </cell>
          <cell r="AE207">
            <v>36</v>
          </cell>
          <cell r="AF207">
            <v>0</v>
          </cell>
          <cell r="AG207">
            <v>11</v>
          </cell>
          <cell r="AH207">
            <v>0</v>
          </cell>
          <cell r="AI207">
            <v>11</v>
          </cell>
          <cell r="AJ207">
            <v>0</v>
          </cell>
          <cell r="AK207">
            <v>11</v>
          </cell>
          <cell r="AL207">
            <v>9</v>
          </cell>
          <cell r="AM207">
            <v>14</v>
          </cell>
          <cell r="AN207">
            <v>116</v>
          </cell>
          <cell r="AO207">
            <v>70</v>
          </cell>
          <cell r="AP207">
            <v>5</v>
          </cell>
          <cell r="AQ207">
            <v>8</v>
          </cell>
          <cell r="AR207">
            <v>44</v>
          </cell>
          <cell r="AS207">
            <v>41</v>
          </cell>
        </row>
        <row r="208">
          <cell r="B208">
            <v>17031170100</v>
          </cell>
          <cell r="D208">
            <v>818</v>
          </cell>
          <cell r="E208">
            <v>174</v>
          </cell>
          <cell r="F208">
            <v>704</v>
          </cell>
          <cell r="G208">
            <v>160</v>
          </cell>
          <cell r="H208">
            <v>585</v>
          </cell>
          <cell r="I208">
            <v>159</v>
          </cell>
          <cell r="J208">
            <v>119</v>
          </cell>
          <cell r="K208">
            <v>80</v>
          </cell>
          <cell r="L208">
            <v>70</v>
          </cell>
          <cell r="M208">
            <v>49</v>
          </cell>
          <cell r="N208">
            <v>40</v>
          </cell>
          <cell r="O208">
            <v>63</v>
          </cell>
          <cell r="P208">
            <v>0</v>
          </cell>
          <cell r="Q208">
            <v>11</v>
          </cell>
          <cell r="R208">
            <v>0</v>
          </cell>
          <cell r="S208">
            <v>11</v>
          </cell>
          <cell r="T208">
            <v>9</v>
          </cell>
          <cell r="U208">
            <v>13</v>
          </cell>
          <cell r="V208">
            <v>68</v>
          </cell>
          <cell r="W208">
            <v>42</v>
          </cell>
          <cell r="X208">
            <v>51</v>
          </cell>
          <cell r="Y208">
            <v>39</v>
          </cell>
          <cell r="Z208">
            <v>0</v>
          </cell>
          <cell r="AA208">
            <v>11</v>
          </cell>
          <cell r="AB208">
            <v>9</v>
          </cell>
          <cell r="AC208">
            <v>14</v>
          </cell>
          <cell r="AD208">
            <v>8</v>
          </cell>
          <cell r="AE208">
            <v>13</v>
          </cell>
          <cell r="AF208">
            <v>0</v>
          </cell>
          <cell r="AG208">
            <v>11</v>
          </cell>
          <cell r="AH208">
            <v>0</v>
          </cell>
          <cell r="AI208">
            <v>11</v>
          </cell>
          <cell r="AJ208">
            <v>0</v>
          </cell>
          <cell r="AK208">
            <v>11</v>
          </cell>
          <cell r="AL208">
            <v>0</v>
          </cell>
          <cell r="AM208">
            <v>11</v>
          </cell>
          <cell r="AN208">
            <v>46</v>
          </cell>
          <cell r="AO208">
            <v>51</v>
          </cell>
          <cell r="AP208">
            <v>0</v>
          </cell>
          <cell r="AQ208">
            <v>11</v>
          </cell>
          <cell r="AR208">
            <v>0</v>
          </cell>
          <cell r="AS208">
            <v>11</v>
          </cell>
        </row>
        <row r="209">
          <cell r="B209">
            <v>17031170200</v>
          </cell>
          <cell r="D209">
            <v>2045</v>
          </cell>
          <cell r="E209">
            <v>221</v>
          </cell>
          <cell r="F209">
            <v>1703</v>
          </cell>
          <cell r="G209">
            <v>199</v>
          </cell>
          <cell r="H209">
            <v>1571</v>
          </cell>
          <cell r="I209">
            <v>181</v>
          </cell>
          <cell r="J209">
            <v>132</v>
          </cell>
          <cell r="K209">
            <v>108</v>
          </cell>
          <cell r="L209">
            <v>68</v>
          </cell>
          <cell r="M209">
            <v>57</v>
          </cell>
          <cell r="N209">
            <v>64</v>
          </cell>
          <cell r="O209">
            <v>87</v>
          </cell>
          <cell r="P209">
            <v>0</v>
          </cell>
          <cell r="Q209">
            <v>11</v>
          </cell>
          <cell r="R209">
            <v>0</v>
          </cell>
          <cell r="S209">
            <v>11</v>
          </cell>
          <cell r="T209">
            <v>0</v>
          </cell>
          <cell r="U209">
            <v>11</v>
          </cell>
          <cell r="V209">
            <v>245</v>
          </cell>
          <cell r="W209">
            <v>104</v>
          </cell>
          <cell r="X209">
            <v>184</v>
          </cell>
          <cell r="Y209">
            <v>95</v>
          </cell>
          <cell r="Z209">
            <v>0</v>
          </cell>
          <cell r="AA209">
            <v>11</v>
          </cell>
          <cell r="AB209">
            <v>39</v>
          </cell>
          <cell r="AC209">
            <v>31</v>
          </cell>
          <cell r="AD209">
            <v>22</v>
          </cell>
          <cell r="AE209">
            <v>35</v>
          </cell>
          <cell r="AF209">
            <v>0</v>
          </cell>
          <cell r="AG209">
            <v>11</v>
          </cell>
          <cell r="AH209">
            <v>0</v>
          </cell>
          <cell r="AI209">
            <v>11</v>
          </cell>
          <cell r="AJ209">
            <v>8</v>
          </cell>
          <cell r="AK209">
            <v>14</v>
          </cell>
          <cell r="AL209">
            <v>0</v>
          </cell>
          <cell r="AM209">
            <v>11</v>
          </cell>
          <cell r="AN209">
            <v>30</v>
          </cell>
          <cell r="AO209">
            <v>38</v>
          </cell>
          <cell r="AP209">
            <v>0</v>
          </cell>
          <cell r="AQ209">
            <v>11</v>
          </cell>
          <cell r="AR209">
            <v>59</v>
          </cell>
          <cell r="AS209">
            <v>43</v>
          </cell>
        </row>
        <row r="210">
          <cell r="B210">
            <v>17031170300</v>
          </cell>
          <cell r="D210">
            <v>2551</v>
          </cell>
          <cell r="E210">
            <v>327</v>
          </cell>
          <cell r="F210">
            <v>2229</v>
          </cell>
          <cell r="G210">
            <v>314</v>
          </cell>
          <cell r="H210">
            <v>1993</v>
          </cell>
          <cell r="I210">
            <v>294</v>
          </cell>
          <cell r="J210">
            <v>236</v>
          </cell>
          <cell r="K210">
            <v>98</v>
          </cell>
          <cell r="L210">
            <v>167</v>
          </cell>
          <cell r="M210">
            <v>83</v>
          </cell>
          <cell r="N210">
            <v>69</v>
          </cell>
          <cell r="O210">
            <v>53</v>
          </cell>
          <cell r="P210">
            <v>0</v>
          </cell>
          <cell r="Q210">
            <v>15</v>
          </cell>
          <cell r="R210">
            <v>0</v>
          </cell>
          <cell r="S210">
            <v>15</v>
          </cell>
          <cell r="T210">
            <v>0</v>
          </cell>
          <cell r="U210">
            <v>15</v>
          </cell>
          <cell r="V210">
            <v>138</v>
          </cell>
          <cell r="W210">
            <v>77</v>
          </cell>
          <cell r="X210">
            <v>60</v>
          </cell>
          <cell r="Y210">
            <v>53</v>
          </cell>
          <cell r="Z210">
            <v>0</v>
          </cell>
          <cell r="AA210">
            <v>15</v>
          </cell>
          <cell r="AB210">
            <v>67</v>
          </cell>
          <cell r="AC210">
            <v>59</v>
          </cell>
          <cell r="AD210">
            <v>11</v>
          </cell>
          <cell r="AE210">
            <v>18</v>
          </cell>
          <cell r="AF210">
            <v>0</v>
          </cell>
          <cell r="AG210">
            <v>15</v>
          </cell>
          <cell r="AH210">
            <v>0</v>
          </cell>
          <cell r="AI210">
            <v>15</v>
          </cell>
          <cell r="AJ210">
            <v>18</v>
          </cell>
          <cell r="AK210">
            <v>27</v>
          </cell>
          <cell r="AL210">
            <v>10</v>
          </cell>
          <cell r="AM210">
            <v>16</v>
          </cell>
          <cell r="AN210">
            <v>98</v>
          </cell>
          <cell r="AO210">
            <v>74</v>
          </cell>
          <cell r="AP210">
            <v>0</v>
          </cell>
          <cell r="AQ210">
            <v>15</v>
          </cell>
          <cell r="AR210">
            <v>58</v>
          </cell>
          <cell r="AS210">
            <v>58</v>
          </cell>
        </row>
        <row r="211">
          <cell r="B211">
            <v>17031170400</v>
          </cell>
          <cell r="D211">
            <v>1837</v>
          </cell>
          <cell r="E211">
            <v>227</v>
          </cell>
          <cell r="F211">
            <v>1628</v>
          </cell>
          <cell r="G211">
            <v>211</v>
          </cell>
          <cell r="H211">
            <v>1433</v>
          </cell>
          <cell r="I211">
            <v>191</v>
          </cell>
          <cell r="J211">
            <v>195</v>
          </cell>
          <cell r="K211">
            <v>122</v>
          </cell>
          <cell r="L211">
            <v>147</v>
          </cell>
          <cell r="M211">
            <v>118</v>
          </cell>
          <cell r="N211">
            <v>29</v>
          </cell>
          <cell r="O211">
            <v>23</v>
          </cell>
          <cell r="P211">
            <v>19</v>
          </cell>
          <cell r="Q211">
            <v>31</v>
          </cell>
          <cell r="R211">
            <v>0</v>
          </cell>
          <cell r="S211">
            <v>11</v>
          </cell>
          <cell r="T211">
            <v>0</v>
          </cell>
          <cell r="U211">
            <v>11</v>
          </cell>
          <cell r="V211">
            <v>169</v>
          </cell>
          <cell r="W211">
            <v>101</v>
          </cell>
          <cell r="X211">
            <v>154</v>
          </cell>
          <cell r="Y211">
            <v>99</v>
          </cell>
          <cell r="Z211">
            <v>0</v>
          </cell>
          <cell r="AA211">
            <v>11</v>
          </cell>
          <cell r="AB211">
            <v>15</v>
          </cell>
          <cell r="AC211">
            <v>16</v>
          </cell>
          <cell r="AD211">
            <v>0</v>
          </cell>
          <cell r="AE211">
            <v>11</v>
          </cell>
          <cell r="AF211">
            <v>0</v>
          </cell>
          <cell r="AG211">
            <v>11</v>
          </cell>
          <cell r="AH211">
            <v>0</v>
          </cell>
          <cell r="AI211">
            <v>11</v>
          </cell>
          <cell r="AJ211">
            <v>0</v>
          </cell>
          <cell r="AK211">
            <v>11</v>
          </cell>
          <cell r="AL211">
            <v>0</v>
          </cell>
          <cell r="AM211">
            <v>11</v>
          </cell>
          <cell r="AN211">
            <v>34</v>
          </cell>
          <cell r="AO211">
            <v>39</v>
          </cell>
          <cell r="AP211">
            <v>0</v>
          </cell>
          <cell r="AQ211">
            <v>11</v>
          </cell>
          <cell r="AR211">
            <v>6</v>
          </cell>
          <cell r="AS211">
            <v>9</v>
          </cell>
        </row>
        <row r="212">
          <cell r="B212">
            <v>17031170500</v>
          </cell>
          <cell r="D212">
            <v>2992</v>
          </cell>
          <cell r="E212">
            <v>266</v>
          </cell>
          <cell r="F212">
            <v>2463</v>
          </cell>
          <cell r="G212">
            <v>294</v>
          </cell>
          <cell r="H212">
            <v>2314</v>
          </cell>
          <cell r="I212">
            <v>294</v>
          </cell>
          <cell r="J212">
            <v>149</v>
          </cell>
          <cell r="K212">
            <v>80</v>
          </cell>
          <cell r="L212">
            <v>149</v>
          </cell>
          <cell r="M212">
            <v>80</v>
          </cell>
          <cell r="N212">
            <v>0</v>
          </cell>
          <cell r="O212">
            <v>15</v>
          </cell>
          <cell r="P212">
            <v>0</v>
          </cell>
          <cell r="Q212">
            <v>15</v>
          </cell>
          <cell r="R212">
            <v>0</v>
          </cell>
          <cell r="S212">
            <v>15</v>
          </cell>
          <cell r="T212">
            <v>0</v>
          </cell>
          <cell r="U212">
            <v>15</v>
          </cell>
          <cell r="V212">
            <v>376</v>
          </cell>
          <cell r="W212">
            <v>133</v>
          </cell>
          <cell r="X212">
            <v>275</v>
          </cell>
          <cell r="Y212">
            <v>133</v>
          </cell>
          <cell r="Z212">
            <v>0</v>
          </cell>
          <cell r="AA212">
            <v>15</v>
          </cell>
          <cell r="AB212">
            <v>47</v>
          </cell>
          <cell r="AC212">
            <v>37</v>
          </cell>
          <cell r="AD212">
            <v>54</v>
          </cell>
          <cell r="AE212">
            <v>52</v>
          </cell>
          <cell r="AF212">
            <v>0</v>
          </cell>
          <cell r="AG212">
            <v>15</v>
          </cell>
          <cell r="AH212">
            <v>0</v>
          </cell>
          <cell r="AI212">
            <v>15</v>
          </cell>
          <cell r="AJ212">
            <v>0</v>
          </cell>
          <cell r="AK212">
            <v>15</v>
          </cell>
          <cell r="AL212">
            <v>11</v>
          </cell>
          <cell r="AM212">
            <v>17</v>
          </cell>
          <cell r="AN212">
            <v>43</v>
          </cell>
          <cell r="AO212">
            <v>49</v>
          </cell>
          <cell r="AP212">
            <v>88</v>
          </cell>
          <cell r="AQ212">
            <v>79</v>
          </cell>
          <cell r="AR212">
            <v>11</v>
          </cell>
          <cell r="AS212">
            <v>19</v>
          </cell>
        </row>
        <row r="213">
          <cell r="B213">
            <v>17031170600</v>
          </cell>
          <cell r="D213">
            <v>1170</v>
          </cell>
          <cell r="E213">
            <v>105</v>
          </cell>
          <cell r="F213">
            <v>1030</v>
          </cell>
          <cell r="G213">
            <v>105</v>
          </cell>
          <cell r="H213">
            <v>865</v>
          </cell>
          <cell r="I213">
            <v>105</v>
          </cell>
          <cell r="J213">
            <v>165</v>
          </cell>
          <cell r="K213">
            <v>66</v>
          </cell>
          <cell r="L213">
            <v>130</v>
          </cell>
          <cell r="M213">
            <v>56</v>
          </cell>
          <cell r="N213">
            <v>0</v>
          </cell>
          <cell r="O213">
            <v>11</v>
          </cell>
          <cell r="P213">
            <v>23</v>
          </cell>
          <cell r="Q213">
            <v>27</v>
          </cell>
          <cell r="R213">
            <v>12</v>
          </cell>
          <cell r="S213">
            <v>17</v>
          </cell>
          <cell r="T213">
            <v>0</v>
          </cell>
          <cell r="U213">
            <v>11</v>
          </cell>
          <cell r="V213">
            <v>112</v>
          </cell>
          <cell r="W213">
            <v>43</v>
          </cell>
          <cell r="X213">
            <v>36</v>
          </cell>
          <cell r="Y213">
            <v>23</v>
          </cell>
          <cell r="Z213">
            <v>0</v>
          </cell>
          <cell r="AA213">
            <v>11</v>
          </cell>
          <cell r="AB213">
            <v>53</v>
          </cell>
          <cell r="AC213">
            <v>33</v>
          </cell>
          <cell r="AD213">
            <v>23</v>
          </cell>
          <cell r="AE213">
            <v>19</v>
          </cell>
          <cell r="AF213">
            <v>0</v>
          </cell>
          <cell r="AG213">
            <v>11</v>
          </cell>
          <cell r="AH213">
            <v>0</v>
          </cell>
          <cell r="AI213">
            <v>11</v>
          </cell>
          <cell r="AJ213">
            <v>0</v>
          </cell>
          <cell r="AK213">
            <v>11</v>
          </cell>
          <cell r="AL213">
            <v>5</v>
          </cell>
          <cell r="AM213">
            <v>9</v>
          </cell>
          <cell r="AN213">
            <v>11</v>
          </cell>
          <cell r="AO213">
            <v>11</v>
          </cell>
          <cell r="AP213">
            <v>0</v>
          </cell>
          <cell r="AQ213">
            <v>11</v>
          </cell>
          <cell r="AR213">
            <v>12</v>
          </cell>
          <cell r="AS213">
            <v>13</v>
          </cell>
        </row>
        <row r="214">
          <cell r="B214">
            <v>17031170700</v>
          </cell>
          <cell r="D214">
            <v>1434</v>
          </cell>
          <cell r="E214">
            <v>209</v>
          </cell>
          <cell r="F214">
            <v>1174</v>
          </cell>
          <cell r="G214">
            <v>212</v>
          </cell>
          <cell r="H214">
            <v>1092</v>
          </cell>
          <cell r="I214">
            <v>204</v>
          </cell>
          <cell r="J214">
            <v>82</v>
          </cell>
          <cell r="K214">
            <v>52</v>
          </cell>
          <cell r="L214">
            <v>53</v>
          </cell>
          <cell r="M214">
            <v>40</v>
          </cell>
          <cell r="N214">
            <v>29</v>
          </cell>
          <cell r="O214">
            <v>26</v>
          </cell>
          <cell r="P214">
            <v>0</v>
          </cell>
          <cell r="Q214">
            <v>11</v>
          </cell>
          <cell r="R214">
            <v>0</v>
          </cell>
          <cell r="S214">
            <v>11</v>
          </cell>
          <cell r="T214">
            <v>0</v>
          </cell>
          <cell r="U214">
            <v>11</v>
          </cell>
          <cell r="V214">
            <v>195</v>
          </cell>
          <cell r="W214">
            <v>88</v>
          </cell>
          <cell r="X214">
            <v>85</v>
          </cell>
          <cell r="Y214">
            <v>56</v>
          </cell>
          <cell r="Z214">
            <v>0</v>
          </cell>
          <cell r="AA214">
            <v>11</v>
          </cell>
          <cell r="AB214">
            <v>37</v>
          </cell>
          <cell r="AC214">
            <v>34</v>
          </cell>
          <cell r="AD214">
            <v>73</v>
          </cell>
          <cell r="AE214">
            <v>47</v>
          </cell>
          <cell r="AF214">
            <v>0</v>
          </cell>
          <cell r="AG214">
            <v>11</v>
          </cell>
          <cell r="AH214">
            <v>0</v>
          </cell>
          <cell r="AI214">
            <v>11</v>
          </cell>
          <cell r="AJ214">
            <v>0</v>
          </cell>
          <cell r="AK214">
            <v>11</v>
          </cell>
          <cell r="AL214">
            <v>0</v>
          </cell>
          <cell r="AM214">
            <v>11</v>
          </cell>
          <cell r="AN214">
            <v>51</v>
          </cell>
          <cell r="AO214">
            <v>38</v>
          </cell>
          <cell r="AP214">
            <v>5</v>
          </cell>
          <cell r="AQ214">
            <v>17</v>
          </cell>
          <cell r="AR214">
            <v>9</v>
          </cell>
          <cell r="AS214">
            <v>14</v>
          </cell>
        </row>
        <row r="215">
          <cell r="B215">
            <v>17031170800</v>
          </cell>
          <cell r="D215">
            <v>1978</v>
          </cell>
          <cell r="E215">
            <v>203</v>
          </cell>
          <cell r="F215">
            <v>1760</v>
          </cell>
          <cell r="G215">
            <v>215</v>
          </cell>
          <cell r="H215">
            <v>1554</v>
          </cell>
          <cell r="I215">
            <v>200</v>
          </cell>
          <cell r="J215">
            <v>206</v>
          </cell>
          <cell r="K215">
            <v>96</v>
          </cell>
          <cell r="L215">
            <v>198</v>
          </cell>
          <cell r="M215">
            <v>95</v>
          </cell>
          <cell r="N215">
            <v>0</v>
          </cell>
          <cell r="O215">
            <v>11</v>
          </cell>
          <cell r="P215">
            <v>8</v>
          </cell>
          <cell r="Q215">
            <v>12</v>
          </cell>
          <cell r="R215">
            <v>0</v>
          </cell>
          <cell r="S215">
            <v>11</v>
          </cell>
          <cell r="T215">
            <v>0</v>
          </cell>
          <cell r="U215">
            <v>11</v>
          </cell>
          <cell r="V215">
            <v>133</v>
          </cell>
          <cell r="W215">
            <v>68</v>
          </cell>
          <cell r="X215">
            <v>84</v>
          </cell>
          <cell r="Y215">
            <v>48</v>
          </cell>
          <cell r="Z215">
            <v>0</v>
          </cell>
          <cell r="AA215">
            <v>11</v>
          </cell>
          <cell r="AB215">
            <v>14</v>
          </cell>
          <cell r="AC215">
            <v>17</v>
          </cell>
          <cell r="AD215">
            <v>35</v>
          </cell>
          <cell r="AE215">
            <v>34</v>
          </cell>
          <cell r="AF215">
            <v>0</v>
          </cell>
          <cell r="AG215">
            <v>11</v>
          </cell>
          <cell r="AH215">
            <v>0</v>
          </cell>
          <cell r="AI215">
            <v>11</v>
          </cell>
          <cell r="AJ215">
            <v>0</v>
          </cell>
          <cell r="AK215">
            <v>11</v>
          </cell>
          <cell r="AL215">
            <v>7</v>
          </cell>
          <cell r="AM215">
            <v>12</v>
          </cell>
          <cell r="AN215">
            <v>10</v>
          </cell>
          <cell r="AO215">
            <v>15</v>
          </cell>
          <cell r="AP215">
            <v>50</v>
          </cell>
          <cell r="AQ215">
            <v>39</v>
          </cell>
          <cell r="AR215">
            <v>18</v>
          </cell>
          <cell r="AS215">
            <v>20</v>
          </cell>
        </row>
        <row r="216">
          <cell r="B216">
            <v>17031170900</v>
          </cell>
          <cell r="D216">
            <v>954</v>
          </cell>
          <cell r="E216">
            <v>125</v>
          </cell>
          <cell r="F216">
            <v>741</v>
          </cell>
          <cell r="G216">
            <v>108</v>
          </cell>
          <cell r="H216">
            <v>656</v>
          </cell>
          <cell r="I216">
            <v>100</v>
          </cell>
          <cell r="J216">
            <v>85</v>
          </cell>
          <cell r="K216">
            <v>36</v>
          </cell>
          <cell r="L216">
            <v>68</v>
          </cell>
          <cell r="M216">
            <v>38</v>
          </cell>
          <cell r="N216">
            <v>0</v>
          </cell>
          <cell r="O216">
            <v>11</v>
          </cell>
          <cell r="P216">
            <v>7</v>
          </cell>
          <cell r="Q216">
            <v>10</v>
          </cell>
          <cell r="R216">
            <v>0</v>
          </cell>
          <cell r="S216">
            <v>11</v>
          </cell>
          <cell r="T216">
            <v>10</v>
          </cell>
          <cell r="U216">
            <v>14</v>
          </cell>
          <cell r="V216">
            <v>178</v>
          </cell>
          <cell r="W216">
            <v>91</v>
          </cell>
          <cell r="X216">
            <v>127</v>
          </cell>
          <cell r="Y216">
            <v>81</v>
          </cell>
          <cell r="Z216">
            <v>0</v>
          </cell>
          <cell r="AA216">
            <v>11</v>
          </cell>
          <cell r="AB216">
            <v>39</v>
          </cell>
          <cell r="AC216">
            <v>30</v>
          </cell>
          <cell r="AD216">
            <v>12</v>
          </cell>
          <cell r="AE216">
            <v>13</v>
          </cell>
          <cell r="AF216">
            <v>0</v>
          </cell>
          <cell r="AG216">
            <v>11</v>
          </cell>
          <cell r="AH216">
            <v>0</v>
          </cell>
          <cell r="AI216">
            <v>11</v>
          </cell>
          <cell r="AJ216">
            <v>0</v>
          </cell>
          <cell r="AK216">
            <v>11</v>
          </cell>
          <cell r="AL216">
            <v>0</v>
          </cell>
          <cell r="AM216">
            <v>11</v>
          </cell>
          <cell r="AN216">
            <v>6</v>
          </cell>
          <cell r="AO216">
            <v>13</v>
          </cell>
          <cell r="AP216">
            <v>29</v>
          </cell>
          <cell r="AQ216">
            <v>25</v>
          </cell>
          <cell r="AR216">
            <v>0</v>
          </cell>
          <cell r="AS216">
            <v>11</v>
          </cell>
        </row>
        <row r="217">
          <cell r="B217">
            <v>17031171000</v>
          </cell>
          <cell r="D217">
            <v>3992</v>
          </cell>
          <cell r="E217">
            <v>414</v>
          </cell>
          <cell r="F217">
            <v>3305</v>
          </cell>
          <cell r="G217">
            <v>367</v>
          </cell>
          <cell r="H217">
            <v>3002</v>
          </cell>
          <cell r="I217">
            <v>343</v>
          </cell>
          <cell r="J217">
            <v>303</v>
          </cell>
          <cell r="K217">
            <v>132</v>
          </cell>
          <cell r="L217">
            <v>222</v>
          </cell>
          <cell r="M217">
            <v>106</v>
          </cell>
          <cell r="N217">
            <v>11</v>
          </cell>
          <cell r="O217">
            <v>19</v>
          </cell>
          <cell r="P217">
            <v>0</v>
          </cell>
          <cell r="Q217">
            <v>15</v>
          </cell>
          <cell r="R217">
            <v>36</v>
          </cell>
          <cell r="S217">
            <v>59</v>
          </cell>
          <cell r="T217">
            <v>34</v>
          </cell>
          <cell r="U217">
            <v>30</v>
          </cell>
          <cell r="V217">
            <v>419</v>
          </cell>
          <cell r="W217">
            <v>226</v>
          </cell>
          <cell r="X217">
            <v>255</v>
          </cell>
          <cell r="Y217">
            <v>137</v>
          </cell>
          <cell r="Z217">
            <v>0</v>
          </cell>
          <cell r="AA217">
            <v>15</v>
          </cell>
          <cell r="AB217">
            <v>16</v>
          </cell>
          <cell r="AC217">
            <v>25</v>
          </cell>
          <cell r="AD217">
            <v>148</v>
          </cell>
          <cell r="AE217">
            <v>180</v>
          </cell>
          <cell r="AF217">
            <v>0</v>
          </cell>
          <cell r="AG217">
            <v>15</v>
          </cell>
          <cell r="AH217">
            <v>0</v>
          </cell>
          <cell r="AI217">
            <v>15</v>
          </cell>
          <cell r="AJ217">
            <v>11</v>
          </cell>
          <cell r="AK217">
            <v>20</v>
          </cell>
          <cell r="AL217">
            <v>13</v>
          </cell>
          <cell r="AM217">
            <v>20</v>
          </cell>
          <cell r="AN217">
            <v>156</v>
          </cell>
          <cell r="AO217">
            <v>141</v>
          </cell>
          <cell r="AP217">
            <v>22</v>
          </cell>
          <cell r="AQ217">
            <v>34</v>
          </cell>
          <cell r="AR217">
            <v>66</v>
          </cell>
          <cell r="AS217">
            <v>51</v>
          </cell>
        </row>
        <row r="218">
          <cell r="B218">
            <v>17031171100</v>
          </cell>
          <cell r="D218">
            <v>2127</v>
          </cell>
          <cell r="E218">
            <v>266</v>
          </cell>
          <cell r="F218">
            <v>1740</v>
          </cell>
          <cell r="G218">
            <v>278</v>
          </cell>
          <cell r="H218">
            <v>1572</v>
          </cell>
          <cell r="I218">
            <v>271</v>
          </cell>
          <cell r="J218">
            <v>168</v>
          </cell>
          <cell r="K218">
            <v>82</v>
          </cell>
          <cell r="L218">
            <v>125</v>
          </cell>
          <cell r="M218">
            <v>77</v>
          </cell>
          <cell r="N218">
            <v>9</v>
          </cell>
          <cell r="O218">
            <v>16</v>
          </cell>
          <cell r="P218">
            <v>0</v>
          </cell>
          <cell r="Q218">
            <v>11</v>
          </cell>
          <cell r="R218">
            <v>0</v>
          </cell>
          <cell r="S218">
            <v>11</v>
          </cell>
          <cell r="T218">
            <v>34</v>
          </cell>
          <cell r="U218">
            <v>49</v>
          </cell>
          <cell r="V218">
            <v>279</v>
          </cell>
          <cell r="W218">
            <v>132</v>
          </cell>
          <cell r="X218">
            <v>154</v>
          </cell>
          <cell r="Y218">
            <v>105</v>
          </cell>
          <cell r="Z218">
            <v>0</v>
          </cell>
          <cell r="AA218">
            <v>11</v>
          </cell>
          <cell r="AB218">
            <v>55</v>
          </cell>
          <cell r="AC218">
            <v>66</v>
          </cell>
          <cell r="AD218">
            <v>70</v>
          </cell>
          <cell r="AE218">
            <v>69</v>
          </cell>
          <cell r="AF218">
            <v>0</v>
          </cell>
          <cell r="AG218">
            <v>11</v>
          </cell>
          <cell r="AH218">
            <v>0</v>
          </cell>
          <cell r="AI218">
            <v>11</v>
          </cell>
          <cell r="AJ218">
            <v>0</v>
          </cell>
          <cell r="AK218">
            <v>11</v>
          </cell>
          <cell r="AL218">
            <v>24</v>
          </cell>
          <cell r="AM218">
            <v>36</v>
          </cell>
          <cell r="AN218">
            <v>0</v>
          </cell>
          <cell r="AO218">
            <v>11</v>
          </cell>
          <cell r="AP218">
            <v>42</v>
          </cell>
          <cell r="AQ218">
            <v>61</v>
          </cell>
          <cell r="AR218">
            <v>42</v>
          </cell>
          <cell r="AS218">
            <v>35</v>
          </cell>
        </row>
        <row r="219">
          <cell r="B219">
            <v>17031180100</v>
          </cell>
          <cell r="D219">
            <v>2718</v>
          </cell>
          <cell r="E219">
            <v>327</v>
          </cell>
          <cell r="F219">
            <v>2237</v>
          </cell>
          <cell r="G219">
            <v>330</v>
          </cell>
          <cell r="H219">
            <v>2015</v>
          </cell>
          <cell r="I219">
            <v>322</v>
          </cell>
          <cell r="J219">
            <v>222</v>
          </cell>
          <cell r="K219">
            <v>159</v>
          </cell>
          <cell r="L219">
            <v>209</v>
          </cell>
          <cell r="M219">
            <v>158</v>
          </cell>
          <cell r="N219">
            <v>13</v>
          </cell>
          <cell r="O219">
            <v>24</v>
          </cell>
          <cell r="P219">
            <v>0</v>
          </cell>
          <cell r="Q219">
            <v>15</v>
          </cell>
          <cell r="R219">
            <v>0</v>
          </cell>
          <cell r="S219">
            <v>15</v>
          </cell>
          <cell r="T219">
            <v>0</v>
          </cell>
          <cell r="U219">
            <v>15</v>
          </cell>
          <cell r="V219">
            <v>357</v>
          </cell>
          <cell r="W219">
            <v>114</v>
          </cell>
          <cell r="X219">
            <v>265</v>
          </cell>
          <cell r="Y219">
            <v>112</v>
          </cell>
          <cell r="Z219">
            <v>0</v>
          </cell>
          <cell r="AA219">
            <v>15</v>
          </cell>
          <cell r="AB219">
            <v>52</v>
          </cell>
          <cell r="AC219">
            <v>46</v>
          </cell>
          <cell r="AD219">
            <v>40</v>
          </cell>
          <cell r="AE219">
            <v>40</v>
          </cell>
          <cell r="AF219">
            <v>0</v>
          </cell>
          <cell r="AG219">
            <v>15</v>
          </cell>
          <cell r="AH219">
            <v>0</v>
          </cell>
          <cell r="AI219">
            <v>15</v>
          </cell>
          <cell r="AJ219">
            <v>0</v>
          </cell>
          <cell r="AK219">
            <v>15</v>
          </cell>
          <cell r="AL219">
            <v>19</v>
          </cell>
          <cell r="AM219">
            <v>30</v>
          </cell>
          <cell r="AN219">
            <v>31</v>
          </cell>
          <cell r="AO219">
            <v>34</v>
          </cell>
          <cell r="AP219">
            <v>16</v>
          </cell>
          <cell r="AQ219">
            <v>26</v>
          </cell>
          <cell r="AR219">
            <v>58</v>
          </cell>
          <cell r="AS219">
            <v>45</v>
          </cell>
        </row>
        <row r="220">
          <cell r="B220">
            <v>17031190100</v>
          </cell>
          <cell r="D220">
            <v>1155</v>
          </cell>
          <cell r="E220">
            <v>169</v>
          </cell>
          <cell r="F220">
            <v>783</v>
          </cell>
          <cell r="G220">
            <v>154</v>
          </cell>
          <cell r="H220">
            <v>649</v>
          </cell>
          <cell r="I220">
            <v>137</v>
          </cell>
          <cell r="J220">
            <v>134</v>
          </cell>
          <cell r="K220">
            <v>51</v>
          </cell>
          <cell r="L220">
            <v>124</v>
          </cell>
          <cell r="M220">
            <v>51</v>
          </cell>
          <cell r="N220">
            <v>0</v>
          </cell>
          <cell r="O220">
            <v>11</v>
          </cell>
          <cell r="P220">
            <v>10</v>
          </cell>
          <cell r="Q220">
            <v>17</v>
          </cell>
          <cell r="R220">
            <v>0</v>
          </cell>
          <cell r="S220">
            <v>11</v>
          </cell>
          <cell r="T220">
            <v>0</v>
          </cell>
          <cell r="U220">
            <v>11</v>
          </cell>
          <cell r="V220">
            <v>302</v>
          </cell>
          <cell r="W220">
            <v>86</v>
          </cell>
          <cell r="X220">
            <v>245</v>
          </cell>
          <cell r="Y220">
            <v>83</v>
          </cell>
          <cell r="Z220">
            <v>0</v>
          </cell>
          <cell r="AA220">
            <v>11</v>
          </cell>
          <cell r="AB220">
            <v>57</v>
          </cell>
          <cell r="AC220">
            <v>40</v>
          </cell>
          <cell r="AD220">
            <v>0</v>
          </cell>
          <cell r="AE220">
            <v>11</v>
          </cell>
          <cell r="AF220">
            <v>0</v>
          </cell>
          <cell r="AG220">
            <v>11</v>
          </cell>
          <cell r="AH220">
            <v>0</v>
          </cell>
          <cell r="AI220">
            <v>11</v>
          </cell>
          <cell r="AJ220">
            <v>0</v>
          </cell>
          <cell r="AK220">
            <v>11</v>
          </cell>
          <cell r="AL220">
            <v>22</v>
          </cell>
          <cell r="AM220">
            <v>26</v>
          </cell>
          <cell r="AN220">
            <v>25</v>
          </cell>
          <cell r="AO220">
            <v>24</v>
          </cell>
          <cell r="AP220">
            <v>0</v>
          </cell>
          <cell r="AQ220">
            <v>11</v>
          </cell>
          <cell r="AR220">
            <v>23</v>
          </cell>
          <cell r="AS220">
            <v>21</v>
          </cell>
        </row>
        <row r="221">
          <cell r="B221">
            <v>17031190200</v>
          </cell>
          <cell r="D221">
            <v>2473</v>
          </cell>
          <cell r="E221">
            <v>236</v>
          </cell>
          <cell r="F221">
            <v>1776</v>
          </cell>
          <cell r="G221">
            <v>190</v>
          </cell>
          <cell r="H221">
            <v>1486</v>
          </cell>
          <cell r="I221">
            <v>173</v>
          </cell>
          <cell r="J221">
            <v>290</v>
          </cell>
          <cell r="K221">
            <v>127</v>
          </cell>
          <cell r="L221">
            <v>204</v>
          </cell>
          <cell r="M221">
            <v>102</v>
          </cell>
          <cell r="N221">
            <v>80</v>
          </cell>
          <cell r="O221">
            <v>68</v>
          </cell>
          <cell r="P221">
            <v>3</v>
          </cell>
          <cell r="Q221">
            <v>11</v>
          </cell>
          <cell r="R221">
            <v>3</v>
          </cell>
          <cell r="S221">
            <v>16</v>
          </cell>
          <cell r="T221">
            <v>0</v>
          </cell>
          <cell r="U221">
            <v>15</v>
          </cell>
          <cell r="V221">
            <v>483</v>
          </cell>
          <cell r="W221">
            <v>141</v>
          </cell>
          <cell r="X221">
            <v>317</v>
          </cell>
          <cell r="Y221">
            <v>112</v>
          </cell>
          <cell r="Z221">
            <v>0</v>
          </cell>
          <cell r="AA221">
            <v>15</v>
          </cell>
          <cell r="AB221">
            <v>166</v>
          </cell>
          <cell r="AC221">
            <v>113</v>
          </cell>
          <cell r="AD221">
            <v>0</v>
          </cell>
          <cell r="AE221">
            <v>15</v>
          </cell>
          <cell r="AF221">
            <v>0</v>
          </cell>
          <cell r="AG221">
            <v>15</v>
          </cell>
          <cell r="AH221">
            <v>0</v>
          </cell>
          <cell r="AI221">
            <v>15</v>
          </cell>
          <cell r="AJ221">
            <v>37</v>
          </cell>
          <cell r="AK221">
            <v>58</v>
          </cell>
          <cell r="AL221">
            <v>8</v>
          </cell>
          <cell r="AM221">
            <v>13</v>
          </cell>
          <cell r="AN221">
            <v>56</v>
          </cell>
          <cell r="AO221">
            <v>52</v>
          </cell>
          <cell r="AP221">
            <v>56</v>
          </cell>
          <cell r="AQ221">
            <v>60</v>
          </cell>
          <cell r="AR221">
            <v>57</v>
          </cell>
          <cell r="AS221">
            <v>40</v>
          </cell>
        </row>
        <row r="222">
          <cell r="B222">
            <v>17031190300</v>
          </cell>
          <cell r="D222">
            <v>2661</v>
          </cell>
          <cell r="E222">
            <v>316</v>
          </cell>
          <cell r="F222">
            <v>1919</v>
          </cell>
          <cell r="G222">
            <v>277</v>
          </cell>
          <cell r="H222">
            <v>1743</v>
          </cell>
          <cell r="I222">
            <v>273</v>
          </cell>
          <cell r="J222">
            <v>176</v>
          </cell>
          <cell r="K222">
            <v>74</v>
          </cell>
          <cell r="L222">
            <v>154</v>
          </cell>
          <cell r="M222">
            <v>77</v>
          </cell>
          <cell r="N222">
            <v>14</v>
          </cell>
          <cell r="O222">
            <v>19</v>
          </cell>
          <cell r="P222">
            <v>8</v>
          </cell>
          <cell r="Q222">
            <v>13</v>
          </cell>
          <cell r="R222">
            <v>0</v>
          </cell>
          <cell r="S222">
            <v>15</v>
          </cell>
          <cell r="T222">
            <v>0</v>
          </cell>
          <cell r="U222">
            <v>15</v>
          </cell>
          <cell r="V222">
            <v>507</v>
          </cell>
          <cell r="W222">
            <v>198</v>
          </cell>
          <cell r="X222">
            <v>373</v>
          </cell>
          <cell r="Y222">
            <v>192</v>
          </cell>
          <cell r="Z222">
            <v>0</v>
          </cell>
          <cell r="AA222">
            <v>15</v>
          </cell>
          <cell r="AB222">
            <v>134</v>
          </cell>
          <cell r="AC222">
            <v>85</v>
          </cell>
          <cell r="AD222">
            <v>0</v>
          </cell>
          <cell r="AE222">
            <v>15</v>
          </cell>
          <cell r="AF222">
            <v>0</v>
          </cell>
          <cell r="AG222">
            <v>15</v>
          </cell>
          <cell r="AH222">
            <v>0</v>
          </cell>
          <cell r="AI222">
            <v>15</v>
          </cell>
          <cell r="AJ222">
            <v>0</v>
          </cell>
          <cell r="AK222">
            <v>15</v>
          </cell>
          <cell r="AL222">
            <v>15</v>
          </cell>
          <cell r="AM222">
            <v>17</v>
          </cell>
          <cell r="AN222">
            <v>102</v>
          </cell>
          <cell r="AO222">
            <v>64</v>
          </cell>
          <cell r="AP222">
            <v>97</v>
          </cell>
          <cell r="AQ222">
            <v>51</v>
          </cell>
          <cell r="AR222">
            <v>21</v>
          </cell>
          <cell r="AS222">
            <v>23</v>
          </cell>
        </row>
        <row r="223">
          <cell r="B223">
            <v>17031190401</v>
          </cell>
          <cell r="D223">
            <v>1729</v>
          </cell>
          <cell r="E223">
            <v>238</v>
          </cell>
          <cell r="F223">
            <v>1436</v>
          </cell>
          <cell r="G223">
            <v>220</v>
          </cell>
          <cell r="H223">
            <v>1335</v>
          </cell>
          <cell r="I223">
            <v>214</v>
          </cell>
          <cell r="J223">
            <v>101</v>
          </cell>
          <cell r="K223">
            <v>58</v>
          </cell>
          <cell r="L223">
            <v>82</v>
          </cell>
          <cell r="M223">
            <v>52</v>
          </cell>
          <cell r="N223">
            <v>13</v>
          </cell>
          <cell r="O223">
            <v>21</v>
          </cell>
          <cell r="P223">
            <v>6</v>
          </cell>
          <cell r="Q223">
            <v>10</v>
          </cell>
          <cell r="R223">
            <v>0</v>
          </cell>
          <cell r="S223">
            <v>11</v>
          </cell>
          <cell r="T223">
            <v>0</v>
          </cell>
          <cell r="U223">
            <v>11</v>
          </cell>
          <cell r="V223">
            <v>151</v>
          </cell>
          <cell r="W223">
            <v>76</v>
          </cell>
          <cell r="X223">
            <v>132</v>
          </cell>
          <cell r="Y223">
            <v>73</v>
          </cell>
          <cell r="Z223">
            <v>0</v>
          </cell>
          <cell r="AA223">
            <v>11</v>
          </cell>
          <cell r="AB223">
            <v>4</v>
          </cell>
          <cell r="AC223">
            <v>7</v>
          </cell>
          <cell r="AD223">
            <v>15</v>
          </cell>
          <cell r="AE223">
            <v>25</v>
          </cell>
          <cell r="AF223">
            <v>0</v>
          </cell>
          <cell r="AG223">
            <v>11</v>
          </cell>
          <cell r="AH223">
            <v>0</v>
          </cell>
          <cell r="AI223">
            <v>11</v>
          </cell>
          <cell r="AJ223">
            <v>0</v>
          </cell>
          <cell r="AK223">
            <v>11</v>
          </cell>
          <cell r="AL223">
            <v>0</v>
          </cell>
          <cell r="AM223">
            <v>11</v>
          </cell>
          <cell r="AN223">
            <v>36</v>
          </cell>
          <cell r="AO223">
            <v>42</v>
          </cell>
          <cell r="AP223">
            <v>46</v>
          </cell>
          <cell r="AQ223">
            <v>45</v>
          </cell>
          <cell r="AR223">
            <v>60</v>
          </cell>
          <cell r="AS223">
            <v>59</v>
          </cell>
        </row>
        <row r="224">
          <cell r="B224">
            <v>17031190402</v>
          </cell>
          <cell r="D224">
            <v>2465</v>
          </cell>
          <cell r="E224">
            <v>288</v>
          </cell>
          <cell r="F224">
            <v>2127</v>
          </cell>
          <cell r="G224">
            <v>282</v>
          </cell>
          <cell r="H224">
            <v>1829</v>
          </cell>
          <cell r="I224">
            <v>235</v>
          </cell>
          <cell r="J224">
            <v>298</v>
          </cell>
          <cell r="K224">
            <v>164</v>
          </cell>
          <cell r="L224">
            <v>184</v>
          </cell>
          <cell r="M224">
            <v>84</v>
          </cell>
          <cell r="N224">
            <v>49</v>
          </cell>
          <cell r="O224">
            <v>49</v>
          </cell>
          <cell r="P224">
            <v>52</v>
          </cell>
          <cell r="Q224">
            <v>81</v>
          </cell>
          <cell r="R224">
            <v>13</v>
          </cell>
          <cell r="S224">
            <v>20</v>
          </cell>
          <cell r="T224">
            <v>0</v>
          </cell>
          <cell r="U224">
            <v>15</v>
          </cell>
          <cell r="V224">
            <v>225</v>
          </cell>
          <cell r="W224">
            <v>92</v>
          </cell>
          <cell r="X224">
            <v>187</v>
          </cell>
          <cell r="Y224">
            <v>96</v>
          </cell>
          <cell r="Z224">
            <v>0</v>
          </cell>
          <cell r="AA224">
            <v>15</v>
          </cell>
          <cell r="AB224">
            <v>29</v>
          </cell>
          <cell r="AC224">
            <v>26</v>
          </cell>
          <cell r="AD224">
            <v>9</v>
          </cell>
          <cell r="AE224">
            <v>14</v>
          </cell>
          <cell r="AF224">
            <v>0</v>
          </cell>
          <cell r="AG224">
            <v>15</v>
          </cell>
          <cell r="AH224">
            <v>0</v>
          </cell>
          <cell r="AI224">
            <v>15</v>
          </cell>
          <cell r="AJ224">
            <v>0</v>
          </cell>
          <cell r="AK224">
            <v>15</v>
          </cell>
          <cell r="AL224">
            <v>25</v>
          </cell>
          <cell r="AM224">
            <v>29</v>
          </cell>
          <cell r="AN224">
            <v>28</v>
          </cell>
          <cell r="AO224">
            <v>33</v>
          </cell>
          <cell r="AP224">
            <v>20</v>
          </cell>
          <cell r="AQ224">
            <v>31</v>
          </cell>
          <cell r="AR224">
            <v>40</v>
          </cell>
          <cell r="AS224">
            <v>28</v>
          </cell>
        </row>
        <row r="225">
          <cell r="B225">
            <v>17031190601</v>
          </cell>
          <cell r="D225">
            <v>2253</v>
          </cell>
          <cell r="E225">
            <v>352</v>
          </cell>
          <cell r="F225">
            <v>1491</v>
          </cell>
          <cell r="G225">
            <v>269</v>
          </cell>
          <cell r="H225">
            <v>1294</v>
          </cell>
          <cell r="I225">
            <v>277</v>
          </cell>
          <cell r="J225">
            <v>197</v>
          </cell>
          <cell r="K225">
            <v>102</v>
          </cell>
          <cell r="L225">
            <v>115</v>
          </cell>
          <cell r="M225">
            <v>79</v>
          </cell>
          <cell r="N225">
            <v>24</v>
          </cell>
          <cell r="O225">
            <v>39</v>
          </cell>
          <cell r="P225">
            <v>25</v>
          </cell>
          <cell r="Q225">
            <v>38</v>
          </cell>
          <cell r="R225">
            <v>0</v>
          </cell>
          <cell r="S225">
            <v>11</v>
          </cell>
          <cell r="T225">
            <v>33</v>
          </cell>
          <cell r="U225">
            <v>32</v>
          </cell>
          <cell r="V225">
            <v>478</v>
          </cell>
          <cell r="W225">
            <v>173</v>
          </cell>
          <cell r="X225">
            <v>478</v>
          </cell>
          <cell r="Y225">
            <v>173</v>
          </cell>
          <cell r="Z225">
            <v>0</v>
          </cell>
          <cell r="AA225">
            <v>11</v>
          </cell>
          <cell r="AB225">
            <v>0</v>
          </cell>
          <cell r="AC225">
            <v>11</v>
          </cell>
          <cell r="AD225">
            <v>0</v>
          </cell>
          <cell r="AE225">
            <v>11</v>
          </cell>
          <cell r="AF225">
            <v>0</v>
          </cell>
          <cell r="AG225">
            <v>11</v>
          </cell>
          <cell r="AH225">
            <v>0</v>
          </cell>
          <cell r="AI225">
            <v>11</v>
          </cell>
          <cell r="AJ225">
            <v>0</v>
          </cell>
          <cell r="AK225">
            <v>11</v>
          </cell>
          <cell r="AL225">
            <v>27</v>
          </cell>
          <cell r="AM225">
            <v>50</v>
          </cell>
          <cell r="AN225">
            <v>154</v>
          </cell>
          <cell r="AO225">
            <v>117</v>
          </cell>
          <cell r="AP225">
            <v>81</v>
          </cell>
          <cell r="AQ225">
            <v>81</v>
          </cell>
          <cell r="AR225">
            <v>22</v>
          </cell>
          <cell r="AS225">
            <v>26</v>
          </cell>
        </row>
        <row r="226">
          <cell r="B226">
            <v>17031190602</v>
          </cell>
          <cell r="D226">
            <v>2995</v>
          </cell>
          <cell r="E226">
            <v>414</v>
          </cell>
          <cell r="F226">
            <v>2378</v>
          </cell>
          <cell r="G226">
            <v>397</v>
          </cell>
          <cell r="H226">
            <v>1667</v>
          </cell>
          <cell r="I226">
            <v>297</v>
          </cell>
          <cell r="J226">
            <v>711</v>
          </cell>
          <cell r="K226">
            <v>333</v>
          </cell>
          <cell r="L226">
            <v>464</v>
          </cell>
          <cell r="M226">
            <v>184</v>
          </cell>
          <cell r="N226">
            <v>89</v>
          </cell>
          <cell r="O226">
            <v>76</v>
          </cell>
          <cell r="P226">
            <v>0</v>
          </cell>
          <cell r="Q226">
            <v>15</v>
          </cell>
          <cell r="R226">
            <v>158</v>
          </cell>
          <cell r="S226">
            <v>185</v>
          </cell>
          <cell r="T226">
            <v>0</v>
          </cell>
          <cell r="U226">
            <v>15</v>
          </cell>
          <cell r="V226">
            <v>331</v>
          </cell>
          <cell r="W226">
            <v>147</v>
          </cell>
          <cell r="X226">
            <v>183</v>
          </cell>
          <cell r="Y226">
            <v>108</v>
          </cell>
          <cell r="Z226">
            <v>0</v>
          </cell>
          <cell r="AA226">
            <v>15</v>
          </cell>
          <cell r="AB226">
            <v>101</v>
          </cell>
          <cell r="AC226">
            <v>77</v>
          </cell>
          <cell r="AD226">
            <v>47</v>
          </cell>
          <cell r="AE226">
            <v>30</v>
          </cell>
          <cell r="AF226">
            <v>0</v>
          </cell>
          <cell r="AG226">
            <v>15</v>
          </cell>
          <cell r="AH226">
            <v>0</v>
          </cell>
          <cell r="AI226">
            <v>15</v>
          </cell>
          <cell r="AJ226">
            <v>0</v>
          </cell>
          <cell r="AK226">
            <v>15</v>
          </cell>
          <cell r="AL226">
            <v>35</v>
          </cell>
          <cell r="AM226">
            <v>44</v>
          </cell>
          <cell r="AN226">
            <v>133</v>
          </cell>
          <cell r="AO226">
            <v>85</v>
          </cell>
          <cell r="AP226">
            <v>84</v>
          </cell>
          <cell r="AQ226">
            <v>113</v>
          </cell>
          <cell r="AR226">
            <v>34</v>
          </cell>
          <cell r="AS226">
            <v>37</v>
          </cell>
        </row>
        <row r="227">
          <cell r="B227">
            <v>17031190701</v>
          </cell>
          <cell r="D227">
            <v>1259</v>
          </cell>
          <cell r="E227">
            <v>142</v>
          </cell>
          <cell r="F227">
            <v>976</v>
          </cell>
          <cell r="G227">
            <v>132</v>
          </cell>
          <cell r="H227">
            <v>753</v>
          </cell>
          <cell r="I227">
            <v>133</v>
          </cell>
          <cell r="J227">
            <v>223</v>
          </cell>
          <cell r="K227">
            <v>73</v>
          </cell>
          <cell r="L227">
            <v>176</v>
          </cell>
          <cell r="M227">
            <v>61</v>
          </cell>
          <cell r="N227">
            <v>7</v>
          </cell>
          <cell r="O227">
            <v>10</v>
          </cell>
          <cell r="P227">
            <v>40</v>
          </cell>
          <cell r="Q227">
            <v>33</v>
          </cell>
          <cell r="R227">
            <v>0</v>
          </cell>
          <cell r="S227">
            <v>11</v>
          </cell>
          <cell r="T227">
            <v>0</v>
          </cell>
          <cell r="U227">
            <v>11</v>
          </cell>
          <cell r="V227">
            <v>182</v>
          </cell>
          <cell r="W227">
            <v>63</v>
          </cell>
          <cell r="X227">
            <v>162</v>
          </cell>
          <cell r="Y227">
            <v>58</v>
          </cell>
          <cell r="Z227">
            <v>0</v>
          </cell>
          <cell r="AA227">
            <v>11</v>
          </cell>
          <cell r="AB227">
            <v>20</v>
          </cell>
          <cell r="AC227">
            <v>29</v>
          </cell>
          <cell r="AD227">
            <v>0</v>
          </cell>
          <cell r="AE227">
            <v>11</v>
          </cell>
          <cell r="AF227">
            <v>0</v>
          </cell>
          <cell r="AG227">
            <v>11</v>
          </cell>
          <cell r="AH227">
            <v>0</v>
          </cell>
          <cell r="AI227">
            <v>11</v>
          </cell>
          <cell r="AJ227">
            <v>0</v>
          </cell>
          <cell r="AK227">
            <v>11</v>
          </cell>
          <cell r="AL227">
            <v>5</v>
          </cell>
          <cell r="AM227">
            <v>8</v>
          </cell>
          <cell r="AN227">
            <v>39</v>
          </cell>
          <cell r="AO227">
            <v>31</v>
          </cell>
          <cell r="AP227">
            <v>57</v>
          </cell>
          <cell r="AQ227">
            <v>46</v>
          </cell>
          <cell r="AR227">
            <v>0</v>
          </cell>
          <cell r="AS227">
            <v>11</v>
          </cell>
        </row>
        <row r="228">
          <cell r="B228">
            <v>17031190702</v>
          </cell>
          <cell r="D228">
            <v>2137</v>
          </cell>
          <cell r="E228">
            <v>296</v>
          </cell>
          <cell r="F228">
            <v>1490</v>
          </cell>
          <cell r="G228">
            <v>273</v>
          </cell>
          <cell r="H228">
            <v>1059</v>
          </cell>
          <cell r="I228">
            <v>189</v>
          </cell>
          <cell r="J228">
            <v>431</v>
          </cell>
          <cell r="K228">
            <v>197</v>
          </cell>
          <cell r="L228">
            <v>357</v>
          </cell>
          <cell r="M228">
            <v>168</v>
          </cell>
          <cell r="N228">
            <v>74</v>
          </cell>
          <cell r="O228">
            <v>57</v>
          </cell>
          <cell r="P228">
            <v>0</v>
          </cell>
          <cell r="Q228">
            <v>15</v>
          </cell>
          <cell r="R228">
            <v>0</v>
          </cell>
          <cell r="S228">
            <v>15</v>
          </cell>
          <cell r="T228">
            <v>0</v>
          </cell>
          <cell r="U228">
            <v>15</v>
          </cell>
          <cell r="V228">
            <v>529</v>
          </cell>
          <cell r="W228">
            <v>175</v>
          </cell>
          <cell r="X228">
            <v>359</v>
          </cell>
          <cell r="Y228">
            <v>157</v>
          </cell>
          <cell r="Z228">
            <v>0</v>
          </cell>
          <cell r="AA228">
            <v>15</v>
          </cell>
          <cell r="AB228">
            <v>153</v>
          </cell>
          <cell r="AC228">
            <v>101</v>
          </cell>
          <cell r="AD228">
            <v>17</v>
          </cell>
          <cell r="AE228">
            <v>28</v>
          </cell>
          <cell r="AF228">
            <v>0</v>
          </cell>
          <cell r="AG228">
            <v>15</v>
          </cell>
          <cell r="AH228">
            <v>0</v>
          </cell>
          <cell r="AI228">
            <v>15</v>
          </cell>
          <cell r="AJ228">
            <v>0</v>
          </cell>
          <cell r="AK228">
            <v>15</v>
          </cell>
          <cell r="AL228">
            <v>19</v>
          </cell>
          <cell r="AM228">
            <v>28</v>
          </cell>
          <cell r="AN228">
            <v>30</v>
          </cell>
          <cell r="AO228">
            <v>35</v>
          </cell>
          <cell r="AP228">
            <v>35</v>
          </cell>
          <cell r="AQ228">
            <v>40</v>
          </cell>
          <cell r="AR228">
            <v>34</v>
          </cell>
          <cell r="AS228">
            <v>52</v>
          </cell>
        </row>
        <row r="229">
          <cell r="B229">
            <v>17031190800</v>
          </cell>
          <cell r="D229">
            <v>2699</v>
          </cell>
          <cell r="E229">
            <v>268</v>
          </cell>
          <cell r="F229">
            <v>2132</v>
          </cell>
          <cell r="G229">
            <v>266</v>
          </cell>
          <cell r="H229">
            <v>1782</v>
          </cell>
          <cell r="I229">
            <v>247</v>
          </cell>
          <cell r="J229">
            <v>350</v>
          </cell>
          <cell r="K229">
            <v>120</v>
          </cell>
          <cell r="L229">
            <v>209</v>
          </cell>
          <cell r="M229">
            <v>90</v>
          </cell>
          <cell r="N229">
            <v>118</v>
          </cell>
          <cell r="O229">
            <v>86</v>
          </cell>
          <cell r="P229">
            <v>23</v>
          </cell>
          <cell r="Q229">
            <v>26</v>
          </cell>
          <cell r="R229">
            <v>0</v>
          </cell>
          <cell r="S229">
            <v>15</v>
          </cell>
          <cell r="T229">
            <v>0</v>
          </cell>
          <cell r="U229">
            <v>15</v>
          </cell>
          <cell r="V229">
            <v>434</v>
          </cell>
          <cell r="W229">
            <v>130</v>
          </cell>
          <cell r="X229">
            <v>361</v>
          </cell>
          <cell r="Y229">
            <v>119</v>
          </cell>
          <cell r="Z229">
            <v>0</v>
          </cell>
          <cell r="AA229">
            <v>15</v>
          </cell>
          <cell r="AB229">
            <v>65</v>
          </cell>
          <cell r="AC229">
            <v>64</v>
          </cell>
          <cell r="AD229">
            <v>8</v>
          </cell>
          <cell r="AE229">
            <v>11</v>
          </cell>
          <cell r="AF229">
            <v>0</v>
          </cell>
          <cell r="AG229">
            <v>15</v>
          </cell>
          <cell r="AH229">
            <v>0</v>
          </cell>
          <cell r="AI229">
            <v>15</v>
          </cell>
          <cell r="AJ229">
            <v>0</v>
          </cell>
          <cell r="AK229">
            <v>15</v>
          </cell>
          <cell r="AL229">
            <v>9</v>
          </cell>
          <cell r="AM229">
            <v>14</v>
          </cell>
          <cell r="AN229">
            <v>37</v>
          </cell>
          <cell r="AO229">
            <v>38</v>
          </cell>
          <cell r="AP229">
            <v>44</v>
          </cell>
          <cell r="AQ229">
            <v>57</v>
          </cell>
          <cell r="AR229">
            <v>43</v>
          </cell>
          <cell r="AS229">
            <v>49</v>
          </cell>
        </row>
        <row r="230">
          <cell r="B230">
            <v>17031190900</v>
          </cell>
          <cell r="D230">
            <v>871</v>
          </cell>
          <cell r="E230">
            <v>171</v>
          </cell>
          <cell r="F230">
            <v>742</v>
          </cell>
          <cell r="G230">
            <v>142</v>
          </cell>
          <cell r="H230">
            <v>687</v>
          </cell>
          <cell r="I230">
            <v>139</v>
          </cell>
          <cell r="J230">
            <v>55</v>
          </cell>
          <cell r="K230">
            <v>34</v>
          </cell>
          <cell r="L230">
            <v>27</v>
          </cell>
          <cell r="M230">
            <v>20</v>
          </cell>
          <cell r="N230">
            <v>22</v>
          </cell>
          <cell r="O230">
            <v>26</v>
          </cell>
          <cell r="P230">
            <v>0</v>
          </cell>
          <cell r="Q230">
            <v>11</v>
          </cell>
          <cell r="R230">
            <v>6</v>
          </cell>
          <cell r="S230">
            <v>8</v>
          </cell>
          <cell r="T230">
            <v>0</v>
          </cell>
          <cell r="U230">
            <v>11</v>
          </cell>
          <cell r="V230">
            <v>80</v>
          </cell>
          <cell r="W230">
            <v>58</v>
          </cell>
          <cell r="X230">
            <v>60</v>
          </cell>
          <cell r="Y230">
            <v>51</v>
          </cell>
          <cell r="Z230">
            <v>0</v>
          </cell>
          <cell r="AA230">
            <v>11</v>
          </cell>
          <cell r="AB230">
            <v>20</v>
          </cell>
          <cell r="AC230">
            <v>23</v>
          </cell>
          <cell r="AD230">
            <v>0</v>
          </cell>
          <cell r="AE230">
            <v>11</v>
          </cell>
          <cell r="AF230">
            <v>0</v>
          </cell>
          <cell r="AG230">
            <v>11</v>
          </cell>
          <cell r="AH230">
            <v>0</v>
          </cell>
          <cell r="AI230">
            <v>11</v>
          </cell>
          <cell r="AJ230">
            <v>0</v>
          </cell>
          <cell r="AK230">
            <v>11</v>
          </cell>
          <cell r="AL230">
            <v>0</v>
          </cell>
          <cell r="AM230">
            <v>11</v>
          </cell>
          <cell r="AN230">
            <v>42</v>
          </cell>
          <cell r="AO230">
            <v>54</v>
          </cell>
          <cell r="AP230">
            <v>7</v>
          </cell>
          <cell r="AQ230">
            <v>11</v>
          </cell>
          <cell r="AR230">
            <v>0</v>
          </cell>
          <cell r="AS230">
            <v>11</v>
          </cell>
        </row>
        <row r="231">
          <cell r="B231">
            <v>17031191000</v>
          </cell>
          <cell r="D231">
            <v>1126</v>
          </cell>
          <cell r="E231">
            <v>153</v>
          </cell>
          <cell r="F231">
            <v>875</v>
          </cell>
          <cell r="G231">
            <v>138</v>
          </cell>
          <cell r="H231">
            <v>740</v>
          </cell>
          <cell r="I231">
            <v>129</v>
          </cell>
          <cell r="J231">
            <v>135</v>
          </cell>
          <cell r="K231">
            <v>68</v>
          </cell>
          <cell r="L231">
            <v>66</v>
          </cell>
          <cell r="M231">
            <v>41</v>
          </cell>
          <cell r="N231">
            <v>43</v>
          </cell>
          <cell r="O231">
            <v>36</v>
          </cell>
          <cell r="P231">
            <v>11</v>
          </cell>
          <cell r="Q231">
            <v>18</v>
          </cell>
          <cell r="R231">
            <v>15</v>
          </cell>
          <cell r="S231">
            <v>21</v>
          </cell>
          <cell r="T231">
            <v>0</v>
          </cell>
          <cell r="U231">
            <v>11</v>
          </cell>
          <cell r="V231">
            <v>175</v>
          </cell>
          <cell r="W231">
            <v>81</v>
          </cell>
          <cell r="X231">
            <v>103</v>
          </cell>
          <cell r="Y231">
            <v>57</v>
          </cell>
          <cell r="Z231">
            <v>32</v>
          </cell>
          <cell r="AA231">
            <v>50</v>
          </cell>
          <cell r="AB231">
            <v>15</v>
          </cell>
          <cell r="AC231">
            <v>16</v>
          </cell>
          <cell r="AD231">
            <v>25</v>
          </cell>
          <cell r="AE231">
            <v>23</v>
          </cell>
          <cell r="AF231">
            <v>0</v>
          </cell>
          <cell r="AG231">
            <v>11</v>
          </cell>
          <cell r="AH231">
            <v>0</v>
          </cell>
          <cell r="AI231">
            <v>11</v>
          </cell>
          <cell r="AJ231">
            <v>0</v>
          </cell>
          <cell r="AK231">
            <v>11</v>
          </cell>
          <cell r="AL231">
            <v>0</v>
          </cell>
          <cell r="AM231">
            <v>11</v>
          </cell>
          <cell r="AN231">
            <v>9</v>
          </cell>
          <cell r="AO231">
            <v>13</v>
          </cell>
          <cell r="AP231">
            <v>19</v>
          </cell>
          <cell r="AQ231">
            <v>30</v>
          </cell>
          <cell r="AR231">
            <v>48</v>
          </cell>
          <cell r="AS231">
            <v>32</v>
          </cell>
        </row>
        <row r="232">
          <cell r="B232">
            <v>17031191100</v>
          </cell>
          <cell r="D232">
            <v>3250</v>
          </cell>
          <cell r="E232">
            <v>399</v>
          </cell>
          <cell r="F232">
            <v>2632</v>
          </cell>
          <cell r="G232">
            <v>377</v>
          </cell>
          <cell r="H232">
            <v>2001</v>
          </cell>
          <cell r="I232">
            <v>325</v>
          </cell>
          <cell r="J232">
            <v>631</v>
          </cell>
          <cell r="K232">
            <v>223</v>
          </cell>
          <cell r="L232">
            <v>553</v>
          </cell>
          <cell r="M232">
            <v>193</v>
          </cell>
          <cell r="N232">
            <v>50</v>
          </cell>
          <cell r="O232">
            <v>63</v>
          </cell>
          <cell r="P232">
            <v>10</v>
          </cell>
          <cell r="Q232">
            <v>15</v>
          </cell>
          <cell r="R232">
            <v>0</v>
          </cell>
          <cell r="S232">
            <v>15</v>
          </cell>
          <cell r="T232">
            <v>18</v>
          </cell>
          <cell r="U232">
            <v>28</v>
          </cell>
          <cell r="V232">
            <v>570</v>
          </cell>
          <cell r="W232">
            <v>165</v>
          </cell>
          <cell r="X232">
            <v>461</v>
          </cell>
          <cell r="Y232">
            <v>148</v>
          </cell>
          <cell r="Z232">
            <v>0</v>
          </cell>
          <cell r="AA232">
            <v>15</v>
          </cell>
          <cell r="AB232">
            <v>61</v>
          </cell>
          <cell r="AC232">
            <v>52</v>
          </cell>
          <cell r="AD232">
            <v>48</v>
          </cell>
          <cell r="AE232">
            <v>55</v>
          </cell>
          <cell r="AF232">
            <v>0</v>
          </cell>
          <cell r="AG232">
            <v>15</v>
          </cell>
          <cell r="AH232">
            <v>0</v>
          </cell>
          <cell r="AI232">
            <v>15</v>
          </cell>
          <cell r="AJ232">
            <v>0</v>
          </cell>
          <cell r="AK232">
            <v>15</v>
          </cell>
          <cell r="AL232">
            <v>0</v>
          </cell>
          <cell r="AM232">
            <v>15</v>
          </cell>
          <cell r="AN232">
            <v>35</v>
          </cell>
          <cell r="AO232">
            <v>35</v>
          </cell>
          <cell r="AP232">
            <v>7</v>
          </cell>
          <cell r="AQ232">
            <v>10</v>
          </cell>
          <cell r="AR232">
            <v>6</v>
          </cell>
          <cell r="AS232">
            <v>10</v>
          </cell>
        </row>
        <row r="233">
          <cell r="B233">
            <v>17031191200</v>
          </cell>
          <cell r="D233">
            <v>1648</v>
          </cell>
          <cell r="E233">
            <v>198</v>
          </cell>
          <cell r="F233">
            <v>1182</v>
          </cell>
          <cell r="G233">
            <v>183</v>
          </cell>
          <cell r="H233">
            <v>902</v>
          </cell>
          <cell r="I233">
            <v>146</v>
          </cell>
          <cell r="J233">
            <v>280</v>
          </cell>
          <cell r="K233">
            <v>135</v>
          </cell>
          <cell r="L233">
            <v>165</v>
          </cell>
          <cell r="M233">
            <v>83</v>
          </cell>
          <cell r="N233">
            <v>80</v>
          </cell>
          <cell r="O233">
            <v>104</v>
          </cell>
          <cell r="P233">
            <v>35</v>
          </cell>
          <cell r="Q233">
            <v>43</v>
          </cell>
          <cell r="R233">
            <v>0</v>
          </cell>
          <cell r="S233">
            <v>11</v>
          </cell>
          <cell r="T233">
            <v>0</v>
          </cell>
          <cell r="U233">
            <v>11</v>
          </cell>
          <cell r="V233">
            <v>260</v>
          </cell>
          <cell r="W233">
            <v>100</v>
          </cell>
          <cell r="X233">
            <v>204</v>
          </cell>
          <cell r="Y233">
            <v>88</v>
          </cell>
          <cell r="Z233">
            <v>5</v>
          </cell>
          <cell r="AA233">
            <v>8</v>
          </cell>
          <cell r="AB233">
            <v>45</v>
          </cell>
          <cell r="AC233">
            <v>29</v>
          </cell>
          <cell r="AD233">
            <v>6</v>
          </cell>
          <cell r="AE233">
            <v>10</v>
          </cell>
          <cell r="AF233">
            <v>0</v>
          </cell>
          <cell r="AG233">
            <v>11</v>
          </cell>
          <cell r="AH233">
            <v>0</v>
          </cell>
          <cell r="AI233">
            <v>11</v>
          </cell>
          <cell r="AJ233">
            <v>0</v>
          </cell>
          <cell r="AK233">
            <v>11</v>
          </cell>
          <cell r="AL233">
            <v>52</v>
          </cell>
          <cell r="AM233">
            <v>35</v>
          </cell>
          <cell r="AN233">
            <v>30</v>
          </cell>
          <cell r="AO233">
            <v>43</v>
          </cell>
          <cell r="AP233">
            <v>99</v>
          </cell>
          <cell r="AQ233">
            <v>68</v>
          </cell>
          <cell r="AR233">
            <v>25</v>
          </cell>
          <cell r="AS233">
            <v>22</v>
          </cell>
        </row>
        <row r="234">
          <cell r="B234">
            <v>17031191301</v>
          </cell>
          <cell r="D234">
            <v>2670</v>
          </cell>
          <cell r="E234">
            <v>373</v>
          </cell>
          <cell r="F234">
            <v>1962</v>
          </cell>
          <cell r="G234">
            <v>321</v>
          </cell>
          <cell r="H234">
            <v>1664</v>
          </cell>
          <cell r="I234">
            <v>336</v>
          </cell>
          <cell r="J234">
            <v>298</v>
          </cell>
          <cell r="K234">
            <v>150</v>
          </cell>
          <cell r="L234">
            <v>178</v>
          </cell>
          <cell r="M234">
            <v>110</v>
          </cell>
          <cell r="N234">
            <v>72</v>
          </cell>
          <cell r="O234">
            <v>61</v>
          </cell>
          <cell r="P234">
            <v>28</v>
          </cell>
          <cell r="Q234">
            <v>36</v>
          </cell>
          <cell r="R234">
            <v>0</v>
          </cell>
          <cell r="S234">
            <v>15</v>
          </cell>
          <cell r="T234">
            <v>20</v>
          </cell>
          <cell r="U234">
            <v>34</v>
          </cell>
          <cell r="V234">
            <v>334</v>
          </cell>
          <cell r="W234">
            <v>119</v>
          </cell>
          <cell r="X234">
            <v>259</v>
          </cell>
          <cell r="Y234">
            <v>134</v>
          </cell>
          <cell r="Z234">
            <v>0</v>
          </cell>
          <cell r="AA234">
            <v>15</v>
          </cell>
          <cell r="AB234">
            <v>41</v>
          </cell>
          <cell r="AC234">
            <v>39</v>
          </cell>
          <cell r="AD234">
            <v>34</v>
          </cell>
          <cell r="AE234">
            <v>43</v>
          </cell>
          <cell r="AF234">
            <v>0</v>
          </cell>
          <cell r="AG234">
            <v>15</v>
          </cell>
          <cell r="AH234">
            <v>0</v>
          </cell>
          <cell r="AI234">
            <v>15</v>
          </cell>
          <cell r="AJ234">
            <v>23</v>
          </cell>
          <cell r="AK234">
            <v>26</v>
          </cell>
          <cell r="AL234">
            <v>31</v>
          </cell>
          <cell r="AM234">
            <v>49</v>
          </cell>
          <cell r="AN234">
            <v>211</v>
          </cell>
          <cell r="AO234">
            <v>145</v>
          </cell>
          <cell r="AP234">
            <v>52</v>
          </cell>
          <cell r="AQ234">
            <v>64</v>
          </cell>
          <cell r="AR234">
            <v>57</v>
          </cell>
          <cell r="AS234">
            <v>63</v>
          </cell>
        </row>
        <row r="235">
          <cell r="B235">
            <v>17031191302</v>
          </cell>
          <cell r="D235">
            <v>2187</v>
          </cell>
          <cell r="E235">
            <v>266</v>
          </cell>
          <cell r="F235">
            <v>1719</v>
          </cell>
          <cell r="G235">
            <v>263</v>
          </cell>
          <cell r="H235">
            <v>1332</v>
          </cell>
          <cell r="I235">
            <v>252</v>
          </cell>
          <cell r="J235">
            <v>387</v>
          </cell>
          <cell r="K235">
            <v>160</v>
          </cell>
          <cell r="L235">
            <v>250</v>
          </cell>
          <cell r="M235">
            <v>145</v>
          </cell>
          <cell r="N235">
            <v>118</v>
          </cell>
          <cell r="O235">
            <v>70</v>
          </cell>
          <cell r="P235">
            <v>19</v>
          </cell>
          <cell r="Q235">
            <v>20</v>
          </cell>
          <cell r="R235">
            <v>0</v>
          </cell>
          <cell r="S235">
            <v>15</v>
          </cell>
          <cell r="T235">
            <v>0</v>
          </cell>
          <cell r="U235">
            <v>15</v>
          </cell>
          <cell r="V235">
            <v>308</v>
          </cell>
          <cell r="W235">
            <v>114</v>
          </cell>
          <cell r="X235">
            <v>194</v>
          </cell>
          <cell r="Y235">
            <v>102</v>
          </cell>
          <cell r="Z235">
            <v>0</v>
          </cell>
          <cell r="AA235">
            <v>15</v>
          </cell>
          <cell r="AB235">
            <v>95</v>
          </cell>
          <cell r="AC235">
            <v>70</v>
          </cell>
          <cell r="AD235">
            <v>19</v>
          </cell>
          <cell r="AE235">
            <v>24</v>
          </cell>
          <cell r="AF235">
            <v>0</v>
          </cell>
          <cell r="AG235">
            <v>15</v>
          </cell>
          <cell r="AH235">
            <v>0</v>
          </cell>
          <cell r="AI235">
            <v>15</v>
          </cell>
          <cell r="AJ235">
            <v>0</v>
          </cell>
          <cell r="AK235">
            <v>15</v>
          </cell>
          <cell r="AL235">
            <v>17</v>
          </cell>
          <cell r="AM235">
            <v>23</v>
          </cell>
          <cell r="AN235">
            <v>82</v>
          </cell>
          <cell r="AO235">
            <v>65</v>
          </cell>
          <cell r="AP235">
            <v>51</v>
          </cell>
          <cell r="AQ235">
            <v>57</v>
          </cell>
          <cell r="AR235">
            <v>10</v>
          </cell>
          <cell r="AS235">
            <v>17</v>
          </cell>
        </row>
        <row r="236">
          <cell r="B236">
            <v>17031200100</v>
          </cell>
          <cell r="D236">
            <v>2253</v>
          </cell>
          <cell r="E236">
            <v>338</v>
          </cell>
          <cell r="F236">
            <v>1698</v>
          </cell>
          <cell r="G236">
            <v>284</v>
          </cell>
          <cell r="H236">
            <v>1611</v>
          </cell>
          <cell r="I236">
            <v>250</v>
          </cell>
          <cell r="J236">
            <v>87</v>
          </cell>
          <cell r="K236">
            <v>65</v>
          </cell>
          <cell r="L236">
            <v>80</v>
          </cell>
          <cell r="M236">
            <v>63</v>
          </cell>
          <cell r="N236">
            <v>0</v>
          </cell>
          <cell r="O236">
            <v>11</v>
          </cell>
          <cell r="P236">
            <v>7</v>
          </cell>
          <cell r="Q236">
            <v>12</v>
          </cell>
          <cell r="R236">
            <v>0</v>
          </cell>
          <cell r="S236">
            <v>11</v>
          </cell>
          <cell r="T236">
            <v>0</v>
          </cell>
          <cell r="U236">
            <v>11</v>
          </cell>
          <cell r="V236">
            <v>441</v>
          </cell>
          <cell r="W236">
            <v>193</v>
          </cell>
          <cell r="X236">
            <v>351</v>
          </cell>
          <cell r="Y236">
            <v>171</v>
          </cell>
          <cell r="Z236">
            <v>0</v>
          </cell>
          <cell r="AA236">
            <v>11</v>
          </cell>
          <cell r="AB236">
            <v>83</v>
          </cell>
          <cell r="AC236">
            <v>68</v>
          </cell>
          <cell r="AD236">
            <v>7</v>
          </cell>
          <cell r="AE236">
            <v>10</v>
          </cell>
          <cell r="AF236">
            <v>0</v>
          </cell>
          <cell r="AG236">
            <v>11</v>
          </cell>
          <cell r="AH236">
            <v>0</v>
          </cell>
          <cell r="AI236">
            <v>11</v>
          </cell>
          <cell r="AJ236">
            <v>5</v>
          </cell>
          <cell r="AK236">
            <v>9</v>
          </cell>
          <cell r="AL236">
            <v>24</v>
          </cell>
          <cell r="AM236">
            <v>36</v>
          </cell>
          <cell r="AN236">
            <v>7</v>
          </cell>
          <cell r="AO236">
            <v>12</v>
          </cell>
          <cell r="AP236">
            <v>38</v>
          </cell>
          <cell r="AQ236">
            <v>51</v>
          </cell>
          <cell r="AR236">
            <v>40</v>
          </cell>
          <cell r="AS236">
            <v>36</v>
          </cell>
        </row>
        <row r="237">
          <cell r="B237">
            <v>17031200200</v>
          </cell>
          <cell r="D237">
            <v>2240</v>
          </cell>
          <cell r="E237">
            <v>326</v>
          </cell>
          <cell r="F237">
            <v>1625</v>
          </cell>
          <cell r="G237">
            <v>243</v>
          </cell>
          <cell r="H237">
            <v>1435</v>
          </cell>
          <cell r="I237">
            <v>259</v>
          </cell>
          <cell r="J237">
            <v>190</v>
          </cell>
          <cell r="K237">
            <v>88</v>
          </cell>
          <cell r="L237">
            <v>153</v>
          </cell>
          <cell r="M237">
            <v>76</v>
          </cell>
          <cell r="N237">
            <v>21</v>
          </cell>
          <cell r="O237">
            <v>33</v>
          </cell>
          <cell r="P237">
            <v>16</v>
          </cell>
          <cell r="Q237">
            <v>20</v>
          </cell>
          <cell r="R237">
            <v>0</v>
          </cell>
          <cell r="S237">
            <v>11</v>
          </cell>
          <cell r="T237">
            <v>0</v>
          </cell>
          <cell r="U237">
            <v>11</v>
          </cell>
          <cell r="V237">
            <v>438</v>
          </cell>
          <cell r="W237">
            <v>153</v>
          </cell>
          <cell r="X237">
            <v>384</v>
          </cell>
          <cell r="Y237">
            <v>145</v>
          </cell>
          <cell r="Z237">
            <v>0</v>
          </cell>
          <cell r="AA237">
            <v>11</v>
          </cell>
          <cell r="AB237">
            <v>54</v>
          </cell>
          <cell r="AC237">
            <v>51</v>
          </cell>
          <cell r="AD237">
            <v>0</v>
          </cell>
          <cell r="AE237">
            <v>11</v>
          </cell>
          <cell r="AF237">
            <v>0</v>
          </cell>
          <cell r="AG237">
            <v>11</v>
          </cell>
          <cell r="AH237">
            <v>0</v>
          </cell>
          <cell r="AI237">
            <v>11</v>
          </cell>
          <cell r="AJ237">
            <v>0</v>
          </cell>
          <cell r="AK237">
            <v>11</v>
          </cell>
          <cell r="AL237">
            <v>6</v>
          </cell>
          <cell r="AM237">
            <v>11</v>
          </cell>
          <cell r="AN237">
            <v>102</v>
          </cell>
          <cell r="AO237">
            <v>61</v>
          </cell>
          <cell r="AP237">
            <v>21</v>
          </cell>
          <cell r="AQ237">
            <v>33</v>
          </cell>
          <cell r="AR237">
            <v>48</v>
          </cell>
          <cell r="AS237">
            <v>55</v>
          </cell>
        </row>
        <row r="238">
          <cell r="B238">
            <v>17031200300</v>
          </cell>
          <cell r="D238">
            <v>1027</v>
          </cell>
          <cell r="E238">
            <v>161</v>
          </cell>
          <cell r="F238">
            <v>692</v>
          </cell>
          <cell r="G238">
            <v>146</v>
          </cell>
          <cell r="H238">
            <v>571</v>
          </cell>
          <cell r="I238">
            <v>130</v>
          </cell>
          <cell r="J238">
            <v>121</v>
          </cell>
          <cell r="K238">
            <v>78</v>
          </cell>
          <cell r="L238">
            <v>61</v>
          </cell>
          <cell r="M238">
            <v>29</v>
          </cell>
          <cell r="N238">
            <v>46</v>
          </cell>
          <cell r="O238">
            <v>59</v>
          </cell>
          <cell r="P238">
            <v>0</v>
          </cell>
          <cell r="Q238">
            <v>11</v>
          </cell>
          <cell r="R238">
            <v>14</v>
          </cell>
          <cell r="S238">
            <v>21</v>
          </cell>
          <cell r="T238">
            <v>0</v>
          </cell>
          <cell r="U238">
            <v>11</v>
          </cell>
          <cell r="V238">
            <v>240</v>
          </cell>
          <cell r="W238">
            <v>72</v>
          </cell>
          <cell r="X238">
            <v>197</v>
          </cell>
          <cell r="Y238">
            <v>69</v>
          </cell>
          <cell r="Z238">
            <v>0</v>
          </cell>
          <cell r="AA238">
            <v>11</v>
          </cell>
          <cell r="AB238">
            <v>41</v>
          </cell>
          <cell r="AC238">
            <v>31</v>
          </cell>
          <cell r="AD238">
            <v>2</v>
          </cell>
          <cell r="AE238">
            <v>10</v>
          </cell>
          <cell r="AF238">
            <v>0</v>
          </cell>
          <cell r="AG238">
            <v>11</v>
          </cell>
          <cell r="AH238">
            <v>7</v>
          </cell>
          <cell r="AI238">
            <v>10</v>
          </cell>
          <cell r="AJ238">
            <v>0</v>
          </cell>
          <cell r="AK238">
            <v>11</v>
          </cell>
          <cell r="AL238">
            <v>13</v>
          </cell>
          <cell r="AM238">
            <v>20</v>
          </cell>
          <cell r="AN238">
            <v>9</v>
          </cell>
          <cell r="AO238">
            <v>15</v>
          </cell>
          <cell r="AP238">
            <v>60</v>
          </cell>
          <cell r="AQ238">
            <v>63</v>
          </cell>
          <cell r="AR238">
            <v>6</v>
          </cell>
          <cell r="AS238">
            <v>10</v>
          </cell>
        </row>
        <row r="239">
          <cell r="B239">
            <v>17031200401</v>
          </cell>
          <cell r="D239">
            <v>1591</v>
          </cell>
          <cell r="E239">
            <v>202</v>
          </cell>
          <cell r="F239">
            <v>1186</v>
          </cell>
          <cell r="G239">
            <v>185</v>
          </cell>
          <cell r="H239">
            <v>1027</v>
          </cell>
          <cell r="I239">
            <v>193</v>
          </cell>
          <cell r="J239">
            <v>159</v>
          </cell>
          <cell r="K239">
            <v>86</v>
          </cell>
          <cell r="L239">
            <v>121</v>
          </cell>
          <cell r="M239">
            <v>76</v>
          </cell>
          <cell r="N239">
            <v>22</v>
          </cell>
          <cell r="O239">
            <v>27</v>
          </cell>
          <cell r="P239">
            <v>0</v>
          </cell>
          <cell r="Q239">
            <v>11</v>
          </cell>
          <cell r="R239">
            <v>16</v>
          </cell>
          <cell r="S239">
            <v>25</v>
          </cell>
          <cell r="T239">
            <v>0</v>
          </cell>
          <cell r="U239">
            <v>11</v>
          </cell>
          <cell r="V239">
            <v>255</v>
          </cell>
          <cell r="W239">
            <v>93</v>
          </cell>
          <cell r="X239">
            <v>198</v>
          </cell>
          <cell r="Y239">
            <v>80</v>
          </cell>
          <cell r="Z239">
            <v>0</v>
          </cell>
          <cell r="AA239">
            <v>11</v>
          </cell>
          <cell r="AB239">
            <v>43</v>
          </cell>
          <cell r="AC239">
            <v>31</v>
          </cell>
          <cell r="AD239">
            <v>14</v>
          </cell>
          <cell r="AE239">
            <v>20</v>
          </cell>
          <cell r="AF239">
            <v>0</v>
          </cell>
          <cell r="AG239">
            <v>11</v>
          </cell>
          <cell r="AH239">
            <v>0</v>
          </cell>
          <cell r="AI239">
            <v>11</v>
          </cell>
          <cell r="AJ239">
            <v>0</v>
          </cell>
          <cell r="AK239">
            <v>11</v>
          </cell>
          <cell r="AL239">
            <v>43</v>
          </cell>
          <cell r="AM239">
            <v>53</v>
          </cell>
          <cell r="AN239">
            <v>48</v>
          </cell>
          <cell r="AO239">
            <v>42</v>
          </cell>
          <cell r="AP239">
            <v>40</v>
          </cell>
          <cell r="AQ239">
            <v>31</v>
          </cell>
          <cell r="AR239">
            <v>19</v>
          </cell>
          <cell r="AS239">
            <v>24</v>
          </cell>
        </row>
        <row r="240">
          <cell r="B240">
            <v>17031200402</v>
          </cell>
          <cell r="D240">
            <v>2095</v>
          </cell>
          <cell r="E240">
            <v>355</v>
          </cell>
          <cell r="F240">
            <v>1421</v>
          </cell>
          <cell r="G240">
            <v>269</v>
          </cell>
          <cell r="H240">
            <v>1109</v>
          </cell>
          <cell r="I240">
            <v>237</v>
          </cell>
          <cell r="J240">
            <v>312</v>
          </cell>
          <cell r="K240">
            <v>153</v>
          </cell>
          <cell r="L240">
            <v>211</v>
          </cell>
          <cell r="M240">
            <v>119</v>
          </cell>
          <cell r="N240">
            <v>77</v>
          </cell>
          <cell r="O240">
            <v>67</v>
          </cell>
          <cell r="P240">
            <v>0</v>
          </cell>
          <cell r="Q240">
            <v>11</v>
          </cell>
          <cell r="R240">
            <v>24</v>
          </cell>
          <cell r="S240">
            <v>39</v>
          </cell>
          <cell r="T240">
            <v>0</v>
          </cell>
          <cell r="U240">
            <v>11</v>
          </cell>
          <cell r="V240">
            <v>443</v>
          </cell>
          <cell r="W240">
            <v>173</v>
          </cell>
          <cell r="X240">
            <v>283</v>
          </cell>
          <cell r="Y240">
            <v>143</v>
          </cell>
          <cell r="Z240">
            <v>0</v>
          </cell>
          <cell r="AA240">
            <v>11</v>
          </cell>
          <cell r="AB240">
            <v>131</v>
          </cell>
          <cell r="AC240">
            <v>96</v>
          </cell>
          <cell r="AD240">
            <v>29</v>
          </cell>
          <cell r="AE240">
            <v>27</v>
          </cell>
          <cell r="AF240">
            <v>0</v>
          </cell>
          <cell r="AG240">
            <v>11</v>
          </cell>
          <cell r="AH240">
            <v>0</v>
          </cell>
          <cell r="AI240">
            <v>11</v>
          </cell>
          <cell r="AJ240">
            <v>0</v>
          </cell>
          <cell r="AK240">
            <v>11</v>
          </cell>
          <cell r="AL240">
            <v>0</v>
          </cell>
          <cell r="AM240">
            <v>11</v>
          </cell>
          <cell r="AN240">
            <v>133</v>
          </cell>
          <cell r="AO240">
            <v>105</v>
          </cell>
          <cell r="AP240">
            <v>15</v>
          </cell>
          <cell r="AQ240">
            <v>24</v>
          </cell>
          <cell r="AR240">
            <v>83</v>
          </cell>
          <cell r="AS240">
            <v>67</v>
          </cell>
        </row>
        <row r="241">
          <cell r="B241">
            <v>17031210100</v>
          </cell>
          <cell r="D241">
            <v>1715</v>
          </cell>
          <cell r="E241">
            <v>227</v>
          </cell>
          <cell r="F241">
            <v>1014</v>
          </cell>
          <cell r="G241">
            <v>198</v>
          </cell>
          <cell r="H241">
            <v>842</v>
          </cell>
          <cell r="I241">
            <v>175</v>
          </cell>
          <cell r="J241">
            <v>172</v>
          </cell>
          <cell r="K241">
            <v>99</v>
          </cell>
          <cell r="L241">
            <v>132</v>
          </cell>
          <cell r="M241">
            <v>84</v>
          </cell>
          <cell r="N241">
            <v>23</v>
          </cell>
          <cell r="O241">
            <v>37</v>
          </cell>
          <cell r="P241">
            <v>0</v>
          </cell>
          <cell r="Q241">
            <v>11</v>
          </cell>
          <cell r="R241">
            <v>0</v>
          </cell>
          <cell r="S241">
            <v>11</v>
          </cell>
          <cell r="T241">
            <v>17</v>
          </cell>
          <cell r="U241">
            <v>24</v>
          </cell>
          <cell r="V241">
            <v>481</v>
          </cell>
          <cell r="W241">
            <v>151</v>
          </cell>
          <cell r="X241">
            <v>212</v>
          </cell>
          <cell r="Y241">
            <v>99</v>
          </cell>
          <cell r="Z241">
            <v>0</v>
          </cell>
          <cell r="AA241">
            <v>11</v>
          </cell>
          <cell r="AB241">
            <v>269</v>
          </cell>
          <cell r="AC241">
            <v>103</v>
          </cell>
          <cell r="AD241">
            <v>0</v>
          </cell>
          <cell r="AE241">
            <v>11</v>
          </cell>
          <cell r="AF241">
            <v>0</v>
          </cell>
          <cell r="AG241">
            <v>11</v>
          </cell>
          <cell r="AH241">
            <v>0</v>
          </cell>
          <cell r="AI241">
            <v>11</v>
          </cell>
          <cell r="AJ241">
            <v>0</v>
          </cell>
          <cell r="AK241">
            <v>11</v>
          </cell>
          <cell r="AL241">
            <v>16</v>
          </cell>
          <cell r="AM241">
            <v>25</v>
          </cell>
          <cell r="AN241">
            <v>75</v>
          </cell>
          <cell r="AO241">
            <v>63</v>
          </cell>
          <cell r="AP241">
            <v>45</v>
          </cell>
          <cell r="AQ241">
            <v>65</v>
          </cell>
          <cell r="AR241">
            <v>84</v>
          </cell>
          <cell r="AS241">
            <v>48</v>
          </cell>
        </row>
        <row r="242">
          <cell r="B242">
            <v>17031210400</v>
          </cell>
          <cell r="D242">
            <v>1231</v>
          </cell>
          <cell r="E242">
            <v>135</v>
          </cell>
          <cell r="F242">
            <v>784</v>
          </cell>
          <cell r="G242">
            <v>103</v>
          </cell>
          <cell r="H242">
            <v>660</v>
          </cell>
          <cell r="I242">
            <v>107</v>
          </cell>
          <cell r="J242">
            <v>124</v>
          </cell>
          <cell r="K242">
            <v>48</v>
          </cell>
          <cell r="L242">
            <v>111</v>
          </cell>
          <cell r="M242">
            <v>43</v>
          </cell>
          <cell r="N242">
            <v>13</v>
          </cell>
          <cell r="O242">
            <v>19</v>
          </cell>
          <cell r="P242">
            <v>0</v>
          </cell>
          <cell r="Q242">
            <v>11</v>
          </cell>
          <cell r="R242">
            <v>0</v>
          </cell>
          <cell r="S242">
            <v>11</v>
          </cell>
          <cell r="T242">
            <v>0</v>
          </cell>
          <cell r="U242">
            <v>11</v>
          </cell>
          <cell r="V242">
            <v>315</v>
          </cell>
          <cell r="W242">
            <v>62</v>
          </cell>
          <cell r="X242">
            <v>154</v>
          </cell>
          <cell r="Y242">
            <v>61</v>
          </cell>
          <cell r="Z242">
            <v>0</v>
          </cell>
          <cell r="AA242">
            <v>11</v>
          </cell>
          <cell r="AB242">
            <v>161</v>
          </cell>
          <cell r="AC242">
            <v>43</v>
          </cell>
          <cell r="AD242">
            <v>0</v>
          </cell>
          <cell r="AE242">
            <v>11</v>
          </cell>
          <cell r="AF242">
            <v>0</v>
          </cell>
          <cell r="AG242">
            <v>11</v>
          </cell>
          <cell r="AH242">
            <v>0</v>
          </cell>
          <cell r="AI242">
            <v>11</v>
          </cell>
          <cell r="AJ242">
            <v>0</v>
          </cell>
          <cell r="AK242">
            <v>11</v>
          </cell>
          <cell r="AL242">
            <v>14</v>
          </cell>
          <cell r="AM242">
            <v>12</v>
          </cell>
          <cell r="AN242">
            <v>42</v>
          </cell>
          <cell r="AO242">
            <v>28</v>
          </cell>
          <cell r="AP242">
            <v>14</v>
          </cell>
          <cell r="AQ242">
            <v>16</v>
          </cell>
          <cell r="AR242">
            <v>62</v>
          </cell>
          <cell r="AS242">
            <v>43</v>
          </cell>
        </row>
        <row r="243">
          <cell r="B243">
            <v>17031210501</v>
          </cell>
          <cell r="D243">
            <v>2036</v>
          </cell>
          <cell r="E243">
            <v>249</v>
          </cell>
          <cell r="F243">
            <v>1170</v>
          </cell>
          <cell r="G243">
            <v>179</v>
          </cell>
          <cell r="H243">
            <v>855</v>
          </cell>
          <cell r="I243">
            <v>164</v>
          </cell>
          <cell r="J243">
            <v>315</v>
          </cell>
          <cell r="K243">
            <v>127</v>
          </cell>
          <cell r="L243">
            <v>27</v>
          </cell>
          <cell r="M243">
            <v>26</v>
          </cell>
          <cell r="N243">
            <v>231</v>
          </cell>
          <cell r="O243">
            <v>135</v>
          </cell>
          <cell r="P243">
            <v>26</v>
          </cell>
          <cell r="Q243">
            <v>42</v>
          </cell>
          <cell r="R243">
            <v>0</v>
          </cell>
          <cell r="S243">
            <v>11</v>
          </cell>
          <cell r="T243">
            <v>31</v>
          </cell>
          <cell r="U243">
            <v>30</v>
          </cell>
          <cell r="V243">
            <v>665</v>
          </cell>
          <cell r="W243">
            <v>236</v>
          </cell>
          <cell r="X243">
            <v>324</v>
          </cell>
          <cell r="Y243">
            <v>123</v>
          </cell>
          <cell r="Z243">
            <v>0</v>
          </cell>
          <cell r="AA243">
            <v>11</v>
          </cell>
          <cell r="AB243">
            <v>341</v>
          </cell>
          <cell r="AC243">
            <v>189</v>
          </cell>
          <cell r="AD243">
            <v>0</v>
          </cell>
          <cell r="AE243">
            <v>11</v>
          </cell>
          <cell r="AF243">
            <v>0</v>
          </cell>
          <cell r="AG243">
            <v>11</v>
          </cell>
          <cell r="AH243">
            <v>0</v>
          </cell>
          <cell r="AI243">
            <v>11</v>
          </cell>
          <cell r="AJ243">
            <v>0</v>
          </cell>
          <cell r="AK243">
            <v>11</v>
          </cell>
          <cell r="AL243">
            <v>21</v>
          </cell>
          <cell r="AM243">
            <v>29</v>
          </cell>
          <cell r="AN243">
            <v>74</v>
          </cell>
          <cell r="AO243">
            <v>45</v>
          </cell>
          <cell r="AP243">
            <v>39</v>
          </cell>
          <cell r="AQ243">
            <v>38</v>
          </cell>
          <cell r="AR243">
            <v>67</v>
          </cell>
          <cell r="AS243">
            <v>51</v>
          </cell>
        </row>
        <row r="244">
          <cell r="B244">
            <v>17031210502</v>
          </cell>
          <cell r="D244">
            <v>2034</v>
          </cell>
          <cell r="E244">
            <v>214</v>
          </cell>
          <cell r="F244">
            <v>1296</v>
          </cell>
          <cell r="G244">
            <v>186</v>
          </cell>
          <cell r="H244">
            <v>1124</v>
          </cell>
          <cell r="I244">
            <v>169</v>
          </cell>
          <cell r="J244">
            <v>172</v>
          </cell>
          <cell r="K244">
            <v>94</v>
          </cell>
          <cell r="L244">
            <v>143</v>
          </cell>
          <cell r="M244">
            <v>87</v>
          </cell>
          <cell r="N244">
            <v>29</v>
          </cell>
          <cell r="O244">
            <v>26</v>
          </cell>
          <cell r="P244">
            <v>0</v>
          </cell>
          <cell r="Q244">
            <v>11</v>
          </cell>
          <cell r="R244">
            <v>0</v>
          </cell>
          <cell r="S244">
            <v>11</v>
          </cell>
          <cell r="T244">
            <v>0</v>
          </cell>
          <cell r="U244">
            <v>11</v>
          </cell>
          <cell r="V244">
            <v>597</v>
          </cell>
          <cell r="W244">
            <v>170</v>
          </cell>
          <cell r="X244">
            <v>310</v>
          </cell>
          <cell r="Y244">
            <v>123</v>
          </cell>
          <cell r="Z244">
            <v>0</v>
          </cell>
          <cell r="AA244">
            <v>11</v>
          </cell>
          <cell r="AB244">
            <v>269</v>
          </cell>
          <cell r="AC244">
            <v>103</v>
          </cell>
          <cell r="AD244">
            <v>18</v>
          </cell>
          <cell r="AE244">
            <v>29</v>
          </cell>
          <cell r="AF244">
            <v>0</v>
          </cell>
          <cell r="AG244">
            <v>11</v>
          </cell>
          <cell r="AH244">
            <v>0</v>
          </cell>
          <cell r="AI244">
            <v>11</v>
          </cell>
          <cell r="AJ244">
            <v>0</v>
          </cell>
          <cell r="AK244">
            <v>11</v>
          </cell>
          <cell r="AL244">
            <v>36</v>
          </cell>
          <cell r="AM244">
            <v>29</v>
          </cell>
          <cell r="AN244">
            <v>27</v>
          </cell>
          <cell r="AO244">
            <v>31</v>
          </cell>
          <cell r="AP244">
            <v>0</v>
          </cell>
          <cell r="AQ244">
            <v>11</v>
          </cell>
          <cell r="AR244">
            <v>78</v>
          </cell>
          <cell r="AS244">
            <v>67</v>
          </cell>
        </row>
        <row r="245">
          <cell r="B245">
            <v>17031210601</v>
          </cell>
          <cell r="D245">
            <v>1490</v>
          </cell>
          <cell r="E245">
            <v>265</v>
          </cell>
          <cell r="F245">
            <v>905</v>
          </cell>
          <cell r="G245">
            <v>198</v>
          </cell>
          <cell r="H245">
            <v>775</v>
          </cell>
          <cell r="I245">
            <v>178</v>
          </cell>
          <cell r="J245">
            <v>130</v>
          </cell>
          <cell r="K245">
            <v>73</v>
          </cell>
          <cell r="L245">
            <v>97</v>
          </cell>
          <cell r="M245">
            <v>67</v>
          </cell>
          <cell r="N245">
            <v>33</v>
          </cell>
          <cell r="O245">
            <v>32</v>
          </cell>
          <cell r="P245">
            <v>0</v>
          </cell>
          <cell r="Q245">
            <v>11</v>
          </cell>
          <cell r="R245">
            <v>0</v>
          </cell>
          <cell r="S245">
            <v>11</v>
          </cell>
          <cell r="T245">
            <v>0</v>
          </cell>
          <cell r="U245">
            <v>11</v>
          </cell>
          <cell r="V245">
            <v>533</v>
          </cell>
          <cell r="W245">
            <v>205</v>
          </cell>
          <cell r="X245">
            <v>251</v>
          </cell>
          <cell r="Y245">
            <v>174</v>
          </cell>
          <cell r="Z245">
            <v>0</v>
          </cell>
          <cell r="AA245">
            <v>11</v>
          </cell>
          <cell r="AB245">
            <v>273</v>
          </cell>
          <cell r="AC245">
            <v>130</v>
          </cell>
          <cell r="AD245">
            <v>9</v>
          </cell>
          <cell r="AE245">
            <v>13</v>
          </cell>
          <cell r="AF245">
            <v>0</v>
          </cell>
          <cell r="AG245">
            <v>11</v>
          </cell>
          <cell r="AH245">
            <v>0</v>
          </cell>
          <cell r="AI245">
            <v>11</v>
          </cell>
          <cell r="AJ245">
            <v>0</v>
          </cell>
          <cell r="AK245">
            <v>11</v>
          </cell>
          <cell r="AL245">
            <v>0</v>
          </cell>
          <cell r="AM245">
            <v>11</v>
          </cell>
          <cell r="AN245">
            <v>0</v>
          </cell>
          <cell r="AO245">
            <v>11</v>
          </cell>
          <cell r="AP245">
            <v>13</v>
          </cell>
          <cell r="AQ245">
            <v>20</v>
          </cell>
          <cell r="AR245">
            <v>39</v>
          </cell>
          <cell r="AS245">
            <v>41</v>
          </cell>
        </row>
        <row r="246">
          <cell r="B246">
            <v>17031210602</v>
          </cell>
          <cell r="D246">
            <v>2105</v>
          </cell>
          <cell r="E246">
            <v>241</v>
          </cell>
          <cell r="F246">
            <v>951</v>
          </cell>
          <cell r="G246">
            <v>160</v>
          </cell>
          <cell r="H246">
            <v>812</v>
          </cell>
          <cell r="I246">
            <v>150</v>
          </cell>
          <cell r="J246">
            <v>139</v>
          </cell>
          <cell r="K246">
            <v>79</v>
          </cell>
          <cell r="L246">
            <v>91</v>
          </cell>
          <cell r="M246">
            <v>63</v>
          </cell>
          <cell r="N246">
            <v>48</v>
          </cell>
          <cell r="O246">
            <v>56</v>
          </cell>
          <cell r="P246">
            <v>0</v>
          </cell>
          <cell r="Q246">
            <v>11</v>
          </cell>
          <cell r="R246">
            <v>0</v>
          </cell>
          <cell r="S246">
            <v>11</v>
          </cell>
          <cell r="T246">
            <v>0</v>
          </cell>
          <cell r="U246">
            <v>11</v>
          </cell>
          <cell r="V246">
            <v>916</v>
          </cell>
          <cell r="W246">
            <v>209</v>
          </cell>
          <cell r="X246">
            <v>227</v>
          </cell>
          <cell r="Y246">
            <v>93</v>
          </cell>
          <cell r="Z246">
            <v>0</v>
          </cell>
          <cell r="AA246">
            <v>11</v>
          </cell>
          <cell r="AB246">
            <v>682</v>
          </cell>
          <cell r="AC246">
            <v>201</v>
          </cell>
          <cell r="AD246">
            <v>7</v>
          </cell>
          <cell r="AE246">
            <v>11</v>
          </cell>
          <cell r="AF246">
            <v>0</v>
          </cell>
          <cell r="AG246">
            <v>11</v>
          </cell>
          <cell r="AH246">
            <v>0</v>
          </cell>
          <cell r="AI246">
            <v>11</v>
          </cell>
          <cell r="AJ246">
            <v>0</v>
          </cell>
          <cell r="AK246">
            <v>11</v>
          </cell>
          <cell r="AL246">
            <v>57</v>
          </cell>
          <cell r="AM246">
            <v>43</v>
          </cell>
          <cell r="AN246">
            <v>59</v>
          </cell>
          <cell r="AO246">
            <v>53</v>
          </cell>
          <cell r="AP246">
            <v>0</v>
          </cell>
          <cell r="AQ246">
            <v>11</v>
          </cell>
          <cell r="AR246">
            <v>122</v>
          </cell>
          <cell r="AS246">
            <v>80</v>
          </cell>
        </row>
        <row r="247">
          <cell r="B247">
            <v>17031210700</v>
          </cell>
          <cell r="D247">
            <v>2265</v>
          </cell>
          <cell r="E247">
            <v>241</v>
          </cell>
          <cell r="F247">
            <v>1255</v>
          </cell>
          <cell r="G247">
            <v>206</v>
          </cell>
          <cell r="H247">
            <v>995</v>
          </cell>
          <cell r="I247">
            <v>164</v>
          </cell>
          <cell r="J247">
            <v>260</v>
          </cell>
          <cell r="K247">
            <v>125</v>
          </cell>
          <cell r="L247">
            <v>200</v>
          </cell>
          <cell r="M247">
            <v>115</v>
          </cell>
          <cell r="N247">
            <v>48</v>
          </cell>
          <cell r="O247">
            <v>54</v>
          </cell>
          <cell r="P247">
            <v>12</v>
          </cell>
          <cell r="Q247">
            <v>20</v>
          </cell>
          <cell r="R247">
            <v>0</v>
          </cell>
          <cell r="S247">
            <v>11</v>
          </cell>
          <cell r="T247">
            <v>0</v>
          </cell>
          <cell r="U247">
            <v>11</v>
          </cell>
          <cell r="V247">
            <v>584</v>
          </cell>
          <cell r="W247">
            <v>143</v>
          </cell>
          <cell r="X247">
            <v>153</v>
          </cell>
          <cell r="Y247">
            <v>83</v>
          </cell>
          <cell r="Z247">
            <v>0</v>
          </cell>
          <cell r="AA247">
            <v>11</v>
          </cell>
          <cell r="AB247">
            <v>415</v>
          </cell>
          <cell r="AC247">
            <v>115</v>
          </cell>
          <cell r="AD247">
            <v>16</v>
          </cell>
          <cell r="AE247">
            <v>18</v>
          </cell>
          <cell r="AF247">
            <v>0</v>
          </cell>
          <cell r="AG247">
            <v>11</v>
          </cell>
          <cell r="AH247">
            <v>15</v>
          </cell>
          <cell r="AI247">
            <v>17</v>
          </cell>
          <cell r="AJ247">
            <v>7</v>
          </cell>
          <cell r="AK247">
            <v>10</v>
          </cell>
          <cell r="AL247">
            <v>85</v>
          </cell>
          <cell r="AM247">
            <v>40</v>
          </cell>
          <cell r="AN247">
            <v>112</v>
          </cell>
          <cell r="AO247">
            <v>55</v>
          </cell>
          <cell r="AP247">
            <v>22</v>
          </cell>
          <cell r="AQ247">
            <v>34</v>
          </cell>
          <cell r="AR247">
            <v>185</v>
          </cell>
          <cell r="AS247">
            <v>77</v>
          </cell>
        </row>
        <row r="248">
          <cell r="B248">
            <v>17031210800</v>
          </cell>
          <cell r="D248">
            <v>748</v>
          </cell>
          <cell r="E248">
            <v>132</v>
          </cell>
          <cell r="F248">
            <v>433</v>
          </cell>
          <cell r="G248">
            <v>104</v>
          </cell>
          <cell r="H248">
            <v>390</v>
          </cell>
          <cell r="I248">
            <v>94</v>
          </cell>
          <cell r="J248">
            <v>43</v>
          </cell>
          <cell r="K248">
            <v>48</v>
          </cell>
          <cell r="L248">
            <v>43</v>
          </cell>
          <cell r="M248">
            <v>48</v>
          </cell>
          <cell r="N248">
            <v>0</v>
          </cell>
          <cell r="O248">
            <v>11</v>
          </cell>
          <cell r="P248">
            <v>0</v>
          </cell>
          <cell r="Q248">
            <v>11</v>
          </cell>
          <cell r="R248">
            <v>0</v>
          </cell>
          <cell r="S248">
            <v>11</v>
          </cell>
          <cell r="T248">
            <v>0</v>
          </cell>
          <cell r="U248">
            <v>11</v>
          </cell>
          <cell r="V248">
            <v>201</v>
          </cell>
          <cell r="W248">
            <v>67</v>
          </cell>
          <cell r="X248">
            <v>130</v>
          </cell>
          <cell r="Y248">
            <v>50</v>
          </cell>
          <cell r="Z248">
            <v>0</v>
          </cell>
          <cell r="AA248">
            <v>11</v>
          </cell>
          <cell r="AB248">
            <v>71</v>
          </cell>
          <cell r="AC248">
            <v>38</v>
          </cell>
          <cell r="AD248">
            <v>0</v>
          </cell>
          <cell r="AE248">
            <v>11</v>
          </cell>
          <cell r="AF248">
            <v>0</v>
          </cell>
          <cell r="AG248">
            <v>11</v>
          </cell>
          <cell r="AH248">
            <v>9</v>
          </cell>
          <cell r="AI248">
            <v>10</v>
          </cell>
          <cell r="AJ248">
            <v>0</v>
          </cell>
          <cell r="AK248">
            <v>11</v>
          </cell>
          <cell r="AL248">
            <v>29</v>
          </cell>
          <cell r="AM248">
            <v>22</v>
          </cell>
          <cell r="AN248">
            <v>23</v>
          </cell>
          <cell r="AO248">
            <v>24</v>
          </cell>
          <cell r="AP248">
            <v>9</v>
          </cell>
          <cell r="AQ248">
            <v>14</v>
          </cell>
          <cell r="AR248">
            <v>44</v>
          </cell>
          <cell r="AS248">
            <v>43</v>
          </cell>
        </row>
        <row r="249">
          <cell r="B249">
            <v>17031210900</v>
          </cell>
          <cell r="D249">
            <v>1697</v>
          </cell>
          <cell r="E249">
            <v>240</v>
          </cell>
          <cell r="F249">
            <v>1226</v>
          </cell>
          <cell r="G249">
            <v>193</v>
          </cell>
          <cell r="H249">
            <v>1010</v>
          </cell>
          <cell r="I249">
            <v>173</v>
          </cell>
          <cell r="J249">
            <v>216</v>
          </cell>
          <cell r="K249">
            <v>119</v>
          </cell>
          <cell r="L249">
            <v>126</v>
          </cell>
          <cell r="M249">
            <v>73</v>
          </cell>
          <cell r="N249">
            <v>90</v>
          </cell>
          <cell r="O249">
            <v>105</v>
          </cell>
          <cell r="P249">
            <v>0</v>
          </cell>
          <cell r="Q249">
            <v>11</v>
          </cell>
          <cell r="R249">
            <v>0</v>
          </cell>
          <cell r="S249">
            <v>11</v>
          </cell>
          <cell r="T249">
            <v>0</v>
          </cell>
          <cell r="U249">
            <v>11</v>
          </cell>
          <cell r="V249">
            <v>221</v>
          </cell>
          <cell r="W249">
            <v>89</v>
          </cell>
          <cell r="X249">
            <v>95</v>
          </cell>
          <cell r="Y249">
            <v>59</v>
          </cell>
          <cell r="Z249">
            <v>0</v>
          </cell>
          <cell r="AA249">
            <v>11</v>
          </cell>
          <cell r="AB249">
            <v>110</v>
          </cell>
          <cell r="AC249">
            <v>56</v>
          </cell>
          <cell r="AD249">
            <v>16</v>
          </cell>
          <cell r="AE249">
            <v>18</v>
          </cell>
          <cell r="AF249">
            <v>0</v>
          </cell>
          <cell r="AG249">
            <v>11</v>
          </cell>
          <cell r="AH249">
            <v>33</v>
          </cell>
          <cell r="AI249">
            <v>40</v>
          </cell>
          <cell r="AJ249">
            <v>0</v>
          </cell>
          <cell r="AK249">
            <v>11</v>
          </cell>
          <cell r="AL249">
            <v>12</v>
          </cell>
          <cell r="AM249">
            <v>16</v>
          </cell>
          <cell r="AN249">
            <v>88</v>
          </cell>
          <cell r="AO249">
            <v>76</v>
          </cell>
          <cell r="AP249">
            <v>49</v>
          </cell>
          <cell r="AQ249">
            <v>66</v>
          </cell>
          <cell r="AR249">
            <v>68</v>
          </cell>
          <cell r="AS249">
            <v>46</v>
          </cell>
        </row>
        <row r="250">
          <cell r="B250">
            <v>17031220300</v>
          </cell>
          <cell r="D250">
            <v>1442</v>
          </cell>
          <cell r="E250">
            <v>117</v>
          </cell>
          <cell r="F250">
            <v>879</v>
          </cell>
          <cell r="G250">
            <v>111</v>
          </cell>
          <cell r="H250">
            <v>788</v>
          </cell>
          <cell r="I250">
            <v>103</v>
          </cell>
          <cell r="J250">
            <v>91</v>
          </cell>
          <cell r="K250">
            <v>45</v>
          </cell>
          <cell r="L250">
            <v>59</v>
          </cell>
          <cell r="M250">
            <v>32</v>
          </cell>
          <cell r="N250">
            <v>16</v>
          </cell>
          <cell r="O250">
            <v>20</v>
          </cell>
          <cell r="P250">
            <v>0</v>
          </cell>
          <cell r="Q250">
            <v>11</v>
          </cell>
          <cell r="R250">
            <v>16</v>
          </cell>
          <cell r="S250">
            <v>25</v>
          </cell>
          <cell r="T250">
            <v>0</v>
          </cell>
          <cell r="U250">
            <v>11</v>
          </cell>
          <cell r="V250">
            <v>314</v>
          </cell>
          <cell r="W250">
            <v>74</v>
          </cell>
          <cell r="X250">
            <v>69</v>
          </cell>
          <cell r="Y250">
            <v>37</v>
          </cell>
          <cell r="Z250">
            <v>0</v>
          </cell>
          <cell r="AA250">
            <v>11</v>
          </cell>
          <cell r="AB250">
            <v>229</v>
          </cell>
          <cell r="AC250">
            <v>60</v>
          </cell>
          <cell r="AD250">
            <v>16</v>
          </cell>
          <cell r="AE250">
            <v>16</v>
          </cell>
          <cell r="AF250">
            <v>0</v>
          </cell>
          <cell r="AG250">
            <v>11</v>
          </cell>
          <cell r="AH250">
            <v>0</v>
          </cell>
          <cell r="AI250">
            <v>11</v>
          </cell>
          <cell r="AJ250">
            <v>0</v>
          </cell>
          <cell r="AK250">
            <v>11</v>
          </cell>
          <cell r="AL250">
            <v>71</v>
          </cell>
          <cell r="AM250">
            <v>41</v>
          </cell>
          <cell r="AN250">
            <v>28</v>
          </cell>
          <cell r="AO250">
            <v>22</v>
          </cell>
          <cell r="AP250">
            <v>0</v>
          </cell>
          <cell r="AQ250">
            <v>11</v>
          </cell>
          <cell r="AR250">
            <v>150</v>
          </cell>
          <cell r="AS250">
            <v>57</v>
          </cell>
        </row>
        <row r="251">
          <cell r="B251">
            <v>17031220400</v>
          </cell>
          <cell r="D251">
            <v>1609</v>
          </cell>
          <cell r="E251">
            <v>216</v>
          </cell>
          <cell r="F251">
            <v>728</v>
          </cell>
          <cell r="G251">
            <v>182</v>
          </cell>
          <cell r="H251">
            <v>620</v>
          </cell>
          <cell r="I251">
            <v>162</v>
          </cell>
          <cell r="J251">
            <v>108</v>
          </cell>
          <cell r="K251">
            <v>56</v>
          </cell>
          <cell r="L251">
            <v>91</v>
          </cell>
          <cell r="M251">
            <v>56</v>
          </cell>
          <cell r="N251">
            <v>17</v>
          </cell>
          <cell r="O251">
            <v>19</v>
          </cell>
          <cell r="P251">
            <v>0</v>
          </cell>
          <cell r="Q251">
            <v>11</v>
          </cell>
          <cell r="R251">
            <v>0</v>
          </cell>
          <cell r="S251">
            <v>11</v>
          </cell>
          <cell r="T251">
            <v>0</v>
          </cell>
          <cell r="U251">
            <v>11</v>
          </cell>
          <cell r="V251">
            <v>691</v>
          </cell>
          <cell r="W251">
            <v>166</v>
          </cell>
          <cell r="X251">
            <v>171</v>
          </cell>
          <cell r="Y251">
            <v>99</v>
          </cell>
          <cell r="Z251">
            <v>0</v>
          </cell>
          <cell r="AA251">
            <v>11</v>
          </cell>
          <cell r="AB251">
            <v>520</v>
          </cell>
          <cell r="AC251">
            <v>136</v>
          </cell>
          <cell r="AD251">
            <v>0</v>
          </cell>
          <cell r="AE251">
            <v>11</v>
          </cell>
          <cell r="AF251">
            <v>0</v>
          </cell>
          <cell r="AG251">
            <v>11</v>
          </cell>
          <cell r="AH251">
            <v>0</v>
          </cell>
          <cell r="AI251">
            <v>11</v>
          </cell>
          <cell r="AJ251">
            <v>0</v>
          </cell>
          <cell r="AK251">
            <v>11</v>
          </cell>
          <cell r="AL251">
            <v>63</v>
          </cell>
          <cell r="AM251">
            <v>46</v>
          </cell>
          <cell r="AN251">
            <v>45</v>
          </cell>
          <cell r="AO251">
            <v>32</v>
          </cell>
          <cell r="AP251">
            <v>0</v>
          </cell>
          <cell r="AQ251">
            <v>11</v>
          </cell>
          <cell r="AR251">
            <v>82</v>
          </cell>
          <cell r="AS251">
            <v>53</v>
          </cell>
        </row>
        <row r="252">
          <cell r="B252">
            <v>17031220500</v>
          </cell>
          <cell r="D252">
            <v>1977</v>
          </cell>
          <cell r="E252">
            <v>214</v>
          </cell>
          <cell r="F252">
            <v>555</v>
          </cell>
          <cell r="G252">
            <v>136</v>
          </cell>
          <cell r="H252">
            <v>514</v>
          </cell>
          <cell r="I252">
            <v>131</v>
          </cell>
          <cell r="J252">
            <v>41</v>
          </cell>
          <cell r="K252">
            <v>38</v>
          </cell>
          <cell r="L252">
            <v>14</v>
          </cell>
          <cell r="M252">
            <v>17</v>
          </cell>
          <cell r="N252">
            <v>16</v>
          </cell>
          <cell r="O252">
            <v>24</v>
          </cell>
          <cell r="P252">
            <v>11</v>
          </cell>
          <cell r="Q252">
            <v>22</v>
          </cell>
          <cell r="R252">
            <v>0</v>
          </cell>
          <cell r="S252">
            <v>11</v>
          </cell>
          <cell r="T252">
            <v>0</v>
          </cell>
          <cell r="U252">
            <v>11</v>
          </cell>
          <cell r="V252">
            <v>1070</v>
          </cell>
          <cell r="W252">
            <v>206</v>
          </cell>
          <cell r="X252">
            <v>152</v>
          </cell>
          <cell r="Y252">
            <v>80</v>
          </cell>
          <cell r="Z252">
            <v>0</v>
          </cell>
          <cell r="AA252">
            <v>11</v>
          </cell>
          <cell r="AB252">
            <v>901</v>
          </cell>
          <cell r="AC252">
            <v>196</v>
          </cell>
          <cell r="AD252">
            <v>17</v>
          </cell>
          <cell r="AE252">
            <v>25</v>
          </cell>
          <cell r="AF252">
            <v>0</v>
          </cell>
          <cell r="AG252">
            <v>11</v>
          </cell>
          <cell r="AH252">
            <v>24</v>
          </cell>
          <cell r="AI252">
            <v>38</v>
          </cell>
          <cell r="AJ252">
            <v>11</v>
          </cell>
          <cell r="AK252">
            <v>16</v>
          </cell>
          <cell r="AL252">
            <v>133</v>
          </cell>
          <cell r="AM252">
            <v>74</v>
          </cell>
          <cell r="AN252">
            <v>65</v>
          </cell>
          <cell r="AO252">
            <v>48</v>
          </cell>
          <cell r="AP252">
            <v>9</v>
          </cell>
          <cell r="AQ252">
            <v>13</v>
          </cell>
          <cell r="AR252">
            <v>110</v>
          </cell>
          <cell r="AS252">
            <v>49</v>
          </cell>
        </row>
        <row r="253">
          <cell r="B253">
            <v>17031220601</v>
          </cell>
          <cell r="D253">
            <v>909</v>
          </cell>
          <cell r="E253">
            <v>119</v>
          </cell>
          <cell r="F253">
            <v>379</v>
          </cell>
          <cell r="G253">
            <v>80</v>
          </cell>
          <cell r="H253">
            <v>338</v>
          </cell>
          <cell r="I253">
            <v>78</v>
          </cell>
          <cell r="J253">
            <v>41</v>
          </cell>
          <cell r="K253">
            <v>35</v>
          </cell>
          <cell r="L253">
            <v>41</v>
          </cell>
          <cell r="M253">
            <v>35</v>
          </cell>
          <cell r="N253">
            <v>0</v>
          </cell>
          <cell r="O253">
            <v>11</v>
          </cell>
          <cell r="P253">
            <v>0</v>
          </cell>
          <cell r="Q253">
            <v>11</v>
          </cell>
          <cell r="R253">
            <v>0</v>
          </cell>
          <cell r="S253">
            <v>11</v>
          </cell>
          <cell r="T253">
            <v>0</v>
          </cell>
          <cell r="U253">
            <v>11</v>
          </cell>
          <cell r="V253">
            <v>382</v>
          </cell>
          <cell r="W253">
            <v>86</v>
          </cell>
          <cell r="X253">
            <v>117</v>
          </cell>
          <cell r="Y253">
            <v>54</v>
          </cell>
          <cell r="Z253">
            <v>0</v>
          </cell>
          <cell r="AA253">
            <v>11</v>
          </cell>
          <cell r="AB253">
            <v>265</v>
          </cell>
          <cell r="AC253">
            <v>59</v>
          </cell>
          <cell r="AD253">
            <v>0</v>
          </cell>
          <cell r="AE253">
            <v>11</v>
          </cell>
          <cell r="AF253">
            <v>0</v>
          </cell>
          <cell r="AG253">
            <v>11</v>
          </cell>
          <cell r="AH253">
            <v>0</v>
          </cell>
          <cell r="AI253">
            <v>11</v>
          </cell>
          <cell r="AJ253">
            <v>0</v>
          </cell>
          <cell r="AK253">
            <v>11</v>
          </cell>
          <cell r="AL253">
            <v>45</v>
          </cell>
          <cell r="AM253">
            <v>28</v>
          </cell>
          <cell r="AN253">
            <v>38</v>
          </cell>
          <cell r="AO253">
            <v>31</v>
          </cell>
          <cell r="AP253">
            <v>0</v>
          </cell>
          <cell r="AQ253">
            <v>11</v>
          </cell>
          <cell r="AR253">
            <v>65</v>
          </cell>
          <cell r="AS253">
            <v>38</v>
          </cell>
        </row>
        <row r="254">
          <cell r="B254">
            <v>17031220602</v>
          </cell>
          <cell r="D254">
            <v>2873</v>
          </cell>
          <cell r="E254">
            <v>401</v>
          </cell>
          <cell r="F254">
            <v>1101</v>
          </cell>
          <cell r="G254">
            <v>274</v>
          </cell>
          <cell r="H254">
            <v>1058</v>
          </cell>
          <cell r="I254">
            <v>271</v>
          </cell>
          <cell r="J254">
            <v>43</v>
          </cell>
          <cell r="K254">
            <v>44</v>
          </cell>
          <cell r="L254">
            <v>27</v>
          </cell>
          <cell r="M254">
            <v>31</v>
          </cell>
          <cell r="N254">
            <v>16</v>
          </cell>
          <cell r="O254">
            <v>31</v>
          </cell>
          <cell r="P254">
            <v>0</v>
          </cell>
          <cell r="Q254">
            <v>15</v>
          </cell>
          <cell r="R254">
            <v>0</v>
          </cell>
          <cell r="S254">
            <v>15</v>
          </cell>
          <cell r="T254">
            <v>0</v>
          </cell>
          <cell r="U254">
            <v>15</v>
          </cell>
          <cell r="V254">
            <v>1310</v>
          </cell>
          <cell r="W254">
            <v>348</v>
          </cell>
          <cell r="X254">
            <v>253</v>
          </cell>
          <cell r="Y254">
            <v>128</v>
          </cell>
          <cell r="Z254">
            <v>82</v>
          </cell>
          <cell r="AA254">
            <v>115</v>
          </cell>
          <cell r="AB254">
            <v>949</v>
          </cell>
          <cell r="AC254">
            <v>282</v>
          </cell>
          <cell r="AD254">
            <v>26</v>
          </cell>
          <cell r="AE254">
            <v>28</v>
          </cell>
          <cell r="AF254">
            <v>0</v>
          </cell>
          <cell r="AG254">
            <v>15</v>
          </cell>
          <cell r="AH254">
            <v>0</v>
          </cell>
          <cell r="AI254">
            <v>15</v>
          </cell>
          <cell r="AJ254">
            <v>0</v>
          </cell>
          <cell r="AK254">
            <v>15</v>
          </cell>
          <cell r="AL254">
            <v>136</v>
          </cell>
          <cell r="AM254">
            <v>93</v>
          </cell>
          <cell r="AN254">
            <v>43</v>
          </cell>
          <cell r="AO254">
            <v>37</v>
          </cell>
          <cell r="AP254">
            <v>83</v>
          </cell>
          <cell r="AQ254">
            <v>72</v>
          </cell>
          <cell r="AR254">
            <v>200</v>
          </cell>
          <cell r="AS254">
            <v>118</v>
          </cell>
        </row>
        <row r="255">
          <cell r="B255">
            <v>17031220701</v>
          </cell>
          <cell r="D255">
            <v>1853</v>
          </cell>
          <cell r="E255">
            <v>298</v>
          </cell>
          <cell r="F255">
            <v>1201</v>
          </cell>
          <cell r="G255">
            <v>234</v>
          </cell>
          <cell r="H255">
            <v>1017</v>
          </cell>
          <cell r="I255">
            <v>211</v>
          </cell>
          <cell r="J255">
            <v>184</v>
          </cell>
          <cell r="K255">
            <v>80</v>
          </cell>
          <cell r="L255">
            <v>184</v>
          </cell>
          <cell r="M255">
            <v>80</v>
          </cell>
          <cell r="N255">
            <v>0</v>
          </cell>
          <cell r="O255">
            <v>11</v>
          </cell>
          <cell r="P255">
            <v>0</v>
          </cell>
          <cell r="Q255">
            <v>11</v>
          </cell>
          <cell r="R255">
            <v>0</v>
          </cell>
          <cell r="S255">
            <v>11</v>
          </cell>
          <cell r="T255">
            <v>0</v>
          </cell>
          <cell r="U255">
            <v>11</v>
          </cell>
          <cell r="V255">
            <v>485</v>
          </cell>
          <cell r="W255">
            <v>171</v>
          </cell>
          <cell r="X255">
            <v>156</v>
          </cell>
          <cell r="Y255">
            <v>136</v>
          </cell>
          <cell r="Z255">
            <v>0</v>
          </cell>
          <cell r="AA255">
            <v>11</v>
          </cell>
          <cell r="AB255">
            <v>291</v>
          </cell>
          <cell r="AC255">
            <v>120</v>
          </cell>
          <cell r="AD255">
            <v>38</v>
          </cell>
          <cell r="AE255">
            <v>30</v>
          </cell>
          <cell r="AF255">
            <v>0</v>
          </cell>
          <cell r="AG255">
            <v>11</v>
          </cell>
          <cell r="AH255">
            <v>0</v>
          </cell>
          <cell r="AI255">
            <v>11</v>
          </cell>
          <cell r="AJ255">
            <v>0</v>
          </cell>
          <cell r="AK255">
            <v>11</v>
          </cell>
          <cell r="AL255">
            <v>53</v>
          </cell>
          <cell r="AM255">
            <v>54</v>
          </cell>
          <cell r="AN255">
            <v>78</v>
          </cell>
          <cell r="AO255">
            <v>57</v>
          </cell>
          <cell r="AP255">
            <v>15</v>
          </cell>
          <cell r="AQ255">
            <v>25</v>
          </cell>
          <cell r="AR255">
            <v>21</v>
          </cell>
          <cell r="AS255">
            <v>24</v>
          </cell>
        </row>
        <row r="256">
          <cell r="B256">
            <v>17031220702</v>
          </cell>
          <cell r="D256">
            <v>2014</v>
          </cell>
          <cell r="E256">
            <v>266</v>
          </cell>
          <cell r="F256">
            <v>1135</v>
          </cell>
          <cell r="G256">
            <v>211</v>
          </cell>
          <cell r="H256">
            <v>956</v>
          </cell>
          <cell r="I256">
            <v>177</v>
          </cell>
          <cell r="J256">
            <v>179</v>
          </cell>
          <cell r="K256">
            <v>107</v>
          </cell>
          <cell r="L256">
            <v>117</v>
          </cell>
          <cell r="M256">
            <v>89</v>
          </cell>
          <cell r="N256">
            <v>33</v>
          </cell>
          <cell r="O256">
            <v>52</v>
          </cell>
          <cell r="P256">
            <v>0</v>
          </cell>
          <cell r="Q256">
            <v>11</v>
          </cell>
          <cell r="R256">
            <v>13</v>
          </cell>
          <cell r="S256">
            <v>21</v>
          </cell>
          <cell r="T256">
            <v>16</v>
          </cell>
          <cell r="U256">
            <v>25</v>
          </cell>
          <cell r="V256">
            <v>601</v>
          </cell>
          <cell r="W256">
            <v>151</v>
          </cell>
          <cell r="X256">
            <v>325</v>
          </cell>
          <cell r="Y256">
            <v>126</v>
          </cell>
          <cell r="Z256">
            <v>0</v>
          </cell>
          <cell r="AA256">
            <v>11</v>
          </cell>
          <cell r="AB256">
            <v>233</v>
          </cell>
          <cell r="AC256">
            <v>94</v>
          </cell>
          <cell r="AD256">
            <v>43</v>
          </cell>
          <cell r="AE256">
            <v>31</v>
          </cell>
          <cell r="AF256">
            <v>0</v>
          </cell>
          <cell r="AG256">
            <v>11</v>
          </cell>
          <cell r="AH256">
            <v>0</v>
          </cell>
          <cell r="AI256">
            <v>11</v>
          </cell>
          <cell r="AJ256">
            <v>7</v>
          </cell>
          <cell r="AK256">
            <v>11</v>
          </cell>
          <cell r="AL256">
            <v>109</v>
          </cell>
          <cell r="AM256">
            <v>58</v>
          </cell>
          <cell r="AN256">
            <v>68</v>
          </cell>
          <cell r="AO256">
            <v>47</v>
          </cell>
          <cell r="AP256">
            <v>15</v>
          </cell>
          <cell r="AQ256">
            <v>24</v>
          </cell>
          <cell r="AR256">
            <v>79</v>
          </cell>
          <cell r="AS256">
            <v>51</v>
          </cell>
        </row>
        <row r="257">
          <cell r="B257">
            <v>17031220901</v>
          </cell>
          <cell r="D257">
            <v>1203</v>
          </cell>
          <cell r="E257">
            <v>237</v>
          </cell>
          <cell r="F257">
            <v>695</v>
          </cell>
          <cell r="G257">
            <v>182</v>
          </cell>
          <cell r="H257">
            <v>643</v>
          </cell>
          <cell r="I257">
            <v>178</v>
          </cell>
          <cell r="J257">
            <v>52</v>
          </cell>
          <cell r="K257">
            <v>44</v>
          </cell>
          <cell r="L257">
            <v>52</v>
          </cell>
          <cell r="M257">
            <v>44</v>
          </cell>
          <cell r="N257">
            <v>0</v>
          </cell>
          <cell r="O257">
            <v>11</v>
          </cell>
          <cell r="P257">
            <v>0</v>
          </cell>
          <cell r="Q257">
            <v>11</v>
          </cell>
          <cell r="R257">
            <v>0</v>
          </cell>
          <cell r="S257">
            <v>11</v>
          </cell>
          <cell r="T257">
            <v>0</v>
          </cell>
          <cell r="U257">
            <v>11</v>
          </cell>
          <cell r="V257">
            <v>334</v>
          </cell>
          <cell r="W257">
            <v>113</v>
          </cell>
          <cell r="X257">
            <v>188</v>
          </cell>
          <cell r="Y257">
            <v>85</v>
          </cell>
          <cell r="Z257">
            <v>0</v>
          </cell>
          <cell r="AA257">
            <v>11</v>
          </cell>
          <cell r="AB257">
            <v>127</v>
          </cell>
          <cell r="AC257">
            <v>77</v>
          </cell>
          <cell r="AD257">
            <v>19</v>
          </cell>
          <cell r="AE257">
            <v>31</v>
          </cell>
          <cell r="AF257">
            <v>0</v>
          </cell>
          <cell r="AG257">
            <v>11</v>
          </cell>
          <cell r="AH257">
            <v>0</v>
          </cell>
          <cell r="AI257">
            <v>11</v>
          </cell>
          <cell r="AJ257">
            <v>11</v>
          </cell>
          <cell r="AK257">
            <v>17</v>
          </cell>
          <cell r="AL257">
            <v>63</v>
          </cell>
          <cell r="AM257">
            <v>74</v>
          </cell>
          <cell r="AN257">
            <v>0</v>
          </cell>
          <cell r="AO257">
            <v>11</v>
          </cell>
          <cell r="AP257">
            <v>27</v>
          </cell>
          <cell r="AQ257">
            <v>41</v>
          </cell>
          <cell r="AR257">
            <v>73</v>
          </cell>
          <cell r="AS257">
            <v>46</v>
          </cell>
        </row>
        <row r="258">
          <cell r="B258">
            <v>17031220902</v>
          </cell>
          <cell r="D258">
            <v>1390</v>
          </cell>
          <cell r="E258">
            <v>157</v>
          </cell>
          <cell r="F258">
            <v>925</v>
          </cell>
          <cell r="G258">
            <v>134</v>
          </cell>
          <cell r="H258">
            <v>803</v>
          </cell>
          <cell r="I258">
            <v>139</v>
          </cell>
          <cell r="J258">
            <v>122</v>
          </cell>
          <cell r="K258">
            <v>53</v>
          </cell>
          <cell r="L258">
            <v>110</v>
          </cell>
          <cell r="M258">
            <v>52</v>
          </cell>
          <cell r="N258">
            <v>4</v>
          </cell>
          <cell r="O258">
            <v>6</v>
          </cell>
          <cell r="P258">
            <v>4</v>
          </cell>
          <cell r="Q258">
            <v>6</v>
          </cell>
          <cell r="R258">
            <v>4</v>
          </cell>
          <cell r="S258">
            <v>6</v>
          </cell>
          <cell r="T258">
            <v>0</v>
          </cell>
          <cell r="U258">
            <v>11</v>
          </cell>
          <cell r="V258">
            <v>359</v>
          </cell>
          <cell r="W258">
            <v>101</v>
          </cell>
          <cell r="X258">
            <v>188</v>
          </cell>
          <cell r="Y258">
            <v>84</v>
          </cell>
          <cell r="Z258">
            <v>7</v>
          </cell>
          <cell r="AA258">
            <v>12</v>
          </cell>
          <cell r="AB258">
            <v>144</v>
          </cell>
          <cell r="AC258">
            <v>60</v>
          </cell>
          <cell r="AD258">
            <v>20</v>
          </cell>
          <cell r="AE258">
            <v>19</v>
          </cell>
          <cell r="AF258">
            <v>0</v>
          </cell>
          <cell r="AG258">
            <v>11</v>
          </cell>
          <cell r="AH258">
            <v>0</v>
          </cell>
          <cell r="AI258">
            <v>11</v>
          </cell>
          <cell r="AJ258">
            <v>0</v>
          </cell>
          <cell r="AK258">
            <v>11</v>
          </cell>
          <cell r="AL258">
            <v>10</v>
          </cell>
          <cell r="AM258">
            <v>11</v>
          </cell>
          <cell r="AN258">
            <v>41</v>
          </cell>
          <cell r="AO258">
            <v>31</v>
          </cell>
          <cell r="AP258">
            <v>33</v>
          </cell>
          <cell r="AQ258">
            <v>37</v>
          </cell>
          <cell r="AR258">
            <v>22</v>
          </cell>
          <cell r="AS258">
            <v>26</v>
          </cell>
        </row>
        <row r="259">
          <cell r="B259">
            <v>17031221000</v>
          </cell>
          <cell r="D259">
            <v>1424</v>
          </cell>
          <cell r="E259">
            <v>174</v>
          </cell>
          <cell r="F259">
            <v>908</v>
          </cell>
          <cell r="G259">
            <v>170</v>
          </cell>
          <cell r="H259">
            <v>747</v>
          </cell>
          <cell r="I259">
            <v>137</v>
          </cell>
          <cell r="J259">
            <v>161</v>
          </cell>
          <cell r="K259">
            <v>77</v>
          </cell>
          <cell r="L259">
            <v>115</v>
          </cell>
          <cell r="M259">
            <v>47</v>
          </cell>
          <cell r="N259">
            <v>32</v>
          </cell>
          <cell r="O259">
            <v>31</v>
          </cell>
          <cell r="P259">
            <v>14</v>
          </cell>
          <cell r="Q259">
            <v>24</v>
          </cell>
          <cell r="R259">
            <v>0</v>
          </cell>
          <cell r="S259">
            <v>11</v>
          </cell>
          <cell r="T259">
            <v>0</v>
          </cell>
          <cell r="U259">
            <v>11</v>
          </cell>
          <cell r="V259">
            <v>396</v>
          </cell>
          <cell r="W259">
            <v>95</v>
          </cell>
          <cell r="X259">
            <v>200</v>
          </cell>
          <cell r="Y259">
            <v>73</v>
          </cell>
          <cell r="Z259">
            <v>0</v>
          </cell>
          <cell r="AA259">
            <v>11</v>
          </cell>
          <cell r="AB259">
            <v>196</v>
          </cell>
          <cell r="AC259">
            <v>69</v>
          </cell>
          <cell r="AD259">
            <v>0</v>
          </cell>
          <cell r="AE259">
            <v>11</v>
          </cell>
          <cell r="AF259">
            <v>0</v>
          </cell>
          <cell r="AG259">
            <v>11</v>
          </cell>
          <cell r="AH259">
            <v>0</v>
          </cell>
          <cell r="AI259">
            <v>11</v>
          </cell>
          <cell r="AJ259">
            <v>0</v>
          </cell>
          <cell r="AK259">
            <v>11</v>
          </cell>
          <cell r="AL259">
            <v>45</v>
          </cell>
          <cell r="AM259">
            <v>28</v>
          </cell>
          <cell r="AN259">
            <v>44</v>
          </cell>
          <cell r="AO259">
            <v>35</v>
          </cell>
          <cell r="AP259">
            <v>6</v>
          </cell>
          <cell r="AQ259">
            <v>9</v>
          </cell>
          <cell r="AR259">
            <v>25</v>
          </cell>
          <cell r="AS259">
            <v>18</v>
          </cell>
        </row>
        <row r="260">
          <cell r="B260">
            <v>17031221100</v>
          </cell>
          <cell r="D260">
            <v>2782</v>
          </cell>
          <cell r="E260">
            <v>328</v>
          </cell>
          <cell r="F260">
            <v>1368</v>
          </cell>
          <cell r="G260">
            <v>289</v>
          </cell>
          <cell r="H260">
            <v>1286</v>
          </cell>
          <cell r="I260">
            <v>293</v>
          </cell>
          <cell r="J260">
            <v>82</v>
          </cell>
          <cell r="K260">
            <v>45</v>
          </cell>
          <cell r="L260">
            <v>72</v>
          </cell>
          <cell r="M260">
            <v>42</v>
          </cell>
          <cell r="N260">
            <v>10</v>
          </cell>
          <cell r="O260">
            <v>15</v>
          </cell>
          <cell r="P260">
            <v>0</v>
          </cell>
          <cell r="Q260">
            <v>15</v>
          </cell>
          <cell r="R260">
            <v>0</v>
          </cell>
          <cell r="S260">
            <v>15</v>
          </cell>
          <cell r="T260">
            <v>0</v>
          </cell>
          <cell r="U260">
            <v>15</v>
          </cell>
          <cell r="V260">
            <v>785</v>
          </cell>
          <cell r="W260">
            <v>197</v>
          </cell>
          <cell r="X260">
            <v>274</v>
          </cell>
          <cell r="Y260">
            <v>145</v>
          </cell>
          <cell r="Z260">
            <v>0</v>
          </cell>
          <cell r="AA260">
            <v>15</v>
          </cell>
          <cell r="AB260">
            <v>503</v>
          </cell>
          <cell r="AC260">
            <v>142</v>
          </cell>
          <cell r="AD260">
            <v>8</v>
          </cell>
          <cell r="AE260">
            <v>13</v>
          </cell>
          <cell r="AF260">
            <v>0</v>
          </cell>
          <cell r="AG260">
            <v>15</v>
          </cell>
          <cell r="AH260">
            <v>22</v>
          </cell>
          <cell r="AI260">
            <v>24</v>
          </cell>
          <cell r="AJ260">
            <v>0</v>
          </cell>
          <cell r="AK260">
            <v>15</v>
          </cell>
          <cell r="AL260">
            <v>221</v>
          </cell>
          <cell r="AM260">
            <v>108</v>
          </cell>
          <cell r="AN260">
            <v>124</v>
          </cell>
          <cell r="AO260">
            <v>72</v>
          </cell>
          <cell r="AP260">
            <v>20</v>
          </cell>
          <cell r="AQ260">
            <v>36</v>
          </cell>
          <cell r="AR260">
            <v>242</v>
          </cell>
          <cell r="AS260">
            <v>92</v>
          </cell>
        </row>
        <row r="261">
          <cell r="B261">
            <v>17031221200</v>
          </cell>
          <cell r="D261">
            <v>1866</v>
          </cell>
          <cell r="E261">
            <v>209</v>
          </cell>
          <cell r="F261">
            <v>840</v>
          </cell>
          <cell r="G261">
            <v>178</v>
          </cell>
          <cell r="H261">
            <v>730</v>
          </cell>
          <cell r="I261">
            <v>143</v>
          </cell>
          <cell r="J261">
            <v>110</v>
          </cell>
          <cell r="K261">
            <v>76</v>
          </cell>
          <cell r="L261">
            <v>74</v>
          </cell>
          <cell r="M261">
            <v>57</v>
          </cell>
          <cell r="N261">
            <v>36</v>
          </cell>
          <cell r="O261">
            <v>47</v>
          </cell>
          <cell r="P261">
            <v>0</v>
          </cell>
          <cell r="Q261">
            <v>11</v>
          </cell>
          <cell r="R261">
            <v>0</v>
          </cell>
          <cell r="S261">
            <v>11</v>
          </cell>
          <cell r="T261">
            <v>0</v>
          </cell>
          <cell r="U261">
            <v>11</v>
          </cell>
          <cell r="V261">
            <v>645</v>
          </cell>
          <cell r="W261">
            <v>141</v>
          </cell>
          <cell r="X261">
            <v>46</v>
          </cell>
          <cell r="Y261">
            <v>46</v>
          </cell>
          <cell r="Z261">
            <v>0</v>
          </cell>
          <cell r="AA261">
            <v>11</v>
          </cell>
          <cell r="AB261">
            <v>571</v>
          </cell>
          <cell r="AC261">
            <v>131</v>
          </cell>
          <cell r="AD261">
            <v>28</v>
          </cell>
          <cell r="AE261">
            <v>26</v>
          </cell>
          <cell r="AF261">
            <v>0</v>
          </cell>
          <cell r="AG261">
            <v>11</v>
          </cell>
          <cell r="AH261">
            <v>0</v>
          </cell>
          <cell r="AI261">
            <v>11</v>
          </cell>
          <cell r="AJ261">
            <v>0</v>
          </cell>
          <cell r="AK261">
            <v>11</v>
          </cell>
          <cell r="AL261">
            <v>88</v>
          </cell>
          <cell r="AM261">
            <v>47</v>
          </cell>
          <cell r="AN261">
            <v>172</v>
          </cell>
          <cell r="AO261">
            <v>102</v>
          </cell>
          <cell r="AP261">
            <v>20</v>
          </cell>
          <cell r="AQ261">
            <v>20</v>
          </cell>
          <cell r="AR261">
            <v>101</v>
          </cell>
          <cell r="AS261">
            <v>49</v>
          </cell>
        </row>
        <row r="262">
          <cell r="B262">
            <v>17031221300</v>
          </cell>
          <cell r="D262">
            <v>1718</v>
          </cell>
          <cell r="E262">
            <v>218</v>
          </cell>
          <cell r="F262">
            <v>660</v>
          </cell>
          <cell r="G262">
            <v>161</v>
          </cell>
          <cell r="H262">
            <v>633</v>
          </cell>
          <cell r="I262">
            <v>157</v>
          </cell>
          <cell r="J262">
            <v>27</v>
          </cell>
          <cell r="K262">
            <v>33</v>
          </cell>
          <cell r="L262">
            <v>27</v>
          </cell>
          <cell r="M262">
            <v>33</v>
          </cell>
          <cell r="N262">
            <v>0</v>
          </cell>
          <cell r="O262">
            <v>11</v>
          </cell>
          <cell r="P262">
            <v>0</v>
          </cell>
          <cell r="Q262">
            <v>11</v>
          </cell>
          <cell r="R262">
            <v>0</v>
          </cell>
          <cell r="S262">
            <v>11</v>
          </cell>
          <cell r="T262">
            <v>0</v>
          </cell>
          <cell r="U262">
            <v>11</v>
          </cell>
          <cell r="V262">
            <v>744</v>
          </cell>
          <cell r="W262">
            <v>144</v>
          </cell>
          <cell r="X262">
            <v>86</v>
          </cell>
          <cell r="Y262">
            <v>50</v>
          </cell>
          <cell r="Z262">
            <v>0</v>
          </cell>
          <cell r="AA262">
            <v>11</v>
          </cell>
          <cell r="AB262">
            <v>639</v>
          </cell>
          <cell r="AC262">
            <v>145</v>
          </cell>
          <cell r="AD262">
            <v>19</v>
          </cell>
          <cell r="AE262">
            <v>29</v>
          </cell>
          <cell r="AF262">
            <v>0</v>
          </cell>
          <cell r="AG262">
            <v>11</v>
          </cell>
          <cell r="AH262">
            <v>0</v>
          </cell>
          <cell r="AI262">
            <v>11</v>
          </cell>
          <cell r="AJ262">
            <v>0</v>
          </cell>
          <cell r="AK262">
            <v>11</v>
          </cell>
          <cell r="AL262">
            <v>133</v>
          </cell>
          <cell r="AM262">
            <v>56</v>
          </cell>
          <cell r="AN262">
            <v>74</v>
          </cell>
          <cell r="AO262">
            <v>58</v>
          </cell>
          <cell r="AP262">
            <v>0</v>
          </cell>
          <cell r="AQ262">
            <v>11</v>
          </cell>
          <cell r="AR262">
            <v>107</v>
          </cell>
          <cell r="AS262">
            <v>57</v>
          </cell>
        </row>
        <row r="263">
          <cell r="B263">
            <v>17031221400</v>
          </cell>
          <cell r="D263">
            <v>1848</v>
          </cell>
          <cell r="E263">
            <v>238</v>
          </cell>
          <cell r="F263">
            <v>927</v>
          </cell>
          <cell r="G263">
            <v>173</v>
          </cell>
          <cell r="H263">
            <v>839</v>
          </cell>
          <cell r="I263">
            <v>161</v>
          </cell>
          <cell r="J263">
            <v>88</v>
          </cell>
          <cell r="K263">
            <v>89</v>
          </cell>
          <cell r="L263">
            <v>88</v>
          </cell>
          <cell r="M263">
            <v>89</v>
          </cell>
          <cell r="N263">
            <v>0</v>
          </cell>
          <cell r="O263">
            <v>11</v>
          </cell>
          <cell r="P263">
            <v>0</v>
          </cell>
          <cell r="Q263">
            <v>11</v>
          </cell>
          <cell r="R263">
            <v>0</v>
          </cell>
          <cell r="S263">
            <v>11</v>
          </cell>
          <cell r="T263">
            <v>0</v>
          </cell>
          <cell r="U263">
            <v>11</v>
          </cell>
          <cell r="V263">
            <v>668</v>
          </cell>
          <cell r="W263">
            <v>167</v>
          </cell>
          <cell r="X263">
            <v>157</v>
          </cell>
          <cell r="Y263">
            <v>72</v>
          </cell>
          <cell r="Z263">
            <v>0</v>
          </cell>
          <cell r="AA263">
            <v>11</v>
          </cell>
          <cell r="AB263">
            <v>487</v>
          </cell>
          <cell r="AC263">
            <v>154</v>
          </cell>
          <cell r="AD263">
            <v>24</v>
          </cell>
          <cell r="AE263">
            <v>24</v>
          </cell>
          <cell r="AF263">
            <v>0</v>
          </cell>
          <cell r="AG263">
            <v>11</v>
          </cell>
          <cell r="AH263">
            <v>0</v>
          </cell>
          <cell r="AI263">
            <v>11</v>
          </cell>
          <cell r="AJ263">
            <v>0</v>
          </cell>
          <cell r="AK263">
            <v>11</v>
          </cell>
          <cell r="AL263">
            <v>71</v>
          </cell>
          <cell r="AM263">
            <v>43</v>
          </cell>
          <cell r="AN263">
            <v>9</v>
          </cell>
          <cell r="AO263">
            <v>10</v>
          </cell>
          <cell r="AP263">
            <v>8</v>
          </cell>
          <cell r="AQ263">
            <v>13</v>
          </cell>
          <cell r="AR263">
            <v>165</v>
          </cell>
          <cell r="AS263">
            <v>75</v>
          </cell>
        </row>
        <row r="264">
          <cell r="B264">
            <v>17031221500</v>
          </cell>
          <cell r="D264">
            <v>1672</v>
          </cell>
          <cell r="E264">
            <v>258</v>
          </cell>
          <cell r="F264">
            <v>838</v>
          </cell>
          <cell r="G264">
            <v>175</v>
          </cell>
          <cell r="H264">
            <v>729</v>
          </cell>
          <cell r="I264">
            <v>176</v>
          </cell>
          <cell r="J264">
            <v>109</v>
          </cell>
          <cell r="K264">
            <v>61</v>
          </cell>
          <cell r="L264">
            <v>56</v>
          </cell>
          <cell r="M264">
            <v>42</v>
          </cell>
          <cell r="N264">
            <v>15</v>
          </cell>
          <cell r="O264">
            <v>17</v>
          </cell>
          <cell r="P264">
            <v>0</v>
          </cell>
          <cell r="Q264">
            <v>11</v>
          </cell>
          <cell r="R264">
            <v>20</v>
          </cell>
          <cell r="S264">
            <v>22</v>
          </cell>
          <cell r="T264">
            <v>18</v>
          </cell>
          <cell r="U264">
            <v>27</v>
          </cell>
          <cell r="V264">
            <v>495</v>
          </cell>
          <cell r="W264">
            <v>118</v>
          </cell>
          <cell r="X264">
            <v>119</v>
          </cell>
          <cell r="Y264">
            <v>69</v>
          </cell>
          <cell r="Z264">
            <v>0</v>
          </cell>
          <cell r="AA264">
            <v>11</v>
          </cell>
          <cell r="AB264">
            <v>376</v>
          </cell>
          <cell r="AC264">
            <v>106</v>
          </cell>
          <cell r="AD264">
            <v>0</v>
          </cell>
          <cell r="AE264">
            <v>11</v>
          </cell>
          <cell r="AF264">
            <v>0</v>
          </cell>
          <cell r="AG264">
            <v>11</v>
          </cell>
          <cell r="AH264">
            <v>0</v>
          </cell>
          <cell r="AI264">
            <v>11</v>
          </cell>
          <cell r="AJ264">
            <v>21</v>
          </cell>
          <cell r="AK264">
            <v>34</v>
          </cell>
          <cell r="AL264">
            <v>182</v>
          </cell>
          <cell r="AM264">
            <v>92</v>
          </cell>
          <cell r="AN264">
            <v>41</v>
          </cell>
          <cell r="AO264">
            <v>41</v>
          </cell>
          <cell r="AP264">
            <v>0</v>
          </cell>
          <cell r="AQ264">
            <v>11</v>
          </cell>
          <cell r="AR264">
            <v>95</v>
          </cell>
          <cell r="AS264">
            <v>55</v>
          </cell>
        </row>
        <row r="265">
          <cell r="B265">
            <v>17031221600</v>
          </cell>
          <cell r="D265">
            <v>1885</v>
          </cell>
          <cell r="E265">
            <v>217</v>
          </cell>
          <cell r="F265">
            <v>1115</v>
          </cell>
          <cell r="G265">
            <v>183</v>
          </cell>
          <cell r="H265">
            <v>976</v>
          </cell>
          <cell r="I265">
            <v>172</v>
          </cell>
          <cell r="J265">
            <v>139</v>
          </cell>
          <cell r="K265">
            <v>63</v>
          </cell>
          <cell r="L265">
            <v>111</v>
          </cell>
          <cell r="M265">
            <v>60</v>
          </cell>
          <cell r="N265">
            <v>9</v>
          </cell>
          <cell r="O265">
            <v>13</v>
          </cell>
          <cell r="P265">
            <v>0</v>
          </cell>
          <cell r="Q265">
            <v>11</v>
          </cell>
          <cell r="R265">
            <v>11</v>
          </cell>
          <cell r="S265">
            <v>18</v>
          </cell>
          <cell r="T265">
            <v>8</v>
          </cell>
          <cell r="U265">
            <v>12</v>
          </cell>
          <cell r="V265">
            <v>592</v>
          </cell>
          <cell r="W265">
            <v>151</v>
          </cell>
          <cell r="X265">
            <v>167</v>
          </cell>
          <cell r="Y265">
            <v>89</v>
          </cell>
          <cell r="Z265">
            <v>0</v>
          </cell>
          <cell r="AA265">
            <v>11</v>
          </cell>
          <cell r="AB265">
            <v>396</v>
          </cell>
          <cell r="AC265">
            <v>111</v>
          </cell>
          <cell r="AD265">
            <v>29</v>
          </cell>
          <cell r="AE265">
            <v>24</v>
          </cell>
          <cell r="AF265">
            <v>0</v>
          </cell>
          <cell r="AG265">
            <v>11</v>
          </cell>
          <cell r="AH265">
            <v>0</v>
          </cell>
          <cell r="AI265">
            <v>11</v>
          </cell>
          <cell r="AJ265">
            <v>0</v>
          </cell>
          <cell r="AK265">
            <v>11</v>
          </cell>
          <cell r="AL265">
            <v>60</v>
          </cell>
          <cell r="AM265">
            <v>52</v>
          </cell>
          <cell r="AN265">
            <v>23</v>
          </cell>
          <cell r="AO265">
            <v>22</v>
          </cell>
          <cell r="AP265">
            <v>20</v>
          </cell>
          <cell r="AQ265">
            <v>32</v>
          </cell>
          <cell r="AR265">
            <v>75</v>
          </cell>
          <cell r="AS265">
            <v>46</v>
          </cell>
        </row>
        <row r="266">
          <cell r="B266">
            <v>17031222200</v>
          </cell>
          <cell r="D266">
            <v>1327</v>
          </cell>
          <cell r="E266">
            <v>107</v>
          </cell>
          <cell r="F266">
            <v>571</v>
          </cell>
          <cell r="G266">
            <v>82</v>
          </cell>
          <cell r="H266">
            <v>522</v>
          </cell>
          <cell r="I266">
            <v>79</v>
          </cell>
          <cell r="J266">
            <v>49</v>
          </cell>
          <cell r="K266">
            <v>27</v>
          </cell>
          <cell r="L266">
            <v>34</v>
          </cell>
          <cell r="M266">
            <v>23</v>
          </cell>
          <cell r="N266">
            <v>7</v>
          </cell>
          <cell r="O266">
            <v>10</v>
          </cell>
          <cell r="P266">
            <v>8</v>
          </cell>
          <cell r="Q266">
            <v>8</v>
          </cell>
          <cell r="R266">
            <v>0</v>
          </cell>
          <cell r="S266">
            <v>11</v>
          </cell>
          <cell r="T266">
            <v>0</v>
          </cell>
          <cell r="U266">
            <v>11</v>
          </cell>
          <cell r="V266">
            <v>534</v>
          </cell>
          <cell r="W266">
            <v>75</v>
          </cell>
          <cell r="X266">
            <v>68</v>
          </cell>
          <cell r="Y266">
            <v>28</v>
          </cell>
          <cell r="Z266">
            <v>11</v>
          </cell>
          <cell r="AA266">
            <v>11</v>
          </cell>
          <cell r="AB266">
            <v>423</v>
          </cell>
          <cell r="AC266">
            <v>76</v>
          </cell>
          <cell r="AD266">
            <v>32</v>
          </cell>
          <cell r="AE266">
            <v>30</v>
          </cell>
          <cell r="AF266">
            <v>0</v>
          </cell>
          <cell r="AG266">
            <v>11</v>
          </cell>
          <cell r="AH266">
            <v>14</v>
          </cell>
          <cell r="AI266">
            <v>15</v>
          </cell>
          <cell r="AJ266">
            <v>6</v>
          </cell>
          <cell r="AK266">
            <v>10</v>
          </cell>
          <cell r="AL266">
            <v>66</v>
          </cell>
          <cell r="AM266">
            <v>28</v>
          </cell>
          <cell r="AN266">
            <v>40</v>
          </cell>
          <cell r="AO266">
            <v>28</v>
          </cell>
          <cell r="AP266">
            <v>21</v>
          </cell>
          <cell r="AQ266">
            <v>17</v>
          </cell>
          <cell r="AR266">
            <v>75</v>
          </cell>
          <cell r="AS266">
            <v>31</v>
          </cell>
        </row>
        <row r="267">
          <cell r="B267">
            <v>17031222500</v>
          </cell>
          <cell r="D267">
            <v>785</v>
          </cell>
          <cell r="E267">
            <v>106</v>
          </cell>
          <cell r="F267">
            <v>485</v>
          </cell>
          <cell r="G267">
            <v>106</v>
          </cell>
          <cell r="H267">
            <v>402</v>
          </cell>
          <cell r="I267">
            <v>93</v>
          </cell>
          <cell r="J267">
            <v>83</v>
          </cell>
          <cell r="K267">
            <v>61</v>
          </cell>
          <cell r="L267">
            <v>57</v>
          </cell>
          <cell r="M267">
            <v>46</v>
          </cell>
          <cell r="N267">
            <v>21</v>
          </cell>
          <cell r="O267">
            <v>19</v>
          </cell>
          <cell r="P267">
            <v>5</v>
          </cell>
          <cell r="Q267">
            <v>8</v>
          </cell>
          <cell r="R267">
            <v>0</v>
          </cell>
          <cell r="S267">
            <v>11</v>
          </cell>
          <cell r="T267">
            <v>0</v>
          </cell>
          <cell r="U267">
            <v>11</v>
          </cell>
          <cell r="V267">
            <v>212</v>
          </cell>
          <cell r="W267">
            <v>64</v>
          </cell>
          <cell r="X267">
            <v>46</v>
          </cell>
          <cell r="Y267">
            <v>28</v>
          </cell>
          <cell r="Z267">
            <v>0</v>
          </cell>
          <cell r="AA267">
            <v>11</v>
          </cell>
          <cell r="AB267">
            <v>166</v>
          </cell>
          <cell r="AC267">
            <v>54</v>
          </cell>
          <cell r="AD267">
            <v>0</v>
          </cell>
          <cell r="AE267">
            <v>11</v>
          </cell>
          <cell r="AF267">
            <v>0</v>
          </cell>
          <cell r="AG267">
            <v>11</v>
          </cell>
          <cell r="AH267">
            <v>0</v>
          </cell>
          <cell r="AI267">
            <v>11</v>
          </cell>
          <cell r="AJ267">
            <v>0</v>
          </cell>
          <cell r="AK267">
            <v>11</v>
          </cell>
          <cell r="AL267">
            <v>50</v>
          </cell>
          <cell r="AM267">
            <v>32</v>
          </cell>
          <cell r="AN267">
            <v>10</v>
          </cell>
          <cell r="AO267">
            <v>16</v>
          </cell>
          <cell r="AP267">
            <v>0</v>
          </cell>
          <cell r="AQ267">
            <v>11</v>
          </cell>
          <cell r="AR267">
            <v>28</v>
          </cell>
          <cell r="AS267">
            <v>21</v>
          </cell>
        </row>
        <row r="268">
          <cell r="B268">
            <v>17031222600</v>
          </cell>
          <cell r="D268">
            <v>1073</v>
          </cell>
          <cell r="E268">
            <v>117</v>
          </cell>
          <cell r="F268">
            <v>609</v>
          </cell>
          <cell r="G268">
            <v>106</v>
          </cell>
          <cell r="H268">
            <v>570</v>
          </cell>
          <cell r="I268">
            <v>113</v>
          </cell>
          <cell r="J268">
            <v>39</v>
          </cell>
          <cell r="K268">
            <v>29</v>
          </cell>
          <cell r="L268">
            <v>34</v>
          </cell>
          <cell r="M268">
            <v>27</v>
          </cell>
          <cell r="N268">
            <v>0</v>
          </cell>
          <cell r="O268">
            <v>11</v>
          </cell>
          <cell r="P268">
            <v>0</v>
          </cell>
          <cell r="Q268">
            <v>11</v>
          </cell>
          <cell r="R268">
            <v>5</v>
          </cell>
          <cell r="S268">
            <v>7</v>
          </cell>
          <cell r="T268">
            <v>0</v>
          </cell>
          <cell r="U268">
            <v>11</v>
          </cell>
          <cell r="V268">
            <v>298</v>
          </cell>
          <cell r="W268">
            <v>66</v>
          </cell>
          <cell r="X268">
            <v>87</v>
          </cell>
          <cell r="Y268">
            <v>43</v>
          </cell>
          <cell r="Z268">
            <v>5</v>
          </cell>
          <cell r="AA268">
            <v>8</v>
          </cell>
          <cell r="AB268">
            <v>199</v>
          </cell>
          <cell r="AC268">
            <v>63</v>
          </cell>
          <cell r="AD268">
            <v>7</v>
          </cell>
          <cell r="AE268">
            <v>10</v>
          </cell>
          <cell r="AF268">
            <v>0</v>
          </cell>
          <cell r="AG268">
            <v>11</v>
          </cell>
          <cell r="AH268">
            <v>12</v>
          </cell>
          <cell r="AI268">
            <v>12</v>
          </cell>
          <cell r="AJ268">
            <v>0</v>
          </cell>
          <cell r="AK268">
            <v>11</v>
          </cell>
          <cell r="AL268">
            <v>99</v>
          </cell>
          <cell r="AM268">
            <v>42</v>
          </cell>
          <cell r="AN268">
            <v>23</v>
          </cell>
          <cell r="AO268">
            <v>21</v>
          </cell>
          <cell r="AP268">
            <v>7</v>
          </cell>
          <cell r="AQ268">
            <v>10</v>
          </cell>
          <cell r="AR268">
            <v>25</v>
          </cell>
          <cell r="AS268">
            <v>15</v>
          </cell>
        </row>
        <row r="269">
          <cell r="B269">
            <v>17031222700</v>
          </cell>
          <cell r="D269">
            <v>1331</v>
          </cell>
          <cell r="E269">
            <v>188</v>
          </cell>
          <cell r="F269">
            <v>873</v>
          </cell>
          <cell r="G269">
            <v>128</v>
          </cell>
          <cell r="H269">
            <v>803</v>
          </cell>
          <cell r="I269">
            <v>116</v>
          </cell>
          <cell r="J269">
            <v>70</v>
          </cell>
          <cell r="K269">
            <v>54</v>
          </cell>
          <cell r="L269">
            <v>40</v>
          </cell>
          <cell r="M269">
            <v>30</v>
          </cell>
          <cell r="N269">
            <v>30</v>
          </cell>
          <cell r="O269">
            <v>45</v>
          </cell>
          <cell r="P269">
            <v>0</v>
          </cell>
          <cell r="Q269">
            <v>11</v>
          </cell>
          <cell r="R269">
            <v>0</v>
          </cell>
          <cell r="S269">
            <v>11</v>
          </cell>
          <cell r="T269">
            <v>0</v>
          </cell>
          <cell r="U269">
            <v>11</v>
          </cell>
          <cell r="V269">
            <v>240</v>
          </cell>
          <cell r="W269">
            <v>81</v>
          </cell>
          <cell r="X269">
            <v>92</v>
          </cell>
          <cell r="Y269">
            <v>45</v>
          </cell>
          <cell r="Z269">
            <v>8</v>
          </cell>
          <cell r="AA269">
            <v>13</v>
          </cell>
          <cell r="AB269">
            <v>135</v>
          </cell>
          <cell r="AC269">
            <v>54</v>
          </cell>
          <cell r="AD269">
            <v>5</v>
          </cell>
          <cell r="AE269">
            <v>7</v>
          </cell>
          <cell r="AF269">
            <v>0</v>
          </cell>
          <cell r="AG269">
            <v>11</v>
          </cell>
          <cell r="AH269">
            <v>0</v>
          </cell>
          <cell r="AI269">
            <v>11</v>
          </cell>
          <cell r="AJ269">
            <v>0</v>
          </cell>
          <cell r="AK269">
            <v>11</v>
          </cell>
          <cell r="AL269">
            <v>74</v>
          </cell>
          <cell r="AM269">
            <v>47</v>
          </cell>
          <cell r="AN269">
            <v>56</v>
          </cell>
          <cell r="AO269">
            <v>45</v>
          </cell>
          <cell r="AP269">
            <v>40</v>
          </cell>
          <cell r="AQ269">
            <v>40</v>
          </cell>
          <cell r="AR269">
            <v>48</v>
          </cell>
          <cell r="AS269">
            <v>30</v>
          </cell>
        </row>
        <row r="270">
          <cell r="B270">
            <v>17031222800</v>
          </cell>
          <cell r="D270">
            <v>381</v>
          </cell>
          <cell r="E270">
            <v>77</v>
          </cell>
          <cell r="F270">
            <v>269</v>
          </cell>
          <cell r="G270">
            <v>69</v>
          </cell>
          <cell r="H270">
            <v>266</v>
          </cell>
          <cell r="I270">
            <v>69</v>
          </cell>
          <cell r="J270">
            <v>3</v>
          </cell>
          <cell r="K270">
            <v>5</v>
          </cell>
          <cell r="L270">
            <v>3</v>
          </cell>
          <cell r="M270">
            <v>5</v>
          </cell>
          <cell r="N270">
            <v>0</v>
          </cell>
          <cell r="O270">
            <v>11</v>
          </cell>
          <cell r="P270">
            <v>0</v>
          </cell>
          <cell r="Q270">
            <v>11</v>
          </cell>
          <cell r="R270">
            <v>0</v>
          </cell>
          <cell r="S270">
            <v>11</v>
          </cell>
          <cell r="T270">
            <v>0</v>
          </cell>
          <cell r="U270">
            <v>11</v>
          </cell>
          <cell r="V270">
            <v>51</v>
          </cell>
          <cell r="W270">
            <v>32</v>
          </cell>
          <cell r="X270">
            <v>15</v>
          </cell>
          <cell r="Y270">
            <v>20</v>
          </cell>
          <cell r="Z270">
            <v>4</v>
          </cell>
          <cell r="AA270">
            <v>7</v>
          </cell>
          <cell r="AB270">
            <v>24</v>
          </cell>
          <cell r="AC270">
            <v>20</v>
          </cell>
          <cell r="AD270">
            <v>3</v>
          </cell>
          <cell r="AE270">
            <v>6</v>
          </cell>
          <cell r="AF270">
            <v>5</v>
          </cell>
          <cell r="AG270">
            <v>7</v>
          </cell>
          <cell r="AH270">
            <v>0</v>
          </cell>
          <cell r="AI270">
            <v>11</v>
          </cell>
          <cell r="AJ270">
            <v>4</v>
          </cell>
          <cell r="AK270">
            <v>6</v>
          </cell>
          <cell r="AL270">
            <v>29</v>
          </cell>
          <cell r="AM270">
            <v>23</v>
          </cell>
          <cell r="AN270">
            <v>8</v>
          </cell>
          <cell r="AO270">
            <v>12</v>
          </cell>
          <cell r="AP270">
            <v>20</v>
          </cell>
          <cell r="AQ270">
            <v>31</v>
          </cell>
          <cell r="AR270">
            <v>0</v>
          </cell>
          <cell r="AS270">
            <v>11</v>
          </cell>
        </row>
        <row r="271">
          <cell r="B271">
            <v>17031222900</v>
          </cell>
          <cell r="D271">
            <v>451</v>
          </cell>
          <cell r="E271">
            <v>83</v>
          </cell>
          <cell r="F271">
            <v>322</v>
          </cell>
          <cell r="G271">
            <v>73</v>
          </cell>
          <cell r="H271">
            <v>288</v>
          </cell>
          <cell r="I271">
            <v>68</v>
          </cell>
          <cell r="J271">
            <v>34</v>
          </cell>
          <cell r="K271">
            <v>20</v>
          </cell>
          <cell r="L271">
            <v>21</v>
          </cell>
          <cell r="M271">
            <v>17</v>
          </cell>
          <cell r="N271">
            <v>0</v>
          </cell>
          <cell r="O271">
            <v>11</v>
          </cell>
          <cell r="P271">
            <v>9</v>
          </cell>
          <cell r="Q271">
            <v>11</v>
          </cell>
          <cell r="R271">
            <v>4</v>
          </cell>
          <cell r="S271">
            <v>5</v>
          </cell>
          <cell r="T271">
            <v>0</v>
          </cell>
          <cell r="U271">
            <v>11</v>
          </cell>
          <cell r="V271">
            <v>73</v>
          </cell>
          <cell r="W271">
            <v>36</v>
          </cell>
          <cell r="X271">
            <v>58</v>
          </cell>
          <cell r="Y271">
            <v>34</v>
          </cell>
          <cell r="Z271">
            <v>0</v>
          </cell>
          <cell r="AA271">
            <v>11</v>
          </cell>
          <cell r="AB271">
            <v>12</v>
          </cell>
          <cell r="AC271">
            <v>18</v>
          </cell>
          <cell r="AD271">
            <v>3</v>
          </cell>
          <cell r="AE271">
            <v>6</v>
          </cell>
          <cell r="AF271">
            <v>0</v>
          </cell>
          <cell r="AG271">
            <v>11</v>
          </cell>
          <cell r="AH271">
            <v>3</v>
          </cell>
          <cell r="AI271">
            <v>5</v>
          </cell>
          <cell r="AJ271">
            <v>0</v>
          </cell>
          <cell r="AK271">
            <v>11</v>
          </cell>
          <cell r="AL271">
            <v>14</v>
          </cell>
          <cell r="AM271">
            <v>17</v>
          </cell>
          <cell r="AN271">
            <v>33</v>
          </cell>
          <cell r="AO271">
            <v>28</v>
          </cell>
          <cell r="AP271">
            <v>3</v>
          </cell>
          <cell r="AQ271">
            <v>6</v>
          </cell>
          <cell r="AR271">
            <v>3</v>
          </cell>
          <cell r="AS271">
            <v>5</v>
          </cell>
        </row>
        <row r="272">
          <cell r="B272">
            <v>17031230100</v>
          </cell>
          <cell r="D272">
            <v>836</v>
          </cell>
          <cell r="E272">
            <v>135</v>
          </cell>
          <cell r="F272">
            <v>439</v>
          </cell>
          <cell r="G272">
            <v>97</v>
          </cell>
          <cell r="H272">
            <v>385</v>
          </cell>
          <cell r="I272">
            <v>80</v>
          </cell>
          <cell r="J272">
            <v>54</v>
          </cell>
          <cell r="K272">
            <v>55</v>
          </cell>
          <cell r="L272">
            <v>38</v>
          </cell>
          <cell r="M272">
            <v>34</v>
          </cell>
          <cell r="N272">
            <v>0</v>
          </cell>
          <cell r="O272">
            <v>11</v>
          </cell>
          <cell r="P272">
            <v>16</v>
          </cell>
          <cell r="Q272">
            <v>24</v>
          </cell>
          <cell r="R272">
            <v>0</v>
          </cell>
          <cell r="S272">
            <v>11</v>
          </cell>
          <cell r="T272">
            <v>0</v>
          </cell>
          <cell r="U272">
            <v>11</v>
          </cell>
          <cell r="V272">
            <v>195</v>
          </cell>
          <cell r="W272">
            <v>64</v>
          </cell>
          <cell r="X272">
            <v>128</v>
          </cell>
          <cell r="Y272">
            <v>55</v>
          </cell>
          <cell r="Z272">
            <v>0</v>
          </cell>
          <cell r="AA272">
            <v>11</v>
          </cell>
          <cell r="AB272">
            <v>67</v>
          </cell>
          <cell r="AC272">
            <v>32</v>
          </cell>
          <cell r="AD272">
            <v>0</v>
          </cell>
          <cell r="AE272">
            <v>11</v>
          </cell>
          <cell r="AF272">
            <v>0</v>
          </cell>
          <cell r="AG272">
            <v>11</v>
          </cell>
          <cell r="AH272">
            <v>24</v>
          </cell>
          <cell r="AI272">
            <v>26</v>
          </cell>
          <cell r="AJ272">
            <v>0</v>
          </cell>
          <cell r="AK272">
            <v>11</v>
          </cell>
          <cell r="AL272">
            <v>60</v>
          </cell>
          <cell r="AM272">
            <v>36</v>
          </cell>
          <cell r="AN272">
            <v>25</v>
          </cell>
          <cell r="AO272">
            <v>26</v>
          </cell>
          <cell r="AP272">
            <v>36</v>
          </cell>
          <cell r="AQ272">
            <v>39</v>
          </cell>
          <cell r="AR272">
            <v>57</v>
          </cell>
          <cell r="AS272">
            <v>34</v>
          </cell>
        </row>
        <row r="273">
          <cell r="B273">
            <v>17031230200</v>
          </cell>
          <cell r="D273">
            <v>900</v>
          </cell>
          <cell r="E273">
            <v>180</v>
          </cell>
          <cell r="F273">
            <v>697</v>
          </cell>
          <cell r="G273">
            <v>150</v>
          </cell>
          <cell r="H273">
            <v>495</v>
          </cell>
          <cell r="I273">
            <v>140</v>
          </cell>
          <cell r="J273">
            <v>202</v>
          </cell>
          <cell r="K273">
            <v>97</v>
          </cell>
          <cell r="L273">
            <v>162</v>
          </cell>
          <cell r="M273">
            <v>68</v>
          </cell>
          <cell r="N273">
            <v>40</v>
          </cell>
          <cell r="O273">
            <v>49</v>
          </cell>
          <cell r="P273">
            <v>0</v>
          </cell>
          <cell r="Q273">
            <v>11</v>
          </cell>
          <cell r="R273">
            <v>0</v>
          </cell>
          <cell r="S273">
            <v>11</v>
          </cell>
          <cell r="T273">
            <v>0</v>
          </cell>
          <cell r="U273">
            <v>11</v>
          </cell>
          <cell r="V273">
            <v>147</v>
          </cell>
          <cell r="W273">
            <v>65</v>
          </cell>
          <cell r="X273">
            <v>131</v>
          </cell>
          <cell r="Y273">
            <v>63</v>
          </cell>
          <cell r="Z273">
            <v>0</v>
          </cell>
          <cell r="AA273">
            <v>11</v>
          </cell>
          <cell r="AB273">
            <v>16</v>
          </cell>
          <cell r="AC273">
            <v>17</v>
          </cell>
          <cell r="AD273">
            <v>0</v>
          </cell>
          <cell r="AE273">
            <v>11</v>
          </cell>
          <cell r="AF273">
            <v>0</v>
          </cell>
          <cell r="AG273">
            <v>11</v>
          </cell>
          <cell r="AH273">
            <v>0</v>
          </cell>
          <cell r="AI273">
            <v>11</v>
          </cell>
          <cell r="AJ273">
            <v>0</v>
          </cell>
          <cell r="AK273">
            <v>11</v>
          </cell>
          <cell r="AL273">
            <v>12</v>
          </cell>
          <cell r="AM273">
            <v>12</v>
          </cell>
          <cell r="AN273">
            <v>36</v>
          </cell>
          <cell r="AO273">
            <v>23</v>
          </cell>
          <cell r="AP273">
            <v>0</v>
          </cell>
          <cell r="AQ273">
            <v>11</v>
          </cell>
          <cell r="AR273">
            <v>8</v>
          </cell>
          <cell r="AS273">
            <v>10</v>
          </cell>
        </row>
        <row r="274">
          <cell r="B274">
            <v>17031230300</v>
          </cell>
          <cell r="D274">
            <v>419</v>
          </cell>
          <cell r="E274">
            <v>74</v>
          </cell>
          <cell r="F274">
            <v>242</v>
          </cell>
          <cell r="G274">
            <v>61</v>
          </cell>
          <cell r="H274">
            <v>181</v>
          </cell>
          <cell r="I274">
            <v>48</v>
          </cell>
          <cell r="J274">
            <v>61</v>
          </cell>
          <cell r="K274">
            <v>39</v>
          </cell>
          <cell r="L274">
            <v>61</v>
          </cell>
          <cell r="M274">
            <v>39</v>
          </cell>
          <cell r="N274">
            <v>0</v>
          </cell>
          <cell r="O274">
            <v>11</v>
          </cell>
          <cell r="P274">
            <v>0</v>
          </cell>
          <cell r="Q274">
            <v>11</v>
          </cell>
          <cell r="R274">
            <v>0</v>
          </cell>
          <cell r="S274">
            <v>11</v>
          </cell>
          <cell r="T274">
            <v>0</v>
          </cell>
          <cell r="U274">
            <v>11</v>
          </cell>
          <cell r="V274">
            <v>123</v>
          </cell>
          <cell r="W274">
            <v>55</v>
          </cell>
          <cell r="X274">
            <v>100</v>
          </cell>
          <cell r="Y274">
            <v>52</v>
          </cell>
          <cell r="Z274">
            <v>0</v>
          </cell>
          <cell r="AA274">
            <v>11</v>
          </cell>
          <cell r="AB274">
            <v>23</v>
          </cell>
          <cell r="AC274">
            <v>20</v>
          </cell>
          <cell r="AD274">
            <v>0</v>
          </cell>
          <cell r="AE274">
            <v>11</v>
          </cell>
          <cell r="AF274">
            <v>0</v>
          </cell>
          <cell r="AG274">
            <v>11</v>
          </cell>
          <cell r="AH274">
            <v>0</v>
          </cell>
          <cell r="AI274">
            <v>11</v>
          </cell>
          <cell r="AJ274">
            <v>0</v>
          </cell>
          <cell r="AK274">
            <v>11</v>
          </cell>
          <cell r="AL274">
            <v>27</v>
          </cell>
          <cell r="AM274">
            <v>34</v>
          </cell>
          <cell r="AN274">
            <v>27</v>
          </cell>
          <cell r="AO274">
            <v>23</v>
          </cell>
          <cell r="AP274">
            <v>0</v>
          </cell>
          <cell r="AQ274">
            <v>11</v>
          </cell>
          <cell r="AR274">
            <v>0</v>
          </cell>
          <cell r="AS274">
            <v>11</v>
          </cell>
        </row>
        <row r="275">
          <cell r="B275">
            <v>17031230400</v>
          </cell>
          <cell r="D275">
            <v>1040</v>
          </cell>
          <cell r="E275">
            <v>219</v>
          </cell>
          <cell r="F275">
            <v>673</v>
          </cell>
          <cell r="G275">
            <v>181</v>
          </cell>
          <cell r="H275">
            <v>493</v>
          </cell>
          <cell r="I275">
            <v>161</v>
          </cell>
          <cell r="J275">
            <v>180</v>
          </cell>
          <cell r="K275">
            <v>107</v>
          </cell>
          <cell r="L275">
            <v>136</v>
          </cell>
          <cell r="M275">
            <v>97</v>
          </cell>
          <cell r="N275">
            <v>35</v>
          </cell>
          <cell r="O275">
            <v>39</v>
          </cell>
          <cell r="P275">
            <v>0</v>
          </cell>
          <cell r="Q275">
            <v>11</v>
          </cell>
          <cell r="R275">
            <v>9</v>
          </cell>
          <cell r="S275">
            <v>14</v>
          </cell>
          <cell r="T275">
            <v>0</v>
          </cell>
          <cell r="U275">
            <v>11</v>
          </cell>
          <cell r="V275">
            <v>277</v>
          </cell>
          <cell r="W275">
            <v>87</v>
          </cell>
          <cell r="X275">
            <v>255</v>
          </cell>
          <cell r="Y275">
            <v>85</v>
          </cell>
          <cell r="Z275">
            <v>0</v>
          </cell>
          <cell r="AA275">
            <v>11</v>
          </cell>
          <cell r="AB275">
            <v>19</v>
          </cell>
          <cell r="AC275">
            <v>20</v>
          </cell>
          <cell r="AD275">
            <v>3</v>
          </cell>
          <cell r="AE275">
            <v>5</v>
          </cell>
          <cell r="AF275">
            <v>0</v>
          </cell>
          <cell r="AG275">
            <v>11</v>
          </cell>
          <cell r="AH275">
            <v>0</v>
          </cell>
          <cell r="AI275">
            <v>11</v>
          </cell>
          <cell r="AJ275">
            <v>0</v>
          </cell>
          <cell r="AK275">
            <v>11</v>
          </cell>
          <cell r="AL275">
            <v>31</v>
          </cell>
          <cell r="AM275">
            <v>28</v>
          </cell>
          <cell r="AN275">
            <v>38</v>
          </cell>
          <cell r="AO275">
            <v>34</v>
          </cell>
          <cell r="AP275">
            <v>10</v>
          </cell>
          <cell r="AQ275">
            <v>16</v>
          </cell>
          <cell r="AR275">
            <v>11</v>
          </cell>
          <cell r="AS275">
            <v>12</v>
          </cell>
        </row>
        <row r="276">
          <cell r="B276">
            <v>17031230500</v>
          </cell>
          <cell r="D276">
            <v>1497</v>
          </cell>
          <cell r="E276">
            <v>270</v>
          </cell>
          <cell r="F276">
            <v>1122</v>
          </cell>
          <cell r="G276">
            <v>291</v>
          </cell>
          <cell r="H276">
            <v>829</v>
          </cell>
          <cell r="I276">
            <v>233</v>
          </cell>
          <cell r="J276">
            <v>293</v>
          </cell>
          <cell r="K276">
            <v>131</v>
          </cell>
          <cell r="L276">
            <v>189</v>
          </cell>
          <cell r="M276">
            <v>95</v>
          </cell>
          <cell r="N276">
            <v>104</v>
          </cell>
          <cell r="O276">
            <v>80</v>
          </cell>
          <cell r="P276">
            <v>0</v>
          </cell>
          <cell r="Q276">
            <v>11</v>
          </cell>
          <cell r="R276">
            <v>0</v>
          </cell>
          <cell r="S276">
            <v>11</v>
          </cell>
          <cell r="T276">
            <v>0</v>
          </cell>
          <cell r="U276">
            <v>11</v>
          </cell>
          <cell r="V276">
            <v>273</v>
          </cell>
          <cell r="W276">
            <v>135</v>
          </cell>
          <cell r="X276">
            <v>273</v>
          </cell>
          <cell r="Y276">
            <v>135</v>
          </cell>
          <cell r="Z276">
            <v>0</v>
          </cell>
          <cell r="AA276">
            <v>11</v>
          </cell>
          <cell r="AB276">
            <v>0</v>
          </cell>
          <cell r="AC276">
            <v>11</v>
          </cell>
          <cell r="AD276">
            <v>0</v>
          </cell>
          <cell r="AE276">
            <v>11</v>
          </cell>
          <cell r="AF276">
            <v>0</v>
          </cell>
          <cell r="AG276">
            <v>11</v>
          </cell>
          <cell r="AH276">
            <v>0</v>
          </cell>
          <cell r="AI276">
            <v>11</v>
          </cell>
          <cell r="AJ276">
            <v>0</v>
          </cell>
          <cell r="AK276">
            <v>11</v>
          </cell>
          <cell r="AL276">
            <v>0</v>
          </cell>
          <cell r="AM276">
            <v>11</v>
          </cell>
          <cell r="AN276">
            <v>73</v>
          </cell>
          <cell r="AO276">
            <v>75</v>
          </cell>
          <cell r="AP276">
            <v>29</v>
          </cell>
          <cell r="AQ276">
            <v>46</v>
          </cell>
          <cell r="AR276">
            <v>0</v>
          </cell>
          <cell r="AS276">
            <v>11</v>
          </cell>
        </row>
        <row r="277">
          <cell r="B277">
            <v>17031230600</v>
          </cell>
          <cell r="D277">
            <v>2246</v>
          </cell>
          <cell r="E277">
            <v>326</v>
          </cell>
          <cell r="F277">
            <v>1422</v>
          </cell>
          <cell r="G277">
            <v>258</v>
          </cell>
          <cell r="H277">
            <v>1187</v>
          </cell>
          <cell r="I277">
            <v>235</v>
          </cell>
          <cell r="J277">
            <v>235</v>
          </cell>
          <cell r="K277">
            <v>133</v>
          </cell>
          <cell r="L277">
            <v>106</v>
          </cell>
          <cell r="M277">
            <v>68</v>
          </cell>
          <cell r="N277">
            <v>129</v>
          </cell>
          <cell r="O277">
            <v>109</v>
          </cell>
          <cell r="P277">
            <v>0</v>
          </cell>
          <cell r="Q277">
            <v>15</v>
          </cell>
          <cell r="R277">
            <v>0</v>
          </cell>
          <cell r="S277">
            <v>15</v>
          </cell>
          <cell r="T277">
            <v>0</v>
          </cell>
          <cell r="U277">
            <v>15</v>
          </cell>
          <cell r="V277">
            <v>601</v>
          </cell>
          <cell r="W277">
            <v>216</v>
          </cell>
          <cell r="X277">
            <v>542</v>
          </cell>
          <cell r="Y277">
            <v>226</v>
          </cell>
          <cell r="Z277">
            <v>0</v>
          </cell>
          <cell r="AA277">
            <v>15</v>
          </cell>
          <cell r="AB277">
            <v>19</v>
          </cell>
          <cell r="AC277">
            <v>21</v>
          </cell>
          <cell r="AD277">
            <v>40</v>
          </cell>
          <cell r="AE277">
            <v>39</v>
          </cell>
          <cell r="AF277">
            <v>0</v>
          </cell>
          <cell r="AG277">
            <v>15</v>
          </cell>
          <cell r="AH277">
            <v>0</v>
          </cell>
          <cell r="AI277">
            <v>15</v>
          </cell>
          <cell r="AJ277">
            <v>0</v>
          </cell>
          <cell r="AK277">
            <v>15</v>
          </cell>
          <cell r="AL277">
            <v>14</v>
          </cell>
          <cell r="AM277">
            <v>21</v>
          </cell>
          <cell r="AN277">
            <v>25</v>
          </cell>
          <cell r="AO277">
            <v>40</v>
          </cell>
          <cell r="AP277">
            <v>156</v>
          </cell>
          <cell r="AQ277">
            <v>104</v>
          </cell>
          <cell r="AR277">
            <v>28</v>
          </cell>
          <cell r="AS277">
            <v>25</v>
          </cell>
        </row>
        <row r="278">
          <cell r="B278">
            <v>17031230700</v>
          </cell>
          <cell r="D278">
            <v>2151</v>
          </cell>
          <cell r="E278">
            <v>333</v>
          </cell>
          <cell r="F278">
            <v>1326</v>
          </cell>
          <cell r="G278">
            <v>233</v>
          </cell>
          <cell r="H278">
            <v>997</v>
          </cell>
          <cell r="I278">
            <v>201</v>
          </cell>
          <cell r="J278">
            <v>329</v>
          </cell>
          <cell r="K278">
            <v>144</v>
          </cell>
          <cell r="L278">
            <v>277</v>
          </cell>
          <cell r="M278">
            <v>134</v>
          </cell>
          <cell r="N278">
            <v>19</v>
          </cell>
          <cell r="O278">
            <v>31</v>
          </cell>
          <cell r="P278">
            <v>10</v>
          </cell>
          <cell r="Q278">
            <v>16</v>
          </cell>
          <cell r="R278">
            <v>23</v>
          </cell>
          <cell r="S278">
            <v>38</v>
          </cell>
          <cell r="T278">
            <v>0</v>
          </cell>
          <cell r="U278">
            <v>15</v>
          </cell>
          <cell r="V278">
            <v>619</v>
          </cell>
          <cell r="W278">
            <v>275</v>
          </cell>
          <cell r="X278">
            <v>546</v>
          </cell>
          <cell r="Y278">
            <v>273</v>
          </cell>
          <cell r="Z278">
            <v>0</v>
          </cell>
          <cell r="AA278">
            <v>15</v>
          </cell>
          <cell r="AB278">
            <v>73</v>
          </cell>
          <cell r="AC278">
            <v>55</v>
          </cell>
          <cell r="AD278">
            <v>0</v>
          </cell>
          <cell r="AE278">
            <v>15</v>
          </cell>
          <cell r="AF278">
            <v>0</v>
          </cell>
          <cell r="AG278">
            <v>15</v>
          </cell>
          <cell r="AH278">
            <v>0</v>
          </cell>
          <cell r="AI278">
            <v>15</v>
          </cell>
          <cell r="AJ278">
            <v>0</v>
          </cell>
          <cell r="AK278">
            <v>15</v>
          </cell>
          <cell r="AL278">
            <v>38</v>
          </cell>
          <cell r="AM278">
            <v>34</v>
          </cell>
          <cell r="AN278">
            <v>84</v>
          </cell>
          <cell r="AO278">
            <v>82</v>
          </cell>
          <cell r="AP278">
            <v>51</v>
          </cell>
          <cell r="AQ278">
            <v>46</v>
          </cell>
          <cell r="AR278">
            <v>33</v>
          </cell>
          <cell r="AS278">
            <v>33</v>
          </cell>
        </row>
        <row r="279">
          <cell r="B279">
            <v>17031230800</v>
          </cell>
          <cell r="D279">
            <v>589</v>
          </cell>
          <cell r="E279">
            <v>120</v>
          </cell>
          <cell r="F279">
            <v>443</v>
          </cell>
          <cell r="G279">
            <v>107</v>
          </cell>
          <cell r="H279">
            <v>375</v>
          </cell>
          <cell r="I279">
            <v>111</v>
          </cell>
          <cell r="J279">
            <v>68</v>
          </cell>
          <cell r="K279">
            <v>34</v>
          </cell>
          <cell r="L279">
            <v>59</v>
          </cell>
          <cell r="M279">
            <v>30</v>
          </cell>
          <cell r="N279">
            <v>9</v>
          </cell>
          <cell r="O279">
            <v>12</v>
          </cell>
          <cell r="P279">
            <v>0</v>
          </cell>
          <cell r="Q279">
            <v>11</v>
          </cell>
          <cell r="R279">
            <v>0</v>
          </cell>
          <cell r="S279">
            <v>11</v>
          </cell>
          <cell r="T279">
            <v>0</v>
          </cell>
          <cell r="U279">
            <v>11</v>
          </cell>
          <cell r="V279">
            <v>114</v>
          </cell>
          <cell r="W279">
            <v>43</v>
          </cell>
          <cell r="X279">
            <v>94</v>
          </cell>
          <cell r="Y279">
            <v>45</v>
          </cell>
          <cell r="Z279">
            <v>0</v>
          </cell>
          <cell r="AA279">
            <v>11</v>
          </cell>
          <cell r="AB279">
            <v>19</v>
          </cell>
          <cell r="AC279">
            <v>14</v>
          </cell>
          <cell r="AD279">
            <v>1</v>
          </cell>
          <cell r="AE279">
            <v>4</v>
          </cell>
          <cell r="AF279">
            <v>0</v>
          </cell>
          <cell r="AG279">
            <v>11</v>
          </cell>
          <cell r="AH279">
            <v>0</v>
          </cell>
          <cell r="AI279">
            <v>11</v>
          </cell>
          <cell r="AJ279">
            <v>0</v>
          </cell>
          <cell r="AK279">
            <v>11</v>
          </cell>
          <cell r="AL279">
            <v>3</v>
          </cell>
          <cell r="AM279">
            <v>4</v>
          </cell>
          <cell r="AN279">
            <v>6</v>
          </cell>
          <cell r="AO279">
            <v>8</v>
          </cell>
          <cell r="AP279">
            <v>20</v>
          </cell>
          <cell r="AQ279">
            <v>20</v>
          </cell>
          <cell r="AR279">
            <v>3</v>
          </cell>
          <cell r="AS279">
            <v>5</v>
          </cell>
        </row>
        <row r="280">
          <cell r="B280">
            <v>17031230900</v>
          </cell>
          <cell r="D280">
            <v>2218</v>
          </cell>
          <cell r="E280">
            <v>268</v>
          </cell>
          <cell r="F280">
            <v>1354</v>
          </cell>
          <cell r="G280">
            <v>257</v>
          </cell>
          <cell r="H280">
            <v>1156</v>
          </cell>
          <cell r="I280">
            <v>231</v>
          </cell>
          <cell r="J280">
            <v>198</v>
          </cell>
          <cell r="K280">
            <v>99</v>
          </cell>
          <cell r="L280">
            <v>128</v>
          </cell>
          <cell r="M280">
            <v>83</v>
          </cell>
          <cell r="N280">
            <v>70</v>
          </cell>
          <cell r="O280">
            <v>47</v>
          </cell>
          <cell r="P280">
            <v>0</v>
          </cell>
          <cell r="Q280">
            <v>15</v>
          </cell>
          <cell r="R280">
            <v>0</v>
          </cell>
          <cell r="S280">
            <v>15</v>
          </cell>
          <cell r="T280">
            <v>0</v>
          </cell>
          <cell r="U280">
            <v>15</v>
          </cell>
          <cell r="V280">
            <v>587</v>
          </cell>
          <cell r="W280">
            <v>151</v>
          </cell>
          <cell r="X280">
            <v>465</v>
          </cell>
          <cell r="Y280">
            <v>150</v>
          </cell>
          <cell r="Z280">
            <v>0</v>
          </cell>
          <cell r="AA280">
            <v>15</v>
          </cell>
          <cell r="AB280">
            <v>116</v>
          </cell>
          <cell r="AC280">
            <v>74</v>
          </cell>
          <cell r="AD280">
            <v>6</v>
          </cell>
          <cell r="AE280">
            <v>10</v>
          </cell>
          <cell r="AF280">
            <v>0</v>
          </cell>
          <cell r="AG280">
            <v>15</v>
          </cell>
          <cell r="AH280">
            <v>11</v>
          </cell>
          <cell r="AI280">
            <v>17</v>
          </cell>
          <cell r="AJ280">
            <v>0</v>
          </cell>
          <cell r="AK280">
            <v>15</v>
          </cell>
          <cell r="AL280">
            <v>116</v>
          </cell>
          <cell r="AM280">
            <v>75</v>
          </cell>
          <cell r="AN280">
            <v>79</v>
          </cell>
          <cell r="AO280">
            <v>74</v>
          </cell>
          <cell r="AP280">
            <v>34</v>
          </cell>
          <cell r="AQ280">
            <v>41</v>
          </cell>
          <cell r="AR280">
            <v>37</v>
          </cell>
          <cell r="AS280">
            <v>24</v>
          </cell>
        </row>
        <row r="281">
          <cell r="B281">
            <v>17031231100</v>
          </cell>
          <cell r="D281">
            <v>459</v>
          </cell>
          <cell r="E281">
            <v>131</v>
          </cell>
          <cell r="F281">
            <v>282</v>
          </cell>
          <cell r="G281">
            <v>76</v>
          </cell>
          <cell r="H281">
            <v>219</v>
          </cell>
          <cell r="I281">
            <v>59</v>
          </cell>
          <cell r="J281">
            <v>63</v>
          </cell>
          <cell r="K281">
            <v>38</v>
          </cell>
          <cell r="L281">
            <v>43</v>
          </cell>
          <cell r="M281">
            <v>35</v>
          </cell>
          <cell r="N281">
            <v>5</v>
          </cell>
          <cell r="O281">
            <v>8</v>
          </cell>
          <cell r="P281">
            <v>5</v>
          </cell>
          <cell r="Q281">
            <v>8</v>
          </cell>
          <cell r="R281">
            <v>0</v>
          </cell>
          <cell r="S281">
            <v>11</v>
          </cell>
          <cell r="T281">
            <v>10</v>
          </cell>
          <cell r="U281">
            <v>14</v>
          </cell>
          <cell r="V281">
            <v>90</v>
          </cell>
          <cell r="W281">
            <v>36</v>
          </cell>
          <cell r="X281">
            <v>66</v>
          </cell>
          <cell r="Y281">
            <v>29</v>
          </cell>
          <cell r="Z281">
            <v>0</v>
          </cell>
          <cell r="AA281">
            <v>11</v>
          </cell>
          <cell r="AB281">
            <v>24</v>
          </cell>
          <cell r="AC281">
            <v>19</v>
          </cell>
          <cell r="AD281">
            <v>0</v>
          </cell>
          <cell r="AE281">
            <v>11</v>
          </cell>
          <cell r="AF281">
            <v>0</v>
          </cell>
          <cell r="AG281">
            <v>11</v>
          </cell>
          <cell r="AH281">
            <v>0</v>
          </cell>
          <cell r="AI281">
            <v>11</v>
          </cell>
          <cell r="AJ281">
            <v>0</v>
          </cell>
          <cell r="AK281">
            <v>11</v>
          </cell>
          <cell r="AL281">
            <v>74</v>
          </cell>
          <cell r="AM281">
            <v>106</v>
          </cell>
          <cell r="AN281">
            <v>0</v>
          </cell>
          <cell r="AO281">
            <v>11</v>
          </cell>
          <cell r="AP281">
            <v>9</v>
          </cell>
          <cell r="AQ281">
            <v>15</v>
          </cell>
          <cell r="AR281">
            <v>4</v>
          </cell>
          <cell r="AS281">
            <v>6</v>
          </cell>
        </row>
        <row r="282">
          <cell r="B282">
            <v>17031231200</v>
          </cell>
          <cell r="D282">
            <v>2032</v>
          </cell>
          <cell r="E282">
            <v>377</v>
          </cell>
          <cell r="F282">
            <v>1431</v>
          </cell>
          <cell r="G282">
            <v>323</v>
          </cell>
          <cell r="H282">
            <v>1125</v>
          </cell>
          <cell r="I282">
            <v>222</v>
          </cell>
          <cell r="J282">
            <v>306</v>
          </cell>
          <cell r="K282">
            <v>190</v>
          </cell>
          <cell r="L282">
            <v>189</v>
          </cell>
          <cell r="M282">
            <v>145</v>
          </cell>
          <cell r="N282">
            <v>46</v>
          </cell>
          <cell r="O282">
            <v>52</v>
          </cell>
          <cell r="P282">
            <v>71</v>
          </cell>
          <cell r="Q282">
            <v>83</v>
          </cell>
          <cell r="R282">
            <v>0</v>
          </cell>
          <cell r="S282">
            <v>15</v>
          </cell>
          <cell r="T282">
            <v>0</v>
          </cell>
          <cell r="U282">
            <v>15</v>
          </cell>
          <cell r="V282">
            <v>410</v>
          </cell>
          <cell r="W282">
            <v>150</v>
          </cell>
          <cell r="X282">
            <v>396</v>
          </cell>
          <cell r="Y282">
            <v>149</v>
          </cell>
          <cell r="Z282">
            <v>0</v>
          </cell>
          <cell r="AA282">
            <v>15</v>
          </cell>
          <cell r="AB282">
            <v>14</v>
          </cell>
          <cell r="AC282">
            <v>21</v>
          </cell>
          <cell r="AD282">
            <v>0</v>
          </cell>
          <cell r="AE282">
            <v>15</v>
          </cell>
          <cell r="AF282">
            <v>0</v>
          </cell>
          <cell r="AG282">
            <v>15</v>
          </cell>
          <cell r="AH282">
            <v>10</v>
          </cell>
          <cell r="AI282">
            <v>17</v>
          </cell>
          <cell r="AJ282">
            <v>0</v>
          </cell>
          <cell r="AK282">
            <v>15</v>
          </cell>
          <cell r="AL282">
            <v>20</v>
          </cell>
          <cell r="AM282">
            <v>22</v>
          </cell>
          <cell r="AN282">
            <v>0</v>
          </cell>
          <cell r="AO282">
            <v>15</v>
          </cell>
          <cell r="AP282">
            <v>64</v>
          </cell>
          <cell r="AQ282">
            <v>52</v>
          </cell>
          <cell r="AR282">
            <v>97</v>
          </cell>
          <cell r="AS282">
            <v>62</v>
          </cell>
        </row>
        <row r="283">
          <cell r="B283">
            <v>17031231500</v>
          </cell>
          <cell r="D283">
            <v>2026</v>
          </cell>
          <cell r="E283">
            <v>474</v>
          </cell>
          <cell r="F283">
            <v>1031</v>
          </cell>
          <cell r="G283">
            <v>395</v>
          </cell>
          <cell r="H283">
            <v>963</v>
          </cell>
          <cell r="I283">
            <v>381</v>
          </cell>
          <cell r="J283">
            <v>68</v>
          </cell>
          <cell r="K283">
            <v>72</v>
          </cell>
          <cell r="L283">
            <v>53</v>
          </cell>
          <cell r="M283">
            <v>60</v>
          </cell>
          <cell r="N283">
            <v>0</v>
          </cell>
          <cell r="O283">
            <v>15</v>
          </cell>
          <cell r="P283">
            <v>15</v>
          </cell>
          <cell r="Q283">
            <v>26</v>
          </cell>
          <cell r="R283">
            <v>0</v>
          </cell>
          <cell r="S283">
            <v>15</v>
          </cell>
          <cell r="T283">
            <v>0</v>
          </cell>
          <cell r="U283">
            <v>15</v>
          </cell>
          <cell r="V283">
            <v>768</v>
          </cell>
          <cell r="W283">
            <v>267</v>
          </cell>
          <cell r="X283">
            <v>747</v>
          </cell>
          <cell r="Y283">
            <v>269</v>
          </cell>
          <cell r="Z283">
            <v>0</v>
          </cell>
          <cell r="AA283">
            <v>15</v>
          </cell>
          <cell r="AB283">
            <v>21</v>
          </cell>
          <cell r="AC283">
            <v>30</v>
          </cell>
          <cell r="AD283">
            <v>0</v>
          </cell>
          <cell r="AE283">
            <v>15</v>
          </cell>
          <cell r="AF283">
            <v>0</v>
          </cell>
          <cell r="AG283">
            <v>15</v>
          </cell>
          <cell r="AH283">
            <v>0</v>
          </cell>
          <cell r="AI283">
            <v>15</v>
          </cell>
          <cell r="AJ283">
            <v>0</v>
          </cell>
          <cell r="AK283">
            <v>15</v>
          </cell>
          <cell r="AL283">
            <v>28</v>
          </cell>
          <cell r="AM283">
            <v>53</v>
          </cell>
          <cell r="AN283">
            <v>89</v>
          </cell>
          <cell r="AO283">
            <v>88</v>
          </cell>
          <cell r="AP283">
            <v>23</v>
          </cell>
          <cell r="AQ283">
            <v>38</v>
          </cell>
          <cell r="AR283">
            <v>87</v>
          </cell>
          <cell r="AS283">
            <v>78</v>
          </cell>
        </row>
        <row r="284">
          <cell r="B284">
            <v>17031240200</v>
          </cell>
          <cell r="D284">
            <v>1036</v>
          </cell>
          <cell r="E284">
            <v>124</v>
          </cell>
          <cell r="F284">
            <v>460</v>
          </cell>
          <cell r="G284">
            <v>119</v>
          </cell>
          <cell r="H284">
            <v>433</v>
          </cell>
          <cell r="I284">
            <v>119</v>
          </cell>
          <cell r="J284">
            <v>27</v>
          </cell>
          <cell r="K284">
            <v>25</v>
          </cell>
          <cell r="L284">
            <v>27</v>
          </cell>
          <cell r="M284">
            <v>25</v>
          </cell>
          <cell r="N284">
            <v>0</v>
          </cell>
          <cell r="O284">
            <v>11</v>
          </cell>
          <cell r="P284">
            <v>0</v>
          </cell>
          <cell r="Q284">
            <v>11</v>
          </cell>
          <cell r="R284">
            <v>0</v>
          </cell>
          <cell r="S284">
            <v>11</v>
          </cell>
          <cell r="T284">
            <v>0</v>
          </cell>
          <cell r="U284">
            <v>11</v>
          </cell>
          <cell r="V284">
            <v>393</v>
          </cell>
          <cell r="W284">
            <v>86</v>
          </cell>
          <cell r="X284">
            <v>71</v>
          </cell>
          <cell r="Y284">
            <v>37</v>
          </cell>
          <cell r="Z284">
            <v>0</v>
          </cell>
          <cell r="AA284">
            <v>11</v>
          </cell>
          <cell r="AB284">
            <v>267</v>
          </cell>
          <cell r="AC284">
            <v>70</v>
          </cell>
          <cell r="AD284">
            <v>55</v>
          </cell>
          <cell r="AE284">
            <v>26</v>
          </cell>
          <cell r="AF284">
            <v>0</v>
          </cell>
          <cell r="AG284">
            <v>11</v>
          </cell>
          <cell r="AH284">
            <v>4</v>
          </cell>
          <cell r="AI284">
            <v>6</v>
          </cell>
          <cell r="AJ284">
            <v>0</v>
          </cell>
          <cell r="AK284">
            <v>11</v>
          </cell>
          <cell r="AL284">
            <v>35</v>
          </cell>
          <cell r="AM284">
            <v>20</v>
          </cell>
          <cell r="AN284">
            <v>18</v>
          </cell>
          <cell r="AO284">
            <v>16</v>
          </cell>
          <cell r="AP284">
            <v>23</v>
          </cell>
          <cell r="AQ284">
            <v>20</v>
          </cell>
          <cell r="AR284">
            <v>103</v>
          </cell>
          <cell r="AS284">
            <v>49</v>
          </cell>
        </row>
        <row r="285">
          <cell r="B285">
            <v>17031240300</v>
          </cell>
          <cell r="D285">
            <v>873</v>
          </cell>
          <cell r="E285">
            <v>89</v>
          </cell>
          <cell r="F285">
            <v>400</v>
          </cell>
          <cell r="G285">
            <v>75</v>
          </cell>
          <cell r="H285">
            <v>360</v>
          </cell>
          <cell r="I285">
            <v>72</v>
          </cell>
          <cell r="J285">
            <v>40</v>
          </cell>
          <cell r="K285">
            <v>30</v>
          </cell>
          <cell r="L285">
            <v>33</v>
          </cell>
          <cell r="M285">
            <v>26</v>
          </cell>
          <cell r="N285">
            <v>7</v>
          </cell>
          <cell r="O285">
            <v>11</v>
          </cell>
          <cell r="P285">
            <v>0</v>
          </cell>
          <cell r="Q285">
            <v>11</v>
          </cell>
          <cell r="R285">
            <v>0</v>
          </cell>
          <cell r="S285">
            <v>11</v>
          </cell>
          <cell r="T285">
            <v>0</v>
          </cell>
          <cell r="U285">
            <v>11</v>
          </cell>
          <cell r="V285">
            <v>340</v>
          </cell>
          <cell r="W285">
            <v>60</v>
          </cell>
          <cell r="X285">
            <v>69</v>
          </cell>
          <cell r="Y285">
            <v>29</v>
          </cell>
          <cell r="Z285">
            <v>0</v>
          </cell>
          <cell r="AA285">
            <v>11</v>
          </cell>
          <cell r="AB285">
            <v>258</v>
          </cell>
          <cell r="AC285">
            <v>54</v>
          </cell>
          <cell r="AD285">
            <v>13</v>
          </cell>
          <cell r="AE285">
            <v>11</v>
          </cell>
          <cell r="AF285">
            <v>0</v>
          </cell>
          <cell r="AG285">
            <v>11</v>
          </cell>
          <cell r="AH285">
            <v>3</v>
          </cell>
          <cell r="AI285">
            <v>5</v>
          </cell>
          <cell r="AJ285">
            <v>0</v>
          </cell>
          <cell r="AK285">
            <v>11</v>
          </cell>
          <cell r="AL285">
            <v>11</v>
          </cell>
          <cell r="AM285">
            <v>18</v>
          </cell>
          <cell r="AN285">
            <v>42</v>
          </cell>
          <cell r="AO285">
            <v>27</v>
          </cell>
          <cell r="AP285">
            <v>5</v>
          </cell>
          <cell r="AQ285">
            <v>7</v>
          </cell>
          <cell r="AR285">
            <v>72</v>
          </cell>
          <cell r="AS285">
            <v>36</v>
          </cell>
        </row>
        <row r="286">
          <cell r="B286">
            <v>17031240500</v>
          </cell>
          <cell r="D286">
            <v>1788</v>
          </cell>
          <cell r="E286">
            <v>120</v>
          </cell>
          <cell r="F286">
            <v>914</v>
          </cell>
          <cell r="G286">
            <v>138</v>
          </cell>
          <cell r="H286">
            <v>772</v>
          </cell>
          <cell r="I286">
            <v>138</v>
          </cell>
          <cell r="J286">
            <v>142</v>
          </cell>
          <cell r="K286">
            <v>78</v>
          </cell>
          <cell r="L286">
            <v>96</v>
          </cell>
          <cell r="M286">
            <v>63</v>
          </cell>
          <cell r="N286">
            <v>17</v>
          </cell>
          <cell r="O286">
            <v>19</v>
          </cell>
          <cell r="P286">
            <v>29</v>
          </cell>
          <cell r="Q286">
            <v>39</v>
          </cell>
          <cell r="R286">
            <v>0</v>
          </cell>
          <cell r="S286">
            <v>11</v>
          </cell>
          <cell r="T286">
            <v>0</v>
          </cell>
          <cell r="U286">
            <v>11</v>
          </cell>
          <cell r="V286">
            <v>653</v>
          </cell>
          <cell r="W286">
            <v>115</v>
          </cell>
          <cell r="X286">
            <v>45</v>
          </cell>
          <cell r="Y286">
            <v>32</v>
          </cell>
          <cell r="Z286">
            <v>0</v>
          </cell>
          <cell r="AA286">
            <v>11</v>
          </cell>
          <cell r="AB286">
            <v>608</v>
          </cell>
          <cell r="AC286">
            <v>112</v>
          </cell>
          <cell r="AD286">
            <v>0</v>
          </cell>
          <cell r="AE286">
            <v>11</v>
          </cell>
          <cell r="AF286">
            <v>0</v>
          </cell>
          <cell r="AG286">
            <v>11</v>
          </cell>
          <cell r="AH286">
            <v>30</v>
          </cell>
          <cell r="AI286">
            <v>36</v>
          </cell>
          <cell r="AJ286">
            <v>0</v>
          </cell>
          <cell r="AK286">
            <v>11</v>
          </cell>
          <cell r="AL286">
            <v>18</v>
          </cell>
          <cell r="AM286">
            <v>16</v>
          </cell>
          <cell r="AN286">
            <v>51</v>
          </cell>
          <cell r="AO286">
            <v>42</v>
          </cell>
          <cell r="AP286">
            <v>0</v>
          </cell>
          <cell r="AQ286">
            <v>11</v>
          </cell>
          <cell r="AR286">
            <v>122</v>
          </cell>
          <cell r="AS286">
            <v>55</v>
          </cell>
        </row>
        <row r="287">
          <cell r="B287">
            <v>17031240600</v>
          </cell>
          <cell r="D287">
            <v>951</v>
          </cell>
          <cell r="E287">
            <v>111</v>
          </cell>
          <cell r="F287">
            <v>504</v>
          </cell>
          <cell r="G287">
            <v>106</v>
          </cell>
          <cell r="H287">
            <v>447</v>
          </cell>
          <cell r="I287">
            <v>105</v>
          </cell>
          <cell r="J287">
            <v>57</v>
          </cell>
          <cell r="K287">
            <v>27</v>
          </cell>
          <cell r="L287">
            <v>48</v>
          </cell>
          <cell r="M287">
            <v>25</v>
          </cell>
          <cell r="N287">
            <v>0</v>
          </cell>
          <cell r="O287">
            <v>11</v>
          </cell>
          <cell r="P287">
            <v>9</v>
          </cell>
          <cell r="Q287">
            <v>10</v>
          </cell>
          <cell r="R287">
            <v>0</v>
          </cell>
          <cell r="S287">
            <v>11</v>
          </cell>
          <cell r="T287">
            <v>0</v>
          </cell>
          <cell r="U287">
            <v>11</v>
          </cell>
          <cell r="V287">
            <v>351</v>
          </cell>
          <cell r="W287">
            <v>104</v>
          </cell>
          <cell r="X287">
            <v>79</v>
          </cell>
          <cell r="Y287">
            <v>45</v>
          </cell>
          <cell r="Z287">
            <v>0</v>
          </cell>
          <cell r="AA287">
            <v>11</v>
          </cell>
          <cell r="AB287">
            <v>272</v>
          </cell>
          <cell r="AC287">
            <v>92</v>
          </cell>
          <cell r="AD287">
            <v>0</v>
          </cell>
          <cell r="AE287">
            <v>11</v>
          </cell>
          <cell r="AF287">
            <v>0</v>
          </cell>
          <cell r="AG287">
            <v>11</v>
          </cell>
          <cell r="AH287">
            <v>0</v>
          </cell>
          <cell r="AI287">
            <v>11</v>
          </cell>
          <cell r="AJ287">
            <v>0</v>
          </cell>
          <cell r="AK287">
            <v>11</v>
          </cell>
          <cell r="AL287">
            <v>39</v>
          </cell>
          <cell r="AM287">
            <v>31</v>
          </cell>
          <cell r="AN287">
            <v>45</v>
          </cell>
          <cell r="AO287">
            <v>68</v>
          </cell>
          <cell r="AP287">
            <v>0</v>
          </cell>
          <cell r="AQ287">
            <v>11</v>
          </cell>
          <cell r="AR287">
            <v>12</v>
          </cell>
          <cell r="AS287">
            <v>16</v>
          </cell>
        </row>
        <row r="288">
          <cell r="B288">
            <v>17031240700</v>
          </cell>
          <cell r="D288">
            <v>863</v>
          </cell>
          <cell r="E288">
            <v>116</v>
          </cell>
          <cell r="F288">
            <v>510</v>
          </cell>
          <cell r="G288">
            <v>106</v>
          </cell>
          <cell r="H288">
            <v>453</v>
          </cell>
          <cell r="I288">
            <v>105</v>
          </cell>
          <cell r="J288">
            <v>57</v>
          </cell>
          <cell r="K288">
            <v>38</v>
          </cell>
          <cell r="L288">
            <v>57</v>
          </cell>
          <cell r="M288">
            <v>38</v>
          </cell>
          <cell r="N288">
            <v>0</v>
          </cell>
          <cell r="O288">
            <v>11</v>
          </cell>
          <cell r="P288">
            <v>0</v>
          </cell>
          <cell r="Q288">
            <v>11</v>
          </cell>
          <cell r="R288">
            <v>0</v>
          </cell>
          <cell r="S288">
            <v>11</v>
          </cell>
          <cell r="T288">
            <v>0</v>
          </cell>
          <cell r="U288">
            <v>11</v>
          </cell>
          <cell r="V288">
            <v>250</v>
          </cell>
          <cell r="W288">
            <v>66</v>
          </cell>
          <cell r="X288">
            <v>27</v>
          </cell>
          <cell r="Y288">
            <v>18</v>
          </cell>
          <cell r="Z288">
            <v>0</v>
          </cell>
          <cell r="AA288">
            <v>11</v>
          </cell>
          <cell r="AB288">
            <v>210</v>
          </cell>
          <cell r="AC288">
            <v>63</v>
          </cell>
          <cell r="AD288">
            <v>13</v>
          </cell>
          <cell r="AE288">
            <v>20</v>
          </cell>
          <cell r="AF288">
            <v>0</v>
          </cell>
          <cell r="AG288">
            <v>11</v>
          </cell>
          <cell r="AH288">
            <v>0</v>
          </cell>
          <cell r="AI288">
            <v>11</v>
          </cell>
          <cell r="AJ288">
            <v>0</v>
          </cell>
          <cell r="AK288">
            <v>11</v>
          </cell>
          <cell r="AL288">
            <v>14</v>
          </cell>
          <cell r="AM288">
            <v>12</v>
          </cell>
          <cell r="AN288">
            <v>11</v>
          </cell>
          <cell r="AO288">
            <v>11</v>
          </cell>
          <cell r="AP288">
            <v>5</v>
          </cell>
          <cell r="AQ288">
            <v>8</v>
          </cell>
          <cell r="AR288">
            <v>73</v>
          </cell>
          <cell r="AS288">
            <v>52</v>
          </cell>
        </row>
        <row r="289">
          <cell r="B289">
            <v>17031240800</v>
          </cell>
          <cell r="D289">
            <v>787</v>
          </cell>
          <cell r="E289">
            <v>118</v>
          </cell>
          <cell r="F289">
            <v>514</v>
          </cell>
          <cell r="G289">
            <v>122</v>
          </cell>
          <cell r="H289">
            <v>394</v>
          </cell>
          <cell r="I289">
            <v>83</v>
          </cell>
          <cell r="J289">
            <v>120</v>
          </cell>
          <cell r="K289">
            <v>95</v>
          </cell>
          <cell r="L289">
            <v>83</v>
          </cell>
          <cell r="M289">
            <v>64</v>
          </cell>
          <cell r="N289">
            <v>21</v>
          </cell>
          <cell r="O289">
            <v>31</v>
          </cell>
          <cell r="P289">
            <v>16</v>
          </cell>
          <cell r="Q289">
            <v>19</v>
          </cell>
          <cell r="R289">
            <v>0</v>
          </cell>
          <cell r="S289">
            <v>11</v>
          </cell>
          <cell r="T289">
            <v>0</v>
          </cell>
          <cell r="U289">
            <v>11</v>
          </cell>
          <cell r="V289">
            <v>143</v>
          </cell>
          <cell r="W289">
            <v>54</v>
          </cell>
          <cell r="X289">
            <v>80</v>
          </cell>
          <cell r="Y289">
            <v>48</v>
          </cell>
          <cell r="Z289">
            <v>0</v>
          </cell>
          <cell r="AA289">
            <v>11</v>
          </cell>
          <cell r="AB289">
            <v>63</v>
          </cell>
          <cell r="AC289">
            <v>30</v>
          </cell>
          <cell r="AD289">
            <v>0</v>
          </cell>
          <cell r="AE289">
            <v>11</v>
          </cell>
          <cell r="AF289">
            <v>0</v>
          </cell>
          <cell r="AG289">
            <v>11</v>
          </cell>
          <cell r="AH289">
            <v>10</v>
          </cell>
          <cell r="AI289">
            <v>12</v>
          </cell>
          <cell r="AJ289">
            <v>0</v>
          </cell>
          <cell r="AK289">
            <v>11</v>
          </cell>
          <cell r="AL289">
            <v>32</v>
          </cell>
          <cell r="AM289">
            <v>15</v>
          </cell>
          <cell r="AN289">
            <v>35</v>
          </cell>
          <cell r="AO289">
            <v>27</v>
          </cell>
          <cell r="AP289">
            <v>10</v>
          </cell>
          <cell r="AQ289">
            <v>14</v>
          </cell>
          <cell r="AR289">
            <v>43</v>
          </cell>
          <cell r="AS289">
            <v>26</v>
          </cell>
        </row>
        <row r="290">
          <cell r="B290">
            <v>17031240900</v>
          </cell>
          <cell r="D290">
            <v>529</v>
          </cell>
          <cell r="E290">
            <v>90</v>
          </cell>
          <cell r="F290">
            <v>387</v>
          </cell>
          <cell r="G290">
            <v>88</v>
          </cell>
          <cell r="H290">
            <v>323</v>
          </cell>
          <cell r="I290">
            <v>74</v>
          </cell>
          <cell r="J290">
            <v>64</v>
          </cell>
          <cell r="K290">
            <v>50</v>
          </cell>
          <cell r="L290">
            <v>57</v>
          </cell>
          <cell r="M290">
            <v>47</v>
          </cell>
          <cell r="N290">
            <v>7</v>
          </cell>
          <cell r="O290">
            <v>11</v>
          </cell>
          <cell r="P290">
            <v>0</v>
          </cell>
          <cell r="Q290">
            <v>11</v>
          </cell>
          <cell r="R290">
            <v>0</v>
          </cell>
          <cell r="S290">
            <v>11</v>
          </cell>
          <cell r="T290">
            <v>0</v>
          </cell>
          <cell r="U290">
            <v>11</v>
          </cell>
          <cell r="V290">
            <v>69</v>
          </cell>
          <cell r="W290">
            <v>32</v>
          </cell>
          <cell r="X290">
            <v>64</v>
          </cell>
          <cell r="Y290">
            <v>32</v>
          </cell>
          <cell r="Z290">
            <v>0</v>
          </cell>
          <cell r="AA290">
            <v>11</v>
          </cell>
          <cell r="AB290">
            <v>5</v>
          </cell>
          <cell r="AC290">
            <v>7</v>
          </cell>
          <cell r="AD290">
            <v>0</v>
          </cell>
          <cell r="AE290">
            <v>11</v>
          </cell>
          <cell r="AF290">
            <v>0</v>
          </cell>
          <cell r="AG290">
            <v>11</v>
          </cell>
          <cell r="AH290">
            <v>0</v>
          </cell>
          <cell r="AI290">
            <v>11</v>
          </cell>
          <cell r="AJ290">
            <v>6</v>
          </cell>
          <cell r="AK290">
            <v>9</v>
          </cell>
          <cell r="AL290">
            <v>12</v>
          </cell>
          <cell r="AM290">
            <v>13</v>
          </cell>
          <cell r="AN290">
            <v>27</v>
          </cell>
          <cell r="AO290">
            <v>26</v>
          </cell>
          <cell r="AP290">
            <v>0</v>
          </cell>
          <cell r="AQ290">
            <v>11</v>
          </cell>
          <cell r="AR290">
            <v>28</v>
          </cell>
          <cell r="AS290">
            <v>21</v>
          </cell>
        </row>
        <row r="291">
          <cell r="B291">
            <v>17031241000</v>
          </cell>
          <cell r="D291">
            <v>846</v>
          </cell>
          <cell r="E291">
            <v>139</v>
          </cell>
          <cell r="F291">
            <v>477</v>
          </cell>
          <cell r="G291">
            <v>89</v>
          </cell>
          <cell r="H291">
            <v>444</v>
          </cell>
          <cell r="I291">
            <v>89</v>
          </cell>
          <cell r="J291">
            <v>33</v>
          </cell>
          <cell r="K291">
            <v>24</v>
          </cell>
          <cell r="L291">
            <v>33</v>
          </cell>
          <cell r="M291">
            <v>24</v>
          </cell>
          <cell r="N291">
            <v>0</v>
          </cell>
          <cell r="O291">
            <v>11</v>
          </cell>
          <cell r="P291">
            <v>0</v>
          </cell>
          <cell r="Q291">
            <v>11</v>
          </cell>
          <cell r="R291">
            <v>0</v>
          </cell>
          <cell r="S291">
            <v>11</v>
          </cell>
          <cell r="T291">
            <v>0</v>
          </cell>
          <cell r="U291">
            <v>11</v>
          </cell>
          <cell r="V291">
            <v>217</v>
          </cell>
          <cell r="W291">
            <v>85</v>
          </cell>
          <cell r="X291">
            <v>130</v>
          </cell>
          <cell r="Y291">
            <v>65</v>
          </cell>
          <cell r="Z291">
            <v>0</v>
          </cell>
          <cell r="AA291">
            <v>11</v>
          </cell>
          <cell r="AB291">
            <v>77</v>
          </cell>
          <cell r="AC291">
            <v>38</v>
          </cell>
          <cell r="AD291">
            <v>10</v>
          </cell>
          <cell r="AE291">
            <v>14</v>
          </cell>
          <cell r="AF291">
            <v>0</v>
          </cell>
          <cell r="AG291">
            <v>11</v>
          </cell>
          <cell r="AH291">
            <v>6</v>
          </cell>
          <cell r="AI291">
            <v>8</v>
          </cell>
          <cell r="AJ291">
            <v>0</v>
          </cell>
          <cell r="AK291">
            <v>11</v>
          </cell>
          <cell r="AL291">
            <v>70</v>
          </cell>
          <cell r="AM291">
            <v>50</v>
          </cell>
          <cell r="AN291">
            <v>4</v>
          </cell>
          <cell r="AO291">
            <v>6</v>
          </cell>
          <cell r="AP291">
            <v>0</v>
          </cell>
          <cell r="AQ291">
            <v>11</v>
          </cell>
          <cell r="AR291">
            <v>72</v>
          </cell>
          <cell r="AS291">
            <v>40</v>
          </cell>
        </row>
        <row r="292">
          <cell r="B292">
            <v>17031241100</v>
          </cell>
          <cell r="D292">
            <v>2612</v>
          </cell>
          <cell r="E292">
            <v>276</v>
          </cell>
          <cell r="F292">
            <v>1254</v>
          </cell>
          <cell r="G292">
            <v>213</v>
          </cell>
          <cell r="H292">
            <v>1131</v>
          </cell>
          <cell r="I292">
            <v>209</v>
          </cell>
          <cell r="J292">
            <v>123</v>
          </cell>
          <cell r="K292">
            <v>76</v>
          </cell>
          <cell r="L292">
            <v>108</v>
          </cell>
          <cell r="M292">
            <v>73</v>
          </cell>
          <cell r="N292">
            <v>15</v>
          </cell>
          <cell r="O292">
            <v>23</v>
          </cell>
          <cell r="P292">
            <v>0</v>
          </cell>
          <cell r="Q292">
            <v>11</v>
          </cell>
          <cell r="R292">
            <v>0</v>
          </cell>
          <cell r="S292">
            <v>11</v>
          </cell>
          <cell r="T292">
            <v>0</v>
          </cell>
          <cell r="U292">
            <v>11</v>
          </cell>
          <cell r="V292">
            <v>769</v>
          </cell>
          <cell r="W292">
            <v>167</v>
          </cell>
          <cell r="X292">
            <v>417</v>
          </cell>
          <cell r="Y292">
            <v>135</v>
          </cell>
          <cell r="Z292">
            <v>0</v>
          </cell>
          <cell r="AA292">
            <v>11</v>
          </cell>
          <cell r="AB292">
            <v>304</v>
          </cell>
          <cell r="AC292">
            <v>128</v>
          </cell>
          <cell r="AD292">
            <v>48</v>
          </cell>
          <cell r="AE292">
            <v>38</v>
          </cell>
          <cell r="AF292">
            <v>0</v>
          </cell>
          <cell r="AG292">
            <v>11</v>
          </cell>
          <cell r="AH292">
            <v>18</v>
          </cell>
          <cell r="AI292">
            <v>28</v>
          </cell>
          <cell r="AJ292">
            <v>0</v>
          </cell>
          <cell r="AK292">
            <v>11</v>
          </cell>
          <cell r="AL292">
            <v>197</v>
          </cell>
          <cell r="AM292">
            <v>92</v>
          </cell>
          <cell r="AN292">
            <v>190</v>
          </cell>
          <cell r="AO292">
            <v>108</v>
          </cell>
          <cell r="AP292">
            <v>0</v>
          </cell>
          <cell r="AQ292">
            <v>11</v>
          </cell>
          <cell r="AR292">
            <v>184</v>
          </cell>
          <cell r="AS292">
            <v>79</v>
          </cell>
        </row>
        <row r="293">
          <cell r="B293">
            <v>17031241200</v>
          </cell>
          <cell r="D293">
            <v>1133</v>
          </cell>
          <cell r="E293">
            <v>142</v>
          </cell>
          <cell r="F293">
            <v>489</v>
          </cell>
          <cell r="G293">
            <v>101</v>
          </cell>
          <cell r="H293">
            <v>401</v>
          </cell>
          <cell r="I293">
            <v>99</v>
          </cell>
          <cell r="J293">
            <v>88</v>
          </cell>
          <cell r="K293">
            <v>49</v>
          </cell>
          <cell r="L293">
            <v>76</v>
          </cell>
          <cell r="M293">
            <v>47</v>
          </cell>
          <cell r="N293">
            <v>12</v>
          </cell>
          <cell r="O293">
            <v>13</v>
          </cell>
          <cell r="P293">
            <v>0</v>
          </cell>
          <cell r="Q293">
            <v>11</v>
          </cell>
          <cell r="R293">
            <v>0</v>
          </cell>
          <cell r="S293">
            <v>11</v>
          </cell>
          <cell r="T293">
            <v>0</v>
          </cell>
          <cell r="U293">
            <v>11</v>
          </cell>
          <cell r="V293">
            <v>453</v>
          </cell>
          <cell r="W293">
            <v>116</v>
          </cell>
          <cell r="X293">
            <v>132</v>
          </cell>
          <cell r="Y293">
            <v>63</v>
          </cell>
          <cell r="Z293">
            <v>0</v>
          </cell>
          <cell r="AA293">
            <v>11</v>
          </cell>
          <cell r="AB293">
            <v>309</v>
          </cell>
          <cell r="AC293">
            <v>100</v>
          </cell>
          <cell r="AD293">
            <v>12</v>
          </cell>
          <cell r="AE293">
            <v>13</v>
          </cell>
          <cell r="AF293">
            <v>0</v>
          </cell>
          <cell r="AG293">
            <v>11</v>
          </cell>
          <cell r="AH293">
            <v>18</v>
          </cell>
          <cell r="AI293">
            <v>12</v>
          </cell>
          <cell r="AJ293">
            <v>0</v>
          </cell>
          <cell r="AK293">
            <v>11</v>
          </cell>
          <cell r="AL293">
            <v>67</v>
          </cell>
          <cell r="AM293">
            <v>34</v>
          </cell>
          <cell r="AN293">
            <v>40</v>
          </cell>
          <cell r="AO293">
            <v>29</v>
          </cell>
          <cell r="AP293">
            <v>5</v>
          </cell>
          <cell r="AQ293">
            <v>8</v>
          </cell>
          <cell r="AR293">
            <v>61</v>
          </cell>
          <cell r="AS293">
            <v>28</v>
          </cell>
        </row>
        <row r="294">
          <cell r="B294">
            <v>17031241300</v>
          </cell>
          <cell r="D294">
            <v>1192</v>
          </cell>
          <cell r="E294">
            <v>117</v>
          </cell>
          <cell r="F294">
            <v>450</v>
          </cell>
          <cell r="G294">
            <v>76</v>
          </cell>
          <cell r="H294">
            <v>411</v>
          </cell>
          <cell r="I294">
            <v>68</v>
          </cell>
          <cell r="J294">
            <v>39</v>
          </cell>
          <cell r="K294">
            <v>36</v>
          </cell>
          <cell r="L294">
            <v>39</v>
          </cell>
          <cell r="M294">
            <v>36</v>
          </cell>
          <cell r="N294">
            <v>0</v>
          </cell>
          <cell r="O294">
            <v>11</v>
          </cell>
          <cell r="P294">
            <v>0</v>
          </cell>
          <cell r="Q294">
            <v>11</v>
          </cell>
          <cell r="R294">
            <v>0</v>
          </cell>
          <cell r="S294">
            <v>11</v>
          </cell>
          <cell r="T294">
            <v>0</v>
          </cell>
          <cell r="U294">
            <v>11</v>
          </cell>
          <cell r="V294">
            <v>492</v>
          </cell>
          <cell r="W294">
            <v>97</v>
          </cell>
          <cell r="X294">
            <v>51</v>
          </cell>
          <cell r="Y294">
            <v>30</v>
          </cell>
          <cell r="Z294">
            <v>12</v>
          </cell>
          <cell r="AA294">
            <v>13</v>
          </cell>
          <cell r="AB294">
            <v>429</v>
          </cell>
          <cell r="AC294">
            <v>97</v>
          </cell>
          <cell r="AD294">
            <v>0</v>
          </cell>
          <cell r="AE294">
            <v>11</v>
          </cell>
          <cell r="AF294">
            <v>0</v>
          </cell>
          <cell r="AG294">
            <v>11</v>
          </cell>
          <cell r="AH294">
            <v>4</v>
          </cell>
          <cell r="AI294">
            <v>9</v>
          </cell>
          <cell r="AJ294">
            <v>4</v>
          </cell>
          <cell r="AK294">
            <v>7</v>
          </cell>
          <cell r="AL294">
            <v>97</v>
          </cell>
          <cell r="AM294">
            <v>48</v>
          </cell>
          <cell r="AN294">
            <v>73</v>
          </cell>
          <cell r="AO294">
            <v>48</v>
          </cell>
          <cell r="AP294">
            <v>11</v>
          </cell>
          <cell r="AQ294">
            <v>17</v>
          </cell>
          <cell r="AR294">
            <v>61</v>
          </cell>
          <cell r="AS294">
            <v>31</v>
          </cell>
        </row>
        <row r="295">
          <cell r="B295">
            <v>17031241400</v>
          </cell>
          <cell r="D295">
            <v>3463</v>
          </cell>
          <cell r="E295">
            <v>327</v>
          </cell>
          <cell r="F295">
            <v>1415</v>
          </cell>
          <cell r="G295">
            <v>291</v>
          </cell>
          <cell r="H295">
            <v>1288</v>
          </cell>
          <cell r="I295">
            <v>303</v>
          </cell>
          <cell r="J295">
            <v>127</v>
          </cell>
          <cell r="K295">
            <v>87</v>
          </cell>
          <cell r="L295">
            <v>108</v>
          </cell>
          <cell r="M295">
            <v>81</v>
          </cell>
          <cell r="N295">
            <v>19</v>
          </cell>
          <cell r="O295">
            <v>30</v>
          </cell>
          <cell r="P295">
            <v>0</v>
          </cell>
          <cell r="Q295">
            <v>15</v>
          </cell>
          <cell r="R295">
            <v>0</v>
          </cell>
          <cell r="S295">
            <v>15</v>
          </cell>
          <cell r="T295">
            <v>0</v>
          </cell>
          <cell r="U295">
            <v>15</v>
          </cell>
          <cell r="V295">
            <v>1396</v>
          </cell>
          <cell r="W295">
            <v>318</v>
          </cell>
          <cell r="X295">
            <v>561</v>
          </cell>
          <cell r="Y295">
            <v>220</v>
          </cell>
          <cell r="Z295">
            <v>0</v>
          </cell>
          <cell r="AA295">
            <v>15</v>
          </cell>
          <cell r="AB295">
            <v>835</v>
          </cell>
          <cell r="AC295">
            <v>229</v>
          </cell>
          <cell r="AD295">
            <v>0</v>
          </cell>
          <cell r="AE295">
            <v>15</v>
          </cell>
          <cell r="AF295">
            <v>0</v>
          </cell>
          <cell r="AG295">
            <v>15</v>
          </cell>
          <cell r="AH295">
            <v>0</v>
          </cell>
          <cell r="AI295">
            <v>15</v>
          </cell>
          <cell r="AJ295">
            <v>73</v>
          </cell>
          <cell r="AK295">
            <v>116</v>
          </cell>
          <cell r="AL295">
            <v>108</v>
          </cell>
          <cell r="AM295">
            <v>83</v>
          </cell>
          <cell r="AN295">
            <v>67</v>
          </cell>
          <cell r="AO295">
            <v>73</v>
          </cell>
          <cell r="AP295">
            <v>0</v>
          </cell>
          <cell r="AQ295">
            <v>15</v>
          </cell>
          <cell r="AR295">
            <v>404</v>
          </cell>
          <cell r="AS295">
            <v>178</v>
          </cell>
        </row>
        <row r="296">
          <cell r="B296">
            <v>17031241500</v>
          </cell>
          <cell r="D296">
            <v>2386</v>
          </cell>
          <cell r="E296">
            <v>191</v>
          </cell>
          <cell r="F296">
            <v>787</v>
          </cell>
          <cell r="G296">
            <v>150</v>
          </cell>
          <cell r="H296">
            <v>695</v>
          </cell>
          <cell r="I296">
            <v>141</v>
          </cell>
          <cell r="J296">
            <v>92</v>
          </cell>
          <cell r="K296">
            <v>90</v>
          </cell>
          <cell r="L296">
            <v>92</v>
          </cell>
          <cell r="M296">
            <v>90</v>
          </cell>
          <cell r="N296">
            <v>0</v>
          </cell>
          <cell r="O296">
            <v>11</v>
          </cell>
          <cell r="P296">
            <v>0</v>
          </cell>
          <cell r="Q296">
            <v>11</v>
          </cell>
          <cell r="R296">
            <v>0</v>
          </cell>
          <cell r="S296">
            <v>11</v>
          </cell>
          <cell r="T296">
            <v>0</v>
          </cell>
          <cell r="U296">
            <v>11</v>
          </cell>
          <cell r="V296">
            <v>1114</v>
          </cell>
          <cell r="W296">
            <v>213</v>
          </cell>
          <cell r="X296">
            <v>152</v>
          </cell>
          <cell r="Y296">
            <v>59</v>
          </cell>
          <cell r="Z296">
            <v>0</v>
          </cell>
          <cell r="AA296">
            <v>11</v>
          </cell>
          <cell r="AB296">
            <v>891</v>
          </cell>
          <cell r="AC296">
            <v>207</v>
          </cell>
          <cell r="AD296">
            <v>71</v>
          </cell>
          <cell r="AE296">
            <v>58</v>
          </cell>
          <cell r="AF296">
            <v>0</v>
          </cell>
          <cell r="AG296">
            <v>11</v>
          </cell>
          <cell r="AH296">
            <v>0</v>
          </cell>
          <cell r="AI296">
            <v>11</v>
          </cell>
          <cell r="AJ296">
            <v>0</v>
          </cell>
          <cell r="AK296">
            <v>11</v>
          </cell>
          <cell r="AL296">
            <v>146</v>
          </cell>
          <cell r="AM296">
            <v>97</v>
          </cell>
          <cell r="AN296">
            <v>153</v>
          </cell>
          <cell r="AO296">
            <v>87</v>
          </cell>
          <cell r="AP296">
            <v>17</v>
          </cell>
          <cell r="AQ296">
            <v>20</v>
          </cell>
          <cell r="AR296">
            <v>169</v>
          </cell>
          <cell r="AS296">
            <v>73</v>
          </cell>
        </row>
        <row r="297">
          <cell r="B297">
            <v>17031241600</v>
          </cell>
          <cell r="D297">
            <v>2630</v>
          </cell>
          <cell r="E297">
            <v>213</v>
          </cell>
          <cell r="F297">
            <v>938</v>
          </cell>
          <cell r="G297">
            <v>162</v>
          </cell>
          <cell r="H297">
            <v>908</v>
          </cell>
          <cell r="I297">
            <v>162</v>
          </cell>
          <cell r="J297">
            <v>30</v>
          </cell>
          <cell r="K297">
            <v>35</v>
          </cell>
          <cell r="L297">
            <v>30</v>
          </cell>
          <cell r="M297">
            <v>35</v>
          </cell>
          <cell r="N297">
            <v>0</v>
          </cell>
          <cell r="O297">
            <v>11</v>
          </cell>
          <cell r="P297">
            <v>0</v>
          </cell>
          <cell r="Q297">
            <v>11</v>
          </cell>
          <cell r="R297">
            <v>0</v>
          </cell>
          <cell r="S297">
            <v>11</v>
          </cell>
          <cell r="T297">
            <v>0</v>
          </cell>
          <cell r="U297">
            <v>11</v>
          </cell>
          <cell r="V297">
            <v>1166</v>
          </cell>
          <cell r="W297">
            <v>190</v>
          </cell>
          <cell r="X297">
            <v>370</v>
          </cell>
          <cell r="Y297">
            <v>126</v>
          </cell>
          <cell r="Z297">
            <v>34</v>
          </cell>
          <cell r="AA297">
            <v>55</v>
          </cell>
          <cell r="AB297">
            <v>691</v>
          </cell>
          <cell r="AC297">
            <v>161</v>
          </cell>
          <cell r="AD297">
            <v>71</v>
          </cell>
          <cell r="AE297">
            <v>58</v>
          </cell>
          <cell r="AF297">
            <v>0</v>
          </cell>
          <cell r="AG297">
            <v>11</v>
          </cell>
          <cell r="AH297">
            <v>47</v>
          </cell>
          <cell r="AI297">
            <v>47</v>
          </cell>
          <cell r="AJ297">
            <v>0</v>
          </cell>
          <cell r="AK297">
            <v>11</v>
          </cell>
          <cell r="AL297">
            <v>150</v>
          </cell>
          <cell r="AM297">
            <v>83</v>
          </cell>
          <cell r="AN297">
            <v>169</v>
          </cell>
          <cell r="AO297">
            <v>116</v>
          </cell>
          <cell r="AP297">
            <v>50</v>
          </cell>
          <cell r="AQ297">
            <v>50</v>
          </cell>
          <cell r="AR297">
            <v>110</v>
          </cell>
          <cell r="AS297">
            <v>60</v>
          </cell>
        </row>
        <row r="298">
          <cell r="B298">
            <v>17031242000</v>
          </cell>
          <cell r="D298">
            <v>3161</v>
          </cell>
          <cell r="E298">
            <v>473</v>
          </cell>
          <cell r="F298">
            <v>1436</v>
          </cell>
          <cell r="G298">
            <v>365</v>
          </cell>
          <cell r="H298">
            <v>1169</v>
          </cell>
          <cell r="I298">
            <v>285</v>
          </cell>
          <cell r="J298">
            <v>267</v>
          </cell>
          <cell r="K298">
            <v>296</v>
          </cell>
          <cell r="L298">
            <v>67</v>
          </cell>
          <cell r="M298">
            <v>66</v>
          </cell>
          <cell r="N298">
            <v>40</v>
          </cell>
          <cell r="O298">
            <v>100</v>
          </cell>
          <cell r="P298">
            <v>160</v>
          </cell>
          <cell r="Q298">
            <v>257</v>
          </cell>
          <cell r="R298">
            <v>0</v>
          </cell>
          <cell r="S298">
            <v>11</v>
          </cell>
          <cell r="T298">
            <v>0</v>
          </cell>
          <cell r="U298">
            <v>11</v>
          </cell>
          <cell r="V298">
            <v>1189</v>
          </cell>
          <cell r="W298">
            <v>383</v>
          </cell>
          <cell r="X298">
            <v>624</v>
          </cell>
          <cell r="Y298">
            <v>271</v>
          </cell>
          <cell r="Z298">
            <v>0</v>
          </cell>
          <cell r="AA298">
            <v>11</v>
          </cell>
          <cell r="AB298">
            <v>397</v>
          </cell>
          <cell r="AC298">
            <v>134</v>
          </cell>
          <cell r="AD298">
            <v>168</v>
          </cell>
          <cell r="AE298">
            <v>240</v>
          </cell>
          <cell r="AF298">
            <v>0</v>
          </cell>
          <cell r="AG298">
            <v>11</v>
          </cell>
          <cell r="AH298">
            <v>34</v>
          </cell>
          <cell r="AI298">
            <v>37</v>
          </cell>
          <cell r="AJ298">
            <v>0</v>
          </cell>
          <cell r="AK298">
            <v>11</v>
          </cell>
          <cell r="AL298">
            <v>166</v>
          </cell>
          <cell r="AM298">
            <v>103</v>
          </cell>
          <cell r="AN298">
            <v>85</v>
          </cell>
          <cell r="AO298">
            <v>134</v>
          </cell>
          <cell r="AP298">
            <v>0</v>
          </cell>
          <cell r="AQ298">
            <v>11</v>
          </cell>
          <cell r="AR298">
            <v>251</v>
          </cell>
          <cell r="AS298">
            <v>117</v>
          </cell>
        </row>
        <row r="299">
          <cell r="B299">
            <v>17031242100</v>
          </cell>
          <cell r="D299">
            <v>2676</v>
          </cell>
          <cell r="E299">
            <v>249</v>
          </cell>
          <cell r="F299">
            <v>1114</v>
          </cell>
          <cell r="G299">
            <v>170</v>
          </cell>
          <cell r="H299">
            <v>958</v>
          </cell>
          <cell r="I299">
            <v>153</v>
          </cell>
          <cell r="J299">
            <v>156</v>
          </cell>
          <cell r="K299">
            <v>87</v>
          </cell>
          <cell r="L299">
            <v>148</v>
          </cell>
          <cell r="M299">
            <v>87</v>
          </cell>
          <cell r="N299">
            <v>0</v>
          </cell>
          <cell r="O299">
            <v>11</v>
          </cell>
          <cell r="P299">
            <v>0</v>
          </cell>
          <cell r="Q299">
            <v>11</v>
          </cell>
          <cell r="R299">
            <v>0</v>
          </cell>
          <cell r="S299">
            <v>11</v>
          </cell>
          <cell r="T299">
            <v>8</v>
          </cell>
          <cell r="U299">
            <v>13</v>
          </cell>
          <cell r="V299">
            <v>1094</v>
          </cell>
          <cell r="W299">
            <v>186</v>
          </cell>
          <cell r="X299">
            <v>410</v>
          </cell>
          <cell r="Y299">
            <v>173</v>
          </cell>
          <cell r="Z299">
            <v>7</v>
          </cell>
          <cell r="AA299">
            <v>12</v>
          </cell>
          <cell r="AB299">
            <v>625</v>
          </cell>
          <cell r="AC299">
            <v>165</v>
          </cell>
          <cell r="AD299">
            <v>52</v>
          </cell>
          <cell r="AE299">
            <v>48</v>
          </cell>
          <cell r="AF299">
            <v>0</v>
          </cell>
          <cell r="AG299">
            <v>11</v>
          </cell>
          <cell r="AH299">
            <v>9</v>
          </cell>
          <cell r="AI299">
            <v>13</v>
          </cell>
          <cell r="AJ299">
            <v>0</v>
          </cell>
          <cell r="AK299">
            <v>11</v>
          </cell>
          <cell r="AL299">
            <v>107</v>
          </cell>
          <cell r="AM299">
            <v>59</v>
          </cell>
          <cell r="AN299">
            <v>150</v>
          </cell>
          <cell r="AO299">
            <v>82</v>
          </cell>
          <cell r="AP299">
            <v>15</v>
          </cell>
          <cell r="AQ299">
            <v>17</v>
          </cell>
          <cell r="AR299">
            <v>187</v>
          </cell>
          <cell r="AS299">
            <v>94</v>
          </cell>
        </row>
        <row r="300">
          <cell r="B300">
            <v>17031242200</v>
          </cell>
          <cell r="D300">
            <v>2471</v>
          </cell>
          <cell r="E300">
            <v>224</v>
          </cell>
          <cell r="F300">
            <v>1238</v>
          </cell>
          <cell r="G300">
            <v>234</v>
          </cell>
          <cell r="H300">
            <v>989</v>
          </cell>
          <cell r="I300">
            <v>199</v>
          </cell>
          <cell r="J300">
            <v>249</v>
          </cell>
          <cell r="K300">
            <v>111</v>
          </cell>
          <cell r="L300">
            <v>222</v>
          </cell>
          <cell r="M300">
            <v>110</v>
          </cell>
          <cell r="N300">
            <v>27</v>
          </cell>
          <cell r="O300">
            <v>24</v>
          </cell>
          <cell r="P300">
            <v>0</v>
          </cell>
          <cell r="Q300">
            <v>11</v>
          </cell>
          <cell r="R300">
            <v>0</v>
          </cell>
          <cell r="S300">
            <v>11</v>
          </cell>
          <cell r="T300">
            <v>0</v>
          </cell>
          <cell r="U300">
            <v>11</v>
          </cell>
          <cell r="V300">
            <v>766</v>
          </cell>
          <cell r="W300">
            <v>145</v>
          </cell>
          <cell r="X300">
            <v>244</v>
          </cell>
          <cell r="Y300">
            <v>88</v>
          </cell>
          <cell r="Z300">
            <v>0</v>
          </cell>
          <cell r="AA300">
            <v>11</v>
          </cell>
          <cell r="AB300">
            <v>507</v>
          </cell>
          <cell r="AC300">
            <v>124</v>
          </cell>
          <cell r="AD300">
            <v>15</v>
          </cell>
          <cell r="AE300">
            <v>17</v>
          </cell>
          <cell r="AF300">
            <v>0</v>
          </cell>
          <cell r="AG300">
            <v>11</v>
          </cell>
          <cell r="AH300">
            <v>25</v>
          </cell>
          <cell r="AI300">
            <v>22</v>
          </cell>
          <cell r="AJ300">
            <v>0</v>
          </cell>
          <cell r="AK300">
            <v>11</v>
          </cell>
          <cell r="AL300">
            <v>115</v>
          </cell>
          <cell r="AM300">
            <v>48</v>
          </cell>
          <cell r="AN300">
            <v>107</v>
          </cell>
          <cell r="AO300">
            <v>78</v>
          </cell>
          <cell r="AP300">
            <v>28</v>
          </cell>
          <cell r="AQ300">
            <v>29</v>
          </cell>
          <cell r="AR300">
            <v>192</v>
          </cell>
          <cell r="AS300">
            <v>111</v>
          </cell>
        </row>
        <row r="301">
          <cell r="B301">
            <v>17031242300</v>
          </cell>
          <cell r="D301">
            <v>2262</v>
          </cell>
          <cell r="E301">
            <v>218</v>
          </cell>
          <cell r="F301">
            <v>1077</v>
          </cell>
          <cell r="G301">
            <v>180</v>
          </cell>
          <cell r="H301">
            <v>896</v>
          </cell>
          <cell r="I301">
            <v>175</v>
          </cell>
          <cell r="J301">
            <v>181</v>
          </cell>
          <cell r="K301">
            <v>100</v>
          </cell>
          <cell r="L301">
            <v>162</v>
          </cell>
          <cell r="M301">
            <v>94</v>
          </cell>
          <cell r="N301">
            <v>11</v>
          </cell>
          <cell r="O301">
            <v>18</v>
          </cell>
          <cell r="P301">
            <v>0</v>
          </cell>
          <cell r="Q301">
            <v>11</v>
          </cell>
          <cell r="R301">
            <v>8</v>
          </cell>
          <cell r="S301">
            <v>12</v>
          </cell>
          <cell r="T301">
            <v>0</v>
          </cell>
          <cell r="U301">
            <v>11</v>
          </cell>
          <cell r="V301">
            <v>646</v>
          </cell>
          <cell r="W301">
            <v>197</v>
          </cell>
          <cell r="X301">
            <v>334</v>
          </cell>
          <cell r="Y301">
            <v>158</v>
          </cell>
          <cell r="Z301">
            <v>0</v>
          </cell>
          <cell r="AA301">
            <v>11</v>
          </cell>
          <cell r="AB301">
            <v>289</v>
          </cell>
          <cell r="AC301">
            <v>132</v>
          </cell>
          <cell r="AD301">
            <v>23</v>
          </cell>
          <cell r="AE301">
            <v>22</v>
          </cell>
          <cell r="AF301">
            <v>0</v>
          </cell>
          <cell r="AG301">
            <v>11</v>
          </cell>
          <cell r="AH301">
            <v>15</v>
          </cell>
          <cell r="AI301">
            <v>17</v>
          </cell>
          <cell r="AJ301">
            <v>0</v>
          </cell>
          <cell r="AK301">
            <v>11</v>
          </cell>
          <cell r="AL301">
            <v>197</v>
          </cell>
          <cell r="AM301">
            <v>79</v>
          </cell>
          <cell r="AN301">
            <v>179</v>
          </cell>
          <cell r="AO301">
            <v>143</v>
          </cell>
          <cell r="AP301">
            <v>31</v>
          </cell>
          <cell r="AQ301">
            <v>42</v>
          </cell>
          <cell r="AR301">
            <v>117</v>
          </cell>
          <cell r="AS301">
            <v>69</v>
          </cell>
        </row>
        <row r="302">
          <cell r="B302">
            <v>17031242400</v>
          </cell>
          <cell r="D302">
            <v>1951</v>
          </cell>
          <cell r="E302">
            <v>214</v>
          </cell>
          <cell r="F302">
            <v>1047</v>
          </cell>
          <cell r="G302">
            <v>172</v>
          </cell>
          <cell r="H302">
            <v>927</v>
          </cell>
          <cell r="I302">
            <v>158</v>
          </cell>
          <cell r="J302">
            <v>120</v>
          </cell>
          <cell r="K302">
            <v>66</v>
          </cell>
          <cell r="L302">
            <v>70</v>
          </cell>
          <cell r="M302">
            <v>54</v>
          </cell>
          <cell r="N302">
            <v>38</v>
          </cell>
          <cell r="O302">
            <v>41</v>
          </cell>
          <cell r="P302">
            <v>0</v>
          </cell>
          <cell r="Q302">
            <v>11</v>
          </cell>
          <cell r="R302">
            <v>12</v>
          </cell>
          <cell r="S302">
            <v>20</v>
          </cell>
          <cell r="T302">
            <v>0</v>
          </cell>
          <cell r="U302">
            <v>11</v>
          </cell>
          <cell r="V302">
            <v>529</v>
          </cell>
          <cell r="W302">
            <v>144</v>
          </cell>
          <cell r="X302">
            <v>303</v>
          </cell>
          <cell r="Y302">
            <v>108</v>
          </cell>
          <cell r="Z302">
            <v>0</v>
          </cell>
          <cell r="AA302">
            <v>11</v>
          </cell>
          <cell r="AB302">
            <v>194</v>
          </cell>
          <cell r="AC302">
            <v>100</v>
          </cell>
          <cell r="AD302">
            <v>32</v>
          </cell>
          <cell r="AE302">
            <v>28</v>
          </cell>
          <cell r="AF302">
            <v>0</v>
          </cell>
          <cell r="AG302">
            <v>11</v>
          </cell>
          <cell r="AH302">
            <v>0</v>
          </cell>
          <cell r="AI302">
            <v>11</v>
          </cell>
          <cell r="AJ302">
            <v>19</v>
          </cell>
          <cell r="AK302">
            <v>23</v>
          </cell>
          <cell r="AL302">
            <v>63</v>
          </cell>
          <cell r="AM302">
            <v>42</v>
          </cell>
          <cell r="AN302">
            <v>178</v>
          </cell>
          <cell r="AO302">
            <v>101</v>
          </cell>
          <cell r="AP302">
            <v>12</v>
          </cell>
          <cell r="AQ302">
            <v>25</v>
          </cell>
          <cell r="AR302">
            <v>103</v>
          </cell>
          <cell r="AS302">
            <v>60</v>
          </cell>
        </row>
        <row r="303">
          <cell r="B303">
            <v>17031242500</v>
          </cell>
          <cell r="D303">
            <v>2226</v>
          </cell>
          <cell r="E303">
            <v>193</v>
          </cell>
          <cell r="F303">
            <v>1272</v>
          </cell>
          <cell r="G303">
            <v>192</v>
          </cell>
          <cell r="H303">
            <v>1069</v>
          </cell>
          <cell r="I303">
            <v>177</v>
          </cell>
          <cell r="J303">
            <v>203</v>
          </cell>
          <cell r="K303">
            <v>105</v>
          </cell>
          <cell r="L303">
            <v>121</v>
          </cell>
          <cell r="M303">
            <v>80</v>
          </cell>
          <cell r="N303">
            <v>47</v>
          </cell>
          <cell r="O303">
            <v>45</v>
          </cell>
          <cell r="P303">
            <v>35</v>
          </cell>
          <cell r="Q303">
            <v>47</v>
          </cell>
          <cell r="R303">
            <v>0</v>
          </cell>
          <cell r="S303">
            <v>11</v>
          </cell>
          <cell r="T303">
            <v>0</v>
          </cell>
          <cell r="U303">
            <v>11</v>
          </cell>
          <cell r="V303">
            <v>557</v>
          </cell>
          <cell r="W303">
            <v>138</v>
          </cell>
          <cell r="X303">
            <v>359</v>
          </cell>
          <cell r="Y303">
            <v>132</v>
          </cell>
          <cell r="Z303">
            <v>0</v>
          </cell>
          <cell r="AA303">
            <v>11</v>
          </cell>
          <cell r="AB303">
            <v>138</v>
          </cell>
          <cell r="AC303">
            <v>69</v>
          </cell>
          <cell r="AD303">
            <v>60</v>
          </cell>
          <cell r="AE303">
            <v>41</v>
          </cell>
          <cell r="AF303">
            <v>0</v>
          </cell>
          <cell r="AG303">
            <v>11</v>
          </cell>
          <cell r="AH303">
            <v>20</v>
          </cell>
          <cell r="AI303">
            <v>32</v>
          </cell>
          <cell r="AJ303">
            <v>16</v>
          </cell>
          <cell r="AK303">
            <v>17</v>
          </cell>
          <cell r="AL303">
            <v>36</v>
          </cell>
          <cell r="AM303">
            <v>26</v>
          </cell>
          <cell r="AN303">
            <v>220</v>
          </cell>
          <cell r="AO303">
            <v>89</v>
          </cell>
          <cell r="AP303">
            <v>35</v>
          </cell>
          <cell r="AQ303">
            <v>47</v>
          </cell>
          <cell r="AR303">
            <v>70</v>
          </cell>
          <cell r="AS303">
            <v>45</v>
          </cell>
        </row>
        <row r="304">
          <cell r="B304">
            <v>17031242600</v>
          </cell>
          <cell r="D304">
            <v>3181</v>
          </cell>
          <cell r="E304">
            <v>440</v>
          </cell>
          <cell r="F304">
            <v>1762</v>
          </cell>
          <cell r="G304">
            <v>313</v>
          </cell>
          <cell r="H304">
            <v>1460</v>
          </cell>
          <cell r="I304">
            <v>315</v>
          </cell>
          <cell r="J304">
            <v>302</v>
          </cell>
          <cell r="K304">
            <v>158</v>
          </cell>
          <cell r="L304">
            <v>249</v>
          </cell>
          <cell r="M304">
            <v>147</v>
          </cell>
          <cell r="N304">
            <v>53</v>
          </cell>
          <cell r="O304">
            <v>61</v>
          </cell>
          <cell r="P304">
            <v>0</v>
          </cell>
          <cell r="Q304">
            <v>15</v>
          </cell>
          <cell r="R304">
            <v>0</v>
          </cell>
          <cell r="S304">
            <v>15</v>
          </cell>
          <cell r="T304">
            <v>0</v>
          </cell>
          <cell r="U304">
            <v>15</v>
          </cell>
          <cell r="V304">
            <v>881</v>
          </cell>
          <cell r="W304">
            <v>261</v>
          </cell>
          <cell r="X304">
            <v>712</v>
          </cell>
          <cell r="Y304">
            <v>255</v>
          </cell>
          <cell r="Z304">
            <v>0</v>
          </cell>
          <cell r="AA304">
            <v>15</v>
          </cell>
          <cell r="AB304">
            <v>169</v>
          </cell>
          <cell r="AC304">
            <v>92</v>
          </cell>
          <cell r="AD304">
            <v>0</v>
          </cell>
          <cell r="AE304">
            <v>15</v>
          </cell>
          <cell r="AF304">
            <v>0</v>
          </cell>
          <cell r="AG304">
            <v>15</v>
          </cell>
          <cell r="AH304">
            <v>28</v>
          </cell>
          <cell r="AI304">
            <v>44</v>
          </cell>
          <cell r="AJ304">
            <v>0</v>
          </cell>
          <cell r="AK304">
            <v>15</v>
          </cell>
          <cell r="AL304">
            <v>220</v>
          </cell>
          <cell r="AM304">
            <v>148</v>
          </cell>
          <cell r="AN304">
            <v>4</v>
          </cell>
          <cell r="AO304">
            <v>8</v>
          </cell>
          <cell r="AP304">
            <v>0</v>
          </cell>
          <cell r="AQ304">
            <v>15</v>
          </cell>
          <cell r="AR304">
            <v>286</v>
          </cell>
          <cell r="AS304">
            <v>145</v>
          </cell>
        </row>
        <row r="305">
          <cell r="B305">
            <v>17031242700</v>
          </cell>
          <cell r="D305">
            <v>821</v>
          </cell>
          <cell r="E305">
            <v>134</v>
          </cell>
          <cell r="F305">
            <v>392</v>
          </cell>
          <cell r="G305">
            <v>107</v>
          </cell>
          <cell r="H305">
            <v>304</v>
          </cell>
          <cell r="I305">
            <v>94</v>
          </cell>
          <cell r="J305">
            <v>88</v>
          </cell>
          <cell r="K305">
            <v>43</v>
          </cell>
          <cell r="L305">
            <v>53</v>
          </cell>
          <cell r="M305">
            <v>30</v>
          </cell>
          <cell r="N305">
            <v>35</v>
          </cell>
          <cell r="O305">
            <v>29</v>
          </cell>
          <cell r="P305">
            <v>0</v>
          </cell>
          <cell r="Q305">
            <v>11</v>
          </cell>
          <cell r="R305">
            <v>0</v>
          </cell>
          <cell r="S305">
            <v>11</v>
          </cell>
          <cell r="T305">
            <v>0</v>
          </cell>
          <cell r="U305">
            <v>11</v>
          </cell>
          <cell r="V305">
            <v>305</v>
          </cell>
          <cell r="W305">
            <v>84</v>
          </cell>
          <cell r="X305">
            <v>249</v>
          </cell>
          <cell r="Y305">
            <v>71</v>
          </cell>
          <cell r="Z305">
            <v>0</v>
          </cell>
          <cell r="AA305">
            <v>11</v>
          </cell>
          <cell r="AB305">
            <v>41</v>
          </cell>
          <cell r="AC305">
            <v>40</v>
          </cell>
          <cell r="AD305">
            <v>15</v>
          </cell>
          <cell r="AE305">
            <v>24</v>
          </cell>
          <cell r="AF305">
            <v>0</v>
          </cell>
          <cell r="AG305">
            <v>11</v>
          </cell>
          <cell r="AH305">
            <v>0</v>
          </cell>
          <cell r="AI305">
            <v>11</v>
          </cell>
          <cell r="AJ305">
            <v>0</v>
          </cell>
          <cell r="AK305">
            <v>11</v>
          </cell>
          <cell r="AL305">
            <v>67</v>
          </cell>
          <cell r="AM305">
            <v>33</v>
          </cell>
          <cell r="AN305">
            <v>57</v>
          </cell>
          <cell r="AO305">
            <v>45</v>
          </cell>
          <cell r="AP305">
            <v>0</v>
          </cell>
          <cell r="AQ305">
            <v>11</v>
          </cell>
          <cell r="AR305">
            <v>0</v>
          </cell>
          <cell r="AS305">
            <v>11</v>
          </cell>
        </row>
        <row r="306">
          <cell r="B306">
            <v>17031242800</v>
          </cell>
          <cell r="D306">
            <v>734</v>
          </cell>
          <cell r="E306">
            <v>129</v>
          </cell>
          <cell r="F306">
            <v>396</v>
          </cell>
          <cell r="G306">
            <v>99</v>
          </cell>
          <cell r="H306">
            <v>345</v>
          </cell>
          <cell r="I306">
            <v>94</v>
          </cell>
          <cell r="J306">
            <v>51</v>
          </cell>
          <cell r="K306">
            <v>38</v>
          </cell>
          <cell r="L306">
            <v>51</v>
          </cell>
          <cell r="M306">
            <v>38</v>
          </cell>
          <cell r="N306">
            <v>0</v>
          </cell>
          <cell r="O306">
            <v>11</v>
          </cell>
          <cell r="P306">
            <v>0</v>
          </cell>
          <cell r="Q306">
            <v>11</v>
          </cell>
          <cell r="R306">
            <v>0</v>
          </cell>
          <cell r="S306">
            <v>11</v>
          </cell>
          <cell r="T306">
            <v>0</v>
          </cell>
          <cell r="U306">
            <v>11</v>
          </cell>
          <cell r="V306">
            <v>224</v>
          </cell>
          <cell r="W306">
            <v>97</v>
          </cell>
          <cell r="X306">
            <v>161</v>
          </cell>
          <cell r="Y306">
            <v>92</v>
          </cell>
          <cell r="Z306">
            <v>0</v>
          </cell>
          <cell r="AA306">
            <v>11</v>
          </cell>
          <cell r="AB306">
            <v>45</v>
          </cell>
          <cell r="AC306">
            <v>20</v>
          </cell>
          <cell r="AD306">
            <v>18</v>
          </cell>
          <cell r="AE306">
            <v>15</v>
          </cell>
          <cell r="AF306">
            <v>0</v>
          </cell>
          <cell r="AG306">
            <v>11</v>
          </cell>
          <cell r="AH306">
            <v>5</v>
          </cell>
          <cell r="AI306">
            <v>9</v>
          </cell>
          <cell r="AJ306">
            <v>0</v>
          </cell>
          <cell r="AK306">
            <v>11</v>
          </cell>
          <cell r="AL306">
            <v>20</v>
          </cell>
          <cell r="AM306">
            <v>20</v>
          </cell>
          <cell r="AN306">
            <v>6</v>
          </cell>
          <cell r="AO306">
            <v>9</v>
          </cell>
          <cell r="AP306">
            <v>0</v>
          </cell>
          <cell r="AQ306">
            <v>11</v>
          </cell>
          <cell r="AR306">
            <v>83</v>
          </cell>
          <cell r="AS306">
            <v>54</v>
          </cell>
        </row>
        <row r="307">
          <cell r="B307">
            <v>17031242900</v>
          </cell>
          <cell r="D307">
            <v>1143</v>
          </cell>
          <cell r="E307">
            <v>131</v>
          </cell>
          <cell r="F307">
            <v>624</v>
          </cell>
          <cell r="G307">
            <v>120</v>
          </cell>
          <cell r="H307">
            <v>565</v>
          </cell>
          <cell r="I307">
            <v>113</v>
          </cell>
          <cell r="J307">
            <v>59</v>
          </cell>
          <cell r="K307">
            <v>39</v>
          </cell>
          <cell r="L307">
            <v>12</v>
          </cell>
          <cell r="M307">
            <v>13</v>
          </cell>
          <cell r="N307">
            <v>41</v>
          </cell>
          <cell r="O307">
            <v>37</v>
          </cell>
          <cell r="P307">
            <v>0</v>
          </cell>
          <cell r="Q307">
            <v>11</v>
          </cell>
          <cell r="R307">
            <v>6</v>
          </cell>
          <cell r="S307">
            <v>8</v>
          </cell>
          <cell r="T307">
            <v>0</v>
          </cell>
          <cell r="U307">
            <v>11</v>
          </cell>
          <cell r="V307">
            <v>290</v>
          </cell>
          <cell r="W307">
            <v>101</v>
          </cell>
          <cell r="X307">
            <v>239</v>
          </cell>
          <cell r="Y307">
            <v>97</v>
          </cell>
          <cell r="Z307">
            <v>0</v>
          </cell>
          <cell r="AA307">
            <v>11</v>
          </cell>
          <cell r="AB307">
            <v>38</v>
          </cell>
          <cell r="AC307">
            <v>23</v>
          </cell>
          <cell r="AD307">
            <v>13</v>
          </cell>
          <cell r="AE307">
            <v>13</v>
          </cell>
          <cell r="AF307">
            <v>0</v>
          </cell>
          <cell r="AG307">
            <v>11</v>
          </cell>
          <cell r="AH307">
            <v>17</v>
          </cell>
          <cell r="AI307">
            <v>18</v>
          </cell>
          <cell r="AJ307">
            <v>7</v>
          </cell>
          <cell r="AK307">
            <v>10</v>
          </cell>
          <cell r="AL307">
            <v>50</v>
          </cell>
          <cell r="AM307">
            <v>38</v>
          </cell>
          <cell r="AN307">
            <v>51</v>
          </cell>
          <cell r="AO307">
            <v>35</v>
          </cell>
          <cell r="AP307">
            <v>35</v>
          </cell>
          <cell r="AQ307">
            <v>46</v>
          </cell>
          <cell r="AR307">
            <v>69</v>
          </cell>
          <cell r="AS307">
            <v>37</v>
          </cell>
        </row>
        <row r="308">
          <cell r="B308">
            <v>17031243000</v>
          </cell>
          <cell r="D308">
            <v>1563</v>
          </cell>
          <cell r="E308">
            <v>189</v>
          </cell>
          <cell r="F308">
            <v>911</v>
          </cell>
          <cell r="G308">
            <v>167</v>
          </cell>
          <cell r="H308">
            <v>803</v>
          </cell>
          <cell r="I308">
            <v>153</v>
          </cell>
          <cell r="J308">
            <v>108</v>
          </cell>
          <cell r="K308">
            <v>81</v>
          </cell>
          <cell r="L308">
            <v>108</v>
          </cell>
          <cell r="M308">
            <v>81</v>
          </cell>
          <cell r="N308">
            <v>0</v>
          </cell>
          <cell r="O308">
            <v>11</v>
          </cell>
          <cell r="P308">
            <v>0</v>
          </cell>
          <cell r="Q308">
            <v>11</v>
          </cell>
          <cell r="R308">
            <v>0</v>
          </cell>
          <cell r="S308">
            <v>11</v>
          </cell>
          <cell r="T308">
            <v>0</v>
          </cell>
          <cell r="U308">
            <v>11</v>
          </cell>
          <cell r="V308">
            <v>294</v>
          </cell>
          <cell r="W308">
            <v>124</v>
          </cell>
          <cell r="X308">
            <v>256</v>
          </cell>
          <cell r="Y308">
            <v>113</v>
          </cell>
          <cell r="Z308">
            <v>0</v>
          </cell>
          <cell r="AA308">
            <v>11</v>
          </cell>
          <cell r="AB308">
            <v>23</v>
          </cell>
          <cell r="AC308">
            <v>20</v>
          </cell>
          <cell r="AD308">
            <v>15</v>
          </cell>
          <cell r="AE308">
            <v>26</v>
          </cell>
          <cell r="AF308">
            <v>0</v>
          </cell>
          <cell r="AG308">
            <v>11</v>
          </cell>
          <cell r="AH308">
            <v>39</v>
          </cell>
          <cell r="AI308">
            <v>45</v>
          </cell>
          <cell r="AJ308">
            <v>6</v>
          </cell>
          <cell r="AK308">
            <v>10</v>
          </cell>
          <cell r="AL308">
            <v>142</v>
          </cell>
          <cell r="AM308">
            <v>80</v>
          </cell>
          <cell r="AN308">
            <v>53</v>
          </cell>
          <cell r="AO308">
            <v>33</v>
          </cell>
          <cell r="AP308">
            <v>0</v>
          </cell>
          <cell r="AQ308">
            <v>11</v>
          </cell>
          <cell r="AR308">
            <v>118</v>
          </cell>
          <cell r="AS308">
            <v>67</v>
          </cell>
        </row>
        <row r="309">
          <cell r="B309">
            <v>17031243100</v>
          </cell>
          <cell r="D309">
            <v>1436</v>
          </cell>
          <cell r="E309">
            <v>221</v>
          </cell>
          <cell r="F309">
            <v>639</v>
          </cell>
          <cell r="G309">
            <v>122</v>
          </cell>
          <cell r="H309">
            <v>547</v>
          </cell>
          <cell r="I309">
            <v>130</v>
          </cell>
          <cell r="J309">
            <v>92</v>
          </cell>
          <cell r="K309">
            <v>57</v>
          </cell>
          <cell r="L309">
            <v>59</v>
          </cell>
          <cell r="M309">
            <v>48</v>
          </cell>
          <cell r="N309">
            <v>18</v>
          </cell>
          <cell r="O309">
            <v>19</v>
          </cell>
          <cell r="P309">
            <v>15</v>
          </cell>
          <cell r="Q309">
            <v>16</v>
          </cell>
          <cell r="R309">
            <v>0</v>
          </cell>
          <cell r="S309">
            <v>11</v>
          </cell>
          <cell r="T309">
            <v>0</v>
          </cell>
          <cell r="U309">
            <v>11</v>
          </cell>
          <cell r="V309">
            <v>439</v>
          </cell>
          <cell r="W309">
            <v>112</v>
          </cell>
          <cell r="X309">
            <v>220</v>
          </cell>
          <cell r="Y309">
            <v>85</v>
          </cell>
          <cell r="Z309">
            <v>0</v>
          </cell>
          <cell r="AA309">
            <v>11</v>
          </cell>
          <cell r="AB309">
            <v>213</v>
          </cell>
          <cell r="AC309">
            <v>104</v>
          </cell>
          <cell r="AD309">
            <v>6</v>
          </cell>
          <cell r="AE309">
            <v>9</v>
          </cell>
          <cell r="AF309">
            <v>0</v>
          </cell>
          <cell r="AG309">
            <v>11</v>
          </cell>
          <cell r="AH309">
            <v>25</v>
          </cell>
          <cell r="AI309">
            <v>35</v>
          </cell>
          <cell r="AJ309">
            <v>0</v>
          </cell>
          <cell r="AK309">
            <v>11</v>
          </cell>
          <cell r="AL309">
            <v>106</v>
          </cell>
          <cell r="AM309">
            <v>55</v>
          </cell>
          <cell r="AN309">
            <v>123</v>
          </cell>
          <cell r="AO309">
            <v>92</v>
          </cell>
          <cell r="AP309">
            <v>7</v>
          </cell>
          <cell r="AQ309">
            <v>10</v>
          </cell>
          <cell r="AR309">
            <v>97</v>
          </cell>
          <cell r="AS309">
            <v>66</v>
          </cell>
        </row>
        <row r="310">
          <cell r="B310">
            <v>17031243200</v>
          </cell>
          <cell r="D310">
            <v>1532</v>
          </cell>
          <cell r="E310">
            <v>164</v>
          </cell>
          <cell r="F310">
            <v>853</v>
          </cell>
          <cell r="G310">
            <v>152</v>
          </cell>
          <cell r="H310">
            <v>633</v>
          </cell>
          <cell r="I310">
            <v>128</v>
          </cell>
          <cell r="J310">
            <v>220</v>
          </cell>
          <cell r="K310">
            <v>87</v>
          </cell>
          <cell r="L310">
            <v>219</v>
          </cell>
          <cell r="M310">
            <v>87</v>
          </cell>
          <cell r="N310">
            <v>0</v>
          </cell>
          <cell r="O310">
            <v>11</v>
          </cell>
          <cell r="P310">
            <v>1</v>
          </cell>
          <cell r="Q310">
            <v>4</v>
          </cell>
          <cell r="R310">
            <v>0</v>
          </cell>
          <cell r="S310">
            <v>11</v>
          </cell>
          <cell r="T310">
            <v>0</v>
          </cell>
          <cell r="U310">
            <v>11</v>
          </cell>
          <cell r="V310">
            <v>286</v>
          </cell>
          <cell r="W310">
            <v>95</v>
          </cell>
          <cell r="X310">
            <v>162</v>
          </cell>
          <cell r="Y310">
            <v>81</v>
          </cell>
          <cell r="Z310">
            <v>0</v>
          </cell>
          <cell r="AA310">
            <v>11</v>
          </cell>
          <cell r="AB310">
            <v>110</v>
          </cell>
          <cell r="AC310">
            <v>46</v>
          </cell>
          <cell r="AD310">
            <v>14</v>
          </cell>
          <cell r="AE310">
            <v>15</v>
          </cell>
          <cell r="AF310">
            <v>0</v>
          </cell>
          <cell r="AG310">
            <v>11</v>
          </cell>
          <cell r="AH310">
            <v>18</v>
          </cell>
          <cell r="AI310">
            <v>16</v>
          </cell>
          <cell r="AJ310">
            <v>0</v>
          </cell>
          <cell r="AK310">
            <v>11</v>
          </cell>
          <cell r="AL310">
            <v>113</v>
          </cell>
          <cell r="AM310">
            <v>55</v>
          </cell>
          <cell r="AN310">
            <v>174</v>
          </cell>
          <cell r="AO310">
            <v>70</v>
          </cell>
          <cell r="AP310">
            <v>0</v>
          </cell>
          <cell r="AQ310">
            <v>11</v>
          </cell>
          <cell r="AR310">
            <v>88</v>
          </cell>
          <cell r="AS310">
            <v>40</v>
          </cell>
        </row>
        <row r="311">
          <cell r="B311">
            <v>17031243300</v>
          </cell>
          <cell r="D311">
            <v>1695</v>
          </cell>
          <cell r="E311">
            <v>197</v>
          </cell>
          <cell r="F311">
            <v>675</v>
          </cell>
          <cell r="G311">
            <v>151</v>
          </cell>
          <cell r="H311">
            <v>571</v>
          </cell>
          <cell r="I311">
            <v>124</v>
          </cell>
          <cell r="J311">
            <v>104</v>
          </cell>
          <cell r="K311">
            <v>62</v>
          </cell>
          <cell r="L311">
            <v>95</v>
          </cell>
          <cell r="M311">
            <v>59</v>
          </cell>
          <cell r="N311">
            <v>0</v>
          </cell>
          <cell r="O311">
            <v>11</v>
          </cell>
          <cell r="P311">
            <v>9</v>
          </cell>
          <cell r="Q311">
            <v>14</v>
          </cell>
          <cell r="R311">
            <v>0</v>
          </cell>
          <cell r="S311">
            <v>11</v>
          </cell>
          <cell r="T311">
            <v>0</v>
          </cell>
          <cell r="U311">
            <v>11</v>
          </cell>
          <cell r="V311">
            <v>705</v>
          </cell>
          <cell r="W311">
            <v>130</v>
          </cell>
          <cell r="X311">
            <v>444</v>
          </cell>
          <cell r="Y311">
            <v>105</v>
          </cell>
          <cell r="Z311">
            <v>0</v>
          </cell>
          <cell r="AA311">
            <v>11</v>
          </cell>
          <cell r="AB311">
            <v>219</v>
          </cell>
          <cell r="AC311">
            <v>86</v>
          </cell>
          <cell r="AD311">
            <v>42</v>
          </cell>
          <cell r="AE311">
            <v>38</v>
          </cell>
          <cell r="AF311">
            <v>0</v>
          </cell>
          <cell r="AG311">
            <v>11</v>
          </cell>
          <cell r="AH311">
            <v>11</v>
          </cell>
          <cell r="AI311">
            <v>16</v>
          </cell>
          <cell r="AJ311">
            <v>0</v>
          </cell>
          <cell r="AK311">
            <v>11</v>
          </cell>
          <cell r="AL311">
            <v>91</v>
          </cell>
          <cell r="AM311">
            <v>55</v>
          </cell>
          <cell r="AN311">
            <v>82</v>
          </cell>
          <cell r="AO311">
            <v>47</v>
          </cell>
          <cell r="AP311">
            <v>30</v>
          </cell>
          <cell r="AQ311">
            <v>27</v>
          </cell>
          <cell r="AR311">
            <v>101</v>
          </cell>
          <cell r="AS311">
            <v>59</v>
          </cell>
        </row>
        <row r="312">
          <cell r="B312">
            <v>17031243400</v>
          </cell>
          <cell r="D312">
            <v>1703</v>
          </cell>
          <cell r="E312">
            <v>144</v>
          </cell>
          <cell r="F312">
            <v>608</v>
          </cell>
          <cell r="G312">
            <v>112</v>
          </cell>
          <cell r="H312">
            <v>591</v>
          </cell>
          <cell r="I312">
            <v>110</v>
          </cell>
          <cell r="J312">
            <v>17</v>
          </cell>
          <cell r="K312">
            <v>18</v>
          </cell>
          <cell r="L312">
            <v>7</v>
          </cell>
          <cell r="M312">
            <v>12</v>
          </cell>
          <cell r="N312">
            <v>10</v>
          </cell>
          <cell r="O312">
            <v>15</v>
          </cell>
          <cell r="P312">
            <v>0</v>
          </cell>
          <cell r="Q312">
            <v>11</v>
          </cell>
          <cell r="R312">
            <v>0</v>
          </cell>
          <cell r="S312">
            <v>11</v>
          </cell>
          <cell r="T312">
            <v>0</v>
          </cell>
          <cell r="U312">
            <v>11</v>
          </cell>
          <cell r="V312">
            <v>628</v>
          </cell>
          <cell r="W312">
            <v>142</v>
          </cell>
          <cell r="X312">
            <v>305</v>
          </cell>
          <cell r="Y312">
            <v>106</v>
          </cell>
          <cell r="Z312">
            <v>0</v>
          </cell>
          <cell r="AA312">
            <v>11</v>
          </cell>
          <cell r="AB312">
            <v>297</v>
          </cell>
          <cell r="AC312">
            <v>107</v>
          </cell>
          <cell r="AD312">
            <v>26</v>
          </cell>
          <cell r="AE312">
            <v>30</v>
          </cell>
          <cell r="AF312">
            <v>0</v>
          </cell>
          <cell r="AG312">
            <v>11</v>
          </cell>
          <cell r="AH312">
            <v>0</v>
          </cell>
          <cell r="AI312">
            <v>11</v>
          </cell>
          <cell r="AJ312">
            <v>24</v>
          </cell>
          <cell r="AK312">
            <v>27</v>
          </cell>
          <cell r="AL312">
            <v>68</v>
          </cell>
          <cell r="AM312">
            <v>54</v>
          </cell>
          <cell r="AN312">
            <v>184</v>
          </cell>
          <cell r="AO312">
            <v>84</v>
          </cell>
          <cell r="AP312">
            <v>26</v>
          </cell>
          <cell r="AQ312">
            <v>29</v>
          </cell>
          <cell r="AR312">
            <v>165</v>
          </cell>
          <cell r="AS312">
            <v>65</v>
          </cell>
        </row>
        <row r="313">
          <cell r="B313">
            <v>17031243500</v>
          </cell>
          <cell r="D313">
            <v>2222</v>
          </cell>
          <cell r="E313">
            <v>189</v>
          </cell>
          <cell r="F313">
            <v>992</v>
          </cell>
          <cell r="G313">
            <v>183</v>
          </cell>
          <cell r="H313">
            <v>914</v>
          </cell>
          <cell r="I313">
            <v>179</v>
          </cell>
          <cell r="J313">
            <v>78</v>
          </cell>
          <cell r="K313">
            <v>47</v>
          </cell>
          <cell r="L313">
            <v>78</v>
          </cell>
          <cell r="M313">
            <v>47</v>
          </cell>
          <cell r="N313">
            <v>0</v>
          </cell>
          <cell r="O313">
            <v>11</v>
          </cell>
          <cell r="P313">
            <v>0</v>
          </cell>
          <cell r="Q313">
            <v>11</v>
          </cell>
          <cell r="R313">
            <v>0</v>
          </cell>
          <cell r="S313">
            <v>11</v>
          </cell>
          <cell r="T313">
            <v>0</v>
          </cell>
          <cell r="U313">
            <v>11</v>
          </cell>
          <cell r="V313">
            <v>690</v>
          </cell>
          <cell r="W313">
            <v>119</v>
          </cell>
          <cell r="X313">
            <v>360</v>
          </cell>
          <cell r="Y313">
            <v>113</v>
          </cell>
          <cell r="Z313">
            <v>0</v>
          </cell>
          <cell r="AA313">
            <v>11</v>
          </cell>
          <cell r="AB313">
            <v>309</v>
          </cell>
          <cell r="AC313">
            <v>83</v>
          </cell>
          <cell r="AD313">
            <v>21</v>
          </cell>
          <cell r="AE313">
            <v>23</v>
          </cell>
          <cell r="AF313">
            <v>0</v>
          </cell>
          <cell r="AG313">
            <v>11</v>
          </cell>
          <cell r="AH313">
            <v>32</v>
          </cell>
          <cell r="AI313">
            <v>27</v>
          </cell>
          <cell r="AJ313">
            <v>0</v>
          </cell>
          <cell r="AK313">
            <v>11</v>
          </cell>
          <cell r="AL313">
            <v>82</v>
          </cell>
          <cell r="AM313">
            <v>47</v>
          </cell>
          <cell r="AN313">
            <v>219</v>
          </cell>
          <cell r="AO313">
            <v>88</v>
          </cell>
          <cell r="AP313">
            <v>23</v>
          </cell>
          <cell r="AQ313">
            <v>35</v>
          </cell>
          <cell r="AR313">
            <v>184</v>
          </cell>
          <cell r="AS313">
            <v>103</v>
          </cell>
        </row>
        <row r="314">
          <cell r="B314">
            <v>17031250200</v>
          </cell>
          <cell r="D314">
            <v>1080</v>
          </cell>
          <cell r="E314">
            <v>141</v>
          </cell>
          <cell r="F314">
            <v>796</v>
          </cell>
          <cell r="G314">
            <v>139</v>
          </cell>
          <cell r="H314">
            <v>647</v>
          </cell>
          <cell r="I314">
            <v>119</v>
          </cell>
          <cell r="J314">
            <v>149</v>
          </cell>
          <cell r="K314">
            <v>105</v>
          </cell>
          <cell r="L314">
            <v>77</v>
          </cell>
          <cell r="M314">
            <v>52</v>
          </cell>
          <cell r="N314">
            <v>13</v>
          </cell>
          <cell r="O314">
            <v>21</v>
          </cell>
          <cell r="P314">
            <v>59</v>
          </cell>
          <cell r="Q314">
            <v>94</v>
          </cell>
          <cell r="R314">
            <v>0</v>
          </cell>
          <cell r="S314">
            <v>11</v>
          </cell>
          <cell r="T314">
            <v>0</v>
          </cell>
          <cell r="U314">
            <v>11</v>
          </cell>
          <cell r="V314">
            <v>165</v>
          </cell>
          <cell r="W314">
            <v>59</v>
          </cell>
          <cell r="X314">
            <v>132</v>
          </cell>
          <cell r="Y314">
            <v>57</v>
          </cell>
          <cell r="Z314">
            <v>0</v>
          </cell>
          <cell r="AA314">
            <v>11</v>
          </cell>
          <cell r="AB314">
            <v>16</v>
          </cell>
          <cell r="AC314">
            <v>13</v>
          </cell>
          <cell r="AD314">
            <v>17</v>
          </cell>
          <cell r="AE314">
            <v>15</v>
          </cell>
          <cell r="AF314">
            <v>0</v>
          </cell>
          <cell r="AG314">
            <v>11</v>
          </cell>
          <cell r="AH314">
            <v>5</v>
          </cell>
          <cell r="AI314">
            <v>8</v>
          </cell>
          <cell r="AJ314">
            <v>0</v>
          </cell>
          <cell r="AK314">
            <v>11</v>
          </cell>
          <cell r="AL314">
            <v>0</v>
          </cell>
          <cell r="AM314">
            <v>11</v>
          </cell>
          <cell r="AN314">
            <v>49</v>
          </cell>
          <cell r="AO314">
            <v>29</v>
          </cell>
          <cell r="AP314">
            <v>32</v>
          </cell>
          <cell r="AQ314">
            <v>28</v>
          </cell>
          <cell r="AR314">
            <v>33</v>
          </cell>
          <cell r="AS314">
            <v>25</v>
          </cell>
        </row>
        <row r="315">
          <cell r="B315">
            <v>17031250300</v>
          </cell>
          <cell r="D315">
            <v>1926</v>
          </cell>
          <cell r="E315">
            <v>297</v>
          </cell>
          <cell r="F315">
            <v>1389</v>
          </cell>
          <cell r="G315">
            <v>263</v>
          </cell>
          <cell r="H315">
            <v>1260</v>
          </cell>
          <cell r="I315">
            <v>258</v>
          </cell>
          <cell r="J315">
            <v>129</v>
          </cell>
          <cell r="K315">
            <v>116</v>
          </cell>
          <cell r="L315">
            <v>18</v>
          </cell>
          <cell r="M315">
            <v>29</v>
          </cell>
          <cell r="N315">
            <v>64</v>
          </cell>
          <cell r="O315">
            <v>73</v>
          </cell>
          <cell r="P315">
            <v>47</v>
          </cell>
          <cell r="Q315">
            <v>73</v>
          </cell>
          <cell r="R315">
            <v>0</v>
          </cell>
          <cell r="S315">
            <v>11</v>
          </cell>
          <cell r="T315">
            <v>0</v>
          </cell>
          <cell r="U315">
            <v>11</v>
          </cell>
          <cell r="V315">
            <v>497</v>
          </cell>
          <cell r="W315">
            <v>153</v>
          </cell>
          <cell r="X315">
            <v>429</v>
          </cell>
          <cell r="Y315">
            <v>141</v>
          </cell>
          <cell r="Z315">
            <v>0</v>
          </cell>
          <cell r="AA315">
            <v>11</v>
          </cell>
          <cell r="AB315">
            <v>68</v>
          </cell>
          <cell r="AC315">
            <v>49</v>
          </cell>
          <cell r="AD315">
            <v>0</v>
          </cell>
          <cell r="AE315">
            <v>11</v>
          </cell>
          <cell r="AF315">
            <v>0</v>
          </cell>
          <cell r="AG315">
            <v>11</v>
          </cell>
          <cell r="AH315">
            <v>0</v>
          </cell>
          <cell r="AI315">
            <v>11</v>
          </cell>
          <cell r="AJ315">
            <v>0</v>
          </cell>
          <cell r="AK315">
            <v>11</v>
          </cell>
          <cell r="AL315">
            <v>7</v>
          </cell>
          <cell r="AM315">
            <v>12</v>
          </cell>
          <cell r="AN315">
            <v>0</v>
          </cell>
          <cell r="AO315">
            <v>11</v>
          </cell>
          <cell r="AP315">
            <v>22</v>
          </cell>
          <cell r="AQ315">
            <v>34</v>
          </cell>
          <cell r="AR315">
            <v>11</v>
          </cell>
          <cell r="AS315">
            <v>16</v>
          </cell>
        </row>
        <row r="316">
          <cell r="B316">
            <v>17031250400</v>
          </cell>
          <cell r="D316">
            <v>2067</v>
          </cell>
          <cell r="E316">
            <v>410</v>
          </cell>
          <cell r="F316">
            <v>1372</v>
          </cell>
          <cell r="G316">
            <v>230</v>
          </cell>
          <cell r="H316">
            <v>1190</v>
          </cell>
          <cell r="I316">
            <v>222</v>
          </cell>
          <cell r="J316">
            <v>182</v>
          </cell>
          <cell r="K316">
            <v>105</v>
          </cell>
          <cell r="L316">
            <v>182</v>
          </cell>
          <cell r="M316">
            <v>105</v>
          </cell>
          <cell r="N316">
            <v>0</v>
          </cell>
          <cell r="O316">
            <v>15</v>
          </cell>
          <cell r="P316">
            <v>0</v>
          </cell>
          <cell r="Q316">
            <v>15</v>
          </cell>
          <cell r="R316">
            <v>0</v>
          </cell>
          <cell r="S316">
            <v>15</v>
          </cell>
          <cell r="T316">
            <v>0</v>
          </cell>
          <cell r="U316">
            <v>15</v>
          </cell>
          <cell r="V316">
            <v>605</v>
          </cell>
          <cell r="W316">
            <v>265</v>
          </cell>
          <cell r="X316">
            <v>521</v>
          </cell>
          <cell r="Y316">
            <v>244</v>
          </cell>
          <cell r="Z316">
            <v>0</v>
          </cell>
          <cell r="AA316">
            <v>15</v>
          </cell>
          <cell r="AB316">
            <v>56</v>
          </cell>
          <cell r="AC316">
            <v>57</v>
          </cell>
          <cell r="AD316">
            <v>28</v>
          </cell>
          <cell r="AE316">
            <v>46</v>
          </cell>
          <cell r="AF316">
            <v>0</v>
          </cell>
          <cell r="AG316">
            <v>15</v>
          </cell>
          <cell r="AH316">
            <v>0</v>
          </cell>
          <cell r="AI316">
            <v>15</v>
          </cell>
          <cell r="AJ316">
            <v>0</v>
          </cell>
          <cell r="AK316">
            <v>15</v>
          </cell>
          <cell r="AL316">
            <v>0</v>
          </cell>
          <cell r="AM316">
            <v>15</v>
          </cell>
          <cell r="AN316">
            <v>0</v>
          </cell>
          <cell r="AO316">
            <v>15</v>
          </cell>
          <cell r="AP316">
            <v>22</v>
          </cell>
          <cell r="AQ316">
            <v>34</v>
          </cell>
          <cell r="AR316">
            <v>68</v>
          </cell>
          <cell r="AS316">
            <v>80</v>
          </cell>
        </row>
        <row r="317">
          <cell r="B317">
            <v>17031250500</v>
          </cell>
          <cell r="D317">
            <v>3755</v>
          </cell>
          <cell r="E317">
            <v>334</v>
          </cell>
          <cell r="F317">
            <v>3075</v>
          </cell>
          <cell r="G317">
            <v>360</v>
          </cell>
          <cell r="H317">
            <v>2771</v>
          </cell>
          <cell r="I317">
            <v>365</v>
          </cell>
          <cell r="J317">
            <v>304</v>
          </cell>
          <cell r="K317">
            <v>134</v>
          </cell>
          <cell r="L317">
            <v>291</v>
          </cell>
          <cell r="M317">
            <v>131</v>
          </cell>
          <cell r="N317">
            <v>0</v>
          </cell>
          <cell r="O317">
            <v>15</v>
          </cell>
          <cell r="P317">
            <v>13</v>
          </cell>
          <cell r="Q317">
            <v>22</v>
          </cell>
          <cell r="R317">
            <v>0</v>
          </cell>
          <cell r="S317">
            <v>15</v>
          </cell>
          <cell r="T317">
            <v>0</v>
          </cell>
          <cell r="U317">
            <v>15</v>
          </cell>
          <cell r="V317">
            <v>470</v>
          </cell>
          <cell r="W317">
            <v>160</v>
          </cell>
          <cell r="X317">
            <v>128</v>
          </cell>
          <cell r="Y317">
            <v>100</v>
          </cell>
          <cell r="Z317">
            <v>0</v>
          </cell>
          <cell r="AA317">
            <v>15</v>
          </cell>
          <cell r="AB317">
            <v>114</v>
          </cell>
          <cell r="AC317">
            <v>90</v>
          </cell>
          <cell r="AD317">
            <v>228</v>
          </cell>
          <cell r="AE317">
            <v>123</v>
          </cell>
          <cell r="AF317">
            <v>0</v>
          </cell>
          <cell r="AG317">
            <v>15</v>
          </cell>
          <cell r="AH317">
            <v>0</v>
          </cell>
          <cell r="AI317">
            <v>15</v>
          </cell>
          <cell r="AJ317">
            <v>0</v>
          </cell>
          <cell r="AK317">
            <v>15</v>
          </cell>
          <cell r="AL317">
            <v>16</v>
          </cell>
          <cell r="AM317">
            <v>26</v>
          </cell>
          <cell r="AN317">
            <v>0</v>
          </cell>
          <cell r="AO317">
            <v>15</v>
          </cell>
          <cell r="AP317">
            <v>101</v>
          </cell>
          <cell r="AQ317">
            <v>119</v>
          </cell>
          <cell r="AR317">
            <v>93</v>
          </cell>
          <cell r="AS317">
            <v>57</v>
          </cell>
        </row>
        <row r="318">
          <cell r="B318">
            <v>17031250600</v>
          </cell>
          <cell r="D318">
            <v>1729</v>
          </cell>
          <cell r="E318">
            <v>246</v>
          </cell>
          <cell r="F318">
            <v>1281</v>
          </cell>
          <cell r="G318">
            <v>223</v>
          </cell>
          <cell r="H318">
            <v>1203</v>
          </cell>
          <cell r="I318">
            <v>221</v>
          </cell>
          <cell r="J318">
            <v>78</v>
          </cell>
          <cell r="K318">
            <v>47</v>
          </cell>
          <cell r="L318">
            <v>47</v>
          </cell>
          <cell r="M318">
            <v>35</v>
          </cell>
          <cell r="N318">
            <v>22</v>
          </cell>
          <cell r="O318">
            <v>32</v>
          </cell>
          <cell r="P318">
            <v>9</v>
          </cell>
          <cell r="Q318">
            <v>17</v>
          </cell>
          <cell r="R318">
            <v>0</v>
          </cell>
          <cell r="S318">
            <v>11</v>
          </cell>
          <cell r="T318">
            <v>0</v>
          </cell>
          <cell r="U318">
            <v>11</v>
          </cell>
          <cell r="V318">
            <v>360</v>
          </cell>
          <cell r="W318">
            <v>144</v>
          </cell>
          <cell r="X318">
            <v>285</v>
          </cell>
          <cell r="Y318">
            <v>128</v>
          </cell>
          <cell r="Z318">
            <v>0</v>
          </cell>
          <cell r="AA318">
            <v>11</v>
          </cell>
          <cell r="AB318">
            <v>68</v>
          </cell>
          <cell r="AC318">
            <v>48</v>
          </cell>
          <cell r="AD318">
            <v>7</v>
          </cell>
          <cell r="AE318">
            <v>12</v>
          </cell>
          <cell r="AF318">
            <v>0</v>
          </cell>
          <cell r="AG318">
            <v>11</v>
          </cell>
          <cell r="AH318">
            <v>0</v>
          </cell>
          <cell r="AI318">
            <v>11</v>
          </cell>
          <cell r="AJ318">
            <v>0</v>
          </cell>
          <cell r="AK318">
            <v>11</v>
          </cell>
          <cell r="AL318">
            <v>0</v>
          </cell>
          <cell r="AM318">
            <v>11</v>
          </cell>
          <cell r="AN318">
            <v>0</v>
          </cell>
          <cell r="AO318">
            <v>11</v>
          </cell>
          <cell r="AP318">
            <v>0</v>
          </cell>
          <cell r="AQ318">
            <v>11</v>
          </cell>
          <cell r="AR318">
            <v>88</v>
          </cell>
          <cell r="AS318">
            <v>63</v>
          </cell>
        </row>
        <row r="319">
          <cell r="B319">
            <v>17031250700</v>
          </cell>
          <cell r="D319">
            <v>1918</v>
          </cell>
          <cell r="E319">
            <v>363</v>
          </cell>
          <cell r="F319">
            <v>1402</v>
          </cell>
          <cell r="G319">
            <v>287</v>
          </cell>
          <cell r="H319">
            <v>1283</v>
          </cell>
          <cell r="I319">
            <v>269</v>
          </cell>
          <cell r="J319">
            <v>119</v>
          </cell>
          <cell r="K319">
            <v>92</v>
          </cell>
          <cell r="L319">
            <v>56</v>
          </cell>
          <cell r="M319">
            <v>77</v>
          </cell>
          <cell r="N319">
            <v>63</v>
          </cell>
          <cell r="O319">
            <v>60</v>
          </cell>
          <cell r="P319">
            <v>0</v>
          </cell>
          <cell r="Q319">
            <v>15</v>
          </cell>
          <cell r="R319">
            <v>0</v>
          </cell>
          <cell r="S319">
            <v>15</v>
          </cell>
          <cell r="T319">
            <v>0</v>
          </cell>
          <cell r="U319">
            <v>15</v>
          </cell>
          <cell r="V319">
            <v>375</v>
          </cell>
          <cell r="W319">
            <v>183</v>
          </cell>
          <cell r="X319">
            <v>349</v>
          </cell>
          <cell r="Y319">
            <v>177</v>
          </cell>
          <cell r="Z319">
            <v>0</v>
          </cell>
          <cell r="AA319">
            <v>15</v>
          </cell>
          <cell r="AB319">
            <v>26</v>
          </cell>
          <cell r="AC319">
            <v>29</v>
          </cell>
          <cell r="AD319">
            <v>0</v>
          </cell>
          <cell r="AE319">
            <v>15</v>
          </cell>
          <cell r="AF319">
            <v>0</v>
          </cell>
          <cell r="AG319">
            <v>15</v>
          </cell>
          <cell r="AH319">
            <v>0</v>
          </cell>
          <cell r="AI319">
            <v>15</v>
          </cell>
          <cell r="AJ319">
            <v>0</v>
          </cell>
          <cell r="AK319">
            <v>15</v>
          </cell>
          <cell r="AL319">
            <v>0</v>
          </cell>
          <cell r="AM319">
            <v>15</v>
          </cell>
          <cell r="AN319">
            <v>30</v>
          </cell>
          <cell r="AO319">
            <v>48</v>
          </cell>
          <cell r="AP319">
            <v>17</v>
          </cell>
          <cell r="AQ319">
            <v>29</v>
          </cell>
          <cell r="AR319">
            <v>94</v>
          </cell>
          <cell r="AS319">
            <v>110</v>
          </cell>
        </row>
        <row r="320">
          <cell r="B320">
            <v>17031250800</v>
          </cell>
          <cell r="D320">
            <v>909</v>
          </cell>
          <cell r="E320">
            <v>178</v>
          </cell>
          <cell r="F320">
            <v>668</v>
          </cell>
          <cell r="G320">
            <v>164</v>
          </cell>
          <cell r="H320">
            <v>625</v>
          </cell>
          <cell r="I320">
            <v>156</v>
          </cell>
          <cell r="J320">
            <v>43</v>
          </cell>
          <cell r="K320">
            <v>30</v>
          </cell>
          <cell r="L320">
            <v>43</v>
          </cell>
          <cell r="M320">
            <v>30</v>
          </cell>
          <cell r="N320">
            <v>0</v>
          </cell>
          <cell r="O320">
            <v>11</v>
          </cell>
          <cell r="P320">
            <v>0</v>
          </cell>
          <cell r="Q320">
            <v>11</v>
          </cell>
          <cell r="R320">
            <v>0</v>
          </cell>
          <cell r="S320">
            <v>11</v>
          </cell>
          <cell r="T320">
            <v>0</v>
          </cell>
          <cell r="U320">
            <v>11</v>
          </cell>
          <cell r="V320">
            <v>181</v>
          </cell>
          <cell r="W320">
            <v>72</v>
          </cell>
          <cell r="X320">
            <v>178</v>
          </cell>
          <cell r="Y320">
            <v>73</v>
          </cell>
          <cell r="Z320">
            <v>0</v>
          </cell>
          <cell r="AA320">
            <v>11</v>
          </cell>
          <cell r="AB320">
            <v>3</v>
          </cell>
          <cell r="AC320">
            <v>6</v>
          </cell>
          <cell r="AD320">
            <v>0</v>
          </cell>
          <cell r="AE320">
            <v>11</v>
          </cell>
          <cell r="AF320">
            <v>0</v>
          </cell>
          <cell r="AG320">
            <v>11</v>
          </cell>
          <cell r="AH320">
            <v>0</v>
          </cell>
          <cell r="AI320">
            <v>11</v>
          </cell>
          <cell r="AJ320">
            <v>0</v>
          </cell>
          <cell r="AK320">
            <v>11</v>
          </cell>
          <cell r="AL320">
            <v>0</v>
          </cell>
          <cell r="AM320">
            <v>11</v>
          </cell>
          <cell r="AN320">
            <v>12</v>
          </cell>
          <cell r="AO320">
            <v>16</v>
          </cell>
          <cell r="AP320">
            <v>0</v>
          </cell>
          <cell r="AQ320">
            <v>11</v>
          </cell>
          <cell r="AR320">
            <v>48</v>
          </cell>
          <cell r="AS320">
            <v>39</v>
          </cell>
        </row>
        <row r="321">
          <cell r="B321">
            <v>17031251000</v>
          </cell>
          <cell r="D321">
            <v>351</v>
          </cell>
          <cell r="E321">
            <v>67</v>
          </cell>
          <cell r="F321">
            <v>226</v>
          </cell>
          <cell r="G321">
            <v>67</v>
          </cell>
          <cell r="H321">
            <v>222</v>
          </cell>
          <cell r="I321">
            <v>67</v>
          </cell>
          <cell r="J321">
            <v>4</v>
          </cell>
          <cell r="K321">
            <v>8</v>
          </cell>
          <cell r="L321">
            <v>3</v>
          </cell>
          <cell r="M321">
            <v>5</v>
          </cell>
          <cell r="N321">
            <v>1</v>
          </cell>
          <cell r="O321">
            <v>7</v>
          </cell>
          <cell r="P321">
            <v>0</v>
          </cell>
          <cell r="Q321">
            <v>11</v>
          </cell>
          <cell r="R321">
            <v>0</v>
          </cell>
          <cell r="S321">
            <v>11</v>
          </cell>
          <cell r="T321">
            <v>0</v>
          </cell>
          <cell r="U321">
            <v>11</v>
          </cell>
          <cell r="V321">
            <v>108</v>
          </cell>
          <cell r="W321">
            <v>47</v>
          </cell>
          <cell r="X321">
            <v>95</v>
          </cell>
          <cell r="Y321">
            <v>47</v>
          </cell>
          <cell r="Z321">
            <v>0</v>
          </cell>
          <cell r="AA321">
            <v>11</v>
          </cell>
          <cell r="AB321">
            <v>13</v>
          </cell>
          <cell r="AC321">
            <v>12</v>
          </cell>
          <cell r="AD321">
            <v>0</v>
          </cell>
          <cell r="AE321">
            <v>11</v>
          </cell>
          <cell r="AF321">
            <v>0</v>
          </cell>
          <cell r="AG321">
            <v>11</v>
          </cell>
          <cell r="AH321">
            <v>0</v>
          </cell>
          <cell r="AI321">
            <v>11</v>
          </cell>
          <cell r="AJ321">
            <v>0</v>
          </cell>
          <cell r="AK321">
            <v>11</v>
          </cell>
          <cell r="AL321">
            <v>0</v>
          </cell>
          <cell r="AM321">
            <v>11</v>
          </cell>
          <cell r="AN321">
            <v>15</v>
          </cell>
          <cell r="AO321">
            <v>18</v>
          </cell>
          <cell r="AP321">
            <v>0</v>
          </cell>
          <cell r="AQ321">
            <v>11</v>
          </cell>
          <cell r="AR321">
            <v>2</v>
          </cell>
          <cell r="AS321">
            <v>7</v>
          </cell>
        </row>
        <row r="322">
          <cell r="B322">
            <v>17031251100</v>
          </cell>
          <cell r="D322">
            <v>1267</v>
          </cell>
          <cell r="E322">
            <v>255</v>
          </cell>
          <cell r="F322">
            <v>860</v>
          </cell>
          <cell r="G322">
            <v>227</v>
          </cell>
          <cell r="H322">
            <v>741</v>
          </cell>
          <cell r="I322">
            <v>203</v>
          </cell>
          <cell r="J322">
            <v>119</v>
          </cell>
          <cell r="K322">
            <v>103</v>
          </cell>
          <cell r="L322">
            <v>79</v>
          </cell>
          <cell r="M322">
            <v>82</v>
          </cell>
          <cell r="N322">
            <v>0</v>
          </cell>
          <cell r="O322">
            <v>11</v>
          </cell>
          <cell r="P322">
            <v>38</v>
          </cell>
          <cell r="Q322">
            <v>63</v>
          </cell>
          <cell r="R322">
            <v>2</v>
          </cell>
          <cell r="S322">
            <v>4</v>
          </cell>
          <cell r="T322">
            <v>0</v>
          </cell>
          <cell r="U322">
            <v>11</v>
          </cell>
          <cell r="V322">
            <v>306</v>
          </cell>
          <cell r="W322">
            <v>133</v>
          </cell>
          <cell r="X322">
            <v>256</v>
          </cell>
          <cell r="Y322">
            <v>99</v>
          </cell>
          <cell r="Z322">
            <v>19</v>
          </cell>
          <cell r="AA322">
            <v>31</v>
          </cell>
          <cell r="AB322">
            <v>31</v>
          </cell>
          <cell r="AC322">
            <v>51</v>
          </cell>
          <cell r="AD322">
            <v>0</v>
          </cell>
          <cell r="AE322">
            <v>11</v>
          </cell>
          <cell r="AF322">
            <v>0</v>
          </cell>
          <cell r="AG322">
            <v>11</v>
          </cell>
          <cell r="AH322">
            <v>0</v>
          </cell>
          <cell r="AI322">
            <v>11</v>
          </cell>
          <cell r="AJ322">
            <v>0</v>
          </cell>
          <cell r="AK322">
            <v>11</v>
          </cell>
          <cell r="AL322">
            <v>0</v>
          </cell>
          <cell r="AM322">
            <v>11</v>
          </cell>
          <cell r="AN322">
            <v>22</v>
          </cell>
          <cell r="AO322">
            <v>36</v>
          </cell>
          <cell r="AP322">
            <v>40</v>
          </cell>
          <cell r="AQ322">
            <v>64</v>
          </cell>
          <cell r="AR322">
            <v>39</v>
          </cell>
          <cell r="AS322">
            <v>55</v>
          </cell>
        </row>
        <row r="323">
          <cell r="B323">
            <v>17031251200</v>
          </cell>
          <cell r="D323">
            <v>1573</v>
          </cell>
          <cell r="E323">
            <v>276</v>
          </cell>
          <cell r="F323">
            <v>1125</v>
          </cell>
          <cell r="G323">
            <v>236</v>
          </cell>
          <cell r="H323">
            <v>952</v>
          </cell>
          <cell r="I323">
            <v>223</v>
          </cell>
          <cell r="J323">
            <v>173</v>
          </cell>
          <cell r="K323">
            <v>109</v>
          </cell>
          <cell r="L323">
            <v>111</v>
          </cell>
          <cell r="M323">
            <v>73</v>
          </cell>
          <cell r="N323">
            <v>47</v>
          </cell>
          <cell r="O323">
            <v>57</v>
          </cell>
          <cell r="P323">
            <v>15</v>
          </cell>
          <cell r="Q323">
            <v>23</v>
          </cell>
          <cell r="R323">
            <v>0</v>
          </cell>
          <cell r="S323">
            <v>11</v>
          </cell>
          <cell r="T323">
            <v>0</v>
          </cell>
          <cell r="U323">
            <v>11</v>
          </cell>
          <cell r="V323">
            <v>399</v>
          </cell>
          <cell r="W323">
            <v>143</v>
          </cell>
          <cell r="X323">
            <v>342</v>
          </cell>
          <cell r="Y323">
            <v>147</v>
          </cell>
          <cell r="Z323">
            <v>0</v>
          </cell>
          <cell r="AA323">
            <v>11</v>
          </cell>
          <cell r="AB323">
            <v>47</v>
          </cell>
          <cell r="AC323">
            <v>40</v>
          </cell>
          <cell r="AD323">
            <v>10</v>
          </cell>
          <cell r="AE323">
            <v>14</v>
          </cell>
          <cell r="AF323">
            <v>0</v>
          </cell>
          <cell r="AG323">
            <v>11</v>
          </cell>
          <cell r="AH323">
            <v>0</v>
          </cell>
          <cell r="AI323">
            <v>11</v>
          </cell>
          <cell r="AJ323">
            <v>0</v>
          </cell>
          <cell r="AK323">
            <v>11</v>
          </cell>
          <cell r="AL323">
            <v>0</v>
          </cell>
          <cell r="AM323">
            <v>11</v>
          </cell>
          <cell r="AN323">
            <v>27</v>
          </cell>
          <cell r="AO323">
            <v>37</v>
          </cell>
          <cell r="AP323">
            <v>0</v>
          </cell>
          <cell r="AQ323">
            <v>11</v>
          </cell>
          <cell r="AR323">
            <v>22</v>
          </cell>
          <cell r="AS323">
            <v>21</v>
          </cell>
        </row>
        <row r="324">
          <cell r="B324">
            <v>17031251300</v>
          </cell>
          <cell r="D324">
            <v>1512</v>
          </cell>
          <cell r="E324">
            <v>255</v>
          </cell>
          <cell r="F324">
            <v>972</v>
          </cell>
          <cell r="G324">
            <v>212</v>
          </cell>
          <cell r="H324">
            <v>700</v>
          </cell>
          <cell r="I324">
            <v>163</v>
          </cell>
          <cell r="J324">
            <v>272</v>
          </cell>
          <cell r="K324">
            <v>106</v>
          </cell>
          <cell r="L324">
            <v>162</v>
          </cell>
          <cell r="M324">
            <v>85</v>
          </cell>
          <cell r="N324">
            <v>76</v>
          </cell>
          <cell r="O324">
            <v>59</v>
          </cell>
          <cell r="P324">
            <v>0</v>
          </cell>
          <cell r="Q324">
            <v>11</v>
          </cell>
          <cell r="R324">
            <v>15</v>
          </cell>
          <cell r="S324">
            <v>24</v>
          </cell>
          <cell r="T324">
            <v>19</v>
          </cell>
          <cell r="U324">
            <v>30</v>
          </cell>
          <cell r="V324">
            <v>463</v>
          </cell>
          <cell r="W324">
            <v>152</v>
          </cell>
          <cell r="X324">
            <v>406</v>
          </cell>
          <cell r="Y324">
            <v>144</v>
          </cell>
          <cell r="Z324">
            <v>0</v>
          </cell>
          <cell r="AA324">
            <v>11</v>
          </cell>
          <cell r="AB324">
            <v>57</v>
          </cell>
          <cell r="AC324">
            <v>44</v>
          </cell>
          <cell r="AD324">
            <v>0</v>
          </cell>
          <cell r="AE324">
            <v>11</v>
          </cell>
          <cell r="AF324">
            <v>0</v>
          </cell>
          <cell r="AG324">
            <v>11</v>
          </cell>
          <cell r="AH324">
            <v>0</v>
          </cell>
          <cell r="AI324">
            <v>11</v>
          </cell>
          <cell r="AJ324">
            <v>0</v>
          </cell>
          <cell r="AK324">
            <v>11</v>
          </cell>
          <cell r="AL324">
            <v>0</v>
          </cell>
          <cell r="AM324">
            <v>11</v>
          </cell>
          <cell r="AN324">
            <v>0</v>
          </cell>
          <cell r="AO324">
            <v>11</v>
          </cell>
          <cell r="AP324">
            <v>28</v>
          </cell>
          <cell r="AQ324">
            <v>34</v>
          </cell>
          <cell r="AR324">
            <v>49</v>
          </cell>
          <cell r="AS324">
            <v>40</v>
          </cell>
        </row>
        <row r="325">
          <cell r="B325">
            <v>17031251400</v>
          </cell>
          <cell r="D325">
            <v>1551</v>
          </cell>
          <cell r="E325">
            <v>261</v>
          </cell>
          <cell r="F325">
            <v>992</v>
          </cell>
          <cell r="G325">
            <v>223</v>
          </cell>
          <cell r="H325">
            <v>914</v>
          </cell>
          <cell r="I325">
            <v>211</v>
          </cell>
          <cell r="J325">
            <v>78</v>
          </cell>
          <cell r="K325">
            <v>57</v>
          </cell>
          <cell r="L325">
            <v>42</v>
          </cell>
          <cell r="M325">
            <v>37</v>
          </cell>
          <cell r="N325">
            <v>36</v>
          </cell>
          <cell r="O325">
            <v>42</v>
          </cell>
          <cell r="P325">
            <v>0</v>
          </cell>
          <cell r="Q325">
            <v>11</v>
          </cell>
          <cell r="R325">
            <v>0</v>
          </cell>
          <cell r="S325">
            <v>11</v>
          </cell>
          <cell r="T325">
            <v>0</v>
          </cell>
          <cell r="U325">
            <v>11</v>
          </cell>
          <cell r="V325">
            <v>488</v>
          </cell>
          <cell r="W325">
            <v>163</v>
          </cell>
          <cell r="X325">
            <v>428</v>
          </cell>
          <cell r="Y325">
            <v>156</v>
          </cell>
          <cell r="Z325">
            <v>17</v>
          </cell>
          <cell r="AA325">
            <v>29</v>
          </cell>
          <cell r="AB325">
            <v>35</v>
          </cell>
          <cell r="AC325">
            <v>37</v>
          </cell>
          <cell r="AD325">
            <v>8</v>
          </cell>
          <cell r="AE325">
            <v>14</v>
          </cell>
          <cell r="AF325">
            <v>0</v>
          </cell>
          <cell r="AG325">
            <v>11</v>
          </cell>
          <cell r="AH325">
            <v>0</v>
          </cell>
          <cell r="AI325">
            <v>11</v>
          </cell>
          <cell r="AJ325">
            <v>0</v>
          </cell>
          <cell r="AK325">
            <v>11</v>
          </cell>
          <cell r="AL325">
            <v>24</v>
          </cell>
          <cell r="AM325">
            <v>36</v>
          </cell>
          <cell r="AN325">
            <v>0</v>
          </cell>
          <cell r="AO325">
            <v>11</v>
          </cell>
          <cell r="AP325">
            <v>9</v>
          </cell>
          <cell r="AQ325">
            <v>14</v>
          </cell>
          <cell r="AR325">
            <v>38</v>
          </cell>
          <cell r="AS325">
            <v>28</v>
          </cell>
        </row>
        <row r="326">
          <cell r="B326">
            <v>17031251500</v>
          </cell>
          <cell r="D326">
            <v>1347</v>
          </cell>
          <cell r="E326">
            <v>246</v>
          </cell>
          <cell r="F326">
            <v>642</v>
          </cell>
          <cell r="G326">
            <v>173</v>
          </cell>
          <cell r="H326">
            <v>566</v>
          </cell>
          <cell r="I326">
            <v>152</v>
          </cell>
          <cell r="J326">
            <v>76</v>
          </cell>
          <cell r="K326">
            <v>63</v>
          </cell>
          <cell r="L326">
            <v>60</v>
          </cell>
          <cell r="M326">
            <v>57</v>
          </cell>
          <cell r="N326">
            <v>16</v>
          </cell>
          <cell r="O326">
            <v>26</v>
          </cell>
          <cell r="P326">
            <v>0</v>
          </cell>
          <cell r="Q326">
            <v>11</v>
          </cell>
          <cell r="R326">
            <v>0</v>
          </cell>
          <cell r="S326">
            <v>11</v>
          </cell>
          <cell r="T326">
            <v>0</v>
          </cell>
          <cell r="U326">
            <v>11</v>
          </cell>
          <cell r="V326">
            <v>610</v>
          </cell>
          <cell r="W326">
            <v>202</v>
          </cell>
          <cell r="X326">
            <v>563</v>
          </cell>
          <cell r="Y326">
            <v>212</v>
          </cell>
          <cell r="Z326">
            <v>0</v>
          </cell>
          <cell r="AA326">
            <v>11</v>
          </cell>
          <cell r="AB326">
            <v>28</v>
          </cell>
          <cell r="AC326">
            <v>45</v>
          </cell>
          <cell r="AD326">
            <v>19</v>
          </cell>
          <cell r="AE326">
            <v>22</v>
          </cell>
          <cell r="AF326">
            <v>0</v>
          </cell>
          <cell r="AG326">
            <v>11</v>
          </cell>
          <cell r="AH326">
            <v>0</v>
          </cell>
          <cell r="AI326">
            <v>11</v>
          </cell>
          <cell r="AJ326">
            <v>0</v>
          </cell>
          <cell r="AK326">
            <v>11</v>
          </cell>
          <cell r="AL326">
            <v>12</v>
          </cell>
          <cell r="AM326">
            <v>19</v>
          </cell>
          <cell r="AN326">
            <v>25</v>
          </cell>
          <cell r="AO326">
            <v>39</v>
          </cell>
          <cell r="AP326">
            <v>21</v>
          </cell>
          <cell r="AQ326">
            <v>34</v>
          </cell>
          <cell r="AR326">
            <v>37</v>
          </cell>
          <cell r="AS326">
            <v>43</v>
          </cell>
        </row>
        <row r="327">
          <cell r="B327">
            <v>17031251600</v>
          </cell>
          <cell r="D327">
            <v>1174</v>
          </cell>
          <cell r="E327">
            <v>236</v>
          </cell>
          <cell r="F327">
            <v>664</v>
          </cell>
          <cell r="G327">
            <v>233</v>
          </cell>
          <cell r="H327">
            <v>634</v>
          </cell>
          <cell r="I327">
            <v>222</v>
          </cell>
          <cell r="J327">
            <v>30</v>
          </cell>
          <cell r="K327">
            <v>29</v>
          </cell>
          <cell r="L327">
            <v>30</v>
          </cell>
          <cell r="M327">
            <v>29</v>
          </cell>
          <cell r="N327">
            <v>0</v>
          </cell>
          <cell r="O327">
            <v>11</v>
          </cell>
          <cell r="P327">
            <v>0</v>
          </cell>
          <cell r="Q327">
            <v>11</v>
          </cell>
          <cell r="R327">
            <v>0</v>
          </cell>
          <cell r="S327">
            <v>11</v>
          </cell>
          <cell r="T327">
            <v>0</v>
          </cell>
          <cell r="U327">
            <v>11</v>
          </cell>
          <cell r="V327">
            <v>468</v>
          </cell>
          <cell r="W327">
            <v>143</v>
          </cell>
          <cell r="X327">
            <v>395</v>
          </cell>
          <cell r="Y327">
            <v>138</v>
          </cell>
          <cell r="Z327">
            <v>0</v>
          </cell>
          <cell r="AA327">
            <v>11</v>
          </cell>
          <cell r="AB327">
            <v>61</v>
          </cell>
          <cell r="AC327">
            <v>56</v>
          </cell>
          <cell r="AD327">
            <v>12</v>
          </cell>
          <cell r="AE327">
            <v>20</v>
          </cell>
          <cell r="AF327">
            <v>0</v>
          </cell>
          <cell r="AG327">
            <v>11</v>
          </cell>
          <cell r="AH327">
            <v>0</v>
          </cell>
          <cell r="AI327">
            <v>11</v>
          </cell>
          <cell r="AJ327">
            <v>0</v>
          </cell>
          <cell r="AK327">
            <v>11</v>
          </cell>
          <cell r="AL327">
            <v>0</v>
          </cell>
          <cell r="AM327">
            <v>11</v>
          </cell>
          <cell r="AN327">
            <v>22</v>
          </cell>
          <cell r="AO327">
            <v>36</v>
          </cell>
          <cell r="AP327">
            <v>0</v>
          </cell>
          <cell r="AQ327">
            <v>11</v>
          </cell>
          <cell r="AR327">
            <v>20</v>
          </cell>
          <cell r="AS327">
            <v>31</v>
          </cell>
        </row>
        <row r="328">
          <cell r="B328">
            <v>17031251700</v>
          </cell>
          <cell r="D328">
            <v>305</v>
          </cell>
          <cell r="E328">
            <v>97</v>
          </cell>
          <cell r="F328">
            <v>231</v>
          </cell>
          <cell r="G328">
            <v>90</v>
          </cell>
          <cell r="H328">
            <v>204</v>
          </cell>
          <cell r="I328">
            <v>89</v>
          </cell>
          <cell r="J328">
            <v>27</v>
          </cell>
          <cell r="K328">
            <v>27</v>
          </cell>
          <cell r="L328">
            <v>13</v>
          </cell>
          <cell r="M328">
            <v>14</v>
          </cell>
          <cell r="N328">
            <v>14</v>
          </cell>
          <cell r="O328">
            <v>23</v>
          </cell>
          <cell r="P328">
            <v>0</v>
          </cell>
          <cell r="Q328">
            <v>11</v>
          </cell>
          <cell r="R328">
            <v>0</v>
          </cell>
          <cell r="S328">
            <v>11</v>
          </cell>
          <cell r="T328">
            <v>0</v>
          </cell>
          <cell r="U328">
            <v>11</v>
          </cell>
          <cell r="V328">
            <v>42</v>
          </cell>
          <cell r="W328">
            <v>27</v>
          </cell>
          <cell r="X328">
            <v>36</v>
          </cell>
          <cell r="Y328">
            <v>27</v>
          </cell>
          <cell r="Z328">
            <v>0</v>
          </cell>
          <cell r="AA328">
            <v>11</v>
          </cell>
          <cell r="AB328">
            <v>6</v>
          </cell>
          <cell r="AC328">
            <v>9</v>
          </cell>
          <cell r="AD328">
            <v>0</v>
          </cell>
          <cell r="AE328">
            <v>11</v>
          </cell>
          <cell r="AF328">
            <v>0</v>
          </cell>
          <cell r="AG328">
            <v>11</v>
          </cell>
          <cell r="AH328">
            <v>0</v>
          </cell>
          <cell r="AI328">
            <v>11</v>
          </cell>
          <cell r="AJ328">
            <v>0</v>
          </cell>
          <cell r="AK328">
            <v>11</v>
          </cell>
          <cell r="AL328">
            <v>0</v>
          </cell>
          <cell r="AM328">
            <v>11</v>
          </cell>
          <cell r="AN328">
            <v>0</v>
          </cell>
          <cell r="AO328">
            <v>11</v>
          </cell>
          <cell r="AP328">
            <v>26</v>
          </cell>
          <cell r="AQ328">
            <v>28</v>
          </cell>
          <cell r="AR328">
            <v>6</v>
          </cell>
          <cell r="AS328">
            <v>8</v>
          </cell>
        </row>
        <row r="329">
          <cell r="B329">
            <v>17031251800</v>
          </cell>
          <cell r="D329">
            <v>1374</v>
          </cell>
          <cell r="E329">
            <v>242</v>
          </cell>
          <cell r="F329">
            <v>924</v>
          </cell>
          <cell r="G329">
            <v>185</v>
          </cell>
          <cell r="H329">
            <v>783</v>
          </cell>
          <cell r="I329">
            <v>195</v>
          </cell>
          <cell r="J329">
            <v>141</v>
          </cell>
          <cell r="K329">
            <v>78</v>
          </cell>
          <cell r="L329">
            <v>79</v>
          </cell>
          <cell r="M329">
            <v>50</v>
          </cell>
          <cell r="N329">
            <v>0</v>
          </cell>
          <cell r="O329">
            <v>15</v>
          </cell>
          <cell r="P329">
            <v>20</v>
          </cell>
          <cell r="Q329">
            <v>31</v>
          </cell>
          <cell r="R329">
            <v>0</v>
          </cell>
          <cell r="S329">
            <v>15</v>
          </cell>
          <cell r="T329">
            <v>42</v>
          </cell>
          <cell r="U329">
            <v>53</v>
          </cell>
          <cell r="V329">
            <v>274</v>
          </cell>
          <cell r="W329">
            <v>145</v>
          </cell>
          <cell r="X329">
            <v>221</v>
          </cell>
          <cell r="Y329">
            <v>141</v>
          </cell>
          <cell r="Z329">
            <v>13</v>
          </cell>
          <cell r="AA329">
            <v>20</v>
          </cell>
          <cell r="AB329">
            <v>40</v>
          </cell>
          <cell r="AC329">
            <v>39</v>
          </cell>
          <cell r="AD329">
            <v>0</v>
          </cell>
          <cell r="AE329">
            <v>15</v>
          </cell>
          <cell r="AF329">
            <v>0</v>
          </cell>
          <cell r="AG329">
            <v>15</v>
          </cell>
          <cell r="AH329">
            <v>0</v>
          </cell>
          <cell r="AI329">
            <v>15</v>
          </cell>
          <cell r="AJ329">
            <v>0</v>
          </cell>
          <cell r="AK329">
            <v>15</v>
          </cell>
          <cell r="AL329">
            <v>0</v>
          </cell>
          <cell r="AM329">
            <v>15</v>
          </cell>
          <cell r="AN329">
            <v>57</v>
          </cell>
          <cell r="AO329">
            <v>41</v>
          </cell>
          <cell r="AP329">
            <v>58</v>
          </cell>
          <cell r="AQ329">
            <v>54</v>
          </cell>
          <cell r="AR329">
            <v>61</v>
          </cell>
          <cell r="AS329">
            <v>53</v>
          </cell>
        </row>
        <row r="330">
          <cell r="B330">
            <v>17031251900</v>
          </cell>
          <cell r="D330">
            <v>1309</v>
          </cell>
          <cell r="E330">
            <v>233</v>
          </cell>
          <cell r="F330">
            <v>673</v>
          </cell>
          <cell r="G330">
            <v>155</v>
          </cell>
          <cell r="H330">
            <v>628</v>
          </cell>
          <cell r="I330">
            <v>162</v>
          </cell>
          <cell r="J330">
            <v>45</v>
          </cell>
          <cell r="K330">
            <v>47</v>
          </cell>
          <cell r="L330">
            <v>19</v>
          </cell>
          <cell r="M330">
            <v>32</v>
          </cell>
          <cell r="N330">
            <v>0</v>
          </cell>
          <cell r="O330">
            <v>11</v>
          </cell>
          <cell r="P330">
            <v>0</v>
          </cell>
          <cell r="Q330">
            <v>11</v>
          </cell>
          <cell r="R330">
            <v>26</v>
          </cell>
          <cell r="S330">
            <v>34</v>
          </cell>
          <cell r="T330">
            <v>0</v>
          </cell>
          <cell r="U330">
            <v>11</v>
          </cell>
          <cell r="V330">
            <v>577</v>
          </cell>
          <cell r="W330">
            <v>174</v>
          </cell>
          <cell r="X330">
            <v>499</v>
          </cell>
          <cell r="Y330">
            <v>163</v>
          </cell>
          <cell r="Z330">
            <v>13</v>
          </cell>
          <cell r="AA330">
            <v>20</v>
          </cell>
          <cell r="AB330">
            <v>65</v>
          </cell>
          <cell r="AC330">
            <v>71</v>
          </cell>
          <cell r="AD330">
            <v>0</v>
          </cell>
          <cell r="AE330">
            <v>11</v>
          </cell>
          <cell r="AF330">
            <v>0</v>
          </cell>
          <cell r="AG330">
            <v>11</v>
          </cell>
          <cell r="AH330">
            <v>0</v>
          </cell>
          <cell r="AI330">
            <v>11</v>
          </cell>
          <cell r="AJ330">
            <v>0</v>
          </cell>
          <cell r="AK330">
            <v>11</v>
          </cell>
          <cell r="AL330">
            <v>0</v>
          </cell>
          <cell r="AM330">
            <v>11</v>
          </cell>
          <cell r="AN330">
            <v>48</v>
          </cell>
          <cell r="AO330">
            <v>47</v>
          </cell>
          <cell r="AP330">
            <v>0</v>
          </cell>
          <cell r="AQ330">
            <v>11</v>
          </cell>
          <cell r="AR330">
            <v>11</v>
          </cell>
          <cell r="AS330">
            <v>18</v>
          </cell>
        </row>
        <row r="331">
          <cell r="B331">
            <v>17031252000</v>
          </cell>
          <cell r="D331">
            <v>2150</v>
          </cell>
          <cell r="E331">
            <v>429</v>
          </cell>
          <cell r="F331">
            <v>962</v>
          </cell>
          <cell r="G331">
            <v>309</v>
          </cell>
          <cell r="H331">
            <v>817</v>
          </cell>
          <cell r="I331">
            <v>263</v>
          </cell>
          <cell r="J331">
            <v>145</v>
          </cell>
          <cell r="K331">
            <v>106</v>
          </cell>
          <cell r="L331">
            <v>54</v>
          </cell>
          <cell r="M331">
            <v>68</v>
          </cell>
          <cell r="N331">
            <v>91</v>
          </cell>
          <cell r="O331">
            <v>81</v>
          </cell>
          <cell r="P331">
            <v>0</v>
          </cell>
          <cell r="Q331">
            <v>15</v>
          </cell>
          <cell r="R331">
            <v>0</v>
          </cell>
          <cell r="S331">
            <v>15</v>
          </cell>
          <cell r="T331">
            <v>0</v>
          </cell>
          <cell r="U331">
            <v>15</v>
          </cell>
          <cell r="V331">
            <v>953</v>
          </cell>
          <cell r="W331">
            <v>299</v>
          </cell>
          <cell r="X331">
            <v>769</v>
          </cell>
          <cell r="Y331">
            <v>271</v>
          </cell>
          <cell r="Z331">
            <v>0</v>
          </cell>
          <cell r="AA331">
            <v>15</v>
          </cell>
          <cell r="AB331">
            <v>174</v>
          </cell>
          <cell r="AC331">
            <v>105</v>
          </cell>
          <cell r="AD331">
            <v>10</v>
          </cell>
          <cell r="AE331">
            <v>17</v>
          </cell>
          <cell r="AF331">
            <v>0</v>
          </cell>
          <cell r="AG331">
            <v>15</v>
          </cell>
          <cell r="AH331">
            <v>0</v>
          </cell>
          <cell r="AI331">
            <v>15</v>
          </cell>
          <cell r="AJ331">
            <v>0</v>
          </cell>
          <cell r="AK331">
            <v>15</v>
          </cell>
          <cell r="AL331">
            <v>0</v>
          </cell>
          <cell r="AM331">
            <v>15</v>
          </cell>
          <cell r="AN331">
            <v>201</v>
          </cell>
          <cell r="AO331">
            <v>146</v>
          </cell>
          <cell r="AP331">
            <v>0</v>
          </cell>
          <cell r="AQ331">
            <v>15</v>
          </cell>
          <cell r="AR331">
            <v>34</v>
          </cell>
          <cell r="AS331">
            <v>55</v>
          </cell>
        </row>
        <row r="332">
          <cell r="B332">
            <v>17031252101</v>
          </cell>
          <cell r="D332">
            <v>551</v>
          </cell>
          <cell r="E332">
            <v>126</v>
          </cell>
          <cell r="F332">
            <v>275</v>
          </cell>
          <cell r="G332">
            <v>116</v>
          </cell>
          <cell r="H332">
            <v>275</v>
          </cell>
          <cell r="I332">
            <v>116</v>
          </cell>
          <cell r="J332">
            <v>0</v>
          </cell>
          <cell r="K332">
            <v>11</v>
          </cell>
          <cell r="L332">
            <v>0</v>
          </cell>
          <cell r="M332">
            <v>11</v>
          </cell>
          <cell r="N332">
            <v>0</v>
          </cell>
          <cell r="O332">
            <v>11</v>
          </cell>
          <cell r="P332">
            <v>0</v>
          </cell>
          <cell r="Q332">
            <v>11</v>
          </cell>
          <cell r="R332">
            <v>0</v>
          </cell>
          <cell r="S332">
            <v>11</v>
          </cell>
          <cell r="T332">
            <v>0</v>
          </cell>
          <cell r="U332">
            <v>11</v>
          </cell>
          <cell r="V332">
            <v>250</v>
          </cell>
          <cell r="W332">
            <v>84</v>
          </cell>
          <cell r="X332">
            <v>182</v>
          </cell>
          <cell r="Y332">
            <v>67</v>
          </cell>
          <cell r="Z332">
            <v>0</v>
          </cell>
          <cell r="AA332">
            <v>11</v>
          </cell>
          <cell r="AB332">
            <v>68</v>
          </cell>
          <cell r="AC332">
            <v>54</v>
          </cell>
          <cell r="AD332">
            <v>0</v>
          </cell>
          <cell r="AE332">
            <v>11</v>
          </cell>
          <cell r="AF332">
            <v>0</v>
          </cell>
          <cell r="AG332">
            <v>11</v>
          </cell>
          <cell r="AH332">
            <v>0</v>
          </cell>
          <cell r="AI332">
            <v>11</v>
          </cell>
          <cell r="AJ332">
            <v>0</v>
          </cell>
          <cell r="AK332">
            <v>11</v>
          </cell>
          <cell r="AL332">
            <v>4</v>
          </cell>
          <cell r="AM332">
            <v>8</v>
          </cell>
          <cell r="AN332">
            <v>0</v>
          </cell>
          <cell r="AO332">
            <v>11</v>
          </cell>
          <cell r="AP332">
            <v>11</v>
          </cell>
          <cell r="AQ332">
            <v>11</v>
          </cell>
          <cell r="AR332">
            <v>11</v>
          </cell>
          <cell r="AS332">
            <v>15</v>
          </cell>
        </row>
        <row r="333">
          <cell r="B333">
            <v>17031252102</v>
          </cell>
          <cell r="D333">
            <v>2100</v>
          </cell>
          <cell r="E333">
            <v>427</v>
          </cell>
          <cell r="F333">
            <v>1373</v>
          </cell>
          <cell r="G333">
            <v>351</v>
          </cell>
          <cell r="H333">
            <v>1302</v>
          </cell>
          <cell r="I333">
            <v>334</v>
          </cell>
          <cell r="J333">
            <v>71</v>
          </cell>
          <cell r="K333">
            <v>89</v>
          </cell>
          <cell r="L333">
            <v>71</v>
          </cell>
          <cell r="M333">
            <v>89</v>
          </cell>
          <cell r="N333">
            <v>0</v>
          </cell>
          <cell r="O333">
            <v>15</v>
          </cell>
          <cell r="P333">
            <v>0</v>
          </cell>
          <cell r="Q333">
            <v>15</v>
          </cell>
          <cell r="R333">
            <v>0</v>
          </cell>
          <cell r="S333">
            <v>15</v>
          </cell>
          <cell r="T333">
            <v>0</v>
          </cell>
          <cell r="U333">
            <v>15</v>
          </cell>
          <cell r="V333">
            <v>645</v>
          </cell>
          <cell r="W333">
            <v>168</v>
          </cell>
          <cell r="X333">
            <v>599</v>
          </cell>
          <cell r="Y333">
            <v>168</v>
          </cell>
          <cell r="Z333">
            <v>0</v>
          </cell>
          <cell r="AA333">
            <v>15</v>
          </cell>
          <cell r="AB333">
            <v>46</v>
          </cell>
          <cell r="AC333">
            <v>54</v>
          </cell>
          <cell r="AD333">
            <v>0</v>
          </cell>
          <cell r="AE333">
            <v>15</v>
          </cell>
          <cell r="AF333">
            <v>0</v>
          </cell>
          <cell r="AG333">
            <v>15</v>
          </cell>
          <cell r="AH333">
            <v>0</v>
          </cell>
          <cell r="AI333">
            <v>15</v>
          </cell>
          <cell r="AJ333">
            <v>0</v>
          </cell>
          <cell r="AK333">
            <v>15</v>
          </cell>
          <cell r="AL333">
            <v>0</v>
          </cell>
          <cell r="AM333">
            <v>15</v>
          </cell>
          <cell r="AN333">
            <v>53</v>
          </cell>
          <cell r="AO333">
            <v>76</v>
          </cell>
          <cell r="AP333">
            <v>0</v>
          </cell>
          <cell r="AQ333">
            <v>15</v>
          </cell>
          <cell r="AR333">
            <v>29</v>
          </cell>
          <cell r="AS333">
            <v>47</v>
          </cell>
        </row>
        <row r="334">
          <cell r="B334">
            <v>17031252201</v>
          </cell>
          <cell r="D334">
            <v>784</v>
          </cell>
          <cell r="E334">
            <v>150</v>
          </cell>
          <cell r="F334">
            <v>398</v>
          </cell>
          <cell r="G334">
            <v>84</v>
          </cell>
          <cell r="H334">
            <v>371</v>
          </cell>
          <cell r="I334">
            <v>79</v>
          </cell>
          <cell r="J334">
            <v>27</v>
          </cell>
          <cell r="K334">
            <v>22</v>
          </cell>
          <cell r="L334">
            <v>27</v>
          </cell>
          <cell r="M334">
            <v>22</v>
          </cell>
          <cell r="N334">
            <v>0</v>
          </cell>
          <cell r="O334">
            <v>11</v>
          </cell>
          <cell r="P334">
            <v>0</v>
          </cell>
          <cell r="Q334">
            <v>11</v>
          </cell>
          <cell r="R334">
            <v>0</v>
          </cell>
          <cell r="S334">
            <v>11</v>
          </cell>
          <cell r="T334">
            <v>0</v>
          </cell>
          <cell r="U334">
            <v>11</v>
          </cell>
          <cell r="V334">
            <v>271</v>
          </cell>
          <cell r="W334">
            <v>92</v>
          </cell>
          <cell r="X334">
            <v>242</v>
          </cell>
          <cell r="Y334">
            <v>94</v>
          </cell>
          <cell r="Z334">
            <v>18</v>
          </cell>
          <cell r="AA334">
            <v>25</v>
          </cell>
          <cell r="AB334">
            <v>11</v>
          </cell>
          <cell r="AC334">
            <v>18</v>
          </cell>
          <cell r="AD334">
            <v>0</v>
          </cell>
          <cell r="AE334">
            <v>11</v>
          </cell>
          <cell r="AF334">
            <v>0</v>
          </cell>
          <cell r="AG334">
            <v>11</v>
          </cell>
          <cell r="AH334">
            <v>44</v>
          </cell>
          <cell r="AI334">
            <v>47</v>
          </cell>
          <cell r="AJ334">
            <v>0</v>
          </cell>
          <cell r="AK334">
            <v>11</v>
          </cell>
          <cell r="AL334">
            <v>0</v>
          </cell>
          <cell r="AM334">
            <v>11</v>
          </cell>
          <cell r="AN334">
            <v>15</v>
          </cell>
          <cell r="AO334">
            <v>25</v>
          </cell>
          <cell r="AP334">
            <v>15</v>
          </cell>
          <cell r="AQ334">
            <v>20</v>
          </cell>
          <cell r="AR334">
            <v>41</v>
          </cell>
          <cell r="AS334">
            <v>33</v>
          </cell>
        </row>
        <row r="335">
          <cell r="B335">
            <v>17031252202</v>
          </cell>
          <cell r="D335">
            <v>1404</v>
          </cell>
          <cell r="E335">
            <v>209</v>
          </cell>
          <cell r="F335">
            <v>756</v>
          </cell>
          <cell r="G335">
            <v>178</v>
          </cell>
          <cell r="H335">
            <v>719</v>
          </cell>
          <cell r="I335">
            <v>181</v>
          </cell>
          <cell r="J335">
            <v>37</v>
          </cell>
          <cell r="K335">
            <v>50</v>
          </cell>
          <cell r="L335">
            <v>33</v>
          </cell>
          <cell r="M335">
            <v>50</v>
          </cell>
          <cell r="N335">
            <v>4</v>
          </cell>
          <cell r="O335">
            <v>8</v>
          </cell>
          <cell r="P335">
            <v>0</v>
          </cell>
          <cell r="Q335">
            <v>15</v>
          </cell>
          <cell r="R335">
            <v>0</v>
          </cell>
          <cell r="S335">
            <v>15</v>
          </cell>
          <cell r="T335">
            <v>0</v>
          </cell>
          <cell r="U335">
            <v>15</v>
          </cell>
          <cell r="V335">
            <v>610</v>
          </cell>
          <cell r="W335">
            <v>170</v>
          </cell>
          <cell r="X335">
            <v>587</v>
          </cell>
          <cell r="Y335">
            <v>169</v>
          </cell>
          <cell r="Z335">
            <v>0</v>
          </cell>
          <cell r="AA335">
            <v>15</v>
          </cell>
          <cell r="AB335">
            <v>13</v>
          </cell>
          <cell r="AC335">
            <v>22</v>
          </cell>
          <cell r="AD335">
            <v>10</v>
          </cell>
          <cell r="AE335">
            <v>18</v>
          </cell>
          <cell r="AF335">
            <v>0</v>
          </cell>
          <cell r="AG335">
            <v>15</v>
          </cell>
          <cell r="AH335">
            <v>0</v>
          </cell>
          <cell r="AI335">
            <v>15</v>
          </cell>
          <cell r="AJ335">
            <v>0</v>
          </cell>
          <cell r="AK335">
            <v>15</v>
          </cell>
          <cell r="AL335">
            <v>0</v>
          </cell>
          <cell r="AM335">
            <v>15</v>
          </cell>
          <cell r="AN335">
            <v>13</v>
          </cell>
          <cell r="AO335">
            <v>17</v>
          </cell>
          <cell r="AP335">
            <v>25</v>
          </cell>
          <cell r="AQ335">
            <v>40</v>
          </cell>
          <cell r="AR335">
            <v>0</v>
          </cell>
          <cell r="AS335">
            <v>15</v>
          </cell>
        </row>
        <row r="336">
          <cell r="B336">
            <v>17031260100</v>
          </cell>
          <cell r="D336">
            <v>378</v>
          </cell>
          <cell r="E336">
            <v>100</v>
          </cell>
          <cell r="F336">
            <v>192</v>
          </cell>
          <cell r="G336">
            <v>87</v>
          </cell>
          <cell r="H336">
            <v>192</v>
          </cell>
          <cell r="I336">
            <v>87</v>
          </cell>
          <cell r="J336">
            <v>0</v>
          </cell>
          <cell r="K336">
            <v>11</v>
          </cell>
          <cell r="L336">
            <v>0</v>
          </cell>
          <cell r="M336">
            <v>11</v>
          </cell>
          <cell r="N336">
            <v>0</v>
          </cell>
          <cell r="O336">
            <v>11</v>
          </cell>
          <cell r="P336">
            <v>0</v>
          </cell>
          <cell r="Q336">
            <v>11</v>
          </cell>
          <cell r="R336">
            <v>0</v>
          </cell>
          <cell r="S336">
            <v>11</v>
          </cell>
          <cell r="T336">
            <v>0</v>
          </cell>
          <cell r="U336">
            <v>11</v>
          </cell>
          <cell r="V336">
            <v>176</v>
          </cell>
          <cell r="W336">
            <v>55</v>
          </cell>
          <cell r="X336">
            <v>159</v>
          </cell>
          <cell r="Y336">
            <v>54</v>
          </cell>
          <cell r="Z336">
            <v>0</v>
          </cell>
          <cell r="AA336">
            <v>11</v>
          </cell>
          <cell r="AB336">
            <v>10</v>
          </cell>
          <cell r="AC336">
            <v>11</v>
          </cell>
          <cell r="AD336">
            <v>7</v>
          </cell>
          <cell r="AE336">
            <v>10</v>
          </cell>
          <cell r="AF336">
            <v>0</v>
          </cell>
          <cell r="AG336">
            <v>11</v>
          </cell>
          <cell r="AH336">
            <v>0</v>
          </cell>
          <cell r="AI336">
            <v>11</v>
          </cell>
          <cell r="AJ336">
            <v>0</v>
          </cell>
          <cell r="AK336">
            <v>11</v>
          </cell>
          <cell r="AL336">
            <v>0</v>
          </cell>
          <cell r="AM336">
            <v>11</v>
          </cell>
          <cell r="AN336">
            <v>10</v>
          </cell>
          <cell r="AO336">
            <v>16</v>
          </cell>
          <cell r="AP336">
            <v>0</v>
          </cell>
          <cell r="AQ336">
            <v>11</v>
          </cell>
          <cell r="AR336">
            <v>0</v>
          </cell>
          <cell r="AS336">
            <v>11</v>
          </cell>
        </row>
        <row r="337">
          <cell r="B337">
            <v>17031260200</v>
          </cell>
          <cell r="D337">
            <v>282</v>
          </cell>
          <cell r="E337">
            <v>65</v>
          </cell>
          <cell r="F337">
            <v>156</v>
          </cell>
          <cell r="G337">
            <v>60</v>
          </cell>
          <cell r="H337">
            <v>148</v>
          </cell>
          <cell r="I337">
            <v>59</v>
          </cell>
          <cell r="J337">
            <v>8</v>
          </cell>
          <cell r="K337">
            <v>14</v>
          </cell>
          <cell r="L337">
            <v>0</v>
          </cell>
          <cell r="M337">
            <v>11</v>
          </cell>
          <cell r="N337">
            <v>0</v>
          </cell>
          <cell r="O337">
            <v>11</v>
          </cell>
          <cell r="P337">
            <v>8</v>
          </cell>
          <cell r="Q337">
            <v>14</v>
          </cell>
          <cell r="R337">
            <v>0</v>
          </cell>
          <cell r="S337">
            <v>11</v>
          </cell>
          <cell r="T337">
            <v>0</v>
          </cell>
          <cell r="U337">
            <v>11</v>
          </cell>
          <cell r="V337">
            <v>80</v>
          </cell>
          <cell r="W337">
            <v>37</v>
          </cell>
          <cell r="X337">
            <v>63</v>
          </cell>
          <cell r="Y337">
            <v>34</v>
          </cell>
          <cell r="Z337">
            <v>0</v>
          </cell>
          <cell r="AA337">
            <v>11</v>
          </cell>
          <cell r="AB337">
            <v>13</v>
          </cell>
          <cell r="AC337">
            <v>16</v>
          </cell>
          <cell r="AD337">
            <v>4</v>
          </cell>
          <cell r="AE337">
            <v>5</v>
          </cell>
          <cell r="AF337">
            <v>0</v>
          </cell>
          <cell r="AG337">
            <v>11</v>
          </cell>
          <cell r="AH337">
            <v>0</v>
          </cell>
          <cell r="AI337">
            <v>11</v>
          </cell>
          <cell r="AJ337">
            <v>0</v>
          </cell>
          <cell r="AK337">
            <v>11</v>
          </cell>
          <cell r="AL337">
            <v>0</v>
          </cell>
          <cell r="AM337">
            <v>11</v>
          </cell>
          <cell r="AN337">
            <v>0</v>
          </cell>
          <cell r="AO337">
            <v>11</v>
          </cell>
          <cell r="AP337">
            <v>28</v>
          </cell>
          <cell r="AQ337">
            <v>26</v>
          </cell>
          <cell r="AR337">
            <v>18</v>
          </cell>
          <cell r="AS337">
            <v>16</v>
          </cell>
        </row>
        <row r="338">
          <cell r="B338">
            <v>17031260300</v>
          </cell>
          <cell r="D338">
            <v>487</v>
          </cell>
          <cell r="E338">
            <v>119</v>
          </cell>
          <cell r="F338">
            <v>312</v>
          </cell>
          <cell r="G338">
            <v>81</v>
          </cell>
          <cell r="H338">
            <v>284</v>
          </cell>
          <cell r="I338">
            <v>82</v>
          </cell>
          <cell r="J338">
            <v>28</v>
          </cell>
          <cell r="K338">
            <v>24</v>
          </cell>
          <cell r="L338">
            <v>17</v>
          </cell>
          <cell r="M338">
            <v>20</v>
          </cell>
          <cell r="N338">
            <v>11</v>
          </cell>
          <cell r="O338">
            <v>15</v>
          </cell>
          <cell r="P338">
            <v>0</v>
          </cell>
          <cell r="Q338">
            <v>11</v>
          </cell>
          <cell r="R338">
            <v>0</v>
          </cell>
          <cell r="S338">
            <v>11</v>
          </cell>
          <cell r="T338">
            <v>0</v>
          </cell>
          <cell r="U338">
            <v>11</v>
          </cell>
          <cell r="V338">
            <v>132</v>
          </cell>
          <cell r="W338">
            <v>71</v>
          </cell>
          <cell r="X338">
            <v>126</v>
          </cell>
          <cell r="Y338">
            <v>71</v>
          </cell>
          <cell r="Z338">
            <v>0</v>
          </cell>
          <cell r="AA338">
            <v>11</v>
          </cell>
          <cell r="AB338">
            <v>6</v>
          </cell>
          <cell r="AC338">
            <v>9</v>
          </cell>
          <cell r="AD338">
            <v>0</v>
          </cell>
          <cell r="AE338">
            <v>11</v>
          </cell>
          <cell r="AF338">
            <v>0</v>
          </cell>
          <cell r="AG338">
            <v>11</v>
          </cell>
          <cell r="AH338">
            <v>0</v>
          </cell>
          <cell r="AI338">
            <v>11</v>
          </cell>
          <cell r="AJ338">
            <v>0</v>
          </cell>
          <cell r="AK338">
            <v>11</v>
          </cell>
          <cell r="AL338">
            <v>0</v>
          </cell>
          <cell r="AM338">
            <v>11</v>
          </cell>
          <cell r="AN338">
            <v>37</v>
          </cell>
          <cell r="AO338">
            <v>44</v>
          </cell>
          <cell r="AP338">
            <v>6</v>
          </cell>
          <cell r="AQ338">
            <v>8</v>
          </cell>
          <cell r="AR338">
            <v>0</v>
          </cell>
          <cell r="AS338">
            <v>11</v>
          </cell>
        </row>
        <row r="339">
          <cell r="B339">
            <v>17031260400</v>
          </cell>
          <cell r="D339">
            <v>321</v>
          </cell>
          <cell r="E339">
            <v>152</v>
          </cell>
          <cell r="F339">
            <v>159</v>
          </cell>
          <cell r="G339">
            <v>91</v>
          </cell>
          <cell r="H339">
            <v>81</v>
          </cell>
          <cell r="I339">
            <v>52</v>
          </cell>
          <cell r="J339">
            <v>78</v>
          </cell>
          <cell r="K339">
            <v>65</v>
          </cell>
          <cell r="L339">
            <v>78</v>
          </cell>
          <cell r="M339">
            <v>65</v>
          </cell>
          <cell r="N339">
            <v>0</v>
          </cell>
          <cell r="O339">
            <v>11</v>
          </cell>
          <cell r="P339">
            <v>0</v>
          </cell>
          <cell r="Q339">
            <v>11</v>
          </cell>
          <cell r="R339">
            <v>0</v>
          </cell>
          <cell r="S339">
            <v>11</v>
          </cell>
          <cell r="T339">
            <v>0</v>
          </cell>
          <cell r="U339">
            <v>11</v>
          </cell>
          <cell r="V339">
            <v>89</v>
          </cell>
          <cell r="W339">
            <v>69</v>
          </cell>
          <cell r="X339">
            <v>83</v>
          </cell>
          <cell r="Y339">
            <v>69</v>
          </cell>
          <cell r="Z339">
            <v>0</v>
          </cell>
          <cell r="AA339">
            <v>11</v>
          </cell>
          <cell r="AB339">
            <v>6</v>
          </cell>
          <cell r="AC339">
            <v>8</v>
          </cell>
          <cell r="AD339">
            <v>0</v>
          </cell>
          <cell r="AE339">
            <v>11</v>
          </cell>
          <cell r="AF339">
            <v>0</v>
          </cell>
          <cell r="AG339">
            <v>11</v>
          </cell>
          <cell r="AH339">
            <v>0</v>
          </cell>
          <cell r="AI339">
            <v>11</v>
          </cell>
          <cell r="AJ339">
            <v>0</v>
          </cell>
          <cell r="AK339">
            <v>11</v>
          </cell>
          <cell r="AL339">
            <v>0</v>
          </cell>
          <cell r="AM339">
            <v>11</v>
          </cell>
          <cell r="AN339">
            <v>66</v>
          </cell>
          <cell r="AO339">
            <v>59</v>
          </cell>
          <cell r="AP339">
            <v>0</v>
          </cell>
          <cell r="AQ339">
            <v>11</v>
          </cell>
          <cell r="AR339">
            <v>7</v>
          </cell>
          <cell r="AS339">
            <v>10</v>
          </cell>
        </row>
        <row r="340">
          <cell r="B340">
            <v>17031260500</v>
          </cell>
          <cell r="D340">
            <v>429</v>
          </cell>
          <cell r="E340">
            <v>122</v>
          </cell>
          <cell r="F340">
            <v>244</v>
          </cell>
          <cell r="G340">
            <v>92</v>
          </cell>
          <cell r="H340">
            <v>227</v>
          </cell>
          <cell r="I340">
            <v>86</v>
          </cell>
          <cell r="J340">
            <v>17</v>
          </cell>
          <cell r="K340">
            <v>19</v>
          </cell>
          <cell r="L340">
            <v>0</v>
          </cell>
          <cell r="M340">
            <v>11</v>
          </cell>
          <cell r="N340">
            <v>16</v>
          </cell>
          <cell r="O340">
            <v>18</v>
          </cell>
          <cell r="P340">
            <v>0</v>
          </cell>
          <cell r="Q340">
            <v>11</v>
          </cell>
          <cell r="R340">
            <v>1</v>
          </cell>
          <cell r="S340">
            <v>2</v>
          </cell>
          <cell r="T340">
            <v>0</v>
          </cell>
          <cell r="U340">
            <v>11</v>
          </cell>
          <cell r="V340">
            <v>119</v>
          </cell>
          <cell r="W340">
            <v>58</v>
          </cell>
          <cell r="X340">
            <v>119</v>
          </cell>
          <cell r="Y340">
            <v>58</v>
          </cell>
          <cell r="Z340">
            <v>0</v>
          </cell>
          <cell r="AA340">
            <v>11</v>
          </cell>
          <cell r="AB340">
            <v>0</v>
          </cell>
          <cell r="AC340">
            <v>11</v>
          </cell>
          <cell r="AD340">
            <v>0</v>
          </cell>
          <cell r="AE340">
            <v>11</v>
          </cell>
          <cell r="AF340">
            <v>0</v>
          </cell>
          <cell r="AG340">
            <v>11</v>
          </cell>
          <cell r="AH340">
            <v>0</v>
          </cell>
          <cell r="AI340">
            <v>11</v>
          </cell>
          <cell r="AJ340">
            <v>0</v>
          </cell>
          <cell r="AK340">
            <v>11</v>
          </cell>
          <cell r="AL340">
            <v>0</v>
          </cell>
          <cell r="AM340">
            <v>11</v>
          </cell>
          <cell r="AN340">
            <v>15</v>
          </cell>
          <cell r="AO340">
            <v>22</v>
          </cell>
          <cell r="AP340">
            <v>51</v>
          </cell>
          <cell r="AQ340">
            <v>55</v>
          </cell>
          <cell r="AR340">
            <v>0</v>
          </cell>
          <cell r="AS340">
            <v>11</v>
          </cell>
        </row>
        <row r="341">
          <cell r="B341">
            <v>17031260600</v>
          </cell>
          <cell r="D341">
            <v>488</v>
          </cell>
          <cell r="E341">
            <v>113</v>
          </cell>
          <cell r="F341">
            <v>319</v>
          </cell>
          <cell r="G341">
            <v>99</v>
          </cell>
          <cell r="H341">
            <v>290</v>
          </cell>
          <cell r="I341">
            <v>94</v>
          </cell>
          <cell r="J341">
            <v>29</v>
          </cell>
          <cell r="K341">
            <v>26</v>
          </cell>
          <cell r="L341">
            <v>29</v>
          </cell>
          <cell r="M341">
            <v>26</v>
          </cell>
          <cell r="N341">
            <v>0</v>
          </cell>
          <cell r="O341">
            <v>11</v>
          </cell>
          <cell r="P341">
            <v>0</v>
          </cell>
          <cell r="Q341">
            <v>11</v>
          </cell>
          <cell r="R341">
            <v>0</v>
          </cell>
          <cell r="S341">
            <v>11</v>
          </cell>
          <cell r="T341">
            <v>0</v>
          </cell>
          <cell r="U341">
            <v>11</v>
          </cell>
          <cell r="V341">
            <v>118</v>
          </cell>
          <cell r="W341">
            <v>55</v>
          </cell>
          <cell r="X341">
            <v>111</v>
          </cell>
          <cell r="Y341">
            <v>53</v>
          </cell>
          <cell r="Z341">
            <v>0</v>
          </cell>
          <cell r="AA341">
            <v>11</v>
          </cell>
          <cell r="AB341">
            <v>7</v>
          </cell>
          <cell r="AC341">
            <v>11</v>
          </cell>
          <cell r="AD341">
            <v>0</v>
          </cell>
          <cell r="AE341">
            <v>11</v>
          </cell>
          <cell r="AF341">
            <v>0</v>
          </cell>
          <cell r="AG341">
            <v>11</v>
          </cell>
          <cell r="AH341">
            <v>0</v>
          </cell>
          <cell r="AI341">
            <v>11</v>
          </cell>
          <cell r="AJ341">
            <v>0</v>
          </cell>
          <cell r="AK341">
            <v>11</v>
          </cell>
          <cell r="AL341">
            <v>0</v>
          </cell>
          <cell r="AM341">
            <v>11</v>
          </cell>
          <cell r="AN341">
            <v>9</v>
          </cell>
          <cell r="AO341">
            <v>12</v>
          </cell>
          <cell r="AP341">
            <v>34</v>
          </cell>
          <cell r="AQ341">
            <v>41</v>
          </cell>
          <cell r="AR341">
            <v>8</v>
          </cell>
          <cell r="AS341">
            <v>12</v>
          </cell>
        </row>
        <row r="342">
          <cell r="B342">
            <v>17031260700</v>
          </cell>
          <cell r="D342">
            <v>454</v>
          </cell>
          <cell r="E342">
            <v>103</v>
          </cell>
          <cell r="F342">
            <v>142</v>
          </cell>
          <cell r="G342">
            <v>56</v>
          </cell>
          <cell r="H342">
            <v>136</v>
          </cell>
          <cell r="I342">
            <v>54</v>
          </cell>
          <cell r="J342">
            <v>6</v>
          </cell>
          <cell r="K342">
            <v>8</v>
          </cell>
          <cell r="L342">
            <v>6</v>
          </cell>
          <cell r="M342">
            <v>8</v>
          </cell>
          <cell r="N342">
            <v>0</v>
          </cell>
          <cell r="O342">
            <v>11</v>
          </cell>
          <cell r="P342">
            <v>0</v>
          </cell>
          <cell r="Q342">
            <v>11</v>
          </cell>
          <cell r="R342">
            <v>0</v>
          </cell>
          <cell r="S342">
            <v>11</v>
          </cell>
          <cell r="T342">
            <v>0</v>
          </cell>
          <cell r="U342">
            <v>11</v>
          </cell>
          <cell r="V342">
            <v>270</v>
          </cell>
          <cell r="W342">
            <v>83</v>
          </cell>
          <cell r="X342">
            <v>221</v>
          </cell>
          <cell r="Y342">
            <v>71</v>
          </cell>
          <cell r="Z342">
            <v>0</v>
          </cell>
          <cell r="AA342">
            <v>11</v>
          </cell>
          <cell r="AB342">
            <v>49</v>
          </cell>
          <cell r="AC342">
            <v>40</v>
          </cell>
          <cell r="AD342">
            <v>0</v>
          </cell>
          <cell r="AE342">
            <v>11</v>
          </cell>
          <cell r="AF342">
            <v>0</v>
          </cell>
          <cell r="AG342">
            <v>11</v>
          </cell>
          <cell r="AH342">
            <v>0</v>
          </cell>
          <cell r="AI342">
            <v>11</v>
          </cell>
          <cell r="AJ342">
            <v>0</v>
          </cell>
          <cell r="AK342">
            <v>11</v>
          </cell>
          <cell r="AL342">
            <v>7</v>
          </cell>
          <cell r="AM342">
            <v>14</v>
          </cell>
          <cell r="AN342">
            <v>0</v>
          </cell>
          <cell r="AO342">
            <v>11</v>
          </cell>
          <cell r="AP342">
            <v>16</v>
          </cell>
          <cell r="AQ342">
            <v>26</v>
          </cell>
          <cell r="AR342">
            <v>19</v>
          </cell>
          <cell r="AS342">
            <v>17</v>
          </cell>
        </row>
        <row r="343">
          <cell r="B343">
            <v>17031260800</v>
          </cell>
          <cell r="D343">
            <v>636</v>
          </cell>
          <cell r="E343">
            <v>141</v>
          </cell>
          <cell r="F343">
            <v>317</v>
          </cell>
          <cell r="G343">
            <v>107</v>
          </cell>
          <cell r="H343">
            <v>313</v>
          </cell>
          <cell r="I343">
            <v>106</v>
          </cell>
          <cell r="J343">
            <v>4</v>
          </cell>
          <cell r="K343">
            <v>7</v>
          </cell>
          <cell r="L343">
            <v>4</v>
          </cell>
          <cell r="M343">
            <v>7</v>
          </cell>
          <cell r="N343">
            <v>0</v>
          </cell>
          <cell r="O343">
            <v>11</v>
          </cell>
          <cell r="P343">
            <v>0</v>
          </cell>
          <cell r="Q343">
            <v>11</v>
          </cell>
          <cell r="R343">
            <v>0</v>
          </cell>
          <cell r="S343">
            <v>11</v>
          </cell>
          <cell r="T343">
            <v>0</v>
          </cell>
          <cell r="U343">
            <v>11</v>
          </cell>
          <cell r="V343">
            <v>262</v>
          </cell>
          <cell r="W343">
            <v>80</v>
          </cell>
          <cell r="X343">
            <v>214</v>
          </cell>
          <cell r="Y343">
            <v>62</v>
          </cell>
          <cell r="Z343">
            <v>0</v>
          </cell>
          <cell r="AA343">
            <v>11</v>
          </cell>
          <cell r="AB343">
            <v>45</v>
          </cell>
          <cell r="AC343">
            <v>45</v>
          </cell>
          <cell r="AD343">
            <v>3</v>
          </cell>
          <cell r="AE343">
            <v>5</v>
          </cell>
          <cell r="AF343">
            <v>0</v>
          </cell>
          <cell r="AG343">
            <v>11</v>
          </cell>
          <cell r="AH343">
            <v>0</v>
          </cell>
          <cell r="AI343">
            <v>11</v>
          </cell>
          <cell r="AJ343">
            <v>0</v>
          </cell>
          <cell r="AK343">
            <v>11</v>
          </cell>
          <cell r="AL343">
            <v>5</v>
          </cell>
          <cell r="AM343">
            <v>7</v>
          </cell>
          <cell r="AN343">
            <v>4</v>
          </cell>
          <cell r="AO343">
            <v>7</v>
          </cell>
          <cell r="AP343">
            <v>24</v>
          </cell>
          <cell r="AQ343">
            <v>36</v>
          </cell>
          <cell r="AR343">
            <v>24</v>
          </cell>
          <cell r="AS343">
            <v>23</v>
          </cell>
        </row>
        <row r="344">
          <cell r="B344">
            <v>17031260900</v>
          </cell>
          <cell r="D344">
            <v>388</v>
          </cell>
          <cell r="E344">
            <v>155</v>
          </cell>
          <cell r="F344">
            <v>212</v>
          </cell>
          <cell r="G344">
            <v>119</v>
          </cell>
          <cell r="H344">
            <v>212</v>
          </cell>
          <cell r="I344">
            <v>119</v>
          </cell>
          <cell r="J344">
            <v>0</v>
          </cell>
          <cell r="K344">
            <v>11</v>
          </cell>
          <cell r="L344">
            <v>0</v>
          </cell>
          <cell r="M344">
            <v>11</v>
          </cell>
          <cell r="N344">
            <v>0</v>
          </cell>
          <cell r="O344">
            <v>11</v>
          </cell>
          <cell r="P344">
            <v>0</v>
          </cell>
          <cell r="Q344">
            <v>11</v>
          </cell>
          <cell r="R344">
            <v>0</v>
          </cell>
          <cell r="S344">
            <v>11</v>
          </cell>
          <cell r="T344">
            <v>0</v>
          </cell>
          <cell r="U344">
            <v>11</v>
          </cell>
          <cell r="V344">
            <v>130</v>
          </cell>
          <cell r="W344">
            <v>81</v>
          </cell>
          <cell r="X344">
            <v>111</v>
          </cell>
          <cell r="Y344">
            <v>81</v>
          </cell>
          <cell r="Z344">
            <v>0</v>
          </cell>
          <cell r="AA344">
            <v>11</v>
          </cell>
          <cell r="AB344">
            <v>19</v>
          </cell>
          <cell r="AC344">
            <v>22</v>
          </cell>
          <cell r="AD344">
            <v>0</v>
          </cell>
          <cell r="AE344">
            <v>11</v>
          </cell>
          <cell r="AF344">
            <v>0</v>
          </cell>
          <cell r="AG344">
            <v>11</v>
          </cell>
          <cell r="AH344">
            <v>0</v>
          </cell>
          <cell r="AI344">
            <v>11</v>
          </cell>
          <cell r="AJ344">
            <v>0</v>
          </cell>
          <cell r="AK344">
            <v>11</v>
          </cell>
          <cell r="AL344">
            <v>0</v>
          </cell>
          <cell r="AM344">
            <v>11</v>
          </cell>
          <cell r="AN344">
            <v>0</v>
          </cell>
          <cell r="AO344">
            <v>11</v>
          </cell>
          <cell r="AP344">
            <v>11</v>
          </cell>
          <cell r="AQ344">
            <v>18</v>
          </cell>
          <cell r="AR344">
            <v>35</v>
          </cell>
          <cell r="AS344">
            <v>29</v>
          </cell>
        </row>
        <row r="345">
          <cell r="B345">
            <v>17031261000</v>
          </cell>
          <cell r="D345">
            <v>665</v>
          </cell>
          <cell r="E345">
            <v>140</v>
          </cell>
          <cell r="F345">
            <v>434</v>
          </cell>
          <cell r="G345">
            <v>108</v>
          </cell>
          <cell r="H345">
            <v>412</v>
          </cell>
          <cell r="I345">
            <v>103</v>
          </cell>
          <cell r="J345">
            <v>22</v>
          </cell>
          <cell r="K345">
            <v>22</v>
          </cell>
          <cell r="L345">
            <v>15</v>
          </cell>
          <cell r="M345">
            <v>18</v>
          </cell>
          <cell r="N345">
            <v>0</v>
          </cell>
          <cell r="O345">
            <v>11</v>
          </cell>
          <cell r="P345">
            <v>0</v>
          </cell>
          <cell r="Q345">
            <v>11</v>
          </cell>
          <cell r="R345">
            <v>0</v>
          </cell>
          <cell r="S345">
            <v>11</v>
          </cell>
          <cell r="T345">
            <v>7</v>
          </cell>
          <cell r="U345">
            <v>12</v>
          </cell>
          <cell r="V345">
            <v>158</v>
          </cell>
          <cell r="W345">
            <v>73</v>
          </cell>
          <cell r="X345">
            <v>114</v>
          </cell>
          <cell r="Y345">
            <v>62</v>
          </cell>
          <cell r="Z345">
            <v>0</v>
          </cell>
          <cell r="AA345">
            <v>11</v>
          </cell>
          <cell r="AB345">
            <v>44</v>
          </cell>
          <cell r="AC345">
            <v>37</v>
          </cell>
          <cell r="AD345">
            <v>0</v>
          </cell>
          <cell r="AE345">
            <v>11</v>
          </cell>
          <cell r="AF345">
            <v>0</v>
          </cell>
          <cell r="AG345">
            <v>11</v>
          </cell>
          <cell r="AH345">
            <v>0</v>
          </cell>
          <cell r="AI345">
            <v>11</v>
          </cell>
          <cell r="AJ345">
            <v>0</v>
          </cell>
          <cell r="AK345">
            <v>11</v>
          </cell>
          <cell r="AL345">
            <v>0</v>
          </cell>
          <cell r="AM345">
            <v>11</v>
          </cell>
          <cell r="AN345">
            <v>2</v>
          </cell>
          <cell r="AO345">
            <v>6</v>
          </cell>
          <cell r="AP345">
            <v>25</v>
          </cell>
          <cell r="AQ345">
            <v>29</v>
          </cell>
          <cell r="AR345">
            <v>46</v>
          </cell>
          <cell r="AS345">
            <v>29</v>
          </cell>
        </row>
        <row r="346">
          <cell r="B346">
            <v>17031270500</v>
          </cell>
          <cell r="D346">
            <v>515</v>
          </cell>
          <cell r="E346">
            <v>130</v>
          </cell>
          <cell r="F346">
            <v>327</v>
          </cell>
          <cell r="G346">
            <v>111</v>
          </cell>
          <cell r="H346">
            <v>322</v>
          </cell>
          <cell r="I346">
            <v>112</v>
          </cell>
          <cell r="J346">
            <v>5</v>
          </cell>
          <cell r="K346">
            <v>8</v>
          </cell>
          <cell r="L346">
            <v>5</v>
          </cell>
          <cell r="M346">
            <v>8</v>
          </cell>
          <cell r="N346">
            <v>0</v>
          </cell>
          <cell r="O346">
            <v>11</v>
          </cell>
          <cell r="P346">
            <v>0</v>
          </cell>
          <cell r="Q346">
            <v>11</v>
          </cell>
          <cell r="R346">
            <v>0</v>
          </cell>
          <cell r="S346">
            <v>11</v>
          </cell>
          <cell r="T346">
            <v>0</v>
          </cell>
          <cell r="U346">
            <v>11</v>
          </cell>
          <cell r="V346">
            <v>137</v>
          </cell>
          <cell r="W346">
            <v>71</v>
          </cell>
          <cell r="X346">
            <v>111</v>
          </cell>
          <cell r="Y346">
            <v>69</v>
          </cell>
          <cell r="Z346">
            <v>0</v>
          </cell>
          <cell r="AA346">
            <v>11</v>
          </cell>
          <cell r="AB346">
            <v>26</v>
          </cell>
          <cell r="AC346">
            <v>16</v>
          </cell>
          <cell r="AD346">
            <v>0</v>
          </cell>
          <cell r="AE346">
            <v>11</v>
          </cell>
          <cell r="AF346">
            <v>0</v>
          </cell>
          <cell r="AG346">
            <v>11</v>
          </cell>
          <cell r="AH346">
            <v>0</v>
          </cell>
          <cell r="AI346">
            <v>11</v>
          </cell>
          <cell r="AJ346">
            <v>0</v>
          </cell>
          <cell r="AK346">
            <v>11</v>
          </cell>
          <cell r="AL346">
            <v>0</v>
          </cell>
          <cell r="AM346">
            <v>11</v>
          </cell>
          <cell r="AN346">
            <v>13</v>
          </cell>
          <cell r="AO346">
            <v>14</v>
          </cell>
          <cell r="AP346">
            <v>24</v>
          </cell>
          <cell r="AQ346">
            <v>27</v>
          </cell>
          <cell r="AR346">
            <v>14</v>
          </cell>
          <cell r="AS346">
            <v>16</v>
          </cell>
        </row>
        <row r="347">
          <cell r="B347">
            <v>17031271200</v>
          </cell>
          <cell r="D347">
            <v>281</v>
          </cell>
          <cell r="E347">
            <v>78</v>
          </cell>
          <cell r="F347">
            <v>144</v>
          </cell>
          <cell r="G347">
            <v>53</v>
          </cell>
          <cell r="H347">
            <v>140</v>
          </cell>
          <cell r="I347">
            <v>53</v>
          </cell>
          <cell r="J347">
            <v>4</v>
          </cell>
          <cell r="K347">
            <v>7</v>
          </cell>
          <cell r="L347">
            <v>4</v>
          </cell>
          <cell r="M347">
            <v>7</v>
          </cell>
          <cell r="N347">
            <v>0</v>
          </cell>
          <cell r="O347">
            <v>11</v>
          </cell>
          <cell r="P347">
            <v>0</v>
          </cell>
          <cell r="Q347">
            <v>11</v>
          </cell>
          <cell r="R347">
            <v>0</v>
          </cell>
          <cell r="S347">
            <v>11</v>
          </cell>
          <cell r="T347">
            <v>0</v>
          </cell>
          <cell r="U347">
            <v>11</v>
          </cell>
          <cell r="V347">
            <v>114</v>
          </cell>
          <cell r="W347">
            <v>39</v>
          </cell>
          <cell r="X347">
            <v>89</v>
          </cell>
          <cell r="Y347">
            <v>39</v>
          </cell>
          <cell r="Z347">
            <v>0</v>
          </cell>
          <cell r="AA347">
            <v>11</v>
          </cell>
          <cell r="AB347">
            <v>25</v>
          </cell>
          <cell r="AC347">
            <v>20</v>
          </cell>
          <cell r="AD347">
            <v>0</v>
          </cell>
          <cell r="AE347">
            <v>11</v>
          </cell>
          <cell r="AF347">
            <v>0</v>
          </cell>
          <cell r="AG347">
            <v>11</v>
          </cell>
          <cell r="AH347">
            <v>0</v>
          </cell>
          <cell r="AI347">
            <v>11</v>
          </cell>
          <cell r="AJ347">
            <v>0</v>
          </cell>
          <cell r="AK347">
            <v>11</v>
          </cell>
          <cell r="AL347">
            <v>0</v>
          </cell>
          <cell r="AM347">
            <v>11</v>
          </cell>
          <cell r="AN347">
            <v>20</v>
          </cell>
          <cell r="AO347">
            <v>26</v>
          </cell>
          <cell r="AP347">
            <v>0</v>
          </cell>
          <cell r="AQ347">
            <v>11</v>
          </cell>
          <cell r="AR347">
            <v>3</v>
          </cell>
          <cell r="AS347">
            <v>10</v>
          </cell>
        </row>
        <row r="348">
          <cell r="B348">
            <v>17031271300</v>
          </cell>
          <cell r="D348">
            <v>365</v>
          </cell>
          <cell r="E348">
            <v>107</v>
          </cell>
          <cell r="F348">
            <v>194</v>
          </cell>
          <cell r="G348">
            <v>57</v>
          </cell>
          <cell r="H348">
            <v>175</v>
          </cell>
          <cell r="I348">
            <v>58</v>
          </cell>
          <cell r="J348">
            <v>19</v>
          </cell>
          <cell r="K348">
            <v>20</v>
          </cell>
          <cell r="L348">
            <v>8</v>
          </cell>
          <cell r="M348">
            <v>9</v>
          </cell>
          <cell r="N348">
            <v>11</v>
          </cell>
          <cell r="O348">
            <v>18</v>
          </cell>
          <cell r="P348">
            <v>0</v>
          </cell>
          <cell r="Q348">
            <v>11</v>
          </cell>
          <cell r="R348">
            <v>0</v>
          </cell>
          <cell r="S348">
            <v>11</v>
          </cell>
          <cell r="T348">
            <v>0</v>
          </cell>
          <cell r="U348">
            <v>11</v>
          </cell>
          <cell r="V348">
            <v>166</v>
          </cell>
          <cell r="W348">
            <v>79</v>
          </cell>
          <cell r="X348">
            <v>128</v>
          </cell>
          <cell r="Y348">
            <v>64</v>
          </cell>
          <cell r="Z348">
            <v>21</v>
          </cell>
          <cell r="AA348">
            <v>24</v>
          </cell>
          <cell r="AB348">
            <v>17</v>
          </cell>
          <cell r="AC348">
            <v>20</v>
          </cell>
          <cell r="AD348">
            <v>0</v>
          </cell>
          <cell r="AE348">
            <v>11</v>
          </cell>
          <cell r="AF348">
            <v>0</v>
          </cell>
          <cell r="AG348">
            <v>11</v>
          </cell>
          <cell r="AH348">
            <v>0</v>
          </cell>
          <cell r="AI348">
            <v>11</v>
          </cell>
          <cell r="AJ348">
            <v>0</v>
          </cell>
          <cell r="AK348">
            <v>11</v>
          </cell>
          <cell r="AL348">
            <v>0</v>
          </cell>
          <cell r="AM348">
            <v>11</v>
          </cell>
          <cell r="AN348">
            <v>5</v>
          </cell>
          <cell r="AO348">
            <v>8</v>
          </cell>
          <cell r="AP348">
            <v>0</v>
          </cell>
          <cell r="AQ348">
            <v>11</v>
          </cell>
          <cell r="AR348">
            <v>0</v>
          </cell>
          <cell r="AS348">
            <v>11</v>
          </cell>
        </row>
        <row r="349">
          <cell r="B349">
            <v>17031271400</v>
          </cell>
          <cell r="D349">
            <v>403</v>
          </cell>
          <cell r="E349">
            <v>119</v>
          </cell>
          <cell r="F349">
            <v>184</v>
          </cell>
          <cell r="G349">
            <v>76</v>
          </cell>
          <cell r="H349">
            <v>145</v>
          </cell>
          <cell r="I349">
            <v>61</v>
          </cell>
          <cell r="J349">
            <v>39</v>
          </cell>
          <cell r="K349">
            <v>31</v>
          </cell>
          <cell r="L349">
            <v>32</v>
          </cell>
          <cell r="M349">
            <v>29</v>
          </cell>
          <cell r="N349">
            <v>7</v>
          </cell>
          <cell r="O349">
            <v>10</v>
          </cell>
          <cell r="P349">
            <v>0</v>
          </cell>
          <cell r="Q349">
            <v>11</v>
          </cell>
          <cell r="R349">
            <v>0</v>
          </cell>
          <cell r="S349">
            <v>11</v>
          </cell>
          <cell r="T349">
            <v>0</v>
          </cell>
          <cell r="U349">
            <v>11</v>
          </cell>
          <cell r="V349">
            <v>138</v>
          </cell>
          <cell r="W349">
            <v>55</v>
          </cell>
          <cell r="X349">
            <v>98</v>
          </cell>
          <cell r="Y349">
            <v>51</v>
          </cell>
          <cell r="Z349">
            <v>0</v>
          </cell>
          <cell r="AA349">
            <v>11</v>
          </cell>
          <cell r="AB349">
            <v>40</v>
          </cell>
          <cell r="AC349">
            <v>36</v>
          </cell>
          <cell r="AD349">
            <v>0</v>
          </cell>
          <cell r="AE349">
            <v>11</v>
          </cell>
          <cell r="AF349">
            <v>0</v>
          </cell>
          <cell r="AG349">
            <v>11</v>
          </cell>
          <cell r="AH349">
            <v>8</v>
          </cell>
          <cell r="AI349">
            <v>13</v>
          </cell>
          <cell r="AJ349">
            <v>0</v>
          </cell>
          <cell r="AK349">
            <v>11</v>
          </cell>
          <cell r="AL349">
            <v>6</v>
          </cell>
          <cell r="AM349">
            <v>10</v>
          </cell>
          <cell r="AN349">
            <v>0</v>
          </cell>
          <cell r="AO349">
            <v>11</v>
          </cell>
          <cell r="AP349">
            <v>20</v>
          </cell>
          <cell r="AQ349">
            <v>31</v>
          </cell>
          <cell r="AR349">
            <v>47</v>
          </cell>
          <cell r="AS349">
            <v>43</v>
          </cell>
        </row>
        <row r="350">
          <cell r="B350">
            <v>17031271500</v>
          </cell>
          <cell r="D350">
            <v>525</v>
          </cell>
          <cell r="E350">
            <v>99</v>
          </cell>
          <cell r="F350">
            <v>260</v>
          </cell>
          <cell r="G350">
            <v>62</v>
          </cell>
          <cell r="H350">
            <v>228</v>
          </cell>
          <cell r="I350">
            <v>60</v>
          </cell>
          <cell r="J350">
            <v>32</v>
          </cell>
          <cell r="K350">
            <v>23</v>
          </cell>
          <cell r="L350">
            <v>25</v>
          </cell>
          <cell r="M350">
            <v>22</v>
          </cell>
          <cell r="N350">
            <v>0</v>
          </cell>
          <cell r="O350">
            <v>11</v>
          </cell>
          <cell r="P350">
            <v>0</v>
          </cell>
          <cell r="Q350">
            <v>11</v>
          </cell>
          <cell r="R350">
            <v>0</v>
          </cell>
          <cell r="S350">
            <v>11</v>
          </cell>
          <cell r="T350">
            <v>7</v>
          </cell>
          <cell r="U350">
            <v>10</v>
          </cell>
          <cell r="V350">
            <v>226</v>
          </cell>
          <cell r="W350">
            <v>78</v>
          </cell>
          <cell r="X350">
            <v>181</v>
          </cell>
          <cell r="Y350">
            <v>72</v>
          </cell>
          <cell r="Z350">
            <v>11</v>
          </cell>
          <cell r="AA350">
            <v>16</v>
          </cell>
          <cell r="AB350">
            <v>19</v>
          </cell>
          <cell r="AC350">
            <v>16</v>
          </cell>
          <cell r="AD350">
            <v>15</v>
          </cell>
          <cell r="AE350">
            <v>20</v>
          </cell>
          <cell r="AF350">
            <v>0</v>
          </cell>
          <cell r="AG350">
            <v>11</v>
          </cell>
          <cell r="AH350">
            <v>0</v>
          </cell>
          <cell r="AI350">
            <v>11</v>
          </cell>
          <cell r="AJ350">
            <v>0</v>
          </cell>
          <cell r="AK350">
            <v>11</v>
          </cell>
          <cell r="AL350">
            <v>0</v>
          </cell>
          <cell r="AM350">
            <v>11</v>
          </cell>
          <cell r="AN350">
            <v>19</v>
          </cell>
          <cell r="AO350">
            <v>20</v>
          </cell>
          <cell r="AP350">
            <v>20</v>
          </cell>
          <cell r="AQ350">
            <v>31</v>
          </cell>
          <cell r="AR350">
            <v>0</v>
          </cell>
          <cell r="AS350">
            <v>11</v>
          </cell>
        </row>
        <row r="351">
          <cell r="B351">
            <v>17031271800</v>
          </cell>
          <cell r="D351">
            <v>205</v>
          </cell>
          <cell r="E351">
            <v>92</v>
          </cell>
          <cell r="F351">
            <v>129</v>
          </cell>
          <cell r="G351">
            <v>77</v>
          </cell>
          <cell r="H351">
            <v>120</v>
          </cell>
          <cell r="I351">
            <v>76</v>
          </cell>
          <cell r="J351">
            <v>9</v>
          </cell>
          <cell r="K351">
            <v>14</v>
          </cell>
          <cell r="L351">
            <v>0</v>
          </cell>
          <cell r="M351">
            <v>11</v>
          </cell>
          <cell r="N351">
            <v>9</v>
          </cell>
          <cell r="O351">
            <v>14</v>
          </cell>
          <cell r="P351">
            <v>0</v>
          </cell>
          <cell r="Q351">
            <v>11</v>
          </cell>
          <cell r="R351">
            <v>0</v>
          </cell>
          <cell r="S351">
            <v>11</v>
          </cell>
          <cell r="T351">
            <v>0</v>
          </cell>
          <cell r="U351">
            <v>11</v>
          </cell>
          <cell r="V351">
            <v>76</v>
          </cell>
          <cell r="W351">
            <v>49</v>
          </cell>
          <cell r="X351">
            <v>65</v>
          </cell>
          <cell r="Y351">
            <v>48</v>
          </cell>
          <cell r="Z351">
            <v>0</v>
          </cell>
          <cell r="AA351">
            <v>11</v>
          </cell>
          <cell r="AB351">
            <v>11</v>
          </cell>
          <cell r="AC351">
            <v>17</v>
          </cell>
          <cell r="AD351">
            <v>0</v>
          </cell>
          <cell r="AE351">
            <v>11</v>
          </cell>
          <cell r="AF351">
            <v>0</v>
          </cell>
          <cell r="AG351">
            <v>11</v>
          </cell>
          <cell r="AH351">
            <v>0</v>
          </cell>
          <cell r="AI351">
            <v>11</v>
          </cell>
          <cell r="AJ351">
            <v>0</v>
          </cell>
          <cell r="AK351">
            <v>11</v>
          </cell>
          <cell r="AL351">
            <v>0</v>
          </cell>
          <cell r="AM351">
            <v>11</v>
          </cell>
          <cell r="AN351">
            <v>0</v>
          </cell>
          <cell r="AO351">
            <v>11</v>
          </cell>
          <cell r="AP351">
            <v>0</v>
          </cell>
          <cell r="AQ351">
            <v>11</v>
          </cell>
          <cell r="AR351">
            <v>0</v>
          </cell>
          <cell r="AS351">
            <v>11</v>
          </cell>
        </row>
        <row r="352">
          <cell r="B352">
            <v>17031280100</v>
          </cell>
          <cell r="D352">
            <v>5537</v>
          </cell>
          <cell r="E352">
            <v>396</v>
          </cell>
          <cell r="F352">
            <v>1686</v>
          </cell>
          <cell r="G352">
            <v>304</v>
          </cell>
          <cell r="H352">
            <v>1502</v>
          </cell>
          <cell r="I352">
            <v>293</v>
          </cell>
          <cell r="J352">
            <v>184</v>
          </cell>
          <cell r="K352">
            <v>161</v>
          </cell>
          <cell r="L352">
            <v>173</v>
          </cell>
          <cell r="M352">
            <v>159</v>
          </cell>
          <cell r="N352">
            <v>11</v>
          </cell>
          <cell r="O352">
            <v>18</v>
          </cell>
          <cell r="P352">
            <v>0</v>
          </cell>
          <cell r="Q352">
            <v>15</v>
          </cell>
          <cell r="R352">
            <v>0</v>
          </cell>
          <cell r="S352">
            <v>15</v>
          </cell>
          <cell r="T352">
            <v>0</v>
          </cell>
          <cell r="U352">
            <v>15</v>
          </cell>
          <cell r="V352">
            <v>752</v>
          </cell>
          <cell r="W352">
            <v>211</v>
          </cell>
          <cell r="X352">
            <v>242</v>
          </cell>
          <cell r="Y352">
            <v>134</v>
          </cell>
          <cell r="Z352">
            <v>0</v>
          </cell>
          <cell r="AA352">
            <v>15</v>
          </cell>
          <cell r="AB352">
            <v>288</v>
          </cell>
          <cell r="AC352">
            <v>128</v>
          </cell>
          <cell r="AD352">
            <v>222</v>
          </cell>
          <cell r="AE352">
            <v>103</v>
          </cell>
          <cell r="AF352">
            <v>0</v>
          </cell>
          <cell r="AG352">
            <v>15</v>
          </cell>
          <cell r="AH352">
            <v>207</v>
          </cell>
          <cell r="AI352">
            <v>120</v>
          </cell>
          <cell r="AJ352">
            <v>0</v>
          </cell>
          <cell r="AK352">
            <v>15</v>
          </cell>
          <cell r="AL352">
            <v>11</v>
          </cell>
          <cell r="AM352">
            <v>20</v>
          </cell>
          <cell r="AN352">
            <v>2308</v>
          </cell>
          <cell r="AO352">
            <v>389</v>
          </cell>
          <cell r="AP352">
            <v>83</v>
          </cell>
          <cell r="AQ352">
            <v>61</v>
          </cell>
          <cell r="AR352">
            <v>490</v>
          </cell>
          <cell r="AS352">
            <v>193</v>
          </cell>
        </row>
        <row r="353">
          <cell r="B353">
            <v>17031280400</v>
          </cell>
          <cell r="D353">
            <v>398</v>
          </cell>
          <cell r="E353">
            <v>88</v>
          </cell>
          <cell r="F353">
            <v>221</v>
          </cell>
          <cell r="G353">
            <v>62</v>
          </cell>
          <cell r="H353">
            <v>205</v>
          </cell>
          <cell r="I353">
            <v>63</v>
          </cell>
          <cell r="J353">
            <v>16</v>
          </cell>
          <cell r="K353">
            <v>25</v>
          </cell>
          <cell r="L353">
            <v>16</v>
          </cell>
          <cell r="M353">
            <v>25</v>
          </cell>
          <cell r="N353">
            <v>0</v>
          </cell>
          <cell r="O353">
            <v>11</v>
          </cell>
          <cell r="P353">
            <v>0</v>
          </cell>
          <cell r="Q353">
            <v>11</v>
          </cell>
          <cell r="R353">
            <v>0</v>
          </cell>
          <cell r="S353">
            <v>11</v>
          </cell>
          <cell r="T353">
            <v>0</v>
          </cell>
          <cell r="U353">
            <v>11</v>
          </cell>
          <cell r="V353">
            <v>103</v>
          </cell>
          <cell r="W353">
            <v>48</v>
          </cell>
          <cell r="X353">
            <v>75</v>
          </cell>
          <cell r="Y353">
            <v>43</v>
          </cell>
          <cell r="Z353">
            <v>0</v>
          </cell>
          <cell r="AA353">
            <v>11</v>
          </cell>
          <cell r="AB353">
            <v>28</v>
          </cell>
          <cell r="AC353">
            <v>28</v>
          </cell>
          <cell r="AD353">
            <v>0</v>
          </cell>
          <cell r="AE353">
            <v>11</v>
          </cell>
          <cell r="AF353">
            <v>0</v>
          </cell>
          <cell r="AG353">
            <v>11</v>
          </cell>
          <cell r="AH353">
            <v>7</v>
          </cell>
          <cell r="AI353">
            <v>11</v>
          </cell>
          <cell r="AJ353">
            <v>0</v>
          </cell>
          <cell r="AK353">
            <v>11</v>
          </cell>
          <cell r="AL353">
            <v>3</v>
          </cell>
          <cell r="AM353">
            <v>6</v>
          </cell>
          <cell r="AN353">
            <v>49</v>
          </cell>
          <cell r="AO353">
            <v>40</v>
          </cell>
          <cell r="AP353">
            <v>0</v>
          </cell>
          <cell r="AQ353">
            <v>11</v>
          </cell>
          <cell r="AR353">
            <v>15</v>
          </cell>
          <cell r="AS353">
            <v>18</v>
          </cell>
        </row>
        <row r="354">
          <cell r="B354">
            <v>17031280800</v>
          </cell>
          <cell r="D354">
            <v>310</v>
          </cell>
          <cell r="E354">
            <v>74</v>
          </cell>
          <cell r="F354">
            <v>191</v>
          </cell>
          <cell r="G354">
            <v>62</v>
          </cell>
          <cell r="H354">
            <v>145</v>
          </cell>
          <cell r="I354">
            <v>47</v>
          </cell>
          <cell r="J354">
            <v>46</v>
          </cell>
          <cell r="K354">
            <v>41</v>
          </cell>
          <cell r="L354">
            <v>35</v>
          </cell>
          <cell r="M354">
            <v>40</v>
          </cell>
          <cell r="N354">
            <v>11</v>
          </cell>
          <cell r="O354">
            <v>12</v>
          </cell>
          <cell r="P354">
            <v>0</v>
          </cell>
          <cell r="Q354">
            <v>11</v>
          </cell>
          <cell r="R354">
            <v>0</v>
          </cell>
          <cell r="S354">
            <v>11</v>
          </cell>
          <cell r="T354">
            <v>0</v>
          </cell>
          <cell r="U354">
            <v>11</v>
          </cell>
          <cell r="V354">
            <v>67</v>
          </cell>
          <cell r="W354">
            <v>39</v>
          </cell>
          <cell r="X354">
            <v>34</v>
          </cell>
          <cell r="Y354">
            <v>21</v>
          </cell>
          <cell r="Z354">
            <v>0</v>
          </cell>
          <cell r="AA354">
            <v>11</v>
          </cell>
          <cell r="AB354">
            <v>33</v>
          </cell>
          <cell r="AC354">
            <v>23</v>
          </cell>
          <cell r="AD354">
            <v>0</v>
          </cell>
          <cell r="AE354">
            <v>11</v>
          </cell>
          <cell r="AF354">
            <v>0</v>
          </cell>
          <cell r="AG354">
            <v>11</v>
          </cell>
          <cell r="AH354">
            <v>0</v>
          </cell>
          <cell r="AI354">
            <v>11</v>
          </cell>
          <cell r="AJ354">
            <v>0</v>
          </cell>
          <cell r="AK354">
            <v>11</v>
          </cell>
          <cell r="AL354">
            <v>0</v>
          </cell>
          <cell r="AM354">
            <v>11</v>
          </cell>
          <cell r="AN354">
            <v>34</v>
          </cell>
          <cell r="AO354">
            <v>30</v>
          </cell>
          <cell r="AP354">
            <v>0</v>
          </cell>
          <cell r="AQ354">
            <v>11</v>
          </cell>
          <cell r="AR354">
            <v>18</v>
          </cell>
          <cell r="AS354">
            <v>19</v>
          </cell>
        </row>
        <row r="355">
          <cell r="B355">
            <v>17031280900</v>
          </cell>
          <cell r="D355">
            <v>320</v>
          </cell>
          <cell r="E355">
            <v>66</v>
          </cell>
          <cell r="F355">
            <v>189</v>
          </cell>
          <cell r="G355">
            <v>53</v>
          </cell>
          <cell r="H355">
            <v>165</v>
          </cell>
          <cell r="I355">
            <v>50</v>
          </cell>
          <cell r="J355">
            <v>24</v>
          </cell>
          <cell r="K355">
            <v>24</v>
          </cell>
          <cell r="L355">
            <v>24</v>
          </cell>
          <cell r="M355">
            <v>24</v>
          </cell>
          <cell r="N355">
            <v>0</v>
          </cell>
          <cell r="O355">
            <v>11</v>
          </cell>
          <cell r="P355">
            <v>0</v>
          </cell>
          <cell r="Q355">
            <v>11</v>
          </cell>
          <cell r="R355">
            <v>0</v>
          </cell>
          <cell r="S355">
            <v>11</v>
          </cell>
          <cell r="T355">
            <v>0</v>
          </cell>
          <cell r="U355">
            <v>11</v>
          </cell>
          <cell r="V355">
            <v>88</v>
          </cell>
          <cell r="W355">
            <v>37</v>
          </cell>
          <cell r="X355">
            <v>65</v>
          </cell>
          <cell r="Y355">
            <v>31</v>
          </cell>
          <cell r="Z355">
            <v>14</v>
          </cell>
          <cell r="AA355">
            <v>16</v>
          </cell>
          <cell r="AB355">
            <v>9</v>
          </cell>
          <cell r="AC355">
            <v>14</v>
          </cell>
          <cell r="AD355">
            <v>0</v>
          </cell>
          <cell r="AE355">
            <v>11</v>
          </cell>
          <cell r="AF355">
            <v>0</v>
          </cell>
          <cell r="AG355">
            <v>11</v>
          </cell>
          <cell r="AH355">
            <v>7</v>
          </cell>
          <cell r="AI355">
            <v>11</v>
          </cell>
          <cell r="AJ355">
            <v>0</v>
          </cell>
          <cell r="AK355">
            <v>11</v>
          </cell>
          <cell r="AL355">
            <v>0</v>
          </cell>
          <cell r="AM355">
            <v>11</v>
          </cell>
          <cell r="AN355">
            <v>11</v>
          </cell>
          <cell r="AO355">
            <v>12</v>
          </cell>
          <cell r="AP355">
            <v>5</v>
          </cell>
          <cell r="AQ355">
            <v>7</v>
          </cell>
          <cell r="AR355">
            <v>20</v>
          </cell>
          <cell r="AS355">
            <v>19</v>
          </cell>
        </row>
        <row r="356">
          <cell r="B356">
            <v>17031281900</v>
          </cell>
          <cell r="D356">
            <v>3571</v>
          </cell>
          <cell r="E356">
            <v>349</v>
          </cell>
          <cell r="F356">
            <v>761</v>
          </cell>
          <cell r="G356">
            <v>169</v>
          </cell>
          <cell r="H356">
            <v>701</v>
          </cell>
          <cell r="I356">
            <v>162</v>
          </cell>
          <cell r="J356">
            <v>60</v>
          </cell>
          <cell r="K356">
            <v>59</v>
          </cell>
          <cell r="L356">
            <v>31</v>
          </cell>
          <cell r="M356">
            <v>36</v>
          </cell>
          <cell r="N356">
            <v>29</v>
          </cell>
          <cell r="O356">
            <v>46</v>
          </cell>
          <cell r="P356">
            <v>0</v>
          </cell>
          <cell r="Q356">
            <v>15</v>
          </cell>
          <cell r="R356">
            <v>0</v>
          </cell>
          <cell r="S356">
            <v>15</v>
          </cell>
          <cell r="T356">
            <v>0</v>
          </cell>
          <cell r="U356">
            <v>15</v>
          </cell>
          <cell r="V356">
            <v>729</v>
          </cell>
          <cell r="W356">
            <v>203</v>
          </cell>
          <cell r="X356">
            <v>279</v>
          </cell>
          <cell r="Y356">
            <v>100</v>
          </cell>
          <cell r="Z356">
            <v>0</v>
          </cell>
          <cell r="AA356">
            <v>15</v>
          </cell>
          <cell r="AB356">
            <v>220</v>
          </cell>
          <cell r="AC356">
            <v>110</v>
          </cell>
          <cell r="AD356">
            <v>230</v>
          </cell>
          <cell r="AE356">
            <v>120</v>
          </cell>
          <cell r="AF356">
            <v>0</v>
          </cell>
          <cell r="AG356">
            <v>15</v>
          </cell>
          <cell r="AH356">
            <v>0</v>
          </cell>
          <cell r="AI356">
            <v>15</v>
          </cell>
          <cell r="AJ356">
            <v>0</v>
          </cell>
          <cell r="AK356">
            <v>15</v>
          </cell>
          <cell r="AL356">
            <v>17</v>
          </cell>
          <cell r="AM356">
            <v>27</v>
          </cell>
          <cell r="AN356">
            <v>1941</v>
          </cell>
          <cell r="AO356">
            <v>322</v>
          </cell>
          <cell r="AP356">
            <v>0</v>
          </cell>
          <cell r="AQ356">
            <v>15</v>
          </cell>
          <cell r="AR356">
            <v>123</v>
          </cell>
          <cell r="AS356">
            <v>84</v>
          </cell>
        </row>
        <row r="357">
          <cell r="B357">
            <v>17031282700</v>
          </cell>
          <cell r="D357">
            <v>1072</v>
          </cell>
          <cell r="E357">
            <v>172</v>
          </cell>
          <cell r="F357">
            <v>639</v>
          </cell>
          <cell r="G357">
            <v>133</v>
          </cell>
          <cell r="H357">
            <v>512</v>
          </cell>
          <cell r="I357">
            <v>106</v>
          </cell>
          <cell r="J357">
            <v>127</v>
          </cell>
          <cell r="K357">
            <v>75</v>
          </cell>
          <cell r="L357">
            <v>74</v>
          </cell>
          <cell r="M357">
            <v>39</v>
          </cell>
          <cell r="N357">
            <v>53</v>
          </cell>
          <cell r="O357">
            <v>66</v>
          </cell>
          <cell r="P357">
            <v>0</v>
          </cell>
          <cell r="Q357">
            <v>11</v>
          </cell>
          <cell r="R357">
            <v>0</v>
          </cell>
          <cell r="S357">
            <v>11</v>
          </cell>
          <cell r="T357">
            <v>0</v>
          </cell>
          <cell r="U357">
            <v>11</v>
          </cell>
          <cell r="V357">
            <v>331</v>
          </cell>
          <cell r="W357">
            <v>131</v>
          </cell>
          <cell r="X357">
            <v>92</v>
          </cell>
          <cell r="Y357">
            <v>56</v>
          </cell>
          <cell r="Z357">
            <v>0</v>
          </cell>
          <cell r="AA357">
            <v>11</v>
          </cell>
          <cell r="AB357">
            <v>224</v>
          </cell>
          <cell r="AC357">
            <v>104</v>
          </cell>
          <cell r="AD357">
            <v>15</v>
          </cell>
          <cell r="AE357">
            <v>21</v>
          </cell>
          <cell r="AF357">
            <v>0</v>
          </cell>
          <cell r="AG357">
            <v>11</v>
          </cell>
          <cell r="AH357">
            <v>0</v>
          </cell>
          <cell r="AI357">
            <v>11</v>
          </cell>
          <cell r="AJ357">
            <v>0</v>
          </cell>
          <cell r="AK357">
            <v>11</v>
          </cell>
          <cell r="AL357">
            <v>13</v>
          </cell>
          <cell r="AM357">
            <v>15</v>
          </cell>
          <cell r="AN357">
            <v>23</v>
          </cell>
          <cell r="AO357">
            <v>20</v>
          </cell>
          <cell r="AP357">
            <v>0</v>
          </cell>
          <cell r="AQ357">
            <v>11</v>
          </cell>
          <cell r="AR357">
            <v>66</v>
          </cell>
          <cell r="AS357">
            <v>49</v>
          </cell>
        </row>
        <row r="358">
          <cell r="B358">
            <v>17031282800</v>
          </cell>
          <cell r="D358">
            <v>898</v>
          </cell>
          <cell r="E358">
            <v>110</v>
          </cell>
          <cell r="F358">
            <v>424</v>
          </cell>
          <cell r="G358">
            <v>94</v>
          </cell>
          <cell r="H358">
            <v>363</v>
          </cell>
          <cell r="I358">
            <v>94</v>
          </cell>
          <cell r="J358">
            <v>61</v>
          </cell>
          <cell r="K358">
            <v>33</v>
          </cell>
          <cell r="L358">
            <v>51</v>
          </cell>
          <cell r="M358">
            <v>31</v>
          </cell>
          <cell r="N358">
            <v>10</v>
          </cell>
          <cell r="O358">
            <v>11</v>
          </cell>
          <cell r="P358">
            <v>0</v>
          </cell>
          <cell r="Q358">
            <v>11</v>
          </cell>
          <cell r="R358">
            <v>0</v>
          </cell>
          <cell r="S358">
            <v>11</v>
          </cell>
          <cell r="T358">
            <v>0</v>
          </cell>
          <cell r="U358">
            <v>11</v>
          </cell>
          <cell r="V358">
            <v>268</v>
          </cell>
          <cell r="W358">
            <v>87</v>
          </cell>
          <cell r="X358">
            <v>181</v>
          </cell>
          <cell r="Y358">
            <v>73</v>
          </cell>
          <cell r="Z358">
            <v>0</v>
          </cell>
          <cell r="AA358">
            <v>11</v>
          </cell>
          <cell r="AB358">
            <v>76</v>
          </cell>
          <cell r="AC358">
            <v>37</v>
          </cell>
          <cell r="AD358">
            <v>11</v>
          </cell>
          <cell r="AE358">
            <v>16</v>
          </cell>
          <cell r="AF358">
            <v>0</v>
          </cell>
          <cell r="AG358">
            <v>11</v>
          </cell>
          <cell r="AH358">
            <v>0</v>
          </cell>
          <cell r="AI358">
            <v>11</v>
          </cell>
          <cell r="AJ358">
            <v>0</v>
          </cell>
          <cell r="AK358">
            <v>11</v>
          </cell>
          <cell r="AL358">
            <v>58</v>
          </cell>
          <cell r="AM358">
            <v>48</v>
          </cell>
          <cell r="AN358">
            <v>80</v>
          </cell>
          <cell r="AO358">
            <v>55</v>
          </cell>
          <cell r="AP358">
            <v>0</v>
          </cell>
          <cell r="AQ358">
            <v>11</v>
          </cell>
          <cell r="AR358">
            <v>68</v>
          </cell>
          <cell r="AS358">
            <v>37</v>
          </cell>
        </row>
        <row r="359">
          <cell r="B359">
            <v>17031283100</v>
          </cell>
          <cell r="D359">
            <v>1406</v>
          </cell>
          <cell r="E359">
            <v>195</v>
          </cell>
          <cell r="F359">
            <v>389</v>
          </cell>
          <cell r="G359">
            <v>130</v>
          </cell>
          <cell r="H359">
            <v>358</v>
          </cell>
          <cell r="I359">
            <v>125</v>
          </cell>
          <cell r="J359">
            <v>31</v>
          </cell>
          <cell r="K359">
            <v>26</v>
          </cell>
          <cell r="L359">
            <v>26</v>
          </cell>
          <cell r="M359">
            <v>22</v>
          </cell>
          <cell r="N359">
            <v>5</v>
          </cell>
          <cell r="O359">
            <v>14</v>
          </cell>
          <cell r="P359">
            <v>0</v>
          </cell>
          <cell r="Q359">
            <v>11</v>
          </cell>
          <cell r="R359">
            <v>0</v>
          </cell>
          <cell r="S359">
            <v>11</v>
          </cell>
          <cell r="T359">
            <v>0</v>
          </cell>
          <cell r="U359">
            <v>11</v>
          </cell>
          <cell r="V359">
            <v>638</v>
          </cell>
          <cell r="W359">
            <v>216</v>
          </cell>
          <cell r="X359">
            <v>443</v>
          </cell>
          <cell r="Y359">
            <v>184</v>
          </cell>
          <cell r="Z359">
            <v>39</v>
          </cell>
          <cell r="AA359">
            <v>58</v>
          </cell>
          <cell r="AB359">
            <v>156</v>
          </cell>
          <cell r="AC359">
            <v>91</v>
          </cell>
          <cell r="AD359">
            <v>0</v>
          </cell>
          <cell r="AE359">
            <v>11</v>
          </cell>
          <cell r="AF359">
            <v>0</v>
          </cell>
          <cell r="AG359">
            <v>11</v>
          </cell>
          <cell r="AH359">
            <v>8</v>
          </cell>
          <cell r="AI359">
            <v>12</v>
          </cell>
          <cell r="AJ359">
            <v>0</v>
          </cell>
          <cell r="AK359">
            <v>11</v>
          </cell>
          <cell r="AL359">
            <v>52</v>
          </cell>
          <cell r="AM359">
            <v>50</v>
          </cell>
          <cell r="AN359">
            <v>258</v>
          </cell>
          <cell r="AO359">
            <v>74</v>
          </cell>
          <cell r="AP359">
            <v>16</v>
          </cell>
          <cell r="AQ359">
            <v>17</v>
          </cell>
          <cell r="AR359">
            <v>45</v>
          </cell>
          <cell r="AS359">
            <v>45</v>
          </cell>
        </row>
        <row r="360">
          <cell r="B360">
            <v>17031283200</v>
          </cell>
          <cell r="D360">
            <v>863</v>
          </cell>
          <cell r="E360">
            <v>142</v>
          </cell>
          <cell r="F360">
            <v>387</v>
          </cell>
          <cell r="G360">
            <v>79</v>
          </cell>
          <cell r="H360">
            <v>326</v>
          </cell>
          <cell r="I360">
            <v>74</v>
          </cell>
          <cell r="J360">
            <v>61</v>
          </cell>
          <cell r="K360">
            <v>33</v>
          </cell>
          <cell r="L360">
            <v>56</v>
          </cell>
          <cell r="M360">
            <v>31</v>
          </cell>
          <cell r="N360">
            <v>0</v>
          </cell>
          <cell r="O360">
            <v>11</v>
          </cell>
          <cell r="P360">
            <v>5</v>
          </cell>
          <cell r="Q360">
            <v>8</v>
          </cell>
          <cell r="R360">
            <v>0</v>
          </cell>
          <cell r="S360">
            <v>11</v>
          </cell>
          <cell r="T360">
            <v>0</v>
          </cell>
          <cell r="U360">
            <v>11</v>
          </cell>
          <cell r="V360">
            <v>322</v>
          </cell>
          <cell r="W360">
            <v>111</v>
          </cell>
          <cell r="X360">
            <v>260</v>
          </cell>
          <cell r="Y360">
            <v>113</v>
          </cell>
          <cell r="Z360">
            <v>0</v>
          </cell>
          <cell r="AA360">
            <v>11</v>
          </cell>
          <cell r="AB360">
            <v>56</v>
          </cell>
          <cell r="AC360">
            <v>41</v>
          </cell>
          <cell r="AD360">
            <v>6</v>
          </cell>
          <cell r="AE360">
            <v>9</v>
          </cell>
          <cell r="AF360">
            <v>0</v>
          </cell>
          <cell r="AG360">
            <v>11</v>
          </cell>
          <cell r="AH360">
            <v>4</v>
          </cell>
          <cell r="AI360">
            <v>6</v>
          </cell>
          <cell r="AJ360">
            <v>0</v>
          </cell>
          <cell r="AK360">
            <v>11</v>
          </cell>
          <cell r="AL360">
            <v>36</v>
          </cell>
          <cell r="AM360">
            <v>20</v>
          </cell>
          <cell r="AN360">
            <v>99</v>
          </cell>
          <cell r="AO360">
            <v>44</v>
          </cell>
          <cell r="AP360">
            <v>0</v>
          </cell>
          <cell r="AQ360">
            <v>11</v>
          </cell>
          <cell r="AR360">
            <v>15</v>
          </cell>
          <cell r="AS360">
            <v>14</v>
          </cell>
        </row>
        <row r="361">
          <cell r="B361">
            <v>17031283800</v>
          </cell>
          <cell r="D361">
            <v>1816</v>
          </cell>
          <cell r="E361">
            <v>203</v>
          </cell>
          <cell r="F361">
            <v>1270</v>
          </cell>
          <cell r="G361">
            <v>223</v>
          </cell>
          <cell r="H361">
            <v>1138</v>
          </cell>
          <cell r="I361">
            <v>219</v>
          </cell>
          <cell r="J361">
            <v>132</v>
          </cell>
          <cell r="K361">
            <v>83</v>
          </cell>
          <cell r="L361">
            <v>113</v>
          </cell>
          <cell r="M361">
            <v>81</v>
          </cell>
          <cell r="N361">
            <v>0</v>
          </cell>
          <cell r="O361">
            <v>11</v>
          </cell>
          <cell r="P361">
            <v>19</v>
          </cell>
          <cell r="Q361">
            <v>21</v>
          </cell>
          <cell r="R361">
            <v>0</v>
          </cell>
          <cell r="S361">
            <v>11</v>
          </cell>
          <cell r="T361">
            <v>0</v>
          </cell>
          <cell r="U361">
            <v>11</v>
          </cell>
          <cell r="V361">
            <v>261</v>
          </cell>
          <cell r="W361">
            <v>92</v>
          </cell>
          <cell r="X361">
            <v>216</v>
          </cell>
          <cell r="Y361">
            <v>84</v>
          </cell>
          <cell r="Z361">
            <v>0</v>
          </cell>
          <cell r="AA361">
            <v>11</v>
          </cell>
          <cell r="AB361">
            <v>25</v>
          </cell>
          <cell r="AC361">
            <v>26</v>
          </cell>
          <cell r="AD361">
            <v>20</v>
          </cell>
          <cell r="AE361">
            <v>22</v>
          </cell>
          <cell r="AF361">
            <v>0</v>
          </cell>
          <cell r="AG361">
            <v>11</v>
          </cell>
          <cell r="AH361">
            <v>12</v>
          </cell>
          <cell r="AI361">
            <v>18</v>
          </cell>
          <cell r="AJ361">
            <v>0</v>
          </cell>
          <cell r="AK361">
            <v>11</v>
          </cell>
          <cell r="AL361">
            <v>36</v>
          </cell>
          <cell r="AM361">
            <v>22</v>
          </cell>
          <cell r="AN361">
            <v>103</v>
          </cell>
          <cell r="AO361">
            <v>62</v>
          </cell>
          <cell r="AP361">
            <v>6</v>
          </cell>
          <cell r="AQ361">
            <v>9</v>
          </cell>
          <cell r="AR361">
            <v>128</v>
          </cell>
          <cell r="AS361">
            <v>77</v>
          </cell>
        </row>
        <row r="362">
          <cell r="B362">
            <v>17031290900</v>
          </cell>
          <cell r="D362">
            <v>976</v>
          </cell>
          <cell r="E362">
            <v>229</v>
          </cell>
          <cell r="F362">
            <v>511</v>
          </cell>
          <cell r="G362">
            <v>185</v>
          </cell>
          <cell r="H362">
            <v>468</v>
          </cell>
          <cell r="I362">
            <v>182</v>
          </cell>
          <cell r="J362">
            <v>43</v>
          </cell>
          <cell r="K362">
            <v>43</v>
          </cell>
          <cell r="L362">
            <v>37</v>
          </cell>
          <cell r="M362">
            <v>40</v>
          </cell>
          <cell r="N362">
            <v>6</v>
          </cell>
          <cell r="O362">
            <v>11</v>
          </cell>
          <cell r="P362">
            <v>0</v>
          </cell>
          <cell r="Q362">
            <v>11</v>
          </cell>
          <cell r="R362">
            <v>0</v>
          </cell>
          <cell r="S362">
            <v>11</v>
          </cell>
          <cell r="T362">
            <v>0</v>
          </cell>
          <cell r="U362">
            <v>11</v>
          </cell>
          <cell r="V362">
            <v>435</v>
          </cell>
          <cell r="W362">
            <v>165</v>
          </cell>
          <cell r="X362">
            <v>413</v>
          </cell>
          <cell r="Y362">
            <v>166</v>
          </cell>
          <cell r="Z362">
            <v>0</v>
          </cell>
          <cell r="AA362">
            <v>11</v>
          </cell>
          <cell r="AB362">
            <v>22</v>
          </cell>
          <cell r="AC362">
            <v>35</v>
          </cell>
          <cell r="AD362">
            <v>0</v>
          </cell>
          <cell r="AE362">
            <v>11</v>
          </cell>
          <cell r="AF362">
            <v>0</v>
          </cell>
          <cell r="AG362">
            <v>11</v>
          </cell>
          <cell r="AH362">
            <v>0</v>
          </cell>
          <cell r="AI362">
            <v>11</v>
          </cell>
          <cell r="AJ362">
            <v>0</v>
          </cell>
          <cell r="AK362">
            <v>11</v>
          </cell>
          <cell r="AL362">
            <v>11</v>
          </cell>
          <cell r="AM362">
            <v>17</v>
          </cell>
          <cell r="AN362">
            <v>19</v>
          </cell>
          <cell r="AO362">
            <v>31</v>
          </cell>
          <cell r="AP362">
            <v>0</v>
          </cell>
          <cell r="AQ362">
            <v>11</v>
          </cell>
          <cell r="AR362">
            <v>0</v>
          </cell>
          <cell r="AS362">
            <v>11</v>
          </cell>
        </row>
        <row r="363">
          <cell r="B363">
            <v>17031291200</v>
          </cell>
          <cell r="D363">
            <v>647</v>
          </cell>
          <cell r="E363">
            <v>166</v>
          </cell>
          <cell r="F363">
            <v>324</v>
          </cell>
          <cell r="G363">
            <v>107</v>
          </cell>
          <cell r="H363">
            <v>241</v>
          </cell>
          <cell r="I363">
            <v>99</v>
          </cell>
          <cell r="J363">
            <v>83</v>
          </cell>
          <cell r="K363">
            <v>56</v>
          </cell>
          <cell r="L363">
            <v>76</v>
          </cell>
          <cell r="M363">
            <v>55</v>
          </cell>
          <cell r="N363">
            <v>7</v>
          </cell>
          <cell r="O363">
            <v>10</v>
          </cell>
          <cell r="P363">
            <v>0</v>
          </cell>
          <cell r="Q363">
            <v>11</v>
          </cell>
          <cell r="R363">
            <v>0</v>
          </cell>
          <cell r="S363">
            <v>11</v>
          </cell>
          <cell r="T363">
            <v>0</v>
          </cell>
          <cell r="U363">
            <v>11</v>
          </cell>
          <cell r="V363">
            <v>287</v>
          </cell>
          <cell r="W363">
            <v>108</v>
          </cell>
          <cell r="X363">
            <v>212</v>
          </cell>
          <cell r="Y363">
            <v>94</v>
          </cell>
          <cell r="Z363">
            <v>0</v>
          </cell>
          <cell r="AA363">
            <v>11</v>
          </cell>
          <cell r="AB363">
            <v>62</v>
          </cell>
          <cell r="AC363">
            <v>65</v>
          </cell>
          <cell r="AD363">
            <v>13</v>
          </cell>
          <cell r="AE363">
            <v>21</v>
          </cell>
          <cell r="AF363">
            <v>0</v>
          </cell>
          <cell r="AG363">
            <v>11</v>
          </cell>
          <cell r="AH363">
            <v>0</v>
          </cell>
          <cell r="AI363">
            <v>11</v>
          </cell>
          <cell r="AJ363">
            <v>0</v>
          </cell>
          <cell r="AK363">
            <v>11</v>
          </cell>
          <cell r="AL363">
            <v>0</v>
          </cell>
          <cell r="AM363">
            <v>11</v>
          </cell>
          <cell r="AN363">
            <v>0</v>
          </cell>
          <cell r="AO363">
            <v>11</v>
          </cell>
          <cell r="AP363">
            <v>0</v>
          </cell>
          <cell r="AQ363">
            <v>11</v>
          </cell>
          <cell r="AR363">
            <v>36</v>
          </cell>
          <cell r="AS363">
            <v>31</v>
          </cell>
        </row>
        <row r="364">
          <cell r="B364">
            <v>17031291600</v>
          </cell>
          <cell r="D364">
            <v>500</v>
          </cell>
          <cell r="E364">
            <v>107</v>
          </cell>
          <cell r="F364">
            <v>386</v>
          </cell>
          <cell r="G364">
            <v>104</v>
          </cell>
          <cell r="H364">
            <v>364</v>
          </cell>
          <cell r="I364">
            <v>95</v>
          </cell>
          <cell r="J364">
            <v>22</v>
          </cell>
          <cell r="K364">
            <v>23</v>
          </cell>
          <cell r="L364">
            <v>11</v>
          </cell>
          <cell r="M364">
            <v>17</v>
          </cell>
          <cell r="N364">
            <v>0</v>
          </cell>
          <cell r="O364">
            <v>11</v>
          </cell>
          <cell r="P364">
            <v>11</v>
          </cell>
          <cell r="Q364">
            <v>17</v>
          </cell>
          <cell r="R364">
            <v>0</v>
          </cell>
          <cell r="S364">
            <v>11</v>
          </cell>
          <cell r="T364">
            <v>0</v>
          </cell>
          <cell r="U364">
            <v>11</v>
          </cell>
          <cell r="V364">
            <v>82</v>
          </cell>
          <cell r="W364">
            <v>41</v>
          </cell>
          <cell r="X364">
            <v>19</v>
          </cell>
          <cell r="Y364">
            <v>16</v>
          </cell>
          <cell r="Z364">
            <v>0</v>
          </cell>
          <cell r="AA364">
            <v>11</v>
          </cell>
          <cell r="AB364">
            <v>59</v>
          </cell>
          <cell r="AC364">
            <v>36</v>
          </cell>
          <cell r="AD364">
            <v>4</v>
          </cell>
          <cell r="AE364">
            <v>7</v>
          </cell>
          <cell r="AF364">
            <v>0</v>
          </cell>
          <cell r="AG364">
            <v>11</v>
          </cell>
          <cell r="AH364">
            <v>0</v>
          </cell>
          <cell r="AI364">
            <v>11</v>
          </cell>
          <cell r="AJ364">
            <v>0</v>
          </cell>
          <cell r="AK364">
            <v>11</v>
          </cell>
          <cell r="AL364">
            <v>15</v>
          </cell>
          <cell r="AM364">
            <v>19</v>
          </cell>
          <cell r="AN364">
            <v>3</v>
          </cell>
          <cell r="AO364">
            <v>5</v>
          </cell>
          <cell r="AP364">
            <v>0</v>
          </cell>
          <cell r="AQ364">
            <v>11</v>
          </cell>
          <cell r="AR364">
            <v>14</v>
          </cell>
          <cell r="AS364">
            <v>15</v>
          </cell>
        </row>
        <row r="365">
          <cell r="B365">
            <v>17031292200</v>
          </cell>
          <cell r="D365">
            <v>724</v>
          </cell>
          <cell r="E365">
            <v>139</v>
          </cell>
          <cell r="F365">
            <v>512</v>
          </cell>
          <cell r="G365">
            <v>106</v>
          </cell>
          <cell r="H365">
            <v>398</v>
          </cell>
          <cell r="I365">
            <v>95</v>
          </cell>
          <cell r="J365">
            <v>114</v>
          </cell>
          <cell r="K365">
            <v>54</v>
          </cell>
          <cell r="L365">
            <v>108</v>
          </cell>
          <cell r="M365">
            <v>55</v>
          </cell>
          <cell r="N365">
            <v>0</v>
          </cell>
          <cell r="O365">
            <v>11</v>
          </cell>
          <cell r="P365">
            <v>6</v>
          </cell>
          <cell r="Q365">
            <v>8</v>
          </cell>
          <cell r="R365">
            <v>0</v>
          </cell>
          <cell r="S365">
            <v>11</v>
          </cell>
          <cell r="T365">
            <v>0</v>
          </cell>
          <cell r="U365">
            <v>11</v>
          </cell>
          <cell r="V365">
            <v>163</v>
          </cell>
          <cell r="W365">
            <v>78</v>
          </cell>
          <cell r="X365">
            <v>88</v>
          </cell>
          <cell r="Y365">
            <v>58</v>
          </cell>
          <cell r="Z365">
            <v>0</v>
          </cell>
          <cell r="AA365">
            <v>11</v>
          </cell>
          <cell r="AB365">
            <v>50</v>
          </cell>
          <cell r="AC365">
            <v>43</v>
          </cell>
          <cell r="AD365">
            <v>25</v>
          </cell>
          <cell r="AE365">
            <v>24</v>
          </cell>
          <cell r="AF365">
            <v>0</v>
          </cell>
          <cell r="AG365">
            <v>11</v>
          </cell>
          <cell r="AH365">
            <v>0</v>
          </cell>
          <cell r="AI365">
            <v>11</v>
          </cell>
          <cell r="AJ365">
            <v>0</v>
          </cell>
          <cell r="AK365">
            <v>11</v>
          </cell>
          <cell r="AL365">
            <v>0</v>
          </cell>
          <cell r="AM365">
            <v>11</v>
          </cell>
          <cell r="AN365">
            <v>12</v>
          </cell>
          <cell r="AO365">
            <v>19</v>
          </cell>
          <cell r="AP365">
            <v>10</v>
          </cell>
          <cell r="AQ365">
            <v>16</v>
          </cell>
          <cell r="AR365">
            <v>27</v>
          </cell>
          <cell r="AS365">
            <v>24</v>
          </cell>
        </row>
        <row r="366">
          <cell r="B366">
            <v>17031292400</v>
          </cell>
          <cell r="D366">
            <v>679</v>
          </cell>
          <cell r="E366">
            <v>161</v>
          </cell>
          <cell r="F366">
            <v>265</v>
          </cell>
          <cell r="G366">
            <v>92</v>
          </cell>
          <cell r="H366">
            <v>225</v>
          </cell>
          <cell r="I366">
            <v>80</v>
          </cell>
          <cell r="J366">
            <v>40</v>
          </cell>
          <cell r="K366">
            <v>29</v>
          </cell>
          <cell r="L366">
            <v>24</v>
          </cell>
          <cell r="M366">
            <v>25</v>
          </cell>
          <cell r="N366">
            <v>5</v>
          </cell>
          <cell r="O366">
            <v>7</v>
          </cell>
          <cell r="P366">
            <v>0</v>
          </cell>
          <cell r="Q366">
            <v>11</v>
          </cell>
          <cell r="R366">
            <v>1</v>
          </cell>
          <cell r="S366">
            <v>2</v>
          </cell>
          <cell r="T366">
            <v>10</v>
          </cell>
          <cell r="U366">
            <v>16</v>
          </cell>
          <cell r="V366">
            <v>264</v>
          </cell>
          <cell r="W366">
            <v>113</v>
          </cell>
          <cell r="X366">
            <v>183</v>
          </cell>
          <cell r="Y366">
            <v>103</v>
          </cell>
          <cell r="Z366">
            <v>0</v>
          </cell>
          <cell r="AA366">
            <v>11</v>
          </cell>
          <cell r="AB366">
            <v>66</v>
          </cell>
          <cell r="AC366">
            <v>42</v>
          </cell>
          <cell r="AD366">
            <v>15</v>
          </cell>
          <cell r="AE366">
            <v>24</v>
          </cell>
          <cell r="AF366">
            <v>0</v>
          </cell>
          <cell r="AG366">
            <v>11</v>
          </cell>
          <cell r="AH366">
            <v>0</v>
          </cell>
          <cell r="AI366">
            <v>11</v>
          </cell>
          <cell r="AJ366">
            <v>0</v>
          </cell>
          <cell r="AK366">
            <v>11</v>
          </cell>
          <cell r="AL366">
            <v>0</v>
          </cell>
          <cell r="AM366">
            <v>11</v>
          </cell>
          <cell r="AN366">
            <v>65</v>
          </cell>
          <cell r="AO366">
            <v>45</v>
          </cell>
          <cell r="AP366">
            <v>17</v>
          </cell>
          <cell r="AQ366">
            <v>27</v>
          </cell>
          <cell r="AR366">
            <v>68</v>
          </cell>
          <cell r="AS366">
            <v>33</v>
          </cell>
        </row>
        <row r="367">
          <cell r="B367">
            <v>17031292500</v>
          </cell>
          <cell r="D367">
            <v>1352</v>
          </cell>
          <cell r="E367">
            <v>244</v>
          </cell>
          <cell r="F367">
            <v>763</v>
          </cell>
          <cell r="G367">
            <v>169</v>
          </cell>
          <cell r="H367">
            <v>638</v>
          </cell>
          <cell r="I367">
            <v>163</v>
          </cell>
          <cell r="J367">
            <v>125</v>
          </cell>
          <cell r="K367">
            <v>71</v>
          </cell>
          <cell r="L367">
            <v>125</v>
          </cell>
          <cell r="M367">
            <v>71</v>
          </cell>
          <cell r="N367">
            <v>0</v>
          </cell>
          <cell r="O367">
            <v>11</v>
          </cell>
          <cell r="P367">
            <v>0</v>
          </cell>
          <cell r="Q367">
            <v>11</v>
          </cell>
          <cell r="R367">
            <v>0</v>
          </cell>
          <cell r="S367">
            <v>11</v>
          </cell>
          <cell r="T367">
            <v>0</v>
          </cell>
          <cell r="U367">
            <v>11</v>
          </cell>
          <cell r="V367">
            <v>363</v>
          </cell>
          <cell r="W367">
            <v>132</v>
          </cell>
          <cell r="X367">
            <v>284</v>
          </cell>
          <cell r="Y367">
            <v>128</v>
          </cell>
          <cell r="Z367">
            <v>0</v>
          </cell>
          <cell r="AA367">
            <v>11</v>
          </cell>
          <cell r="AB367">
            <v>79</v>
          </cell>
          <cell r="AC367">
            <v>64</v>
          </cell>
          <cell r="AD367">
            <v>0</v>
          </cell>
          <cell r="AE367">
            <v>11</v>
          </cell>
          <cell r="AF367">
            <v>0</v>
          </cell>
          <cell r="AG367">
            <v>11</v>
          </cell>
          <cell r="AH367">
            <v>10</v>
          </cell>
          <cell r="AI367">
            <v>18</v>
          </cell>
          <cell r="AJ367">
            <v>0</v>
          </cell>
          <cell r="AK367">
            <v>11</v>
          </cell>
          <cell r="AL367">
            <v>0</v>
          </cell>
          <cell r="AM367">
            <v>11</v>
          </cell>
          <cell r="AN367">
            <v>130</v>
          </cell>
          <cell r="AO367">
            <v>84</v>
          </cell>
          <cell r="AP367">
            <v>0</v>
          </cell>
          <cell r="AQ367">
            <v>11</v>
          </cell>
          <cell r="AR367">
            <v>86</v>
          </cell>
          <cell r="AS367">
            <v>78</v>
          </cell>
        </row>
        <row r="368">
          <cell r="B368">
            <v>17031300500</v>
          </cell>
          <cell r="D368">
            <v>1278</v>
          </cell>
          <cell r="E368">
            <v>178</v>
          </cell>
          <cell r="F368">
            <v>848</v>
          </cell>
          <cell r="G368">
            <v>150</v>
          </cell>
          <cell r="H368">
            <v>606</v>
          </cell>
          <cell r="I368">
            <v>99</v>
          </cell>
          <cell r="J368">
            <v>242</v>
          </cell>
          <cell r="K368">
            <v>101</v>
          </cell>
          <cell r="L368">
            <v>103</v>
          </cell>
          <cell r="M368">
            <v>50</v>
          </cell>
          <cell r="N368">
            <v>43</v>
          </cell>
          <cell r="O368">
            <v>34</v>
          </cell>
          <cell r="P368">
            <v>44</v>
          </cell>
          <cell r="Q368">
            <v>52</v>
          </cell>
          <cell r="R368">
            <v>52</v>
          </cell>
          <cell r="S368">
            <v>49</v>
          </cell>
          <cell r="T368">
            <v>0</v>
          </cell>
          <cell r="U368">
            <v>11</v>
          </cell>
          <cell r="V368">
            <v>292</v>
          </cell>
          <cell r="W368">
            <v>101</v>
          </cell>
          <cell r="X368">
            <v>172</v>
          </cell>
          <cell r="Y368">
            <v>75</v>
          </cell>
          <cell r="Z368">
            <v>0</v>
          </cell>
          <cell r="AA368">
            <v>11</v>
          </cell>
          <cell r="AB368">
            <v>106</v>
          </cell>
          <cell r="AC368">
            <v>59</v>
          </cell>
          <cell r="AD368">
            <v>14</v>
          </cell>
          <cell r="AE368">
            <v>21</v>
          </cell>
          <cell r="AF368">
            <v>0</v>
          </cell>
          <cell r="AG368">
            <v>11</v>
          </cell>
          <cell r="AH368">
            <v>0</v>
          </cell>
          <cell r="AI368">
            <v>11</v>
          </cell>
          <cell r="AJ368">
            <v>0</v>
          </cell>
          <cell r="AK368">
            <v>11</v>
          </cell>
          <cell r="AL368">
            <v>6</v>
          </cell>
          <cell r="AM368">
            <v>10</v>
          </cell>
          <cell r="AN368">
            <v>108</v>
          </cell>
          <cell r="AO368">
            <v>50</v>
          </cell>
          <cell r="AP368">
            <v>13</v>
          </cell>
          <cell r="AQ368">
            <v>21</v>
          </cell>
          <cell r="AR368">
            <v>11</v>
          </cell>
          <cell r="AS368">
            <v>19</v>
          </cell>
        </row>
        <row r="369">
          <cell r="B369">
            <v>17031300600</v>
          </cell>
          <cell r="D369">
            <v>1359</v>
          </cell>
          <cell r="E369">
            <v>184</v>
          </cell>
          <cell r="F369">
            <v>840</v>
          </cell>
          <cell r="G369">
            <v>155</v>
          </cell>
          <cell r="H369">
            <v>676</v>
          </cell>
          <cell r="I369">
            <v>134</v>
          </cell>
          <cell r="J369">
            <v>164</v>
          </cell>
          <cell r="K369">
            <v>94</v>
          </cell>
          <cell r="L369">
            <v>88</v>
          </cell>
          <cell r="M369">
            <v>62</v>
          </cell>
          <cell r="N369">
            <v>28</v>
          </cell>
          <cell r="O369">
            <v>32</v>
          </cell>
          <cell r="P369">
            <v>28</v>
          </cell>
          <cell r="Q369">
            <v>30</v>
          </cell>
          <cell r="R369">
            <v>20</v>
          </cell>
          <cell r="S369">
            <v>30</v>
          </cell>
          <cell r="T369">
            <v>0</v>
          </cell>
          <cell r="U369">
            <v>11</v>
          </cell>
          <cell r="V369">
            <v>292</v>
          </cell>
          <cell r="W369">
            <v>106</v>
          </cell>
          <cell r="X369">
            <v>181</v>
          </cell>
          <cell r="Y369">
            <v>78</v>
          </cell>
          <cell r="Z369">
            <v>0</v>
          </cell>
          <cell r="AA369">
            <v>11</v>
          </cell>
          <cell r="AB369">
            <v>89</v>
          </cell>
          <cell r="AC369">
            <v>49</v>
          </cell>
          <cell r="AD369">
            <v>22</v>
          </cell>
          <cell r="AE369">
            <v>26</v>
          </cell>
          <cell r="AF369">
            <v>0</v>
          </cell>
          <cell r="AG369">
            <v>11</v>
          </cell>
          <cell r="AH369">
            <v>0</v>
          </cell>
          <cell r="AI369">
            <v>11</v>
          </cell>
          <cell r="AJ369">
            <v>0</v>
          </cell>
          <cell r="AK369">
            <v>11</v>
          </cell>
          <cell r="AL369">
            <v>53</v>
          </cell>
          <cell r="AM369">
            <v>54</v>
          </cell>
          <cell r="AN369">
            <v>122</v>
          </cell>
          <cell r="AO369">
            <v>66</v>
          </cell>
          <cell r="AP369">
            <v>8</v>
          </cell>
          <cell r="AQ369">
            <v>12</v>
          </cell>
          <cell r="AR369">
            <v>44</v>
          </cell>
          <cell r="AS369">
            <v>49</v>
          </cell>
        </row>
        <row r="370">
          <cell r="B370">
            <v>17031300700</v>
          </cell>
          <cell r="D370">
            <v>1754</v>
          </cell>
          <cell r="E370">
            <v>230</v>
          </cell>
          <cell r="F370">
            <v>1315</v>
          </cell>
          <cell r="G370">
            <v>225</v>
          </cell>
          <cell r="H370">
            <v>806</v>
          </cell>
          <cell r="I370">
            <v>187</v>
          </cell>
          <cell r="J370">
            <v>509</v>
          </cell>
          <cell r="K370">
            <v>180</v>
          </cell>
          <cell r="L370">
            <v>178</v>
          </cell>
          <cell r="M370">
            <v>109</v>
          </cell>
          <cell r="N370">
            <v>39</v>
          </cell>
          <cell r="O370">
            <v>37</v>
          </cell>
          <cell r="P370">
            <v>161</v>
          </cell>
          <cell r="Q370">
            <v>82</v>
          </cell>
          <cell r="R370">
            <v>16</v>
          </cell>
          <cell r="S370">
            <v>26</v>
          </cell>
          <cell r="T370">
            <v>115</v>
          </cell>
          <cell r="U370">
            <v>114</v>
          </cell>
          <cell r="V370">
            <v>270</v>
          </cell>
          <cell r="W370">
            <v>115</v>
          </cell>
          <cell r="X370">
            <v>158</v>
          </cell>
          <cell r="Y370">
            <v>88</v>
          </cell>
          <cell r="Z370">
            <v>0</v>
          </cell>
          <cell r="AA370">
            <v>11</v>
          </cell>
          <cell r="AB370">
            <v>112</v>
          </cell>
          <cell r="AC370">
            <v>70</v>
          </cell>
          <cell r="AD370">
            <v>0</v>
          </cell>
          <cell r="AE370">
            <v>11</v>
          </cell>
          <cell r="AF370">
            <v>0</v>
          </cell>
          <cell r="AG370">
            <v>11</v>
          </cell>
          <cell r="AH370">
            <v>0</v>
          </cell>
          <cell r="AI370">
            <v>11</v>
          </cell>
          <cell r="AJ370">
            <v>0</v>
          </cell>
          <cell r="AK370">
            <v>11</v>
          </cell>
          <cell r="AL370">
            <v>0</v>
          </cell>
          <cell r="AM370">
            <v>11</v>
          </cell>
          <cell r="AN370">
            <v>113</v>
          </cell>
          <cell r="AO370">
            <v>76</v>
          </cell>
          <cell r="AP370">
            <v>24</v>
          </cell>
          <cell r="AQ370">
            <v>39</v>
          </cell>
          <cell r="AR370">
            <v>32</v>
          </cell>
          <cell r="AS370">
            <v>38</v>
          </cell>
        </row>
        <row r="371">
          <cell r="B371">
            <v>17031300800</v>
          </cell>
          <cell r="D371">
            <v>1278</v>
          </cell>
          <cell r="E371">
            <v>170</v>
          </cell>
          <cell r="F371">
            <v>856</v>
          </cell>
          <cell r="G371">
            <v>176</v>
          </cell>
          <cell r="H371">
            <v>610</v>
          </cell>
          <cell r="I371">
            <v>183</v>
          </cell>
          <cell r="J371">
            <v>246</v>
          </cell>
          <cell r="K371">
            <v>99</v>
          </cell>
          <cell r="L371">
            <v>128</v>
          </cell>
          <cell r="M371">
            <v>72</v>
          </cell>
          <cell r="N371">
            <v>79</v>
          </cell>
          <cell r="O371">
            <v>52</v>
          </cell>
          <cell r="P371">
            <v>19</v>
          </cell>
          <cell r="Q371">
            <v>31</v>
          </cell>
          <cell r="R371">
            <v>0</v>
          </cell>
          <cell r="S371">
            <v>11</v>
          </cell>
          <cell r="T371">
            <v>20</v>
          </cell>
          <cell r="U371">
            <v>33</v>
          </cell>
          <cell r="V371">
            <v>319</v>
          </cell>
          <cell r="W371">
            <v>115</v>
          </cell>
          <cell r="X371">
            <v>159</v>
          </cell>
          <cell r="Y371">
            <v>103</v>
          </cell>
          <cell r="Z371">
            <v>18</v>
          </cell>
          <cell r="AA371">
            <v>30</v>
          </cell>
          <cell r="AB371">
            <v>142</v>
          </cell>
          <cell r="AC371">
            <v>73</v>
          </cell>
          <cell r="AD371">
            <v>0</v>
          </cell>
          <cell r="AE371">
            <v>11</v>
          </cell>
          <cell r="AF371">
            <v>0</v>
          </cell>
          <cell r="AG371">
            <v>11</v>
          </cell>
          <cell r="AH371">
            <v>0</v>
          </cell>
          <cell r="AI371">
            <v>11</v>
          </cell>
          <cell r="AJ371">
            <v>0</v>
          </cell>
          <cell r="AK371">
            <v>11</v>
          </cell>
          <cell r="AL371">
            <v>13</v>
          </cell>
          <cell r="AM371">
            <v>22</v>
          </cell>
          <cell r="AN371">
            <v>76</v>
          </cell>
          <cell r="AO371">
            <v>67</v>
          </cell>
          <cell r="AP371">
            <v>0</v>
          </cell>
          <cell r="AQ371">
            <v>11</v>
          </cell>
          <cell r="AR371">
            <v>14</v>
          </cell>
          <cell r="AS371">
            <v>17</v>
          </cell>
        </row>
        <row r="372">
          <cell r="B372">
            <v>17031300900</v>
          </cell>
          <cell r="D372">
            <v>1706</v>
          </cell>
          <cell r="E372">
            <v>235</v>
          </cell>
          <cell r="F372">
            <v>1101</v>
          </cell>
          <cell r="G372">
            <v>200</v>
          </cell>
          <cell r="H372">
            <v>807</v>
          </cell>
          <cell r="I372">
            <v>182</v>
          </cell>
          <cell r="J372">
            <v>294</v>
          </cell>
          <cell r="K372">
            <v>112</v>
          </cell>
          <cell r="L372">
            <v>73</v>
          </cell>
          <cell r="M372">
            <v>65</v>
          </cell>
          <cell r="N372">
            <v>67</v>
          </cell>
          <cell r="O372">
            <v>53</v>
          </cell>
          <cell r="P372">
            <v>77</v>
          </cell>
          <cell r="Q372">
            <v>56</v>
          </cell>
          <cell r="R372">
            <v>77</v>
          </cell>
          <cell r="S372">
            <v>56</v>
          </cell>
          <cell r="T372">
            <v>0</v>
          </cell>
          <cell r="U372">
            <v>11</v>
          </cell>
          <cell r="V372">
            <v>334</v>
          </cell>
          <cell r="W372">
            <v>183</v>
          </cell>
          <cell r="X372">
            <v>169</v>
          </cell>
          <cell r="Y372">
            <v>94</v>
          </cell>
          <cell r="Z372">
            <v>0</v>
          </cell>
          <cell r="AA372">
            <v>11</v>
          </cell>
          <cell r="AB372">
            <v>155</v>
          </cell>
          <cell r="AC372">
            <v>162</v>
          </cell>
          <cell r="AD372">
            <v>10</v>
          </cell>
          <cell r="AE372">
            <v>15</v>
          </cell>
          <cell r="AF372">
            <v>0</v>
          </cell>
          <cell r="AG372">
            <v>11</v>
          </cell>
          <cell r="AH372">
            <v>0</v>
          </cell>
          <cell r="AI372">
            <v>11</v>
          </cell>
          <cell r="AJ372">
            <v>0</v>
          </cell>
          <cell r="AK372">
            <v>11</v>
          </cell>
          <cell r="AL372">
            <v>0</v>
          </cell>
          <cell r="AM372">
            <v>11</v>
          </cell>
          <cell r="AN372">
            <v>203</v>
          </cell>
          <cell r="AO372">
            <v>103</v>
          </cell>
          <cell r="AP372">
            <v>56</v>
          </cell>
          <cell r="AQ372">
            <v>46</v>
          </cell>
          <cell r="AR372">
            <v>12</v>
          </cell>
          <cell r="AS372">
            <v>17</v>
          </cell>
        </row>
        <row r="373">
          <cell r="B373">
            <v>17031301100</v>
          </cell>
          <cell r="D373">
            <v>872</v>
          </cell>
          <cell r="E373">
            <v>136</v>
          </cell>
          <cell r="F373">
            <v>603</v>
          </cell>
          <cell r="G373">
            <v>142</v>
          </cell>
          <cell r="H373">
            <v>501</v>
          </cell>
          <cell r="I373">
            <v>129</v>
          </cell>
          <cell r="J373">
            <v>102</v>
          </cell>
          <cell r="K373">
            <v>60</v>
          </cell>
          <cell r="L373">
            <v>29</v>
          </cell>
          <cell r="M373">
            <v>24</v>
          </cell>
          <cell r="N373">
            <v>56</v>
          </cell>
          <cell r="O373">
            <v>47</v>
          </cell>
          <cell r="P373">
            <v>0</v>
          </cell>
          <cell r="Q373">
            <v>11</v>
          </cell>
          <cell r="R373">
            <v>0</v>
          </cell>
          <cell r="S373">
            <v>11</v>
          </cell>
          <cell r="T373">
            <v>17</v>
          </cell>
          <cell r="U373">
            <v>22</v>
          </cell>
          <cell r="V373">
            <v>130</v>
          </cell>
          <cell r="W373">
            <v>61</v>
          </cell>
          <cell r="X373">
            <v>88</v>
          </cell>
          <cell r="Y373">
            <v>52</v>
          </cell>
          <cell r="Z373">
            <v>0</v>
          </cell>
          <cell r="AA373">
            <v>11</v>
          </cell>
          <cell r="AB373">
            <v>42</v>
          </cell>
          <cell r="AC373">
            <v>28</v>
          </cell>
          <cell r="AD373">
            <v>0</v>
          </cell>
          <cell r="AE373">
            <v>11</v>
          </cell>
          <cell r="AF373">
            <v>0</v>
          </cell>
          <cell r="AG373">
            <v>11</v>
          </cell>
          <cell r="AH373">
            <v>0</v>
          </cell>
          <cell r="AI373">
            <v>11</v>
          </cell>
          <cell r="AJ373">
            <v>0</v>
          </cell>
          <cell r="AK373">
            <v>11</v>
          </cell>
          <cell r="AL373">
            <v>73</v>
          </cell>
          <cell r="AM373">
            <v>55</v>
          </cell>
          <cell r="AN373">
            <v>44</v>
          </cell>
          <cell r="AO373">
            <v>34</v>
          </cell>
          <cell r="AP373">
            <v>0</v>
          </cell>
          <cell r="AQ373">
            <v>11</v>
          </cell>
          <cell r="AR373">
            <v>22</v>
          </cell>
          <cell r="AS373">
            <v>24</v>
          </cell>
        </row>
        <row r="374">
          <cell r="B374">
            <v>17031301200</v>
          </cell>
          <cell r="D374">
            <v>1217</v>
          </cell>
          <cell r="E374">
            <v>205</v>
          </cell>
          <cell r="F374">
            <v>791</v>
          </cell>
          <cell r="G374">
            <v>187</v>
          </cell>
          <cell r="H374">
            <v>606</v>
          </cell>
          <cell r="I374">
            <v>174</v>
          </cell>
          <cell r="J374">
            <v>185</v>
          </cell>
          <cell r="K374">
            <v>103</v>
          </cell>
          <cell r="L374">
            <v>85</v>
          </cell>
          <cell r="M374">
            <v>67</v>
          </cell>
          <cell r="N374">
            <v>53</v>
          </cell>
          <cell r="O374">
            <v>44</v>
          </cell>
          <cell r="P374">
            <v>0</v>
          </cell>
          <cell r="Q374">
            <v>11</v>
          </cell>
          <cell r="R374">
            <v>47</v>
          </cell>
          <cell r="S374">
            <v>74</v>
          </cell>
          <cell r="T374">
            <v>0</v>
          </cell>
          <cell r="U374">
            <v>11</v>
          </cell>
          <cell r="V374">
            <v>334</v>
          </cell>
          <cell r="W374">
            <v>115</v>
          </cell>
          <cell r="X374">
            <v>121</v>
          </cell>
          <cell r="Y374">
            <v>70</v>
          </cell>
          <cell r="Z374">
            <v>0</v>
          </cell>
          <cell r="AA374">
            <v>11</v>
          </cell>
          <cell r="AB374">
            <v>167</v>
          </cell>
          <cell r="AC374">
            <v>99</v>
          </cell>
          <cell r="AD374">
            <v>46</v>
          </cell>
          <cell r="AE374">
            <v>71</v>
          </cell>
          <cell r="AF374">
            <v>0</v>
          </cell>
          <cell r="AG374">
            <v>11</v>
          </cell>
          <cell r="AH374">
            <v>0</v>
          </cell>
          <cell r="AI374">
            <v>11</v>
          </cell>
          <cell r="AJ374">
            <v>9</v>
          </cell>
          <cell r="AK374">
            <v>14</v>
          </cell>
          <cell r="AL374">
            <v>0</v>
          </cell>
          <cell r="AM374">
            <v>11</v>
          </cell>
          <cell r="AN374">
            <v>58</v>
          </cell>
          <cell r="AO374">
            <v>47</v>
          </cell>
          <cell r="AP374">
            <v>0</v>
          </cell>
          <cell r="AQ374">
            <v>11</v>
          </cell>
          <cell r="AR374">
            <v>25</v>
          </cell>
          <cell r="AS374">
            <v>34</v>
          </cell>
        </row>
        <row r="375">
          <cell r="B375">
            <v>17031301600</v>
          </cell>
          <cell r="D375">
            <v>1830</v>
          </cell>
          <cell r="E375">
            <v>268</v>
          </cell>
          <cell r="F375">
            <v>1351</v>
          </cell>
          <cell r="G375">
            <v>258</v>
          </cell>
          <cell r="H375">
            <v>910</v>
          </cell>
          <cell r="I375">
            <v>235</v>
          </cell>
          <cell r="J375">
            <v>441</v>
          </cell>
          <cell r="K375">
            <v>175</v>
          </cell>
          <cell r="L375">
            <v>276</v>
          </cell>
          <cell r="M375">
            <v>142</v>
          </cell>
          <cell r="N375">
            <v>54</v>
          </cell>
          <cell r="O375">
            <v>46</v>
          </cell>
          <cell r="P375">
            <v>26</v>
          </cell>
          <cell r="Q375">
            <v>45</v>
          </cell>
          <cell r="R375">
            <v>25</v>
          </cell>
          <cell r="S375">
            <v>44</v>
          </cell>
          <cell r="T375">
            <v>60</v>
          </cell>
          <cell r="U375">
            <v>59</v>
          </cell>
          <cell r="V375">
            <v>265</v>
          </cell>
          <cell r="W375">
            <v>127</v>
          </cell>
          <cell r="X375">
            <v>239</v>
          </cell>
          <cell r="Y375">
            <v>128</v>
          </cell>
          <cell r="Z375">
            <v>0</v>
          </cell>
          <cell r="AA375">
            <v>15</v>
          </cell>
          <cell r="AB375">
            <v>26</v>
          </cell>
          <cell r="AC375">
            <v>32</v>
          </cell>
          <cell r="AD375">
            <v>0</v>
          </cell>
          <cell r="AE375">
            <v>15</v>
          </cell>
          <cell r="AF375">
            <v>0</v>
          </cell>
          <cell r="AG375">
            <v>15</v>
          </cell>
          <cell r="AH375">
            <v>0</v>
          </cell>
          <cell r="AI375">
            <v>15</v>
          </cell>
          <cell r="AJ375">
            <v>0</v>
          </cell>
          <cell r="AK375">
            <v>15</v>
          </cell>
          <cell r="AL375">
            <v>0</v>
          </cell>
          <cell r="AM375">
            <v>15</v>
          </cell>
          <cell r="AN375">
            <v>124</v>
          </cell>
          <cell r="AO375">
            <v>73</v>
          </cell>
          <cell r="AP375">
            <v>15</v>
          </cell>
          <cell r="AQ375">
            <v>25</v>
          </cell>
          <cell r="AR375">
            <v>75</v>
          </cell>
          <cell r="AS375">
            <v>58</v>
          </cell>
        </row>
        <row r="376">
          <cell r="B376">
            <v>17031301701</v>
          </cell>
          <cell r="D376">
            <v>1710</v>
          </cell>
          <cell r="E376">
            <v>278</v>
          </cell>
          <cell r="F376">
            <v>1409</v>
          </cell>
          <cell r="G376">
            <v>277</v>
          </cell>
          <cell r="H376">
            <v>755</v>
          </cell>
          <cell r="I376">
            <v>245</v>
          </cell>
          <cell r="J376">
            <v>654</v>
          </cell>
          <cell r="K376">
            <v>245</v>
          </cell>
          <cell r="L376">
            <v>351</v>
          </cell>
          <cell r="M376">
            <v>164</v>
          </cell>
          <cell r="N376">
            <v>123</v>
          </cell>
          <cell r="O376">
            <v>77</v>
          </cell>
          <cell r="P376">
            <v>90</v>
          </cell>
          <cell r="Q376">
            <v>146</v>
          </cell>
          <cell r="R376">
            <v>57</v>
          </cell>
          <cell r="S376">
            <v>93</v>
          </cell>
          <cell r="T376">
            <v>33</v>
          </cell>
          <cell r="U376">
            <v>53</v>
          </cell>
          <cell r="V376">
            <v>182</v>
          </cell>
          <cell r="W376">
            <v>113</v>
          </cell>
          <cell r="X376">
            <v>121</v>
          </cell>
          <cell r="Y376">
            <v>97</v>
          </cell>
          <cell r="Z376">
            <v>49</v>
          </cell>
          <cell r="AA376">
            <v>70</v>
          </cell>
          <cell r="AB376">
            <v>0</v>
          </cell>
          <cell r="AC376">
            <v>11</v>
          </cell>
          <cell r="AD376">
            <v>12</v>
          </cell>
          <cell r="AE376">
            <v>21</v>
          </cell>
          <cell r="AF376">
            <v>0</v>
          </cell>
          <cell r="AG376">
            <v>11</v>
          </cell>
          <cell r="AH376">
            <v>0</v>
          </cell>
          <cell r="AI376">
            <v>11</v>
          </cell>
          <cell r="AJ376">
            <v>0</v>
          </cell>
          <cell r="AK376">
            <v>11</v>
          </cell>
          <cell r="AL376">
            <v>0</v>
          </cell>
          <cell r="AM376">
            <v>11</v>
          </cell>
          <cell r="AN376">
            <v>68</v>
          </cell>
          <cell r="AO376">
            <v>52</v>
          </cell>
          <cell r="AP376">
            <v>0</v>
          </cell>
          <cell r="AQ376">
            <v>11</v>
          </cell>
          <cell r="AR376">
            <v>51</v>
          </cell>
          <cell r="AS376">
            <v>59</v>
          </cell>
        </row>
        <row r="377">
          <cell r="B377">
            <v>17031301702</v>
          </cell>
          <cell r="D377">
            <v>1816</v>
          </cell>
          <cell r="E377">
            <v>295</v>
          </cell>
          <cell r="F377">
            <v>1424</v>
          </cell>
          <cell r="G377">
            <v>229</v>
          </cell>
          <cell r="H377">
            <v>786</v>
          </cell>
          <cell r="I377">
            <v>163</v>
          </cell>
          <cell r="J377">
            <v>638</v>
          </cell>
          <cell r="K377">
            <v>172</v>
          </cell>
          <cell r="L377">
            <v>312</v>
          </cell>
          <cell r="M377">
            <v>116</v>
          </cell>
          <cell r="N377">
            <v>157</v>
          </cell>
          <cell r="O377">
            <v>94</v>
          </cell>
          <cell r="P377">
            <v>134</v>
          </cell>
          <cell r="Q377">
            <v>82</v>
          </cell>
          <cell r="R377">
            <v>0</v>
          </cell>
          <cell r="S377">
            <v>11</v>
          </cell>
          <cell r="T377">
            <v>35</v>
          </cell>
          <cell r="U377">
            <v>40</v>
          </cell>
          <cell r="V377">
            <v>232</v>
          </cell>
          <cell r="W377">
            <v>116</v>
          </cell>
          <cell r="X377">
            <v>125</v>
          </cell>
          <cell r="Y377">
            <v>58</v>
          </cell>
          <cell r="Z377">
            <v>22</v>
          </cell>
          <cell r="AA377">
            <v>34</v>
          </cell>
          <cell r="AB377">
            <v>69</v>
          </cell>
          <cell r="AC377">
            <v>67</v>
          </cell>
          <cell r="AD377">
            <v>16</v>
          </cell>
          <cell r="AE377">
            <v>25</v>
          </cell>
          <cell r="AF377">
            <v>0</v>
          </cell>
          <cell r="AG377">
            <v>11</v>
          </cell>
          <cell r="AH377">
            <v>0</v>
          </cell>
          <cell r="AI377">
            <v>11</v>
          </cell>
          <cell r="AJ377">
            <v>0</v>
          </cell>
          <cell r="AK377">
            <v>11</v>
          </cell>
          <cell r="AL377">
            <v>0</v>
          </cell>
          <cell r="AM377">
            <v>11</v>
          </cell>
          <cell r="AN377">
            <v>109</v>
          </cell>
          <cell r="AO377">
            <v>75</v>
          </cell>
          <cell r="AP377">
            <v>8</v>
          </cell>
          <cell r="AQ377">
            <v>14</v>
          </cell>
          <cell r="AR377">
            <v>43</v>
          </cell>
          <cell r="AS377">
            <v>36</v>
          </cell>
        </row>
        <row r="378">
          <cell r="B378">
            <v>17031301801</v>
          </cell>
          <cell r="D378">
            <v>1682</v>
          </cell>
          <cell r="E378">
            <v>290</v>
          </cell>
          <cell r="F378">
            <v>1395</v>
          </cell>
          <cell r="G378">
            <v>254</v>
          </cell>
          <cell r="H378">
            <v>1013</v>
          </cell>
          <cell r="I378">
            <v>215</v>
          </cell>
          <cell r="J378">
            <v>382</v>
          </cell>
          <cell r="K378">
            <v>140</v>
          </cell>
          <cell r="L378">
            <v>329</v>
          </cell>
          <cell r="M378">
            <v>128</v>
          </cell>
          <cell r="N378">
            <v>18</v>
          </cell>
          <cell r="O378">
            <v>23</v>
          </cell>
          <cell r="P378">
            <v>18</v>
          </cell>
          <cell r="Q378">
            <v>27</v>
          </cell>
          <cell r="R378">
            <v>17</v>
          </cell>
          <cell r="S378">
            <v>28</v>
          </cell>
          <cell r="T378">
            <v>0</v>
          </cell>
          <cell r="U378">
            <v>11</v>
          </cell>
          <cell r="V378">
            <v>155</v>
          </cell>
          <cell r="W378">
            <v>103</v>
          </cell>
          <cell r="X378">
            <v>90</v>
          </cell>
          <cell r="Y378">
            <v>80</v>
          </cell>
          <cell r="Z378">
            <v>0</v>
          </cell>
          <cell r="AA378">
            <v>11</v>
          </cell>
          <cell r="AB378">
            <v>65</v>
          </cell>
          <cell r="AC378">
            <v>53</v>
          </cell>
          <cell r="AD378">
            <v>0</v>
          </cell>
          <cell r="AE378">
            <v>11</v>
          </cell>
          <cell r="AF378">
            <v>0</v>
          </cell>
          <cell r="AG378">
            <v>11</v>
          </cell>
          <cell r="AH378">
            <v>0</v>
          </cell>
          <cell r="AI378">
            <v>11</v>
          </cell>
          <cell r="AJ378">
            <v>0</v>
          </cell>
          <cell r="AK378">
            <v>11</v>
          </cell>
          <cell r="AL378">
            <v>0</v>
          </cell>
          <cell r="AM378">
            <v>11</v>
          </cell>
          <cell r="AN378">
            <v>108</v>
          </cell>
          <cell r="AO378">
            <v>76</v>
          </cell>
          <cell r="AP378">
            <v>0</v>
          </cell>
          <cell r="AQ378">
            <v>11</v>
          </cell>
          <cell r="AR378">
            <v>24</v>
          </cell>
          <cell r="AS378">
            <v>38</v>
          </cell>
        </row>
        <row r="379">
          <cell r="B379">
            <v>17031301802</v>
          </cell>
          <cell r="D379">
            <v>1297</v>
          </cell>
          <cell r="E379">
            <v>164</v>
          </cell>
          <cell r="F379">
            <v>873</v>
          </cell>
          <cell r="G379">
            <v>171</v>
          </cell>
          <cell r="H379">
            <v>617</v>
          </cell>
          <cell r="I379">
            <v>148</v>
          </cell>
          <cell r="J379">
            <v>256</v>
          </cell>
          <cell r="K379">
            <v>98</v>
          </cell>
          <cell r="L379">
            <v>110</v>
          </cell>
          <cell r="M379">
            <v>59</v>
          </cell>
          <cell r="N379">
            <v>32</v>
          </cell>
          <cell r="O379">
            <v>40</v>
          </cell>
          <cell r="P379">
            <v>69</v>
          </cell>
          <cell r="Q379">
            <v>48</v>
          </cell>
          <cell r="R379">
            <v>37</v>
          </cell>
          <cell r="S379">
            <v>36</v>
          </cell>
          <cell r="T379">
            <v>8</v>
          </cell>
          <cell r="U379">
            <v>14</v>
          </cell>
          <cell r="V379">
            <v>185</v>
          </cell>
          <cell r="W379">
            <v>70</v>
          </cell>
          <cell r="X379">
            <v>157</v>
          </cell>
          <cell r="Y379">
            <v>70</v>
          </cell>
          <cell r="Z379">
            <v>0</v>
          </cell>
          <cell r="AA379">
            <v>11</v>
          </cell>
          <cell r="AB379">
            <v>28</v>
          </cell>
          <cell r="AC379">
            <v>25</v>
          </cell>
          <cell r="AD379">
            <v>0</v>
          </cell>
          <cell r="AE379">
            <v>11</v>
          </cell>
          <cell r="AF379">
            <v>0</v>
          </cell>
          <cell r="AG379">
            <v>11</v>
          </cell>
          <cell r="AH379">
            <v>0</v>
          </cell>
          <cell r="AI379">
            <v>11</v>
          </cell>
          <cell r="AJ379">
            <v>0</v>
          </cell>
          <cell r="AK379">
            <v>11</v>
          </cell>
          <cell r="AL379">
            <v>0</v>
          </cell>
          <cell r="AM379">
            <v>11</v>
          </cell>
          <cell r="AN379">
            <v>167</v>
          </cell>
          <cell r="AO379">
            <v>70</v>
          </cell>
          <cell r="AP379">
            <v>0</v>
          </cell>
          <cell r="AQ379">
            <v>11</v>
          </cell>
          <cell r="AR379">
            <v>72</v>
          </cell>
          <cell r="AS379">
            <v>64</v>
          </cell>
        </row>
        <row r="380">
          <cell r="B380">
            <v>17031301803</v>
          </cell>
          <cell r="D380">
            <v>2174</v>
          </cell>
          <cell r="E380">
            <v>307</v>
          </cell>
          <cell r="F380">
            <v>1601</v>
          </cell>
          <cell r="G380">
            <v>283</v>
          </cell>
          <cell r="H380">
            <v>1185</v>
          </cell>
          <cell r="I380">
            <v>238</v>
          </cell>
          <cell r="J380">
            <v>416</v>
          </cell>
          <cell r="K380">
            <v>129</v>
          </cell>
          <cell r="L380">
            <v>260</v>
          </cell>
          <cell r="M380">
            <v>101</v>
          </cell>
          <cell r="N380">
            <v>0</v>
          </cell>
          <cell r="O380">
            <v>15</v>
          </cell>
          <cell r="P380">
            <v>65</v>
          </cell>
          <cell r="Q380">
            <v>80</v>
          </cell>
          <cell r="R380">
            <v>63</v>
          </cell>
          <cell r="S380">
            <v>75</v>
          </cell>
          <cell r="T380">
            <v>28</v>
          </cell>
          <cell r="U380">
            <v>42</v>
          </cell>
          <cell r="V380">
            <v>232</v>
          </cell>
          <cell r="W380">
            <v>113</v>
          </cell>
          <cell r="X380">
            <v>104</v>
          </cell>
          <cell r="Y380">
            <v>73</v>
          </cell>
          <cell r="Z380">
            <v>0</v>
          </cell>
          <cell r="AA380">
            <v>15</v>
          </cell>
          <cell r="AB380">
            <v>128</v>
          </cell>
          <cell r="AC380">
            <v>89</v>
          </cell>
          <cell r="AD380">
            <v>0</v>
          </cell>
          <cell r="AE380">
            <v>15</v>
          </cell>
          <cell r="AF380">
            <v>0</v>
          </cell>
          <cell r="AG380">
            <v>15</v>
          </cell>
          <cell r="AH380">
            <v>0</v>
          </cell>
          <cell r="AI380">
            <v>15</v>
          </cell>
          <cell r="AJ380">
            <v>0</v>
          </cell>
          <cell r="AK380">
            <v>15</v>
          </cell>
          <cell r="AL380">
            <v>29</v>
          </cell>
          <cell r="AM380">
            <v>41</v>
          </cell>
          <cell r="AN380">
            <v>177</v>
          </cell>
          <cell r="AO380">
            <v>116</v>
          </cell>
          <cell r="AP380">
            <v>37</v>
          </cell>
          <cell r="AQ380">
            <v>39</v>
          </cell>
          <cell r="AR380">
            <v>98</v>
          </cell>
          <cell r="AS380">
            <v>74</v>
          </cell>
        </row>
        <row r="381">
          <cell r="B381">
            <v>17031310200</v>
          </cell>
          <cell r="D381">
            <v>982</v>
          </cell>
          <cell r="E381">
            <v>152</v>
          </cell>
          <cell r="F381">
            <v>673</v>
          </cell>
          <cell r="G381">
            <v>148</v>
          </cell>
          <cell r="H381">
            <v>509</v>
          </cell>
          <cell r="I381">
            <v>125</v>
          </cell>
          <cell r="J381">
            <v>164</v>
          </cell>
          <cell r="K381">
            <v>71</v>
          </cell>
          <cell r="L381">
            <v>92</v>
          </cell>
          <cell r="M381">
            <v>47</v>
          </cell>
          <cell r="N381">
            <v>0</v>
          </cell>
          <cell r="O381">
            <v>11</v>
          </cell>
          <cell r="P381">
            <v>72</v>
          </cell>
          <cell r="Q381">
            <v>54</v>
          </cell>
          <cell r="R381">
            <v>0</v>
          </cell>
          <cell r="S381">
            <v>11</v>
          </cell>
          <cell r="T381">
            <v>0</v>
          </cell>
          <cell r="U381">
            <v>11</v>
          </cell>
          <cell r="V381">
            <v>121</v>
          </cell>
          <cell r="W381">
            <v>54</v>
          </cell>
          <cell r="X381">
            <v>101</v>
          </cell>
          <cell r="Y381">
            <v>52</v>
          </cell>
          <cell r="Z381">
            <v>0</v>
          </cell>
          <cell r="AA381">
            <v>11</v>
          </cell>
          <cell r="AB381">
            <v>20</v>
          </cell>
          <cell r="AC381">
            <v>18</v>
          </cell>
          <cell r="AD381">
            <v>0</v>
          </cell>
          <cell r="AE381">
            <v>11</v>
          </cell>
          <cell r="AF381">
            <v>0</v>
          </cell>
          <cell r="AG381">
            <v>11</v>
          </cell>
          <cell r="AH381">
            <v>0</v>
          </cell>
          <cell r="AI381">
            <v>11</v>
          </cell>
          <cell r="AJ381">
            <v>0</v>
          </cell>
          <cell r="AK381">
            <v>11</v>
          </cell>
          <cell r="AL381">
            <v>56</v>
          </cell>
          <cell r="AM381">
            <v>37</v>
          </cell>
          <cell r="AN381">
            <v>63</v>
          </cell>
          <cell r="AO381">
            <v>41</v>
          </cell>
          <cell r="AP381">
            <v>26</v>
          </cell>
          <cell r="AQ381">
            <v>39</v>
          </cell>
          <cell r="AR381">
            <v>43</v>
          </cell>
          <cell r="AS381">
            <v>27</v>
          </cell>
        </row>
        <row r="382">
          <cell r="B382">
            <v>17031310300</v>
          </cell>
          <cell r="D382">
            <v>941</v>
          </cell>
          <cell r="E382">
            <v>154</v>
          </cell>
          <cell r="F382">
            <v>546</v>
          </cell>
          <cell r="G382">
            <v>110</v>
          </cell>
          <cell r="H382">
            <v>480</v>
          </cell>
          <cell r="I382">
            <v>94</v>
          </cell>
          <cell r="J382">
            <v>66</v>
          </cell>
          <cell r="K382">
            <v>45</v>
          </cell>
          <cell r="L382">
            <v>50</v>
          </cell>
          <cell r="M382">
            <v>33</v>
          </cell>
          <cell r="N382">
            <v>16</v>
          </cell>
          <cell r="O382">
            <v>24</v>
          </cell>
          <cell r="P382">
            <v>0</v>
          </cell>
          <cell r="Q382">
            <v>11</v>
          </cell>
          <cell r="R382">
            <v>0</v>
          </cell>
          <cell r="S382">
            <v>11</v>
          </cell>
          <cell r="T382">
            <v>0</v>
          </cell>
          <cell r="U382">
            <v>11</v>
          </cell>
          <cell r="V382">
            <v>210</v>
          </cell>
          <cell r="W382">
            <v>72</v>
          </cell>
          <cell r="X382">
            <v>151</v>
          </cell>
          <cell r="Y382">
            <v>65</v>
          </cell>
          <cell r="Z382">
            <v>0</v>
          </cell>
          <cell r="AA382">
            <v>11</v>
          </cell>
          <cell r="AB382">
            <v>59</v>
          </cell>
          <cell r="AC382">
            <v>41</v>
          </cell>
          <cell r="AD382">
            <v>0</v>
          </cell>
          <cell r="AE382">
            <v>11</v>
          </cell>
          <cell r="AF382">
            <v>0</v>
          </cell>
          <cell r="AG382">
            <v>11</v>
          </cell>
          <cell r="AH382">
            <v>4</v>
          </cell>
          <cell r="AI382">
            <v>7</v>
          </cell>
          <cell r="AJ382">
            <v>0</v>
          </cell>
          <cell r="AK382">
            <v>11</v>
          </cell>
          <cell r="AL382">
            <v>88</v>
          </cell>
          <cell r="AM382">
            <v>92</v>
          </cell>
          <cell r="AN382">
            <v>47</v>
          </cell>
          <cell r="AO382">
            <v>32</v>
          </cell>
          <cell r="AP382">
            <v>5</v>
          </cell>
          <cell r="AQ382">
            <v>7</v>
          </cell>
          <cell r="AR382">
            <v>41</v>
          </cell>
          <cell r="AS382">
            <v>24</v>
          </cell>
        </row>
        <row r="383">
          <cell r="B383">
            <v>17031310400</v>
          </cell>
          <cell r="D383">
            <v>610</v>
          </cell>
          <cell r="E383">
            <v>102</v>
          </cell>
          <cell r="F383">
            <v>396</v>
          </cell>
          <cell r="G383">
            <v>94</v>
          </cell>
          <cell r="H383">
            <v>315</v>
          </cell>
          <cell r="I383">
            <v>88</v>
          </cell>
          <cell r="J383">
            <v>81</v>
          </cell>
          <cell r="K383">
            <v>48</v>
          </cell>
          <cell r="L383">
            <v>81</v>
          </cell>
          <cell r="M383">
            <v>48</v>
          </cell>
          <cell r="N383">
            <v>0</v>
          </cell>
          <cell r="O383">
            <v>11</v>
          </cell>
          <cell r="P383">
            <v>0</v>
          </cell>
          <cell r="Q383">
            <v>11</v>
          </cell>
          <cell r="R383">
            <v>0</v>
          </cell>
          <cell r="S383">
            <v>11</v>
          </cell>
          <cell r="T383">
            <v>0</v>
          </cell>
          <cell r="U383">
            <v>11</v>
          </cell>
          <cell r="V383">
            <v>140</v>
          </cell>
          <cell r="W383">
            <v>60</v>
          </cell>
          <cell r="X383">
            <v>82</v>
          </cell>
          <cell r="Y383">
            <v>43</v>
          </cell>
          <cell r="Z383">
            <v>13</v>
          </cell>
          <cell r="AA383">
            <v>20</v>
          </cell>
          <cell r="AB383">
            <v>45</v>
          </cell>
          <cell r="AC383">
            <v>31</v>
          </cell>
          <cell r="AD383">
            <v>0</v>
          </cell>
          <cell r="AE383">
            <v>11</v>
          </cell>
          <cell r="AF383">
            <v>0</v>
          </cell>
          <cell r="AG383">
            <v>11</v>
          </cell>
          <cell r="AH383">
            <v>0</v>
          </cell>
          <cell r="AI383">
            <v>11</v>
          </cell>
          <cell r="AJ383">
            <v>0</v>
          </cell>
          <cell r="AK383">
            <v>11</v>
          </cell>
          <cell r="AL383">
            <v>49</v>
          </cell>
          <cell r="AM383">
            <v>49</v>
          </cell>
          <cell r="AN383">
            <v>25</v>
          </cell>
          <cell r="AO383">
            <v>24</v>
          </cell>
          <cell r="AP383">
            <v>0</v>
          </cell>
          <cell r="AQ383">
            <v>11</v>
          </cell>
          <cell r="AR383">
            <v>0</v>
          </cell>
          <cell r="AS383">
            <v>11</v>
          </cell>
        </row>
        <row r="384">
          <cell r="B384">
            <v>17031310500</v>
          </cell>
          <cell r="D384">
            <v>755</v>
          </cell>
          <cell r="E384">
            <v>197</v>
          </cell>
          <cell r="F384">
            <v>426</v>
          </cell>
          <cell r="G384">
            <v>158</v>
          </cell>
          <cell r="H384">
            <v>370</v>
          </cell>
          <cell r="I384">
            <v>127</v>
          </cell>
          <cell r="J384">
            <v>56</v>
          </cell>
          <cell r="K384">
            <v>44</v>
          </cell>
          <cell r="L384">
            <v>56</v>
          </cell>
          <cell r="M384">
            <v>44</v>
          </cell>
          <cell r="N384">
            <v>0</v>
          </cell>
          <cell r="O384">
            <v>11</v>
          </cell>
          <cell r="P384">
            <v>0</v>
          </cell>
          <cell r="Q384">
            <v>11</v>
          </cell>
          <cell r="R384">
            <v>0</v>
          </cell>
          <cell r="S384">
            <v>11</v>
          </cell>
          <cell r="T384">
            <v>0</v>
          </cell>
          <cell r="U384">
            <v>11</v>
          </cell>
          <cell r="V384">
            <v>106</v>
          </cell>
          <cell r="W384">
            <v>55</v>
          </cell>
          <cell r="X384">
            <v>81</v>
          </cell>
          <cell r="Y384">
            <v>58</v>
          </cell>
          <cell r="Z384">
            <v>0</v>
          </cell>
          <cell r="AA384">
            <v>11</v>
          </cell>
          <cell r="AB384">
            <v>25</v>
          </cell>
          <cell r="AC384">
            <v>24</v>
          </cell>
          <cell r="AD384">
            <v>0</v>
          </cell>
          <cell r="AE384">
            <v>11</v>
          </cell>
          <cell r="AF384">
            <v>0</v>
          </cell>
          <cell r="AG384">
            <v>11</v>
          </cell>
          <cell r="AH384">
            <v>6</v>
          </cell>
          <cell r="AI384">
            <v>9</v>
          </cell>
          <cell r="AJ384">
            <v>0</v>
          </cell>
          <cell r="AK384">
            <v>11</v>
          </cell>
          <cell r="AL384">
            <v>83</v>
          </cell>
          <cell r="AM384">
            <v>54</v>
          </cell>
          <cell r="AN384">
            <v>93</v>
          </cell>
          <cell r="AO384">
            <v>78</v>
          </cell>
          <cell r="AP384">
            <v>18</v>
          </cell>
          <cell r="AQ384">
            <v>29</v>
          </cell>
          <cell r="AR384">
            <v>23</v>
          </cell>
          <cell r="AS384">
            <v>28</v>
          </cell>
        </row>
        <row r="385">
          <cell r="B385">
            <v>17031310600</v>
          </cell>
          <cell r="D385">
            <v>2248</v>
          </cell>
          <cell r="E385">
            <v>306</v>
          </cell>
          <cell r="F385">
            <v>1053</v>
          </cell>
          <cell r="G385">
            <v>264</v>
          </cell>
          <cell r="H385">
            <v>922</v>
          </cell>
          <cell r="I385">
            <v>265</v>
          </cell>
          <cell r="J385">
            <v>131</v>
          </cell>
          <cell r="K385">
            <v>84</v>
          </cell>
          <cell r="L385">
            <v>104</v>
          </cell>
          <cell r="M385">
            <v>82</v>
          </cell>
          <cell r="N385">
            <v>0</v>
          </cell>
          <cell r="O385">
            <v>11</v>
          </cell>
          <cell r="P385">
            <v>15</v>
          </cell>
          <cell r="Q385">
            <v>24</v>
          </cell>
          <cell r="R385">
            <v>12</v>
          </cell>
          <cell r="S385">
            <v>23</v>
          </cell>
          <cell r="T385">
            <v>0</v>
          </cell>
          <cell r="U385">
            <v>11</v>
          </cell>
          <cell r="V385">
            <v>781</v>
          </cell>
          <cell r="W385">
            <v>218</v>
          </cell>
          <cell r="X385">
            <v>646</v>
          </cell>
          <cell r="Y385">
            <v>218</v>
          </cell>
          <cell r="Z385">
            <v>23</v>
          </cell>
          <cell r="AA385">
            <v>34</v>
          </cell>
          <cell r="AB385">
            <v>112</v>
          </cell>
          <cell r="AC385">
            <v>84</v>
          </cell>
          <cell r="AD385">
            <v>0</v>
          </cell>
          <cell r="AE385">
            <v>11</v>
          </cell>
          <cell r="AF385">
            <v>0</v>
          </cell>
          <cell r="AG385">
            <v>11</v>
          </cell>
          <cell r="AH385">
            <v>31</v>
          </cell>
          <cell r="AI385">
            <v>45</v>
          </cell>
          <cell r="AJ385">
            <v>0</v>
          </cell>
          <cell r="AK385">
            <v>11</v>
          </cell>
          <cell r="AL385">
            <v>171</v>
          </cell>
          <cell r="AM385">
            <v>102</v>
          </cell>
          <cell r="AN385">
            <v>106</v>
          </cell>
          <cell r="AO385">
            <v>80</v>
          </cell>
          <cell r="AP385">
            <v>30</v>
          </cell>
          <cell r="AQ385">
            <v>48</v>
          </cell>
          <cell r="AR385">
            <v>76</v>
          </cell>
          <cell r="AS385">
            <v>70</v>
          </cell>
        </row>
        <row r="386">
          <cell r="B386">
            <v>17031310700</v>
          </cell>
          <cell r="D386">
            <v>695</v>
          </cell>
          <cell r="E386">
            <v>156</v>
          </cell>
          <cell r="F386">
            <v>249</v>
          </cell>
          <cell r="G386">
            <v>89</v>
          </cell>
          <cell r="H386">
            <v>224</v>
          </cell>
          <cell r="I386">
            <v>83</v>
          </cell>
          <cell r="J386">
            <v>25</v>
          </cell>
          <cell r="K386">
            <v>24</v>
          </cell>
          <cell r="L386">
            <v>25</v>
          </cell>
          <cell r="M386">
            <v>24</v>
          </cell>
          <cell r="N386">
            <v>0</v>
          </cell>
          <cell r="O386">
            <v>11</v>
          </cell>
          <cell r="P386">
            <v>0</v>
          </cell>
          <cell r="Q386">
            <v>11</v>
          </cell>
          <cell r="R386">
            <v>0</v>
          </cell>
          <cell r="S386">
            <v>11</v>
          </cell>
          <cell r="T386">
            <v>0</v>
          </cell>
          <cell r="U386">
            <v>11</v>
          </cell>
          <cell r="V386">
            <v>222</v>
          </cell>
          <cell r="W386">
            <v>77</v>
          </cell>
          <cell r="X386">
            <v>152</v>
          </cell>
          <cell r="Y386">
            <v>57</v>
          </cell>
          <cell r="Z386">
            <v>0</v>
          </cell>
          <cell r="AA386">
            <v>11</v>
          </cell>
          <cell r="AB386">
            <v>70</v>
          </cell>
          <cell r="AC386">
            <v>39</v>
          </cell>
          <cell r="AD386">
            <v>0</v>
          </cell>
          <cell r="AE386">
            <v>11</v>
          </cell>
          <cell r="AF386">
            <v>0</v>
          </cell>
          <cell r="AG386">
            <v>11</v>
          </cell>
          <cell r="AH386">
            <v>0</v>
          </cell>
          <cell r="AI386">
            <v>11</v>
          </cell>
          <cell r="AJ386">
            <v>0</v>
          </cell>
          <cell r="AK386">
            <v>11</v>
          </cell>
          <cell r="AL386">
            <v>113</v>
          </cell>
          <cell r="AM386">
            <v>43</v>
          </cell>
          <cell r="AN386">
            <v>60</v>
          </cell>
          <cell r="AO386">
            <v>41</v>
          </cell>
          <cell r="AP386">
            <v>0</v>
          </cell>
          <cell r="AQ386">
            <v>11</v>
          </cell>
          <cell r="AR386">
            <v>51</v>
          </cell>
          <cell r="AS386">
            <v>42</v>
          </cell>
        </row>
        <row r="387">
          <cell r="B387">
            <v>17031310800</v>
          </cell>
          <cell r="D387">
            <v>2194</v>
          </cell>
          <cell r="E387">
            <v>320</v>
          </cell>
          <cell r="F387">
            <v>1099</v>
          </cell>
          <cell r="G387">
            <v>266</v>
          </cell>
          <cell r="H387">
            <v>702</v>
          </cell>
          <cell r="I387">
            <v>215</v>
          </cell>
          <cell r="J387">
            <v>397</v>
          </cell>
          <cell r="K387">
            <v>158</v>
          </cell>
          <cell r="L387">
            <v>284</v>
          </cell>
          <cell r="M387">
            <v>145</v>
          </cell>
          <cell r="N387">
            <v>51</v>
          </cell>
          <cell r="O387">
            <v>56</v>
          </cell>
          <cell r="P387">
            <v>46</v>
          </cell>
          <cell r="Q387">
            <v>38</v>
          </cell>
          <cell r="R387">
            <v>0</v>
          </cell>
          <cell r="S387">
            <v>11</v>
          </cell>
          <cell r="T387">
            <v>16</v>
          </cell>
          <cell r="U387">
            <v>27</v>
          </cell>
          <cell r="V387">
            <v>869</v>
          </cell>
          <cell r="W387">
            <v>232</v>
          </cell>
          <cell r="X387">
            <v>303</v>
          </cell>
          <cell r="Y387">
            <v>183</v>
          </cell>
          <cell r="Z387">
            <v>51</v>
          </cell>
          <cell r="AA387">
            <v>51</v>
          </cell>
          <cell r="AB387">
            <v>483</v>
          </cell>
          <cell r="AC387">
            <v>169</v>
          </cell>
          <cell r="AD387">
            <v>32</v>
          </cell>
          <cell r="AE387">
            <v>30</v>
          </cell>
          <cell r="AF387">
            <v>0</v>
          </cell>
          <cell r="AG387">
            <v>11</v>
          </cell>
          <cell r="AH387">
            <v>0</v>
          </cell>
          <cell r="AI387">
            <v>11</v>
          </cell>
          <cell r="AJ387">
            <v>0</v>
          </cell>
          <cell r="AK387">
            <v>11</v>
          </cell>
          <cell r="AL387">
            <v>90</v>
          </cell>
          <cell r="AM387">
            <v>57</v>
          </cell>
          <cell r="AN387">
            <v>83</v>
          </cell>
          <cell r="AO387">
            <v>67</v>
          </cell>
          <cell r="AP387">
            <v>20</v>
          </cell>
          <cell r="AQ387">
            <v>37</v>
          </cell>
          <cell r="AR387">
            <v>33</v>
          </cell>
          <cell r="AS387">
            <v>51</v>
          </cell>
        </row>
        <row r="388">
          <cell r="B388">
            <v>17031310900</v>
          </cell>
          <cell r="D388">
            <v>2182</v>
          </cell>
          <cell r="E388">
            <v>267</v>
          </cell>
          <cell r="F388">
            <v>1197</v>
          </cell>
          <cell r="G388">
            <v>220</v>
          </cell>
          <cell r="H388">
            <v>986</v>
          </cell>
          <cell r="I388">
            <v>180</v>
          </cell>
          <cell r="J388">
            <v>211</v>
          </cell>
          <cell r="K388">
            <v>126</v>
          </cell>
          <cell r="L388">
            <v>124</v>
          </cell>
          <cell r="M388">
            <v>78</v>
          </cell>
          <cell r="N388">
            <v>23</v>
          </cell>
          <cell r="O388">
            <v>38</v>
          </cell>
          <cell r="P388">
            <v>19</v>
          </cell>
          <cell r="Q388">
            <v>31</v>
          </cell>
          <cell r="R388">
            <v>45</v>
          </cell>
          <cell r="S388">
            <v>72</v>
          </cell>
          <cell r="T388">
            <v>0</v>
          </cell>
          <cell r="U388">
            <v>15</v>
          </cell>
          <cell r="V388">
            <v>774</v>
          </cell>
          <cell r="W388">
            <v>191</v>
          </cell>
          <cell r="X388">
            <v>271</v>
          </cell>
          <cell r="Y388">
            <v>133</v>
          </cell>
          <cell r="Z388">
            <v>0</v>
          </cell>
          <cell r="AA388">
            <v>15</v>
          </cell>
          <cell r="AB388">
            <v>431</v>
          </cell>
          <cell r="AC388">
            <v>132</v>
          </cell>
          <cell r="AD388">
            <v>72</v>
          </cell>
          <cell r="AE388">
            <v>75</v>
          </cell>
          <cell r="AF388">
            <v>0</v>
          </cell>
          <cell r="AG388">
            <v>15</v>
          </cell>
          <cell r="AH388">
            <v>0</v>
          </cell>
          <cell r="AI388">
            <v>15</v>
          </cell>
          <cell r="AJ388">
            <v>9</v>
          </cell>
          <cell r="AK388">
            <v>13</v>
          </cell>
          <cell r="AL388">
            <v>113</v>
          </cell>
          <cell r="AM388">
            <v>73</v>
          </cell>
          <cell r="AN388">
            <v>78</v>
          </cell>
          <cell r="AO388">
            <v>58</v>
          </cell>
          <cell r="AP388">
            <v>0</v>
          </cell>
          <cell r="AQ388">
            <v>15</v>
          </cell>
          <cell r="AR388">
            <v>11</v>
          </cell>
          <cell r="AS388">
            <v>17</v>
          </cell>
        </row>
        <row r="389">
          <cell r="B389">
            <v>17031320100</v>
          </cell>
          <cell r="D389">
            <v>7549</v>
          </cell>
          <cell r="E389">
            <v>723</v>
          </cell>
          <cell r="F389">
            <v>1718</v>
          </cell>
          <cell r="G389">
            <v>446</v>
          </cell>
          <cell r="H389">
            <v>1486</v>
          </cell>
          <cell r="I389">
            <v>401</v>
          </cell>
          <cell r="J389">
            <v>232</v>
          </cell>
          <cell r="K389">
            <v>257</v>
          </cell>
          <cell r="L389">
            <v>66</v>
          </cell>
          <cell r="M389">
            <v>83</v>
          </cell>
          <cell r="N389">
            <v>166</v>
          </cell>
          <cell r="O389">
            <v>243</v>
          </cell>
          <cell r="P389">
            <v>0</v>
          </cell>
          <cell r="Q389">
            <v>17</v>
          </cell>
          <cell r="R389">
            <v>0</v>
          </cell>
          <cell r="S389">
            <v>17</v>
          </cell>
          <cell r="T389">
            <v>0</v>
          </cell>
          <cell r="U389">
            <v>17</v>
          </cell>
          <cell r="V389">
            <v>1247</v>
          </cell>
          <cell r="W389">
            <v>429</v>
          </cell>
          <cell r="X389">
            <v>519</v>
          </cell>
          <cell r="Y389">
            <v>297</v>
          </cell>
          <cell r="Z389">
            <v>0</v>
          </cell>
          <cell r="AA389">
            <v>17</v>
          </cell>
          <cell r="AB389">
            <v>315</v>
          </cell>
          <cell r="AC389">
            <v>236</v>
          </cell>
          <cell r="AD389">
            <v>413</v>
          </cell>
          <cell r="AE389">
            <v>240</v>
          </cell>
          <cell r="AF389">
            <v>0</v>
          </cell>
          <cell r="AG389">
            <v>17</v>
          </cell>
          <cell r="AH389">
            <v>230</v>
          </cell>
          <cell r="AI389">
            <v>261</v>
          </cell>
          <cell r="AJ389">
            <v>0</v>
          </cell>
          <cell r="AK389">
            <v>17</v>
          </cell>
          <cell r="AL389">
            <v>99</v>
          </cell>
          <cell r="AM389">
            <v>114</v>
          </cell>
          <cell r="AN389">
            <v>3431</v>
          </cell>
          <cell r="AO389">
            <v>561</v>
          </cell>
          <cell r="AP389">
            <v>2</v>
          </cell>
          <cell r="AQ389">
            <v>5</v>
          </cell>
          <cell r="AR389">
            <v>822</v>
          </cell>
          <cell r="AS389">
            <v>316</v>
          </cell>
        </row>
        <row r="390">
          <cell r="B390">
            <v>17031320400</v>
          </cell>
          <cell r="D390">
            <v>1202</v>
          </cell>
          <cell r="E390">
            <v>221</v>
          </cell>
          <cell r="F390">
            <v>210</v>
          </cell>
          <cell r="G390">
            <v>58</v>
          </cell>
          <cell r="H390">
            <v>173</v>
          </cell>
          <cell r="I390">
            <v>49</v>
          </cell>
          <cell r="J390">
            <v>37</v>
          </cell>
          <cell r="K390">
            <v>36</v>
          </cell>
          <cell r="L390">
            <v>37</v>
          </cell>
          <cell r="M390">
            <v>36</v>
          </cell>
          <cell r="N390">
            <v>0</v>
          </cell>
          <cell r="O390">
            <v>11</v>
          </cell>
          <cell r="P390">
            <v>0</v>
          </cell>
          <cell r="Q390">
            <v>11</v>
          </cell>
          <cell r="R390">
            <v>0</v>
          </cell>
          <cell r="S390">
            <v>11</v>
          </cell>
          <cell r="T390">
            <v>0</v>
          </cell>
          <cell r="U390">
            <v>11</v>
          </cell>
          <cell r="V390">
            <v>274</v>
          </cell>
          <cell r="W390">
            <v>106</v>
          </cell>
          <cell r="X390">
            <v>40</v>
          </cell>
          <cell r="Y390">
            <v>26</v>
          </cell>
          <cell r="Z390">
            <v>0</v>
          </cell>
          <cell r="AA390">
            <v>11</v>
          </cell>
          <cell r="AB390">
            <v>202</v>
          </cell>
          <cell r="AC390">
            <v>103</v>
          </cell>
          <cell r="AD390">
            <v>32</v>
          </cell>
          <cell r="AE390">
            <v>23</v>
          </cell>
          <cell r="AF390">
            <v>0</v>
          </cell>
          <cell r="AG390">
            <v>11</v>
          </cell>
          <cell r="AH390">
            <v>14</v>
          </cell>
          <cell r="AI390">
            <v>17</v>
          </cell>
          <cell r="AJ390">
            <v>0</v>
          </cell>
          <cell r="AK390">
            <v>11</v>
          </cell>
          <cell r="AL390">
            <v>0</v>
          </cell>
          <cell r="AM390">
            <v>11</v>
          </cell>
          <cell r="AN390">
            <v>574</v>
          </cell>
          <cell r="AO390">
            <v>153</v>
          </cell>
          <cell r="AP390">
            <v>18</v>
          </cell>
          <cell r="AQ390">
            <v>15</v>
          </cell>
          <cell r="AR390">
            <v>112</v>
          </cell>
          <cell r="AS390">
            <v>81</v>
          </cell>
        </row>
        <row r="391">
          <cell r="B391">
            <v>17031320600</v>
          </cell>
          <cell r="D391">
            <v>3400</v>
          </cell>
          <cell r="E391">
            <v>384</v>
          </cell>
          <cell r="F391">
            <v>1171</v>
          </cell>
          <cell r="G391">
            <v>284</v>
          </cell>
          <cell r="H391">
            <v>1062</v>
          </cell>
          <cell r="I391">
            <v>281</v>
          </cell>
          <cell r="J391">
            <v>109</v>
          </cell>
          <cell r="K391">
            <v>82</v>
          </cell>
          <cell r="L391">
            <v>92</v>
          </cell>
          <cell r="M391">
            <v>78</v>
          </cell>
          <cell r="N391">
            <v>0</v>
          </cell>
          <cell r="O391">
            <v>11</v>
          </cell>
          <cell r="P391">
            <v>17</v>
          </cell>
          <cell r="Q391">
            <v>27</v>
          </cell>
          <cell r="R391">
            <v>0</v>
          </cell>
          <cell r="S391">
            <v>11</v>
          </cell>
          <cell r="T391">
            <v>0</v>
          </cell>
          <cell r="U391">
            <v>11</v>
          </cell>
          <cell r="V391">
            <v>746</v>
          </cell>
          <cell r="W391">
            <v>209</v>
          </cell>
          <cell r="X391">
            <v>272</v>
          </cell>
          <cell r="Y391">
            <v>126</v>
          </cell>
          <cell r="Z391">
            <v>12</v>
          </cell>
          <cell r="AA391">
            <v>19</v>
          </cell>
          <cell r="AB391">
            <v>415</v>
          </cell>
          <cell r="AC391">
            <v>171</v>
          </cell>
          <cell r="AD391">
            <v>47</v>
          </cell>
          <cell r="AE391">
            <v>52</v>
          </cell>
          <cell r="AF391">
            <v>0</v>
          </cell>
          <cell r="AG391">
            <v>11</v>
          </cell>
          <cell r="AH391">
            <v>35</v>
          </cell>
          <cell r="AI391">
            <v>45</v>
          </cell>
          <cell r="AJ391">
            <v>0</v>
          </cell>
          <cell r="AK391">
            <v>11</v>
          </cell>
          <cell r="AL391">
            <v>96</v>
          </cell>
          <cell r="AM391">
            <v>64</v>
          </cell>
          <cell r="AN391">
            <v>1023</v>
          </cell>
          <cell r="AO391">
            <v>239</v>
          </cell>
          <cell r="AP391">
            <v>64</v>
          </cell>
          <cell r="AQ391">
            <v>52</v>
          </cell>
          <cell r="AR391">
            <v>265</v>
          </cell>
          <cell r="AS391">
            <v>219</v>
          </cell>
        </row>
        <row r="392">
          <cell r="B392">
            <v>17031330100</v>
          </cell>
          <cell r="D392">
            <v>12810</v>
          </cell>
          <cell r="E392">
            <v>1190</v>
          </cell>
          <cell r="F392">
            <v>6339</v>
          </cell>
          <cell r="G392">
            <v>847</v>
          </cell>
          <cell r="H392">
            <v>5390</v>
          </cell>
          <cell r="I392">
            <v>780</v>
          </cell>
          <cell r="J392">
            <v>949</v>
          </cell>
          <cell r="K392">
            <v>466</v>
          </cell>
          <cell r="L392">
            <v>864</v>
          </cell>
          <cell r="M392">
            <v>476</v>
          </cell>
          <cell r="N392">
            <v>85</v>
          </cell>
          <cell r="O392">
            <v>96</v>
          </cell>
          <cell r="P392">
            <v>0</v>
          </cell>
          <cell r="Q392">
            <v>17</v>
          </cell>
          <cell r="R392">
            <v>0</v>
          </cell>
          <cell r="S392">
            <v>17</v>
          </cell>
          <cell r="T392">
            <v>0</v>
          </cell>
          <cell r="U392">
            <v>17</v>
          </cell>
          <cell r="V392">
            <v>3278</v>
          </cell>
          <cell r="W392">
            <v>675</v>
          </cell>
          <cell r="X392">
            <v>2090</v>
          </cell>
          <cell r="Y392">
            <v>577</v>
          </cell>
          <cell r="Z392">
            <v>0</v>
          </cell>
          <cell r="AA392">
            <v>17</v>
          </cell>
          <cell r="AB392">
            <v>1127</v>
          </cell>
          <cell r="AC392">
            <v>525</v>
          </cell>
          <cell r="AD392">
            <v>61</v>
          </cell>
          <cell r="AE392">
            <v>76</v>
          </cell>
          <cell r="AF392">
            <v>0</v>
          </cell>
          <cell r="AG392">
            <v>17</v>
          </cell>
          <cell r="AH392">
            <v>645</v>
          </cell>
          <cell r="AI392">
            <v>355</v>
          </cell>
          <cell r="AJ392">
            <v>0</v>
          </cell>
          <cell r="AK392">
            <v>17</v>
          </cell>
          <cell r="AL392">
            <v>308</v>
          </cell>
          <cell r="AM392">
            <v>166</v>
          </cell>
          <cell r="AN392">
            <v>1245</v>
          </cell>
          <cell r="AO392">
            <v>450</v>
          </cell>
          <cell r="AP392">
            <v>127</v>
          </cell>
          <cell r="AQ392">
            <v>115</v>
          </cell>
          <cell r="AR392">
            <v>868</v>
          </cell>
          <cell r="AS392">
            <v>418</v>
          </cell>
        </row>
        <row r="393">
          <cell r="B393">
            <v>17031330200</v>
          </cell>
          <cell r="D393">
            <v>1977</v>
          </cell>
          <cell r="E393">
            <v>206</v>
          </cell>
          <cell r="F393">
            <v>1020</v>
          </cell>
          <cell r="G393">
            <v>180</v>
          </cell>
          <cell r="H393">
            <v>857</v>
          </cell>
          <cell r="I393">
            <v>157</v>
          </cell>
          <cell r="J393">
            <v>163</v>
          </cell>
          <cell r="K393">
            <v>96</v>
          </cell>
          <cell r="L393">
            <v>141</v>
          </cell>
          <cell r="M393">
            <v>92</v>
          </cell>
          <cell r="N393">
            <v>10</v>
          </cell>
          <cell r="O393">
            <v>15</v>
          </cell>
          <cell r="P393">
            <v>0</v>
          </cell>
          <cell r="Q393">
            <v>11</v>
          </cell>
          <cell r="R393">
            <v>12</v>
          </cell>
          <cell r="S393">
            <v>20</v>
          </cell>
          <cell r="T393">
            <v>0</v>
          </cell>
          <cell r="U393">
            <v>11</v>
          </cell>
          <cell r="V393">
            <v>490</v>
          </cell>
          <cell r="W393">
            <v>117</v>
          </cell>
          <cell r="X393">
            <v>227</v>
          </cell>
          <cell r="Y393">
            <v>78</v>
          </cell>
          <cell r="Z393">
            <v>0</v>
          </cell>
          <cell r="AA393">
            <v>11</v>
          </cell>
          <cell r="AB393">
            <v>231</v>
          </cell>
          <cell r="AC393">
            <v>71</v>
          </cell>
          <cell r="AD393">
            <v>32</v>
          </cell>
          <cell r="AE393">
            <v>42</v>
          </cell>
          <cell r="AF393">
            <v>0</v>
          </cell>
          <cell r="AG393">
            <v>11</v>
          </cell>
          <cell r="AH393">
            <v>29</v>
          </cell>
          <cell r="AI393">
            <v>27</v>
          </cell>
          <cell r="AJ393">
            <v>0</v>
          </cell>
          <cell r="AK393">
            <v>11</v>
          </cell>
          <cell r="AL393">
            <v>68</v>
          </cell>
          <cell r="AM393">
            <v>42</v>
          </cell>
          <cell r="AN393">
            <v>259</v>
          </cell>
          <cell r="AO393">
            <v>91</v>
          </cell>
          <cell r="AP393">
            <v>0</v>
          </cell>
          <cell r="AQ393">
            <v>11</v>
          </cell>
          <cell r="AR393">
            <v>111</v>
          </cell>
          <cell r="AS393">
            <v>73</v>
          </cell>
        </row>
        <row r="394">
          <cell r="B394">
            <v>17031340300</v>
          </cell>
          <cell r="D394">
            <v>687</v>
          </cell>
          <cell r="E394">
            <v>94</v>
          </cell>
          <cell r="F394">
            <v>443</v>
          </cell>
          <cell r="G394">
            <v>94</v>
          </cell>
          <cell r="H394">
            <v>305</v>
          </cell>
          <cell r="I394">
            <v>73</v>
          </cell>
          <cell r="J394">
            <v>138</v>
          </cell>
          <cell r="K394">
            <v>59</v>
          </cell>
          <cell r="L394">
            <v>42</v>
          </cell>
          <cell r="M394">
            <v>36</v>
          </cell>
          <cell r="N394">
            <v>30</v>
          </cell>
          <cell r="O394">
            <v>23</v>
          </cell>
          <cell r="P394">
            <v>6</v>
          </cell>
          <cell r="Q394">
            <v>9</v>
          </cell>
          <cell r="R394">
            <v>35</v>
          </cell>
          <cell r="S394">
            <v>30</v>
          </cell>
          <cell r="T394">
            <v>25</v>
          </cell>
          <cell r="U394">
            <v>25</v>
          </cell>
          <cell r="V394">
            <v>129</v>
          </cell>
          <cell r="W394">
            <v>56</v>
          </cell>
          <cell r="X394">
            <v>97</v>
          </cell>
          <cell r="Y394">
            <v>49</v>
          </cell>
          <cell r="Z394">
            <v>0</v>
          </cell>
          <cell r="AA394">
            <v>11</v>
          </cell>
          <cell r="AB394">
            <v>32</v>
          </cell>
          <cell r="AC394">
            <v>31</v>
          </cell>
          <cell r="AD394">
            <v>0</v>
          </cell>
          <cell r="AE394">
            <v>11</v>
          </cell>
          <cell r="AF394">
            <v>0</v>
          </cell>
          <cell r="AG394">
            <v>11</v>
          </cell>
          <cell r="AH394">
            <v>0</v>
          </cell>
          <cell r="AI394">
            <v>11</v>
          </cell>
          <cell r="AJ394">
            <v>0</v>
          </cell>
          <cell r="AK394">
            <v>11</v>
          </cell>
          <cell r="AL394">
            <v>0</v>
          </cell>
          <cell r="AM394">
            <v>11</v>
          </cell>
          <cell r="AN394">
            <v>104</v>
          </cell>
          <cell r="AO394">
            <v>47</v>
          </cell>
          <cell r="AP394">
            <v>7</v>
          </cell>
          <cell r="AQ394">
            <v>17</v>
          </cell>
          <cell r="AR394">
            <v>4</v>
          </cell>
          <cell r="AS394">
            <v>7</v>
          </cell>
        </row>
        <row r="395">
          <cell r="B395">
            <v>17031340400</v>
          </cell>
          <cell r="D395">
            <v>950</v>
          </cell>
          <cell r="E395">
            <v>141</v>
          </cell>
          <cell r="F395">
            <v>413</v>
          </cell>
          <cell r="G395">
            <v>114</v>
          </cell>
          <cell r="H395">
            <v>216</v>
          </cell>
          <cell r="I395">
            <v>72</v>
          </cell>
          <cell r="J395">
            <v>197</v>
          </cell>
          <cell r="K395">
            <v>86</v>
          </cell>
          <cell r="L395">
            <v>56</v>
          </cell>
          <cell r="M395">
            <v>42</v>
          </cell>
          <cell r="N395">
            <v>70</v>
          </cell>
          <cell r="O395">
            <v>56</v>
          </cell>
          <cell r="P395">
            <v>0</v>
          </cell>
          <cell r="Q395">
            <v>11</v>
          </cell>
          <cell r="R395">
            <v>71</v>
          </cell>
          <cell r="S395">
            <v>50</v>
          </cell>
          <cell r="T395">
            <v>0</v>
          </cell>
          <cell r="U395">
            <v>11</v>
          </cell>
          <cell r="V395">
            <v>304</v>
          </cell>
          <cell r="W395">
            <v>108</v>
          </cell>
          <cell r="X395">
            <v>195</v>
          </cell>
          <cell r="Y395">
            <v>80</v>
          </cell>
          <cell r="Z395">
            <v>0</v>
          </cell>
          <cell r="AA395">
            <v>11</v>
          </cell>
          <cell r="AB395">
            <v>104</v>
          </cell>
          <cell r="AC395">
            <v>84</v>
          </cell>
          <cell r="AD395">
            <v>5</v>
          </cell>
          <cell r="AE395">
            <v>8</v>
          </cell>
          <cell r="AF395">
            <v>0</v>
          </cell>
          <cell r="AG395">
            <v>11</v>
          </cell>
          <cell r="AH395">
            <v>0</v>
          </cell>
          <cell r="AI395">
            <v>11</v>
          </cell>
          <cell r="AJ395">
            <v>0</v>
          </cell>
          <cell r="AK395">
            <v>11</v>
          </cell>
          <cell r="AL395">
            <v>11</v>
          </cell>
          <cell r="AM395">
            <v>12</v>
          </cell>
          <cell r="AN395">
            <v>212</v>
          </cell>
          <cell r="AO395">
            <v>83</v>
          </cell>
          <cell r="AP395">
            <v>5</v>
          </cell>
          <cell r="AQ395">
            <v>8</v>
          </cell>
          <cell r="AR395">
            <v>5</v>
          </cell>
          <cell r="AS395">
            <v>7</v>
          </cell>
        </row>
        <row r="396">
          <cell r="B396">
            <v>17031340500</v>
          </cell>
          <cell r="D396">
            <v>657</v>
          </cell>
          <cell r="E396">
            <v>127</v>
          </cell>
          <cell r="F396">
            <v>370</v>
          </cell>
          <cell r="G396">
            <v>120</v>
          </cell>
          <cell r="H396">
            <v>313</v>
          </cell>
          <cell r="I396">
            <v>108</v>
          </cell>
          <cell r="J396">
            <v>57</v>
          </cell>
          <cell r="K396">
            <v>50</v>
          </cell>
          <cell r="L396">
            <v>50</v>
          </cell>
          <cell r="M396">
            <v>49</v>
          </cell>
          <cell r="N396">
            <v>0</v>
          </cell>
          <cell r="O396">
            <v>11</v>
          </cell>
          <cell r="P396">
            <v>0</v>
          </cell>
          <cell r="Q396">
            <v>11</v>
          </cell>
          <cell r="R396">
            <v>7</v>
          </cell>
          <cell r="S396">
            <v>9</v>
          </cell>
          <cell r="T396">
            <v>0</v>
          </cell>
          <cell r="U396">
            <v>11</v>
          </cell>
          <cell r="V396">
            <v>131</v>
          </cell>
          <cell r="W396">
            <v>58</v>
          </cell>
          <cell r="X396">
            <v>35</v>
          </cell>
          <cell r="Y396">
            <v>27</v>
          </cell>
          <cell r="Z396">
            <v>0</v>
          </cell>
          <cell r="AA396">
            <v>11</v>
          </cell>
          <cell r="AB396">
            <v>96</v>
          </cell>
          <cell r="AC396">
            <v>51</v>
          </cell>
          <cell r="AD396">
            <v>0</v>
          </cell>
          <cell r="AE396">
            <v>11</v>
          </cell>
          <cell r="AF396">
            <v>0</v>
          </cell>
          <cell r="AG396">
            <v>11</v>
          </cell>
          <cell r="AH396">
            <v>0</v>
          </cell>
          <cell r="AI396">
            <v>11</v>
          </cell>
          <cell r="AJ396">
            <v>0</v>
          </cell>
          <cell r="AK396">
            <v>11</v>
          </cell>
          <cell r="AL396">
            <v>40</v>
          </cell>
          <cell r="AM396">
            <v>32</v>
          </cell>
          <cell r="AN396">
            <v>108</v>
          </cell>
          <cell r="AO396">
            <v>51</v>
          </cell>
          <cell r="AP396">
            <v>0</v>
          </cell>
          <cell r="AQ396">
            <v>11</v>
          </cell>
          <cell r="AR396">
            <v>8</v>
          </cell>
          <cell r="AS396">
            <v>10</v>
          </cell>
        </row>
        <row r="397">
          <cell r="B397">
            <v>17031340600</v>
          </cell>
          <cell r="D397">
            <v>163</v>
          </cell>
          <cell r="E397">
            <v>53</v>
          </cell>
          <cell r="F397">
            <v>74</v>
          </cell>
          <cell r="G397">
            <v>45</v>
          </cell>
          <cell r="H397">
            <v>69</v>
          </cell>
          <cell r="I397">
            <v>44</v>
          </cell>
          <cell r="J397">
            <v>5</v>
          </cell>
          <cell r="K397">
            <v>8</v>
          </cell>
          <cell r="L397">
            <v>5</v>
          </cell>
          <cell r="M397">
            <v>8</v>
          </cell>
          <cell r="N397">
            <v>0</v>
          </cell>
          <cell r="O397">
            <v>11</v>
          </cell>
          <cell r="P397">
            <v>0</v>
          </cell>
          <cell r="Q397">
            <v>11</v>
          </cell>
          <cell r="R397">
            <v>0</v>
          </cell>
          <cell r="S397">
            <v>11</v>
          </cell>
          <cell r="T397">
            <v>0</v>
          </cell>
          <cell r="U397">
            <v>11</v>
          </cell>
          <cell r="V397">
            <v>71</v>
          </cell>
          <cell r="W397">
            <v>33</v>
          </cell>
          <cell r="X397">
            <v>52</v>
          </cell>
          <cell r="Y397">
            <v>32</v>
          </cell>
          <cell r="Z397">
            <v>0</v>
          </cell>
          <cell r="AA397">
            <v>11</v>
          </cell>
          <cell r="AB397">
            <v>19</v>
          </cell>
          <cell r="AC397">
            <v>16</v>
          </cell>
          <cell r="AD397">
            <v>0</v>
          </cell>
          <cell r="AE397">
            <v>11</v>
          </cell>
          <cell r="AF397">
            <v>0</v>
          </cell>
          <cell r="AG397">
            <v>11</v>
          </cell>
          <cell r="AH397">
            <v>0</v>
          </cell>
          <cell r="AI397">
            <v>11</v>
          </cell>
          <cell r="AJ397">
            <v>0</v>
          </cell>
          <cell r="AK397">
            <v>11</v>
          </cell>
          <cell r="AL397">
            <v>0</v>
          </cell>
          <cell r="AM397">
            <v>11</v>
          </cell>
          <cell r="AN397">
            <v>18</v>
          </cell>
          <cell r="AO397">
            <v>15</v>
          </cell>
          <cell r="AP397">
            <v>0</v>
          </cell>
          <cell r="AQ397">
            <v>11</v>
          </cell>
          <cell r="AR397">
            <v>0</v>
          </cell>
          <cell r="AS397">
            <v>11</v>
          </cell>
        </row>
        <row r="398">
          <cell r="B398">
            <v>17031350100</v>
          </cell>
          <cell r="D398">
            <v>1066</v>
          </cell>
          <cell r="E398">
            <v>144</v>
          </cell>
          <cell r="F398">
            <v>451</v>
          </cell>
          <cell r="G398">
            <v>121</v>
          </cell>
          <cell r="H398">
            <v>389</v>
          </cell>
          <cell r="I398">
            <v>118</v>
          </cell>
          <cell r="J398">
            <v>62</v>
          </cell>
          <cell r="K398">
            <v>40</v>
          </cell>
          <cell r="L398">
            <v>37</v>
          </cell>
          <cell r="M398">
            <v>35</v>
          </cell>
          <cell r="N398">
            <v>17</v>
          </cell>
          <cell r="O398">
            <v>20</v>
          </cell>
          <cell r="P398">
            <v>8</v>
          </cell>
          <cell r="Q398">
            <v>13</v>
          </cell>
          <cell r="R398">
            <v>0</v>
          </cell>
          <cell r="S398">
            <v>11</v>
          </cell>
          <cell r="T398">
            <v>0</v>
          </cell>
          <cell r="U398">
            <v>11</v>
          </cell>
          <cell r="V398">
            <v>558</v>
          </cell>
          <cell r="W398">
            <v>123</v>
          </cell>
          <cell r="X398">
            <v>470</v>
          </cell>
          <cell r="Y398">
            <v>118</v>
          </cell>
          <cell r="Z398">
            <v>32</v>
          </cell>
          <cell r="AA398">
            <v>48</v>
          </cell>
          <cell r="AB398">
            <v>38</v>
          </cell>
          <cell r="AC398">
            <v>36</v>
          </cell>
          <cell r="AD398">
            <v>18</v>
          </cell>
          <cell r="AE398">
            <v>30</v>
          </cell>
          <cell r="AF398">
            <v>0</v>
          </cell>
          <cell r="AG398">
            <v>11</v>
          </cell>
          <cell r="AH398">
            <v>0</v>
          </cell>
          <cell r="AI398">
            <v>11</v>
          </cell>
          <cell r="AJ398">
            <v>0</v>
          </cell>
          <cell r="AK398">
            <v>11</v>
          </cell>
          <cell r="AL398">
            <v>9</v>
          </cell>
          <cell r="AM398">
            <v>15</v>
          </cell>
          <cell r="AN398">
            <v>37</v>
          </cell>
          <cell r="AO398">
            <v>49</v>
          </cell>
          <cell r="AP398">
            <v>0</v>
          </cell>
          <cell r="AQ398">
            <v>11</v>
          </cell>
          <cell r="AR398">
            <v>11</v>
          </cell>
          <cell r="AS398">
            <v>17</v>
          </cell>
        </row>
        <row r="399">
          <cell r="B399">
            <v>17031350400</v>
          </cell>
          <cell r="D399">
            <v>369</v>
          </cell>
          <cell r="E399">
            <v>71</v>
          </cell>
          <cell r="F399">
            <v>124</v>
          </cell>
          <cell r="G399">
            <v>51</v>
          </cell>
          <cell r="H399">
            <v>117</v>
          </cell>
          <cell r="I399">
            <v>51</v>
          </cell>
          <cell r="J399">
            <v>7</v>
          </cell>
          <cell r="K399">
            <v>9</v>
          </cell>
          <cell r="L399">
            <v>7</v>
          </cell>
          <cell r="M399">
            <v>9</v>
          </cell>
          <cell r="N399">
            <v>0</v>
          </cell>
          <cell r="O399">
            <v>11</v>
          </cell>
          <cell r="P399">
            <v>0</v>
          </cell>
          <cell r="Q399">
            <v>11</v>
          </cell>
          <cell r="R399">
            <v>0</v>
          </cell>
          <cell r="S399">
            <v>11</v>
          </cell>
          <cell r="T399">
            <v>0</v>
          </cell>
          <cell r="U399">
            <v>11</v>
          </cell>
          <cell r="V399">
            <v>211</v>
          </cell>
          <cell r="W399">
            <v>55</v>
          </cell>
          <cell r="X399">
            <v>176</v>
          </cell>
          <cell r="Y399">
            <v>45</v>
          </cell>
          <cell r="Z399">
            <v>0</v>
          </cell>
          <cell r="AA399">
            <v>11</v>
          </cell>
          <cell r="AB399">
            <v>35</v>
          </cell>
          <cell r="AC399">
            <v>25</v>
          </cell>
          <cell r="AD399">
            <v>0</v>
          </cell>
          <cell r="AE399">
            <v>11</v>
          </cell>
          <cell r="AF399">
            <v>0</v>
          </cell>
          <cell r="AG399">
            <v>11</v>
          </cell>
          <cell r="AH399">
            <v>0</v>
          </cell>
          <cell r="AI399">
            <v>11</v>
          </cell>
          <cell r="AJ399">
            <v>0</v>
          </cell>
          <cell r="AK399">
            <v>11</v>
          </cell>
          <cell r="AL399">
            <v>0</v>
          </cell>
          <cell r="AM399">
            <v>11</v>
          </cell>
          <cell r="AN399">
            <v>19</v>
          </cell>
          <cell r="AO399">
            <v>20</v>
          </cell>
          <cell r="AP399">
            <v>0</v>
          </cell>
          <cell r="AQ399">
            <v>11</v>
          </cell>
          <cell r="AR399">
            <v>15</v>
          </cell>
          <cell r="AS399">
            <v>12</v>
          </cell>
        </row>
        <row r="400">
          <cell r="B400">
            <v>17031351000</v>
          </cell>
          <cell r="D400">
            <v>2173</v>
          </cell>
          <cell r="E400">
            <v>240</v>
          </cell>
          <cell r="F400">
            <v>1114</v>
          </cell>
          <cell r="G400">
            <v>211</v>
          </cell>
          <cell r="H400">
            <v>980</v>
          </cell>
          <cell r="I400">
            <v>212</v>
          </cell>
          <cell r="J400">
            <v>134</v>
          </cell>
          <cell r="K400">
            <v>92</v>
          </cell>
          <cell r="L400">
            <v>73</v>
          </cell>
          <cell r="M400">
            <v>66</v>
          </cell>
          <cell r="N400">
            <v>27</v>
          </cell>
          <cell r="O400">
            <v>44</v>
          </cell>
          <cell r="P400">
            <v>0</v>
          </cell>
          <cell r="Q400">
            <v>11</v>
          </cell>
          <cell r="R400">
            <v>34</v>
          </cell>
          <cell r="S400">
            <v>47</v>
          </cell>
          <cell r="T400">
            <v>0</v>
          </cell>
          <cell r="U400">
            <v>11</v>
          </cell>
          <cell r="V400">
            <v>808</v>
          </cell>
          <cell r="W400">
            <v>257</v>
          </cell>
          <cell r="X400">
            <v>659</v>
          </cell>
          <cell r="Y400">
            <v>233</v>
          </cell>
          <cell r="Z400">
            <v>0</v>
          </cell>
          <cell r="AA400">
            <v>11</v>
          </cell>
          <cell r="AB400">
            <v>149</v>
          </cell>
          <cell r="AC400">
            <v>120</v>
          </cell>
          <cell r="AD400">
            <v>0</v>
          </cell>
          <cell r="AE400">
            <v>11</v>
          </cell>
          <cell r="AF400">
            <v>0</v>
          </cell>
          <cell r="AG400">
            <v>11</v>
          </cell>
          <cell r="AH400">
            <v>0</v>
          </cell>
          <cell r="AI400">
            <v>11</v>
          </cell>
          <cell r="AJ400">
            <v>0</v>
          </cell>
          <cell r="AK400">
            <v>11</v>
          </cell>
          <cell r="AL400">
            <v>22</v>
          </cell>
          <cell r="AM400">
            <v>28</v>
          </cell>
          <cell r="AN400">
            <v>90</v>
          </cell>
          <cell r="AO400">
            <v>84</v>
          </cell>
          <cell r="AP400">
            <v>0</v>
          </cell>
          <cell r="AQ400">
            <v>11</v>
          </cell>
          <cell r="AR400">
            <v>139</v>
          </cell>
          <cell r="AS400">
            <v>136</v>
          </cell>
        </row>
        <row r="401">
          <cell r="B401">
            <v>17031351100</v>
          </cell>
          <cell r="D401">
            <v>441</v>
          </cell>
          <cell r="E401">
            <v>111</v>
          </cell>
          <cell r="F401">
            <v>228</v>
          </cell>
          <cell r="G401">
            <v>75</v>
          </cell>
          <cell r="H401">
            <v>215</v>
          </cell>
          <cell r="I401">
            <v>72</v>
          </cell>
          <cell r="J401">
            <v>13</v>
          </cell>
          <cell r="K401">
            <v>15</v>
          </cell>
          <cell r="L401">
            <v>8</v>
          </cell>
          <cell r="M401">
            <v>13</v>
          </cell>
          <cell r="N401">
            <v>0</v>
          </cell>
          <cell r="O401">
            <v>11</v>
          </cell>
          <cell r="P401">
            <v>0</v>
          </cell>
          <cell r="Q401">
            <v>11</v>
          </cell>
          <cell r="R401">
            <v>5</v>
          </cell>
          <cell r="S401">
            <v>8</v>
          </cell>
          <cell r="T401">
            <v>0</v>
          </cell>
          <cell r="U401">
            <v>11</v>
          </cell>
          <cell r="V401">
            <v>174</v>
          </cell>
          <cell r="W401">
            <v>65</v>
          </cell>
          <cell r="X401">
            <v>135</v>
          </cell>
          <cell r="Y401">
            <v>60</v>
          </cell>
          <cell r="Z401">
            <v>0</v>
          </cell>
          <cell r="AA401">
            <v>11</v>
          </cell>
          <cell r="AB401">
            <v>39</v>
          </cell>
          <cell r="AC401">
            <v>33</v>
          </cell>
          <cell r="AD401">
            <v>0</v>
          </cell>
          <cell r="AE401">
            <v>11</v>
          </cell>
          <cell r="AF401">
            <v>0</v>
          </cell>
          <cell r="AG401">
            <v>11</v>
          </cell>
          <cell r="AH401">
            <v>19</v>
          </cell>
          <cell r="AI401">
            <v>21</v>
          </cell>
          <cell r="AJ401">
            <v>0</v>
          </cell>
          <cell r="AK401">
            <v>11</v>
          </cell>
          <cell r="AL401">
            <v>0</v>
          </cell>
          <cell r="AM401">
            <v>11</v>
          </cell>
          <cell r="AN401">
            <v>0</v>
          </cell>
          <cell r="AO401">
            <v>11</v>
          </cell>
          <cell r="AP401">
            <v>0</v>
          </cell>
          <cell r="AQ401">
            <v>11</v>
          </cell>
          <cell r="AR401">
            <v>20</v>
          </cell>
          <cell r="AS401">
            <v>30</v>
          </cell>
        </row>
        <row r="402">
          <cell r="B402">
            <v>17031351400</v>
          </cell>
          <cell r="D402">
            <v>406</v>
          </cell>
          <cell r="E402">
            <v>103</v>
          </cell>
          <cell r="F402">
            <v>128</v>
          </cell>
          <cell r="G402">
            <v>57</v>
          </cell>
          <cell r="H402">
            <v>114</v>
          </cell>
          <cell r="I402">
            <v>54</v>
          </cell>
          <cell r="J402">
            <v>14</v>
          </cell>
          <cell r="K402">
            <v>17</v>
          </cell>
          <cell r="L402">
            <v>14</v>
          </cell>
          <cell r="M402">
            <v>17</v>
          </cell>
          <cell r="N402">
            <v>0</v>
          </cell>
          <cell r="O402">
            <v>11</v>
          </cell>
          <cell r="P402">
            <v>0</v>
          </cell>
          <cell r="Q402">
            <v>11</v>
          </cell>
          <cell r="R402">
            <v>0</v>
          </cell>
          <cell r="S402">
            <v>11</v>
          </cell>
          <cell r="T402">
            <v>0</v>
          </cell>
          <cell r="U402">
            <v>11</v>
          </cell>
          <cell r="V402">
            <v>202</v>
          </cell>
          <cell r="W402">
            <v>80</v>
          </cell>
          <cell r="X402">
            <v>30</v>
          </cell>
          <cell r="Y402">
            <v>22</v>
          </cell>
          <cell r="Z402">
            <v>0</v>
          </cell>
          <cell r="AA402">
            <v>11</v>
          </cell>
          <cell r="AB402">
            <v>172</v>
          </cell>
          <cell r="AC402">
            <v>77</v>
          </cell>
          <cell r="AD402">
            <v>0</v>
          </cell>
          <cell r="AE402">
            <v>11</v>
          </cell>
          <cell r="AF402">
            <v>0</v>
          </cell>
          <cell r="AG402">
            <v>11</v>
          </cell>
          <cell r="AH402">
            <v>0</v>
          </cell>
          <cell r="AI402">
            <v>11</v>
          </cell>
          <cell r="AJ402">
            <v>0</v>
          </cell>
          <cell r="AK402">
            <v>11</v>
          </cell>
          <cell r="AL402">
            <v>0</v>
          </cell>
          <cell r="AM402">
            <v>11</v>
          </cell>
          <cell r="AN402">
            <v>66</v>
          </cell>
          <cell r="AO402">
            <v>34</v>
          </cell>
          <cell r="AP402">
            <v>10</v>
          </cell>
          <cell r="AQ402">
            <v>16</v>
          </cell>
          <cell r="AR402">
            <v>0</v>
          </cell>
          <cell r="AS402">
            <v>11</v>
          </cell>
        </row>
        <row r="403">
          <cell r="B403">
            <v>17031351500</v>
          </cell>
          <cell r="D403">
            <v>193</v>
          </cell>
          <cell r="E403">
            <v>51</v>
          </cell>
          <cell r="F403">
            <v>87</v>
          </cell>
          <cell r="G403">
            <v>33</v>
          </cell>
          <cell r="H403">
            <v>67</v>
          </cell>
          <cell r="I403">
            <v>28</v>
          </cell>
          <cell r="J403">
            <v>20</v>
          </cell>
          <cell r="K403">
            <v>16</v>
          </cell>
          <cell r="L403">
            <v>7</v>
          </cell>
          <cell r="M403">
            <v>10</v>
          </cell>
          <cell r="N403">
            <v>13</v>
          </cell>
          <cell r="O403">
            <v>12</v>
          </cell>
          <cell r="P403">
            <v>0</v>
          </cell>
          <cell r="Q403">
            <v>11</v>
          </cell>
          <cell r="R403">
            <v>0</v>
          </cell>
          <cell r="S403">
            <v>11</v>
          </cell>
          <cell r="T403">
            <v>0</v>
          </cell>
          <cell r="U403">
            <v>11</v>
          </cell>
          <cell r="V403">
            <v>70</v>
          </cell>
          <cell r="W403">
            <v>33</v>
          </cell>
          <cell r="X403">
            <v>15</v>
          </cell>
          <cell r="Y403">
            <v>16</v>
          </cell>
          <cell r="Z403">
            <v>0</v>
          </cell>
          <cell r="AA403">
            <v>11</v>
          </cell>
          <cell r="AB403">
            <v>45</v>
          </cell>
          <cell r="AC403">
            <v>22</v>
          </cell>
          <cell r="AD403">
            <v>10</v>
          </cell>
          <cell r="AE403">
            <v>15</v>
          </cell>
          <cell r="AF403">
            <v>0</v>
          </cell>
          <cell r="AG403">
            <v>11</v>
          </cell>
          <cell r="AH403">
            <v>0</v>
          </cell>
          <cell r="AI403">
            <v>11</v>
          </cell>
          <cell r="AJ403">
            <v>0</v>
          </cell>
          <cell r="AK403">
            <v>11</v>
          </cell>
          <cell r="AL403">
            <v>8</v>
          </cell>
          <cell r="AM403">
            <v>13</v>
          </cell>
          <cell r="AN403">
            <v>11</v>
          </cell>
          <cell r="AO403">
            <v>12</v>
          </cell>
          <cell r="AP403">
            <v>0</v>
          </cell>
          <cell r="AQ403">
            <v>11</v>
          </cell>
          <cell r="AR403">
            <v>17</v>
          </cell>
          <cell r="AS403">
            <v>20</v>
          </cell>
        </row>
        <row r="404">
          <cell r="B404">
            <v>17031360200</v>
          </cell>
          <cell r="D404">
            <v>505</v>
          </cell>
          <cell r="E404">
            <v>107</v>
          </cell>
          <cell r="F404">
            <v>212</v>
          </cell>
          <cell r="G404">
            <v>81</v>
          </cell>
          <cell r="H404">
            <v>205</v>
          </cell>
          <cell r="I404">
            <v>81</v>
          </cell>
          <cell r="J404">
            <v>7</v>
          </cell>
          <cell r="K404">
            <v>15</v>
          </cell>
          <cell r="L404">
            <v>7</v>
          </cell>
          <cell r="M404">
            <v>15</v>
          </cell>
          <cell r="N404">
            <v>0</v>
          </cell>
          <cell r="O404">
            <v>11</v>
          </cell>
          <cell r="P404">
            <v>0</v>
          </cell>
          <cell r="Q404">
            <v>11</v>
          </cell>
          <cell r="R404">
            <v>0</v>
          </cell>
          <cell r="S404">
            <v>11</v>
          </cell>
          <cell r="T404">
            <v>0</v>
          </cell>
          <cell r="U404">
            <v>11</v>
          </cell>
          <cell r="V404">
            <v>247</v>
          </cell>
          <cell r="W404">
            <v>88</v>
          </cell>
          <cell r="X404">
            <v>192</v>
          </cell>
          <cell r="Y404">
            <v>67</v>
          </cell>
          <cell r="Z404">
            <v>0</v>
          </cell>
          <cell r="AA404">
            <v>11</v>
          </cell>
          <cell r="AB404">
            <v>55</v>
          </cell>
          <cell r="AC404">
            <v>45</v>
          </cell>
          <cell r="AD404">
            <v>0</v>
          </cell>
          <cell r="AE404">
            <v>11</v>
          </cell>
          <cell r="AF404">
            <v>0</v>
          </cell>
          <cell r="AG404">
            <v>11</v>
          </cell>
          <cell r="AH404">
            <v>0</v>
          </cell>
          <cell r="AI404">
            <v>11</v>
          </cell>
          <cell r="AJ404">
            <v>0</v>
          </cell>
          <cell r="AK404">
            <v>11</v>
          </cell>
          <cell r="AL404">
            <v>0</v>
          </cell>
          <cell r="AM404">
            <v>11</v>
          </cell>
          <cell r="AN404">
            <v>19</v>
          </cell>
          <cell r="AO404">
            <v>20</v>
          </cell>
          <cell r="AP404">
            <v>0</v>
          </cell>
          <cell r="AQ404">
            <v>11</v>
          </cell>
          <cell r="AR404">
            <v>27</v>
          </cell>
          <cell r="AS404">
            <v>33</v>
          </cell>
        </row>
        <row r="405">
          <cell r="B405">
            <v>17031380100</v>
          </cell>
          <cell r="D405">
            <v>584</v>
          </cell>
          <cell r="E405">
            <v>143</v>
          </cell>
          <cell r="F405">
            <v>344</v>
          </cell>
          <cell r="G405">
            <v>97</v>
          </cell>
          <cell r="H405">
            <v>330</v>
          </cell>
          <cell r="I405">
            <v>97</v>
          </cell>
          <cell r="J405">
            <v>14</v>
          </cell>
          <cell r="K405">
            <v>19</v>
          </cell>
          <cell r="L405">
            <v>14</v>
          </cell>
          <cell r="M405">
            <v>19</v>
          </cell>
          <cell r="N405">
            <v>0</v>
          </cell>
          <cell r="O405">
            <v>11</v>
          </cell>
          <cell r="P405">
            <v>0</v>
          </cell>
          <cell r="Q405">
            <v>11</v>
          </cell>
          <cell r="R405">
            <v>0</v>
          </cell>
          <cell r="S405">
            <v>11</v>
          </cell>
          <cell r="T405">
            <v>0</v>
          </cell>
          <cell r="U405">
            <v>11</v>
          </cell>
          <cell r="V405">
            <v>111</v>
          </cell>
          <cell r="W405">
            <v>71</v>
          </cell>
          <cell r="X405">
            <v>39</v>
          </cell>
          <cell r="Y405">
            <v>35</v>
          </cell>
          <cell r="Z405">
            <v>0</v>
          </cell>
          <cell r="AA405">
            <v>11</v>
          </cell>
          <cell r="AB405">
            <v>57</v>
          </cell>
          <cell r="AC405">
            <v>58</v>
          </cell>
          <cell r="AD405">
            <v>15</v>
          </cell>
          <cell r="AE405">
            <v>22</v>
          </cell>
          <cell r="AF405">
            <v>0</v>
          </cell>
          <cell r="AG405">
            <v>11</v>
          </cell>
          <cell r="AH405">
            <v>20</v>
          </cell>
          <cell r="AI405">
            <v>31</v>
          </cell>
          <cell r="AJ405">
            <v>0</v>
          </cell>
          <cell r="AK405">
            <v>11</v>
          </cell>
          <cell r="AL405">
            <v>0</v>
          </cell>
          <cell r="AM405">
            <v>11</v>
          </cell>
          <cell r="AN405">
            <v>79</v>
          </cell>
          <cell r="AO405">
            <v>53</v>
          </cell>
          <cell r="AP405">
            <v>0</v>
          </cell>
          <cell r="AQ405">
            <v>11</v>
          </cell>
          <cell r="AR405">
            <v>30</v>
          </cell>
          <cell r="AS405">
            <v>25</v>
          </cell>
        </row>
        <row r="406">
          <cell r="B406">
            <v>17031380200</v>
          </cell>
          <cell r="D406">
            <v>438</v>
          </cell>
          <cell r="E406">
            <v>144</v>
          </cell>
          <cell r="F406">
            <v>196</v>
          </cell>
          <cell r="G406">
            <v>88</v>
          </cell>
          <cell r="H406">
            <v>146</v>
          </cell>
          <cell r="I406">
            <v>79</v>
          </cell>
          <cell r="J406">
            <v>50</v>
          </cell>
          <cell r="K406">
            <v>43</v>
          </cell>
          <cell r="L406">
            <v>50</v>
          </cell>
          <cell r="M406">
            <v>43</v>
          </cell>
          <cell r="N406">
            <v>0</v>
          </cell>
          <cell r="O406">
            <v>11</v>
          </cell>
          <cell r="P406">
            <v>0</v>
          </cell>
          <cell r="Q406">
            <v>11</v>
          </cell>
          <cell r="R406">
            <v>0</v>
          </cell>
          <cell r="S406">
            <v>11</v>
          </cell>
          <cell r="T406">
            <v>0</v>
          </cell>
          <cell r="U406">
            <v>11</v>
          </cell>
          <cell r="V406">
            <v>221</v>
          </cell>
          <cell r="W406">
            <v>117</v>
          </cell>
          <cell r="X406">
            <v>72</v>
          </cell>
          <cell r="Y406">
            <v>56</v>
          </cell>
          <cell r="Z406">
            <v>0</v>
          </cell>
          <cell r="AA406">
            <v>11</v>
          </cell>
          <cell r="AB406">
            <v>123</v>
          </cell>
          <cell r="AC406">
            <v>77</v>
          </cell>
          <cell r="AD406">
            <v>26</v>
          </cell>
          <cell r="AE406">
            <v>41</v>
          </cell>
          <cell r="AF406">
            <v>0</v>
          </cell>
          <cell r="AG406">
            <v>11</v>
          </cell>
          <cell r="AH406">
            <v>0</v>
          </cell>
          <cell r="AI406">
            <v>11</v>
          </cell>
          <cell r="AJ406">
            <v>0</v>
          </cell>
          <cell r="AK406">
            <v>11</v>
          </cell>
          <cell r="AL406">
            <v>0</v>
          </cell>
          <cell r="AM406">
            <v>11</v>
          </cell>
          <cell r="AN406">
            <v>0</v>
          </cell>
          <cell r="AO406">
            <v>11</v>
          </cell>
          <cell r="AP406">
            <v>0</v>
          </cell>
          <cell r="AQ406">
            <v>11</v>
          </cell>
          <cell r="AR406">
            <v>21</v>
          </cell>
          <cell r="AS406">
            <v>34</v>
          </cell>
        </row>
        <row r="407">
          <cell r="B407">
            <v>17031380500</v>
          </cell>
          <cell r="D407">
            <v>241</v>
          </cell>
          <cell r="E407">
            <v>74</v>
          </cell>
          <cell r="F407">
            <v>143</v>
          </cell>
          <cell r="G407">
            <v>65</v>
          </cell>
          <cell r="H407">
            <v>143</v>
          </cell>
          <cell r="I407">
            <v>65</v>
          </cell>
          <cell r="J407">
            <v>0</v>
          </cell>
          <cell r="K407">
            <v>11</v>
          </cell>
          <cell r="L407">
            <v>0</v>
          </cell>
          <cell r="M407">
            <v>11</v>
          </cell>
          <cell r="N407">
            <v>0</v>
          </cell>
          <cell r="O407">
            <v>11</v>
          </cell>
          <cell r="P407">
            <v>0</v>
          </cell>
          <cell r="Q407">
            <v>11</v>
          </cell>
          <cell r="R407">
            <v>0</v>
          </cell>
          <cell r="S407">
            <v>11</v>
          </cell>
          <cell r="T407">
            <v>0</v>
          </cell>
          <cell r="U407">
            <v>11</v>
          </cell>
          <cell r="V407">
            <v>87</v>
          </cell>
          <cell r="W407">
            <v>50</v>
          </cell>
          <cell r="X407">
            <v>87</v>
          </cell>
          <cell r="Y407">
            <v>50</v>
          </cell>
          <cell r="Z407">
            <v>0</v>
          </cell>
          <cell r="AA407">
            <v>11</v>
          </cell>
          <cell r="AB407">
            <v>0</v>
          </cell>
          <cell r="AC407">
            <v>11</v>
          </cell>
          <cell r="AD407">
            <v>0</v>
          </cell>
          <cell r="AE407">
            <v>11</v>
          </cell>
          <cell r="AF407">
            <v>0</v>
          </cell>
          <cell r="AG407">
            <v>11</v>
          </cell>
          <cell r="AH407">
            <v>0</v>
          </cell>
          <cell r="AI407">
            <v>11</v>
          </cell>
          <cell r="AJ407">
            <v>0</v>
          </cell>
          <cell r="AK407">
            <v>11</v>
          </cell>
          <cell r="AL407">
            <v>0</v>
          </cell>
          <cell r="AM407">
            <v>11</v>
          </cell>
          <cell r="AN407">
            <v>0</v>
          </cell>
          <cell r="AO407">
            <v>11</v>
          </cell>
          <cell r="AP407">
            <v>1</v>
          </cell>
          <cell r="AQ407">
            <v>4</v>
          </cell>
          <cell r="AR407">
            <v>10</v>
          </cell>
          <cell r="AS407">
            <v>11</v>
          </cell>
        </row>
        <row r="408">
          <cell r="B408">
            <v>17031380700</v>
          </cell>
          <cell r="D408">
            <v>344</v>
          </cell>
          <cell r="E408">
            <v>81</v>
          </cell>
          <cell r="F408">
            <v>171</v>
          </cell>
          <cell r="G408">
            <v>60</v>
          </cell>
          <cell r="H408">
            <v>148</v>
          </cell>
          <cell r="I408">
            <v>49</v>
          </cell>
          <cell r="J408">
            <v>23</v>
          </cell>
          <cell r="K408">
            <v>22</v>
          </cell>
          <cell r="L408">
            <v>18</v>
          </cell>
          <cell r="M408">
            <v>18</v>
          </cell>
          <cell r="N408">
            <v>5</v>
          </cell>
          <cell r="O408">
            <v>8</v>
          </cell>
          <cell r="P408">
            <v>0</v>
          </cell>
          <cell r="Q408">
            <v>11</v>
          </cell>
          <cell r="R408">
            <v>0</v>
          </cell>
          <cell r="S408">
            <v>11</v>
          </cell>
          <cell r="T408">
            <v>0</v>
          </cell>
          <cell r="U408">
            <v>11</v>
          </cell>
          <cell r="V408">
            <v>148</v>
          </cell>
          <cell r="W408">
            <v>61</v>
          </cell>
          <cell r="X408">
            <v>102</v>
          </cell>
          <cell r="Y408">
            <v>51</v>
          </cell>
          <cell r="Z408">
            <v>0</v>
          </cell>
          <cell r="AA408">
            <v>11</v>
          </cell>
          <cell r="AB408">
            <v>33</v>
          </cell>
          <cell r="AC408">
            <v>30</v>
          </cell>
          <cell r="AD408">
            <v>13</v>
          </cell>
          <cell r="AE408">
            <v>22</v>
          </cell>
          <cell r="AF408">
            <v>0</v>
          </cell>
          <cell r="AG408">
            <v>11</v>
          </cell>
          <cell r="AH408">
            <v>0</v>
          </cell>
          <cell r="AI408">
            <v>11</v>
          </cell>
          <cell r="AJ408">
            <v>0</v>
          </cell>
          <cell r="AK408">
            <v>11</v>
          </cell>
          <cell r="AL408">
            <v>0</v>
          </cell>
          <cell r="AM408">
            <v>11</v>
          </cell>
          <cell r="AN408">
            <v>10</v>
          </cell>
          <cell r="AO408">
            <v>11</v>
          </cell>
          <cell r="AP408">
            <v>5</v>
          </cell>
          <cell r="AQ408">
            <v>8</v>
          </cell>
          <cell r="AR408">
            <v>10</v>
          </cell>
          <cell r="AS408">
            <v>11</v>
          </cell>
        </row>
        <row r="409">
          <cell r="B409">
            <v>17031381200</v>
          </cell>
          <cell r="D409">
            <v>845</v>
          </cell>
          <cell r="E409">
            <v>220</v>
          </cell>
          <cell r="F409">
            <v>542</v>
          </cell>
          <cell r="G409">
            <v>183</v>
          </cell>
          <cell r="H409">
            <v>495</v>
          </cell>
          <cell r="I409">
            <v>179</v>
          </cell>
          <cell r="J409">
            <v>47</v>
          </cell>
          <cell r="K409">
            <v>50</v>
          </cell>
          <cell r="L409">
            <v>47</v>
          </cell>
          <cell r="M409">
            <v>50</v>
          </cell>
          <cell r="N409">
            <v>0</v>
          </cell>
          <cell r="O409">
            <v>11</v>
          </cell>
          <cell r="P409">
            <v>0</v>
          </cell>
          <cell r="Q409">
            <v>11</v>
          </cell>
          <cell r="R409">
            <v>0</v>
          </cell>
          <cell r="S409">
            <v>11</v>
          </cell>
          <cell r="T409">
            <v>0</v>
          </cell>
          <cell r="U409">
            <v>11</v>
          </cell>
          <cell r="V409">
            <v>278</v>
          </cell>
          <cell r="W409">
            <v>154</v>
          </cell>
          <cell r="X409">
            <v>92</v>
          </cell>
          <cell r="Y409">
            <v>68</v>
          </cell>
          <cell r="Z409">
            <v>0</v>
          </cell>
          <cell r="AA409">
            <v>11</v>
          </cell>
          <cell r="AB409">
            <v>186</v>
          </cell>
          <cell r="AC409">
            <v>115</v>
          </cell>
          <cell r="AD409">
            <v>0</v>
          </cell>
          <cell r="AE409">
            <v>11</v>
          </cell>
          <cell r="AF409">
            <v>0</v>
          </cell>
          <cell r="AG409">
            <v>11</v>
          </cell>
          <cell r="AH409">
            <v>0</v>
          </cell>
          <cell r="AI409">
            <v>11</v>
          </cell>
          <cell r="AJ409">
            <v>0</v>
          </cell>
          <cell r="AK409">
            <v>11</v>
          </cell>
          <cell r="AL409">
            <v>0</v>
          </cell>
          <cell r="AM409">
            <v>11</v>
          </cell>
          <cell r="AN409">
            <v>0</v>
          </cell>
          <cell r="AO409">
            <v>11</v>
          </cell>
          <cell r="AP409">
            <v>0</v>
          </cell>
          <cell r="AQ409">
            <v>11</v>
          </cell>
          <cell r="AR409">
            <v>25</v>
          </cell>
          <cell r="AS409">
            <v>44</v>
          </cell>
        </row>
        <row r="410">
          <cell r="B410">
            <v>17031381400</v>
          </cell>
          <cell r="D410">
            <v>653</v>
          </cell>
          <cell r="E410">
            <v>149</v>
          </cell>
          <cell r="F410">
            <v>324</v>
          </cell>
          <cell r="G410">
            <v>102</v>
          </cell>
          <cell r="H410">
            <v>254</v>
          </cell>
          <cell r="I410">
            <v>82</v>
          </cell>
          <cell r="J410">
            <v>70</v>
          </cell>
          <cell r="K410">
            <v>52</v>
          </cell>
          <cell r="L410">
            <v>70</v>
          </cell>
          <cell r="M410">
            <v>52</v>
          </cell>
          <cell r="N410">
            <v>0</v>
          </cell>
          <cell r="O410">
            <v>11</v>
          </cell>
          <cell r="P410">
            <v>0</v>
          </cell>
          <cell r="Q410">
            <v>11</v>
          </cell>
          <cell r="R410">
            <v>0</v>
          </cell>
          <cell r="S410">
            <v>11</v>
          </cell>
          <cell r="T410">
            <v>0</v>
          </cell>
          <cell r="U410">
            <v>11</v>
          </cell>
          <cell r="V410">
            <v>266</v>
          </cell>
          <cell r="W410">
            <v>88</v>
          </cell>
          <cell r="X410">
            <v>127</v>
          </cell>
          <cell r="Y410">
            <v>71</v>
          </cell>
          <cell r="Z410">
            <v>0</v>
          </cell>
          <cell r="AA410">
            <v>11</v>
          </cell>
          <cell r="AB410">
            <v>131</v>
          </cell>
          <cell r="AC410">
            <v>62</v>
          </cell>
          <cell r="AD410">
            <v>8</v>
          </cell>
          <cell r="AE410">
            <v>13</v>
          </cell>
          <cell r="AF410">
            <v>0</v>
          </cell>
          <cell r="AG410">
            <v>11</v>
          </cell>
          <cell r="AH410">
            <v>0</v>
          </cell>
          <cell r="AI410">
            <v>11</v>
          </cell>
          <cell r="AJ410">
            <v>0</v>
          </cell>
          <cell r="AK410">
            <v>11</v>
          </cell>
          <cell r="AL410">
            <v>0</v>
          </cell>
          <cell r="AM410">
            <v>11</v>
          </cell>
          <cell r="AN410">
            <v>44</v>
          </cell>
          <cell r="AO410">
            <v>48</v>
          </cell>
          <cell r="AP410">
            <v>0</v>
          </cell>
          <cell r="AQ410">
            <v>11</v>
          </cell>
          <cell r="AR410">
            <v>19</v>
          </cell>
          <cell r="AS410">
            <v>28</v>
          </cell>
        </row>
        <row r="411">
          <cell r="B411">
            <v>17031381500</v>
          </cell>
          <cell r="D411">
            <v>143</v>
          </cell>
          <cell r="E411">
            <v>90</v>
          </cell>
          <cell r="F411">
            <v>49</v>
          </cell>
          <cell r="G411">
            <v>52</v>
          </cell>
          <cell r="H411">
            <v>15</v>
          </cell>
          <cell r="I411">
            <v>19</v>
          </cell>
          <cell r="J411">
            <v>34</v>
          </cell>
          <cell r="K411">
            <v>50</v>
          </cell>
          <cell r="L411">
            <v>34</v>
          </cell>
          <cell r="M411">
            <v>50</v>
          </cell>
          <cell r="N411">
            <v>0</v>
          </cell>
          <cell r="O411">
            <v>11</v>
          </cell>
          <cell r="P411">
            <v>0</v>
          </cell>
          <cell r="Q411">
            <v>11</v>
          </cell>
          <cell r="R411">
            <v>0</v>
          </cell>
          <cell r="S411">
            <v>11</v>
          </cell>
          <cell r="T411">
            <v>0</v>
          </cell>
          <cell r="U411">
            <v>11</v>
          </cell>
          <cell r="V411">
            <v>62</v>
          </cell>
          <cell r="W411">
            <v>45</v>
          </cell>
          <cell r="X411">
            <v>5</v>
          </cell>
          <cell r="Y411">
            <v>7</v>
          </cell>
          <cell r="Z411">
            <v>0</v>
          </cell>
          <cell r="AA411">
            <v>11</v>
          </cell>
          <cell r="AB411">
            <v>57</v>
          </cell>
          <cell r="AC411">
            <v>44</v>
          </cell>
          <cell r="AD411">
            <v>0</v>
          </cell>
          <cell r="AE411">
            <v>11</v>
          </cell>
          <cell r="AF411">
            <v>0</v>
          </cell>
          <cell r="AG411">
            <v>11</v>
          </cell>
          <cell r="AH411">
            <v>0</v>
          </cell>
          <cell r="AI411">
            <v>11</v>
          </cell>
          <cell r="AJ411">
            <v>0</v>
          </cell>
          <cell r="AK411">
            <v>11</v>
          </cell>
          <cell r="AL411">
            <v>0</v>
          </cell>
          <cell r="AM411">
            <v>11</v>
          </cell>
          <cell r="AN411">
            <v>13</v>
          </cell>
          <cell r="AO411">
            <v>10</v>
          </cell>
          <cell r="AP411">
            <v>19</v>
          </cell>
          <cell r="AQ411">
            <v>20</v>
          </cell>
          <cell r="AR411">
            <v>0</v>
          </cell>
          <cell r="AS411">
            <v>11</v>
          </cell>
        </row>
        <row r="412">
          <cell r="B412">
            <v>17031381700</v>
          </cell>
          <cell r="D412">
            <v>0</v>
          </cell>
          <cell r="E412">
            <v>11</v>
          </cell>
          <cell r="F412">
            <v>0</v>
          </cell>
          <cell r="G412">
            <v>11</v>
          </cell>
          <cell r="H412">
            <v>0</v>
          </cell>
          <cell r="I412">
            <v>11</v>
          </cell>
          <cell r="J412">
            <v>0</v>
          </cell>
          <cell r="K412">
            <v>11</v>
          </cell>
          <cell r="L412">
            <v>0</v>
          </cell>
          <cell r="M412">
            <v>11</v>
          </cell>
          <cell r="N412">
            <v>0</v>
          </cell>
          <cell r="O412">
            <v>11</v>
          </cell>
          <cell r="P412">
            <v>0</v>
          </cell>
          <cell r="Q412">
            <v>11</v>
          </cell>
          <cell r="R412">
            <v>0</v>
          </cell>
          <cell r="S412">
            <v>11</v>
          </cell>
          <cell r="T412">
            <v>0</v>
          </cell>
          <cell r="U412">
            <v>11</v>
          </cell>
          <cell r="V412">
            <v>0</v>
          </cell>
          <cell r="W412">
            <v>11</v>
          </cell>
          <cell r="X412">
            <v>0</v>
          </cell>
          <cell r="Y412">
            <v>11</v>
          </cell>
          <cell r="Z412">
            <v>0</v>
          </cell>
          <cell r="AA412">
            <v>11</v>
          </cell>
          <cell r="AB412">
            <v>0</v>
          </cell>
          <cell r="AC412">
            <v>11</v>
          </cell>
          <cell r="AD412">
            <v>0</v>
          </cell>
          <cell r="AE412">
            <v>11</v>
          </cell>
          <cell r="AF412">
            <v>0</v>
          </cell>
          <cell r="AG412">
            <v>11</v>
          </cell>
          <cell r="AH412">
            <v>0</v>
          </cell>
          <cell r="AI412">
            <v>11</v>
          </cell>
          <cell r="AJ412">
            <v>0</v>
          </cell>
          <cell r="AK412">
            <v>11</v>
          </cell>
          <cell r="AL412">
            <v>0</v>
          </cell>
          <cell r="AM412">
            <v>11</v>
          </cell>
          <cell r="AN412">
            <v>0</v>
          </cell>
          <cell r="AO412">
            <v>11</v>
          </cell>
          <cell r="AP412">
            <v>0</v>
          </cell>
          <cell r="AQ412">
            <v>11</v>
          </cell>
          <cell r="AR412">
            <v>0</v>
          </cell>
          <cell r="AS412">
            <v>11</v>
          </cell>
        </row>
        <row r="413">
          <cell r="B413">
            <v>17031381800</v>
          </cell>
          <cell r="D413">
            <v>554</v>
          </cell>
          <cell r="E413">
            <v>142</v>
          </cell>
          <cell r="F413">
            <v>277</v>
          </cell>
          <cell r="G413">
            <v>97</v>
          </cell>
          <cell r="H413">
            <v>262</v>
          </cell>
          <cell r="I413">
            <v>96</v>
          </cell>
          <cell r="J413">
            <v>15</v>
          </cell>
          <cell r="K413">
            <v>16</v>
          </cell>
          <cell r="L413">
            <v>15</v>
          </cell>
          <cell r="M413">
            <v>16</v>
          </cell>
          <cell r="N413">
            <v>0</v>
          </cell>
          <cell r="O413">
            <v>11</v>
          </cell>
          <cell r="P413">
            <v>0</v>
          </cell>
          <cell r="Q413">
            <v>11</v>
          </cell>
          <cell r="R413">
            <v>0</v>
          </cell>
          <cell r="S413">
            <v>11</v>
          </cell>
          <cell r="T413">
            <v>0</v>
          </cell>
          <cell r="U413">
            <v>11</v>
          </cell>
          <cell r="V413">
            <v>220</v>
          </cell>
          <cell r="W413">
            <v>94</v>
          </cell>
          <cell r="X413">
            <v>120</v>
          </cell>
          <cell r="Y413">
            <v>64</v>
          </cell>
          <cell r="Z413">
            <v>0</v>
          </cell>
          <cell r="AA413">
            <v>11</v>
          </cell>
          <cell r="AB413">
            <v>88</v>
          </cell>
          <cell r="AC413">
            <v>79</v>
          </cell>
          <cell r="AD413">
            <v>12</v>
          </cell>
          <cell r="AE413">
            <v>19</v>
          </cell>
          <cell r="AF413">
            <v>0</v>
          </cell>
          <cell r="AG413">
            <v>11</v>
          </cell>
          <cell r="AH413">
            <v>0</v>
          </cell>
          <cell r="AI413">
            <v>11</v>
          </cell>
          <cell r="AJ413">
            <v>0</v>
          </cell>
          <cell r="AK413">
            <v>11</v>
          </cell>
          <cell r="AL413">
            <v>7</v>
          </cell>
          <cell r="AM413">
            <v>11</v>
          </cell>
          <cell r="AN413">
            <v>33</v>
          </cell>
          <cell r="AO413">
            <v>31</v>
          </cell>
          <cell r="AP413">
            <v>0</v>
          </cell>
          <cell r="AQ413">
            <v>11</v>
          </cell>
          <cell r="AR413">
            <v>17</v>
          </cell>
          <cell r="AS413">
            <v>25</v>
          </cell>
        </row>
        <row r="414">
          <cell r="B414">
            <v>17031381900</v>
          </cell>
          <cell r="D414">
            <v>527</v>
          </cell>
          <cell r="E414">
            <v>131</v>
          </cell>
          <cell r="F414">
            <v>320</v>
          </cell>
          <cell r="G414">
            <v>105</v>
          </cell>
          <cell r="H414">
            <v>307</v>
          </cell>
          <cell r="I414">
            <v>107</v>
          </cell>
          <cell r="J414">
            <v>13</v>
          </cell>
          <cell r="K414">
            <v>17</v>
          </cell>
          <cell r="L414">
            <v>13</v>
          </cell>
          <cell r="M414">
            <v>17</v>
          </cell>
          <cell r="N414">
            <v>0</v>
          </cell>
          <cell r="O414">
            <v>11</v>
          </cell>
          <cell r="P414">
            <v>0</v>
          </cell>
          <cell r="Q414">
            <v>11</v>
          </cell>
          <cell r="R414">
            <v>0</v>
          </cell>
          <cell r="S414">
            <v>11</v>
          </cell>
          <cell r="T414">
            <v>0</v>
          </cell>
          <cell r="U414">
            <v>11</v>
          </cell>
          <cell r="V414">
            <v>161</v>
          </cell>
          <cell r="W414">
            <v>68</v>
          </cell>
          <cell r="X414">
            <v>122</v>
          </cell>
          <cell r="Y414">
            <v>50</v>
          </cell>
          <cell r="Z414">
            <v>1</v>
          </cell>
          <cell r="AA414">
            <v>6</v>
          </cell>
          <cell r="AB414">
            <v>38</v>
          </cell>
          <cell r="AC414">
            <v>36</v>
          </cell>
          <cell r="AD414">
            <v>0</v>
          </cell>
          <cell r="AE414">
            <v>11</v>
          </cell>
          <cell r="AF414">
            <v>0</v>
          </cell>
          <cell r="AG414">
            <v>11</v>
          </cell>
          <cell r="AH414">
            <v>0</v>
          </cell>
          <cell r="AI414">
            <v>11</v>
          </cell>
          <cell r="AJ414">
            <v>0</v>
          </cell>
          <cell r="AK414">
            <v>11</v>
          </cell>
          <cell r="AL414">
            <v>0</v>
          </cell>
          <cell r="AM414">
            <v>11</v>
          </cell>
          <cell r="AN414">
            <v>13</v>
          </cell>
          <cell r="AO414">
            <v>14</v>
          </cell>
          <cell r="AP414">
            <v>9</v>
          </cell>
          <cell r="AQ414">
            <v>12</v>
          </cell>
          <cell r="AR414">
            <v>24</v>
          </cell>
          <cell r="AS414">
            <v>16</v>
          </cell>
        </row>
        <row r="415">
          <cell r="B415">
            <v>17031390100</v>
          </cell>
          <cell r="D415">
            <v>719</v>
          </cell>
          <cell r="E415">
            <v>119</v>
          </cell>
          <cell r="F415">
            <v>368</v>
          </cell>
          <cell r="G415">
            <v>67</v>
          </cell>
          <cell r="H415">
            <v>331</v>
          </cell>
          <cell r="I415">
            <v>65</v>
          </cell>
          <cell r="J415">
            <v>37</v>
          </cell>
          <cell r="K415">
            <v>22</v>
          </cell>
          <cell r="L415">
            <v>25</v>
          </cell>
          <cell r="M415">
            <v>18</v>
          </cell>
          <cell r="N415">
            <v>12</v>
          </cell>
          <cell r="O415">
            <v>12</v>
          </cell>
          <cell r="P415">
            <v>0</v>
          </cell>
          <cell r="Q415">
            <v>11</v>
          </cell>
          <cell r="R415">
            <v>0</v>
          </cell>
          <cell r="S415">
            <v>11</v>
          </cell>
          <cell r="T415">
            <v>0</v>
          </cell>
          <cell r="U415">
            <v>11</v>
          </cell>
          <cell r="V415">
            <v>241</v>
          </cell>
          <cell r="W415">
            <v>81</v>
          </cell>
          <cell r="X415">
            <v>211</v>
          </cell>
          <cell r="Y415">
            <v>77</v>
          </cell>
          <cell r="Z415">
            <v>0</v>
          </cell>
          <cell r="AA415">
            <v>11</v>
          </cell>
          <cell r="AB415">
            <v>0</v>
          </cell>
          <cell r="AC415">
            <v>11</v>
          </cell>
          <cell r="AD415">
            <v>30</v>
          </cell>
          <cell r="AE415">
            <v>27</v>
          </cell>
          <cell r="AF415">
            <v>0</v>
          </cell>
          <cell r="AG415">
            <v>11</v>
          </cell>
          <cell r="AH415">
            <v>0</v>
          </cell>
          <cell r="AI415">
            <v>11</v>
          </cell>
          <cell r="AJ415">
            <v>0</v>
          </cell>
          <cell r="AK415">
            <v>11</v>
          </cell>
          <cell r="AL415">
            <v>0</v>
          </cell>
          <cell r="AM415">
            <v>11</v>
          </cell>
          <cell r="AN415">
            <v>6</v>
          </cell>
          <cell r="AO415">
            <v>8</v>
          </cell>
          <cell r="AP415">
            <v>23</v>
          </cell>
          <cell r="AQ415">
            <v>26</v>
          </cell>
          <cell r="AR415">
            <v>81</v>
          </cell>
          <cell r="AS415">
            <v>46</v>
          </cell>
        </row>
        <row r="416">
          <cell r="B416">
            <v>17031390200</v>
          </cell>
          <cell r="D416">
            <v>930</v>
          </cell>
          <cell r="E416">
            <v>113</v>
          </cell>
          <cell r="F416">
            <v>419</v>
          </cell>
          <cell r="G416">
            <v>100</v>
          </cell>
          <cell r="H416">
            <v>408</v>
          </cell>
          <cell r="I416">
            <v>99</v>
          </cell>
          <cell r="J416">
            <v>11</v>
          </cell>
          <cell r="K416">
            <v>12</v>
          </cell>
          <cell r="L416">
            <v>11</v>
          </cell>
          <cell r="M416">
            <v>12</v>
          </cell>
          <cell r="N416">
            <v>0</v>
          </cell>
          <cell r="O416">
            <v>11</v>
          </cell>
          <cell r="P416">
            <v>0</v>
          </cell>
          <cell r="Q416">
            <v>11</v>
          </cell>
          <cell r="R416">
            <v>0</v>
          </cell>
          <cell r="S416">
            <v>11</v>
          </cell>
          <cell r="T416">
            <v>0</v>
          </cell>
          <cell r="U416">
            <v>11</v>
          </cell>
          <cell r="V416">
            <v>340</v>
          </cell>
          <cell r="W416">
            <v>89</v>
          </cell>
          <cell r="X416">
            <v>196</v>
          </cell>
          <cell r="Y416">
            <v>68</v>
          </cell>
          <cell r="Z416">
            <v>0</v>
          </cell>
          <cell r="AA416">
            <v>11</v>
          </cell>
          <cell r="AB416">
            <v>94</v>
          </cell>
          <cell r="AC416">
            <v>51</v>
          </cell>
          <cell r="AD416">
            <v>50</v>
          </cell>
          <cell r="AE416">
            <v>44</v>
          </cell>
          <cell r="AF416">
            <v>0</v>
          </cell>
          <cell r="AG416">
            <v>11</v>
          </cell>
          <cell r="AH416">
            <v>0</v>
          </cell>
          <cell r="AI416">
            <v>11</v>
          </cell>
          <cell r="AJ416">
            <v>0</v>
          </cell>
          <cell r="AK416">
            <v>11</v>
          </cell>
          <cell r="AL416">
            <v>31</v>
          </cell>
          <cell r="AM416">
            <v>29</v>
          </cell>
          <cell r="AN416">
            <v>34</v>
          </cell>
          <cell r="AO416">
            <v>35</v>
          </cell>
          <cell r="AP416">
            <v>13</v>
          </cell>
          <cell r="AQ416">
            <v>16</v>
          </cell>
          <cell r="AR416">
            <v>93</v>
          </cell>
          <cell r="AS416">
            <v>53</v>
          </cell>
        </row>
        <row r="417">
          <cell r="B417">
            <v>17031390300</v>
          </cell>
          <cell r="D417">
            <v>845</v>
          </cell>
          <cell r="E417">
            <v>155</v>
          </cell>
          <cell r="F417">
            <v>518</v>
          </cell>
          <cell r="G417">
            <v>131</v>
          </cell>
          <cell r="H417">
            <v>500</v>
          </cell>
          <cell r="I417">
            <v>128</v>
          </cell>
          <cell r="J417">
            <v>18</v>
          </cell>
          <cell r="K417">
            <v>22</v>
          </cell>
          <cell r="L417">
            <v>10</v>
          </cell>
          <cell r="M417">
            <v>17</v>
          </cell>
          <cell r="N417">
            <v>8</v>
          </cell>
          <cell r="O417">
            <v>16</v>
          </cell>
          <cell r="P417">
            <v>0</v>
          </cell>
          <cell r="Q417">
            <v>11</v>
          </cell>
          <cell r="R417">
            <v>0</v>
          </cell>
          <cell r="S417">
            <v>11</v>
          </cell>
          <cell r="T417">
            <v>0</v>
          </cell>
          <cell r="U417">
            <v>11</v>
          </cell>
          <cell r="V417">
            <v>230</v>
          </cell>
          <cell r="W417">
            <v>90</v>
          </cell>
          <cell r="X417">
            <v>167</v>
          </cell>
          <cell r="Y417">
            <v>74</v>
          </cell>
          <cell r="Z417">
            <v>0</v>
          </cell>
          <cell r="AA417">
            <v>11</v>
          </cell>
          <cell r="AB417">
            <v>63</v>
          </cell>
          <cell r="AC417">
            <v>55</v>
          </cell>
          <cell r="AD417">
            <v>0</v>
          </cell>
          <cell r="AE417">
            <v>11</v>
          </cell>
          <cell r="AF417">
            <v>0</v>
          </cell>
          <cell r="AG417">
            <v>11</v>
          </cell>
          <cell r="AH417">
            <v>0</v>
          </cell>
          <cell r="AI417">
            <v>11</v>
          </cell>
          <cell r="AJ417">
            <v>0</v>
          </cell>
          <cell r="AK417">
            <v>11</v>
          </cell>
          <cell r="AL417">
            <v>0</v>
          </cell>
          <cell r="AM417">
            <v>11</v>
          </cell>
          <cell r="AN417">
            <v>18</v>
          </cell>
          <cell r="AO417">
            <v>22</v>
          </cell>
          <cell r="AP417">
            <v>0</v>
          </cell>
          <cell r="AQ417">
            <v>11</v>
          </cell>
          <cell r="AR417">
            <v>79</v>
          </cell>
          <cell r="AS417">
            <v>63</v>
          </cell>
        </row>
        <row r="418">
          <cell r="B418">
            <v>17031390400</v>
          </cell>
          <cell r="D418">
            <v>1011</v>
          </cell>
          <cell r="E418">
            <v>231</v>
          </cell>
          <cell r="F418">
            <v>468</v>
          </cell>
          <cell r="G418">
            <v>196</v>
          </cell>
          <cell r="H418">
            <v>438</v>
          </cell>
          <cell r="I418">
            <v>185</v>
          </cell>
          <cell r="J418">
            <v>30</v>
          </cell>
          <cell r="K418">
            <v>38</v>
          </cell>
          <cell r="L418">
            <v>22</v>
          </cell>
          <cell r="M418">
            <v>36</v>
          </cell>
          <cell r="N418">
            <v>0</v>
          </cell>
          <cell r="O418">
            <v>11</v>
          </cell>
          <cell r="P418">
            <v>0</v>
          </cell>
          <cell r="Q418">
            <v>11</v>
          </cell>
          <cell r="R418">
            <v>8</v>
          </cell>
          <cell r="S418">
            <v>12</v>
          </cell>
          <cell r="T418">
            <v>0</v>
          </cell>
          <cell r="U418">
            <v>11</v>
          </cell>
          <cell r="V418">
            <v>350</v>
          </cell>
          <cell r="W418">
            <v>125</v>
          </cell>
          <cell r="X418">
            <v>290</v>
          </cell>
          <cell r="Y418">
            <v>124</v>
          </cell>
          <cell r="Z418">
            <v>0</v>
          </cell>
          <cell r="AA418">
            <v>11</v>
          </cell>
          <cell r="AB418">
            <v>60</v>
          </cell>
          <cell r="AC418">
            <v>47</v>
          </cell>
          <cell r="AD418">
            <v>0</v>
          </cell>
          <cell r="AE418">
            <v>11</v>
          </cell>
          <cell r="AF418">
            <v>0</v>
          </cell>
          <cell r="AG418">
            <v>11</v>
          </cell>
          <cell r="AH418">
            <v>0</v>
          </cell>
          <cell r="AI418">
            <v>11</v>
          </cell>
          <cell r="AJ418">
            <v>0</v>
          </cell>
          <cell r="AK418">
            <v>11</v>
          </cell>
          <cell r="AL418">
            <v>30</v>
          </cell>
          <cell r="AM418">
            <v>37</v>
          </cell>
          <cell r="AN418">
            <v>103</v>
          </cell>
          <cell r="AO418">
            <v>81</v>
          </cell>
          <cell r="AP418">
            <v>29</v>
          </cell>
          <cell r="AQ418">
            <v>28</v>
          </cell>
          <cell r="AR418">
            <v>31</v>
          </cell>
          <cell r="AS418">
            <v>51</v>
          </cell>
        </row>
        <row r="419">
          <cell r="B419">
            <v>17031390500</v>
          </cell>
          <cell r="D419">
            <v>774</v>
          </cell>
          <cell r="E419">
            <v>89</v>
          </cell>
          <cell r="F419">
            <v>352</v>
          </cell>
          <cell r="G419">
            <v>87</v>
          </cell>
          <cell r="H419">
            <v>317</v>
          </cell>
          <cell r="I419">
            <v>79</v>
          </cell>
          <cell r="J419">
            <v>35</v>
          </cell>
          <cell r="K419">
            <v>24</v>
          </cell>
          <cell r="L419">
            <v>9</v>
          </cell>
          <cell r="M419">
            <v>10</v>
          </cell>
          <cell r="N419">
            <v>15</v>
          </cell>
          <cell r="O419">
            <v>19</v>
          </cell>
          <cell r="P419">
            <v>11</v>
          </cell>
          <cell r="Q419">
            <v>14</v>
          </cell>
          <cell r="R419">
            <v>0</v>
          </cell>
          <cell r="S419">
            <v>11</v>
          </cell>
          <cell r="T419">
            <v>0</v>
          </cell>
          <cell r="U419">
            <v>11</v>
          </cell>
          <cell r="V419">
            <v>229</v>
          </cell>
          <cell r="W419">
            <v>61</v>
          </cell>
          <cell r="X419">
            <v>179</v>
          </cell>
          <cell r="Y419">
            <v>54</v>
          </cell>
          <cell r="Z419">
            <v>0</v>
          </cell>
          <cell r="AA419">
            <v>11</v>
          </cell>
          <cell r="AB419">
            <v>31</v>
          </cell>
          <cell r="AC419">
            <v>23</v>
          </cell>
          <cell r="AD419">
            <v>19</v>
          </cell>
          <cell r="AE419">
            <v>19</v>
          </cell>
          <cell r="AF419">
            <v>0</v>
          </cell>
          <cell r="AG419">
            <v>11</v>
          </cell>
          <cell r="AH419">
            <v>0</v>
          </cell>
          <cell r="AI419">
            <v>11</v>
          </cell>
          <cell r="AJ419">
            <v>0</v>
          </cell>
          <cell r="AK419">
            <v>11</v>
          </cell>
          <cell r="AL419">
            <v>37</v>
          </cell>
          <cell r="AM419">
            <v>22</v>
          </cell>
          <cell r="AN419">
            <v>48</v>
          </cell>
          <cell r="AO419">
            <v>29</v>
          </cell>
          <cell r="AP419">
            <v>22</v>
          </cell>
          <cell r="AQ419">
            <v>27</v>
          </cell>
          <cell r="AR419">
            <v>86</v>
          </cell>
          <cell r="AS419">
            <v>45</v>
          </cell>
        </row>
        <row r="420">
          <cell r="B420">
            <v>17031390600</v>
          </cell>
          <cell r="D420">
            <v>1042</v>
          </cell>
          <cell r="E420">
            <v>152</v>
          </cell>
          <cell r="F420">
            <v>594</v>
          </cell>
          <cell r="G420">
            <v>123</v>
          </cell>
          <cell r="H420">
            <v>546</v>
          </cell>
          <cell r="I420">
            <v>119</v>
          </cell>
          <cell r="J420">
            <v>48</v>
          </cell>
          <cell r="K420">
            <v>29</v>
          </cell>
          <cell r="L420">
            <v>43</v>
          </cell>
          <cell r="M420">
            <v>28</v>
          </cell>
          <cell r="N420">
            <v>5</v>
          </cell>
          <cell r="O420">
            <v>7</v>
          </cell>
          <cell r="P420">
            <v>0</v>
          </cell>
          <cell r="Q420">
            <v>11</v>
          </cell>
          <cell r="R420">
            <v>0</v>
          </cell>
          <cell r="S420">
            <v>11</v>
          </cell>
          <cell r="T420">
            <v>0</v>
          </cell>
          <cell r="U420">
            <v>11</v>
          </cell>
          <cell r="V420">
            <v>211</v>
          </cell>
          <cell r="W420">
            <v>56</v>
          </cell>
          <cell r="X420">
            <v>178</v>
          </cell>
          <cell r="Y420">
            <v>56</v>
          </cell>
          <cell r="Z420">
            <v>2</v>
          </cell>
          <cell r="AA420">
            <v>5</v>
          </cell>
          <cell r="AB420">
            <v>14</v>
          </cell>
          <cell r="AC420">
            <v>17</v>
          </cell>
          <cell r="AD420">
            <v>17</v>
          </cell>
          <cell r="AE420">
            <v>16</v>
          </cell>
          <cell r="AF420">
            <v>0</v>
          </cell>
          <cell r="AG420">
            <v>11</v>
          </cell>
          <cell r="AH420">
            <v>12</v>
          </cell>
          <cell r="AI420">
            <v>14</v>
          </cell>
          <cell r="AJ420">
            <v>4</v>
          </cell>
          <cell r="AK420">
            <v>6</v>
          </cell>
          <cell r="AL420">
            <v>36</v>
          </cell>
          <cell r="AM420">
            <v>23</v>
          </cell>
          <cell r="AN420">
            <v>108</v>
          </cell>
          <cell r="AO420">
            <v>51</v>
          </cell>
          <cell r="AP420">
            <v>36</v>
          </cell>
          <cell r="AQ420">
            <v>39</v>
          </cell>
          <cell r="AR420">
            <v>41</v>
          </cell>
          <cell r="AS420">
            <v>26</v>
          </cell>
        </row>
        <row r="421">
          <cell r="B421">
            <v>17031390700</v>
          </cell>
          <cell r="D421">
            <v>2362</v>
          </cell>
          <cell r="E421">
            <v>383</v>
          </cell>
          <cell r="F421">
            <v>1067</v>
          </cell>
          <cell r="G421">
            <v>316</v>
          </cell>
          <cell r="H421">
            <v>1007</v>
          </cell>
          <cell r="I421">
            <v>308</v>
          </cell>
          <cell r="J421">
            <v>60</v>
          </cell>
          <cell r="K421">
            <v>69</v>
          </cell>
          <cell r="L421">
            <v>60</v>
          </cell>
          <cell r="M421">
            <v>69</v>
          </cell>
          <cell r="N421">
            <v>0</v>
          </cell>
          <cell r="O421">
            <v>15</v>
          </cell>
          <cell r="P421">
            <v>0</v>
          </cell>
          <cell r="Q421">
            <v>15</v>
          </cell>
          <cell r="R421">
            <v>0</v>
          </cell>
          <cell r="S421">
            <v>15</v>
          </cell>
          <cell r="T421">
            <v>0</v>
          </cell>
          <cell r="U421">
            <v>15</v>
          </cell>
          <cell r="V421">
            <v>1030</v>
          </cell>
          <cell r="W421">
            <v>292</v>
          </cell>
          <cell r="X421">
            <v>686</v>
          </cell>
          <cell r="Y421">
            <v>179</v>
          </cell>
          <cell r="Z421">
            <v>0</v>
          </cell>
          <cell r="AA421">
            <v>15</v>
          </cell>
          <cell r="AB421">
            <v>191</v>
          </cell>
          <cell r="AC421">
            <v>190</v>
          </cell>
          <cell r="AD421">
            <v>153</v>
          </cell>
          <cell r="AE421">
            <v>91</v>
          </cell>
          <cell r="AF421">
            <v>0</v>
          </cell>
          <cell r="AG421">
            <v>15</v>
          </cell>
          <cell r="AH421">
            <v>0</v>
          </cell>
          <cell r="AI421">
            <v>15</v>
          </cell>
          <cell r="AJ421">
            <v>0</v>
          </cell>
          <cell r="AK421">
            <v>15</v>
          </cell>
          <cell r="AL421">
            <v>49</v>
          </cell>
          <cell r="AM421">
            <v>45</v>
          </cell>
          <cell r="AN421">
            <v>50</v>
          </cell>
          <cell r="AO421">
            <v>49</v>
          </cell>
          <cell r="AP421">
            <v>11</v>
          </cell>
          <cell r="AQ421">
            <v>20</v>
          </cell>
          <cell r="AR421">
            <v>155</v>
          </cell>
          <cell r="AS421">
            <v>87</v>
          </cell>
        </row>
        <row r="422">
          <cell r="B422">
            <v>17031400300</v>
          </cell>
          <cell r="D422">
            <v>424</v>
          </cell>
          <cell r="E422">
            <v>85</v>
          </cell>
          <cell r="F422">
            <v>216</v>
          </cell>
          <cell r="G422">
            <v>73</v>
          </cell>
          <cell r="H422">
            <v>161</v>
          </cell>
          <cell r="I422">
            <v>66</v>
          </cell>
          <cell r="J422">
            <v>55</v>
          </cell>
          <cell r="K422">
            <v>45</v>
          </cell>
          <cell r="L422">
            <v>55</v>
          </cell>
          <cell r="M422">
            <v>45</v>
          </cell>
          <cell r="N422">
            <v>0</v>
          </cell>
          <cell r="O422">
            <v>11</v>
          </cell>
          <cell r="P422">
            <v>0</v>
          </cell>
          <cell r="Q422">
            <v>11</v>
          </cell>
          <cell r="R422">
            <v>0</v>
          </cell>
          <cell r="S422">
            <v>11</v>
          </cell>
          <cell r="T422">
            <v>0</v>
          </cell>
          <cell r="U422">
            <v>11</v>
          </cell>
          <cell r="V422">
            <v>128</v>
          </cell>
          <cell r="W422">
            <v>57</v>
          </cell>
          <cell r="X422">
            <v>90</v>
          </cell>
          <cell r="Y422">
            <v>45</v>
          </cell>
          <cell r="Z422">
            <v>0</v>
          </cell>
          <cell r="AA422">
            <v>11</v>
          </cell>
          <cell r="AB422">
            <v>38</v>
          </cell>
          <cell r="AC422">
            <v>33</v>
          </cell>
          <cell r="AD422">
            <v>0</v>
          </cell>
          <cell r="AE422">
            <v>11</v>
          </cell>
          <cell r="AF422">
            <v>0</v>
          </cell>
          <cell r="AG422">
            <v>11</v>
          </cell>
          <cell r="AH422">
            <v>0</v>
          </cell>
          <cell r="AI422">
            <v>11</v>
          </cell>
          <cell r="AJ422">
            <v>0</v>
          </cell>
          <cell r="AK422">
            <v>11</v>
          </cell>
          <cell r="AL422">
            <v>14</v>
          </cell>
          <cell r="AM422">
            <v>22</v>
          </cell>
          <cell r="AN422">
            <v>52</v>
          </cell>
          <cell r="AO422">
            <v>47</v>
          </cell>
          <cell r="AP422">
            <v>0</v>
          </cell>
          <cell r="AQ422">
            <v>11</v>
          </cell>
          <cell r="AR422">
            <v>14</v>
          </cell>
          <cell r="AS422">
            <v>23</v>
          </cell>
        </row>
        <row r="423">
          <cell r="B423">
            <v>17031400400</v>
          </cell>
          <cell r="D423">
            <v>629</v>
          </cell>
          <cell r="E423">
            <v>117</v>
          </cell>
          <cell r="F423">
            <v>375</v>
          </cell>
          <cell r="G423">
            <v>100</v>
          </cell>
          <cell r="H423">
            <v>334</v>
          </cell>
          <cell r="I423">
            <v>99</v>
          </cell>
          <cell r="J423">
            <v>41</v>
          </cell>
          <cell r="K423">
            <v>34</v>
          </cell>
          <cell r="L423">
            <v>41</v>
          </cell>
          <cell r="M423">
            <v>34</v>
          </cell>
          <cell r="N423">
            <v>0</v>
          </cell>
          <cell r="O423">
            <v>11</v>
          </cell>
          <cell r="P423">
            <v>0</v>
          </cell>
          <cell r="Q423">
            <v>11</v>
          </cell>
          <cell r="R423">
            <v>0</v>
          </cell>
          <cell r="S423">
            <v>11</v>
          </cell>
          <cell r="T423">
            <v>0</v>
          </cell>
          <cell r="U423">
            <v>11</v>
          </cell>
          <cell r="V423">
            <v>223</v>
          </cell>
          <cell r="W423">
            <v>85</v>
          </cell>
          <cell r="X423">
            <v>148</v>
          </cell>
          <cell r="Y423">
            <v>74</v>
          </cell>
          <cell r="Z423">
            <v>0</v>
          </cell>
          <cell r="AA423">
            <v>11</v>
          </cell>
          <cell r="AB423">
            <v>65</v>
          </cell>
          <cell r="AC423">
            <v>47</v>
          </cell>
          <cell r="AD423">
            <v>10</v>
          </cell>
          <cell r="AE423">
            <v>16</v>
          </cell>
          <cell r="AF423">
            <v>0</v>
          </cell>
          <cell r="AG423">
            <v>11</v>
          </cell>
          <cell r="AH423">
            <v>0</v>
          </cell>
          <cell r="AI423">
            <v>11</v>
          </cell>
          <cell r="AJ423">
            <v>0</v>
          </cell>
          <cell r="AK423">
            <v>11</v>
          </cell>
          <cell r="AL423">
            <v>0</v>
          </cell>
          <cell r="AM423">
            <v>11</v>
          </cell>
          <cell r="AN423">
            <v>22</v>
          </cell>
          <cell r="AO423">
            <v>26</v>
          </cell>
          <cell r="AP423">
            <v>0</v>
          </cell>
          <cell r="AQ423">
            <v>11</v>
          </cell>
          <cell r="AR423">
            <v>9</v>
          </cell>
          <cell r="AS423">
            <v>13</v>
          </cell>
        </row>
        <row r="424">
          <cell r="B424">
            <v>17031400500</v>
          </cell>
          <cell r="D424">
            <v>529</v>
          </cell>
          <cell r="E424">
            <v>106</v>
          </cell>
          <cell r="F424">
            <v>195</v>
          </cell>
          <cell r="G424">
            <v>73</v>
          </cell>
          <cell r="H424">
            <v>182</v>
          </cell>
          <cell r="I424">
            <v>70</v>
          </cell>
          <cell r="J424">
            <v>13</v>
          </cell>
          <cell r="K424">
            <v>18</v>
          </cell>
          <cell r="L424">
            <v>13</v>
          </cell>
          <cell r="M424">
            <v>18</v>
          </cell>
          <cell r="N424">
            <v>0</v>
          </cell>
          <cell r="O424">
            <v>11</v>
          </cell>
          <cell r="P424">
            <v>0</v>
          </cell>
          <cell r="Q424">
            <v>11</v>
          </cell>
          <cell r="R424">
            <v>0</v>
          </cell>
          <cell r="S424">
            <v>11</v>
          </cell>
          <cell r="T424">
            <v>0</v>
          </cell>
          <cell r="U424">
            <v>11</v>
          </cell>
          <cell r="V424">
            <v>273</v>
          </cell>
          <cell r="W424">
            <v>95</v>
          </cell>
          <cell r="X424">
            <v>185</v>
          </cell>
          <cell r="Y424">
            <v>76</v>
          </cell>
          <cell r="Z424">
            <v>19</v>
          </cell>
          <cell r="AA424">
            <v>30</v>
          </cell>
          <cell r="AB424">
            <v>69</v>
          </cell>
          <cell r="AC424">
            <v>51</v>
          </cell>
          <cell r="AD424">
            <v>0</v>
          </cell>
          <cell r="AE424">
            <v>11</v>
          </cell>
          <cell r="AF424">
            <v>0</v>
          </cell>
          <cell r="AG424">
            <v>11</v>
          </cell>
          <cell r="AH424">
            <v>13</v>
          </cell>
          <cell r="AI424">
            <v>19</v>
          </cell>
          <cell r="AJ424">
            <v>0</v>
          </cell>
          <cell r="AK424">
            <v>11</v>
          </cell>
          <cell r="AL424">
            <v>0</v>
          </cell>
          <cell r="AM424">
            <v>11</v>
          </cell>
          <cell r="AN424">
            <v>42</v>
          </cell>
          <cell r="AO424">
            <v>33</v>
          </cell>
          <cell r="AP424">
            <v>0</v>
          </cell>
          <cell r="AQ424">
            <v>11</v>
          </cell>
          <cell r="AR424">
            <v>6</v>
          </cell>
          <cell r="AS424">
            <v>8</v>
          </cell>
        </row>
        <row r="425">
          <cell r="B425">
            <v>17031400800</v>
          </cell>
          <cell r="D425">
            <v>875</v>
          </cell>
          <cell r="E425">
            <v>188</v>
          </cell>
          <cell r="F425">
            <v>361</v>
          </cell>
          <cell r="G425">
            <v>158</v>
          </cell>
          <cell r="H425">
            <v>301</v>
          </cell>
          <cell r="I425">
            <v>148</v>
          </cell>
          <cell r="J425">
            <v>60</v>
          </cell>
          <cell r="K425">
            <v>74</v>
          </cell>
          <cell r="L425">
            <v>60</v>
          </cell>
          <cell r="M425">
            <v>74</v>
          </cell>
          <cell r="N425">
            <v>0</v>
          </cell>
          <cell r="O425">
            <v>11</v>
          </cell>
          <cell r="P425">
            <v>0</v>
          </cell>
          <cell r="Q425">
            <v>11</v>
          </cell>
          <cell r="R425">
            <v>0</v>
          </cell>
          <cell r="S425">
            <v>11</v>
          </cell>
          <cell r="T425">
            <v>0</v>
          </cell>
          <cell r="U425">
            <v>11</v>
          </cell>
          <cell r="V425">
            <v>374</v>
          </cell>
          <cell r="W425">
            <v>148</v>
          </cell>
          <cell r="X425">
            <v>322</v>
          </cell>
          <cell r="Y425">
            <v>140</v>
          </cell>
          <cell r="Z425">
            <v>0</v>
          </cell>
          <cell r="AA425">
            <v>11</v>
          </cell>
          <cell r="AB425">
            <v>52</v>
          </cell>
          <cell r="AC425">
            <v>60</v>
          </cell>
          <cell r="AD425">
            <v>0</v>
          </cell>
          <cell r="AE425">
            <v>11</v>
          </cell>
          <cell r="AF425">
            <v>0</v>
          </cell>
          <cell r="AG425">
            <v>11</v>
          </cell>
          <cell r="AH425">
            <v>33</v>
          </cell>
          <cell r="AI425">
            <v>49</v>
          </cell>
          <cell r="AJ425">
            <v>0</v>
          </cell>
          <cell r="AK425">
            <v>11</v>
          </cell>
          <cell r="AL425">
            <v>0</v>
          </cell>
          <cell r="AM425">
            <v>11</v>
          </cell>
          <cell r="AN425">
            <v>81</v>
          </cell>
          <cell r="AO425">
            <v>73</v>
          </cell>
          <cell r="AP425">
            <v>0</v>
          </cell>
          <cell r="AQ425">
            <v>11</v>
          </cell>
          <cell r="AR425">
            <v>26</v>
          </cell>
          <cell r="AS425">
            <v>42</v>
          </cell>
        </row>
        <row r="426">
          <cell r="B426">
            <v>17031410100</v>
          </cell>
          <cell r="D426">
            <v>933</v>
          </cell>
          <cell r="E426">
            <v>172</v>
          </cell>
          <cell r="F426">
            <v>255</v>
          </cell>
          <cell r="G426">
            <v>81</v>
          </cell>
          <cell r="H426">
            <v>172</v>
          </cell>
          <cell r="I426">
            <v>62</v>
          </cell>
          <cell r="J426">
            <v>83</v>
          </cell>
          <cell r="K426">
            <v>67</v>
          </cell>
          <cell r="L426">
            <v>55</v>
          </cell>
          <cell r="M426">
            <v>50</v>
          </cell>
          <cell r="N426">
            <v>28</v>
          </cell>
          <cell r="O426">
            <v>42</v>
          </cell>
          <cell r="P426">
            <v>0</v>
          </cell>
          <cell r="Q426">
            <v>11</v>
          </cell>
          <cell r="R426">
            <v>0</v>
          </cell>
          <cell r="S426">
            <v>11</v>
          </cell>
          <cell r="T426">
            <v>0</v>
          </cell>
          <cell r="U426">
            <v>11</v>
          </cell>
          <cell r="V426">
            <v>387</v>
          </cell>
          <cell r="W426">
            <v>105</v>
          </cell>
          <cell r="X426">
            <v>304</v>
          </cell>
          <cell r="Y426">
            <v>87</v>
          </cell>
          <cell r="Z426">
            <v>0</v>
          </cell>
          <cell r="AA426">
            <v>11</v>
          </cell>
          <cell r="AB426">
            <v>23</v>
          </cell>
          <cell r="AC426">
            <v>21</v>
          </cell>
          <cell r="AD426">
            <v>60</v>
          </cell>
          <cell r="AE426">
            <v>43</v>
          </cell>
          <cell r="AF426">
            <v>0</v>
          </cell>
          <cell r="AG426">
            <v>11</v>
          </cell>
          <cell r="AH426">
            <v>23</v>
          </cell>
          <cell r="AI426">
            <v>31</v>
          </cell>
          <cell r="AJ426">
            <v>0</v>
          </cell>
          <cell r="AK426">
            <v>11</v>
          </cell>
          <cell r="AL426">
            <v>35</v>
          </cell>
          <cell r="AM426">
            <v>35</v>
          </cell>
          <cell r="AN426">
            <v>153</v>
          </cell>
          <cell r="AO426">
            <v>91</v>
          </cell>
          <cell r="AP426">
            <v>0</v>
          </cell>
          <cell r="AQ426">
            <v>11</v>
          </cell>
          <cell r="AR426">
            <v>80</v>
          </cell>
          <cell r="AS426">
            <v>39</v>
          </cell>
        </row>
        <row r="427">
          <cell r="B427">
            <v>17031410200</v>
          </cell>
          <cell r="D427">
            <v>515</v>
          </cell>
          <cell r="E427">
            <v>90</v>
          </cell>
          <cell r="F427">
            <v>120</v>
          </cell>
          <cell r="G427">
            <v>39</v>
          </cell>
          <cell r="H427">
            <v>103</v>
          </cell>
          <cell r="I427">
            <v>36</v>
          </cell>
          <cell r="J427">
            <v>17</v>
          </cell>
          <cell r="K427">
            <v>24</v>
          </cell>
          <cell r="L427">
            <v>17</v>
          </cell>
          <cell r="M427">
            <v>24</v>
          </cell>
          <cell r="N427">
            <v>0</v>
          </cell>
          <cell r="O427">
            <v>11</v>
          </cell>
          <cell r="P427">
            <v>0</v>
          </cell>
          <cell r="Q427">
            <v>11</v>
          </cell>
          <cell r="R427">
            <v>0</v>
          </cell>
          <cell r="S427">
            <v>11</v>
          </cell>
          <cell r="T427">
            <v>0</v>
          </cell>
          <cell r="U427">
            <v>11</v>
          </cell>
          <cell r="V427">
            <v>232</v>
          </cell>
          <cell r="W427">
            <v>67</v>
          </cell>
          <cell r="X427">
            <v>216</v>
          </cell>
          <cell r="Y427">
            <v>68</v>
          </cell>
          <cell r="Z427">
            <v>0</v>
          </cell>
          <cell r="AA427">
            <v>11</v>
          </cell>
          <cell r="AB427">
            <v>10</v>
          </cell>
          <cell r="AC427">
            <v>21</v>
          </cell>
          <cell r="AD427">
            <v>6</v>
          </cell>
          <cell r="AE427">
            <v>10</v>
          </cell>
          <cell r="AF427">
            <v>0</v>
          </cell>
          <cell r="AG427">
            <v>11</v>
          </cell>
          <cell r="AH427">
            <v>0</v>
          </cell>
          <cell r="AI427">
            <v>11</v>
          </cell>
          <cell r="AJ427">
            <v>0</v>
          </cell>
          <cell r="AK427">
            <v>11</v>
          </cell>
          <cell r="AL427">
            <v>27</v>
          </cell>
          <cell r="AM427">
            <v>23</v>
          </cell>
          <cell r="AN427">
            <v>124</v>
          </cell>
          <cell r="AO427">
            <v>48</v>
          </cell>
          <cell r="AP427">
            <v>0</v>
          </cell>
          <cell r="AQ427">
            <v>11</v>
          </cell>
          <cell r="AR427">
            <v>12</v>
          </cell>
          <cell r="AS427">
            <v>13</v>
          </cell>
        </row>
        <row r="428">
          <cell r="B428">
            <v>17031410500</v>
          </cell>
          <cell r="D428">
            <v>1279</v>
          </cell>
          <cell r="E428">
            <v>186</v>
          </cell>
          <cell r="F428">
            <v>534</v>
          </cell>
          <cell r="G428">
            <v>128</v>
          </cell>
          <cell r="H428">
            <v>482</v>
          </cell>
          <cell r="I428">
            <v>126</v>
          </cell>
          <cell r="J428">
            <v>52</v>
          </cell>
          <cell r="K428">
            <v>38</v>
          </cell>
          <cell r="L428">
            <v>41</v>
          </cell>
          <cell r="M428">
            <v>33</v>
          </cell>
          <cell r="N428">
            <v>0</v>
          </cell>
          <cell r="O428">
            <v>11</v>
          </cell>
          <cell r="P428">
            <v>0</v>
          </cell>
          <cell r="Q428">
            <v>11</v>
          </cell>
          <cell r="R428">
            <v>11</v>
          </cell>
          <cell r="S428">
            <v>17</v>
          </cell>
          <cell r="T428">
            <v>0</v>
          </cell>
          <cell r="U428">
            <v>11</v>
          </cell>
          <cell r="V428">
            <v>348</v>
          </cell>
          <cell r="W428">
            <v>118</v>
          </cell>
          <cell r="X428">
            <v>275</v>
          </cell>
          <cell r="Y428">
            <v>123</v>
          </cell>
          <cell r="Z428">
            <v>0</v>
          </cell>
          <cell r="AA428">
            <v>11</v>
          </cell>
          <cell r="AB428">
            <v>48</v>
          </cell>
          <cell r="AC428">
            <v>45</v>
          </cell>
          <cell r="AD428">
            <v>25</v>
          </cell>
          <cell r="AE428">
            <v>30</v>
          </cell>
          <cell r="AF428">
            <v>0</v>
          </cell>
          <cell r="AG428">
            <v>11</v>
          </cell>
          <cell r="AH428">
            <v>0</v>
          </cell>
          <cell r="AI428">
            <v>11</v>
          </cell>
          <cell r="AJ428">
            <v>0</v>
          </cell>
          <cell r="AK428">
            <v>11</v>
          </cell>
          <cell r="AL428">
            <v>84</v>
          </cell>
          <cell r="AM428">
            <v>76</v>
          </cell>
          <cell r="AN428">
            <v>278</v>
          </cell>
          <cell r="AO428">
            <v>119</v>
          </cell>
          <cell r="AP428">
            <v>12</v>
          </cell>
          <cell r="AQ428">
            <v>21</v>
          </cell>
          <cell r="AR428">
            <v>23</v>
          </cell>
          <cell r="AS428">
            <v>28</v>
          </cell>
        </row>
        <row r="429">
          <cell r="B429">
            <v>17031410600</v>
          </cell>
          <cell r="D429">
            <v>1117</v>
          </cell>
          <cell r="E429">
            <v>194</v>
          </cell>
          <cell r="F429">
            <v>276</v>
          </cell>
          <cell r="G429">
            <v>84</v>
          </cell>
          <cell r="H429">
            <v>240</v>
          </cell>
          <cell r="I429">
            <v>78</v>
          </cell>
          <cell r="J429">
            <v>36</v>
          </cell>
          <cell r="K429">
            <v>31</v>
          </cell>
          <cell r="L429">
            <v>27</v>
          </cell>
          <cell r="M429">
            <v>27</v>
          </cell>
          <cell r="N429">
            <v>9</v>
          </cell>
          <cell r="O429">
            <v>15</v>
          </cell>
          <cell r="P429">
            <v>0</v>
          </cell>
          <cell r="Q429">
            <v>11</v>
          </cell>
          <cell r="R429">
            <v>0</v>
          </cell>
          <cell r="S429">
            <v>11</v>
          </cell>
          <cell r="T429">
            <v>0</v>
          </cell>
          <cell r="U429">
            <v>11</v>
          </cell>
          <cell r="V429">
            <v>257</v>
          </cell>
          <cell r="W429">
            <v>107</v>
          </cell>
          <cell r="X429">
            <v>141</v>
          </cell>
          <cell r="Y429">
            <v>81</v>
          </cell>
          <cell r="Z429">
            <v>0</v>
          </cell>
          <cell r="AA429">
            <v>11</v>
          </cell>
          <cell r="AB429">
            <v>98</v>
          </cell>
          <cell r="AC429">
            <v>57</v>
          </cell>
          <cell r="AD429">
            <v>18</v>
          </cell>
          <cell r="AE429">
            <v>19</v>
          </cell>
          <cell r="AF429">
            <v>0</v>
          </cell>
          <cell r="AG429">
            <v>11</v>
          </cell>
          <cell r="AH429">
            <v>5</v>
          </cell>
          <cell r="AI429">
            <v>8</v>
          </cell>
          <cell r="AJ429">
            <v>0</v>
          </cell>
          <cell r="AK429">
            <v>11</v>
          </cell>
          <cell r="AL429">
            <v>62</v>
          </cell>
          <cell r="AM429">
            <v>50</v>
          </cell>
          <cell r="AN429">
            <v>433</v>
          </cell>
          <cell r="AO429">
            <v>121</v>
          </cell>
          <cell r="AP429">
            <v>19</v>
          </cell>
          <cell r="AQ429">
            <v>21</v>
          </cell>
          <cell r="AR429">
            <v>65</v>
          </cell>
          <cell r="AS429">
            <v>47</v>
          </cell>
        </row>
        <row r="430">
          <cell r="B430">
            <v>17031410700</v>
          </cell>
          <cell r="D430">
            <v>1059</v>
          </cell>
          <cell r="E430">
            <v>209</v>
          </cell>
          <cell r="F430">
            <v>273</v>
          </cell>
          <cell r="G430">
            <v>96</v>
          </cell>
          <cell r="H430">
            <v>236</v>
          </cell>
          <cell r="I430">
            <v>95</v>
          </cell>
          <cell r="J430">
            <v>37</v>
          </cell>
          <cell r="K430">
            <v>28</v>
          </cell>
          <cell r="L430">
            <v>25</v>
          </cell>
          <cell r="M430">
            <v>26</v>
          </cell>
          <cell r="N430">
            <v>0</v>
          </cell>
          <cell r="O430">
            <v>11</v>
          </cell>
          <cell r="P430">
            <v>0</v>
          </cell>
          <cell r="Q430">
            <v>11</v>
          </cell>
          <cell r="R430">
            <v>0</v>
          </cell>
          <cell r="S430">
            <v>11</v>
          </cell>
          <cell r="T430">
            <v>12</v>
          </cell>
          <cell r="U430">
            <v>20</v>
          </cell>
          <cell r="V430">
            <v>248</v>
          </cell>
          <cell r="W430">
            <v>100</v>
          </cell>
          <cell r="X430">
            <v>174</v>
          </cell>
          <cell r="Y430">
            <v>74</v>
          </cell>
          <cell r="Z430">
            <v>0</v>
          </cell>
          <cell r="AA430">
            <v>11</v>
          </cell>
          <cell r="AB430">
            <v>45</v>
          </cell>
          <cell r="AC430">
            <v>43</v>
          </cell>
          <cell r="AD430">
            <v>29</v>
          </cell>
          <cell r="AE430">
            <v>33</v>
          </cell>
          <cell r="AF430">
            <v>0</v>
          </cell>
          <cell r="AG430">
            <v>11</v>
          </cell>
          <cell r="AH430">
            <v>0</v>
          </cell>
          <cell r="AI430">
            <v>11</v>
          </cell>
          <cell r="AJ430">
            <v>0</v>
          </cell>
          <cell r="AK430">
            <v>11</v>
          </cell>
          <cell r="AL430">
            <v>78</v>
          </cell>
          <cell r="AM430">
            <v>50</v>
          </cell>
          <cell r="AN430">
            <v>362</v>
          </cell>
          <cell r="AO430">
            <v>133</v>
          </cell>
          <cell r="AP430">
            <v>6</v>
          </cell>
          <cell r="AQ430">
            <v>11</v>
          </cell>
          <cell r="AR430">
            <v>92</v>
          </cell>
          <cell r="AS430">
            <v>51</v>
          </cell>
        </row>
        <row r="431">
          <cell r="B431">
            <v>17031410800</v>
          </cell>
          <cell r="D431">
            <v>1410</v>
          </cell>
          <cell r="E431">
            <v>222</v>
          </cell>
          <cell r="F431">
            <v>452</v>
          </cell>
          <cell r="G431">
            <v>119</v>
          </cell>
          <cell r="H431">
            <v>436</v>
          </cell>
          <cell r="I431">
            <v>120</v>
          </cell>
          <cell r="J431">
            <v>16</v>
          </cell>
          <cell r="K431">
            <v>21</v>
          </cell>
          <cell r="L431">
            <v>16</v>
          </cell>
          <cell r="M431">
            <v>21</v>
          </cell>
          <cell r="N431">
            <v>0</v>
          </cell>
          <cell r="O431">
            <v>11</v>
          </cell>
          <cell r="P431">
            <v>0</v>
          </cell>
          <cell r="Q431">
            <v>11</v>
          </cell>
          <cell r="R431">
            <v>0</v>
          </cell>
          <cell r="S431">
            <v>11</v>
          </cell>
          <cell r="T431">
            <v>0</v>
          </cell>
          <cell r="U431">
            <v>11</v>
          </cell>
          <cell r="V431">
            <v>372</v>
          </cell>
          <cell r="W431">
            <v>151</v>
          </cell>
          <cell r="X431">
            <v>265</v>
          </cell>
          <cell r="Y431">
            <v>127</v>
          </cell>
          <cell r="Z431">
            <v>0</v>
          </cell>
          <cell r="AA431">
            <v>11</v>
          </cell>
          <cell r="AB431">
            <v>41</v>
          </cell>
          <cell r="AC431">
            <v>46</v>
          </cell>
          <cell r="AD431">
            <v>66</v>
          </cell>
          <cell r="AE431">
            <v>44</v>
          </cell>
          <cell r="AF431">
            <v>0</v>
          </cell>
          <cell r="AG431">
            <v>11</v>
          </cell>
          <cell r="AH431">
            <v>0</v>
          </cell>
          <cell r="AI431">
            <v>11</v>
          </cell>
          <cell r="AJ431">
            <v>0</v>
          </cell>
          <cell r="AK431">
            <v>11</v>
          </cell>
          <cell r="AL431">
            <v>80</v>
          </cell>
          <cell r="AM431">
            <v>44</v>
          </cell>
          <cell r="AN431">
            <v>387</v>
          </cell>
          <cell r="AO431">
            <v>135</v>
          </cell>
          <cell r="AP431">
            <v>0</v>
          </cell>
          <cell r="AQ431">
            <v>11</v>
          </cell>
          <cell r="AR431">
            <v>119</v>
          </cell>
          <cell r="AS431">
            <v>56</v>
          </cell>
        </row>
        <row r="432">
          <cell r="B432">
            <v>17031410900</v>
          </cell>
          <cell r="D432">
            <v>1654</v>
          </cell>
          <cell r="E432">
            <v>189</v>
          </cell>
          <cell r="F432">
            <v>658</v>
          </cell>
          <cell r="G432">
            <v>138</v>
          </cell>
          <cell r="H432">
            <v>553</v>
          </cell>
          <cell r="I432">
            <v>129</v>
          </cell>
          <cell r="J432">
            <v>105</v>
          </cell>
          <cell r="K432">
            <v>52</v>
          </cell>
          <cell r="L432">
            <v>80</v>
          </cell>
          <cell r="M432">
            <v>47</v>
          </cell>
          <cell r="N432">
            <v>9</v>
          </cell>
          <cell r="O432">
            <v>15</v>
          </cell>
          <cell r="P432">
            <v>6</v>
          </cell>
          <cell r="Q432">
            <v>12</v>
          </cell>
          <cell r="R432">
            <v>10</v>
          </cell>
          <cell r="S432">
            <v>15</v>
          </cell>
          <cell r="T432">
            <v>0</v>
          </cell>
          <cell r="U432">
            <v>11</v>
          </cell>
          <cell r="V432">
            <v>436</v>
          </cell>
          <cell r="W432">
            <v>116</v>
          </cell>
          <cell r="X432">
            <v>355</v>
          </cell>
          <cell r="Y432">
            <v>113</v>
          </cell>
          <cell r="Z432">
            <v>0</v>
          </cell>
          <cell r="AA432">
            <v>11</v>
          </cell>
          <cell r="AB432">
            <v>44</v>
          </cell>
          <cell r="AC432">
            <v>39</v>
          </cell>
          <cell r="AD432">
            <v>37</v>
          </cell>
          <cell r="AE432">
            <v>26</v>
          </cell>
          <cell r="AF432">
            <v>0</v>
          </cell>
          <cell r="AG432">
            <v>11</v>
          </cell>
          <cell r="AH432">
            <v>10</v>
          </cell>
          <cell r="AI432">
            <v>14</v>
          </cell>
          <cell r="AJ432">
            <v>0</v>
          </cell>
          <cell r="AK432">
            <v>11</v>
          </cell>
          <cell r="AL432">
            <v>115</v>
          </cell>
          <cell r="AM432">
            <v>63</v>
          </cell>
          <cell r="AN432">
            <v>325</v>
          </cell>
          <cell r="AO432">
            <v>119</v>
          </cell>
          <cell r="AP432">
            <v>16</v>
          </cell>
          <cell r="AQ432">
            <v>18</v>
          </cell>
          <cell r="AR432">
            <v>94</v>
          </cell>
          <cell r="AS432">
            <v>49</v>
          </cell>
        </row>
        <row r="433">
          <cell r="B433">
            <v>17031411000</v>
          </cell>
          <cell r="D433">
            <v>1576</v>
          </cell>
          <cell r="E433">
            <v>236</v>
          </cell>
          <cell r="F433">
            <v>518</v>
          </cell>
          <cell r="G433">
            <v>157</v>
          </cell>
          <cell r="H433">
            <v>467</v>
          </cell>
          <cell r="I433">
            <v>147</v>
          </cell>
          <cell r="J433">
            <v>51</v>
          </cell>
          <cell r="K433">
            <v>65</v>
          </cell>
          <cell r="L433">
            <v>9</v>
          </cell>
          <cell r="M433">
            <v>13</v>
          </cell>
          <cell r="N433">
            <v>42</v>
          </cell>
          <cell r="O433">
            <v>65</v>
          </cell>
          <cell r="P433">
            <v>0</v>
          </cell>
          <cell r="Q433">
            <v>11</v>
          </cell>
          <cell r="R433">
            <v>0</v>
          </cell>
          <cell r="S433">
            <v>11</v>
          </cell>
          <cell r="T433">
            <v>0</v>
          </cell>
          <cell r="U433">
            <v>11</v>
          </cell>
          <cell r="V433">
            <v>584</v>
          </cell>
          <cell r="W433">
            <v>150</v>
          </cell>
          <cell r="X433">
            <v>430</v>
          </cell>
          <cell r="Y433">
            <v>118</v>
          </cell>
          <cell r="Z433">
            <v>0</v>
          </cell>
          <cell r="AA433">
            <v>11</v>
          </cell>
          <cell r="AB433">
            <v>78</v>
          </cell>
          <cell r="AC433">
            <v>57</v>
          </cell>
          <cell r="AD433">
            <v>76</v>
          </cell>
          <cell r="AE433">
            <v>55</v>
          </cell>
          <cell r="AF433">
            <v>0</v>
          </cell>
          <cell r="AG433">
            <v>11</v>
          </cell>
          <cell r="AH433">
            <v>16</v>
          </cell>
          <cell r="AI433">
            <v>26</v>
          </cell>
          <cell r="AJ433">
            <v>0</v>
          </cell>
          <cell r="AK433">
            <v>11</v>
          </cell>
          <cell r="AL433">
            <v>105</v>
          </cell>
          <cell r="AM433">
            <v>65</v>
          </cell>
          <cell r="AN433">
            <v>242</v>
          </cell>
          <cell r="AO433">
            <v>95</v>
          </cell>
          <cell r="AP433">
            <v>8</v>
          </cell>
          <cell r="AQ433">
            <v>16</v>
          </cell>
          <cell r="AR433">
            <v>103</v>
          </cell>
          <cell r="AS433">
            <v>90</v>
          </cell>
        </row>
        <row r="434">
          <cell r="B434">
            <v>17031411100</v>
          </cell>
          <cell r="D434">
            <v>1138</v>
          </cell>
          <cell r="E434">
            <v>121</v>
          </cell>
          <cell r="F434">
            <v>133</v>
          </cell>
          <cell r="G434">
            <v>41</v>
          </cell>
          <cell r="H434">
            <v>123</v>
          </cell>
          <cell r="I434">
            <v>38</v>
          </cell>
          <cell r="J434">
            <v>10</v>
          </cell>
          <cell r="K434">
            <v>10</v>
          </cell>
          <cell r="L434">
            <v>5</v>
          </cell>
          <cell r="M434">
            <v>7</v>
          </cell>
          <cell r="N434">
            <v>5</v>
          </cell>
          <cell r="O434">
            <v>8</v>
          </cell>
          <cell r="P434">
            <v>0</v>
          </cell>
          <cell r="Q434">
            <v>11</v>
          </cell>
          <cell r="R434">
            <v>0</v>
          </cell>
          <cell r="S434">
            <v>11</v>
          </cell>
          <cell r="T434">
            <v>0</v>
          </cell>
          <cell r="U434">
            <v>11</v>
          </cell>
          <cell r="V434">
            <v>150</v>
          </cell>
          <cell r="W434">
            <v>51</v>
          </cell>
          <cell r="X434">
            <v>17</v>
          </cell>
          <cell r="Y434">
            <v>20</v>
          </cell>
          <cell r="Z434">
            <v>0</v>
          </cell>
          <cell r="AA434">
            <v>11</v>
          </cell>
          <cell r="AB434">
            <v>52</v>
          </cell>
          <cell r="AC434">
            <v>38</v>
          </cell>
          <cell r="AD434">
            <v>81</v>
          </cell>
          <cell r="AE434">
            <v>31</v>
          </cell>
          <cell r="AF434">
            <v>0</v>
          </cell>
          <cell r="AG434">
            <v>11</v>
          </cell>
          <cell r="AH434">
            <v>4</v>
          </cell>
          <cell r="AI434">
            <v>6</v>
          </cell>
          <cell r="AJ434">
            <v>0</v>
          </cell>
          <cell r="AK434">
            <v>11</v>
          </cell>
          <cell r="AL434">
            <v>63</v>
          </cell>
          <cell r="AM434">
            <v>33</v>
          </cell>
          <cell r="AN434">
            <v>673</v>
          </cell>
          <cell r="AO434">
            <v>113</v>
          </cell>
          <cell r="AP434">
            <v>5</v>
          </cell>
          <cell r="AQ434">
            <v>7</v>
          </cell>
          <cell r="AR434">
            <v>110</v>
          </cell>
          <cell r="AS434">
            <v>40</v>
          </cell>
        </row>
        <row r="435">
          <cell r="B435">
            <v>17031411200</v>
          </cell>
          <cell r="D435">
            <v>864</v>
          </cell>
          <cell r="E435">
            <v>96</v>
          </cell>
          <cell r="F435">
            <v>274</v>
          </cell>
          <cell r="G435">
            <v>67</v>
          </cell>
          <cell r="H435">
            <v>223</v>
          </cell>
          <cell r="I435">
            <v>59</v>
          </cell>
          <cell r="J435">
            <v>51</v>
          </cell>
          <cell r="K435">
            <v>31</v>
          </cell>
          <cell r="L435">
            <v>43</v>
          </cell>
          <cell r="M435">
            <v>30</v>
          </cell>
          <cell r="N435">
            <v>8</v>
          </cell>
          <cell r="O435">
            <v>12</v>
          </cell>
          <cell r="P435">
            <v>0</v>
          </cell>
          <cell r="Q435">
            <v>11</v>
          </cell>
          <cell r="R435">
            <v>0</v>
          </cell>
          <cell r="S435">
            <v>11</v>
          </cell>
          <cell r="T435">
            <v>0</v>
          </cell>
          <cell r="U435">
            <v>11</v>
          </cell>
          <cell r="V435">
            <v>136</v>
          </cell>
          <cell r="W435">
            <v>44</v>
          </cell>
          <cell r="X435">
            <v>35</v>
          </cell>
          <cell r="Y435">
            <v>23</v>
          </cell>
          <cell r="Z435">
            <v>0</v>
          </cell>
          <cell r="AA435">
            <v>11</v>
          </cell>
          <cell r="AB435">
            <v>38</v>
          </cell>
          <cell r="AC435">
            <v>28</v>
          </cell>
          <cell r="AD435">
            <v>63</v>
          </cell>
          <cell r="AE435">
            <v>27</v>
          </cell>
          <cell r="AF435">
            <v>0</v>
          </cell>
          <cell r="AG435">
            <v>11</v>
          </cell>
          <cell r="AH435">
            <v>0</v>
          </cell>
          <cell r="AI435">
            <v>11</v>
          </cell>
          <cell r="AJ435">
            <v>0</v>
          </cell>
          <cell r="AK435">
            <v>11</v>
          </cell>
          <cell r="AL435">
            <v>12</v>
          </cell>
          <cell r="AM435">
            <v>11</v>
          </cell>
          <cell r="AN435">
            <v>330</v>
          </cell>
          <cell r="AO435">
            <v>87</v>
          </cell>
          <cell r="AP435">
            <v>14</v>
          </cell>
          <cell r="AQ435">
            <v>20</v>
          </cell>
          <cell r="AR435">
            <v>98</v>
          </cell>
          <cell r="AS435">
            <v>42</v>
          </cell>
        </row>
        <row r="436">
          <cell r="B436">
            <v>17031420100</v>
          </cell>
          <cell r="D436">
            <v>497</v>
          </cell>
          <cell r="E436">
            <v>102</v>
          </cell>
          <cell r="F436">
            <v>230</v>
          </cell>
          <cell r="G436">
            <v>81</v>
          </cell>
          <cell r="H436">
            <v>221</v>
          </cell>
          <cell r="I436">
            <v>78</v>
          </cell>
          <cell r="J436">
            <v>9</v>
          </cell>
          <cell r="K436">
            <v>10</v>
          </cell>
          <cell r="L436">
            <v>9</v>
          </cell>
          <cell r="M436">
            <v>10</v>
          </cell>
          <cell r="N436">
            <v>0</v>
          </cell>
          <cell r="O436">
            <v>11</v>
          </cell>
          <cell r="P436">
            <v>0</v>
          </cell>
          <cell r="Q436">
            <v>11</v>
          </cell>
          <cell r="R436">
            <v>0</v>
          </cell>
          <cell r="S436">
            <v>11</v>
          </cell>
          <cell r="T436">
            <v>0</v>
          </cell>
          <cell r="U436">
            <v>11</v>
          </cell>
          <cell r="V436">
            <v>215</v>
          </cell>
          <cell r="W436">
            <v>69</v>
          </cell>
          <cell r="X436">
            <v>170</v>
          </cell>
          <cell r="Y436">
            <v>61</v>
          </cell>
          <cell r="Z436">
            <v>0</v>
          </cell>
          <cell r="AA436">
            <v>11</v>
          </cell>
          <cell r="AB436">
            <v>23</v>
          </cell>
          <cell r="AC436">
            <v>25</v>
          </cell>
          <cell r="AD436">
            <v>22</v>
          </cell>
          <cell r="AE436">
            <v>22</v>
          </cell>
          <cell r="AF436">
            <v>0</v>
          </cell>
          <cell r="AG436">
            <v>11</v>
          </cell>
          <cell r="AH436">
            <v>13</v>
          </cell>
          <cell r="AI436">
            <v>18</v>
          </cell>
          <cell r="AJ436">
            <v>0</v>
          </cell>
          <cell r="AK436">
            <v>11</v>
          </cell>
          <cell r="AL436">
            <v>0</v>
          </cell>
          <cell r="AM436">
            <v>11</v>
          </cell>
          <cell r="AN436">
            <v>26</v>
          </cell>
          <cell r="AO436">
            <v>21</v>
          </cell>
          <cell r="AP436">
            <v>0</v>
          </cell>
          <cell r="AQ436">
            <v>11</v>
          </cell>
          <cell r="AR436">
            <v>13</v>
          </cell>
          <cell r="AS436">
            <v>14</v>
          </cell>
        </row>
        <row r="437">
          <cell r="B437">
            <v>17031420200</v>
          </cell>
          <cell r="D437">
            <v>563</v>
          </cell>
          <cell r="E437">
            <v>87</v>
          </cell>
          <cell r="F437">
            <v>255</v>
          </cell>
          <cell r="G437">
            <v>67</v>
          </cell>
          <cell r="H437">
            <v>232</v>
          </cell>
          <cell r="I437">
            <v>67</v>
          </cell>
          <cell r="J437">
            <v>23</v>
          </cell>
          <cell r="K437">
            <v>19</v>
          </cell>
          <cell r="L437">
            <v>23</v>
          </cell>
          <cell r="M437">
            <v>19</v>
          </cell>
          <cell r="N437">
            <v>0</v>
          </cell>
          <cell r="O437">
            <v>11</v>
          </cell>
          <cell r="P437">
            <v>0</v>
          </cell>
          <cell r="Q437">
            <v>11</v>
          </cell>
          <cell r="R437">
            <v>0</v>
          </cell>
          <cell r="S437">
            <v>11</v>
          </cell>
          <cell r="T437">
            <v>0</v>
          </cell>
          <cell r="U437">
            <v>11</v>
          </cell>
          <cell r="V437">
            <v>147</v>
          </cell>
          <cell r="W437">
            <v>54</v>
          </cell>
          <cell r="X437">
            <v>89</v>
          </cell>
          <cell r="Y437">
            <v>46</v>
          </cell>
          <cell r="Z437">
            <v>10</v>
          </cell>
          <cell r="AA437">
            <v>17</v>
          </cell>
          <cell r="AB437">
            <v>21</v>
          </cell>
          <cell r="AC437">
            <v>17</v>
          </cell>
          <cell r="AD437">
            <v>27</v>
          </cell>
          <cell r="AE437">
            <v>24</v>
          </cell>
          <cell r="AF437">
            <v>0</v>
          </cell>
          <cell r="AG437">
            <v>11</v>
          </cell>
          <cell r="AH437">
            <v>0</v>
          </cell>
          <cell r="AI437">
            <v>11</v>
          </cell>
          <cell r="AJ437">
            <v>0</v>
          </cell>
          <cell r="AK437">
            <v>11</v>
          </cell>
          <cell r="AL437">
            <v>0</v>
          </cell>
          <cell r="AM437">
            <v>11</v>
          </cell>
          <cell r="AN437">
            <v>144</v>
          </cell>
          <cell r="AO437">
            <v>57</v>
          </cell>
          <cell r="AP437">
            <v>0</v>
          </cell>
          <cell r="AQ437">
            <v>11</v>
          </cell>
          <cell r="AR437">
            <v>17</v>
          </cell>
          <cell r="AS437">
            <v>20</v>
          </cell>
        </row>
        <row r="438">
          <cell r="B438">
            <v>17031420300</v>
          </cell>
          <cell r="D438">
            <v>824</v>
          </cell>
          <cell r="E438">
            <v>134</v>
          </cell>
          <cell r="F438">
            <v>314</v>
          </cell>
          <cell r="G438">
            <v>86</v>
          </cell>
          <cell r="H438">
            <v>283</v>
          </cell>
          <cell r="I438">
            <v>82</v>
          </cell>
          <cell r="J438">
            <v>31</v>
          </cell>
          <cell r="K438">
            <v>28</v>
          </cell>
          <cell r="L438">
            <v>31</v>
          </cell>
          <cell r="M438">
            <v>28</v>
          </cell>
          <cell r="N438">
            <v>0</v>
          </cell>
          <cell r="O438">
            <v>11</v>
          </cell>
          <cell r="P438">
            <v>0</v>
          </cell>
          <cell r="Q438">
            <v>11</v>
          </cell>
          <cell r="R438">
            <v>0</v>
          </cell>
          <cell r="S438">
            <v>11</v>
          </cell>
          <cell r="T438">
            <v>0</v>
          </cell>
          <cell r="U438">
            <v>11</v>
          </cell>
          <cell r="V438">
            <v>166</v>
          </cell>
          <cell r="W438">
            <v>65</v>
          </cell>
          <cell r="X438">
            <v>117</v>
          </cell>
          <cell r="Y438">
            <v>53</v>
          </cell>
          <cell r="Z438">
            <v>0</v>
          </cell>
          <cell r="AA438">
            <v>11</v>
          </cell>
          <cell r="AB438">
            <v>49</v>
          </cell>
          <cell r="AC438">
            <v>34</v>
          </cell>
          <cell r="AD438">
            <v>0</v>
          </cell>
          <cell r="AE438">
            <v>11</v>
          </cell>
          <cell r="AF438">
            <v>0</v>
          </cell>
          <cell r="AG438">
            <v>11</v>
          </cell>
          <cell r="AH438">
            <v>3</v>
          </cell>
          <cell r="AI438">
            <v>6</v>
          </cell>
          <cell r="AJ438">
            <v>0</v>
          </cell>
          <cell r="AK438">
            <v>11</v>
          </cell>
          <cell r="AL438">
            <v>37</v>
          </cell>
          <cell r="AM438">
            <v>36</v>
          </cell>
          <cell r="AN438">
            <v>219</v>
          </cell>
          <cell r="AO438">
            <v>75</v>
          </cell>
          <cell r="AP438">
            <v>20</v>
          </cell>
          <cell r="AQ438">
            <v>21</v>
          </cell>
          <cell r="AR438">
            <v>65</v>
          </cell>
          <cell r="AS438">
            <v>32</v>
          </cell>
        </row>
        <row r="439">
          <cell r="B439">
            <v>17031420400</v>
          </cell>
          <cell r="D439">
            <v>389</v>
          </cell>
          <cell r="E439">
            <v>83</v>
          </cell>
          <cell r="F439">
            <v>92</v>
          </cell>
          <cell r="G439">
            <v>45</v>
          </cell>
          <cell r="H439">
            <v>85</v>
          </cell>
          <cell r="I439">
            <v>45</v>
          </cell>
          <cell r="J439">
            <v>7</v>
          </cell>
          <cell r="K439">
            <v>12</v>
          </cell>
          <cell r="L439">
            <v>7</v>
          </cell>
          <cell r="M439">
            <v>12</v>
          </cell>
          <cell r="N439">
            <v>0</v>
          </cell>
          <cell r="O439">
            <v>11</v>
          </cell>
          <cell r="P439">
            <v>0</v>
          </cell>
          <cell r="Q439">
            <v>11</v>
          </cell>
          <cell r="R439">
            <v>0</v>
          </cell>
          <cell r="S439">
            <v>11</v>
          </cell>
          <cell r="T439">
            <v>0</v>
          </cell>
          <cell r="U439">
            <v>11</v>
          </cell>
          <cell r="V439">
            <v>66</v>
          </cell>
          <cell r="W439">
            <v>33</v>
          </cell>
          <cell r="X439">
            <v>12</v>
          </cell>
          <cell r="Y439">
            <v>14</v>
          </cell>
          <cell r="Z439">
            <v>0</v>
          </cell>
          <cell r="AA439">
            <v>11</v>
          </cell>
          <cell r="AB439">
            <v>48</v>
          </cell>
          <cell r="AC439">
            <v>31</v>
          </cell>
          <cell r="AD439">
            <v>6</v>
          </cell>
          <cell r="AE439">
            <v>9</v>
          </cell>
          <cell r="AF439">
            <v>0</v>
          </cell>
          <cell r="AG439">
            <v>11</v>
          </cell>
          <cell r="AH439">
            <v>0</v>
          </cell>
          <cell r="AI439">
            <v>11</v>
          </cell>
          <cell r="AJ439">
            <v>0</v>
          </cell>
          <cell r="AK439">
            <v>11</v>
          </cell>
          <cell r="AL439">
            <v>8</v>
          </cell>
          <cell r="AM439">
            <v>14</v>
          </cell>
          <cell r="AN439">
            <v>187</v>
          </cell>
          <cell r="AO439">
            <v>54</v>
          </cell>
          <cell r="AP439">
            <v>0</v>
          </cell>
          <cell r="AQ439">
            <v>11</v>
          </cell>
          <cell r="AR439">
            <v>36</v>
          </cell>
          <cell r="AS439">
            <v>49</v>
          </cell>
        </row>
        <row r="440">
          <cell r="B440">
            <v>17031420500</v>
          </cell>
          <cell r="D440">
            <v>553</v>
          </cell>
          <cell r="E440">
            <v>151</v>
          </cell>
          <cell r="F440">
            <v>332</v>
          </cell>
          <cell r="G440">
            <v>127</v>
          </cell>
          <cell r="H440">
            <v>282</v>
          </cell>
          <cell r="I440">
            <v>127</v>
          </cell>
          <cell r="J440">
            <v>50</v>
          </cell>
          <cell r="K440">
            <v>51</v>
          </cell>
          <cell r="L440">
            <v>50</v>
          </cell>
          <cell r="M440">
            <v>51</v>
          </cell>
          <cell r="N440">
            <v>0</v>
          </cell>
          <cell r="O440">
            <v>11</v>
          </cell>
          <cell r="P440">
            <v>0</v>
          </cell>
          <cell r="Q440">
            <v>11</v>
          </cell>
          <cell r="R440">
            <v>0</v>
          </cell>
          <cell r="S440">
            <v>11</v>
          </cell>
          <cell r="T440">
            <v>0</v>
          </cell>
          <cell r="U440">
            <v>11</v>
          </cell>
          <cell r="V440">
            <v>176</v>
          </cell>
          <cell r="W440">
            <v>70</v>
          </cell>
          <cell r="X440">
            <v>160</v>
          </cell>
          <cell r="Y440">
            <v>70</v>
          </cell>
          <cell r="Z440">
            <v>0</v>
          </cell>
          <cell r="AA440">
            <v>11</v>
          </cell>
          <cell r="AB440">
            <v>16</v>
          </cell>
          <cell r="AC440">
            <v>24</v>
          </cell>
          <cell r="AD440">
            <v>0</v>
          </cell>
          <cell r="AE440">
            <v>11</v>
          </cell>
          <cell r="AF440">
            <v>0</v>
          </cell>
          <cell r="AG440">
            <v>11</v>
          </cell>
          <cell r="AH440">
            <v>0</v>
          </cell>
          <cell r="AI440">
            <v>11</v>
          </cell>
          <cell r="AJ440">
            <v>0</v>
          </cell>
          <cell r="AK440">
            <v>11</v>
          </cell>
          <cell r="AL440">
            <v>0</v>
          </cell>
          <cell r="AM440">
            <v>11</v>
          </cell>
          <cell r="AN440">
            <v>24</v>
          </cell>
          <cell r="AO440">
            <v>25</v>
          </cell>
          <cell r="AP440">
            <v>0</v>
          </cell>
          <cell r="AQ440">
            <v>11</v>
          </cell>
          <cell r="AR440">
            <v>21</v>
          </cell>
          <cell r="AS440">
            <v>33</v>
          </cell>
        </row>
        <row r="441">
          <cell r="B441">
            <v>17031420600</v>
          </cell>
          <cell r="D441">
            <v>500</v>
          </cell>
          <cell r="E441">
            <v>107</v>
          </cell>
          <cell r="F441">
            <v>187</v>
          </cell>
          <cell r="G441">
            <v>72</v>
          </cell>
          <cell r="H441">
            <v>168</v>
          </cell>
          <cell r="I441">
            <v>65</v>
          </cell>
          <cell r="J441">
            <v>19</v>
          </cell>
          <cell r="K441">
            <v>23</v>
          </cell>
          <cell r="L441">
            <v>19</v>
          </cell>
          <cell r="M441">
            <v>23</v>
          </cell>
          <cell r="N441">
            <v>0</v>
          </cell>
          <cell r="O441">
            <v>11</v>
          </cell>
          <cell r="P441">
            <v>0</v>
          </cell>
          <cell r="Q441">
            <v>11</v>
          </cell>
          <cell r="R441">
            <v>0</v>
          </cell>
          <cell r="S441">
            <v>11</v>
          </cell>
          <cell r="T441">
            <v>0</v>
          </cell>
          <cell r="U441">
            <v>11</v>
          </cell>
          <cell r="V441">
            <v>249</v>
          </cell>
          <cell r="W441">
            <v>86</v>
          </cell>
          <cell r="X441">
            <v>196</v>
          </cell>
          <cell r="Y441">
            <v>73</v>
          </cell>
          <cell r="Z441">
            <v>0</v>
          </cell>
          <cell r="AA441">
            <v>11</v>
          </cell>
          <cell r="AB441">
            <v>35</v>
          </cell>
          <cell r="AC441">
            <v>31</v>
          </cell>
          <cell r="AD441">
            <v>18</v>
          </cell>
          <cell r="AE441">
            <v>25</v>
          </cell>
          <cell r="AF441">
            <v>0</v>
          </cell>
          <cell r="AG441">
            <v>11</v>
          </cell>
          <cell r="AH441">
            <v>0</v>
          </cell>
          <cell r="AI441">
            <v>11</v>
          </cell>
          <cell r="AJ441">
            <v>0</v>
          </cell>
          <cell r="AK441">
            <v>11</v>
          </cell>
          <cell r="AL441">
            <v>6</v>
          </cell>
          <cell r="AM441">
            <v>8</v>
          </cell>
          <cell r="AN441">
            <v>18</v>
          </cell>
          <cell r="AO441">
            <v>27</v>
          </cell>
          <cell r="AP441">
            <v>0</v>
          </cell>
          <cell r="AQ441">
            <v>11</v>
          </cell>
          <cell r="AR441">
            <v>40</v>
          </cell>
          <cell r="AS441">
            <v>37</v>
          </cell>
        </row>
        <row r="442">
          <cell r="B442">
            <v>17031420700</v>
          </cell>
          <cell r="D442">
            <v>632</v>
          </cell>
          <cell r="E442">
            <v>127</v>
          </cell>
          <cell r="F442">
            <v>298</v>
          </cell>
          <cell r="G442">
            <v>107</v>
          </cell>
          <cell r="H442">
            <v>247</v>
          </cell>
          <cell r="I442">
            <v>102</v>
          </cell>
          <cell r="J442">
            <v>51</v>
          </cell>
          <cell r="K442">
            <v>38</v>
          </cell>
          <cell r="L442">
            <v>38</v>
          </cell>
          <cell r="M442">
            <v>33</v>
          </cell>
          <cell r="N442">
            <v>0</v>
          </cell>
          <cell r="O442">
            <v>11</v>
          </cell>
          <cell r="P442">
            <v>6</v>
          </cell>
          <cell r="Q442">
            <v>11</v>
          </cell>
          <cell r="R442">
            <v>7</v>
          </cell>
          <cell r="S442">
            <v>12</v>
          </cell>
          <cell r="T442">
            <v>0</v>
          </cell>
          <cell r="U442">
            <v>11</v>
          </cell>
          <cell r="V442">
            <v>224</v>
          </cell>
          <cell r="W442">
            <v>100</v>
          </cell>
          <cell r="X442">
            <v>130</v>
          </cell>
          <cell r="Y442">
            <v>68</v>
          </cell>
          <cell r="Z442">
            <v>0</v>
          </cell>
          <cell r="AA442">
            <v>11</v>
          </cell>
          <cell r="AB442">
            <v>79</v>
          </cell>
          <cell r="AC442">
            <v>76</v>
          </cell>
          <cell r="AD442">
            <v>15</v>
          </cell>
          <cell r="AE442">
            <v>24</v>
          </cell>
          <cell r="AF442">
            <v>0</v>
          </cell>
          <cell r="AG442">
            <v>11</v>
          </cell>
          <cell r="AH442">
            <v>0</v>
          </cell>
          <cell r="AI442">
            <v>11</v>
          </cell>
          <cell r="AJ442">
            <v>0</v>
          </cell>
          <cell r="AK442">
            <v>11</v>
          </cell>
          <cell r="AL442">
            <v>27</v>
          </cell>
          <cell r="AM442">
            <v>32</v>
          </cell>
          <cell r="AN442">
            <v>10</v>
          </cell>
          <cell r="AO442">
            <v>16</v>
          </cell>
          <cell r="AP442">
            <v>20</v>
          </cell>
          <cell r="AQ442">
            <v>28</v>
          </cell>
          <cell r="AR442">
            <v>53</v>
          </cell>
          <cell r="AS442">
            <v>40</v>
          </cell>
        </row>
        <row r="443">
          <cell r="B443">
            <v>17031420800</v>
          </cell>
          <cell r="D443">
            <v>755</v>
          </cell>
          <cell r="E443">
            <v>156</v>
          </cell>
          <cell r="F443">
            <v>504</v>
          </cell>
          <cell r="G443">
            <v>137</v>
          </cell>
          <cell r="H443">
            <v>432</v>
          </cell>
          <cell r="I443">
            <v>138</v>
          </cell>
          <cell r="J443">
            <v>72</v>
          </cell>
          <cell r="K443">
            <v>35</v>
          </cell>
          <cell r="L443">
            <v>57</v>
          </cell>
          <cell r="M443">
            <v>35</v>
          </cell>
          <cell r="N443">
            <v>7</v>
          </cell>
          <cell r="O443">
            <v>11</v>
          </cell>
          <cell r="P443">
            <v>0</v>
          </cell>
          <cell r="Q443">
            <v>11</v>
          </cell>
          <cell r="R443">
            <v>8</v>
          </cell>
          <cell r="S443">
            <v>12</v>
          </cell>
          <cell r="T443">
            <v>0</v>
          </cell>
          <cell r="U443">
            <v>11</v>
          </cell>
          <cell r="V443">
            <v>179</v>
          </cell>
          <cell r="W443">
            <v>74</v>
          </cell>
          <cell r="X443">
            <v>123</v>
          </cell>
          <cell r="Y443">
            <v>56</v>
          </cell>
          <cell r="Z443">
            <v>0</v>
          </cell>
          <cell r="AA443">
            <v>11</v>
          </cell>
          <cell r="AB443">
            <v>47</v>
          </cell>
          <cell r="AC443">
            <v>30</v>
          </cell>
          <cell r="AD443">
            <v>9</v>
          </cell>
          <cell r="AE443">
            <v>14</v>
          </cell>
          <cell r="AF443">
            <v>0</v>
          </cell>
          <cell r="AG443">
            <v>11</v>
          </cell>
          <cell r="AH443">
            <v>8</v>
          </cell>
          <cell r="AI443">
            <v>13</v>
          </cell>
          <cell r="AJ443">
            <v>0</v>
          </cell>
          <cell r="AK443">
            <v>11</v>
          </cell>
          <cell r="AL443">
            <v>0</v>
          </cell>
          <cell r="AM443">
            <v>11</v>
          </cell>
          <cell r="AN443">
            <v>7</v>
          </cell>
          <cell r="AO443">
            <v>11</v>
          </cell>
          <cell r="AP443">
            <v>20</v>
          </cell>
          <cell r="AQ443">
            <v>26</v>
          </cell>
          <cell r="AR443">
            <v>37</v>
          </cell>
          <cell r="AS443">
            <v>27</v>
          </cell>
        </row>
        <row r="444">
          <cell r="B444">
            <v>17031421200</v>
          </cell>
          <cell r="D444">
            <v>519</v>
          </cell>
          <cell r="E444">
            <v>149</v>
          </cell>
          <cell r="F444">
            <v>271</v>
          </cell>
          <cell r="G444">
            <v>96</v>
          </cell>
          <cell r="H444">
            <v>256</v>
          </cell>
          <cell r="I444">
            <v>90</v>
          </cell>
          <cell r="J444">
            <v>15</v>
          </cell>
          <cell r="K444">
            <v>21</v>
          </cell>
          <cell r="L444">
            <v>1</v>
          </cell>
          <cell r="M444">
            <v>6</v>
          </cell>
          <cell r="N444">
            <v>14</v>
          </cell>
          <cell r="O444">
            <v>21</v>
          </cell>
          <cell r="P444">
            <v>0</v>
          </cell>
          <cell r="Q444">
            <v>11</v>
          </cell>
          <cell r="R444">
            <v>0</v>
          </cell>
          <cell r="S444">
            <v>11</v>
          </cell>
          <cell r="T444">
            <v>0</v>
          </cell>
          <cell r="U444">
            <v>11</v>
          </cell>
          <cell r="V444">
            <v>162</v>
          </cell>
          <cell r="W444">
            <v>75</v>
          </cell>
          <cell r="X444">
            <v>146</v>
          </cell>
          <cell r="Y444">
            <v>64</v>
          </cell>
          <cell r="Z444">
            <v>0</v>
          </cell>
          <cell r="AA444">
            <v>11</v>
          </cell>
          <cell r="AB444">
            <v>11</v>
          </cell>
          <cell r="AC444">
            <v>20</v>
          </cell>
          <cell r="AD444">
            <v>5</v>
          </cell>
          <cell r="AE444">
            <v>8</v>
          </cell>
          <cell r="AF444">
            <v>0</v>
          </cell>
          <cell r="AG444">
            <v>11</v>
          </cell>
          <cell r="AH444">
            <v>13</v>
          </cell>
          <cell r="AI444">
            <v>21</v>
          </cell>
          <cell r="AJ444">
            <v>0</v>
          </cell>
          <cell r="AK444">
            <v>11</v>
          </cell>
          <cell r="AL444">
            <v>0</v>
          </cell>
          <cell r="AM444">
            <v>11</v>
          </cell>
          <cell r="AN444">
            <v>31</v>
          </cell>
          <cell r="AO444">
            <v>43</v>
          </cell>
          <cell r="AP444">
            <v>0</v>
          </cell>
          <cell r="AQ444">
            <v>11</v>
          </cell>
          <cell r="AR444">
            <v>42</v>
          </cell>
          <cell r="AS444">
            <v>37</v>
          </cell>
        </row>
        <row r="445">
          <cell r="B445">
            <v>17031430101</v>
          </cell>
          <cell r="D445">
            <v>1475</v>
          </cell>
          <cell r="E445">
            <v>253</v>
          </cell>
          <cell r="F445">
            <v>848</v>
          </cell>
          <cell r="G445">
            <v>201</v>
          </cell>
          <cell r="H445">
            <v>722</v>
          </cell>
          <cell r="I445">
            <v>190</v>
          </cell>
          <cell r="J445">
            <v>126</v>
          </cell>
          <cell r="K445">
            <v>120</v>
          </cell>
          <cell r="L445">
            <v>126</v>
          </cell>
          <cell r="M445">
            <v>120</v>
          </cell>
          <cell r="N445">
            <v>0</v>
          </cell>
          <cell r="O445">
            <v>11</v>
          </cell>
          <cell r="P445">
            <v>0</v>
          </cell>
          <cell r="Q445">
            <v>11</v>
          </cell>
          <cell r="R445">
            <v>0</v>
          </cell>
          <cell r="S445">
            <v>11</v>
          </cell>
          <cell r="T445">
            <v>0</v>
          </cell>
          <cell r="U445">
            <v>11</v>
          </cell>
          <cell r="V445">
            <v>550</v>
          </cell>
          <cell r="W445">
            <v>188</v>
          </cell>
          <cell r="X445">
            <v>470</v>
          </cell>
          <cell r="Y445">
            <v>180</v>
          </cell>
          <cell r="Z445">
            <v>33</v>
          </cell>
          <cell r="AA445">
            <v>46</v>
          </cell>
          <cell r="AB445">
            <v>0</v>
          </cell>
          <cell r="AC445">
            <v>11</v>
          </cell>
          <cell r="AD445">
            <v>47</v>
          </cell>
          <cell r="AE445">
            <v>63</v>
          </cell>
          <cell r="AF445">
            <v>0</v>
          </cell>
          <cell r="AG445">
            <v>11</v>
          </cell>
          <cell r="AH445">
            <v>0</v>
          </cell>
          <cell r="AI445">
            <v>11</v>
          </cell>
          <cell r="AJ445">
            <v>0</v>
          </cell>
          <cell r="AK445">
            <v>11</v>
          </cell>
          <cell r="AL445">
            <v>12</v>
          </cell>
          <cell r="AM445">
            <v>19</v>
          </cell>
          <cell r="AN445">
            <v>34</v>
          </cell>
          <cell r="AO445">
            <v>54</v>
          </cell>
          <cell r="AP445">
            <v>13</v>
          </cell>
          <cell r="AQ445">
            <v>19</v>
          </cell>
          <cell r="AR445">
            <v>18</v>
          </cell>
          <cell r="AS445">
            <v>21</v>
          </cell>
        </row>
        <row r="446">
          <cell r="B446">
            <v>17031430102</v>
          </cell>
          <cell r="D446">
            <v>1376</v>
          </cell>
          <cell r="E446">
            <v>266</v>
          </cell>
          <cell r="F446">
            <v>462</v>
          </cell>
          <cell r="G446">
            <v>160</v>
          </cell>
          <cell r="H446">
            <v>364</v>
          </cell>
          <cell r="I446">
            <v>141</v>
          </cell>
          <cell r="J446">
            <v>98</v>
          </cell>
          <cell r="K446">
            <v>59</v>
          </cell>
          <cell r="L446">
            <v>98</v>
          </cell>
          <cell r="M446">
            <v>59</v>
          </cell>
          <cell r="N446">
            <v>0</v>
          </cell>
          <cell r="O446">
            <v>11</v>
          </cell>
          <cell r="P446">
            <v>0</v>
          </cell>
          <cell r="Q446">
            <v>11</v>
          </cell>
          <cell r="R446">
            <v>0</v>
          </cell>
          <cell r="S446">
            <v>11</v>
          </cell>
          <cell r="T446">
            <v>0</v>
          </cell>
          <cell r="U446">
            <v>11</v>
          </cell>
          <cell r="V446">
            <v>824</v>
          </cell>
          <cell r="W446">
            <v>188</v>
          </cell>
          <cell r="X446">
            <v>660</v>
          </cell>
          <cell r="Y446">
            <v>171</v>
          </cell>
          <cell r="Z446">
            <v>0</v>
          </cell>
          <cell r="AA446">
            <v>11</v>
          </cell>
          <cell r="AB446">
            <v>142</v>
          </cell>
          <cell r="AC446">
            <v>98</v>
          </cell>
          <cell r="AD446">
            <v>22</v>
          </cell>
          <cell r="AE446">
            <v>24</v>
          </cell>
          <cell r="AF446">
            <v>0</v>
          </cell>
          <cell r="AG446">
            <v>11</v>
          </cell>
          <cell r="AH446">
            <v>0</v>
          </cell>
          <cell r="AI446">
            <v>11</v>
          </cell>
          <cell r="AJ446">
            <v>0</v>
          </cell>
          <cell r="AK446">
            <v>11</v>
          </cell>
          <cell r="AL446">
            <v>15</v>
          </cell>
          <cell r="AM446">
            <v>23</v>
          </cell>
          <cell r="AN446">
            <v>45</v>
          </cell>
          <cell r="AO446">
            <v>44</v>
          </cell>
          <cell r="AP446">
            <v>5</v>
          </cell>
          <cell r="AQ446">
            <v>12</v>
          </cell>
          <cell r="AR446">
            <v>25</v>
          </cell>
          <cell r="AS446">
            <v>27</v>
          </cell>
        </row>
        <row r="447">
          <cell r="B447">
            <v>17031430200</v>
          </cell>
          <cell r="D447">
            <v>1665</v>
          </cell>
          <cell r="E447">
            <v>363</v>
          </cell>
          <cell r="F447">
            <v>1004</v>
          </cell>
          <cell r="G447">
            <v>385</v>
          </cell>
          <cell r="H447">
            <v>925</v>
          </cell>
          <cell r="I447">
            <v>375</v>
          </cell>
          <cell r="J447">
            <v>79</v>
          </cell>
          <cell r="K447">
            <v>79</v>
          </cell>
          <cell r="L447">
            <v>79</v>
          </cell>
          <cell r="M447">
            <v>79</v>
          </cell>
          <cell r="N447">
            <v>0</v>
          </cell>
          <cell r="O447">
            <v>11</v>
          </cell>
          <cell r="P447">
            <v>0</v>
          </cell>
          <cell r="Q447">
            <v>11</v>
          </cell>
          <cell r="R447">
            <v>0</v>
          </cell>
          <cell r="S447">
            <v>11</v>
          </cell>
          <cell r="T447">
            <v>0</v>
          </cell>
          <cell r="U447">
            <v>11</v>
          </cell>
          <cell r="V447">
            <v>566</v>
          </cell>
          <cell r="W447">
            <v>206</v>
          </cell>
          <cell r="X447">
            <v>405</v>
          </cell>
          <cell r="Y447">
            <v>187</v>
          </cell>
          <cell r="Z447">
            <v>0</v>
          </cell>
          <cell r="AA447">
            <v>11</v>
          </cell>
          <cell r="AB447">
            <v>113</v>
          </cell>
          <cell r="AC447">
            <v>88</v>
          </cell>
          <cell r="AD447">
            <v>48</v>
          </cell>
          <cell r="AE447">
            <v>45</v>
          </cell>
          <cell r="AF447">
            <v>0</v>
          </cell>
          <cell r="AG447">
            <v>11</v>
          </cell>
          <cell r="AH447">
            <v>0</v>
          </cell>
          <cell r="AI447">
            <v>11</v>
          </cell>
          <cell r="AJ447">
            <v>0</v>
          </cell>
          <cell r="AK447">
            <v>11</v>
          </cell>
          <cell r="AL447">
            <v>0</v>
          </cell>
          <cell r="AM447">
            <v>11</v>
          </cell>
          <cell r="AN447">
            <v>32</v>
          </cell>
          <cell r="AO447">
            <v>59</v>
          </cell>
          <cell r="AP447">
            <v>0</v>
          </cell>
          <cell r="AQ447">
            <v>11</v>
          </cell>
          <cell r="AR447">
            <v>63</v>
          </cell>
          <cell r="AS447">
            <v>83</v>
          </cell>
        </row>
        <row r="448">
          <cell r="B448">
            <v>17031430300</v>
          </cell>
          <cell r="D448">
            <v>546</v>
          </cell>
          <cell r="E448">
            <v>127</v>
          </cell>
          <cell r="F448">
            <v>333</v>
          </cell>
          <cell r="G448">
            <v>104</v>
          </cell>
          <cell r="H448">
            <v>269</v>
          </cell>
          <cell r="I448">
            <v>90</v>
          </cell>
          <cell r="J448">
            <v>64</v>
          </cell>
          <cell r="K448">
            <v>63</v>
          </cell>
          <cell r="L448">
            <v>64</v>
          </cell>
          <cell r="M448">
            <v>63</v>
          </cell>
          <cell r="N448">
            <v>0</v>
          </cell>
          <cell r="O448">
            <v>11</v>
          </cell>
          <cell r="P448">
            <v>0</v>
          </cell>
          <cell r="Q448">
            <v>11</v>
          </cell>
          <cell r="R448">
            <v>0</v>
          </cell>
          <cell r="S448">
            <v>11</v>
          </cell>
          <cell r="T448">
            <v>0</v>
          </cell>
          <cell r="U448">
            <v>11</v>
          </cell>
          <cell r="V448">
            <v>180</v>
          </cell>
          <cell r="W448">
            <v>67</v>
          </cell>
          <cell r="X448">
            <v>123</v>
          </cell>
          <cell r="Y448">
            <v>59</v>
          </cell>
          <cell r="Z448">
            <v>0</v>
          </cell>
          <cell r="AA448">
            <v>11</v>
          </cell>
          <cell r="AB448">
            <v>23</v>
          </cell>
          <cell r="AC448">
            <v>25</v>
          </cell>
          <cell r="AD448">
            <v>34</v>
          </cell>
          <cell r="AE448">
            <v>31</v>
          </cell>
          <cell r="AF448">
            <v>0</v>
          </cell>
          <cell r="AG448">
            <v>11</v>
          </cell>
          <cell r="AH448">
            <v>0</v>
          </cell>
          <cell r="AI448">
            <v>11</v>
          </cell>
          <cell r="AJ448">
            <v>0</v>
          </cell>
          <cell r="AK448">
            <v>11</v>
          </cell>
          <cell r="AL448">
            <v>0</v>
          </cell>
          <cell r="AM448">
            <v>11</v>
          </cell>
          <cell r="AN448">
            <v>27</v>
          </cell>
          <cell r="AO448">
            <v>29</v>
          </cell>
          <cell r="AP448">
            <v>0</v>
          </cell>
          <cell r="AQ448">
            <v>11</v>
          </cell>
          <cell r="AR448">
            <v>6</v>
          </cell>
          <cell r="AS448">
            <v>9</v>
          </cell>
        </row>
        <row r="449">
          <cell r="B449">
            <v>17031430400</v>
          </cell>
          <cell r="D449">
            <v>812</v>
          </cell>
          <cell r="E449">
            <v>178</v>
          </cell>
          <cell r="F449">
            <v>383</v>
          </cell>
          <cell r="G449">
            <v>121</v>
          </cell>
          <cell r="H449">
            <v>290</v>
          </cell>
          <cell r="I449">
            <v>113</v>
          </cell>
          <cell r="J449">
            <v>93</v>
          </cell>
          <cell r="K449">
            <v>48</v>
          </cell>
          <cell r="L449">
            <v>60</v>
          </cell>
          <cell r="M449">
            <v>44</v>
          </cell>
          <cell r="N449">
            <v>9</v>
          </cell>
          <cell r="O449">
            <v>14</v>
          </cell>
          <cell r="P449">
            <v>0</v>
          </cell>
          <cell r="Q449">
            <v>11</v>
          </cell>
          <cell r="R449">
            <v>24</v>
          </cell>
          <cell r="S449">
            <v>28</v>
          </cell>
          <cell r="T449">
            <v>0</v>
          </cell>
          <cell r="U449">
            <v>11</v>
          </cell>
          <cell r="V449">
            <v>329</v>
          </cell>
          <cell r="W449">
            <v>129</v>
          </cell>
          <cell r="X449">
            <v>255</v>
          </cell>
          <cell r="Y449">
            <v>110</v>
          </cell>
          <cell r="Z449">
            <v>10</v>
          </cell>
          <cell r="AA449">
            <v>16</v>
          </cell>
          <cell r="AB449">
            <v>0</v>
          </cell>
          <cell r="AC449">
            <v>11</v>
          </cell>
          <cell r="AD449">
            <v>64</v>
          </cell>
          <cell r="AE449">
            <v>59</v>
          </cell>
          <cell r="AF449">
            <v>0</v>
          </cell>
          <cell r="AG449">
            <v>11</v>
          </cell>
          <cell r="AH449">
            <v>0</v>
          </cell>
          <cell r="AI449">
            <v>11</v>
          </cell>
          <cell r="AJ449">
            <v>0</v>
          </cell>
          <cell r="AK449">
            <v>11</v>
          </cell>
          <cell r="AL449">
            <v>0</v>
          </cell>
          <cell r="AM449">
            <v>11</v>
          </cell>
          <cell r="AN449">
            <v>30</v>
          </cell>
          <cell r="AO449">
            <v>41</v>
          </cell>
          <cell r="AP449">
            <v>0</v>
          </cell>
          <cell r="AQ449">
            <v>11</v>
          </cell>
          <cell r="AR449">
            <v>70</v>
          </cell>
          <cell r="AS449">
            <v>66</v>
          </cell>
        </row>
        <row r="450">
          <cell r="B450">
            <v>17031430500</v>
          </cell>
          <cell r="D450">
            <v>1140</v>
          </cell>
          <cell r="E450">
            <v>209</v>
          </cell>
          <cell r="F450">
            <v>498</v>
          </cell>
          <cell r="G450">
            <v>149</v>
          </cell>
          <cell r="H450">
            <v>424</v>
          </cell>
          <cell r="I450">
            <v>132</v>
          </cell>
          <cell r="J450">
            <v>74</v>
          </cell>
          <cell r="K450">
            <v>58</v>
          </cell>
          <cell r="L450">
            <v>7</v>
          </cell>
          <cell r="M450">
            <v>17</v>
          </cell>
          <cell r="N450">
            <v>67</v>
          </cell>
          <cell r="O450">
            <v>55</v>
          </cell>
          <cell r="P450">
            <v>0</v>
          </cell>
          <cell r="Q450">
            <v>11</v>
          </cell>
          <cell r="R450">
            <v>0</v>
          </cell>
          <cell r="S450">
            <v>11</v>
          </cell>
          <cell r="T450">
            <v>0</v>
          </cell>
          <cell r="U450">
            <v>11</v>
          </cell>
          <cell r="V450">
            <v>556</v>
          </cell>
          <cell r="W450">
            <v>169</v>
          </cell>
          <cell r="X450">
            <v>476</v>
          </cell>
          <cell r="Y450">
            <v>158</v>
          </cell>
          <cell r="Z450">
            <v>0</v>
          </cell>
          <cell r="AA450">
            <v>11</v>
          </cell>
          <cell r="AB450">
            <v>44</v>
          </cell>
          <cell r="AC450">
            <v>50</v>
          </cell>
          <cell r="AD450">
            <v>36</v>
          </cell>
          <cell r="AE450">
            <v>46</v>
          </cell>
          <cell r="AF450">
            <v>0</v>
          </cell>
          <cell r="AG450">
            <v>11</v>
          </cell>
          <cell r="AH450">
            <v>0</v>
          </cell>
          <cell r="AI450">
            <v>11</v>
          </cell>
          <cell r="AJ450">
            <v>0</v>
          </cell>
          <cell r="AK450">
            <v>11</v>
          </cell>
          <cell r="AL450">
            <v>0</v>
          </cell>
          <cell r="AM450">
            <v>11</v>
          </cell>
          <cell r="AN450">
            <v>47</v>
          </cell>
          <cell r="AO450">
            <v>53</v>
          </cell>
          <cell r="AP450">
            <v>17</v>
          </cell>
          <cell r="AQ450">
            <v>28</v>
          </cell>
          <cell r="AR450">
            <v>22</v>
          </cell>
          <cell r="AS450">
            <v>22</v>
          </cell>
        </row>
        <row r="451">
          <cell r="B451">
            <v>17031430600</v>
          </cell>
          <cell r="D451">
            <v>688</v>
          </cell>
          <cell r="E451">
            <v>120</v>
          </cell>
          <cell r="F451">
            <v>374</v>
          </cell>
          <cell r="G451">
            <v>103</v>
          </cell>
          <cell r="H451">
            <v>353</v>
          </cell>
          <cell r="I451">
            <v>103</v>
          </cell>
          <cell r="J451">
            <v>21</v>
          </cell>
          <cell r="K451">
            <v>25</v>
          </cell>
          <cell r="L451">
            <v>21</v>
          </cell>
          <cell r="M451">
            <v>25</v>
          </cell>
          <cell r="N451">
            <v>0</v>
          </cell>
          <cell r="O451">
            <v>11</v>
          </cell>
          <cell r="P451">
            <v>0</v>
          </cell>
          <cell r="Q451">
            <v>11</v>
          </cell>
          <cell r="R451">
            <v>0</v>
          </cell>
          <cell r="S451">
            <v>11</v>
          </cell>
          <cell r="T451">
            <v>0</v>
          </cell>
          <cell r="U451">
            <v>11</v>
          </cell>
          <cell r="V451">
            <v>305</v>
          </cell>
          <cell r="W451">
            <v>85</v>
          </cell>
          <cell r="X451">
            <v>213</v>
          </cell>
          <cell r="Y451">
            <v>77</v>
          </cell>
          <cell r="Z451">
            <v>0</v>
          </cell>
          <cell r="AA451">
            <v>11</v>
          </cell>
          <cell r="AB451">
            <v>61</v>
          </cell>
          <cell r="AC451">
            <v>41</v>
          </cell>
          <cell r="AD451">
            <v>31</v>
          </cell>
          <cell r="AE451">
            <v>24</v>
          </cell>
          <cell r="AF451">
            <v>0</v>
          </cell>
          <cell r="AG451">
            <v>11</v>
          </cell>
          <cell r="AH451">
            <v>0</v>
          </cell>
          <cell r="AI451">
            <v>11</v>
          </cell>
          <cell r="AJ451">
            <v>0</v>
          </cell>
          <cell r="AK451">
            <v>11</v>
          </cell>
          <cell r="AL451">
            <v>0</v>
          </cell>
          <cell r="AM451">
            <v>11</v>
          </cell>
          <cell r="AN451">
            <v>0</v>
          </cell>
          <cell r="AO451">
            <v>11</v>
          </cell>
          <cell r="AP451">
            <v>0</v>
          </cell>
          <cell r="AQ451">
            <v>11</v>
          </cell>
          <cell r="AR451">
            <v>9</v>
          </cell>
          <cell r="AS451">
            <v>10</v>
          </cell>
        </row>
        <row r="452">
          <cell r="B452">
            <v>17031430700</v>
          </cell>
          <cell r="D452">
            <v>892</v>
          </cell>
          <cell r="E452">
            <v>195</v>
          </cell>
          <cell r="F452">
            <v>443</v>
          </cell>
          <cell r="G452">
            <v>144</v>
          </cell>
          <cell r="H452">
            <v>415</v>
          </cell>
          <cell r="I452">
            <v>145</v>
          </cell>
          <cell r="J452">
            <v>28</v>
          </cell>
          <cell r="K452">
            <v>46</v>
          </cell>
          <cell r="L452">
            <v>28</v>
          </cell>
          <cell r="M452">
            <v>46</v>
          </cell>
          <cell r="N452">
            <v>0</v>
          </cell>
          <cell r="O452">
            <v>11</v>
          </cell>
          <cell r="P452">
            <v>0</v>
          </cell>
          <cell r="Q452">
            <v>11</v>
          </cell>
          <cell r="R452">
            <v>0</v>
          </cell>
          <cell r="S452">
            <v>11</v>
          </cell>
          <cell r="T452">
            <v>0</v>
          </cell>
          <cell r="U452">
            <v>11</v>
          </cell>
          <cell r="V452">
            <v>395</v>
          </cell>
          <cell r="W452">
            <v>132</v>
          </cell>
          <cell r="X452">
            <v>363</v>
          </cell>
          <cell r="Y452">
            <v>132</v>
          </cell>
          <cell r="Z452">
            <v>0</v>
          </cell>
          <cell r="AA452">
            <v>11</v>
          </cell>
          <cell r="AB452">
            <v>24</v>
          </cell>
          <cell r="AC452">
            <v>24</v>
          </cell>
          <cell r="AD452">
            <v>8</v>
          </cell>
          <cell r="AE452">
            <v>13</v>
          </cell>
          <cell r="AF452">
            <v>0</v>
          </cell>
          <cell r="AG452">
            <v>11</v>
          </cell>
          <cell r="AH452">
            <v>0</v>
          </cell>
          <cell r="AI452">
            <v>11</v>
          </cell>
          <cell r="AJ452">
            <v>0</v>
          </cell>
          <cell r="AK452">
            <v>11</v>
          </cell>
          <cell r="AL452">
            <v>0</v>
          </cell>
          <cell r="AM452">
            <v>11</v>
          </cell>
          <cell r="AN452">
            <v>32</v>
          </cell>
          <cell r="AO452">
            <v>39</v>
          </cell>
          <cell r="AP452">
            <v>0</v>
          </cell>
          <cell r="AQ452">
            <v>11</v>
          </cell>
          <cell r="AR452">
            <v>22</v>
          </cell>
          <cell r="AS452">
            <v>25</v>
          </cell>
        </row>
        <row r="453">
          <cell r="B453">
            <v>17031430800</v>
          </cell>
          <cell r="D453">
            <v>667</v>
          </cell>
          <cell r="E453">
            <v>148</v>
          </cell>
          <cell r="F453">
            <v>300</v>
          </cell>
          <cell r="G453">
            <v>75</v>
          </cell>
          <cell r="H453">
            <v>290</v>
          </cell>
          <cell r="I453">
            <v>75</v>
          </cell>
          <cell r="J453">
            <v>10</v>
          </cell>
          <cell r="K453">
            <v>10</v>
          </cell>
          <cell r="L453">
            <v>4</v>
          </cell>
          <cell r="M453">
            <v>7</v>
          </cell>
          <cell r="N453">
            <v>6</v>
          </cell>
          <cell r="O453">
            <v>8</v>
          </cell>
          <cell r="P453">
            <v>0</v>
          </cell>
          <cell r="Q453">
            <v>11</v>
          </cell>
          <cell r="R453">
            <v>0</v>
          </cell>
          <cell r="S453">
            <v>11</v>
          </cell>
          <cell r="T453">
            <v>0</v>
          </cell>
          <cell r="U453">
            <v>11</v>
          </cell>
          <cell r="V453">
            <v>292</v>
          </cell>
          <cell r="W453">
            <v>112</v>
          </cell>
          <cell r="X453">
            <v>213</v>
          </cell>
          <cell r="Y453">
            <v>103</v>
          </cell>
          <cell r="Z453">
            <v>0</v>
          </cell>
          <cell r="AA453">
            <v>11</v>
          </cell>
          <cell r="AB453">
            <v>67</v>
          </cell>
          <cell r="AC453">
            <v>44</v>
          </cell>
          <cell r="AD453">
            <v>12</v>
          </cell>
          <cell r="AE453">
            <v>21</v>
          </cell>
          <cell r="AF453">
            <v>0</v>
          </cell>
          <cell r="AG453">
            <v>11</v>
          </cell>
          <cell r="AH453">
            <v>8</v>
          </cell>
          <cell r="AI453">
            <v>12</v>
          </cell>
          <cell r="AJ453">
            <v>0</v>
          </cell>
          <cell r="AK453">
            <v>11</v>
          </cell>
          <cell r="AL453">
            <v>0</v>
          </cell>
          <cell r="AM453">
            <v>11</v>
          </cell>
          <cell r="AN453">
            <v>32</v>
          </cell>
          <cell r="AO453">
            <v>36</v>
          </cell>
          <cell r="AP453">
            <v>0</v>
          </cell>
          <cell r="AQ453">
            <v>11</v>
          </cell>
          <cell r="AR453">
            <v>35</v>
          </cell>
          <cell r="AS453">
            <v>35</v>
          </cell>
        </row>
        <row r="454">
          <cell r="B454">
            <v>17031430900</v>
          </cell>
          <cell r="D454">
            <v>465</v>
          </cell>
          <cell r="E454">
            <v>109</v>
          </cell>
          <cell r="F454">
            <v>279</v>
          </cell>
          <cell r="G454">
            <v>85</v>
          </cell>
          <cell r="H454">
            <v>209</v>
          </cell>
          <cell r="I454">
            <v>84</v>
          </cell>
          <cell r="J454">
            <v>70</v>
          </cell>
          <cell r="K454">
            <v>43</v>
          </cell>
          <cell r="L454">
            <v>18</v>
          </cell>
          <cell r="M454">
            <v>18</v>
          </cell>
          <cell r="N454">
            <v>24</v>
          </cell>
          <cell r="O454">
            <v>27</v>
          </cell>
          <cell r="P454">
            <v>0</v>
          </cell>
          <cell r="Q454">
            <v>11</v>
          </cell>
          <cell r="R454">
            <v>21</v>
          </cell>
          <cell r="S454">
            <v>27</v>
          </cell>
          <cell r="T454">
            <v>7</v>
          </cell>
          <cell r="U454">
            <v>11</v>
          </cell>
          <cell r="V454">
            <v>144</v>
          </cell>
          <cell r="W454">
            <v>58</v>
          </cell>
          <cell r="X454">
            <v>115</v>
          </cell>
          <cell r="Y454">
            <v>55</v>
          </cell>
          <cell r="Z454">
            <v>0</v>
          </cell>
          <cell r="AA454">
            <v>11</v>
          </cell>
          <cell r="AB454">
            <v>29</v>
          </cell>
          <cell r="AC454">
            <v>27</v>
          </cell>
          <cell r="AD454">
            <v>0</v>
          </cell>
          <cell r="AE454">
            <v>11</v>
          </cell>
          <cell r="AF454">
            <v>0</v>
          </cell>
          <cell r="AG454">
            <v>11</v>
          </cell>
          <cell r="AH454">
            <v>0</v>
          </cell>
          <cell r="AI454">
            <v>11</v>
          </cell>
          <cell r="AJ454">
            <v>0</v>
          </cell>
          <cell r="AK454">
            <v>11</v>
          </cell>
          <cell r="AL454">
            <v>0</v>
          </cell>
          <cell r="AM454">
            <v>11</v>
          </cell>
          <cell r="AN454">
            <v>11</v>
          </cell>
          <cell r="AO454">
            <v>18</v>
          </cell>
          <cell r="AP454">
            <v>31</v>
          </cell>
          <cell r="AQ454">
            <v>32</v>
          </cell>
          <cell r="AR454">
            <v>0</v>
          </cell>
          <cell r="AS454">
            <v>11</v>
          </cell>
        </row>
        <row r="455">
          <cell r="B455">
            <v>17031431200</v>
          </cell>
          <cell r="D455">
            <v>1233</v>
          </cell>
          <cell r="E455">
            <v>214</v>
          </cell>
          <cell r="F455">
            <v>752</v>
          </cell>
          <cell r="G455">
            <v>212</v>
          </cell>
          <cell r="H455">
            <v>595</v>
          </cell>
          <cell r="I455">
            <v>188</v>
          </cell>
          <cell r="J455">
            <v>157</v>
          </cell>
          <cell r="K455">
            <v>99</v>
          </cell>
          <cell r="L455">
            <v>149</v>
          </cell>
          <cell r="M455">
            <v>99</v>
          </cell>
          <cell r="N455">
            <v>0</v>
          </cell>
          <cell r="O455">
            <v>11</v>
          </cell>
          <cell r="P455">
            <v>0</v>
          </cell>
          <cell r="Q455">
            <v>11</v>
          </cell>
          <cell r="R455">
            <v>8</v>
          </cell>
          <cell r="S455">
            <v>13</v>
          </cell>
          <cell r="T455">
            <v>0</v>
          </cell>
          <cell r="U455">
            <v>11</v>
          </cell>
          <cell r="V455">
            <v>412</v>
          </cell>
          <cell r="W455">
            <v>143</v>
          </cell>
          <cell r="X455">
            <v>278</v>
          </cell>
          <cell r="Y455">
            <v>124</v>
          </cell>
          <cell r="Z455">
            <v>0</v>
          </cell>
          <cell r="AA455">
            <v>11</v>
          </cell>
          <cell r="AB455">
            <v>79</v>
          </cell>
          <cell r="AC455">
            <v>59</v>
          </cell>
          <cell r="AD455">
            <v>55</v>
          </cell>
          <cell r="AE455">
            <v>58</v>
          </cell>
          <cell r="AF455">
            <v>0</v>
          </cell>
          <cell r="AG455">
            <v>11</v>
          </cell>
          <cell r="AH455">
            <v>0</v>
          </cell>
          <cell r="AI455">
            <v>11</v>
          </cell>
          <cell r="AJ455">
            <v>0</v>
          </cell>
          <cell r="AK455">
            <v>11</v>
          </cell>
          <cell r="AL455">
            <v>0</v>
          </cell>
          <cell r="AM455">
            <v>11</v>
          </cell>
          <cell r="AN455">
            <v>53</v>
          </cell>
          <cell r="AO455">
            <v>59</v>
          </cell>
          <cell r="AP455">
            <v>0</v>
          </cell>
          <cell r="AQ455">
            <v>11</v>
          </cell>
          <cell r="AR455">
            <v>16</v>
          </cell>
          <cell r="AS455">
            <v>18</v>
          </cell>
        </row>
        <row r="456">
          <cell r="B456">
            <v>17031431301</v>
          </cell>
          <cell r="D456">
            <v>934</v>
          </cell>
          <cell r="E456">
            <v>193</v>
          </cell>
          <cell r="F456">
            <v>558</v>
          </cell>
          <cell r="G456">
            <v>138</v>
          </cell>
          <cell r="H456">
            <v>437</v>
          </cell>
          <cell r="I456">
            <v>130</v>
          </cell>
          <cell r="J456">
            <v>121</v>
          </cell>
          <cell r="K456">
            <v>76</v>
          </cell>
          <cell r="L456">
            <v>121</v>
          </cell>
          <cell r="M456">
            <v>76</v>
          </cell>
          <cell r="N456">
            <v>0</v>
          </cell>
          <cell r="O456">
            <v>11</v>
          </cell>
          <cell r="P456">
            <v>0</v>
          </cell>
          <cell r="Q456">
            <v>11</v>
          </cell>
          <cell r="R456">
            <v>0</v>
          </cell>
          <cell r="S456">
            <v>11</v>
          </cell>
          <cell r="T456">
            <v>0</v>
          </cell>
          <cell r="U456">
            <v>11</v>
          </cell>
          <cell r="V456">
            <v>338</v>
          </cell>
          <cell r="W456">
            <v>129</v>
          </cell>
          <cell r="X456">
            <v>338</v>
          </cell>
          <cell r="Y456">
            <v>129</v>
          </cell>
          <cell r="Z456">
            <v>0</v>
          </cell>
          <cell r="AA456">
            <v>11</v>
          </cell>
          <cell r="AB456">
            <v>0</v>
          </cell>
          <cell r="AC456">
            <v>11</v>
          </cell>
          <cell r="AD456">
            <v>0</v>
          </cell>
          <cell r="AE456">
            <v>11</v>
          </cell>
          <cell r="AF456">
            <v>0</v>
          </cell>
          <cell r="AG456">
            <v>11</v>
          </cell>
          <cell r="AH456">
            <v>0</v>
          </cell>
          <cell r="AI456">
            <v>11</v>
          </cell>
          <cell r="AJ456">
            <v>0</v>
          </cell>
          <cell r="AK456">
            <v>11</v>
          </cell>
          <cell r="AL456">
            <v>0</v>
          </cell>
          <cell r="AM456">
            <v>11</v>
          </cell>
          <cell r="AN456">
            <v>10</v>
          </cell>
          <cell r="AO456">
            <v>12</v>
          </cell>
          <cell r="AP456">
            <v>28</v>
          </cell>
          <cell r="AQ456">
            <v>45</v>
          </cell>
          <cell r="AR456">
            <v>0</v>
          </cell>
          <cell r="AS456">
            <v>11</v>
          </cell>
        </row>
        <row r="457">
          <cell r="B457">
            <v>17031431302</v>
          </cell>
          <cell r="D457">
            <v>1386</v>
          </cell>
          <cell r="E457">
            <v>346</v>
          </cell>
          <cell r="F457">
            <v>631</v>
          </cell>
          <cell r="G457">
            <v>217</v>
          </cell>
          <cell r="H457">
            <v>542</v>
          </cell>
          <cell r="I457">
            <v>193</v>
          </cell>
          <cell r="J457">
            <v>89</v>
          </cell>
          <cell r="K457">
            <v>71</v>
          </cell>
          <cell r="L457">
            <v>89</v>
          </cell>
          <cell r="M457">
            <v>71</v>
          </cell>
          <cell r="N457">
            <v>0</v>
          </cell>
          <cell r="O457">
            <v>11</v>
          </cell>
          <cell r="P457">
            <v>0</v>
          </cell>
          <cell r="Q457">
            <v>11</v>
          </cell>
          <cell r="R457">
            <v>0</v>
          </cell>
          <cell r="S457">
            <v>11</v>
          </cell>
          <cell r="T457">
            <v>0</v>
          </cell>
          <cell r="U457">
            <v>11</v>
          </cell>
          <cell r="V457">
            <v>616</v>
          </cell>
          <cell r="W457">
            <v>234</v>
          </cell>
          <cell r="X457">
            <v>573</v>
          </cell>
          <cell r="Y457">
            <v>231</v>
          </cell>
          <cell r="Z457">
            <v>0</v>
          </cell>
          <cell r="AA457">
            <v>11</v>
          </cell>
          <cell r="AB457">
            <v>25</v>
          </cell>
          <cell r="AC457">
            <v>29</v>
          </cell>
          <cell r="AD457">
            <v>18</v>
          </cell>
          <cell r="AE457">
            <v>28</v>
          </cell>
          <cell r="AF457">
            <v>0</v>
          </cell>
          <cell r="AG457">
            <v>11</v>
          </cell>
          <cell r="AH457">
            <v>0</v>
          </cell>
          <cell r="AI457">
            <v>11</v>
          </cell>
          <cell r="AJ457">
            <v>0</v>
          </cell>
          <cell r="AK457">
            <v>11</v>
          </cell>
          <cell r="AL457">
            <v>0</v>
          </cell>
          <cell r="AM457">
            <v>11</v>
          </cell>
          <cell r="AN457">
            <v>0</v>
          </cell>
          <cell r="AO457">
            <v>11</v>
          </cell>
          <cell r="AP457">
            <v>92</v>
          </cell>
          <cell r="AQ457">
            <v>67</v>
          </cell>
          <cell r="AR457">
            <v>47</v>
          </cell>
          <cell r="AS457">
            <v>41</v>
          </cell>
        </row>
        <row r="458">
          <cell r="B458">
            <v>17031431400</v>
          </cell>
          <cell r="D458">
            <v>2286</v>
          </cell>
          <cell r="E458">
            <v>373</v>
          </cell>
          <cell r="F458">
            <v>1209</v>
          </cell>
          <cell r="G458">
            <v>311</v>
          </cell>
          <cell r="H458">
            <v>1081</v>
          </cell>
          <cell r="I458">
            <v>293</v>
          </cell>
          <cell r="J458">
            <v>128</v>
          </cell>
          <cell r="K458">
            <v>121</v>
          </cell>
          <cell r="L458">
            <v>128</v>
          </cell>
          <cell r="M458">
            <v>121</v>
          </cell>
          <cell r="N458">
            <v>0</v>
          </cell>
          <cell r="O458">
            <v>15</v>
          </cell>
          <cell r="P458">
            <v>0</v>
          </cell>
          <cell r="Q458">
            <v>15</v>
          </cell>
          <cell r="R458">
            <v>0</v>
          </cell>
          <cell r="S458">
            <v>15</v>
          </cell>
          <cell r="T458">
            <v>0</v>
          </cell>
          <cell r="U458">
            <v>15</v>
          </cell>
          <cell r="V458">
            <v>901</v>
          </cell>
          <cell r="W458">
            <v>243</v>
          </cell>
          <cell r="X458">
            <v>870</v>
          </cell>
          <cell r="Y458">
            <v>239</v>
          </cell>
          <cell r="Z458">
            <v>0</v>
          </cell>
          <cell r="AA458">
            <v>15</v>
          </cell>
          <cell r="AB458">
            <v>31</v>
          </cell>
          <cell r="AC458">
            <v>49</v>
          </cell>
          <cell r="AD458">
            <v>0</v>
          </cell>
          <cell r="AE458">
            <v>15</v>
          </cell>
          <cell r="AF458">
            <v>0</v>
          </cell>
          <cell r="AG458">
            <v>15</v>
          </cell>
          <cell r="AH458">
            <v>0</v>
          </cell>
          <cell r="AI458">
            <v>15</v>
          </cell>
          <cell r="AJ458">
            <v>0</v>
          </cell>
          <cell r="AK458">
            <v>15</v>
          </cell>
          <cell r="AL458">
            <v>0</v>
          </cell>
          <cell r="AM458">
            <v>15</v>
          </cell>
          <cell r="AN458">
            <v>18</v>
          </cell>
          <cell r="AO458">
            <v>30</v>
          </cell>
          <cell r="AP458">
            <v>0</v>
          </cell>
          <cell r="AQ458">
            <v>15</v>
          </cell>
          <cell r="AR458">
            <v>158</v>
          </cell>
          <cell r="AS458">
            <v>90</v>
          </cell>
        </row>
        <row r="459">
          <cell r="B459">
            <v>17031440101</v>
          </cell>
          <cell r="D459">
            <v>1227</v>
          </cell>
          <cell r="E459">
            <v>227</v>
          </cell>
          <cell r="F459">
            <v>632</v>
          </cell>
          <cell r="G459">
            <v>152</v>
          </cell>
          <cell r="H459">
            <v>510</v>
          </cell>
          <cell r="I459">
            <v>145</v>
          </cell>
          <cell r="J459">
            <v>122</v>
          </cell>
          <cell r="K459">
            <v>68</v>
          </cell>
          <cell r="L459">
            <v>87</v>
          </cell>
          <cell r="M459">
            <v>62</v>
          </cell>
          <cell r="N459">
            <v>35</v>
          </cell>
          <cell r="O459">
            <v>36</v>
          </cell>
          <cell r="P459">
            <v>0</v>
          </cell>
          <cell r="Q459">
            <v>11</v>
          </cell>
          <cell r="R459">
            <v>0</v>
          </cell>
          <cell r="S459">
            <v>11</v>
          </cell>
          <cell r="T459">
            <v>0</v>
          </cell>
          <cell r="U459">
            <v>11</v>
          </cell>
          <cell r="V459">
            <v>455</v>
          </cell>
          <cell r="W459">
            <v>121</v>
          </cell>
          <cell r="X459">
            <v>318</v>
          </cell>
          <cell r="Y459">
            <v>91</v>
          </cell>
          <cell r="Z459">
            <v>0</v>
          </cell>
          <cell r="AA459">
            <v>11</v>
          </cell>
          <cell r="AB459">
            <v>129</v>
          </cell>
          <cell r="AC459">
            <v>79</v>
          </cell>
          <cell r="AD459">
            <v>8</v>
          </cell>
          <cell r="AE459">
            <v>16</v>
          </cell>
          <cell r="AF459">
            <v>0</v>
          </cell>
          <cell r="AG459">
            <v>11</v>
          </cell>
          <cell r="AH459">
            <v>0</v>
          </cell>
          <cell r="AI459">
            <v>11</v>
          </cell>
          <cell r="AJ459">
            <v>0</v>
          </cell>
          <cell r="AK459">
            <v>11</v>
          </cell>
          <cell r="AL459">
            <v>0</v>
          </cell>
          <cell r="AM459">
            <v>11</v>
          </cell>
          <cell r="AN459">
            <v>57</v>
          </cell>
          <cell r="AO459">
            <v>52</v>
          </cell>
          <cell r="AP459">
            <v>0</v>
          </cell>
          <cell r="AQ459">
            <v>11</v>
          </cell>
          <cell r="AR459">
            <v>83</v>
          </cell>
          <cell r="AS459">
            <v>70</v>
          </cell>
        </row>
        <row r="460">
          <cell r="B460">
            <v>17031440102</v>
          </cell>
          <cell r="D460">
            <v>1398</v>
          </cell>
          <cell r="E460">
            <v>306</v>
          </cell>
          <cell r="F460">
            <v>574</v>
          </cell>
          <cell r="G460">
            <v>173</v>
          </cell>
          <cell r="H460">
            <v>533</v>
          </cell>
          <cell r="I460">
            <v>171</v>
          </cell>
          <cell r="J460">
            <v>41</v>
          </cell>
          <cell r="K460">
            <v>49</v>
          </cell>
          <cell r="L460">
            <v>41</v>
          </cell>
          <cell r="M460">
            <v>49</v>
          </cell>
          <cell r="N460">
            <v>0</v>
          </cell>
          <cell r="O460">
            <v>11</v>
          </cell>
          <cell r="P460">
            <v>0</v>
          </cell>
          <cell r="Q460">
            <v>11</v>
          </cell>
          <cell r="R460">
            <v>0</v>
          </cell>
          <cell r="S460">
            <v>11</v>
          </cell>
          <cell r="T460">
            <v>0</v>
          </cell>
          <cell r="U460">
            <v>11</v>
          </cell>
          <cell r="V460">
            <v>650</v>
          </cell>
          <cell r="W460">
            <v>196</v>
          </cell>
          <cell r="X460">
            <v>532</v>
          </cell>
          <cell r="Y460">
            <v>186</v>
          </cell>
          <cell r="Z460">
            <v>0</v>
          </cell>
          <cell r="AA460">
            <v>11</v>
          </cell>
          <cell r="AB460">
            <v>80</v>
          </cell>
          <cell r="AC460">
            <v>62</v>
          </cell>
          <cell r="AD460">
            <v>38</v>
          </cell>
          <cell r="AE460">
            <v>44</v>
          </cell>
          <cell r="AF460">
            <v>0</v>
          </cell>
          <cell r="AG460">
            <v>11</v>
          </cell>
          <cell r="AH460">
            <v>0</v>
          </cell>
          <cell r="AI460">
            <v>11</v>
          </cell>
          <cell r="AJ460">
            <v>0</v>
          </cell>
          <cell r="AK460">
            <v>11</v>
          </cell>
          <cell r="AL460">
            <v>0</v>
          </cell>
          <cell r="AM460">
            <v>11</v>
          </cell>
          <cell r="AN460">
            <v>86</v>
          </cell>
          <cell r="AO460">
            <v>72</v>
          </cell>
          <cell r="AP460">
            <v>0</v>
          </cell>
          <cell r="AQ460">
            <v>11</v>
          </cell>
          <cell r="AR460">
            <v>88</v>
          </cell>
          <cell r="AS460">
            <v>74</v>
          </cell>
        </row>
        <row r="461">
          <cell r="B461">
            <v>17031440201</v>
          </cell>
          <cell r="D461">
            <v>1977</v>
          </cell>
          <cell r="E461">
            <v>377</v>
          </cell>
          <cell r="F461">
            <v>1176</v>
          </cell>
          <cell r="G461">
            <v>311</v>
          </cell>
          <cell r="H461">
            <v>1124</v>
          </cell>
          <cell r="I461">
            <v>314</v>
          </cell>
          <cell r="J461">
            <v>52</v>
          </cell>
          <cell r="K461">
            <v>84</v>
          </cell>
          <cell r="L461">
            <v>0</v>
          </cell>
          <cell r="M461">
            <v>15</v>
          </cell>
          <cell r="N461">
            <v>52</v>
          </cell>
          <cell r="O461">
            <v>84</v>
          </cell>
          <cell r="P461">
            <v>0</v>
          </cell>
          <cell r="Q461">
            <v>15</v>
          </cell>
          <cell r="R461">
            <v>0</v>
          </cell>
          <cell r="S461">
            <v>15</v>
          </cell>
          <cell r="T461">
            <v>0</v>
          </cell>
          <cell r="U461">
            <v>15</v>
          </cell>
          <cell r="V461">
            <v>707</v>
          </cell>
          <cell r="W461">
            <v>234</v>
          </cell>
          <cell r="X461">
            <v>454</v>
          </cell>
          <cell r="Y461">
            <v>193</v>
          </cell>
          <cell r="Z461">
            <v>0</v>
          </cell>
          <cell r="AA461">
            <v>15</v>
          </cell>
          <cell r="AB461">
            <v>213</v>
          </cell>
          <cell r="AC461">
            <v>127</v>
          </cell>
          <cell r="AD461">
            <v>40</v>
          </cell>
          <cell r="AE461">
            <v>62</v>
          </cell>
          <cell r="AF461">
            <v>0</v>
          </cell>
          <cell r="AG461">
            <v>15</v>
          </cell>
          <cell r="AH461">
            <v>36</v>
          </cell>
          <cell r="AI461">
            <v>51</v>
          </cell>
          <cell r="AJ461">
            <v>0</v>
          </cell>
          <cell r="AK461">
            <v>15</v>
          </cell>
          <cell r="AL461">
            <v>0</v>
          </cell>
          <cell r="AM461">
            <v>15</v>
          </cell>
          <cell r="AN461">
            <v>15</v>
          </cell>
          <cell r="AO461">
            <v>25</v>
          </cell>
          <cell r="AP461">
            <v>43</v>
          </cell>
          <cell r="AQ461">
            <v>70</v>
          </cell>
          <cell r="AR461">
            <v>0</v>
          </cell>
          <cell r="AS461">
            <v>15</v>
          </cell>
        </row>
        <row r="462">
          <cell r="B462">
            <v>17031440202</v>
          </cell>
          <cell r="D462">
            <v>1425</v>
          </cell>
          <cell r="E462">
            <v>251</v>
          </cell>
          <cell r="F462">
            <v>945</v>
          </cell>
          <cell r="G462">
            <v>226</v>
          </cell>
          <cell r="H462">
            <v>795</v>
          </cell>
          <cell r="I462">
            <v>194</v>
          </cell>
          <cell r="J462">
            <v>150</v>
          </cell>
          <cell r="K462">
            <v>85</v>
          </cell>
          <cell r="L462">
            <v>119</v>
          </cell>
          <cell r="M462">
            <v>79</v>
          </cell>
          <cell r="N462">
            <v>31</v>
          </cell>
          <cell r="O462">
            <v>38</v>
          </cell>
          <cell r="P462">
            <v>0</v>
          </cell>
          <cell r="Q462">
            <v>11</v>
          </cell>
          <cell r="R462">
            <v>0</v>
          </cell>
          <cell r="S462">
            <v>11</v>
          </cell>
          <cell r="T462">
            <v>0</v>
          </cell>
          <cell r="U462">
            <v>11</v>
          </cell>
          <cell r="V462">
            <v>408</v>
          </cell>
          <cell r="W462">
            <v>199</v>
          </cell>
          <cell r="X462">
            <v>223</v>
          </cell>
          <cell r="Y462">
            <v>118</v>
          </cell>
          <cell r="Z462">
            <v>0</v>
          </cell>
          <cell r="AA462">
            <v>11</v>
          </cell>
          <cell r="AB462">
            <v>123</v>
          </cell>
          <cell r="AC462">
            <v>78</v>
          </cell>
          <cell r="AD462">
            <v>62</v>
          </cell>
          <cell r="AE462">
            <v>58</v>
          </cell>
          <cell r="AF462">
            <v>0</v>
          </cell>
          <cell r="AG462">
            <v>11</v>
          </cell>
          <cell r="AH462">
            <v>0</v>
          </cell>
          <cell r="AI462">
            <v>11</v>
          </cell>
          <cell r="AJ462">
            <v>0</v>
          </cell>
          <cell r="AK462">
            <v>11</v>
          </cell>
          <cell r="AL462">
            <v>0</v>
          </cell>
          <cell r="AM462">
            <v>11</v>
          </cell>
          <cell r="AN462">
            <v>0</v>
          </cell>
          <cell r="AO462">
            <v>11</v>
          </cell>
          <cell r="AP462">
            <v>11</v>
          </cell>
          <cell r="AQ462">
            <v>19</v>
          </cell>
          <cell r="AR462">
            <v>61</v>
          </cell>
          <cell r="AS462">
            <v>69</v>
          </cell>
        </row>
        <row r="463">
          <cell r="B463">
            <v>17031440300</v>
          </cell>
          <cell r="D463">
            <v>1909</v>
          </cell>
          <cell r="E463">
            <v>283</v>
          </cell>
          <cell r="F463">
            <v>1517</v>
          </cell>
          <cell r="G463">
            <v>264</v>
          </cell>
          <cell r="H463">
            <v>1225</v>
          </cell>
          <cell r="I463">
            <v>261</v>
          </cell>
          <cell r="J463">
            <v>292</v>
          </cell>
          <cell r="K463">
            <v>138</v>
          </cell>
          <cell r="L463">
            <v>201</v>
          </cell>
          <cell r="M463">
            <v>121</v>
          </cell>
          <cell r="N463">
            <v>91</v>
          </cell>
          <cell r="O463">
            <v>87</v>
          </cell>
          <cell r="P463">
            <v>0</v>
          </cell>
          <cell r="Q463">
            <v>11</v>
          </cell>
          <cell r="R463">
            <v>0</v>
          </cell>
          <cell r="S463">
            <v>11</v>
          </cell>
          <cell r="T463">
            <v>0</v>
          </cell>
          <cell r="U463">
            <v>11</v>
          </cell>
          <cell r="V463">
            <v>303</v>
          </cell>
          <cell r="W463">
            <v>154</v>
          </cell>
          <cell r="X463">
            <v>163</v>
          </cell>
          <cell r="Y463">
            <v>117</v>
          </cell>
          <cell r="Z463">
            <v>0</v>
          </cell>
          <cell r="AA463">
            <v>11</v>
          </cell>
          <cell r="AB463">
            <v>79</v>
          </cell>
          <cell r="AC463">
            <v>55</v>
          </cell>
          <cell r="AD463">
            <v>61</v>
          </cell>
          <cell r="AE463">
            <v>56</v>
          </cell>
          <cell r="AF463">
            <v>0</v>
          </cell>
          <cell r="AG463">
            <v>11</v>
          </cell>
          <cell r="AH463">
            <v>0</v>
          </cell>
          <cell r="AI463">
            <v>11</v>
          </cell>
          <cell r="AJ463">
            <v>0</v>
          </cell>
          <cell r="AK463">
            <v>11</v>
          </cell>
          <cell r="AL463">
            <v>0</v>
          </cell>
          <cell r="AM463">
            <v>11</v>
          </cell>
          <cell r="AN463">
            <v>0</v>
          </cell>
          <cell r="AO463">
            <v>11</v>
          </cell>
          <cell r="AP463">
            <v>26</v>
          </cell>
          <cell r="AQ463">
            <v>32</v>
          </cell>
          <cell r="AR463">
            <v>63</v>
          </cell>
          <cell r="AS463">
            <v>51</v>
          </cell>
        </row>
        <row r="464">
          <cell r="B464">
            <v>17031440600</v>
          </cell>
          <cell r="D464">
            <v>705</v>
          </cell>
          <cell r="E464">
            <v>152</v>
          </cell>
          <cell r="F464">
            <v>581</v>
          </cell>
          <cell r="G464">
            <v>159</v>
          </cell>
          <cell r="H464">
            <v>494</v>
          </cell>
          <cell r="I464">
            <v>146</v>
          </cell>
          <cell r="J464">
            <v>87</v>
          </cell>
          <cell r="K464">
            <v>67</v>
          </cell>
          <cell r="L464">
            <v>87</v>
          </cell>
          <cell r="M464">
            <v>67</v>
          </cell>
          <cell r="N464">
            <v>0</v>
          </cell>
          <cell r="O464">
            <v>11</v>
          </cell>
          <cell r="P464">
            <v>0</v>
          </cell>
          <cell r="Q464">
            <v>11</v>
          </cell>
          <cell r="R464">
            <v>0</v>
          </cell>
          <cell r="S464">
            <v>11</v>
          </cell>
          <cell r="T464">
            <v>0</v>
          </cell>
          <cell r="U464">
            <v>11</v>
          </cell>
          <cell r="V464">
            <v>91</v>
          </cell>
          <cell r="W464">
            <v>47</v>
          </cell>
          <cell r="X464">
            <v>61</v>
          </cell>
          <cell r="Y464">
            <v>43</v>
          </cell>
          <cell r="Z464">
            <v>0</v>
          </cell>
          <cell r="AA464">
            <v>11</v>
          </cell>
          <cell r="AB464">
            <v>23</v>
          </cell>
          <cell r="AC464">
            <v>21</v>
          </cell>
          <cell r="AD464">
            <v>7</v>
          </cell>
          <cell r="AE464">
            <v>10</v>
          </cell>
          <cell r="AF464">
            <v>0</v>
          </cell>
          <cell r="AG464">
            <v>11</v>
          </cell>
          <cell r="AH464">
            <v>0</v>
          </cell>
          <cell r="AI464">
            <v>11</v>
          </cell>
          <cell r="AJ464">
            <v>0</v>
          </cell>
          <cell r="AK464">
            <v>11</v>
          </cell>
          <cell r="AL464">
            <v>0</v>
          </cell>
          <cell r="AM464">
            <v>11</v>
          </cell>
          <cell r="AN464">
            <v>0</v>
          </cell>
          <cell r="AO464">
            <v>11</v>
          </cell>
          <cell r="AP464">
            <v>0</v>
          </cell>
          <cell r="AQ464">
            <v>11</v>
          </cell>
          <cell r="AR464">
            <v>33</v>
          </cell>
          <cell r="AS464">
            <v>23</v>
          </cell>
        </row>
        <row r="465">
          <cell r="B465">
            <v>17031440700</v>
          </cell>
          <cell r="D465">
            <v>475</v>
          </cell>
          <cell r="E465">
            <v>85</v>
          </cell>
          <cell r="F465">
            <v>264</v>
          </cell>
          <cell r="G465">
            <v>83</v>
          </cell>
          <cell r="H465">
            <v>238</v>
          </cell>
          <cell r="I465">
            <v>81</v>
          </cell>
          <cell r="J465">
            <v>26</v>
          </cell>
          <cell r="K465">
            <v>35</v>
          </cell>
          <cell r="L465">
            <v>26</v>
          </cell>
          <cell r="M465">
            <v>35</v>
          </cell>
          <cell r="N465">
            <v>0</v>
          </cell>
          <cell r="O465">
            <v>11</v>
          </cell>
          <cell r="P465">
            <v>0</v>
          </cell>
          <cell r="Q465">
            <v>11</v>
          </cell>
          <cell r="R465">
            <v>0</v>
          </cell>
          <cell r="S465">
            <v>11</v>
          </cell>
          <cell r="T465">
            <v>0</v>
          </cell>
          <cell r="U465">
            <v>11</v>
          </cell>
          <cell r="V465">
            <v>175</v>
          </cell>
          <cell r="W465">
            <v>56</v>
          </cell>
          <cell r="X465">
            <v>101</v>
          </cell>
          <cell r="Y465">
            <v>49</v>
          </cell>
          <cell r="Z465">
            <v>13</v>
          </cell>
          <cell r="AA465">
            <v>15</v>
          </cell>
          <cell r="AB465">
            <v>61</v>
          </cell>
          <cell r="AC465">
            <v>38</v>
          </cell>
          <cell r="AD465">
            <v>0</v>
          </cell>
          <cell r="AE465">
            <v>11</v>
          </cell>
          <cell r="AF465">
            <v>0</v>
          </cell>
          <cell r="AG465">
            <v>11</v>
          </cell>
          <cell r="AH465">
            <v>20</v>
          </cell>
          <cell r="AI465">
            <v>20</v>
          </cell>
          <cell r="AJ465">
            <v>0</v>
          </cell>
          <cell r="AK465">
            <v>11</v>
          </cell>
          <cell r="AL465">
            <v>0</v>
          </cell>
          <cell r="AM465">
            <v>11</v>
          </cell>
          <cell r="AN465">
            <v>0</v>
          </cell>
          <cell r="AO465">
            <v>11</v>
          </cell>
          <cell r="AP465">
            <v>6</v>
          </cell>
          <cell r="AQ465">
            <v>9</v>
          </cell>
          <cell r="AR465">
            <v>10</v>
          </cell>
          <cell r="AS465">
            <v>13</v>
          </cell>
        </row>
        <row r="466">
          <cell r="B466">
            <v>17031440800</v>
          </cell>
          <cell r="D466">
            <v>550</v>
          </cell>
          <cell r="E466">
            <v>116</v>
          </cell>
          <cell r="F466">
            <v>323</v>
          </cell>
          <cell r="G466">
            <v>77</v>
          </cell>
          <cell r="H466">
            <v>284</v>
          </cell>
          <cell r="I466">
            <v>74</v>
          </cell>
          <cell r="J466">
            <v>39</v>
          </cell>
          <cell r="K466">
            <v>27</v>
          </cell>
          <cell r="L466">
            <v>21</v>
          </cell>
          <cell r="M466">
            <v>18</v>
          </cell>
          <cell r="N466">
            <v>0</v>
          </cell>
          <cell r="O466">
            <v>11</v>
          </cell>
          <cell r="P466">
            <v>18</v>
          </cell>
          <cell r="Q466">
            <v>22</v>
          </cell>
          <cell r="R466">
            <v>0</v>
          </cell>
          <cell r="S466">
            <v>11</v>
          </cell>
          <cell r="T466">
            <v>0</v>
          </cell>
          <cell r="U466">
            <v>11</v>
          </cell>
          <cell r="V466">
            <v>169</v>
          </cell>
          <cell r="W466">
            <v>76</v>
          </cell>
          <cell r="X466">
            <v>128</v>
          </cell>
          <cell r="Y466">
            <v>70</v>
          </cell>
          <cell r="Z466">
            <v>0</v>
          </cell>
          <cell r="AA466">
            <v>11</v>
          </cell>
          <cell r="AB466">
            <v>29</v>
          </cell>
          <cell r="AC466">
            <v>28</v>
          </cell>
          <cell r="AD466">
            <v>12</v>
          </cell>
          <cell r="AE466">
            <v>19</v>
          </cell>
          <cell r="AF466">
            <v>0</v>
          </cell>
          <cell r="AG466">
            <v>11</v>
          </cell>
          <cell r="AH466">
            <v>0</v>
          </cell>
          <cell r="AI466">
            <v>11</v>
          </cell>
          <cell r="AJ466">
            <v>0</v>
          </cell>
          <cell r="AK466">
            <v>11</v>
          </cell>
          <cell r="AL466">
            <v>0</v>
          </cell>
          <cell r="AM466">
            <v>11</v>
          </cell>
          <cell r="AN466">
            <v>39</v>
          </cell>
          <cell r="AO466">
            <v>35</v>
          </cell>
          <cell r="AP466">
            <v>0</v>
          </cell>
          <cell r="AQ466">
            <v>11</v>
          </cell>
          <cell r="AR466">
            <v>19</v>
          </cell>
          <cell r="AS466">
            <v>25</v>
          </cell>
        </row>
        <row r="467">
          <cell r="B467">
            <v>17031440900</v>
          </cell>
          <cell r="D467">
            <v>835</v>
          </cell>
          <cell r="E467">
            <v>185</v>
          </cell>
          <cell r="F467">
            <v>473</v>
          </cell>
          <cell r="G467">
            <v>129</v>
          </cell>
          <cell r="H467">
            <v>405</v>
          </cell>
          <cell r="I467">
            <v>118</v>
          </cell>
          <cell r="J467">
            <v>68</v>
          </cell>
          <cell r="K467">
            <v>37</v>
          </cell>
          <cell r="L467">
            <v>51</v>
          </cell>
          <cell r="M467">
            <v>30</v>
          </cell>
          <cell r="N467">
            <v>17</v>
          </cell>
          <cell r="O467">
            <v>25</v>
          </cell>
          <cell r="P467">
            <v>0</v>
          </cell>
          <cell r="Q467">
            <v>11</v>
          </cell>
          <cell r="R467">
            <v>0</v>
          </cell>
          <cell r="S467">
            <v>11</v>
          </cell>
          <cell r="T467">
            <v>0</v>
          </cell>
          <cell r="U467">
            <v>11</v>
          </cell>
          <cell r="V467">
            <v>256</v>
          </cell>
          <cell r="W467">
            <v>117</v>
          </cell>
          <cell r="X467">
            <v>233</v>
          </cell>
          <cell r="Y467">
            <v>113</v>
          </cell>
          <cell r="Z467">
            <v>0</v>
          </cell>
          <cell r="AA467">
            <v>11</v>
          </cell>
          <cell r="AB467">
            <v>13</v>
          </cell>
          <cell r="AC467">
            <v>19</v>
          </cell>
          <cell r="AD467">
            <v>10</v>
          </cell>
          <cell r="AE467">
            <v>16</v>
          </cell>
          <cell r="AF467">
            <v>0</v>
          </cell>
          <cell r="AG467">
            <v>11</v>
          </cell>
          <cell r="AH467">
            <v>0</v>
          </cell>
          <cell r="AI467">
            <v>11</v>
          </cell>
          <cell r="AJ467">
            <v>0</v>
          </cell>
          <cell r="AK467">
            <v>11</v>
          </cell>
          <cell r="AL467">
            <v>0</v>
          </cell>
          <cell r="AM467">
            <v>11</v>
          </cell>
          <cell r="AN467">
            <v>45</v>
          </cell>
          <cell r="AO467">
            <v>38</v>
          </cell>
          <cell r="AP467">
            <v>0</v>
          </cell>
          <cell r="AQ467">
            <v>11</v>
          </cell>
          <cell r="AR467">
            <v>61</v>
          </cell>
          <cell r="AS467">
            <v>38</v>
          </cell>
        </row>
        <row r="468">
          <cell r="B468">
            <v>17031450300</v>
          </cell>
          <cell r="D468">
            <v>1267</v>
          </cell>
          <cell r="E468">
            <v>207</v>
          </cell>
          <cell r="F468">
            <v>911</v>
          </cell>
          <cell r="G468">
            <v>167</v>
          </cell>
          <cell r="H468">
            <v>771</v>
          </cell>
          <cell r="I468">
            <v>155</v>
          </cell>
          <cell r="J468">
            <v>140</v>
          </cell>
          <cell r="K468">
            <v>67</v>
          </cell>
          <cell r="L468">
            <v>140</v>
          </cell>
          <cell r="M468">
            <v>67</v>
          </cell>
          <cell r="N468">
            <v>0</v>
          </cell>
          <cell r="O468">
            <v>11</v>
          </cell>
          <cell r="P468">
            <v>0</v>
          </cell>
          <cell r="Q468">
            <v>11</v>
          </cell>
          <cell r="R468">
            <v>0</v>
          </cell>
          <cell r="S468">
            <v>11</v>
          </cell>
          <cell r="T468">
            <v>0</v>
          </cell>
          <cell r="U468">
            <v>11</v>
          </cell>
          <cell r="V468">
            <v>271</v>
          </cell>
          <cell r="W468">
            <v>110</v>
          </cell>
          <cell r="X468">
            <v>198</v>
          </cell>
          <cell r="Y468">
            <v>91</v>
          </cell>
          <cell r="Z468">
            <v>0</v>
          </cell>
          <cell r="AA468">
            <v>11</v>
          </cell>
          <cell r="AB468">
            <v>0</v>
          </cell>
          <cell r="AC468">
            <v>11</v>
          </cell>
          <cell r="AD468">
            <v>73</v>
          </cell>
          <cell r="AE468">
            <v>53</v>
          </cell>
          <cell r="AF468">
            <v>0</v>
          </cell>
          <cell r="AG468">
            <v>11</v>
          </cell>
          <cell r="AH468">
            <v>0</v>
          </cell>
          <cell r="AI468">
            <v>11</v>
          </cell>
          <cell r="AJ468">
            <v>0</v>
          </cell>
          <cell r="AK468">
            <v>11</v>
          </cell>
          <cell r="AL468">
            <v>8</v>
          </cell>
          <cell r="AM468">
            <v>12</v>
          </cell>
          <cell r="AN468">
            <v>0</v>
          </cell>
          <cell r="AO468">
            <v>11</v>
          </cell>
          <cell r="AP468">
            <v>0</v>
          </cell>
          <cell r="AQ468">
            <v>11</v>
          </cell>
          <cell r="AR468">
            <v>77</v>
          </cell>
          <cell r="AS468">
            <v>47</v>
          </cell>
        </row>
        <row r="469">
          <cell r="B469">
            <v>17031460100</v>
          </cell>
          <cell r="D469">
            <v>1108</v>
          </cell>
          <cell r="E469">
            <v>219</v>
          </cell>
          <cell r="F469">
            <v>440</v>
          </cell>
          <cell r="G469">
            <v>139</v>
          </cell>
          <cell r="H469">
            <v>415</v>
          </cell>
          <cell r="I469">
            <v>140</v>
          </cell>
          <cell r="J469">
            <v>25</v>
          </cell>
          <cell r="K469">
            <v>39</v>
          </cell>
          <cell r="L469">
            <v>25</v>
          </cell>
          <cell r="M469">
            <v>39</v>
          </cell>
          <cell r="N469">
            <v>0</v>
          </cell>
          <cell r="O469">
            <v>11</v>
          </cell>
          <cell r="P469">
            <v>0</v>
          </cell>
          <cell r="Q469">
            <v>11</v>
          </cell>
          <cell r="R469">
            <v>0</v>
          </cell>
          <cell r="S469">
            <v>11</v>
          </cell>
          <cell r="T469">
            <v>0</v>
          </cell>
          <cell r="U469">
            <v>11</v>
          </cell>
          <cell r="V469">
            <v>509</v>
          </cell>
          <cell r="W469">
            <v>142</v>
          </cell>
          <cell r="X469">
            <v>401</v>
          </cell>
          <cell r="Y469">
            <v>120</v>
          </cell>
          <cell r="Z469">
            <v>11</v>
          </cell>
          <cell r="AA469">
            <v>17</v>
          </cell>
          <cell r="AB469">
            <v>64</v>
          </cell>
          <cell r="AC469">
            <v>51</v>
          </cell>
          <cell r="AD469">
            <v>33</v>
          </cell>
          <cell r="AE469">
            <v>38</v>
          </cell>
          <cell r="AF469">
            <v>0</v>
          </cell>
          <cell r="AG469">
            <v>11</v>
          </cell>
          <cell r="AH469">
            <v>45</v>
          </cell>
          <cell r="AI469">
            <v>47</v>
          </cell>
          <cell r="AJ469">
            <v>0</v>
          </cell>
          <cell r="AK469">
            <v>11</v>
          </cell>
          <cell r="AL469">
            <v>0</v>
          </cell>
          <cell r="AM469">
            <v>11</v>
          </cell>
          <cell r="AN469">
            <v>0</v>
          </cell>
          <cell r="AO469">
            <v>11</v>
          </cell>
          <cell r="AP469">
            <v>48</v>
          </cell>
          <cell r="AQ469">
            <v>76</v>
          </cell>
          <cell r="AR469">
            <v>66</v>
          </cell>
          <cell r="AS469">
            <v>52</v>
          </cell>
        </row>
        <row r="470">
          <cell r="B470">
            <v>17031460200</v>
          </cell>
          <cell r="D470">
            <v>931</v>
          </cell>
          <cell r="E470">
            <v>190</v>
          </cell>
          <cell r="F470">
            <v>635</v>
          </cell>
          <cell r="G470">
            <v>152</v>
          </cell>
          <cell r="H470">
            <v>513</v>
          </cell>
          <cell r="I470">
            <v>134</v>
          </cell>
          <cell r="J470">
            <v>122</v>
          </cell>
          <cell r="K470">
            <v>67</v>
          </cell>
          <cell r="L470">
            <v>117</v>
          </cell>
          <cell r="M470">
            <v>66</v>
          </cell>
          <cell r="N470">
            <v>0</v>
          </cell>
          <cell r="O470">
            <v>11</v>
          </cell>
          <cell r="P470">
            <v>0</v>
          </cell>
          <cell r="Q470">
            <v>11</v>
          </cell>
          <cell r="R470">
            <v>5</v>
          </cell>
          <cell r="S470">
            <v>7</v>
          </cell>
          <cell r="T470">
            <v>0</v>
          </cell>
          <cell r="U470">
            <v>11</v>
          </cell>
          <cell r="V470">
            <v>193</v>
          </cell>
          <cell r="W470">
            <v>94</v>
          </cell>
          <cell r="X470">
            <v>173</v>
          </cell>
          <cell r="Y470">
            <v>87</v>
          </cell>
          <cell r="Z470">
            <v>0</v>
          </cell>
          <cell r="AA470">
            <v>11</v>
          </cell>
          <cell r="AB470">
            <v>8</v>
          </cell>
          <cell r="AC470">
            <v>11</v>
          </cell>
          <cell r="AD470">
            <v>12</v>
          </cell>
          <cell r="AE470">
            <v>18</v>
          </cell>
          <cell r="AF470">
            <v>0</v>
          </cell>
          <cell r="AG470">
            <v>11</v>
          </cell>
          <cell r="AH470">
            <v>0</v>
          </cell>
          <cell r="AI470">
            <v>11</v>
          </cell>
          <cell r="AJ470">
            <v>0</v>
          </cell>
          <cell r="AK470">
            <v>11</v>
          </cell>
          <cell r="AL470">
            <v>0</v>
          </cell>
          <cell r="AM470">
            <v>11</v>
          </cell>
          <cell r="AN470">
            <v>29</v>
          </cell>
          <cell r="AO470">
            <v>32</v>
          </cell>
          <cell r="AP470">
            <v>32</v>
          </cell>
          <cell r="AQ470">
            <v>47</v>
          </cell>
          <cell r="AR470">
            <v>42</v>
          </cell>
          <cell r="AS470">
            <v>37</v>
          </cell>
        </row>
        <row r="471">
          <cell r="B471">
            <v>17031460301</v>
          </cell>
          <cell r="D471">
            <v>1074</v>
          </cell>
          <cell r="E471">
            <v>187</v>
          </cell>
          <cell r="F471">
            <v>612</v>
          </cell>
          <cell r="G471">
            <v>163</v>
          </cell>
          <cell r="H471">
            <v>575</v>
          </cell>
          <cell r="I471">
            <v>153</v>
          </cell>
          <cell r="J471">
            <v>37</v>
          </cell>
          <cell r="K471">
            <v>32</v>
          </cell>
          <cell r="L471">
            <v>37</v>
          </cell>
          <cell r="M471">
            <v>32</v>
          </cell>
          <cell r="N471">
            <v>0</v>
          </cell>
          <cell r="O471">
            <v>11</v>
          </cell>
          <cell r="P471">
            <v>0</v>
          </cell>
          <cell r="Q471">
            <v>11</v>
          </cell>
          <cell r="R471">
            <v>0</v>
          </cell>
          <cell r="S471">
            <v>11</v>
          </cell>
          <cell r="T471">
            <v>0</v>
          </cell>
          <cell r="U471">
            <v>11</v>
          </cell>
          <cell r="V471">
            <v>395</v>
          </cell>
          <cell r="W471">
            <v>120</v>
          </cell>
          <cell r="X471">
            <v>336</v>
          </cell>
          <cell r="Y471">
            <v>112</v>
          </cell>
          <cell r="Z471">
            <v>30</v>
          </cell>
          <cell r="AA471">
            <v>35</v>
          </cell>
          <cell r="AB471">
            <v>29</v>
          </cell>
          <cell r="AC471">
            <v>36</v>
          </cell>
          <cell r="AD471">
            <v>0</v>
          </cell>
          <cell r="AE471">
            <v>11</v>
          </cell>
          <cell r="AF471">
            <v>0</v>
          </cell>
          <cell r="AG471">
            <v>11</v>
          </cell>
          <cell r="AH471">
            <v>0</v>
          </cell>
          <cell r="AI471">
            <v>11</v>
          </cell>
          <cell r="AJ471">
            <v>0</v>
          </cell>
          <cell r="AK471">
            <v>11</v>
          </cell>
          <cell r="AL471">
            <v>8</v>
          </cell>
          <cell r="AM471">
            <v>13</v>
          </cell>
          <cell r="AN471">
            <v>59</v>
          </cell>
          <cell r="AO471">
            <v>42</v>
          </cell>
          <cell r="AP471">
            <v>0</v>
          </cell>
          <cell r="AQ471">
            <v>11</v>
          </cell>
          <cell r="AR471">
            <v>0</v>
          </cell>
          <cell r="AS471">
            <v>11</v>
          </cell>
        </row>
        <row r="472">
          <cell r="B472">
            <v>17031460302</v>
          </cell>
          <cell r="D472">
            <v>808</v>
          </cell>
          <cell r="E472">
            <v>224</v>
          </cell>
          <cell r="F472">
            <v>514</v>
          </cell>
          <cell r="G472">
            <v>187</v>
          </cell>
          <cell r="H472">
            <v>465</v>
          </cell>
          <cell r="I472">
            <v>174</v>
          </cell>
          <cell r="J472">
            <v>49</v>
          </cell>
          <cell r="K472">
            <v>53</v>
          </cell>
          <cell r="L472">
            <v>15</v>
          </cell>
          <cell r="M472">
            <v>24</v>
          </cell>
          <cell r="N472">
            <v>0</v>
          </cell>
          <cell r="O472">
            <v>11</v>
          </cell>
          <cell r="P472">
            <v>0</v>
          </cell>
          <cell r="Q472">
            <v>11</v>
          </cell>
          <cell r="R472">
            <v>34</v>
          </cell>
          <cell r="S472">
            <v>39</v>
          </cell>
          <cell r="T472">
            <v>0</v>
          </cell>
          <cell r="U472">
            <v>11</v>
          </cell>
          <cell r="V472">
            <v>258</v>
          </cell>
          <cell r="W472">
            <v>117</v>
          </cell>
          <cell r="X472">
            <v>223</v>
          </cell>
          <cell r="Y472">
            <v>116</v>
          </cell>
          <cell r="Z472">
            <v>0</v>
          </cell>
          <cell r="AA472">
            <v>11</v>
          </cell>
          <cell r="AB472">
            <v>28</v>
          </cell>
          <cell r="AC472">
            <v>37</v>
          </cell>
          <cell r="AD472">
            <v>7</v>
          </cell>
          <cell r="AE472">
            <v>12</v>
          </cell>
          <cell r="AF472">
            <v>0</v>
          </cell>
          <cell r="AG472">
            <v>11</v>
          </cell>
          <cell r="AH472">
            <v>0</v>
          </cell>
          <cell r="AI472">
            <v>11</v>
          </cell>
          <cell r="AJ472">
            <v>0</v>
          </cell>
          <cell r="AK472">
            <v>11</v>
          </cell>
          <cell r="AL472">
            <v>0</v>
          </cell>
          <cell r="AM472">
            <v>11</v>
          </cell>
          <cell r="AN472">
            <v>0</v>
          </cell>
          <cell r="AO472">
            <v>11</v>
          </cell>
          <cell r="AP472">
            <v>0</v>
          </cell>
          <cell r="AQ472">
            <v>11</v>
          </cell>
          <cell r="AR472">
            <v>36</v>
          </cell>
          <cell r="AS472">
            <v>54</v>
          </cell>
        </row>
        <row r="473">
          <cell r="B473">
            <v>17031460400</v>
          </cell>
          <cell r="D473">
            <v>1345</v>
          </cell>
          <cell r="E473">
            <v>286</v>
          </cell>
          <cell r="F473">
            <v>890</v>
          </cell>
          <cell r="G473">
            <v>253</v>
          </cell>
          <cell r="H473">
            <v>842</v>
          </cell>
          <cell r="I473">
            <v>246</v>
          </cell>
          <cell r="J473">
            <v>48</v>
          </cell>
          <cell r="K473">
            <v>39</v>
          </cell>
          <cell r="L473">
            <v>27</v>
          </cell>
          <cell r="M473">
            <v>31</v>
          </cell>
          <cell r="N473">
            <v>9</v>
          </cell>
          <cell r="O473">
            <v>14</v>
          </cell>
          <cell r="P473">
            <v>0</v>
          </cell>
          <cell r="Q473">
            <v>11</v>
          </cell>
          <cell r="R473">
            <v>12</v>
          </cell>
          <cell r="S473">
            <v>19</v>
          </cell>
          <cell r="T473">
            <v>0</v>
          </cell>
          <cell r="U473">
            <v>11</v>
          </cell>
          <cell r="V473">
            <v>374</v>
          </cell>
          <cell r="W473">
            <v>155</v>
          </cell>
          <cell r="X473">
            <v>320</v>
          </cell>
          <cell r="Y473">
            <v>135</v>
          </cell>
          <cell r="Z473">
            <v>0</v>
          </cell>
          <cell r="AA473">
            <v>11</v>
          </cell>
          <cell r="AB473">
            <v>47</v>
          </cell>
          <cell r="AC473">
            <v>47</v>
          </cell>
          <cell r="AD473">
            <v>7</v>
          </cell>
          <cell r="AE473">
            <v>12</v>
          </cell>
          <cell r="AF473">
            <v>0</v>
          </cell>
          <cell r="AG473">
            <v>11</v>
          </cell>
          <cell r="AH473">
            <v>0</v>
          </cell>
          <cell r="AI473">
            <v>11</v>
          </cell>
          <cell r="AJ473">
            <v>0</v>
          </cell>
          <cell r="AK473">
            <v>11</v>
          </cell>
          <cell r="AL473">
            <v>0</v>
          </cell>
          <cell r="AM473">
            <v>11</v>
          </cell>
          <cell r="AN473">
            <v>38</v>
          </cell>
          <cell r="AO473">
            <v>47</v>
          </cell>
          <cell r="AP473">
            <v>33</v>
          </cell>
          <cell r="AQ473">
            <v>51</v>
          </cell>
          <cell r="AR473">
            <v>10</v>
          </cell>
          <cell r="AS473">
            <v>16</v>
          </cell>
        </row>
        <row r="474">
          <cell r="B474">
            <v>17031460500</v>
          </cell>
          <cell r="D474">
            <v>1948</v>
          </cell>
          <cell r="E474">
            <v>369</v>
          </cell>
          <cell r="F474">
            <v>1191</v>
          </cell>
          <cell r="G474">
            <v>366</v>
          </cell>
          <cell r="H474">
            <v>1115</v>
          </cell>
          <cell r="I474">
            <v>351</v>
          </cell>
          <cell r="J474">
            <v>76</v>
          </cell>
          <cell r="K474">
            <v>79</v>
          </cell>
          <cell r="L474">
            <v>76</v>
          </cell>
          <cell r="M474">
            <v>79</v>
          </cell>
          <cell r="N474">
            <v>0</v>
          </cell>
          <cell r="O474">
            <v>11</v>
          </cell>
          <cell r="P474">
            <v>0</v>
          </cell>
          <cell r="Q474">
            <v>11</v>
          </cell>
          <cell r="R474">
            <v>0</v>
          </cell>
          <cell r="S474">
            <v>11</v>
          </cell>
          <cell r="T474">
            <v>0</v>
          </cell>
          <cell r="U474">
            <v>11</v>
          </cell>
          <cell r="V474">
            <v>656</v>
          </cell>
          <cell r="W474">
            <v>194</v>
          </cell>
          <cell r="X474">
            <v>636</v>
          </cell>
          <cell r="Y474">
            <v>194</v>
          </cell>
          <cell r="Z474">
            <v>0</v>
          </cell>
          <cell r="AA474">
            <v>11</v>
          </cell>
          <cell r="AB474">
            <v>0</v>
          </cell>
          <cell r="AC474">
            <v>11</v>
          </cell>
          <cell r="AD474">
            <v>20</v>
          </cell>
          <cell r="AE474">
            <v>31</v>
          </cell>
          <cell r="AF474">
            <v>0</v>
          </cell>
          <cell r="AG474">
            <v>11</v>
          </cell>
          <cell r="AH474">
            <v>0</v>
          </cell>
          <cell r="AI474">
            <v>11</v>
          </cell>
          <cell r="AJ474">
            <v>0</v>
          </cell>
          <cell r="AK474">
            <v>11</v>
          </cell>
          <cell r="AL474">
            <v>0</v>
          </cell>
          <cell r="AM474">
            <v>11</v>
          </cell>
          <cell r="AN474">
            <v>0</v>
          </cell>
          <cell r="AO474">
            <v>11</v>
          </cell>
          <cell r="AP474">
            <v>0</v>
          </cell>
          <cell r="AQ474">
            <v>11</v>
          </cell>
          <cell r="AR474">
            <v>101</v>
          </cell>
          <cell r="AS474">
            <v>89</v>
          </cell>
        </row>
        <row r="475">
          <cell r="B475">
            <v>17031460600</v>
          </cell>
          <cell r="D475">
            <v>340</v>
          </cell>
          <cell r="E475">
            <v>78</v>
          </cell>
          <cell r="F475">
            <v>251</v>
          </cell>
          <cell r="G475">
            <v>71</v>
          </cell>
          <cell r="H475">
            <v>189</v>
          </cell>
          <cell r="I475">
            <v>58</v>
          </cell>
          <cell r="J475">
            <v>62</v>
          </cell>
          <cell r="K475">
            <v>40</v>
          </cell>
          <cell r="L475">
            <v>36</v>
          </cell>
          <cell r="M475">
            <v>32</v>
          </cell>
          <cell r="N475">
            <v>0</v>
          </cell>
          <cell r="O475">
            <v>11</v>
          </cell>
          <cell r="P475">
            <v>26</v>
          </cell>
          <cell r="Q475">
            <v>38</v>
          </cell>
          <cell r="R475">
            <v>0</v>
          </cell>
          <cell r="S475">
            <v>11</v>
          </cell>
          <cell r="T475">
            <v>0</v>
          </cell>
          <cell r="U475">
            <v>11</v>
          </cell>
          <cell r="V475">
            <v>78</v>
          </cell>
          <cell r="W475">
            <v>35</v>
          </cell>
          <cell r="X475">
            <v>67</v>
          </cell>
          <cell r="Y475">
            <v>33</v>
          </cell>
          <cell r="Z475">
            <v>0</v>
          </cell>
          <cell r="AA475">
            <v>11</v>
          </cell>
          <cell r="AB475">
            <v>11</v>
          </cell>
          <cell r="AC475">
            <v>12</v>
          </cell>
          <cell r="AD475">
            <v>0</v>
          </cell>
          <cell r="AE475">
            <v>11</v>
          </cell>
          <cell r="AF475">
            <v>0</v>
          </cell>
          <cell r="AG475">
            <v>11</v>
          </cell>
          <cell r="AH475">
            <v>0</v>
          </cell>
          <cell r="AI475">
            <v>11</v>
          </cell>
          <cell r="AJ475">
            <v>0</v>
          </cell>
          <cell r="AK475">
            <v>11</v>
          </cell>
          <cell r="AL475">
            <v>0</v>
          </cell>
          <cell r="AM475">
            <v>11</v>
          </cell>
          <cell r="AN475">
            <v>11</v>
          </cell>
          <cell r="AO475">
            <v>17</v>
          </cell>
          <cell r="AP475">
            <v>0</v>
          </cell>
          <cell r="AQ475">
            <v>11</v>
          </cell>
          <cell r="AR475">
            <v>0</v>
          </cell>
          <cell r="AS475">
            <v>11</v>
          </cell>
        </row>
        <row r="476">
          <cell r="B476">
            <v>17031460700</v>
          </cell>
          <cell r="D476">
            <v>725</v>
          </cell>
          <cell r="E476">
            <v>152</v>
          </cell>
          <cell r="F476">
            <v>426</v>
          </cell>
          <cell r="G476">
            <v>125</v>
          </cell>
          <cell r="H476">
            <v>349</v>
          </cell>
          <cell r="I476">
            <v>120</v>
          </cell>
          <cell r="J476">
            <v>77</v>
          </cell>
          <cell r="K476">
            <v>52</v>
          </cell>
          <cell r="L476">
            <v>54</v>
          </cell>
          <cell r="M476">
            <v>46</v>
          </cell>
          <cell r="N476">
            <v>23</v>
          </cell>
          <cell r="O476">
            <v>25</v>
          </cell>
          <cell r="P476">
            <v>0</v>
          </cell>
          <cell r="Q476">
            <v>11</v>
          </cell>
          <cell r="R476">
            <v>0</v>
          </cell>
          <cell r="S476">
            <v>11</v>
          </cell>
          <cell r="T476">
            <v>0</v>
          </cell>
          <cell r="U476">
            <v>11</v>
          </cell>
          <cell r="V476">
            <v>276</v>
          </cell>
          <cell r="W476">
            <v>115</v>
          </cell>
          <cell r="X476">
            <v>186</v>
          </cell>
          <cell r="Y476">
            <v>95</v>
          </cell>
          <cell r="Z476">
            <v>0</v>
          </cell>
          <cell r="AA476">
            <v>11</v>
          </cell>
          <cell r="AB476">
            <v>80</v>
          </cell>
          <cell r="AC476">
            <v>71</v>
          </cell>
          <cell r="AD476">
            <v>10</v>
          </cell>
          <cell r="AE476">
            <v>14</v>
          </cell>
          <cell r="AF476">
            <v>0</v>
          </cell>
          <cell r="AG476">
            <v>11</v>
          </cell>
          <cell r="AH476">
            <v>0</v>
          </cell>
          <cell r="AI476">
            <v>11</v>
          </cell>
          <cell r="AJ476">
            <v>0</v>
          </cell>
          <cell r="AK476">
            <v>11</v>
          </cell>
          <cell r="AL476">
            <v>0</v>
          </cell>
          <cell r="AM476">
            <v>11</v>
          </cell>
          <cell r="AN476">
            <v>0</v>
          </cell>
          <cell r="AO476">
            <v>11</v>
          </cell>
          <cell r="AP476">
            <v>0</v>
          </cell>
          <cell r="AQ476">
            <v>11</v>
          </cell>
          <cell r="AR476">
            <v>23</v>
          </cell>
          <cell r="AS476">
            <v>30</v>
          </cell>
        </row>
        <row r="477">
          <cell r="B477">
            <v>17031461000</v>
          </cell>
          <cell r="D477">
            <v>367</v>
          </cell>
          <cell r="E477">
            <v>123</v>
          </cell>
          <cell r="F477">
            <v>237</v>
          </cell>
          <cell r="G477">
            <v>119</v>
          </cell>
          <cell r="H477">
            <v>213</v>
          </cell>
          <cell r="I477">
            <v>114</v>
          </cell>
          <cell r="J477">
            <v>24</v>
          </cell>
          <cell r="K477">
            <v>21</v>
          </cell>
          <cell r="L477">
            <v>16</v>
          </cell>
          <cell r="M477">
            <v>19</v>
          </cell>
          <cell r="N477">
            <v>8</v>
          </cell>
          <cell r="O477">
            <v>10</v>
          </cell>
          <cell r="P477">
            <v>0</v>
          </cell>
          <cell r="Q477">
            <v>11</v>
          </cell>
          <cell r="R477">
            <v>0</v>
          </cell>
          <cell r="S477">
            <v>11</v>
          </cell>
          <cell r="T477">
            <v>0</v>
          </cell>
          <cell r="U477">
            <v>11</v>
          </cell>
          <cell r="V477">
            <v>83</v>
          </cell>
          <cell r="W477">
            <v>47</v>
          </cell>
          <cell r="X477">
            <v>44</v>
          </cell>
          <cell r="Y477">
            <v>35</v>
          </cell>
          <cell r="Z477">
            <v>17</v>
          </cell>
          <cell r="AA477">
            <v>25</v>
          </cell>
          <cell r="AB477">
            <v>0</v>
          </cell>
          <cell r="AC477">
            <v>11</v>
          </cell>
          <cell r="AD477">
            <v>22</v>
          </cell>
          <cell r="AE477">
            <v>35</v>
          </cell>
          <cell r="AF477">
            <v>0</v>
          </cell>
          <cell r="AG477">
            <v>11</v>
          </cell>
          <cell r="AH477">
            <v>0</v>
          </cell>
          <cell r="AI477">
            <v>11</v>
          </cell>
          <cell r="AJ477">
            <v>0</v>
          </cell>
          <cell r="AK477">
            <v>11</v>
          </cell>
          <cell r="AL477">
            <v>0</v>
          </cell>
          <cell r="AM477">
            <v>11</v>
          </cell>
          <cell r="AN477">
            <v>47</v>
          </cell>
          <cell r="AO477">
            <v>24</v>
          </cell>
          <cell r="AP477">
            <v>0</v>
          </cell>
          <cell r="AQ477">
            <v>11</v>
          </cell>
          <cell r="AR477">
            <v>0</v>
          </cell>
          <cell r="AS477">
            <v>11</v>
          </cell>
        </row>
        <row r="478">
          <cell r="B478">
            <v>17031470100</v>
          </cell>
          <cell r="D478">
            <v>791</v>
          </cell>
          <cell r="E478">
            <v>209</v>
          </cell>
          <cell r="F478">
            <v>502</v>
          </cell>
          <cell r="G478">
            <v>150</v>
          </cell>
          <cell r="H478">
            <v>370</v>
          </cell>
          <cell r="I478">
            <v>143</v>
          </cell>
          <cell r="J478">
            <v>132</v>
          </cell>
          <cell r="K478">
            <v>63</v>
          </cell>
          <cell r="L478">
            <v>48</v>
          </cell>
          <cell r="M478">
            <v>45</v>
          </cell>
          <cell r="N478">
            <v>44</v>
          </cell>
          <cell r="O478">
            <v>53</v>
          </cell>
          <cell r="P478">
            <v>40</v>
          </cell>
          <cell r="Q478">
            <v>37</v>
          </cell>
          <cell r="R478">
            <v>0</v>
          </cell>
          <cell r="S478">
            <v>11</v>
          </cell>
          <cell r="T478">
            <v>0</v>
          </cell>
          <cell r="U478">
            <v>11</v>
          </cell>
          <cell r="V478">
            <v>276</v>
          </cell>
          <cell r="W478">
            <v>130</v>
          </cell>
          <cell r="X478">
            <v>198</v>
          </cell>
          <cell r="Y478">
            <v>126</v>
          </cell>
          <cell r="Z478">
            <v>0</v>
          </cell>
          <cell r="AA478">
            <v>11</v>
          </cell>
          <cell r="AB478">
            <v>56</v>
          </cell>
          <cell r="AC478">
            <v>52</v>
          </cell>
          <cell r="AD478">
            <v>22</v>
          </cell>
          <cell r="AE478">
            <v>31</v>
          </cell>
          <cell r="AF478">
            <v>0</v>
          </cell>
          <cell r="AG478">
            <v>11</v>
          </cell>
          <cell r="AH478">
            <v>0</v>
          </cell>
          <cell r="AI478">
            <v>11</v>
          </cell>
          <cell r="AJ478">
            <v>0</v>
          </cell>
          <cell r="AK478">
            <v>11</v>
          </cell>
          <cell r="AL478">
            <v>0</v>
          </cell>
          <cell r="AM478">
            <v>11</v>
          </cell>
          <cell r="AN478">
            <v>0</v>
          </cell>
          <cell r="AO478">
            <v>11</v>
          </cell>
          <cell r="AP478">
            <v>0</v>
          </cell>
          <cell r="AQ478">
            <v>11</v>
          </cell>
          <cell r="AR478">
            <v>13</v>
          </cell>
          <cell r="AS478">
            <v>20</v>
          </cell>
        </row>
        <row r="479">
          <cell r="B479">
            <v>17031480100</v>
          </cell>
          <cell r="D479">
            <v>838</v>
          </cell>
          <cell r="E479">
            <v>145</v>
          </cell>
          <cell r="F479">
            <v>531</v>
          </cell>
          <cell r="G479">
            <v>102</v>
          </cell>
          <cell r="H479">
            <v>512</v>
          </cell>
          <cell r="I479">
            <v>103</v>
          </cell>
          <cell r="J479">
            <v>19</v>
          </cell>
          <cell r="K479">
            <v>17</v>
          </cell>
          <cell r="L479">
            <v>14</v>
          </cell>
          <cell r="M479">
            <v>15</v>
          </cell>
          <cell r="N479">
            <v>0</v>
          </cell>
          <cell r="O479">
            <v>11</v>
          </cell>
          <cell r="P479">
            <v>0</v>
          </cell>
          <cell r="Q479">
            <v>11</v>
          </cell>
          <cell r="R479">
            <v>5</v>
          </cell>
          <cell r="S479">
            <v>7</v>
          </cell>
          <cell r="T479">
            <v>0</v>
          </cell>
          <cell r="U479">
            <v>11</v>
          </cell>
          <cell r="V479">
            <v>280</v>
          </cell>
          <cell r="W479">
            <v>131</v>
          </cell>
          <cell r="X479">
            <v>196</v>
          </cell>
          <cell r="Y479">
            <v>129</v>
          </cell>
          <cell r="Z479">
            <v>0</v>
          </cell>
          <cell r="AA479">
            <v>11</v>
          </cell>
          <cell r="AB479">
            <v>69</v>
          </cell>
          <cell r="AC479">
            <v>61</v>
          </cell>
          <cell r="AD479">
            <v>15</v>
          </cell>
          <cell r="AE479">
            <v>15</v>
          </cell>
          <cell r="AF479">
            <v>0</v>
          </cell>
          <cell r="AG479">
            <v>11</v>
          </cell>
          <cell r="AH479">
            <v>6</v>
          </cell>
          <cell r="AI479">
            <v>10</v>
          </cell>
          <cell r="AJ479">
            <v>0</v>
          </cell>
          <cell r="AK479">
            <v>11</v>
          </cell>
          <cell r="AL479">
            <v>0</v>
          </cell>
          <cell r="AM479">
            <v>11</v>
          </cell>
          <cell r="AN479">
            <v>9</v>
          </cell>
          <cell r="AO479">
            <v>14</v>
          </cell>
          <cell r="AP479">
            <v>0</v>
          </cell>
          <cell r="AQ479">
            <v>11</v>
          </cell>
          <cell r="AR479">
            <v>12</v>
          </cell>
          <cell r="AS479">
            <v>13</v>
          </cell>
        </row>
        <row r="480">
          <cell r="B480">
            <v>17031480200</v>
          </cell>
          <cell r="D480">
            <v>389</v>
          </cell>
          <cell r="E480">
            <v>92</v>
          </cell>
          <cell r="F480">
            <v>175</v>
          </cell>
          <cell r="G480">
            <v>52</v>
          </cell>
          <cell r="H480">
            <v>154</v>
          </cell>
          <cell r="I480">
            <v>48</v>
          </cell>
          <cell r="J480">
            <v>21</v>
          </cell>
          <cell r="K480">
            <v>23</v>
          </cell>
          <cell r="L480">
            <v>16</v>
          </cell>
          <cell r="M480">
            <v>22</v>
          </cell>
          <cell r="N480">
            <v>5</v>
          </cell>
          <cell r="O480">
            <v>7</v>
          </cell>
          <cell r="P480">
            <v>0</v>
          </cell>
          <cell r="Q480">
            <v>11</v>
          </cell>
          <cell r="R480">
            <v>0</v>
          </cell>
          <cell r="S480">
            <v>11</v>
          </cell>
          <cell r="T480">
            <v>0</v>
          </cell>
          <cell r="U480">
            <v>11</v>
          </cell>
          <cell r="V480">
            <v>163</v>
          </cell>
          <cell r="W480">
            <v>56</v>
          </cell>
          <cell r="X480">
            <v>138</v>
          </cell>
          <cell r="Y480">
            <v>53</v>
          </cell>
          <cell r="Z480">
            <v>0</v>
          </cell>
          <cell r="AA480">
            <v>11</v>
          </cell>
          <cell r="AB480">
            <v>16</v>
          </cell>
          <cell r="AC480">
            <v>18</v>
          </cell>
          <cell r="AD480">
            <v>9</v>
          </cell>
          <cell r="AE480">
            <v>14</v>
          </cell>
          <cell r="AF480">
            <v>0</v>
          </cell>
          <cell r="AG480">
            <v>11</v>
          </cell>
          <cell r="AH480">
            <v>0</v>
          </cell>
          <cell r="AI480">
            <v>11</v>
          </cell>
          <cell r="AJ480">
            <v>0</v>
          </cell>
          <cell r="AK480">
            <v>11</v>
          </cell>
          <cell r="AL480">
            <v>0</v>
          </cell>
          <cell r="AM480">
            <v>11</v>
          </cell>
          <cell r="AN480">
            <v>41</v>
          </cell>
          <cell r="AO480">
            <v>35</v>
          </cell>
          <cell r="AP480">
            <v>5</v>
          </cell>
          <cell r="AQ480">
            <v>7</v>
          </cell>
          <cell r="AR480">
            <v>5</v>
          </cell>
          <cell r="AS480">
            <v>7</v>
          </cell>
        </row>
        <row r="481">
          <cell r="B481">
            <v>17031480300</v>
          </cell>
          <cell r="D481">
            <v>478</v>
          </cell>
          <cell r="E481">
            <v>70</v>
          </cell>
          <cell r="F481">
            <v>314</v>
          </cell>
          <cell r="G481">
            <v>72</v>
          </cell>
          <cell r="H481">
            <v>264</v>
          </cell>
          <cell r="I481">
            <v>72</v>
          </cell>
          <cell r="J481">
            <v>50</v>
          </cell>
          <cell r="K481">
            <v>30</v>
          </cell>
          <cell r="L481">
            <v>50</v>
          </cell>
          <cell r="M481">
            <v>30</v>
          </cell>
          <cell r="N481">
            <v>0</v>
          </cell>
          <cell r="O481">
            <v>11</v>
          </cell>
          <cell r="P481">
            <v>0</v>
          </cell>
          <cell r="Q481">
            <v>11</v>
          </cell>
          <cell r="R481">
            <v>0</v>
          </cell>
          <cell r="S481">
            <v>11</v>
          </cell>
          <cell r="T481">
            <v>0</v>
          </cell>
          <cell r="U481">
            <v>11</v>
          </cell>
          <cell r="V481">
            <v>120</v>
          </cell>
          <cell r="W481">
            <v>51</v>
          </cell>
          <cell r="X481">
            <v>57</v>
          </cell>
          <cell r="Y481">
            <v>34</v>
          </cell>
          <cell r="Z481">
            <v>0</v>
          </cell>
          <cell r="AA481">
            <v>11</v>
          </cell>
          <cell r="AB481">
            <v>52</v>
          </cell>
          <cell r="AC481">
            <v>33</v>
          </cell>
          <cell r="AD481">
            <v>11</v>
          </cell>
          <cell r="AE481">
            <v>16</v>
          </cell>
          <cell r="AF481">
            <v>0</v>
          </cell>
          <cell r="AG481">
            <v>11</v>
          </cell>
          <cell r="AH481">
            <v>0</v>
          </cell>
          <cell r="AI481">
            <v>11</v>
          </cell>
          <cell r="AJ481">
            <v>0</v>
          </cell>
          <cell r="AK481">
            <v>11</v>
          </cell>
          <cell r="AL481">
            <v>0</v>
          </cell>
          <cell r="AM481">
            <v>11</v>
          </cell>
          <cell r="AN481">
            <v>0</v>
          </cell>
          <cell r="AO481">
            <v>11</v>
          </cell>
          <cell r="AP481">
            <v>0</v>
          </cell>
          <cell r="AQ481">
            <v>11</v>
          </cell>
          <cell r="AR481">
            <v>44</v>
          </cell>
          <cell r="AS481">
            <v>36</v>
          </cell>
        </row>
        <row r="482">
          <cell r="B482">
            <v>17031480400</v>
          </cell>
          <cell r="D482">
            <v>2417</v>
          </cell>
          <cell r="E482">
            <v>283</v>
          </cell>
          <cell r="F482">
            <v>1919</v>
          </cell>
          <cell r="G482">
            <v>271</v>
          </cell>
          <cell r="H482">
            <v>1742</v>
          </cell>
          <cell r="I482">
            <v>274</v>
          </cell>
          <cell r="J482">
            <v>177</v>
          </cell>
          <cell r="K482">
            <v>117</v>
          </cell>
          <cell r="L482">
            <v>177</v>
          </cell>
          <cell r="M482">
            <v>117</v>
          </cell>
          <cell r="N482">
            <v>0</v>
          </cell>
          <cell r="O482">
            <v>15</v>
          </cell>
          <cell r="P482">
            <v>0</v>
          </cell>
          <cell r="Q482">
            <v>15</v>
          </cell>
          <cell r="R482">
            <v>0</v>
          </cell>
          <cell r="S482">
            <v>15</v>
          </cell>
          <cell r="T482">
            <v>0</v>
          </cell>
          <cell r="U482">
            <v>15</v>
          </cell>
          <cell r="V482">
            <v>405</v>
          </cell>
          <cell r="W482">
            <v>176</v>
          </cell>
          <cell r="X482">
            <v>337</v>
          </cell>
          <cell r="Y482">
            <v>162</v>
          </cell>
          <cell r="Z482">
            <v>0</v>
          </cell>
          <cell r="AA482">
            <v>15</v>
          </cell>
          <cell r="AB482">
            <v>0</v>
          </cell>
          <cell r="AC482">
            <v>15</v>
          </cell>
          <cell r="AD482">
            <v>68</v>
          </cell>
          <cell r="AE482">
            <v>70</v>
          </cell>
          <cell r="AF482">
            <v>0</v>
          </cell>
          <cell r="AG482">
            <v>15</v>
          </cell>
          <cell r="AH482">
            <v>0</v>
          </cell>
          <cell r="AI482">
            <v>15</v>
          </cell>
          <cell r="AJ482">
            <v>0</v>
          </cell>
          <cell r="AK482">
            <v>15</v>
          </cell>
          <cell r="AL482">
            <v>27</v>
          </cell>
          <cell r="AM482">
            <v>42</v>
          </cell>
          <cell r="AN482">
            <v>0</v>
          </cell>
          <cell r="AO482">
            <v>15</v>
          </cell>
          <cell r="AP482">
            <v>0</v>
          </cell>
          <cell r="AQ482">
            <v>15</v>
          </cell>
          <cell r="AR482">
            <v>66</v>
          </cell>
          <cell r="AS482">
            <v>56</v>
          </cell>
        </row>
        <row r="483">
          <cell r="B483">
            <v>17031480500</v>
          </cell>
          <cell r="D483">
            <v>1169</v>
          </cell>
          <cell r="E483">
            <v>229</v>
          </cell>
          <cell r="F483">
            <v>731</v>
          </cell>
          <cell r="G483">
            <v>174</v>
          </cell>
          <cell r="H483">
            <v>564</v>
          </cell>
          <cell r="I483">
            <v>132</v>
          </cell>
          <cell r="J483">
            <v>167</v>
          </cell>
          <cell r="K483">
            <v>106</v>
          </cell>
          <cell r="L483">
            <v>167</v>
          </cell>
          <cell r="M483">
            <v>106</v>
          </cell>
          <cell r="N483">
            <v>0</v>
          </cell>
          <cell r="O483">
            <v>11</v>
          </cell>
          <cell r="P483">
            <v>0</v>
          </cell>
          <cell r="Q483">
            <v>11</v>
          </cell>
          <cell r="R483">
            <v>0</v>
          </cell>
          <cell r="S483">
            <v>11</v>
          </cell>
          <cell r="T483">
            <v>0</v>
          </cell>
          <cell r="U483">
            <v>11</v>
          </cell>
          <cell r="V483">
            <v>374</v>
          </cell>
          <cell r="W483">
            <v>197</v>
          </cell>
          <cell r="X483">
            <v>355</v>
          </cell>
          <cell r="Y483">
            <v>190</v>
          </cell>
          <cell r="Z483">
            <v>0</v>
          </cell>
          <cell r="AA483">
            <v>11</v>
          </cell>
          <cell r="AB483">
            <v>19</v>
          </cell>
          <cell r="AC483">
            <v>25</v>
          </cell>
          <cell r="AD483">
            <v>0</v>
          </cell>
          <cell r="AE483">
            <v>11</v>
          </cell>
          <cell r="AF483">
            <v>0</v>
          </cell>
          <cell r="AG483">
            <v>11</v>
          </cell>
          <cell r="AH483">
            <v>0</v>
          </cell>
          <cell r="AI483">
            <v>11</v>
          </cell>
          <cell r="AJ483">
            <v>0</v>
          </cell>
          <cell r="AK483">
            <v>11</v>
          </cell>
          <cell r="AL483">
            <v>0</v>
          </cell>
          <cell r="AM483">
            <v>11</v>
          </cell>
          <cell r="AN483">
            <v>0</v>
          </cell>
          <cell r="AO483">
            <v>11</v>
          </cell>
          <cell r="AP483">
            <v>13</v>
          </cell>
          <cell r="AQ483">
            <v>21</v>
          </cell>
          <cell r="AR483">
            <v>51</v>
          </cell>
          <cell r="AS483">
            <v>54</v>
          </cell>
        </row>
        <row r="484">
          <cell r="B484">
            <v>17031490300</v>
          </cell>
          <cell r="D484">
            <v>855</v>
          </cell>
          <cell r="E484">
            <v>109</v>
          </cell>
          <cell r="F484">
            <v>527</v>
          </cell>
          <cell r="G484">
            <v>100</v>
          </cell>
          <cell r="H484">
            <v>458</v>
          </cell>
          <cell r="I484">
            <v>99</v>
          </cell>
          <cell r="J484">
            <v>69</v>
          </cell>
          <cell r="K484">
            <v>41</v>
          </cell>
          <cell r="L484">
            <v>48</v>
          </cell>
          <cell r="M484">
            <v>36</v>
          </cell>
          <cell r="N484">
            <v>21</v>
          </cell>
          <cell r="O484">
            <v>17</v>
          </cell>
          <cell r="P484">
            <v>0</v>
          </cell>
          <cell r="Q484">
            <v>11</v>
          </cell>
          <cell r="R484">
            <v>0</v>
          </cell>
          <cell r="S484">
            <v>11</v>
          </cell>
          <cell r="T484">
            <v>0</v>
          </cell>
          <cell r="U484">
            <v>11</v>
          </cell>
          <cell r="V484">
            <v>294</v>
          </cell>
          <cell r="W484">
            <v>93</v>
          </cell>
          <cell r="X484">
            <v>148</v>
          </cell>
          <cell r="Y484">
            <v>80</v>
          </cell>
          <cell r="Z484">
            <v>0</v>
          </cell>
          <cell r="AA484">
            <v>11</v>
          </cell>
          <cell r="AB484">
            <v>146</v>
          </cell>
          <cell r="AC484">
            <v>78</v>
          </cell>
          <cell r="AD484">
            <v>0</v>
          </cell>
          <cell r="AE484">
            <v>11</v>
          </cell>
          <cell r="AF484">
            <v>0</v>
          </cell>
          <cell r="AG484">
            <v>11</v>
          </cell>
          <cell r="AH484">
            <v>5</v>
          </cell>
          <cell r="AI484">
            <v>9</v>
          </cell>
          <cell r="AJ484">
            <v>0</v>
          </cell>
          <cell r="AK484">
            <v>11</v>
          </cell>
          <cell r="AL484">
            <v>9</v>
          </cell>
          <cell r="AM484">
            <v>13</v>
          </cell>
          <cell r="AN484">
            <v>0</v>
          </cell>
          <cell r="AO484">
            <v>11</v>
          </cell>
          <cell r="AP484">
            <v>0</v>
          </cell>
          <cell r="AQ484">
            <v>11</v>
          </cell>
          <cell r="AR484">
            <v>20</v>
          </cell>
          <cell r="AS484">
            <v>17</v>
          </cell>
        </row>
        <row r="485">
          <cell r="B485">
            <v>17031490400</v>
          </cell>
          <cell r="D485">
            <v>351</v>
          </cell>
          <cell r="E485">
            <v>85</v>
          </cell>
          <cell r="F485">
            <v>236</v>
          </cell>
          <cell r="G485">
            <v>67</v>
          </cell>
          <cell r="H485">
            <v>220</v>
          </cell>
          <cell r="I485">
            <v>65</v>
          </cell>
          <cell r="J485">
            <v>16</v>
          </cell>
          <cell r="K485">
            <v>15</v>
          </cell>
          <cell r="L485">
            <v>5</v>
          </cell>
          <cell r="M485">
            <v>7</v>
          </cell>
          <cell r="N485">
            <v>11</v>
          </cell>
          <cell r="O485">
            <v>13</v>
          </cell>
          <cell r="P485">
            <v>0</v>
          </cell>
          <cell r="Q485">
            <v>11</v>
          </cell>
          <cell r="R485">
            <v>0</v>
          </cell>
          <cell r="S485">
            <v>11</v>
          </cell>
          <cell r="T485">
            <v>0</v>
          </cell>
          <cell r="U485">
            <v>11</v>
          </cell>
          <cell r="V485">
            <v>69</v>
          </cell>
          <cell r="W485">
            <v>35</v>
          </cell>
          <cell r="X485">
            <v>32</v>
          </cell>
          <cell r="Y485">
            <v>23</v>
          </cell>
          <cell r="Z485">
            <v>0</v>
          </cell>
          <cell r="AA485">
            <v>11</v>
          </cell>
          <cell r="AB485">
            <v>33</v>
          </cell>
          <cell r="AC485">
            <v>32</v>
          </cell>
          <cell r="AD485">
            <v>4</v>
          </cell>
          <cell r="AE485">
            <v>8</v>
          </cell>
          <cell r="AF485">
            <v>0</v>
          </cell>
          <cell r="AG485">
            <v>11</v>
          </cell>
          <cell r="AH485">
            <v>0</v>
          </cell>
          <cell r="AI485">
            <v>11</v>
          </cell>
          <cell r="AJ485">
            <v>0</v>
          </cell>
          <cell r="AK485">
            <v>11</v>
          </cell>
          <cell r="AL485">
            <v>5</v>
          </cell>
          <cell r="AM485">
            <v>9</v>
          </cell>
          <cell r="AN485">
            <v>0</v>
          </cell>
          <cell r="AO485">
            <v>11</v>
          </cell>
          <cell r="AP485">
            <v>0</v>
          </cell>
          <cell r="AQ485">
            <v>11</v>
          </cell>
          <cell r="AR485">
            <v>41</v>
          </cell>
          <cell r="AS485">
            <v>35</v>
          </cell>
        </row>
        <row r="486">
          <cell r="B486">
            <v>17031490500</v>
          </cell>
          <cell r="D486">
            <v>764</v>
          </cell>
          <cell r="E486">
            <v>134</v>
          </cell>
          <cell r="F486">
            <v>441</v>
          </cell>
          <cell r="G486">
            <v>106</v>
          </cell>
          <cell r="H486">
            <v>419</v>
          </cell>
          <cell r="I486">
            <v>101</v>
          </cell>
          <cell r="J486">
            <v>22</v>
          </cell>
          <cell r="K486">
            <v>23</v>
          </cell>
          <cell r="L486">
            <v>22</v>
          </cell>
          <cell r="M486">
            <v>23</v>
          </cell>
          <cell r="N486">
            <v>0</v>
          </cell>
          <cell r="O486">
            <v>11</v>
          </cell>
          <cell r="P486">
            <v>0</v>
          </cell>
          <cell r="Q486">
            <v>11</v>
          </cell>
          <cell r="R486">
            <v>0</v>
          </cell>
          <cell r="S486">
            <v>11</v>
          </cell>
          <cell r="T486">
            <v>0</v>
          </cell>
          <cell r="U486">
            <v>11</v>
          </cell>
          <cell r="V486">
            <v>249</v>
          </cell>
          <cell r="W486">
            <v>74</v>
          </cell>
          <cell r="X486">
            <v>134</v>
          </cell>
          <cell r="Y486">
            <v>62</v>
          </cell>
          <cell r="Z486">
            <v>0</v>
          </cell>
          <cell r="AA486">
            <v>11</v>
          </cell>
          <cell r="AB486">
            <v>115</v>
          </cell>
          <cell r="AC486">
            <v>62</v>
          </cell>
          <cell r="AD486">
            <v>0</v>
          </cell>
          <cell r="AE486">
            <v>11</v>
          </cell>
          <cell r="AF486">
            <v>0</v>
          </cell>
          <cell r="AG486">
            <v>11</v>
          </cell>
          <cell r="AH486">
            <v>0</v>
          </cell>
          <cell r="AI486">
            <v>11</v>
          </cell>
          <cell r="AJ486">
            <v>0</v>
          </cell>
          <cell r="AK486">
            <v>11</v>
          </cell>
          <cell r="AL486">
            <v>0</v>
          </cell>
          <cell r="AM486">
            <v>11</v>
          </cell>
          <cell r="AN486">
            <v>52</v>
          </cell>
          <cell r="AO486">
            <v>31</v>
          </cell>
          <cell r="AP486">
            <v>0</v>
          </cell>
          <cell r="AQ486">
            <v>11</v>
          </cell>
          <cell r="AR486">
            <v>22</v>
          </cell>
          <cell r="AS486">
            <v>19</v>
          </cell>
        </row>
        <row r="487">
          <cell r="B487">
            <v>17031490600</v>
          </cell>
          <cell r="D487">
            <v>437</v>
          </cell>
          <cell r="E487">
            <v>126</v>
          </cell>
          <cell r="F487">
            <v>270</v>
          </cell>
          <cell r="G487">
            <v>83</v>
          </cell>
          <cell r="H487">
            <v>270</v>
          </cell>
          <cell r="I487">
            <v>83</v>
          </cell>
          <cell r="J487">
            <v>0</v>
          </cell>
          <cell r="K487">
            <v>11</v>
          </cell>
          <cell r="L487">
            <v>0</v>
          </cell>
          <cell r="M487">
            <v>11</v>
          </cell>
          <cell r="N487">
            <v>0</v>
          </cell>
          <cell r="O487">
            <v>11</v>
          </cell>
          <cell r="P487">
            <v>0</v>
          </cell>
          <cell r="Q487">
            <v>11</v>
          </cell>
          <cell r="R487">
            <v>0</v>
          </cell>
          <cell r="S487">
            <v>11</v>
          </cell>
          <cell r="T487">
            <v>0</v>
          </cell>
          <cell r="U487">
            <v>11</v>
          </cell>
          <cell r="V487">
            <v>164</v>
          </cell>
          <cell r="W487">
            <v>79</v>
          </cell>
          <cell r="X487">
            <v>96</v>
          </cell>
          <cell r="Y487">
            <v>77</v>
          </cell>
          <cell r="Z487">
            <v>0</v>
          </cell>
          <cell r="AA487">
            <v>11</v>
          </cell>
          <cell r="AB487">
            <v>68</v>
          </cell>
          <cell r="AC487">
            <v>51</v>
          </cell>
          <cell r="AD487">
            <v>0</v>
          </cell>
          <cell r="AE487">
            <v>11</v>
          </cell>
          <cell r="AF487">
            <v>0</v>
          </cell>
          <cell r="AG487">
            <v>11</v>
          </cell>
          <cell r="AH487">
            <v>0</v>
          </cell>
          <cell r="AI487">
            <v>11</v>
          </cell>
          <cell r="AJ487">
            <v>0</v>
          </cell>
          <cell r="AK487">
            <v>11</v>
          </cell>
          <cell r="AL487">
            <v>0</v>
          </cell>
          <cell r="AM487">
            <v>11</v>
          </cell>
          <cell r="AN487">
            <v>1</v>
          </cell>
          <cell r="AO487">
            <v>3</v>
          </cell>
          <cell r="AP487">
            <v>0</v>
          </cell>
          <cell r="AQ487">
            <v>11</v>
          </cell>
          <cell r="AR487">
            <v>2</v>
          </cell>
          <cell r="AS487">
            <v>5</v>
          </cell>
        </row>
        <row r="488">
          <cell r="B488">
            <v>17031490700</v>
          </cell>
          <cell r="D488">
            <v>810</v>
          </cell>
          <cell r="E488">
            <v>125</v>
          </cell>
          <cell r="F488">
            <v>529</v>
          </cell>
          <cell r="G488">
            <v>111</v>
          </cell>
          <cell r="H488">
            <v>386</v>
          </cell>
          <cell r="I488">
            <v>92</v>
          </cell>
          <cell r="J488">
            <v>143</v>
          </cell>
          <cell r="K488">
            <v>81</v>
          </cell>
          <cell r="L488">
            <v>136</v>
          </cell>
          <cell r="M488">
            <v>79</v>
          </cell>
          <cell r="N488">
            <v>7</v>
          </cell>
          <cell r="O488">
            <v>10</v>
          </cell>
          <cell r="P488">
            <v>0</v>
          </cell>
          <cell r="Q488">
            <v>11</v>
          </cell>
          <cell r="R488">
            <v>0</v>
          </cell>
          <cell r="S488">
            <v>11</v>
          </cell>
          <cell r="T488">
            <v>0</v>
          </cell>
          <cell r="U488">
            <v>11</v>
          </cell>
          <cell r="V488">
            <v>244</v>
          </cell>
          <cell r="W488">
            <v>80</v>
          </cell>
          <cell r="X488">
            <v>142</v>
          </cell>
          <cell r="Y488">
            <v>69</v>
          </cell>
          <cell r="Z488">
            <v>0</v>
          </cell>
          <cell r="AA488">
            <v>11</v>
          </cell>
          <cell r="AB488">
            <v>89</v>
          </cell>
          <cell r="AC488">
            <v>48</v>
          </cell>
          <cell r="AD488">
            <v>13</v>
          </cell>
          <cell r="AE488">
            <v>20</v>
          </cell>
          <cell r="AF488">
            <v>0</v>
          </cell>
          <cell r="AG488">
            <v>11</v>
          </cell>
          <cell r="AH488">
            <v>0</v>
          </cell>
          <cell r="AI488">
            <v>11</v>
          </cell>
          <cell r="AJ488">
            <v>0</v>
          </cell>
          <cell r="AK488">
            <v>11</v>
          </cell>
          <cell r="AL488">
            <v>11</v>
          </cell>
          <cell r="AM488">
            <v>19</v>
          </cell>
          <cell r="AN488">
            <v>7</v>
          </cell>
          <cell r="AO488">
            <v>10</v>
          </cell>
          <cell r="AP488">
            <v>0</v>
          </cell>
          <cell r="AQ488">
            <v>11</v>
          </cell>
          <cell r="AR488">
            <v>19</v>
          </cell>
          <cell r="AS488">
            <v>23</v>
          </cell>
        </row>
        <row r="489">
          <cell r="B489">
            <v>17031490800</v>
          </cell>
          <cell r="D489">
            <v>1383</v>
          </cell>
          <cell r="E489">
            <v>204</v>
          </cell>
          <cell r="F489">
            <v>834</v>
          </cell>
          <cell r="G489">
            <v>194</v>
          </cell>
          <cell r="H489">
            <v>727</v>
          </cell>
          <cell r="I489">
            <v>181</v>
          </cell>
          <cell r="J489">
            <v>107</v>
          </cell>
          <cell r="K489">
            <v>73</v>
          </cell>
          <cell r="L489">
            <v>46</v>
          </cell>
          <cell r="M489">
            <v>46</v>
          </cell>
          <cell r="N489">
            <v>26</v>
          </cell>
          <cell r="O489">
            <v>34</v>
          </cell>
          <cell r="P489">
            <v>35</v>
          </cell>
          <cell r="Q489">
            <v>31</v>
          </cell>
          <cell r="R489">
            <v>0</v>
          </cell>
          <cell r="S489">
            <v>11</v>
          </cell>
          <cell r="T489">
            <v>0</v>
          </cell>
          <cell r="U489">
            <v>11</v>
          </cell>
          <cell r="V489">
            <v>507</v>
          </cell>
          <cell r="W489">
            <v>160</v>
          </cell>
          <cell r="X489">
            <v>345</v>
          </cell>
          <cell r="Y489">
            <v>141</v>
          </cell>
          <cell r="Z489">
            <v>0</v>
          </cell>
          <cell r="AA489">
            <v>11</v>
          </cell>
          <cell r="AB489">
            <v>162</v>
          </cell>
          <cell r="AC489">
            <v>74</v>
          </cell>
          <cell r="AD489">
            <v>0</v>
          </cell>
          <cell r="AE489">
            <v>11</v>
          </cell>
          <cell r="AF489">
            <v>0</v>
          </cell>
          <cell r="AG489">
            <v>11</v>
          </cell>
          <cell r="AH489">
            <v>0</v>
          </cell>
          <cell r="AI489">
            <v>11</v>
          </cell>
          <cell r="AJ489">
            <v>0</v>
          </cell>
          <cell r="AK489">
            <v>11</v>
          </cell>
          <cell r="AL489">
            <v>0</v>
          </cell>
          <cell r="AM489">
            <v>11</v>
          </cell>
          <cell r="AN489">
            <v>12</v>
          </cell>
          <cell r="AO489">
            <v>20</v>
          </cell>
          <cell r="AP489">
            <v>0</v>
          </cell>
          <cell r="AQ489">
            <v>11</v>
          </cell>
          <cell r="AR489">
            <v>30</v>
          </cell>
          <cell r="AS489">
            <v>33</v>
          </cell>
        </row>
        <row r="490">
          <cell r="B490">
            <v>17031490901</v>
          </cell>
          <cell r="D490">
            <v>1408</v>
          </cell>
          <cell r="E490">
            <v>253</v>
          </cell>
          <cell r="F490">
            <v>738</v>
          </cell>
          <cell r="G490">
            <v>187</v>
          </cell>
          <cell r="H490">
            <v>610</v>
          </cell>
          <cell r="I490">
            <v>167</v>
          </cell>
          <cell r="J490">
            <v>128</v>
          </cell>
          <cell r="K490">
            <v>90</v>
          </cell>
          <cell r="L490">
            <v>43</v>
          </cell>
          <cell r="M490">
            <v>41</v>
          </cell>
          <cell r="N490">
            <v>0</v>
          </cell>
          <cell r="O490">
            <v>11</v>
          </cell>
          <cell r="P490">
            <v>29</v>
          </cell>
          <cell r="Q490">
            <v>45</v>
          </cell>
          <cell r="R490">
            <v>56</v>
          </cell>
          <cell r="S490">
            <v>62</v>
          </cell>
          <cell r="T490">
            <v>0</v>
          </cell>
          <cell r="U490">
            <v>11</v>
          </cell>
          <cell r="V490">
            <v>570</v>
          </cell>
          <cell r="W490">
            <v>145</v>
          </cell>
          <cell r="X490">
            <v>449</v>
          </cell>
          <cell r="Y490">
            <v>124</v>
          </cell>
          <cell r="Z490">
            <v>0</v>
          </cell>
          <cell r="AA490">
            <v>11</v>
          </cell>
          <cell r="AB490">
            <v>105</v>
          </cell>
          <cell r="AC490">
            <v>79</v>
          </cell>
          <cell r="AD490">
            <v>16</v>
          </cell>
          <cell r="AE490">
            <v>17</v>
          </cell>
          <cell r="AF490">
            <v>0</v>
          </cell>
          <cell r="AG490">
            <v>11</v>
          </cell>
          <cell r="AH490">
            <v>0</v>
          </cell>
          <cell r="AI490">
            <v>11</v>
          </cell>
          <cell r="AJ490">
            <v>0</v>
          </cell>
          <cell r="AK490">
            <v>11</v>
          </cell>
          <cell r="AL490">
            <v>9</v>
          </cell>
          <cell r="AM490">
            <v>14</v>
          </cell>
          <cell r="AN490">
            <v>19</v>
          </cell>
          <cell r="AO490">
            <v>31</v>
          </cell>
          <cell r="AP490">
            <v>18</v>
          </cell>
          <cell r="AQ490">
            <v>29</v>
          </cell>
          <cell r="AR490">
            <v>54</v>
          </cell>
          <cell r="AS490">
            <v>72</v>
          </cell>
        </row>
        <row r="491">
          <cell r="B491">
            <v>17031490902</v>
          </cell>
          <cell r="D491">
            <v>1693</v>
          </cell>
          <cell r="E491">
            <v>280</v>
          </cell>
          <cell r="F491">
            <v>1155</v>
          </cell>
          <cell r="G491">
            <v>275</v>
          </cell>
          <cell r="H491">
            <v>1039</v>
          </cell>
          <cell r="I491">
            <v>274</v>
          </cell>
          <cell r="J491">
            <v>116</v>
          </cell>
          <cell r="K491">
            <v>72</v>
          </cell>
          <cell r="L491">
            <v>98</v>
          </cell>
          <cell r="M491">
            <v>71</v>
          </cell>
          <cell r="N491">
            <v>18</v>
          </cell>
          <cell r="O491">
            <v>19</v>
          </cell>
          <cell r="P491">
            <v>0</v>
          </cell>
          <cell r="Q491">
            <v>11</v>
          </cell>
          <cell r="R491">
            <v>0</v>
          </cell>
          <cell r="S491">
            <v>11</v>
          </cell>
          <cell r="T491">
            <v>0</v>
          </cell>
          <cell r="U491">
            <v>11</v>
          </cell>
          <cell r="V491">
            <v>497</v>
          </cell>
          <cell r="W491">
            <v>155</v>
          </cell>
          <cell r="X491">
            <v>290</v>
          </cell>
          <cell r="Y491">
            <v>138</v>
          </cell>
          <cell r="Z491">
            <v>0</v>
          </cell>
          <cell r="AA491">
            <v>11</v>
          </cell>
          <cell r="AB491">
            <v>134</v>
          </cell>
          <cell r="AC491">
            <v>78</v>
          </cell>
          <cell r="AD491">
            <v>73</v>
          </cell>
          <cell r="AE491">
            <v>60</v>
          </cell>
          <cell r="AF491">
            <v>0</v>
          </cell>
          <cell r="AG491">
            <v>11</v>
          </cell>
          <cell r="AH491">
            <v>0</v>
          </cell>
          <cell r="AI491">
            <v>11</v>
          </cell>
          <cell r="AJ491">
            <v>0</v>
          </cell>
          <cell r="AK491">
            <v>11</v>
          </cell>
          <cell r="AL491">
            <v>0</v>
          </cell>
          <cell r="AM491">
            <v>11</v>
          </cell>
          <cell r="AN491">
            <v>12</v>
          </cell>
          <cell r="AO491">
            <v>15</v>
          </cell>
          <cell r="AP491">
            <v>8</v>
          </cell>
          <cell r="AQ491">
            <v>12</v>
          </cell>
          <cell r="AR491">
            <v>21</v>
          </cell>
          <cell r="AS491">
            <v>23</v>
          </cell>
        </row>
        <row r="492">
          <cell r="B492">
            <v>17031491000</v>
          </cell>
          <cell r="D492">
            <v>1131</v>
          </cell>
          <cell r="E492">
            <v>280</v>
          </cell>
          <cell r="F492">
            <v>683</v>
          </cell>
          <cell r="G492">
            <v>226</v>
          </cell>
          <cell r="H492">
            <v>568</v>
          </cell>
          <cell r="I492">
            <v>197</v>
          </cell>
          <cell r="J492">
            <v>115</v>
          </cell>
          <cell r="K492">
            <v>83</v>
          </cell>
          <cell r="L492">
            <v>115</v>
          </cell>
          <cell r="M492">
            <v>83</v>
          </cell>
          <cell r="N492">
            <v>0</v>
          </cell>
          <cell r="O492">
            <v>11</v>
          </cell>
          <cell r="P492">
            <v>0</v>
          </cell>
          <cell r="Q492">
            <v>11</v>
          </cell>
          <cell r="R492">
            <v>0</v>
          </cell>
          <cell r="S492">
            <v>11</v>
          </cell>
          <cell r="T492">
            <v>0</v>
          </cell>
          <cell r="U492">
            <v>11</v>
          </cell>
          <cell r="V492">
            <v>394</v>
          </cell>
          <cell r="W492">
            <v>125</v>
          </cell>
          <cell r="X492">
            <v>343</v>
          </cell>
          <cell r="Y492">
            <v>129</v>
          </cell>
          <cell r="Z492">
            <v>23</v>
          </cell>
          <cell r="AA492">
            <v>34</v>
          </cell>
          <cell r="AB492">
            <v>17</v>
          </cell>
          <cell r="AC492">
            <v>28</v>
          </cell>
          <cell r="AD492">
            <v>11</v>
          </cell>
          <cell r="AE492">
            <v>17</v>
          </cell>
          <cell r="AF492">
            <v>0</v>
          </cell>
          <cell r="AG492">
            <v>11</v>
          </cell>
          <cell r="AH492">
            <v>0</v>
          </cell>
          <cell r="AI492">
            <v>11</v>
          </cell>
          <cell r="AJ492">
            <v>0</v>
          </cell>
          <cell r="AK492">
            <v>11</v>
          </cell>
          <cell r="AL492">
            <v>0</v>
          </cell>
          <cell r="AM492">
            <v>11</v>
          </cell>
          <cell r="AN492">
            <v>10</v>
          </cell>
          <cell r="AO492">
            <v>17</v>
          </cell>
          <cell r="AP492">
            <v>0</v>
          </cell>
          <cell r="AQ492">
            <v>11</v>
          </cell>
          <cell r="AR492">
            <v>44</v>
          </cell>
          <cell r="AS492">
            <v>55</v>
          </cell>
        </row>
        <row r="493">
          <cell r="B493">
            <v>17031491100</v>
          </cell>
          <cell r="D493">
            <v>1420</v>
          </cell>
          <cell r="E493">
            <v>237</v>
          </cell>
          <cell r="F493">
            <v>973</v>
          </cell>
          <cell r="G493">
            <v>207</v>
          </cell>
          <cell r="H493">
            <v>887</v>
          </cell>
          <cell r="I493">
            <v>191</v>
          </cell>
          <cell r="J493">
            <v>86</v>
          </cell>
          <cell r="K493">
            <v>66</v>
          </cell>
          <cell r="L493">
            <v>59</v>
          </cell>
          <cell r="M493">
            <v>49</v>
          </cell>
          <cell r="N493">
            <v>27</v>
          </cell>
          <cell r="O493">
            <v>43</v>
          </cell>
          <cell r="P493">
            <v>0</v>
          </cell>
          <cell r="Q493">
            <v>11</v>
          </cell>
          <cell r="R493">
            <v>0</v>
          </cell>
          <cell r="S493">
            <v>11</v>
          </cell>
          <cell r="T493">
            <v>0</v>
          </cell>
          <cell r="U493">
            <v>11</v>
          </cell>
          <cell r="V493">
            <v>327</v>
          </cell>
          <cell r="W493">
            <v>122</v>
          </cell>
          <cell r="X493">
            <v>188</v>
          </cell>
          <cell r="Y493">
            <v>82</v>
          </cell>
          <cell r="Z493">
            <v>39</v>
          </cell>
          <cell r="AA493">
            <v>60</v>
          </cell>
          <cell r="AB493">
            <v>36</v>
          </cell>
          <cell r="AC493">
            <v>34</v>
          </cell>
          <cell r="AD493">
            <v>64</v>
          </cell>
          <cell r="AE493">
            <v>57</v>
          </cell>
          <cell r="AF493">
            <v>0</v>
          </cell>
          <cell r="AG493">
            <v>11</v>
          </cell>
          <cell r="AH493">
            <v>0</v>
          </cell>
          <cell r="AI493">
            <v>11</v>
          </cell>
          <cell r="AJ493">
            <v>0</v>
          </cell>
          <cell r="AK493">
            <v>11</v>
          </cell>
          <cell r="AL493">
            <v>22</v>
          </cell>
          <cell r="AM493">
            <v>36</v>
          </cell>
          <cell r="AN493">
            <v>31</v>
          </cell>
          <cell r="AO493">
            <v>50</v>
          </cell>
          <cell r="AP493">
            <v>0</v>
          </cell>
          <cell r="AQ493">
            <v>11</v>
          </cell>
          <cell r="AR493">
            <v>67</v>
          </cell>
          <cell r="AS493">
            <v>66</v>
          </cell>
        </row>
        <row r="494">
          <cell r="B494">
            <v>17031491200</v>
          </cell>
          <cell r="D494">
            <v>621</v>
          </cell>
          <cell r="E494">
            <v>115</v>
          </cell>
          <cell r="F494">
            <v>459</v>
          </cell>
          <cell r="G494">
            <v>104</v>
          </cell>
          <cell r="H494">
            <v>446</v>
          </cell>
          <cell r="I494">
            <v>105</v>
          </cell>
          <cell r="J494">
            <v>13</v>
          </cell>
          <cell r="K494">
            <v>12</v>
          </cell>
          <cell r="L494">
            <v>13</v>
          </cell>
          <cell r="M494">
            <v>12</v>
          </cell>
          <cell r="N494">
            <v>0</v>
          </cell>
          <cell r="O494">
            <v>11</v>
          </cell>
          <cell r="P494">
            <v>0</v>
          </cell>
          <cell r="Q494">
            <v>11</v>
          </cell>
          <cell r="R494">
            <v>0</v>
          </cell>
          <cell r="S494">
            <v>11</v>
          </cell>
          <cell r="T494">
            <v>0</v>
          </cell>
          <cell r="U494">
            <v>11</v>
          </cell>
          <cell r="V494">
            <v>126</v>
          </cell>
          <cell r="W494">
            <v>57</v>
          </cell>
          <cell r="X494">
            <v>106</v>
          </cell>
          <cell r="Y494">
            <v>54</v>
          </cell>
          <cell r="Z494">
            <v>0</v>
          </cell>
          <cell r="AA494">
            <v>11</v>
          </cell>
          <cell r="AB494">
            <v>5</v>
          </cell>
          <cell r="AC494">
            <v>11</v>
          </cell>
          <cell r="AD494">
            <v>15</v>
          </cell>
          <cell r="AE494">
            <v>14</v>
          </cell>
          <cell r="AF494">
            <v>0</v>
          </cell>
          <cell r="AG494">
            <v>11</v>
          </cell>
          <cell r="AH494">
            <v>0</v>
          </cell>
          <cell r="AI494">
            <v>11</v>
          </cell>
          <cell r="AJ494">
            <v>0</v>
          </cell>
          <cell r="AK494">
            <v>11</v>
          </cell>
          <cell r="AL494">
            <v>0</v>
          </cell>
          <cell r="AM494">
            <v>11</v>
          </cell>
          <cell r="AN494">
            <v>16</v>
          </cell>
          <cell r="AO494">
            <v>14</v>
          </cell>
          <cell r="AP494">
            <v>9</v>
          </cell>
          <cell r="AQ494">
            <v>14</v>
          </cell>
          <cell r="AR494">
            <v>11</v>
          </cell>
          <cell r="AS494">
            <v>12</v>
          </cell>
        </row>
        <row r="495">
          <cell r="B495">
            <v>17031491300</v>
          </cell>
          <cell r="D495">
            <v>472</v>
          </cell>
          <cell r="E495">
            <v>136</v>
          </cell>
          <cell r="F495">
            <v>295</v>
          </cell>
          <cell r="G495">
            <v>94</v>
          </cell>
          <cell r="H495">
            <v>220</v>
          </cell>
          <cell r="I495">
            <v>80</v>
          </cell>
          <cell r="J495">
            <v>75</v>
          </cell>
          <cell r="K495">
            <v>44</v>
          </cell>
          <cell r="L495">
            <v>64</v>
          </cell>
          <cell r="M495">
            <v>42</v>
          </cell>
          <cell r="N495">
            <v>3</v>
          </cell>
          <cell r="O495">
            <v>6</v>
          </cell>
          <cell r="P495">
            <v>0</v>
          </cell>
          <cell r="Q495">
            <v>11</v>
          </cell>
          <cell r="R495">
            <v>0</v>
          </cell>
          <cell r="S495">
            <v>11</v>
          </cell>
          <cell r="T495">
            <v>8</v>
          </cell>
          <cell r="U495">
            <v>13</v>
          </cell>
          <cell r="V495">
            <v>135</v>
          </cell>
          <cell r="W495">
            <v>77</v>
          </cell>
          <cell r="X495">
            <v>119</v>
          </cell>
          <cell r="Y495">
            <v>72</v>
          </cell>
          <cell r="Z495">
            <v>0</v>
          </cell>
          <cell r="AA495">
            <v>11</v>
          </cell>
          <cell r="AB495">
            <v>16</v>
          </cell>
          <cell r="AC495">
            <v>13</v>
          </cell>
          <cell r="AD495">
            <v>0</v>
          </cell>
          <cell r="AE495">
            <v>11</v>
          </cell>
          <cell r="AF495">
            <v>0</v>
          </cell>
          <cell r="AG495">
            <v>11</v>
          </cell>
          <cell r="AH495">
            <v>0</v>
          </cell>
          <cell r="AI495">
            <v>11</v>
          </cell>
          <cell r="AJ495">
            <v>0</v>
          </cell>
          <cell r="AK495">
            <v>11</v>
          </cell>
          <cell r="AL495">
            <v>31</v>
          </cell>
          <cell r="AM495">
            <v>45</v>
          </cell>
          <cell r="AN495">
            <v>0</v>
          </cell>
          <cell r="AO495">
            <v>11</v>
          </cell>
          <cell r="AP495">
            <v>0</v>
          </cell>
          <cell r="AQ495">
            <v>11</v>
          </cell>
          <cell r="AR495">
            <v>11</v>
          </cell>
          <cell r="AS495">
            <v>16</v>
          </cell>
        </row>
        <row r="496">
          <cell r="B496">
            <v>17031491400</v>
          </cell>
          <cell r="D496">
            <v>939</v>
          </cell>
          <cell r="E496">
            <v>216</v>
          </cell>
          <cell r="F496">
            <v>551</v>
          </cell>
          <cell r="G496">
            <v>181</v>
          </cell>
          <cell r="H496">
            <v>525</v>
          </cell>
          <cell r="I496">
            <v>176</v>
          </cell>
          <cell r="J496">
            <v>26</v>
          </cell>
          <cell r="K496">
            <v>40</v>
          </cell>
          <cell r="L496">
            <v>26</v>
          </cell>
          <cell r="M496">
            <v>40</v>
          </cell>
          <cell r="N496">
            <v>0</v>
          </cell>
          <cell r="O496">
            <v>11</v>
          </cell>
          <cell r="P496">
            <v>0</v>
          </cell>
          <cell r="Q496">
            <v>11</v>
          </cell>
          <cell r="R496">
            <v>0</v>
          </cell>
          <cell r="S496">
            <v>11</v>
          </cell>
          <cell r="T496">
            <v>0</v>
          </cell>
          <cell r="U496">
            <v>11</v>
          </cell>
          <cell r="V496">
            <v>265</v>
          </cell>
          <cell r="W496">
            <v>118</v>
          </cell>
          <cell r="X496">
            <v>235</v>
          </cell>
          <cell r="Y496">
            <v>110</v>
          </cell>
          <cell r="Z496">
            <v>0</v>
          </cell>
          <cell r="AA496">
            <v>11</v>
          </cell>
          <cell r="AB496">
            <v>3</v>
          </cell>
          <cell r="AC496">
            <v>6</v>
          </cell>
          <cell r="AD496">
            <v>27</v>
          </cell>
          <cell r="AE496">
            <v>42</v>
          </cell>
          <cell r="AF496">
            <v>0</v>
          </cell>
          <cell r="AG496">
            <v>11</v>
          </cell>
          <cell r="AH496">
            <v>0</v>
          </cell>
          <cell r="AI496">
            <v>11</v>
          </cell>
          <cell r="AJ496">
            <v>0</v>
          </cell>
          <cell r="AK496">
            <v>11</v>
          </cell>
          <cell r="AL496">
            <v>0</v>
          </cell>
          <cell r="AM496">
            <v>11</v>
          </cell>
          <cell r="AN496">
            <v>82</v>
          </cell>
          <cell r="AO496">
            <v>92</v>
          </cell>
          <cell r="AP496">
            <v>0</v>
          </cell>
          <cell r="AQ496">
            <v>11</v>
          </cell>
          <cell r="AR496">
            <v>41</v>
          </cell>
          <cell r="AS496">
            <v>36</v>
          </cell>
        </row>
        <row r="497">
          <cell r="B497">
            <v>17031500100</v>
          </cell>
          <cell r="D497">
            <v>1220</v>
          </cell>
          <cell r="E497">
            <v>267</v>
          </cell>
          <cell r="F497">
            <v>839</v>
          </cell>
          <cell r="G497">
            <v>213</v>
          </cell>
          <cell r="H497">
            <v>731</v>
          </cell>
          <cell r="I497">
            <v>210</v>
          </cell>
          <cell r="J497">
            <v>108</v>
          </cell>
          <cell r="K497">
            <v>92</v>
          </cell>
          <cell r="L497">
            <v>25</v>
          </cell>
          <cell r="M497">
            <v>29</v>
          </cell>
          <cell r="N497">
            <v>83</v>
          </cell>
          <cell r="O497">
            <v>87</v>
          </cell>
          <cell r="P497">
            <v>0</v>
          </cell>
          <cell r="Q497">
            <v>11</v>
          </cell>
          <cell r="R497">
            <v>0</v>
          </cell>
          <cell r="S497">
            <v>11</v>
          </cell>
          <cell r="T497">
            <v>0</v>
          </cell>
          <cell r="U497">
            <v>11</v>
          </cell>
          <cell r="V497">
            <v>317</v>
          </cell>
          <cell r="W497">
            <v>123</v>
          </cell>
          <cell r="X497">
            <v>223</v>
          </cell>
          <cell r="Y497">
            <v>104</v>
          </cell>
          <cell r="Z497">
            <v>0</v>
          </cell>
          <cell r="AA497">
            <v>11</v>
          </cell>
          <cell r="AB497">
            <v>58</v>
          </cell>
          <cell r="AC497">
            <v>62</v>
          </cell>
          <cell r="AD497">
            <v>36</v>
          </cell>
          <cell r="AE497">
            <v>47</v>
          </cell>
          <cell r="AF497">
            <v>0</v>
          </cell>
          <cell r="AG497">
            <v>11</v>
          </cell>
          <cell r="AH497">
            <v>0</v>
          </cell>
          <cell r="AI497">
            <v>11</v>
          </cell>
          <cell r="AJ497">
            <v>0</v>
          </cell>
          <cell r="AK497">
            <v>11</v>
          </cell>
          <cell r="AL497">
            <v>0</v>
          </cell>
          <cell r="AM497">
            <v>11</v>
          </cell>
          <cell r="AN497">
            <v>46</v>
          </cell>
          <cell r="AO497">
            <v>55</v>
          </cell>
          <cell r="AP497">
            <v>0</v>
          </cell>
          <cell r="AQ497">
            <v>11</v>
          </cell>
          <cell r="AR497">
            <v>18</v>
          </cell>
          <cell r="AS497">
            <v>29</v>
          </cell>
        </row>
        <row r="498">
          <cell r="B498">
            <v>17031500200</v>
          </cell>
          <cell r="D498">
            <v>745</v>
          </cell>
          <cell r="E498">
            <v>115</v>
          </cell>
          <cell r="F498">
            <v>454</v>
          </cell>
          <cell r="G498">
            <v>96</v>
          </cell>
          <cell r="H498">
            <v>393</v>
          </cell>
          <cell r="I498">
            <v>90</v>
          </cell>
          <cell r="J498">
            <v>61</v>
          </cell>
          <cell r="K498">
            <v>44</v>
          </cell>
          <cell r="L498">
            <v>47</v>
          </cell>
          <cell r="M498">
            <v>38</v>
          </cell>
          <cell r="N498">
            <v>14</v>
          </cell>
          <cell r="O498">
            <v>21</v>
          </cell>
          <cell r="P498">
            <v>0</v>
          </cell>
          <cell r="Q498">
            <v>11</v>
          </cell>
          <cell r="R498">
            <v>0</v>
          </cell>
          <cell r="S498">
            <v>11</v>
          </cell>
          <cell r="T498">
            <v>0</v>
          </cell>
          <cell r="U498">
            <v>11</v>
          </cell>
          <cell r="V498">
            <v>244</v>
          </cell>
          <cell r="W498">
            <v>77</v>
          </cell>
          <cell r="X498">
            <v>154</v>
          </cell>
          <cell r="Y498">
            <v>61</v>
          </cell>
          <cell r="Z498">
            <v>0</v>
          </cell>
          <cell r="AA498">
            <v>11</v>
          </cell>
          <cell r="AB498">
            <v>77</v>
          </cell>
          <cell r="AC498">
            <v>67</v>
          </cell>
          <cell r="AD498">
            <v>13</v>
          </cell>
          <cell r="AE498">
            <v>17</v>
          </cell>
          <cell r="AF498">
            <v>0</v>
          </cell>
          <cell r="AG498">
            <v>11</v>
          </cell>
          <cell r="AH498">
            <v>0</v>
          </cell>
          <cell r="AI498">
            <v>11</v>
          </cell>
          <cell r="AJ498">
            <v>0</v>
          </cell>
          <cell r="AK498">
            <v>11</v>
          </cell>
          <cell r="AL498">
            <v>0</v>
          </cell>
          <cell r="AM498">
            <v>11</v>
          </cell>
          <cell r="AN498">
            <v>12</v>
          </cell>
          <cell r="AO498">
            <v>16</v>
          </cell>
          <cell r="AP498">
            <v>0</v>
          </cell>
          <cell r="AQ498">
            <v>11</v>
          </cell>
          <cell r="AR498">
            <v>35</v>
          </cell>
          <cell r="AS498">
            <v>34</v>
          </cell>
        </row>
        <row r="499">
          <cell r="B499">
            <v>17031500300</v>
          </cell>
          <cell r="D499">
            <v>663</v>
          </cell>
          <cell r="E499">
            <v>96</v>
          </cell>
          <cell r="F499">
            <v>380</v>
          </cell>
          <cell r="G499">
            <v>83</v>
          </cell>
          <cell r="H499">
            <v>343</v>
          </cell>
          <cell r="I499">
            <v>78</v>
          </cell>
          <cell r="J499">
            <v>37</v>
          </cell>
          <cell r="K499">
            <v>33</v>
          </cell>
          <cell r="L499">
            <v>19</v>
          </cell>
          <cell r="M499">
            <v>18</v>
          </cell>
          <cell r="N499">
            <v>18</v>
          </cell>
          <cell r="O499">
            <v>29</v>
          </cell>
          <cell r="P499">
            <v>0</v>
          </cell>
          <cell r="Q499">
            <v>11</v>
          </cell>
          <cell r="R499">
            <v>0</v>
          </cell>
          <cell r="S499">
            <v>11</v>
          </cell>
          <cell r="T499">
            <v>0</v>
          </cell>
          <cell r="U499">
            <v>11</v>
          </cell>
          <cell r="V499">
            <v>263</v>
          </cell>
          <cell r="W499">
            <v>70</v>
          </cell>
          <cell r="X499">
            <v>56</v>
          </cell>
          <cell r="Y499">
            <v>38</v>
          </cell>
          <cell r="Z499">
            <v>0</v>
          </cell>
          <cell r="AA499">
            <v>11</v>
          </cell>
          <cell r="AB499">
            <v>46</v>
          </cell>
          <cell r="AC499">
            <v>34</v>
          </cell>
          <cell r="AD499">
            <v>161</v>
          </cell>
          <cell r="AE499">
            <v>66</v>
          </cell>
          <cell r="AF499">
            <v>0</v>
          </cell>
          <cell r="AG499">
            <v>11</v>
          </cell>
          <cell r="AH499">
            <v>0</v>
          </cell>
          <cell r="AI499">
            <v>11</v>
          </cell>
          <cell r="AJ499">
            <v>0</v>
          </cell>
          <cell r="AK499">
            <v>11</v>
          </cell>
          <cell r="AL499">
            <v>0</v>
          </cell>
          <cell r="AM499">
            <v>11</v>
          </cell>
          <cell r="AN499">
            <v>15</v>
          </cell>
          <cell r="AO499">
            <v>16</v>
          </cell>
          <cell r="AP499">
            <v>0</v>
          </cell>
          <cell r="AQ499">
            <v>11</v>
          </cell>
          <cell r="AR499">
            <v>5</v>
          </cell>
          <cell r="AS499">
            <v>8</v>
          </cell>
        </row>
        <row r="500">
          <cell r="B500">
            <v>17031510100</v>
          </cell>
          <cell r="D500">
            <v>965</v>
          </cell>
          <cell r="E500">
            <v>210</v>
          </cell>
          <cell r="F500">
            <v>850</v>
          </cell>
          <cell r="G500">
            <v>197</v>
          </cell>
          <cell r="H500">
            <v>740</v>
          </cell>
          <cell r="I500">
            <v>171</v>
          </cell>
          <cell r="J500">
            <v>110</v>
          </cell>
          <cell r="K500">
            <v>105</v>
          </cell>
          <cell r="L500">
            <v>110</v>
          </cell>
          <cell r="M500">
            <v>105</v>
          </cell>
          <cell r="N500">
            <v>0</v>
          </cell>
          <cell r="O500">
            <v>11</v>
          </cell>
          <cell r="P500">
            <v>0</v>
          </cell>
          <cell r="Q500">
            <v>11</v>
          </cell>
          <cell r="R500">
            <v>0</v>
          </cell>
          <cell r="S500">
            <v>11</v>
          </cell>
          <cell r="T500">
            <v>0</v>
          </cell>
          <cell r="U500">
            <v>11</v>
          </cell>
          <cell r="V500">
            <v>71</v>
          </cell>
          <cell r="W500">
            <v>54</v>
          </cell>
          <cell r="X500">
            <v>43</v>
          </cell>
          <cell r="Y500">
            <v>47</v>
          </cell>
          <cell r="Z500">
            <v>0</v>
          </cell>
          <cell r="AA500">
            <v>11</v>
          </cell>
          <cell r="AB500">
            <v>0</v>
          </cell>
          <cell r="AC500">
            <v>11</v>
          </cell>
          <cell r="AD500">
            <v>28</v>
          </cell>
          <cell r="AE500">
            <v>28</v>
          </cell>
          <cell r="AF500">
            <v>0</v>
          </cell>
          <cell r="AG500">
            <v>11</v>
          </cell>
          <cell r="AH500">
            <v>0</v>
          </cell>
          <cell r="AI500">
            <v>11</v>
          </cell>
          <cell r="AJ500">
            <v>0</v>
          </cell>
          <cell r="AK500">
            <v>11</v>
          </cell>
          <cell r="AL500">
            <v>0</v>
          </cell>
          <cell r="AM500">
            <v>11</v>
          </cell>
          <cell r="AN500">
            <v>25</v>
          </cell>
          <cell r="AO500">
            <v>29</v>
          </cell>
          <cell r="AP500">
            <v>0</v>
          </cell>
          <cell r="AQ500">
            <v>11</v>
          </cell>
          <cell r="AR500">
            <v>19</v>
          </cell>
          <cell r="AS500">
            <v>29</v>
          </cell>
        </row>
        <row r="501">
          <cell r="B501">
            <v>17031510200</v>
          </cell>
          <cell r="D501">
            <v>940</v>
          </cell>
          <cell r="E501">
            <v>138</v>
          </cell>
          <cell r="F501">
            <v>759</v>
          </cell>
          <cell r="G501">
            <v>121</v>
          </cell>
          <cell r="H501">
            <v>618</v>
          </cell>
          <cell r="I501">
            <v>118</v>
          </cell>
          <cell r="J501">
            <v>141</v>
          </cell>
          <cell r="K501">
            <v>71</v>
          </cell>
          <cell r="L501">
            <v>141</v>
          </cell>
          <cell r="M501">
            <v>71</v>
          </cell>
          <cell r="N501">
            <v>0</v>
          </cell>
          <cell r="O501">
            <v>11</v>
          </cell>
          <cell r="P501">
            <v>0</v>
          </cell>
          <cell r="Q501">
            <v>11</v>
          </cell>
          <cell r="R501">
            <v>0</v>
          </cell>
          <cell r="S501">
            <v>11</v>
          </cell>
          <cell r="T501">
            <v>0</v>
          </cell>
          <cell r="U501">
            <v>11</v>
          </cell>
          <cell r="V501">
            <v>163</v>
          </cell>
          <cell r="W501">
            <v>77</v>
          </cell>
          <cell r="X501">
            <v>124</v>
          </cell>
          <cell r="Y501">
            <v>72</v>
          </cell>
          <cell r="Z501">
            <v>0</v>
          </cell>
          <cell r="AA501">
            <v>11</v>
          </cell>
          <cell r="AB501">
            <v>9</v>
          </cell>
          <cell r="AC501">
            <v>14</v>
          </cell>
          <cell r="AD501">
            <v>30</v>
          </cell>
          <cell r="AE501">
            <v>26</v>
          </cell>
          <cell r="AF501">
            <v>0</v>
          </cell>
          <cell r="AG501">
            <v>11</v>
          </cell>
          <cell r="AH501">
            <v>0</v>
          </cell>
          <cell r="AI501">
            <v>11</v>
          </cell>
          <cell r="AJ501">
            <v>0</v>
          </cell>
          <cell r="AK501">
            <v>11</v>
          </cell>
          <cell r="AL501">
            <v>0</v>
          </cell>
          <cell r="AM501">
            <v>11</v>
          </cell>
          <cell r="AN501">
            <v>0</v>
          </cell>
          <cell r="AO501">
            <v>11</v>
          </cell>
          <cell r="AP501">
            <v>9</v>
          </cell>
          <cell r="AQ501">
            <v>15</v>
          </cell>
          <cell r="AR501">
            <v>9</v>
          </cell>
          <cell r="AS501">
            <v>12</v>
          </cell>
        </row>
        <row r="502">
          <cell r="B502">
            <v>17031510300</v>
          </cell>
          <cell r="D502">
            <v>1656</v>
          </cell>
          <cell r="E502">
            <v>289</v>
          </cell>
          <cell r="F502">
            <v>1046</v>
          </cell>
          <cell r="G502">
            <v>241</v>
          </cell>
          <cell r="H502">
            <v>848</v>
          </cell>
          <cell r="I502">
            <v>215</v>
          </cell>
          <cell r="J502">
            <v>198</v>
          </cell>
          <cell r="K502">
            <v>99</v>
          </cell>
          <cell r="L502">
            <v>134</v>
          </cell>
          <cell r="M502">
            <v>75</v>
          </cell>
          <cell r="N502">
            <v>31</v>
          </cell>
          <cell r="O502">
            <v>38</v>
          </cell>
          <cell r="P502">
            <v>9</v>
          </cell>
          <cell r="Q502">
            <v>14</v>
          </cell>
          <cell r="R502">
            <v>24</v>
          </cell>
          <cell r="S502">
            <v>36</v>
          </cell>
          <cell r="T502">
            <v>0</v>
          </cell>
          <cell r="U502">
            <v>15</v>
          </cell>
          <cell r="V502">
            <v>495</v>
          </cell>
          <cell r="W502">
            <v>128</v>
          </cell>
          <cell r="X502">
            <v>410</v>
          </cell>
          <cell r="Y502">
            <v>127</v>
          </cell>
          <cell r="Z502">
            <v>0</v>
          </cell>
          <cell r="AA502">
            <v>15</v>
          </cell>
          <cell r="AB502">
            <v>67</v>
          </cell>
          <cell r="AC502">
            <v>55</v>
          </cell>
          <cell r="AD502">
            <v>18</v>
          </cell>
          <cell r="AE502">
            <v>19</v>
          </cell>
          <cell r="AF502">
            <v>0</v>
          </cell>
          <cell r="AG502">
            <v>15</v>
          </cell>
          <cell r="AH502">
            <v>0</v>
          </cell>
          <cell r="AI502">
            <v>15</v>
          </cell>
          <cell r="AJ502">
            <v>0</v>
          </cell>
          <cell r="AK502">
            <v>15</v>
          </cell>
          <cell r="AL502">
            <v>18</v>
          </cell>
          <cell r="AM502">
            <v>20</v>
          </cell>
          <cell r="AN502">
            <v>20</v>
          </cell>
          <cell r="AO502">
            <v>23</v>
          </cell>
          <cell r="AP502">
            <v>13</v>
          </cell>
          <cell r="AQ502">
            <v>20</v>
          </cell>
          <cell r="AR502">
            <v>64</v>
          </cell>
          <cell r="AS502">
            <v>48</v>
          </cell>
        </row>
        <row r="503">
          <cell r="B503">
            <v>17031520100</v>
          </cell>
          <cell r="D503">
            <v>794</v>
          </cell>
          <cell r="E503">
            <v>117</v>
          </cell>
          <cell r="F503">
            <v>572</v>
          </cell>
          <cell r="G503">
            <v>108</v>
          </cell>
          <cell r="H503">
            <v>489</v>
          </cell>
          <cell r="I503">
            <v>98</v>
          </cell>
          <cell r="J503">
            <v>83</v>
          </cell>
          <cell r="K503">
            <v>65</v>
          </cell>
          <cell r="L503">
            <v>70</v>
          </cell>
          <cell r="M503">
            <v>62</v>
          </cell>
          <cell r="N503">
            <v>0</v>
          </cell>
          <cell r="O503">
            <v>11</v>
          </cell>
          <cell r="P503">
            <v>0</v>
          </cell>
          <cell r="Q503">
            <v>11</v>
          </cell>
          <cell r="R503">
            <v>13</v>
          </cell>
          <cell r="S503">
            <v>21</v>
          </cell>
          <cell r="T503">
            <v>0</v>
          </cell>
          <cell r="U503">
            <v>11</v>
          </cell>
          <cell r="V503">
            <v>181</v>
          </cell>
          <cell r="W503">
            <v>65</v>
          </cell>
          <cell r="X503">
            <v>159</v>
          </cell>
          <cell r="Y503">
            <v>66</v>
          </cell>
          <cell r="Z503">
            <v>0</v>
          </cell>
          <cell r="AA503">
            <v>11</v>
          </cell>
          <cell r="AB503">
            <v>0</v>
          </cell>
          <cell r="AC503">
            <v>11</v>
          </cell>
          <cell r="AD503">
            <v>22</v>
          </cell>
          <cell r="AE503">
            <v>24</v>
          </cell>
          <cell r="AF503">
            <v>0</v>
          </cell>
          <cell r="AG503">
            <v>11</v>
          </cell>
          <cell r="AH503">
            <v>0</v>
          </cell>
          <cell r="AI503">
            <v>11</v>
          </cell>
          <cell r="AJ503">
            <v>0</v>
          </cell>
          <cell r="AK503">
            <v>11</v>
          </cell>
          <cell r="AL503">
            <v>26</v>
          </cell>
          <cell r="AM503">
            <v>22</v>
          </cell>
          <cell r="AN503">
            <v>6</v>
          </cell>
          <cell r="AO503">
            <v>9</v>
          </cell>
          <cell r="AP503">
            <v>0</v>
          </cell>
          <cell r="AQ503">
            <v>11</v>
          </cell>
          <cell r="AR503">
            <v>9</v>
          </cell>
          <cell r="AS503">
            <v>11</v>
          </cell>
        </row>
        <row r="504">
          <cell r="B504">
            <v>17031520200</v>
          </cell>
          <cell r="D504">
            <v>1293</v>
          </cell>
          <cell r="E504">
            <v>247</v>
          </cell>
          <cell r="F504">
            <v>1058</v>
          </cell>
          <cell r="G504">
            <v>222</v>
          </cell>
          <cell r="H504">
            <v>878</v>
          </cell>
          <cell r="I504">
            <v>186</v>
          </cell>
          <cell r="J504">
            <v>180</v>
          </cell>
          <cell r="K504">
            <v>90</v>
          </cell>
          <cell r="L504">
            <v>123</v>
          </cell>
          <cell r="M504">
            <v>69</v>
          </cell>
          <cell r="N504">
            <v>47</v>
          </cell>
          <cell r="O504">
            <v>52</v>
          </cell>
          <cell r="P504">
            <v>10</v>
          </cell>
          <cell r="Q504">
            <v>17</v>
          </cell>
          <cell r="R504">
            <v>0</v>
          </cell>
          <cell r="S504">
            <v>11</v>
          </cell>
          <cell r="T504">
            <v>0</v>
          </cell>
          <cell r="U504">
            <v>11</v>
          </cell>
          <cell r="V504">
            <v>208</v>
          </cell>
          <cell r="W504">
            <v>104</v>
          </cell>
          <cell r="X504">
            <v>144</v>
          </cell>
          <cell r="Y504">
            <v>86</v>
          </cell>
          <cell r="Z504">
            <v>0</v>
          </cell>
          <cell r="AA504">
            <v>11</v>
          </cell>
          <cell r="AB504">
            <v>32</v>
          </cell>
          <cell r="AC504">
            <v>39</v>
          </cell>
          <cell r="AD504">
            <v>32</v>
          </cell>
          <cell r="AE504">
            <v>34</v>
          </cell>
          <cell r="AF504">
            <v>0</v>
          </cell>
          <cell r="AG504">
            <v>11</v>
          </cell>
          <cell r="AH504">
            <v>0</v>
          </cell>
          <cell r="AI504">
            <v>11</v>
          </cell>
          <cell r="AJ504">
            <v>0</v>
          </cell>
          <cell r="AK504">
            <v>11</v>
          </cell>
          <cell r="AL504">
            <v>0</v>
          </cell>
          <cell r="AM504">
            <v>11</v>
          </cell>
          <cell r="AN504">
            <v>18</v>
          </cell>
          <cell r="AO504">
            <v>19</v>
          </cell>
          <cell r="AP504">
            <v>8</v>
          </cell>
          <cell r="AQ504">
            <v>14</v>
          </cell>
          <cell r="AR504">
            <v>1</v>
          </cell>
          <cell r="AS504">
            <v>9</v>
          </cell>
        </row>
        <row r="505">
          <cell r="B505">
            <v>17031520300</v>
          </cell>
          <cell r="D505">
            <v>2019</v>
          </cell>
          <cell r="E505">
            <v>187</v>
          </cell>
          <cell r="F505">
            <v>1703</v>
          </cell>
          <cell r="G505">
            <v>186</v>
          </cell>
          <cell r="H505">
            <v>1503</v>
          </cell>
          <cell r="I505">
            <v>209</v>
          </cell>
          <cell r="J505">
            <v>200</v>
          </cell>
          <cell r="K505">
            <v>104</v>
          </cell>
          <cell r="L505">
            <v>144</v>
          </cell>
          <cell r="M505">
            <v>91</v>
          </cell>
          <cell r="N505">
            <v>56</v>
          </cell>
          <cell r="O505">
            <v>55</v>
          </cell>
          <cell r="P505">
            <v>0</v>
          </cell>
          <cell r="Q505">
            <v>15</v>
          </cell>
          <cell r="R505">
            <v>0</v>
          </cell>
          <cell r="S505">
            <v>15</v>
          </cell>
          <cell r="T505">
            <v>0</v>
          </cell>
          <cell r="U505">
            <v>15</v>
          </cell>
          <cell r="V505">
            <v>187</v>
          </cell>
          <cell r="W505">
            <v>87</v>
          </cell>
          <cell r="X505">
            <v>128</v>
          </cell>
          <cell r="Y505">
            <v>85</v>
          </cell>
          <cell r="Z505">
            <v>11</v>
          </cell>
          <cell r="AA505">
            <v>18</v>
          </cell>
          <cell r="AB505">
            <v>0</v>
          </cell>
          <cell r="AC505">
            <v>15</v>
          </cell>
          <cell r="AD505">
            <v>48</v>
          </cell>
          <cell r="AE505">
            <v>34</v>
          </cell>
          <cell r="AF505">
            <v>0</v>
          </cell>
          <cell r="AG505">
            <v>15</v>
          </cell>
          <cell r="AH505">
            <v>0</v>
          </cell>
          <cell r="AI505">
            <v>15</v>
          </cell>
          <cell r="AJ505">
            <v>0</v>
          </cell>
          <cell r="AK505">
            <v>15</v>
          </cell>
          <cell r="AL505">
            <v>0</v>
          </cell>
          <cell r="AM505">
            <v>15</v>
          </cell>
          <cell r="AN505">
            <v>78</v>
          </cell>
          <cell r="AO505">
            <v>59</v>
          </cell>
          <cell r="AP505">
            <v>0</v>
          </cell>
          <cell r="AQ505">
            <v>15</v>
          </cell>
          <cell r="AR505">
            <v>51</v>
          </cell>
          <cell r="AS505">
            <v>47</v>
          </cell>
        </row>
        <row r="506">
          <cell r="B506">
            <v>17031520400</v>
          </cell>
          <cell r="D506">
            <v>1827</v>
          </cell>
          <cell r="E506">
            <v>242</v>
          </cell>
          <cell r="F506">
            <v>1461</v>
          </cell>
          <cell r="G506">
            <v>210</v>
          </cell>
          <cell r="H506">
            <v>1176</v>
          </cell>
          <cell r="I506">
            <v>184</v>
          </cell>
          <cell r="J506">
            <v>285</v>
          </cell>
          <cell r="K506">
            <v>104</v>
          </cell>
          <cell r="L506">
            <v>258</v>
          </cell>
          <cell r="M506">
            <v>94</v>
          </cell>
          <cell r="N506">
            <v>0</v>
          </cell>
          <cell r="O506">
            <v>11</v>
          </cell>
          <cell r="P506">
            <v>12</v>
          </cell>
          <cell r="Q506">
            <v>21</v>
          </cell>
          <cell r="R506">
            <v>15</v>
          </cell>
          <cell r="S506">
            <v>18</v>
          </cell>
          <cell r="T506">
            <v>0</v>
          </cell>
          <cell r="U506">
            <v>11</v>
          </cell>
          <cell r="V506">
            <v>241</v>
          </cell>
          <cell r="W506">
            <v>101</v>
          </cell>
          <cell r="X506">
            <v>210</v>
          </cell>
          <cell r="Y506">
            <v>100</v>
          </cell>
          <cell r="Z506">
            <v>13</v>
          </cell>
          <cell r="AA506">
            <v>16</v>
          </cell>
          <cell r="AB506">
            <v>12</v>
          </cell>
          <cell r="AC506">
            <v>18</v>
          </cell>
          <cell r="AD506">
            <v>6</v>
          </cell>
          <cell r="AE506">
            <v>12</v>
          </cell>
          <cell r="AF506">
            <v>0</v>
          </cell>
          <cell r="AG506">
            <v>11</v>
          </cell>
          <cell r="AH506">
            <v>0</v>
          </cell>
          <cell r="AI506">
            <v>11</v>
          </cell>
          <cell r="AJ506">
            <v>0</v>
          </cell>
          <cell r="AK506">
            <v>11</v>
          </cell>
          <cell r="AL506">
            <v>0</v>
          </cell>
          <cell r="AM506">
            <v>11</v>
          </cell>
          <cell r="AN506">
            <v>125</v>
          </cell>
          <cell r="AO506">
            <v>69</v>
          </cell>
          <cell r="AP506">
            <v>0</v>
          </cell>
          <cell r="AQ506">
            <v>11</v>
          </cell>
          <cell r="AR506">
            <v>0</v>
          </cell>
          <cell r="AS506">
            <v>11</v>
          </cell>
        </row>
        <row r="507">
          <cell r="B507">
            <v>17031520500</v>
          </cell>
          <cell r="D507">
            <v>2174</v>
          </cell>
          <cell r="E507">
            <v>264</v>
          </cell>
          <cell r="F507">
            <v>1993</v>
          </cell>
          <cell r="G507">
            <v>291</v>
          </cell>
          <cell r="H507">
            <v>1778</v>
          </cell>
          <cell r="I507">
            <v>306</v>
          </cell>
          <cell r="J507">
            <v>215</v>
          </cell>
          <cell r="K507">
            <v>143</v>
          </cell>
          <cell r="L507">
            <v>164</v>
          </cell>
          <cell r="M507">
            <v>95</v>
          </cell>
          <cell r="N507">
            <v>18</v>
          </cell>
          <cell r="O507">
            <v>23</v>
          </cell>
          <cell r="P507">
            <v>0</v>
          </cell>
          <cell r="Q507">
            <v>11</v>
          </cell>
          <cell r="R507">
            <v>33</v>
          </cell>
          <cell r="S507">
            <v>51</v>
          </cell>
          <cell r="T507">
            <v>0</v>
          </cell>
          <cell r="U507">
            <v>11</v>
          </cell>
          <cell r="V507">
            <v>112</v>
          </cell>
          <cell r="W507">
            <v>68</v>
          </cell>
          <cell r="X507">
            <v>70</v>
          </cell>
          <cell r="Y507">
            <v>64</v>
          </cell>
          <cell r="Z507">
            <v>0</v>
          </cell>
          <cell r="AA507">
            <v>11</v>
          </cell>
          <cell r="AB507">
            <v>12</v>
          </cell>
          <cell r="AC507">
            <v>19</v>
          </cell>
          <cell r="AD507">
            <v>30</v>
          </cell>
          <cell r="AE507">
            <v>34</v>
          </cell>
          <cell r="AF507">
            <v>0</v>
          </cell>
          <cell r="AG507">
            <v>11</v>
          </cell>
          <cell r="AH507">
            <v>0</v>
          </cell>
          <cell r="AI507">
            <v>11</v>
          </cell>
          <cell r="AJ507">
            <v>0</v>
          </cell>
          <cell r="AK507">
            <v>11</v>
          </cell>
          <cell r="AL507">
            <v>0</v>
          </cell>
          <cell r="AM507">
            <v>11</v>
          </cell>
          <cell r="AN507">
            <v>69</v>
          </cell>
          <cell r="AO507">
            <v>59</v>
          </cell>
          <cell r="AP507">
            <v>0</v>
          </cell>
          <cell r="AQ507">
            <v>11</v>
          </cell>
          <cell r="AR507">
            <v>0</v>
          </cell>
          <cell r="AS507">
            <v>11</v>
          </cell>
        </row>
        <row r="508">
          <cell r="B508">
            <v>17031520600</v>
          </cell>
          <cell r="D508">
            <v>1002</v>
          </cell>
          <cell r="E508">
            <v>156</v>
          </cell>
          <cell r="F508">
            <v>847</v>
          </cell>
          <cell r="G508">
            <v>153</v>
          </cell>
          <cell r="H508">
            <v>742</v>
          </cell>
          <cell r="I508">
            <v>144</v>
          </cell>
          <cell r="J508">
            <v>105</v>
          </cell>
          <cell r="K508">
            <v>68</v>
          </cell>
          <cell r="L508">
            <v>84</v>
          </cell>
          <cell r="M508">
            <v>64</v>
          </cell>
          <cell r="N508">
            <v>21</v>
          </cell>
          <cell r="O508">
            <v>20</v>
          </cell>
          <cell r="P508">
            <v>0</v>
          </cell>
          <cell r="Q508">
            <v>11</v>
          </cell>
          <cell r="R508">
            <v>0</v>
          </cell>
          <cell r="S508">
            <v>11</v>
          </cell>
          <cell r="T508">
            <v>0</v>
          </cell>
          <cell r="U508">
            <v>11</v>
          </cell>
          <cell r="V508">
            <v>103</v>
          </cell>
          <cell r="W508">
            <v>57</v>
          </cell>
          <cell r="X508">
            <v>90</v>
          </cell>
          <cell r="Y508">
            <v>58</v>
          </cell>
          <cell r="Z508">
            <v>0</v>
          </cell>
          <cell r="AA508">
            <v>11</v>
          </cell>
          <cell r="AB508">
            <v>8</v>
          </cell>
          <cell r="AC508">
            <v>11</v>
          </cell>
          <cell r="AD508">
            <v>5</v>
          </cell>
          <cell r="AE508">
            <v>10</v>
          </cell>
          <cell r="AF508">
            <v>0</v>
          </cell>
          <cell r="AG508">
            <v>11</v>
          </cell>
          <cell r="AH508">
            <v>0</v>
          </cell>
          <cell r="AI508">
            <v>11</v>
          </cell>
          <cell r="AJ508">
            <v>0</v>
          </cell>
          <cell r="AK508">
            <v>11</v>
          </cell>
          <cell r="AL508">
            <v>0</v>
          </cell>
          <cell r="AM508">
            <v>11</v>
          </cell>
          <cell r="AN508">
            <v>29</v>
          </cell>
          <cell r="AO508">
            <v>32</v>
          </cell>
          <cell r="AP508">
            <v>9</v>
          </cell>
          <cell r="AQ508">
            <v>10</v>
          </cell>
          <cell r="AR508">
            <v>14</v>
          </cell>
          <cell r="AS508">
            <v>15</v>
          </cell>
        </row>
        <row r="509">
          <cell r="B509">
            <v>17031530100</v>
          </cell>
          <cell r="D509">
            <v>878</v>
          </cell>
          <cell r="E509">
            <v>173</v>
          </cell>
          <cell r="F509">
            <v>639</v>
          </cell>
          <cell r="G509">
            <v>167</v>
          </cell>
          <cell r="H509">
            <v>511</v>
          </cell>
          <cell r="I509">
            <v>154</v>
          </cell>
          <cell r="J509">
            <v>128</v>
          </cell>
          <cell r="K509">
            <v>70</v>
          </cell>
          <cell r="L509">
            <v>105</v>
          </cell>
          <cell r="M509">
            <v>48</v>
          </cell>
          <cell r="N509">
            <v>2</v>
          </cell>
          <cell r="O509">
            <v>22</v>
          </cell>
          <cell r="P509">
            <v>0</v>
          </cell>
          <cell r="Q509">
            <v>11</v>
          </cell>
          <cell r="R509">
            <v>10</v>
          </cell>
          <cell r="S509">
            <v>16</v>
          </cell>
          <cell r="T509">
            <v>11</v>
          </cell>
          <cell r="U509">
            <v>18</v>
          </cell>
          <cell r="V509">
            <v>174</v>
          </cell>
          <cell r="W509">
            <v>67</v>
          </cell>
          <cell r="X509">
            <v>111</v>
          </cell>
          <cell r="Y509">
            <v>56</v>
          </cell>
          <cell r="Z509">
            <v>0</v>
          </cell>
          <cell r="AA509">
            <v>11</v>
          </cell>
          <cell r="AB509">
            <v>41</v>
          </cell>
          <cell r="AC509">
            <v>33</v>
          </cell>
          <cell r="AD509">
            <v>22</v>
          </cell>
          <cell r="AE509">
            <v>16</v>
          </cell>
          <cell r="AF509">
            <v>0</v>
          </cell>
          <cell r="AG509">
            <v>11</v>
          </cell>
          <cell r="AH509">
            <v>29</v>
          </cell>
          <cell r="AI509">
            <v>45</v>
          </cell>
          <cell r="AJ509">
            <v>0</v>
          </cell>
          <cell r="AK509">
            <v>11</v>
          </cell>
          <cell r="AL509">
            <v>0</v>
          </cell>
          <cell r="AM509">
            <v>11</v>
          </cell>
          <cell r="AN509">
            <v>18</v>
          </cell>
          <cell r="AO509">
            <v>21</v>
          </cell>
          <cell r="AP509">
            <v>13</v>
          </cell>
          <cell r="AQ509">
            <v>17</v>
          </cell>
          <cell r="AR509">
            <v>5</v>
          </cell>
          <cell r="AS509">
            <v>7</v>
          </cell>
        </row>
        <row r="510">
          <cell r="B510">
            <v>17031530200</v>
          </cell>
          <cell r="D510">
            <v>1347</v>
          </cell>
          <cell r="E510">
            <v>226</v>
          </cell>
          <cell r="F510">
            <v>816</v>
          </cell>
          <cell r="G510">
            <v>224</v>
          </cell>
          <cell r="H510">
            <v>685</v>
          </cell>
          <cell r="I510">
            <v>208</v>
          </cell>
          <cell r="J510">
            <v>131</v>
          </cell>
          <cell r="K510">
            <v>84</v>
          </cell>
          <cell r="L510">
            <v>131</v>
          </cell>
          <cell r="M510">
            <v>84</v>
          </cell>
          <cell r="N510">
            <v>0</v>
          </cell>
          <cell r="O510">
            <v>11</v>
          </cell>
          <cell r="P510">
            <v>0</v>
          </cell>
          <cell r="Q510">
            <v>11</v>
          </cell>
          <cell r="R510">
            <v>0</v>
          </cell>
          <cell r="S510">
            <v>11</v>
          </cell>
          <cell r="T510">
            <v>0</v>
          </cell>
          <cell r="U510">
            <v>11</v>
          </cell>
          <cell r="V510">
            <v>398</v>
          </cell>
          <cell r="W510">
            <v>140</v>
          </cell>
          <cell r="X510">
            <v>329</v>
          </cell>
          <cell r="Y510">
            <v>143</v>
          </cell>
          <cell r="Z510">
            <v>0</v>
          </cell>
          <cell r="AA510">
            <v>11</v>
          </cell>
          <cell r="AB510">
            <v>17</v>
          </cell>
          <cell r="AC510">
            <v>21</v>
          </cell>
          <cell r="AD510">
            <v>52</v>
          </cell>
          <cell r="AE510">
            <v>46</v>
          </cell>
          <cell r="AF510">
            <v>0</v>
          </cell>
          <cell r="AG510">
            <v>11</v>
          </cell>
          <cell r="AH510">
            <v>0</v>
          </cell>
          <cell r="AI510">
            <v>11</v>
          </cell>
          <cell r="AJ510">
            <v>0</v>
          </cell>
          <cell r="AK510">
            <v>11</v>
          </cell>
          <cell r="AL510">
            <v>0</v>
          </cell>
          <cell r="AM510">
            <v>11</v>
          </cell>
          <cell r="AN510">
            <v>49</v>
          </cell>
          <cell r="AO510">
            <v>45</v>
          </cell>
          <cell r="AP510">
            <v>12</v>
          </cell>
          <cell r="AQ510">
            <v>17</v>
          </cell>
          <cell r="AR510">
            <v>72</v>
          </cell>
          <cell r="AS510">
            <v>62</v>
          </cell>
        </row>
        <row r="511">
          <cell r="B511">
            <v>17031530300</v>
          </cell>
          <cell r="D511">
            <v>1640</v>
          </cell>
          <cell r="E511">
            <v>226</v>
          </cell>
          <cell r="F511">
            <v>1227</v>
          </cell>
          <cell r="G511">
            <v>226</v>
          </cell>
          <cell r="H511">
            <v>1033</v>
          </cell>
          <cell r="I511">
            <v>193</v>
          </cell>
          <cell r="J511">
            <v>194</v>
          </cell>
          <cell r="K511">
            <v>112</v>
          </cell>
          <cell r="L511">
            <v>144</v>
          </cell>
          <cell r="M511">
            <v>104</v>
          </cell>
          <cell r="N511">
            <v>35</v>
          </cell>
          <cell r="O511">
            <v>36</v>
          </cell>
          <cell r="P511">
            <v>15</v>
          </cell>
          <cell r="Q511">
            <v>25</v>
          </cell>
          <cell r="R511">
            <v>0</v>
          </cell>
          <cell r="S511">
            <v>11</v>
          </cell>
          <cell r="T511">
            <v>0</v>
          </cell>
          <cell r="U511">
            <v>11</v>
          </cell>
          <cell r="V511">
            <v>228</v>
          </cell>
          <cell r="W511">
            <v>111</v>
          </cell>
          <cell r="X511">
            <v>158</v>
          </cell>
          <cell r="Y511">
            <v>96</v>
          </cell>
          <cell r="Z511">
            <v>0</v>
          </cell>
          <cell r="AA511">
            <v>11</v>
          </cell>
          <cell r="AB511">
            <v>31</v>
          </cell>
          <cell r="AC511">
            <v>39</v>
          </cell>
          <cell r="AD511">
            <v>39</v>
          </cell>
          <cell r="AE511">
            <v>41</v>
          </cell>
          <cell r="AF511">
            <v>0</v>
          </cell>
          <cell r="AG511">
            <v>11</v>
          </cell>
          <cell r="AH511">
            <v>0</v>
          </cell>
          <cell r="AI511">
            <v>11</v>
          </cell>
          <cell r="AJ511">
            <v>0</v>
          </cell>
          <cell r="AK511">
            <v>11</v>
          </cell>
          <cell r="AL511">
            <v>0</v>
          </cell>
          <cell r="AM511">
            <v>11</v>
          </cell>
          <cell r="AN511">
            <v>73</v>
          </cell>
          <cell r="AO511">
            <v>67</v>
          </cell>
          <cell r="AP511">
            <v>0</v>
          </cell>
          <cell r="AQ511">
            <v>11</v>
          </cell>
          <cell r="AR511">
            <v>112</v>
          </cell>
          <cell r="AS511">
            <v>77</v>
          </cell>
        </row>
        <row r="512">
          <cell r="B512">
            <v>17031530400</v>
          </cell>
          <cell r="D512">
            <v>810</v>
          </cell>
          <cell r="E512">
            <v>140</v>
          </cell>
          <cell r="F512">
            <v>449</v>
          </cell>
          <cell r="G512">
            <v>107</v>
          </cell>
          <cell r="H512">
            <v>390</v>
          </cell>
          <cell r="I512">
            <v>113</v>
          </cell>
          <cell r="J512">
            <v>59</v>
          </cell>
          <cell r="K512">
            <v>44</v>
          </cell>
          <cell r="L512">
            <v>59</v>
          </cell>
          <cell r="M512">
            <v>44</v>
          </cell>
          <cell r="N512">
            <v>0</v>
          </cell>
          <cell r="O512">
            <v>11</v>
          </cell>
          <cell r="P512">
            <v>0</v>
          </cell>
          <cell r="Q512">
            <v>11</v>
          </cell>
          <cell r="R512">
            <v>0</v>
          </cell>
          <cell r="S512">
            <v>11</v>
          </cell>
          <cell r="T512">
            <v>0</v>
          </cell>
          <cell r="U512">
            <v>11</v>
          </cell>
          <cell r="V512">
            <v>303</v>
          </cell>
          <cell r="W512">
            <v>106</v>
          </cell>
          <cell r="X512">
            <v>64</v>
          </cell>
          <cell r="Y512">
            <v>39</v>
          </cell>
          <cell r="Z512">
            <v>0</v>
          </cell>
          <cell r="AA512">
            <v>11</v>
          </cell>
          <cell r="AB512">
            <v>61</v>
          </cell>
          <cell r="AC512">
            <v>64</v>
          </cell>
          <cell r="AD512">
            <v>164</v>
          </cell>
          <cell r="AE512">
            <v>88</v>
          </cell>
          <cell r="AF512">
            <v>14</v>
          </cell>
          <cell r="AG512">
            <v>21</v>
          </cell>
          <cell r="AH512">
            <v>0</v>
          </cell>
          <cell r="AI512">
            <v>11</v>
          </cell>
          <cell r="AJ512">
            <v>0</v>
          </cell>
          <cell r="AK512">
            <v>11</v>
          </cell>
          <cell r="AL512">
            <v>6</v>
          </cell>
          <cell r="AM512">
            <v>10</v>
          </cell>
          <cell r="AN512">
            <v>3</v>
          </cell>
          <cell r="AO512">
            <v>6</v>
          </cell>
          <cell r="AP512">
            <v>0</v>
          </cell>
          <cell r="AQ512">
            <v>11</v>
          </cell>
          <cell r="AR512">
            <v>49</v>
          </cell>
          <cell r="AS512">
            <v>31</v>
          </cell>
        </row>
        <row r="513">
          <cell r="B513">
            <v>17031530501</v>
          </cell>
          <cell r="D513">
            <v>1450</v>
          </cell>
          <cell r="E513">
            <v>302</v>
          </cell>
          <cell r="F513">
            <v>1205</v>
          </cell>
          <cell r="G513">
            <v>259</v>
          </cell>
          <cell r="H513">
            <v>1054</v>
          </cell>
          <cell r="I513">
            <v>231</v>
          </cell>
          <cell r="J513">
            <v>151</v>
          </cell>
          <cell r="K513">
            <v>93</v>
          </cell>
          <cell r="L513">
            <v>90</v>
          </cell>
          <cell r="M513">
            <v>82</v>
          </cell>
          <cell r="N513">
            <v>16</v>
          </cell>
          <cell r="O513">
            <v>20</v>
          </cell>
          <cell r="P513">
            <v>10</v>
          </cell>
          <cell r="Q513">
            <v>16</v>
          </cell>
          <cell r="R513">
            <v>35</v>
          </cell>
          <cell r="S513">
            <v>46</v>
          </cell>
          <cell r="T513">
            <v>0</v>
          </cell>
          <cell r="U513">
            <v>11</v>
          </cell>
          <cell r="V513">
            <v>200</v>
          </cell>
          <cell r="W513">
            <v>88</v>
          </cell>
          <cell r="X513">
            <v>152</v>
          </cell>
          <cell r="Y513">
            <v>82</v>
          </cell>
          <cell r="Z513">
            <v>0</v>
          </cell>
          <cell r="AA513">
            <v>11</v>
          </cell>
          <cell r="AB513">
            <v>18</v>
          </cell>
          <cell r="AC513">
            <v>20</v>
          </cell>
          <cell r="AD513">
            <v>30</v>
          </cell>
          <cell r="AE513">
            <v>35</v>
          </cell>
          <cell r="AF513">
            <v>0</v>
          </cell>
          <cell r="AG513">
            <v>11</v>
          </cell>
          <cell r="AH513">
            <v>10</v>
          </cell>
          <cell r="AI513">
            <v>16</v>
          </cell>
          <cell r="AJ513">
            <v>0</v>
          </cell>
          <cell r="AK513">
            <v>11</v>
          </cell>
          <cell r="AL513">
            <v>0</v>
          </cell>
          <cell r="AM513">
            <v>11</v>
          </cell>
          <cell r="AN513">
            <v>0</v>
          </cell>
          <cell r="AO513">
            <v>11</v>
          </cell>
          <cell r="AP513">
            <v>10</v>
          </cell>
          <cell r="AQ513">
            <v>17</v>
          </cell>
          <cell r="AR513">
            <v>25</v>
          </cell>
          <cell r="AS513">
            <v>28</v>
          </cell>
        </row>
        <row r="514">
          <cell r="B514">
            <v>17031530502</v>
          </cell>
          <cell r="D514">
            <v>502</v>
          </cell>
          <cell r="E514">
            <v>97</v>
          </cell>
          <cell r="F514">
            <v>376</v>
          </cell>
          <cell r="G514">
            <v>70</v>
          </cell>
          <cell r="H514">
            <v>293</v>
          </cell>
          <cell r="I514">
            <v>67</v>
          </cell>
          <cell r="J514">
            <v>83</v>
          </cell>
          <cell r="K514">
            <v>48</v>
          </cell>
          <cell r="L514">
            <v>80</v>
          </cell>
          <cell r="M514">
            <v>47</v>
          </cell>
          <cell r="N514">
            <v>3</v>
          </cell>
          <cell r="O514">
            <v>6</v>
          </cell>
          <cell r="P514">
            <v>0</v>
          </cell>
          <cell r="Q514">
            <v>11</v>
          </cell>
          <cell r="R514">
            <v>0</v>
          </cell>
          <cell r="S514">
            <v>11</v>
          </cell>
          <cell r="T514">
            <v>0</v>
          </cell>
          <cell r="U514">
            <v>11</v>
          </cell>
          <cell r="V514">
            <v>81</v>
          </cell>
          <cell r="W514">
            <v>39</v>
          </cell>
          <cell r="X514">
            <v>69</v>
          </cell>
          <cell r="Y514">
            <v>37</v>
          </cell>
          <cell r="Z514">
            <v>0</v>
          </cell>
          <cell r="AA514">
            <v>11</v>
          </cell>
          <cell r="AB514">
            <v>0</v>
          </cell>
          <cell r="AC514">
            <v>11</v>
          </cell>
          <cell r="AD514">
            <v>12</v>
          </cell>
          <cell r="AE514">
            <v>12</v>
          </cell>
          <cell r="AF514">
            <v>0</v>
          </cell>
          <cell r="AG514">
            <v>11</v>
          </cell>
          <cell r="AH514">
            <v>0</v>
          </cell>
          <cell r="AI514">
            <v>11</v>
          </cell>
          <cell r="AJ514">
            <v>0</v>
          </cell>
          <cell r="AK514">
            <v>11</v>
          </cell>
          <cell r="AL514">
            <v>0</v>
          </cell>
          <cell r="AM514">
            <v>11</v>
          </cell>
          <cell r="AN514">
            <v>10</v>
          </cell>
          <cell r="AO514">
            <v>16</v>
          </cell>
          <cell r="AP514">
            <v>35</v>
          </cell>
          <cell r="AQ514">
            <v>44</v>
          </cell>
          <cell r="AR514">
            <v>0</v>
          </cell>
          <cell r="AS514">
            <v>11</v>
          </cell>
        </row>
        <row r="515">
          <cell r="B515">
            <v>17031530503</v>
          </cell>
          <cell r="D515">
            <v>1639</v>
          </cell>
          <cell r="E515">
            <v>297</v>
          </cell>
          <cell r="F515">
            <v>1346</v>
          </cell>
          <cell r="G515">
            <v>264</v>
          </cell>
          <cell r="H515">
            <v>1222</v>
          </cell>
          <cell r="I515">
            <v>264</v>
          </cell>
          <cell r="J515">
            <v>124</v>
          </cell>
          <cell r="K515">
            <v>76</v>
          </cell>
          <cell r="L515">
            <v>93</v>
          </cell>
          <cell r="M515">
            <v>68</v>
          </cell>
          <cell r="N515">
            <v>10</v>
          </cell>
          <cell r="O515">
            <v>17</v>
          </cell>
          <cell r="P515">
            <v>21</v>
          </cell>
          <cell r="Q515">
            <v>26</v>
          </cell>
          <cell r="R515">
            <v>0</v>
          </cell>
          <cell r="S515">
            <v>15</v>
          </cell>
          <cell r="T515">
            <v>0</v>
          </cell>
          <cell r="U515">
            <v>15</v>
          </cell>
          <cell r="V515">
            <v>171</v>
          </cell>
          <cell r="W515">
            <v>91</v>
          </cell>
          <cell r="X515">
            <v>158</v>
          </cell>
          <cell r="Y515">
            <v>90</v>
          </cell>
          <cell r="Z515">
            <v>0</v>
          </cell>
          <cell r="AA515">
            <v>15</v>
          </cell>
          <cell r="AB515">
            <v>13</v>
          </cell>
          <cell r="AC515">
            <v>20</v>
          </cell>
          <cell r="AD515">
            <v>0</v>
          </cell>
          <cell r="AE515">
            <v>15</v>
          </cell>
          <cell r="AF515">
            <v>0</v>
          </cell>
          <cell r="AG515">
            <v>15</v>
          </cell>
          <cell r="AH515">
            <v>0</v>
          </cell>
          <cell r="AI515">
            <v>15</v>
          </cell>
          <cell r="AJ515">
            <v>0</v>
          </cell>
          <cell r="AK515">
            <v>15</v>
          </cell>
          <cell r="AL515">
            <v>10</v>
          </cell>
          <cell r="AM515">
            <v>15</v>
          </cell>
          <cell r="AN515">
            <v>38</v>
          </cell>
          <cell r="AO515">
            <v>59</v>
          </cell>
          <cell r="AP515">
            <v>25</v>
          </cell>
          <cell r="AQ515">
            <v>41</v>
          </cell>
          <cell r="AR515">
            <v>49</v>
          </cell>
          <cell r="AS515">
            <v>46</v>
          </cell>
        </row>
        <row r="516">
          <cell r="B516">
            <v>17031530600</v>
          </cell>
          <cell r="D516">
            <v>989</v>
          </cell>
          <cell r="E516">
            <v>181</v>
          </cell>
          <cell r="F516">
            <v>636</v>
          </cell>
          <cell r="G516">
            <v>171</v>
          </cell>
          <cell r="H516">
            <v>551</v>
          </cell>
          <cell r="I516">
            <v>168</v>
          </cell>
          <cell r="J516">
            <v>85</v>
          </cell>
          <cell r="K516">
            <v>59</v>
          </cell>
          <cell r="L516">
            <v>76</v>
          </cell>
          <cell r="M516">
            <v>57</v>
          </cell>
          <cell r="N516">
            <v>9</v>
          </cell>
          <cell r="O516">
            <v>14</v>
          </cell>
          <cell r="P516">
            <v>0</v>
          </cell>
          <cell r="Q516">
            <v>11</v>
          </cell>
          <cell r="R516">
            <v>0</v>
          </cell>
          <cell r="S516">
            <v>11</v>
          </cell>
          <cell r="T516">
            <v>0</v>
          </cell>
          <cell r="U516">
            <v>11</v>
          </cell>
          <cell r="V516">
            <v>295</v>
          </cell>
          <cell r="W516">
            <v>133</v>
          </cell>
          <cell r="X516">
            <v>247</v>
          </cell>
          <cell r="Y516">
            <v>117</v>
          </cell>
          <cell r="Z516">
            <v>0</v>
          </cell>
          <cell r="AA516">
            <v>11</v>
          </cell>
          <cell r="AB516">
            <v>40</v>
          </cell>
          <cell r="AC516">
            <v>37</v>
          </cell>
          <cell r="AD516">
            <v>8</v>
          </cell>
          <cell r="AE516">
            <v>14</v>
          </cell>
          <cell r="AF516">
            <v>0</v>
          </cell>
          <cell r="AG516">
            <v>11</v>
          </cell>
          <cell r="AH516">
            <v>0</v>
          </cell>
          <cell r="AI516">
            <v>11</v>
          </cell>
          <cell r="AJ516">
            <v>0</v>
          </cell>
          <cell r="AK516">
            <v>11</v>
          </cell>
          <cell r="AL516">
            <v>0</v>
          </cell>
          <cell r="AM516">
            <v>11</v>
          </cell>
          <cell r="AN516">
            <v>28</v>
          </cell>
          <cell r="AO516">
            <v>45</v>
          </cell>
          <cell r="AP516">
            <v>7</v>
          </cell>
          <cell r="AQ516">
            <v>12</v>
          </cell>
          <cell r="AR516">
            <v>23</v>
          </cell>
          <cell r="AS516">
            <v>21</v>
          </cell>
        </row>
        <row r="517">
          <cell r="B517">
            <v>17031540101</v>
          </cell>
          <cell r="D517">
            <v>872</v>
          </cell>
          <cell r="E517">
            <v>171</v>
          </cell>
          <cell r="F517">
            <v>490</v>
          </cell>
          <cell r="G517">
            <v>154</v>
          </cell>
          <cell r="H517">
            <v>423</v>
          </cell>
          <cell r="I517">
            <v>144</v>
          </cell>
          <cell r="J517">
            <v>67</v>
          </cell>
          <cell r="K517">
            <v>50</v>
          </cell>
          <cell r="L517">
            <v>67</v>
          </cell>
          <cell r="M517">
            <v>50</v>
          </cell>
          <cell r="N517">
            <v>0</v>
          </cell>
          <cell r="O517">
            <v>11</v>
          </cell>
          <cell r="P517">
            <v>0</v>
          </cell>
          <cell r="Q517">
            <v>11</v>
          </cell>
          <cell r="R517">
            <v>0</v>
          </cell>
          <cell r="S517">
            <v>11</v>
          </cell>
          <cell r="T517">
            <v>0</v>
          </cell>
          <cell r="U517">
            <v>11</v>
          </cell>
          <cell r="V517">
            <v>314</v>
          </cell>
          <cell r="W517">
            <v>98</v>
          </cell>
          <cell r="X517">
            <v>273</v>
          </cell>
          <cell r="Y517">
            <v>93</v>
          </cell>
          <cell r="Z517">
            <v>0</v>
          </cell>
          <cell r="AA517">
            <v>11</v>
          </cell>
          <cell r="AB517">
            <v>41</v>
          </cell>
          <cell r="AC517">
            <v>38</v>
          </cell>
          <cell r="AD517">
            <v>0</v>
          </cell>
          <cell r="AE517">
            <v>11</v>
          </cell>
          <cell r="AF517">
            <v>0</v>
          </cell>
          <cell r="AG517">
            <v>11</v>
          </cell>
          <cell r="AH517">
            <v>0</v>
          </cell>
          <cell r="AI517">
            <v>11</v>
          </cell>
          <cell r="AJ517">
            <v>0</v>
          </cell>
          <cell r="AK517">
            <v>11</v>
          </cell>
          <cell r="AL517">
            <v>0</v>
          </cell>
          <cell r="AM517">
            <v>11</v>
          </cell>
          <cell r="AN517">
            <v>62</v>
          </cell>
          <cell r="AO517">
            <v>55</v>
          </cell>
          <cell r="AP517">
            <v>0</v>
          </cell>
          <cell r="AQ517">
            <v>11</v>
          </cell>
          <cell r="AR517">
            <v>6</v>
          </cell>
          <cell r="AS517">
            <v>10</v>
          </cell>
        </row>
        <row r="518">
          <cell r="B518">
            <v>17031540102</v>
          </cell>
          <cell r="D518">
            <v>698</v>
          </cell>
          <cell r="E518">
            <v>166</v>
          </cell>
          <cell r="F518">
            <v>369</v>
          </cell>
          <cell r="G518">
            <v>129</v>
          </cell>
          <cell r="H518">
            <v>314</v>
          </cell>
          <cell r="I518">
            <v>137</v>
          </cell>
          <cell r="J518">
            <v>55</v>
          </cell>
          <cell r="K518">
            <v>49</v>
          </cell>
          <cell r="L518">
            <v>41</v>
          </cell>
          <cell r="M518">
            <v>47</v>
          </cell>
          <cell r="N518">
            <v>6</v>
          </cell>
          <cell r="O518">
            <v>12</v>
          </cell>
          <cell r="P518">
            <v>8</v>
          </cell>
          <cell r="Q518">
            <v>13</v>
          </cell>
          <cell r="R518">
            <v>0</v>
          </cell>
          <cell r="S518">
            <v>11</v>
          </cell>
          <cell r="T518">
            <v>0</v>
          </cell>
          <cell r="U518">
            <v>11</v>
          </cell>
          <cell r="V518">
            <v>257</v>
          </cell>
          <cell r="W518">
            <v>93</v>
          </cell>
          <cell r="X518">
            <v>257</v>
          </cell>
          <cell r="Y518">
            <v>93</v>
          </cell>
          <cell r="Z518">
            <v>0</v>
          </cell>
          <cell r="AA518">
            <v>11</v>
          </cell>
          <cell r="AB518">
            <v>0</v>
          </cell>
          <cell r="AC518">
            <v>11</v>
          </cell>
          <cell r="AD518">
            <v>0</v>
          </cell>
          <cell r="AE518">
            <v>11</v>
          </cell>
          <cell r="AF518">
            <v>0</v>
          </cell>
          <cell r="AG518">
            <v>11</v>
          </cell>
          <cell r="AH518">
            <v>0</v>
          </cell>
          <cell r="AI518">
            <v>11</v>
          </cell>
          <cell r="AJ518">
            <v>0</v>
          </cell>
          <cell r="AK518">
            <v>11</v>
          </cell>
          <cell r="AL518">
            <v>0</v>
          </cell>
          <cell r="AM518">
            <v>11</v>
          </cell>
          <cell r="AN518">
            <v>27</v>
          </cell>
          <cell r="AO518">
            <v>25</v>
          </cell>
          <cell r="AP518">
            <v>24</v>
          </cell>
          <cell r="AQ518">
            <v>27</v>
          </cell>
          <cell r="AR518">
            <v>21</v>
          </cell>
          <cell r="AS518">
            <v>19</v>
          </cell>
        </row>
        <row r="519">
          <cell r="B519">
            <v>17031550100</v>
          </cell>
          <cell r="D519">
            <v>3072</v>
          </cell>
          <cell r="E519">
            <v>595</v>
          </cell>
          <cell r="F519">
            <v>2379</v>
          </cell>
          <cell r="G519">
            <v>472</v>
          </cell>
          <cell r="H519">
            <v>2119</v>
          </cell>
          <cell r="I519">
            <v>469</v>
          </cell>
          <cell r="J519">
            <v>260</v>
          </cell>
          <cell r="K519">
            <v>131</v>
          </cell>
          <cell r="L519">
            <v>216</v>
          </cell>
          <cell r="M519">
            <v>112</v>
          </cell>
          <cell r="N519">
            <v>23</v>
          </cell>
          <cell r="O519">
            <v>37</v>
          </cell>
          <cell r="P519">
            <v>0</v>
          </cell>
          <cell r="Q519">
            <v>15</v>
          </cell>
          <cell r="R519">
            <v>21</v>
          </cell>
          <cell r="S519">
            <v>33</v>
          </cell>
          <cell r="T519">
            <v>0</v>
          </cell>
          <cell r="U519">
            <v>15</v>
          </cell>
          <cell r="V519">
            <v>602</v>
          </cell>
          <cell r="W519">
            <v>379</v>
          </cell>
          <cell r="X519">
            <v>434</v>
          </cell>
          <cell r="Y519">
            <v>374</v>
          </cell>
          <cell r="Z519">
            <v>0</v>
          </cell>
          <cell r="AA519">
            <v>15</v>
          </cell>
          <cell r="AB519">
            <v>37</v>
          </cell>
          <cell r="AC519">
            <v>42</v>
          </cell>
          <cell r="AD519">
            <v>131</v>
          </cell>
          <cell r="AE519">
            <v>77</v>
          </cell>
          <cell r="AF519">
            <v>0</v>
          </cell>
          <cell r="AG519">
            <v>15</v>
          </cell>
          <cell r="AH519">
            <v>0</v>
          </cell>
          <cell r="AI519">
            <v>15</v>
          </cell>
          <cell r="AJ519">
            <v>0</v>
          </cell>
          <cell r="AK519">
            <v>15</v>
          </cell>
          <cell r="AL519">
            <v>0</v>
          </cell>
          <cell r="AM519">
            <v>15</v>
          </cell>
          <cell r="AN519">
            <v>91</v>
          </cell>
          <cell r="AO519">
            <v>90</v>
          </cell>
          <cell r="AP519">
            <v>0</v>
          </cell>
          <cell r="AQ519">
            <v>15</v>
          </cell>
          <cell r="AR519">
            <v>0</v>
          </cell>
          <cell r="AS519">
            <v>15</v>
          </cell>
        </row>
        <row r="520">
          <cell r="B520">
            <v>17031550200</v>
          </cell>
          <cell r="D520">
            <v>1192</v>
          </cell>
          <cell r="E520">
            <v>147</v>
          </cell>
          <cell r="F520">
            <v>1084</v>
          </cell>
          <cell r="G520">
            <v>147</v>
          </cell>
          <cell r="H520">
            <v>925</v>
          </cell>
          <cell r="I520">
            <v>116</v>
          </cell>
          <cell r="J520">
            <v>159</v>
          </cell>
          <cell r="K520">
            <v>105</v>
          </cell>
          <cell r="L520">
            <v>135</v>
          </cell>
          <cell r="M520">
            <v>97</v>
          </cell>
          <cell r="N520">
            <v>15</v>
          </cell>
          <cell r="O520">
            <v>25</v>
          </cell>
          <cell r="P520">
            <v>0</v>
          </cell>
          <cell r="Q520">
            <v>11</v>
          </cell>
          <cell r="R520">
            <v>9</v>
          </cell>
          <cell r="S520">
            <v>16</v>
          </cell>
          <cell r="T520">
            <v>0</v>
          </cell>
          <cell r="U520">
            <v>11</v>
          </cell>
          <cell r="V520">
            <v>105</v>
          </cell>
          <cell r="W520">
            <v>61</v>
          </cell>
          <cell r="X520">
            <v>25</v>
          </cell>
          <cell r="Y520">
            <v>40</v>
          </cell>
          <cell r="Z520">
            <v>0</v>
          </cell>
          <cell r="AA520">
            <v>11</v>
          </cell>
          <cell r="AB520">
            <v>17</v>
          </cell>
          <cell r="AC520">
            <v>17</v>
          </cell>
          <cell r="AD520">
            <v>63</v>
          </cell>
          <cell r="AE520">
            <v>48</v>
          </cell>
          <cell r="AF520">
            <v>0</v>
          </cell>
          <cell r="AG520">
            <v>11</v>
          </cell>
          <cell r="AH520">
            <v>0</v>
          </cell>
          <cell r="AI520">
            <v>11</v>
          </cell>
          <cell r="AJ520">
            <v>0</v>
          </cell>
          <cell r="AK520">
            <v>11</v>
          </cell>
          <cell r="AL520">
            <v>0</v>
          </cell>
          <cell r="AM520">
            <v>11</v>
          </cell>
          <cell r="AN520">
            <v>0</v>
          </cell>
          <cell r="AO520">
            <v>11</v>
          </cell>
          <cell r="AP520">
            <v>0</v>
          </cell>
          <cell r="AQ520">
            <v>11</v>
          </cell>
          <cell r="AR520">
            <v>3</v>
          </cell>
          <cell r="AS520">
            <v>7</v>
          </cell>
        </row>
        <row r="521">
          <cell r="B521">
            <v>17031560100</v>
          </cell>
          <cell r="D521">
            <v>578</v>
          </cell>
          <cell r="E521">
            <v>89</v>
          </cell>
          <cell r="F521">
            <v>468</v>
          </cell>
          <cell r="G521">
            <v>108</v>
          </cell>
          <cell r="H521">
            <v>421</v>
          </cell>
          <cell r="I521">
            <v>102</v>
          </cell>
          <cell r="J521">
            <v>47</v>
          </cell>
          <cell r="K521">
            <v>24</v>
          </cell>
          <cell r="L521">
            <v>30</v>
          </cell>
          <cell r="M521">
            <v>22</v>
          </cell>
          <cell r="N521">
            <v>17</v>
          </cell>
          <cell r="O521">
            <v>15</v>
          </cell>
          <cell r="P521">
            <v>0</v>
          </cell>
          <cell r="Q521">
            <v>11</v>
          </cell>
          <cell r="R521">
            <v>0</v>
          </cell>
          <cell r="S521">
            <v>11</v>
          </cell>
          <cell r="T521">
            <v>0</v>
          </cell>
          <cell r="U521">
            <v>11</v>
          </cell>
          <cell r="V521">
            <v>98</v>
          </cell>
          <cell r="W521">
            <v>53</v>
          </cell>
          <cell r="X521">
            <v>81</v>
          </cell>
          <cell r="Y521">
            <v>49</v>
          </cell>
          <cell r="Z521">
            <v>0</v>
          </cell>
          <cell r="AA521">
            <v>11</v>
          </cell>
          <cell r="AB521">
            <v>17</v>
          </cell>
          <cell r="AC521">
            <v>24</v>
          </cell>
          <cell r="AD521">
            <v>0</v>
          </cell>
          <cell r="AE521">
            <v>11</v>
          </cell>
          <cell r="AF521">
            <v>0</v>
          </cell>
          <cell r="AG521">
            <v>11</v>
          </cell>
          <cell r="AH521">
            <v>0</v>
          </cell>
          <cell r="AI521">
            <v>11</v>
          </cell>
          <cell r="AJ521">
            <v>0</v>
          </cell>
          <cell r="AK521">
            <v>11</v>
          </cell>
          <cell r="AL521">
            <v>0</v>
          </cell>
          <cell r="AM521">
            <v>11</v>
          </cell>
          <cell r="AN521">
            <v>5</v>
          </cell>
          <cell r="AO521">
            <v>7</v>
          </cell>
          <cell r="AP521">
            <v>0</v>
          </cell>
          <cell r="AQ521">
            <v>11</v>
          </cell>
          <cell r="AR521">
            <v>7</v>
          </cell>
          <cell r="AS521">
            <v>10</v>
          </cell>
        </row>
        <row r="522">
          <cell r="B522">
            <v>17031560200</v>
          </cell>
          <cell r="D522">
            <v>507</v>
          </cell>
          <cell r="E522">
            <v>92</v>
          </cell>
          <cell r="F522">
            <v>378</v>
          </cell>
          <cell r="G522">
            <v>88</v>
          </cell>
          <cell r="H522">
            <v>298</v>
          </cell>
          <cell r="I522">
            <v>71</v>
          </cell>
          <cell r="J522">
            <v>80</v>
          </cell>
          <cell r="K522">
            <v>44</v>
          </cell>
          <cell r="L522">
            <v>20</v>
          </cell>
          <cell r="M522">
            <v>20</v>
          </cell>
          <cell r="N522">
            <v>28</v>
          </cell>
          <cell r="O522">
            <v>19</v>
          </cell>
          <cell r="P522">
            <v>16</v>
          </cell>
          <cell r="Q522">
            <v>24</v>
          </cell>
          <cell r="R522">
            <v>16</v>
          </cell>
          <cell r="S522">
            <v>26</v>
          </cell>
          <cell r="T522">
            <v>0</v>
          </cell>
          <cell r="U522">
            <v>11</v>
          </cell>
          <cell r="V522">
            <v>78</v>
          </cell>
          <cell r="W522">
            <v>38</v>
          </cell>
          <cell r="X522">
            <v>32</v>
          </cell>
          <cell r="Y522">
            <v>28</v>
          </cell>
          <cell r="Z522">
            <v>0</v>
          </cell>
          <cell r="AA522">
            <v>11</v>
          </cell>
          <cell r="AB522">
            <v>35</v>
          </cell>
          <cell r="AC522">
            <v>27</v>
          </cell>
          <cell r="AD522">
            <v>11</v>
          </cell>
          <cell r="AE522">
            <v>16</v>
          </cell>
          <cell r="AF522">
            <v>0</v>
          </cell>
          <cell r="AG522">
            <v>11</v>
          </cell>
          <cell r="AH522">
            <v>0</v>
          </cell>
          <cell r="AI522">
            <v>11</v>
          </cell>
          <cell r="AJ522">
            <v>0</v>
          </cell>
          <cell r="AK522">
            <v>11</v>
          </cell>
          <cell r="AL522">
            <v>0</v>
          </cell>
          <cell r="AM522">
            <v>11</v>
          </cell>
          <cell r="AN522">
            <v>24</v>
          </cell>
          <cell r="AO522">
            <v>25</v>
          </cell>
          <cell r="AP522">
            <v>0</v>
          </cell>
          <cell r="AQ522">
            <v>11</v>
          </cell>
          <cell r="AR522">
            <v>27</v>
          </cell>
          <cell r="AS522">
            <v>26</v>
          </cell>
        </row>
        <row r="523">
          <cell r="B523">
            <v>17031560300</v>
          </cell>
          <cell r="D523">
            <v>1344</v>
          </cell>
          <cell r="E523">
            <v>176</v>
          </cell>
          <cell r="F523">
            <v>1073</v>
          </cell>
          <cell r="G523">
            <v>133</v>
          </cell>
          <cell r="H523">
            <v>828</v>
          </cell>
          <cell r="I523">
            <v>124</v>
          </cell>
          <cell r="J523">
            <v>245</v>
          </cell>
          <cell r="K523">
            <v>84</v>
          </cell>
          <cell r="L523">
            <v>182</v>
          </cell>
          <cell r="M523">
            <v>72</v>
          </cell>
          <cell r="N523">
            <v>56</v>
          </cell>
          <cell r="O523">
            <v>51</v>
          </cell>
          <cell r="P523">
            <v>0</v>
          </cell>
          <cell r="Q523">
            <v>11</v>
          </cell>
          <cell r="R523">
            <v>0</v>
          </cell>
          <cell r="S523">
            <v>11</v>
          </cell>
          <cell r="T523">
            <v>7</v>
          </cell>
          <cell r="U523">
            <v>11</v>
          </cell>
          <cell r="V523">
            <v>190</v>
          </cell>
          <cell r="W523">
            <v>73</v>
          </cell>
          <cell r="X523">
            <v>51</v>
          </cell>
          <cell r="Y523">
            <v>43</v>
          </cell>
          <cell r="Z523">
            <v>0</v>
          </cell>
          <cell r="AA523">
            <v>11</v>
          </cell>
          <cell r="AB523">
            <v>133</v>
          </cell>
          <cell r="AC523">
            <v>61</v>
          </cell>
          <cell r="AD523">
            <v>6</v>
          </cell>
          <cell r="AE523">
            <v>9</v>
          </cell>
          <cell r="AF523">
            <v>0</v>
          </cell>
          <cell r="AG523">
            <v>11</v>
          </cell>
          <cell r="AH523">
            <v>0</v>
          </cell>
          <cell r="AI523">
            <v>11</v>
          </cell>
          <cell r="AJ523">
            <v>0</v>
          </cell>
          <cell r="AK523">
            <v>11</v>
          </cell>
          <cell r="AL523">
            <v>0</v>
          </cell>
          <cell r="AM523">
            <v>11</v>
          </cell>
          <cell r="AN523">
            <v>46</v>
          </cell>
          <cell r="AO523">
            <v>63</v>
          </cell>
          <cell r="AP523">
            <v>6</v>
          </cell>
          <cell r="AQ523">
            <v>10</v>
          </cell>
          <cell r="AR523">
            <v>29</v>
          </cell>
          <cell r="AS523">
            <v>26</v>
          </cell>
        </row>
        <row r="524">
          <cell r="B524">
            <v>17031560400</v>
          </cell>
          <cell r="D524">
            <v>625</v>
          </cell>
          <cell r="E524">
            <v>116</v>
          </cell>
          <cell r="F524">
            <v>480</v>
          </cell>
          <cell r="G524">
            <v>91</v>
          </cell>
          <cell r="H524">
            <v>372</v>
          </cell>
          <cell r="I524">
            <v>82</v>
          </cell>
          <cell r="J524">
            <v>108</v>
          </cell>
          <cell r="K524">
            <v>49</v>
          </cell>
          <cell r="L524">
            <v>52</v>
          </cell>
          <cell r="M524">
            <v>34</v>
          </cell>
          <cell r="N524">
            <v>45</v>
          </cell>
          <cell r="O524">
            <v>39</v>
          </cell>
          <cell r="P524">
            <v>11</v>
          </cell>
          <cell r="Q524">
            <v>13</v>
          </cell>
          <cell r="R524">
            <v>0</v>
          </cell>
          <cell r="S524">
            <v>11</v>
          </cell>
          <cell r="T524">
            <v>0</v>
          </cell>
          <cell r="U524">
            <v>11</v>
          </cell>
          <cell r="V524">
            <v>110</v>
          </cell>
          <cell r="W524">
            <v>63</v>
          </cell>
          <cell r="X524">
            <v>26</v>
          </cell>
          <cell r="Y524">
            <v>27</v>
          </cell>
          <cell r="Z524">
            <v>0</v>
          </cell>
          <cell r="AA524">
            <v>11</v>
          </cell>
          <cell r="AB524">
            <v>84</v>
          </cell>
          <cell r="AC524">
            <v>45</v>
          </cell>
          <cell r="AD524">
            <v>0</v>
          </cell>
          <cell r="AE524">
            <v>11</v>
          </cell>
          <cell r="AF524">
            <v>0</v>
          </cell>
          <cell r="AG524">
            <v>11</v>
          </cell>
          <cell r="AH524">
            <v>0</v>
          </cell>
          <cell r="AI524">
            <v>11</v>
          </cell>
          <cell r="AJ524">
            <v>0</v>
          </cell>
          <cell r="AK524">
            <v>11</v>
          </cell>
          <cell r="AL524">
            <v>0</v>
          </cell>
          <cell r="AM524">
            <v>11</v>
          </cell>
          <cell r="AN524">
            <v>35</v>
          </cell>
          <cell r="AO524">
            <v>38</v>
          </cell>
          <cell r="AP524">
            <v>0</v>
          </cell>
          <cell r="AQ524">
            <v>11</v>
          </cell>
          <cell r="AR524">
            <v>0</v>
          </cell>
          <cell r="AS524">
            <v>11</v>
          </cell>
        </row>
        <row r="525">
          <cell r="B525">
            <v>17031560700</v>
          </cell>
          <cell r="D525">
            <v>1495</v>
          </cell>
          <cell r="E525">
            <v>186</v>
          </cell>
          <cell r="F525">
            <v>1147</v>
          </cell>
          <cell r="G525">
            <v>144</v>
          </cell>
          <cell r="H525">
            <v>1018</v>
          </cell>
          <cell r="I525">
            <v>151</v>
          </cell>
          <cell r="J525">
            <v>129</v>
          </cell>
          <cell r="K525">
            <v>69</v>
          </cell>
          <cell r="L525">
            <v>57</v>
          </cell>
          <cell r="M525">
            <v>42</v>
          </cell>
          <cell r="N525">
            <v>54</v>
          </cell>
          <cell r="O525">
            <v>48</v>
          </cell>
          <cell r="P525">
            <v>4</v>
          </cell>
          <cell r="Q525">
            <v>11</v>
          </cell>
          <cell r="R525">
            <v>4</v>
          </cell>
          <cell r="S525">
            <v>10</v>
          </cell>
          <cell r="T525">
            <v>10</v>
          </cell>
          <cell r="U525">
            <v>15</v>
          </cell>
          <cell r="V525">
            <v>306</v>
          </cell>
          <cell r="W525">
            <v>118</v>
          </cell>
          <cell r="X525">
            <v>181</v>
          </cell>
          <cell r="Y525">
            <v>82</v>
          </cell>
          <cell r="Z525">
            <v>0</v>
          </cell>
          <cell r="AA525">
            <v>11</v>
          </cell>
          <cell r="AB525">
            <v>84</v>
          </cell>
          <cell r="AC525">
            <v>64</v>
          </cell>
          <cell r="AD525">
            <v>41</v>
          </cell>
          <cell r="AE525">
            <v>50</v>
          </cell>
          <cell r="AF525">
            <v>0</v>
          </cell>
          <cell r="AG525">
            <v>11</v>
          </cell>
          <cell r="AH525">
            <v>0</v>
          </cell>
          <cell r="AI525">
            <v>11</v>
          </cell>
          <cell r="AJ525">
            <v>0</v>
          </cell>
          <cell r="AK525">
            <v>11</v>
          </cell>
          <cell r="AL525">
            <v>0</v>
          </cell>
          <cell r="AM525">
            <v>11</v>
          </cell>
          <cell r="AN525">
            <v>32</v>
          </cell>
          <cell r="AO525">
            <v>31</v>
          </cell>
          <cell r="AP525">
            <v>0</v>
          </cell>
          <cell r="AQ525">
            <v>11</v>
          </cell>
          <cell r="AR525">
            <v>10</v>
          </cell>
          <cell r="AS525">
            <v>17</v>
          </cell>
        </row>
        <row r="526">
          <cell r="B526">
            <v>17031560800</v>
          </cell>
          <cell r="D526">
            <v>2666</v>
          </cell>
          <cell r="E526">
            <v>220</v>
          </cell>
          <cell r="F526">
            <v>2328</v>
          </cell>
          <cell r="G526">
            <v>215</v>
          </cell>
          <cell r="H526">
            <v>2209</v>
          </cell>
          <cell r="I526">
            <v>240</v>
          </cell>
          <cell r="J526">
            <v>119</v>
          </cell>
          <cell r="K526">
            <v>89</v>
          </cell>
          <cell r="L526">
            <v>101</v>
          </cell>
          <cell r="M526">
            <v>72</v>
          </cell>
          <cell r="N526">
            <v>18</v>
          </cell>
          <cell r="O526">
            <v>31</v>
          </cell>
          <cell r="P526">
            <v>0</v>
          </cell>
          <cell r="Q526">
            <v>15</v>
          </cell>
          <cell r="R526">
            <v>0</v>
          </cell>
          <cell r="S526">
            <v>15</v>
          </cell>
          <cell r="T526">
            <v>0</v>
          </cell>
          <cell r="U526">
            <v>15</v>
          </cell>
          <cell r="V526">
            <v>233</v>
          </cell>
          <cell r="W526">
            <v>102</v>
          </cell>
          <cell r="X526">
            <v>108</v>
          </cell>
          <cell r="Y526">
            <v>78</v>
          </cell>
          <cell r="Z526">
            <v>0</v>
          </cell>
          <cell r="AA526">
            <v>15</v>
          </cell>
          <cell r="AB526">
            <v>107</v>
          </cell>
          <cell r="AC526">
            <v>76</v>
          </cell>
          <cell r="AD526">
            <v>18</v>
          </cell>
          <cell r="AE526">
            <v>30</v>
          </cell>
          <cell r="AF526">
            <v>0</v>
          </cell>
          <cell r="AG526">
            <v>15</v>
          </cell>
          <cell r="AH526">
            <v>0</v>
          </cell>
          <cell r="AI526">
            <v>15</v>
          </cell>
          <cell r="AJ526">
            <v>0</v>
          </cell>
          <cell r="AK526">
            <v>15</v>
          </cell>
          <cell r="AL526">
            <v>0</v>
          </cell>
          <cell r="AM526">
            <v>15</v>
          </cell>
          <cell r="AN526">
            <v>69</v>
          </cell>
          <cell r="AO526">
            <v>51</v>
          </cell>
          <cell r="AP526">
            <v>0</v>
          </cell>
          <cell r="AQ526">
            <v>15</v>
          </cell>
          <cell r="AR526">
            <v>36</v>
          </cell>
          <cell r="AS526">
            <v>60</v>
          </cell>
        </row>
        <row r="527">
          <cell r="B527">
            <v>17031560900</v>
          </cell>
          <cell r="D527">
            <v>2557</v>
          </cell>
          <cell r="E527">
            <v>263</v>
          </cell>
          <cell r="F527">
            <v>2211</v>
          </cell>
          <cell r="G527">
            <v>251</v>
          </cell>
          <cell r="H527">
            <v>2033</v>
          </cell>
          <cell r="I527">
            <v>268</v>
          </cell>
          <cell r="J527">
            <v>178</v>
          </cell>
          <cell r="K527">
            <v>82</v>
          </cell>
          <cell r="L527">
            <v>143</v>
          </cell>
          <cell r="M527">
            <v>68</v>
          </cell>
          <cell r="N527">
            <v>8</v>
          </cell>
          <cell r="O527">
            <v>13</v>
          </cell>
          <cell r="P527">
            <v>27</v>
          </cell>
          <cell r="Q527">
            <v>45</v>
          </cell>
          <cell r="R527">
            <v>0</v>
          </cell>
          <cell r="S527">
            <v>15</v>
          </cell>
          <cell r="T527">
            <v>0</v>
          </cell>
          <cell r="U527">
            <v>15</v>
          </cell>
          <cell r="V527">
            <v>289</v>
          </cell>
          <cell r="W527">
            <v>115</v>
          </cell>
          <cell r="X527">
            <v>120</v>
          </cell>
          <cell r="Y527">
            <v>76</v>
          </cell>
          <cell r="Z527">
            <v>0</v>
          </cell>
          <cell r="AA527">
            <v>15</v>
          </cell>
          <cell r="AB527">
            <v>118</v>
          </cell>
          <cell r="AC527">
            <v>64</v>
          </cell>
          <cell r="AD527">
            <v>51</v>
          </cell>
          <cell r="AE527">
            <v>45</v>
          </cell>
          <cell r="AF527">
            <v>0</v>
          </cell>
          <cell r="AG527">
            <v>15</v>
          </cell>
          <cell r="AH527">
            <v>0</v>
          </cell>
          <cell r="AI527">
            <v>15</v>
          </cell>
          <cell r="AJ527">
            <v>0</v>
          </cell>
          <cell r="AK527">
            <v>15</v>
          </cell>
          <cell r="AL527">
            <v>0</v>
          </cell>
          <cell r="AM527">
            <v>15</v>
          </cell>
          <cell r="AN527">
            <v>33</v>
          </cell>
          <cell r="AO527">
            <v>32</v>
          </cell>
          <cell r="AP527">
            <v>0</v>
          </cell>
          <cell r="AQ527">
            <v>15</v>
          </cell>
          <cell r="AR527">
            <v>24</v>
          </cell>
          <cell r="AS527">
            <v>27</v>
          </cell>
        </row>
        <row r="528">
          <cell r="B528">
            <v>17031561000</v>
          </cell>
          <cell r="D528">
            <v>2583</v>
          </cell>
          <cell r="E528">
            <v>287</v>
          </cell>
          <cell r="F528">
            <v>2225</v>
          </cell>
          <cell r="G528">
            <v>252</v>
          </cell>
          <cell r="H528">
            <v>2033</v>
          </cell>
          <cell r="I528">
            <v>242</v>
          </cell>
          <cell r="J528">
            <v>192</v>
          </cell>
          <cell r="K528">
            <v>100</v>
          </cell>
          <cell r="L528">
            <v>136</v>
          </cell>
          <cell r="M528">
            <v>98</v>
          </cell>
          <cell r="N528">
            <v>31</v>
          </cell>
          <cell r="O528">
            <v>28</v>
          </cell>
          <cell r="P528">
            <v>25</v>
          </cell>
          <cell r="Q528">
            <v>28</v>
          </cell>
          <cell r="R528">
            <v>0</v>
          </cell>
          <cell r="S528">
            <v>15</v>
          </cell>
          <cell r="T528">
            <v>0</v>
          </cell>
          <cell r="U528">
            <v>15</v>
          </cell>
          <cell r="V528">
            <v>329</v>
          </cell>
          <cell r="W528">
            <v>131</v>
          </cell>
          <cell r="X528">
            <v>30</v>
          </cell>
          <cell r="Y528">
            <v>35</v>
          </cell>
          <cell r="Z528">
            <v>0</v>
          </cell>
          <cell r="AA528">
            <v>15</v>
          </cell>
          <cell r="AB528">
            <v>258</v>
          </cell>
          <cell r="AC528">
            <v>125</v>
          </cell>
          <cell r="AD528">
            <v>41</v>
          </cell>
          <cell r="AE528">
            <v>39</v>
          </cell>
          <cell r="AF528">
            <v>0</v>
          </cell>
          <cell r="AG528">
            <v>15</v>
          </cell>
          <cell r="AH528">
            <v>0</v>
          </cell>
          <cell r="AI528">
            <v>15</v>
          </cell>
          <cell r="AJ528">
            <v>0</v>
          </cell>
          <cell r="AK528">
            <v>15</v>
          </cell>
          <cell r="AL528">
            <v>13</v>
          </cell>
          <cell r="AM528">
            <v>22</v>
          </cell>
          <cell r="AN528">
            <v>0</v>
          </cell>
          <cell r="AO528">
            <v>15</v>
          </cell>
          <cell r="AP528">
            <v>0</v>
          </cell>
          <cell r="AQ528">
            <v>15</v>
          </cell>
          <cell r="AR528">
            <v>16</v>
          </cell>
          <cell r="AS528">
            <v>24</v>
          </cell>
        </row>
        <row r="529">
          <cell r="B529">
            <v>17031561100</v>
          </cell>
          <cell r="D529">
            <v>2603</v>
          </cell>
          <cell r="E529">
            <v>199</v>
          </cell>
          <cell r="F529">
            <v>2139</v>
          </cell>
          <cell r="G529">
            <v>215</v>
          </cell>
          <cell r="H529">
            <v>1931</v>
          </cell>
          <cell r="I529">
            <v>264</v>
          </cell>
          <cell r="J529">
            <v>208</v>
          </cell>
          <cell r="K529">
            <v>165</v>
          </cell>
          <cell r="L529">
            <v>74</v>
          </cell>
          <cell r="M529">
            <v>61</v>
          </cell>
          <cell r="N529">
            <v>134</v>
          </cell>
          <cell r="O529">
            <v>154</v>
          </cell>
          <cell r="P529">
            <v>0</v>
          </cell>
          <cell r="Q529">
            <v>15</v>
          </cell>
          <cell r="R529">
            <v>0</v>
          </cell>
          <cell r="S529">
            <v>15</v>
          </cell>
          <cell r="T529">
            <v>0</v>
          </cell>
          <cell r="U529">
            <v>15</v>
          </cell>
          <cell r="V529">
            <v>352</v>
          </cell>
          <cell r="W529">
            <v>111</v>
          </cell>
          <cell r="X529">
            <v>83</v>
          </cell>
          <cell r="Y529">
            <v>58</v>
          </cell>
          <cell r="Z529">
            <v>0</v>
          </cell>
          <cell r="AA529">
            <v>15</v>
          </cell>
          <cell r="AB529">
            <v>253</v>
          </cell>
          <cell r="AC529">
            <v>101</v>
          </cell>
          <cell r="AD529">
            <v>16</v>
          </cell>
          <cell r="AE529">
            <v>14</v>
          </cell>
          <cell r="AF529">
            <v>0</v>
          </cell>
          <cell r="AG529">
            <v>15</v>
          </cell>
          <cell r="AH529">
            <v>0</v>
          </cell>
          <cell r="AI529">
            <v>15</v>
          </cell>
          <cell r="AJ529">
            <v>0</v>
          </cell>
          <cell r="AK529">
            <v>15</v>
          </cell>
          <cell r="AL529">
            <v>0</v>
          </cell>
          <cell r="AM529">
            <v>15</v>
          </cell>
          <cell r="AN529">
            <v>64</v>
          </cell>
          <cell r="AO529">
            <v>48</v>
          </cell>
          <cell r="AP529">
            <v>19</v>
          </cell>
          <cell r="AQ529">
            <v>21</v>
          </cell>
          <cell r="AR529">
            <v>29</v>
          </cell>
          <cell r="AS529">
            <v>29</v>
          </cell>
        </row>
        <row r="530">
          <cell r="B530">
            <v>17031570100</v>
          </cell>
          <cell r="D530">
            <v>649</v>
          </cell>
          <cell r="E530">
            <v>104</v>
          </cell>
          <cell r="F530">
            <v>523</v>
          </cell>
          <cell r="G530">
            <v>95</v>
          </cell>
          <cell r="H530">
            <v>360</v>
          </cell>
          <cell r="I530">
            <v>62</v>
          </cell>
          <cell r="J530">
            <v>163</v>
          </cell>
          <cell r="K530">
            <v>73</v>
          </cell>
          <cell r="L530">
            <v>107</v>
          </cell>
          <cell r="M530">
            <v>63</v>
          </cell>
          <cell r="N530">
            <v>49</v>
          </cell>
          <cell r="O530">
            <v>38</v>
          </cell>
          <cell r="P530">
            <v>0</v>
          </cell>
          <cell r="Q530">
            <v>11</v>
          </cell>
          <cell r="R530">
            <v>0</v>
          </cell>
          <cell r="S530">
            <v>11</v>
          </cell>
          <cell r="T530">
            <v>7</v>
          </cell>
          <cell r="U530">
            <v>12</v>
          </cell>
          <cell r="V530">
            <v>84</v>
          </cell>
          <cell r="W530">
            <v>40</v>
          </cell>
          <cell r="X530">
            <v>45</v>
          </cell>
          <cell r="Y530">
            <v>37</v>
          </cell>
          <cell r="Z530">
            <v>0</v>
          </cell>
          <cell r="AA530">
            <v>11</v>
          </cell>
          <cell r="AB530">
            <v>39</v>
          </cell>
          <cell r="AC530">
            <v>21</v>
          </cell>
          <cell r="AD530">
            <v>0</v>
          </cell>
          <cell r="AE530">
            <v>11</v>
          </cell>
          <cell r="AF530">
            <v>0</v>
          </cell>
          <cell r="AG530">
            <v>11</v>
          </cell>
          <cell r="AH530">
            <v>0</v>
          </cell>
          <cell r="AI530">
            <v>11</v>
          </cell>
          <cell r="AJ530">
            <v>0</v>
          </cell>
          <cell r="AK530">
            <v>11</v>
          </cell>
          <cell r="AL530">
            <v>0</v>
          </cell>
          <cell r="AM530">
            <v>11</v>
          </cell>
          <cell r="AN530">
            <v>27</v>
          </cell>
          <cell r="AO530">
            <v>26</v>
          </cell>
          <cell r="AP530">
            <v>0</v>
          </cell>
          <cell r="AQ530">
            <v>11</v>
          </cell>
          <cell r="AR530">
            <v>15</v>
          </cell>
          <cell r="AS530">
            <v>13</v>
          </cell>
        </row>
        <row r="531">
          <cell r="B531">
            <v>17031570200</v>
          </cell>
          <cell r="D531">
            <v>887</v>
          </cell>
          <cell r="E531">
            <v>162</v>
          </cell>
          <cell r="F531">
            <v>750</v>
          </cell>
          <cell r="G531">
            <v>151</v>
          </cell>
          <cell r="H531">
            <v>656</v>
          </cell>
          <cell r="I531">
            <v>135</v>
          </cell>
          <cell r="J531">
            <v>94</v>
          </cell>
          <cell r="K531">
            <v>58</v>
          </cell>
          <cell r="L531">
            <v>21</v>
          </cell>
          <cell r="M531">
            <v>24</v>
          </cell>
          <cell r="N531">
            <v>73</v>
          </cell>
          <cell r="O531">
            <v>48</v>
          </cell>
          <cell r="P531">
            <v>0</v>
          </cell>
          <cell r="Q531">
            <v>11</v>
          </cell>
          <cell r="R531">
            <v>0</v>
          </cell>
          <cell r="S531">
            <v>11</v>
          </cell>
          <cell r="T531">
            <v>0</v>
          </cell>
          <cell r="U531">
            <v>11</v>
          </cell>
          <cell r="V531">
            <v>90</v>
          </cell>
          <cell r="W531">
            <v>52</v>
          </cell>
          <cell r="X531">
            <v>25</v>
          </cell>
          <cell r="Y531">
            <v>40</v>
          </cell>
          <cell r="Z531">
            <v>0</v>
          </cell>
          <cell r="AA531">
            <v>11</v>
          </cell>
          <cell r="AB531">
            <v>55</v>
          </cell>
          <cell r="AC531">
            <v>34</v>
          </cell>
          <cell r="AD531">
            <v>10</v>
          </cell>
          <cell r="AE531">
            <v>13</v>
          </cell>
          <cell r="AF531">
            <v>0</v>
          </cell>
          <cell r="AG531">
            <v>11</v>
          </cell>
          <cell r="AH531">
            <v>0</v>
          </cell>
          <cell r="AI531">
            <v>11</v>
          </cell>
          <cell r="AJ531">
            <v>0</v>
          </cell>
          <cell r="AK531">
            <v>11</v>
          </cell>
          <cell r="AL531">
            <v>5</v>
          </cell>
          <cell r="AM531">
            <v>8</v>
          </cell>
          <cell r="AN531">
            <v>33</v>
          </cell>
          <cell r="AO531">
            <v>24</v>
          </cell>
          <cell r="AP531">
            <v>0</v>
          </cell>
          <cell r="AQ531">
            <v>11</v>
          </cell>
          <cell r="AR531">
            <v>9</v>
          </cell>
          <cell r="AS531">
            <v>13</v>
          </cell>
        </row>
        <row r="532">
          <cell r="B532">
            <v>17031570300</v>
          </cell>
          <cell r="D532">
            <v>2446</v>
          </cell>
          <cell r="E532">
            <v>291</v>
          </cell>
          <cell r="F532">
            <v>1826</v>
          </cell>
          <cell r="G532">
            <v>235</v>
          </cell>
          <cell r="H532">
            <v>1509</v>
          </cell>
          <cell r="I532">
            <v>194</v>
          </cell>
          <cell r="J532">
            <v>317</v>
          </cell>
          <cell r="K532">
            <v>117</v>
          </cell>
          <cell r="L532">
            <v>165</v>
          </cell>
          <cell r="M532">
            <v>97</v>
          </cell>
          <cell r="N532">
            <v>46</v>
          </cell>
          <cell r="O532">
            <v>36</v>
          </cell>
          <cell r="P532">
            <v>62</v>
          </cell>
          <cell r="Q532">
            <v>43</v>
          </cell>
          <cell r="R532">
            <v>44</v>
          </cell>
          <cell r="S532">
            <v>45</v>
          </cell>
          <cell r="T532">
            <v>0</v>
          </cell>
          <cell r="U532">
            <v>15</v>
          </cell>
          <cell r="V532">
            <v>428</v>
          </cell>
          <cell r="W532">
            <v>147</v>
          </cell>
          <cell r="X532">
            <v>115</v>
          </cell>
          <cell r="Y532">
            <v>72</v>
          </cell>
          <cell r="Z532">
            <v>0</v>
          </cell>
          <cell r="AA532">
            <v>15</v>
          </cell>
          <cell r="AB532">
            <v>313</v>
          </cell>
          <cell r="AC532">
            <v>131</v>
          </cell>
          <cell r="AD532">
            <v>0</v>
          </cell>
          <cell r="AE532">
            <v>15</v>
          </cell>
          <cell r="AF532">
            <v>0</v>
          </cell>
          <cell r="AG532">
            <v>15</v>
          </cell>
          <cell r="AH532">
            <v>0</v>
          </cell>
          <cell r="AI532">
            <v>15</v>
          </cell>
          <cell r="AJ532">
            <v>0</v>
          </cell>
          <cell r="AK532">
            <v>15</v>
          </cell>
          <cell r="AL532">
            <v>0</v>
          </cell>
          <cell r="AM532">
            <v>15</v>
          </cell>
          <cell r="AN532">
            <v>142</v>
          </cell>
          <cell r="AO532">
            <v>74</v>
          </cell>
          <cell r="AP532">
            <v>8</v>
          </cell>
          <cell r="AQ532">
            <v>13</v>
          </cell>
          <cell r="AR532">
            <v>42</v>
          </cell>
          <cell r="AS532">
            <v>44</v>
          </cell>
        </row>
        <row r="533">
          <cell r="B533">
            <v>17031570400</v>
          </cell>
          <cell r="D533">
            <v>802</v>
          </cell>
          <cell r="E533">
            <v>134</v>
          </cell>
          <cell r="F533">
            <v>609</v>
          </cell>
          <cell r="G533">
            <v>141</v>
          </cell>
          <cell r="H533">
            <v>382</v>
          </cell>
          <cell r="I533">
            <v>115</v>
          </cell>
          <cell r="J533">
            <v>227</v>
          </cell>
          <cell r="K533">
            <v>82</v>
          </cell>
          <cell r="L533">
            <v>191</v>
          </cell>
          <cell r="M533">
            <v>67</v>
          </cell>
          <cell r="N533">
            <v>22</v>
          </cell>
          <cell r="O533">
            <v>26</v>
          </cell>
          <cell r="P533">
            <v>0</v>
          </cell>
          <cell r="Q533">
            <v>11</v>
          </cell>
          <cell r="R533">
            <v>14</v>
          </cell>
          <cell r="S533">
            <v>19</v>
          </cell>
          <cell r="T533">
            <v>0</v>
          </cell>
          <cell r="U533">
            <v>11</v>
          </cell>
          <cell r="V533">
            <v>152</v>
          </cell>
          <cell r="W533">
            <v>73</v>
          </cell>
          <cell r="X533">
            <v>85</v>
          </cell>
          <cell r="Y533">
            <v>57</v>
          </cell>
          <cell r="Z533">
            <v>0</v>
          </cell>
          <cell r="AA533">
            <v>11</v>
          </cell>
          <cell r="AB533">
            <v>58</v>
          </cell>
          <cell r="AC533">
            <v>38</v>
          </cell>
          <cell r="AD533">
            <v>9</v>
          </cell>
          <cell r="AE533">
            <v>13</v>
          </cell>
          <cell r="AF533">
            <v>0</v>
          </cell>
          <cell r="AG533">
            <v>11</v>
          </cell>
          <cell r="AH533">
            <v>0</v>
          </cell>
          <cell r="AI533">
            <v>11</v>
          </cell>
          <cell r="AJ533">
            <v>0</v>
          </cell>
          <cell r="AK533">
            <v>11</v>
          </cell>
          <cell r="AL533">
            <v>14</v>
          </cell>
          <cell r="AM533">
            <v>21</v>
          </cell>
          <cell r="AN533">
            <v>25</v>
          </cell>
          <cell r="AO533">
            <v>23</v>
          </cell>
          <cell r="AP533">
            <v>0</v>
          </cell>
          <cell r="AQ533">
            <v>11</v>
          </cell>
          <cell r="AR533">
            <v>2</v>
          </cell>
          <cell r="AS533">
            <v>3</v>
          </cell>
        </row>
        <row r="534">
          <cell r="B534">
            <v>17031570500</v>
          </cell>
          <cell r="D534">
            <v>1051</v>
          </cell>
          <cell r="E534">
            <v>120</v>
          </cell>
          <cell r="F534">
            <v>761</v>
          </cell>
          <cell r="G534">
            <v>124</v>
          </cell>
          <cell r="H534">
            <v>683</v>
          </cell>
          <cell r="I534">
            <v>139</v>
          </cell>
          <cell r="J534">
            <v>78</v>
          </cell>
          <cell r="K534">
            <v>45</v>
          </cell>
          <cell r="L534">
            <v>39</v>
          </cell>
          <cell r="M534">
            <v>34</v>
          </cell>
          <cell r="N534">
            <v>39</v>
          </cell>
          <cell r="O534">
            <v>38</v>
          </cell>
          <cell r="P534">
            <v>0</v>
          </cell>
          <cell r="Q534">
            <v>11</v>
          </cell>
          <cell r="R534">
            <v>0</v>
          </cell>
          <cell r="S534">
            <v>11</v>
          </cell>
          <cell r="T534">
            <v>0</v>
          </cell>
          <cell r="U534">
            <v>11</v>
          </cell>
          <cell r="V534">
            <v>183</v>
          </cell>
          <cell r="W534">
            <v>65</v>
          </cell>
          <cell r="X534">
            <v>73</v>
          </cell>
          <cell r="Y534">
            <v>43</v>
          </cell>
          <cell r="Z534">
            <v>0</v>
          </cell>
          <cell r="AA534">
            <v>11</v>
          </cell>
          <cell r="AB534">
            <v>110</v>
          </cell>
          <cell r="AC534">
            <v>57</v>
          </cell>
          <cell r="AD534">
            <v>0</v>
          </cell>
          <cell r="AE534">
            <v>11</v>
          </cell>
          <cell r="AF534">
            <v>0</v>
          </cell>
          <cell r="AG534">
            <v>11</v>
          </cell>
          <cell r="AH534">
            <v>0</v>
          </cell>
          <cell r="AI534">
            <v>11</v>
          </cell>
          <cell r="AJ534">
            <v>0</v>
          </cell>
          <cell r="AK534">
            <v>11</v>
          </cell>
          <cell r="AL534">
            <v>15</v>
          </cell>
          <cell r="AM534">
            <v>24</v>
          </cell>
          <cell r="AN534">
            <v>69</v>
          </cell>
          <cell r="AO534">
            <v>72</v>
          </cell>
          <cell r="AP534">
            <v>11</v>
          </cell>
          <cell r="AQ534">
            <v>18</v>
          </cell>
          <cell r="AR534">
            <v>12</v>
          </cell>
          <cell r="AS534">
            <v>14</v>
          </cell>
        </row>
        <row r="535">
          <cell r="B535">
            <v>17031580100</v>
          </cell>
          <cell r="D535">
            <v>1276</v>
          </cell>
          <cell r="E535">
            <v>149</v>
          </cell>
          <cell r="F535">
            <v>854</v>
          </cell>
          <cell r="G535">
            <v>124</v>
          </cell>
          <cell r="H535">
            <v>618</v>
          </cell>
          <cell r="I535">
            <v>100</v>
          </cell>
          <cell r="J535">
            <v>236</v>
          </cell>
          <cell r="K535">
            <v>90</v>
          </cell>
          <cell r="L535">
            <v>108</v>
          </cell>
          <cell r="M535">
            <v>56</v>
          </cell>
          <cell r="N535">
            <v>82</v>
          </cell>
          <cell r="O535">
            <v>61</v>
          </cell>
          <cell r="P535">
            <v>18</v>
          </cell>
          <cell r="Q535">
            <v>28</v>
          </cell>
          <cell r="R535">
            <v>28</v>
          </cell>
          <cell r="S535">
            <v>24</v>
          </cell>
          <cell r="T535">
            <v>0</v>
          </cell>
          <cell r="U535">
            <v>11</v>
          </cell>
          <cell r="V535">
            <v>264</v>
          </cell>
          <cell r="W535">
            <v>91</v>
          </cell>
          <cell r="X535">
            <v>182</v>
          </cell>
          <cell r="Y535">
            <v>77</v>
          </cell>
          <cell r="Z535">
            <v>0</v>
          </cell>
          <cell r="AA535">
            <v>11</v>
          </cell>
          <cell r="AB535">
            <v>80</v>
          </cell>
          <cell r="AC535">
            <v>47</v>
          </cell>
          <cell r="AD535">
            <v>2</v>
          </cell>
          <cell r="AE535">
            <v>5</v>
          </cell>
          <cell r="AF535">
            <v>0</v>
          </cell>
          <cell r="AG535">
            <v>11</v>
          </cell>
          <cell r="AH535">
            <v>0</v>
          </cell>
          <cell r="AI535">
            <v>11</v>
          </cell>
          <cell r="AJ535">
            <v>0</v>
          </cell>
          <cell r="AK535">
            <v>11</v>
          </cell>
          <cell r="AL535">
            <v>51</v>
          </cell>
          <cell r="AM535">
            <v>43</v>
          </cell>
          <cell r="AN535">
            <v>55</v>
          </cell>
          <cell r="AO535">
            <v>36</v>
          </cell>
          <cell r="AP535">
            <v>35</v>
          </cell>
          <cell r="AQ535">
            <v>44</v>
          </cell>
          <cell r="AR535">
            <v>17</v>
          </cell>
          <cell r="AS535">
            <v>17</v>
          </cell>
        </row>
        <row r="536">
          <cell r="B536">
            <v>17031580200</v>
          </cell>
          <cell r="D536">
            <v>1317</v>
          </cell>
          <cell r="E536">
            <v>172</v>
          </cell>
          <cell r="F536">
            <v>991</v>
          </cell>
          <cell r="G536">
            <v>136</v>
          </cell>
          <cell r="H536">
            <v>883</v>
          </cell>
          <cell r="I536">
            <v>109</v>
          </cell>
          <cell r="J536">
            <v>108</v>
          </cell>
          <cell r="K536">
            <v>59</v>
          </cell>
          <cell r="L536">
            <v>95</v>
          </cell>
          <cell r="M536">
            <v>54</v>
          </cell>
          <cell r="N536">
            <v>10</v>
          </cell>
          <cell r="O536">
            <v>16</v>
          </cell>
          <cell r="P536">
            <v>3</v>
          </cell>
          <cell r="Q536">
            <v>7</v>
          </cell>
          <cell r="R536">
            <v>0</v>
          </cell>
          <cell r="S536">
            <v>11</v>
          </cell>
          <cell r="T536">
            <v>0</v>
          </cell>
          <cell r="U536">
            <v>11</v>
          </cell>
          <cell r="V536">
            <v>276</v>
          </cell>
          <cell r="W536">
            <v>91</v>
          </cell>
          <cell r="X536">
            <v>126</v>
          </cell>
          <cell r="Y536">
            <v>56</v>
          </cell>
          <cell r="Z536">
            <v>0</v>
          </cell>
          <cell r="AA536">
            <v>11</v>
          </cell>
          <cell r="AB536">
            <v>136</v>
          </cell>
          <cell r="AC536">
            <v>76</v>
          </cell>
          <cell r="AD536">
            <v>14</v>
          </cell>
          <cell r="AE536">
            <v>22</v>
          </cell>
          <cell r="AF536">
            <v>0</v>
          </cell>
          <cell r="AG536">
            <v>11</v>
          </cell>
          <cell r="AH536">
            <v>0</v>
          </cell>
          <cell r="AI536">
            <v>11</v>
          </cell>
          <cell r="AJ536">
            <v>0</v>
          </cell>
          <cell r="AK536">
            <v>11</v>
          </cell>
          <cell r="AL536">
            <v>0</v>
          </cell>
          <cell r="AM536">
            <v>11</v>
          </cell>
          <cell r="AN536">
            <v>12</v>
          </cell>
          <cell r="AO536">
            <v>16</v>
          </cell>
          <cell r="AP536">
            <v>14</v>
          </cell>
          <cell r="AQ536">
            <v>32</v>
          </cell>
          <cell r="AR536">
            <v>24</v>
          </cell>
          <cell r="AS536">
            <v>37</v>
          </cell>
        </row>
        <row r="537">
          <cell r="B537">
            <v>17031580300</v>
          </cell>
          <cell r="D537">
            <v>1000</v>
          </cell>
          <cell r="E537">
            <v>176</v>
          </cell>
          <cell r="F537">
            <v>798</v>
          </cell>
          <cell r="G537">
            <v>156</v>
          </cell>
          <cell r="H537">
            <v>486</v>
          </cell>
          <cell r="I537">
            <v>122</v>
          </cell>
          <cell r="J537">
            <v>312</v>
          </cell>
          <cell r="K537">
            <v>92</v>
          </cell>
          <cell r="L537">
            <v>204</v>
          </cell>
          <cell r="M537">
            <v>74</v>
          </cell>
          <cell r="N537">
            <v>58</v>
          </cell>
          <cell r="O537">
            <v>47</v>
          </cell>
          <cell r="P537">
            <v>35</v>
          </cell>
          <cell r="Q537">
            <v>36</v>
          </cell>
          <cell r="R537">
            <v>15</v>
          </cell>
          <cell r="S537">
            <v>15</v>
          </cell>
          <cell r="T537">
            <v>0</v>
          </cell>
          <cell r="U537">
            <v>11</v>
          </cell>
          <cell r="V537">
            <v>190</v>
          </cell>
          <cell r="W537">
            <v>77</v>
          </cell>
          <cell r="X537">
            <v>158</v>
          </cell>
          <cell r="Y537">
            <v>68</v>
          </cell>
          <cell r="Z537">
            <v>0</v>
          </cell>
          <cell r="AA537">
            <v>11</v>
          </cell>
          <cell r="AB537">
            <v>32</v>
          </cell>
          <cell r="AC537">
            <v>34</v>
          </cell>
          <cell r="AD537">
            <v>0</v>
          </cell>
          <cell r="AE537">
            <v>11</v>
          </cell>
          <cell r="AF537">
            <v>0</v>
          </cell>
          <cell r="AG537">
            <v>11</v>
          </cell>
          <cell r="AH537">
            <v>0</v>
          </cell>
          <cell r="AI537">
            <v>11</v>
          </cell>
          <cell r="AJ537">
            <v>0</v>
          </cell>
          <cell r="AK537">
            <v>11</v>
          </cell>
          <cell r="AL537">
            <v>0</v>
          </cell>
          <cell r="AM537">
            <v>11</v>
          </cell>
          <cell r="AN537">
            <v>6</v>
          </cell>
          <cell r="AO537">
            <v>10</v>
          </cell>
          <cell r="AP537">
            <v>6</v>
          </cell>
          <cell r="AQ537">
            <v>10</v>
          </cell>
          <cell r="AR537">
            <v>0</v>
          </cell>
          <cell r="AS537">
            <v>11</v>
          </cell>
        </row>
        <row r="538">
          <cell r="B538">
            <v>17031580400</v>
          </cell>
          <cell r="D538">
            <v>1897</v>
          </cell>
          <cell r="E538">
            <v>338</v>
          </cell>
          <cell r="F538">
            <v>1529</v>
          </cell>
          <cell r="G538">
            <v>339</v>
          </cell>
          <cell r="H538">
            <v>1213</v>
          </cell>
          <cell r="I538">
            <v>263</v>
          </cell>
          <cell r="J538">
            <v>316</v>
          </cell>
          <cell r="K538">
            <v>172</v>
          </cell>
          <cell r="L538">
            <v>156</v>
          </cell>
          <cell r="M538">
            <v>96</v>
          </cell>
          <cell r="N538">
            <v>93</v>
          </cell>
          <cell r="O538">
            <v>80</v>
          </cell>
          <cell r="P538">
            <v>51</v>
          </cell>
          <cell r="Q538">
            <v>46</v>
          </cell>
          <cell r="R538">
            <v>16</v>
          </cell>
          <cell r="S538">
            <v>24</v>
          </cell>
          <cell r="T538">
            <v>0</v>
          </cell>
          <cell r="U538">
            <v>11</v>
          </cell>
          <cell r="V538">
            <v>283</v>
          </cell>
          <cell r="W538">
            <v>107</v>
          </cell>
          <cell r="X538">
            <v>218</v>
          </cell>
          <cell r="Y538">
            <v>105</v>
          </cell>
          <cell r="Z538">
            <v>0</v>
          </cell>
          <cell r="AA538">
            <v>11</v>
          </cell>
          <cell r="AB538">
            <v>65</v>
          </cell>
          <cell r="AC538">
            <v>50</v>
          </cell>
          <cell r="AD538">
            <v>0</v>
          </cell>
          <cell r="AE538">
            <v>11</v>
          </cell>
          <cell r="AF538">
            <v>0</v>
          </cell>
          <cell r="AG538">
            <v>11</v>
          </cell>
          <cell r="AH538">
            <v>0</v>
          </cell>
          <cell r="AI538">
            <v>11</v>
          </cell>
          <cell r="AJ538">
            <v>0</v>
          </cell>
          <cell r="AK538">
            <v>11</v>
          </cell>
          <cell r="AL538">
            <v>36</v>
          </cell>
          <cell r="AM538">
            <v>51</v>
          </cell>
          <cell r="AN538">
            <v>29</v>
          </cell>
          <cell r="AO538">
            <v>36</v>
          </cell>
          <cell r="AP538">
            <v>0</v>
          </cell>
          <cell r="AQ538">
            <v>11</v>
          </cell>
          <cell r="AR538">
            <v>20</v>
          </cell>
          <cell r="AS538">
            <v>32</v>
          </cell>
        </row>
        <row r="539">
          <cell r="B539">
            <v>17031580501</v>
          </cell>
          <cell r="D539">
            <v>2208</v>
          </cell>
          <cell r="E539">
            <v>304</v>
          </cell>
          <cell r="F539">
            <v>1462</v>
          </cell>
          <cell r="G539">
            <v>244</v>
          </cell>
          <cell r="H539">
            <v>1140</v>
          </cell>
          <cell r="I539">
            <v>205</v>
          </cell>
          <cell r="J539">
            <v>322</v>
          </cell>
          <cell r="K539">
            <v>130</v>
          </cell>
          <cell r="L539">
            <v>186</v>
          </cell>
          <cell r="M539">
            <v>96</v>
          </cell>
          <cell r="N539">
            <v>79</v>
          </cell>
          <cell r="O539">
            <v>59</v>
          </cell>
          <cell r="P539">
            <v>48</v>
          </cell>
          <cell r="Q539">
            <v>46</v>
          </cell>
          <cell r="R539">
            <v>9</v>
          </cell>
          <cell r="S539">
            <v>14</v>
          </cell>
          <cell r="T539">
            <v>0</v>
          </cell>
          <cell r="U539">
            <v>15</v>
          </cell>
          <cell r="V539">
            <v>526</v>
          </cell>
          <cell r="W539">
            <v>216</v>
          </cell>
          <cell r="X539">
            <v>360</v>
          </cell>
          <cell r="Y539">
            <v>172</v>
          </cell>
          <cell r="Z539">
            <v>48</v>
          </cell>
          <cell r="AA539">
            <v>57</v>
          </cell>
          <cell r="AB539">
            <v>91</v>
          </cell>
          <cell r="AC539">
            <v>94</v>
          </cell>
          <cell r="AD539">
            <v>27</v>
          </cell>
          <cell r="AE539">
            <v>33</v>
          </cell>
          <cell r="AF539">
            <v>0</v>
          </cell>
          <cell r="AG539">
            <v>15</v>
          </cell>
          <cell r="AH539">
            <v>0</v>
          </cell>
          <cell r="AI539">
            <v>15</v>
          </cell>
          <cell r="AJ539">
            <v>0</v>
          </cell>
          <cell r="AK539">
            <v>15</v>
          </cell>
          <cell r="AL539">
            <v>0</v>
          </cell>
          <cell r="AM539">
            <v>15</v>
          </cell>
          <cell r="AN539">
            <v>133</v>
          </cell>
          <cell r="AO539">
            <v>81</v>
          </cell>
          <cell r="AP539">
            <v>37</v>
          </cell>
          <cell r="AQ539">
            <v>43</v>
          </cell>
          <cell r="AR539">
            <v>50</v>
          </cell>
          <cell r="AS539">
            <v>59</v>
          </cell>
        </row>
        <row r="540">
          <cell r="B540">
            <v>17031580502</v>
          </cell>
          <cell r="D540">
            <v>2412</v>
          </cell>
          <cell r="E540">
            <v>297</v>
          </cell>
          <cell r="F540">
            <v>1891</v>
          </cell>
          <cell r="G540">
            <v>268</v>
          </cell>
          <cell r="H540">
            <v>1518</v>
          </cell>
          <cell r="I540">
            <v>247</v>
          </cell>
          <cell r="J540">
            <v>373</v>
          </cell>
          <cell r="K540">
            <v>121</v>
          </cell>
          <cell r="L540">
            <v>278</v>
          </cell>
          <cell r="M540">
            <v>112</v>
          </cell>
          <cell r="N540">
            <v>58</v>
          </cell>
          <cell r="O540">
            <v>61</v>
          </cell>
          <cell r="P540">
            <v>0</v>
          </cell>
          <cell r="Q540">
            <v>15</v>
          </cell>
          <cell r="R540">
            <v>37</v>
          </cell>
          <cell r="S540">
            <v>45</v>
          </cell>
          <cell r="T540">
            <v>0</v>
          </cell>
          <cell r="U540">
            <v>15</v>
          </cell>
          <cell r="V540">
            <v>336</v>
          </cell>
          <cell r="W540">
            <v>131</v>
          </cell>
          <cell r="X540">
            <v>182</v>
          </cell>
          <cell r="Y540">
            <v>105</v>
          </cell>
          <cell r="Z540">
            <v>0</v>
          </cell>
          <cell r="AA540">
            <v>15</v>
          </cell>
          <cell r="AB540">
            <v>145</v>
          </cell>
          <cell r="AC540">
            <v>93</v>
          </cell>
          <cell r="AD540">
            <v>9</v>
          </cell>
          <cell r="AE540">
            <v>13</v>
          </cell>
          <cell r="AF540">
            <v>0</v>
          </cell>
          <cell r="AG540">
            <v>15</v>
          </cell>
          <cell r="AH540">
            <v>0</v>
          </cell>
          <cell r="AI540">
            <v>15</v>
          </cell>
          <cell r="AJ540">
            <v>0</v>
          </cell>
          <cell r="AK540">
            <v>15</v>
          </cell>
          <cell r="AL540">
            <v>13</v>
          </cell>
          <cell r="AM540">
            <v>21</v>
          </cell>
          <cell r="AN540">
            <v>94</v>
          </cell>
          <cell r="AO540">
            <v>69</v>
          </cell>
          <cell r="AP540">
            <v>0</v>
          </cell>
          <cell r="AQ540">
            <v>15</v>
          </cell>
          <cell r="AR540">
            <v>78</v>
          </cell>
          <cell r="AS540">
            <v>70</v>
          </cell>
        </row>
        <row r="541">
          <cell r="B541">
            <v>17031580600</v>
          </cell>
          <cell r="D541">
            <v>2251</v>
          </cell>
          <cell r="E541">
            <v>289</v>
          </cell>
          <cell r="F541">
            <v>1687</v>
          </cell>
          <cell r="G541">
            <v>287</v>
          </cell>
          <cell r="H541">
            <v>1492</v>
          </cell>
          <cell r="I541">
            <v>277</v>
          </cell>
          <cell r="J541">
            <v>195</v>
          </cell>
          <cell r="K541">
            <v>104</v>
          </cell>
          <cell r="L541">
            <v>130</v>
          </cell>
          <cell r="M541">
            <v>86</v>
          </cell>
          <cell r="N541">
            <v>16</v>
          </cell>
          <cell r="O541">
            <v>26</v>
          </cell>
          <cell r="P541">
            <v>28</v>
          </cell>
          <cell r="Q541">
            <v>44</v>
          </cell>
          <cell r="R541">
            <v>0</v>
          </cell>
          <cell r="S541">
            <v>15</v>
          </cell>
          <cell r="T541">
            <v>21</v>
          </cell>
          <cell r="U541">
            <v>34</v>
          </cell>
          <cell r="V541">
            <v>428</v>
          </cell>
          <cell r="W541">
            <v>200</v>
          </cell>
          <cell r="X541">
            <v>188</v>
          </cell>
          <cell r="Y541">
            <v>110</v>
          </cell>
          <cell r="Z541">
            <v>15</v>
          </cell>
          <cell r="AA541">
            <v>23</v>
          </cell>
          <cell r="AB541">
            <v>176</v>
          </cell>
          <cell r="AC541">
            <v>122</v>
          </cell>
          <cell r="AD541">
            <v>49</v>
          </cell>
          <cell r="AE541">
            <v>82</v>
          </cell>
          <cell r="AF541">
            <v>0</v>
          </cell>
          <cell r="AG541">
            <v>15</v>
          </cell>
          <cell r="AH541">
            <v>0</v>
          </cell>
          <cell r="AI541">
            <v>15</v>
          </cell>
          <cell r="AJ541">
            <v>0</v>
          </cell>
          <cell r="AK541">
            <v>15</v>
          </cell>
          <cell r="AL541">
            <v>0</v>
          </cell>
          <cell r="AM541">
            <v>15</v>
          </cell>
          <cell r="AN541">
            <v>94</v>
          </cell>
          <cell r="AO541">
            <v>53</v>
          </cell>
          <cell r="AP541">
            <v>8</v>
          </cell>
          <cell r="AQ541">
            <v>12</v>
          </cell>
          <cell r="AR541">
            <v>34</v>
          </cell>
          <cell r="AS541">
            <v>48</v>
          </cell>
        </row>
        <row r="542">
          <cell r="B542">
            <v>17031580700</v>
          </cell>
          <cell r="D542">
            <v>2231</v>
          </cell>
          <cell r="E542">
            <v>301</v>
          </cell>
          <cell r="F542">
            <v>1635</v>
          </cell>
          <cell r="G542">
            <v>270</v>
          </cell>
          <cell r="H542">
            <v>1332</v>
          </cell>
          <cell r="I542">
            <v>256</v>
          </cell>
          <cell r="J542">
            <v>303</v>
          </cell>
          <cell r="K542">
            <v>131</v>
          </cell>
          <cell r="L542">
            <v>228</v>
          </cell>
          <cell r="M542">
            <v>113</v>
          </cell>
          <cell r="N542">
            <v>56</v>
          </cell>
          <cell r="O542">
            <v>63</v>
          </cell>
          <cell r="P542">
            <v>19</v>
          </cell>
          <cell r="Q542">
            <v>31</v>
          </cell>
          <cell r="R542">
            <v>0</v>
          </cell>
          <cell r="S542">
            <v>15</v>
          </cell>
          <cell r="T542">
            <v>0</v>
          </cell>
          <cell r="U542">
            <v>15</v>
          </cell>
          <cell r="V542">
            <v>437</v>
          </cell>
          <cell r="W542">
            <v>141</v>
          </cell>
          <cell r="X542">
            <v>252</v>
          </cell>
          <cell r="Y542">
            <v>110</v>
          </cell>
          <cell r="Z542">
            <v>12</v>
          </cell>
          <cell r="AA542">
            <v>19</v>
          </cell>
          <cell r="AB542">
            <v>163</v>
          </cell>
          <cell r="AC542">
            <v>113</v>
          </cell>
          <cell r="AD542">
            <v>10</v>
          </cell>
          <cell r="AE542">
            <v>18</v>
          </cell>
          <cell r="AF542">
            <v>0</v>
          </cell>
          <cell r="AG542">
            <v>15</v>
          </cell>
          <cell r="AH542">
            <v>0</v>
          </cell>
          <cell r="AI542">
            <v>15</v>
          </cell>
          <cell r="AJ542">
            <v>0</v>
          </cell>
          <cell r="AK542">
            <v>15</v>
          </cell>
          <cell r="AL542">
            <v>20</v>
          </cell>
          <cell r="AM542">
            <v>32</v>
          </cell>
          <cell r="AN542">
            <v>95</v>
          </cell>
          <cell r="AO542">
            <v>59</v>
          </cell>
          <cell r="AP542">
            <v>44</v>
          </cell>
          <cell r="AQ542">
            <v>37</v>
          </cell>
          <cell r="AR542">
            <v>0</v>
          </cell>
          <cell r="AS542">
            <v>15</v>
          </cell>
        </row>
        <row r="543">
          <cell r="B543">
            <v>17031580800</v>
          </cell>
          <cell r="D543">
            <v>684</v>
          </cell>
          <cell r="E543">
            <v>146</v>
          </cell>
          <cell r="F543">
            <v>419</v>
          </cell>
          <cell r="G543">
            <v>92</v>
          </cell>
          <cell r="H543">
            <v>348</v>
          </cell>
          <cell r="I543">
            <v>78</v>
          </cell>
          <cell r="J543">
            <v>71</v>
          </cell>
          <cell r="K543">
            <v>40</v>
          </cell>
          <cell r="L543">
            <v>24</v>
          </cell>
          <cell r="M543">
            <v>19</v>
          </cell>
          <cell r="N543">
            <v>27</v>
          </cell>
          <cell r="O543">
            <v>23</v>
          </cell>
          <cell r="P543">
            <v>20</v>
          </cell>
          <cell r="Q543">
            <v>23</v>
          </cell>
          <cell r="R543">
            <v>0</v>
          </cell>
          <cell r="S543">
            <v>11</v>
          </cell>
          <cell r="T543">
            <v>0</v>
          </cell>
          <cell r="U543">
            <v>11</v>
          </cell>
          <cell r="V543">
            <v>209</v>
          </cell>
          <cell r="W543">
            <v>96</v>
          </cell>
          <cell r="X543">
            <v>144</v>
          </cell>
          <cell r="Y543">
            <v>97</v>
          </cell>
          <cell r="Z543">
            <v>9</v>
          </cell>
          <cell r="AA543">
            <v>14</v>
          </cell>
          <cell r="AB543">
            <v>56</v>
          </cell>
          <cell r="AC543">
            <v>36</v>
          </cell>
          <cell r="AD543">
            <v>0</v>
          </cell>
          <cell r="AE543">
            <v>11</v>
          </cell>
          <cell r="AF543">
            <v>0</v>
          </cell>
          <cell r="AG543">
            <v>11</v>
          </cell>
          <cell r="AH543">
            <v>0</v>
          </cell>
          <cell r="AI543">
            <v>11</v>
          </cell>
          <cell r="AJ543">
            <v>0</v>
          </cell>
          <cell r="AK543">
            <v>11</v>
          </cell>
          <cell r="AL543">
            <v>0</v>
          </cell>
          <cell r="AM543">
            <v>11</v>
          </cell>
          <cell r="AN543">
            <v>45</v>
          </cell>
          <cell r="AO543">
            <v>38</v>
          </cell>
          <cell r="AP543">
            <v>6</v>
          </cell>
          <cell r="AQ543">
            <v>9</v>
          </cell>
          <cell r="AR543">
            <v>5</v>
          </cell>
          <cell r="AS543">
            <v>7</v>
          </cell>
        </row>
        <row r="544">
          <cell r="B544">
            <v>17031590500</v>
          </cell>
          <cell r="D544">
            <v>888</v>
          </cell>
          <cell r="E544">
            <v>101</v>
          </cell>
          <cell r="F544">
            <v>598</v>
          </cell>
          <cell r="G544">
            <v>90</v>
          </cell>
          <cell r="H544">
            <v>423</v>
          </cell>
          <cell r="I544">
            <v>86</v>
          </cell>
          <cell r="J544">
            <v>175</v>
          </cell>
          <cell r="K544">
            <v>64</v>
          </cell>
          <cell r="L544">
            <v>102</v>
          </cell>
          <cell r="M544">
            <v>49</v>
          </cell>
          <cell r="N544">
            <v>28</v>
          </cell>
          <cell r="O544">
            <v>28</v>
          </cell>
          <cell r="P544">
            <v>25</v>
          </cell>
          <cell r="Q544">
            <v>18</v>
          </cell>
          <cell r="R544">
            <v>11</v>
          </cell>
          <cell r="S544">
            <v>11</v>
          </cell>
          <cell r="T544">
            <v>9</v>
          </cell>
          <cell r="U544">
            <v>10</v>
          </cell>
          <cell r="V544">
            <v>197</v>
          </cell>
          <cell r="W544">
            <v>69</v>
          </cell>
          <cell r="X544">
            <v>91</v>
          </cell>
          <cell r="Y544">
            <v>49</v>
          </cell>
          <cell r="Z544">
            <v>0</v>
          </cell>
          <cell r="AA544">
            <v>11</v>
          </cell>
          <cell r="AB544">
            <v>106</v>
          </cell>
          <cell r="AC544">
            <v>55</v>
          </cell>
          <cell r="AD544">
            <v>0</v>
          </cell>
          <cell r="AE544">
            <v>11</v>
          </cell>
          <cell r="AF544">
            <v>0</v>
          </cell>
          <cell r="AG544">
            <v>11</v>
          </cell>
          <cell r="AH544">
            <v>0</v>
          </cell>
          <cell r="AI544">
            <v>11</v>
          </cell>
          <cell r="AJ544">
            <v>0</v>
          </cell>
          <cell r="AK544">
            <v>11</v>
          </cell>
          <cell r="AL544">
            <v>9</v>
          </cell>
          <cell r="AM544">
            <v>11</v>
          </cell>
          <cell r="AN544">
            <v>19</v>
          </cell>
          <cell r="AO544">
            <v>16</v>
          </cell>
          <cell r="AP544">
            <v>0</v>
          </cell>
          <cell r="AQ544">
            <v>11</v>
          </cell>
          <cell r="AR544">
            <v>65</v>
          </cell>
          <cell r="AS544">
            <v>47</v>
          </cell>
        </row>
        <row r="545">
          <cell r="B545">
            <v>17031590600</v>
          </cell>
          <cell r="D545">
            <v>1540</v>
          </cell>
          <cell r="E545">
            <v>180</v>
          </cell>
          <cell r="F545">
            <v>1062</v>
          </cell>
          <cell r="G545">
            <v>188</v>
          </cell>
          <cell r="H545">
            <v>943</v>
          </cell>
          <cell r="I545">
            <v>184</v>
          </cell>
          <cell r="J545">
            <v>119</v>
          </cell>
          <cell r="K545">
            <v>77</v>
          </cell>
          <cell r="L545">
            <v>84</v>
          </cell>
          <cell r="M545">
            <v>70</v>
          </cell>
          <cell r="N545">
            <v>33</v>
          </cell>
          <cell r="O545">
            <v>34</v>
          </cell>
          <cell r="P545">
            <v>0</v>
          </cell>
          <cell r="Q545">
            <v>11</v>
          </cell>
          <cell r="R545">
            <v>2</v>
          </cell>
          <cell r="S545">
            <v>8</v>
          </cell>
          <cell r="T545">
            <v>0</v>
          </cell>
          <cell r="U545">
            <v>11</v>
          </cell>
          <cell r="V545">
            <v>379</v>
          </cell>
          <cell r="W545">
            <v>134</v>
          </cell>
          <cell r="X545">
            <v>177</v>
          </cell>
          <cell r="Y545">
            <v>88</v>
          </cell>
          <cell r="Z545">
            <v>0</v>
          </cell>
          <cell r="AA545">
            <v>11</v>
          </cell>
          <cell r="AB545">
            <v>202</v>
          </cell>
          <cell r="AC545">
            <v>104</v>
          </cell>
          <cell r="AD545">
            <v>0</v>
          </cell>
          <cell r="AE545">
            <v>11</v>
          </cell>
          <cell r="AF545">
            <v>0</v>
          </cell>
          <cell r="AG545">
            <v>11</v>
          </cell>
          <cell r="AH545">
            <v>0</v>
          </cell>
          <cell r="AI545">
            <v>11</v>
          </cell>
          <cell r="AJ545">
            <v>0</v>
          </cell>
          <cell r="AK545">
            <v>11</v>
          </cell>
          <cell r="AL545">
            <v>0</v>
          </cell>
          <cell r="AM545">
            <v>11</v>
          </cell>
          <cell r="AN545">
            <v>84</v>
          </cell>
          <cell r="AO545">
            <v>59</v>
          </cell>
          <cell r="AP545">
            <v>0</v>
          </cell>
          <cell r="AQ545">
            <v>11</v>
          </cell>
          <cell r="AR545">
            <v>15</v>
          </cell>
          <cell r="AS545">
            <v>17</v>
          </cell>
        </row>
        <row r="546">
          <cell r="B546">
            <v>17031590700</v>
          </cell>
          <cell r="D546">
            <v>1454</v>
          </cell>
          <cell r="E546">
            <v>187</v>
          </cell>
          <cell r="F546">
            <v>1069</v>
          </cell>
          <cell r="G546">
            <v>207</v>
          </cell>
          <cell r="H546">
            <v>870</v>
          </cell>
          <cell r="I546">
            <v>157</v>
          </cell>
          <cell r="J546">
            <v>199</v>
          </cell>
          <cell r="K546">
            <v>115</v>
          </cell>
          <cell r="L546">
            <v>167</v>
          </cell>
          <cell r="M546">
            <v>113</v>
          </cell>
          <cell r="N546">
            <v>20</v>
          </cell>
          <cell r="O546">
            <v>32</v>
          </cell>
          <cell r="P546">
            <v>6</v>
          </cell>
          <cell r="Q546">
            <v>9</v>
          </cell>
          <cell r="R546">
            <v>6</v>
          </cell>
          <cell r="S546">
            <v>10</v>
          </cell>
          <cell r="T546">
            <v>0</v>
          </cell>
          <cell r="U546">
            <v>11</v>
          </cell>
          <cell r="V546">
            <v>250</v>
          </cell>
          <cell r="W546">
            <v>87</v>
          </cell>
          <cell r="X546">
            <v>194</v>
          </cell>
          <cell r="Y546">
            <v>85</v>
          </cell>
          <cell r="Z546">
            <v>8</v>
          </cell>
          <cell r="AA546">
            <v>11</v>
          </cell>
          <cell r="AB546">
            <v>48</v>
          </cell>
          <cell r="AC546">
            <v>30</v>
          </cell>
          <cell r="AD546">
            <v>0</v>
          </cell>
          <cell r="AE546">
            <v>11</v>
          </cell>
          <cell r="AF546">
            <v>0</v>
          </cell>
          <cell r="AG546">
            <v>11</v>
          </cell>
          <cell r="AH546">
            <v>0</v>
          </cell>
          <cell r="AI546">
            <v>11</v>
          </cell>
          <cell r="AJ546">
            <v>0</v>
          </cell>
          <cell r="AK546">
            <v>11</v>
          </cell>
          <cell r="AL546">
            <v>29</v>
          </cell>
          <cell r="AM546">
            <v>42</v>
          </cell>
          <cell r="AN546">
            <v>88</v>
          </cell>
          <cell r="AO546">
            <v>53</v>
          </cell>
          <cell r="AP546">
            <v>0</v>
          </cell>
          <cell r="AQ546">
            <v>11</v>
          </cell>
          <cell r="AR546">
            <v>18</v>
          </cell>
          <cell r="AS546">
            <v>15</v>
          </cell>
        </row>
        <row r="547">
          <cell r="B547">
            <v>17031600400</v>
          </cell>
          <cell r="D547">
            <v>2131</v>
          </cell>
          <cell r="E547">
            <v>266</v>
          </cell>
          <cell r="F547">
            <v>1377</v>
          </cell>
          <cell r="G547">
            <v>252</v>
          </cell>
          <cell r="H547">
            <v>997</v>
          </cell>
          <cell r="I547">
            <v>203</v>
          </cell>
          <cell r="J547">
            <v>380</v>
          </cell>
          <cell r="K547">
            <v>153</v>
          </cell>
          <cell r="L547">
            <v>131</v>
          </cell>
          <cell r="M547">
            <v>77</v>
          </cell>
          <cell r="N547">
            <v>86</v>
          </cell>
          <cell r="O547">
            <v>63</v>
          </cell>
          <cell r="P547">
            <v>56</v>
          </cell>
          <cell r="Q547">
            <v>51</v>
          </cell>
          <cell r="R547">
            <v>35</v>
          </cell>
          <cell r="S547">
            <v>41</v>
          </cell>
          <cell r="T547">
            <v>72</v>
          </cell>
          <cell r="U547">
            <v>57</v>
          </cell>
          <cell r="V547">
            <v>447</v>
          </cell>
          <cell r="W547">
            <v>121</v>
          </cell>
          <cell r="X547">
            <v>286</v>
          </cell>
          <cell r="Y547">
            <v>114</v>
          </cell>
          <cell r="Z547">
            <v>0</v>
          </cell>
          <cell r="AA547">
            <v>11</v>
          </cell>
          <cell r="AB547">
            <v>131</v>
          </cell>
          <cell r="AC547">
            <v>61</v>
          </cell>
          <cell r="AD547">
            <v>30</v>
          </cell>
          <cell r="AE547">
            <v>22</v>
          </cell>
          <cell r="AF547">
            <v>0</v>
          </cell>
          <cell r="AG547">
            <v>11</v>
          </cell>
          <cell r="AH547">
            <v>0</v>
          </cell>
          <cell r="AI547">
            <v>11</v>
          </cell>
          <cell r="AJ547">
            <v>8</v>
          </cell>
          <cell r="AK547">
            <v>12</v>
          </cell>
          <cell r="AL547">
            <v>28</v>
          </cell>
          <cell r="AM547">
            <v>30</v>
          </cell>
          <cell r="AN547">
            <v>247</v>
          </cell>
          <cell r="AO547">
            <v>138</v>
          </cell>
          <cell r="AP547">
            <v>24</v>
          </cell>
          <cell r="AQ547">
            <v>31</v>
          </cell>
          <cell r="AR547">
            <v>0</v>
          </cell>
          <cell r="AS547">
            <v>11</v>
          </cell>
        </row>
        <row r="548">
          <cell r="B548">
            <v>17031600600</v>
          </cell>
          <cell r="D548">
            <v>1374</v>
          </cell>
          <cell r="E548">
            <v>168</v>
          </cell>
          <cell r="F548">
            <v>783</v>
          </cell>
          <cell r="G548">
            <v>144</v>
          </cell>
          <cell r="H548">
            <v>629</v>
          </cell>
          <cell r="I548">
            <v>137</v>
          </cell>
          <cell r="J548">
            <v>154</v>
          </cell>
          <cell r="K548">
            <v>66</v>
          </cell>
          <cell r="L548">
            <v>133</v>
          </cell>
          <cell r="M548">
            <v>59</v>
          </cell>
          <cell r="N548">
            <v>21</v>
          </cell>
          <cell r="O548">
            <v>23</v>
          </cell>
          <cell r="P548">
            <v>0</v>
          </cell>
          <cell r="Q548">
            <v>11</v>
          </cell>
          <cell r="R548">
            <v>0</v>
          </cell>
          <cell r="S548">
            <v>11</v>
          </cell>
          <cell r="T548">
            <v>0</v>
          </cell>
          <cell r="U548">
            <v>11</v>
          </cell>
          <cell r="V548">
            <v>347</v>
          </cell>
          <cell r="W548">
            <v>105</v>
          </cell>
          <cell r="X548">
            <v>285</v>
          </cell>
          <cell r="Y548">
            <v>90</v>
          </cell>
          <cell r="Z548">
            <v>0</v>
          </cell>
          <cell r="AA548">
            <v>11</v>
          </cell>
          <cell r="AB548">
            <v>36</v>
          </cell>
          <cell r="AC548">
            <v>32</v>
          </cell>
          <cell r="AD548">
            <v>26</v>
          </cell>
          <cell r="AE548">
            <v>37</v>
          </cell>
          <cell r="AF548">
            <v>0</v>
          </cell>
          <cell r="AG548">
            <v>11</v>
          </cell>
          <cell r="AH548">
            <v>5</v>
          </cell>
          <cell r="AI548">
            <v>7</v>
          </cell>
          <cell r="AJ548">
            <v>0</v>
          </cell>
          <cell r="AK548">
            <v>11</v>
          </cell>
          <cell r="AL548">
            <v>29</v>
          </cell>
          <cell r="AM548">
            <v>36</v>
          </cell>
          <cell r="AN548">
            <v>101</v>
          </cell>
          <cell r="AO548">
            <v>66</v>
          </cell>
          <cell r="AP548">
            <v>87</v>
          </cell>
          <cell r="AQ548">
            <v>106</v>
          </cell>
          <cell r="AR548">
            <v>22</v>
          </cell>
          <cell r="AS548">
            <v>21</v>
          </cell>
        </row>
        <row r="549">
          <cell r="B549">
            <v>17031600700</v>
          </cell>
          <cell r="D549">
            <v>1196</v>
          </cell>
          <cell r="E549">
            <v>213</v>
          </cell>
          <cell r="F549">
            <v>747</v>
          </cell>
          <cell r="G549">
            <v>154</v>
          </cell>
          <cell r="H549">
            <v>570</v>
          </cell>
          <cell r="I549">
            <v>124</v>
          </cell>
          <cell r="J549">
            <v>177</v>
          </cell>
          <cell r="K549">
            <v>97</v>
          </cell>
          <cell r="L549">
            <v>113</v>
          </cell>
          <cell r="M549">
            <v>61</v>
          </cell>
          <cell r="N549">
            <v>31</v>
          </cell>
          <cell r="O549">
            <v>29</v>
          </cell>
          <cell r="P549">
            <v>0</v>
          </cell>
          <cell r="Q549">
            <v>11</v>
          </cell>
          <cell r="R549">
            <v>0</v>
          </cell>
          <cell r="S549">
            <v>11</v>
          </cell>
          <cell r="T549">
            <v>33</v>
          </cell>
          <cell r="U549">
            <v>51</v>
          </cell>
          <cell r="V549">
            <v>392</v>
          </cell>
          <cell r="W549">
            <v>111</v>
          </cell>
          <cell r="X549">
            <v>317</v>
          </cell>
          <cell r="Y549">
            <v>93</v>
          </cell>
          <cell r="Z549">
            <v>0</v>
          </cell>
          <cell r="AA549">
            <v>11</v>
          </cell>
          <cell r="AB549">
            <v>75</v>
          </cell>
          <cell r="AC549">
            <v>65</v>
          </cell>
          <cell r="AD549">
            <v>0</v>
          </cell>
          <cell r="AE549">
            <v>11</v>
          </cell>
          <cell r="AF549">
            <v>0</v>
          </cell>
          <cell r="AG549">
            <v>11</v>
          </cell>
          <cell r="AH549">
            <v>0</v>
          </cell>
          <cell r="AI549">
            <v>11</v>
          </cell>
          <cell r="AJ549">
            <v>0</v>
          </cell>
          <cell r="AK549">
            <v>11</v>
          </cell>
          <cell r="AL549">
            <v>38</v>
          </cell>
          <cell r="AM549">
            <v>45</v>
          </cell>
          <cell r="AN549">
            <v>0</v>
          </cell>
          <cell r="AO549">
            <v>11</v>
          </cell>
          <cell r="AP549">
            <v>19</v>
          </cell>
          <cell r="AQ549">
            <v>30</v>
          </cell>
          <cell r="AR549">
            <v>0</v>
          </cell>
          <cell r="AS549">
            <v>11</v>
          </cell>
        </row>
        <row r="550">
          <cell r="B550">
            <v>17031600900</v>
          </cell>
          <cell r="D550">
            <v>1799</v>
          </cell>
          <cell r="E550">
            <v>277</v>
          </cell>
          <cell r="F550">
            <v>1098</v>
          </cell>
          <cell r="G550">
            <v>205</v>
          </cell>
          <cell r="H550">
            <v>922</v>
          </cell>
          <cell r="I550">
            <v>197</v>
          </cell>
          <cell r="J550">
            <v>176</v>
          </cell>
          <cell r="K550">
            <v>79</v>
          </cell>
          <cell r="L550">
            <v>101</v>
          </cell>
          <cell r="M550">
            <v>57</v>
          </cell>
          <cell r="N550">
            <v>17</v>
          </cell>
          <cell r="O550">
            <v>23</v>
          </cell>
          <cell r="P550">
            <v>44</v>
          </cell>
          <cell r="Q550">
            <v>51</v>
          </cell>
          <cell r="R550">
            <v>14</v>
          </cell>
          <cell r="S550">
            <v>21</v>
          </cell>
          <cell r="T550">
            <v>0</v>
          </cell>
          <cell r="U550">
            <v>11</v>
          </cell>
          <cell r="V550">
            <v>409</v>
          </cell>
          <cell r="W550">
            <v>163</v>
          </cell>
          <cell r="X550">
            <v>226</v>
          </cell>
          <cell r="Y550">
            <v>107</v>
          </cell>
          <cell r="Z550">
            <v>0</v>
          </cell>
          <cell r="AA550">
            <v>11</v>
          </cell>
          <cell r="AB550">
            <v>183</v>
          </cell>
          <cell r="AC550">
            <v>81</v>
          </cell>
          <cell r="AD550">
            <v>0</v>
          </cell>
          <cell r="AE550">
            <v>11</v>
          </cell>
          <cell r="AF550">
            <v>0</v>
          </cell>
          <cell r="AG550">
            <v>11</v>
          </cell>
          <cell r="AH550">
            <v>0</v>
          </cell>
          <cell r="AI550">
            <v>11</v>
          </cell>
          <cell r="AJ550">
            <v>0</v>
          </cell>
          <cell r="AK550">
            <v>11</v>
          </cell>
          <cell r="AL550">
            <v>91</v>
          </cell>
          <cell r="AM550">
            <v>56</v>
          </cell>
          <cell r="AN550">
            <v>140</v>
          </cell>
          <cell r="AO550">
            <v>153</v>
          </cell>
          <cell r="AP550">
            <v>0</v>
          </cell>
          <cell r="AQ550">
            <v>11</v>
          </cell>
          <cell r="AR550">
            <v>61</v>
          </cell>
          <cell r="AS550">
            <v>59</v>
          </cell>
        </row>
        <row r="551">
          <cell r="B551">
            <v>17031610300</v>
          </cell>
          <cell r="D551">
            <v>2300</v>
          </cell>
          <cell r="E551">
            <v>330</v>
          </cell>
          <cell r="F551">
            <v>1592</v>
          </cell>
          <cell r="G551">
            <v>322</v>
          </cell>
          <cell r="H551">
            <v>1100</v>
          </cell>
          <cell r="I551">
            <v>254</v>
          </cell>
          <cell r="J551">
            <v>492</v>
          </cell>
          <cell r="K551">
            <v>204</v>
          </cell>
          <cell r="L551">
            <v>362</v>
          </cell>
          <cell r="M551">
            <v>171</v>
          </cell>
          <cell r="N551">
            <v>105</v>
          </cell>
          <cell r="O551">
            <v>111</v>
          </cell>
          <cell r="P551">
            <v>0</v>
          </cell>
          <cell r="Q551">
            <v>15</v>
          </cell>
          <cell r="R551">
            <v>25</v>
          </cell>
          <cell r="S551">
            <v>31</v>
          </cell>
          <cell r="T551">
            <v>0</v>
          </cell>
          <cell r="U551">
            <v>15</v>
          </cell>
          <cell r="V551">
            <v>417</v>
          </cell>
          <cell r="W551">
            <v>156</v>
          </cell>
          <cell r="X551">
            <v>284</v>
          </cell>
          <cell r="Y551">
            <v>140</v>
          </cell>
          <cell r="Z551">
            <v>12</v>
          </cell>
          <cell r="AA551">
            <v>20</v>
          </cell>
          <cell r="AB551">
            <v>112</v>
          </cell>
          <cell r="AC551">
            <v>79</v>
          </cell>
          <cell r="AD551">
            <v>9</v>
          </cell>
          <cell r="AE551">
            <v>14</v>
          </cell>
          <cell r="AF551">
            <v>0</v>
          </cell>
          <cell r="AG551">
            <v>15</v>
          </cell>
          <cell r="AH551">
            <v>0</v>
          </cell>
          <cell r="AI551">
            <v>15</v>
          </cell>
          <cell r="AJ551">
            <v>0</v>
          </cell>
          <cell r="AK551">
            <v>15</v>
          </cell>
          <cell r="AL551">
            <v>0</v>
          </cell>
          <cell r="AM551">
            <v>15</v>
          </cell>
          <cell r="AN551">
            <v>257</v>
          </cell>
          <cell r="AO551">
            <v>116</v>
          </cell>
          <cell r="AP551">
            <v>0</v>
          </cell>
          <cell r="AQ551">
            <v>15</v>
          </cell>
          <cell r="AR551">
            <v>34</v>
          </cell>
          <cell r="AS551">
            <v>39</v>
          </cell>
        </row>
        <row r="552">
          <cell r="B552">
            <v>17031610400</v>
          </cell>
          <cell r="D552">
            <v>704</v>
          </cell>
          <cell r="E552">
            <v>143</v>
          </cell>
          <cell r="F552">
            <v>479</v>
          </cell>
          <cell r="G552">
            <v>119</v>
          </cell>
          <cell r="H552">
            <v>281</v>
          </cell>
          <cell r="I552">
            <v>90</v>
          </cell>
          <cell r="J552">
            <v>198</v>
          </cell>
          <cell r="K552">
            <v>96</v>
          </cell>
          <cell r="L552">
            <v>147</v>
          </cell>
          <cell r="M552">
            <v>67</v>
          </cell>
          <cell r="N552">
            <v>0</v>
          </cell>
          <cell r="O552">
            <v>11</v>
          </cell>
          <cell r="P552">
            <v>51</v>
          </cell>
          <cell r="Q552">
            <v>49</v>
          </cell>
          <cell r="R552">
            <v>0</v>
          </cell>
          <cell r="S552">
            <v>11</v>
          </cell>
          <cell r="T552">
            <v>0</v>
          </cell>
          <cell r="U552">
            <v>11</v>
          </cell>
          <cell r="V552">
            <v>105</v>
          </cell>
          <cell r="W552">
            <v>57</v>
          </cell>
          <cell r="X552">
            <v>89</v>
          </cell>
          <cell r="Y552">
            <v>54</v>
          </cell>
          <cell r="Z552">
            <v>0</v>
          </cell>
          <cell r="AA552">
            <v>11</v>
          </cell>
          <cell r="AB552">
            <v>16</v>
          </cell>
          <cell r="AC552">
            <v>23</v>
          </cell>
          <cell r="AD552">
            <v>0</v>
          </cell>
          <cell r="AE552">
            <v>11</v>
          </cell>
          <cell r="AF552">
            <v>0</v>
          </cell>
          <cell r="AG552">
            <v>11</v>
          </cell>
          <cell r="AH552">
            <v>0</v>
          </cell>
          <cell r="AI552">
            <v>11</v>
          </cell>
          <cell r="AJ552">
            <v>0</v>
          </cell>
          <cell r="AK552">
            <v>11</v>
          </cell>
          <cell r="AL552">
            <v>12</v>
          </cell>
          <cell r="AM552">
            <v>20</v>
          </cell>
          <cell r="AN552">
            <v>90</v>
          </cell>
          <cell r="AO552">
            <v>59</v>
          </cell>
          <cell r="AP552">
            <v>0</v>
          </cell>
          <cell r="AQ552">
            <v>11</v>
          </cell>
          <cell r="AR552">
            <v>18</v>
          </cell>
          <cell r="AS552">
            <v>21</v>
          </cell>
        </row>
        <row r="553">
          <cell r="B553">
            <v>17031610800</v>
          </cell>
          <cell r="D553">
            <v>726</v>
          </cell>
          <cell r="E553">
            <v>103</v>
          </cell>
          <cell r="F553">
            <v>574</v>
          </cell>
          <cell r="G553">
            <v>92</v>
          </cell>
          <cell r="H553">
            <v>435</v>
          </cell>
          <cell r="I553">
            <v>82</v>
          </cell>
          <cell r="J553">
            <v>139</v>
          </cell>
          <cell r="K553">
            <v>68</v>
          </cell>
          <cell r="L553">
            <v>98</v>
          </cell>
          <cell r="M553">
            <v>56</v>
          </cell>
          <cell r="N553">
            <v>28</v>
          </cell>
          <cell r="O553">
            <v>24</v>
          </cell>
          <cell r="P553">
            <v>13</v>
          </cell>
          <cell r="Q553">
            <v>20</v>
          </cell>
          <cell r="R553">
            <v>0</v>
          </cell>
          <cell r="S553">
            <v>11</v>
          </cell>
          <cell r="T553">
            <v>0</v>
          </cell>
          <cell r="U553">
            <v>11</v>
          </cell>
          <cell r="V553">
            <v>99</v>
          </cell>
          <cell r="W553">
            <v>59</v>
          </cell>
          <cell r="X553">
            <v>24</v>
          </cell>
          <cell r="Y553">
            <v>23</v>
          </cell>
          <cell r="Z553">
            <v>14</v>
          </cell>
          <cell r="AA553">
            <v>20</v>
          </cell>
          <cell r="AB553">
            <v>61</v>
          </cell>
          <cell r="AC553">
            <v>37</v>
          </cell>
          <cell r="AD553">
            <v>0</v>
          </cell>
          <cell r="AE553">
            <v>11</v>
          </cell>
          <cell r="AF553">
            <v>0</v>
          </cell>
          <cell r="AG553">
            <v>11</v>
          </cell>
          <cell r="AH553">
            <v>0</v>
          </cell>
          <cell r="AI553">
            <v>11</v>
          </cell>
          <cell r="AJ553">
            <v>0</v>
          </cell>
          <cell r="AK553">
            <v>11</v>
          </cell>
          <cell r="AL553">
            <v>13</v>
          </cell>
          <cell r="AM553">
            <v>20</v>
          </cell>
          <cell r="AN553">
            <v>37</v>
          </cell>
          <cell r="AO553">
            <v>37</v>
          </cell>
          <cell r="AP553">
            <v>0</v>
          </cell>
          <cell r="AQ553">
            <v>11</v>
          </cell>
          <cell r="AR553">
            <v>3</v>
          </cell>
          <cell r="AS553">
            <v>6</v>
          </cell>
        </row>
        <row r="554">
          <cell r="B554">
            <v>17031611000</v>
          </cell>
          <cell r="D554">
            <v>243</v>
          </cell>
          <cell r="E554">
            <v>69</v>
          </cell>
          <cell r="F554">
            <v>174</v>
          </cell>
          <cell r="G554">
            <v>57</v>
          </cell>
          <cell r="H554">
            <v>141</v>
          </cell>
          <cell r="I554">
            <v>49</v>
          </cell>
          <cell r="J554">
            <v>33</v>
          </cell>
          <cell r="K554">
            <v>37</v>
          </cell>
          <cell r="L554">
            <v>20</v>
          </cell>
          <cell r="M554">
            <v>20</v>
          </cell>
          <cell r="N554">
            <v>13</v>
          </cell>
          <cell r="O554">
            <v>17</v>
          </cell>
          <cell r="P554">
            <v>0</v>
          </cell>
          <cell r="Q554">
            <v>11</v>
          </cell>
          <cell r="R554">
            <v>0</v>
          </cell>
          <cell r="S554">
            <v>11</v>
          </cell>
          <cell r="T554">
            <v>0</v>
          </cell>
          <cell r="U554">
            <v>11</v>
          </cell>
          <cell r="V554">
            <v>49</v>
          </cell>
          <cell r="W554">
            <v>29</v>
          </cell>
          <cell r="X554">
            <v>36</v>
          </cell>
          <cell r="Y554">
            <v>27</v>
          </cell>
          <cell r="Z554">
            <v>0</v>
          </cell>
          <cell r="AA554">
            <v>11</v>
          </cell>
          <cell r="AB554">
            <v>13</v>
          </cell>
          <cell r="AC554">
            <v>21</v>
          </cell>
          <cell r="AD554">
            <v>0</v>
          </cell>
          <cell r="AE554">
            <v>11</v>
          </cell>
          <cell r="AF554">
            <v>0</v>
          </cell>
          <cell r="AG554">
            <v>11</v>
          </cell>
          <cell r="AH554">
            <v>0</v>
          </cell>
          <cell r="AI554">
            <v>11</v>
          </cell>
          <cell r="AJ554">
            <v>0</v>
          </cell>
          <cell r="AK554">
            <v>11</v>
          </cell>
          <cell r="AL554">
            <v>0</v>
          </cell>
          <cell r="AM554">
            <v>11</v>
          </cell>
          <cell r="AN554">
            <v>20</v>
          </cell>
          <cell r="AO554">
            <v>24</v>
          </cell>
          <cell r="AP554">
            <v>0</v>
          </cell>
          <cell r="AQ554">
            <v>11</v>
          </cell>
          <cell r="AR554">
            <v>0</v>
          </cell>
          <cell r="AS554">
            <v>11</v>
          </cell>
        </row>
        <row r="555">
          <cell r="B555">
            <v>17031611100</v>
          </cell>
          <cell r="D555">
            <v>801</v>
          </cell>
          <cell r="E555">
            <v>179</v>
          </cell>
          <cell r="F555">
            <v>617</v>
          </cell>
          <cell r="G555">
            <v>154</v>
          </cell>
          <cell r="H555">
            <v>474</v>
          </cell>
          <cell r="I555">
            <v>116</v>
          </cell>
          <cell r="J555">
            <v>143</v>
          </cell>
          <cell r="K555">
            <v>74</v>
          </cell>
          <cell r="L555">
            <v>109</v>
          </cell>
          <cell r="M555">
            <v>71</v>
          </cell>
          <cell r="N555">
            <v>34</v>
          </cell>
          <cell r="O555">
            <v>29</v>
          </cell>
          <cell r="P555">
            <v>0</v>
          </cell>
          <cell r="Q555">
            <v>11</v>
          </cell>
          <cell r="R555">
            <v>0</v>
          </cell>
          <cell r="S555">
            <v>11</v>
          </cell>
          <cell r="T555">
            <v>0</v>
          </cell>
          <cell r="U555">
            <v>11</v>
          </cell>
          <cell r="V555">
            <v>150</v>
          </cell>
          <cell r="W555">
            <v>69</v>
          </cell>
          <cell r="X555">
            <v>120</v>
          </cell>
          <cell r="Y555">
            <v>60</v>
          </cell>
          <cell r="Z555">
            <v>0</v>
          </cell>
          <cell r="AA555">
            <v>11</v>
          </cell>
          <cell r="AB555">
            <v>30</v>
          </cell>
          <cell r="AC555">
            <v>31</v>
          </cell>
          <cell r="AD555">
            <v>0</v>
          </cell>
          <cell r="AE555">
            <v>11</v>
          </cell>
          <cell r="AF555">
            <v>0</v>
          </cell>
          <cell r="AG555">
            <v>11</v>
          </cell>
          <cell r="AH555">
            <v>0</v>
          </cell>
          <cell r="AI555">
            <v>11</v>
          </cell>
          <cell r="AJ555">
            <v>0</v>
          </cell>
          <cell r="AK555">
            <v>11</v>
          </cell>
          <cell r="AL555">
            <v>0</v>
          </cell>
          <cell r="AM555">
            <v>11</v>
          </cell>
          <cell r="AN555">
            <v>29</v>
          </cell>
          <cell r="AO555">
            <v>30</v>
          </cell>
          <cell r="AP555">
            <v>5</v>
          </cell>
          <cell r="AQ555">
            <v>8</v>
          </cell>
          <cell r="AR555">
            <v>0</v>
          </cell>
          <cell r="AS555">
            <v>11</v>
          </cell>
        </row>
        <row r="556">
          <cell r="B556">
            <v>17031611200</v>
          </cell>
          <cell r="D556">
            <v>702</v>
          </cell>
          <cell r="E556">
            <v>146</v>
          </cell>
          <cell r="F556">
            <v>456</v>
          </cell>
          <cell r="G556">
            <v>109</v>
          </cell>
          <cell r="H556">
            <v>363</v>
          </cell>
          <cell r="I556">
            <v>106</v>
          </cell>
          <cell r="J556">
            <v>93</v>
          </cell>
          <cell r="K556">
            <v>59</v>
          </cell>
          <cell r="L556">
            <v>42</v>
          </cell>
          <cell r="M556">
            <v>29</v>
          </cell>
          <cell r="N556">
            <v>44</v>
          </cell>
          <cell r="O556">
            <v>41</v>
          </cell>
          <cell r="P556">
            <v>7</v>
          </cell>
          <cell r="Q556">
            <v>10</v>
          </cell>
          <cell r="R556">
            <v>0</v>
          </cell>
          <cell r="S556">
            <v>11</v>
          </cell>
          <cell r="T556">
            <v>0</v>
          </cell>
          <cell r="U556">
            <v>11</v>
          </cell>
          <cell r="V556">
            <v>199</v>
          </cell>
          <cell r="W556">
            <v>78</v>
          </cell>
          <cell r="X556">
            <v>190</v>
          </cell>
          <cell r="Y556">
            <v>77</v>
          </cell>
          <cell r="Z556">
            <v>0</v>
          </cell>
          <cell r="AA556">
            <v>11</v>
          </cell>
          <cell r="AB556">
            <v>9</v>
          </cell>
          <cell r="AC556">
            <v>14</v>
          </cell>
          <cell r="AD556">
            <v>0</v>
          </cell>
          <cell r="AE556">
            <v>11</v>
          </cell>
          <cell r="AF556">
            <v>0</v>
          </cell>
          <cell r="AG556">
            <v>11</v>
          </cell>
          <cell r="AH556">
            <v>0</v>
          </cell>
          <cell r="AI556">
            <v>11</v>
          </cell>
          <cell r="AJ556">
            <v>0</v>
          </cell>
          <cell r="AK556">
            <v>11</v>
          </cell>
          <cell r="AL556">
            <v>9</v>
          </cell>
          <cell r="AM556">
            <v>14</v>
          </cell>
          <cell r="AN556">
            <v>22</v>
          </cell>
          <cell r="AO556">
            <v>24</v>
          </cell>
          <cell r="AP556">
            <v>0</v>
          </cell>
          <cell r="AQ556">
            <v>11</v>
          </cell>
          <cell r="AR556">
            <v>16</v>
          </cell>
          <cell r="AS556">
            <v>19</v>
          </cell>
        </row>
        <row r="557">
          <cell r="B557">
            <v>17031611300</v>
          </cell>
          <cell r="D557">
            <v>1016</v>
          </cell>
          <cell r="E557">
            <v>189</v>
          </cell>
          <cell r="F557">
            <v>744</v>
          </cell>
          <cell r="G557">
            <v>157</v>
          </cell>
          <cell r="H557">
            <v>504</v>
          </cell>
          <cell r="I557">
            <v>128</v>
          </cell>
          <cell r="J557">
            <v>240</v>
          </cell>
          <cell r="K557">
            <v>86</v>
          </cell>
          <cell r="L557">
            <v>130</v>
          </cell>
          <cell r="M557">
            <v>68</v>
          </cell>
          <cell r="N557">
            <v>46</v>
          </cell>
          <cell r="O557">
            <v>44</v>
          </cell>
          <cell r="P557">
            <v>31</v>
          </cell>
          <cell r="Q557">
            <v>35</v>
          </cell>
          <cell r="R557">
            <v>23</v>
          </cell>
          <cell r="S557">
            <v>36</v>
          </cell>
          <cell r="T557">
            <v>10</v>
          </cell>
          <cell r="U557">
            <v>13</v>
          </cell>
          <cell r="V557">
            <v>144</v>
          </cell>
          <cell r="W557">
            <v>70</v>
          </cell>
          <cell r="X557">
            <v>132</v>
          </cell>
          <cell r="Y557">
            <v>69</v>
          </cell>
          <cell r="Z557">
            <v>0</v>
          </cell>
          <cell r="AA557">
            <v>11</v>
          </cell>
          <cell r="AB557">
            <v>12</v>
          </cell>
          <cell r="AC557">
            <v>18</v>
          </cell>
          <cell r="AD557">
            <v>0</v>
          </cell>
          <cell r="AE557">
            <v>11</v>
          </cell>
          <cell r="AF557">
            <v>0</v>
          </cell>
          <cell r="AG557">
            <v>11</v>
          </cell>
          <cell r="AH557">
            <v>5</v>
          </cell>
          <cell r="AI557">
            <v>8</v>
          </cell>
          <cell r="AJ557">
            <v>0</v>
          </cell>
          <cell r="AK557">
            <v>11</v>
          </cell>
          <cell r="AL557">
            <v>12</v>
          </cell>
          <cell r="AM557">
            <v>18</v>
          </cell>
          <cell r="AN557">
            <v>63</v>
          </cell>
          <cell r="AO557">
            <v>41</v>
          </cell>
          <cell r="AP557">
            <v>0</v>
          </cell>
          <cell r="AQ557">
            <v>11</v>
          </cell>
          <cell r="AR557">
            <v>48</v>
          </cell>
          <cell r="AS557">
            <v>44</v>
          </cell>
        </row>
        <row r="558">
          <cell r="B558">
            <v>17031611400</v>
          </cell>
          <cell r="D558">
            <v>1314</v>
          </cell>
          <cell r="E558">
            <v>243</v>
          </cell>
          <cell r="F558">
            <v>869</v>
          </cell>
          <cell r="G558">
            <v>160</v>
          </cell>
          <cell r="H558">
            <v>596</v>
          </cell>
          <cell r="I558">
            <v>135</v>
          </cell>
          <cell r="J558">
            <v>273</v>
          </cell>
          <cell r="K558">
            <v>135</v>
          </cell>
          <cell r="L558">
            <v>196</v>
          </cell>
          <cell r="M558">
            <v>125</v>
          </cell>
          <cell r="N558">
            <v>47</v>
          </cell>
          <cell r="O558">
            <v>47</v>
          </cell>
          <cell r="P558">
            <v>15</v>
          </cell>
          <cell r="Q558">
            <v>22</v>
          </cell>
          <cell r="R558">
            <v>15</v>
          </cell>
          <cell r="S558">
            <v>24</v>
          </cell>
          <cell r="T558">
            <v>0</v>
          </cell>
          <cell r="U558">
            <v>11</v>
          </cell>
          <cell r="V558">
            <v>372</v>
          </cell>
          <cell r="W558">
            <v>156</v>
          </cell>
          <cell r="X558">
            <v>309</v>
          </cell>
          <cell r="Y558">
            <v>130</v>
          </cell>
          <cell r="Z558">
            <v>0</v>
          </cell>
          <cell r="AA558">
            <v>11</v>
          </cell>
          <cell r="AB558">
            <v>63</v>
          </cell>
          <cell r="AC558">
            <v>56</v>
          </cell>
          <cell r="AD558">
            <v>0</v>
          </cell>
          <cell r="AE558">
            <v>11</v>
          </cell>
          <cell r="AF558">
            <v>0</v>
          </cell>
          <cell r="AG558">
            <v>11</v>
          </cell>
          <cell r="AH558">
            <v>0</v>
          </cell>
          <cell r="AI558">
            <v>11</v>
          </cell>
          <cell r="AJ558">
            <v>0</v>
          </cell>
          <cell r="AK558">
            <v>11</v>
          </cell>
          <cell r="AL558">
            <v>0</v>
          </cell>
          <cell r="AM558">
            <v>11</v>
          </cell>
          <cell r="AN558">
            <v>71</v>
          </cell>
          <cell r="AO558">
            <v>50</v>
          </cell>
          <cell r="AP558">
            <v>0</v>
          </cell>
          <cell r="AQ558">
            <v>11</v>
          </cell>
          <cell r="AR558">
            <v>2</v>
          </cell>
          <cell r="AS558">
            <v>6</v>
          </cell>
        </row>
        <row r="559">
          <cell r="B559">
            <v>17031611500</v>
          </cell>
          <cell r="D559">
            <v>1026</v>
          </cell>
          <cell r="E559">
            <v>190</v>
          </cell>
          <cell r="F559">
            <v>754</v>
          </cell>
          <cell r="G559">
            <v>157</v>
          </cell>
          <cell r="H559">
            <v>599</v>
          </cell>
          <cell r="I559">
            <v>118</v>
          </cell>
          <cell r="J559">
            <v>155</v>
          </cell>
          <cell r="K559">
            <v>84</v>
          </cell>
          <cell r="L559">
            <v>138</v>
          </cell>
          <cell r="M559">
            <v>68</v>
          </cell>
          <cell r="N559">
            <v>0</v>
          </cell>
          <cell r="O559">
            <v>11</v>
          </cell>
          <cell r="P559">
            <v>17</v>
          </cell>
          <cell r="Q559">
            <v>26</v>
          </cell>
          <cell r="R559">
            <v>0</v>
          </cell>
          <cell r="S559">
            <v>11</v>
          </cell>
          <cell r="T559">
            <v>0</v>
          </cell>
          <cell r="U559">
            <v>11</v>
          </cell>
          <cell r="V559">
            <v>169</v>
          </cell>
          <cell r="W559">
            <v>75</v>
          </cell>
          <cell r="X559">
            <v>111</v>
          </cell>
          <cell r="Y559">
            <v>64</v>
          </cell>
          <cell r="Z559">
            <v>0</v>
          </cell>
          <cell r="AA559">
            <v>11</v>
          </cell>
          <cell r="AB559">
            <v>58</v>
          </cell>
          <cell r="AC559">
            <v>43</v>
          </cell>
          <cell r="AD559">
            <v>0</v>
          </cell>
          <cell r="AE559">
            <v>11</v>
          </cell>
          <cell r="AF559">
            <v>0</v>
          </cell>
          <cell r="AG559">
            <v>11</v>
          </cell>
          <cell r="AH559">
            <v>0</v>
          </cell>
          <cell r="AI559">
            <v>11</v>
          </cell>
          <cell r="AJ559">
            <v>0</v>
          </cell>
          <cell r="AK559">
            <v>11</v>
          </cell>
          <cell r="AL559">
            <v>0</v>
          </cell>
          <cell r="AM559">
            <v>11</v>
          </cell>
          <cell r="AN559">
            <v>78</v>
          </cell>
          <cell r="AO559">
            <v>55</v>
          </cell>
          <cell r="AP559">
            <v>0</v>
          </cell>
          <cell r="AQ559">
            <v>11</v>
          </cell>
          <cell r="AR559">
            <v>25</v>
          </cell>
          <cell r="AS559">
            <v>22</v>
          </cell>
        </row>
        <row r="560">
          <cell r="B560">
            <v>17031611600</v>
          </cell>
          <cell r="D560">
            <v>487</v>
          </cell>
          <cell r="E560">
            <v>138</v>
          </cell>
          <cell r="F560">
            <v>441</v>
          </cell>
          <cell r="G560">
            <v>142</v>
          </cell>
          <cell r="H560">
            <v>319</v>
          </cell>
          <cell r="I560">
            <v>114</v>
          </cell>
          <cell r="J560">
            <v>122</v>
          </cell>
          <cell r="K560">
            <v>60</v>
          </cell>
          <cell r="L560">
            <v>89</v>
          </cell>
          <cell r="M560">
            <v>51</v>
          </cell>
          <cell r="N560">
            <v>20</v>
          </cell>
          <cell r="O560">
            <v>23</v>
          </cell>
          <cell r="P560">
            <v>0</v>
          </cell>
          <cell r="Q560">
            <v>11</v>
          </cell>
          <cell r="R560">
            <v>13</v>
          </cell>
          <cell r="S560">
            <v>21</v>
          </cell>
          <cell r="T560">
            <v>0</v>
          </cell>
          <cell r="U560">
            <v>11</v>
          </cell>
          <cell r="V560">
            <v>39</v>
          </cell>
          <cell r="W560">
            <v>39</v>
          </cell>
          <cell r="X560">
            <v>39</v>
          </cell>
          <cell r="Y560">
            <v>39</v>
          </cell>
          <cell r="Z560">
            <v>0</v>
          </cell>
          <cell r="AA560">
            <v>11</v>
          </cell>
          <cell r="AB560">
            <v>0</v>
          </cell>
          <cell r="AC560">
            <v>11</v>
          </cell>
          <cell r="AD560">
            <v>0</v>
          </cell>
          <cell r="AE560">
            <v>11</v>
          </cell>
          <cell r="AF560">
            <v>0</v>
          </cell>
          <cell r="AG560">
            <v>11</v>
          </cell>
          <cell r="AH560">
            <v>0</v>
          </cell>
          <cell r="AI560">
            <v>11</v>
          </cell>
          <cell r="AJ560">
            <v>0</v>
          </cell>
          <cell r="AK560">
            <v>11</v>
          </cell>
          <cell r="AL560">
            <v>0</v>
          </cell>
          <cell r="AM560">
            <v>11</v>
          </cell>
          <cell r="AN560">
            <v>0</v>
          </cell>
          <cell r="AO560">
            <v>11</v>
          </cell>
          <cell r="AP560">
            <v>0</v>
          </cell>
          <cell r="AQ560">
            <v>11</v>
          </cell>
          <cell r="AR560">
            <v>7</v>
          </cell>
          <cell r="AS560">
            <v>14</v>
          </cell>
        </row>
        <row r="561">
          <cell r="B561">
            <v>17031611700</v>
          </cell>
          <cell r="D561">
            <v>461</v>
          </cell>
          <cell r="E561">
            <v>105</v>
          </cell>
          <cell r="F561">
            <v>342</v>
          </cell>
          <cell r="G561">
            <v>89</v>
          </cell>
          <cell r="H561">
            <v>266</v>
          </cell>
          <cell r="I561">
            <v>76</v>
          </cell>
          <cell r="J561">
            <v>76</v>
          </cell>
          <cell r="K561">
            <v>52</v>
          </cell>
          <cell r="L561">
            <v>62</v>
          </cell>
          <cell r="M561">
            <v>48</v>
          </cell>
          <cell r="N561">
            <v>14</v>
          </cell>
          <cell r="O561">
            <v>22</v>
          </cell>
          <cell r="P561">
            <v>0</v>
          </cell>
          <cell r="Q561">
            <v>11</v>
          </cell>
          <cell r="R561">
            <v>0</v>
          </cell>
          <cell r="S561">
            <v>11</v>
          </cell>
          <cell r="T561">
            <v>0</v>
          </cell>
          <cell r="U561">
            <v>11</v>
          </cell>
          <cell r="V561">
            <v>107</v>
          </cell>
          <cell r="W561">
            <v>58</v>
          </cell>
          <cell r="X561">
            <v>101</v>
          </cell>
          <cell r="Y561">
            <v>57</v>
          </cell>
          <cell r="Z561">
            <v>0</v>
          </cell>
          <cell r="AA561">
            <v>11</v>
          </cell>
          <cell r="AB561">
            <v>6</v>
          </cell>
          <cell r="AC561">
            <v>9</v>
          </cell>
          <cell r="AD561">
            <v>0</v>
          </cell>
          <cell r="AE561">
            <v>11</v>
          </cell>
          <cell r="AF561">
            <v>0</v>
          </cell>
          <cell r="AG561">
            <v>11</v>
          </cell>
          <cell r="AH561">
            <v>0</v>
          </cell>
          <cell r="AI561">
            <v>11</v>
          </cell>
          <cell r="AJ561">
            <v>0</v>
          </cell>
          <cell r="AK561">
            <v>11</v>
          </cell>
          <cell r="AL561">
            <v>12</v>
          </cell>
          <cell r="AM561">
            <v>18</v>
          </cell>
          <cell r="AN561">
            <v>0</v>
          </cell>
          <cell r="AO561">
            <v>11</v>
          </cell>
          <cell r="AP561">
            <v>0</v>
          </cell>
          <cell r="AQ561">
            <v>11</v>
          </cell>
          <cell r="AR561">
            <v>0</v>
          </cell>
          <cell r="AS561">
            <v>11</v>
          </cell>
        </row>
        <row r="562">
          <cell r="B562">
            <v>17031611800</v>
          </cell>
          <cell r="D562">
            <v>828</v>
          </cell>
          <cell r="E562">
            <v>165</v>
          </cell>
          <cell r="F562">
            <v>578</v>
          </cell>
          <cell r="G562">
            <v>148</v>
          </cell>
          <cell r="H562">
            <v>443</v>
          </cell>
          <cell r="I562">
            <v>107</v>
          </cell>
          <cell r="J562">
            <v>135</v>
          </cell>
          <cell r="K562">
            <v>68</v>
          </cell>
          <cell r="L562">
            <v>73</v>
          </cell>
          <cell r="M562">
            <v>56</v>
          </cell>
          <cell r="N562">
            <v>7</v>
          </cell>
          <cell r="O562">
            <v>10</v>
          </cell>
          <cell r="P562">
            <v>55</v>
          </cell>
          <cell r="Q562">
            <v>46</v>
          </cell>
          <cell r="R562">
            <v>0</v>
          </cell>
          <cell r="S562">
            <v>11</v>
          </cell>
          <cell r="T562">
            <v>0</v>
          </cell>
          <cell r="U562">
            <v>11</v>
          </cell>
          <cell r="V562">
            <v>223</v>
          </cell>
          <cell r="W562">
            <v>99</v>
          </cell>
          <cell r="X562">
            <v>204</v>
          </cell>
          <cell r="Y562">
            <v>90</v>
          </cell>
          <cell r="Z562">
            <v>0</v>
          </cell>
          <cell r="AA562">
            <v>11</v>
          </cell>
          <cell r="AB562">
            <v>19</v>
          </cell>
          <cell r="AC562">
            <v>30</v>
          </cell>
          <cell r="AD562">
            <v>0</v>
          </cell>
          <cell r="AE562">
            <v>11</v>
          </cell>
          <cell r="AF562">
            <v>0</v>
          </cell>
          <cell r="AG562">
            <v>11</v>
          </cell>
          <cell r="AH562">
            <v>0</v>
          </cell>
          <cell r="AI562">
            <v>11</v>
          </cell>
          <cell r="AJ562">
            <v>0</v>
          </cell>
          <cell r="AK562">
            <v>11</v>
          </cell>
          <cell r="AL562">
            <v>0</v>
          </cell>
          <cell r="AM562">
            <v>11</v>
          </cell>
          <cell r="AN562">
            <v>11</v>
          </cell>
          <cell r="AO562">
            <v>15</v>
          </cell>
          <cell r="AP562">
            <v>0</v>
          </cell>
          <cell r="AQ562">
            <v>11</v>
          </cell>
          <cell r="AR562">
            <v>16</v>
          </cell>
          <cell r="AS562">
            <v>26</v>
          </cell>
        </row>
        <row r="563">
          <cell r="B563">
            <v>17031611900</v>
          </cell>
          <cell r="D563">
            <v>523</v>
          </cell>
          <cell r="E563">
            <v>132</v>
          </cell>
          <cell r="F563">
            <v>311</v>
          </cell>
          <cell r="G563">
            <v>106</v>
          </cell>
          <cell r="H563">
            <v>280</v>
          </cell>
          <cell r="I563">
            <v>106</v>
          </cell>
          <cell r="J563">
            <v>31</v>
          </cell>
          <cell r="K563">
            <v>27</v>
          </cell>
          <cell r="L563">
            <v>31</v>
          </cell>
          <cell r="M563">
            <v>27</v>
          </cell>
          <cell r="N563">
            <v>0</v>
          </cell>
          <cell r="O563">
            <v>11</v>
          </cell>
          <cell r="P563">
            <v>0</v>
          </cell>
          <cell r="Q563">
            <v>11</v>
          </cell>
          <cell r="R563">
            <v>0</v>
          </cell>
          <cell r="S563">
            <v>11</v>
          </cell>
          <cell r="T563">
            <v>0</v>
          </cell>
          <cell r="U563">
            <v>11</v>
          </cell>
          <cell r="V563">
            <v>210</v>
          </cell>
          <cell r="W563">
            <v>67</v>
          </cell>
          <cell r="X563">
            <v>160</v>
          </cell>
          <cell r="Y563">
            <v>58</v>
          </cell>
          <cell r="Z563">
            <v>0</v>
          </cell>
          <cell r="AA563">
            <v>11</v>
          </cell>
          <cell r="AB563">
            <v>50</v>
          </cell>
          <cell r="AC563">
            <v>32</v>
          </cell>
          <cell r="AD563">
            <v>0</v>
          </cell>
          <cell r="AE563">
            <v>11</v>
          </cell>
          <cell r="AF563">
            <v>0</v>
          </cell>
          <cell r="AG563">
            <v>11</v>
          </cell>
          <cell r="AH563">
            <v>0</v>
          </cell>
          <cell r="AI563">
            <v>11</v>
          </cell>
          <cell r="AJ563">
            <v>0</v>
          </cell>
          <cell r="AK563">
            <v>11</v>
          </cell>
          <cell r="AL563">
            <v>0</v>
          </cell>
          <cell r="AM563">
            <v>11</v>
          </cell>
          <cell r="AN563">
            <v>2</v>
          </cell>
          <cell r="AO563">
            <v>8</v>
          </cell>
          <cell r="AP563">
            <v>0</v>
          </cell>
          <cell r="AQ563">
            <v>11</v>
          </cell>
          <cell r="AR563">
            <v>0</v>
          </cell>
          <cell r="AS563">
            <v>11</v>
          </cell>
        </row>
        <row r="564">
          <cell r="B564">
            <v>17031612000</v>
          </cell>
          <cell r="D564">
            <v>435</v>
          </cell>
          <cell r="E564">
            <v>112</v>
          </cell>
          <cell r="F564">
            <v>204</v>
          </cell>
          <cell r="G564">
            <v>83</v>
          </cell>
          <cell r="H564">
            <v>174</v>
          </cell>
          <cell r="I564">
            <v>75</v>
          </cell>
          <cell r="J564">
            <v>30</v>
          </cell>
          <cell r="K564">
            <v>25</v>
          </cell>
          <cell r="L564">
            <v>26</v>
          </cell>
          <cell r="M564">
            <v>24</v>
          </cell>
          <cell r="N564">
            <v>4</v>
          </cell>
          <cell r="O564">
            <v>6</v>
          </cell>
          <cell r="P564">
            <v>0</v>
          </cell>
          <cell r="Q564">
            <v>11</v>
          </cell>
          <cell r="R564">
            <v>0</v>
          </cell>
          <cell r="S564">
            <v>11</v>
          </cell>
          <cell r="T564">
            <v>0</v>
          </cell>
          <cell r="U564">
            <v>11</v>
          </cell>
          <cell r="V564">
            <v>216</v>
          </cell>
          <cell r="W564">
            <v>69</v>
          </cell>
          <cell r="X564">
            <v>199</v>
          </cell>
          <cell r="Y564">
            <v>64</v>
          </cell>
          <cell r="Z564">
            <v>0</v>
          </cell>
          <cell r="AA564">
            <v>11</v>
          </cell>
          <cell r="AB564">
            <v>17</v>
          </cell>
          <cell r="AC564">
            <v>24</v>
          </cell>
          <cell r="AD564">
            <v>0</v>
          </cell>
          <cell r="AE564">
            <v>11</v>
          </cell>
          <cell r="AF564">
            <v>0</v>
          </cell>
          <cell r="AG564">
            <v>11</v>
          </cell>
          <cell r="AH564">
            <v>0</v>
          </cell>
          <cell r="AI564">
            <v>11</v>
          </cell>
          <cell r="AJ564">
            <v>0</v>
          </cell>
          <cell r="AK564">
            <v>11</v>
          </cell>
          <cell r="AL564">
            <v>0</v>
          </cell>
          <cell r="AM564">
            <v>11</v>
          </cell>
          <cell r="AN564">
            <v>0</v>
          </cell>
          <cell r="AO564">
            <v>11</v>
          </cell>
          <cell r="AP564">
            <v>0</v>
          </cell>
          <cell r="AQ564">
            <v>11</v>
          </cell>
          <cell r="AR564">
            <v>15</v>
          </cell>
          <cell r="AS564">
            <v>18</v>
          </cell>
        </row>
        <row r="565">
          <cell r="B565">
            <v>17031612100</v>
          </cell>
          <cell r="D565">
            <v>255</v>
          </cell>
          <cell r="E565">
            <v>98</v>
          </cell>
          <cell r="F565">
            <v>196</v>
          </cell>
          <cell r="G565">
            <v>85</v>
          </cell>
          <cell r="H565">
            <v>174</v>
          </cell>
          <cell r="I565">
            <v>80</v>
          </cell>
          <cell r="J565">
            <v>22</v>
          </cell>
          <cell r="K565">
            <v>24</v>
          </cell>
          <cell r="L565">
            <v>22</v>
          </cell>
          <cell r="M565">
            <v>24</v>
          </cell>
          <cell r="N565">
            <v>0</v>
          </cell>
          <cell r="O565">
            <v>11</v>
          </cell>
          <cell r="P565">
            <v>0</v>
          </cell>
          <cell r="Q565">
            <v>11</v>
          </cell>
          <cell r="R565">
            <v>0</v>
          </cell>
          <cell r="S565">
            <v>11</v>
          </cell>
          <cell r="T565">
            <v>0</v>
          </cell>
          <cell r="U565">
            <v>11</v>
          </cell>
          <cell r="V565">
            <v>59</v>
          </cell>
          <cell r="W565">
            <v>37</v>
          </cell>
          <cell r="X565">
            <v>55</v>
          </cell>
          <cell r="Y565">
            <v>36</v>
          </cell>
          <cell r="Z565">
            <v>0</v>
          </cell>
          <cell r="AA565">
            <v>11</v>
          </cell>
          <cell r="AB565">
            <v>4</v>
          </cell>
          <cell r="AC565">
            <v>9</v>
          </cell>
          <cell r="AD565">
            <v>0</v>
          </cell>
          <cell r="AE565">
            <v>11</v>
          </cell>
          <cell r="AF565">
            <v>0</v>
          </cell>
          <cell r="AG565">
            <v>11</v>
          </cell>
          <cell r="AH565">
            <v>0</v>
          </cell>
          <cell r="AI565">
            <v>11</v>
          </cell>
          <cell r="AJ565">
            <v>0</v>
          </cell>
          <cell r="AK565">
            <v>11</v>
          </cell>
          <cell r="AL565">
            <v>0</v>
          </cell>
          <cell r="AM565">
            <v>11</v>
          </cell>
          <cell r="AN565">
            <v>0</v>
          </cell>
          <cell r="AO565">
            <v>11</v>
          </cell>
          <cell r="AP565">
            <v>0</v>
          </cell>
          <cell r="AQ565">
            <v>11</v>
          </cell>
          <cell r="AR565">
            <v>0</v>
          </cell>
          <cell r="AS565">
            <v>11</v>
          </cell>
        </row>
        <row r="566">
          <cell r="B566">
            <v>17031620100</v>
          </cell>
          <cell r="D566">
            <v>1758</v>
          </cell>
          <cell r="E566">
            <v>267</v>
          </cell>
          <cell r="F566">
            <v>1371</v>
          </cell>
          <cell r="G566">
            <v>253</v>
          </cell>
          <cell r="H566">
            <v>1125</v>
          </cell>
          <cell r="I566">
            <v>211</v>
          </cell>
          <cell r="J566">
            <v>246</v>
          </cell>
          <cell r="K566">
            <v>142</v>
          </cell>
          <cell r="L566">
            <v>241</v>
          </cell>
          <cell r="M566">
            <v>142</v>
          </cell>
          <cell r="N566">
            <v>0</v>
          </cell>
          <cell r="O566">
            <v>11</v>
          </cell>
          <cell r="P566">
            <v>5</v>
          </cell>
          <cell r="Q566">
            <v>9</v>
          </cell>
          <cell r="R566">
            <v>0</v>
          </cell>
          <cell r="S566">
            <v>11</v>
          </cell>
          <cell r="T566">
            <v>0</v>
          </cell>
          <cell r="U566">
            <v>11</v>
          </cell>
          <cell r="V566">
            <v>346</v>
          </cell>
          <cell r="W566">
            <v>137</v>
          </cell>
          <cell r="X566">
            <v>161</v>
          </cell>
          <cell r="Y566">
            <v>104</v>
          </cell>
          <cell r="Z566">
            <v>0</v>
          </cell>
          <cell r="AA566">
            <v>11</v>
          </cell>
          <cell r="AB566">
            <v>175</v>
          </cell>
          <cell r="AC566">
            <v>92</v>
          </cell>
          <cell r="AD566">
            <v>10</v>
          </cell>
          <cell r="AE566">
            <v>15</v>
          </cell>
          <cell r="AF566">
            <v>0</v>
          </cell>
          <cell r="AG566">
            <v>11</v>
          </cell>
          <cell r="AH566">
            <v>0</v>
          </cell>
          <cell r="AI566">
            <v>11</v>
          </cell>
          <cell r="AJ566">
            <v>0</v>
          </cell>
          <cell r="AK566">
            <v>11</v>
          </cell>
          <cell r="AL566">
            <v>0</v>
          </cell>
          <cell r="AM566">
            <v>11</v>
          </cell>
          <cell r="AN566">
            <v>33</v>
          </cell>
          <cell r="AO566">
            <v>39</v>
          </cell>
          <cell r="AP566">
            <v>0</v>
          </cell>
          <cell r="AQ566">
            <v>11</v>
          </cell>
          <cell r="AR566">
            <v>8</v>
          </cell>
          <cell r="AS566">
            <v>12</v>
          </cell>
        </row>
        <row r="567">
          <cell r="B567">
            <v>17031620200</v>
          </cell>
          <cell r="D567">
            <v>1253</v>
          </cell>
          <cell r="E567">
            <v>181</v>
          </cell>
          <cell r="F567">
            <v>910</v>
          </cell>
          <cell r="G567">
            <v>147</v>
          </cell>
          <cell r="H567">
            <v>805</v>
          </cell>
          <cell r="I567">
            <v>133</v>
          </cell>
          <cell r="J567">
            <v>105</v>
          </cell>
          <cell r="K567">
            <v>62</v>
          </cell>
          <cell r="L567">
            <v>63</v>
          </cell>
          <cell r="M567">
            <v>63</v>
          </cell>
          <cell r="N567">
            <v>30</v>
          </cell>
          <cell r="O567">
            <v>22</v>
          </cell>
          <cell r="P567">
            <v>0</v>
          </cell>
          <cell r="Q567">
            <v>11</v>
          </cell>
          <cell r="R567">
            <v>12</v>
          </cell>
          <cell r="S567">
            <v>20</v>
          </cell>
          <cell r="T567">
            <v>0</v>
          </cell>
          <cell r="U567">
            <v>11</v>
          </cell>
          <cell r="V567">
            <v>252</v>
          </cell>
          <cell r="W567">
            <v>82</v>
          </cell>
          <cell r="X567">
            <v>92</v>
          </cell>
          <cell r="Y567">
            <v>50</v>
          </cell>
          <cell r="Z567">
            <v>0</v>
          </cell>
          <cell r="AA567">
            <v>11</v>
          </cell>
          <cell r="AB567">
            <v>151</v>
          </cell>
          <cell r="AC567">
            <v>67</v>
          </cell>
          <cell r="AD567">
            <v>9</v>
          </cell>
          <cell r="AE567">
            <v>14</v>
          </cell>
          <cell r="AF567">
            <v>0</v>
          </cell>
          <cell r="AG567">
            <v>11</v>
          </cell>
          <cell r="AH567">
            <v>0</v>
          </cell>
          <cell r="AI567">
            <v>11</v>
          </cell>
          <cell r="AJ567">
            <v>0</v>
          </cell>
          <cell r="AK567">
            <v>11</v>
          </cell>
          <cell r="AL567">
            <v>14</v>
          </cell>
          <cell r="AM567">
            <v>14</v>
          </cell>
          <cell r="AN567">
            <v>37</v>
          </cell>
          <cell r="AO567">
            <v>37</v>
          </cell>
          <cell r="AP567">
            <v>17</v>
          </cell>
          <cell r="AQ567">
            <v>16</v>
          </cell>
          <cell r="AR567">
            <v>23</v>
          </cell>
          <cell r="AS567">
            <v>20</v>
          </cell>
        </row>
        <row r="568">
          <cell r="B568">
            <v>17031620300</v>
          </cell>
          <cell r="D568">
            <v>3150</v>
          </cell>
          <cell r="E568">
            <v>323</v>
          </cell>
          <cell r="F568">
            <v>2556</v>
          </cell>
          <cell r="G568">
            <v>295</v>
          </cell>
          <cell r="H568">
            <v>2263</v>
          </cell>
          <cell r="I568">
            <v>296</v>
          </cell>
          <cell r="J568">
            <v>293</v>
          </cell>
          <cell r="K568">
            <v>129</v>
          </cell>
          <cell r="L568">
            <v>234</v>
          </cell>
          <cell r="M568">
            <v>112</v>
          </cell>
          <cell r="N568">
            <v>13</v>
          </cell>
          <cell r="O568">
            <v>22</v>
          </cell>
          <cell r="P568">
            <v>28</v>
          </cell>
          <cell r="Q568">
            <v>31</v>
          </cell>
          <cell r="R568">
            <v>18</v>
          </cell>
          <cell r="S568">
            <v>28</v>
          </cell>
          <cell r="T568">
            <v>0</v>
          </cell>
          <cell r="U568">
            <v>15</v>
          </cell>
          <cell r="V568">
            <v>370</v>
          </cell>
          <cell r="W568">
            <v>116</v>
          </cell>
          <cell r="X568">
            <v>131</v>
          </cell>
          <cell r="Y568">
            <v>74</v>
          </cell>
          <cell r="Z568">
            <v>0</v>
          </cell>
          <cell r="AA568">
            <v>15</v>
          </cell>
          <cell r="AB568">
            <v>216</v>
          </cell>
          <cell r="AC568">
            <v>76</v>
          </cell>
          <cell r="AD568">
            <v>23</v>
          </cell>
          <cell r="AE568">
            <v>37</v>
          </cell>
          <cell r="AF568">
            <v>0</v>
          </cell>
          <cell r="AG568">
            <v>15</v>
          </cell>
          <cell r="AH568">
            <v>0</v>
          </cell>
          <cell r="AI568">
            <v>15</v>
          </cell>
          <cell r="AJ568">
            <v>0</v>
          </cell>
          <cell r="AK568">
            <v>15</v>
          </cell>
          <cell r="AL568">
            <v>13</v>
          </cell>
          <cell r="AM568">
            <v>20</v>
          </cell>
          <cell r="AN568">
            <v>137</v>
          </cell>
          <cell r="AO568">
            <v>77</v>
          </cell>
          <cell r="AP568">
            <v>0</v>
          </cell>
          <cell r="AQ568">
            <v>15</v>
          </cell>
          <cell r="AR568">
            <v>74</v>
          </cell>
          <cell r="AS568">
            <v>56</v>
          </cell>
        </row>
        <row r="569">
          <cell r="B569">
            <v>17031620400</v>
          </cell>
          <cell r="D569">
            <v>1970</v>
          </cell>
          <cell r="E569">
            <v>267</v>
          </cell>
          <cell r="F569">
            <v>1422</v>
          </cell>
          <cell r="G569">
            <v>268</v>
          </cell>
          <cell r="H569">
            <v>1243</v>
          </cell>
          <cell r="I569">
            <v>276</v>
          </cell>
          <cell r="J569">
            <v>179</v>
          </cell>
          <cell r="K569">
            <v>110</v>
          </cell>
          <cell r="L569">
            <v>27</v>
          </cell>
          <cell r="M569">
            <v>33</v>
          </cell>
          <cell r="N569">
            <v>79</v>
          </cell>
          <cell r="O569">
            <v>67</v>
          </cell>
          <cell r="P569">
            <v>73</v>
          </cell>
          <cell r="Q569">
            <v>90</v>
          </cell>
          <cell r="R569">
            <v>0</v>
          </cell>
          <cell r="S569">
            <v>11</v>
          </cell>
          <cell r="T569">
            <v>0</v>
          </cell>
          <cell r="U569">
            <v>11</v>
          </cell>
          <cell r="V569">
            <v>470</v>
          </cell>
          <cell r="W569">
            <v>155</v>
          </cell>
          <cell r="X569">
            <v>275</v>
          </cell>
          <cell r="Y569">
            <v>132</v>
          </cell>
          <cell r="Z569">
            <v>0</v>
          </cell>
          <cell r="AA569">
            <v>11</v>
          </cell>
          <cell r="AB569">
            <v>195</v>
          </cell>
          <cell r="AC569">
            <v>103</v>
          </cell>
          <cell r="AD569">
            <v>0</v>
          </cell>
          <cell r="AE569">
            <v>11</v>
          </cell>
          <cell r="AF569">
            <v>0</v>
          </cell>
          <cell r="AG569">
            <v>11</v>
          </cell>
          <cell r="AH569">
            <v>0</v>
          </cell>
          <cell r="AI569">
            <v>11</v>
          </cell>
          <cell r="AJ569">
            <v>0</v>
          </cell>
          <cell r="AK569">
            <v>11</v>
          </cell>
          <cell r="AL569">
            <v>18</v>
          </cell>
          <cell r="AM569">
            <v>20</v>
          </cell>
          <cell r="AN569">
            <v>36</v>
          </cell>
          <cell r="AO569">
            <v>38</v>
          </cell>
          <cell r="AP569">
            <v>20</v>
          </cell>
          <cell r="AQ569">
            <v>28</v>
          </cell>
          <cell r="AR569">
            <v>4</v>
          </cell>
          <cell r="AS569">
            <v>9</v>
          </cell>
        </row>
        <row r="570">
          <cell r="B570">
            <v>17031630100</v>
          </cell>
          <cell r="D570">
            <v>400</v>
          </cell>
          <cell r="E570">
            <v>97</v>
          </cell>
          <cell r="F570">
            <v>282</v>
          </cell>
          <cell r="G570">
            <v>76</v>
          </cell>
          <cell r="H570">
            <v>227</v>
          </cell>
          <cell r="I570">
            <v>74</v>
          </cell>
          <cell r="J570">
            <v>55</v>
          </cell>
          <cell r="K570">
            <v>23</v>
          </cell>
          <cell r="L570">
            <v>23</v>
          </cell>
          <cell r="M570">
            <v>24</v>
          </cell>
          <cell r="N570">
            <v>7</v>
          </cell>
          <cell r="O570">
            <v>11</v>
          </cell>
          <cell r="P570">
            <v>25</v>
          </cell>
          <cell r="Q570">
            <v>19</v>
          </cell>
          <cell r="R570">
            <v>0</v>
          </cell>
          <cell r="S570">
            <v>11</v>
          </cell>
          <cell r="T570">
            <v>0</v>
          </cell>
          <cell r="U570">
            <v>11</v>
          </cell>
          <cell r="V570">
            <v>98</v>
          </cell>
          <cell r="W570">
            <v>45</v>
          </cell>
          <cell r="X570">
            <v>57</v>
          </cell>
          <cell r="Y570">
            <v>28</v>
          </cell>
          <cell r="Z570">
            <v>0</v>
          </cell>
          <cell r="AA570">
            <v>11</v>
          </cell>
          <cell r="AB570">
            <v>41</v>
          </cell>
          <cell r="AC570">
            <v>34</v>
          </cell>
          <cell r="AD570">
            <v>0</v>
          </cell>
          <cell r="AE570">
            <v>11</v>
          </cell>
          <cell r="AF570">
            <v>0</v>
          </cell>
          <cell r="AG570">
            <v>11</v>
          </cell>
          <cell r="AH570">
            <v>0</v>
          </cell>
          <cell r="AI570">
            <v>11</v>
          </cell>
          <cell r="AJ570">
            <v>0</v>
          </cell>
          <cell r="AK570">
            <v>11</v>
          </cell>
          <cell r="AL570">
            <v>0</v>
          </cell>
          <cell r="AM570">
            <v>11</v>
          </cell>
          <cell r="AN570">
            <v>20</v>
          </cell>
          <cell r="AO570">
            <v>24</v>
          </cell>
          <cell r="AP570">
            <v>0</v>
          </cell>
          <cell r="AQ570">
            <v>11</v>
          </cell>
          <cell r="AR570">
            <v>0</v>
          </cell>
          <cell r="AS570">
            <v>11</v>
          </cell>
        </row>
        <row r="571">
          <cell r="B571">
            <v>17031630200</v>
          </cell>
          <cell r="D571">
            <v>745</v>
          </cell>
          <cell r="E571">
            <v>134</v>
          </cell>
          <cell r="F571">
            <v>556</v>
          </cell>
          <cell r="G571">
            <v>130</v>
          </cell>
          <cell r="H571">
            <v>460</v>
          </cell>
          <cell r="I571">
            <v>122</v>
          </cell>
          <cell r="J571">
            <v>96</v>
          </cell>
          <cell r="K571">
            <v>63</v>
          </cell>
          <cell r="L571">
            <v>91</v>
          </cell>
          <cell r="M571">
            <v>65</v>
          </cell>
          <cell r="N571">
            <v>0</v>
          </cell>
          <cell r="O571">
            <v>11</v>
          </cell>
          <cell r="P571">
            <v>5</v>
          </cell>
          <cell r="Q571">
            <v>8</v>
          </cell>
          <cell r="R571">
            <v>0</v>
          </cell>
          <cell r="S571">
            <v>11</v>
          </cell>
          <cell r="T571">
            <v>0</v>
          </cell>
          <cell r="U571">
            <v>11</v>
          </cell>
          <cell r="V571">
            <v>146</v>
          </cell>
          <cell r="W571">
            <v>56</v>
          </cell>
          <cell r="X571">
            <v>60</v>
          </cell>
          <cell r="Y571">
            <v>37</v>
          </cell>
          <cell r="Z571">
            <v>0</v>
          </cell>
          <cell r="AA571">
            <v>11</v>
          </cell>
          <cell r="AB571">
            <v>86</v>
          </cell>
          <cell r="AC571">
            <v>58</v>
          </cell>
          <cell r="AD571">
            <v>0</v>
          </cell>
          <cell r="AE571">
            <v>11</v>
          </cell>
          <cell r="AF571">
            <v>0</v>
          </cell>
          <cell r="AG571">
            <v>11</v>
          </cell>
          <cell r="AH571">
            <v>0</v>
          </cell>
          <cell r="AI571">
            <v>11</v>
          </cell>
          <cell r="AJ571">
            <v>0</v>
          </cell>
          <cell r="AK571">
            <v>11</v>
          </cell>
          <cell r="AL571">
            <v>0</v>
          </cell>
          <cell r="AM571">
            <v>11</v>
          </cell>
          <cell r="AN571">
            <v>16</v>
          </cell>
          <cell r="AO571">
            <v>27</v>
          </cell>
          <cell r="AP571">
            <v>0</v>
          </cell>
          <cell r="AQ571">
            <v>11</v>
          </cell>
          <cell r="AR571">
            <v>27</v>
          </cell>
          <cell r="AS571">
            <v>20</v>
          </cell>
        </row>
        <row r="572">
          <cell r="B572">
            <v>17031630300</v>
          </cell>
          <cell r="D572">
            <v>2160</v>
          </cell>
          <cell r="E572">
            <v>288</v>
          </cell>
          <cell r="F572">
            <v>1529</v>
          </cell>
          <cell r="G572">
            <v>238</v>
          </cell>
          <cell r="H572">
            <v>1238</v>
          </cell>
          <cell r="I572">
            <v>218</v>
          </cell>
          <cell r="J572">
            <v>291</v>
          </cell>
          <cell r="K572">
            <v>147</v>
          </cell>
          <cell r="L572">
            <v>230</v>
          </cell>
          <cell r="M572">
            <v>140</v>
          </cell>
          <cell r="N572">
            <v>27</v>
          </cell>
          <cell r="O572">
            <v>31</v>
          </cell>
          <cell r="P572">
            <v>24</v>
          </cell>
          <cell r="Q572">
            <v>38</v>
          </cell>
          <cell r="R572">
            <v>0</v>
          </cell>
          <cell r="S572">
            <v>15</v>
          </cell>
          <cell r="T572">
            <v>10</v>
          </cell>
          <cell r="U572">
            <v>16</v>
          </cell>
          <cell r="V572">
            <v>507</v>
          </cell>
          <cell r="W572">
            <v>166</v>
          </cell>
          <cell r="X572">
            <v>256</v>
          </cell>
          <cell r="Y572">
            <v>112</v>
          </cell>
          <cell r="Z572">
            <v>18</v>
          </cell>
          <cell r="AA572">
            <v>27</v>
          </cell>
          <cell r="AB572">
            <v>211</v>
          </cell>
          <cell r="AC572">
            <v>119</v>
          </cell>
          <cell r="AD572">
            <v>22</v>
          </cell>
          <cell r="AE572">
            <v>31</v>
          </cell>
          <cell r="AF572">
            <v>0</v>
          </cell>
          <cell r="AG572">
            <v>15</v>
          </cell>
          <cell r="AH572">
            <v>0</v>
          </cell>
          <cell r="AI572">
            <v>15</v>
          </cell>
          <cell r="AJ572">
            <v>0</v>
          </cell>
          <cell r="AK572">
            <v>15</v>
          </cell>
          <cell r="AL572">
            <v>0</v>
          </cell>
          <cell r="AM572">
            <v>15</v>
          </cell>
          <cell r="AN572">
            <v>124</v>
          </cell>
          <cell r="AO572">
            <v>76</v>
          </cell>
          <cell r="AP572">
            <v>0</v>
          </cell>
          <cell r="AQ572">
            <v>15</v>
          </cell>
          <cell r="AR572">
            <v>0</v>
          </cell>
          <cell r="AS572">
            <v>15</v>
          </cell>
        </row>
        <row r="573">
          <cell r="B573">
            <v>17031630400</v>
          </cell>
          <cell r="D573">
            <v>2687</v>
          </cell>
          <cell r="E573">
            <v>383</v>
          </cell>
          <cell r="F573">
            <v>1979</v>
          </cell>
          <cell r="G573">
            <v>335</v>
          </cell>
          <cell r="H573">
            <v>1465</v>
          </cell>
          <cell r="I573">
            <v>276</v>
          </cell>
          <cell r="J573">
            <v>514</v>
          </cell>
          <cell r="K573">
            <v>173</v>
          </cell>
          <cell r="L573">
            <v>345</v>
          </cell>
          <cell r="M573">
            <v>136</v>
          </cell>
          <cell r="N573">
            <v>120</v>
          </cell>
          <cell r="O573">
            <v>92</v>
          </cell>
          <cell r="P573">
            <v>22</v>
          </cell>
          <cell r="Q573">
            <v>27</v>
          </cell>
          <cell r="R573">
            <v>27</v>
          </cell>
          <cell r="S573">
            <v>43</v>
          </cell>
          <cell r="T573">
            <v>0</v>
          </cell>
          <cell r="U573">
            <v>15</v>
          </cell>
          <cell r="V573">
            <v>534</v>
          </cell>
          <cell r="W573">
            <v>135</v>
          </cell>
          <cell r="X573">
            <v>290</v>
          </cell>
          <cell r="Y573">
            <v>123</v>
          </cell>
          <cell r="Z573">
            <v>0</v>
          </cell>
          <cell r="AA573">
            <v>15</v>
          </cell>
          <cell r="AB573">
            <v>244</v>
          </cell>
          <cell r="AC573">
            <v>88</v>
          </cell>
          <cell r="AD573">
            <v>0</v>
          </cell>
          <cell r="AE573">
            <v>15</v>
          </cell>
          <cell r="AF573">
            <v>0</v>
          </cell>
          <cell r="AG573">
            <v>15</v>
          </cell>
          <cell r="AH573">
            <v>0</v>
          </cell>
          <cell r="AI573">
            <v>15</v>
          </cell>
          <cell r="AJ573">
            <v>22</v>
          </cell>
          <cell r="AK573">
            <v>31</v>
          </cell>
          <cell r="AL573">
            <v>0</v>
          </cell>
          <cell r="AM573">
            <v>15</v>
          </cell>
          <cell r="AN573">
            <v>99</v>
          </cell>
          <cell r="AO573">
            <v>69</v>
          </cell>
          <cell r="AP573">
            <v>0</v>
          </cell>
          <cell r="AQ573">
            <v>15</v>
          </cell>
          <cell r="AR573">
            <v>53</v>
          </cell>
          <cell r="AS573">
            <v>38</v>
          </cell>
        </row>
        <row r="574">
          <cell r="B574">
            <v>17031630500</v>
          </cell>
          <cell r="D574">
            <v>2872</v>
          </cell>
          <cell r="E574">
            <v>443</v>
          </cell>
          <cell r="F574">
            <v>2272</v>
          </cell>
          <cell r="G574">
            <v>376</v>
          </cell>
          <cell r="H574">
            <v>1435</v>
          </cell>
          <cell r="I574">
            <v>269</v>
          </cell>
          <cell r="J574">
            <v>837</v>
          </cell>
          <cell r="K574">
            <v>316</v>
          </cell>
          <cell r="L574">
            <v>526</v>
          </cell>
          <cell r="M574">
            <v>288</v>
          </cell>
          <cell r="N574">
            <v>204</v>
          </cell>
          <cell r="O574">
            <v>115</v>
          </cell>
          <cell r="P574">
            <v>52</v>
          </cell>
          <cell r="Q574">
            <v>48</v>
          </cell>
          <cell r="R574">
            <v>55</v>
          </cell>
          <cell r="S574">
            <v>51</v>
          </cell>
          <cell r="T574">
            <v>0</v>
          </cell>
          <cell r="U574">
            <v>15</v>
          </cell>
          <cell r="V574">
            <v>507</v>
          </cell>
          <cell r="W574">
            <v>158</v>
          </cell>
          <cell r="X574">
            <v>374</v>
          </cell>
          <cell r="Y574">
            <v>144</v>
          </cell>
          <cell r="Z574">
            <v>0</v>
          </cell>
          <cell r="AA574">
            <v>15</v>
          </cell>
          <cell r="AB574">
            <v>133</v>
          </cell>
          <cell r="AC574">
            <v>75</v>
          </cell>
          <cell r="AD574">
            <v>0</v>
          </cell>
          <cell r="AE574">
            <v>15</v>
          </cell>
          <cell r="AF574">
            <v>0</v>
          </cell>
          <cell r="AG574">
            <v>15</v>
          </cell>
          <cell r="AH574">
            <v>0</v>
          </cell>
          <cell r="AI574">
            <v>15</v>
          </cell>
          <cell r="AJ574">
            <v>0</v>
          </cell>
          <cell r="AK574">
            <v>15</v>
          </cell>
          <cell r="AL574">
            <v>0</v>
          </cell>
          <cell r="AM574">
            <v>15</v>
          </cell>
          <cell r="AN574">
            <v>52</v>
          </cell>
          <cell r="AO574">
            <v>34</v>
          </cell>
          <cell r="AP574">
            <v>0</v>
          </cell>
          <cell r="AQ574">
            <v>15</v>
          </cell>
          <cell r="AR574">
            <v>41</v>
          </cell>
          <cell r="AS574">
            <v>49</v>
          </cell>
        </row>
        <row r="575">
          <cell r="B575">
            <v>17031630800</v>
          </cell>
          <cell r="D575">
            <v>2716</v>
          </cell>
          <cell r="E575">
            <v>429</v>
          </cell>
          <cell r="F575">
            <v>1872</v>
          </cell>
          <cell r="G575">
            <v>386</v>
          </cell>
          <cell r="H575">
            <v>1294</v>
          </cell>
          <cell r="I575">
            <v>292</v>
          </cell>
          <cell r="J575">
            <v>578</v>
          </cell>
          <cell r="K575">
            <v>193</v>
          </cell>
          <cell r="L575">
            <v>327</v>
          </cell>
          <cell r="M575">
            <v>150</v>
          </cell>
          <cell r="N575">
            <v>140</v>
          </cell>
          <cell r="O575">
            <v>98</v>
          </cell>
          <cell r="P575">
            <v>76</v>
          </cell>
          <cell r="Q575">
            <v>51</v>
          </cell>
          <cell r="R575">
            <v>35</v>
          </cell>
          <cell r="S575">
            <v>41</v>
          </cell>
          <cell r="T575">
            <v>0</v>
          </cell>
          <cell r="U575">
            <v>15</v>
          </cell>
          <cell r="V575">
            <v>717</v>
          </cell>
          <cell r="W575">
            <v>200</v>
          </cell>
          <cell r="X575">
            <v>403</v>
          </cell>
          <cell r="Y575">
            <v>169</v>
          </cell>
          <cell r="Z575">
            <v>14</v>
          </cell>
          <cell r="AA575">
            <v>23</v>
          </cell>
          <cell r="AB575">
            <v>300</v>
          </cell>
          <cell r="AC575">
            <v>134</v>
          </cell>
          <cell r="AD575">
            <v>0</v>
          </cell>
          <cell r="AE575">
            <v>15</v>
          </cell>
          <cell r="AF575">
            <v>0</v>
          </cell>
          <cell r="AG575">
            <v>15</v>
          </cell>
          <cell r="AH575">
            <v>0</v>
          </cell>
          <cell r="AI575">
            <v>15</v>
          </cell>
          <cell r="AJ575">
            <v>0</v>
          </cell>
          <cell r="AK575">
            <v>15</v>
          </cell>
          <cell r="AL575">
            <v>0</v>
          </cell>
          <cell r="AM575">
            <v>15</v>
          </cell>
          <cell r="AN575">
            <v>85</v>
          </cell>
          <cell r="AO575">
            <v>93</v>
          </cell>
          <cell r="AP575">
            <v>0</v>
          </cell>
          <cell r="AQ575">
            <v>15</v>
          </cell>
          <cell r="AR575">
            <v>42</v>
          </cell>
          <cell r="AS575">
            <v>41</v>
          </cell>
        </row>
        <row r="576">
          <cell r="B576">
            <v>17031630900</v>
          </cell>
          <cell r="D576">
            <v>2084</v>
          </cell>
          <cell r="E576">
            <v>328</v>
          </cell>
          <cell r="F576">
            <v>1615</v>
          </cell>
          <cell r="G576">
            <v>250</v>
          </cell>
          <cell r="H576">
            <v>1180</v>
          </cell>
          <cell r="I576">
            <v>262</v>
          </cell>
          <cell r="J576">
            <v>435</v>
          </cell>
          <cell r="K576">
            <v>168</v>
          </cell>
          <cell r="L576">
            <v>236</v>
          </cell>
          <cell r="M576">
            <v>121</v>
          </cell>
          <cell r="N576">
            <v>153</v>
          </cell>
          <cell r="O576">
            <v>116</v>
          </cell>
          <cell r="P576">
            <v>7</v>
          </cell>
          <cell r="Q576">
            <v>13</v>
          </cell>
          <cell r="R576">
            <v>39</v>
          </cell>
          <cell r="S576">
            <v>42</v>
          </cell>
          <cell r="T576">
            <v>0</v>
          </cell>
          <cell r="U576">
            <v>15</v>
          </cell>
          <cell r="V576">
            <v>162</v>
          </cell>
          <cell r="W576">
            <v>72</v>
          </cell>
          <cell r="X576">
            <v>110</v>
          </cell>
          <cell r="Y576">
            <v>66</v>
          </cell>
          <cell r="Z576">
            <v>0</v>
          </cell>
          <cell r="AA576">
            <v>15</v>
          </cell>
          <cell r="AB576">
            <v>52</v>
          </cell>
          <cell r="AC576">
            <v>46</v>
          </cell>
          <cell r="AD576">
            <v>0</v>
          </cell>
          <cell r="AE576">
            <v>15</v>
          </cell>
          <cell r="AF576">
            <v>0</v>
          </cell>
          <cell r="AG576">
            <v>15</v>
          </cell>
          <cell r="AH576">
            <v>0</v>
          </cell>
          <cell r="AI576">
            <v>15</v>
          </cell>
          <cell r="AJ576">
            <v>0</v>
          </cell>
          <cell r="AK576">
            <v>15</v>
          </cell>
          <cell r="AL576">
            <v>91</v>
          </cell>
          <cell r="AM576">
            <v>80</v>
          </cell>
          <cell r="AN576">
            <v>165</v>
          </cell>
          <cell r="AO576">
            <v>107</v>
          </cell>
          <cell r="AP576">
            <v>0</v>
          </cell>
          <cell r="AQ576">
            <v>15</v>
          </cell>
          <cell r="AR576">
            <v>51</v>
          </cell>
          <cell r="AS576">
            <v>47</v>
          </cell>
        </row>
        <row r="577">
          <cell r="B577">
            <v>17031640100</v>
          </cell>
          <cell r="D577">
            <v>797</v>
          </cell>
          <cell r="E577">
            <v>185</v>
          </cell>
          <cell r="F577">
            <v>384</v>
          </cell>
          <cell r="G577">
            <v>100</v>
          </cell>
          <cell r="H577">
            <v>332</v>
          </cell>
          <cell r="I577">
            <v>97</v>
          </cell>
          <cell r="J577">
            <v>52</v>
          </cell>
          <cell r="K577">
            <v>32</v>
          </cell>
          <cell r="L577">
            <v>52</v>
          </cell>
          <cell r="M577">
            <v>32</v>
          </cell>
          <cell r="N577">
            <v>0</v>
          </cell>
          <cell r="O577">
            <v>11</v>
          </cell>
          <cell r="P577">
            <v>0</v>
          </cell>
          <cell r="Q577">
            <v>11</v>
          </cell>
          <cell r="R577">
            <v>0</v>
          </cell>
          <cell r="S577">
            <v>11</v>
          </cell>
          <cell r="T577">
            <v>0</v>
          </cell>
          <cell r="U577">
            <v>11</v>
          </cell>
          <cell r="V577">
            <v>207</v>
          </cell>
          <cell r="W577">
            <v>74</v>
          </cell>
          <cell r="X577">
            <v>43</v>
          </cell>
          <cell r="Y577">
            <v>26</v>
          </cell>
          <cell r="Z577">
            <v>0</v>
          </cell>
          <cell r="AA577">
            <v>11</v>
          </cell>
          <cell r="AB577">
            <v>164</v>
          </cell>
          <cell r="AC577">
            <v>67</v>
          </cell>
          <cell r="AD577">
            <v>0</v>
          </cell>
          <cell r="AE577">
            <v>11</v>
          </cell>
          <cell r="AF577">
            <v>0</v>
          </cell>
          <cell r="AG577">
            <v>11</v>
          </cell>
          <cell r="AH577">
            <v>0</v>
          </cell>
          <cell r="AI577">
            <v>11</v>
          </cell>
          <cell r="AJ577">
            <v>0</v>
          </cell>
          <cell r="AK577">
            <v>11</v>
          </cell>
          <cell r="AL577">
            <v>0</v>
          </cell>
          <cell r="AM577">
            <v>11</v>
          </cell>
          <cell r="AN577">
            <v>190</v>
          </cell>
          <cell r="AO577">
            <v>164</v>
          </cell>
          <cell r="AP577">
            <v>16</v>
          </cell>
          <cell r="AQ577">
            <v>24</v>
          </cell>
          <cell r="AR577">
            <v>0</v>
          </cell>
          <cell r="AS577">
            <v>11</v>
          </cell>
        </row>
        <row r="578">
          <cell r="B578">
            <v>17031640300</v>
          </cell>
          <cell r="D578">
            <v>3417</v>
          </cell>
          <cell r="E578">
            <v>407</v>
          </cell>
          <cell r="F578">
            <v>2823</v>
          </cell>
          <cell r="G578">
            <v>394</v>
          </cell>
          <cell r="H578">
            <v>2438</v>
          </cell>
          <cell r="I578">
            <v>379</v>
          </cell>
          <cell r="J578">
            <v>385</v>
          </cell>
          <cell r="K578">
            <v>218</v>
          </cell>
          <cell r="L578">
            <v>333</v>
          </cell>
          <cell r="M578">
            <v>181</v>
          </cell>
          <cell r="N578">
            <v>6</v>
          </cell>
          <cell r="O578">
            <v>15</v>
          </cell>
          <cell r="P578">
            <v>46</v>
          </cell>
          <cell r="Q578">
            <v>73</v>
          </cell>
          <cell r="R578">
            <v>0</v>
          </cell>
          <cell r="S578">
            <v>15</v>
          </cell>
          <cell r="T578">
            <v>0</v>
          </cell>
          <cell r="U578">
            <v>15</v>
          </cell>
          <cell r="V578">
            <v>456</v>
          </cell>
          <cell r="W578">
            <v>184</v>
          </cell>
          <cell r="X578">
            <v>62</v>
          </cell>
          <cell r="Y578">
            <v>68</v>
          </cell>
          <cell r="Z578">
            <v>0</v>
          </cell>
          <cell r="AA578">
            <v>15</v>
          </cell>
          <cell r="AB578">
            <v>352</v>
          </cell>
          <cell r="AC578">
            <v>180</v>
          </cell>
          <cell r="AD578">
            <v>42</v>
          </cell>
          <cell r="AE578">
            <v>59</v>
          </cell>
          <cell r="AF578">
            <v>0</v>
          </cell>
          <cell r="AG578">
            <v>15</v>
          </cell>
          <cell r="AH578">
            <v>0</v>
          </cell>
          <cell r="AI578">
            <v>15</v>
          </cell>
          <cell r="AJ578">
            <v>0</v>
          </cell>
          <cell r="AK578">
            <v>15</v>
          </cell>
          <cell r="AL578">
            <v>33</v>
          </cell>
          <cell r="AM578">
            <v>50</v>
          </cell>
          <cell r="AN578">
            <v>46</v>
          </cell>
          <cell r="AO578">
            <v>41</v>
          </cell>
          <cell r="AP578">
            <v>0</v>
          </cell>
          <cell r="AQ578">
            <v>15</v>
          </cell>
          <cell r="AR578">
            <v>59</v>
          </cell>
          <cell r="AS578">
            <v>53</v>
          </cell>
        </row>
        <row r="579">
          <cell r="B579">
            <v>17031640400</v>
          </cell>
          <cell r="D579">
            <v>1942</v>
          </cell>
          <cell r="E579">
            <v>210</v>
          </cell>
          <cell r="F579">
            <v>1653</v>
          </cell>
          <cell r="G579">
            <v>227</v>
          </cell>
          <cell r="H579">
            <v>1468</v>
          </cell>
          <cell r="I579">
            <v>228</v>
          </cell>
          <cell r="J579">
            <v>185</v>
          </cell>
          <cell r="K579">
            <v>95</v>
          </cell>
          <cell r="L579">
            <v>71</v>
          </cell>
          <cell r="M579">
            <v>59</v>
          </cell>
          <cell r="N579">
            <v>58</v>
          </cell>
          <cell r="O579">
            <v>47</v>
          </cell>
          <cell r="P579">
            <v>29</v>
          </cell>
          <cell r="Q579">
            <v>45</v>
          </cell>
          <cell r="R579">
            <v>27</v>
          </cell>
          <cell r="S579">
            <v>37</v>
          </cell>
          <cell r="T579">
            <v>0</v>
          </cell>
          <cell r="U579">
            <v>11</v>
          </cell>
          <cell r="V579">
            <v>289</v>
          </cell>
          <cell r="W579">
            <v>116</v>
          </cell>
          <cell r="X579">
            <v>148</v>
          </cell>
          <cell r="Y579">
            <v>71</v>
          </cell>
          <cell r="Z579">
            <v>0</v>
          </cell>
          <cell r="AA579">
            <v>11</v>
          </cell>
          <cell r="AB579">
            <v>121</v>
          </cell>
          <cell r="AC579">
            <v>87</v>
          </cell>
          <cell r="AD579">
            <v>20</v>
          </cell>
          <cell r="AE579">
            <v>22</v>
          </cell>
          <cell r="AF579">
            <v>0</v>
          </cell>
          <cell r="AG579">
            <v>11</v>
          </cell>
          <cell r="AH579">
            <v>0</v>
          </cell>
          <cell r="AI579">
            <v>11</v>
          </cell>
          <cell r="AJ579">
            <v>0</v>
          </cell>
          <cell r="AK579">
            <v>11</v>
          </cell>
          <cell r="AL579">
            <v>0</v>
          </cell>
          <cell r="AM579">
            <v>11</v>
          </cell>
          <cell r="AN579">
            <v>0</v>
          </cell>
          <cell r="AO579">
            <v>11</v>
          </cell>
          <cell r="AP579">
            <v>0</v>
          </cell>
          <cell r="AQ579">
            <v>11</v>
          </cell>
          <cell r="AR579">
            <v>0</v>
          </cell>
          <cell r="AS579">
            <v>11</v>
          </cell>
        </row>
        <row r="580">
          <cell r="B580">
            <v>17031640500</v>
          </cell>
          <cell r="D580">
            <v>1749</v>
          </cell>
          <cell r="E580">
            <v>230</v>
          </cell>
          <cell r="F580">
            <v>1398</v>
          </cell>
          <cell r="G580">
            <v>206</v>
          </cell>
          <cell r="H580">
            <v>1272</v>
          </cell>
          <cell r="I580">
            <v>210</v>
          </cell>
          <cell r="J580">
            <v>126</v>
          </cell>
          <cell r="K580">
            <v>70</v>
          </cell>
          <cell r="L580">
            <v>60</v>
          </cell>
          <cell r="M580">
            <v>44</v>
          </cell>
          <cell r="N580">
            <v>30</v>
          </cell>
          <cell r="O580">
            <v>33</v>
          </cell>
          <cell r="P580">
            <v>36</v>
          </cell>
          <cell r="Q580">
            <v>47</v>
          </cell>
          <cell r="R580">
            <v>0</v>
          </cell>
          <cell r="S580">
            <v>11</v>
          </cell>
          <cell r="T580">
            <v>0</v>
          </cell>
          <cell r="U580">
            <v>11</v>
          </cell>
          <cell r="V580">
            <v>234</v>
          </cell>
          <cell r="W580">
            <v>127</v>
          </cell>
          <cell r="X580">
            <v>70</v>
          </cell>
          <cell r="Y580">
            <v>60</v>
          </cell>
          <cell r="Z580">
            <v>0</v>
          </cell>
          <cell r="AA580">
            <v>11</v>
          </cell>
          <cell r="AB580">
            <v>164</v>
          </cell>
          <cell r="AC580">
            <v>103</v>
          </cell>
          <cell r="AD580">
            <v>0</v>
          </cell>
          <cell r="AE580">
            <v>11</v>
          </cell>
          <cell r="AF580">
            <v>0</v>
          </cell>
          <cell r="AG580">
            <v>11</v>
          </cell>
          <cell r="AH580">
            <v>0</v>
          </cell>
          <cell r="AI580">
            <v>11</v>
          </cell>
          <cell r="AJ580">
            <v>0</v>
          </cell>
          <cell r="AK580">
            <v>11</v>
          </cell>
          <cell r="AL580">
            <v>0</v>
          </cell>
          <cell r="AM580">
            <v>11</v>
          </cell>
          <cell r="AN580">
            <v>0</v>
          </cell>
          <cell r="AO580">
            <v>11</v>
          </cell>
          <cell r="AP580">
            <v>72</v>
          </cell>
          <cell r="AQ580">
            <v>49</v>
          </cell>
          <cell r="AR580">
            <v>45</v>
          </cell>
          <cell r="AS580">
            <v>39</v>
          </cell>
        </row>
        <row r="581">
          <cell r="B581">
            <v>17031640600</v>
          </cell>
          <cell r="D581">
            <v>1806</v>
          </cell>
          <cell r="E581">
            <v>260</v>
          </cell>
          <cell r="F581">
            <v>1398</v>
          </cell>
          <cell r="G581">
            <v>223</v>
          </cell>
          <cell r="H581">
            <v>1209</v>
          </cell>
          <cell r="I581">
            <v>201</v>
          </cell>
          <cell r="J581">
            <v>189</v>
          </cell>
          <cell r="K581">
            <v>85</v>
          </cell>
          <cell r="L581">
            <v>76</v>
          </cell>
          <cell r="M581">
            <v>47</v>
          </cell>
          <cell r="N581">
            <v>104</v>
          </cell>
          <cell r="O581">
            <v>76</v>
          </cell>
          <cell r="P581">
            <v>0</v>
          </cell>
          <cell r="Q581">
            <v>11</v>
          </cell>
          <cell r="R581">
            <v>0</v>
          </cell>
          <cell r="S581">
            <v>11</v>
          </cell>
          <cell r="T581">
            <v>9</v>
          </cell>
          <cell r="U581">
            <v>13</v>
          </cell>
          <cell r="V581">
            <v>226</v>
          </cell>
          <cell r="W581">
            <v>132</v>
          </cell>
          <cell r="X581">
            <v>92</v>
          </cell>
          <cell r="Y581">
            <v>79</v>
          </cell>
          <cell r="Z581">
            <v>0</v>
          </cell>
          <cell r="AA581">
            <v>11</v>
          </cell>
          <cell r="AB581">
            <v>125</v>
          </cell>
          <cell r="AC581">
            <v>110</v>
          </cell>
          <cell r="AD581">
            <v>9</v>
          </cell>
          <cell r="AE581">
            <v>15</v>
          </cell>
          <cell r="AF581">
            <v>0</v>
          </cell>
          <cell r="AG581">
            <v>11</v>
          </cell>
          <cell r="AH581">
            <v>0</v>
          </cell>
          <cell r="AI581">
            <v>11</v>
          </cell>
          <cell r="AJ581">
            <v>0</v>
          </cell>
          <cell r="AK581">
            <v>11</v>
          </cell>
          <cell r="AL581">
            <v>50</v>
          </cell>
          <cell r="AM581">
            <v>55</v>
          </cell>
          <cell r="AN581">
            <v>93</v>
          </cell>
          <cell r="AO581">
            <v>104</v>
          </cell>
          <cell r="AP581">
            <v>0</v>
          </cell>
          <cell r="AQ581">
            <v>11</v>
          </cell>
          <cell r="AR581">
            <v>39</v>
          </cell>
          <cell r="AS581">
            <v>50</v>
          </cell>
        </row>
        <row r="582">
          <cell r="B582">
            <v>17031640700</v>
          </cell>
          <cell r="D582">
            <v>1397</v>
          </cell>
          <cell r="E582">
            <v>150</v>
          </cell>
          <cell r="F582">
            <v>1150</v>
          </cell>
          <cell r="G582">
            <v>154</v>
          </cell>
          <cell r="H582">
            <v>1110</v>
          </cell>
          <cell r="I582">
            <v>141</v>
          </cell>
          <cell r="J582">
            <v>40</v>
          </cell>
          <cell r="K582">
            <v>42</v>
          </cell>
          <cell r="L582">
            <v>6</v>
          </cell>
          <cell r="M582">
            <v>9</v>
          </cell>
          <cell r="N582">
            <v>23</v>
          </cell>
          <cell r="O582">
            <v>37</v>
          </cell>
          <cell r="P582">
            <v>0</v>
          </cell>
          <cell r="Q582">
            <v>11</v>
          </cell>
          <cell r="R582">
            <v>11</v>
          </cell>
          <cell r="S582">
            <v>18</v>
          </cell>
          <cell r="T582">
            <v>0</v>
          </cell>
          <cell r="U582">
            <v>11</v>
          </cell>
          <cell r="V582">
            <v>217</v>
          </cell>
          <cell r="W582">
            <v>78</v>
          </cell>
          <cell r="X582">
            <v>79</v>
          </cell>
          <cell r="Y582">
            <v>50</v>
          </cell>
          <cell r="Z582">
            <v>0</v>
          </cell>
          <cell r="AA582">
            <v>11</v>
          </cell>
          <cell r="AB582">
            <v>120</v>
          </cell>
          <cell r="AC582">
            <v>63</v>
          </cell>
          <cell r="AD582">
            <v>18</v>
          </cell>
          <cell r="AE582">
            <v>29</v>
          </cell>
          <cell r="AF582">
            <v>0</v>
          </cell>
          <cell r="AG582">
            <v>11</v>
          </cell>
          <cell r="AH582">
            <v>0</v>
          </cell>
          <cell r="AI582">
            <v>11</v>
          </cell>
          <cell r="AJ582">
            <v>0</v>
          </cell>
          <cell r="AK582">
            <v>11</v>
          </cell>
          <cell r="AL582">
            <v>0</v>
          </cell>
          <cell r="AM582">
            <v>11</v>
          </cell>
          <cell r="AN582">
            <v>16</v>
          </cell>
          <cell r="AO582">
            <v>16</v>
          </cell>
          <cell r="AP582">
            <v>0</v>
          </cell>
          <cell r="AQ582">
            <v>11</v>
          </cell>
          <cell r="AR582">
            <v>14</v>
          </cell>
          <cell r="AS582">
            <v>29</v>
          </cell>
        </row>
        <row r="583">
          <cell r="B583">
            <v>17031640800</v>
          </cell>
          <cell r="D583">
            <v>801</v>
          </cell>
          <cell r="E583">
            <v>119</v>
          </cell>
          <cell r="F583">
            <v>588</v>
          </cell>
          <cell r="G583">
            <v>92</v>
          </cell>
          <cell r="H583">
            <v>468</v>
          </cell>
          <cell r="I583">
            <v>84</v>
          </cell>
          <cell r="J583">
            <v>120</v>
          </cell>
          <cell r="K583">
            <v>42</v>
          </cell>
          <cell r="L583">
            <v>76</v>
          </cell>
          <cell r="M583">
            <v>36</v>
          </cell>
          <cell r="N583">
            <v>11</v>
          </cell>
          <cell r="O583">
            <v>12</v>
          </cell>
          <cell r="P583">
            <v>16</v>
          </cell>
          <cell r="Q583">
            <v>21</v>
          </cell>
          <cell r="R583">
            <v>8</v>
          </cell>
          <cell r="S583">
            <v>13</v>
          </cell>
          <cell r="T583">
            <v>9</v>
          </cell>
          <cell r="U583">
            <v>14</v>
          </cell>
          <cell r="V583">
            <v>169</v>
          </cell>
          <cell r="W583">
            <v>82</v>
          </cell>
          <cell r="X583">
            <v>34</v>
          </cell>
          <cell r="Y583">
            <v>32</v>
          </cell>
          <cell r="Z583">
            <v>0</v>
          </cell>
          <cell r="AA583">
            <v>11</v>
          </cell>
          <cell r="AB583">
            <v>119</v>
          </cell>
          <cell r="AC583">
            <v>82</v>
          </cell>
          <cell r="AD583">
            <v>16</v>
          </cell>
          <cell r="AE583">
            <v>20</v>
          </cell>
          <cell r="AF583">
            <v>0</v>
          </cell>
          <cell r="AG583">
            <v>11</v>
          </cell>
          <cell r="AH583">
            <v>0</v>
          </cell>
          <cell r="AI583">
            <v>11</v>
          </cell>
          <cell r="AJ583">
            <v>0</v>
          </cell>
          <cell r="AK583">
            <v>11</v>
          </cell>
          <cell r="AL583">
            <v>0</v>
          </cell>
          <cell r="AM583">
            <v>11</v>
          </cell>
          <cell r="AN583">
            <v>29</v>
          </cell>
          <cell r="AO583">
            <v>26</v>
          </cell>
          <cell r="AP583">
            <v>15</v>
          </cell>
          <cell r="AQ583">
            <v>19</v>
          </cell>
          <cell r="AR583">
            <v>0</v>
          </cell>
          <cell r="AS583">
            <v>11</v>
          </cell>
        </row>
        <row r="584">
          <cell r="B584">
            <v>17031650100</v>
          </cell>
          <cell r="D584">
            <v>2059</v>
          </cell>
          <cell r="E584">
            <v>440</v>
          </cell>
          <cell r="F584">
            <v>1675</v>
          </cell>
          <cell r="G584">
            <v>369</v>
          </cell>
          <cell r="H584">
            <v>1317</v>
          </cell>
          <cell r="I584">
            <v>340</v>
          </cell>
          <cell r="J584">
            <v>358</v>
          </cell>
          <cell r="K584">
            <v>168</v>
          </cell>
          <cell r="L584">
            <v>261</v>
          </cell>
          <cell r="M584">
            <v>139</v>
          </cell>
          <cell r="N584">
            <v>97</v>
          </cell>
          <cell r="O584">
            <v>81</v>
          </cell>
          <cell r="P584">
            <v>0</v>
          </cell>
          <cell r="Q584">
            <v>11</v>
          </cell>
          <cell r="R584">
            <v>0</v>
          </cell>
          <cell r="S584">
            <v>11</v>
          </cell>
          <cell r="T584">
            <v>0</v>
          </cell>
          <cell r="U584">
            <v>11</v>
          </cell>
          <cell r="V584">
            <v>331</v>
          </cell>
          <cell r="W584">
            <v>207</v>
          </cell>
          <cell r="X584">
            <v>247</v>
          </cell>
          <cell r="Y584">
            <v>151</v>
          </cell>
          <cell r="Z584">
            <v>0</v>
          </cell>
          <cell r="AA584">
            <v>11</v>
          </cell>
          <cell r="AB584">
            <v>84</v>
          </cell>
          <cell r="AC584">
            <v>103</v>
          </cell>
          <cell r="AD584">
            <v>0</v>
          </cell>
          <cell r="AE584">
            <v>11</v>
          </cell>
          <cell r="AF584">
            <v>0</v>
          </cell>
          <cell r="AG584">
            <v>11</v>
          </cell>
          <cell r="AH584">
            <v>0</v>
          </cell>
          <cell r="AI584">
            <v>11</v>
          </cell>
          <cell r="AJ584">
            <v>0</v>
          </cell>
          <cell r="AK584">
            <v>11</v>
          </cell>
          <cell r="AL584">
            <v>19</v>
          </cell>
          <cell r="AM584">
            <v>31</v>
          </cell>
          <cell r="AN584">
            <v>19</v>
          </cell>
          <cell r="AO584">
            <v>21</v>
          </cell>
          <cell r="AP584">
            <v>0</v>
          </cell>
          <cell r="AQ584">
            <v>11</v>
          </cell>
          <cell r="AR584">
            <v>15</v>
          </cell>
          <cell r="AS584">
            <v>19</v>
          </cell>
        </row>
        <row r="585">
          <cell r="B585">
            <v>17031650200</v>
          </cell>
          <cell r="D585">
            <v>3047</v>
          </cell>
          <cell r="E585">
            <v>465</v>
          </cell>
          <cell r="F585">
            <v>2501</v>
          </cell>
          <cell r="G585">
            <v>450</v>
          </cell>
          <cell r="H585">
            <v>1795</v>
          </cell>
          <cell r="I585">
            <v>374</v>
          </cell>
          <cell r="J585">
            <v>706</v>
          </cell>
          <cell r="K585">
            <v>307</v>
          </cell>
          <cell r="L585">
            <v>588</v>
          </cell>
          <cell r="M585">
            <v>260</v>
          </cell>
          <cell r="N585">
            <v>60</v>
          </cell>
          <cell r="O585">
            <v>80</v>
          </cell>
          <cell r="P585">
            <v>58</v>
          </cell>
          <cell r="Q585">
            <v>63</v>
          </cell>
          <cell r="R585">
            <v>0</v>
          </cell>
          <cell r="S585">
            <v>15</v>
          </cell>
          <cell r="T585">
            <v>0</v>
          </cell>
          <cell r="U585">
            <v>15</v>
          </cell>
          <cell r="V585">
            <v>363</v>
          </cell>
          <cell r="W585">
            <v>169</v>
          </cell>
          <cell r="X585">
            <v>146</v>
          </cell>
          <cell r="Y585">
            <v>100</v>
          </cell>
          <cell r="Z585">
            <v>0</v>
          </cell>
          <cell r="AA585">
            <v>15</v>
          </cell>
          <cell r="AB585">
            <v>215</v>
          </cell>
          <cell r="AC585">
            <v>111</v>
          </cell>
          <cell r="AD585">
            <v>2</v>
          </cell>
          <cell r="AE585">
            <v>11</v>
          </cell>
          <cell r="AF585">
            <v>0</v>
          </cell>
          <cell r="AG585">
            <v>15</v>
          </cell>
          <cell r="AH585">
            <v>0</v>
          </cell>
          <cell r="AI585">
            <v>15</v>
          </cell>
          <cell r="AJ585">
            <v>0</v>
          </cell>
          <cell r="AK585">
            <v>15</v>
          </cell>
          <cell r="AL585">
            <v>19</v>
          </cell>
          <cell r="AM585">
            <v>32</v>
          </cell>
          <cell r="AN585">
            <v>93</v>
          </cell>
          <cell r="AO585">
            <v>83</v>
          </cell>
          <cell r="AP585">
            <v>16</v>
          </cell>
          <cell r="AQ585">
            <v>25</v>
          </cell>
          <cell r="AR585">
            <v>55</v>
          </cell>
          <cell r="AS585">
            <v>57</v>
          </cell>
        </row>
        <row r="586">
          <cell r="B586">
            <v>17031650301</v>
          </cell>
          <cell r="D586">
            <v>2423</v>
          </cell>
          <cell r="E586">
            <v>239</v>
          </cell>
          <cell r="F586">
            <v>1791</v>
          </cell>
          <cell r="G586">
            <v>200</v>
          </cell>
          <cell r="H586">
            <v>1601</v>
          </cell>
          <cell r="I586">
            <v>216</v>
          </cell>
          <cell r="J586">
            <v>190</v>
          </cell>
          <cell r="K586">
            <v>108</v>
          </cell>
          <cell r="L586">
            <v>147</v>
          </cell>
          <cell r="M586">
            <v>97</v>
          </cell>
          <cell r="N586">
            <v>43</v>
          </cell>
          <cell r="O586">
            <v>41</v>
          </cell>
          <cell r="P586">
            <v>0</v>
          </cell>
          <cell r="Q586">
            <v>15</v>
          </cell>
          <cell r="R586">
            <v>0</v>
          </cell>
          <cell r="S586">
            <v>15</v>
          </cell>
          <cell r="T586">
            <v>0</v>
          </cell>
          <cell r="U586">
            <v>15</v>
          </cell>
          <cell r="V586">
            <v>366</v>
          </cell>
          <cell r="W586">
            <v>127</v>
          </cell>
          <cell r="X586">
            <v>131</v>
          </cell>
          <cell r="Y586">
            <v>75</v>
          </cell>
          <cell r="Z586">
            <v>0</v>
          </cell>
          <cell r="AA586">
            <v>15</v>
          </cell>
          <cell r="AB586">
            <v>228</v>
          </cell>
          <cell r="AC586">
            <v>115</v>
          </cell>
          <cell r="AD586">
            <v>7</v>
          </cell>
          <cell r="AE586">
            <v>11</v>
          </cell>
          <cell r="AF586">
            <v>0</v>
          </cell>
          <cell r="AG586">
            <v>15</v>
          </cell>
          <cell r="AH586">
            <v>0</v>
          </cell>
          <cell r="AI586">
            <v>15</v>
          </cell>
          <cell r="AJ586">
            <v>0</v>
          </cell>
          <cell r="AK586">
            <v>15</v>
          </cell>
          <cell r="AL586">
            <v>12</v>
          </cell>
          <cell r="AM586">
            <v>19</v>
          </cell>
          <cell r="AN586">
            <v>173</v>
          </cell>
          <cell r="AO586">
            <v>114</v>
          </cell>
          <cell r="AP586">
            <v>30</v>
          </cell>
          <cell r="AQ586">
            <v>31</v>
          </cell>
          <cell r="AR586">
            <v>51</v>
          </cell>
          <cell r="AS586">
            <v>49</v>
          </cell>
        </row>
        <row r="587">
          <cell r="B587">
            <v>17031650302</v>
          </cell>
          <cell r="D587">
            <v>1770</v>
          </cell>
          <cell r="E587">
            <v>283</v>
          </cell>
          <cell r="F587">
            <v>1388</v>
          </cell>
          <cell r="G587">
            <v>227</v>
          </cell>
          <cell r="H587">
            <v>1110</v>
          </cell>
          <cell r="I587">
            <v>234</v>
          </cell>
          <cell r="J587">
            <v>278</v>
          </cell>
          <cell r="K587">
            <v>145</v>
          </cell>
          <cell r="L587">
            <v>190</v>
          </cell>
          <cell r="M587">
            <v>112</v>
          </cell>
          <cell r="N587">
            <v>79</v>
          </cell>
          <cell r="O587">
            <v>87</v>
          </cell>
          <cell r="P587">
            <v>9</v>
          </cell>
          <cell r="Q587">
            <v>13</v>
          </cell>
          <cell r="R587">
            <v>0</v>
          </cell>
          <cell r="S587">
            <v>11</v>
          </cell>
          <cell r="T587">
            <v>0</v>
          </cell>
          <cell r="U587">
            <v>11</v>
          </cell>
          <cell r="V587">
            <v>279</v>
          </cell>
          <cell r="W587">
            <v>144</v>
          </cell>
          <cell r="X587">
            <v>158</v>
          </cell>
          <cell r="Y587">
            <v>102</v>
          </cell>
          <cell r="Z587">
            <v>22</v>
          </cell>
          <cell r="AA587">
            <v>25</v>
          </cell>
          <cell r="AB587">
            <v>99</v>
          </cell>
          <cell r="AC587">
            <v>85</v>
          </cell>
          <cell r="AD587">
            <v>0</v>
          </cell>
          <cell r="AE587">
            <v>11</v>
          </cell>
          <cell r="AF587">
            <v>0</v>
          </cell>
          <cell r="AG587">
            <v>11</v>
          </cell>
          <cell r="AH587">
            <v>0</v>
          </cell>
          <cell r="AI587">
            <v>11</v>
          </cell>
          <cell r="AJ587">
            <v>0</v>
          </cell>
          <cell r="AK587">
            <v>11</v>
          </cell>
          <cell r="AL587">
            <v>11</v>
          </cell>
          <cell r="AM587">
            <v>17</v>
          </cell>
          <cell r="AN587">
            <v>19</v>
          </cell>
          <cell r="AO587">
            <v>22</v>
          </cell>
          <cell r="AP587">
            <v>0</v>
          </cell>
          <cell r="AQ587">
            <v>11</v>
          </cell>
          <cell r="AR587">
            <v>73</v>
          </cell>
          <cell r="AS587">
            <v>74</v>
          </cell>
        </row>
        <row r="588">
          <cell r="B588">
            <v>17031650400</v>
          </cell>
          <cell r="D588">
            <v>2747</v>
          </cell>
          <cell r="E588">
            <v>311</v>
          </cell>
          <cell r="F588">
            <v>2302</v>
          </cell>
          <cell r="G588">
            <v>286</v>
          </cell>
          <cell r="H588">
            <v>2013</v>
          </cell>
          <cell r="I588">
            <v>283</v>
          </cell>
          <cell r="J588">
            <v>289</v>
          </cell>
          <cell r="K588">
            <v>132</v>
          </cell>
          <cell r="L588">
            <v>238</v>
          </cell>
          <cell r="M588">
            <v>127</v>
          </cell>
          <cell r="N588">
            <v>20</v>
          </cell>
          <cell r="O588">
            <v>19</v>
          </cell>
          <cell r="P588">
            <v>8</v>
          </cell>
          <cell r="Q588">
            <v>12</v>
          </cell>
          <cell r="R588">
            <v>23</v>
          </cell>
          <cell r="S588">
            <v>38</v>
          </cell>
          <cell r="T588">
            <v>0</v>
          </cell>
          <cell r="U588">
            <v>15</v>
          </cell>
          <cell r="V588">
            <v>424</v>
          </cell>
          <cell r="W588">
            <v>133</v>
          </cell>
          <cell r="X588">
            <v>208</v>
          </cell>
          <cell r="Y588">
            <v>94</v>
          </cell>
          <cell r="Z588">
            <v>0</v>
          </cell>
          <cell r="AA588">
            <v>15</v>
          </cell>
          <cell r="AB588">
            <v>189</v>
          </cell>
          <cell r="AC588">
            <v>92</v>
          </cell>
          <cell r="AD588">
            <v>27</v>
          </cell>
          <cell r="AE588">
            <v>22</v>
          </cell>
          <cell r="AF588">
            <v>0</v>
          </cell>
          <cell r="AG588">
            <v>15</v>
          </cell>
          <cell r="AH588">
            <v>0</v>
          </cell>
          <cell r="AI588">
            <v>15</v>
          </cell>
          <cell r="AJ588">
            <v>0</v>
          </cell>
          <cell r="AK588">
            <v>15</v>
          </cell>
          <cell r="AL588">
            <v>0</v>
          </cell>
          <cell r="AM588">
            <v>15</v>
          </cell>
          <cell r="AN588">
            <v>9</v>
          </cell>
          <cell r="AO588">
            <v>16</v>
          </cell>
          <cell r="AP588">
            <v>0</v>
          </cell>
          <cell r="AQ588">
            <v>15</v>
          </cell>
          <cell r="AR588">
            <v>12</v>
          </cell>
          <cell r="AS588">
            <v>14</v>
          </cell>
        </row>
        <row r="589">
          <cell r="B589">
            <v>17031650500</v>
          </cell>
          <cell r="D589">
            <v>1725</v>
          </cell>
          <cell r="E589">
            <v>277</v>
          </cell>
          <cell r="F589">
            <v>1449</v>
          </cell>
          <cell r="G589">
            <v>243</v>
          </cell>
          <cell r="H589">
            <v>1203</v>
          </cell>
          <cell r="I589">
            <v>229</v>
          </cell>
          <cell r="J589">
            <v>246</v>
          </cell>
          <cell r="K589">
            <v>138</v>
          </cell>
          <cell r="L589">
            <v>200</v>
          </cell>
          <cell r="M589">
            <v>136</v>
          </cell>
          <cell r="N589">
            <v>0</v>
          </cell>
          <cell r="O589">
            <v>11</v>
          </cell>
          <cell r="P589">
            <v>17</v>
          </cell>
          <cell r="Q589">
            <v>26</v>
          </cell>
          <cell r="R589">
            <v>29</v>
          </cell>
          <cell r="S589">
            <v>42</v>
          </cell>
          <cell r="T589">
            <v>0</v>
          </cell>
          <cell r="U589">
            <v>11</v>
          </cell>
          <cell r="V589">
            <v>257</v>
          </cell>
          <cell r="W589">
            <v>101</v>
          </cell>
          <cell r="X589">
            <v>66</v>
          </cell>
          <cell r="Y589">
            <v>55</v>
          </cell>
          <cell r="Z589">
            <v>0</v>
          </cell>
          <cell r="AA589">
            <v>11</v>
          </cell>
          <cell r="AB589">
            <v>182</v>
          </cell>
          <cell r="AC589">
            <v>82</v>
          </cell>
          <cell r="AD589">
            <v>9</v>
          </cell>
          <cell r="AE589">
            <v>14</v>
          </cell>
          <cell r="AF589">
            <v>0</v>
          </cell>
          <cell r="AG589">
            <v>11</v>
          </cell>
          <cell r="AH589">
            <v>0</v>
          </cell>
          <cell r="AI589">
            <v>11</v>
          </cell>
          <cell r="AJ589">
            <v>0</v>
          </cell>
          <cell r="AK589">
            <v>11</v>
          </cell>
          <cell r="AL589">
            <v>0</v>
          </cell>
          <cell r="AM589">
            <v>11</v>
          </cell>
          <cell r="AN589">
            <v>19</v>
          </cell>
          <cell r="AO589">
            <v>24</v>
          </cell>
          <cell r="AP589">
            <v>0</v>
          </cell>
          <cell r="AQ589">
            <v>11</v>
          </cell>
          <cell r="AR589">
            <v>0</v>
          </cell>
          <cell r="AS589">
            <v>11</v>
          </cell>
        </row>
        <row r="590">
          <cell r="B590">
            <v>17031660301</v>
          </cell>
          <cell r="D590">
            <v>598</v>
          </cell>
          <cell r="E590">
            <v>119</v>
          </cell>
          <cell r="F590">
            <v>397</v>
          </cell>
          <cell r="G590">
            <v>108</v>
          </cell>
          <cell r="H590">
            <v>323</v>
          </cell>
          <cell r="I590">
            <v>91</v>
          </cell>
          <cell r="J590">
            <v>74</v>
          </cell>
          <cell r="K590">
            <v>49</v>
          </cell>
          <cell r="L590">
            <v>53</v>
          </cell>
          <cell r="M590">
            <v>42</v>
          </cell>
          <cell r="N590">
            <v>9</v>
          </cell>
          <cell r="O590">
            <v>15</v>
          </cell>
          <cell r="P590">
            <v>12</v>
          </cell>
          <cell r="Q590">
            <v>19</v>
          </cell>
          <cell r="R590">
            <v>0</v>
          </cell>
          <cell r="S590">
            <v>11</v>
          </cell>
          <cell r="T590">
            <v>0</v>
          </cell>
          <cell r="U590">
            <v>11</v>
          </cell>
          <cell r="V590">
            <v>147</v>
          </cell>
          <cell r="W590">
            <v>73</v>
          </cell>
          <cell r="X590">
            <v>97</v>
          </cell>
          <cell r="Y590">
            <v>52</v>
          </cell>
          <cell r="Z590">
            <v>0</v>
          </cell>
          <cell r="AA590">
            <v>11</v>
          </cell>
          <cell r="AB590">
            <v>50</v>
          </cell>
          <cell r="AC590">
            <v>54</v>
          </cell>
          <cell r="AD590">
            <v>0</v>
          </cell>
          <cell r="AE590">
            <v>11</v>
          </cell>
          <cell r="AF590">
            <v>0</v>
          </cell>
          <cell r="AG590">
            <v>11</v>
          </cell>
          <cell r="AH590">
            <v>0</v>
          </cell>
          <cell r="AI590">
            <v>11</v>
          </cell>
          <cell r="AJ590">
            <v>0</v>
          </cell>
          <cell r="AK590">
            <v>11</v>
          </cell>
          <cell r="AL590">
            <v>0</v>
          </cell>
          <cell r="AM590">
            <v>11</v>
          </cell>
          <cell r="AN590">
            <v>47</v>
          </cell>
          <cell r="AO590">
            <v>31</v>
          </cell>
          <cell r="AP590">
            <v>0</v>
          </cell>
          <cell r="AQ590">
            <v>11</v>
          </cell>
          <cell r="AR590">
            <v>7</v>
          </cell>
          <cell r="AS590">
            <v>10</v>
          </cell>
        </row>
        <row r="591">
          <cell r="B591">
            <v>17031660302</v>
          </cell>
          <cell r="D591">
            <v>1996</v>
          </cell>
          <cell r="E591">
            <v>395</v>
          </cell>
          <cell r="F591">
            <v>1380</v>
          </cell>
          <cell r="G591">
            <v>283</v>
          </cell>
          <cell r="H591">
            <v>1058</v>
          </cell>
          <cell r="I591">
            <v>235</v>
          </cell>
          <cell r="J591">
            <v>322</v>
          </cell>
          <cell r="K591">
            <v>151</v>
          </cell>
          <cell r="L591">
            <v>222</v>
          </cell>
          <cell r="M591">
            <v>118</v>
          </cell>
          <cell r="N591">
            <v>14</v>
          </cell>
          <cell r="O591">
            <v>24</v>
          </cell>
          <cell r="P591">
            <v>57</v>
          </cell>
          <cell r="Q591">
            <v>53</v>
          </cell>
          <cell r="R591">
            <v>29</v>
          </cell>
          <cell r="S591">
            <v>33</v>
          </cell>
          <cell r="T591">
            <v>0</v>
          </cell>
          <cell r="U591">
            <v>15</v>
          </cell>
          <cell r="V591">
            <v>526</v>
          </cell>
          <cell r="W591">
            <v>182</v>
          </cell>
          <cell r="X591">
            <v>362</v>
          </cell>
          <cell r="Y591">
            <v>144</v>
          </cell>
          <cell r="Z591">
            <v>0</v>
          </cell>
          <cell r="AA591">
            <v>15</v>
          </cell>
          <cell r="AB591">
            <v>164</v>
          </cell>
          <cell r="AC591">
            <v>95</v>
          </cell>
          <cell r="AD591">
            <v>0</v>
          </cell>
          <cell r="AE591">
            <v>15</v>
          </cell>
          <cell r="AF591">
            <v>0</v>
          </cell>
          <cell r="AG591">
            <v>15</v>
          </cell>
          <cell r="AH591">
            <v>0</v>
          </cell>
          <cell r="AI591">
            <v>15</v>
          </cell>
          <cell r="AJ591">
            <v>0</v>
          </cell>
          <cell r="AK591">
            <v>15</v>
          </cell>
          <cell r="AL591">
            <v>0</v>
          </cell>
          <cell r="AM591">
            <v>15</v>
          </cell>
          <cell r="AN591">
            <v>73</v>
          </cell>
          <cell r="AO591">
            <v>57</v>
          </cell>
          <cell r="AP591">
            <v>0</v>
          </cell>
          <cell r="AQ591">
            <v>15</v>
          </cell>
          <cell r="AR591">
            <v>17</v>
          </cell>
          <cell r="AS591">
            <v>26</v>
          </cell>
        </row>
        <row r="592">
          <cell r="B592">
            <v>17031660400</v>
          </cell>
          <cell r="D592">
            <v>2581</v>
          </cell>
          <cell r="E592">
            <v>349</v>
          </cell>
          <cell r="F592">
            <v>2149</v>
          </cell>
          <cell r="G592">
            <v>274</v>
          </cell>
          <cell r="H592">
            <v>1600</v>
          </cell>
          <cell r="I592">
            <v>260</v>
          </cell>
          <cell r="J592">
            <v>549</v>
          </cell>
          <cell r="K592">
            <v>206</v>
          </cell>
          <cell r="L592">
            <v>371</v>
          </cell>
          <cell r="M592">
            <v>179</v>
          </cell>
          <cell r="N592">
            <v>71</v>
          </cell>
          <cell r="O592">
            <v>51</v>
          </cell>
          <cell r="P592">
            <v>17</v>
          </cell>
          <cell r="Q592">
            <v>28</v>
          </cell>
          <cell r="R592">
            <v>68</v>
          </cell>
          <cell r="S592">
            <v>86</v>
          </cell>
          <cell r="T592">
            <v>22</v>
          </cell>
          <cell r="U592">
            <v>36</v>
          </cell>
          <cell r="V592">
            <v>277</v>
          </cell>
          <cell r="W592">
            <v>134</v>
          </cell>
          <cell r="X592">
            <v>150</v>
          </cell>
          <cell r="Y592">
            <v>85</v>
          </cell>
          <cell r="Z592">
            <v>0</v>
          </cell>
          <cell r="AA592">
            <v>15</v>
          </cell>
          <cell r="AB592">
            <v>119</v>
          </cell>
          <cell r="AC592">
            <v>84</v>
          </cell>
          <cell r="AD592">
            <v>8</v>
          </cell>
          <cell r="AE592">
            <v>13</v>
          </cell>
          <cell r="AF592">
            <v>0</v>
          </cell>
          <cell r="AG592">
            <v>15</v>
          </cell>
          <cell r="AH592">
            <v>0</v>
          </cell>
          <cell r="AI592">
            <v>15</v>
          </cell>
          <cell r="AJ592">
            <v>0</v>
          </cell>
          <cell r="AK592">
            <v>15</v>
          </cell>
          <cell r="AL592">
            <v>0</v>
          </cell>
          <cell r="AM592">
            <v>15</v>
          </cell>
          <cell r="AN592">
            <v>108</v>
          </cell>
          <cell r="AO592">
            <v>89</v>
          </cell>
          <cell r="AP592">
            <v>0</v>
          </cell>
          <cell r="AQ592">
            <v>15</v>
          </cell>
          <cell r="AR592">
            <v>47</v>
          </cell>
          <cell r="AS592">
            <v>40</v>
          </cell>
        </row>
        <row r="593">
          <cell r="B593">
            <v>17031660500</v>
          </cell>
          <cell r="D593">
            <v>1805</v>
          </cell>
          <cell r="E593">
            <v>298</v>
          </cell>
          <cell r="F593">
            <v>1333</v>
          </cell>
          <cell r="G593">
            <v>269</v>
          </cell>
          <cell r="H593">
            <v>956</v>
          </cell>
          <cell r="I593">
            <v>216</v>
          </cell>
          <cell r="J593">
            <v>377</v>
          </cell>
          <cell r="K593">
            <v>143</v>
          </cell>
          <cell r="L593">
            <v>336</v>
          </cell>
          <cell r="M593">
            <v>138</v>
          </cell>
          <cell r="N593">
            <v>33</v>
          </cell>
          <cell r="O593">
            <v>35</v>
          </cell>
          <cell r="P593">
            <v>8</v>
          </cell>
          <cell r="Q593">
            <v>13</v>
          </cell>
          <cell r="R593">
            <v>0</v>
          </cell>
          <cell r="S593">
            <v>15</v>
          </cell>
          <cell r="T593">
            <v>0</v>
          </cell>
          <cell r="U593">
            <v>15</v>
          </cell>
          <cell r="V593">
            <v>326</v>
          </cell>
          <cell r="W593">
            <v>160</v>
          </cell>
          <cell r="X593">
            <v>224</v>
          </cell>
          <cell r="Y593">
            <v>131</v>
          </cell>
          <cell r="Z593">
            <v>0</v>
          </cell>
          <cell r="AA593">
            <v>15</v>
          </cell>
          <cell r="AB593">
            <v>102</v>
          </cell>
          <cell r="AC593">
            <v>88</v>
          </cell>
          <cell r="AD593">
            <v>0</v>
          </cell>
          <cell r="AE593">
            <v>15</v>
          </cell>
          <cell r="AF593">
            <v>0</v>
          </cell>
          <cell r="AG593">
            <v>15</v>
          </cell>
          <cell r="AH593">
            <v>0</v>
          </cell>
          <cell r="AI593">
            <v>15</v>
          </cell>
          <cell r="AJ593">
            <v>0</v>
          </cell>
          <cell r="AK593">
            <v>15</v>
          </cell>
          <cell r="AL593">
            <v>0</v>
          </cell>
          <cell r="AM593">
            <v>15</v>
          </cell>
          <cell r="AN593">
            <v>70</v>
          </cell>
          <cell r="AO593">
            <v>87</v>
          </cell>
          <cell r="AP593">
            <v>5</v>
          </cell>
          <cell r="AQ593">
            <v>8</v>
          </cell>
          <cell r="AR593">
            <v>71</v>
          </cell>
          <cell r="AS593">
            <v>67</v>
          </cell>
        </row>
        <row r="594">
          <cell r="B594">
            <v>17031660600</v>
          </cell>
          <cell r="D594">
            <v>2360</v>
          </cell>
          <cell r="E594">
            <v>286</v>
          </cell>
          <cell r="F594">
            <v>1558</v>
          </cell>
          <cell r="G594">
            <v>242</v>
          </cell>
          <cell r="H594">
            <v>1369</v>
          </cell>
          <cell r="I594">
            <v>256</v>
          </cell>
          <cell r="J594">
            <v>189</v>
          </cell>
          <cell r="K594">
            <v>98</v>
          </cell>
          <cell r="L594">
            <v>127</v>
          </cell>
          <cell r="M594">
            <v>95</v>
          </cell>
          <cell r="N594">
            <v>38</v>
          </cell>
          <cell r="O594">
            <v>55</v>
          </cell>
          <cell r="P594">
            <v>24</v>
          </cell>
          <cell r="Q594">
            <v>32</v>
          </cell>
          <cell r="R594">
            <v>0</v>
          </cell>
          <cell r="S594">
            <v>15</v>
          </cell>
          <cell r="T594">
            <v>0</v>
          </cell>
          <cell r="U594">
            <v>15</v>
          </cell>
          <cell r="V594">
            <v>664</v>
          </cell>
          <cell r="W594">
            <v>168</v>
          </cell>
          <cell r="X594">
            <v>523</v>
          </cell>
          <cell r="Y594">
            <v>150</v>
          </cell>
          <cell r="Z594">
            <v>0</v>
          </cell>
          <cell r="AA594">
            <v>15</v>
          </cell>
          <cell r="AB594">
            <v>136</v>
          </cell>
          <cell r="AC594">
            <v>91</v>
          </cell>
          <cell r="AD594">
            <v>5</v>
          </cell>
          <cell r="AE594">
            <v>9</v>
          </cell>
          <cell r="AF594">
            <v>0</v>
          </cell>
          <cell r="AG594">
            <v>15</v>
          </cell>
          <cell r="AH594">
            <v>0</v>
          </cell>
          <cell r="AI594">
            <v>15</v>
          </cell>
          <cell r="AJ594">
            <v>0</v>
          </cell>
          <cell r="AK594">
            <v>15</v>
          </cell>
          <cell r="AL594">
            <v>20</v>
          </cell>
          <cell r="AM594">
            <v>32</v>
          </cell>
          <cell r="AN594">
            <v>22</v>
          </cell>
          <cell r="AO594">
            <v>37</v>
          </cell>
          <cell r="AP594">
            <v>9</v>
          </cell>
          <cell r="AQ594">
            <v>20</v>
          </cell>
          <cell r="AR594">
            <v>87</v>
          </cell>
          <cell r="AS594">
            <v>60</v>
          </cell>
        </row>
        <row r="595">
          <cell r="B595">
            <v>17031660700</v>
          </cell>
          <cell r="D595">
            <v>726</v>
          </cell>
          <cell r="E595">
            <v>172</v>
          </cell>
          <cell r="F595">
            <v>510</v>
          </cell>
          <cell r="G595">
            <v>111</v>
          </cell>
          <cell r="H595">
            <v>391</v>
          </cell>
          <cell r="I595">
            <v>112</v>
          </cell>
          <cell r="J595">
            <v>119</v>
          </cell>
          <cell r="K595">
            <v>60</v>
          </cell>
          <cell r="L595">
            <v>90</v>
          </cell>
          <cell r="M595">
            <v>55</v>
          </cell>
          <cell r="N595">
            <v>29</v>
          </cell>
          <cell r="O595">
            <v>26</v>
          </cell>
          <cell r="P595">
            <v>0</v>
          </cell>
          <cell r="Q595">
            <v>11</v>
          </cell>
          <cell r="R595">
            <v>0</v>
          </cell>
          <cell r="S595">
            <v>11</v>
          </cell>
          <cell r="T595">
            <v>0</v>
          </cell>
          <cell r="U595">
            <v>11</v>
          </cell>
          <cell r="V595">
            <v>147</v>
          </cell>
          <cell r="W595">
            <v>74</v>
          </cell>
          <cell r="X595">
            <v>138</v>
          </cell>
          <cell r="Y595">
            <v>72</v>
          </cell>
          <cell r="Z595">
            <v>0</v>
          </cell>
          <cell r="AA595">
            <v>11</v>
          </cell>
          <cell r="AB595">
            <v>9</v>
          </cell>
          <cell r="AC595">
            <v>12</v>
          </cell>
          <cell r="AD595">
            <v>0</v>
          </cell>
          <cell r="AE595">
            <v>11</v>
          </cell>
          <cell r="AF595">
            <v>0</v>
          </cell>
          <cell r="AG595">
            <v>11</v>
          </cell>
          <cell r="AH595">
            <v>0</v>
          </cell>
          <cell r="AI595">
            <v>11</v>
          </cell>
          <cell r="AJ595">
            <v>0</v>
          </cell>
          <cell r="AK595">
            <v>11</v>
          </cell>
          <cell r="AL595">
            <v>0</v>
          </cell>
          <cell r="AM595">
            <v>11</v>
          </cell>
          <cell r="AN595">
            <v>42</v>
          </cell>
          <cell r="AO595">
            <v>40</v>
          </cell>
          <cell r="AP595">
            <v>0</v>
          </cell>
          <cell r="AQ595">
            <v>11</v>
          </cell>
          <cell r="AR595">
            <v>27</v>
          </cell>
          <cell r="AS595">
            <v>27</v>
          </cell>
        </row>
        <row r="596">
          <cell r="B596">
            <v>17031660800</v>
          </cell>
          <cell r="D596">
            <v>2011</v>
          </cell>
          <cell r="E596">
            <v>234</v>
          </cell>
          <cell r="F596">
            <v>1442</v>
          </cell>
          <cell r="G596">
            <v>202</v>
          </cell>
          <cell r="H596">
            <v>1154</v>
          </cell>
          <cell r="I596">
            <v>199</v>
          </cell>
          <cell r="J596">
            <v>288</v>
          </cell>
          <cell r="K596">
            <v>125</v>
          </cell>
          <cell r="L596">
            <v>209</v>
          </cell>
          <cell r="M596">
            <v>115</v>
          </cell>
          <cell r="N596">
            <v>79</v>
          </cell>
          <cell r="O596">
            <v>72</v>
          </cell>
          <cell r="P596">
            <v>0</v>
          </cell>
          <cell r="Q596">
            <v>15</v>
          </cell>
          <cell r="R596">
            <v>0</v>
          </cell>
          <cell r="S596">
            <v>15</v>
          </cell>
          <cell r="T596">
            <v>0</v>
          </cell>
          <cell r="U596">
            <v>15</v>
          </cell>
          <cell r="V596">
            <v>443</v>
          </cell>
          <cell r="W596">
            <v>158</v>
          </cell>
          <cell r="X596">
            <v>291</v>
          </cell>
          <cell r="Y596">
            <v>135</v>
          </cell>
          <cell r="Z596">
            <v>0</v>
          </cell>
          <cell r="AA596">
            <v>15</v>
          </cell>
          <cell r="AB596">
            <v>152</v>
          </cell>
          <cell r="AC596">
            <v>89</v>
          </cell>
          <cell r="AD596">
            <v>0</v>
          </cell>
          <cell r="AE596">
            <v>15</v>
          </cell>
          <cell r="AF596">
            <v>0</v>
          </cell>
          <cell r="AG596">
            <v>15</v>
          </cell>
          <cell r="AH596">
            <v>0</v>
          </cell>
          <cell r="AI596">
            <v>15</v>
          </cell>
          <cell r="AJ596">
            <v>0</v>
          </cell>
          <cell r="AK596">
            <v>15</v>
          </cell>
          <cell r="AL596">
            <v>0</v>
          </cell>
          <cell r="AM596">
            <v>15</v>
          </cell>
          <cell r="AN596">
            <v>76</v>
          </cell>
          <cell r="AO596">
            <v>60</v>
          </cell>
          <cell r="AP596">
            <v>7</v>
          </cell>
          <cell r="AQ596">
            <v>12</v>
          </cell>
          <cell r="AR596">
            <v>43</v>
          </cell>
          <cell r="AS596">
            <v>41</v>
          </cell>
        </row>
        <row r="597">
          <cell r="B597">
            <v>17031660900</v>
          </cell>
          <cell r="D597">
            <v>1321</v>
          </cell>
          <cell r="E597">
            <v>256</v>
          </cell>
          <cell r="F597">
            <v>819</v>
          </cell>
          <cell r="G597">
            <v>205</v>
          </cell>
          <cell r="H597">
            <v>743</v>
          </cell>
          <cell r="I597">
            <v>185</v>
          </cell>
          <cell r="J597">
            <v>76</v>
          </cell>
          <cell r="K597">
            <v>63</v>
          </cell>
          <cell r="L597">
            <v>67</v>
          </cell>
          <cell r="M597">
            <v>61</v>
          </cell>
          <cell r="N597">
            <v>9</v>
          </cell>
          <cell r="O597">
            <v>14</v>
          </cell>
          <cell r="P597">
            <v>0</v>
          </cell>
          <cell r="Q597">
            <v>11</v>
          </cell>
          <cell r="R597">
            <v>0</v>
          </cell>
          <cell r="S597">
            <v>11</v>
          </cell>
          <cell r="T597">
            <v>0</v>
          </cell>
          <cell r="U597">
            <v>11</v>
          </cell>
          <cell r="V597">
            <v>386</v>
          </cell>
          <cell r="W597">
            <v>137</v>
          </cell>
          <cell r="X597">
            <v>263</v>
          </cell>
          <cell r="Y597">
            <v>119</v>
          </cell>
          <cell r="Z597">
            <v>0</v>
          </cell>
          <cell r="AA597">
            <v>11</v>
          </cell>
          <cell r="AB597">
            <v>115</v>
          </cell>
          <cell r="AC597">
            <v>79</v>
          </cell>
          <cell r="AD597">
            <v>8</v>
          </cell>
          <cell r="AE597">
            <v>12</v>
          </cell>
          <cell r="AF597">
            <v>0</v>
          </cell>
          <cell r="AG597">
            <v>11</v>
          </cell>
          <cell r="AH597">
            <v>0</v>
          </cell>
          <cell r="AI597">
            <v>11</v>
          </cell>
          <cell r="AJ597">
            <v>0</v>
          </cell>
          <cell r="AK597">
            <v>11</v>
          </cell>
          <cell r="AL597">
            <v>0</v>
          </cell>
          <cell r="AM597">
            <v>11</v>
          </cell>
          <cell r="AN597">
            <v>93</v>
          </cell>
          <cell r="AO597">
            <v>74</v>
          </cell>
          <cell r="AP597">
            <v>0</v>
          </cell>
          <cell r="AQ597">
            <v>11</v>
          </cell>
          <cell r="AR597">
            <v>23</v>
          </cell>
          <cell r="AS597">
            <v>25</v>
          </cell>
        </row>
        <row r="598">
          <cell r="B598">
            <v>17031661000</v>
          </cell>
          <cell r="D598">
            <v>1618</v>
          </cell>
          <cell r="E598">
            <v>284</v>
          </cell>
          <cell r="F598">
            <v>1221</v>
          </cell>
          <cell r="G598">
            <v>245</v>
          </cell>
          <cell r="H598">
            <v>1128</v>
          </cell>
          <cell r="I598">
            <v>227</v>
          </cell>
          <cell r="J598">
            <v>93</v>
          </cell>
          <cell r="K598">
            <v>69</v>
          </cell>
          <cell r="L598">
            <v>93</v>
          </cell>
          <cell r="M598">
            <v>69</v>
          </cell>
          <cell r="N598">
            <v>0</v>
          </cell>
          <cell r="O598">
            <v>15</v>
          </cell>
          <cell r="P598">
            <v>0</v>
          </cell>
          <cell r="Q598">
            <v>15</v>
          </cell>
          <cell r="R598">
            <v>0</v>
          </cell>
          <cell r="S598">
            <v>15</v>
          </cell>
          <cell r="T598">
            <v>0</v>
          </cell>
          <cell r="U598">
            <v>15</v>
          </cell>
          <cell r="V598">
            <v>329</v>
          </cell>
          <cell r="W598">
            <v>119</v>
          </cell>
          <cell r="X598">
            <v>244</v>
          </cell>
          <cell r="Y598">
            <v>104</v>
          </cell>
          <cell r="Z598">
            <v>0</v>
          </cell>
          <cell r="AA598">
            <v>15</v>
          </cell>
          <cell r="AB598">
            <v>64</v>
          </cell>
          <cell r="AC598">
            <v>56</v>
          </cell>
          <cell r="AD598">
            <v>21</v>
          </cell>
          <cell r="AE598">
            <v>23</v>
          </cell>
          <cell r="AF598">
            <v>0</v>
          </cell>
          <cell r="AG598">
            <v>15</v>
          </cell>
          <cell r="AH598">
            <v>0</v>
          </cell>
          <cell r="AI598">
            <v>15</v>
          </cell>
          <cell r="AJ598">
            <v>0</v>
          </cell>
          <cell r="AK598">
            <v>15</v>
          </cell>
          <cell r="AL598">
            <v>0</v>
          </cell>
          <cell r="AM598">
            <v>15</v>
          </cell>
          <cell r="AN598">
            <v>17</v>
          </cell>
          <cell r="AO598">
            <v>19</v>
          </cell>
          <cell r="AP598">
            <v>0</v>
          </cell>
          <cell r="AQ598">
            <v>15</v>
          </cell>
          <cell r="AR598">
            <v>51</v>
          </cell>
          <cell r="AS598">
            <v>34</v>
          </cell>
        </row>
        <row r="599">
          <cell r="B599">
            <v>17031661100</v>
          </cell>
          <cell r="D599">
            <v>2508</v>
          </cell>
          <cell r="E599">
            <v>308</v>
          </cell>
          <cell r="F599">
            <v>2021</v>
          </cell>
          <cell r="G599">
            <v>238</v>
          </cell>
          <cell r="H599">
            <v>1827</v>
          </cell>
          <cell r="I599">
            <v>235</v>
          </cell>
          <cell r="J599">
            <v>194</v>
          </cell>
          <cell r="K599">
            <v>91</v>
          </cell>
          <cell r="L599">
            <v>124</v>
          </cell>
          <cell r="M599">
            <v>70</v>
          </cell>
          <cell r="N599">
            <v>27</v>
          </cell>
          <cell r="O599">
            <v>25</v>
          </cell>
          <cell r="P599">
            <v>0</v>
          </cell>
          <cell r="Q599">
            <v>15</v>
          </cell>
          <cell r="R599">
            <v>15</v>
          </cell>
          <cell r="S599">
            <v>23</v>
          </cell>
          <cell r="T599">
            <v>28</v>
          </cell>
          <cell r="U599">
            <v>42</v>
          </cell>
          <cell r="V599">
            <v>376</v>
          </cell>
          <cell r="W599">
            <v>144</v>
          </cell>
          <cell r="X599">
            <v>258</v>
          </cell>
          <cell r="Y599">
            <v>121</v>
          </cell>
          <cell r="Z599">
            <v>0</v>
          </cell>
          <cell r="AA599">
            <v>15</v>
          </cell>
          <cell r="AB599">
            <v>111</v>
          </cell>
          <cell r="AC599">
            <v>72</v>
          </cell>
          <cell r="AD599">
            <v>7</v>
          </cell>
          <cell r="AE599">
            <v>15</v>
          </cell>
          <cell r="AF599">
            <v>0</v>
          </cell>
          <cell r="AG599">
            <v>15</v>
          </cell>
          <cell r="AH599">
            <v>0</v>
          </cell>
          <cell r="AI599">
            <v>15</v>
          </cell>
          <cell r="AJ599">
            <v>22</v>
          </cell>
          <cell r="AK599">
            <v>32</v>
          </cell>
          <cell r="AL599">
            <v>0</v>
          </cell>
          <cell r="AM599">
            <v>15</v>
          </cell>
          <cell r="AN599">
            <v>47</v>
          </cell>
          <cell r="AO599">
            <v>42</v>
          </cell>
          <cell r="AP599">
            <v>0</v>
          </cell>
          <cell r="AQ599">
            <v>15</v>
          </cell>
          <cell r="AR599">
            <v>42</v>
          </cell>
          <cell r="AS599">
            <v>38</v>
          </cell>
        </row>
        <row r="600">
          <cell r="B600">
            <v>17031670100</v>
          </cell>
          <cell r="D600">
            <v>395</v>
          </cell>
          <cell r="E600">
            <v>124</v>
          </cell>
          <cell r="F600">
            <v>202</v>
          </cell>
          <cell r="G600">
            <v>88</v>
          </cell>
          <cell r="H600">
            <v>174</v>
          </cell>
          <cell r="I600">
            <v>73</v>
          </cell>
          <cell r="J600">
            <v>28</v>
          </cell>
          <cell r="K600">
            <v>41</v>
          </cell>
          <cell r="L600">
            <v>28</v>
          </cell>
          <cell r="M600">
            <v>41</v>
          </cell>
          <cell r="N600">
            <v>0</v>
          </cell>
          <cell r="O600">
            <v>11</v>
          </cell>
          <cell r="P600">
            <v>0</v>
          </cell>
          <cell r="Q600">
            <v>11</v>
          </cell>
          <cell r="R600">
            <v>0</v>
          </cell>
          <cell r="S600">
            <v>11</v>
          </cell>
          <cell r="T600">
            <v>0</v>
          </cell>
          <cell r="U600">
            <v>11</v>
          </cell>
          <cell r="V600">
            <v>168</v>
          </cell>
          <cell r="W600">
            <v>92</v>
          </cell>
          <cell r="X600">
            <v>129</v>
          </cell>
          <cell r="Y600">
            <v>74</v>
          </cell>
          <cell r="Z600">
            <v>0</v>
          </cell>
          <cell r="AA600">
            <v>11</v>
          </cell>
          <cell r="AB600">
            <v>39</v>
          </cell>
          <cell r="AC600">
            <v>35</v>
          </cell>
          <cell r="AD600">
            <v>0</v>
          </cell>
          <cell r="AE600">
            <v>11</v>
          </cell>
          <cell r="AF600">
            <v>0</v>
          </cell>
          <cell r="AG600">
            <v>11</v>
          </cell>
          <cell r="AH600">
            <v>0</v>
          </cell>
          <cell r="AI600">
            <v>11</v>
          </cell>
          <cell r="AJ600">
            <v>0</v>
          </cell>
          <cell r="AK600">
            <v>11</v>
          </cell>
          <cell r="AL600">
            <v>0</v>
          </cell>
          <cell r="AM600">
            <v>11</v>
          </cell>
          <cell r="AN600">
            <v>4</v>
          </cell>
          <cell r="AO600">
            <v>6</v>
          </cell>
          <cell r="AP600">
            <v>0</v>
          </cell>
          <cell r="AQ600">
            <v>11</v>
          </cell>
          <cell r="AR600">
            <v>21</v>
          </cell>
          <cell r="AS600">
            <v>18</v>
          </cell>
        </row>
        <row r="601">
          <cell r="B601">
            <v>17031670200</v>
          </cell>
          <cell r="D601">
            <v>278</v>
          </cell>
          <cell r="E601">
            <v>77</v>
          </cell>
          <cell r="F601">
            <v>190</v>
          </cell>
          <cell r="G601">
            <v>67</v>
          </cell>
          <cell r="H601">
            <v>175</v>
          </cell>
          <cell r="I601">
            <v>58</v>
          </cell>
          <cell r="J601">
            <v>15</v>
          </cell>
          <cell r="K601">
            <v>18</v>
          </cell>
          <cell r="L601">
            <v>11</v>
          </cell>
          <cell r="M601">
            <v>18</v>
          </cell>
          <cell r="N601">
            <v>4</v>
          </cell>
          <cell r="O601">
            <v>6</v>
          </cell>
          <cell r="P601">
            <v>0</v>
          </cell>
          <cell r="Q601">
            <v>11</v>
          </cell>
          <cell r="R601">
            <v>0</v>
          </cell>
          <cell r="S601">
            <v>11</v>
          </cell>
          <cell r="T601">
            <v>0</v>
          </cell>
          <cell r="U601">
            <v>11</v>
          </cell>
          <cell r="V601">
            <v>63</v>
          </cell>
          <cell r="W601">
            <v>44</v>
          </cell>
          <cell r="X601">
            <v>59</v>
          </cell>
          <cell r="Y601">
            <v>44</v>
          </cell>
          <cell r="Z601">
            <v>0</v>
          </cell>
          <cell r="AA601">
            <v>11</v>
          </cell>
          <cell r="AB601">
            <v>4</v>
          </cell>
          <cell r="AC601">
            <v>6</v>
          </cell>
          <cell r="AD601">
            <v>0</v>
          </cell>
          <cell r="AE601">
            <v>11</v>
          </cell>
          <cell r="AF601">
            <v>0</v>
          </cell>
          <cell r="AG601">
            <v>11</v>
          </cell>
          <cell r="AH601">
            <v>0</v>
          </cell>
          <cell r="AI601">
            <v>11</v>
          </cell>
          <cell r="AJ601">
            <v>0</v>
          </cell>
          <cell r="AK601">
            <v>11</v>
          </cell>
          <cell r="AL601">
            <v>0</v>
          </cell>
          <cell r="AM601">
            <v>11</v>
          </cell>
          <cell r="AN601">
            <v>13</v>
          </cell>
          <cell r="AO601">
            <v>16</v>
          </cell>
          <cell r="AP601">
            <v>0</v>
          </cell>
          <cell r="AQ601">
            <v>11</v>
          </cell>
          <cell r="AR601">
            <v>12</v>
          </cell>
          <cell r="AS601">
            <v>19</v>
          </cell>
        </row>
        <row r="602">
          <cell r="B602">
            <v>17031670300</v>
          </cell>
          <cell r="D602">
            <v>419</v>
          </cell>
          <cell r="E602">
            <v>141</v>
          </cell>
          <cell r="F602">
            <v>207</v>
          </cell>
          <cell r="G602">
            <v>85</v>
          </cell>
          <cell r="H602">
            <v>202</v>
          </cell>
          <cell r="I602">
            <v>85</v>
          </cell>
          <cell r="J602">
            <v>5</v>
          </cell>
          <cell r="K602">
            <v>8</v>
          </cell>
          <cell r="L602">
            <v>0</v>
          </cell>
          <cell r="M602">
            <v>11</v>
          </cell>
          <cell r="N602">
            <v>5</v>
          </cell>
          <cell r="O602">
            <v>8</v>
          </cell>
          <cell r="P602">
            <v>0</v>
          </cell>
          <cell r="Q602">
            <v>11</v>
          </cell>
          <cell r="R602">
            <v>0</v>
          </cell>
          <cell r="S602">
            <v>11</v>
          </cell>
          <cell r="T602">
            <v>0</v>
          </cell>
          <cell r="U602">
            <v>11</v>
          </cell>
          <cell r="V602">
            <v>192</v>
          </cell>
          <cell r="W602">
            <v>84</v>
          </cell>
          <cell r="X602">
            <v>139</v>
          </cell>
          <cell r="Y602">
            <v>80</v>
          </cell>
          <cell r="Z602">
            <v>0</v>
          </cell>
          <cell r="AA602">
            <v>11</v>
          </cell>
          <cell r="AB602">
            <v>53</v>
          </cell>
          <cell r="AC602">
            <v>42</v>
          </cell>
          <cell r="AD602">
            <v>0</v>
          </cell>
          <cell r="AE602">
            <v>11</v>
          </cell>
          <cell r="AF602">
            <v>0</v>
          </cell>
          <cell r="AG602">
            <v>11</v>
          </cell>
          <cell r="AH602">
            <v>0</v>
          </cell>
          <cell r="AI602">
            <v>11</v>
          </cell>
          <cell r="AJ602">
            <v>0</v>
          </cell>
          <cell r="AK602">
            <v>11</v>
          </cell>
          <cell r="AL602">
            <v>0</v>
          </cell>
          <cell r="AM602">
            <v>11</v>
          </cell>
          <cell r="AN602">
            <v>10</v>
          </cell>
          <cell r="AO602">
            <v>21</v>
          </cell>
          <cell r="AP602">
            <v>0</v>
          </cell>
          <cell r="AQ602">
            <v>11</v>
          </cell>
          <cell r="AR602">
            <v>10</v>
          </cell>
          <cell r="AS602">
            <v>11</v>
          </cell>
        </row>
        <row r="603">
          <cell r="B603">
            <v>17031670400</v>
          </cell>
          <cell r="D603">
            <v>512</v>
          </cell>
          <cell r="E603">
            <v>148</v>
          </cell>
          <cell r="F603">
            <v>331</v>
          </cell>
          <cell r="G603">
            <v>112</v>
          </cell>
          <cell r="H603">
            <v>259</v>
          </cell>
          <cell r="I603">
            <v>86</v>
          </cell>
          <cell r="J603">
            <v>72</v>
          </cell>
          <cell r="K603">
            <v>49</v>
          </cell>
          <cell r="L603">
            <v>51</v>
          </cell>
          <cell r="M603">
            <v>43</v>
          </cell>
          <cell r="N603">
            <v>11</v>
          </cell>
          <cell r="O603">
            <v>18</v>
          </cell>
          <cell r="P603">
            <v>10</v>
          </cell>
          <cell r="Q603">
            <v>15</v>
          </cell>
          <cell r="R603">
            <v>0</v>
          </cell>
          <cell r="S603">
            <v>11</v>
          </cell>
          <cell r="T603">
            <v>0</v>
          </cell>
          <cell r="U603">
            <v>11</v>
          </cell>
          <cell r="V603">
            <v>168</v>
          </cell>
          <cell r="W603">
            <v>77</v>
          </cell>
          <cell r="X603">
            <v>86</v>
          </cell>
          <cell r="Y603">
            <v>53</v>
          </cell>
          <cell r="Z603">
            <v>0</v>
          </cell>
          <cell r="AA603">
            <v>11</v>
          </cell>
          <cell r="AB603">
            <v>50</v>
          </cell>
          <cell r="AC603">
            <v>54</v>
          </cell>
          <cell r="AD603">
            <v>32</v>
          </cell>
          <cell r="AE603">
            <v>35</v>
          </cell>
          <cell r="AF603">
            <v>0</v>
          </cell>
          <cell r="AG603">
            <v>11</v>
          </cell>
          <cell r="AH603">
            <v>0</v>
          </cell>
          <cell r="AI603">
            <v>11</v>
          </cell>
          <cell r="AJ603">
            <v>0</v>
          </cell>
          <cell r="AK603">
            <v>11</v>
          </cell>
          <cell r="AL603">
            <v>0</v>
          </cell>
          <cell r="AM603">
            <v>11</v>
          </cell>
          <cell r="AN603">
            <v>2</v>
          </cell>
          <cell r="AO603">
            <v>11</v>
          </cell>
          <cell r="AP603">
            <v>0</v>
          </cell>
          <cell r="AQ603">
            <v>11</v>
          </cell>
          <cell r="AR603">
            <v>11</v>
          </cell>
          <cell r="AS603">
            <v>19</v>
          </cell>
        </row>
        <row r="604">
          <cell r="B604">
            <v>17031670500</v>
          </cell>
          <cell r="D604">
            <v>337</v>
          </cell>
          <cell r="E604">
            <v>93</v>
          </cell>
          <cell r="F604">
            <v>209</v>
          </cell>
          <cell r="G604">
            <v>70</v>
          </cell>
          <cell r="H604">
            <v>188</v>
          </cell>
          <cell r="I604">
            <v>68</v>
          </cell>
          <cell r="J604">
            <v>21</v>
          </cell>
          <cell r="K604">
            <v>22</v>
          </cell>
          <cell r="L604">
            <v>0</v>
          </cell>
          <cell r="M604">
            <v>11</v>
          </cell>
          <cell r="N604">
            <v>11</v>
          </cell>
          <cell r="O604">
            <v>17</v>
          </cell>
          <cell r="P604">
            <v>10</v>
          </cell>
          <cell r="Q604">
            <v>16</v>
          </cell>
          <cell r="R604">
            <v>0</v>
          </cell>
          <cell r="S604">
            <v>11</v>
          </cell>
          <cell r="T604">
            <v>0</v>
          </cell>
          <cell r="U604">
            <v>11</v>
          </cell>
          <cell r="V604">
            <v>128</v>
          </cell>
          <cell r="W604">
            <v>54</v>
          </cell>
          <cell r="X604">
            <v>99</v>
          </cell>
          <cell r="Y604">
            <v>50</v>
          </cell>
          <cell r="Z604">
            <v>0</v>
          </cell>
          <cell r="AA604">
            <v>11</v>
          </cell>
          <cell r="AB604">
            <v>26</v>
          </cell>
          <cell r="AC604">
            <v>27</v>
          </cell>
          <cell r="AD604">
            <v>3</v>
          </cell>
          <cell r="AE604">
            <v>5</v>
          </cell>
          <cell r="AF604">
            <v>0</v>
          </cell>
          <cell r="AG604">
            <v>11</v>
          </cell>
          <cell r="AH604">
            <v>0</v>
          </cell>
          <cell r="AI604">
            <v>11</v>
          </cell>
          <cell r="AJ604">
            <v>0</v>
          </cell>
          <cell r="AK604">
            <v>11</v>
          </cell>
          <cell r="AL604">
            <v>0</v>
          </cell>
          <cell r="AM604">
            <v>11</v>
          </cell>
          <cell r="AN604">
            <v>0</v>
          </cell>
          <cell r="AO604">
            <v>11</v>
          </cell>
          <cell r="AP604">
            <v>0</v>
          </cell>
          <cell r="AQ604">
            <v>11</v>
          </cell>
          <cell r="AR604">
            <v>0</v>
          </cell>
          <cell r="AS604">
            <v>11</v>
          </cell>
        </row>
        <row r="605">
          <cell r="B605">
            <v>17031670600</v>
          </cell>
          <cell r="D605">
            <v>250</v>
          </cell>
          <cell r="E605">
            <v>109</v>
          </cell>
          <cell r="F605">
            <v>149</v>
          </cell>
          <cell r="G605">
            <v>93</v>
          </cell>
          <cell r="H605">
            <v>134</v>
          </cell>
          <cell r="I605">
            <v>76</v>
          </cell>
          <cell r="J605">
            <v>15</v>
          </cell>
          <cell r="K605">
            <v>23</v>
          </cell>
          <cell r="L605">
            <v>0</v>
          </cell>
          <cell r="M605">
            <v>11</v>
          </cell>
          <cell r="N605">
            <v>15</v>
          </cell>
          <cell r="O605">
            <v>23</v>
          </cell>
          <cell r="P605">
            <v>0</v>
          </cell>
          <cell r="Q605">
            <v>11</v>
          </cell>
          <cell r="R605">
            <v>0</v>
          </cell>
          <cell r="S605">
            <v>11</v>
          </cell>
          <cell r="T605">
            <v>0</v>
          </cell>
          <cell r="U605">
            <v>11</v>
          </cell>
          <cell r="V605">
            <v>80</v>
          </cell>
          <cell r="W605">
            <v>65</v>
          </cell>
          <cell r="X605">
            <v>4</v>
          </cell>
          <cell r="Y605">
            <v>6</v>
          </cell>
          <cell r="Z605">
            <v>0</v>
          </cell>
          <cell r="AA605">
            <v>11</v>
          </cell>
          <cell r="AB605">
            <v>76</v>
          </cell>
          <cell r="AC605">
            <v>65</v>
          </cell>
          <cell r="AD605">
            <v>0</v>
          </cell>
          <cell r="AE605">
            <v>11</v>
          </cell>
          <cell r="AF605">
            <v>0</v>
          </cell>
          <cell r="AG605">
            <v>11</v>
          </cell>
          <cell r="AH605">
            <v>0</v>
          </cell>
          <cell r="AI605">
            <v>11</v>
          </cell>
          <cell r="AJ605">
            <v>0</v>
          </cell>
          <cell r="AK605">
            <v>11</v>
          </cell>
          <cell r="AL605">
            <v>0</v>
          </cell>
          <cell r="AM605">
            <v>11</v>
          </cell>
          <cell r="AN605">
            <v>8</v>
          </cell>
          <cell r="AO605">
            <v>12</v>
          </cell>
          <cell r="AP605">
            <v>0</v>
          </cell>
          <cell r="AQ605">
            <v>11</v>
          </cell>
          <cell r="AR605">
            <v>13</v>
          </cell>
          <cell r="AS605">
            <v>15</v>
          </cell>
        </row>
        <row r="606">
          <cell r="B606">
            <v>17031670700</v>
          </cell>
          <cell r="D606">
            <v>351</v>
          </cell>
          <cell r="E606">
            <v>77</v>
          </cell>
          <cell r="F606">
            <v>291</v>
          </cell>
          <cell r="G606">
            <v>67</v>
          </cell>
          <cell r="H606">
            <v>283</v>
          </cell>
          <cell r="I606">
            <v>69</v>
          </cell>
          <cell r="J606">
            <v>8</v>
          </cell>
          <cell r="K606">
            <v>11</v>
          </cell>
          <cell r="L606">
            <v>0</v>
          </cell>
          <cell r="M606">
            <v>11</v>
          </cell>
          <cell r="N606">
            <v>8</v>
          </cell>
          <cell r="O606">
            <v>11</v>
          </cell>
          <cell r="P606">
            <v>0</v>
          </cell>
          <cell r="Q606">
            <v>11</v>
          </cell>
          <cell r="R606">
            <v>0</v>
          </cell>
          <cell r="S606">
            <v>11</v>
          </cell>
          <cell r="T606">
            <v>0</v>
          </cell>
          <cell r="U606">
            <v>11</v>
          </cell>
          <cell r="V606">
            <v>49</v>
          </cell>
          <cell r="W606">
            <v>35</v>
          </cell>
          <cell r="X606">
            <v>34</v>
          </cell>
          <cell r="Y606">
            <v>26</v>
          </cell>
          <cell r="Z606">
            <v>0</v>
          </cell>
          <cell r="AA606">
            <v>11</v>
          </cell>
          <cell r="AB606">
            <v>15</v>
          </cell>
          <cell r="AC606">
            <v>25</v>
          </cell>
          <cell r="AD606">
            <v>0</v>
          </cell>
          <cell r="AE606">
            <v>11</v>
          </cell>
          <cell r="AF606">
            <v>0</v>
          </cell>
          <cell r="AG606">
            <v>11</v>
          </cell>
          <cell r="AH606">
            <v>0</v>
          </cell>
          <cell r="AI606">
            <v>11</v>
          </cell>
          <cell r="AJ606">
            <v>0</v>
          </cell>
          <cell r="AK606">
            <v>11</v>
          </cell>
          <cell r="AL606">
            <v>0</v>
          </cell>
          <cell r="AM606">
            <v>11</v>
          </cell>
          <cell r="AN606">
            <v>11</v>
          </cell>
          <cell r="AO606">
            <v>17</v>
          </cell>
          <cell r="AP606">
            <v>0</v>
          </cell>
          <cell r="AQ606">
            <v>11</v>
          </cell>
          <cell r="AR606">
            <v>0</v>
          </cell>
          <cell r="AS606">
            <v>11</v>
          </cell>
        </row>
        <row r="607">
          <cell r="B607">
            <v>17031670800</v>
          </cell>
          <cell r="D607">
            <v>358</v>
          </cell>
          <cell r="E607">
            <v>77</v>
          </cell>
          <cell r="F607">
            <v>187</v>
          </cell>
          <cell r="G607">
            <v>64</v>
          </cell>
          <cell r="H607">
            <v>181</v>
          </cell>
          <cell r="I607">
            <v>64</v>
          </cell>
          <cell r="J607">
            <v>6</v>
          </cell>
          <cell r="K607">
            <v>9</v>
          </cell>
          <cell r="L607">
            <v>0</v>
          </cell>
          <cell r="M607">
            <v>11</v>
          </cell>
          <cell r="N607">
            <v>6</v>
          </cell>
          <cell r="O607">
            <v>9</v>
          </cell>
          <cell r="P607">
            <v>0</v>
          </cell>
          <cell r="Q607">
            <v>11</v>
          </cell>
          <cell r="R607">
            <v>0</v>
          </cell>
          <cell r="S607">
            <v>11</v>
          </cell>
          <cell r="T607">
            <v>0</v>
          </cell>
          <cell r="U607">
            <v>11</v>
          </cell>
          <cell r="V607">
            <v>134</v>
          </cell>
          <cell r="W607">
            <v>55</v>
          </cell>
          <cell r="X607">
            <v>103</v>
          </cell>
          <cell r="Y607">
            <v>46</v>
          </cell>
          <cell r="Z607">
            <v>0</v>
          </cell>
          <cell r="AA607">
            <v>11</v>
          </cell>
          <cell r="AB607">
            <v>31</v>
          </cell>
          <cell r="AC607">
            <v>29</v>
          </cell>
          <cell r="AD607">
            <v>0</v>
          </cell>
          <cell r="AE607">
            <v>11</v>
          </cell>
          <cell r="AF607">
            <v>0</v>
          </cell>
          <cell r="AG607">
            <v>11</v>
          </cell>
          <cell r="AH607">
            <v>0</v>
          </cell>
          <cell r="AI607">
            <v>11</v>
          </cell>
          <cell r="AJ607">
            <v>0</v>
          </cell>
          <cell r="AK607">
            <v>11</v>
          </cell>
          <cell r="AL607">
            <v>0</v>
          </cell>
          <cell r="AM607">
            <v>11</v>
          </cell>
          <cell r="AN607">
            <v>16</v>
          </cell>
          <cell r="AO607">
            <v>18</v>
          </cell>
          <cell r="AP607">
            <v>0</v>
          </cell>
          <cell r="AQ607">
            <v>11</v>
          </cell>
          <cell r="AR607">
            <v>21</v>
          </cell>
          <cell r="AS607">
            <v>23</v>
          </cell>
        </row>
        <row r="608">
          <cell r="B608">
            <v>17031670900</v>
          </cell>
          <cell r="D608">
            <v>464</v>
          </cell>
          <cell r="E608">
            <v>132</v>
          </cell>
          <cell r="F608">
            <v>256</v>
          </cell>
          <cell r="G608">
            <v>71</v>
          </cell>
          <cell r="H608">
            <v>212</v>
          </cell>
          <cell r="I608">
            <v>66</v>
          </cell>
          <cell r="J608">
            <v>44</v>
          </cell>
          <cell r="K608">
            <v>41</v>
          </cell>
          <cell r="L608">
            <v>27</v>
          </cell>
          <cell r="M608">
            <v>43</v>
          </cell>
          <cell r="N608">
            <v>17</v>
          </cell>
          <cell r="O608">
            <v>19</v>
          </cell>
          <cell r="P608">
            <v>0</v>
          </cell>
          <cell r="Q608">
            <v>11</v>
          </cell>
          <cell r="R608">
            <v>0</v>
          </cell>
          <cell r="S608">
            <v>11</v>
          </cell>
          <cell r="T608">
            <v>0</v>
          </cell>
          <cell r="U608">
            <v>11</v>
          </cell>
          <cell r="V608">
            <v>197</v>
          </cell>
          <cell r="W608">
            <v>119</v>
          </cell>
          <cell r="X608">
            <v>151</v>
          </cell>
          <cell r="Y608">
            <v>64</v>
          </cell>
          <cell r="Z608">
            <v>0</v>
          </cell>
          <cell r="AA608">
            <v>11</v>
          </cell>
          <cell r="AB608">
            <v>46</v>
          </cell>
          <cell r="AC608">
            <v>71</v>
          </cell>
          <cell r="AD608">
            <v>0</v>
          </cell>
          <cell r="AE608">
            <v>11</v>
          </cell>
          <cell r="AF608">
            <v>0</v>
          </cell>
          <cell r="AG608">
            <v>11</v>
          </cell>
          <cell r="AH608">
            <v>0</v>
          </cell>
          <cell r="AI608">
            <v>11</v>
          </cell>
          <cell r="AJ608">
            <v>0</v>
          </cell>
          <cell r="AK608">
            <v>11</v>
          </cell>
          <cell r="AL608">
            <v>0</v>
          </cell>
          <cell r="AM608">
            <v>11</v>
          </cell>
          <cell r="AN608">
            <v>0</v>
          </cell>
          <cell r="AO608">
            <v>11</v>
          </cell>
          <cell r="AP608">
            <v>0</v>
          </cell>
          <cell r="AQ608">
            <v>11</v>
          </cell>
          <cell r="AR608">
            <v>11</v>
          </cell>
          <cell r="AS608">
            <v>17</v>
          </cell>
        </row>
        <row r="609">
          <cell r="B609">
            <v>17031671100</v>
          </cell>
          <cell r="D609">
            <v>212</v>
          </cell>
          <cell r="E609">
            <v>72</v>
          </cell>
          <cell r="F609">
            <v>156</v>
          </cell>
          <cell r="G609">
            <v>57</v>
          </cell>
          <cell r="H609">
            <v>145</v>
          </cell>
          <cell r="I609">
            <v>50</v>
          </cell>
          <cell r="J609">
            <v>11</v>
          </cell>
          <cell r="K609">
            <v>17</v>
          </cell>
          <cell r="L609">
            <v>11</v>
          </cell>
          <cell r="M609">
            <v>17</v>
          </cell>
          <cell r="N609">
            <v>0</v>
          </cell>
          <cell r="O609">
            <v>11</v>
          </cell>
          <cell r="P609">
            <v>0</v>
          </cell>
          <cell r="Q609">
            <v>11</v>
          </cell>
          <cell r="R609">
            <v>0</v>
          </cell>
          <cell r="S609">
            <v>11</v>
          </cell>
          <cell r="T609">
            <v>0</v>
          </cell>
          <cell r="U609">
            <v>11</v>
          </cell>
          <cell r="V609">
            <v>34</v>
          </cell>
          <cell r="W609">
            <v>38</v>
          </cell>
          <cell r="X609">
            <v>34</v>
          </cell>
          <cell r="Y609">
            <v>38</v>
          </cell>
          <cell r="Z609">
            <v>0</v>
          </cell>
          <cell r="AA609">
            <v>11</v>
          </cell>
          <cell r="AB609">
            <v>0</v>
          </cell>
          <cell r="AC609">
            <v>11</v>
          </cell>
          <cell r="AD609">
            <v>0</v>
          </cell>
          <cell r="AE609">
            <v>11</v>
          </cell>
          <cell r="AF609">
            <v>0</v>
          </cell>
          <cell r="AG609">
            <v>11</v>
          </cell>
          <cell r="AH609">
            <v>0</v>
          </cell>
          <cell r="AI609">
            <v>11</v>
          </cell>
          <cell r="AJ609">
            <v>0</v>
          </cell>
          <cell r="AK609">
            <v>11</v>
          </cell>
          <cell r="AL609">
            <v>0</v>
          </cell>
          <cell r="AM609">
            <v>11</v>
          </cell>
          <cell r="AN609">
            <v>12</v>
          </cell>
          <cell r="AO609">
            <v>19</v>
          </cell>
          <cell r="AP609">
            <v>0</v>
          </cell>
          <cell r="AQ609">
            <v>11</v>
          </cell>
          <cell r="AR609">
            <v>10</v>
          </cell>
          <cell r="AS609">
            <v>15</v>
          </cell>
        </row>
        <row r="610">
          <cell r="B610">
            <v>17031671200</v>
          </cell>
          <cell r="D610">
            <v>201</v>
          </cell>
          <cell r="E610">
            <v>82</v>
          </cell>
          <cell r="F610">
            <v>52</v>
          </cell>
          <cell r="G610">
            <v>27</v>
          </cell>
          <cell r="H610">
            <v>36</v>
          </cell>
          <cell r="I610">
            <v>23</v>
          </cell>
          <cell r="J610">
            <v>16</v>
          </cell>
          <cell r="K610">
            <v>19</v>
          </cell>
          <cell r="L610">
            <v>0</v>
          </cell>
          <cell r="M610">
            <v>11</v>
          </cell>
          <cell r="N610">
            <v>16</v>
          </cell>
          <cell r="O610">
            <v>19</v>
          </cell>
          <cell r="P610">
            <v>0</v>
          </cell>
          <cell r="Q610">
            <v>11</v>
          </cell>
          <cell r="R610">
            <v>0</v>
          </cell>
          <cell r="S610">
            <v>11</v>
          </cell>
          <cell r="T610">
            <v>0</v>
          </cell>
          <cell r="U610">
            <v>11</v>
          </cell>
          <cell r="V610">
            <v>86</v>
          </cell>
          <cell r="W610">
            <v>42</v>
          </cell>
          <cell r="X610">
            <v>75</v>
          </cell>
          <cell r="Y610">
            <v>41</v>
          </cell>
          <cell r="Z610">
            <v>0</v>
          </cell>
          <cell r="AA610">
            <v>11</v>
          </cell>
          <cell r="AB610">
            <v>11</v>
          </cell>
          <cell r="AC610">
            <v>13</v>
          </cell>
          <cell r="AD610">
            <v>0</v>
          </cell>
          <cell r="AE610">
            <v>11</v>
          </cell>
          <cell r="AF610">
            <v>0</v>
          </cell>
          <cell r="AG610">
            <v>11</v>
          </cell>
          <cell r="AH610">
            <v>0</v>
          </cell>
          <cell r="AI610">
            <v>11</v>
          </cell>
          <cell r="AJ610">
            <v>0</v>
          </cell>
          <cell r="AK610">
            <v>11</v>
          </cell>
          <cell r="AL610">
            <v>0</v>
          </cell>
          <cell r="AM610">
            <v>11</v>
          </cell>
          <cell r="AN610">
            <v>47</v>
          </cell>
          <cell r="AO610">
            <v>47</v>
          </cell>
          <cell r="AP610">
            <v>0</v>
          </cell>
          <cell r="AQ610">
            <v>11</v>
          </cell>
          <cell r="AR610">
            <v>16</v>
          </cell>
          <cell r="AS610">
            <v>19</v>
          </cell>
        </row>
        <row r="611">
          <cell r="B611">
            <v>17031671300</v>
          </cell>
          <cell r="D611">
            <v>628</v>
          </cell>
          <cell r="E611">
            <v>150</v>
          </cell>
          <cell r="F611">
            <v>377</v>
          </cell>
          <cell r="G611">
            <v>110</v>
          </cell>
          <cell r="H611">
            <v>336</v>
          </cell>
          <cell r="I611">
            <v>98</v>
          </cell>
          <cell r="J611">
            <v>41</v>
          </cell>
          <cell r="K611">
            <v>40</v>
          </cell>
          <cell r="L611">
            <v>41</v>
          </cell>
          <cell r="M611">
            <v>40</v>
          </cell>
          <cell r="N611">
            <v>0</v>
          </cell>
          <cell r="O611">
            <v>11</v>
          </cell>
          <cell r="P611">
            <v>0</v>
          </cell>
          <cell r="Q611">
            <v>11</v>
          </cell>
          <cell r="R611">
            <v>0</v>
          </cell>
          <cell r="S611">
            <v>11</v>
          </cell>
          <cell r="T611">
            <v>0</v>
          </cell>
          <cell r="U611">
            <v>11</v>
          </cell>
          <cell r="V611">
            <v>230</v>
          </cell>
          <cell r="W611">
            <v>81</v>
          </cell>
          <cell r="X611">
            <v>220</v>
          </cell>
          <cell r="Y611">
            <v>80</v>
          </cell>
          <cell r="Z611">
            <v>0</v>
          </cell>
          <cell r="AA611">
            <v>11</v>
          </cell>
          <cell r="AB611">
            <v>10</v>
          </cell>
          <cell r="AC611">
            <v>16</v>
          </cell>
          <cell r="AD611">
            <v>0</v>
          </cell>
          <cell r="AE611">
            <v>11</v>
          </cell>
          <cell r="AF611">
            <v>0</v>
          </cell>
          <cell r="AG611">
            <v>11</v>
          </cell>
          <cell r="AH611">
            <v>0</v>
          </cell>
          <cell r="AI611">
            <v>11</v>
          </cell>
          <cell r="AJ611">
            <v>0</v>
          </cell>
          <cell r="AK611">
            <v>11</v>
          </cell>
          <cell r="AL611">
            <v>0</v>
          </cell>
          <cell r="AM611">
            <v>11</v>
          </cell>
          <cell r="AN611">
            <v>3</v>
          </cell>
          <cell r="AO611">
            <v>6</v>
          </cell>
          <cell r="AP611">
            <v>0</v>
          </cell>
          <cell r="AQ611">
            <v>11</v>
          </cell>
          <cell r="AR611">
            <v>18</v>
          </cell>
          <cell r="AS611">
            <v>21</v>
          </cell>
        </row>
        <row r="612">
          <cell r="B612">
            <v>17031671400</v>
          </cell>
          <cell r="D612">
            <v>466</v>
          </cell>
          <cell r="E612">
            <v>110</v>
          </cell>
          <cell r="F612">
            <v>317</v>
          </cell>
          <cell r="G612">
            <v>99</v>
          </cell>
          <cell r="H612">
            <v>289</v>
          </cell>
          <cell r="I612">
            <v>92</v>
          </cell>
          <cell r="J612">
            <v>28</v>
          </cell>
          <cell r="K612">
            <v>39</v>
          </cell>
          <cell r="L612">
            <v>28</v>
          </cell>
          <cell r="M612">
            <v>39</v>
          </cell>
          <cell r="N612">
            <v>0</v>
          </cell>
          <cell r="O612">
            <v>11</v>
          </cell>
          <cell r="P612">
            <v>0</v>
          </cell>
          <cell r="Q612">
            <v>11</v>
          </cell>
          <cell r="R612">
            <v>0</v>
          </cell>
          <cell r="S612">
            <v>11</v>
          </cell>
          <cell r="T612">
            <v>0</v>
          </cell>
          <cell r="U612">
            <v>11</v>
          </cell>
          <cell r="V612">
            <v>146</v>
          </cell>
          <cell r="W612">
            <v>52</v>
          </cell>
          <cell r="X612">
            <v>99</v>
          </cell>
          <cell r="Y612">
            <v>51</v>
          </cell>
          <cell r="Z612">
            <v>0</v>
          </cell>
          <cell r="AA612">
            <v>11</v>
          </cell>
          <cell r="AB612">
            <v>47</v>
          </cell>
          <cell r="AC612">
            <v>31</v>
          </cell>
          <cell r="AD612">
            <v>0</v>
          </cell>
          <cell r="AE612">
            <v>11</v>
          </cell>
          <cell r="AF612">
            <v>0</v>
          </cell>
          <cell r="AG612">
            <v>11</v>
          </cell>
          <cell r="AH612">
            <v>0</v>
          </cell>
          <cell r="AI612">
            <v>11</v>
          </cell>
          <cell r="AJ612">
            <v>0</v>
          </cell>
          <cell r="AK612">
            <v>11</v>
          </cell>
          <cell r="AL612">
            <v>0</v>
          </cell>
          <cell r="AM612">
            <v>11</v>
          </cell>
          <cell r="AN612">
            <v>3</v>
          </cell>
          <cell r="AO612">
            <v>14</v>
          </cell>
          <cell r="AP612">
            <v>0</v>
          </cell>
          <cell r="AQ612">
            <v>11</v>
          </cell>
          <cell r="AR612">
            <v>0</v>
          </cell>
          <cell r="AS612">
            <v>11</v>
          </cell>
        </row>
        <row r="613">
          <cell r="B613">
            <v>17031671500</v>
          </cell>
          <cell r="D613">
            <v>685</v>
          </cell>
          <cell r="E613">
            <v>122</v>
          </cell>
          <cell r="F613">
            <v>407</v>
          </cell>
          <cell r="G613">
            <v>98</v>
          </cell>
          <cell r="H613">
            <v>393</v>
          </cell>
          <cell r="I613">
            <v>98</v>
          </cell>
          <cell r="J613">
            <v>14</v>
          </cell>
          <cell r="K613">
            <v>15</v>
          </cell>
          <cell r="L613">
            <v>0</v>
          </cell>
          <cell r="M613">
            <v>11</v>
          </cell>
          <cell r="N613">
            <v>14</v>
          </cell>
          <cell r="O613">
            <v>15</v>
          </cell>
          <cell r="P613">
            <v>0</v>
          </cell>
          <cell r="Q613">
            <v>11</v>
          </cell>
          <cell r="R613">
            <v>0</v>
          </cell>
          <cell r="S613">
            <v>11</v>
          </cell>
          <cell r="T613">
            <v>0</v>
          </cell>
          <cell r="U613">
            <v>11</v>
          </cell>
          <cell r="V613">
            <v>185</v>
          </cell>
          <cell r="W613">
            <v>76</v>
          </cell>
          <cell r="X613">
            <v>147</v>
          </cell>
          <cell r="Y613">
            <v>69</v>
          </cell>
          <cell r="Z613">
            <v>0</v>
          </cell>
          <cell r="AA613">
            <v>11</v>
          </cell>
          <cell r="AB613">
            <v>38</v>
          </cell>
          <cell r="AC613">
            <v>35</v>
          </cell>
          <cell r="AD613">
            <v>0</v>
          </cell>
          <cell r="AE613">
            <v>11</v>
          </cell>
          <cell r="AF613">
            <v>0</v>
          </cell>
          <cell r="AG613">
            <v>11</v>
          </cell>
          <cell r="AH613">
            <v>0</v>
          </cell>
          <cell r="AI613">
            <v>11</v>
          </cell>
          <cell r="AJ613">
            <v>0</v>
          </cell>
          <cell r="AK613">
            <v>11</v>
          </cell>
          <cell r="AL613">
            <v>36</v>
          </cell>
          <cell r="AM613">
            <v>48</v>
          </cell>
          <cell r="AN613">
            <v>29</v>
          </cell>
          <cell r="AO613">
            <v>26</v>
          </cell>
          <cell r="AP613">
            <v>0</v>
          </cell>
          <cell r="AQ613">
            <v>11</v>
          </cell>
          <cell r="AR613">
            <v>28</v>
          </cell>
          <cell r="AS613">
            <v>28</v>
          </cell>
        </row>
        <row r="614">
          <cell r="B614">
            <v>17031671600</v>
          </cell>
          <cell r="D614">
            <v>508</v>
          </cell>
          <cell r="E614">
            <v>117</v>
          </cell>
          <cell r="F614">
            <v>258</v>
          </cell>
          <cell r="G614">
            <v>102</v>
          </cell>
          <cell r="H614">
            <v>178</v>
          </cell>
          <cell r="I614">
            <v>88</v>
          </cell>
          <cell r="J614">
            <v>80</v>
          </cell>
          <cell r="K614">
            <v>58</v>
          </cell>
          <cell r="L614">
            <v>65</v>
          </cell>
          <cell r="M614">
            <v>57</v>
          </cell>
          <cell r="N614">
            <v>4</v>
          </cell>
          <cell r="O614">
            <v>7</v>
          </cell>
          <cell r="P614">
            <v>0</v>
          </cell>
          <cell r="Q614">
            <v>11</v>
          </cell>
          <cell r="R614">
            <v>11</v>
          </cell>
          <cell r="S614">
            <v>16</v>
          </cell>
          <cell r="T614">
            <v>0</v>
          </cell>
          <cell r="U614">
            <v>11</v>
          </cell>
          <cell r="V614">
            <v>140</v>
          </cell>
          <cell r="W614">
            <v>73</v>
          </cell>
          <cell r="X614">
            <v>104</v>
          </cell>
          <cell r="Y614">
            <v>53</v>
          </cell>
          <cell r="Z614">
            <v>0</v>
          </cell>
          <cell r="AA614">
            <v>11</v>
          </cell>
          <cell r="AB614">
            <v>36</v>
          </cell>
          <cell r="AC614">
            <v>40</v>
          </cell>
          <cell r="AD614">
            <v>0</v>
          </cell>
          <cell r="AE614">
            <v>11</v>
          </cell>
          <cell r="AF614">
            <v>0</v>
          </cell>
          <cell r="AG614">
            <v>11</v>
          </cell>
          <cell r="AH614">
            <v>0</v>
          </cell>
          <cell r="AI614">
            <v>11</v>
          </cell>
          <cell r="AJ614">
            <v>0</v>
          </cell>
          <cell r="AK614">
            <v>11</v>
          </cell>
          <cell r="AL614">
            <v>16</v>
          </cell>
          <cell r="AM614">
            <v>16</v>
          </cell>
          <cell r="AN614">
            <v>21</v>
          </cell>
          <cell r="AO614">
            <v>22</v>
          </cell>
          <cell r="AP614">
            <v>10</v>
          </cell>
          <cell r="AQ614">
            <v>17</v>
          </cell>
          <cell r="AR614">
            <v>63</v>
          </cell>
          <cell r="AS614">
            <v>46</v>
          </cell>
        </row>
        <row r="615">
          <cell r="B615">
            <v>17031671800</v>
          </cell>
          <cell r="D615">
            <v>380</v>
          </cell>
          <cell r="E615">
            <v>104</v>
          </cell>
          <cell r="F615">
            <v>174</v>
          </cell>
          <cell r="G615">
            <v>74</v>
          </cell>
          <cell r="H615">
            <v>164</v>
          </cell>
          <cell r="I615">
            <v>75</v>
          </cell>
          <cell r="J615">
            <v>10</v>
          </cell>
          <cell r="K615">
            <v>12</v>
          </cell>
          <cell r="L615">
            <v>2</v>
          </cell>
          <cell r="M615">
            <v>6</v>
          </cell>
          <cell r="N615">
            <v>8</v>
          </cell>
          <cell r="O615">
            <v>11</v>
          </cell>
          <cell r="P615">
            <v>0</v>
          </cell>
          <cell r="Q615">
            <v>11</v>
          </cell>
          <cell r="R615">
            <v>0</v>
          </cell>
          <cell r="S615">
            <v>11</v>
          </cell>
          <cell r="T615">
            <v>0</v>
          </cell>
          <cell r="U615">
            <v>11</v>
          </cell>
          <cell r="V615">
            <v>147</v>
          </cell>
          <cell r="W615">
            <v>55</v>
          </cell>
          <cell r="X615">
            <v>94</v>
          </cell>
          <cell r="Y615">
            <v>55</v>
          </cell>
          <cell r="Z615">
            <v>0</v>
          </cell>
          <cell r="AA615">
            <v>11</v>
          </cell>
          <cell r="AB615">
            <v>53</v>
          </cell>
          <cell r="AC615">
            <v>46</v>
          </cell>
          <cell r="AD615">
            <v>0</v>
          </cell>
          <cell r="AE615">
            <v>11</v>
          </cell>
          <cell r="AF615">
            <v>0</v>
          </cell>
          <cell r="AG615">
            <v>11</v>
          </cell>
          <cell r="AH615">
            <v>0</v>
          </cell>
          <cell r="AI615">
            <v>11</v>
          </cell>
          <cell r="AJ615">
            <v>0</v>
          </cell>
          <cell r="AK615">
            <v>11</v>
          </cell>
          <cell r="AL615">
            <v>0</v>
          </cell>
          <cell r="AM615">
            <v>11</v>
          </cell>
          <cell r="AN615">
            <v>39</v>
          </cell>
          <cell r="AO615">
            <v>34</v>
          </cell>
          <cell r="AP615">
            <v>0</v>
          </cell>
          <cell r="AQ615">
            <v>11</v>
          </cell>
          <cell r="AR615">
            <v>20</v>
          </cell>
          <cell r="AS615">
            <v>20</v>
          </cell>
        </row>
        <row r="616">
          <cell r="B616">
            <v>17031671900</v>
          </cell>
          <cell r="D616">
            <v>309</v>
          </cell>
          <cell r="E616">
            <v>108</v>
          </cell>
          <cell r="F616">
            <v>270</v>
          </cell>
          <cell r="G616">
            <v>108</v>
          </cell>
          <cell r="H616">
            <v>233</v>
          </cell>
          <cell r="I616">
            <v>98</v>
          </cell>
          <cell r="J616">
            <v>37</v>
          </cell>
          <cell r="K616">
            <v>38</v>
          </cell>
          <cell r="L616">
            <v>33</v>
          </cell>
          <cell r="M616">
            <v>40</v>
          </cell>
          <cell r="N616">
            <v>4</v>
          </cell>
          <cell r="O616">
            <v>5</v>
          </cell>
          <cell r="P616">
            <v>0</v>
          </cell>
          <cell r="Q616">
            <v>11</v>
          </cell>
          <cell r="R616">
            <v>0</v>
          </cell>
          <cell r="S616">
            <v>11</v>
          </cell>
          <cell r="T616">
            <v>0</v>
          </cell>
          <cell r="U616">
            <v>11</v>
          </cell>
          <cell r="V616">
            <v>24</v>
          </cell>
          <cell r="W616">
            <v>22</v>
          </cell>
          <cell r="X616">
            <v>24</v>
          </cell>
          <cell r="Y616">
            <v>22</v>
          </cell>
          <cell r="Z616">
            <v>0</v>
          </cell>
          <cell r="AA616">
            <v>11</v>
          </cell>
          <cell r="AB616">
            <v>0</v>
          </cell>
          <cell r="AC616">
            <v>11</v>
          </cell>
          <cell r="AD616">
            <v>0</v>
          </cell>
          <cell r="AE616">
            <v>11</v>
          </cell>
          <cell r="AF616">
            <v>0</v>
          </cell>
          <cell r="AG616">
            <v>11</v>
          </cell>
          <cell r="AH616">
            <v>0</v>
          </cell>
          <cell r="AI616">
            <v>11</v>
          </cell>
          <cell r="AJ616">
            <v>0</v>
          </cell>
          <cell r="AK616">
            <v>11</v>
          </cell>
          <cell r="AL616">
            <v>0</v>
          </cell>
          <cell r="AM616">
            <v>11</v>
          </cell>
          <cell r="AN616">
            <v>0</v>
          </cell>
          <cell r="AO616">
            <v>11</v>
          </cell>
          <cell r="AP616">
            <v>0</v>
          </cell>
          <cell r="AQ616">
            <v>11</v>
          </cell>
          <cell r="AR616">
            <v>15</v>
          </cell>
          <cell r="AS616">
            <v>23</v>
          </cell>
        </row>
        <row r="617">
          <cell r="B617">
            <v>17031672000</v>
          </cell>
          <cell r="D617">
            <v>1041</v>
          </cell>
          <cell r="E617">
            <v>246</v>
          </cell>
          <cell r="F617">
            <v>590</v>
          </cell>
          <cell r="G617">
            <v>163</v>
          </cell>
          <cell r="H617">
            <v>485</v>
          </cell>
          <cell r="I617">
            <v>163</v>
          </cell>
          <cell r="J617">
            <v>105</v>
          </cell>
          <cell r="K617">
            <v>93</v>
          </cell>
          <cell r="L617">
            <v>82</v>
          </cell>
          <cell r="M617">
            <v>86</v>
          </cell>
          <cell r="N617">
            <v>0</v>
          </cell>
          <cell r="O617">
            <v>11</v>
          </cell>
          <cell r="P617">
            <v>6</v>
          </cell>
          <cell r="Q617">
            <v>11</v>
          </cell>
          <cell r="R617">
            <v>17</v>
          </cell>
          <cell r="S617">
            <v>29</v>
          </cell>
          <cell r="T617">
            <v>0</v>
          </cell>
          <cell r="U617">
            <v>11</v>
          </cell>
          <cell r="V617">
            <v>331</v>
          </cell>
          <cell r="W617">
            <v>143</v>
          </cell>
          <cell r="X617">
            <v>250</v>
          </cell>
          <cell r="Y617">
            <v>117</v>
          </cell>
          <cell r="Z617">
            <v>0</v>
          </cell>
          <cell r="AA617">
            <v>11</v>
          </cell>
          <cell r="AB617">
            <v>68</v>
          </cell>
          <cell r="AC617">
            <v>58</v>
          </cell>
          <cell r="AD617">
            <v>13</v>
          </cell>
          <cell r="AE617">
            <v>22</v>
          </cell>
          <cell r="AF617">
            <v>0</v>
          </cell>
          <cell r="AG617">
            <v>11</v>
          </cell>
          <cell r="AH617">
            <v>6</v>
          </cell>
          <cell r="AI617">
            <v>11</v>
          </cell>
          <cell r="AJ617">
            <v>0</v>
          </cell>
          <cell r="AK617">
            <v>11</v>
          </cell>
          <cell r="AL617">
            <v>0</v>
          </cell>
          <cell r="AM617">
            <v>11</v>
          </cell>
          <cell r="AN617">
            <v>86</v>
          </cell>
          <cell r="AO617">
            <v>110</v>
          </cell>
          <cell r="AP617">
            <v>28</v>
          </cell>
          <cell r="AQ617">
            <v>43</v>
          </cell>
          <cell r="AR617">
            <v>0</v>
          </cell>
          <cell r="AS617">
            <v>11</v>
          </cell>
        </row>
        <row r="618">
          <cell r="B618">
            <v>17031680500</v>
          </cell>
          <cell r="D618">
            <v>225</v>
          </cell>
          <cell r="E618">
            <v>60</v>
          </cell>
          <cell r="F618">
            <v>119</v>
          </cell>
          <cell r="G618">
            <v>46</v>
          </cell>
          <cell r="H618">
            <v>119</v>
          </cell>
          <cell r="I618">
            <v>46</v>
          </cell>
          <cell r="J618">
            <v>0</v>
          </cell>
          <cell r="K618">
            <v>11</v>
          </cell>
          <cell r="L618">
            <v>0</v>
          </cell>
          <cell r="M618">
            <v>11</v>
          </cell>
          <cell r="N618">
            <v>0</v>
          </cell>
          <cell r="O618">
            <v>11</v>
          </cell>
          <cell r="P618">
            <v>0</v>
          </cell>
          <cell r="Q618">
            <v>11</v>
          </cell>
          <cell r="R618">
            <v>0</v>
          </cell>
          <cell r="S618">
            <v>11</v>
          </cell>
          <cell r="T618">
            <v>0</v>
          </cell>
          <cell r="U618">
            <v>11</v>
          </cell>
          <cell r="V618">
            <v>100</v>
          </cell>
          <cell r="W618">
            <v>46</v>
          </cell>
          <cell r="X618">
            <v>43</v>
          </cell>
          <cell r="Y618">
            <v>27</v>
          </cell>
          <cell r="Z618">
            <v>0</v>
          </cell>
          <cell r="AA618">
            <v>11</v>
          </cell>
          <cell r="AB618">
            <v>57</v>
          </cell>
          <cell r="AC618">
            <v>37</v>
          </cell>
          <cell r="AD618">
            <v>0</v>
          </cell>
          <cell r="AE618">
            <v>11</v>
          </cell>
          <cell r="AF618">
            <v>0</v>
          </cell>
          <cell r="AG618">
            <v>11</v>
          </cell>
          <cell r="AH618">
            <v>0</v>
          </cell>
          <cell r="AI618">
            <v>11</v>
          </cell>
          <cell r="AJ618">
            <v>0</v>
          </cell>
          <cell r="AK618">
            <v>11</v>
          </cell>
          <cell r="AL618">
            <v>0</v>
          </cell>
          <cell r="AM618">
            <v>11</v>
          </cell>
          <cell r="AN618">
            <v>0</v>
          </cell>
          <cell r="AO618">
            <v>11</v>
          </cell>
          <cell r="AP618">
            <v>0</v>
          </cell>
          <cell r="AQ618">
            <v>11</v>
          </cell>
          <cell r="AR618">
            <v>6</v>
          </cell>
          <cell r="AS618">
            <v>9</v>
          </cell>
        </row>
        <row r="619">
          <cell r="B619">
            <v>17031680600</v>
          </cell>
          <cell r="D619">
            <v>417</v>
          </cell>
          <cell r="E619">
            <v>128</v>
          </cell>
          <cell r="F619">
            <v>176</v>
          </cell>
          <cell r="G619">
            <v>92</v>
          </cell>
          <cell r="H619">
            <v>165</v>
          </cell>
          <cell r="I619">
            <v>93</v>
          </cell>
          <cell r="J619">
            <v>11</v>
          </cell>
          <cell r="K619">
            <v>13</v>
          </cell>
          <cell r="L619">
            <v>11</v>
          </cell>
          <cell r="M619">
            <v>13</v>
          </cell>
          <cell r="N619">
            <v>0</v>
          </cell>
          <cell r="O619">
            <v>11</v>
          </cell>
          <cell r="P619">
            <v>0</v>
          </cell>
          <cell r="Q619">
            <v>11</v>
          </cell>
          <cell r="R619">
            <v>0</v>
          </cell>
          <cell r="S619">
            <v>11</v>
          </cell>
          <cell r="T619">
            <v>0</v>
          </cell>
          <cell r="U619">
            <v>11</v>
          </cell>
          <cell r="V619">
            <v>217</v>
          </cell>
          <cell r="W619">
            <v>99</v>
          </cell>
          <cell r="X619">
            <v>180</v>
          </cell>
          <cell r="Y619">
            <v>91</v>
          </cell>
          <cell r="Z619">
            <v>0</v>
          </cell>
          <cell r="AA619">
            <v>11</v>
          </cell>
          <cell r="AB619">
            <v>31</v>
          </cell>
          <cell r="AC619">
            <v>36</v>
          </cell>
          <cell r="AD619">
            <v>6</v>
          </cell>
          <cell r="AE619">
            <v>10</v>
          </cell>
          <cell r="AF619">
            <v>0</v>
          </cell>
          <cell r="AG619">
            <v>11</v>
          </cell>
          <cell r="AH619">
            <v>0</v>
          </cell>
          <cell r="AI619">
            <v>11</v>
          </cell>
          <cell r="AJ619">
            <v>0</v>
          </cell>
          <cell r="AK619">
            <v>11</v>
          </cell>
          <cell r="AL619">
            <v>0</v>
          </cell>
          <cell r="AM619">
            <v>11</v>
          </cell>
          <cell r="AN619">
            <v>18</v>
          </cell>
          <cell r="AO619">
            <v>28</v>
          </cell>
          <cell r="AP619">
            <v>0</v>
          </cell>
          <cell r="AQ619">
            <v>11</v>
          </cell>
          <cell r="AR619">
            <v>6</v>
          </cell>
          <cell r="AS619">
            <v>9</v>
          </cell>
        </row>
        <row r="620">
          <cell r="B620">
            <v>17031680900</v>
          </cell>
          <cell r="D620">
            <v>814</v>
          </cell>
          <cell r="E620">
            <v>184</v>
          </cell>
          <cell r="F620">
            <v>431</v>
          </cell>
          <cell r="G620">
            <v>124</v>
          </cell>
          <cell r="H620">
            <v>402</v>
          </cell>
          <cell r="I620">
            <v>110</v>
          </cell>
          <cell r="J620">
            <v>29</v>
          </cell>
          <cell r="K620">
            <v>37</v>
          </cell>
          <cell r="L620">
            <v>0</v>
          </cell>
          <cell r="M620">
            <v>11</v>
          </cell>
          <cell r="N620">
            <v>19</v>
          </cell>
          <cell r="O620">
            <v>32</v>
          </cell>
          <cell r="P620">
            <v>10</v>
          </cell>
          <cell r="Q620">
            <v>19</v>
          </cell>
          <cell r="R620">
            <v>0</v>
          </cell>
          <cell r="S620">
            <v>11</v>
          </cell>
          <cell r="T620">
            <v>0</v>
          </cell>
          <cell r="U620">
            <v>11</v>
          </cell>
          <cell r="V620">
            <v>340</v>
          </cell>
          <cell r="W620">
            <v>140</v>
          </cell>
          <cell r="X620">
            <v>251</v>
          </cell>
          <cell r="Y620">
            <v>132</v>
          </cell>
          <cell r="Z620">
            <v>0</v>
          </cell>
          <cell r="AA620">
            <v>11</v>
          </cell>
          <cell r="AB620">
            <v>79</v>
          </cell>
          <cell r="AC620">
            <v>49</v>
          </cell>
          <cell r="AD620">
            <v>10</v>
          </cell>
          <cell r="AE620">
            <v>16</v>
          </cell>
          <cell r="AF620">
            <v>0</v>
          </cell>
          <cell r="AG620">
            <v>11</v>
          </cell>
          <cell r="AH620">
            <v>0</v>
          </cell>
          <cell r="AI620">
            <v>11</v>
          </cell>
          <cell r="AJ620">
            <v>0</v>
          </cell>
          <cell r="AK620">
            <v>11</v>
          </cell>
          <cell r="AL620">
            <v>0</v>
          </cell>
          <cell r="AM620">
            <v>11</v>
          </cell>
          <cell r="AN620">
            <v>24</v>
          </cell>
          <cell r="AO620">
            <v>21</v>
          </cell>
          <cell r="AP620">
            <v>0</v>
          </cell>
          <cell r="AQ620">
            <v>11</v>
          </cell>
          <cell r="AR620">
            <v>19</v>
          </cell>
          <cell r="AS620">
            <v>18</v>
          </cell>
        </row>
        <row r="621">
          <cell r="B621">
            <v>17031681000</v>
          </cell>
          <cell r="D621">
            <v>803</v>
          </cell>
          <cell r="E621">
            <v>162</v>
          </cell>
          <cell r="F621">
            <v>352</v>
          </cell>
          <cell r="G621">
            <v>123</v>
          </cell>
          <cell r="H621">
            <v>312</v>
          </cell>
          <cell r="I621">
            <v>118</v>
          </cell>
          <cell r="J621">
            <v>40</v>
          </cell>
          <cell r="K621">
            <v>44</v>
          </cell>
          <cell r="L621">
            <v>21</v>
          </cell>
          <cell r="M621">
            <v>33</v>
          </cell>
          <cell r="N621">
            <v>19</v>
          </cell>
          <cell r="O621">
            <v>30</v>
          </cell>
          <cell r="P621">
            <v>0</v>
          </cell>
          <cell r="Q621">
            <v>11</v>
          </cell>
          <cell r="R621">
            <v>0</v>
          </cell>
          <cell r="S621">
            <v>11</v>
          </cell>
          <cell r="T621">
            <v>0</v>
          </cell>
          <cell r="U621">
            <v>11</v>
          </cell>
          <cell r="V621">
            <v>306</v>
          </cell>
          <cell r="W621">
            <v>122</v>
          </cell>
          <cell r="X621">
            <v>256</v>
          </cell>
          <cell r="Y621">
            <v>111</v>
          </cell>
          <cell r="Z621">
            <v>0</v>
          </cell>
          <cell r="AA621">
            <v>11</v>
          </cell>
          <cell r="AB621">
            <v>50</v>
          </cell>
          <cell r="AC621">
            <v>47</v>
          </cell>
          <cell r="AD621">
            <v>0</v>
          </cell>
          <cell r="AE621">
            <v>11</v>
          </cell>
          <cell r="AF621">
            <v>0</v>
          </cell>
          <cell r="AG621">
            <v>11</v>
          </cell>
          <cell r="AH621">
            <v>0</v>
          </cell>
          <cell r="AI621">
            <v>11</v>
          </cell>
          <cell r="AJ621">
            <v>0</v>
          </cell>
          <cell r="AK621">
            <v>11</v>
          </cell>
          <cell r="AL621">
            <v>0</v>
          </cell>
          <cell r="AM621">
            <v>11</v>
          </cell>
          <cell r="AN621">
            <v>41</v>
          </cell>
          <cell r="AO621">
            <v>40</v>
          </cell>
          <cell r="AP621">
            <v>42</v>
          </cell>
          <cell r="AQ621">
            <v>35</v>
          </cell>
          <cell r="AR621">
            <v>62</v>
          </cell>
          <cell r="AS621">
            <v>48</v>
          </cell>
        </row>
        <row r="622">
          <cell r="B622">
            <v>17031681100</v>
          </cell>
          <cell r="D622">
            <v>728</v>
          </cell>
          <cell r="E622">
            <v>188</v>
          </cell>
          <cell r="F622">
            <v>324</v>
          </cell>
          <cell r="G622">
            <v>125</v>
          </cell>
          <cell r="H622">
            <v>305</v>
          </cell>
          <cell r="I622">
            <v>121</v>
          </cell>
          <cell r="J622">
            <v>19</v>
          </cell>
          <cell r="K622">
            <v>28</v>
          </cell>
          <cell r="L622">
            <v>19</v>
          </cell>
          <cell r="M622">
            <v>28</v>
          </cell>
          <cell r="N622">
            <v>0</v>
          </cell>
          <cell r="O622">
            <v>11</v>
          </cell>
          <cell r="P622">
            <v>0</v>
          </cell>
          <cell r="Q622">
            <v>11</v>
          </cell>
          <cell r="R622">
            <v>0</v>
          </cell>
          <cell r="S622">
            <v>11</v>
          </cell>
          <cell r="T622">
            <v>0</v>
          </cell>
          <cell r="U622">
            <v>11</v>
          </cell>
          <cell r="V622">
            <v>395</v>
          </cell>
          <cell r="W622">
            <v>121</v>
          </cell>
          <cell r="X622">
            <v>288</v>
          </cell>
          <cell r="Y622">
            <v>99</v>
          </cell>
          <cell r="Z622">
            <v>0</v>
          </cell>
          <cell r="AA622">
            <v>11</v>
          </cell>
          <cell r="AB622">
            <v>86</v>
          </cell>
          <cell r="AC622">
            <v>53</v>
          </cell>
          <cell r="AD622">
            <v>21</v>
          </cell>
          <cell r="AE622">
            <v>33</v>
          </cell>
          <cell r="AF622">
            <v>0</v>
          </cell>
          <cell r="AG622">
            <v>11</v>
          </cell>
          <cell r="AH622">
            <v>0</v>
          </cell>
          <cell r="AI622">
            <v>11</v>
          </cell>
          <cell r="AJ622">
            <v>0</v>
          </cell>
          <cell r="AK622">
            <v>11</v>
          </cell>
          <cell r="AL622">
            <v>0</v>
          </cell>
          <cell r="AM622">
            <v>11</v>
          </cell>
          <cell r="AN622">
            <v>0</v>
          </cell>
          <cell r="AO622">
            <v>11</v>
          </cell>
          <cell r="AP622">
            <v>0</v>
          </cell>
          <cell r="AQ622">
            <v>11</v>
          </cell>
          <cell r="AR622">
            <v>9</v>
          </cell>
          <cell r="AS622">
            <v>16</v>
          </cell>
        </row>
        <row r="623">
          <cell r="B623">
            <v>17031681200</v>
          </cell>
          <cell r="D623">
            <v>612</v>
          </cell>
          <cell r="E623">
            <v>117</v>
          </cell>
          <cell r="F623">
            <v>370</v>
          </cell>
          <cell r="G623">
            <v>94</v>
          </cell>
          <cell r="H623">
            <v>312</v>
          </cell>
          <cell r="I623">
            <v>87</v>
          </cell>
          <cell r="J623">
            <v>58</v>
          </cell>
          <cell r="K623">
            <v>37</v>
          </cell>
          <cell r="L623">
            <v>58</v>
          </cell>
          <cell r="M623">
            <v>37</v>
          </cell>
          <cell r="N623">
            <v>0</v>
          </cell>
          <cell r="O623">
            <v>11</v>
          </cell>
          <cell r="P623">
            <v>0</v>
          </cell>
          <cell r="Q623">
            <v>11</v>
          </cell>
          <cell r="R623">
            <v>0</v>
          </cell>
          <cell r="S623">
            <v>11</v>
          </cell>
          <cell r="T623">
            <v>0</v>
          </cell>
          <cell r="U623">
            <v>11</v>
          </cell>
          <cell r="V623">
            <v>216</v>
          </cell>
          <cell r="W623">
            <v>80</v>
          </cell>
          <cell r="X623">
            <v>165</v>
          </cell>
          <cell r="Y623">
            <v>69</v>
          </cell>
          <cell r="Z623">
            <v>10</v>
          </cell>
          <cell r="AA623">
            <v>15</v>
          </cell>
          <cell r="AB623">
            <v>30</v>
          </cell>
          <cell r="AC623">
            <v>27</v>
          </cell>
          <cell r="AD623">
            <v>11</v>
          </cell>
          <cell r="AE623">
            <v>17</v>
          </cell>
          <cell r="AF623">
            <v>0</v>
          </cell>
          <cell r="AG623">
            <v>11</v>
          </cell>
          <cell r="AH623">
            <v>0</v>
          </cell>
          <cell r="AI623">
            <v>11</v>
          </cell>
          <cell r="AJ623">
            <v>0</v>
          </cell>
          <cell r="AK623">
            <v>11</v>
          </cell>
          <cell r="AL623">
            <v>0</v>
          </cell>
          <cell r="AM623">
            <v>11</v>
          </cell>
          <cell r="AN623">
            <v>12</v>
          </cell>
          <cell r="AO623">
            <v>17</v>
          </cell>
          <cell r="AP623">
            <v>0</v>
          </cell>
          <cell r="AQ623">
            <v>11</v>
          </cell>
          <cell r="AR623">
            <v>14</v>
          </cell>
          <cell r="AS623">
            <v>22</v>
          </cell>
        </row>
        <row r="624">
          <cell r="B624">
            <v>17031681300</v>
          </cell>
          <cell r="D624">
            <v>530</v>
          </cell>
          <cell r="E624">
            <v>141</v>
          </cell>
          <cell r="F624">
            <v>302</v>
          </cell>
          <cell r="G624">
            <v>105</v>
          </cell>
          <cell r="H624">
            <v>284</v>
          </cell>
          <cell r="I624">
            <v>105</v>
          </cell>
          <cell r="J624">
            <v>18</v>
          </cell>
          <cell r="K624">
            <v>17</v>
          </cell>
          <cell r="L624">
            <v>8</v>
          </cell>
          <cell r="M624">
            <v>11</v>
          </cell>
          <cell r="N624">
            <v>10</v>
          </cell>
          <cell r="O624">
            <v>13</v>
          </cell>
          <cell r="P624">
            <v>0</v>
          </cell>
          <cell r="Q624">
            <v>11</v>
          </cell>
          <cell r="R624">
            <v>0</v>
          </cell>
          <cell r="S624">
            <v>11</v>
          </cell>
          <cell r="T624">
            <v>0</v>
          </cell>
          <cell r="U624">
            <v>11</v>
          </cell>
          <cell r="V624">
            <v>222</v>
          </cell>
          <cell r="W624">
            <v>93</v>
          </cell>
          <cell r="X624">
            <v>170</v>
          </cell>
          <cell r="Y624">
            <v>67</v>
          </cell>
          <cell r="Z624">
            <v>25</v>
          </cell>
          <cell r="AA624">
            <v>38</v>
          </cell>
          <cell r="AB624">
            <v>27</v>
          </cell>
          <cell r="AC624">
            <v>25</v>
          </cell>
          <cell r="AD624">
            <v>0</v>
          </cell>
          <cell r="AE624">
            <v>11</v>
          </cell>
          <cell r="AF624">
            <v>0</v>
          </cell>
          <cell r="AG624">
            <v>11</v>
          </cell>
          <cell r="AH624">
            <v>0</v>
          </cell>
          <cell r="AI624">
            <v>11</v>
          </cell>
          <cell r="AJ624">
            <v>0</v>
          </cell>
          <cell r="AK624">
            <v>11</v>
          </cell>
          <cell r="AL624">
            <v>0</v>
          </cell>
          <cell r="AM624">
            <v>11</v>
          </cell>
          <cell r="AN624">
            <v>0</v>
          </cell>
          <cell r="AO624">
            <v>11</v>
          </cell>
          <cell r="AP624">
            <v>0</v>
          </cell>
          <cell r="AQ624">
            <v>11</v>
          </cell>
          <cell r="AR624">
            <v>6</v>
          </cell>
          <cell r="AS624">
            <v>10</v>
          </cell>
        </row>
        <row r="625">
          <cell r="B625">
            <v>17031681400</v>
          </cell>
          <cell r="D625">
            <v>673</v>
          </cell>
          <cell r="E625">
            <v>149</v>
          </cell>
          <cell r="F625">
            <v>304</v>
          </cell>
          <cell r="G625">
            <v>129</v>
          </cell>
          <cell r="H625">
            <v>240</v>
          </cell>
          <cell r="I625">
            <v>112</v>
          </cell>
          <cell r="J625">
            <v>64</v>
          </cell>
          <cell r="K625">
            <v>65</v>
          </cell>
          <cell r="L625">
            <v>29</v>
          </cell>
          <cell r="M625">
            <v>44</v>
          </cell>
          <cell r="N625">
            <v>7</v>
          </cell>
          <cell r="O625">
            <v>10</v>
          </cell>
          <cell r="P625">
            <v>0</v>
          </cell>
          <cell r="Q625">
            <v>11</v>
          </cell>
          <cell r="R625">
            <v>0</v>
          </cell>
          <cell r="S625">
            <v>11</v>
          </cell>
          <cell r="T625">
            <v>28</v>
          </cell>
          <cell r="U625">
            <v>46</v>
          </cell>
          <cell r="V625">
            <v>304</v>
          </cell>
          <cell r="W625">
            <v>126</v>
          </cell>
          <cell r="X625">
            <v>192</v>
          </cell>
          <cell r="Y625">
            <v>87</v>
          </cell>
          <cell r="Z625">
            <v>0</v>
          </cell>
          <cell r="AA625">
            <v>11</v>
          </cell>
          <cell r="AB625">
            <v>47</v>
          </cell>
          <cell r="AC625">
            <v>43</v>
          </cell>
          <cell r="AD625">
            <v>65</v>
          </cell>
          <cell r="AE625">
            <v>77</v>
          </cell>
          <cell r="AF625">
            <v>0</v>
          </cell>
          <cell r="AG625">
            <v>11</v>
          </cell>
          <cell r="AH625">
            <v>0</v>
          </cell>
          <cell r="AI625">
            <v>11</v>
          </cell>
          <cell r="AJ625">
            <v>0</v>
          </cell>
          <cell r="AK625">
            <v>11</v>
          </cell>
          <cell r="AL625">
            <v>0</v>
          </cell>
          <cell r="AM625">
            <v>11</v>
          </cell>
          <cell r="AN625">
            <v>5</v>
          </cell>
          <cell r="AO625">
            <v>8</v>
          </cell>
          <cell r="AP625">
            <v>0</v>
          </cell>
          <cell r="AQ625">
            <v>11</v>
          </cell>
          <cell r="AR625">
            <v>60</v>
          </cell>
          <cell r="AS625">
            <v>58</v>
          </cell>
        </row>
        <row r="626">
          <cell r="B626">
            <v>17031690300</v>
          </cell>
          <cell r="D626">
            <v>618</v>
          </cell>
          <cell r="E626">
            <v>105</v>
          </cell>
          <cell r="F626">
            <v>367</v>
          </cell>
          <cell r="G626">
            <v>121</v>
          </cell>
          <cell r="H626">
            <v>326</v>
          </cell>
          <cell r="I626">
            <v>124</v>
          </cell>
          <cell r="J626">
            <v>41</v>
          </cell>
          <cell r="K626">
            <v>40</v>
          </cell>
          <cell r="L626">
            <v>34</v>
          </cell>
          <cell r="M626">
            <v>43</v>
          </cell>
          <cell r="N626">
            <v>7</v>
          </cell>
          <cell r="O626">
            <v>12</v>
          </cell>
          <cell r="P626">
            <v>0</v>
          </cell>
          <cell r="Q626">
            <v>11</v>
          </cell>
          <cell r="R626">
            <v>0</v>
          </cell>
          <cell r="S626">
            <v>11</v>
          </cell>
          <cell r="T626">
            <v>0</v>
          </cell>
          <cell r="U626">
            <v>11</v>
          </cell>
          <cell r="V626">
            <v>224</v>
          </cell>
          <cell r="W626">
            <v>86</v>
          </cell>
          <cell r="X626">
            <v>166</v>
          </cell>
          <cell r="Y626">
            <v>82</v>
          </cell>
          <cell r="Z626">
            <v>0</v>
          </cell>
          <cell r="AA626">
            <v>11</v>
          </cell>
          <cell r="AB626">
            <v>58</v>
          </cell>
          <cell r="AC626">
            <v>38</v>
          </cell>
          <cell r="AD626">
            <v>0</v>
          </cell>
          <cell r="AE626">
            <v>11</v>
          </cell>
          <cell r="AF626">
            <v>0</v>
          </cell>
          <cell r="AG626">
            <v>11</v>
          </cell>
          <cell r="AH626">
            <v>0</v>
          </cell>
          <cell r="AI626">
            <v>11</v>
          </cell>
          <cell r="AJ626">
            <v>0</v>
          </cell>
          <cell r="AK626">
            <v>11</v>
          </cell>
          <cell r="AL626">
            <v>0</v>
          </cell>
          <cell r="AM626">
            <v>11</v>
          </cell>
          <cell r="AN626">
            <v>20</v>
          </cell>
          <cell r="AO626">
            <v>21</v>
          </cell>
          <cell r="AP626">
            <v>7</v>
          </cell>
          <cell r="AQ626">
            <v>13</v>
          </cell>
          <cell r="AR626">
            <v>0</v>
          </cell>
          <cell r="AS626">
            <v>11</v>
          </cell>
        </row>
        <row r="627">
          <cell r="B627">
            <v>17031690400</v>
          </cell>
          <cell r="D627">
            <v>1283</v>
          </cell>
          <cell r="E627">
            <v>195</v>
          </cell>
          <cell r="F627">
            <v>687</v>
          </cell>
          <cell r="G627">
            <v>148</v>
          </cell>
          <cell r="H627">
            <v>623</v>
          </cell>
          <cell r="I627">
            <v>147</v>
          </cell>
          <cell r="J627">
            <v>64</v>
          </cell>
          <cell r="K627">
            <v>50</v>
          </cell>
          <cell r="L627">
            <v>49</v>
          </cell>
          <cell r="M627">
            <v>43</v>
          </cell>
          <cell r="N627">
            <v>15</v>
          </cell>
          <cell r="O627">
            <v>28</v>
          </cell>
          <cell r="P627">
            <v>0</v>
          </cell>
          <cell r="Q627">
            <v>11</v>
          </cell>
          <cell r="R627">
            <v>0</v>
          </cell>
          <cell r="S627">
            <v>11</v>
          </cell>
          <cell r="T627">
            <v>0</v>
          </cell>
          <cell r="U627">
            <v>11</v>
          </cell>
          <cell r="V627">
            <v>483</v>
          </cell>
          <cell r="W627">
            <v>151</v>
          </cell>
          <cell r="X627">
            <v>376</v>
          </cell>
          <cell r="Y627">
            <v>129</v>
          </cell>
          <cell r="Z627">
            <v>0</v>
          </cell>
          <cell r="AA627">
            <v>11</v>
          </cell>
          <cell r="AB627">
            <v>107</v>
          </cell>
          <cell r="AC627">
            <v>76</v>
          </cell>
          <cell r="AD627">
            <v>0</v>
          </cell>
          <cell r="AE627">
            <v>11</v>
          </cell>
          <cell r="AF627">
            <v>0</v>
          </cell>
          <cell r="AG627">
            <v>11</v>
          </cell>
          <cell r="AH627">
            <v>0</v>
          </cell>
          <cell r="AI627">
            <v>11</v>
          </cell>
          <cell r="AJ627">
            <v>0</v>
          </cell>
          <cell r="AK627">
            <v>11</v>
          </cell>
          <cell r="AL627">
            <v>9</v>
          </cell>
          <cell r="AM627">
            <v>14</v>
          </cell>
          <cell r="AN627">
            <v>12</v>
          </cell>
          <cell r="AO627">
            <v>19</v>
          </cell>
          <cell r="AP627">
            <v>0</v>
          </cell>
          <cell r="AQ627">
            <v>11</v>
          </cell>
          <cell r="AR627">
            <v>92</v>
          </cell>
          <cell r="AS627">
            <v>75</v>
          </cell>
        </row>
        <row r="628">
          <cell r="B628">
            <v>17031690500</v>
          </cell>
          <cell r="D628">
            <v>337</v>
          </cell>
          <cell r="E628">
            <v>79</v>
          </cell>
          <cell r="F628">
            <v>118</v>
          </cell>
          <cell r="G628">
            <v>45</v>
          </cell>
          <cell r="H628">
            <v>97</v>
          </cell>
          <cell r="I628">
            <v>42</v>
          </cell>
          <cell r="J628">
            <v>21</v>
          </cell>
          <cell r="K628">
            <v>20</v>
          </cell>
          <cell r="L628">
            <v>13</v>
          </cell>
          <cell r="M628">
            <v>16</v>
          </cell>
          <cell r="N628">
            <v>0</v>
          </cell>
          <cell r="O628">
            <v>11</v>
          </cell>
          <cell r="P628">
            <v>8</v>
          </cell>
          <cell r="Q628">
            <v>12</v>
          </cell>
          <cell r="R628">
            <v>0</v>
          </cell>
          <cell r="S628">
            <v>11</v>
          </cell>
          <cell r="T628">
            <v>0</v>
          </cell>
          <cell r="U628">
            <v>11</v>
          </cell>
          <cell r="V628">
            <v>215</v>
          </cell>
          <cell r="W628">
            <v>75</v>
          </cell>
          <cell r="X628">
            <v>176</v>
          </cell>
          <cell r="Y628">
            <v>53</v>
          </cell>
          <cell r="Z628">
            <v>0</v>
          </cell>
          <cell r="AA628">
            <v>11</v>
          </cell>
          <cell r="AB628">
            <v>39</v>
          </cell>
          <cell r="AC628">
            <v>35</v>
          </cell>
          <cell r="AD628">
            <v>0</v>
          </cell>
          <cell r="AE628">
            <v>11</v>
          </cell>
          <cell r="AF628">
            <v>0</v>
          </cell>
          <cell r="AG628">
            <v>11</v>
          </cell>
          <cell r="AH628">
            <v>0</v>
          </cell>
          <cell r="AI628">
            <v>11</v>
          </cell>
          <cell r="AJ628">
            <v>0</v>
          </cell>
          <cell r="AK628">
            <v>11</v>
          </cell>
          <cell r="AL628">
            <v>0</v>
          </cell>
          <cell r="AM628">
            <v>11</v>
          </cell>
          <cell r="AN628">
            <v>4</v>
          </cell>
          <cell r="AO628">
            <v>8</v>
          </cell>
          <cell r="AP628">
            <v>0</v>
          </cell>
          <cell r="AQ628">
            <v>11</v>
          </cell>
          <cell r="AR628">
            <v>0</v>
          </cell>
          <cell r="AS628">
            <v>11</v>
          </cell>
        </row>
        <row r="629">
          <cell r="B629">
            <v>17031690900</v>
          </cell>
          <cell r="D629">
            <v>1479</v>
          </cell>
          <cell r="E629">
            <v>273</v>
          </cell>
          <cell r="F629">
            <v>797</v>
          </cell>
          <cell r="G629">
            <v>211</v>
          </cell>
          <cell r="H629">
            <v>697</v>
          </cell>
          <cell r="I629">
            <v>182</v>
          </cell>
          <cell r="J629">
            <v>100</v>
          </cell>
          <cell r="K629">
            <v>89</v>
          </cell>
          <cell r="L629">
            <v>71</v>
          </cell>
          <cell r="M629">
            <v>75</v>
          </cell>
          <cell r="N629">
            <v>15</v>
          </cell>
          <cell r="O629">
            <v>23</v>
          </cell>
          <cell r="P629">
            <v>0</v>
          </cell>
          <cell r="Q629">
            <v>11</v>
          </cell>
          <cell r="R629">
            <v>0</v>
          </cell>
          <cell r="S629">
            <v>11</v>
          </cell>
          <cell r="T629">
            <v>14</v>
          </cell>
          <cell r="U629">
            <v>15</v>
          </cell>
          <cell r="V629">
            <v>590</v>
          </cell>
          <cell r="W629">
            <v>154</v>
          </cell>
          <cell r="X629">
            <v>488</v>
          </cell>
          <cell r="Y629">
            <v>145</v>
          </cell>
          <cell r="Z629">
            <v>0</v>
          </cell>
          <cell r="AA629">
            <v>11</v>
          </cell>
          <cell r="AB629">
            <v>102</v>
          </cell>
          <cell r="AC629">
            <v>63</v>
          </cell>
          <cell r="AD629">
            <v>0</v>
          </cell>
          <cell r="AE629">
            <v>11</v>
          </cell>
          <cell r="AF629">
            <v>0</v>
          </cell>
          <cell r="AG629">
            <v>11</v>
          </cell>
          <cell r="AH629">
            <v>0</v>
          </cell>
          <cell r="AI629">
            <v>11</v>
          </cell>
          <cell r="AJ629">
            <v>27</v>
          </cell>
          <cell r="AK629">
            <v>45</v>
          </cell>
          <cell r="AL629">
            <v>0</v>
          </cell>
          <cell r="AM629">
            <v>11</v>
          </cell>
          <cell r="AN629">
            <v>8</v>
          </cell>
          <cell r="AO629">
            <v>15</v>
          </cell>
          <cell r="AP629">
            <v>0</v>
          </cell>
          <cell r="AQ629">
            <v>11</v>
          </cell>
          <cell r="AR629">
            <v>57</v>
          </cell>
          <cell r="AS629">
            <v>41</v>
          </cell>
        </row>
        <row r="630">
          <cell r="B630">
            <v>17031691000</v>
          </cell>
          <cell r="D630">
            <v>1142</v>
          </cell>
          <cell r="E630">
            <v>210</v>
          </cell>
          <cell r="F630">
            <v>724</v>
          </cell>
          <cell r="G630">
            <v>184</v>
          </cell>
          <cell r="H630">
            <v>672</v>
          </cell>
          <cell r="I630">
            <v>150</v>
          </cell>
          <cell r="J630">
            <v>52</v>
          </cell>
          <cell r="K630">
            <v>69</v>
          </cell>
          <cell r="L630">
            <v>0</v>
          </cell>
          <cell r="M630">
            <v>11</v>
          </cell>
          <cell r="N630">
            <v>33</v>
          </cell>
          <cell r="O630">
            <v>42</v>
          </cell>
          <cell r="P630">
            <v>0</v>
          </cell>
          <cell r="Q630">
            <v>11</v>
          </cell>
          <cell r="R630">
            <v>19</v>
          </cell>
          <cell r="S630">
            <v>28</v>
          </cell>
          <cell r="T630">
            <v>0</v>
          </cell>
          <cell r="U630">
            <v>11</v>
          </cell>
          <cell r="V630">
            <v>324</v>
          </cell>
          <cell r="W630">
            <v>107</v>
          </cell>
          <cell r="X630">
            <v>226</v>
          </cell>
          <cell r="Y630">
            <v>97</v>
          </cell>
          <cell r="Z630">
            <v>0</v>
          </cell>
          <cell r="AA630">
            <v>11</v>
          </cell>
          <cell r="AB630">
            <v>98</v>
          </cell>
          <cell r="AC630">
            <v>74</v>
          </cell>
          <cell r="AD630">
            <v>0</v>
          </cell>
          <cell r="AE630">
            <v>11</v>
          </cell>
          <cell r="AF630">
            <v>0</v>
          </cell>
          <cell r="AG630">
            <v>11</v>
          </cell>
          <cell r="AH630">
            <v>0</v>
          </cell>
          <cell r="AI630">
            <v>11</v>
          </cell>
          <cell r="AJ630">
            <v>0</v>
          </cell>
          <cell r="AK630">
            <v>11</v>
          </cell>
          <cell r="AL630">
            <v>0</v>
          </cell>
          <cell r="AM630">
            <v>11</v>
          </cell>
          <cell r="AN630">
            <v>66</v>
          </cell>
          <cell r="AO630">
            <v>52</v>
          </cell>
          <cell r="AP630">
            <v>10</v>
          </cell>
          <cell r="AQ630">
            <v>15</v>
          </cell>
          <cell r="AR630">
            <v>18</v>
          </cell>
          <cell r="AS630">
            <v>22</v>
          </cell>
        </row>
        <row r="631">
          <cell r="B631">
            <v>17031691100</v>
          </cell>
          <cell r="D631">
            <v>916</v>
          </cell>
          <cell r="E631">
            <v>207</v>
          </cell>
          <cell r="F631">
            <v>420</v>
          </cell>
          <cell r="G631">
            <v>134</v>
          </cell>
          <cell r="H631">
            <v>289</v>
          </cell>
          <cell r="I631">
            <v>119</v>
          </cell>
          <cell r="J631">
            <v>131</v>
          </cell>
          <cell r="K631">
            <v>92</v>
          </cell>
          <cell r="L631">
            <v>131</v>
          </cell>
          <cell r="M631">
            <v>92</v>
          </cell>
          <cell r="N631">
            <v>0</v>
          </cell>
          <cell r="O631">
            <v>11</v>
          </cell>
          <cell r="P631">
            <v>0</v>
          </cell>
          <cell r="Q631">
            <v>11</v>
          </cell>
          <cell r="R631">
            <v>0</v>
          </cell>
          <cell r="S631">
            <v>11</v>
          </cell>
          <cell r="T631">
            <v>0</v>
          </cell>
          <cell r="U631">
            <v>11</v>
          </cell>
          <cell r="V631">
            <v>407</v>
          </cell>
          <cell r="W631">
            <v>145</v>
          </cell>
          <cell r="X631">
            <v>359</v>
          </cell>
          <cell r="Y631">
            <v>141</v>
          </cell>
          <cell r="Z631">
            <v>0</v>
          </cell>
          <cell r="AA631">
            <v>11</v>
          </cell>
          <cell r="AB631">
            <v>44</v>
          </cell>
          <cell r="AC631">
            <v>31</v>
          </cell>
          <cell r="AD631">
            <v>0</v>
          </cell>
          <cell r="AE631">
            <v>11</v>
          </cell>
          <cell r="AF631">
            <v>4</v>
          </cell>
          <cell r="AG631">
            <v>9</v>
          </cell>
          <cell r="AH631">
            <v>0</v>
          </cell>
          <cell r="AI631">
            <v>11</v>
          </cell>
          <cell r="AJ631">
            <v>0</v>
          </cell>
          <cell r="AK631">
            <v>11</v>
          </cell>
          <cell r="AL631">
            <v>0</v>
          </cell>
          <cell r="AM631">
            <v>11</v>
          </cell>
          <cell r="AN631">
            <v>65</v>
          </cell>
          <cell r="AO631">
            <v>45</v>
          </cell>
          <cell r="AP631">
            <v>0</v>
          </cell>
          <cell r="AQ631">
            <v>11</v>
          </cell>
          <cell r="AR631">
            <v>24</v>
          </cell>
          <cell r="AS631">
            <v>28</v>
          </cell>
        </row>
        <row r="632">
          <cell r="B632">
            <v>17031691200</v>
          </cell>
          <cell r="D632">
            <v>1093</v>
          </cell>
          <cell r="E632">
            <v>293</v>
          </cell>
          <cell r="F632">
            <v>507</v>
          </cell>
          <cell r="G632">
            <v>183</v>
          </cell>
          <cell r="H632">
            <v>468</v>
          </cell>
          <cell r="I632">
            <v>172</v>
          </cell>
          <cell r="J632">
            <v>39</v>
          </cell>
          <cell r="K632">
            <v>43</v>
          </cell>
          <cell r="L632">
            <v>39</v>
          </cell>
          <cell r="M632">
            <v>43</v>
          </cell>
          <cell r="N632">
            <v>0</v>
          </cell>
          <cell r="O632">
            <v>11</v>
          </cell>
          <cell r="P632">
            <v>0</v>
          </cell>
          <cell r="Q632">
            <v>11</v>
          </cell>
          <cell r="R632">
            <v>0</v>
          </cell>
          <cell r="S632">
            <v>11</v>
          </cell>
          <cell r="T632">
            <v>0</v>
          </cell>
          <cell r="U632">
            <v>11</v>
          </cell>
          <cell r="V632">
            <v>498</v>
          </cell>
          <cell r="W632">
            <v>256</v>
          </cell>
          <cell r="X632">
            <v>386</v>
          </cell>
          <cell r="Y632">
            <v>242</v>
          </cell>
          <cell r="Z632">
            <v>27</v>
          </cell>
          <cell r="AA632">
            <v>44</v>
          </cell>
          <cell r="AB632">
            <v>85</v>
          </cell>
          <cell r="AC632">
            <v>71</v>
          </cell>
          <cell r="AD632">
            <v>0</v>
          </cell>
          <cell r="AE632">
            <v>11</v>
          </cell>
          <cell r="AF632">
            <v>0</v>
          </cell>
          <cell r="AG632">
            <v>11</v>
          </cell>
          <cell r="AH632">
            <v>0</v>
          </cell>
          <cell r="AI632">
            <v>11</v>
          </cell>
          <cell r="AJ632">
            <v>0</v>
          </cell>
          <cell r="AK632">
            <v>11</v>
          </cell>
          <cell r="AL632">
            <v>0</v>
          </cell>
          <cell r="AM632">
            <v>11</v>
          </cell>
          <cell r="AN632">
            <v>11</v>
          </cell>
          <cell r="AO632">
            <v>18</v>
          </cell>
          <cell r="AP632">
            <v>0</v>
          </cell>
          <cell r="AQ632">
            <v>11</v>
          </cell>
          <cell r="AR632">
            <v>77</v>
          </cell>
          <cell r="AS632">
            <v>67</v>
          </cell>
        </row>
        <row r="633">
          <cell r="B633">
            <v>17031691300</v>
          </cell>
          <cell r="D633">
            <v>821</v>
          </cell>
          <cell r="E633">
            <v>175</v>
          </cell>
          <cell r="F633">
            <v>481</v>
          </cell>
          <cell r="G633">
            <v>113</v>
          </cell>
          <cell r="H633">
            <v>481</v>
          </cell>
          <cell r="I633">
            <v>113</v>
          </cell>
          <cell r="J633">
            <v>0</v>
          </cell>
          <cell r="K633">
            <v>11</v>
          </cell>
          <cell r="L633">
            <v>0</v>
          </cell>
          <cell r="M633">
            <v>11</v>
          </cell>
          <cell r="N633">
            <v>0</v>
          </cell>
          <cell r="O633">
            <v>11</v>
          </cell>
          <cell r="P633">
            <v>0</v>
          </cell>
          <cell r="Q633">
            <v>11</v>
          </cell>
          <cell r="R633">
            <v>0</v>
          </cell>
          <cell r="S633">
            <v>11</v>
          </cell>
          <cell r="T633">
            <v>0</v>
          </cell>
          <cell r="U633">
            <v>11</v>
          </cell>
          <cell r="V633">
            <v>290</v>
          </cell>
          <cell r="W633">
            <v>96</v>
          </cell>
          <cell r="X633">
            <v>158</v>
          </cell>
          <cell r="Y633">
            <v>72</v>
          </cell>
          <cell r="Z633">
            <v>29</v>
          </cell>
          <cell r="AA633">
            <v>33</v>
          </cell>
          <cell r="AB633">
            <v>84</v>
          </cell>
          <cell r="AC633">
            <v>67</v>
          </cell>
          <cell r="AD633">
            <v>19</v>
          </cell>
          <cell r="AE633">
            <v>35</v>
          </cell>
          <cell r="AF633">
            <v>0</v>
          </cell>
          <cell r="AG633">
            <v>11</v>
          </cell>
          <cell r="AH633">
            <v>0</v>
          </cell>
          <cell r="AI633">
            <v>11</v>
          </cell>
          <cell r="AJ633">
            <v>0</v>
          </cell>
          <cell r="AK633">
            <v>11</v>
          </cell>
          <cell r="AL633">
            <v>0</v>
          </cell>
          <cell r="AM633">
            <v>11</v>
          </cell>
          <cell r="AN633">
            <v>0</v>
          </cell>
          <cell r="AO633">
            <v>11</v>
          </cell>
          <cell r="AP633">
            <v>0</v>
          </cell>
          <cell r="AQ633">
            <v>11</v>
          </cell>
          <cell r="AR633">
            <v>50</v>
          </cell>
          <cell r="AS633">
            <v>46</v>
          </cell>
        </row>
        <row r="634">
          <cell r="B634">
            <v>17031691400</v>
          </cell>
          <cell r="D634">
            <v>1083</v>
          </cell>
          <cell r="E634">
            <v>181</v>
          </cell>
          <cell r="F634">
            <v>598</v>
          </cell>
          <cell r="G634">
            <v>142</v>
          </cell>
          <cell r="H634">
            <v>492</v>
          </cell>
          <cell r="I634">
            <v>129</v>
          </cell>
          <cell r="J634">
            <v>106</v>
          </cell>
          <cell r="K634">
            <v>79</v>
          </cell>
          <cell r="L634">
            <v>41</v>
          </cell>
          <cell r="M634">
            <v>56</v>
          </cell>
          <cell r="N634">
            <v>28</v>
          </cell>
          <cell r="O634">
            <v>33</v>
          </cell>
          <cell r="P634">
            <v>37</v>
          </cell>
          <cell r="Q634">
            <v>52</v>
          </cell>
          <cell r="R634">
            <v>0</v>
          </cell>
          <cell r="S634">
            <v>11</v>
          </cell>
          <cell r="T634">
            <v>0</v>
          </cell>
          <cell r="U634">
            <v>11</v>
          </cell>
          <cell r="V634">
            <v>345</v>
          </cell>
          <cell r="W634">
            <v>108</v>
          </cell>
          <cell r="X634">
            <v>232</v>
          </cell>
          <cell r="Y634">
            <v>87</v>
          </cell>
          <cell r="Z634">
            <v>0</v>
          </cell>
          <cell r="AA634">
            <v>11</v>
          </cell>
          <cell r="AB634">
            <v>113</v>
          </cell>
          <cell r="AC634">
            <v>77</v>
          </cell>
          <cell r="AD634">
            <v>0</v>
          </cell>
          <cell r="AE634">
            <v>11</v>
          </cell>
          <cell r="AF634">
            <v>0</v>
          </cell>
          <cell r="AG634">
            <v>11</v>
          </cell>
          <cell r="AH634">
            <v>0</v>
          </cell>
          <cell r="AI634">
            <v>11</v>
          </cell>
          <cell r="AJ634">
            <v>0</v>
          </cell>
          <cell r="AK634">
            <v>11</v>
          </cell>
          <cell r="AL634">
            <v>0</v>
          </cell>
          <cell r="AM634">
            <v>11</v>
          </cell>
          <cell r="AN634">
            <v>22</v>
          </cell>
          <cell r="AO634">
            <v>23</v>
          </cell>
          <cell r="AP634">
            <v>21</v>
          </cell>
          <cell r="AQ634">
            <v>35</v>
          </cell>
          <cell r="AR634">
            <v>97</v>
          </cell>
          <cell r="AS634">
            <v>64</v>
          </cell>
        </row>
        <row r="635">
          <cell r="B635">
            <v>17031691500</v>
          </cell>
          <cell r="D635">
            <v>579</v>
          </cell>
          <cell r="E635">
            <v>121</v>
          </cell>
          <cell r="F635">
            <v>265</v>
          </cell>
          <cell r="G635">
            <v>89</v>
          </cell>
          <cell r="H635">
            <v>231</v>
          </cell>
          <cell r="I635">
            <v>85</v>
          </cell>
          <cell r="J635">
            <v>34</v>
          </cell>
          <cell r="K635">
            <v>34</v>
          </cell>
          <cell r="L635">
            <v>23</v>
          </cell>
          <cell r="M635">
            <v>26</v>
          </cell>
          <cell r="N635">
            <v>11</v>
          </cell>
          <cell r="O635">
            <v>23</v>
          </cell>
          <cell r="P635">
            <v>0</v>
          </cell>
          <cell r="Q635">
            <v>11</v>
          </cell>
          <cell r="R635">
            <v>0</v>
          </cell>
          <cell r="S635">
            <v>11</v>
          </cell>
          <cell r="T635">
            <v>0</v>
          </cell>
          <cell r="U635">
            <v>11</v>
          </cell>
          <cell r="V635">
            <v>289</v>
          </cell>
          <cell r="W635">
            <v>91</v>
          </cell>
          <cell r="X635">
            <v>213</v>
          </cell>
          <cell r="Y635">
            <v>66</v>
          </cell>
          <cell r="Z635">
            <v>0</v>
          </cell>
          <cell r="AA635">
            <v>11</v>
          </cell>
          <cell r="AB635">
            <v>76</v>
          </cell>
          <cell r="AC635">
            <v>56</v>
          </cell>
          <cell r="AD635">
            <v>0</v>
          </cell>
          <cell r="AE635">
            <v>11</v>
          </cell>
          <cell r="AF635">
            <v>0</v>
          </cell>
          <cell r="AG635">
            <v>11</v>
          </cell>
          <cell r="AH635">
            <v>0</v>
          </cell>
          <cell r="AI635">
            <v>11</v>
          </cell>
          <cell r="AJ635">
            <v>0</v>
          </cell>
          <cell r="AK635">
            <v>11</v>
          </cell>
          <cell r="AL635">
            <v>0</v>
          </cell>
          <cell r="AM635">
            <v>11</v>
          </cell>
          <cell r="AN635">
            <v>11</v>
          </cell>
          <cell r="AO635">
            <v>11</v>
          </cell>
          <cell r="AP635">
            <v>0</v>
          </cell>
          <cell r="AQ635">
            <v>11</v>
          </cell>
          <cell r="AR635">
            <v>14</v>
          </cell>
          <cell r="AS635">
            <v>18</v>
          </cell>
        </row>
        <row r="636">
          <cell r="B636">
            <v>17031700100</v>
          </cell>
          <cell r="D636">
            <v>1665</v>
          </cell>
          <cell r="E636">
            <v>251</v>
          </cell>
          <cell r="F636">
            <v>1348</v>
          </cell>
          <cell r="G636">
            <v>258</v>
          </cell>
          <cell r="H636">
            <v>1255</v>
          </cell>
          <cell r="I636">
            <v>261</v>
          </cell>
          <cell r="J636">
            <v>93</v>
          </cell>
          <cell r="K636">
            <v>77</v>
          </cell>
          <cell r="L636">
            <v>93</v>
          </cell>
          <cell r="M636">
            <v>77</v>
          </cell>
          <cell r="N636">
            <v>0</v>
          </cell>
          <cell r="O636">
            <v>11</v>
          </cell>
          <cell r="P636">
            <v>0</v>
          </cell>
          <cell r="Q636">
            <v>11</v>
          </cell>
          <cell r="R636">
            <v>0</v>
          </cell>
          <cell r="S636">
            <v>11</v>
          </cell>
          <cell r="T636">
            <v>0</v>
          </cell>
          <cell r="U636">
            <v>11</v>
          </cell>
          <cell r="V636">
            <v>281</v>
          </cell>
          <cell r="W636">
            <v>106</v>
          </cell>
          <cell r="X636">
            <v>83</v>
          </cell>
          <cell r="Y636">
            <v>72</v>
          </cell>
          <cell r="Z636">
            <v>0</v>
          </cell>
          <cell r="AA636">
            <v>11</v>
          </cell>
          <cell r="AB636">
            <v>162</v>
          </cell>
          <cell r="AC636">
            <v>92</v>
          </cell>
          <cell r="AD636">
            <v>36</v>
          </cell>
          <cell r="AE636">
            <v>30</v>
          </cell>
          <cell r="AF636">
            <v>0</v>
          </cell>
          <cell r="AG636">
            <v>11</v>
          </cell>
          <cell r="AH636">
            <v>0</v>
          </cell>
          <cell r="AI636">
            <v>11</v>
          </cell>
          <cell r="AJ636">
            <v>0</v>
          </cell>
          <cell r="AK636">
            <v>11</v>
          </cell>
          <cell r="AL636">
            <v>0</v>
          </cell>
          <cell r="AM636">
            <v>11</v>
          </cell>
          <cell r="AN636">
            <v>0</v>
          </cell>
          <cell r="AO636">
            <v>11</v>
          </cell>
          <cell r="AP636">
            <v>0</v>
          </cell>
          <cell r="AQ636">
            <v>11</v>
          </cell>
          <cell r="AR636">
            <v>36</v>
          </cell>
          <cell r="AS636">
            <v>41</v>
          </cell>
        </row>
        <row r="637">
          <cell r="B637">
            <v>17031700200</v>
          </cell>
          <cell r="D637">
            <v>2706</v>
          </cell>
          <cell r="E637">
            <v>333</v>
          </cell>
          <cell r="F637">
            <v>2400</v>
          </cell>
          <cell r="G637">
            <v>330</v>
          </cell>
          <cell r="H637">
            <v>1795</v>
          </cell>
          <cell r="I637">
            <v>299</v>
          </cell>
          <cell r="J637">
            <v>605</v>
          </cell>
          <cell r="K637">
            <v>231</v>
          </cell>
          <cell r="L637">
            <v>517</v>
          </cell>
          <cell r="M637">
            <v>217</v>
          </cell>
          <cell r="N637">
            <v>88</v>
          </cell>
          <cell r="O637">
            <v>64</v>
          </cell>
          <cell r="P637">
            <v>0</v>
          </cell>
          <cell r="Q637">
            <v>15</v>
          </cell>
          <cell r="R637">
            <v>0</v>
          </cell>
          <cell r="S637">
            <v>15</v>
          </cell>
          <cell r="T637">
            <v>0</v>
          </cell>
          <cell r="U637">
            <v>15</v>
          </cell>
          <cell r="V637">
            <v>263</v>
          </cell>
          <cell r="W637">
            <v>103</v>
          </cell>
          <cell r="X637">
            <v>107</v>
          </cell>
          <cell r="Y637">
            <v>65</v>
          </cell>
          <cell r="Z637">
            <v>0</v>
          </cell>
          <cell r="AA637">
            <v>15</v>
          </cell>
          <cell r="AB637">
            <v>112</v>
          </cell>
          <cell r="AC637">
            <v>64</v>
          </cell>
          <cell r="AD637">
            <v>44</v>
          </cell>
          <cell r="AE637">
            <v>39</v>
          </cell>
          <cell r="AF637">
            <v>0</v>
          </cell>
          <cell r="AG637">
            <v>15</v>
          </cell>
          <cell r="AH637">
            <v>0</v>
          </cell>
          <cell r="AI637">
            <v>15</v>
          </cell>
          <cell r="AJ637">
            <v>0</v>
          </cell>
          <cell r="AK637">
            <v>15</v>
          </cell>
          <cell r="AL637">
            <v>0</v>
          </cell>
          <cell r="AM637">
            <v>15</v>
          </cell>
          <cell r="AN637">
            <v>8</v>
          </cell>
          <cell r="AO637">
            <v>15</v>
          </cell>
          <cell r="AP637">
            <v>0</v>
          </cell>
          <cell r="AQ637">
            <v>15</v>
          </cell>
          <cell r="AR637">
            <v>35</v>
          </cell>
          <cell r="AS637">
            <v>39</v>
          </cell>
        </row>
        <row r="638">
          <cell r="B638">
            <v>17031700301</v>
          </cell>
          <cell r="D638">
            <v>2510</v>
          </cell>
          <cell r="E638">
            <v>277</v>
          </cell>
          <cell r="F638">
            <v>2227</v>
          </cell>
          <cell r="G638">
            <v>260</v>
          </cell>
          <cell r="H638">
            <v>1798</v>
          </cell>
          <cell r="I638">
            <v>223</v>
          </cell>
          <cell r="J638">
            <v>429</v>
          </cell>
          <cell r="K638">
            <v>172</v>
          </cell>
          <cell r="L638">
            <v>341</v>
          </cell>
          <cell r="M638">
            <v>164</v>
          </cell>
          <cell r="N638">
            <v>83</v>
          </cell>
          <cell r="O638">
            <v>60</v>
          </cell>
          <cell r="P638">
            <v>5</v>
          </cell>
          <cell r="Q638">
            <v>8</v>
          </cell>
          <cell r="R638">
            <v>0</v>
          </cell>
          <cell r="S638">
            <v>15</v>
          </cell>
          <cell r="T638">
            <v>0</v>
          </cell>
          <cell r="U638">
            <v>15</v>
          </cell>
          <cell r="V638">
            <v>233</v>
          </cell>
          <cell r="W638">
            <v>138</v>
          </cell>
          <cell r="X638">
            <v>53</v>
          </cell>
          <cell r="Y638">
            <v>39</v>
          </cell>
          <cell r="Z638">
            <v>0</v>
          </cell>
          <cell r="AA638">
            <v>15</v>
          </cell>
          <cell r="AB638">
            <v>173</v>
          </cell>
          <cell r="AC638">
            <v>139</v>
          </cell>
          <cell r="AD638">
            <v>7</v>
          </cell>
          <cell r="AE638">
            <v>13</v>
          </cell>
          <cell r="AF638">
            <v>0</v>
          </cell>
          <cell r="AG638">
            <v>15</v>
          </cell>
          <cell r="AH638">
            <v>0</v>
          </cell>
          <cell r="AI638">
            <v>15</v>
          </cell>
          <cell r="AJ638">
            <v>7</v>
          </cell>
          <cell r="AK638">
            <v>12</v>
          </cell>
          <cell r="AL638">
            <v>0</v>
          </cell>
          <cell r="AM638">
            <v>15</v>
          </cell>
          <cell r="AN638">
            <v>21</v>
          </cell>
          <cell r="AO638">
            <v>26</v>
          </cell>
          <cell r="AP638">
            <v>0</v>
          </cell>
          <cell r="AQ638">
            <v>15</v>
          </cell>
          <cell r="AR638">
            <v>22</v>
          </cell>
          <cell r="AS638">
            <v>21</v>
          </cell>
        </row>
        <row r="639">
          <cell r="B639">
            <v>17031700302</v>
          </cell>
          <cell r="D639">
            <v>2565</v>
          </cell>
          <cell r="E639">
            <v>291</v>
          </cell>
          <cell r="F639">
            <v>2280</v>
          </cell>
          <cell r="G639">
            <v>293</v>
          </cell>
          <cell r="H639">
            <v>1847</v>
          </cell>
          <cell r="I639">
            <v>278</v>
          </cell>
          <cell r="J639">
            <v>433</v>
          </cell>
          <cell r="K639">
            <v>198</v>
          </cell>
          <cell r="L639">
            <v>382</v>
          </cell>
          <cell r="M639">
            <v>187</v>
          </cell>
          <cell r="N639">
            <v>17</v>
          </cell>
          <cell r="O639">
            <v>24</v>
          </cell>
          <cell r="P639">
            <v>34</v>
          </cell>
          <cell r="Q639">
            <v>54</v>
          </cell>
          <cell r="R639">
            <v>0</v>
          </cell>
          <cell r="S639">
            <v>15</v>
          </cell>
          <cell r="T639">
            <v>0</v>
          </cell>
          <cell r="U639">
            <v>15</v>
          </cell>
          <cell r="V639">
            <v>209</v>
          </cell>
          <cell r="W639">
            <v>100</v>
          </cell>
          <cell r="X639">
            <v>67</v>
          </cell>
          <cell r="Y639">
            <v>51</v>
          </cell>
          <cell r="Z639">
            <v>0</v>
          </cell>
          <cell r="AA639">
            <v>15</v>
          </cell>
          <cell r="AB639">
            <v>132</v>
          </cell>
          <cell r="AC639">
            <v>88</v>
          </cell>
          <cell r="AD639">
            <v>10</v>
          </cell>
          <cell r="AE639">
            <v>16</v>
          </cell>
          <cell r="AF639">
            <v>0</v>
          </cell>
          <cell r="AG639">
            <v>15</v>
          </cell>
          <cell r="AH639">
            <v>0</v>
          </cell>
          <cell r="AI639">
            <v>15</v>
          </cell>
          <cell r="AJ639">
            <v>28</v>
          </cell>
          <cell r="AK639">
            <v>43</v>
          </cell>
          <cell r="AL639">
            <v>0</v>
          </cell>
          <cell r="AM639">
            <v>15</v>
          </cell>
          <cell r="AN639">
            <v>30</v>
          </cell>
          <cell r="AO639">
            <v>48</v>
          </cell>
          <cell r="AP639">
            <v>0</v>
          </cell>
          <cell r="AQ639">
            <v>15</v>
          </cell>
          <cell r="AR639">
            <v>18</v>
          </cell>
          <cell r="AS639">
            <v>15</v>
          </cell>
        </row>
        <row r="640">
          <cell r="B640">
            <v>17031700401</v>
          </cell>
          <cell r="D640">
            <v>2926</v>
          </cell>
          <cell r="E640">
            <v>279</v>
          </cell>
          <cell r="F640">
            <v>2318</v>
          </cell>
          <cell r="G640">
            <v>254</v>
          </cell>
          <cell r="H640">
            <v>1947</v>
          </cell>
          <cell r="I640">
            <v>230</v>
          </cell>
          <cell r="J640">
            <v>371</v>
          </cell>
          <cell r="K640">
            <v>155</v>
          </cell>
          <cell r="L640">
            <v>283</v>
          </cell>
          <cell r="M640">
            <v>141</v>
          </cell>
          <cell r="N640">
            <v>16</v>
          </cell>
          <cell r="O640">
            <v>19</v>
          </cell>
          <cell r="P640">
            <v>41</v>
          </cell>
          <cell r="Q640">
            <v>45</v>
          </cell>
          <cell r="R640">
            <v>31</v>
          </cell>
          <cell r="S640">
            <v>36</v>
          </cell>
          <cell r="T640">
            <v>0</v>
          </cell>
          <cell r="U640">
            <v>15</v>
          </cell>
          <cell r="V640">
            <v>493</v>
          </cell>
          <cell r="W640">
            <v>145</v>
          </cell>
          <cell r="X640">
            <v>218</v>
          </cell>
          <cell r="Y640">
            <v>98</v>
          </cell>
          <cell r="Z640">
            <v>0</v>
          </cell>
          <cell r="AA640">
            <v>15</v>
          </cell>
          <cell r="AB640">
            <v>217</v>
          </cell>
          <cell r="AC640">
            <v>106</v>
          </cell>
          <cell r="AD640">
            <v>58</v>
          </cell>
          <cell r="AE640">
            <v>43</v>
          </cell>
          <cell r="AF640">
            <v>0</v>
          </cell>
          <cell r="AG640">
            <v>15</v>
          </cell>
          <cell r="AH640">
            <v>0</v>
          </cell>
          <cell r="AI640">
            <v>15</v>
          </cell>
          <cell r="AJ640">
            <v>0</v>
          </cell>
          <cell r="AK640">
            <v>15</v>
          </cell>
          <cell r="AL640">
            <v>0</v>
          </cell>
          <cell r="AM640">
            <v>15</v>
          </cell>
          <cell r="AN640">
            <v>48</v>
          </cell>
          <cell r="AO640">
            <v>44</v>
          </cell>
          <cell r="AP640">
            <v>7</v>
          </cell>
          <cell r="AQ640">
            <v>12</v>
          </cell>
          <cell r="AR640">
            <v>60</v>
          </cell>
          <cell r="AS640">
            <v>45</v>
          </cell>
        </row>
        <row r="641">
          <cell r="B641">
            <v>17031700402</v>
          </cell>
          <cell r="D641">
            <v>1892</v>
          </cell>
          <cell r="E641">
            <v>236</v>
          </cell>
          <cell r="F641">
            <v>1530</v>
          </cell>
          <cell r="G641">
            <v>250</v>
          </cell>
          <cell r="H641">
            <v>1397</v>
          </cell>
          <cell r="I641">
            <v>259</v>
          </cell>
          <cell r="J641">
            <v>133</v>
          </cell>
          <cell r="K641">
            <v>72</v>
          </cell>
          <cell r="L641">
            <v>122</v>
          </cell>
          <cell r="M641">
            <v>71</v>
          </cell>
          <cell r="N641">
            <v>11</v>
          </cell>
          <cell r="O641">
            <v>17</v>
          </cell>
          <cell r="P641">
            <v>0</v>
          </cell>
          <cell r="Q641">
            <v>11</v>
          </cell>
          <cell r="R641">
            <v>0</v>
          </cell>
          <cell r="S641">
            <v>11</v>
          </cell>
          <cell r="T641">
            <v>0</v>
          </cell>
          <cell r="U641">
            <v>11</v>
          </cell>
          <cell r="V641">
            <v>305</v>
          </cell>
          <cell r="W641">
            <v>123</v>
          </cell>
          <cell r="X641">
            <v>133</v>
          </cell>
          <cell r="Y641">
            <v>80</v>
          </cell>
          <cell r="Z641">
            <v>0</v>
          </cell>
          <cell r="AA641">
            <v>11</v>
          </cell>
          <cell r="AB641">
            <v>124</v>
          </cell>
          <cell r="AC641">
            <v>89</v>
          </cell>
          <cell r="AD641">
            <v>48</v>
          </cell>
          <cell r="AE641">
            <v>37</v>
          </cell>
          <cell r="AF641">
            <v>0</v>
          </cell>
          <cell r="AG641">
            <v>11</v>
          </cell>
          <cell r="AH641">
            <v>0</v>
          </cell>
          <cell r="AI641">
            <v>11</v>
          </cell>
          <cell r="AJ641">
            <v>0</v>
          </cell>
          <cell r="AK641">
            <v>11</v>
          </cell>
          <cell r="AL641">
            <v>0</v>
          </cell>
          <cell r="AM641">
            <v>11</v>
          </cell>
          <cell r="AN641">
            <v>0</v>
          </cell>
          <cell r="AO641">
            <v>11</v>
          </cell>
          <cell r="AP641">
            <v>0</v>
          </cell>
          <cell r="AQ641">
            <v>11</v>
          </cell>
          <cell r="AR641">
            <v>57</v>
          </cell>
          <cell r="AS641">
            <v>38</v>
          </cell>
        </row>
        <row r="642">
          <cell r="B642">
            <v>17031700501</v>
          </cell>
          <cell r="D642">
            <v>3332</v>
          </cell>
          <cell r="E642">
            <v>379</v>
          </cell>
          <cell r="F642">
            <v>2550</v>
          </cell>
          <cell r="G642">
            <v>379</v>
          </cell>
          <cell r="H642">
            <v>2111</v>
          </cell>
          <cell r="I642">
            <v>367</v>
          </cell>
          <cell r="J642">
            <v>439</v>
          </cell>
          <cell r="K642">
            <v>252</v>
          </cell>
          <cell r="L642">
            <v>396</v>
          </cell>
          <cell r="M642">
            <v>249</v>
          </cell>
          <cell r="N642">
            <v>0</v>
          </cell>
          <cell r="O642">
            <v>15</v>
          </cell>
          <cell r="P642">
            <v>0</v>
          </cell>
          <cell r="Q642">
            <v>15</v>
          </cell>
          <cell r="R642">
            <v>43</v>
          </cell>
          <cell r="S642">
            <v>52</v>
          </cell>
          <cell r="T642">
            <v>0</v>
          </cell>
          <cell r="U642">
            <v>15</v>
          </cell>
          <cell r="V642">
            <v>664</v>
          </cell>
          <cell r="W642">
            <v>278</v>
          </cell>
          <cell r="X642">
            <v>506</v>
          </cell>
          <cell r="Y642">
            <v>253</v>
          </cell>
          <cell r="Z642">
            <v>0</v>
          </cell>
          <cell r="AA642">
            <v>15</v>
          </cell>
          <cell r="AB642">
            <v>114</v>
          </cell>
          <cell r="AC642">
            <v>84</v>
          </cell>
          <cell r="AD642">
            <v>44</v>
          </cell>
          <cell r="AE642">
            <v>55</v>
          </cell>
          <cell r="AF642">
            <v>0</v>
          </cell>
          <cell r="AG642">
            <v>15</v>
          </cell>
          <cell r="AH642">
            <v>0</v>
          </cell>
          <cell r="AI642">
            <v>15</v>
          </cell>
          <cell r="AJ642">
            <v>0</v>
          </cell>
          <cell r="AK642">
            <v>15</v>
          </cell>
          <cell r="AL642">
            <v>0</v>
          </cell>
          <cell r="AM642">
            <v>15</v>
          </cell>
          <cell r="AN642">
            <v>23</v>
          </cell>
          <cell r="AO642">
            <v>39</v>
          </cell>
          <cell r="AP642">
            <v>11</v>
          </cell>
          <cell r="AQ642">
            <v>21</v>
          </cell>
          <cell r="AR642">
            <v>84</v>
          </cell>
          <cell r="AS642">
            <v>95</v>
          </cell>
        </row>
        <row r="643">
          <cell r="B643">
            <v>17031700502</v>
          </cell>
          <cell r="D643">
            <v>1367</v>
          </cell>
          <cell r="E643">
            <v>211</v>
          </cell>
          <cell r="F643">
            <v>1044</v>
          </cell>
          <cell r="G643">
            <v>186</v>
          </cell>
          <cell r="H643">
            <v>955</v>
          </cell>
          <cell r="I643">
            <v>183</v>
          </cell>
          <cell r="J643">
            <v>89</v>
          </cell>
          <cell r="K643">
            <v>59</v>
          </cell>
          <cell r="L643">
            <v>83</v>
          </cell>
          <cell r="M643">
            <v>56</v>
          </cell>
          <cell r="N643">
            <v>6</v>
          </cell>
          <cell r="O643">
            <v>13</v>
          </cell>
          <cell r="P643">
            <v>0</v>
          </cell>
          <cell r="Q643">
            <v>11</v>
          </cell>
          <cell r="R643">
            <v>0</v>
          </cell>
          <cell r="S643">
            <v>11</v>
          </cell>
          <cell r="T643">
            <v>0</v>
          </cell>
          <cell r="U643">
            <v>11</v>
          </cell>
          <cell r="V643">
            <v>315</v>
          </cell>
          <cell r="W643">
            <v>128</v>
          </cell>
          <cell r="X643">
            <v>150</v>
          </cell>
          <cell r="Y643">
            <v>117</v>
          </cell>
          <cell r="Z643">
            <v>11</v>
          </cell>
          <cell r="AA643">
            <v>16</v>
          </cell>
          <cell r="AB643">
            <v>92</v>
          </cell>
          <cell r="AC643">
            <v>62</v>
          </cell>
          <cell r="AD643">
            <v>62</v>
          </cell>
          <cell r="AE643">
            <v>38</v>
          </cell>
          <cell r="AF643">
            <v>0</v>
          </cell>
          <cell r="AG643">
            <v>11</v>
          </cell>
          <cell r="AH643">
            <v>0</v>
          </cell>
          <cell r="AI643">
            <v>11</v>
          </cell>
          <cell r="AJ643">
            <v>0</v>
          </cell>
          <cell r="AK643">
            <v>11</v>
          </cell>
          <cell r="AL643">
            <v>0</v>
          </cell>
          <cell r="AM643">
            <v>11</v>
          </cell>
          <cell r="AN643">
            <v>0</v>
          </cell>
          <cell r="AO643">
            <v>11</v>
          </cell>
          <cell r="AP643">
            <v>0</v>
          </cell>
          <cell r="AQ643">
            <v>11</v>
          </cell>
          <cell r="AR643">
            <v>8</v>
          </cell>
          <cell r="AS643">
            <v>12</v>
          </cell>
        </row>
        <row r="644">
          <cell r="B644">
            <v>17031710100</v>
          </cell>
          <cell r="D644">
            <v>317</v>
          </cell>
          <cell r="E644">
            <v>96</v>
          </cell>
          <cell r="F644">
            <v>126</v>
          </cell>
          <cell r="G644">
            <v>57</v>
          </cell>
          <cell r="H644">
            <v>126</v>
          </cell>
          <cell r="I644">
            <v>57</v>
          </cell>
          <cell r="J644">
            <v>0</v>
          </cell>
          <cell r="K644">
            <v>11</v>
          </cell>
          <cell r="L644">
            <v>0</v>
          </cell>
          <cell r="M644">
            <v>11</v>
          </cell>
          <cell r="N644">
            <v>0</v>
          </cell>
          <cell r="O644">
            <v>11</v>
          </cell>
          <cell r="P644">
            <v>0</v>
          </cell>
          <cell r="Q644">
            <v>11</v>
          </cell>
          <cell r="R644">
            <v>0</v>
          </cell>
          <cell r="S644">
            <v>11</v>
          </cell>
          <cell r="T644">
            <v>0</v>
          </cell>
          <cell r="U644">
            <v>11</v>
          </cell>
          <cell r="V644">
            <v>133</v>
          </cell>
          <cell r="W644">
            <v>56</v>
          </cell>
          <cell r="X644">
            <v>117</v>
          </cell>
          <cell r="Y644">
            <v>52</v>
          </cell>
          <cell r="Z644">
            <v>0</v>
          </cell>
          <cell r="AA644">
            <v>11</v>
          </cell>
          <cell r="AB644">
            <v>5</v>
          </cell>
          <cell r="AC644">
            <v>7</v>
          </cell>
          <cell r="AD644">
            <v>11</v>
          </cell>
          <cell r="AE644">
            <v>18</v>
          </cell>
          <cell r="AF644">
            <v>0</v>
          </cell>
          <cell r="AG644">
            <v>11</v>
          </cell>
          <cell r="AH644">
            <v>0</v>
          </cell>
          <cell r="AI644">
            <v>11</v>
          </cell>
          <cell r="AJ644">
            <v>0</v>
          </cell>
          <cell r="AK644">
            <v>11</v>
          </cell>
          <cell r="AL644">
            <v>0</v>
          </cell>
          <cell r="AM644">
            <v>11</v>
          </cell>
          <cell r="AN644">
            <v>31</v>
          </cell>
          <cell r="AO644">
            <v>28</v>
          </cell>
          <cell r="AP644">
            <v>8</v>
          </cell>
          <cell r="AQ644">
            <v>10</v>
          </cell>
          <cell r="AR644">
            <v>19</v>
          </cell>
          <cell r="AS644">
            <v>22</v>
          </cell>
        </row>
        <row r="645">
          <cell r="B645">
            <v>17031710200</v>
          </cell>
          <cell r="D645">
            <v>1592</v>
          </cell>
          <cell r="E645">
            <v>204</v>
          </cell>
          <cell r="F645">
            <v>867</v>
          </cell>
          <cell r="G645">
            <v>178</v>
          </cell>
          <cell r="H645">
            <v>760</v>
          </cell>
          <cell r="I645">
            <v>155</v>
          </cell>
          <cell r="J645">
            <v>107</v>
          </cell>
          <cell r="K645">
            <v>73</v>
          </cell>
          <cell r="L645">
            <v>92</v>
          </cell>
          <cell r="M645">
            <v>76</v>
          </cell>
          <cell r="N645">
            <v>15</v>
          </cell>
          <cell r="O645">
            <v>26</v>
          </cell>
          <cell r="P645">
            <v>0</v>
          </cell>
          <cell r="Q645">
            <v>11</v>
          </cell>
          <cell r="R645">
            <v>0</v>
          </cell>
          <cell r="S645">
            <v>11</v>
          </cell>
          <cell r="T645">
            <v>0</v>
          </cell>
          <cell r="U645">
            <v>11</v>
          </cell>
          <cell r="V645">
            <v>604</v>
          </cell>
          <cell r="W645">
            <v>145</v>
          </cell>
          <cell r="X645">
            <v>461</v>
          </cell>
          <cell r="Y645">
            <v>139</v>
          </cell>
          <cell r="Z645">
            <v>0</v>
          </cell>
          <cell r="AA645">
            <v>11</v>
          </cell>
          <cell r="AB645">
            <v>125</v>
          </cell>
          <cell r="AC645">
            <v>73</v>
          </cell>
          <cell r="AD645">
            <v>18</v>
          </cell>
          <cell r="AE645">
            <v>29</v>
          </cell>
          <cell r="AF645">
            <v>0</v>
          </cell>
          <cell r="AG645">
            <v>11</v>
          </cell>
          <cell r="AH645">
            <v>0</v>
          </cell>
          <cell r="AI645">
            <v>11</v>
          </cell>
          <cell r="AJ645">
            <v>0</v>
          </cell>
          <cell r="AK645">
            <v>11</v>
          </cell>
          <cell r="AL645">
            <v>0</v>
          </cell>
          <cell r="AM645">
            <v>11</v>
          </cell>
          <cell r="AN645">
            <v>75</v>
          </cell>
          <cell r="AO645">
            <v>70</v>
          </cell>
          <cell r="AP645">
            <v>26</v>
          </cell>
          <cell r="AQ645">
            <v>40</v>
          </cell>
          <cell r="AR645">
            <v>20</v>
          </cell>
          <cell r="AS645">
            <v>32</v>
          </cell>
        </row>
        <row r="646">
          <cell r="B646">
            <v>17031710300</v>
          </cell>
          <cell r="D646">
            <v>352</v>
          </cell>
          <cell r="E646">
            <v>101</v>
          </cell>
          <cell r="F646">
            <v>184</v>
          </cell>
          <cell r="G646">
            <v>67</v>
          </cell>
          <cell r="H646">
            <v>168</v>
          </cell>
          <cell r="I646">
            <v>64</v>
          </cell>
          <cell r="J646">
            <v>16</v>
          </cell>
          <cell r="K646">
            <v>16</v>
          </cell>
          <cell r="L646">
            <v>16</v>
          </cell>
          <cell r="M646">
            <v>16</v>
          </cell>
          <cell r="N646">
            <v>0</v>
          </cell>
          <cell r="O646">
            <v>11</v>
          </cell>
          <cell r="P646">
            <v>0</v>
          </cell>
          <cell r="Q646">
            <v>11</v>
          </cell>
          <cell r="R646">
            <v>0</v>
          </cell>
          <cell r="S646">
            <v>11</v>
          </cell>
          <cell r="T646">
            <v>0</v>
          </cell>
          <cell r="U646">
            <v>11</v>
          </cell>
          <cell r="V646">
            <v>129</v>
          </cell>
          <cell r="W646">
            <v>61</v>
          </cell>
          <cell r="X646">
            <v>96</v>
          </cell>
          <cell r="Y646">
            <v>49</v>
          </cell>
          <cell r="Z646">
            <v>0</v>
          </cell>
          <cell r="AA646">
            <v>11</v>
          </cell>
          <cell r="AB646">
            <v>33</v>
          </cell>
          <cell r="AC646">
            <v>30</v>
          </cell>
          <cell r="AD646">
            <v>0</v>
          </cell>
          <cell r="AE646">
            <v>11</v>
          </cell>
          <cell r="AF646">
            <v>0</v>
          </cell>
          <cell r="AG646">
            <v>11</v>
          </cell>
          <cell r="AH646">
            <v>0</v>
          </cell>
          <cell r="AI646">
            <v>11</v>
          </cell>
          <cell r="AJ646">
            <v>0</v>
          </cell>
          <cell r="AK646">
            <v>11</v>
          </cell>
          <cell r="AL646">
            <v>0</v>
          </cell>
          <cell r="AM646">
            <v>11</v>
          </cell>
          <cell r="AN646">
            <v>19</v>
          </cell>
          <cell r="AO646">
            <v>30</v>
          </cell>
          <cell r="AP646">
            <v>8</v>
          </cell>
          <cell r="AQ646">
            <v>13</v>
          </cell>
          <cell r="AR646">
            <v>12</v>
          </cell>
          <cell r="AS646">
            <v>13</v>
          </cell>
        </row>
        <row r="647">
          <cell r="B647">
            <v>17031710400</v>
          </cell>
          <cell r="D647">
            <v>1702</v>
          </cell>
          <cell r="E647">
            <v>243</v>
          </cell>
          <cell r="F647">
            <v>1248</v>
          </cell>
          <cell r="G647">
            <v>231</v>
          </cell>
          <cell r="H647">
            <v>1152</v>
          </cell>
          <cell r="I647">
            <v>232</v>
          </cell>
          <cell r="J647">
            <v>96</v>
          </cell>
          <cell r="K647">
            <v>62</v>
          </cell>
          <cell r="L647">
            <v>69</v>
          </cell>
          <cell r="M647">
            <v>52</v>
          </cell>
          <cell r="N647">
            <v>27</v>
          </cell>
          <cell r="O647">
            <v>29</v>
          </cell>
          <cell r="P647">
            <v>0</v>
          </cell>
          <cell r="Q647">
            <v>15</v>
          </cell>
          <cell r="R647">
            <v>0</v>
          </cell>
          <cell r="S647">
            <v>15</v>
          </cell>
          <cell r="T647">
            <v>0</v>
          </cell>
          <cell r="U647">
            <v>15</v>
          </cell>
          <cell r="V647">
            <v>384</v>
          </cell>
          <cell r="W647">
            <v>135</v>
          </cell>
          <cell r="X647">
            <v>287</v>
          </cell>
          <cell r="Y647">
            <v>95</v>
          </cell>
          <cell r="Z647">
            <v>0</v>
          </cell>
          <cell r="AA647">
            <v>15</v>
          </cell>
          <cell r="AB647">
            <v>67</v>
          </cell>
          <cell r="AC647">
            <v>91</v>
          </cell>
          <cell r="AD647">
            <v>30</v>
          </cell>
          <cell r="AE647">
            <v>46</v>
          </cell>
          <cell r="AF647">
            <v>0</v>
          </cell>
          <cell r="AG647">
            <v>15</v>
          </cell>
          <cell r="AH647">
            <v>0</v>
          </cell>
          <cell r="AI647">
            <v>15</v>
          </cell>
          <cell r="AJ647">
            <v>0</v>
          </cell>
          <cell r="AK647">
            <v>15</v>
          </cell>
          <cell r="AL647">
            <v>0</v>
          </cell>
          <cell r="AM647">
            <v>15</v>
          </cell>
          <cell r="AN647">
            <v>8</v>
          </cell>
          <cell r="AO647">
            <v>13</v>
          </cell>
          <cell r="AP647">
            <v>0</v>
          </cell>
          <cell r="AQ647">
            <v>15</v>
          </cell>
          <cell r="AR647">
            <v>62</v>
          </cell>
          <cell r="AS647">
            <v>53</v>
          </cell>
        </row>
        <row r="648">
          <cell r="B648">
            <v>17031710500</v>
          </cell>
          <cell r="D648">
            <v>1369</v>
          </cell>
          <cell r="E648">
            <v>226</v>
          </cell>
          <cell r="F648">
            <v>790</v>
          </cell>
          <cell r="G648">
            <v>195</v>
          </cell>
          <cell r="H648">
            <v>748</v>
          </cell>
          <cell r="I648">
            <v>190</v>
          </cell>
          <cell r="J648">
            <v>42</v>
          </cell>
          <cell r="K648">
            <v>51</v>
          </cell>
          <cell r="L648">
            <v>34</v>
          </cell>
          <cell r="M648">
            <v>50</v>
          </cell>
          <cell r="N648">
            <v>8</v>
          </cell>
          <cell r="O648">
            <v>15</v>
          </cell>
          <cell r="P648">
            <v>0</v>
          </cell>
          <cell r="Q648">
            <v>11</v>
          </cell>
          <cell r="R648">
            <v>0</v>
          </cell>
          <cell r="S648">
            <v>11</v>
          </cell>
          <cell r="T648">
            <v>0</v>
          </cell>
          <cell r="U648">
            <v>11</v>
          </cell>
          <cell r="V648">
            <v>494</v>
          </cell>
          <cell r="W648">
            <v>146</v>
          </cell>
          <cell r="X648">
            <v>375</v>
          </cell>
          <cell r="Y648">
            <v>131</v>
          </cell>
          <cell r="Z648">
            <v>15</v>
          </cell>
          <cell r="AA648">
            <v>23</v>
          </cell>
          <cell r="AB648">
            <v>104</v>
          </cell>
          <cell r="AC648">
            <v>63</v>
          </cell>
          <cell r="AD648">
            <v>0</v>
          </cell>
          <cell r="AE648">
            <v>11</v>
          </cell>
          <cell r="AF648">
            <v>0</v>
          </cell>
          <cell r="AG648">
            <v>11</v>
          </cell>
          <cell r="AH648">
            <v>0</v>
          </cell>
          <cell r="AI648">
            <v>11</v>
          </cell>
          <cell r="AJ648">
            <v>0</v>
          </cell>
          <cell r="AK648">
            <v>11</v>
          </cell>
          <cell r="AL648">
            <v>0</v>
          </cell>
          <cell r="AM648">
            <v>11</v>
          </cell>
          <cell r="AN648">
            <v>0</v>
          </cell>
          <cell r="AO648">
            <v>11</v>
          </cell>
          <cell r="AP648">
            <v>28</v>
          </cell>
          <cell r="AQ648">
            <v>33</v>
          </cell>
          <cell r="AR648">
            <v>57</v>
          </cell>
          <cell r="AS648">
            <v>40</v>
          </cell>
        </row>
        <row r="649">
          <cell r="B649">
            <v>17031710600</v>
          </cell>
          <cell r="D649">
            <v>497</v>
          </cell>
          <cell r="E649">
            <v>108</v>
          </cell>
          <cell r="F649">
            <v>363</v>
          </cell>
          <cell r="G649">
            <v>108</v>
          </cell>
          <cell r="H649">
            <v>274</v>
          </cell>
          <cell r="I649">
            <v>88</v>
          </cell>
          <cell r="J649">
            <v>89</v>
          </cell>
          <cell r="K649">
            <v>59</v>
          </cell>
          <cell r="L649">
            <v>89</v>
          </cell>
          <cell r="M649">
            <v>59</v>
          </cell>
          <cell r="N649">
            <v>0</v>
          </cell>
          <cell r="O649">
            <v>11</v>
          </cell>
          <cell r="P649">
            <v>0</v>
          </cell>
          <cell r="Q649">
            <v>11</v>
          </cell>
          <cell r="R649">
            <v>0</v>
          </cell>
          <cell r="S649">
            <v>11</v>
          </cell>
          <cell r="T649">
            <v>0</v>
          </cell>
          <cell r="U649">
            <v>11</v>
          </cell>
          <cell r="V649">
            <v>101</v>
          </cell>
          <cell r="W649">
            <v>44</v>
          </cell>
          <cell r="X649">
            <v>87</v>
          </cell>
          <cell r="Y649">
            <v>40</v>
          </cell>
          <cell r="Z649">
            <v>0</v>
          </cell>
          <cell r="AA649">
            <v>11</v>
          </cell>
          <cell r="AB649">
            <v>0</v>
          </cell>
          <cell r="AC649">
            <v>11</v>
          </cell>
          <cell r="AD649">
            <v>14</v>
          </cell>
          <cell r="AE649">
            <v>19</v>
          </cell>
          <cell r="AF649">
            <v>0</v>
          </cell>
          <cell r="AG649">
            <v>11</v>
          </cell>
          <cell r="AH649">
            <v>0</v>
          </cell>
          <cell r="AI649">
            <v>11</v>
          </cell>
          <cell r="AJ649">
            <v>0</v>
          </cell>
          <cell r="AK649">
            <v>11</v>
          </cell>
          <cell r="AL649">
            <v>0</v>
          </cell>
          <cell r="AM649">
            <v>11</v>
          </cell>
          <cell r="AN649">
            <v>0</v>
          </cell>
          <cell r="AO649">
            <v>11</v>
          </cell>
          <cell r="AP649">
            <v>0</v>
          </cell>
          <cell r="AQ649">
            <v>11</v>
          </cell>
          <cell r="AR649">
            <v>33</v>
          </cell>
          <cell r="AS649">
            <v>32</v>
          </cell>
        </row>
        <row r="650">
          <cell r="B650">
            <v>17031710700</v>
          </cell>
          <cell r="D650">
            <v>1033</v>
          </cell>
          <cell r="E650">
            <v>232</v>
          </cell>
          <cell r="F650">
            <v>634</v>
          </cell>
          <cell r="G650">
            <v>202</v>
          </cell>
          <cell r="H650">
            <v>625</v>
          </cell>
          <cell r="I650">
            <v>203</v>
          </cell>
          <cell r="J650">
            <v>9</v>
          </cell>
          <cell r="K650">
            <v>13</v>
          </cell>
          <cell r="L650">
            <v>9</v>
          </cell>
          <cell r="M650">
            <v>13</v>
          </cell>
          <cell r="N650">
            <v>0</v>
          </cell>
          <cell r="O650">
            <v>11</v>
          </cell>
          <cell r="P650">
            <v>0</v>
          </cell>
          <cell r="Q650">
            <v>11</v>
          </cell>
          <cell r="R650">
            <v>0</v>
          </cell>
          <cell r="S650">
            <v>11</v>
          </cell>
          <cell r="T650">
            <v>0</v>
          </cell>
          <cell r="U650">
            <v>11</v>
          </cell>
          <cell r="V650">
            <v>323</v>
          </cell>
          <cell r="W650">
            <v>139</v>
          </cell>
          <cell r="X650">
            <v>166</v>
          </cell>
          <cell r="Y650">
            <v>120</v>
          </cell>
          <cell r="Z650">
            <v>0</v>
          </cell>
          <cell r="AA650">
            <v>11</v>
          </cell>
          <cell r="AB650">
            <v>141</v>
          </cell>
          <cell r="AC650">
            <v>100</v>
          </cell>
          <cell r="AD650">
            <v>16</v>
          </cell>
          <cell r="AE650">
            <v>22</v>
          </cell>
          <cell r="AF650">
            <v>0</v>
          </cell>
          <cell r="AG650">
            <v>11</v>
          </cell>
          <cell r="AH650">
            <v>0</v>
          </cell>
          <cell r="AI650">
            <v>11</v>
          </cell>
          <cell r="AJ650">
            <v>0</v>
          </cell>
          <cell r="AK650">
            <v>11</v>
          </cell>
          <cell r="AL650">
            <v>0</v>
          </cell>
          <cell r="AM650">
            <v>11</v>
          </cell>
          <cell r="AN650">
            <v>29</v>
          </cell>
          <cell r="AO650">
            <v>46</v>
          </cell>
          <cell r="AP650">
            <v>0</v>
          </cell>
          <cell r="AQ650">
            <v>11</v>
          </cell>
          <cell r="AR650">
            <v>47</v>
          </cell>
          <cell r="AS650">
            <v>39</v>
          </cell>
        </row>
        <row r="651">
          <cell r="B651">
            <v>17031710800</v>
          </cell>
          <cell r="D651">
            <v>1857</v>
          </cell>
          <cell r="E651">
            <v>419</v>
          </cell>
          <cell r="F651">
            <v>1238</v>
          </cell>
          <cell r="G651">
            <v>300</v>
          </cell>
          <cell r="H651">
            <v>1155</v>
          </cell>
          <cell r="I651">
            <v>291</v>
          </cell>
          <cell r="J651">
            <v>83</v>
          </cell>
          <cell r="K651">
            <v>88</v>
          </cell>
          <cell r="L651">
            <v>83</v>
          </cell>
          <cell r="M651">
            <v>88</v>
          </cell>
          <cell r="N651">
            <v>0</v>
          </cell>
          <cell r="O651">
            <v>11</v>
          </cell>
          <cell r="P651">
            <v>0</v>
          </cell>
          <cell r="Q651">
            <v>11</v>
          </cell>
          <cell r="R651">
            <v>0</v>
          </cell>
          <cell r="S651">
            <v>11</v>
          </cell>
          <cell r="T651">
            <v>0</v>
          </cell>
          <cell r="U651">
            <v>11</v>
          </cell>
          <cell r="V651">
            <v>417</v>
          </cell>
          <cell r="W651">
            <v>185</v>
          </cell>
          <cell r="X651">
            <v>381</v>
          </cell>
          <cell r="Y651">
            <v>179</v>
          </cell>
          <cell r="Z651">
            <v>0</v>
          </cell>
          <cell r="AA651">
            <v>11</v>
          </cell>
          <cell r="AB651">
            <v>36</v>
          </cell>
          <cell r="AC651">
            <v>61</v>
          </cell>
          <cell r="AD651">
            <v>0</v>
          </cell>
          <cell r="AE651">
            <v>11</v>
          </cell>
          <cell r="AF651">
            <v>0</v>
          </cell>
          <cell r="AG651">
            <v>11</v>
          </cell>
          <cell r="AH651">
            <v>0</v>
          </cell>
          <cell r="AI651">
            <v>11</v>
          </cell>
          <cell r="AJ651">
            <v>0</v>
          </cell>
          <cell r="AK651">
            <v>11</v>
          </cell>
          <cell r="AL651">
            <v>0</v>
          </cell>
          <cell r="AM651">
            <v>11</v>
          </cell>
          <cell r="AN651">
            <v>56</v>
          </cell>
          <cell r="AO651">
            <v>69</v>
          </cell>
          <cell r="AP651">
            <v>21</v>
          </cell>
          <cell r="AQ651">
            <v>72</v>
          </cell>
          <cell r="AR651">
            <v>125</v>
          </cell>
          <cell r="AS651">
            <v>167</v>
          </cell>
        </row>
        <row r="652">
          <cell r="B652">
            <v>17031710900</v>
          </cell>
          <cell r="D652">
            <v>545</v>
          </cell>
          <cell r="E652">
            <v>94</v>
          </cell>
          <cell r="F652">
            <v>342</v>
          </cell>
          <cell r="G652">
            <v>74</v>
          </cell>
          <cell r="H652">
            <v>312</v>
          </cell>
          <cell r="I652">
            <v>69</v>
          </cell>
          <cell r="J652">
            <v>30</v>
          </cell>
          <cell r="K652">
            <v>24</v>
          </cell>
          <cell r="L652">
            <v>30</v>
          </cell>
          <cell r="M652">
            <v>24</v>
          </cell>
          <cell r="N652">
            <v>0</v>
          </cell>
          <cell r="O652">
            <v>11</v>
          </cell>
          <cell r="P652">
            <v>0</v>
          </cell>
          <cell r="Q652">
            <v>11</v>
          </cell>
          <cell r="R652">
            <v>0</v>
          </cell>
          <cell r="S652">
            <v>11</v>
          </cell>
          <cell r="T652">
            <v>0</v>
          </cell>
          <cell r="U652">
            <v>11</v>
          </cell>
          <cell r="V652">
            <v>186</v>
          </cell>
          <cell r="W652">
            <v>65</v>
          </cell>
          <cell r="X652">
            <v>138</v>
          </cell>
          <cell r="Y652">
            <v>54</v>
          </cell>
          <cell r="Z652">
            <v>0</v>
          </cell>
          <cell r="AA652">
            <v>11</v>
          </cell>
          <cell r="AB652">
            <v>48</v>
          </cell>
          <cell r="AC652">
            <v>33</v>
          </cell>
          <cell r="AD652">
            <v>0</v>
          </cell>
          <cell r="AE652">
            <v>11</v>
          </cell>
          <cell r="AF652">
            <v>0</v>
          </cell>
          <cell r="AG652">
            <v>11</v>
          </cell>
          <cell r="AH652">
            <v>0</v>
          </cell>
          <cell r="AI652">
            <v>11</v>
          </cell>
          <cell r="AJ652">
            <v>0</v>
          </cell>
          <cell r="AK652">
            <v>11</v>
          </cell>
          <cell r="AL652">
            <v>0</v>
          </cell>
          <cell r="AM652">
            <v>11</v>
          </cell>
          <cell r="AN652">
            <v>0</v>
          </cell>
          <cell r="AO652">
            <v>11</v>
          </cell>
          <cell r="AP652">
            <v>6</v>
          </cell>
          <cell r="AQ652">
            <v>9</v>
          </cell>
          <cell r="AR652">
            <v>11</v>
          </cell>
          <cell r="AS652">
            <v>19</v>
          </cell>
        </row>
        <row r="653">
          <cell r="B653">
            <v>17031711000</v>
          </cell>
          <cell r="D653">
            <v>1051</v>
          </cell>
          <cell r="E653">
            <v>230</v>
          </cell>
          <cell r="F653">
            <v>505</v>
          </cell>
          <cell r="G653">
            <v>145</v>
          </cell>
          <cell r="H653">
            <v>439</v>
          </cell>
          <cell r="I653">
            <v>137</v>
          </cell>
          <cell r="J653">
            <v>66</v>
          </cell>
          <cell r="K653">
            <v>53</v>
          </cell>
          <cell r="L653">
            <v>66</v>
          </cell>
          <cell r="M653">
            <v>53</v>
          </cell>
          <cell r="N653">
            <v>0</v>
          </cell>
          <cell r="O653">
            <v>11</v>
          </cell>
          <cell r="P653">
            <v>0</v>
          </cell>
          <cell r="Q653">
            <v>11</v>
          </cell>
          <cell r="R653">
            <v>0</v>
          </cell>
          <cell r="S653">
            <v>11</v>
          </cell>
          <cell r="T653">
            <v>0</v>
          </cell>
          <cell r="U653">
            <v>11</v>
          </cell>
          <cell r="V653">
            <v>454</v>
          </cell>
          <cell r="W653">
            <v>145</v>
          </cell>
          <cell r="X653">
            <v>373</v>
          </cell>
          <cell r="Y653">
            <v>135</v>
          </cell>
          <cell r="Z653">
            <v>0</v>
          </cell>
          <cell r="AA653">
            <v>11</v>
          </cell>
          <cell r="AB653">
            <v>60</v>
          </cell>
          <cell r="AC653">
            <v>61</v>
          </cell>
          <cell r="AD653">
            <v>21</v>
          </cell>
          <cell r="AE653">
            <v>32</v>
          </cell>
          <cell r="AF653">
            <v>0</v>
          </cell>
          <cell r="AG653">
            <v>11</v>
          </cell>
          <cell r="AH653">
            <v>0</v>
          </cell>
          <cell r="AI653">
            <v>11</v>
          </cell>
          <cell r="AJ653">
            <v>0</v>
          </cell>
          <cell r="AK653">
            <v>11</v>
          </cell>
          <cell r="AL653">
            <v>0</v>
          </cell>
          <cell r="AM653">
            <v>11</v>
          </cell>
          <cell r="AN653">
            <v>30</v>
          </cell>
          <cell r="AO653">
            <v>39</v>
          </cell>
          <cell r="AP653">
            <v>6</v>
          </cell>
          <cell r="AQ653">
            <v>17</v>
          </cell>
          <cell r="AR653">
            <v>56</v>
          </cell>
          <cell r="AS653">
            <v>40</v>
          </cell>
        </row>
        <row r="654">
          <cell r="B654">
            <v>17031711100</v>
          </cell>
          <cell r="D654">
            <v>1015</v>
          </cell>
          <cell r="E654">
            <v>185</v>
          </cell>
          <cell r="F654">
            <v>749</v>
          </cell>
          <cell r="G654">
            <v>176</v>
          </cell>
          <cell r="H654">
            <v>679</v>
          </cell>
          <cell r="I654">
            <v>180</v>
          </cell>
          <cell r="J654">
            <v>70</v>
          </cell>
          <cell r="K654">
            <v>56</v>
          </cell>
          <cell r="L654">
            <v>70</v>
          </cell>
          <cell r="M654">
            <v>56</v>
          </cell>
          <cell r="N654">
            <v>0</v>
          </cell>
          <cell r="O654">
            <v>11</v>
          </cell>
          <cell r="P654">
            <v>0</v>
          </cell>
          <cell r="Q654">
            <v>11</v>
          </cell>
          <cell r="R654">
            <v>0</v>
          </cell>
          <cell r="S654">
            <v>11</v>
          </cell>
          <cell r="T654">
            <v>0</v>
          </cell>
          <cell r="U654">
            <v>11</v>
          </cell>
          <cell r="V654">
            <v>259</v>
          </cell>
          <cell r="W654">
            <v>87</v>
          </cell>
          <cell r="X654">
            <v>154</v>
          </cell>
          <cell r="Y654">
            <v>70</v>
          </cell>
          <cell r="Z654">
            <v>0</v>
          </cell>
          <cell r="AA654">
            <v>11</v>
          </cell>
          <cell r="AB654">
            <v>44</v>
          </cell>
          <cell r="AC654">
            <v>49</v>
          </cell>
          <cell r="AD654">
            <v>61</v>
          </cell>
          <cell r="AE654">
            <v>67</v>
          </cell>
          <cell r="AF654">
            <v>0</v>
          </cell>
          <cell r="AG654">
            <v>11</v>
          </cell>
          <cell r="AH654">
            <v>0</v>
          </cell>
          <cell r="AI654">
            <v>11</v>
          </cell>
          <cell r="AJ654">
            <v>0</v>
          </cell>
          <cell r="AK654">
            <v>11</v>
          </cell>
          <cell r="AL654">
            <v>0</v>
          </cell>
          <cell r="AM654">
            <v>11</v>
          </cell>
          <cell r="AN654">
            <v>0</v>
          </cell>
          <cell r="AO654">
            <v>11</v>
          </cell>
          <cell r="AP654">
            <v>0</v>
          </cell>
          <cell r="AQ654">
            <v>11</v>
          </cell>
          <cell r="AR654">
            <v>7</v>
          </cell>
          <cell r="AS654">
            <v>13</v>
          </cell>
        </row>
        <row r="655">
          <cell r="B655">
            <v>17031711200</v>
          </cell>
          <cell r="D655">
            <v>2048</v>
          </cell>
          <cell r="E655">
            <v>284</v>
          </cell>
          <cell r="F655">
            <v>1433</v>
          </cell>
          <cell r="G655">
            <v>251</v>
          </cell>
          <cell r="H655">
            <v>1174</v>
          </cell>
          <cell r="I655">
            <v>208</v>
          </cell>
          <cell r="J655">
            <v>259</v>
          </cell>
          <cell r="K655">
            <v>122</v>
          </cell>
          <cell r="L655">
            <v>244</v>
          </cell>
          <cell r="M655">
            <v>118</v>
          </cell>
          <cell r="N655">
            <v>0</v>
          </cell>
          <cell r="O655">
            <v>15</v>
          </cell>
          <cell r="P655">
            <v>15</v>
          </cell>
          <cell r="Q655">
            <v>25</v>
          </cell>
          <cell r="R655">
            <v>0</v>
          </cell>
          <cell r="S655">
            <v>15</v>
          </cell>
          <cell r="T655">
            <v>0</v>
          </cell>
          <cell r="U655">
            <v>15</v>
          </cell>
          <cell r="V655">
            <v>510</v>
          </cell>
          <cell r="W655">
            <v>169</v>
          </cell>
          <cell r="X655">
            <v>426</v>
          </cell>
          <cell r="Y655">
            <v>160</v>
          </cell>
          <cell r="Z655">
            <v>0</v>
          </cell>
          <cell r="AA655">
            <v>15</v>
          </cell>
          <cell r="AB655">
            <v>84</v>
          </cell>
          <cell r="AC655">
            <v>61</v>
          </cell>
          <cell r="AD655">
            <v>0</v>
          </cell>
          <cell r="AE655">
            <v>15</v>
          </cell>
          <cell r="AF655">
            <v>0</v>
          </cell>
          <cell r="AG655">
            <v>15</v>
          </cell>
          <cell r="AH655">
            <v>0</v>
          </cell>
          <cell r="AI655">
            <v>15</v>
          </cell>
          <cell r="AJ655">
            <v>0</v>
          </cell>
          <cell r="AK655">
            <v>15</v>
          </cell>
          <cell r="AL655">
            <v>7</v>
          </cell>
          <cell r="AM655">
            <v>10</v>
          </cell>
          <cell r="AN655">
            <v>0</v>
          </cell>
          <cell r="AO655">
            <v>15</v>
          </cell>
          <cell r="AP655">
            <v>0</v>
          </cell>
          <cell r="AQ655">
            <v>15</v>
          </cell>
          <cell r="AR655">
            <v>98</v>
          </cell>
          <cell r="AS655">
            <v>55</v>
          </cell>
        </row>
        <row r="656">
          <cell r="B656">
            <v>17031711300</v>
          </cell>
          <cell r="D656">
            <v>538</v>
          </cell>
          <cell r="E656">
            <v>122</v>
          </cell>
          <cell r="F656">
            <v>412</v>
          </cell>
          <cell r="G656">
            <v>100</v>
          </cell>
          <cell r="H656">
            <v>371</v>
          </cell>
          <cell r="I656">
            <v>93</v>
          </cell>
          <cell r="J656">
            <v>41</v>
          </cell>
          <cell r="K656">
            <v>40</v>
          </cell>
          <cell r="L656">
            <v>41</v>
          </cell>
          <cell r="M656">
            <v>40</v>
          </cell>
          <cell r="N656">
            <v>0</v>
          </cell>
          <cell r="O656">
            <v>11</v>
          </cell>
          <cell r="P656">
            <v>0</v>
          </cell>
          <cell r="Q656">
            <v>11</v>
          </cell>
          <cell r="R656">
            <v>0</v>
          </cell>
          <cell r="S656">
            <v>11</v>
          </cell>
          <cell r="T656">
            <v>0</v>
          </cell>
          <cell r="U656">
            <v>11</v>
          </cell>
          <cell r="V656">
            <v>110</v>
          </cell>
          <cell r="W656">
            <v>63</v>
          </cell>
          <cell r="X656">
            <v>93</v>
          </cell>
          <cell r="Y656">
            <v>56</v>
          </cell>
          <cell r="Z656">
            <v>0</v>
          </cell>
          <cell r="AA656">
            <v>11</v>
          </cell>
          <cell r="AB656">
            <v>17</v>
          </cell>
          <cell r="AC656">
            <v>19</v>
          </cell>
          <cell r="AD656">
            <v>0</v>
          </cell>
          <cell r="AE656">
            <v>11</v>
          </cell>
          <cell r="AF656">
            <v>0</v>
          </cell>
          <cell r="AG656">
            <v>11</v>
          </cell>
          <cell r="AH656">
            <v>0</v>
          </cell>
          <cell r="AI656">
            <v>11</v>
          </cell>
          <cell r="AJ656">
            <v>0</v>
          </cell>
          <cell r="AK656">
            <v>11</v>
          </cell>
          <cell r="AL656">
            <v>0</v>
          </cell>
          <cell r="AM656">
            <v>11</v>
          </cell>
          <cell r="AN656">
            <v>10</v>
          </cell>
          <cell r="AO656">
            <v>22</v>
          </cell>
          <cell r="AP656">
            <v>0</v>
          </cell>
          <cell r="AQ656">
            <v>11</v>
          </cell>
          <cell r="AR656">
            <v>6</v>
          </cell>
          <cell r="AS656">
            <v>11</v>
          </cell>
        </row>
        <row r="657">
          <cell r="B657">
            <v>17031711400</v>
          </cell>
          <cell r="D657">
            <v>713</v>
          </cell>
          <cell r="E657">
            <v>125</v>
          </cell>
          <cell r="F657">
            <v>429</v>
          </cell>
          <cell r="G657">
            <v>92</v>
          </cell>
          <cell r="H657">
            <v>402</v>
          </cell>
          <cell r="I657">
            <v>95</v>
          </cell>
          <cell r="J657">
            <v>27</v>
          </cell>
          <cell r="K657">
            <v>23</v>
          </cell>
          <cell r="L657">
            <v>6</v>
          </cell>
          <cell r="M657">
            <v>8</v>
          </cell>
          <cell r="N657">
            <v>21</v>
          </cell>
          <cell r="O657">
            <v>21</v>
          </cell>
          <cell r="P657">
            <v>0</v>
          </cell>
          <cell r="Q657">
            <v>11</v>
          </cell>
          <cell r="R657">
            <v>0</v>
          </cell>
          <cell r="S657">
            <v>11</v>
          </cell>
          <cell r="T657">
            <v>0</v>
          </cell>
          <cell r="U657">
            <v>11</v>
          </cell>
          <cell r="V657">
            <v>251</v>
          </cell>
          <cell r="W657">
            <v>98</v>
          </cell>
          <cell r="X657">
            <v>145</v>
          </cell>
          <cell r="Y657">
            <v>66</v>
          </cell>
          <cell r="Z657">
            <v>0</v>
          </cell>
          <cell r="AA657">
            <v>11</v>
          </cell>
          <cell r="AB657">
            <v>80</v>
          </cell>
          <cell r="AC657">
            <v>51</v>
          </cell>
          <cell r="AD657">
            <v>26</v>
          </cell>
          <cell r="AE657">
            <v>27</v>
          </cell>
          <cell r="AF657">
            <v>0</v>
          </cell>
          <cell r="AG657">
            <v>11</v>
          </cell>
          <cell r="AH657">
            <v>0</v>
          </cell>
          <cell r="AI657">
            <v>11</v>
          </cell>
          <cell r="AJ657">
            <v>0</v>
          </cell>
          <cell r="AK657">
            <v>11</v>
          </cell>
          <cell r="AL657">
            <v>0</v>
          </cell>
          <cell r="AM657">
            <v>11</v>
          </cell>
          <cell r="AN657">
            <v>0</v>
          </cell>
          <cell r="AO657">
            <v>11</v>
          </cell>
          <cell r="AP657">
            <v>0</v>
          </cell>
          <cell r="AQ657">
            <v>11</v>
          </cell>
          <cell r="AR657">
            <v>33</v>
          </cell>
          <cell r="AS657">
            <v>27</v>
          </cell>
        </row>
        <row r="658">
          <cell r="B658">
            <v>17031711500</v>
          </cell>
          <cell r="D658">
            <v>870</v>
          </cell>
          <cell r="E658">
            <v>139</v>
          </cell>
          <cell r="F658">
            <v>538</v>
          </cell>
          <cell r="G658">
            <v>120</v>
          </cell>
          <cell r="H658">
            <v>513</v>
          </cell>
          <cell r="I658">
            <v>115</v>
          </cell>
          <cell r="J658">
            <v>25</v>
          </cell>
          <cell r="K658">
            <v>19</v>
          </cell>
          <cell r="L658">
            <v>19</v>
          </cell>
          <cell r="M658">
            <v>20</v>
          </cell>
          <cell r="N658">
            <v>6</v>
          </cell>
          <cell r="O658">
            <v>10</v>
          </cell>
          <cell r="P658">
            <v>0</v>
          </cell>
          <cell r="Q658">
            <v>11</v>
          </cell>
          <cell r="R658">
            <v>0</v>
          </cell>
          <cell r="S658">
            <v>11</v>
          </cell>
          <cell r="T658">
            <v>0</v>
          </cell>
          <cell r="U658">
            <v>11</v>
          </cell>
          <cell r="V658">
            <v>283</v>
          </cell>
          <cell r="W658">
            <v>107</v>
          </cell>
          <cell r="X658">
            <v>142</v>
          </cell>
          <cell r="Y658">
            <v>76</v>
          </cell>
          <cell r="Z658">
            <v>0</v>
          </cell>
          <cell r="AA658">
            <v>11</v>
          </cell>
          <cell r="AB658">
            <v>78</v>
          </cell>
          <cell r="AC658">
            <v>56</v>
          </cell>
          <cell r="AD658">
            <v>63</v>
          </cell>
          <cell r="AE658">
            <v>50</v>
          </cell>
          <cell r="AF658">
            <v>0</v>
          </cell>
          <cell r="AG658">
            <v>11</v>
          </cell>
          <cell r="AH658">
            <v>0</v>
          </cell>
          <cell r="AI658">
            <v>11</v>
          </cell>
          <cell r="AJ658">
            <v>0</v>
          </cell>
          <cell r="AK658">
            <v>11</v>
          </cell>
          <cell r="AL658">
            <v>0</v>
          </cell>
          <cell r="AM658">
            <v>11</v>
          </cell>
          <cell r="AN658">
            <v>0</v>
          </cell>
          <cell r="AO658">
            <v>11</v>
          </cell>
          <cell r="AP658">
            <v>0</v>
          </cell>
          <cell r="AQ658">
            <v>11</v>
          </cell>
          <cell r="AR658">
            <v>49</v>
          </cell>
          <cell r="AS658">
            <v>44</v>
          </cell>
        </row>
        <row r="659">
          <cell r="B659">
            <v>17031720100</v>
          </cell>
          <cell r="D659">
            <v>1668</v>
          </cell>
          <cell r="E659">
            <v>213</v>
          </cell>
          <cell r="F659">
            <v>1237</v>
          </cell>
          <cell r="G659">
            <v>201</v>
          </cell>
          <cell r="H659">
            <v>1059</v>
          </cell>
          <cell r="I659">
            <v>206</v>
          </cell>
          <cell r="J659">
            <v>178</v>
          </cell>
          <cell r="K659">
            <v>89</v>
          </cell>
          <cell r="L659">
            <v>178</v>
          </cell>
          <cell r="M659">
            <v>89</v>
          </cell>
          <cell r="N659">
            <v>0</v>
          </cell>
          <cell r="O659">
            <v>11</v>
          </cell>
          <cell r="P659">
            <v>0</v>
          </cell>
          <cell r="Q659">
            <v>11</v>
          </cell>
          <cell r="R659">
            <v>0</v>
          </cell>
          <cell r="S659">
            <v>11</v>
          </cell>
          <cell r="T659">
            <v>0</v>
          </cell>
          <cell r="U659">
            <v>11</v>
          </cell>
          <cell r="V659">
            <v>280</v>
          </cell>
          <cell r="W659">
            <v>77</v>
          </cell>
          <cell r="X659">
            <v>31</v>
          </cell>
          <cell r="Y659">
            <v>31</v>
          </cell>
          <cell r="Z659">
            <v>0</v>
          </cell>
          <cell r="AA659">
            <v>11</v>
          </cell>
          <cell r="AB659">
            <v>2</v>
          </cell>
          <cell r="AC659">
            <v>6</v>
          </cell>
          <cell r="AD659">
            <v>247</v>
          </cell>
          <cell r="AE659">
            <v>65</v>
          </cell>
          <cell r="AF659">
            <v>0</v>
          </cell>
          <cell r="AG659">
            <v>11</v>
          </cell>
          <cell r="AH659">
            <v>0</v>
          </cell>
          <cell r="AI659">
            <v>11</v>
          </cell>
          <cell r="AJ659">
            <v>0</v>
          </cell>
          <cell r="AK659">
            <v>11</v>
          </cell>
          <cell r="AL659">
            <v>0</v>
          </cell>
          <cell r="AM659">
            <v>11</v>
          </cell>
          <cell r="AN659">
            <v>41</v>
          </cell>
          <cell r="AO659">
            <v>45</v>
          </cell>
          <cell r="AP659">
            <v>0</v>
          </cell>
          <cell r="AQ659">
            <v>11</v>
          </cell>
          <cell r="AR659">
            <v>110</v>
          </cell>
          <cell r="AS659">
            <v>57</v>
          </cell>
        </row>
        <row r="660">
          <cell r="B660">
            <v>17031720200</v>
          </cell>
          <cell r="D660">
            <v>1883</v>
          </cell>
          <cell r="E660">
            <v>231</v>
          </cell>
          <cell r="F660">
            <v>1055</v>
          </cell>
          <cell r="G660">
            <v>217</v>
          </cell>
          <cell r="H660">
            <v>984</v>
          </cell>
          <cell r="I660">
            <v>192</v>
          </cell>
          <cell r="J660">
            <v>71</v>
          </cell>
          <cell r="K660">
            <v>66</v>
          </cell>
          <cell r="L660">
            <v>68</v>
          </cell>
          <cell r="M660">
            <v>65</v>
          </cell>
          <cell r="N660">
            <v>0</v>
          </cell>
          <cell r="O660">
            <v>11</v>
          </cell>
          <cell r="P660">
            <v>0</v>
          </cell>
          <cell r="Q660">
            <v>11</v>
          </cell>
          <cell r="R660">
            <v>0</v>
          </cell>
          <cell r="S660">
            <v>11</v>
          </cell>
          <cell r="T660">
            <v>3</v>
          </cell>
          <cell r="U660">
            <v>6</v>
          </cell>
          <cell r="V660">
            <v>655</v>
          </cell>
          <cell r="W660">
            <v>220</v>
          </cell>
          <cell r="X660">
            <v>53</v>
          </cell>
          <cell r="Y660">
            <v>43</v>
          </cell>
          <cell r="Z660">
            <v>0</v>
          </cell>
          <cell r="AA660">
            <v>11</v>
          </cell>
          <cell r="AB660">
            <v>129</v>
          </cell>
          <cell r="AC660">
            <v>134</v>
          </cell>
          <cell r="AD660">
            <v>473</v>
          </cell>
          <cell r="AE660">
            <v>169</v>
          </cell>
          <cell r="AF660">
            <v>0</v>
          </cell>
          <cell r="AG660">
            <v>11</v>
          </cell>
          <cell r="AH660">
            <v>0</v>
          </cell>
          <cell r="AI660">
            <v>11</v>
          </cell>
          <cell r="AJ660">
            <v>0</v>
          </cell>
          <cell r="AK660">
            <v>11</v>
          </cell>
          <cell r="AL660">
            <v>22</v>
          </cell>
          <cell r="AM660">
            <v>24</v>
          </cell>
          <cell r="AN660">
            <v>38</v>
          </cell>
          <cell r="AO660">
            <v>36</v>
          </cell>
          <cell r="AP660">
            <v>10</v>
          </cell>
          <cell r="AQ660">
            <v>17</v>
          </cell>
          <cell r="AR660">
            <v>103</v>
          </cell>
          <cell r="AS660">
            <v>52</v>
          </cell>
        </row>
        <row r="661">
          <cell r="B661">
            <v>17031720300</v>
          </cell>
          <cell r="D661">
            <v>1761</v>
          </cell>
          <cell r="E661">
            <v>203</v>
          </cell>
          <cell r="F661">
            <v>1364</v>
          </cell>
          <cell r="G661">
            <v>193</v>
          </cell>
          <cell r="H661">
            <v>1313</v>
          </cell>
          <cell r="I661">
            <v>194</v>
          </cell>
          <cell r="J661">
            <v>51</v>
          </cell>
          <cell r="K661">
            <v>49</v>
          </cell>
          <cell r="L661">
            <v>51</v>
          </cell>
          <cell r="M661">
            <v>49</v>
          </cell>
          <cell r="N661">
            <v>0</v>
          </cell>
          <cell r="O661">
            <v>11</v>
          </cell>
          <cell r="P661">
            <v>0</v>
          </cell>
          <cell r="Q661">
            <v>11</v>
          </cell>
          <cell r="R661">
            <v>0</v>
          </cell>
          <cell r="S661">
            <v>11</v>
          </cell>
          <cell r="T661">
            <v>0</v>
          </cell>
          <cell r="U661">
            <v>11</v>
          </cell>
          <cell r="V661">
            <v>307</v>
          </cell>
          <cell r="W661">
            <v>94</v>
          </cell>
          <cell r="X661">
            <v>0</v>
          </cell>
          <cell r="Y661">
            <v>11</v>
          </cell>
          <cell r="Z661">
            <v>0</v>
          </cell>
          <cell r="AA661">
            <v>11</v>
          </cell>
          <cell r="AB661">
            <v>26</v>
          </cell>
          <cell r="AC661">
            <v>31</v>
          </cell>
          <cell r="AD661">
            <v>281</v>
          </cell>
          <cell r="AE661">
            <v>91</v>
          </cell>
          <cell r="AF661">
            <v>0</v>
          </cell>
          <cell r="AG661">
            <v>11</v>
          </cell>
          <cell r="AH661">
            <v>0</v>
          </cell>
          <cell r="AI661">
            <v>11</v>
          </cell>
          <cell r="AJ661">
            <v>0</v>
          </cell>
          <cell r="AK661">
            <v>11</v>
          </cell>
          <cell r="AL661">
            <v>0</v>
          </cell>
          <cell r="AM661">
            <v>11</v>
          </cell>
          <cell r="AN661">
            <v>11</v>
          </cell>
          <cell r="AO661">
            <v>18</v>
          </cell>
          <cell r="AP661">
            <v>0</v>
          </cell>
          <cell r="AQ661">
            <v>11</v>
          </cell>
          <cell r="AR661">
            <v>79</v>
          </cell>
          <cell r="AS661">
            <v>52</v>
          </cell>
        </row>
        <row r="662">
          <cell r="B662">
            <v>17031720400</v>
          </cell>
          <cell r="D662">
            <v>964</v>
          </cell>
          <cell r="E662">
            <v>100</v>
          </cell>
          <cell r="F662">
            <v>835</v>
          </cell>
          <cell r="G662">
            <v>108</v>
          </cell>
          <cell r="H662">
            <v>767</v>
          </cell>
          <cell r="I662">
            <v>112</v>
          </cell>
          <cell r="J662">
            <v>68</v>
          </cell>
          <cell r="K662">
            <v>32</v>
          </cell>
          <cell r="L662">
            <v>68</v>
          </cell>
          <cell r="M662">
            <v>32</v>
          </cell>
          <cell r="N662">
            <v>0</v>
          </cell>
          <cell r="O662">
            <v>11</v>
          </cell>
          <cell r="P662">
            <v>0</v>
          </cell>
          <cell r="Q662">
            <v>11</v>
          </cell>
          <cell r="R662">
            <v>0</v>
          </cell>
          <cell r="S662">
            <v>11</v>
          </cell>
          <cell r="T662">
            <v>0</v>
          </cell>
          <cell r="U662">
            <v>11</v>
          </cell>
          <cell r="V662">
            <v>98</v>
          </cell>
          <cell r="W662">
            <v>51</v>
          </cell>
          <cell r="X662">
            <v>34</v>
          </cell>
          <cell r="Y662">
            <v>45</v>
          </cell>
          <cell r="Z662">
            <v>0</v>
          </cell>
          <cell r="AA662">
            <v>11</v>
          </cell>
          <cell r="AB662">
            <v>0</v>
          </cell>
          <cell r="AC662">
            <v>11</v>
          </cell>
          <cell r="AD662">
            <v>64</v>
          </cell>
          <cell r="AE662">
            <v>36</v>
          </cell>
          <cell r="AF662">
            <v>0</v>
          </cell>
          <cell r="AG662">
            <v>11</v>
          </cell>
          <cell r="AH662">
            <v>0</v>
          </cell>
          <cell r="AI662">
            <v>11</v>
          </cell>
          <cell r="AJ662">
            <v>0</v>
          </cell>
          <cell r="AK662">
            <v>11</v>
          </cell>
          <cell r="AL662">
            <v>0</v>
          </cell>
          <cell r="AM662">
            <v>11</v>
          </cell>
          <cell r="AN662">
            <v>14</v>
          </cell>
          <cell r="AO662">
            <v>19</v>
          </cell>
          <cell r="AP662">
            <v>0</v>
          </cell>
          <cell r="AQ662">
            <v>11</v>
          </cell>
          <cell r="AR662">
            <v>17</v>
          </cell>
          <cell r="AS662">
            <v>16</v>
          </cell>
        </row>
        <row r="663">
          <cell r="B663">
            <v>17031720500</v>
          </cell>
          <cell r="D663">
            <v>1116</v>
          </cell>
          <cell r="E663">
            <v>85</v>
          </cell>
          <cell r="F663">
            <v>931</v>
          </cell>
          <cell r="G663">
            <v>85</v>
          </cell>
          <cell r="H663">
            <v>870</v>
          </cell>
          <cell r="I663">
            <v>85</v>
          </cell>
          <cell r="J663">
            <v>61</v>
          </cell>
          <cell r="K663">
            <v>34</v>
          </cell>
          <cell r="L663">
            <v>61</v>
          </cell>
          <cell r="M663">
            <v>34</v>
          </cell>
          <cell r="N663">
            <v>0</v>
          </cell>
          <cell r="O663">
            <v>11</v>
          </cell>
          <cell r="P663">
            <v>0</v>
          </cell>
          <cell r="Q663">
            <v>11</v>
          </cell>
          <cell r="R663">
            <v>0</v>
          </cell>
          <cell r="S663">
            <v>11</v>
          </cell>
          <cell r="T663">
            <v>0</v>
          </cell>
          <cell r="U663">
            <v>11</v>
          </cell>
          <cell r="V663">
            <v>98</v>
          </cell>
          <cell r="W663">
            <v>43</v>
          </cell>
          <cell r="X663">
            <v>0</v>
          </cell>
          <cell r="Y663">
            <v>11</v>
          </cell>
          <cell r="Z663">
            <v>0</v>
          </cell>
          <cell r="AA663">
            <v>11</v>
          </cell>
          <cell r="AB663">
            <v>0</v>
          </cell>
          <cell r="AC663">
            <v>11</v>
          </cell>
          <cell r="AD663">
            <v>98</v>
          </cell>
          <cell r="AE663">
            <v>43</v>
          </cell>
          <cell r="AF663">
            <v>0</v>
          </cell>
          <cell r="AG663">
            <v>11</v>
          </cell>
          <cell r="AH663">
            <v>0</v>
          </cell>
          <cell r="AI663">
            <v>11</v>
          </cell>
          <cell r="AJ663">
            <v>0</v>
          </cell>
          <cell r="AK663">
            <v>11</v>
          </cell>
          <cell r="AL663">
            <v>12</v>
          </cell>
          <cell r="AM663">
            <v>11</v>
          </cell>
          <cell r="AN663">
            <v>41</v>
          </cell>
          <cell r="AO663">
            <v>27</v>
          </cell>
          <cell r="AP663">
            <v>0</v>
          </cell>
          <cell r="AQ663">
            <v>11</v>
          </cell>
          <cell r="AR663">
            <v>34</v>
          </cell>
          <cell r="AS663">
            <v>26</v>
          </cell>
        </row>
        <row r="664">
          <cell r="B664">
            <v>17031720600</v>
          </cell>
          <cell r="D664">
            <v>881</v>
          </cell>
          <cell r="E664">
            <v>89</v>
          </cell>
          <cell r="F664">
            <v>626</v>
          </cell>
          <cell r="G664">
            <v>78</v>
          </cell>
          <cell r="H664">
            <v>524</v>
          </cell>
          <cell r="I664">
            <v>89</v>
          </cell>
          <cell r="J664">
            <v>102</v>
          </cell>
          <cell r="K664">
            <v>44</v>
          </cell>
          <cell r="L664">
            <v>75</v>
          </cell>
          <cell r="M664">
            <v>36</v>
          </cell>
          <cell r="N664">
            <v>9</v>
          </cell>
          <cell r="O664">
            <v>9</v>
          </cell>
          <cell r="P664">
            <v>0</v>
          </cell>
          <cell r="Q664">
            <v>11</v>
          </cell>
          <cell r="R664">
            <v>18</v>
          </cell>
          <cell r="S664">
            <v>19</v>
          </cell>
          <cell r="T664">
            <v>0</v>
          </cell>
          <cell r="U664">
            <v>11</v>
          </cell>
          <cell r="V664">
            <v>195</v>
          </cell>
          <cell r="W664">
            <v>70</v>
          </cell>
          <cell r="X664">
            <v>34</v>
          </cell>
          <cell r="Y664">
            <v>42</v>
          </cell>
          <cell r="Z664">
            <v>0</v>
          </cell>
          <cell r="AA664">
            <v>11</v>
          </cell>
          <cell r="AB664">
            <v>54</v>
          </cell>
          <cell r="AC664">
            <v>38</v>
          </cell>
          <cell r="AD664">
            <v>107</v>
          </cell>
          <cell r="AE664">
            <v>44</v>
          </cell>
          <cell r="AF664">
            <v>0</v>
          </cell>
          <cell r="AG664">
            <v>11</v>
          </cell>
          <cell r="AH664">
            <v>0</v>
          </cell>
          <cell r="AI664">
            <v>11</v>
          </cell>
          <cell r="AJ664">
            <v>0</v>
          </cell>
          <cell r="AK664">
            <v>11</v>
          </cell>
          <cell r="AL664">
            <v>0</v>
          </cell>
          <cell r="AM664">
            <v>11</v>
          </cell>
          <cell r="AN664">
            <v>20</v>
          </cell>
          <cell r="AO664">
            <v>23</v>
          </cell>
          <cell r="AP664">
            <v>5</v>
          </cell>
          <cell r="AQ664">
            <v>7</v>
          </cell>
          <cell r="AR664">
            <v>35</v>
          </cell>
          <cell r="AS664">
            <v>32</v>
          </cell>
        </row>
        <row r="665">
          <cell r="B665">
            <v>17031720700</v>
          </cell>
          <cell r="D665">
            <v>1626</v>
          </cell>
          <cell r="E665">
            <v>159</v>
          </cell>
          <cell r="F665">
            <v>1245</v>
          </cell>
          <cell r="G665">
            <v>180</v>
          </cell>
          <cell r="H665">
            <v>1183</v>
          </cell>
          <cell r="I665">
            <v>165</v>
          </cell>
          <cell r="J665">
            <v>62</v>
          </cell>
          <cell r="K665">
            <v>55</v>
          </cell>
          <cell r="L665">
            <v>62</v>
          </cell>
          <cell r="M665">
            <v>55</v>
          </cell>
          <cell r="N665">
            <v>0</v>
          </cell>
          <cell r="O665">
            <v>11</v>
          </cell>
          <cell r="P665">
            <v>0</v>
          </cell>
          <cell r="Q665">
            <v>11</v>
          </cell>
          <cell r="R665">
            <v>0</v>
          </cell>
          <cell r="S665">
            <v>11</v>
          </cell>
          <cell r="T665">
            <v>0</v>
          </cell>
          <cell r="U665">
            <v>11</v>
          </cell>
          <cell r="V665">
            <v>295</v>
          </cell>
          <cell r="W665">
            <v>106</v>
          </cell>
          <cell r="X665">
            <v>87</v>
          </cell>
          <cell r="Y665">
            <v>62</v>
          </cell>
          <cell r="Z665">
            <v>0</v>
          </cell>
          <cell r="AA665">
            <v>11</v>
          </cell>
          <cell r="AB665">
            <v>35</v>
          </cell>
          <cell r="AC665">
            <v>24</v>
          </cell>
          <cell r="AD665">
            <v>173</v>
          </cell>
          <cell r="AE665">
            <v>85</v>
          </cell>
          <cell r="AF665">
            <v>0</v>
          </cell>
          <cell r="AG665">
            <v>11</v>
          </cell>
          <cell r="AH665">
            <v>14</v>
          </cell>
          <cell r="AI665">
            <v>23</v>
          </cell>
          <cell r="AJ665">
            <v>0</v>
          </cell>
          <cell r="AK665">
            <v>11</v>
          </cell>
          <cell r="AL665">
            <v>0</v>
          </cell>
          <cell r="AM665">
            <v>11</v>
          </cell>
          <cell r="AN665">
            <v>9</v>
          </cell>
          <cell r="AO665">
            <v>14</v>
          </cell>
          <cell r="AP665">
            <v>23</v>
          </cell>
          <cell r="AQ665">
            <v>25</v>
          </cell>
          <cell r="AR665">
            <v>40</v>
          </cell>
          <cell r="AS665">
            <v>35</v>
          </cell>
        </row>
        <row r="666">
          <cell r="B666">
            <v>17031730100</v>
          </cell>
          <cell r="D666">
            <v>889</v>
          </cell>
          <cell r="E666">
            <v>128</v>
          </cell>
          <cell r="F666">
            <v>604</v>
          </cell>
          <cell r="G666">
            <v>114</v>
          </cell>
          <cell r="H666">
            <v>580</v>
          </cell>
          <cell r="I666">
            <v>113</v>
          </cell>
          <cell r="J666">
            <v>24</v>
          </cell>
          <cell r="K666">
            <v>30</v>
          </cell>
          <cell r="L666">
            <v>18</v>
          </cell>
          <cell r="M666">
            <v>21</v>
          </cell>
          <cell r="N666">
            <v>0</v>
          </cell>
          <cell r="O666">
            <v>11</v>
          </cell>
          <cell r="P666">
            <v>6</v>
          </cell>
          <cell r="Q666">
            <v>11</v>
          </cell>
          <cell r="R666">
            <v>0</v>
          </cell>
          <cell r="S666">
            <v>11</v>
          </cell>
          <cell r="T666">
            <v>0</v>
          </cell>
          <cell r="U666">
            <v>11</v>
          </cell>
          <cell r="V666">
            <v>226</v>
          </cell>
          <cell r="W666">
            <v>81</v>
          </cell>
          <cell r="X666">
            <v>83</v>
          </cell>
          <cell r="Y666">
            <v>56</v>
          </cell>
          <cell r="Z666">
            <v>23</v>
          </cell>
          <cell r="AA666">
            <v>24</v>
          </cell>
          <cell r="AB666">
            <v>94</v>
          </cell>
          <cell r="AC666">
            <v>50</v>
          </cell>
          <cell r="AD666">
            <v>26</v>
          </cell>
          <cell r="AE666">
            <v>24</v>
          </cell>
          <cell r="AF666">
            <v>0</v>
          </cell>
          <cell r="AG666">
            <v>11</v>
          </cell>
          <cell r="AH666">
            <v>0</v>
          </cell>
          <cell r="AI666">
            <v>11</v>
          </cell>
          <cell r="AJ666">
            <v>0</v>
          </cell>
          <cell r="AK666">
            <v>11</v>
          </cell>
          <cell r="AL666">
            <v>0</v>
          </cell>
          <cell r="AM666">
            <v>11</v>
          </cell>
          <cell r="AN666">
            <v>5</v>
          </cell>
          <cell r="AO666">
            <v>7</v>
          </cell>
          <cell r="AP666">
            <v>17</v>
          </cell>
          <cell r="AQ666">
            <v>17</v>
          </cell>
          <cell r="AR666">
            <v>37</v>
          </cell>
          <cell r="AS666">
            <v>31</v>
          </cell>
        </row>
        <row r="667">
          <cell r="B667">
            <v>17031730201</v>
          </cell>
          <cell r="D667">
            <v>2252</v>
          </cell>
          <cell r="E667">
            <v>291</v>
          </cell>
          <cell r="F667">
            <v>1452</v>
          </cell>
          <cell r="G667">
            <v>287</v>
          </cell>
          <cell r="H667">
            <v>1262</v>
          </cell>
          <cell r="I667">
            <v>263</v>
          </cell>
          <cell r="J667">
            <v>190</v>
          </cell>
          <cell r="K667">
            <v>101</v>
          </cell>
          <cell r="L667">
            <v>190</v>
          </cell>
          <cell r="M667">
            <v>101</v>
          </cell>
          <cell r="N667">
            <v>0</v>
          </cell>
          <cell r="O667">
            <v>15</v>
          </cell>
          <cell r="P667">
            <v>0</v>
          </cell>
          <cell r="Q667">
            <v>15</v>
          </cell>
          <cell r="R667">
            <v>0</v>
          </cell>
          <cell r="S667">
            <v>15</v>
          </cell>
          <cell r="T667">
            <v>0</v>
          </cell>
          <cell r="U667">
            <v>15</v>
          </cell>
          <cell r="V667">
            <v>738</v>
          </cell>
          <cell r="W667">
            <v>235</v>
          </cell>
          <cell r="X667">
            <v>475</v>
          </cell>
          <cell r="Y667">
            <v>207</v>
          </cell>
          <cell r="Z667">
            <v>0</v>
          </cell>
          <cell r="AA667">
            <v>15</v>
          </cell>
          <cell r="AB667">
            <v>98</v>
          </cell>
          <cell r="AC667">
            <v>55</v>
          </cell>
          <cell r="AD667">
            <v>165</v>
          </cell>
          <cell r="AE667">
            <v>105</v>
          </cell>
          <cell r="AF667">
            <v>0</v>
          </cell>
          <cell r="AG667">
            <v>15</v>
          </cell>
          <cell r="AH667">
            <v>0</v>
          </cell>
          <cell r="AI667">
            <v>15</v>
          </cell>
          <cell r="AJ667">
            <v>0</v>
          </cell>
          <cell r="AK667">
            <v>15</v>
          </cell>
          <cell r="AL667">
            <v>0</v>
          </cell>
          <cell r="AM667">
            <v>15</v>
          </cell>
          <cell r="AN667">
            <v>0</v>
          </cell>
          <cell r="AO667">
            <v>15</v>
          </cell>
          <cell r="AP667">
            <v>20</v>
          </cell>
          <cell r="AQ667">
            <v>28</v>
          </cell>
          <cell r="AR667">
            <v>42</v>
          </cell>
          <cell r="AS667">
            <v>51</v>
          </cell>
        </row>
        <row r="668">
          <cell r="B668">
            <v>17031730202</v>
          </cell>
          <cell r="D668">
            <v>1346</v>
          </cell>
          <cell r="E668">
            <v>215</v>
          </cell>
          <cell r="F668">
            <v>968</v>
          </cell>
          <cell r="G668">
            <v>171</v>
          </cell>
          <cell r="H668">
            <v>846</v>
          </cell>
          <cell r="I668">
            <v>147</v>
          </cell>
          <cell r="J668">
            <v>122</v>
          </cell>
          <cell r="K668">
            <v>77</v>
          </cell>
          <cell r="L668">
            <v>83</v>
          </cell>
          <cell r="M668">
            <v>64</v>
          </cell>
          <cell r="N668">
            <v>39</v>
          </cell>
          <cell r="O668">
            <v>41</v>
          </cell>
          <cell r="P668">
            <v>0</v>
          </cell>
          <cell r="Q668">
            <v>11</v>
          </cell>
          <cell r="R668">
            <v>0</v>
          </cell>
          <cell r="S668">
            <v>11</v>
          </cell>
          <cell r="T668">
            <v>0</v>
          </cell>
          <cell r="U668">
            <v>11</v>
          </cell>
          <cell r="V668">
            <v>326</v>
          </cell>
          <cell r="W668">
            <v>101</v>
          </cell>
          <cell r="X668">
            <v>130</v>
          </cell>
          <cell r="Y668">
            <v>52</v>
          </cell>
          <cell r="Z668">
            <v>0</v>
          </cell>
          <cell r="AA668">
            <v>11</v>
          </cell>
          <cell r="AB668">
            <v>84</v>
          </cell>
          <cell r="AC668">
            <v>64</v>
          </cell>
          <cell r="AD668">
            <v>112</v>
          </cell>
          <cell r="AE668">
            <v>62</v>
          </cell>
          <cell r="AF668">
            <v>0</v>
          </cell>
          <cell r="AG668">
            <v>11</v>
          </cell>
          <cell r="AH668">
            <v>0</v>
          </cell>
          <cell r="AI668">
            <v>11</v>
          </cell>
          <cell r="AJ668">
            <v>0</v>
          </cell>
          <cell r="AK668">
            <v>11</v>
          </cell>
          <cell r="AL668">
            <v>0</v>
          </cell>
          <cell r="AM668">
            <v>11</v>
          </cell>
          <cell r="AN668">
            <v>10</v>
          </cell>
          <cell r="AO668">
            <v>15</v>
          </cell>
          <cell r="AP668">
            <v>22</v>
          </cell>
          <cell r="AQ668">
            <v>24</v>
          </cell>
          <cell r="AR668">
            <v>20</v>
          </cell>
          <cell r="AS668">
            <v>18</v>
          </cell>
        </row>
        <row r="669">
          <cell r="B669">
            <v>17031730300</v>
          </cell>
          <cell r="D669">
            <v>415</v>
          </cell>
          <cell r="E669">
            <v>74</v>
          </cell>
          <cell r="F669">
            <v>340</v>
          </cell>
          <cell r="G669">
            <v>83</v>
          </cell>
          <cell r="H669">
            <v>292</v>
          </cell>
          <cell r="I669">
            <v>69</v>
          </cell>
          <cell r="J669">
            <v>48</v>
          </cell>
          <cell r="K669">
            <v>32</v>
          </cell>
          <cell r="L669">
            <v>38</v>
          </cell>
          <cell r="M669">
            <v>28</v>
          </cell>
          <cell r="N669">
            <v>6</v>
          </cell>
          <cell r="O669">
            <v>9</v>
          </cell>
          <cell r="P669">
            <v>4</v>
          </cell>
          <cell r="Q669">
            <v>7</v>
          </cell>
          <cell r="R669">
            <v>0</v>
          </cell>
          <cell r="S669">
            <v>11</v>
          </cell>
          <cell r="T669">
            <v>0</v>
          </cell>
          <cell r="U669">
            <v>11</v>
          </cell>
          <cell r="V669">
            <v>70</v>
          </cell>
          <cell r="W669">
            <v>31</v>
          </cell>
          <cell r="X669">
            <v>38</v>
          </cell>
          <cell r="Y669">
            <v>24</v>
          </cell>
          <cell r="Z669">
            <v>0</v>
          </cell>
          <cell r="AA669">
            <v>11</v>
          </cell>
          <cell r="AB669">
            <v>28</v>
          </cell>
          <cell r="AC669">
            <v>18</v>
          </cell>
          <cell r="AD669">
            <v>4</v>
          </cell>
          <cell r="AE669">
            <v>5</v>
          </cell>
          <cell r="AF669">
            <v>0</v>
          </cell>
          <cell r="AG669">
            <v>11</v>
          </cell>
          <cell r="AH669">
            <v>0</v>
          </cell>
          <cell r="AI669">
            <v>11</v>
          </cell>
          <cell r="AJ669">
            <v>0</v>
          </cell>
          <cell r="AK669">
            <v>11</v>
          </cell>
          <cell r="AL669">
            <v>0</v>
          </cell>
          <cell r="AM669">
            <v>11</v>
          </cell>
          <cell r="AN669">
            <v>5</v>
          </cell>
          <cell r="AO669">
            <v>7</v>
          </cell>
          <cell r="AP669">
            <v>0</v>
          </cell>
          <cell r="AQ669">
            <v>11</v>
          </cell>
          <cell r="AR669">
            <v>0</v>
          </cell>
          <cell r="AS669">
            <v>11</v>
          </cell>
        </row>
        <row r="670">
          <cell r="B670">
            <v>17031730400</v>
          </cell>
          <cell r="D670">
            <v>1716</v>
          </cell>
          <cell r="E670">
            <v>226</v>
          </cell>
          <cell r="F670">
            <v>1250</v>
          </cell>
          <cell r="G670">
            <v>197</v>
          </cell>
          <cell r="H670">
            <v>1044</v>
          </cell>
          <cell r="I670">
            <v>184</v>
          </cell>
          <cell r="J670">
            <v>206</v>
          </cell>
          <cell r="K670">
            <v>153</v>
          </cell>
          <cell r="L670">
            <v>161</v>
          </cell>
          <cell r="M670">
            <v>151</v>
          </cell>
          <cell r="N670">
            <v>24</v>
          </cell>
          <cell r="O670">
            <v>19</v>
          </cell>
          <cell r="P670">
            <v>0</v>
          </cell>
          <cell r="Q670">
            <v>11</v>
          </cell>
          <cell r="R670">
            <v>0</v>
          </cell>
          <cell r="S670">
            <v>11</v>
          </cell>
          <cell r="T670">
            <v>21</v>
          </cell>
          <cell r="U670">
            <v>32</v>
          </cell>
          <cell r="V670">
            <v>364</v>
          </cell>
          <cell r="W670">
            <v>155</v>
          </cell>
          <cell r="X670">
            <v>244</v>
          </cell>
          <cell r="Y670">
            <v>148</v>
          </cell>
          <cell r="Z670">
            <v>0</v>
          </cell>
          <cell r="AA670">
            <v>11</v>
          </cell>
          <cell r="AB670">
            <v>61</v>
          </cell>
          <cell r="AC670">
            <v>45</v>
          </cell>
          <cell r="AD670">
            <v>59</v>
          </cell>
          <cell r="AE670">
            <v>38</v>
          </cell>
          <cell r="AF670">
            <v>0</v>
          </cell>
          <cell r="AG670">
            <v>11</v>
          </cell>
          <cell r="AH670">
            <v>4</v>
          </cell>
          <cell r="AI670">
            <v>8</v>
          </cell>
          <cell r="AJ670">
            <v>0</v>
          </cell>
          <cell r="AK670">
            <v>11</v>
          </cell>
          <cell r="AL670">
            <v>0</v>
          </cell>
          <cell r="AM670">
            <v>11</v>
          </cell>
          <cell r="AN670">
            <v>25</v>
          </cell>
          <cell r="AO670">
            <v>27</v>
          </cell>
          <cell r="AP670">
            <v>17</v>
          </cell>
          <cell r="AQ670">
            <v>20</v>
          </cell>
          <cell r="AR670">
            <v>56</v>
          </cell>
          <cell r="AS670">
            <v>42</v>
          </cell>
        </row>
        <row r="671">
          <cell r="B671">
            <v>17031730500</v>
          </cell>
          <cell r="D671">
            <v>1705</v>
          </cell>
          <cell r="E671">
            <v>278</v>
          </cell>
          <cell r="F671">
            <v>1306</v>
          </cell>
          <cell r="G671">
            <v>219</v>
          </cell>
          <cell r="H671">
            <v>1078</v>
          </cell>
          <cell r="I671">
            <v>232</v>
          </cell>
          <cell r="J671">
            <v>228</v>
          </cell>
          <cell r="K671">
            <v>120</v>
          </cell>
          <cell r="L671">
            <v>213</v>
          </cell>
          <cell r="M671">
            <v>118</v>
          </cell>
          <cell r="N671">
            <v>0</v>
          </cell>
          <cell r="O671">
            <v>11</v>
          </cell>
          <cell r="P671">
            <v>15</v>
          </cell>
          <cell r="Q671">
            <v>25</v>
          </cell>
          <cell r="R671">
            <v>0</v>
          </cell>
          <cell r="S671">
            <v>11</v>
          </cell>
          <cell r="T671">
            <v>0</v>
          </cell>
          <cell r="U671">
            <v>11</v>
          </cell>
          <cell r="V671">
            <v>329</v>
          </cell>
          <cell r="W671">
            <v>135</v>
          </cell>
          <cell r="X671">
            <v>165</v>
          </cell>
          <cell r="Y671">
            <v>97</v>
          </cell>
          <cell r="Z671">
            <v>57</v>
          </cell>
          <cell r="AA671">
            <v>80</v>
          </cell>
          <cell r="AB671">
            <v>18</v>
          </cell>
          <cell r="AC671">
            <v>19</v>
          </cell>
          <cell r="AD671">
            <v>89</v>
          </cell>
          <cell r="AE671">
            <v>83</v>
          </cell>
          <cell r="AF671">
            <v>0</v>
          </cell>
          <cell r="AG671">
            <v>11</v>
          </cell>
          <cell r="AH671">
            <v>6</v>
          </cell>
          <cell r="AI671">
            <v>10</v>
          </cell>
          <cell r="AJ671">
            <v>0</v>
          </cell>
          <cell r="AK671">
            <v>11</v>
          </cell>
          <cell r="AL671">
            <v>0</v>
          </cell>
          <cell r="AM671">
            <v>11</v>
          </cell>
          <cell r="AN671">
            <v>0</v>
          </cell>
          <cell r="AO671">
            <v>11</v>
          </cell>
          <cell r="AP671">
            <v>0</v>
          </cell>
          <cell r="AQ671">
            <v>11</v>
          </cell>
          <cell r="AR671">
            <v>64</v>
          </cell>
          <cell r="AS671">
            <v>62</v>
          </cell>
        </row>
        <row r="672">
          <cell r="B672">
            <v>17031730600</v>
          </cell>
          <cell r="D672">
            <v>1227</v>
          </cell>
          <cell r="E672">
            <v>284</v>
          </cell>
          <cell r="F672">
            <v>941</v>
          </cell>
          <cell r="G672">
            <v>227</v>
          </cell>
          <cell r="H672">
            <v>821</v>
          </cell>
          <cell r="I672">
            <v>236</v>
          </cell>
          <cell r="J672">
            <v>120</v>
          </cell>
          <cell r="K672">
            <v>94</v>
          </cell>
          <cell r="L672">
            <v>120</v>
          </cell>
          <cell r="M672">
            <v>94</v>
          </cell>
          <cell r="N672">
            <v>0</v>
          </cell>
          <cell r="O672">
            <v>11</v>
          </cell>
          <cell r="P672">
            <v>0</v>
          </cell>
          <cell r="Q672">
            <v>11</v>
          </cell>
          <cell r="R672">
            <v>0</v>
          </cell>
          <cell r="S672">
            <v>11</v>
          </cell>
          <cell r="T672">
            <v>0</v>
          </cell>
          <cell r="U672">
            <v>11</v>
          </cell>
          <cell r="V672">
            <v>245</v>
          </cell>
          <cell r="W672">
            <v>112</v>
          </cell>
          <cell r="X672">
            <v>143</v>
          </cell>
          <cell r="Y672">
            <v>79</v>
          </cell>
          <cell r="Z672">
            <v>37</v>
          </cell>
          <cell r="AA672">
            <v>58</v>
          </cell>
          <cell r="AB672">
            <v>16</v>
          </cell>
          <cell r="AC672">
            <v>19</v>
          </cell>
          <cell r="AD672">
            <v>49</v>
          </cell>
          <cell r="AE672">
            <v>68</v>
          </cell>
          <cell r="AF672">
            <v>0</v>
          </cell>
          <cell r="AG672">
            <v>11</v>
          </cell>
          <cell r="AH672">
            <v>0</v>
          </cell>
          <cell r="AI672">
            <v>11</v>
          </cell>
          <cell r="AJ672">
            <v>0</v>
          </cell>
          <cell r="AK672">
            <v>11</v>
          </cell>
          <cell r="AL672">
            <v>0</v>
          </cell>
          <cell r="AM672">
            <v>11</v>
          </cell>
          <cell r="AN672">
            <v>30</v>
          </cell>
          <cell r="AO672">
            <v>46</v>
          </cell>
          <cell r="AP672">
            <v>0</v>
          </cell>
          <cell r="AQ672">
            <v>11</v>
          </cell>
          <cell r="AR672">
            <v>11</v>
          </cell>
          <cell r="AS672">
            <v>16</v>
          </cell>
        </row>
        <row r="673">
          <cell r="B673">
            <v>17031730700</v>
          </cell>
          <cell r="D673">
            <v>815</v>
          </cell>
          <cell r="E673">
            <v>122</v>
          </cell>
          <cell r="F673">
            <v>615</v>
          </cell>
          <cell r="G673">
            <v>114</v>
          </cell>
          <cell r="H673">
            <v>520</v>
          </cell>
          <cell r="I673">
            <v>108</v>
          </cell>
          <cell r="J673">
            <v>95</v>
          </cell>
          <cell r="K673">
            <v>63</v>
          </cell>
          <cell r="L673">
            <v>70</v>
          </cell>
          <cell r="M673">
            <v>61</v>
          </cell>
          <cell r="N673">
            <v>6</v>
          </cell>
          <cell r="O673">
            <v>9</v>
          </cell>
          <cell r="P673">
            <v>10</v>
          </cell>
          <cell r="Q673">
            <v>15</v>
          </cell>
          <cell r="R673">
            <v>9</v>
          </cell>
          <cell r="S673">
            <v>14</v>
          </cell>
          <cell r="T673">
            <v>0</v>
          </cell>
          <cell r="U673">
            <v>11</v>
          </cell>
          <cell r="V673">
            <v>117</v>
          </cell>
          <cell r="W673">
            <v>56</v>
          </cell>
          <cell r="X673">
            <v>56</v>
          </cell>
          <cell r="Y673">
            <v>39</v>
          </cell>
          <cell r="Z673">
            <v>0</v>
          </cell>
          <cell r="AA673">
            <v>11</v>
          </cell>
          <cell r="AB673">
            <v>44</v>
          </cell>
          <cell r="AC673">
            <v>35</v>
          </cell>
          <cell r="AD673">
            <v>17</v>
          </cell>
          <cell r="AE673">
            <v>16</v>
          </cell>
          <cell r="AF673">
            <v>0</v>
          </cell>
          <cell r="AG673">
            <v>11</v>
          </cell>
          <cell r="AH673">
            <v>0</v>
          </cell>
          <cell r="AI673">
            <v>11</v>
          </cell>
          <cell r="AJ673">
            <v>0</v>
          </cell>
          <cell r="AK673">
            <v>11</v>
          </cell>
          <cell r="AL673">
            <v>0</v>
          </cell>
          <cell r="AM673">
            <v>11</v>
          </cell>
          <cell r="AN673">
            <v>27</v>
          </cell>
          <cell r="AO673">
            <v>36</v>
          </cell>
          <cell r="AP673">
            <v>25</v>
          </cell>
          <cell r="AQ673">
            <v>24</v>
          </cell>
          <cell r="AR673">
            <v>31</v>
          </cell>
          <cell r="AS673">
            <v>26</v>
          </cell>
        </row>
        <row r="674">
          <cell r="B674">
            <v>17031740100</v>
          </cell>
          <cell r="D674">
            <v>1486</v>
          </cell>
          <cell r="E674">
            <v>120</v>
          </cell>
          <cell r="F674">
            <v>1329</v>
          </cell>
          <cell r="G674">
            <v>131</v>
          </cell>
          <cell r="H674">
            <v>1189</v>
          </cell>
          <cell r="I674">
            <v>138</v>
          </cell>
          <cell r="J674">
            <v>140</v>
          </cell>
          <cell r="K674">
            <v>82</v>
          </cell>
          <cell r="L674">
            <v>90</v>
          </cell>
          <cell r="M674">
            <v>57</v>
          </cell>
          <cell r="N674">
            <v>0</v>
          </cell>
          <cell r="O674">
            <v>11</v>
          </cell>
          <cell r="P674">
            <v>50</v>
          </cell>
          <cell r="Q674">
            <v>57</v>
          </cell>
          <cell r="R674">
            <v>0</v>
          </cell>
          <cell r="S674">
            <v>11</v>
          </cell>
          <cell r="T674">
            <v>0</v>
          </cell>
          <cell r="U674">
            <v>11</v>
          </cell>
          <cell r="V674">
            <v>145</v>
          </cell>
          <cell r="W674">
            <v>72</v>
          </cell>
          <cell r="X674">
            <v>22</v>
          </cell>
          <cell r="Y674">
            <v>32</v>
          </cell>
          <cell r="Z674">
            <v>0</v>
          </cell>
          <cell r="AA674">
            <v>11</v>
          </cell>
          <cell r="AB674">
            <v>0</v>
          </cell>
          <cell r="AC674">
            <v>11</v>
          </cell>
          <cell r="AD674">
            <v>123</v>
          </cell>
          <cell r="AE674">
            <v>55</v>
          </cell>
          <cell r="AF674">
            <v>0</v>
          </cell>
          <cell r="AG674">
            <v>11</v>
          </cell>
          <cell r="AH674">
            <v>0</v>
          </cell>
          <cell r="AI674">
            <v>11</v>
          </cell>
          <cell r="AJ674">
            <v>0</v>
          </cell>
          <cell r="AK674">
            <v>11</v>
          </cell>
          <cell r="AL674">
            <v>0</v>
          </cell>
          <cell r="AM674">
            <v>11</v>
          </cell>
          <cell r="AN674">
            <v>7</v>
          </cell>
          <cell r="AO674">
            <v>11</v>
          </cell>
          <cell r="AP674">
            <v>0</v>
          </cell>
          <cell r="AQ674">
            <v>11</v>
          </cell>
          <cell r="AR674">
            <v>5</v>
          </cell>
          <cell r="AS674">
            <v>9</v>
          </cell>
        </row>
        <row r="675">
          <cell r="B675">
            <v>17031740200</v>
          </cell>
          <cell r="D675">
            <v>3060</v>
          </cell>
          <cell r="E675">
            <v>295</v>
          </cell>
          <cell r="F675">
            <v>2725</v>
          </cell>
          <cell r="G675">
            <v>297</v>
          </cell>
          <cell r="H675">
            <v>2629</v>
          </cell>
          <cell r="I675">
            <v>280</v>
          </cell>
          <cell r="J675">
            <v>96</v>
          </cell>
          <cell r="K675">
            <v>57</v>
          </cell>
          <cell r="L675">
            <v>43</v>
          </cell>
          <cell r="M675">
            <v>41</v>
          </cell>
          <cell r="N675">
            <v>12</v>
          </cell>
          <cell r="O675">
            <v>20</v>
          </cell>
          <cell r="P675">
            <v>41</v>
          </cell>
          <cell r="Q675">
            <v>43</v>
          </cell>
          <cell r="R675">
            <v>0</v>
          </cell>
          <cell r="S675">
            <v>15</v>
          </cell>
          <cell r="T675">
            <v>0</v>
          </cell>
          <cell r="U675">
            <v>15</v>
          </cell>
          <cell r="V675">
            <v>109</v>
          </cell>
          <cell r="W675">
            <v>75</v>
          </cell>
          <cell r="X675">
            <v>11</v>
          </cell>
          <cell r="Y675">
            <v>16</v>
          </cell>
          <cell r="Z675">
            <v>0</v>
          </cell>
          <cell r="AA675">
            <v>15</v>
          </cell>
          <cell r="AB675">
            <v>40</v>
          </cell>
          <cell r="AC675">
            <v>39</v>
          </cell>
          <cell r="AD675">
            <v>58</v>
          </cell>
          <cell r="AE675">
            <v>67</v>
          </cell>
          <cell r="AF675">
            <v>0</v>
          </cell>
          <cell r="AG675">
            <v>15</v>
          </cell>
          <cell r="AH675">
            <v>0</v>
          </cell>
          <cell r="AI675">
            <v>15</v>
          </cell>
          <cell r="AJ675">
            <v>0</v>
          </cell>
          <cell r="AK675">
            <v>15</v>
          </cell>
          <cell r="AL675">
            <v>3</v>
          </cell>
          <cell r="AM675">
            <v>7</v>
          </cell>
          <cell r="AN675">
            <v>116</v>
          </cell>
          <cell r="AO675">
            <v>72</v>
          </cell>
          <cell r="AP675">
            <v>0</v>
          </cell>
          <cell r="AQ675">
            <v>15</v>
          </cell>
          <cell r="AR675">
            <v>107</v>
          </cell>
          <cell r="AS675">
            <v>88</v>
          </cell>
        </row>
        <row r="676">
          <cell r="B676">
            <v>17031740300</v>
          </cell>
          <cell r="D676">
            <v>2340</v>
          </cell>
          <cell r="E676">
            <v>192</v>
          </cell>
          <cell r="F676">
            <v>2199</v>
          </cell>
          <cell r="G676">
            <v>204</v>
          </cell>
          <cell r="H676">
            <v>2097</v>
          </cell>
          <cell r="I676">
            <v>202</v>
          </cell>
          <cell r="J676">
            <v>102</v>
          </cell>
          <cell r="K676">
            <v>53</v>
          </cell>
          <cell r="L676">
            <v>94</v>
          </cell>
          <cell r="M676">
            <v>51</v>
          </cell>
          <cell r="N676">
            <v>0</v>
          </cell>
          <cell r="O676">
            <v>11</v>
          </cell>
          <cell r="P676">
            <v>8</v>
          </cell>
          <cell r="Q676">
            <v>12</v>
          </cell>
          <cell r="R676">
            <v>0</v>
          </cell>
          <cell r="S676">
            <v>11</v>
          </cell>
          <cell r="T676">
            <v>0</v>
          </cell>
          <cell r="U676">
            <v>11</v>
          </cell>
          <cell r="V676">
            <v>69</v>
          </cell>
          <cell r="W676">
            <v>45</v>
          </cell>
          <cell r="X676">
            <v>0</v>
          </cell>
          <cell r="Y676">
            <v>11</v>
          </cell>
          <cell r="Z676">
            <v>0</v>
          </cell>
          <cell r="AA676">
            <v>11</v>
          </cell>
          <cell r="AB676">
            <v>10</v>
          </cell>
          <cell r="AC676">
            <v>16</v>
          </cell>
          <cell r="AD676">
            <v>59</v>
          </cell>
          <cell r="AE676">
            <v>42</v>
          </cell>
          <cell r="AF676">
            <v>0</v>
          </cell>
          <cell r="AG676">
            <v>11</v>
          </cell>
          <cell r="AH676">
            <v>0</v>
          </cell>
          <cell r="AI676">
            <v>11</v>
          </cell>
          <cell r="AJ676">
            <v>0</v>
          </cell>
          <cell r="AK676">
            <v>11</v>
          </cell>
          <cell r="AL676">
            <v>0</v>
          </cell>
          <cell r="AM676">
            <v>11</v>
          </cell>
          <cell r="AN676">
            <v>23</v>
          </cell>
          <cell r="AO676">
            <v>25</v>
          </cell>
          <cell r="AP676">
            <v>8</v>
          </cell>
          <cell r="AQ676">
            <v>13</v>
          </cell>
          <cell r="AR676">
            <v>41</v>
          </cell>
          <cell r="AS676">
            <v>37</v>
          </cell>
        </row>
        <row r="677">
          <cell r="B677">
            <v>17031740400</v>
          </cell>
          <cell r="D677">
            <v>2265</v>
          </cell>
          <cell r="E677">
            <v>209</v>
          </cell>
          <cell r="F677">
            <v>1921</v>
          </cell>
          <cell r="G677">
            <v>190</v>
          </cell>
          <cell r="H677">
            <v>1800</v>
          </cell>
          <cell r="I677">
            <v>199</v>
          </cell>
          <cell r="J677">
            <v>121</v>
          </cell>
          <cell r="K677">
            <v>56</v>
          </cell>
          <cell r="L677">
            <v>121</v>
          </cell>
          <cell r="M677">
            <v>56</v>
          </cell>
          <cell r="N677">
            <v>0</v>
          </cell>
          <cell r="O677">
            <v>11</v>
          </cell>
          <cell r="P677">
            <v>0</v>
          </cell>
          <cell r="Q677">
            <v>11</v>
          </cell>
          <cell r="R677">
            <v>0</v>
          </cell>
          <cell r="S677">
            <v>11</v>
          </cell>
          <cell r="T677">
            <v>0</v>
          </cell>
          <cell r="U677">
            <v>11</v>
          </cell>
          <cell r="V677">
            <v>270</v>
          </cell>
          <cell r="W677">
            <v>81</v>
          </cell>
          <cell r="X677">
            <v>98</v>
          </cell>
          <cell r="Y677">
            <v>64</v>
          </cell>
          <cell r="Z677">
            <v>0</v>
          </cell>
          <cell r="AA677">
            <v>11</v>
          </cell>
          <cell r="AB677">
            <v>61</v>
          </cell>
          <cell r="AC677">
            <v>40</v>
          </cell>
          <cell r="AD677">
            <v>111</v>
          </cell>
          <cell r="AE677">
            <v>57</v>
          </cell>
          <cell r="AF677">
            <v>0</v>
          </cell>
          <cell r="AG677">
            <v>11</v>
          </cell>
          <cell r="AH677">
            <v>0</v>
          </cell>
          <cell r="AI677">
            <v>11</v>
          </cell>
          <cell r="AJ677">
            <v>0</v>
          </cell>
          <cell r="AK677">
            <v>11</v>
          </cell>
          <cell r="AL677">
            <v>0</v>
          </cell>
          <cell r="AM677">
            <v>11</v>
          </cell>
          <cell r="AN677">
            <v>46</v>
          </cell>
          <cell r="AO677">
            <v>41</v>
          </cell>
          <cell r="AP677">
            <v>18</v>
          </cell>
          <cell r="AQ677">
            <v>27</v>
          </cell>
          <cell r="AR677">
            <v>10</v>
          </cell>
          <cell r="AS677">
            <v>15</v>
          </cell>
        </row>
        <row r="678">
          <cell r="B678">
            <v>17031750100</v>
          </cell>
          <cell r="D678">
            <v>1566</v>
          </cell>
          <cell r="E678">
            <v>307</v>
          </cell>
          <cell r="F678">
            <v>1042</v>
          </cell>
          <cell r="G678">
            <v>258</v>
          </cell>
          <cell r="H678">
            <v>980</v>
          </cell>
          <cell r="I678">
            <v>261</v>
          </cell>
          <cell r="J678">
            <v>62</v>
          </cell>
          <cell r="K678">
            <v>51</v>
          </cell>
          <cell r="L678">
            <v>62</v>
          </cell>
          <cell r="M678">
            <v>51</v>
          </cell>
          <cell r="N678">
            <v>0</v>
          </cell>
          <cell r="O678">
            <v>11</v>
          </cell>
          <cell r="P678">
            <v>0</v>
          </cell>
          <cell r="Q678">
            <v>11</v>
          </cell>
          <cell r="R678">
            <v>0</v>
          </cell>
          <cell r="S678">
            <v>11</v>
          </cell>
          <cell r="T678">
            <v>0</v>
          </cell>
          <cell r="U678">
            <v>11</v>
          </cell>
          <cell r="V678">
            <v>511</v>
          </cell>
          <cell r="W678">
            <v>174</v>
          </cell>
          <cell r="X678">
            <v>264</v>
          </cell>
          <cell r="Y678">
            <v>111</v>
          </cell>
          <cell r="Z678">
            <v>67</v>
          </cell>
          <cell r="AA678">
            <v>71</v>
          </cell>
          <cell r="AB678">
            <v>85</v>
          </cell>
          <cell r="AC678">
            <v>106</v>
          </cell>
          <cell r="AD678">
            <v>95</v>
          </cell>
          <cell r="AE678">
            <v>65</v>
          </cell>
          <cell r="AF678">
            <v>0</v>
          </cell>
          <cell r="AG678">
            <v>11</v>
          </cell>
          <cell r="AH678">
            <v>0</v>
          </cell>
          <cell r="AI678">
            <v>11</v>
          </cell>
          <cell r="AJ678">
            <v>0</v>
          </cell>
          <cell r="AK678">
            <v>11</v>
          </cell>
          <cell r="AL678">
            <v>0</v>
          </cell>
          <cell r="AM678">
            <v>11</v>
          </cell>
          <cell r="AN678">
            <v>0</v>
          </cell>
          <cell r="AO678">
            <v>11</v>
          </cell>
          <cell r="AP678">
            <v>0</v>
          </cell>
          <cell r="AQ678">
            <v>11</v>
          </cell>
          <cell r="AR678">
            <v>13</v>
          </cell>
          <cell r="AS678">
            <v>20</v>
          </cell>
        </row>
        <row r="679">
          <cell r="B679">
            <v>17031750200</v>
          </cell>
          <cell r="D679">
            <v>1584</v>
          </cell>
          <cell r="E679">
            <v>196</v>
          </cell>
          <cell r="F679">
            <v>1144</v>
          </cell>
          <cell r="G679">
            <v>188</v>
          </cell>
          <cell r="H679">
            <v>1111</v>
          </cell>
          <cell r="I679">
            <v>189</v>
          </cell>
          <cell r="J679">
            <v>33</v>
          </cell>
          <cell r="K679">
            <v>32</v>
          </cell>
          <cell r="L679">
            <v>33</v>
          </cell>
          <cell r="M679">
            <v>32</v>
          </cell>
          <cell r="N679">
            <v>0</v>
          </cell>
          <cell r="O679">
            <v>11</v>
          </cell>
          <cell r="P679">
            <v>0</v>
          </cell>
          <cell r="Q679">
            <v>11</v>
          </cell>
          <cell r="R679">
            <v>0</v>
          </cell>
          <cell r="S679">
            <v>11</v>
          </cell>
          <cell r="T679">
            <v>0</v>
          </cell>
          <cell r="U679">
            <v>11</v>
          </cell>
          <cell r="V679">
            <v>251</v>
          </cell>
          <cell r="W679">
            <v>103</v>
          </cell>
          <cell r="X679">
            <v>39</v>
          </cell>
          <cell r="Y679">
            <v>56</v>
          </cell>
          <cell r="Z679">
            <v>0</v>
          </cell>
          <cell r="AA679">
            <v>11</v>
          </cell>
          <cell r="AB679">
            <v>48</v>
          </cell>
          <cell r="AC679">
            <v>39</v>
          </cell>
          <cell r="AD679">
            <v>164</v>
          </cell>
          <cell r="AE679">
            <v>71</v>
          </cell>
          <cell r="AF679">
            <v>0</v>
          </cell>
          <cell r="AG679">
            <v>11</v>
          </cell>
          <cell r="AH679">
            <v>0</v>
          </cell>
          <cell r="AI679">
            <v>11</v>
          </cell>
          <cell r="AJ679">
            <v>0</v>
          </cell>
          <cell r="AK679">
            <v>11</v>
          </cell>
          <cell r="AL679">
            <v>14</v>
          </cell>
          <cell r="AM679">
            <v>22</v>
          </cell>
          <cell r="AN679">
            <v>22</v>
          </cell>
          <cell r="AO679">
            <v>28</v>
          </cell>
          <cell r="AP679">
            <v>14</v>
          </cell>
          <cell r="AQ679">
            <v>24</v>
          </cell>
          <cell r="AR679">
            <v>139</v>
          </cell>
          <cell r="AS679">
            <v>84</v>
          </cell>
        </row>
        <row r="680">
          <cell r="B680">
            <v>17031750300</v>
          </cell>
          <cell r="D680">
            <v>1121</v>
          </cell>
          <cell r="E680">
            <v>102</v>
          </cell>
          <cell r="F680">
            <v>841</v>
          </cell>
          <cell r="G680">
            <v>94</v>
          </cell>
          <cell r="H680">
            <v>789</v>
          </cell>
          <cell r="I680">
            <v>93</v>
          </cell>
          <cell r="J680">
            <v>52</v>
          </cell>
          <cell r="K680">
            <v>33</v>
          </cell>
          <cell r="L680">
            <v>52</v>
          </cell>
          <cell r="M680">
            <v>33</v>
          </cell>
          <cell r="N680">
            <v>0</v>
          </cell>
          <cell r="O680">
            <v>11</v>
          </cell>
          <cell r="P680">
            <v>0</v>
          </cell>
          <cell r="Q680">
            <v>11</v>
          </cell>
          <cell r="R680">
            <v>0</v>
          </cell>
          <cell r="S680">
            <v>11</v>
          </cell>
          <cell r="T680">
            <v>0</v>
          </cell>
          <cell r="U680">
            <v>11</v>
          </cell>
          <cell r="V680">
            <v>115</v>
          </cell>
          <cell r="W680">
            <v>48</v>
          </cell>
          <cell r="X680">
            <v>11</v>
          </cell>
          <cell r="Y680">
            <v>12</v>
          </cell>
          <cell r="Z680">
            <v>0</v>
          </cell>
          <cell r="AA680">
            <v>11</v>
          </cell>
          <cell r="AB680">
            <v>48</v>
          </cell>
          <cell r="AC680">
            <v>37</v>
          </cell>
          <cell r="AD680">
            <v>56</v>
          </cell>
          <cell r="AE680">
            <v>31</v>
          </cell>
          <cell r="AF680">
            <v>0</v>
          </cell>
          <cell r="AG680">
            <v>11</v>
          </cell>
          <cell r="AH680">
            <v>0</v>
          </cell>
          <cell r="AI680">
            <v>11</v>
          </cell>
          <cell r="AJ680">
            <v>21</v>
          </cell>
          <cell r="AK680">
            <v>30</v>
          </cell>
          <cell r="AL680">
            <v>0</v>
          </cell>
          <cell r="AM680">
            <v>11</v>
          </cell>
          <cell r="AN680">
            <v>44</v>
          </cell>
          <cell r="AO680">
            <v>20</v>
          </cell>
          <cell r="AP680">
            <v>25</v>
          </cell>
          <cell r="AQ680">
            <v>25</v>
          </cell>
          <cell r="AR680">
            <v>75</v>
          </cell>
          <cell r="AS680">
            <v>36</v>
          </cell>
        </row>
        <row r="681">
          <cell r="B681">
            <v>17031750400</v>
          </cell>
          <cell r="D681">
            <v>1762</v>
          </cell>
          <cell r="E681">
            <v>194</v>
          </cell>
          <cell r="F681">
            <v>1511</v>
          </cell>
          <cell r="G681">
            <v>181</v>
          </cell>
          <cell r="H681">
            <v>1357</v>
          </cell>
          <cell r="I681">
            <v>174</v>
          </cell>
          <cell r="J681">
            <v>154</v>
          </cell>
          <cell r="K681">
            <v>103</v>
          </cell>
          <cell r="L681">
            <v>142</v>
          </cell>
          <cell r="M681">
            <v>97</v>
          </cell>
          <cell r="N681">
            <v>12</v>
          </cell>
          <cell r="O681">
            <v>17</v>
          </cell>
          <cell r="P681">
            <v>0</v>
          </cell>
          <cell r="Q681">
            <v>11</v>
          </cell>
          <cell r="R681">
            <v>0</v>
          </cell>
          <cell r="S681">
            <v>11</v>
          </cell>
          <cell r="T681">
            <v>0</v>
          </cell>
          <cell r="U681">
            <v>11</v>
          </cell>
          <cell r="V681">
            <v>155</v>
          </cell>
          <cell r="W681">
            <v>82</v>
          </cell>
          <cell r="X681">
            <v>0</v>
          </cell>
          <cell r="Y681">
            <v>11</v>
          </cell>
          <cell r="Z681">
            <v>0</v>
          </cell>
          <cell r="AA681">
            <v>11</v>
          </cell>
          <cell r="AB681">
            <v>0</v>
          </cell>
          <cell r="AC681">
            <v>11</v>
          </cell>
          <cell r="AD681">
            <v>155</v>
          </cell>
          <cell r="AE681">
            <v>82</v>
          </cell>
          <cell r="AF681">
            <v>0</v>
          </cell>
          <cell r="AG681">
            <v>11</v>
          </cell>
          <cell r="AH681">
            <v>0</v>
          </cell>
          <cell r="AI681">
            <v>11</v>
          </cell>
          <cell r="AJ681">
            <v>0</v>
          </cell>
          <cell r="AK681">
            <v>11</v>
          </cell>
          <cell r="AL681">
            <v>0</v>
          </cell>
          <cell r="AM681">
            <v>11</v>
          </cell>
          <cell r="AN681">
            <v>79</v>
          </cell>
          <cell r="AO681">
            <v>64</v>
          </cell>
          <cell r="AP681">
            <v>8</v>
          </cell>
          <cell r="AQ681">
            <v>12</v>
          </cell>
          <cell r="AR681">
            <v>9</v>
          </cell>
          <cell r="AS681">
            <v>14</v>
          </cell>
        </row>
        <row r="682">
          <cell r="B682">
            <v>17031750500</v>
          </cell>
          <cell r="D682">
            <v>2143</v>
          </cell>
          <cell r="E682">
            <v>419</v>
          </cell>
          <cell r="F682">
            <v>1809</v>
          </cell>
          <cell r="G682">
            <v>443</v>
          </cell>
          <cell r="H682">
            <v>1697</v>
          </cell>
          <cell r="I682">
            <v>450</v>
          </cell>
          <cell r="J682">
            <v>112</v>
          </cell>
          <cell r="K682">
            <v>89</v>
          </cell>
          <cell r="L682">
            <v>33</v>
          </cell>
          <cell r="M682">
            <v>32</v>
          </cell>
          <cell r="N682">
            <v>66</v>
          </cell>
          <cell r="O682">
            <v>89</v>
          </cell>
          <cell r="P682">
            <v>0</v>
          </cell>
          <cell r="Q682">
            <v>15</v>
          </cell>
          <cell r="R682">
            <v>13</v>
          </cell>
          <cell r="S682">
            <v>21</v>
          </cell>
          <cell r="T682">
            <v>0</v>
          </cell>
          <cell r="U682">
            <v>15</v>
          </cell>
          <cell r="V682">
            <v>211</v>
          </cell>
          <cell r="W682">
            <v>142</v>
          </cell>
          <cell r="X682">
            <v>61</v>
          </cell>
          <cell r="Y682">
            <v>94</v>
          </cell>
          <cell r="Z682">
            <v>0</v>
          </cell>
          <cell r="AA682">
            <v>15</v>
          </cell>
          <cell r="AB682">
            <v>0</v>
          </cell>
          <cell r="AC682">
            <v>15</v>
          </cell>
          <cell r="AD682">
            <v>150</v>
          </cell>
          <cell r="AE682">
            <v>107</v>
          </cell>
          <cell r="AF682">
            <v>0</v>
          </cell>
          <cell r="AG682">
            <v>15</v>
          </cell>
          <cell r="AH682">
            <v>0</v>
          </cell>
          <cell r="AI682">
            <v>15</v>
          </cell>
          <cell r="AJ682">
            <v>0</v>
          </cell>
          <cell r="AK682">
            <v>15</v>
          </cell>
          <cell r="AL682">
            <v>0</v>
          </cell>
          <cell r="AM682">
            <v>15</v>
          </cell>
          <cell r="AN682">
            <v>31</v>
          </cell>
          <cell r="AO682">
            <v>44</v>
          </cell>
          <cell r="AP682">
            <v>0</v>
          </cell>
          <cell r="AQ682">
            <v>15</v>
          </cell>
          <cell r="AR682">
            <v>92</v>
          </cell>
          <cell r="AS682">
            <v>74</v>
          </cell>
        </row>
        <row r="683">
          <cell r="B683">
            <v>17031750600</v>
          </cell>
          <cell r="D683">
            <v>962</v>
          </cell>
          <cell r="E683">
            <v>187</v>
          </cell>
          <cell r="F683">
            <v>603</v>
          </cell>
          <cell r="G683">
            <v>173</v>
          </cell>
          <cell r="H683">
            <v>544</v>
          </cell>
          <cell r="I683">
            <v>172</v>
          </cell>
          <cell r="J683">
            <v>59</v>
          </cell>
          <cell r="K683">
            <v>63</v>
          </cell>
          <cell r="L683">
            <v>59</v>
          </cell>
          <cell r="M683">
            <v>63</v>
          </cell>
          <cell r="N683">
            <v>0</v>
          </cell>
          <cell r="O683">
            <v>11</v>
          </cell>
          <cell r="P683">
            <v>0</v>
          </cell>
          <cell r="Q683">
            <v>11</v>
          </cell>
          <cell r="R683">
            <v>0</v>
          </cell>
          <cell r="S683">
            <v>11</v>
          </cell>
          <cell r="T683">
            <v>0</v>
          </cell>
          <cell r="U683">
            <v>11</v>
          </cell>
          <cell r="V683">
            <v>268</v>
          </cell>
          <cell r="W683">
            <v>99</v>
          </cell>
          <cell r="X683">
            <v>126</v>
          </cell>
          <cell r="Y683">
            <v>71</v>
          </cell>
          <cell r="Z683">
            <v>0</v>
          </cell>
          <cell r="AA683">
            <v>11</v>
          </cell>
          <cell r="AB683">
            <v>97</v>
          </cell>
          <cell r="AC683">
            <v>67</v>
          </cell>
          <cell r="AD683">
            <v>45</v>
          </cell>
          <cell r="AE683">
            <v>48</v>
          </cell>
          <cell r="AF683">
            <v>0</v>
          </cell>
          <cell r="AG683">
            <v>11</v>
          </cell>
          <cell r="AH683">
            <v>0</v>
          </cell>
          <cell r="AI683">
            <v>11</v>
          </cell>
          <cell r="AJ683">
            <v>0</v>
          </cell>
          <cell r="AK683">
            <v>11</v>
          </cell>
          <cell r="AL683">
            <v>0</v>
          </cell>
          <cell r="AM683">
            <v>11</v>
          </cell>
          <cell r="AN683">
            <v>31</v>
          </cell>
          <cell r="AO683">
            <v>46</v>
          </cell>
          <cell r="AP683">
            <v>0</v>
          </cell>
          <cell r="AQ683">
            <v>11</v>
          </cell>
          <cell r="AR683">
            <v>60</v>
          </cell>
          <cell r="AS683">
            <v>65</v>
          </cell>
        </row>
        <row r="684">
          <cell r="B684">
            <v>17031760801</v>
          </cell>
          <cell r="D684">
            <v>2288</v>
          </cell>
          <cell r="E684">
            <v>248</v>
          </cell>
          <cell r="F684">
            <v>1558</v>
          </cell>
          <cell r="G684">
            <v>230</v>
          </cell>
          <cell r="H684">
            <v>1472</v>
          </cell>
          <cell r="I684">
            <v>211</v>
          </cell>
          <cell r="J684">
            <v>86</v>
          </cell>
          <cell r="K684">
            <v>88</v>
          </cell>
          <cell r="L684">
            <v>86</v>
          </cell>
          <cell r="M684">
            <v>88</v>
          </cell>
          <cell r="N684">
            <v>0</v>
          </cell>
          <cell r="O684">
            <v>11</v>
          </cell>
          <cell r="P684">
            <v>0</v>
          </cell>
          <cell r="Q684">
            <v>11</v>
          </cell>
          <cell r="R684">
            <v>0</v>
          </cell>
          <cell r="S684">
            <v>11</v>
          </cell>
          <cell r="T684">
            <v>0</v>
          </cell>
          <cell r="U684">
            <v>11</v>
          </cell>
          <cell r="V684">
            <v>600</v>
          </cell>
          <cell r="W684">
            <v>205</v>
          </cell>
          <cell r="X684">
            <v>55</v>
          </cell>
          <cell r="Y684">
            <v>63</v>
          </cell>
          <cell r="Z684">
            <v>0</v>
          </cell>
          <cell r="AA684">
            <v>11</v>
          </cell>
          <cell r="AB684">
            <v>487</v>
          </cell>
          <cell r="AC684">
            <v>188</v>
          </cell>
          <cell r="AD684">
            <v>58</v>
          </cell>
          <cell r="AE684">
            <v>51</v>
          </cell>
          <cell r="AF684">
            <v>0</v>
          </cell>
          <cell r="AG684">
            <v>11</v>
          </cell>
          <cell r="AH684">
            <v>17</v>
          </cell>
          <cell r="AI684">
            <v>25</v>
          </cell>
          <cell r="AJ684">
            <v>0</v>
          </cell>
          <cell r="AK684">
            <v>11</v>
          </cell>
          <cell r="AL684">
            <v>0</v>
          </cell>
          <cell r="AM684">
            <v>11</v>
          </cell>
          <cell r="AN684">
            <v>29</v>
          </cell>
          <cell r="AO684">
            <v>34</v>
          </cell>
          <cell r="AP684">
            <v>0</v>
          </cell>
          <cell r="AQ684">
            <v>11</v>
          </cell>
          <cell r="AR684">
            <v>84</v>
          </cell>
          <cell r="AS684">
            <v>73</v>
          </cell>
        </row>
        <row r="685">
          <cell r="B685">
            <v>17031760802</v>
          </cell>
          <cell r="D685">
            <v>1186</v>
          </cell>
          <cell r="E685">
            <v>169</v>
          </cell>
          <cell r="F685">
            <v>999</v>
          </cell>
          <cell r="G685">
            <v>145</v>
          </cell>
          <cell r="H685">
            <v>908</v>
          </cell>
          <cell r="I685">
            <v>144</v>
          </cell>
          <cell r="J685">
            <v>91</v>
          </cell>
          <cell r="K685">
            <v>58</v>
          </cell>
          <cell r="L685">
            <v>91</v>
          </cell>
          <cell r="M685">
            <v>58</v>
          </cell>
          <cell r="N685">
            <v>0</v>
          </cell>
          <cell r="O685">
            <v>11</v>
          </cell>
          <cell r="P685">
            <v>0</v>
          </cell>
          <cell r="Q685">
            <v>11</v>
          </cell>
          <cell r="R685">
            <v>0</v>
          </cell>
          <cell r="S685">
            <v>11</v>
          </cell>
          <cell r="T685">
            <v>0</v>
          </cell>
          <cell r="U685">
            <v>11</v>
          </cell>
          <cell r="V685">
            <v>135</v>
          </cell>
          <cell r="W685">
            <v>65</v>
          </cell>
          <cell r="X685">
            <v>11</v>
          </cell>
          <cell r="Y685">
            <v>16</v>
          </cell>
          <cell r="Z685">
            <v>0</v>
          </cell>
          <cell r="AA685">
            <v>11</v>
          </cell>
          <cell r="AB685">
            <v>77</v>
          </cell>
          <cell r="AC685">
            <v>52</v>
          </cell>
          <cell r="AD685">
            <v>47</v>
          </cell>
          <cell r="AE685">
            <v>43</v>
          </cell>
          <cell r="AF685">
            <v>0</v>
          </cell>
          <cell r="AG685">
            <v>11</v>
          </cell>
          <cell r="AH685">
            <v>0</v>
          </cell>
          <cell r="AI685">
            <v>11</v>
          </cell>
          <cell r="AJ685">
            <v>0</v>
          </cell>
          <cell r="AK685">
            <v>11</v>
          </cell>
          <cell r="AL685">
            <v>0</v>
          </cell>
          <cell r="AM685">
            <v>11</v>
          </cell>
          <cell r="AN685">
            <v>14</v>
          </cell>
          <cell r="AO685">
            <v>15</v>
          </cell>
          <cell r="AP685">
            <v>0</v>
          </cell>
          <cell r="AQ685">
            <v>11</v>
          </cell>
          <cell r="AR685">
            <v>38</v>
          </cell>
          <cell r="AS685">
            <v>41</v>
          </cell>
        </row>
        <row r="686">
          <cell r="B686">
            <v>17031760803</v>
          </cell>
          <cell r="D686">
            <v>2997</v>
          </cell>
          <cell r="E686">
            <v>345</v>
          </cell>
          <cell r="F686">
            <v>2565</v>
          </cell>
          <cell r="G686">
            <v>322</v>
          </cell>
          <cell r="H686">
            <v>2479</v>
          </cell>
          <cell r="I686">
            <v>308</v>
          </cell>
          <cell r="J686">
            <v>86</v>
          </cell>
          <cell r="K686">
            <v>58</v>
          </cell>
          <cell r="L686">
            <v>86</v>
          </cell>
          <cell r="M686">
            <v>58</v>
          </cell>
          <cell r="N686">
            <v>0</v>
          </cell>
          <cell r="O686">
            <v>15</v>
          </cell>
          <cell r="P686">
            <v>0</v>
          </cell>
          <cell r="Q686">
            <v>15</v>
          </cell>
          <cell r="R686">
            <v>0</v>
          </cell>
          <cell r="S686">
            <v>15</v>
          </cell>
          <cell r="T686">
            <v>0</v>
          </cell>
          <cell r="U686">
            <v>15</v>
          </cell>
          <cell r="V686">
            <v>317</v>
          </cell>
          <cell r="W686">
            <v>141</v>
          </cell>
          <cell r="X686">
            <v>120</v>
          </cell>
          <cell r="Y686">
            <v>90</v>
          </cell>
          <cell r="Z686">
            <v>0</v>
          </cell>
          <cell r="AA686">
            <v>15</v>
          </cell>
          <cell r="AB686">
            <v>175</v>
          </cell>
          <cell r="AC686">
            <v>89</v>
          </cell>
          <cell r="AD686">
            <v>22</v>
          </cell>
          <cell r="AE686">
            <v>30</v>
          </cell>
          <cell r="AF686">
            <v>0</v>
          </cell>
          <cell r="AG686">
            <v>15</v>
          </cell>
          <cell r="AH686">
            <v>10</v>
          </cell>
          <cell r="AI686">
            <v>18</v>
          </cell>
          <cell r="AJ686">
            <v>0</v>
          </cell>
          <cell r="AK686">
            <v>15</v>
          </cell>
          <cell r="AL686">
            <v>0</v>
          </cell>
          <cell r="AM686">
            <v>15</v>
          </cell>
          <cell r="AN686">
            <v>16</v>
          </cell>
          <cell r="AO686">
            <v>25</v>
          </cell>
          <cell r="AP686">
            <v>19</v>
          </cell>
          <cell r="AQ686">
            <v>30</v>
          </cell>
          <cell r="AR686">
            <v>70</v>
          </cell>
          <cell r="AS686">
            <v>60</v>
          </cell>
        </row>
        <row r="687">
          <cell r="B687">
            <v>17031770201</v>
          </cell>
          <cell r="D687">
            <v>3096</v>
          </cell>
          <cell r="E687">
            <v>262</v>
          </cell>
          <cell r="F687">
            <v>2906</v>
          </cell>
          <cell r="G687">
            <v>271</v>
          </cell>
          <cell r="H687">
            <v>2754</v>
          </cell>
          <cell r="I687">
            <v>276</v>
          </cell>
          <cell r="J687">
            <v>152</v>
          </cell>
          <cell r="K687">
            <v>88</v>
          </cell>
          <cell r="L687">
            <v>146</v>
          </cell>
          <cell r="M687">
            <v>88</v>
          </cell>
          <cell r="N687">
            <v>6</v>
          </cell>
          <cell r="O687">
            <v>12</v>
          </cell>
          <cell r="P687">
            <v>0</v>
          </cell>
          <cell r="Q687">
            <v>15</v>
          </cell>
          <cell r="R687">
            <v>0</v>
          </cell>
          <cell r="S687">
            <v>15</v>
          </cell>
          <cell r="T687">
            <v>0</v>
          </cell>
          <cell r="U687">
            <v>15</v>
          </cell>
          <cell r="V687">
            <v>46</v>
          </cell>
          <cell r="W687">
            <v>39</v>
          </cell>
          <cell r="X687">
            <v>10</v>
          </cell>
          <cell r="Y687">
            <v>11</v>
          </cell>
          <cell r="Z687">
            <v>0</v>
          </cell>
          <cell r="AA687">
            <v>15</v>
          </cell>
          <cell r="AB687">
            <v>0</v>
          </cell>
          <cell r="AC687">
            <v>15</v>
          </cell>
          <cell r="AD687">
            <v>36</v>
          </cell>
          <cell r="AE687">
            <v>38</v>
          </cell>
          <cell r="AF687">
            <v>0</v>
          </cell>
          <cell r="AG687">
            <v>15</v>
          </cell>
          <cell r="AH687">
            <v>0</v>
          </cell>
          <cell r="AI687">
            <v>15</v>
          </cell>
          <cell r="AJ687">
            <v>0</v>
          </cell>
          <cell r="AK687">
            <v>15</v>
          </cell>
          <cell r="AL687">
            <v>19</v>
          </cell>
          <cell r="AM687">
            <v>29</v>
          </cell>
          <cell r="AN687">
            <v>20</v>
          </cell>
          <cell r="AO687">
            <v>36</v>
          </cell>
          <cell r="AP687">
            <v>0</v>
          </cell>
          <cell r="AQ687">
            <v>15</v>
          </cell>
          <cell r="AR687">
            <v>105</v>
          </cell>
          <cell r="AS687">
            <v>64</v>
          </cell>
        </row>
        <row r="688">
          <cell r="B688">
            <v>17031770202</v>
          </cell>
          <cell r="D688">
            <v>2228</v>
          </cell>
          <cell r="E688">
            <v>249</v>
          </cell>
          <cell r="F688">
            <v>1986</v>
          </cell>
          <cell r="G688">
            <v>245</v>
          </cell>
          <cell r="H688">
            <v>1764</v>
          </cell>
          <cell r="I688">
            <v>231</v>
          </cell>
          <cell r="J688">
            <v>222</v>
          </cell>
          <cell r="K688">
            <v>109</v>
          </cell>
          <cell r="L688">
            <v>201</v>
          </cell>
          <cell r="M688">
            <v>102</v>
          </cell>
          <cell r="N688">
            <v>0</v>
          </cell>
          <cell r="O688">
            <v>11</v>
          </cell>
          <cell r="P688">
            <v>21</v>
          </cell>
          <cell r="Q688">
            <v>33</v>
          </cell>
          <cell r="R688">
            <v>0</v>
          </cell>
          <cell r="S688">
            <v>11</v>
          </cell>
          <cell r="T688">
            <v>0</v>
          </cell>
          <cell r="U688">
            <v>11</v>
          </cell>
          <cell r="V688">
            <v>28</v>
          </cell>
          <cell r="W688">
            <v>32</v>
          </cell>
          <cell r="X688">
            <v>1</v>
          </cell>
          <cell r="Y688">
            <v>3</v>
          </cell>
          <cell r="Z688">
            <v>0</v>
          </cell>
          <cell r="AA688">
            <v>11</v>
          </cell>
          <cell r="AB688">
            <v>0</v>
          </cell>
          <cell r="AC688">
            <v>11</v>
          </cell>
          <cell r="AD688">
            <v>27</v>
          </cell>
          <cell r="AE688">
            <v>32</v>
          </cell>
          <cell r="AF688">
            <v>0</v>
          </cell>
          <cell r="AG688">
            <v>11</v>
          </cell>
          <cell r="AH688">
            <v>0</v>
          </cell>
          <cell r="AI688">
            <v>11</v>
          </cell>
          <cell r="AJ688">
            <v>16</v>
          </cell>
          <cell r="AK688">
            <v>23</v>
          </cell>
          <cell r="AL688">
            <v>0</v>
          </cell>
          <cell r="AM688">
            <v>11</v>
          </cell>
          <cell r="AN688">
            <v>50</v>
          </cell>
          <cell r="AO688">
            <v>48</v>
          </cell>
          <cell r="AP688">
            <v>0</v>
          </cell>
          <cell r="AQ688">
            <v>11</v>
          </cell>
          <cell r="AR688">
            <v>148</v>
          </cell>
          <cell r="AS688">
            <v>98</v>
          </cell>
        </row>
        <row r="689">
          <cell r="B689">
            <v>17031770300</v>
          </cell>
          <cell r="D689">
            <v>4076</v>
          </cell>
          <cell r="E689">
            <v>320</v>
          </cell>
          <cell r="F689">
            <v>3872</v>
          </cell>
          <cell r="G689">
            <v>316</v>
          </cell>
          <cell r="H689">
            <v>3692</v>
          </cell>
          <cell r="I689">
            <v>314</v>
          </cell>
          <cell r="J689">
            <v>180</v>
          </cell>
          <cell r="K689">
            <v>133</v>
          </cell>
          <cell r="L689">
            <v>164</v>
          </cell>
          <cell r="M689">
            <v>121</v>
          </cell>
          <cell r="N689">
            <v>16</v>
          </cell>
          <cell r="O689">
            <v>27</v>
          </cell>
          <cell r="P689">
            <v>0</v>
          </cell>
          <cell r="Q689">
            <v>15</v>
          </cell>
          <cell r="R689">
            <v>0</v>
          </cell>
          <cell r="S689">
            <v>15</v>
          </cell>
          <cell r="T689">
            <v>0</v>
          </cell>
          <cell r="U689">
            <v>15</v>
          </cell>
          <cell r="V689">
            <v>61</v>
          </cell>
          <cell r="W689">
            <v>49</v>
          </cell>
          <cell r="X689">
            <v>18</v>
          </cell>
          <cell r="Y689">
            <v>30</v>
          </cell>
          <cell r="Z689">
            <v>0</v>
          </cell>
          <cell r="AA689">
            <v>15</v>
          </cell>
          <cell r="AB689">
            <v>0</v>
          </cell>
          <cell r="AC689">
            <v>15</v>
          </cell>
          <cell r="AD689">
            <v>43</v>
          </cell>
          <cell r="AE689">
            <v>40</v>
          </cell>
          <cell r="AF689">
            <v>0</v>
          </cell>
          <cell r="AG689">
            <v>15</v>
          </cell>
          <cell r="AH689">
            <v>0</v>
          </cell>
          <cell r="AI689">
            <v>15</v>
          </cell>
          <cell r="AJ689">
            <v>0</v>
          </cell>
          <cell r="AK689">
            <v>15</v>
          </cell>
          <cell r="AL689">
            <v>24</v>
          </cell>
          <cell r="AM689">
            <v>37</v>
          </cell>
          <cell r="AN689">
            <v>19</v>
          </cell>
          <cell r="AO689">
            <v>31</v>
          </cell>
          <cell r="AP689">
            <v>24</v>
          </cell>
          <cell r="AQ689">
            <v>27</v>
          </cell>
          <cell r="AR689">
            <v>76</v>
          </cell>
          <cell r="AS689">
            <v>55</v>
          </cell>
        </row>
        <row r="690">
          <cell r="B690">
            <v>17031770400</v>
          </cell>
          <cell r="D690">
            <v>2524</v>
          </cell>
          <cell r="E690">
            <v>228</v>
          </cell>
          <cell r="F690">
            <v>2301</v>
          </cell>
          <cell r="G690">
            <v>223</v>
          </cell>
          <cell r="H690">
            <v>1895</v>
          </cell>
          <cell r="I690">
            <v>178</v>
          </cell>
          <cell r="J690">
            <v>406</v>
          </cell>
          <cell r="K690">
            <v>200</v>
          </cell>
          <cell r="L690">
            <v>359</v>
          </cell>
          <cell r="M690">
            <v>199</v>
          </cell>
          <cell r="N690">
            <v>36</v>
          </cell>
          <cell r="O690">
            <v>44</v>
          </cell>
          <cell r="P690">
            <v>0</v>
          </cell>
          <cell r="Q690">
            <v>11</v>
          </cell>
          <cell r="R690">
            <v>0</v>
          </cell>
          <cell r="S690">
            <v>11</v>
          </cell>
          <cell r="T690">
            <v>11</v>
          </cell>
          <cell r="U690">
            <v>16</v>
          </cell>
          <cell r="V690">
            <v>35</v>
          </cell>
          <cell r="W690">
            <v>25</v>
          </cell>
          <cell r="X690">
            <v>0</v>
          </cell>
          <cell r="Y690">
            <v>11</v>
          </cell>
          <cell r="Z690">
            <v>0</v>
          </cell>
          <cell r="AA690">
            <v>11</v>
          </cell>
          <cell r="AB690">
            <v>12</v>
          </cell>
          <cell r="AC690">
            <v>16</v>
          </cell>
          <cell r="AD690">
            <v>23</v>
          </cell>
          <cell r="AE690">
            <v>20</v>
          </cell>
          <cell r="AF690">
            <v>0</v>
          </cell>
          <cell r="AG690">
            <v>11</v>
          </cell>
          <cell r="AH690">
            <v>7</v>
          </cell>
          <cell r="AI690">
            <v>11</v>
          </cell>
          <cell r="AJ690">
            <v>0</v>
          </cell>
          <cell r="AK690">
            <v>11</v>
          </cell>
          <cell r="AL690">
            <v>10</v>
          </cell>
          <cell r="AM690">
            <v>16</v>
          </cell>
          <cell r="AN690">
            <v>20</v>
          </cell>
          <cell r="AO690">
            <v>31</v>
          </cell>
          <cell r="AP690">
            <v>0</v>
          </cell>
          <cell r="AQ690">
            <v>11</v>
          </cell>
          <cell r="AR690">
            <v>151</v>
          </cell>
          <cell r="AS690">
            <v>67</v>
          </cell>
        </row>
        <row r="691">
          <cell r="B691">
            <v>17031770500</v>
          </cell>
          <cell r="D691">
            <v>1726</v>
          </cell>
          <cell r="E691">
            <v>268</v>
          </cell>
          <cell r="F691">
            <v>1677</v>
          </cell>
          <cell r="G691">
            <v>271</v>
          </cell>
          <cell r="H691">
            <v>1354</v>
          </cell>
          <cell r="I691">
            <v>252</v>
          </cell>
          <cell r="J691">
            <v>323</v>
          </cell>
          <cell r="K691">
            <v>136</v>
          </cell>
          <cell r="L691">
            <v>246</v>
          </cell>
          <cell r="M691">
            <v>130</v>
          </cell>
          <cell r="N691">
            <v>24</v>
          </cell>
          <cell r="O691">
            <v>40</v>
          </cell>
          <cell r="P691">
            <v>42</v>
          </cell>
          <cell r="Q691">
            <v>70</v>
          </cell>
          <cell r="R691">
            <v>0</v>
          </cell>
          <cell r="S691">
            <v>11</v>
          </cell>
          <cell r="T691">
            <v>11</v>
          </cell>
          <cell r="U691">
            <v>16</v>
          </cell>
          <cell r="V691">
            <v>18</v>
          </cell>
          <cell r="W691">
            <v>30</v>
          </cell>
          <cell r="X691">
            <v>0</v>
          </cell>
          <cell r="Y691">
            <v>11</v>
          </cell>
          <cell r="Z691">
            <v>0</v>
          </cell>
          <cell r="AA691">
            <v>11</v>
          </cell>
          <cell r="AB691">
            <v>18</v>
          </cell>
          <cell r="AC691">
            <v>30</v>
          </cell>
          <cell r="AD691">
            <v>0</v>
          </cell>
          <cell r="AE691">
            <v>11</v>
          </cell>
          <cell r="AF691">
            <v>0</v>
          </cell>
          <cell r="AG691">
            <v>11</v>
          </cell>
          <cell r="AH691">
            <v>0</v>
          </cell>
          <cell r="AI691">
            <v>11</v>
          </cell>
          <cell r="AJ691">
            <v>0</v>
          </cell>
          <cell r="AK691">
            <v>11</v>
          </cell>
          <cell r="AL691">
            <v>0</v>
          </cell>
          <cell r="AM691">
            <v>11</v>
          </cell>
          <cell r="AN691">
            <v>31</v>
          </cell>
          <cell r="AO691">
            <v>51</v>
          </cell>
          <cell r="AP691">
            <v>0</v>
          </cell>
          <cell r="AQ691">
            <v>11</v>
          </cell>
          <cell r="AR691">
            <v>0</v>
          </cell>
          <cell r="AS691">
            <v>11</v>
          </cell>
        </row>
        <row r="692">
          <cell r="B692">
            <v>17031770601</v>
          </cell>
          <cell r="D692">
            <v>1495</v>
          </cell>
          <cell r="E692">
            <v>151</v>
          </cell>
          <cell r="F692">
            <v>1360</v>
          </cell>
          <cell r="G692">
            <v>143</v>
          </cell>
          <cell r="H692">
            <v>1299</v>
          </cell>
          <cell r="I692">
            <v>126</v>
          </cell>
          <cell r="J692">
            <v>61</v>
          </cell>
          <cell r="K692">
            <v>52</v>
          </cell>
          <cell r="L692">
            <v>39</v>
          </cell>
          <cell r="M692">
            <v>35</v>
          </cell>
          <cell r="N692">
            <v>14</v>
          </cell>
          <cell r="O692">
            <v>25</v>
          </cell>
          <cell r="P692">
            <v>8</v>
          </cell>
          <cell r="Q692">
            <v>13</v>
          </cell>
          <cell r="R692">
            <v>0</v>
          </cell>
          <cell r="S692">
            <v>11</v>
          </cell>
          <cell r="T692">
            <v>0</v>
          </cell>
          <cell r="U692">
            <v>11</v>
          </cell>
          <cell r="V692">
            <v>66</v>
          </cell>
          <cell r="W692">
            <v>40</v>
          </cell>
          <cell r="X692">
            <v>11</v>
          </cell>
          <cell r="Y692">
            <v>18</v>
          </cell>
          <cell r="Z692">
            <v>0</v>
          </cell>
          <cell r="AA692">
            <v>11</v>
          </cell>
          <cell r="AB692">
            <v>31</v>
          </cell>
          <cell r="AC692">
            <v>30</v>
          </cell>
          <cell r="AD692">
            <v>24</v>
          </cell>
          <cell r="AE692">
            <v>17</v>
          </cell>
          <cell r="AF692">
            <v>0</v>
          </cell>
          <cell r="AG692">
            <v>11</v>
          </cell>
          <cell r="AH692">
            <v>0</v>
          </cell>
          <cell r="AI692">
            <v>11</v>
          </cell>
          <cell r="AJ692">
            <v>0</v>
          </cell>
          <cell r="AK692">
            <v>11</v>
          </cell>
          <cell r="AL692">
            <v>0</v>
          </cell>
          <cell r="AM692">
            <v>11</v>
          </cell>
          <cell r="AN692">
            <v>0</v>
          </cell>
          <cell r="AO692">
            <v>11</v>
          </cell>
          <cell r="AP692">
            <v>29</v>
          </cell>
          <cell r="AQ692">
            <v>27</v>
          </cell>
          <cell r="AR692">
            <v>40</v>
          </cell>
          <cell r="AS692">
            <v>31</v>
          </cell>
        </row>
        <row r="693">
          <cell r="B693">
            <v>17031770602</v>
          </cell>
          <cell r="D693">
            <v>2380</v>
          </cell>
          <cell r="E693">
            <v>228</v>
          </cell>
          <cell r="F693">
            <v>2040</v>
          </cell>
          <cell r="G693">
            <v>235</v>
          </cell>
          <cell r="H693">
            <v>1744</v>
          </cell>
          <cell r="I693">
            <v>216</v>
          </cell>
          <cell r="J693">
            <v>296</v>
          </cell>
          <cell r="K693">
            <v>146</v>
          </cell>
          <cell r="L693">
            <v>173</v>
          </cell>
          <cell r="M693">
            <v>84</v>
          </cell>
          <cell r="N693">
            <v>107</v>
          </cell>
          <cell r="O693">
            <v>125</v>
          </cell>
          <cell r="P693">
            <v>16</v>
          </cell>
          <cell r="Q693">
            <v>24</v>
          </cell>
          <cell r="R693">
            <v>0</v>
          </cell>
          <cell r="S693">
            <v>15</v>
          </cell>
          <cell r="T693">
            <v>0</v>
          </cell>
          <cell r="U693">
            <v>15</v>
          </cell>
          <cell r="V693">
            <v>152</v>
          </cell>
          <cell r="W693">
            <v>88</v>
          </cell>
          <cell r="X693">
            <v>97</v>
          </cell>
          <cell r="Y693">
            <v>84</v>
          </cell>
          <cell r="Z693">
            <v>0</v>
          </cell>
          <cell r="AA693">
            <v>15</v>
          </cell>
          <cell r="AB693">
            <v>32</v>
          </cell>
          <cell r="AC693">
            <v>22</v>
          </cell>
          <cell r="AD693">
            <v>23</v>
          </cell>
          <cell r="AE693">
            <v>24</v>
          </cell>
          <cell r="AF693">
            <v>0</v>
          </cell>
          <cell r="AG693">
            <v>15</v>
          </cell>
          <cell r="AH693">
            <v>23</v>
          </cell>
          <cell r="AI693">
            <v>24</v>
          </cell>
          <cell r="AJ693">
            <v>0</v>
          </cell>
          <cell r="AK693">
            <v>15</v>
          </cell>
          <cell r="AL693">
            <v>0</v>
          </cell>
          <cell r="AM693">
            <v>15</v>
          </cell>
          <cell r="AN693">
            <v>60</v>
          </cell>
          <cell r="AO693">
            <v>43</v>
          </cell>
          <cell r="AP693">
            <v>49</v>
          </cell>
          <cell r="AQ693">
            <v>67</v>
          </cell>
          <cell r="AR693">
            <v>56</v>
          </cell>
          <cell r="AS693">
            <v>49</v>
          </cell>
        </row>
        <row r="694">
          <cell r="B694">
            <v>17031770700</v>
          </cell>
          <cell r="D694">
            <v>1398</v>
          </cell>
          <cell r="E694">
            <v>161</v>
          </cell>
          <cell r="F694">
            <v>1220</v>
          </cell>
          <cell r="G694">
            <v>161</v>
          </cell>
          <cell r="H694">
            <v>1161</v>
          </cell>
          <cell r="I694">
            <v>159</v>
          </cell>
          <cell r="J694">
            <v>59</v>
          </cell>
          <cell r="K694">
            <v>29</v>
          </cell>
          <cell r="L694">
            <v>54</v>
          </cell>
          <cell r="M694">
            <v>28</v>
          </cell>
          <cell r="N694">
            <v>0</v>
          </cell>
          <cell r="O694">
            <v>11</v>
          </cell>
          <cell r="P694">
            <v>5</v>
          </cell>
          <cell r="Q694">
            <v>8</v>
          </cell>
          <cell r="R694">
            <v>0</v>
          </cell>
          <cell r="S694">
            <v>11</v>
          </cell>
          <cell r="T694">
            <v>0</v>
          </cell>
          <cell r="U694">
            <v>11</v>
          </cell>
          <cell r="V694">
            <v>90</v>
          </cell>
          <cell r="W694">
            <v>44</v>
          </cell>
          <cell r="X694">
            <v>23</v>
          </cell>
          <cell r="Y694">
            <v>25</v>
          </cell>
          <cell r="Z694">
            <v>0</v>
          </cell>
          <cell r="AA694">
            <v>11</v>
          </cell>
          <cell r="AB694">
            <v>46</v>
          </cell>
          <cell r="AC694">
            <v>34</v>
          </cell>
          <cell r="AD694">
            <v>17</v>
          </cell>
          <cell r="AE694">
            <v>26</v>
          </cell>
          <cell r="AF694">
            <v>4</v>
          </cell>
          <cell r="AG694">
            <v>7</v>
          </cell>
          <cell r="AH694">
            <v>11</v>
          </cell>
          <cell r="AI694">
            <v>12</v>
          </cell>
          <cell r="AJ694">
            <v>0</v>
          </cell>
          <cell r="AK694">
            <v>11</v>
          </cell>
          <cell r="AL694">
            <v>0</v>
          </cell>
          <cell r="AM694">
            <v>11</v>
          </cell>
          <cell r="AN694">
            <v>44</v>
          </cell>
          <cell r="AO694">
            <v>35</v>
          </cell>
          <cell r="AP694">
            <v>14</v>
          </cell>
          <cell r="AQ694">
            <v>15</v>
          </cell>
          <cell r="AR694">
            <v>19</v>
          </cell>
          <cell r="AS694">
            <v>15</v>
          </cell>
        </row>
        <row r="695">
          <cell r="B695">
            <v>17031770800</v>
          </cell>
          <cell r="D695">
            <v>3151</v>
          </cell>
          <cell r="E695">
            <v>319</v>
          </cell>
          <cell r="F695">
            <v>2653</v>
          </cell>
          <cell r="G695">
            <v>308</v>
          </cell>
          <cell r="H695">
            <v>2306</v>
          </cell>
          <cell r="I695">
            <v>277</v>
          </cell>
          <cell r="J695">
            <v>347</v>
          </cell>
          <cell r="K695">
            <v>193</v>
          </cell>
          <cell r="L695">
            <v>327</v>
          </cell>
          <cell r="M695">
            <v>188</v>
          </cell>
          <cell r="N695">
            <v>20</v>
          </cell>
          <cell r="O695">
            <v>32</v>
          </cell>
          <cell r="P695">
            <v>0</v>
          </cell>
          <cell r="Q695">
            <v>15</v>
          </cell>
          <cell r="R695">
            <v>0</v>
          </cell>
          <cell r="S695">
            <v>15</v>
          </cell>
          <cell r="T695">
            <v>0</v>
          </cell>
          <cell r="U695">
            <v>15</v>
          </cell>
          <cell r="V695">
            <v>216</v>
          </cell>
          <cell r="W695">
            <v>114</v>
          </cell>
          <cell r="X695">
            <v>100</v>
          </cell>
          <cell r="Y695">
            <v>97</v>
          </cell>
          <cell r="Z695">
            <v>0</v>
          </cell>
          <cell r="AA695">
            <v>15</v>
          </cell>
          <cell r="AB695">
            <v>45</v>
          </cell>
          <cell r="AC695">
            <v>53</v>
          </cell>
          <cell r="AD695">
            <v>71</v>
          </cell>
          <cell r="AE695">
            <v>59</v>
          </cell>
          <cell r="AF695">
            <v>0</v>
          </cell>
          <cell r="AG695">
            <v>15</v>
          </cell>
          <cell r="AH695">
            <v>0</v>
          </cell>
          <cell r="AI695">
            <v>15</v>
          </cell>
          <cell r="AJ695">
            <v>0</v>
          </cell>
          <cell r="AK695">
            <v>15</v>
          </cell>
          <cell r="AL695">
            <v>0</v>
          </cell>
          <cell r="AM695">
            <v>15</v>
          </cell>
          <cell r="AN695">
            <v>47</v>
          </cell>
          <cell r="AO695">
            <v>50</v>
          </cell>
          <cell r="AP695">
            <v>34</v>
          </cell>
          <cell r="AQ695">
            <v>50</v>
          </cell>
          <cell r="AR695">
            <v>201</v>
          </cell>
          <cell r="AS695">
            <v>168</v>
          </cell>
        </row>
        <row r="696">
          <cell r="B696">
            <v>17031770901</v>
          </cell>
          <cell r="D696">
            <v>2417</v>
          </cell>
          <cell r="E696">
            <v>219</v>
          </cell>
          <cell r="F696">
            <v>2048</v>
          </cell>
          <cell r="G696">
            <v>208</v>
          </cell>
          <cell r="H696">
            <v>1928</v>
          </cell>
          <cell r="I696">
            <v>204</v>
          </cell>
          <cell r="J696">
            <v>120</v>
          </cell>
          <cell r="K696">
            <v>63</v>
          </cell>
          <cell r="L696">
            <v>120</v>
          </cell>
          <cell r="M696">
            <v>63</v>
          </cell>
          <cell r="N696">
            <v>0</v>
          </cell>
          <cell r="O696">
            <v>15</v>
          </cell>
          <cell r="P696">
            <v>0</v>
          </cell>
          <cell r="Q696">
            <v>15</v>
          </cell>
          <cell r="R696">
            <v>0</v>
          </cell>
          <cell r="S696">
            <v>15</v>
          </cell>
          <cell r="T696">
            <v>0</v>
          </cell>
          <cell r="U696">
            <v>15</v>
          </cell>
          <cell r="V696">
            <v>184</v>
          </cell>
          <cell r="W696">
            <v>92</v>
          </cell>
          <cell r="X696">
            <v>64</v>
          </cell>
          <cell r="Y696">
            <v>49</v>
          </cell>
          <cell r="Z696">
            <v>0</v>
          </cell>
          <cell r="AA696">
            <v>15</v>
          </cell>
          <cell r="AB696">
            <v>88</v>
          </cell>
          <cell r="AC696">
            <v>57</v>
          </cell>
          <cell r="AD696">
            <v>32</v>
          </cell>
          <cell r="AE696">
            <v>51</v>
          </cell>
          <cell r="AF696">
            <v>0</v>
          </cell>
          <cell r="AG696">
            <v>15</v>
          </cell>
          <cell r="AH696">
            <v>0</v>
          </cell>
          <cell r="AI696">
            <v>15</v>
          </cell>
          <cell r="AJ696">
            <v>0</v>
          </cell>
          <cell r="AK696">
            <v>15</v>
          </cell>
          <cell r="AL696">
            <v>23</v>
          </cell>
          <cell r="AM696">
            <v>27</v>
          </cell>
          <cell r="AN696">
            <v>53</v>
          </cell>
          <cell r="AO696">
            <v>51</v>
          </cell>
          <cell r="AP696">
            <v>14</v>
          </cell>
          <cell r="AQ696">
            <v>22</v>
          </cell>
          <cell r="AR696">
            <v>95</v>
          </cell>
          <cell r="AS696">
            <v>66</v>
          </cell>
        </row>
        <row r="697">
          <cell r="B697">
            <v>17031770902</v>
          </cell>
          <cell r="D697">
            <v>1621</v>
          </cell>
          <cell r="E697">
            <v>203</v>
          </cell>
          <cell r="F697">
            <v>1418</v>
          </cell>
          <cell r="G697">
            <v>216</v>
          </cell>
          <cell r="H697">
            <v>1317</v>
          </cell>
          <cell r="I697">
            <v>200</v>
          </cell>
          <cell r="J697">
            <v>101</v>
          </cell>
          <cell r="K697">
            <v>72</v>
          </cell>
          <cell r="L697">
            <v>100</v>
          </cell>
          <cell r="M697">
            <v>72</v>
          </cell>
          <cell r="N697">
            <v>1</v>
          </cell>
          <cell r="O697">
            <v>2</v>
          </cell>
          <cell r="P697">
            <v>0</v>
          </cell>
          <cell r="Q697">
            <v>11</v>
          </cell>
          <cell r="R697">
            <v>0</v>
          </cell>
          <cell r="S697">
            <v>11</v>
          </cell>
          <cell r="T697">
            <v>0</v>
          </cell>
          <cell r="U697">
            <v>11</v>
          </cell>
          <cell r="V697">
            <v>168</v>
          </cell>
          <cell r="W697">
            <v>89</v>
          </cell>
          <cell r="X697">
            <v>0</v>
          </cell>
          <cell r="Y697">
            <v>11</v>
          </cell>
          <cell r="Z697">
            <v>0</v>
          </cell>
          <cell r="AA697">
            <v>11</v>
          </cell>
          <cell r="AB697">
            <v>142</v>
          </cell>
          <cell r="AC697">
            <v>92</v>
          </cell>
          <cell r="AD697">
            <v>26</v>
          </cell>
          <cell r="AE697">
            <v>29</v>
          </cell>
          <cell r="AF697">
            <v>0</v>
          </cell>
          <cell r="AG697">
            <v>11</v>
          </cell>
          <cell r="AH697">
            <v>17</v>
          </cell>
          <cell r="AI697">
            <v>27</v>
          </cell>
          <cell r="AJ697">
            <v>0</v>
          </cell>
          <cell r="AK697">
            <v>11</v>
          </cell>
          <cell r="AL697">
            <v>10</v>
          </cell>
          <cell r="AM697">
            <v>17</v>
          </cell>
          <cell r="AN697">
            <v>8</v>
          </cell>
          <cell r="AO697">
            <v>13</v>
          </cell>
          <cell r="AP697">
            <v>0</v>
          </cell>
          <cell r="AQ697">
            <v>11</v>
          </cell>
          <cell r="AR697">
            <v>0</v>
          </cell>
          <cell r="AS697">
            <v>11</v>
          </cell>
        </row>
        <row r="698">
          <cell r="B698">
            <v>17031800100</v>
          </cell>
          <cell r="D698">
            <v>1044</v>
          </cell>
          <cell r="E698">
            <v>114</v>
          </cell>
          <cell r="F698">
            <v>631</v>
          </cell>
          <cell r="G698">
            <v>89</v>
          </cell>
          <cell r="H698">
            <v>584</v>
          </cell>
          <cell r="I698">
            <v>85</v>
          </cell>
          <cell r="J698">
            <v>47</v>
          </cell>
          <cell r="K698">
            <v>35</v>
          </cell>
          <cell r="L698">
            <v>47</v>
          </cell>
          <cell r="M698">
            <v>35</v>
          </cell>
          <cell r="N698">
            <v>0</v>
          </cell>
          <cell r="O698">
            <v>11</v>
          </cell>
          <cell r="P698">
            <v>0</v>
          </cell>
          <cell r="Q698">
            <v>11</v>
          </cell>
          <cell r="R698">
            <v>0</v>
          </cell>
          <cell r="S698">
            <v>11</v>
          </cell>
          <cell r="T698">
            <v>0</v>
          </cell>
          <cell r="U698">
            <v>11</v>
          </cell>
          <cell r="V698">
            <v>238</v>
          </cell>
          <cell r="W698">
            <v>60</v>
          </cell>
          <cell r="X698">
            <v>0</v>
          </cell>
          <cell r="Y698">
            <v>11</v>
          </cell>
          <cell r="Z698">
            <v>0</v>
          </cell>
          <cell r="AA698">
            <v>11</v>
          </cell>
          <cell r="AB698">
            <v>14</v>
          </cell>
          <cell r="AC698">
            <v>13</v>
          </cell>
          <cell r="AD698">
            <v>224</v>
          </cell>
          <cell r="AE698">
            <v>56</v>
          </cell>
          <cell r="AF698">
            <v>0</v>
          </cell>
          <cell r="AG698">
            <v>11</v>
          </cell>
          <cell r="AH698">
            <v>0</v>
          </cell>
          <cell r="AI698">
            <v>11</v>
          </cell>
          <cell r="AJ698">
            <v>0</v>
          </cell>
          <cell r="AK698">
            <v>11</v>
          </cell>
          <cell r="AL698">
            <v>0</v>
          </cell>
          <cell r="AM698">
            <v>11</v>
          </cell>
          <cell r="AN698">
            <v>24</v>
          </cell>
          <cell r="AO698">
            <v>26</v>
          </cell>
          <cell r="AP698">
            <v>0</v>
          </cell>
          <cell r="AQ698">
            <v>11</v>
          </cell>
          <cell r="AR698">
            <v>151</v>
          </cell>
          <cell r="AS698">
            <v>50</v>
          </cell>
        </row>
        <row r="699">
          <cell r="B699">
            <v>17031800200</v>
          </cell>
          <cell r="D699">
            <v>2940</v>
          </cell>
          <cell r="E699">
            <v>217</v>
          </cell>
          <cell r="F699">
            <v>1812</v>
          </cell>
          <cell r="G699">
            <v>230</v>
          </cell>
          <cell r="H699">
            <v>1715</v>
          </cell>
          <cell r="I699">
            <v>227</v>
          </cell>
          <cell r="J699">
            <v>97</v>
          </cell>
          <cell r="K699">
            <v>69</v>
          </cell>
          <cell r="L699">
            <v>80</v>
          </cell>
          <cell r="M699">
            <v>64</v>
          </cell>
          <cell r="N699">
            <v>0</v>
          </cell>
          <cell r="O699">
            <v>15</v>
          </cell>
          <cell r="P699">
            <v>0</v>
          </cell>
          <cell r="Q699">
            <v>15</v>
          </cell>
          <cell r="R699">
            <v>0</v>
          </cell>
          <cell r="S699">
            <v>15</v>
          </cell>
          <cell r="T699">
            <v>17</v>
          </cell>
          <cell r="U699">
            <v>28</v>
          </cell>
          <cell r="V699">
            <v>679</v>
          </cell>
          <cell r="W699">
            <v>208</v>
          </cell>
          <cell r="X699">
            <v>0</v>
          </cell>
          <cell r="Y699">
            <v>15</v>
          </cell>
          <cell r="Z699">
            <v>0</v>
          </cell>
          <cell r="AA699">
            <v>15</v>
          </cell>
          <cell r="AB699">
            <v>41</v>
          </cell>
          <cell r="AC699">
            <v>49</v>
          </cell>
          <cell r="AD699">
            <v>638</v>
          </cell>
          <cell r="AE699">
            <v>202</v>
          </cell>
          <cell r="AF699">
            <v>0</v>
          </cell>
          <cell r="AG699">
            <v>15</v>
          </cell>
          <cell r="AH699">
            <v>0</v>
          </cell>
          <cell r="AI699">
            <v>15</v>
          </cell>
          <cell r="AJ699">
            <v>0</v>
          </cell>
          <cell r="AK699">
            <v>15</v>
          </cell>
          <cell r="AL699">
            <v>15</v>
          </cell>
          <cell r="AM699">
            <v>23</v>
          </cell>
          <cell r="AN699">
            <v>51</v>
          </cell>
          <cell r="AO699">
            <v>52</v>
          </cell>
          <cell r="AP699">
            <v>25</v>
          </cell>
          <cell r="AQ699">
            <v>27</v>
          </cell>
          <cell r="AR699">
            <v>358</v>
          </cell>
          <cell r="AS699">
            <v>124</v>
          </cell>
        </row>
        <row r="700">
          <cell r="B700">
            <v>17031800300</v>
          </cell>
          <cell r="D700">
            <v>1506</v>
          </cell>
          <cell r="E700">
            <v>156</v>
          </cell>
          <cell r="F700">
            <v>888</v>
          </cell>
          <cell r="G700">
            <v>155</v>
          </cell>
          <cell r="H700">
            <v>856</v>
          </cell>
          <cell r="I700">
            <v>151</v>
          </cell>
          <cell r="J700">
            <v>32</v>
          </cell>
          <cell r="K700">
            <v>35</v>
          </cell>
          <cell r="L700">
            <v>26</v>
          </cell>
          <cell r="M700">
            <v>34</v>
          </cell>
          <cell r="N700">
            <v>6</v>
          </cell>
          <cell r="O700">
            <v>10</v>
          </cell>
          <cell r="P700">
            <v>0</v>
          </cell>
          <cell r="Q700">
            <v>11</v>
          </cell>
          <cell r="R700">
            <v>0</v>
          </cell>
          <cell r="S700">
            <v>11</v>
          </cell>
          <cell r="T700">
            <v>0</v>
          </cell>
          <cell r="U700">
            <v>11</v>
          </cell>
          <cell r="V700">
            <v>432</v>
          </cell>
          <cell r="W700">
            <v>96</v>
          </cell>
          <cell r="X700">
            <v>0</v>
          </cell>
          <cell r="Y700">
            <v>11</v>
          </cell>
          <cell r="Z700">
            <v>0</v>
          </cell>
          <cell r="AA700">
            <v>11</v>
          </cell>
          <cell r="AB700">
            <v>27</v>
          </cell>
          <cell r="AC700">
            <v>31</v>
          </cell>
          <cell r="AD700">
            <v>405</v>
          </cell>
          <cell r="AE700">
            <v>98</v>
          </cell>
          <cell r="AF700">
            <v>0</v>
          </cell>
          <cell r="AG700">
            <v>11</v>
          </cell>
          <cell r="AH700">
            <v>0</v>
          </cell>
          <cell r="AI700">
            <v>11</v>
          </cell>
          <cell r="AJ700">
            <v>0</v>
          </cell>
          <cell r="AK700">
            <v>11</v>
          </cell>
          <cell r="AL700">
            <v>0</v>
          </cell>
          <cell r="AM700">
            <v>11</v>
          </cell>
          <cell r="AN700">
            <v>35</v>
          </cell>
          <cell r="AO700">
            <v>39</v>
          </cell>
          <cell r="AP700">
            <v>36</v>
          </cell>
          <cell r="AQ700">
            <v>30</v>
          </cell>
          <cell r="AR700">
            <v>115</v>
          </cell>
          <cell r="AS700">
            <v>57</v>
          </cell>
        </row>
        <row r="701">
          <cell r="B701">
            <v>17031800400</v>
          </cell>
          <cell r="D701">
            <v>1448</v>
          </cell>
          <cell r="E701">
            <v>127</v>
          </cell>
          <cell r="F701">
            <v>810</v>
          </cell>
          <cell r="G701">
            <v>116</v>
          </cell>
          <cell r="H701">
            <v>733</v>
          </cell>
          <cell r="I701">
            <v>109</v>
          </cell>
          <cell r="J701">
            <v>77</v>
          </cell>
          <cell r="K701">
            <v>48</v>
          </cell>
          <cell r="L701">
            <v>47</v>
          </cell>
          <cell r="M701">
            <v>34</v>
          </cell>
          <cell r="N701">
            <v>20</v>
          </cell>
          <cell r="O701">
            <v>31</v>
          </cell>
          <cell r="P701">
            <v>0</v>
          </cell>
          <cell r="Q701">
            <v>11</v>
          </cell>
          <cell r="R701">
            <v>0</v>
          </cell>
          <cell r="S701">
            <v>11</v>
          </cell>
          <cell r="T701">
            <v>10</v>
          </cell>
          <cell r="U701">
            <v>15</v>
          </cell>
          <cell r="V701">
            <v>404</v>
          </cell>
          <cell r="W701">
            <v>84</v>
          </cell>
          <cell r="X701">
            <v>0</v>
          </cell>
          <cell r="Y701">
            <v>11</v>
          </cell>
          <cell r="Z701">
            <v>0</v>
          </cell>
          <cell r="AA701">
            <v>11</v>
          </cell>
          <cell r="AB701">
            <v>57</v>
          </cell>
          <cell r="AC701">
            <v>44</v>
          </cell>
          <cell r="AD701">
            <v>347</v>
          </cell>
          <cell r="AE701">
            <v>72</v>
          </cell>
          <cell r="AF701">
            <v>0</v>
          </cell>
          <cell r="AG701">
            <v>11</v>
          </cell>
          <cell r="AH701">
            <v>0</v>
          </cell>
          <cell r="AI701">
            <v>11</v>
          </cell>
          <cell r="AJ701">
            <v>0</v>
          </cell>
          <cell r="AK701">
            <v>11</v>
          </cell>
          <cell r="AL701">
            <v>0</v>
          </cell>
          <cell r="AM701">
            <v>11</v>
          </cell>
          <cell r="AN701">
            <v>54</v>
          </cell>
          <cell r="AO701">
            <v>34</v>
          </cell>
          <cell r="AP701">
            <v>7</v>
          </cell>
          <cell r="AQ701">
            <v>11</v>
          </cell>
          <cell r="AR701">
            <v>173</v>
          </cell>
          <cell r="AS701">
            <v>62</v>
          </cell>
        </row>
        <row r="702">
          <cell r="B702">
            <v>17031800500</v>
          </cell>
          <cell r="D702">
            <v>1981</v>
          </cell>
          <cell r="E702">
            <v>162</v>
          </cell>
          <cell r="F702">
            <v>1141</v>
          </cell>
          <cell r="G702">
            <v>138</v>
          </cell>
          <cell r="H702">
            <v>1086</v>
          </cell>
          <cell r="I702">
            <v>136</v>
          </cell>
          <cell r="J702">
            <v>55</v>
          </cell>
          <cell r="K702">
            <v>32</v>
          </cell>
          <cell r="L702">
            <v>46</v>
          </cell>
          <cell r="M702">
            <v>29</v>
          </cell>
          <cell r="N702">
            <v>9</v>
          </cell>
          <cell r="O702">
            <v>14</v>
          </cell>
          <cell r="P702">
            <v>0</v>
          </cell>
          <cell r="Q702">
            <v>15</v>
          </cell>
          <cell r="R702">
            <v>0</v>
          </cell>
          <cell r="S702">
            <v>15</v>
          </cell>
          <cell r="T702">
            <v>0</v>
          </cell>
          <cell r="U702">
            <v>15</v>
          </cell>
          <cell r="V702">
            <v>471</v>
          </cell>
          <cell r="W702">
            <v>96</v>
          </cell>
          <cell r="X702">
            <v>1</v>
          </cell>
          <cell r="Y702">
            <v>3</v>
          </cell>
          <cell r="Z702">
            <v>0</v>
          </cell>
          <cell r="AA702">
            <v>15</v>
          </cell>
          <cell r="AB702">
            <v>56</v>
          </cell>
          <cell r="AC702">
            <v>40</v>
          </cell>
          <cell r="AD702">
            <v>414</v>
          </cell>
          <cell r="AE702">
            <v>92</v>
          </cell>
          <cell r="AF702">
            <v>0</v>
          </cell>
          <cell r="AG702">
            <v>15</v>
          </cell>
          <cell r="AH702">
            <v>0</v>
          </cell>
          <cell r="AI702">
            <v>15</v>
          </cell>
          <cell r="AJ702">
            <v>0</v>
          </cell>
          <cell r="AK702">
            <v>15</v>
          </cell>
          <cell r="AL702">
            <v>6</v>
          </cell>
          <cell r="AM702">
            <v>10</v>
          </cell>
          <cell r="AN702">
            <v>65</v>
          </cell>
          <cell r="AO702">
            <v>31</v>
          </cell>
          <cell r="AP702">
            <v>8</v>
          </cell>
          <cell r="AQ702">
            <v>13</v>
          </cell>
          <cell r="AR702">
            <v>290</v>
          </cell>
          <cell r="AS702">
            <v>86</v>
          </cell>
        </row>
        <row r="703">
          <cell r="B703">
            <v>17031800600</v>
          </cell>
          <cell r="D703">
            <v>898</v>
          </cell>
          <cell r="E703">
            <v>83</v>
          </cell>
          <cell r="F703">
            <v>537</v>
          </cell>
          <cell r="G703">
            <v>76</v>
          </cell>
          <cell r="H703">
            <v>509</v>
          </cell>
          <cell r="I703">
            <v>72</v>
          </cell>
          <cell r="J703">
            <v>28</v>
          </cell>
          <cell r="K703">
            <v>27</v>
          </cell>
          <cell r="L703">
            <v>28</v>
          </cell>
          <cell r="M703">
            <v>27</v>
          </cell>
          <cell r="N703">
            <v>0</v>
          </cell>
          <cell r="O703">
            <v>11</v>
          </cell>
          <cell r="P703">
            <v>0</v>
          </cell>
          <cell r="Q703">
            <v>11</v>
          </cell>
          <cell r="R703">
            <v>0</v>
          </cell>
          <cell r="S703">
            <v>11</v>
          </cell>
          <cell r="T703">
            <v>0</v>
          </cell>
          <cell r="U703">
            <v>11</v>
          </cell>
          <cell r="V703">
            <v>240</v>
          </cell>
          <cell r="W703">
            <v>55</v>
          </cell>
          <cell r="X703">
            <v>12</v>
          </cell>
          <cell r="Y703">
            <v>13</v>
          </cell>
          <cell r="Z703">
            <v>0</v>
          </cell>
          <cell r="AA703">
            <v>11</v>
          </cell>
          <cell r="AB703">
            <v>15</v>
          </cell>
          <cell r="AC703">
            <v>13</v>
          </cell>
          <cell r="AD703">
            <v>213</v>
          </cell>
          <cell r="AE703">
            <v>53</v>
          </cell>
          <cell r="AF703">
            <v>0</v>
          </cell>
          <cell r="AG703">
            <v>11</v>
          </cell>
          <cell r="AH703">
            <v>0</v>
          </cell>
          <cell r="AI703">
            <v>11</v>
          </cell>
          <cell r="AJ703">
            <v>0</v>
          </cell>
          <cell r="AK703">
            <v>11</v>
          </cell>
          <cell r="AL703">
            <v>11</v>
          </cell>
          <cell r="AM703">
            <v>11</v>
          </cell>
          <cell r="AN703">
            <v>12</v>
          </cell>
          <cell r="AO703">
            <v>10</v>
          </cell>
          <cell r="AP703">
            <v>9</v>
          </cell>
          <cell r="AQ703">
            <v>10</v>
          </cell>
          <cell r="AR703">
            <v>89</v>
          </cell>
          <cell r="AS703">
            <v>44</v>
          </cell>
        </row>
        <row r="704">
          <cell r="B704">
            <v>17031800700</v>
          </cell>
          <cell r="D704">
            <v>1946</v>
          </cell>
          <cell r="E704">
            <v>161</v>
          </cell>
          <cell r="F704">
            <v>1360</v>
          </cell>
          <cell r="G704">
            <v>189</v>
          </cell>
          <cell r="H704">
            <v>1288</v>
          </cell>
          <cell r="I704">
            <v>181</v>
          </cell>
          <cell r="J704">
            <v>72</v>
          </cell>
          <cell r="K704">
            <v>57</v>
          </cell>
          <cell r="L704">
            <v>43</v>
          </cell>
          <cell r="M704">
            <v>38</v>
          </cell>
          <cell r="N704">
            <v>29</v>
          </cell>
          <cell r="O704">
            <v>45</v>
          </cell>
          <cell r="P704">
            <v>0</v>
          </cell>
          <cell r="Q704">
            <v>15</v>
          </cell>
          <cell r="R704">
            <v>0</v>
          </cell>
          <cell r="S704">
            <v>15</v>
          </cell>
          <cell r="T704">
            <v>0</v>
          </cell>
          <cell r="U704">
            <v>15</v>
          </cell>
          <cell r="V704">
            <v>383</v>
          </cell>
          <cell r="W704">
            <v>92</v>
          </cell>
          <cell r="X704">
            <v>16</v>
          </cell>
          <cell r="Y704">
            <v>17</v>
          </cell>
          <cell r="Z704">
            <v>0</v>
          </cell>
          <cell r="AA704">
            <v>15</v>
          </cell>
          <cell r="AB704">
            <v>34</v>
          </cell>
          <cell r="AC704">
            <v>28</v>
          </cell>
          <cell r="AD704">
            <v>333</v>
          </cell>
          <cell r="AE704">
            <v>87</v>
          </cell>
          <cell r="AF704">
            <v>0</v>
          </cell>
          <cell r="AG704">
            <v>15</v>
          </cell>
          <cell r="AH704">
            <v>0</v>
          </cell>
          <cell r="AI704">
            <v>15</v>
          </cell>
          <cell r="AJ704">
            <v>0</v>
          </cell>
          <cell r="AK704">
            <v>15</v>
          </cell>
          <cell r="AL704">
            <v>7</v>
          </cell>
          <cell r="AM704">
            <v>10</v>
          </cell>
          <cell r="AN704">
            <v>9</v>
          </cell>
          <cell r="AO704">
            <v>14</v>
          </cell>
          <cell r="AP704">
            <v>10</v>
          </cell>
          <cell r="AQ704">
            <v>16</v>
          </cell>
          <cell r="AR704">
            <v>177</v>
          </cell>
          <cell r="AS704">
            <v>66</v>
          </cell>
        </row>
        <row r="705">
          <cell r="B705">
            <v>17031800800</v>
          </cell>
          <cell r="D705">
            <v>1106</v>
          </cell>
          <cell r="E705">
            <v>121</v>
          </cell>
          <cell r="F705">
            <v>883</v>
          </cell>
          <cell r="G705">
            <v>121</v>
          </cell>
          <cell r="H705">
            <v>793</v>
          </cell>
          <cell r="I705">
            <v>116</v>
          </cell>
          <cell r="J705">
            <v>90</v>
          </cell>
          <cell r="K705">
            <v>64</v>
          </cell>
          <cell r="L705">
            <v>69</v>
          </cell>
          <cell r="M705">
            <v>56</v>
          </cell>
          <cell r="N705">
            <v>0</v>
          </cell>
          <cell r="O705">
            <v>11</v>
          </cell>
          <cell r="P705">
            <v>0</v>
          </cell>
          <cell r="Q705">
            <v>11</v>
          </cell>
          <cell r="R705">
            <v>21</v>
          </cell>
          <cell r="S705">
            <v>30</v>
          </cell>
          <cell r="T705">
            <v>0</v>
          </cell>
          <cell r="U705">
            <v>11</v>
          </cell>
          <cell r="V705">
            <v>112</v>
          </cell>
          <cell r="W705">
            <v>58</v>
          </cell>
          <cell r="X705">
            <v>0</v>
          </cell>
          <cell r="Y705">
            <v>11</v>
          </cell>
          <cell r="Z705">
            <v>0</v>
          </cell>
          <cell r="AA705">
            <v>11</v>
          </cell>
          <cell r="AB705">
            <v>0</v>
          </cell>
          <cell r="AC705">
            <v>11</v>
          </cell>
          <cell r="AD705">
            <v>112</v>
          </cell>
          <cell r="AE705">
            <v>58</v>
          </cell>
          <cell r="AF705">
            <v>0</v>
          </cell>
          <cell r="AG705">
            <v>11</v>
          </cell>
          <cell r="AH705">
            <v>0</v>
          </cell>
          <cell r="AI705">
            <v>11</v>
          </cell>
          <cell r="AJ705">
            <v>0</v>
          </cell>
          <cell r="AK705">
            <v>11</v>
          </cell>
          <cell r="AL705">
            <v>12</v>
          </cell>
          <cell r="AM705">
            <v>18</v>
          </cell>
          <cell r="AN705">
            <v>19</v>
          </cell>
          <cell r="AO705">
            <v>22</v>
          </cell>
          <cell r="AP705">
            <v>0</v>
          </cell>
          <cell r="AQ705">
            <v>11</v>
          </cell>
          <cell r="AR705">
            <v>80</v>
          </cell>
          <cell r="AS705">
            <v>44</v>
          </cell>
        </row>
        <row r="706">
          <cell r="B706">
            <v>17031800900</v>
          </cell>
          <cell r="D706">
            <v>2089</v>
          </cell>
          <cell r="E706">
            <v>201</v>
          </cell>
          <cell r="F706">
            <v>1549</v>
          </cell>
          <cell r="G706">
            <v>204</v>
          </cell>
          <cell r="H706">
            <v>1387</v>
          </cell>
          <cell r="I706">
            <v>194</v>
          </cell>
          <cell r="J706">
            <v>162</v>
          </cell>
          <cell r="K706">
            <v>83</v>
          </cell>
          <cell r="L706">
            <v>144</v>
          </cell>
          <cell r="M706">
            <v>80</v>
          </cell>
          <cell r="N706">
            <v>10</v>
          </cell>
          <cell r="O706">
            <v>15</v>
          </cell>
          <cell r="P706">
            <v>0</v>
          </cell>
          <cell r="Q706">
            <v>11</v>
          </cell>
          <cell r="R706">
            <v>0</v>
          </cell>
          <cell r="S706">
            <v>11</v>
          </cell>
          <cell r="T706">
            <v>8</v>
          </cell>
          <cell r="U706">
            <v>14</v>
          </cell>
          <cell r="V706">
            <v>289</v>
          </cell>
          <cell r="W706">
            <v>83</v>
          </cell>
          <cell r="X706">
            <v>55</v>
          </cell>
          <cell r="Y706">
            <v>35</v>
          </cell>
          <cell r="Z706">
            <v>0</v>
          </cell>
          <cell r="AA706">
            <v>11</v>
          </cell>
          <cell r="AB706">
            <v>45</v>
          </cell>
          <cell r="AC706">
            <v>33</v>
          </cell>
          <cell r="AD706">
            <v>189</v>
          </cell>
          <cell r="AE706">
            <v>81</v>
          </cell>
          <cell r="AF706">
            <v>0</v>
          </cell>
          <cell r="AG706">
            <v>11</v>
          </cell>
          <cell r="AH706">
            <v>0</v>
          </cell>
          <cell r="AI706">
            <v>11</v>
          </cell>
          <cell r="AJ706">
            <v>0</v>
          </cell>
          <cell r="AK706">
            <v>11</v>
          </cell>
          <cell r="AL706">
            <v>0</v>
          </cell>
          <cell r="AM706">
            <v>11</v>
          </cell>
          <cell r="AN706">
            <v>83</v>
          </cell>
          <cell r="AO706">
            <v>83</v>
          </cell>
          <cell r="AP706">
            <v>0</v>
          </cell>
          <cell r="AQ706">
            <v>11</v>
          </cell>
          <cell r="AR706">
            <v>168</v>
          </cell>
          <cell r="AS706">
            <v>70</v>
          </cell>
        </row>
        <row r="707">
          <cell r="B707">
            <v>17031801000</v>
          </cell>
          <cell r="D707">
            <v>2174</v>
          </cell>
          <cell r="E707">
            <v>169</v>
          </cell>
          <cell r="F707">
            <v>1524</v>
          </cell>
          <cell r="G707">
            <v>168</v>
          </cell>
          <cell r="H707">
            <v>1403</v>
          </cell>
          <cell r="I707">
            <v>162</v>
          </cell>
          <cell r="J707">
            <v>121</v>
          </cell>
          <cell r="K707">
            <v>61</v>
          </cell>
          <cell r="L707">
            <v>100</v>
          </cell>
          <cell r="M707">
            <v>57</v>
          </cell>
          <cell r="N707">
            <v>21</v>
          </cell>
          <cell r="O707">
            <v>24</v>
          </cell>
          <cell r="P707">
            <v>0</v>
          </cell>
          <cell r="Q707">
            <v>11</v>
          </cell>
          <cell r="R707">
            <v>0</v>
          </cell>
          <cell r="S707">
            <v>11</v>
          </cell>
          <cell r="T707">
            <v>0</v>
          </cell>
          <cell r="U707">
            <v>11</v>
          </cell>
          <cell r="V707">
            <v>322</v>
          </cell>
          <cell r="W707">
            <v>91</v>
          </cell>
          <cell r="X707">
            <v>19</v>
          </cell>
          <cell r="Y707">
            <v>23</v>
          </cell>
          <cell r="Z707">
            <v>0</v>
          </cell>
          <cell r="AA707">
            <v>11</v>
          </cell>
          <cell r="AB707">
            <v>81</v>
          </cell>
          <cell r="AC707">
            <v>46</v>
          </cell>
          <cell r="AD707">
            <v>222</v>
          </cell>
          <cell r="AE707">
            <v>72</v>
          </cell>
          <cell r="AF707">
            <v>0</v>
          </cell>
          <cell r="AG707">
            <v>11</v>
          </cell>
          <cell r="AH707">
            <v>0</v>
          </cell>
          <cell r="AI707">
            <v>11</v>
          </cell>
          <cell r="AJ707">
            <v>0</v>
          </cell>
          <cell r="AK707">
            <v>11</v>
          </cell>
          <cell r="AL707">
            <v>16</v>
          </cell>
          <cell r="AM707">
            <v>19</v>
          </cell>
          <cell r="AN707">
            <v>20</v>
          </cell>
          <cell r="AO707">
            <v>22</v>
          </cell>
          <cell r="AP707">
            <v>11</v>
          </cell>
          <cell r="AQ707">
            <v>15</v>
          </cell>
          <cell r="AR707">
            <v>281</v>
          </cell>
          <cell r="AS707">
            <v>113</v>
          </cell>
        </row>
        <row r="708">
          <cell r="B708">
            <v>17031801100</v>
          </cell>
          <cell r="D708">
            <v>2059</v>
          </cell>
          <cell r="E708">
            <v>163</v>
          </cell>
          <cell r="F708">
            <v>1002</v>
          </cell>
          <cell r="G708">
            <v>155</v>
          </cell>
          <cell r="H708">
            <v>913</v>
          </cell>
          <cell r="I708">
            <v>145</v>
          </cell>
          <cell r="J708">
            <v>89</v>
          </cell>
          <cell r="K708">
            <v>46</v>
          </cell>
          <cell r="L708">
            <v>83</v>
          </cell>
          <cell r="M708">
            <v>45</v>
          </cell>
          <cell r="N708">
            <v>6</v>
          </cell>
          <cell r="O708">
            <v>10</v>
          </cell>
          <cell r="P708">
            <v>0</v>
          </cell>
          <cell r="Q708">
            <v>11</v>
          </cell>
          <cell r="R708">
            <v>0</v>
          </cell>
          <cell r="S708">
            <v>11</v>
          </cell>
          <cell r="T708">
            <v>0</v>
          </cell>
          <cell r="U708">
            <v>11</v>
          </cell>
          <cell r="V708">
            <v>623</v>
          </cell>
          <cell r="W708">
            <v>119</v>
          </cell>
          <cell r="X708">
            <v>23</v>
          </cell>
          <cell r="Y708">
            <v>21</v>
          </cell>
          <cell r="Z708">
            <v>8</v>
          </cell>
          <cell r="AA708">
            <v>13</v>
          </cell>
          <cell r="AB708">
            <v>69</v>
          </cell>
          <cell r="AC708">
            <v>41</v>
          </cell>
          <cell r="AD708">
            <v>523</v>
          </cell>
          <cell r="AE708">
            <v>112</v>
          </cell>
          <cell r="AF708">
            <v>0</v>
          </cell>
          <cell r="AG708">
            <v>11</v>
          </cell>
          <cell r="AH708">
            <v>0</v>
          </cell>
          <cell r="AI708">
            <v>11</v>
          </cell>
          <cell r="AJ708">
            <v>0</v>
          </cell>
          <cell r="AK708">
            <v>11</v>
          </cell>
          <cell r="AL708">
            <v>0</v>
          </cell>
          <cell r="AM708">
            <v>11</v>
          </cell>
          <cell r="AN708">
            <v>88</v>
          </cell>
          <cell r="AO708">
            <v>44</v>
          </cell>
          <cell r="AP708">
            <v>0</v>
          </cell>
          <cell r="AQ708">
            <v>11</v>
          </cell>
          <cell r="AR708">
            <v>346</v>
          </cell>
          <cell r="AS708">
            <v>104</v>
          </cell>
        </row>
        <row r="709">
          <cell r="B709">
            <v>17031801200</v>
          </cell>
          <cell r="D709">
            <v>1189</v>
          </cell>
          <cell r="E709">
            <v>129</v>
          </cell>
          <cell r="F709">
            <v>727</v>
          </cell>
          <cell r="G709">
            <v>112</v>
          </cell>
          <cell r="H709">
            <v>625</v>
          </cell>
          <cell r="I709">
            <v>89</v>
          </cell>
          <cell r="J709">
            <v>102</v>
          </cell>
          <cell r="K709">
            <v>69</v>
          </cell>
          <cell r="L709">
            <v>86</v>
          </cell>
          <cell r="M709">
            <v>67</v>
          </cell>
          <cell r="N709">
            <v>10</v>
          </cell>
          <cell r="O709">
            <v>15</v>
          </cell>
          <cell r="P709">
            <v>0</v>
          </cell>
          <cell r="Q709">
            <v>11</v>
          </cell>
          <cell r="R709">
            <v>0</v>
          </cell>
          <cell r="S709">
            <v>11</v>
          </cell>
          <cell r="T709">
            <v>6</v>
          </cell>
          <cell r="U709">
            <v>10</v>
          </cell>
          <cell r="V709">
            <v>261</v>
          </cell>
          <cell r="W709">
            <v>67</v>
          </cell>
          <cell r="X709">
            <v>15</v>
          </cell>
          <cell r="Y709">
            <v>17</v>
          </cell>
          <cell r="Z709">
            <v>0</v>
          </cell>
          <cell r="AA709">
            <v>11</v>
          </cell>
          <cell r="AB709">
            <v>32</v>
          </cell>
          <cell r="AC709">
            <v>31</v>
          </cell>
          <cell r="AD709">
            <v>214</v>
          </cell>
          <cell r="AE709">
            <v>58</v>
          </cell>
          <cell r="AF709">
            <v>0</v>
          </cell>
          <cell r="AG709">
            <v>11</v>
          </cell>
          <cell r="AH709">
            <v>0</v>
          </cell>
          <cell r="AI709">
            <v>11</v>
          </cell>
          <cell r="AJ709">
            <v>0</v>
          </cell>
          <cell r="AK709">
            <v>11</v>
          </cell>
          <cell r="AL709">
            <v>0</v>
          </cell>
          <cell r="AM709">
            <v>11</v>
          </cell>
          <cell r="AN709">
            <v>24</v>
          </cell>
          <cell r="AO709">
            <v>21</v>
          </cell>
          <cell r="AP709">
            <v>0</v>
          </cell>
          <cell r="AQ709">
            <v>11</v>
          </cell>
          <cell r="AR709">
            <v>177</v>
          </cell>
          <cell r="AS709">
            <v>68</v>
          </cell>
        </row>
        <row r="710">
          <cell r="B710">
            <v>17031801300</v>
          </cell>
          <cell r="D710">
            <v>2066</v>
          </cell>
          <cell r="E710">
            <v>194</v>
          </cell>
          <cell r="F710">
            <v>1194</v>
          </cell>
          <cell r="G710">
            <v>214</v>
          </cell>
          <cell r="H710">
            <v>1098</v>
          </cell>
          <cell r="I710">
            <v>209</v>
          </cell>
          <cell r="J710">
            <v>96</v>
          </cell>
          <cell r="K710">
            <v>85</v>
          </cell>
          <cell r="L710">
            <v>96</v>
          </cell>
          <cell r="M710">
            <v>85</v>
          </cell>
          <cell r="N710">
            <v>0</v>
          </cell>
          <cell r="O710">
            <v>11</v>
          </cell>
          <cell r="P710">
            <v>0</v>
          </cell>
          <cell r="Q710">
            <v>11</v>
          </cell>
          <cell r="R710">
            <v>0</v>
          </cell>
          <cell r="S710">
            <v>11</v>
          </cell>
          <cell r="T710">
            <v>0</v>
          </cell>
          <cell r="U710">
            <v>11</v>
          </cell>
          <cell r="V710">
            <v>574</v>
          </cell>
          <cell r="W710">
            <v>110</v>
          </cell>
          <cell r="X710">
            <v>42</v>
          </cell>
          <cell r="Y710">
            <v>47</v>
          </cell>
          <cell r="Z710">
            <v>0</v>
          </cell>
          <cell r="AA710">
            <v>11</v>
          </cell>
          <cell r="AB710">
            <v>92</v>
          </cell>
          <cell r="AC710">
            <v>47</v>
          </cell>
          <cell r="AD710">
            <v>440</v>
          </cell>
          <cell r="AE710">
            <v>102</v>
          </cell>
          <cell r="AF710">
            <v>0</v>
          </cell>
          <cell r="AG710">
            <v>11</v>
          </cell>
          <cell r="AH710">
            <v>0</v>
          </cell>
          <cell r="AI710">
            <v>11</v>
          </cell>
          <cell r="AJ710">
            <v>0</v>
          </cell>
          <cell r="AK710">
            <v>11</v>
          </cell>
          <cell r="AL710">
            <v>17</v>
          </cell>
          <cell r="AM710">
            <v>19</v>
          </cell>
          <cell r="AN710">
            <v>48</v>
          </cell>
          <cell r="AO710">
            <v>30</v>
          </cell>
          <cell r="AP710">
            <v>19</v>
          </cell>
          <cell r="AQ710">
            <v>15</v>
          </cell>
          <cell r="AR710">
            <v>214</v>
          </cell>
          <cell r="AS710">
            <v>73</v>
          </cell>
        </row>
        <row r="711">
          <cell r="B711">
            <v>17031801400</v>
          </cell>
          <cell r="D711">
            <v>1407</v>
          </cell>
          <cell r="E711">
            <v>100</v>
          </cell>
          <cell r="F711">
            <v>1193</v>
          </cell>
          <cell r="G711">
            <v>128</v>
          </cell>
          <cell r="H711">
            <v>1054</v>
          </cell>
          <cell r="I711">
            <v>140</v>
          </cell>
          <cell r="J711">
            <v>139</v>
          </cell>
          <cell r="K711">
            <v>76</v>
          </cell>
          <cell r="L711">
            <v>122</v>
          </cell>
          <cell r="M711">
            <v>71</v>
          </cell>
          <cell r="N711">
            <v>5</v>
          </cell>
          <cell r="O711">
            <v>10</v>
          </cell>
          <cell r="P711">
            <v>12</v>
          </cell>
          <cell r="Q711">
            <v>21</v>
          </cell>
          <cell r="R711">
            <v>0</v>
          </cell>
          <cell r="S711">
            <v>11</v>
          </cell>
          <cell r="T711">
            <v>0</v>
          </cell>
          <cell r="U711">
            <v>11</v>
          </cell>
          <cell r="V711">
            <v>117</v>
          </cell>
          <cell r="W711">
            <v>71</v>
          </cell>
          <cell r="X711">
            <v>0</v>
          </cell>
          <cell r="Y711">
            <v>11</v>
          </cell>
          <cell r="Z711">
            <v>0</v>
          </cell>
          <cell r="AA711">
            <v>11</v>
          </cell>
          <cell r="AB711">
            <v>5</v>
          </cell>
          <cell r="AC711">
            <v>10</v>
          </cell>
          <cell r="AD711">
            <v>112</v>
          </cell>
          <cell r="AE711">
            <v>71</v>
          </cell>
          <cell r="AF711">
            <v>0</v>
          </cell>
          <cell r="AG711">
            <v>11</v>
          </cell>
          <cell r="AH711">
            <v>0</v>
          </cell>
          <cell r="AI711">
            <v>11</v>
          </cell>
          <cell r="AJ711">
            <v>0</v>
          </cell>
          <cell r="AK711">
            <v>11</v>
          </cell>
          <cell r="AL711">
            <v>0</v>
          </cell>
          <cell r="AM711">
            <v>11</v>
          </cell>
          <cell r="AN711">
            <v>7</v>
          </cell>
          <cell r="AO711">
            <v>12</v>
          </cell>
          <cell r="AP711">
            <v>0</v>
          </cell>
          <cell r="AQ711">
            <v>11</v>
          </cell>
          <cell r="AR711">
            <v>90</v>
          </cell>
          <cell r="AS711">
            <v>48</v>
          </cell>
        </row>
        <row r="712">
          <cell r="B712">
            <v>17031801500</v>
          </cell>
          <cell r="D712">
            <v>2194</v>
          </cell>
          <cell r="E712">
            <v>216</v>
          </cell>
          <cell r="F712">
            <v>1687</v>
          </cell>
          <cell r="G712">
            <v>206</v>
          </cell>
          <cell r="H712">
            <v>1580</v>
          </cell>
          <cell r="I712">
            <v>214</v>
          </cell>
          <cell r="J712">
            <v>107</v>
          </cell>
          <cell r="K712">
            <v>66</v>
          </cell>
          <cell r="L712">
            <v>69</v>
          </cell>
          <cell r="M712">
            <v>57</v>
          </cell>
          <cell r="N712">
            <v>0</v>
          </cell>
          <cell r="O712">
            <v>15</v>
          </cell>
          <cell r="P712">
            <v>14</v>
          </cell>
          <cell r="Q712">
            <v>23</v>
          </cell>
          <cell r="R712">
            <v>24</v>
          </cell>
          <cell r="S712">
            <v>29</v>
          </cell>
          <cell r="T712">
            <v>0</v>
          </cell>
          <cell r="U712">
            <v>15</v>
          </cell>
          <cell r="V712">
            <v>224</v>
          </cell>
          <cell r="W712">
            <v>96</v>
          </cell>
          <cell r="X712">
            <v>0</v>
          </cell>
          <cell r="Y712">
            <v>15</v>
          </cell>
          <cell r="Z712">
            <v>0</v>
          </cell>
          <cell r="AA712">
            <v>15</v>
          </cell>
          <cell r="AB712">
            <v>0</v>
          </cell>
          <cell r="AC712">
            <v>15</v>
          </cell>
          <cell r="AD712">
            <v>224</v>
          </cell>
          <cell r="AE712">
            <v>96</v>
          </cell>
          <cell r="AF712">
            <v>0</v>
          </cell>
          <cell r="AG712">
            <v>15</v>
          </cell>
          <cell r="AH712">
            <v>0</v>
          </cell>
          <cell r="AI712">
            <v>15</v>
          </cell>
          <cell r="AJ712">
            <v>0</v>
          </cell>
          <cell r="AK712">
            <v>15</v>
          </cell>
          <cell r="AL712">
            <v>13</v>
          </cell>
          <cell r="AM712">
            <v>21</v>
          </cell>
          <cell r="AN712">
            <v>29</v>
          </cell>
          <cell r="AO712">
            <v>33</v>
          </cell>
          <cell r="AP712">
            <v>19</v>
          </cell>
          <cell r="AQ712">
            <v>29</v>
          </cell>
          <cell r="AR712">
            <v>222</v>
          </cell>
          <cell r="AS712">
            <v>92</v>
          </cell>
        </row>
        <row r="713">
          <cell r="B713">
            <v>17031801601</v>
          </cell>
          <cell r="D713">
            <v>2071</v>
          </cell>
          <cell r="E713">
            <v>153</v>
          </cell>
          <cell r="F713">
            <v>1540</v>
          </cell>
          <cell r="G713">
            <v>172</v>
          </cell>
          <cell r="H713">
            <v>1380</v>
          </cell>
          <cell r="I713">
            <v>201</v>
          </cell>
          <cell r="J713">
            <v>160</v>
          </cell>
          <cell r="K713">
            <v>87</v>
          </cell>
          <cell r="L713">
            <v>109</v>
          </cell>
          <cell r="M713">
            <v>69</v>
          </cell>
          <cell r="N713">
            <v>11</v>
          </cell>
          <cell r="O713">
            <v>18</v>
          </cell>
          <cell r="P713">
            <v>40</v>
          </cell>
          <cell r="Q713">
            <v>49</v>
          </cell>
          <cell r="R713">
            <v>0</v>
          </cell>
          <cell r="S713">
            <v>11</v>
          </cell>
          <cell r="T713">
            <v>0</v>
          </cell>
          <cell r="U713">
            <v>11</v>
          </cell>
          <cell r="V713">
            <v>228</v>
          </cell>
          <cell r="W713">
            <v>78</v>
          </cell>
          <cell r="X713">
            <v>22</v>
          </cell>
          <cell r="Y713">
            <v>24</v>
          </cell>
          <cell r="Z713">
            <v>0</v>
          </cell>
          <cell r="AA713">
            <v>11</v>
          </cell>
          <cell r="AB713">
            <v>14</v>
          </cell>
          <cell r="AC713">
            <v>16</v>
          </cell>
          <cell r="AD713">
            <v>192</v>
          </cell>
          <cell r="AE713">
            <v>75</v>
          </cell>
          <cell r="AF713">
            <v>0</v>
          </cell>
          <cell r="AG713">
            <v>11</v>
          </cell>
          <cell r="AH713">
            <v>0</v>
          </cell>
          <cell r="AI713">
            <v>11</v>
          </cell>
          <cell r="AJ713">
            <v>0</v>
          </cell>
          <cell r="AK713">
            <v>11</v>
          </cell>
          <cell r="AL713">
            <v>0</v>
          </cell>
          <cell r="AM713">
            <v>11</v>
          </cell>
          <cell r="AN713">
            <v>13</v>
          </cell>
          <cell r="AO713">
            <v>16</v>
          </cell>
          <cell r="AP713">
            <v>0</v>
          </cell>
          <cell r="AQ713">
            <v>11</v>
          </cell>
          <cell r="AR713">
            <v>290</v>
          </cell>
          <cell r="AS713">
            <v>120</v>
          </cell>
        </row>
        <row r="714">
          <cell r="B714">
            <v>17031801603</v>
          </cell>
          <cell r="D714">
            <v>1733</v>
          </cell>
          <cell r="E714">
            <v>169</v>
          </cell>
          <cell r="F714">
            <v>1429</v>
          </cell>
          <cell r="G714">
            <v>181</v>
          </cell>
          <cell r="H714">
            <v>1217</v>
          </cell>
          <cell r="I714">
            <v>180</v>
          </cell>
          <cell r="J714">
            <v>212</v>
          </cell>
          <cell r="K714">
            <v>79</v>
          </cell>
          <cell r="L714">
            <v>133</v>
          </cell>
          <cell r="M714">
            <v>73</v>
          </cell>
          <cell r="N714">
            <v>79</v>
          </cell>
          <cell r="O714">
            <v>58</v>
          </cell>
          <cell r="P714">
            <v>0</v>
          </cell>
          <cell r="Q714">
            <v>11</v>
          </cell>
          <cell r="R714">
            <v>0</v>
          </cell>
          <cell r="S714">
            <v>11</v>
          </cell>
          <cell r="T714">
            <v>0</v>
          </cell>
          <cell r="U714">
            <v>11</v>
          </cell>
          <cell r="V714">
            <v>135</v>
          </cell>
          <cell r="W714">
            <v>68</v>
          </cell>
          <cell r="X714">
            <v>32</v>
          </cell>
          <cell r="Y714">
            <v>38</v>
          </cell>
          <cell r="Z714">
            <v>0</v>
          </cell>
          <cell r="AA714">
            <v>11</v>
          </cell>
          <cell r="AB714">
            <v>26</v>
          </cell>
          <cell r="AC714">
            <v>42</v>
          </cell>
          <cell r="AD714">
            <v>77</v>
          </cell>
          <cell r="AE714">
            <v>43</v>
          </cell>
          <cell r="AF714">
            <v>0</v>
          </cell>
          <cell r="AG714">
            <v>11</v>
          </cell>
          <cell r="AH714">
            <v>4</v>
          </cell>
          <cell r="AI714">
            <v>8</v>
          </cell>
          <cell r="AJ714">
            <v>0</v>
          </cell>
          <cell r="AK714">
            <v>11</v>
          </cell>
          <cell r="AL714">
            <v>0</v>
          </cell>
          <cell r="AM714">
            <v>11</v>
          </cell>
          <cell r="AN714">
            <v>0</v>
          </cell>
          <cell r="AO714">
            <v>11</v>
          </cell>
          <cell r="AP714">
            <v>22</v>
          </cell>
          <cell r="AQ714">
            <v>36</v>
          </cell>
          <cell r="AR714">
            <v>143</v>
          </cell>
          <cell r="AS714">
            <v>66</v>
          </cell>
        </row>
        <row r="715">
          <cell r="B715">
            <v>17031801605</v>
          </cell>
          <cell r="D715">
            <v>2465</v>
          </cell>
          <cell r="E715">
            <v>282</v>
          </cell>
          <cell r="F715">
            <v>1844</v>
          </cell>
          <cell r="G715">
            <v>274</v>
          </cell>
          <cell r="H715">
            <v>1709</v>
          </cell>
          <cell r="I715">
            <v>265</v>
          </cell>
          <cell r="J715">
            <v>135</v>
          </cell>
          <cell r="K715">
            <v>111</v>
          </cell>
          <cell r="L715">
            <v>135</v>
          </cell>
          <cell r="M715">
            <v>111</v>
          </cell>
          <cell r="N715">
            <v>0</v>
          </cell>
          <cell r="O715">
            <v>15</v>
          </cell>
          <cell r="P715">
            <v>0</v>
          </cell>
          <cell r="Q715">
            <v>15</v>
          </cell>
          <cell r="R715">
            <v>0</v>
          </cell>
          <cell r="S715">
            <v>15</v>
          </cell>
          <cell r="T715">
            <v>0</v>
          </cell>
          <cell r="U715">
            <v>15</v>
          </cell>
          <cell r="V715">
            <v>186</v>
          </cell>
          <cell r="W715">
            <v>68</v>
          </cell>
          <cell r="X715">
            <v>1</v>
          </cell>
          <cell r="Y715">
            <v>4</v>
          </cell>
          <cell r="Z715">
            <v>0</v>
          </cell>
          <cell r="AA715">
            <v>15</v>
          </cell>
          <cell r="AB715">
            <v>21</v>
          </cell>
          <cell r="AC715">
            <v>32</v>
          </cell>
          <cell r="AD715">
            <v>164</v>
          </cell>
          <cell r="AE715">
            <v>68</v>
          </cell>
          <cell r="AF715">
            <v>0</v>
          </cell>
          <cell r="AG715">
            <v>15</v>
          </cell>
          <cell r="AH715">
            <v>0</v>
          </cell>
          <cell r="AI715">
            <v>15</v>
          </cell>
          <cell r="AJ715">
            <v>0</v>
          </cell>
          <cell r="AK715">
            <v>15</v>
          </cell>
          <cell r="AL715">
            <v>13</v>
          </cell>
          <cell r="AM715">
            <v>21</v>
          </cell>
          <cell r="AN715">
            <v>0</v>
          </cell>
          <cell r="AO715">
            <v>15</v>
          </cell>
          <cell r="AP715">
            <v>42</v>
          </cell>
          <cell r="AQ715">
            <v>63</v>
          </cell>
          <cell r="AR715">
            <v>380</v>
          </cell>
          <cell r="AS715">
            <v>120</v>
          </cell>
        </row>
        <row r="716">
          <cell r="B716">
            <v>17031801606</v>
          </cell>
          <cell r="D716">
            <v>2870</v>
          </cell>
          <cell r="E716">
            <v>323</v>
          </cell>
          <cell r="F716">
            <v>2421</v>
          </cell>
          <cell r="G716">
            <v>365</v>
          </cell>
          <cell r="H716">
            <v>2325</v>
          </cell>
          <cell r="I716">
            <v>346</v>
          </cell>
          <cell r="J716">
            <v>96</v>
          </cell>
          <cell r="K716">
            <v>78</v>
          </cell>
          <cell r="L716">
            <v>96</v>
          </cell>
          <cell r="M716">
            <v>78</v>
          </cell>
          <cell r="N716">
            <v>0</v>
          </cell>
          <cell r="O716">
            <v>15</v>
          </cell>
          <cell r="P716">
            <v>0</v>
          </cell>
          <cell r="Q716">
            <v>15</v>
          </cell>
          <cell r="R716">
            <v>0</v>
          </cell>
          <cell r="S716">
            <v>15</v>
          </cell>
          <cell r="T716">
            <v>0</v>
          </cell>
          <cell r="U716">
            <v>15</v>
          </cell>
          <cell r="V716">
            <v>283</v>
          </cell>
          <cell r="W716">
            <v>117</v>
          </cell>
          <cell r="X716">
            <v>0</v>
          </cell>
          <cell r="Y716">
            <v>15</v>
          </cell>
          <cell r="Z716">
            <v>0</v>
          </cell>
          <cell r="AA716">
            <v>15</v>
          </cell>
          <cell r="AB716">
            <v>0</v>
          </cell>
          <cell r="AC716">
            <v>15</v>
          </cell>
          <cell r="AD716">
            <v>283</v>
          </cell>
          <cell r="AE716">
            <v>117</v>
          </cell>
          <cell r="AF716">
            <v>0</v>
          </cell>
          <cell r="AG716">
            <v>15</v>
          </cell>
          <cell r="AH716">
            <v>0</v>
          </cell>
          <cell r="AI716">
            <v>15</v>
          </cell>
          <cell r="AJ716">
            <v>0</v>
          </cell>
          <cell r="AK716">
            <v>15</v>
          </cell>
          <cell r="AL716">
            <v>0</v>
          </cell>
          <cell r="AM716">
            <v>15</v>
          </cell>
          <cell r="AN716">
            <v>0</v>
          </cell>
          <cell r="AO716">
            <v>15</v>
          </cell>
          <cell r="AP716">
            <v>62</v>
          </cell>
          <cell r="AQ716">
            <v>63</v>
          </cell>
          <cell r="AR716">
            <v>104</v>
          </cell>
          <cell r="AS716">
            <v>70</v>
          </cell>
        </row>
        <row r="717">
          <cell r="B717">
            <v>17031801607</v>
          </cell>
          <cell r="D717">
            <v>2697</v>
          </cell>
          <cell r="E717">
            <v>322</v>
          </cell>
          <cell r="F717">
            <v>2267</v>
          </cell>
          <cell r="G717">
            <v>285</v>
          </cell>
          <cell r="H717">
            <v>2098</v>
          </cell>
          <cell r="I717">
            <v>279</v>
          </cell>
          <cell r="J717">
            <v>169</v>
          </cell>
          <cell r="K717">
            <v>95</v>
          </cell>
          <cell r="L717">
            <v>113</v>
          </cell>
          <cell r="M717">
            <v>72</v>
          </cell>
          <cell r="N717">
            <v>43</v>
          </cell>
          <cell r="O717">
            <v>46</v>
          </cell>
          <cell r="P717">
            <v>13</v>
          </cell>
          <cell r="Q717">
            <v>20</v>
          </cell>
          <cell r="R717">
            <v>0</v>
          </cell>
          <cell r="S717">
            <v>15</v>
          </cell>
          <cell r="T717">
            <v>0</v>
          </cell>
          <cell r="U717">
            <v>15</v>
          </cell>
          <cell r="V717">
            <v>183</v>
          </cell>
          <cell r="W717">
            <v>81</v>
          </cell>
          <cell r="X717">
            <v>19</v>
          </cell>
          <cell r="Y717">
            <v>21</v>
          </cell>
          <cell r="Z717">
            <v>25</v>
          </cell>
          <cell r="AA717">
            <v>39</v>
          </cell>
          <cell r="AB717">
            <v>31</v>
          </cell>
          <cell r="AC717">
            <v>33</v>
          </cell>
          <cell r="AD717">
            <v>108</v>
          </cell>
          <cell r="AE717">
            <v>64</v>
          </cell>
          <cell r="AF717">
            <v>0</v>
          </cell>
          <cell r="AG717">
            <v>15</v>
          </cell>
          <cell r="AH717">
            <v>12</v>
          </cell>
          <cell r="AI717">
            <v>20</v>
          </cell>
          <cell r="AJ717">
            <v>0</v>
          </cell>
          <cell r="AK717">
            <v>15</v>
          </cell>
          <cell r="AL717">
            <v>0</v>
          </cell>
          <cell r="AM717">
            <v>15</v>
          </cell>
          <cell r="AN717">
            <v>17</v>
          </cell>
          <cell r="AO717">
            <v>19</v>
          </cell>
          <cell r="AP717">
            <v>6</v>
          </cell>
          <cell r="AQ717">
            <v>11</v>
          </cell>
          <cell r="AR717">
            <v>212</v>
          </cell>
          <cell r="AS717">
            <v>99</v>
          </cell>
        </row>
        <row r="718">
          <cell r="B718">
            <v>17031801608</v>
          </cell>
          <cell r="D718">
            <v>2696</v>
          </cell>
          <cell r="E718">
            <v>314</v>
          </cell>
          <cell r="F718">
            <v>2040</v>
          </cell>
          <cell r="G718">
            <v>335</v>
          </cell>
          <cell r="H718">
            <v>1895</v>
          </cell>
          <cell r="I718">
            <v>322</v>
          </cell>
          <cell r="J718">
            <v>145</v>
          </cell>
          <cell r="K718">
            <v>84</v>
          </cell>
          <cell r="L718">
            <v>98</v>
          </cell>
          <cell r="M718">
            <v>77</v>
          </cell>
          <cell r="N718">
            <v>15</v>
          </cell>
          <cell r="O718">
            <v>25</v>
          </cell>
          <cell r="P718">
            <v>32</v>
          </cell>
          <cell r="Q718">
            <v>36</v>
          </cell>
          <cell r="R718">
            <v>0</v>
          </cell>
          <cell r="S718">
            <v>15</v>
          </cell>
          <cell r="T718">
            <v>0</v>
          </cell>
          <cell r="U718">
            <v>15</v>
          </cell>
          <cell r="V718">
            <v>304</v>
          </cell>
          <cell r="W718">
            <v>91</v>
          </cell>
          <cell r="X718">
            <v>18</v>
          </cell>
          <cell r="Y718">
            <v>29</v>
          </cell>
          <cell r="Z718">
            <v>0</v>
          </cell>
          <cell r="AA718">
            <v>15</v>
          </cell>
          <cell r="AB718">
            <v>0</v>
          </cell>
          <cell r="AC718">
            <v>15</v>
          </cell>
          <cell r="AD718">
            <v>286</v>
          </cell>
          <cell r="AE718">
            <v>89</v>
          </cell>
          <cell r="AF718">
            <v>0</v>
          </cell>
          <cell r="AG718">
            <v>15</v>
          </cell>
          <cell r="AH718">
            <v>0</v>
          </cell>
          <cell r="AI718">
            <v>15</v>
          </cell>
          <cell r="AJ718">
            <v>0</v>
          </cell>
          <cell r="AK718">
            <v>15</v>
          </cell>
          <cell r="AL718">
            <v>0</v>
          </cell>
          <cell r="AM718">
            <v>15</v>
          </cell>
          <cell r="AN718">
            <v>61</v>
          </cell>
          <cell r="AO718">
            <v>73</v>
          </cell>
          <cell r="AP718">
            <v>0</v>
          </cell>
          <cell r="AQ718">
            <v>15</v>
          </cell>
          <cell r="AR718">
            <v>291</v>
          </cell>
          <cell r="AS718">
            <v>123</v>
          </cell>
        </row>
        <row r="719">
          <cell r="B719">
            <v>17031801701</v>
          </cell>
          <cell r="D719">
            <v>1772</v>
          </cell>
          <cell r="E719">
            <v>166</v>
          </cell>
          <cell r="F719">
            <v>1467</v>
          </cell>
          <cell r="G719">
            <v>174</v>
          </cell>
          <cell r="H719">
            <v>1371</v>
          </cell>
          <cell r="I719">
            <v>169</v>
          </cell>
          <cell r="J719">
            <v>96</v>
          </cell>
          <cell r="K719">
            <v>52</v>
          </cell>
          <cell r="L719">
            <v>96</v>
          </cell>
          <cell r="M719">
            <v>52</v>
          </cell>
          <cell r="N719">
            <v>0</v>
          </cell>
          <cell r="O719">
            <v>11</v>
          </cell>
          <cell r="P719">
            <v>0</v>
          </cell>
          <cell r="Q719">
            <v>11</v>
          </cell>
          <cell r="R719">
            <v>0</v>
          </cell>
          <cell r="S719">
            <v>11</v>
          </cell>
          <cell r="T719">
            <v>0</v>
          </cell>
          <cell r="U719">
            <v>11</v>
          </cell>
          <cell r="V719">
            <v>148</v>
          </cell>
          <cell r="W719">
            <v>51</v>
          </cell>
          <cell r="X719">
            <v>0</v>
          </cell>
          <cell r="Y719">
            <v>11</v>
          </cell>
          <cell r="Z719">
            <v>0</v>
          </cell>
          <cell r="AA719">
            <v>11</v>
          </cell>
          <cell r="AB719">
            <v>0</v>
          </cell>
          <cell r="AC719">
            <v>11</v>
          </cell>
          <cell r="AD719">
            <v>148</v>
          </cell>
          <cell r="AE719">
            <v>51</v>
          </cell>
          <cell r="AF719">
            <v>0</v>
          </cell>
          <cell r="AG719">
            <v>11</v>
          </cell>
          <cell r="AH719">
            <v>0</v>
          </cell>
          <cell r="AI719">
            <v>11</v>
          </cell>
          <cell r="AJ719">
            <v>0</v>
          </cell>
          <cell r="AK719">
            <v>11</v>
          </cell>
          <cell r="AL719">
            <v>7</v>
          </cell>
          <cell r="AM719">
            <v>11</v>
          </cell>
          <cell r="AN719">
            <v>16</v>
          </cell>
          <cell r="AO719">
            <v>16</v>
          </cell>
          <cell r="AP719">
            <v>7</v>
          </cell>
          <cell r="AQ719">
            <v>11</v>
          </cell>
          <cell r="AR719">
            <v>127</v>
          </cell>
          <cell r="AS719">
            <v>62</v>
          </cell>
        </row>
        <row r="720">
          <cell r="B720">
            <v>17031801702</v>
          </cell>
          <cell r="D720">
            <v>2184</v>
          </cell>
          <cell r="E720">
            <v>173</v>
          </cell>
          <cell r="F720">
            <v>1576</v>
          </cell>
          <cell r="G720">
            <v>172</v>
          </cell>
          <cell r="H720">
            <v>1489</v>
          </cell>
          <cell r="I720">
            <v>166</v>
          </cell>
          <cell r="J720">
            <v>87</v>
          </cell>
          <cell r="K720">
            <v>56</v>
          </cell>
          <cell r="L720">
            <v>72</v>
          </cell>
          <cell r="M720">
            <v>55</v>
          </cell>
          <cell r="N720">
            <v>0</v>
          </cell>
          <cell r="O720">
            <v>11</v>
          </cell>
          <cell r="P720">
            <v>7</v>
          </cell>
          <cell r="Q720">
            <v>12</v>
          </cell>
          <cell r="R720">
            <v>0</v>
          </cell>
          <cell r="S720">
            <v>11</v>
          </cell>
          <cell r="T720">
            <v>8</v>
          </cell>
          <cell r="U720">
            <v>13</v>
          </cell>
          <cell r="V720">
            <v>253</v>
          </cell>
          <cell r="W720">
            <v>77</v>
          </cell>
          <cell r="X720">
            <v>0</v>
          </cell>
          <cell r="Y720">
            <v>11</v>
          </cell>
          <cell r="Z720">
            <v>0</v>
          </cell>
          <cell r="AA720">
            <v>11</v>
          </cell>
          <cell r="AB720">
            <v>0</v>
          </cell>
          <cell r="AC720">
            <v>11</v>
          </cell>
          <cell r="AD720">
            <v>253</v>
          </cell>
          <cell r="AE720">
            <v>77</v>
          </cell>
          <cell r="AF720">
            <v>0</v>
          </cell>
          <cell r="AG720">
            <v>11</v>
          </cell>
          <cell r="AH720">
            <v>0</v>
          </cell>
          <cell r="AI720">
            <v>11</v>
          </cell>
          <cell r="AJ720">
            <v>0</v>
          </cell>
          <cell r="AK720">
            <v>11</v>
          </cell>
          <cell r="AL720">
            <v>27</v>
          </cell>
          <cell r="AM720">
            <v>25</v>
          </cell>
          <cell r="AN720">
            <v>79</v>
          </cell>
          <cell r="AO720">
            <v>51</v>
          </cell>
          <cell r="AP720">
            <v>0</v>
          </cell>
          <cell r="AQ720">
            <v>11</v>
          </cell>
          <cell r="AR720">
            <v>249</v>
          </cell>
          <cell r="AS720">
            <v>114</v>
          </cell>
        </row>
        <row r="721">
          <cell r="B721">
            <v>17031801800</v>
          </cell>
          <cell r="D721">
            <v>2489</v>
          </cell>
          <cell r="E721">
            <v>283</v>
          </cell>
          <cell r="F721">
            <v>1935</v>
          </cell>
          <cell r="G721">
            <v>238</v>
          </cell>
          <cell r="H721">
            <v>1746</v>
          </cell>
          <cell r="I721">
            <v>234</v>
          </cell>
          <cell r="J721">
            <v>189</v>
          </cell>
          <cell r="K721">
            <v>78</v>
          </cell>
          <cell r="L721">
            <v>154</v>
          </cell>
          <cell r="M721">
            <v>83</v>
          </cell>
          <cell r="N721">
            <v>17</v>
          </cell>
          <cell r="O721">
            <v>28</v>
          </cell>
          <cell r="P721">
            <v>0</v>
          </cell>
          <cell r="Q721">
            <v>15</v>
          </cell>
          <cell r="R721">
            <v>18</v>
          </cell>
          <cell r="S721">
            <v>28</v>
          </cell>
          <cell r="T721">
            <v>0</v>
          </cell>
          <cell r="U721">
            <v>15</v>
          </cell>
          <cell r="V721">
            <v>273</v>
          </cell>
          <cell r="W721">
            <v>132</v>
          </cell>
          <cell r="X721">
            <v>0</v>
          </cell>
          <cell r="Y721">
            <v>15</v>
          </cell>
          <cell r="Z721">
            <v>0</v>
          </cell>
          <cell r="AA721">
            <v>15</v>
          </cell>
          <cell r="AB721">
            <v>14</v>
          </cell>
          <cell r="AC721">
            <v>24</v>
          </cell>
          <cell r="AD721">
            <v>259</v>
          </cell>
          <cell r="AE721">
            <v>129</v>
          </cell>
          <cell r="AF721">
            <v>0</v>
          </cell>
          <cell r="AG721">
            <v>15</v>
          </cell>
          <cell r="AH721">
            <v>0</v>
          </cell>
          <cell r="AI721">
            <v>15</v>
          </cell>
          <cell r="AJ721">
            <v>0</v>
          </cell>
          <cell r="AK721">
            <v>15</v>
          </cell>
          <cell r="AL721">
            <v>0</v>
          </cell>
          <cell r="AM721">
            <v>15</v>
          </cell>
          <cell r="AN721">
            <v>16</v>
          </cell>
          <cell r="AO721">
            <v>35</v>
          </cell>
          <cell r="AP721">
            <v>33</v>
          </cell>
          <cell r="AQ721">
            <v>42</v>
          </cell>
          <cell r="AR721">
            <v>232</v>
          </cell>
          <cell r="AS721">
            <v>115</v>
          </cell>
        </row>
        <row r="722">
          <cell r="B722">
            <v>17031801901</v>
          </cell>
          <cell r="D722">
            <v>1958</v>
          </cell>
          <cell r="E722">
            <v>226</v>
          </cell>
          <cell r="F722">
            <v>1513</v>
          </cell>
          <cell r="G722">
            <v>227</v>
          </cell>
          <cell r="H722">
            <v>1389</v>
          </cell>
          <cell r="I722">
            <v>226</v>
          </cell>
          <cell r="J722">
            <v>124</v>
          </cell>
          <cell r="K722">
            <v>60</v>
          </cell>
          <cell r="L722">
            <v>85</v>
          </cell>
          <cell r="M722">
            <v>57</v>
          </cell>
          <cell r="N722">
            <v>34</v>
          </cell>
          <cell r="O722">
            <v>51</v>
          </cell>
          <cell r="P722">
            <v>0</v>
          </cell>
          <cell r="Q722">
            <v>11</v>
          </cell>
          <cell r="R722">
            <v>5</v>
          </cell>
          <cell r="S722">
            <v>8</v>
          </cell>
          <cell r="T722">
            <v>0</v>
          </cell>
          <cell r="U722">
            <v>11</v>
          </cell>
          <cell r="V722">
            <v>212</v>
          </cell>
          <cell r="W722">
            <v>69</v>
          </cell>
          <cell r="X722">
            <v>20</v>
          </cell>
          <cell r="Y722">
            <v>23</v>
          </cell>
          <cell r="Z722">
            <v>0</v>
          </cell>
          <cell r="AA722">
            <v>11</v>
          </cell>
          <cell r="AB722">
            <v>19</v>
          </cell>
          <cell r="AC722">
            <v>22</v>
          </cell>
          <cell r="AD722">
            <v>173</v>
          </cell>
          <cell r="AE722">
            <v>61</v>
          </cell>
          <cell r="AF722">
            <v>0</v>
          </cell>
          <cell r="AG722">
            <v>11</v>
          </cell>
          <cell r="AH722">
            <v>0</v>
          </cell>
          <cell r="AI722">
            <v>11</v>
          </cell>
          <cell r="AJ722">
            <v>0</v>
          </cell>
          <cell r="AK722">
            <v>11</v>
          </cell>
          <cell r="AL722">
            <v>9</v>
          </cell>
          <cell r="AM722">
            <v>14</v>
          </cell>
          <cell r="AN722">
            <v>21</v>
          </cell>
          <cell r="AO722">
            <v>24</v>
          </cell>
          <cell r="AP722">
            <v>0</v>
          </cell>
          <cell r="AQ722">
            <v>11</v>
          </cell>
          <cell r="AR722">
            <v>203</v>
          </cell>
          <cell r="AS722">
            <v>66</v>
          </cell>
        </row>
        <row r="723">
          <cell r="B723">
            <v>17031801902</v>
          </cell>
          <cell r="D723">
            <v>1394</v>
          </cell>
          <cell r="E723">
            <v>144</v>
          </cell>
          <cell r="F723">
            <v>1198</v>
          </cell>
          <cell r="G723">
            <v>166</v>
          </cell>
          <cell r="H723">
            <v>1055</v>
          </cell>
          <cell r="I723">
            <v>143</v>
          </cell>
          <cell r="J723">
            <v>143</v>
          </cell>
          <cell r="K723">
            <v>107</v>
          </cell>
          <cell r="L723">
            <v>143</v>
          </cell>
          <cell r="M723">
            <v>107</v>
          </cell>
          <cell r="N723">
            <v>0</v>
          </cell>
          <cell r="O723">
            <v>11</v>
          </cell>
          <cell r="P723">
            <v>0</v>
          </cell>
          <cell r="Q723">
            <v>11</v>
          </cell>
          <cell r="R723">
            <v>0</v>
          </cell>
          <cell r="S723">
            <v>11</v>
          </cell>
          <cell r="T723">
            <v>0</v>
          </cell>
          <cell r="U723">
            <v>11</v>
          </cell>
          <cell r="V723">
            <v>97</v>
          </cell>
          <cell r="W723">
            <v>50</v>
          </cell>
          <cell r="X723">
            <v>0</v>
          </cell>
          <cell r="Y723">
            <v>11</v>
          </cell>
          <cell r="Z723">
            <v>0</v>
          </cell>
          <cell r="AA723">
            <v>11</v>
          </cell>
          <cell r="AB723">
            <v>11</v>
          </cell>
          <cell r="AC723">
            <v>15</v>
          </cell>
          <cell r="AD723">
            <v>86</v>
          </cell>
          <cell r="AE723">
            <v>48</v>
          </cell>
          <cell r="AF723">
            <v>0</v>
          </cell>
          <cell r="AG723">
            <v>11</v>
          </cell>
          <cell r="AH723">
            <v>0</v>
          </cell>
          <cell r="AI723">
            <v>11</v>
          </cell>
          <cell r="AJ723">
            <v>0</v>
          </cell>
          <cell r="AK723">
            <v>11</v>
          </cell>
          <cell r="AL723">
            <v>0</v>
          </cell>
          <cell r="AM723">
            <v>11</v>
          </cell>
          <cell r="AN723">
            <v>8</v>
          </cell>
          <cell r="AO723">
            <v>14</v>
          </cell>
          <cell r="AP723">
            <v>0</v>
          </cell>
          <cell r="AQ723">
            <v>11</v>
          </cell>
          <cell r="AR723">
            <v>91</v>
          </cell>
          <cell r="AS723">
            <v>51</v>
          </cell>
        </row>
        <row r="724">
          <cell r="B724">
            <v>17031802002</v>
          </cell>
          <cell r="D724">
            <v>2155</v>
          </cell>
          <cell r="E724">
            <v>243</v>
          </cell>
          <cell r="F724">
            <v>1656</v>
          </cell>
          <cell r="G724">
            <v>235</v>
          </cell>
          <cell r="H724">
            <v>1451</v>
          </cell>
          <cell r="I724">
            <v>196</v>
          </cell>
          <cell r="J724">
            <v>205</v>
          </cell>
          <cell r="K724">
            <v>103</v>
          </cell>
          <cell r="L724">
            <v>168</v>
          </cell>
          <cell r="M724">
            <v>98</v>
          </cell>
          <cell r="N724">
            <v>29</v>
          </cell>
          <cell r="O724">
            <v>43</v>
          </cell>
          <cell r="P724">
            <v>8</v>
          </cell>
          <cell r="Q724">
            <v>12</v>
          </cell>
          <cell r="R724">
            <v>0</v>
          </cell>
          <cell r="S724">
            <v>15</v>
          </cell>
          <cell r="T724">
            <v>0</v>
          </cell>
          <cell r="U724">
            <v>15</v>
          </cell>
          <cell r="V724">
            <v>193</v>
          </cell>
          <cell r="W724">
            <v>79</v>
          </cell>
          <cell r="X724">
            <v>27</v>
          </cell>
          <cell r="Y724">
            <v>25</v>
          </cell>
          <cell r="Z724">
            <v>0</v>
          </cell>
          <cell r="AA724">
            <v>15</v>
          </cell>
          <cell r="AB724">
            <v>22</v>
          </cell>
          <cell r="AC724">
            <v>25</v>
          </cell>
          <cell r="AD724">
            <v>144</v>
          </cell>
          <cell r="AE724">
            <v>68</v>
          </cell>
          <cell r="AF724">
            <v>0</v>
          </cell>
          <cell r="AG724">
            <v>15</v>
          </cell>
          <cell r="AH724">
            <v>0</v>
          </cell>
          <cell r="AI724">
            <v>15</v>
          </cell>
          <cell r="AJ724">
            <v>9</v>
          </cell>
          <cell r="AK724">
            <v>14</v>
          </cell>
          <cell r="AL724">
            <v>54</v>
          </cell>
          <cell r="AM724">
            <v>48</v>
          </cell>
          <cell r="AN724">
            <v>27</v>
          </cell>
          <cell r="AO724">
            <v>26</v>
          </cell>
          <cell r="AP724">
            <v>9</v>
          </cell>
          <cell r="AQ724">
            <v>15</v>
          </cell>
          <cell r="AR724">
            <v>207</v>
          </cell>
          <cell r="AS724">
            <v>88</v>
          </cell>
        </row>
        <row r="725">
          <cell r="B725">
            <v>17031802003</v>
          </cell>
          <cell r="D725">
            <v>1351</v>
          </cell>
          <cell r="E725">
            <v>126</v>
          </cell>
          <cell r="F725">
            <v>1054</v>
          </cell>
          <cell r="G725">
            <v>117</v>
          </cell>
          <cell r="H725">
            <v>949</v>
          </cell>
          <cell r="I725">
            <v>101</v>
          </cell>
          <cell r="J725">
            <v>105</v>
          </cell>
          <cell r="K725">
            <v>47</v>
          </cell>
          <cell r="L725">
            <v>105</v>
          </cell>
          <cell r="M725">
            <v>47</v>
          </cell>
          <cell r="N725">
            <v>0</v>
          </cell>
          <cell r="O725">
            <v>11</v>
          </cell>
          <cell r="P725">
            <v>0</v>
          </cell>
          <cell r="Q725">
            <v>11</v>
          </cell>
          <cell r="R725">
            <v>0</v>
          </cell>
          <cell r="S725">
            <v>11</v>
          </cell>
          <cell r="T725">
            <v>0</v>
          </cell>
          <cell r="U725">
            <v>11</v>
          </cell>
          <cell r="V725">
            <v>154</v>
          </cell>
          <cell r="W725">
            <v>73</v>
          </cell>
          <cell r="X725">
            <v>0</v>
          </cell>
          <cell r="Y725">
            <v>11</v>
          </cell>
          <cell r="Z725">
            <v>0</v>
          </cell>
          <cell r="AA725">
            <v>11</v>
          </cell>
          <cell r="AB725">
            <v>7</v>
          </cell>
          <cell r="AC725">
            <v>11</v>
          </cell>
          <cell r="AD725">
            <v>147</v>
          </cell>
          <cell r="AE725">
            <v>69</v>
          </cell>
          <cell r="AF725">
            <v>0</v>
          </cell>
          <cell r="AG725">
            <v>11</v>
          </cell>
          <cell r="AH725">
            <v>0</v>
          </cell>
          <cell r="AI725">
            <v>11</v>
          </cell>
          <cell r="AJ725">
            <v>0</v>
          </cell>
          <cell r="AK725">
            <v>11</v>
          </cell>
          <cell r="AL725">
            <v>5</v>
          </cell>
          <cell r="AM725">
            <v>9</v>
          </cell>
          <cell r="AN725">
            <v>29</v>
          </cell>
          <cell r="AO725">
            <v>33</v>
          </cell>
          <cell r="AP725">
            <v>0</v>
          </cell>
          <cell r="AQ725">
            <v>11</v>
          </cell>
          <cell r="AR725">
            <v>109</v>
          </cell>
          <cell r="AS725">
            <v>59</v>
          </cell>
        </row>
        <row r="726">
          <cell r="B726">
            <v>17031802004</v>
          </cell>
          <cell r="D726">
            <v>2368</v>
          </cell>
          <cell r="E726">
            <v>359</v>
          </cell>
          <cell r="F726">
            <v>2083</v>
          </cell>
          <cell r="G726">
            <v>372</v>
          </cell>
          <cell r="H726">
            <v>1754</v>
          </cell>
          <cell r="I726">
            <v>290</v>
          </cell>
          <cell r="J726">
            <v>329</v>
          </cell>
          <cell r="K726">
            <v>236</v>
          </cell>
          <cell r="L726">
            <v>231</v>
          </cell>
          <cell r="M726">
            <v>188</v>
          </cell>
          <cell r="N726">
            <v>98</v>
          </cell>
          <cell r="O726">
            <v>98</v>
          </cell>
          <cell r="P726">
            <v>0</v>
          </cell>
          <cell r="Q726">
            <v>15</v>
          </cell>
          <cell r="R726">
            <v>0</v>
          </cell>
          <cell r="S726">
            <v>15</v>
          </cell>
          <cell r="T726">
            <v>0</v>
          </cell>
          <cell r="U726">
            <v>15</v>
          </cell>
          <cell r="V726">
            <v>76</v>
          </cell>
          <cell r="W726">
            <v>55</v>
          </cell>
          <cell r="X726">
            <v>22</v>
          </cell>
          <cell r="Y726">
            <v>36</v>
          </cell>
          <cell r="Z726">
            <v>0</v>
          </cell>
          <cell r="AA726">
            <v>15</v>
          </cell>
          <cell r="AB726">
            <v>22</v>
          </cell>
          <cell r="AC726">
            <v>28</v>
          </cell>
          <cell r="AD726">
            <v>32</v>
          </cell>
          <cell r="AE726">
            <v>39</v>
          </cell>
          <cell r="AF726">
            <v>0</v>
          </cell>
          <cell r="AG726">
            <v>15</v>
          </cell>
          <cell r="AH726">
            <v>15</v>
          </cell>
          <cell r="AI726">
            <v>27</v>
          </cell>
          <cell r="AJ726">
            <v>0</v>
          </cell>
          <cell r="AK726">
            <v>15</v>
          </cell>
          <cell r="AL726">
            <v>0</v>
          </cell>
          <cell r="AM726">
            <v>15</v>
          </cell>
          <cell r="AN726">
            <v>87</v>
          </cell>
          <cell r="AO726">
            <v>96</v>
          </cell>
          <cell r="AP726">
            <v>0</v>
          </cell>
          <cell r="AQ726">
            <v>15</v>
          </cell>
          <cell r="AR726">
            <v>107</v>
          </cell>
          <cell r="AS726">
            <v>88</v>
          </cell>
        </row>
        <row r="727">
          <cell r="B727">
            <v>17031802100</v>
          </cell>
          <cell r="D727">
            <v>1504</v>
          </cell>
          <cell r="E727">
            <v>188</v>
          </cell>
          <cell r="F727">
            <v>1085</v>
          </cell>
          <cell r="G727">
            <v>196</v>
          </cell>
          <cell r="H727">
            <v>1022</v>
          </cell>
          <cell r="I727">
            <v>176</v>
          </cell>
          <cell r="J727">
            <v>63</v>
          </cell>
          <cell r="K727">
            <v>45</v>
          </cell>
          <cell r="L727">
            <v>61</v>
          </cell>
          <cell r="M727">
            <v>46</v>
          </cell>
          <cell r="N727">
            <v>2</v>
          </cell>
          <cell r="O727">
            <v>4</v>
          </cell>
          <cell r="P727">
            <v>0</v>
          </cell>
          <cell r="Q727">
            <v>11</v>
          </cell>
          <cell r="R727">
            <v>0</v>
          </cell>
          <cell r="S727">
            <v>11</v>
          </cell>
          <cell r="T727">
            <v>0</v>
          </cell>
          <cell r="U727">
            <v>11</v>
          </cell>
          <cell r="V727">
            <v>204</v>
          </cell>
          <cell r="W727">
            <v>67</v>
          </cell>
          <cell r="X727">
            <v>9</v>
          </cell>
          <cell r="Y727">
            <v>16</v>
          </cell>
          <cell r="Z727">
            <v>10</v>
          </cell>
          <cell r="AA727">
            <v>16</v>
          </cell>
          <cell r="AB727">
            <v>0</v>
          </cell>
          <cell r="AC727">
            <v>11</v>
          </cell>
          <cell r="AD727">
            <v>185</v>
          </cell>
          <cell r="AE727">
            <v>64</v>
          </cell>
          <cell r="AF727">
            <v>0</v>
          </cell>
          <cell r="AG727">
            <v>11</v>
          </cell>
          <cell r="AH727">
            <v>0</v>
          </cell>
          <cell r="AI727">
            <v>11</v>
          </cell>
          <cell r="AJ727">
            <v>0</v>
          </cell>
          <cell r="AK727">
            <v>11</v>
          </cell>
          <cell r="AL727">
            <v>0</v>
          </cell>
          <cell r="AM727">
            <v>11</v>
          </cell>
          <cell r="AN727">
            <v>30</v>
          </cell>
          <cell r="AO727">
            <v>25</v>
          </cell>
          <cell r="AP727">
            <v>0</v>
          </cell>
          <cell r="AQ727">
            <v>11</v>
          </cell>
          <cell r="AR727">
            <v>185</v>
          </cell>
          <cell r="AS727">
            <v>106</v>
          </cell>
        </row>
        <row r="728">
          <cell r="B728">
            <v>17031802200</v>
          </cell>
          <cell r="D728">
            <v>1980</v>
          </cell>
          <cell r="E728">
            <v>176</v>
          </cell>
          <cell r="F728">
            <v>1434</v>
          </cell>
          <cell r="G728">
            <v>161</v>
          </cell>
          <cell r="H728">
            <v>1384</v>
          </cell>
          <cell r="I728">
            <v>150</v>
          </cell>
          <cell r="J728">
            <v>50</v>
          </cell>
          <cell r="K728">
            <v>38</v>
          </cell>
          <cell r="L728">
            <v>45</v>
          </cell>
          <cell r="M728">
            <v>34</v>
          </cell>
          <cell r="N728">
            <v>0</v>
          </cell>
          <cell r="O728">
            <v>11</v>
          </cell>
          <cell r="P728">
            <v>5</v>
          </cell>
          <cell r="Q728">
            <v>9</v>
          </cell>
          <cell r="R728">
            <v>0</v>
          </cell>
          <cell r="S728">
            <v>11</v>
          </cell>
          <cell r="T728">
            <v>0</v>
          </cell>
          <cell r="U728">
            <v>11</v>
          </cell>
          <cell r="V728">
            <v>329</v>
          </cell>
          <cell r="W728">
            <v>96</v>
          </cell>
          <cell r="X728">
            <v>0</v>
          </cell>
          <cell r="Y728">
            <v>11</v>
          </cell>
          <cell r="Z728">
            <v>0</v>
          </cell>
          <cell r="AA728">
            <v>11</v>
          </cell>
          <cell r="AB728">
            <v>14</v>
          </cell>
          <cell r="AC728">
            <v>22</v>
          </cell>
          <cell r="AD728">
            <v>315</v>
          </cell>
          <cell r="AE728">
            <v>93</v>
          </cell>
          <cell r="AF728">
            <v>0</v>
          </cell>
          <cell r="AG728">
            <v>11</v>
          </cell>
          <cell r="AH728">
            <v>0</v>
          </cell>
          <cell r="AI728">
            <v>11</v>
          </cell>
          <cell r="AJ728">
            <v>0</v>
          </cell>
          <cell r="AK728">
            <v>11</v>
          </cell>
          <cell r="AL728">
            <v>0</v>
          </cell>
          <cell r="AM728">
            <v>11</v>
          </cell>
          <cell r="AN728">
            <v>34</v>
          </cell>
          <cell r="AO728">
            <v>24</v>
          </cell>
          <cell r="AP728">
            <v>0</v>
          </cell>
          <cell r="AQ728">
            <v>11</v>
          </cell>
          <cell r="AR728">
            <v>183</v>
          </cell>
          <cell r="AS728">
            <v>69</v>
          </cell>
        </row>
        <row r="729">
          <cell r="B729">
            <v>17031802300</v>
          </cell>
          <cell r="D729">
            <v>2126</v>
          </cell>
          <cell r="E729">
            <v>206</v>
          </cell>
          <cell r="F729">
            <v>1577</v>
          </cell>
          <cell r="G729">
            <v>223</v>
          </cell>
          <cell r="H729">
            <v>1391</v>
          </cell>
          <cell r="I729">
            <v>223</v>
          </cell>
          <cell r="J729">
            <v>186</v>
          </cell>
          <cell r="K729">
            <v>93</v>
          </cell>
          <cell r="L729">
            <v>108</v>
          </cell>
          <cell r="M729">
            <v>77</v>
          </cell>
          <cell r="N729">
            <v>52</v>
          </cell>
          <cell r="O729">
            <v>65</v>
          </cell>
          <cell r="P729">
            <v>0</v>
          </cell>
          <cell r="Q729">
            <v>15</v>
          </cell>
          <cell r="R729">
            <v>0</v>
          </cell>
          <cell r="S729">
            <v>15</v>
          </cell>
          <cell r="T729">
            <v>26</v>
          </cell>
          <cell r="U729">
            <v>39</v>
          </cell>
          <cell r="V729">
            <v>353</v>
          </cell>
          <cell r="W729">
            <v>100</v>
          </cell>
          <cell r="X729">
            <v>0</v>
          </cell>
          <cell r="Y729">
            <v>15</v>
          </cell>
          <cell r="Z729">
            <v>0</v>
          </cell>
          <cell r="AA729">
            <v>15</v>
          </cell>
          <cell r="AB729">
            <v>25</v>
          </cell>
          <cell r="AC729">
            <v>29</v>
          </cell>
          <cell r="AD729">
            <v>328</v>
          </cell>
          <cell r="AE729">
            <v>97</v>
          </cell>
          <cell r="AF729">
            <v>0</v>
          </cell>
          <cell r="AG729">
            <v>15</v>
          </cell>
          <cell r="AH729">
            <v>0</v>
          </cell>
          <cell r="AI729">
            <v>15</v>
          </cell>
          <cell r="AJ729">
            <v>0</v>
          </cell>
          <cell r="AK729">
            <v>15</v>
          </cell>
          <cell r="AL729">
            <v>0</v>
          </cell>
          <cell r="AM729">
            <v>15</v>
          </cell>
          <cell r="AN729">
            <v>28</v>
          </cell>
          <cell r="AO729">
            <v>31</v>
          </cell>
          <cell r="AP729">
            <v>0</v>
          </cell>
          <cell r="AQ729">
            <v>15</v>
          </cell>
          <cell r="AR729">
            <v>168</v>
          </cell>
          <cell r="AS729">
            <v>77</v>
          </cell>
        </row>
        <row r="730">
          <cell r="B730">
            <v>17031802402</v>
          </cell>
          <cell r="D730">
            <v>2596</v>
          </cell>
          <cell r="E730">
            <v>261</v>
          </cell>
          <cell r="F730">
            <v>2285</v>
          </cell>
          <cell r="G730">
            <v>233</v>
          </cell>
          <cell r="H730">
            <v>1846</v>
          </cell>
          <cell r="I730">
            <v>195</v>
          </cell>
          <cell r="J730">
            <v>439</v>
          </cell>
          <cell r="K730">
            <v>202</v>
          </cell>
          <cell r="L730">
            <v>415</v>
          </cell>
          <cell r="M730">
            <v>198</v>
          </cell>
          <cell r="N730">
            <v>24</v>
          </cell>
          <cell r="O730">
            <v>28</v>
          </cell>
          <cell r="P730">
            <v>0</v>
          </cell>
          <cell r="Q730">
            <v>15</v>
          </cell>
          <cell r="R730">
            <v>0</v>
          </cell>
          <cell r="S730">
            <v>15</v>
          </cell>
          <cell r="T730">
            <v>0</v>
          </cell>
          <cell r="U730">
            <v>15</v>
          </cell>
          <cell r="V730">
            <v>88</v>
          </cell>
          <cell r="W730">
            <v>57</v>
          </cell>
          <cell r="X730">
            <v>60</v>
          </cell>
          <cell r="Y730">
            <v>57</v>
          </cell>
          <cell r="Z730">
            <v>0</v>
          </cell>
          <cell r="AA730">
            <v>15</v>
          </cell>
          <cell r="AB730">
            <v>11</v>
          </cell>
          <cell r="AC730">
            <v>18</v>
          </cell>
          <cell r="AD730">
            <v>17</v>
          </cell>
          <cell r="AE730">
            <v>20</v>
          </cell>
          <cell r="AF730">
            <v>0</v>
          </cell>
          <cell r="AG730">
            <v>15</v>
          </cell>
          <cell r="AH730">
            <v>0</v>
          </cell>
          <cell r="AI730">
            <v>15</v>
          </cell>
          <cell r="AJ730">
            <v>0</v>
          </cell>
          <cell r="AK730">
            <v>15</v>
          </cell>
          <cell r="AL730">
            <v>0</v>
          </cell>
          <cell r="AM730">
            <v>15</v>
          </cell>
          <cell r="AN730">
            <v>98</v>
          </cell>
          <cell r="AO730">
            <v>81</v>
          </cell>
          <cell r="AP730">
            <v>0</v>
          </cell>
          <cell r="AQ730">
            <v>15</v>
          </cell>
          <cell r="AR730">
            <v>125</v>
          </cell>
          <cell r="AS730">
            <v>78</v>
          </cell>
        </row>
        <row r="731">
          <cell r="B731">
            <v>17031802403</v>
          </cell>
          <cell r="D731">
            <v>900</v>
          </cell>
          <cell r="E731">
            <v>125</v>
          </cell>
          <cell r="F731">
            <v>798</v>
          </cell>
          <cell r="G731">
            <v>123</v>
          </cell>
          <cell r="H731">
            <v>770</v>
          </cell>
          <cell r="I731">
            <v>125</v>
          </cell>
          <cell r="J731">
            <v>28</v>
          </cell>
          <cell r="K731">
            <v>23</v>
          </cell>
          <cell r="L731">
            <v>28</v>
          </cell>
          <cell r="M731">
            <v>23</v>
          </cell>
          <cell r="N731">
            <v>0</v>
          </cell>
          <cell r="O731">
            <v>11</v>
          </cell>
          <cell r="P731">
            <v>0</v>
          </cell>
          <cell r="Q731">
            <v>11</v>
          </cell>
          <cell r="R731">
            <v>0</v>
          </cell>
          <cell r="S731">
            <v>11</v>
          </cell>
          <cell r="T731">
            <v>0</v>
          </cell>
          <cell r="U731">
            <v>11</v>
          </cell>
          <cell r="V731">
            <v>37</v>
          </cell>
          <cell r="W731">
            <v>24</v>
          </cell>
          <cell r="X731">
            <v>0</v>
          </cell>
          <cell r="Y731">
            <v>11</v>
          </cell>
          <cell r="Z731">
            <v>0</v>
          </cell>
          <cell r="AA731">
            <v>11</v>
          </cell>
          <cell r="AB731">
            <v>0</v>
          </cell>
          <cell r="AC731">
            <v>11</v>
          </cell>
          <cell r="AD731">
            <v>30</v>
          </cell>
          <cell r="AE731">
            <v>21</v>
          </cell>
          <cell r="AF731">
            <v>7</v>
          </cell>
          <cell r="AG731">
            <v>10</v>
          </cell>
          <cell r="AH731">
            <v>0</v>
          </cell>
          <cell r="AI731">
            <v>11</v>
          </cell>
          <cell r="AJ731">
            <v>0</v>
          </cell>
          <cell r="AK731">
            <v>11</v>
          </cell>
          <cell r="AL731">
            <v>0</v>
          </cell>
          <cell r="AM731">
            <v>11</v>
          </cell>
          <cell r="AN731">
            <v>18</v>
          </cell>
          <cell r="AO731">
            <v>19</v>
          </cell>
          <cell r="AP731">
            <v>0</v>
          </cell>
          <cell r="AQ731">
            <v>11</v>
          </cell>
          <cell r="AR731">
            <v>47</v>
          </cell>
          <cell r="AS731">
            <v>28</v>
          </cell>
        </row>
        <row r="732">
          <cell r="B732">
            <v>17031802404</v>
          </cell>
          <cell r="D732">
            <v>4115</v>
          </cell>
          <cell r="E732">
            <v>383</v>
          </cell>
          <cell r="F732">
            <v>4002</v>
          </cell>
          <cell r="G732">
            <v>391</v>
          </cell>
          <cell r="H732">
            <v>3343</v>
          </cell>
          <cell r="I732">
            <v>404</v>
          </cell>
          <cell r="J732">
            <v>659</v>
          </cell>
          <cell r="K732">
            <v>267</v>
          </cell>
          <cell r="L732">
            <v>494</v>
          </cell>
          <cell r="M732">
            <v>196</v>
          </cell>
          <cell r="N732">
            <v>55</v>
          </cell>
          <cell r="O732">
            <v>78</v>
          </cell>
          <cell r="P732">
            <v>68</v>
          </cell>
          <cell r="Q732">
            <v>88</v>
          </cell>
          <cell r="R732">
            <v>42</v>
          </cell>
          <cell r="S732">
            <v>53</v>
          </cell>
          <cell r="T732">
            <v>0</v>
          </cell>
          <cell r="U732">
            <v>15</v>
          </cell>
          <cell r="V732">
            <v>49</v>
          </cell>
          <cell r="W732">
            <v>46</v>
          </cell>
          <cell r="X732">
            <v>0</v>
          </cell>
          <cell r="Y732">
            <v>15</v>
          </cell>
          <cell r="Z732">
            <v>0</v>
          </cell>
          <cell r="AA732">
            <v>15</v>
          </cell>
          <cell r="AB732">
            <v>0</v>
          </cell>
          <cell r="AC732">
            <v>15</v>
          </cell>
          <cell r="AD732">
            <v>49</v>
          </cell>
          <cell r="AE732">
            <v>46</v>
          </cell>
          <cell r="AF732">
            <v>0</v>
          </cell>
          <cell r="AG732">
            <v>15</v>
          </cell>
          <cell r="AH732">
            <v>53</v>
          </cell>
          <cell r="AI732">
            <v>85</v>
          </cell>
          <cell r="AJ732">
            <v>0</v>
          </cell>
          <cell r="AK732">
            <v>15</v>
          </cell>
          <cell r="AL732">
            <v>0</v>
          </cell>
          <cell r="AM732">
            <v>15</v>
          </cell>
          <cell r="AN732">
            <v>0</v>
          </cell>
          <cell r="AO732">
            <v>15</v>
          </cell>
          <cell r="AP732">
            <v>0</v>
          </cell>
          <cell r="AQ732">
            <v>15</v>
          </cell>
          <cell r="AR732">
            <v>11</v>
          </cell>
          <cell r="AS732">
            <v>17</v>
          </cell>
        </row>
        <row r="733">
          <cell r="B733">
            <v>17031802503</v>
          </cell>
          <cell r="D733">
            <v>2710</v>
          </cell>
          <cell r="E733">
            <v>269</v>
          </cell>
          <cell r="F733">
            <v>2562</v>
          </cell>
          <cell r="G733">
            <v>260</v>
          </cell>
          <cell r="H733">
            <v>2354</v>
          </cell>
          <cell r="I733">
            <v>270</v>
          </cell>
          <cell r="J733">
            <v>208</v>
          </cell>
          <cell r="K733">
            <v>101</v>
          </cell>
          <cell r="L733">
            <v>181</v>
          </cell>
          <cell r="M733">
            <v>97</v>
          </cell>
          <cell r="N733">
            <v>27</v>
          </cell>
          <cell r="O733">
            <v>30</v>
          </cell>
          <cell r="P733">
            <v>0</v>
          </cell>
          <cell r="Q733">
            <v>15</v>
          </cell>
          <cell r="R733">
            <v>0</v>
          </cell>
          <cell r="S733">
            <v>15</v>
          </cell>
          <cell r="T733">
            <v>0</v>
          </cell>
          <cell r="U733">
            <v>15</v>
          </cell>
          <cell r="V733">
            <v>63</v>
          </cell>
          <cell r="W733">
            <v>51</v>
          </cell>
          <cell r="X733">
            <v>17</v>
          </cell>
          <cell r="Y733">
            <v>27</v>
          </cell>
          <cell r="Z733">
            <v>0</v>
          </cell>
          <cell r="AA733">
            <v>15</v>
          </cell>
          <cell r="AB733">
            <v>0</v>
          </cell>
          <cell r="AC733">
            <v>15</v>
          </cell>
          <cell r="AD733">
            <v>46</v>
          </cell>
          <cell r="AE733">
            <v>44</v>
          </cell>
          <cell r="AF733">
            <v>0</v>
          </cell>
          <cell r="AG733">
            <v>15</v>
          </cell>
          <cell r="AH733">
            <v>0</v>
          </cell>
          <cell r="AI733">
            <v>15</v>
          </cell>
          <cell r="AJ733">
            <v>0</v>
          </cell>
          <cell r="AK733">
            <v>15</v>
          </cell>
          <cell r="AL733">
            <v>0</v>
          </cell>
          <cell r="AM733">
            <v>15</v>
          </cell>
          <cell r="AN733">
            <v>14</v>
          </cell>
          <cell r="AO733">
            <v>22</v>
          </cell>
          <cell r="AP733">
            <v>13</v>
          </cell>
          <cell r="AQ733">
            <v>20</v>
          </cell>
          <cell r="AR733">
            <v>58</v>
          </cell>
          <cell r="AS733">
            <v>53</v>
          </cell>
        </row>
        <row r="734">
          <cell r="B734">
            <v>17031802504</v>
          </cell>
          <cell r="D734">
            <v>3739</v>
          </cell>
          <cell r="E734">
            <v>316</v>
          </cell>
          <cell r="F734">
            <v>3549</v>
          </cell>
          <cell r="G734">
            <v>311</v>
          </cell>
          <cell r="H734">
            <v>2804</v>
          </cell>
          <cell r="I734">
            <v>253</v>
          </cell>
          <cell r="J734">
            <v>745</v>
          </cell>
          <cell r="K734">
            <v>308</v>
          </cell>
          <cell r="L734">
            <v>622</v>
          </cell>
          <cell r="M734">
            <v>283</v>
          </cell>
          <cell r="N734">
            <v>116</v>
          </cell>
          <cell r="O734">
            <v>82</v>
          </cell>
          <cell r="P734">
            <v>7</v>
          </cell>
          <cell r="Q734">
            <v>13</v>
          </cell>
          <cell r="R734">
            <v>0</v>
          </cell>
          <cell r="S734">
            <v>15</v>
          </cell>
          <cell r="T734">
            <v>0</v>
          </cell>
          <cell r="U734">
            <v>15</v>
          </cell>
          <cell r="V734">
            <v>41</v>
          </cell>
          <cell r="W734">
            <v>32</v>
          </cell>
          <cell r="X734">
            <v>10</v>
          </cell>
          <cell r="Y734">
            <v>16</v>
          </cell>
          <cell r="Z734">
            <v>0</v>
          </cell>
          <cell r="AA734">
            <v>15</v>
          </cell>
          <cell r="AB734">
            <v>0</v>
          </cell>
          <cell r="AC734">
            <v>15</v>
          </cell>
          <cell r="AD734">
            <v>31</v>
          </cell>
          <cell r="AE734">
            <v>27</v>
          </cell>
          <cell r="AF734">
            <v>0</v>
          </cell>
          <cell r="AG734">
            <v>15</v>
          </cell>
          <cell r="AH734">
            <v>11</v>
          </cell>
          <cell r="AI734">
            <v>17</v>
          </cell>
          <cell r="AJ734">
            <v>20</v>
          </cell>
          <cell r="AK734">
            <v>34</v>
          </cell>
          <cell r="AL734">
            <v>17</v>
          </cell>
          <cell r="AM734">
            <v>30</v>
          </cell>
          <cell r="AN734">
            <v>0</v>
          </cell>
          <cell r="AO734">
            <v>15</v>
          </cell>
          <cell r="AP734">
            <v>20</v>
          </cell>
          <cell r="AQ734">
            <v>23</v>
          </cell>
          <cell r="AR734">
            <v>81</v>
          </cell>
          <cell r="AS734">
            <v>46</v>
          </cell>
        </row>
        <row r="735">
          <cell r="B735">
            <v>17031802505</v>
          </cell>
          <cell r="D735">
            <v>3266</v>
          </cell>
          <cell r="E735">
            <v>352</v>
          </cell>
          <cell r="F735">
            <v>2938</v>
          </cell>
          <cell r="G735">
            <v>383</v>
          </cell>
          <cell r="H735">
            <v>2333</v>
          </cell>
          <cell r="I735">
            <v>298</v>
          </cell>
          <cell r="J735">
            <v>605</v>
          </cell>
          <cell r="K735">
            <v>337</v>
          </cell>
          <cell r="L735">
            <v>510</v>
          </cell>
          <cell r="M735">
            <v>300</v>
          </cell>
          <cell r="N735">
            <v>82</v>
          </cell>
          <cell r="O735">
            <v>89</v>
          </cell>
          <cell r="P735">
            <v>0</v>
          </cell>
          <cell r="Q735">
            <v>15</v>
          </cell>
          <cell r="R735">
            <v>13</v>
          </cell>
          <cell r="S735">
            <v>20</v>
          </cell>
          <cell r="T735">
            <v>0</v>
          </cell>
          <cell r="U735">
            <v>15</v>
          </cell>
          <cell r="V735">
            <v>19</v>
          </cell>
          <cell r="W735">
            <v>31</v>
          </cell>
          <cell r="X735">
            <v>0</v>
          </cell>
          <cell r="Y735">
            <v>15</v>
          </cell>
          <cell r="Z735">
            <v>0</v>
          </cell>
          <cell r="AA735">
            <v>15</v>
          </cell>
          <cell r="AB735">
            <v>0</v>
          </cell>
          <cell r="AC735">
            <v>15</v>
          </cell>
          <cell r="AD735">
            <v>19</v>
          </cell>
          <cell r="AE735">
            <v>31</v>
          </cell>
          <cell r="AF735">
            <v>0</v>
          </cell>
          <cell r="AG735">
            <v>15</v>
          </cell>
          <cell r="AH735">
            <v>0</v>
          </cell>
          <cell r="AI735">
            <v>15</v>
          </cell>
          <cell r="AJ735">
            <v>0</v>
          </cell>
          <cell r="AK735">
            <v>15</v>
          </cell>
          <cell r="AL735">
            <v>65</v>
          </cell>
          <cell r="AM735">
            <v>76</v>
          </cell>
          <cell r="AN735">
            <v>45</v>
          </cell>
          <cell r="AO735">
            <v>51</v>
          </cell>
          <cell r="AP735">
            <v>0</v>
          </cell>
          <cell r="AQ735">
            <v>15</v>
          </cell>
          <cell r="AR735">
            <v>199</v>
          </cell>
          <cell r="AS735">
            <v>133</v>
          </cell>
        </row>
        <row r="736">
          <cell r="B736">
            <v>17031802506</v>
          </cell>
          <cell r="D736">
            <v>1361</v>
          </cell>
          <cell r="E736">
            <v>118</v>
          </cell>
          <cell r="F736">
            <v>1243</v>
          </cell>
          <cell r="G736">
            <v>128</v>
          </cell>
          <cell r="H736">
            <v>1042</v>
          </cell>
          <cell r="I736">
            <v>127</v>
          </cell>
          <cell r="J736">
            <v>201</v>
          </cell>
          <cell r="K736">
            <v>62</v>
          </cell>
          <cell r="L736">
            <v>181</v>
          </cell>
          <cell r="M736">
            <v>57</v>
          </cell>
          <cell r="N736">
            <v>0</v>
          </cell>
          <cell r="O736">
            <v>11</v>
          </cell>
          <cell r="P736">
            <v>6</v>
          </cell>
          <cell r="Q736">
            <v>10</v>
          </cell>
          <cell r="R736">
            <v>14</v>
          </cell>
          <cell r="S736">
            <v>17</v>
          </cell>
          <cell r="T736">
            <v>0</v>
          </cell>
          <cell r="U736">
            <v>11</v>
          </cell>
          <cell r="V736">
            <v>43</v>
          </cell>
          <cell r="W736">
            <v>35</v>
          </cell>
          <cell r="X736">
            <v>29</v>
          </cell>
          <cell r="Y736">
            <v>31</v>
          </cell>
          <cell r="Z736">
            <v>0</v>
          </cell>
          <cell r="AA736">
            <v>11</v>
          </cell>
          <cell r="AB736">
            <v>0</v>
          </cell>
          <cell r="AC736">
            <v>11</v>
          </cell>
          <cell r="AD736">
            <v>14</v>
          </cell>
          <cell r="AE736">
            <v>15</v>
          </cell>
          <cell r="AF736">
            <v>0</v>
          </cell>
          <cell r="AG736">
            <v>11</v>
          </cell>
          <cell r="AH736">
            <v>0</v>
          </cell>
          <cell r="AI736">
            <v>11</v>
          </cell>
          <cell r="AJ736">
            <v>0</v>
          </cell>
          <cell r="AK736">
            <v>11</v>
          </cell>
          <cell r="AL736">
            <v>0</v>
          </cell>
          <cell r="AM736">
            <v>11</v>
          </cell>
          <cell r="AN736">
            <v>27</v>
          </cell>
          <cell r="AO736">
            <v>26</v>
          </cell>
          <cell r="AP736">
            <v>5</v>
          </cell>
          <cell r="AQ736">
            <v>8</v>
          </cell>
          <cell r="AR736">
            <v>43</v>
          </cell>
          <cell r="AS736">
            <v>33</v>
          </cell>
        </row>
        <row r="737">
          <cell r="B737">
            <v>17031802605</v>
          </cell>
          <cell r="D737">
            <v>3726</v>
          </cell>
          <cell r="E737">
            <v>315</v>
          </cell>
          <cell r="F737">
            <v>3414</v>
          </cell>
          <cell r="G737">
            <v>300</v>
          </cell>
          <cell r="H737">
            <v>3132</v>
          </cell>
          <cell r="I737">
            <v>269</v>
          </cell>
          <cell r="J737">
            <v>282</v>
          </cell>
          <cell r="K737">
            <v>135</v>
          </cell>
          <cell r="L737">
            <v>252</v>
          </cell>
          <cell r="M737">
            <v>138</v>
          </cell>
          <cell r="N737">
            <v>0</v>
          </cell>
          <cell r="O737">
            <v>15</v>
          </cell>
          <cell r="P737">
            <v>0</v>
          </cell>
          <cell r="Q737">
            <v>15</v>
          </cell>
          <cell r="R737">
            <v>0</v>
          </cell>
          <cell r="S737">
            <v>15</v>
          </cell>
          <cell r="T737">
            <v>30</v>
          </cell>
          <cell r="U737">
            <v>35</v>
          </cell>
          <cell r="V737">
            <v>127</v>
          </cell>
          <cell r="W737">
            <v>100</v>
          </cell>
          <cell r="X737">
            <v>4</v>
          </cell>
          <cell r="Y737">
            <v>7</v>
          </cell>
          <cell r="Z737">
            <v>0</v>
          </cell>
          <cell r="AA737">
            <v>15</v>
          </cell>
          <cell r="AB737">
            <v>0</v>
          </cell>
          <cell r="AC737">
            <v>15</v>
          </cell>
          <cell r="AD737">
            <v>123</v>
          </cell>
          <cell r="AE737">
            <v>99</v>
          </cell>
          <cell r="AF737">
            <v>0</v>
          </cell>
          <cell r="AG737">
            <v>15</v>
          </cell>
          <cell r="AH737">
            <v>0</v>
          </cell>
          <cell r="AI737">
            <v>15</v>
          </cell>
          <cell r="AJ737">
            <v>0</v>
          </cell>
          <cell r="AK737">
            <v>15</v>
          </cell>
          <cell r="AL737">
            <v>0</v>
          </cell>
          <cell r="AM737">
            <v>15</v>
          </cell>
          <cell r="AN737">
            <v>3</v>
          </cell>
          <cell r="AO737">
            <v>7</v>
          </cell>
          <cell r="AP737">
            <v>0</v>
          </cell>
          <cell r="AQ737">
            <v>15</v>
          </cell>
          <cell r="AR737">
            <v>182</v>
          </cell>
          <cell r="AS737">
            <v>94</v>
          </cell>
        </row>
        <row r="738">
          <cell r="B738">
            <v>17031802607</v>
          </cell>
          <cell r="D738">
            <v>642</v>
          </cell>
          <cell r="E738">
            <v>82</v>
          </cell>
          <cell r="F738">
            <v>550</v>
          </cell>
          <cell r="G738">
            <v>87</v>
          </cell>
          <cell r="H738">
            <v>537</v>
          </cell>
          <cell r="I738">
            <v>88</v>
          </cell>
          <cell r="J738">
            <v>13</v>
          </cell>
          <cell r="K738">
            <v>11</v>
          </cell>
          <cell r="L738">
            <v>13</v>
          </cell>
          <cell r="M738">
            <v>11</v>
          </cell>
          <cell r="N738">
            <v>0</v>
          </cell>
          <cell r="O738">
            <v>11</v>
          </cell>
          <cell r="P738">
            <v>0</v>
          </cell>
          <cell r="Q738">
            <v>11</v>
          </cell>
          <cell r="R738">
            <v>0</v>
          </cell>
          <cell r="S738">
            <v>11</v>
          </cell>
          <cell r="T738">
            <v>0</v>
          </cell>
          <cell r="U738">
            <v>11</v>
          </cell>
          <cell r="V738">
            <v>52</v>
          </cell>
          <cell r="W738">
            <v>25</v>
          </cell>
          <cell r="X738">
            <v>19</v>
          </cell>
          <cell r="Y738">
            <v>16</v>
          </cell>
          <cell r="Z738">
            <v>0</v>
          </cell>
          <cell r="AA738">
            <v>11</v>
          </cell>
          <cell r="AB738">
            <v>0</v>
          </cell>
          <cell r="AC738">
            <v>11</v>
          </cell>
          <cell r="AD738">
            <v>33</v>
          </cell>
          <cell r="AE738">
            <v>19</v>
          </cell>
          <cell r="AF738">
            <v>0</v>
          </cell>
          <cell r="AG738">
            <v>11</v>
          </cell>
          <cell r="AH738">
            <v>0</v>
          </cell>
          <cell r="AI738">
            <v>11</v>
          </cell>
          <cell r="AJ738">
            <v>0</v>
          </cell>
          <cell r="AK738">
            <v>11</v>
          </cell>
          <cell r="AL738">
            <v>0</v>
          </cell>
          <cell r="AM738">
            <v>11</v>
          </cell>
          <cell r="AN738">
            <v>0</v>
          </cell>
          <cell r="AO738">
            <v>11</v>
          </cell>
          <cell r="AP738">
            <v>0</v>
          </cell>
          <cell r="AQ738">
            <v>11</v>
          </cell>
          <cell r="AR738">
            <v>40</v>
          </cell>
          <cell r="AS738">
            <v>22</v>
          </cell>
        </row>
        <row r="739">
          <cell r="B739">
            <v>17031802608</v>
          </cell>
          <cell r="D739">
            <v>3339</v>
          </cell>
          <cell r="E739">
            <v>353</v>
          </cell>
          <cell r="F739">
            <v>3155</v>
          </cell>
          <cell r="G739">
            <v>340</v>
          </cell>
          <cell r="H739">
            <v>2874</v>
          </cell>
          <cell r="I739">
            <v>305</v>
          </cell>
          <cell r="J739">
            <v>281</v>
          </cell>
          <cell r="K739">
            <v>129</v>
          </cell>
          <cell r="L739">
            <v>216</v>
          </cell>
          <cell r="M739">
            <v>111</v>
          </cell>
          <cell r="N739">
            <v>58</v>
          </cell>
          <cell r="O739">
            <v>67</v>
          </cell>
          <cell r="P739">
            <v>0</v>
          </cell>
          <cell r="Q739">
            <v>15</v>
          </cell>
          <cell r="R739">
            <v>0</v>
          </cell>
          <cell r="S739">
            <v>15</v>
          </cell>
          <cell r="T739">
            <v>7</v>
          </cell>
          <cell r="U739">
            <v>13</v>
          </cell>
          <cell r="V739">
            <v>50</v>
          </cell>
          <cell r="W739">
            <v>47</v>
          </cell>
          <cell r="X739">
            <v>0</v>
          </cell>
          <cell r="Y739">
            <v>15</v>
          </cell>
          <cell r="Z739">
            <v>0</v>
          </cell>
          <cell r="AA739">
            <v>15</v>
          </cell>
          <cell r="AB739">
            <v>0</v>
          </cell>
          <cell r="AC739">
            <v>15</v>
          </cell>
          <cell r="AD739">
            <v>50</v>
          </cell>
          <cell r="AE739">
            <v>47</v>
          </cell>
          <cell r="AF739">
            <v>0</v>
          </cell>
          <cell r="AG739">
            <v>15</v>
          </cell>
          <cell r="AH739">
            <v>0</v>
          </cell>
          <cell r="AI739">
            <v>15</v>
          </cell>
          <cell r="AJ739">
            <v>0</v>
          </cell>
          <cell r="AK739">
            <v>15</v>
          </cell>
          <cell r="AL739">
            <v>0</v>
          </cell>
          <cell r="AM739">
            <v>15</v>
          </cell>
          <cell r="AN739">
            <v>17</v>
          </cell>
          <cell r="AO739">
            <v>26</v>
          </cell>
          <cell r="AP739">
            <v>0</v>
          </cell>
          <cell r="AQ739">
            <v>15</v>
          </cell>
          <cell r="AR739">
            <v>117</v>
          </cell>
          <cell r="AS739">
            <v>92</v>
          </cell>
        </row>
        <row r="740">
          <cell r="B740">
            <v>17031802609</v>
          </cell>
          <cell r="D740">
            <v>3678</v>
          </cell>
          <cell r="E740">
            <v>391</v>
          </cell>
          <cell r="F740">
            <v>3346</v>
          </cell>
          <cell r="G740">
            <v>399</v>
          </cell>
          <cell r="H740">
            <v>2461</v>
          </cell>
          <cell r="I740">
            <v>303</v>
          </cell>
          <cell r="J740">
            <v>885</v>
          </cell>
          <cell r="K740">
            <v>327</v>
          </cell>
          <cell r="L740">
            <v>627</v>
          </cell>
          <cell r="M740">
            <v>248</v>
          </cell>
          <cell r="N740">
            <v>119</v>
          </cell>
          <cell r="O740">
            <v>108</v>
          </cell>
          <cell r="P740">
            <v>0</v>
          </cell>
          <cell r="Q740">
            <v>15</v>
          </cell>
          <cell r="R740">
            <v>0</v>
          </cell>
          <cell r="S740">
            <v>15</v>
          </cell>
          <cell r="T740">
            <v>139</v>
          </cell>
          <cell r="U740">
            <v>220</v>
          </cell>
          <cell r="V740">
            <v>164</v>
          </cell>
          <cell r="W740">
            <v>110</v>
          </cell>
          <cell r="X740">
            <v>73</v>
          </cell>
          <cell r="Y740">
            <v>81</v>
          </cell>
          <cell r="Z740">
            <v>0</v>
          </cell>
          <cell r="AA740">
            <v>15</v>
          </cell>
          <cell r="AB740">
            <v>0</v>
          </cell>
          <cell r="AC740">
            <v>15</v>
          </cell>
          <cell r="AD740">
            <v>91</v>
          </cell>
          <cell r="AE740">
            <v>80</v>
          </cell>
          <cell r="AF740">
            <v>0</v>
          </cell>
          <cell r="AG740">
            <v>15</v>
          </cell>
          <cell r="AH740">
            <v>28</v>
          </cell>
          <cell r="AI740">
            <v>45</v>
          </cell>
          <cell r="AJ740">
            <v>0</v>
          </cell>
          <cell r="AK740">
            <v>15</v>
          </cell>
          <cell r="AL740">
            <v>10</v>
          </cell>
          <cell r="AM740">
            <v>17</v>
          </cell>
          <cell r="AN740">
            <v>0</v>
          </cell>
          <cell r="AO740">
            <v>15</v>
          </cell>
          <cell r="AP740">
            <v>34</v>
          </cell>
          <cell r="AQ740">
            <v>39</v>
          </cell>
          <cell r="AR740">
            <v>96</v>
          </cell>
          <cell r="AS740">
            <v>63</v>
          </cell>
        </row>
        <row r="741">
          <cell r="B741">
            <v>17031802610</v>
          </cell>
          <cell r="D741">
            <v>809</v>
          </cell>
          <cell r="E741">
            <v>82</v>
          </cell>
          <cell r="F741">
            <v>716</v>
          </cell>
          <cell r="G741">
            <v>95</v>
          </cell>
          <cell r="H741">
            <v>672</v>
          </cell>
          <cell r="I741">
            <v>87</v>
          </cell>
          <cell r="J741">
            <v>44</v>
          </cell>
          <cell r="K741">
            <v>29</v>
          </cell>
          <cell r="L741">
            <v>39</v>
          </cell>
          <cell r="M741">
            <v>25</v>
          </cell>
          <cell r="N741">
            <v>5</v>
          </cell>
          <cell r="O741">
            <v>8</v>
          </cell>
          <cell r="P741">
            <v>0</v>
          </cell>
          <cell r="Q741">
            <v>11</v>
          </cell>
          <cell r="R741">
            <v>0</v>
          </cell>
          <cell r="S741">
            <v>11</v>
          </cell>
          <cell r="T741">
            <v>0</v>
          </cell>
          <cell r="U741">
            <v>11</v>
          </cell>
          <cell r="V741">
            <v>23</v>
          </cell>
          <cell r="W741">
            <v>22</v>
          </cell>
          <cell r="X741">
            <v>0</v>
          </cell>
          <cell r="Y741">
            <v>11</v>
          </cell>
          <cell r="Z741">
            <v>0</v>
          </cell>
          <cell r="AA741">
            <v>11</v>
          </cell>
          <cell r="AB741">
            <v>4</v>
          </cell>
          <cell r="AC741">
            <v>7</v>
          </cell>
          <cell r="AD741">
            <v>19</v>
          </cell>
          <cell r="AE741">
            <v>21</v>
          </cell>
          <cell r="AF741">
            <v>0</v>
          </cell>
          <cell r="AG741">
            <v>11</v>
          </cell>
          <cell r="AH741">
            <v>0</v>
          </cell>
          <cell r="AI741">
            <v>11</v>
          </cell>
          <cell r="AJ741">
            <v>0</v>
          </cell>
          <cell r="AK741">
            <v>11</v>
          </cell>
          <cell r="AL741">
            <v>0</v>
          </cell>
          <cell r="AM741">
            <v>11</v>
          </cell>
          <cell r="AN741">
            <v>4</v>
          </cell>
          <cell r="AO741">
            <v>8</v>
          </cell>
          <cell r="AP741">
            <v>14</v>
          </cell>
          <cell r="AQ741">
            <v>14</v>
          </cell>
          <cell r="AR741">
            <v>52</v>
          </cell>
          <cell r="AS741">
            <v>34</v>
          </cell>
        </row>
        <row r="742">
          <cell r="B742">
            <v>17031802701</v>
          </cell>
          <cell r="D742">
            <v>3523</v>
          </cell>
          <cell r="E742">
            <v>320</v>
          </cell>
          <cell r="F742">
            <v>3061</v>
          </cell>
          <cell r="G742">
            <v>331</v>
          </cell>
          <cell r="H742">
            <v>2766</v>
          </cell>
          <cell r="I742">
            <v>287</v>
          </cell>
          <cell r="J742">
            <v>295</v>
          </cell>
          <cell r="K742">
            <v>175</v>
          </cell>
          <cell r="L742">
            <v>267</v>
          </cell>
          <cell r="M742">
            <v>169</v>
          </cell>
          <cell r="N742">
            <v>1</v>
          </cell>
          <cell r="O742">
            <v>4</v>
          </cell>
          <cell r="P742">
            <v>27</v>
          </cell>
          <cell r="Q742">
            <v>39</v>
          </cell>
          <cell r="R742">
            <v>0</v>
          </cell>
          <cell r="S742">
            <v>15</v>
          </cell>
          <cell r="T742">
            <v>0</v>
          </cell>
          <cell r="U742">
            <v>15</v>
          </cell>
          <cell r="V742">
            <v>151</v>
          </cell>
          <cell r="W742">
            <v>82</v>
          </cell>
          <cell r="X742">
            <v>12</v>
          </cell>
          <cell r="Y742">
            <v>21</v>
          </cell>
          <cell r="Z742">
            <v>0</v>
          </cell>
          <cell r="AA742">
            <v>15</v>
          </cell>
          <cell r="AB742">
            <v>16</v>
          </cell>
          <cell r="AC742">
            <v>26</v>
          </cell>
          <cell r="AD742">
            <v>123</v>
          </cell>
          <cell r="AE742">
            <v>82</v>
          </cell>
          <cell r="AF742">
            <v>0</v>
          </cell>
          <cell r="AG742">
            <v>15</v>
          </cell>
          <cell r="AH742">
            <v>52</v>
          </cell>
          <cell r="AI742">
            <v>83</v>
          </cell>
          <cell r="AJ742">
            <v>0</v>
          </cell>
          <cell r="AK742">
            <v>15</v>
          </cell>
          <cell r="AL742">
            <v>45</v>
          </cell>
          <cell r="AM742">
            <v>75</v>
          </cell>
          <cell r="AN742">
            <v>84</v>
          </cell>
          <cell r="AO742">
            <v>68</v>
          </cell>
          <cell r="AP742">
            <v>0</v>
          </cell>
          <cell r="AQ742">
            <v>15</v>
          </cell>
          <cell r="AR742">
            <v>130</v>
          </cell>
          <cell r="AS742">
            <v>92</v>
          </cell>
        </row>
        <row r="743">
          <cell r="B743">
            <v>17031802702</v>
          </cell>
          <cell r="D743">
            <v>2334</v>
          </cell>
          <cell r="E743">
            <v>191</v>
          </cell>
          <cell r="F743">
            <v>1881</v>
          </cell>
          <cell r="G743">
            <v>201</v>
          </cell>
          <cell r="H743">
            <v>1667</v>
          </cell>
          <cell r="I743">
            <v>194</v>
          </cell>
          <cell r="J743">
            <v>214</v>
          </cell>
          <cell r="K743">
            <v>84</v>
          </cell>
          <cell r="L743">
            <v>121</v>
          </cell>
          <cell r="M743">
            <v>66</v>
          </cell>
          <cell r="N743">
            <v>93</v>
          </cell>
          <cell r="O743">
            <v>72</v>
          </cell>
          <cell r="P743">
            <v>0</v>
          </cell>
          <cell r="Q743">
            <v>11</v>
          </cell>
          <cell r="R743">
            <v>0</v>
          </cell>
          <cell r="S743">
            <v>11</v>
          </cell>
          <cell r="T743">
            <v>0</v>
          </cell>
          <cell r="U743">
            <v>11</v>
          </cell>
          <cell r="V743">
            <v>179</v>
          </cell>
          <cell r="W743">
            <v>74</v>
          </cell>
          <cell r="X743">
            <v>7</v>
          </cell>
          <cell r="Y743">
            <v>10</v>
          </cell>
          <cell r="Z743">
            <v>0</v>
          </cell>
          <cell r="AA743">
            <v>11</v>
          </cell>
          <cell r="AB743">
            <v>40</v>
          </cell>
          <cell r="AC743">
            <v>36</v>
          </cell>
          <cell r="AD743">
            <v>132</v>
          </cell>
          <cell r="AE743">
            <v>68</v>
          </cell>
          <cell r="AF743">
            <v>0</v>
          </cell>
          <cell r="AG743">
            <v>11</v>
          </cell>
          <cell r="AH743">
            <v>0</v>
          </cell>
          <cell r="AI743">
            <v>11</v>
          </cell>
          <cell r="AJ743">
            <v>8</v>
          </cell>
          <cell r="AK743">
            <v>12</v>
          </cell>
          <cell r="AL743">
            <v>15</v>
          </cell>
          <cell r="AM743">
            <v>18</v>
          </cell>
          <cell r="AN743">
            <v>49</v>
          </cell>
          <cell r="AO743">
            <v>40</v>
          </cell>
          <cell r="AP743">
            <v>70</v>
          </cell>
          <cell r="AQ743">
            <v>86</v>
          </cell>
          <cell r="AR743">
            <v>132</v>
          </cell>
          <cell r="AS743">
            <v>75</v>
          </cell>
        </row>
        <row r="744">
          <cell r="B744">
            <v>17031802801</v>
          </cell>
          <cell r="D744">
            <v>2276</v>
          </cell>
          <cell r="E744">
            <v>223</v>
          </cell>
          <cell r="F744">
            <v>1938</v>
          </cell>
          <cell r="G744">
            <v>208</v>
          </cell>
          <cell r="H744">
            <v>1762</v>
          </cell>
          <cell r="I744">
            <v>185</v>
          </cell>
          <cell r="J744">
            <v>176</v>
          </cell>
          <cell r="K744">
            <v>121</v>
          </cell>
          <cell r="L744">
            <v>171</v>
          </cell>
          <cell r="M744">
            <v>118</v>
          </cell>
          <cell r="N744">
            <v>5</v>
          </cell>
          <cell r="O744">
            <v>9</v>
          </cell>
          <cell r="P744">
            <v>0</v>
          </cell>
          <cell r="Q744">
            <v>11</v>
          </cell>
          <cell r="R744">
            <v>0</v>
          </cell>
          <cell r="S744">
            <v>11</v>
          </cell>
          <cell r="T744">
            <v>0</v>
          </cell>
          <cell r="U744">
            <v>11</v>
          </cell>
          <cell r="V744">
            <v>190</v>
          </cell>
          <cell r="W744">
            <v>78</v>
          </cell>
          <cell r="X744">
            <v>21</v>
          </cell>
          <cell r="Y744">
            <v>21</v>
          </cell>
          <cell r="Z744">
            <v>0</v>
          </cell>
          <cell r="AA744">
            <v>11</v>
          </cell>
          <cell r="AB744">
            <v>10</v>
          </cell>
          <cell r="AC744">
            <v>15</v>
          </cell>
          <cell r="AD744">
            <v>159</v>
          </cell>
          <cell r="AE744">
            <v>72</v>
          </cell>
          <cell r="AF744">
            <v>0</v>
          </cell>
          <cell r="AG744">
            <v>11</v>
          </cell>
          <cell r="AH744">
            <v>0</v>
          </cell>
          <cell r="AI744">
            <v>11</v>
          </cell>
          <cell r="AJ744">
            <v>0</v>
          </cell>
          <cell r="AK744">
            <v>11</v>
          </cell>
          <cell r="AL744">
            <v>0</v>
          </cell>
          <cell r="AM744">
            <v>11</v>
          </cell>
          <cell r="AN744">
            <v>36</v>
          </cell>
          <cell r="AO744">
            <v>35</v>
          </cell>
          <cell r="AP744">
            <v>9</v>
          </cell>
          <cell r="AQ744">
            <v>13</v>
          </cell>
          <cell r="AR744">
            <v>103</v>
          </cell>
          <cell r="AS744">
            <v>45</v>
          </cell>
        </row>
        <row r="745">
          <cell r="B745">
            <v>17031802802</v>
          </cell>
          <cell r="D745">
            <v>3342</v>
          </cell>
          <cell r="E745">
            <v>241</v>
          </cell>
          <cell r="F745">
            <v>2857</v>
          </cell>
          <cell r="G745">
            <v>242</v>
          </cell>
          <cell r="H745">
            <v>2751</v>
          </cell>
          <cell r="I745">
            <v>233</v>
          </cell>
          <cell r="J745">
            <v>106</v>
          </cell>
          <cell r="K745">
            <v>67</v>
          </cell>
          <cell r="L745">
            <v>106</v>
          </cell>
          <cell r="M745">
            <v>67</v>
          </cell>
          <cell r="N745">
            <v>0</v>
          </cell>
          <cell r="O745">
            <v>15</v>
          </cell>
          <cell r="P745">
            <v>0</v>
          </cell>
          <cell r="Q745">
            <v>15</v>
          </cell>
          <cell r="R745">
            <v>0</v>
          </cell>
          <cell r="S745">
            <v>15</v>
          </cell>
          <cell r="T745">
            <v>0</v>
          </cell>
          <cell r="U745">
            <v>15</v>
          </cell>
          <cell r="V745">
            <v>273</v>
          </cell>
          <cell r="W745">
            <v>98</v>
          </cell>
          <cell r="X745">
            <v>13</v>
          </cell>
          <cell r="Y745">
            <v>23</v>
          </cell>
          <cell r="Z745">
            <v>0</v>
          </cell>
          <cell r="AA745">
            <v>15</v>
          </cell>
          <cell r="AB745">
            <v>20</v>
          </cell>
          <cell r="AC745">
            <v>34</v>
          </cell>
          <cell r="AD745">
            <v>240</v>
          </cell>
          <cell r="AE745">
            <v>86</v>
          </cell>
          <cell r="AF745">
            <v>0</v>
          </cell>
          <cell r="AG745">
            <v>15</v>
          </cell>
          <cell r="AH745">
            <v>23</v>
          </cell>
          <cell r="AI745">
            <v>34</v>
          </cell>
          <cell r="AJ745">
            <v>0</v>
          </cell>
          <cell r="AK745">
            <v>15</v>
          </cell>
          <cell r="AL745">
            <v>0</v>
          </cell>
          <cell r="AM745">
            <v>15</v>
          </cell>
          <cell r="AN745">
            <v>105</v>
          </cell>
          <cell r="AO745">
            <v>64</v>
          </cell>
          <cell r="AP745">
            <v>0</v>
          </cell>
          <cell r="AQ745">
            <v>15</v>
          </cell>
          <cell r="AR745">
            <v>84</v>
          </cell>
          <cell r="AS745">
            <v>60</v>
          </cell>
        </row>
        <row r="746">
          <cell r="B746">
            <v>17031802900</v>
          </cell>
          <cell r="D746">
            <v>2954</v>
          </cell>
          <cell r="E746">
            <v>225</v>
          </cell>
          <cell r="F746">
            <v>2476</v>
          </cell>
          <cell r="G746">
            <v>276</v>
          </cell>
          <cell r="H746">
            <v>2263</v>
          </cell>
          <cell r="I746">
            <v>269</v>
          </cell>
          <cell r="J746">
            <v>213</v>
          </cell>
          <cell r="K746">
            <v>105</v>
          </cell>
          <cell r="L746">
            <v>166</v>
          </cell>
          <cell r="M746">
            <v>101</v>
          </cell>
          <cell r="N746">
            <v>12</v>
          </cell>
          <cell r="O746">
            <v>19</v>
          </cell>
          <cell r="P746">
            <v>13</v>
          </cell>
          <cell r="Q746">
            <v>20</v>
          </cell>
          <cell r="R746">
            <v>22</v>
          </cell>
          <cell r="S746">
            <v>34</v>
          </cell>
          <cell r="T746">
            <v>0</v>
          </cell>
          <cell r="U746">
            <v>15</v>
          </cell>
          <cell r="V746">
            <v>241</v>
          </cell>
          <cell r="W746">
            <v>111</v>
          </cell>
          <cell r="X746">
            <v>13</v>
          </cell>
          <cell r="Y746">
            <v>28</v>
          </cell>
          <cell r="Z746">
            <v>0</v>
          </cell>
          <cell r="AA746">
            <v>15</v>
          </cell>
          <cell r="AB746">
            <v>0</v>
          </cell>
          <cell r="AC746">
            <v>15</v>
          </cell>
          <cell r="AD746">
            <v>228</v>
          </cell>
          <cell r="AE746">
            <v>96</v>
          </cell>
          <cell r="AF746">
            <v>0</v>
          </cell>
          <cell r="AG746">
            <v>15</v>
          </cell>
          <cell r="AH746">
            <v>0</v>
          </cell>
          <cell r="AI746">
            <v>15</v>
          </cell>
          <cell r="AJ746">
            <v>0</v>
          </cell>
          <cell r="AK746">
            <v>15</v>
          </cell>
          <cell r="AL746">
            <v>18</v>
          </cell>
          <cell r="AM746">
            <v>28</v>
          </cell>
          <cell r="AN746">
            <v>0</v>
          </cell>
          <cell r="AO746">
            <v>15</v>
          </cell>
          <cell r="AP746">
            <v>0</v>
          </cell>
          <cell r="AQ746">
            <v>15</v>
          </cell>
          <cell r="AR746">
            <v>219</v>
          </cell>
          <cell r="AS746">
            <v>108</v>
          </cell>
        </row>
        <row r="747">
          <cell r="B747">
            <v>17031803005</v>
          </cell>
          <cell r="D747">
            <v>1492</v>
          </cell>
          <cell r="E747">
            <v>195</v>
          </cell>
          <cell r="F747">
            <v>1334</v>
          </cell>
          <cell r="G747">
            <v>194</v>
          </cell>
          <cell r="H747">
            <v>1303</v>
          </cell>
          <cell r="I747">
            <v>187</v>
          </cell>
          <cell r="J747">
            <v>31</v>
          </cell>
          <cell r="K747">
            <v>32</v>
          </cell>
          <cell r="L747">
            <v>31</v>
          </cell>
          <cell r="M747">
            <v>32</v>
          </cell>
          <cell r="N747">
            <v>0</v>
          </cell>
          <cell r="O747">
            <v>11</v>
          </cell>
          <cell r="P747">
            <v>0</v>
          </cell>
          <cell r="Q747">
            <v>11</v>
          </cell>
          <cell r="R747">
            <v>0</v>
          </cell>
          <cell r="S747">
            <v>11</v>
          </cell>
          <cell r="T747">
            <v>0</v>
          </cell>
          <cell r="U747">
            <v>11</v>
          </cell>
          <cell r="V747">
            <v>26</v>
          </cell>
          <cell r="W747">
            <v>19</v>
          </cell>
          <cell r="X747">
            <v>0</v>
          </cell>
          <cell r="Y747">
            <v>11</v>
          </cell>
          <cell r="Z747">
            <v>0</v>
          </cell>
          <cell r="AA747">
            <v>11</v>
          </cell>
          <cell r="AB747">
            <v>0</v>
          </cell>
          <cell r="AC747">
            <v>11</v>
          </cell>
          <cell r="AD747">
            <v>26</v>
          </cell>
          <cell r="AE747">
            <v>19</v>
          </cell>
          <cell r="AF747">
            <v>0</v>
          </cell>
          <cell r="AG747">
            <v>11</v>
          </cell>
          <cell r="AH747">
            <v>0</v>
          </cell>
          <cell r="AI747">
            <v>11</v>
          </cell>
          <cell r="AJ747">
            <v>0</v>
          </cell>
          <cell r="AK747">
            <v>11</v>
          </cell>
          <cell r="AL747">
            <v>0</v>
          </cell>
          <cell r="AM747">
            <v>11</v>
          </cell>
          <cell r="AN747">
            <v>29</v>
          </cell>
          <cell r="AO747">
            <v>26</v>
          </cell>
          <cell r="AP747">
            <v>0</v>
          </cell>
          <cell r="AQ747">
            <v>11</v>
          </cell>
          <cell r="AR747">
            <v>103</v>
          </cell>
          <cell r="AS747">
            <v>45</v>
          </cell>
        </row>
        <row r="748">
          <cell r="B748">
            <v>17031803007</v>
          </cell>
          <cell r="D748">
            <v>2791</v>
          </cell>
          <cell r="E748">
            <v>258</v>
          </cell>
          <cell r="F748">
            <v>2617</v>
          </cell>
          <cell r="G748">
            <v>262</v>
          </cell>
          <cell r="H748">
            <v>2575</v>
          </cell>
          <cell r="I748">
            <v>252</v>
          </cell>
          <cell r="J748">
            <v>42</v>
          </cell>
          <cell r="K748">
            <v>39</v>
          </cell>
          <cell r="L748">
            <v>42</v>
          </cell>
          <cell r="M748">
            <v>39</v>
          </cell>
          <cell r="N748">
            <v>0</v>
          </cell>
          <cell r="O748">
            <v>11</v>
          </cell>
          <cell r="P748">
            <v>0</v>
          </cell>
          <cell r="Q748">
            <v>11</v>
          </cell>
          <cell r="R748">
            <v>0</v>
          </cell>
          <cell r="S748">
            <v>11</v>
          </cell>
          <cell r="T748">
            <v>0</v>
          </cell>
          <cell r="U748">
            <v>11</v>
          </cell>
          <cell r="V748">
            <v>75</v>
          </cell>
          <cell r="W748">
            <v>54</v>
          </cell>
          <cell r="X748">
            <v>0</v>
          </cell>
          <cell r="Y748">
            <v>11</v>
          </cell>
          <cell r="Z748">
            <v>0</v>
          </cell>
          <cell r="AA748">
            <v>11</v>
          </cell>
          <cell r="AB748">
            <v>15</v>
          </cell>
          <cell r="AC748">
            <v>25</v>
          </cell>
          <cell r="AD748">
            <v>60</v>
          </cell>
          <cell r="AE748">
            <v>49</v>
          </cell>
          <cell r="AF748">
            <v>0</v>
          </cell>
          <cell r="AG748">
            <v>11</v>
          </cell>
          <cell r="AH748">
            <v>0</v>
          </cell>
          <cell r="AI748">
            <v>11</v>
          </cell>
          <cell r="AJ748">
            <v>0</v>
          </cell>
          <cell r="AK748">
            <v>11</v>
          </cell>
          <cell r="AL748">
            <v>0</v>
          </cell>
          <cell r="AM748">
            <v>11</v>
          </cell>
          <cell r="AN748">
            <v>14</v>
          </cell>
          <cell r="AO748">
            <v>23</v>
          </cell>
          <cell r="AP748">
            <v>0</v>
          </cell>
          <cell r="AQ748">
            <v>11</v>
          </cell>
          <cell r="AR748">
            <v>85</v>
          </cell>
          <cell r="AS748">
            <v>52</v>
          </cell>
        </row>
        <row r="749">
          <cell r="B749">
            <v>17031803008</v>
          </cell>
          <cell r="D749">
            <v>2212</v>
          </cell>
          <cell r="E749">
            <v>189</v>
          </cell>
          <cell r="F749">
            <v>1880</v>
          </cell>
          <cell r="G749">
            <v>211</v>
          </cell>
          <cell r="H749">
            <v>1831</v>
          </cell>
          <cell r="I749">
            <v>212</v>
          </cell>
          <cell r="J749">
            <v>49</v>
          </cell>
          <cell r="K749">
            <v>32</v>
          </cell>
          <cell r="L749">
            <v>49</v>
          </cell>
          <cell r="M749">
            <v>32</v>
          </cell>
          <cell r="N749">
            <v>0</v>
          </cell>
          <cell r="O749">
            <v>11</v>
          </cell>
          <cell r="P749">
            <v>0</v>
          </cell>
          <cell r="Q749">
            <v>11</v>
          </cell>
          <cell r="R749">
            <v>0</v>
          </cell>
          <cell r="S749">
            <v>11</v>
          </cell>
          <cell r="T749">
            <v>0</v>
          </cell>
          <cell r="U749">
            <v>11</v>
          </cell>
          <cell r="V749">
            <v>174</v>
          </cell>
          <cell r="W749">
            <v>78</v>
          </cell>
          <cell r="X749">
            <v>1</v>
          </cell>
          <cell r="Y749">
            <v>3</v>
          </cell>
          <cell r="Z749">
            <v>0</v>
          </cell>
          <cell r="AA749">
            <v>11</v>
          </cell>
          <cell r="AB749">
            <v>8</v>
          </cell>
          <cell r="AC749">
            <v>13</v>
          </cell>
          <cell r="AD749">
            <v>165</v>
          </cell>
          <cell r="AE749">
            <v>76</v>
          </cell>
          <cell r="AF749">
            <v>0</v>
          </cell>
          <cell r="AG749">
            <v>11</v>
          </cell>
          <cell r="AH749">
            <v>0</v>
          </cell>
          <cell r="AI749">
            <v>11</v>
          </cell>
          <cell r="AJ749">
            <v>0</v>
          </cell>
          <cell r="AK749">
            <v>11</v>
          </cell>
          <cell r="AL749">
            <v>9</v>
          </cell>
          <cell r="AM749">
            <v>14</v>
          </cell>
          <cell r="AN749">
            <v>25</v>
          </cell>
          <cell r="AO749">
            <v>22</v>
          </cell>
          <cell r="AP749">
            <v>19</v>
          </cell>
          <cell r="AQ749">
            <v>32</v>
          </cell>
          <cell r="AR749">
            <v>105</v>
          </cell>
          <cell r="AS749">
            <v>58</v>
          </cell>
        </row>
        <row r="750">
          <cell r="B750">
            <v>17031803010</v>
          </cell>
          <cell r="D750">
            <v>2713</v>
          </cell>
          <cell r="E750">
            <v>229</v>
          </cell>
          <cell r="F750">
            <v>2384</v>
          </cell>
          <cell r="G750">
            <v>226</v>
          </cell>
          <cell r="H750">
            <v>2271</v>
          </cell>
          <cell r="I750">
            <v>194</v>
          </cell>
          <cell r="J750">
            <v>113</v>
          </cell>
          <cell r="K750">
            <v>69</v>
          </cell>
          <cell r="L750">
            <v>98</v>
          </cell>
          <cell r="M750">
            <v>66</v>
          </cell>
          <cell r="N750">
            <v>6</v>
          </cell>
          <cell r="O750">
            <v>11</v>
          </cell>
          <cell r="P750">
            <v>9</v>
          </cell>
          <cell r="Q750">
            <v>12</v>
          </cell>
          <cell r="R750">
            <v>0</v>
          </cell>
          <cell r="S750">
            <v>11</v>
          </cell>
          <cell r="T750">
            <v>0</v>
          </cell>
          <cell r="U750">
            <v>11</v>
          </cell>
          <cell r="V750">
            <v>168</v>
          </cell>
          <cell r="W750">
            <v>72</v>
          </cell>
          <cell r="X750">
            <v>0</v>
          </cell>
          <cell r="Y750">
            <v>11</v>
          </cell>
          <cell r="Z750">
            <v>0</v>
          </cell>
          <cell r="AA750">
            <v>11</v>
          </cell>
          <cell r="AB750">
            <v>11</v>
          </cell>
          <cell r="AC750">
            <v>18</v>
          </cell>
          <cell r="AD750">
            <v>157</v>
          </cell>
          <cell r="AE750">
            <v>71</v>
          </cell>
          <cell r="AF750">
            <v>0</v>
          </cell>
          <cell r="AG750">
            <v>11</v>
          </cell>
          <cell r="AH750">
            <v>0</v>
          </cell>
          <cell r="AI750">
            <v>11</v>
          </cell>
          <cell r="AJ750">
            <v>0</v>
          </cell>
          <cell r="AK750">
            <v>11</v>
          </cell>
          <cell r="AL750">
            <v>6</v>
          </cell>
          <cell r="AM750">
            <v>9</v>
          </cell>
          <cell r="AN750">
            <v>9</v>
          </cell>
          <cell r="AO750">
            <v>15</v>
          </cell>
          <cell r="AP750">
            <v>7</v>
          </cell>
          <cell r="AQ750">
            <v>12</v>
          </cell>
          <cell r="AR750">
            <v>139</v>
          </cell>
          <cell r="AS750">
            <v>55</v>
          </cell>
        </row>
        <row r="751">
          <cell r="B751">
            <v>17031803012</v>
          </cell>
          <cell r="D751">
            <v>1308</v>
          </cell>
          <cell r="E751">
            <v>149</v>
          </cell>
          <cell r="F751">
            <v>1178</v>
          </cell>
          <cell r="G751">
            <v>145</v>
          </cell>
          <cell r="H751">
            <v>1065</v>
          </cell>
          <cell r="I751">
            <v>172</v>
          </cell>
          <cell r="J751">
            <v>113</v>
          </cell>
          <cell r="K751">
            <v>90</v>
          </cell>
          <cell r="L751">
            <v>113</v>
          </cell>
          <cell r="M751">
            <v>90</v>
          </cell>
          <cell r="N751">
            <v>0</v>
          </cell>
          <cell r="O751">
            <v>11</v>
          </cell>
          <cell r="P751">
            <v>0</v>
          </cell>
          <cell r="Q751">
            <v>11</v>
          </cell>
          <cell r="R751">
            <v>0</v>
          </cell>
          <cell r="S751">
            <v>11</v>
          </cell>
          <cell r="T751">
            <v>0</v>
          </cell>
          <cell r="U751">
            <v>11</v>
          </cell>
          <cell r="V751">
            <v>17</v>
          </cell>
          <cell r="W751">
            <v>18</v>
          </cell>
          <cell r="X751">
            <v>0</v>
          </cell>
          <cell r="Y751">
            <v>11</v>
          </cell>
          <cell r="Z751">
            <v>0</v>
          </cell>
          <cell r="AA751">
            <v>11</v>
          </cell>
          <cell r="AB751">
            <v>0</v>
          </cell>
          <cell r="AC751">
            <v>11</v>
          </cell>
          <cell r="AD751">
            <v>17</v>
          </cell>
          <cell r="AE751">
            <v>18</v>
          </cell>
          <cell r="AF751">
            <v>0</v>
          </cell>
          <cell r="AG751">
            <v>11</v>
          </cell>
          <cell r="AH751">
            <v>26</v>
          </cell>
          <cell r="AI751">
            <v>40</v>
          </cell>
          <cell r="AJ751">
            <v>0</v>
          </cell>
          <cell r="AK751">
            <v>11</v>
          </cell>
          <cell r="AL751">
            <v>0</v>
          </cell>
          <cell r="AM751">
            <v>11</v>
          </cell>
          <cell r="AN751">
            <v>31</v>
          </cell>
          <cell r="AO751">
            <v>29</v>
          </cell>
          <cell r="AP751">
            <v>0</v>
          </cell>
          <cell r="AQ751">
            <v>11</v>
          </cell>
          <cell r="AR751">
            <v>56</v>
          </cell>
          <cell r="AS751">
            <v>38</v>
          </cell>
        </row>
        <row r="752">
          <cell r="B752">
            <v>17031803013</v>
          </cell>
          <cell r="D752">
            <v>2771</v>
          </cell>
          <cell r="E752">
            <v>256</v>
          </cell>
          <cell r="F752">
            <v>2474</v>
          </cell>
          <cell r="G752">
            <v>258</v>
          </cell>
          <cell r="H752">
            <v>2347</v>
          </cell>
          <cell r="I752">
            <v>244</v>
          </cell>
          <cell r="J752">
            <v>127</v>
          </cell>
          <cell r="K752">
            <v>82</v>
          </cell>
          <cell r="L752">
            <v>103</v>
          </cell>
          <cell r="M752">
            <v>71</v>
          </cell>
          <cell r="N752">
            <v>0</v>
          </cell>
          <cell r="O752">
            <v>15</v>
          </cell>
          <cell r="P752">
            <v>0</v>
          </cell>
          <cell r="Q752">
            <v>15</v>
          </cell>
          <cell r="R752">
            <v>24</v>
          </cell>
          <cell r="S752">
            <v>38</v>
          </cell>
          <cell r="T752">
            <v>0</v>
          </cell>
          <cell r="U752">
            <v>15</v>
          </cell>
          <cell r="V752">
            <v>91</v>
          </cell>
          <cell r="W752">
            <v>77</v>
          </cell>
          <cell r="X752">
            <v>0</v>
          </cell>
          <cell r="Y752">
            <v>15</v>
          </cell>
          <cell r="Z752">
            <v>0</v>
          </cell>
          <cell r="AA752">
            <v>15</v>
          </cell>
          <cell r="AB752">
            <v>5</v>
          </cell>
          <cell r="AC752">
            <v>9</v>
          </cell>
          <cell r="AD752">
            <v>86</v>
          </cell>
          <cell r="AE752">
            <v>76</v>
          </cell>
          <cell r="AF752">
            <v>0</v>
          </cell>
          <cell r="AG752">
            <v>15</v>
          </cell>
          <cell r="AH752">
            <v>0</v>
          </cell>
          <cell r="AI752">
            <v>15</v>
          </cell>
          <cell r="AJ752">
            <v>0</v>
          </cell>
          <cell r="AK752">
            <v>15</v>
          </cell>
          <cell r="AL752">
            <v>14</v>
          </cell>
          <cell r="AM752">
            <v>24</v>
          </cell>
          <cell r="AN752">
            <v>0</v>
          </cell>
          <cell r="AO752">
            <v>15</v>
          </cell>
          <cell r="AP752">
            <v>0</v>
          </cell>
          <cell r="AQ752">
            <v>15</v>
          </cell>
          <cell r="AR752">
            <v>192</v>
          </cell>
          <cell r="AS752">
            <v>123</v>
          </cell>
        </row>
        <row r="753">
          <cell r="B753">
            <v>17031803014</v>
          </cell>
          <cell r="D753">
            <v>1941</v>
          </cell>
          <cell r="E753">
            <v>198</v>
          </cell>
          <cell r="F753">
            <v>1781</v>
          </cell>
          <cell r="G753">
            <v>196</v>
          </cell>
          <cell r="H753">
            <v>1562</v>
          </cell>
          <cell r="I753">
            <v>170</v>
          </cell>
          <cell r="J753">
            <v>219</v>
          </cell>
          <cell r="K753">
            <v>120</v>
          </cell>
          <cell r="L753">
            <v>149</v>
          </cell>
          <cell r="M753">
            <v>113</v>
          </cell>
          <cell r="N753">
            <v>54</v>
          </cell>
          <cell r="O753">
            <v>45</v>
          </cell>
          <cell r="P753">
            <v>0</v>
          </cell>
          <cell r="Q753">
            <v>11</v>
          </cell>
          <cell r="R753">
            <v>16</v>
          </cell>
          <cell r="S753">
            <v>24</v>
          </cell>
          <cell r="T753">
            <v>0</v>
          </cell>
          <cell r="U753">
            <v>11</v>
          </cell>
          <cell r="V753">
            <v>35</v>
          </cell>
          <cell r="W753">
            <v>21</v>
          </cell>
          <cell r="X753">
            <v>0</v>
          </cell>
          <cell r="Y753">
            <v>11</v>
          </cell>
          <cell r="Z753">
            <v>0</v>
          </cell>
          <cell r="AA753">
            <v>11</v>
          </cell>
          <cell r="AB753">
            <v>6</v>
          </cell>
          <cell r="AC753">
            <v>11</v>
          </cell>
          <cell r="AD753">
            <v>29</v>
          </cell>
          <cell r="AE753">
            <v>20</v>
          </cell>
          <cell r="AF753">
            <v>0</v>
          </cell>
          <cell r="AG753">
            <v>11</v>
          </cell>
          <cell r="AH753">
            <v>9</v>
          </cell>
          <cell r="AI753">
            <v>13</v>
          </cell>
          <cell r="AJ753">
            <v>0</v>
          </cell>
          <cell r="AK753">
            <v>11</v>
          </cell>
          <cell r="AL753">
            <v>6</v>
          </cell>
          <cell r="AM753">
            <v>10</v>
          </cell>
          <cell r="AN753">
            <v>9</v>
          </cell>
          <cell r="AO753">
            <v>14</v>
          </cell>
          <cell r="AP753">
            <v>14</v>
          </cell>
          <cell r="AQ753">
            <v>23</v>
          </cell>
          <cell r="AR753">
            <v>87</v>
          </cell>
          <cell r="AS753">
            <v>52</v>
          </cell>
        </row>
        <row r="754">
          <cell r="B754">
            <v>17031803015</v>
          </cell>
          <cell r="D754">
            <v>2265</v>
          </cell>
          <cell r="E754">
            <v>165</v>
          </cell>
          <cell r="F754">
            <v>2047</v>
          </cell>
          <cell r="G754">
            <v>171</v>
          </cell>
          <cell r="H754">
            <v>1844</v>
          </cell>
          <cell r="I754">
            <v>182</v>
          </cell>
          <cell r="J754">
            <v>203</v>
          </cell>
          <cell r="K754">
            <v>78</v>
          </cell>
          <cell r="L754">
            <v>173</v>
          </cell>
          <cell r="M754">
            <v>83</v>
          </cell>
          <cell r="N754">
            <v>0</v>
          </cell>
          <cell r="O754">
            <v>11</v>
          </cell>
          <cell r="P754">
            <v>30</v>
          </cell>
          <cell r="Q754">
            <v>50</v>
          </cell>
          <cell r="R754">
            <v>0</v>
          </cell>
          <cell r="S754">
            <v>11</v>
          </cell>
          <cell r="T754">
            <v>0</v>
          </cell>
          <cell r="U754">
            <v>11</v>
          </cell>
          <cell r="V754">
            <v>28</v>
          </cell>
          <cell r="W754">
            <v>26</v>
          </cell>
          <cell r="X754">
            <v>0</v>
          </cell>
          <cell r="Y754">
            <v>11</v>
          </cell>
          <cell r="Z754">
            <v>0</v>
          </cell>
          <cell r="AA754">
            <v>11</v>
          </cell>
          <cell r="AB754">
            <v>0</v>
          </cell>
          <cell r="AC754">
            <v>11</v>
          </cell>
          <cell r="AD754">
            <v>28</v>
          </cell>
          <cell r="AE754">
            <v>26</v>
          </cell>
          <cell r="AF754">
            <v>0</v>
          </cell>
          <cell r="AG754">
            <v>11</v>
          </cell>
          <cell r="AH754">
            <v>0</v>
          </cell>
          <cell r="AI754">
            <v>11</v>
          </cell>
          <cell r="AJ754">
            <v>0</v>
          </cell>
          <cell r="AK754">
            <v>11</v>
          </cell>
          <cell r="AL754">
            <v>0</v>
          </cell>
          <cell r="AM754">
            <v>11</v>
          </cell>
          <cell r="AN754">
            <v>21</v>
          </cell>
          <cell r="AO754">
            <v>24</v>
          </cell>
          <cell r="AP754">
            <v>23</v>
          </cell>
          <cell r="AQ754">
            <v>25</v>
          </cell>
          <cell r="AR754">
            <v>146</v>
          </cell>
          <cell r="AS754">
            <v>62</v>
          </cell>
        </row>
        <row r="755">
          <cell r="B755">
            <v>17031803016</v>
          </cell>
          <cell r="D755">
            <v>1294</v>
          </cell>
          <cell r="E755">
            <v>113</v>
          </cell>
          <cell r="F755">
            <v>1048</v>
          </cell>
          <cell r="G755">
            <v>97</v>
          </cell>
          <cell r="H755">
            <v>879</v>
          </cell>
          <cell r="I755">
            <v>81</v>
          </cell>
          <cell r="J755">
            <v>169</v>
          </cell>
          <cell r="K755">
            <v>64</v>
          </cell>
          <cell r="L755">
            <v>148</v>
          </cell>
          <cell r="M755">
            <v>65</v>
          </cell>
          <cell r="N755">
            <v>17</v>
          </cell>
          <cell r="O755">
            <v>16</v>
          </cell>
          <cell r="P755">
            <v>4</v>
          </cell>
          <cell r="Q755">
            <v>6</v>
          </cell>
          <cell r="R755">
            <v>0</v>
          </cell>
          <cell r="S755">
            <v>11</v>
          </cell>
          <cell r="T755">
            <v>0</v>
          </cell>
          <cell r="U755">
            <v>11</v>
          </cell>
          <cell r="V755">
            <v>104</v>
          </cell>
          <cell r="W755">
            <v>43</v>
          </cell>
          <cell r="X755">
            <v>16</v>
          </cell>
          <cell r="Y755">
            <v>19</v>
          </cell>
          <cell r="Z755">
            <v>0</v>
          </cell>
          <cell r="AA755">
            <v>11</v>
          </cell>
          <cell r="AB755">
            <v>13</v>
          </cell>
          <cell r="AC755">
            <v>12</v>
          </cell>
          <cell r="AD755">
            <v>75</v>
          </cell>
          <cell r="AE755">
            <v>40</v>
          </cell>
          <cell r="AF755">
            <v>0</v>
          </cell>
          <cell r="AG755">
            <v>11</v>
          </cell>
          <cell r="AH755">
            <v>0</v>
          </cell>
          <cell r="AI755">
            <v>11</v>
          </cell>
          <cell r="AJ755">
            <v>0</v>
          </cell>
          <cell r="AK755">
            <v>11</v>
          </cell>
          <cell r="AL755">
            <v>0</v>
          </cell>
          <cell r="AM755">
            <v>11</v>
          </cell>
          <cell r="AN755">
            <v>58</v>
          </cell>
          <cell r="AO755">
            <v>68</v>
          </cell>
          <cell r="AP755">
            <v>25</v>
          </cell>
          <cell r="AQ755">
            <v>16</v>
          </cell>
          <cell r="AR755">
            <v>59</v>
          </cell>
          <cell r="AS755">
            <v>33</v>
          </cell>
        </row>
        <row r="756">
          <cell r="B756">
            <v>17031803017</v>
          </cell>
          <cell r="D756">
            <v>3506</v>
          </cell>
          <cell r="E756">
            <v>272</v>
          </cell>
          <cell r="F756">
            <v>3098</v>
          </cell>
          <cell r="G756">
            <v>323</v>
          </cell>
          <cell r="H756">
            <v>2783</v>
          </cell>
          <cell r="I756">
            <v>276</v>
          </cell>
          <cell r="J756">
            <v>315</v>
          </cell>
          <cell r="K756">
            <v>175</v>
          </cell>
          <cell r="L756">
            <v>301</v>
          </cell>
          <cell r="M756">
            <v>177</v>
          </cell>
          <cell r="N756">
            <v>14</v>
          </cell>
          <cell r="O756">
            <v>23</v>
          </cell>
          <cell r="P756">
            <v>0</v>
          </cell>
          <cell r="Q756">
            <v>15</v>
          </cell>
          <cell r="R756">
            <v>0</v>
          </cell>
          <cell r="S756">
            <v>15</v>
          </cell>
          <cell r="T756">
            <v>0</v>
          </cell>
          <cell r="U756">
            <v>15</v>
          </cell>
          <cell r="V756">
            <v>228</v>
          </cell>
          <cell r="W756">
            <v>108</v>
          </cell>
          <cell r="X756">
            <v>10</v>
          </cell>
          <cell r="Y756">
            <v>21</v>
          </cell>
          <cell r="Z756">
            <v>0</v>
          </cell>
          <cell r="AA756">
            <v>15</v>
          </cell>
          <cell r="AB756">
            <v>24</v>
          </cell>
          <cell r="AC756">
            <v>37</v>
          </cell>
          <cell r="AD756">
            <v>194</v>
          </cell>
          <cell r="AE756">
            <v>98</v>
          </cell>
          <cell r="AF756">
            <v>0</v>
          </cell>
          <cell r="AG756">
            <v>15</v>
          </cell>
          <cell r="AH756">
            <v>0</v>
          </cell>
          <cell r="AI756">
            <v>15</v>
          </cell>
          <cell r="AJ756">
            <v>0</v>
          </cell>
          <cell r="AK756">
            <v>15</v>
          </cell>
          <cell r="AL756">
            <v>0</v>
          </cell>
          <cell r="AM756">
            <v>15</v>
          </cell>
          <cell r="AN756">
            <v>0</v>
          </cell>
          <cell r="AO756">
            <v>15</v>
          </cell>
          <cell r="AP756">
            <v>0</v>
          </cell>
          <cell r="AQ756">
            <v>15</v>
          </cell>
          <cell r="AR756">
            <v>180</v>
          </cell>
          <cell r="AS756">
            <v>102</v>
          </cell>
        </row>
        <row r="757">
          <cell r="B757">
            <v>17031803100</v>
          </cell>
          <cell r="D757">
            <v>1681</v>
          </cell>
          <cell r="E757">
            <v>143</v>
          </cell>
          <cell r="F757">
            <v>1424</v>
          </cell>
          <cell r="G757">
            <v>142</v>
          </cell>
          <cell r="H757">
            <v>1334</v>
          </cell>
          <cell r="I757">
            <v>136</v>
          </cell>
          <cell r="J757">
            <v>90</v>
          </cell>
          <cell r="K757">
            <v>56</v>
          </cell>
          <cell r="L757">
            <v>84</v>
          </cell>
          <cell r="M757">
            <v>55</v>
          </cell>
          <cell r="N757">
            <v>0</v>
          </cell>
          <cell r="O757">
            <v>11</v>
          </cell>
          <cell r="P757">
            <v>0</v>
          </cell>
          <cell r="Q757">
            <v>11</v>
          </cell>
          <cell r="R757">
            <v>0</v>
          </cell>
          <cell r="S757">
            <v>11</v>
          </cell>
          <cell r="T757">
            <v>6</v>
          </cell>
          <cell r="U757">
            <v>10</v>
          </cell>
          <cell r="V757">
            <v>146</v>
          </cell>
          <cell r="W757">
            <v>54</v>
          </cell>
          <cell r="X757">
            <v>17</v>
          </cell>
          <cell r="Y757">
            <v>18</v>
          </cell>
          <cell r="Z757">
            <v>0</v>
          </cell>
          <cell r="AA757">
            <v>11</v>
          </cell>
          <cell r="AB757">
            <v>0</v>
          </cell>
          <cell r="AC757">
            <v>11</v>
          </cell>
          <cell r="AD757">
            <v>129</v>
          </cell>
          <cell r="AE757">
            <v>51</v>
          </cell>
          <cell r="AF757">
            <v>0</v>
          </cell>
          <cell r="AG757">
            <v>11</v>
          </cell>
          <cell r="AH757">
            <v>0</v>
          </cell>
          <cell r="AI757">
            <v>11</v>
          </cell>
          <cell r="AJ757">
            <v>0</v>
          </cell>
          <cell r="AK757">
            <v>11</v>
          </cell>
          <cell r="AL757">
            <v>0</v>
          </cell>
          <cell r="AM757">
            <v>11</v>
          </cell>
          <cell r="AN757">
            <v>32</v>
          </cell>
          <cell r="AO757">
            <v>29</v>
          </cell>
          <cell r="AP757">
            <v>14</v>
          </cell>
          <cell r="AQ757">
            <v>16</v>
          </cell>
          <cell r="AR757">
            <v>65</v>
          </cell>
          <cell r="AS757">
            <v>39</v>
          </cell>
        </row>
        <row r="758">
          <cell r="B758">
            <v>17031803200</v>
          </cell>
          <cell r="D758">
            <v>2156</v>
          </cell>
          <cell r="E758">
            <v>284</v>
          </cell>
          <cell r="F758">
            <v>1812</v>
          </cell>
          <cell r="G758">
            <v>293</v>
          </cell>
          <cell r="H758">
            <v>1703</v>
          </cell>
          <cell r="I758">
            <v>290</v>
          </cell>
          <cell r="J758">
            <v>109</v>
          </cell>
          <cell r="K758">
            <v>88</v>
          </cell>
          <cell r="L758">
            <v>56</v>
          </cell>
          <cell r="M758">
            <v>59</v>
          </cell>
          <cell r="N758">
            <v>53</v>
          </cell>
          <cell r="O758">
            <v>78</v>
          </cell>
          <cell r="P758">
            <v>0</v>
          </cell>
          <cell r="Q758">
            <v>15</v>
          </cell>
          <cell r="R758">
            <v>0</v>
          </cell>
          <cell r="S758">
            <v>15</v>
          </cell>
          <cell r="T758">
            <v>0</v>
          </cell>
          <cell r="U758">
            <v>15</v>
          </cell>
          <cell r="V758">
            <v>153</v>
          </cell>
          <cell r="W758">
            <v>78</v>
          </cell>
          <cell r="X758">
            <v>0</v>
          </cell>
          <cell r="Y758">
            <v>15</v>
          </cell>
          <cell r="Z758">
            <v>0</v>
          </cell>
          <cell r="AA758">
            <v>15</v>
          </cell>
          <cell r="AB758">
            <v>0</v>
          </cell>
          <cell r="AC758">
            <v>15</v>
          </cell>
          <cell r="AD758">
            <v>153</v>
          </cell>
          <cell r="AE758">
            <v>78</v>
          </cell>
          <cell r="AF758">
            <v>0</v>
          </cell>
          <cell r="AG758">
            <v>15</v>
          </cell>
          <cell r="AH758">
            <v>0</v>
          </cell>
          <cell r="AI758">
            <v>15</v>
          </cell>
          <cell r="AJ758">
            <v>0</v>
          </cell>
          <cell r="AK758">
            <v>15</v>
          </cell>
          <cell r="AL758">
            <v>18</v>
          </cell>
          <cell r="AM758">
            <v>30</v>
          </cell>
          <cell r="AN758">
            <v>48</v>
          </cell>
          <cell r="AO758">
            <v>46</v>
          </cell>
          <cell r="AP758">
            <v>0</v>
          </cell>
          <cell r="AQ758">
            <v>15</v>
          </cell>
          <cell r="AR758">
            <v>125</v>
          </cell>
          <cell r="AS758">
            <v>86</v>
          </cell>
        </row>
        <row r="759">
          <cell r="B759">
            <v>17031803300</v>
          </cell>
          <cell r="D759">
            <v>3007</v>
          </cell>
          <cell r="E759">
            <v>316</v>
          </cell>
          <cell r="F759">
            <v>2227</v>
          </cell>
          <cell r="G759">
            <v>321</v>
          </cell>
          <cell r="H759">
            <v>2216</v>
          </cell>
          <cell r="I759">
            <v>321</v>
          </cell>
          <cell r="J759">
            <v>11</v>
          </cell>
          <cell r="K759">
            <v>18</v>
          </cell>
          <cell r="L759">
            <v>11</v>
          </cell>
          <cell r="M759">
            <v>18</v>
          </cell>
          <cell r="N759">
            <v>0</v>
          </cell>
          <cell r="O759">
            <v>15</v>
          </cell>
          <cell r="P759">
            <v>0</v>
          </cell>
          <cell r="Q759">
            <v>15</v>
          </cell>
          <cell r="R759">
            <v>0</v>
          </cell>
          <cell r="S759">
            <v>15</v>
          </cell>
          <cell r="T759">
            <v>0</v>
          </cell>
          <cell r="U759">
            <v>15</v>
          </cell>
          <cell r="V759">
            <v>490</v>
          </cell>
          <cell r="W759">
            <v>144</v>
          </cell>
          <cell r="X759">
            <v>16</v>
          </cell>
          <cell r="Y759">
            <v>18</v>
          </cell>
          <cell r="Z759">
            <v>0</v>
          </cell>
          <cell r="AA759">
            <v>15</v>
          </cell>
          <cell r="AB759">
            <v>17</v>
          </cell>
          <cell r="AC759">
            <v>22</v>
          </cell>
          <cell r="AD759">
            <v>457</v>
          </cell>
          <cell r="AE759">
            <v>145</v>
          </cell>
          <cell r="AF759">
            <v>0</v>
          </cell>
          <cell r="AG759">
            <v>15</v>
          </cell>
          <cell r="AH759">
            <v>0</v>
          </cell>
          <cell r="AI759">
            <v>15</v>
          </cell>
          <cell r="AJ759">
            <v>0</v>
          </cell>
          <cell r="AK759">
            <v>15</v>
          </cell>
          <cell r="AL759">
            <v>13</v>
          </cell>
          <cell r="AM759">
            <v>22</v>
          </cell>
          <cell r="AN759">
            <v>132</v>
          </cell>
          <cell r="AO759">
            <v>79</v>
          </cell>
          <cell r="AP759">
            <v>45</v>
          </cell>
          <cell r="AQ759">
            <v>65</v>
          </cell>
          <cell r="AR759">
            <v>100</v>
          </cell>
          <cell r="AS759">
            <v>67</v>
          </cell>
        </row>
        <row r="760">
          <cell r="B760">
            <v>17031803400</v>
          </cell>
          <cell r="D760">
            <v>3129</v>
          </cell>
          <cell r="E760">
            <v>301</v>
          </cell>
          <cell r="F760">
            <v>2449</v>
          </cell>
          <cell r="G760">
            <v>245</v>
          </cell>
          <cell r="H760">
            <v>2350</v>
          </cell>
          <cell r="I760">
            <v>247</v>
          </cell>
          <cell r="J760">
            <v>99</v>
          </cell>
          <cell r="K760">
            <v>63</v>
          </cell>
          <cell r="L760">
            <v>99</v>
          </cell>
          <cell r="M760">
            <v>63</v>
          </cell>
          <cell r="N760">
            <v>0</v>
          </cell>
          <cell r="O760">
            <v>15</v>
          </cell>
          <cell r="P760">
            <v>0</v>
          </cell>
          <cell r="Q760">
            <v>15</v>
          </cell>
          <cell r="R760">
            <v>0</v>
          </cell>
          <cell r="S760">
            <v>15</v>
          </cell>
          <cell r="T760">
            <v>0</v>
          </cell>
          <cell r="U760">
            <v>15</v>
          </cell>
          <cell r="V760">
            <v>351</v>
          </cell>
          <cell r="W760">
            <v>128</v>
          </cell>
          <cell r="X760">
            <v>0</v>
          </cell>
          <cell r="Y760">
            <v>15</v>
          </cell>
          <cell r="Z760">
            <v>0</v>
          </cell>
          <cell r="AA760">
            <v>15</v>
          </cell>
          <cell r="AB760">
            <v>31</v>
          </cell>
          <cell r="AC760">
            <v>39</v>
          </cell>
          <cell r="AD760">
            <v>320</v>
          </cell>
          <cell r="AE760">
            <v>123</v>
          </cell>
          <cell r="AF760">
            <v>0</v>
          </cell>
          <cell r="AG760">
            <v>15</v>
          </cell>
          <cell r="AH760">
            <v>0</v>
          </cell>
          <cell r="AI760">
            <v>15</v>
          </cell>
          <cell r="AJ760">
            <v>11</v>
          </cell>
          <cell r="AK760">
            <v>19</v>
          </cell>
          <cell r="AL760">
            <v>42</v>
          </cell>
          <cell r="AM760">
            <v>45</v>
          </cell>
          <cell r="AN760">
            <v>44</v>
          </cell>
          <cell r="AO760">
            <v>48</v>
          </cell>
          <cell r="AP760">
            <v>0</v>
          </cell>
          <cell r="AQ760">
            <v>15</v>
          </cell>
          <cell r="AR760">
            <v>232</v>
          </cell>
          <cell r="AS760">
            <v>123</v>
          </cell>
        </row>
        <row r="761">
          <cell r="B761">
            <v>17031803500</v>
          </cell>
          <cell r="D761">
            <v>2797</v>
          </cell>
          <cell r="E761">
            <v>318</v>
          </cell>
          <cell r="F761">
            <v>2329</v>
          </cell>
          <cell r="G761">
            <v>308</v>
          </cell>
          <cell r="H761">
            <v>2119</v>
          </cell>
          <cell r="I761">
            <v>286</v>
          </cell>
          <cell r="J761">
            <v>210</v>
          </cell>
          <cell r="K761">
            <v>143</v>
          </cell>
          <cell r="L761">
            <v>156</v>
          </cell>
          <cell r="M761">
            <v>112</v>
          </cell>
          <cell r="N761">
            <v>54</v>
          </cell>
          <cell r="O761">
            <v>89</v>
          </cell>
          <cell r="P761">
            <v>0</v>
          </cell>
          <cell r="Q761">
            <v>15</v>
          </cell>
          <cell r="R761">
            <v>0</v>
          </cell>
          <cell r="S761">
            <v>15</v>
          </cell>
          <cell r="T761">
            <v>0</v>
          </cell>
          <cell r="U761">
            <v>15</v>
          </cell>
          <cell r="V761">
            <v>175</v>
          </cell>
          <cell r="W761">
            <v>104</v>
          </cell>
          <cell r="X761">
            <v>36</v>
          </cell>
          <cell r="Y761">
            <v>77</v>
          </cell>
          <cell r="Z761">
            <v>0</v>
          </cell>
          <cell r="AA761">
            <v>15</v>
          </cell>
          <cell r="AB761">
            <v>14</v>
          </cell>
          <cell r="AC761">
            <v>23</v>
          </cell>
          <cell r="AD761">
            <v>125</v>
          </cell>
          <cell r="AE761">
            <v>66</v>
          </cell>
          <cell r="AF761">
            <v>0</v>
          </cell>
          <cell r="AG761">
            <v>15</v>
          </cell>
          <cell r="AH761">
            <v>0</v>
          </cell>
          <cell r="AI761">
            <v>15</v>
          </cell>
          <cell r="AJ761">
            <v>0</v>
          </cell>
          <cell r="AK761">
            <v>15</v>
          </cell>
          <cell r="AL761">
            <v>14</v>
          </cell>
          <cell r="AM761">
            <v>22</v>
          </cell>
          <cell r="AN761">
            <v>26</v>
          </cell>
          <cell r="AO761">
            <v>32</v>
          </cell>
          <cell r="AP761">
            <v>0</v>
          </cell>
          <cell r="AQ761">
            <v>15</v>
          </cell>
          <cell r="AR761">
            <v>253</v>
          </cell>
          <cell r="AS761">
            <v>98</v>
          </cell>
        </row>
        <row r="762">
          <cell r="B762">
            <v>17031803603</v>
          </cell>
          <cell r="D762">
            <v>3356</v>
          </cell>
          <cell r="E762">
            <v>308</v>
          </cell>
          <cell r="F762">
            <v>2930</v>
          </cell>
          <cell r="G762">
            <v>279</v>
          </cell>
          <cell r="H762">
            <v>2778</v>
          </cell>
          <cell r="I762">
            <v>250</v>
          </cell>
          <cell r="J762">
            <v>152</v>
          </cell>
          <cell r="K762">
            <v>93</v>
          </cell>
          <cell r="L762">
            <v>109</v>
          </cell>
          <cell r="M762">
            <v>84</v>
          </cell>
          <cell r="N762">
            <v>0</v>
          </cell>
          <cell r="O762">
            <v>15</v>
          </cell>
          <cell r="P762">
            <v>14</v>
          </cell>
          <cell r="Q762">
            <v>22</v>
          </cell>
          <cell r="R762">
            <v>0</v>
          </cell>
          <cell r="S762">
            <v>15</v>
          </cell>
          <cell r="T762">
            <v>29</v>
          </cell>
          <cell r="U762">
            <v>32</v>
          </cell>
          <cell r="V762">
            <v>177</v>
          </cell>
          <cell r="W762">
            <v>90</v>
          </cell>
          <cell r="X762">
            <v>0</v>
          </cell>
          <cell r="Y762">
            <v>15</v>
          </cell>
          <cell r="Z762">
            <v>0</v>
          </cell>
          <cell r="AA762">
            <v>15</v>
          </cell>
          <cell r="AB762">
            <v>0</v>
          </cell>
          <cell r="AC762">
            <v>15</v>
          </cell>
          <cell r="AD762">
            <v>177</v>
          </cell>
          <cell r="AE762">
            <v>90</v>
          </cell>
          <cell r="AF762">
            <v>0</v>
          </cell>
          <cell r="AG762">
            <v>15</v>
          </cell>
          <cell r="AH762">
            <v>0</v>
          </cell>
          <cell r="AI762">
            <v>15</v>
          </cell>
          <cell r="AJ762">
            <v>0</v>
          </cell>
          <cell r="AK762">
            <v>15</v>
          </cell>
          <cell r="AL762">
            <v>0</v>
          </cell>
          <cell r="AM762">
            <v>15</v>
          </cell>
          <cell r="AN762">
            <v>14</v>
          </cell>
          <cell r="AO762">
            <v>22</v>
          </cell>
          <cell r="AP762">
            <v>13</v>
          </cell>
          <cell r="AQ762">
            <v>22</v>
          </cell>
          <cell r="AR762">
            <v>222</v>
          </cell>
          <cell r="AS762">
            <v>105</v>
          </cell>
        </row>
        <row r="763">
          <cell r="B763">
            <v>17031803604</v>
          </cell>
          <cell r="D763">
            <v>2153</v>
          </cell>
          <cell r="E763">
            <v>170</v>
          </cell>
          <cell r="F763">
            <v>1857</v>
          </cell>
          <cell r="G763">
            <v>171</v>
          </cell>
          <cell r="H763">
            <v>1755</v>
          </cell>
          <cell r="I763">
            <v>171</v>
          </cell>
          <cell r="J763">
            <v>102</v>
          </cell>
          <cell r="K763">
            <v>52</v>
          </cell>
          <cell r="L763">
            <v>93</v>
          </cell>
          <cell r="M763">
            <v>50</v>
          </cell>
          <cell r="N763">
            <v>0</v>
          </cell>
          <cell r="O763">
            <v>11</v>
          </cell>
          <cell r="P763">
            <v>9</v>
          </cell>
          <cell r="Q763">
            <v>15</v>
          </cell>
          <cell r="R763">
            <v>0</v>
          </cell>
          <cell r="S763">
            <v>11</v>
          </cell>
          <cell r="T763">
            <v>0</v>
          </cell>
          <cell r="U763">
            <v>11</v>
          </cell>
          <cell r="V763">
            <v>165</v>
          </cell>
          <cell r="W763">
            <v>74</v>
          </cell>
          <cell r="X763">
            <v>0</v>
          </cell>
          <cell r="Y763">
            <v>11</v>
          </cell>
          <cell r="Z763">
            <v>0</v>
          </cell>
          <cell r="AA763">
            <v>11</v>
          </cell>
          <cell r="AB763">
            <v>0</v>
          </cell>
          <cell r="AC763">
            <v>11</v>
          </cell>
          <cell r="AD763">
            <v>165</v>
          </cell>
          <cell r="AE763">
            <v>74</v>
          </cell>
          <cell r="AF763">
            <v>0</v>
          </cell>
          <cell r="AG763">
            <v>11</v>
          </cell>
          <cell r="AH763">
            <v>0</v>
          </cell>
          <cell r="AI763">
            <v>11</v>
          </cell>
          <cell r="AJ763">
            <v>0</v>
          </cell>
          <cell r="AK763">
            <v>11</v>
          </cell>
          <cell r="AL763">
            <v>0</v>
          </cell>
          <cell r="AM763">
            <v>11</v>
          </cell>
          <cell r="AN763">
            <v>0</v>
          </cell>
          <cell r="AO763">
            <v>11</v>
          </cell>
          <cell r="AP763">
            <v>13</v>
          </cell>
          <cell r="AQ763">
            <v>19</v>
          </cell>
          <cell r="AR763">
            <v>118</v>
          </cell>
          <cell r="AS763">
            <v>56</v>
          </cell>
        </row>
        <row r="764">
          <cell r="B764">
            <v>17031803605</v>
          </cell>
          <cell r="D764">
            <v>3743</v>
          </cell>
          <cell r="E764">
            <v>327</v>
          </cell>
          <cell r="F764">
            <v>3276</v>
          </cell>
          <cell r="G764">
            <v>325</v>
          </cell>
          <cell r="H764">
            <v>2955</v>
          </cell>
          <cell r="I764">
            <v>273</v>
          </cell>
          <cell r="J764">
            <v>321</v>
          </cell>
          <cell r="K764">
            <v>176</v>
          </cell>
          <cell r="L764">
            <v>302</v>
          </cell>
          <cell r="M764">
            <v>172</v>
          </cell>
          <cell r="N764">
            <v>0</v>
          </cell>
          <cell r="O764">
            <v>15</v>
          </cell>
          <cell r="P764">
            <v>0</v>
          </cell>
          <cell r="Q764">
            <v>15</v>
          </cell>
          <cell r="R764">
            <v>19</v>
          </cell>
          <cell r="S764">
            <v>33</v>
          </cell>
          <cell r="T764">
            <v>0</v>
          </cell>
          <cell r="U764">
            <v>15</v>
          </cell>
          <cell r="V764">
            <v>246</v>
          </cell>
          <cell r="W764">
            <v>119</v>
          </cell>
          <cell r="X764">
            <v>0</v>
          </cell>
          <cell r="Y764">
            <v>15</v>
          </cell>
          <cell r="Z764">
            <v>0</v>
          </cell>
          <cell r="AA764">
            <v>15</v>
          </cell>
          <cell r="AB764">
            <v>22</v>
          </cell>
          <cell r="AC764">
            <v>31</v>
          </cell>
          <cell r="AD764">
            <v>224</v>
          </cell>
          <cell r="AE764">
            <v>115</v>
          </cell>
          <cell r="AF764">
            <v>0</v>
          </cell>
          <cell r="AG764">
            <v>15</v>
          </cell>
          <cell r="AH764">
            <v>0</v>
          </cell>
          <cell r="AI764">
            <v>15</v>
          </cell>
          <cell r="AJ764">
            <v>0</v>
          </cell>
          <cell r="AK764">
            <v>15</v>
          </cell>
          <cell r="AL764">
            <v>11</v>
          </cell>
          <cell r="AM764">
            <v>17</v>
          </cell>
          <cell r="AN764">
            <v>9</v>
          </cell>
          <cell r="AO764">
            <v>18</v>
          </cell>
          <cell r="AP764">
            <v>0</v>
          </cell>
          <cell r="AQ764">
            <v>15</v>
          </cell>
          <cell r="AR764">
            <v>201</v>
          </cell>
          <cell r="AS764">
            <v>107</v>
          </cell>
        </row>
        <row r="765">
          <cell r="B765">
            <v>17031803606</v>
          </cell>
          <cell r="D765">
            <v>4312</v>
          </cell>
          <cell r="E765">
            <v>395</v>
          </cell>
          <cell r="F765">
            <v>3785</v>
          </cell>
          <cell r="G765">
            <v>386</v>
          </cell>
          <cell r="H765">
            <v>2939</v>
          </cell>
          <cell r="I765">
            <v>335</v>
          </cell>
          <cell r="J765">
            <v>846</v>
          </cell>
          <cell r="K765">
            <v>323</v>
          </cell>
          <cell r="L765">
            <v>446</v>
          </cell>
          <cell r="M765">
            <v>190</v>
          </cell>
          <cell r="N765">
            <v>207</v>
          </cell>
          <cell r="O765">
            <v>156</v>
          </cell>
          <cell r="P765">
            <v>131</v>
          </cell>
          <cell r="Q765">
            <v>193</v>
          </cell>
          <cell r="R765">
            <v>50</v>
          </cell>
          <cell r="S765">
            <v>61</v>
          </cell>
          <cell r="T765">
            <v>12</v>
          </cell>
          <cell r="U765">
            <v>20</v>
          </cell>
          <cell r="V765">
            <v>77</v>
          </cell>
          <cell r="W765">
            <v>81</v>
          </cell>
          <cell r="X765">
            <v>0</v>
          </cell>
          <cell r="Y765">
            <v>15</v>
          </cell>
          <cell r="Z765">
            <v>0</v>
          </cell>
          <cell r="AA765">
            <v>15</v>
          </cell>
          <cell r="AB765">
            <v>0</v>
          </cell>
          <cell r="AC765">
            <v>15</v>
          </cell>
          <cell r="AD765">
            <v>77</v>
          </cell>
          <cell r="AE765">
            <v>81</v>
          </cell>
          <cell r="AF765">
            <v>0</v>
          </cell>
          <cell r="AG765">
            <v>15</v>
          </cell>
          <cell r="AH765">
            <v>0</v>
          </cell>
          <cell r="AI765">
            <v>15</v>
          </cell>
          <cell r="AJ765">
            <v>13</v>
          </cell>
          <cell r="AK765">
            <v>20</v>
          </cell>
          <cell r="AL765">
            <v>0</v>
          </cell>
          <cell r="AM765">
            <v>15</v>
          </cell>
          <cell r="AN765">
            <v>222</v>
          </cell>
          <cell r="AO765">
            <v>221</v>
          </cell>
          <cell r="AP765">
            <v>0</v>
          </cell>
          <cell r="AQ765">
            <v>15</v>
          </cell>
          <cell r="AR765">
            <v>215</v>
          </cell>
          <cell r="AS765">
            <v>172</v>
          </cell>
        </row>
        <row r="766">
          <cell r="B766">
            <v>17031803607</v>
          </cell>
          <cell r="D766">
            <v>2799</v>
          </cell>
          <cell r="E766">
            <v>194</v>
          </cell>
          <cell r="F766">
            <v>2489</v>
          </cell>
          <cell r="G766">
            <v>211</v>
          </cell>
          <cell r="H766">
            <v>2246</v>
          </cell>
          <cell r="I766">
            <v>211</v>
          </cell>
          <cell r="J766">
            <v>243</v>
          </cell>
          <cell r="K766">
            <v>111</v>
          </cell>
          <cell r="L766">
            <v>207</v>
          </cell>
          <cell r="M766">
            <v>102</v>
          </cell>
          <cell r="N766">
            <v>15</v>
          </cell>
          <cell r="O766">
            <v>16</v>
          </cell>
          <cell r="P766">
            <v>0</v>
          </cell>
          <cell r="Q766">
            <v>15</v>
          </cell>
          <cell r="R766">
            <v>5</v>
          </cell>
          <cell r="S766">
            <v>12</v>
          </cell>
          <cell r="T766">
            <v>16</v>
          </cell>
          <cell r="U766">
            <v>24</v>
          </cell>
          <cell r="V766">
            <v>157</v>
          </cell>
          <cell r="W766">
            <v>74</v>
          </cell>
          <cell r="X766">
            <v>11</v>
          </cell>
          <cell r="Y766">
            <v>17</v>
          </cell>
          <cell r="Z766">
            <v>0</v>
          </cell>
          <cell r="AA766">
            <v>15</v>
          </cell>
          <cell r="AB766">
            <v>0</v>
          </cell>
          <cell r="AC766">
            <v>15</v>
          </cell>
          <cell r="AD766">
            <v>146</v>
          </cell>
          <cell r="AE766">
            <v>72</v>
          </cell>
          <cell r="AF766">
            <v>0</v>
          </cell>
          <cell r="AG766">
            <v>15</v>
          </cell>
          <cell r="AH766">
            <v>0</v>
          </cell>
          <cell r="AI766">
            <v>15</v>
          </cell>
          <cell r="AJ766">
            <v>0</v>
          </cell>
          <cell r="AK766">
            <v>15</v>
          </cell>
          <cell r="AL766">
            <v>20</v>
          </cell>
          <cell r="AM766">
            <v>23</v>
          </cell>
          <cell r="AN766">
            <v>33</v>
          </cell>
          <cell r="AO766">
            <v>32</v>
          </cell>
          <cell r="AP766">
            <v>0</v>
          </cell>
          <cell r="AQ766">
            <v>15</v>
          </cell>
          <cell r="AR766">
            <v>100</v>
          </cell>
          <cell r="AS766">
            <v>50</v>
          </cell>
        </row>
        <row r="767">
          <cell r="B767">
            <v>17031803608</v>
          </cell>
          <cell r="D767">
            <v>3926</v>
          </cell>
          <cell r="E767">
            <v>274</v>
          </cell>
          <cell r="F767">
            <v>3447</v>
          </cell>
          <cell r="G767">
            <v>295</v>
          </cell>
          <cell r="H767">
            <v>3097</v>
          </cell>
          <cell r="I767">
            <v>316</v>
          </cell>
          <cell r="J767">
            <v>350</v>
          </cell>
          <cell r="K767">
            <v>138</v>
          </cell>
          <cell r="L767">
            <v>319</v>
          </cell>
          <cell r="M767">
            <v>132</v>
          </cell>
          <cell r="N767">
            <v>31</v>
          </cell>
          <cell r="O767">
            <v>39</v>
          </cell>
          <cell r="P767">
            <v>0</v>
          </cell>
          <cell r="Q767">
            <v>15</v>
          </cell>
          <cell r="R767">
            <v>0</v>
          </cell>
          <cell r="S767">
            <v>15</v>
          </cell>
          <cell r="T767">
            <v>0</v>
          </cell>
          <cell r="U767">
            <v>15</v>
          </cell>
          <cell r="V767">
            <v>92</v>
          </cell>
          <cell r="W767">
            <v>63</v>
          </cell>
          <cell r="X767">
            <v>0</v>
          </cell>
          <cell r="Y767">
            <v>15</v>
          </cell>
          <cell r="Z767">
            <v>0</v>
          </cell>
          <cell r="AA767">
            <v>15</v>
          </cell>
          <cell r="AB767">
            <v>18</v>
          </cell>
          <cell r="AC767">
            <v>28</v>
          </cell>
          <cell r="AD767">
            <v>74</v>
          </cell>
          <cell r="AE767">
            <v>63</v>
          </cell>
          <cell r="AF767">
            <v>0</v>
          </cell>
          <cell r="AG767">
            <v>15</v>
          </cell>
          <cell r="AH767">
            <v>0</v>
          </cell>
          <cell r="AI767">
            <v>15</v>
          </cell>
          <cell r="AJ767">
            <v>0</v>
          </cell>
          <cell r="AK767">
            <v>15</v>
          </cell>
          <cell r="AL767">
            <v>0</v>
          </cell>
          <cell r="AM767">
            <v>15</v>
          </cell>
          <cell r="AN767">
            <v>102</v>
          </cell>
          <cell r="AO767">
            <v>83</v>
          </cell>
          <cell r="AP767">
            <v>18</v>
          </cell>
          <cell r="AQ767">
            <v>29</v>
          </cell>
          <cell r="AR767">
            <v>267</v>
          </cell>
          <cell r="AS767">
            <v>135</v>
          </cell>
        </row>
        <row r="768">
          <cell r="B768">
            <v>17031803610</v>
          </cell>
          <cell r="D768">
            <v>4227</v>
          </cell>
          <cell r="E768">
            <v>306</v>
          </cell>
          <cell r="F768">
            <v>3823</v>
          </cell>
          <cell r="G768">
            <v>323</v>
          </cell>
          <cell r="H768">
            <v>3467</v>
          </cell>
          <cell r="I768">
            <v>302</v>
          </cell>
          <cell r="J768">
            <v>356</v>
          </cell>
          <cell r="K768">
            <v>162</v>
          </cell>
          <cell r="L768">
            <v>229</v>
          </cell>
          <cell r="M768">
            <v>117</v>
          </cell>
          <cell r="N768">
            <v>127</v>
          </cell>
          <cell r="O768">
            <v>129</v>
          </cell>
          <cell r="P768">
            <v>0</v>
          </cell>
          <cell r="Q768">
            <v>15</v>
          </cell>
          <cell r="R768">
            <v>0</v>
          </cell>
          <cell r="S768">
            <v>15</v>
          </cell>
          <cell r="T768">
            <v>0</v>
          </cell>
          <cell r="U768">
            <v>15</v>
          </cell>
          <cell r="V768">
            <v>123</v>
          </cell>
          <cell r="W768">
            <v>75</v>
          </cell>
          <cell r="X768">
            <v>0</v>
          </cell>
          <cell r="Y768">
            <v>15</v>
          </cell>
          <cell r="Z768">
            <v>0</v>
          </cell>
          <cell r="AA768">
            <v>15</v>
          </cell>
          <cell r="AB768">
            <v>0</v>
          </cell>
          <cell r="AC768">
            <v>15</v>
          </cell>
          <cell r="AD768">
            <v>123</v>
          </cell>
          <cell r="AE768">
            <v>75</v>
          </cell>
          <cell r="AF768">
            <v>0</v>
          </cell>
          <cell r="AG768">
            <v>15</v>
          </cell>
          <cell r="AH768">
            <v>0</v>
          </cell>
          <cell r="AI768">
            <v>15</v>
          </cell>
          <cell r="AJ768">
            <v>0</v>
          </cell>
          <cell r="AK768">
            <v>15</v>
          </cell>
          <cell r="AL768">
            <v>0</v>
          </cell>
          <cell r="AM768">
            <v>15</v>
          </cell>
          <cell r="AN768">
            <v>83</v>
          </cell>
          <cell r="AO768">
            <v>84</v>
          </cell>
          <cell r="AP768">
            <v>50</v>
          </cell>
          <cell r="AQ768">
            <v>50</v>
          </cell>
          <cell r="AR768">
            <v>148</v>
          </cell>
          <cell r="AS768">
            <v>71</v>
          </cell>
        </row>
        <row r="769">
          <cell r="B769">
            <v>17031803611</v>
          </cell>
          <cell r="D769">
            <v>3130</v>
          </cell>
          <cell r="E769">
            <v>372</v>
          </cell>
          <cell r="F769">
            <v>2772</v>
          </cell>
          <cell r="G769">
            <v>351</v>
          </cell>
          <cell r="H769">
            <v>2204</v>
          </cell>
          <cell r="I769">
            <v>294</v>
          </cell>
          <cell r="J769">
            <v>568</v>
          </cell>
          <cell r="K769">
            <v>225</v>
          </cell>
          <cell r="L769">
            <v>477</v>
          </cell>
          <cell r="M769">
            <v>216</v>
          </cell>
          <cell r="N769">
            <v>62</v>
          </cell>
          <cell r="O769">
            <v>60</v>
          </cell>
          <cell r="P769">
            <v>29</v>
          </cell>
          <cell r="Q769">
            <v>61</v>
          </cell>
          <cell r="R769">
            <v>0</v>
          </cell>
          <cell r="S769">
            <v>15</v>
          </cell>
          <cell r="T769">
            <v>0</v>
          </cell>
          <cell r="U769">
            <v>15</v>
          </cell>
          <cell r="V769">
            <v>94</v>
          </cell>
          <cell r="W769">
            <v>76</v>
          </cell>
          <cell r="X769">
            <v>0</v>
          </cell>
          <cell r="Y769">
            <v>15</v>
          </cell>
          <cell r="Z769">
            <v>0</v>
          </cell>
          <cell r="AA769">
            <v>15</v>
          </cell>
          <cell r="AB769">
            <v>0</v>
          </cell>
          <cell r="AC769">
            <v>15</v>
          </cell>
          <cell r="AD769">
            <v>94</v>
          </cell>
          <cell r="AE769">
            <v>76</v>
          </cell>
          <cell r="AF769">
            <v>0</v>
          </cell>
          <cell r="AG769">
            <v>15</v>
          </cell>
          <cell r="AH769">
            <v>0</v>
          </cell>
          <cell r="AI769">
            <v>15</v>
          </cell>
          <cell r="AJ769">
            <v>0</v>
          </cell>
          <cell r="AK769">
            <v>15</v>
          </cell>
          <cell r="AL769">
            <v>36</v>
          </cell>
          <cell r="AM769">
            <v>57</v>
          </cell>
          <cell r="AN769">
            <v>54</v>
          </cell>
          <cell r="AO769">
            <v>60</v>
          </cell>
          <cell r="AP769">
            <v>51</v>
          </cell>
          <cell r="AQ769">
            <v>39</v>
          </cell>
          <cell r="AR769">
            <v>123</v>
          </cell>
          <cell r="AS769">
            <v>110</v>
          </cell>
        </row>
        <row r="770">
          <cell r="B770">
            <v>17031803612</v>
          </cell>
          <cell r="D770">
            <v>1989</v>
          </cell>
          <cell r="E770">
            <v>245</v>
          </cell>
          <cell r="F770">
            <v>1813</v>
          </cell>
          <cell r="G770">
            <v>219</v>
          </cell>
          <cell r="H770">
            <v>1473</v>
          </cell>
          <cell r="I770">
            <v>240</v>
          </cell>
          <cell r="J770">
            <v>340</v>
          </cell>
          <cell r="K770">
            <v>124</v>
          </cell>
          <cell r="L770">
            <v>316</v>
          </cell>
          <cell r="M770">
            <v>128</v>
          </cell>
          <cell r="N770">
            <v>6</v>
          </cell>
          <cell r="O770">
            <v>10</v>
          </cell>
          <cell r="P770">
            <v>0</v>
          </cell>
          <cell r="Q770">
            <v>11</v>
          </cell>
          <cell r="R770">
            <v>0</v>
          </cell>
          <cell r="S770">
            <v>11</v>
          </cell>
          <cell r="T770">
            <v>18</v>
          </cell>
          <cell r="U770">
            <v>29</v>
          </cell>
          <cell r="V770">
            <v>28</v>
          </cell>
          <cell r="W770">
            <v>24</v>
          </cell>
          <cell r="X770">
            <v>5</v>
          </cell>
          <cell r="Y770">
            <v>8</v>
          </cell>
          <cell r="Z770">
            <v>0</v>
          </cell>
          <cell r="AA770">
            <v>11</v>
          </cell>
          <cell r="AB770">
            <v>0</v>
          </cell>
          <cell r="AC770">
            <v>11</v>
          </cell>
          <cell r="AD770">
            <v>23</v>
          </cell>
          <cell r="AE770">
            <v>21</v>
          </cell>
          <cell r="AF770">
            <v>0</v>
          </cell>
          <cell r="AG770">
            <v>11</v>
          </cell>
          <cell r="AH770">
            <v>14</v>
          </cell>
          <cell r="AI770">
            <v>21</v>
          </cell>
          <cell r="AJ770">
            <v>0</v>
          </cell>
          <cell r="AK770">
            <v>11</v>
          </cell>
          <cell r="AL770">
            <v>38</v>
          </cell>
          <cell r="AM770">
            <v>54</v>
          </cell>
          <cell r="AN770">
            <v>25</v>
          </cell>
          <cell r="AO770">
            <v>39</v>
          </cell>
          <cell r="AP770">
            <v>37</v>
          </cell>
          <cell r="AQ770">
            <v>47</v>
          </cell>
          <cell r="AR770">
            <v>34</v>
          </cell>
          <cell r="AS770">
            <v>33</v>
          </cell>
        </row>
        <row r="771">
          <cell r="B771">
            <v>17031803701</v>
          </cell>
          <cell r="D771">
            <v>1673</v>
          </cell>
          <cell r="E771">
            <v>162</v>
          </cell>
          <cell r="F771">
            <v>1430</v>
          </cell>
          <cell r="G771">
            <v>171</v>
          </cell>
          <cell r="H771">
            <v>1387</v>
          </cell>
          <cell r="I771">
            <v>173</v>
          </cell>
          <cell r="J771">
            <v>43</v>
          </cell>
          <cell r="K771">
            <v>41</v>
          </cell>
          <cell r="L771">
            <v>43</v>
          </cell>
          <cell r="M771">
            <v>41</v>
          </cell>
          <cell r="N771">
            <v>0</v>
          </cell>
          <cell r="O771">
            <v>11</v>
          </cell>
          <cell r="P771">
            <v>0</v>
          </cell>
          <cell r="Q771">
            <v>11</v>
          </cell>
          <cell r="R771">
            <v>0</v>
          </cell>
          <cell r="S771">
            <v>11</v>
          </cell>
          <cell r="T771">
            <v>0</v>
          </cell>
          <cell r="U771">
            <v>11</v>
          </cell>
          <cell r="V771">
            <v>98</v>
          </cell>
          <cell r="W771">
            <v>47</v>
          </cell>
          <cell r="X771">
            <v>10</v>
          </cell>
          <cell r="Y771">
            <v>16</v>
          </cell>
          <cell r="Z771">
            <v>0</v>
          </cell>
          <cell r="AA771">
            <v>11</v>
          </cell>
          <cell r="AB771">
            <v>0</v>
          </cell>
          <cell r="AC771">
            <v>11</v>
          </cell>
          <cell r="AD771">
            <v>88</v>
          </cell>
          <cell r="AE771">
            <v>43</v>
          </cell>
          <cell r="AF771">
            <v>0</v>
          </cell>
          <cell r="AG771">
            <v>11</v>
          </cell>
          <cell r="AH771">
            <v>0</v>
          </cell>
          <cell r="AI771">
            <v>11</v>
          </cell>
          <cell r="AJ771">
            <v>6</v>
          </cell>
          <cell r="AK771">
            <v>9</v>
          </cell>
          <cell r="AL771">
            <v>0</v>
          </cell>
          <cell r="AM771">
            <v>11</v>
          </cell>
          <cell r="AN771">
            <v>0</v>
          </cell>
          <cell r="AO771">
            <v>11</v>
          </cell>
          <cell r="AP771">
            <v>18</v>
          </cell>
          <cell r="AQ771">
            <v>16</v>
          </cell>
          <cell r="AR771">
            <v>121</v>
          </cell>
          <cell r="AS771">
            <v>65</v>
          </cell>
        </row>
        <row r="772">
          <cell r="B772">
            <v>17031803702</v>
          </cell>
          <cell r="D772">
            <v>3457</v>
          </cell>
          <cell r="E772">
            <v>209</v>
          </cell>
          <cell r="F772">
            <v>3075</v>
          </cell>
          <cell r="G772">
            <v>236</v>
          </cell>
          <cell r="H772">
            <v>2856</v>
          </cell>
          <cell r="I772">
            <v>239</v>
          </cell>
          <cell r="J772">
            <v>219</v>
          </cell>
          <cell r="K772">
            <v>89</v>
          </cell>
          <cell r="L772">
            <v>173</v>
          </cell>
          <cell r="M772">
            <v>82</v>
          </cell>
          <cell r="N772">
            <v>46</v>
          </cell>
          <cell r="O772">
            <v>68</v>
          </cell>
          <cell r="P772">
            <v>0</v>
          </cell>
          <cell r="Q772">
            <v>15</v>
          </cell>
          <cell r="R772">
            <v>0</v>
          </cell>
          <cell r="S772">
            <v>15</v>
          </cell>
          <cell r="T772">
            <v>0</v>
          </cell>
          <cell r="U772">
            <v>15</v>
          </cell>
          <cell r="V772">
            <v>244</v>
          </cell>
          <cell r="W772">
            <v>105</v>
          </cell>
          <cell r="X772">
            <v>0</v>
          </cell>
          <cell r="Y772">
            <v>15</v>
          </cell>
          <cell r="Z772">
            <v>23</v>
          </cell>
          <cell r="AA772">
            <v>35</v>
          </cell>
          <cell r="AB772">
            <v>0</v>
          </cell>
          <cell r="AC772">
            <v>15</v>
          </cell>
          <cell r="AD772">
            <v>221</v>
          </cell>
          <cell r="AE772">
            <v>97</v>
          </cell>
          <cell r="AF772">
            <v>0</v>
          </cell>
          <cell r="AG772">
            <v>15</v>
          </cell>
          <cell r="AH772">
            <v>0</v>
          </cell>
          <cell r="AI772">
            <v>15</v>
          </cell>
          <cell r="AJ772">
            <v>0</v>
          </cell>
          <cell r="AK772">
            <v>15</v>
          </cell>
          <cell r="AL772">
            <v>0</v>
          </cell>
          <cell r="AM772">
            <v>15</v>
          </cell>
          <cell r="AN772">
            <v>51</v>
          </cell>
          <cell r="AO772">
            <v>67</v>
          </cell>
          <cell r="AP772">
            <v>24</v>
          </cell>
          <cell r="AQ772">
            <v>31</v>
          </cell>
          <cell r="AR772">
            <v>63</v>
          </cell>
          <cell r="AS772">
            <v>51</v>
          </cell>
        </row>
        <row r="773">
          <cell r="B773">
            <v>17031803800</v>
          </cell>
          <cell r="D773">
            <v>2545</v>
          </cell>
          <cell r="E773">
            <v>243</v>
          </cell>
          <cell r="F773">
            <v>2255</v>
          </cell>
          <cell r="G773">
            <v>218</v>
          </cell>
          <cell r="H773">
            <v>2069</v>
          </cell>
          <cell r="I773">
            <v>221</v>
          </cell>
          <cell r="J773">
            <v>186</v>
          </cell>
          <cell r="K773">
            <v>78</v>
          </cell>
          <cell r="L773">
            <v>171</v>
          </cell>
          <cell r="M773">
            <v>73</v>
          </cell>
          <cell r="N773">
            <v>0</v>
          </cell>
          <cell r="O773">
            <v>11</v>
          </cell>
          <cell r="P773">
            <v>0</v>
          </cell>
          <cell r="Q773">
            <v>11</v>
          </cell>
          <cell r="R773">
            <v>15</v>
          </cell>
          <cell r="S773">
            <v>20</v>
          </cell>
          <cell r="T773">
            <v>0</v>
          </cell>
          <cell r="U773">
            <v>11</v>
          </cell>
          <cell r="V773">
            <v>77</v>
          </cell>
          <cell r="W773">
            <v>41</v>
          </cell>
          <cell r="X773">
            <v>2</v>
          </cell>
          <cell r="Y773">
            <v>4</v>
          </cell>
          <cell r="Z773">
            <v>0</v>
          </cell>
          <cell r="AA773">
            <v>11</v>
          </cell>
          <cell r="AB773">
            <v>0</v>
          </cell>
          <cell r="AC773">
            <v>11</v>
          </cell>
          <cell r="AD773">
            <v>75</v>
          </cell>
          <cell r="AE773">
            <v>42</v>
          </cell>
          <cell r="AF773">
            <v>0</v>
          </cell>
          <cell r="AG773">
            <v>11</v>
          </cell>
          <cell r="AH773">
            <v>0</v>
          </cell>
          <cell r="AI773">
            <v>11</v>
          </cell>
          <cell r="AJ773">
            <v>0</v>
          </cell>
          <cell r="AK773">
            <v>11</v>
          </cell>
          <cell r="AL773">
            <v>0</v>
          </cell>
          <cell r="AM773">
            <v>11</v>
          </cell>
          <cell r="AN773">
            <v>139</v>
          </cell>
          <cell r="AO773">
            <v>164</v>
          </cell>
          <cell r="AP773">
            <v>13</v>
          </cell>
          <cell r="AQ773">
            <v>17</v>
          </cell>
          <cell r="AR773">
            <v>61</v>
          </cell>
          <cell r="AS773">
            <v>37</v>
          </cell>
        </row>
        <row r="774">
          <cell r="B774">
            <v>17031803901</v>
          </cell>
          <cell r="D774">
            <v>1718</v>
          </cell>
          <cell r="E774">
            <v>187</v>
          </cell>
          <cell r="F774">
            <v>1544</v>
          </cell>
          <cell r="G774">
            <v>190</v>
          </cell>
          <cell r="H774">
            <v>1445</v>
          </cell>
          <cell r="I774">
            <v>175</v>
          </cell>
          <cell r="J774">
            <v>99</v>
          </cell>
          <cell r="K774">
            <v>60</v>
          </cell>
          <cell r="L774">
            <v>82</v>
          </cell>
          <cell r="M774">
            <v>55</v>
          </cell>
          <cell r="N774">
            <v>6</v>
          </cell>
          <cell r="O774">
            <v>10</v>
          </cell>
          <cell r="P774">
            <v>9</v>
          </cell>
          <cell r="Q774">
            <v>15</v>
          </cell>
          <cell r="R774">
            <v>2</v>
          </cell>
          <cell r="S774">
            <v>4</v>
          </cell>
          <cell r="T774">
            <v>0</v>
          </cell>
          <cell r="U774">
            <v>11</v>
          </cell>
          <cell r="V774">
            <v>72</v>
          </cell>
          <cell r="W774">
            <v>41</v>
          </cell>
          <cell r="X774">
            <v>2</v>
          </cell>
          <cell r="Y774">
            <v>4</v>
          </cell>
          <cell r="Z774">
            <v>0</v>
          </cell>
          <cell r="AA774">
            <v>11</v>
          </cell>
          <cell r="AB774">
            <v>6</v>
          </cell>
          <cell r="AC774">
            <v>11</v>
          </cell>
          <cell r="AD774">
            <v>64</v>
          </cell>
          <cell r="AE774">
            <v>39</v>
          </cell>
          <cell r="AF774">
            <v>0</v>
          </cell>
          <cell r="AG774">
            <v>11</v>
          </cell>
          <cell r="AH774">
            <v>0</v>
          </cell>
          <cell r="AI774">
            <v>11</v>
          </cell>
          <cell r="AJ774">
            <v>0</v>
          </cell>
          <cell r="AK774">
            <v>11</v>
          </cell>
          <cell r="AL774">
            <v>0</v>
          </cell>
          <cell r="AM774">
            <v>11</v>
          </cell>
          <cell r="AN774">
            <v>49</v>
          </cell>
          <cell r="AO774">
            <v>49</v>
          </cell>
          <cell r="AP774">
            <v>11</v>
          </cell>
          <cell r="AQ774">
            <v>11</v>
          </cell>
          <cell r="AR774">
            <v>42</v>
          </cell>
          <cell r="AS774">
            <v>40</v>
          </cell>
        </row>
        <row r="775">
          <cell r="B775">
            <v>17031803902</v>
          </cell>
          <cell r="D775">
            <v>1943</v>
          </cell>
          <cell r="E775">
            <v>189</v>
          </cell>
          <cell r="F775">
            <v>1686</v>
          </cell>
          <cell r="G775">
            <v>231</v>
          </cell>
          <cell r="H775">
            <v>1509</v>
          </cell>
          <cell r="I775">
            <v>217</v>
          </cell>
          <cell r="J775">
            <v>177</v>
          </cell>
          <cell r="K775">
            <v>83</v>
          </cell>
          <cell r="L775">
            <v>177</v>
          </cell>
          <cell r="M775">
            <v>83</v>
          </cell>
          <cell r="N775">
            <v>0</v>
          </cell>
          <cell r="O775">
            <v>11</v>
          </cell>
          <cell r="P775">
            <v>0</v>
          </cell>
          <cell r="Q775">
            <v>11</v>
          </cell>
          <cell r="R775">
            <v>0</v>
          </cell>
          <cell r="S775">
            <v>11</v>
          </cell>
          <cell r="T775">
            <v>0</v>
          </cell>
          <cell r="U775">
            <v>11</v>
          </cell>
          <cell r="V775">
            <v>68</v>
          </cell>
          <cell r="W775">
            <v>60</v>
          </cell>
          <cell r="X775">
            <v>0</v>
          </cell>
          <cell r="Y775">
            <v>11</v>
          </cell>
          <cell r="Z775">
            <v>0</v>
          </cell>
          <cell r="AA775">
            <v>11</v>
          </cell>
          <cell r="AB775">
            <v>0</v>
          </cell>
          <cell r="AC775">
            <v>11</v>
          </cell>
          <cell r="AD775">
            <v>68</v>
          </cell>
          <cell r="AE775">
            <v>60</v>
          </cell>
          <cell r="AF775">
            <v>0</v>
          </cell>
          <cell r="AG775">
            <v>11</v>
          </cell>
          <cell r="AH775">
            <v>0</v>
          </cell>
          <cell r="AI775">
            <v>11</v>
          </cell>
          <cell r="AJ775">
            <v>27</v>
          </cell>
          <cell r="AK775">
            <v>29</v>
          </cell>
          <cell r="AL775">
            <v>3</v>
          </cell>
          <cell r="AM775">
            <v>7</v>
          </cell>
          <cell r="AN775">
            <v>12</v>
          </cell>
          <cell r="AO775">
            <v>20</v>
          </cell>
          <cell r="AP775">
            <v>10</v>
          </cell>
          <cell r="AQ775">
            <v>15</v>
          </cell>
          <cell r="AR775">
            <v>137</v>
          </cell>
          <cell r="AS775">
            <v>133</v>
          </cell>
        </row>
        <row r="776">
          <cell r="B776">
            <v>17031804000</v>
          </cell>
          <cell r="D776">
            <v>2140</v>
          </cell>
          <cell r="E776">
            <v>183</v>
          </cell>
          <cell r="F776">
            <v>1967</v>
          </cell>
          <cell r="G776">
            <v>173</v>
          </cell>
          <cell r="H776">
            <v>1676</v>
          </cell>
          <cell r="I776">
            <v>169</v>
          </cell>
          <cell r="J776">
            <v>291</v>
          </cell>
          <cell r="K776">
            <v>124</v>
          </cell>
          <cell r="L776">
            <v>262</v>
          </cell>
          <cell r="M776">
            <v>110</v>
          </cell>
          <cell r="N776">
            <v>29</v>
          </cell>
          <cell r="O776">
            <v>34</v>
          </cell>
          <cell r="P776">
            <v>0</v>
          </cell>
          <cell r="Q776">
            <v>11</v>
          </cell>
          <cell r="R776">
            <v>0</v>
          </cell>
          <cell r="S776">
            <v>11</v>
          </cell>
          <cell r="T776">
            <v>0</v>
          </cell>
          <cell r="U776">
            <v>11</v>
          </cell>
          <cell r="V776">
            <v>58</v>
          </cell>
          <cell r="W776">
            <v>34</v>
          </cell>
          <cell r="X776">
            <v>1</v>
          </cell>
          <cell r="Y776">
            <v>2</v>
          </cell>
          <cell r="Z776">
            <v>0</v>
          </cell>
          <cell r="AA776">
            <v>11</v>
          </cell>
          <cell r="AB776">
            <v>10</v>
          </cell>
          <cell r="AC776">
            <v>16</v>
          </cell>
          <cell r="AD776">
            <v>47</v>
          </cell>
          <cell r="AE776">
            <v>30</v>
          </cell>
          <cell r="AF776">
            <v>0</v>
          </cell>
          <cell r="AG776">
            <v>11</v>
          </cell>
          <cell r="AH776">
            <v>37</v>
          </cell>
          <cell r="AI776">
            <v>55</v>
          </cell>
          <cell r="AJ776">
            <v>0</v>
          </cell>
          <cell r="AK776">
            <v>11</v>
          </cell>
          <cell r="AL776">
            <v>0</v>
          </cell>
          <cell r="AM776">
            <v>11</v>
          </cell>
          <cell r="AN776">
            <v>1</v>
          </cell>
          <cell r="AO776">
            <v>3</v>
          </cell>
          <cell r="AP776">
            <v>0</v>
          </cell>
          <cell r="AQ776">
            <v>11</v>
          </cell>
          <cell r="AR776">
            <v>77</v>
          </cell>
          <cell r="AS776">
            <v>50</v>
          </cell>
        </row>
        <row r="777">
          <cell r="B777">
            <v>17031804102</v>
          </cell>
          <cell r="D777">
            <v>2985</v>
          </cell>
          <cell r="E777">
            <v>284</v>
          </cell>
          <cell r="F777">
            <v>2502</v>
          </cell>
          <cell r="G777">
            <v>310</v>
          </cell>
          <cell r="H777">
            <v>2414</v>
          </cell>
          <cell r="I777">
            <v>315</v>
          </cell>
          <cell r="J777">
            <v>88</v>
          </cell>
          <cell r="K777">
            <v>77</v>
          </cell>
          <cell r="L777">
            <v>75</v>
          </cell>
          <cell r="M777">
            <v>74</v>
          </cell>
          <cell r="N777">
            <v>13</v>
          </cell>
          <cell r="O777">
            <v>23</v>
          </cell>
          <cell r="P777">
            <v>0</v>
          </cell>
          <cell r="Q777">
            <v>15</v>
          </cell>
          <cell r="R777">
            <v>0</v>
          </cell>
          <cell r="S777">
            <v>15</v>
          </cell>
          <cell r="T777">
            <v>0</v>
          </cell>
          <cell r="U777">
            <v>15</v>
          </cell>
          <cell r="V777">
            <v>221</v>
          </cell>
          <cell r="W777">
            <v>124</v>
          </cell>
          <cell r="X777">
            <v>1</v>
          </cell>
          <cell r="Y777">
            <v>4</v>
          </cell>
          <cell r="Z777">
            <v>0</v>
          </cell>
          <cell r="AA777">
            <v>15</v>
          </cell>
          <cell r="AB777">
            <v>34</v>
          </cell>
          <cell r="AC777">
            <v>40</v>
          </cell>
          <cell r="AD777">
            <v>186</v>
          </cell>
          <cell r="AE777">
            <v>103</v>
          </cell>
          <cell r="AF777">
            <v>0</v>
          </cell>
          <cell r="AG777">
            <v>15</v>
          </cell>
          <cell r="AH777">
            <v>0</v>
          </cell>
          <cell r="AI777">
            <v>15</v>
          </cell>
          <cell r="AJ777">
            <v>0</v>
          </cell>
          <cell r="AK777">
            <v>15</v>
          </cell>
          <cell r="AL777">
            <v>0</v>
          </cell>
          <cell r="AM777">
            <v>15</v>
          </cell>
          <cell r="AN777">
            <v>10</v>
          </cell>
          <cell r="AO777">
            <v>15</v>
          </cell>
          <cell r="AP777">
            <v>13</v>
          </cell>
          <cell r="AQ777">
            <v>21</v>
          </cell>
          <cell r="AR777">
            <v>239</v>
          </cell>
          <cell r="AS777">
            <v>105</v>
          </cell>
        </row>
        <row r="778">
          <cell r="B778">
            <v>17031804104</v>
          </cell>
          <cell r="D778">
            <v>2523</v>
          </cell>
          <cell r="E778">
            <v>159</v>
          </cell>
          <cell r="F778">
            <v>2262</v>
          </cell>
          <cell r="G778">
            <v>153</v>
          </cell>
          <cell r="H778">
            <v>2189</v>
          </cell>
          <cell r="I778">
            <v>144</v>
          </cell>
          <cell r="J778">
            <v>73</v>
          </cell>
          <cell r="K778">
            <v>38</v>
          </cell>
          <cell r="L778">
            <v>73</v>
          </cell>
          <cell r="M778">
            <v>38</v>
          </cell>
          <cell r="N778">
            <v>0</v>
          </cell>
          <cell r="O778">
            <v>11</v>
          </cell>
          <cell r="P778">
            <v>0</v>
          </cell>
          <cell r="Q778">
            <v>11</v>
          </cell>
          <cell r="R778">
            <v>0</v>
          </cell>
          <cell r="S778">
            <v>11</v>
          </cell>
          <cell r="T778">
            <v>0</v>
          </cell>
          <cell r="U778">
            <v>11</v>
          </cell>
          <cell r="V778">
            <v>115</v>
          </cell>
          <cell r="W778">
            <v>56</v>
          </cell>
          <cell r="X778">
            <v>9</v>
          </cell>
          <cell r="Y778">
            <v>14</v>
          </cell>
          <cell r="Z778">
            <v>0</v>
          </cell>
          <cell r="AA778">
            <v>11</v>
          </cell>
          <cell r="AB778">
            <v>0</v>
          </cell>
          <cell r="AC778">
            <v>11</v>
          </cell>
          <cell r="AD778">
            <v>106</v>
          </cell>
          <cell r="AE778">
            <v>55</v>
          </cell>
          <cell r="AF778">
            <v>0</v>
          </cell>
          <cell r="AG778">
            <v>11</v>
          </cell>
          <cell r="AH778">
            <v>0</v>
          </cell>
          <cell r="AI778">
            <v>11</v>
          </cell>
          <cell r="AJ778">
            <v>0</v>
          </cell>
          <cell r="AK778">
            <v>11</v>
          </cell>
          <cell r="AL778">
            <v>0</v>
          </cell>
          <cell r="AM778">
            <v>11</v>
          </cell>
          <cell r="AN778">
            <v>18</v>
          </cell>
          <cell r="AO778">
            <v>20</v>
          </cell>
          <cell r="AP778">
            <v>30</v>
          </cell>
          <cell r="AQ778">
            <v>27</v>
          </cell>
          <cell r="AR778">
            <v>98</v>
          </cell>
          <cell r="AS778">
            <v>65</v>
          </cell>
        </row>
        <row r="779">
          <cell r="B779">
            <v>17031804105</v>
          </cell>
          <cell r="D779">
            <v>2224</v>
          </cell>
          <cell r="E779">
            <v>194</v>
          </cell>
          <cell r="F779">
            <v>1972</v>
          </cell>
          <cell r="G779">
            <v>223</v>
          </cell>
          <cell r="H779">
            <v>1845</v>
          </cell>
          <cell r="I779">
            <v>221</v>
          </cell>
          <cell r="J779">
            <v>127</v>
          </cell>
          <cell r="K779">
            <v>58</v>
          </cell>
          <cell r="L779">
            <v>105</v>
          </cell>
          <cell r="M779">
            <v>53</v>
          </cell>
          <cell r="N779">
            <v>11</v>
          </cell>
          <cell r="O779">
            <v>18</v>
          </cell>
          <cell r="P779">
            <v>11</v>
          </cell>
          <cell r="Q779">
            <v>18</v>
          </cell>
          <cell r="R779">
            <v>0</v>
          </cell>
          <cell r="S779">
            <v>11</v>
          </cell>
          <cell r="T779">
            <v>0</v>
          </cell>
          <cell r="U779">
            <v>11</v>
          </cell>
          <cell r="V779">
            <v>104</v>
          </cell>
          <cell r="W779">
            <v>54</v>
          </cell>
          <cell r="X779">
            <v>0</v>
          </cell>
          <cell r="Y779">
            <v>11</v>
          </cell>
          <cell r="Z779">
            <v>0</v>
          </cell>
          <cell r="AA779">
            <v>11</v>
          </cell>
          <cell r="AB779">
            <v>0</v>
          </cell>
          <cell r="AC779">
            <v>11</v>
          </cell>
          <cell r="AD779">
            <v>104</v>
          </cell>
          <cell r="AE779">
            <v>54</v>
          </cell>
          <cell r="AF779">
            <v>0</v>
          </cell>
          <cell r="AG779">
            <v>11</v>
          </cell>
          <cell r="AH779">
            <v>0</v>
          </cell>
          <cell r="AI779">
            <v>11</v>
          </cell>
          <cell r="AJ779">
            <v>0</v>
          </cell>
          <cell r="AK779">
            <v>11</v>
          </cell>
          <cell r="AL779">
            <v>0</v>
          </cell>
          <cell r="AM779">
            <v>11</v>
          </cell>
          <cell r="AN779">
            <v>16</v>
          </cell>
          <cell r="AO779">
            <v>19</v>
          </cell>
          <cell r="AP779">
            <v>7</v>
          </cell>
          <cell r="AQ779">
            <v>13</v>
          </cell>
          <cell r="AR779">
            <v>125</v>
          </cell>
          <cell r="AS779">
            <v>57</v>
          </cell>
        </row>
        <row r="780">
          <cell r="B780">
            <v>17031804106</v>
          </cell>
          <cell r="D780">
            <v>3877</v>
          </cell>
          <cell r="E780">
            <v>320</v>
          </cell>
          <cell r="F780">
            <v>3474</v>
          </cell>
          <cell r="G780">
            <v>324</v>
          </cell>
          <cell r="H780">
            <v>2929</v>
          </cell>
          <cell r="I780">
            <v>278</v>
          </cell>
          <cell r="J780">
            <v>545</v>
          </cell>
          <cell r="K780">
            <v>289</v>
          </cell>
          <cell r="L780">
            <v>439</v>
          </cell>
          <cell r="M780">
            <v>261</v>
          </cell>
          <cell r="N780">
            <v>30</v>
          </cell>
          <cell r="O780">
            <v>49</v>
          </cell>
          <cell r="P780">
            <v>43</v>
          </cell>
          <cell r="Q780">
            <v>63</v>
          </cell>
          <cell r="R780">
            <v>0</v>
          </cell>
          <cell r="S780">
            <v>15</v>
          </cell>
          <cell r="T780">
            <v>33</v>
          </cell>
          <cell r="U780">
            <v>41</v>
          </cell>
          <cell r="V780">
            <v>140</v>
          </cell>
          <cell r="W780">
            <v>78</v>
          </cell>
          <cell r="X780">
            <v>0</v>
          </cell>
          <cell r="Y780">
            <v>15</v>
          </cell>
          <cell r="Z780">
            <v>0</v>
          </cell>
          <cell r="AA780">
            <v>15</v>
          </cell>
          <cell r="AB780">
            <v>25</v>
          </cell>
          <cell r="AC780">
            <v>36</v>
          </cell>
          <cell r="AD780">
            <v>115</v>
          </cell>
          <cell r="AE780">
            <v>69</v>
          </cell>
          <cell r="AF780">
            <v>0</v>
          </cell>
          <cell r="AG780">
            <v>15</v>
          </cell>
          <cell r="AH780">
            <v>0</v>
          </cell>
          <cell r="AI780">
            <v>15</v>
          </cell>
          <cell r="AJ780">
            <v>0</v>
          </cell>
          <cell r="AK780">
            <v>15</v>
          </cell>
          <cell r="AL780">
            <v>0</v>
          </cell>
          <cell r="AM780">
            <v>15</v>
          </cell>
          <cell r="AN780">
            <v>15</v>
          </cell>
          <cell r="AO780">
            <v>25</v>
          </cell>
          <cell r="AP780">
            <v>0</v>
          </cell>
          <cell r="AQ780">
            <v>15</v>
          </cell>
          <cell r="AR780">
            <v>248</v>
          </cell>
          <cell r="AS780">
            <v>131</v>
          </cell>
        </row>
        <row r="781">
          <cell r="B781">
            <v>17031804108</v>
          </cell>
          <cell r="D781">
            <v>2628</v>
          </cell>
          <cell r="E781">
            <v>241</v>
          </cell>
          <cell r="F781">
            <v>2171</v>
          </cell>
          <cell r="G781">
            <v>243</v>
          </cell>
          <cell r="H781">
            <v>1946</v>
          </cell>
          <cell r="I781">
            <v>238</v>
          </cell>
          <cell r="J781">
            <v>225</v>
          </cell>
          <cell r="K781">
            <v>98</v>
          </cell>
          <cell r="L781">
            <v>176</v>
          </cell>
          <cell r="M781">
            <v>89</v>
          </cell>
          <cell r="N781">
            <v>10</v>
          </cell>
          <cell r="O781">
            <v>15</v>
          </cell>
          <cell r="P781">
            <v>0</v>
          </cell>
          <cell r="Q781">
            <v>11</v>
          </cell>
          <cell r="R781">
            <v>21</v>
          </cell>
          <cell r="S781">
            <v>25</v>
          </cell>
          <cell r="T781">
            <v>18</v>
          </cell>
          <cell r="U781">
            <v>20</v>
          </cell>
          <cell r="V781">
            <v>251</v>
          </cell>
          <cell r="W781">
            <v>112</v>
          </cell>
          <cell r="X781">
            <v>74</v>
          </cell>
          <cell r="Y781">
            <v>55</v>
          </cell>
          <cell r="Z781">
            <v>0</v>
          </cell>
          <cell r="AA781">
            <v>11</v>
          </cell>
          <cell r="AB781">
            <v>0</v>
          </cell>
          <cell r="AC781">
            <v>11</v>
          </cell>
          <cell r="AD781">
            <v>177</v>
          </cell>
          <cell r="AE781">
            <v>104</v>
          </cell>
          <cell r="AF781">
            <v>0</v>
          </cell>
          <cell r="AG781">
            <v>11</v>
          </cell>
          <cell r="AH781">
            <v>10</v>
          </cell>
          <cell r="AI781">
            <v>17</v>
          </cell>
          <cell r="AJ781">
            <v>21</v>
          </cell>
          <cell r="AK781">
            <v>33</v>
          </cell>
          <cell r="AL781">
            <v>32</v>
          </cell>
          <cell r="AM781">
            <v>50</v>
          </cell>
          <cell r="AN781">
            <v>49</v>
          </cell>
          <cell r="AO781">
            <v>34</v>
          </cell>
          <cell r="AP781">
            <v>8</v>
          </cell>
          <cell r="AQ781">
            <v>14</v>
          </cell>
          <cell r="AR781">
            <v>86</v>
          </cell>
          <cell r="AS781">
            <v>52</v>
          </cell>
        </row>
        <row r="782">
          <cell r="B782">
            <v>17031804109</v>
          </cell>
          <cell r="D782">
            <v>1250</v>
          </cell>
          <cell r="E782">
            <v>157</v>
          </cell>
          <cell r="F782">
            <v>1064</v>
          </cell>
          <cell r="G782">
            <v>148</v>
          </cell>
          <cell r="H782">
            <v>969</v>
          </cell>
          <cell r="I782">
            <v>162</v>
          </cell>
          <cell r="J782">
            <v>95</v>
          </cell>
          <cell r="K782">
            <v>67</v>
          </cell>
          <cell r="L782">
            <v>86</v>
          </cell>
          <cell r="M782">
            <v>65</v>
          </cell>
          <cell r="N782">
            <v>9</v>
          </cell>
          <cell r="O782">
            <v>14</v>
          </cell>
          <cell r="P782">
            <v>0</v>
          </cell>
          <cell r="Q782">
            <v>11</v>
          </cell>
          <cell r="R782">
            <v>0</v>
          </cell>
          <cell r="S782">
            <v>11</v>
          </cell>
          <cell r="T782">
            <v>0</v>
          </cell>
          <cell r="U782">
            <v>11</v>
          </cell>
          <cell r="V782">
            <v>20</v>
          </cell>
          <cell r="W782">
            <v>18</v>
          </cell>
          <cell r="X782">
            <v>0</v>
          </cell>
          <cell r="Y782">
            <v>11</v>
          </cell>
          <cell r="Z782">
            <v>0</v>
          </cell>
          <cell r="AA782">
            <v>11</v>
          </cell>
          <cell r="AB782">
            <v>0</v>
          </cell>
          <cell r="AC782">
            <v>11</v>
          </cell>
          <cell r="AD782">
            <v>20</v>
          </cell>
          <cell r="AE782">
            <v>18</v>
          </cell>
          <cell r="AF782">
            <v>0</v>
          </cell>
          <cell r="AG782">
            <v>11</v>
          </cell>
          <cell r="AH782">
            <v>0</v>
          </cell>
          <cell r="AI782">
            <v>11</v>
          </cell>
          <cell r="AJ782">
            <v>0</v>
          </cell>
          <cell r="AK782">
            <v>11</v>
          </cell>
          <cell r="AL782">
            <v>7</v>
          </cell>
          <cell r="AM782">
            <v>12</v>
          </cell>
          <cell r="AN782">
            <v>26</v>
          </cell>
          <cell r="AO782">
            <v>28</v>
          </cell>
          <cell r="AP782">
            <v>10</v>
          </cell>
          <cell r="AQ782">
            <v>15</v>
          </cell>
          <cell r="AR782">
            <v>123</v>
          </cell>
          <cell r="AS782">
            <v>51</v>
          </cell>
        </row>
        <row r="783">
          <cell r="B783">
            <v>17031804201</v>
          </cell>
          <cell r="D783">
            <v>3694</v>
          </cell>
          <cell r="E783">
            <v>342</v>
          </cell>
          <cell r="F783">
            <v>3057</v>
          </cell>
          <cell r="G783">
            <v>330</v>
          </cell>
          <cell r="H783">
            <v>2775</v>
          </cell>
          <cell r="I783">
            <v>323</v>
          </cell>
          <cell r="J783">
            <v>282</v>
          </cell>
          <cell r="K783">
            <v>142</v>
          </cell>
          <cell r="L783">
            <v>221</v>
          </cell>
          <cell r="M783">
            <v>129</v>
          </cell>
          <cell r="N783">
            <v>31</v>
          </cell>
          <cell r="O783">
            <v>36</v>
          </cell>
          <cell r="P783">
            <v>0</v>
          </cell>
          <cell r="Q783">
            <v>15</v>
          </cell>
          <cell r="R783">
            <v>0</v>
          </cell>
          <cell r="S783">
            <v>15</v>
          </cell>
          <cell r="T783">
            <v>30</v>
          </cell>
          <cell r="U783">
            <v>45</v>
          </cell>
          <cell r="V783">
            <v>153</v>
          </cell>
          <cell r="W783">
            <v>93</v>
          </cell>
          <cell r="X783">
            <v>16</v>
          </cell>
          <cell r="Y783">
            <v>27</v>
          </cell>
          <cell r="Z783">
            <v>0</v>
          </cell>
          <cell r="AA783">
            <v>15</v>
          </cell>
          <cell r="AB783">
            <v>0</v>
          </cell>
          <cell r="AC783">
            <v>15</v>
          </cell>
          <cell r="AD783">
            <v>137</v>
          </cell>
          <cell r="AE783">
            <v>93</v>
          </cell>
          <cell r="AF783">
            <v>0</v>
          </cell>
          <cell r="AG783">
            <v>15</v>
          </cell>
          <cell r="AH783">
            <v>0</v>
          </cell>
          <cell r="AI783">
            <v>15</v>
          </cell>
          <cell r="AJ783">
            <v>0</v>
          </cell>
          <cell r="AK783">
            <v>15</v>
          </cell>
          <cell r="AL783">
            <v>0</v>
          </cell>
          <cell r="AM783">
            <v>15</v>
          </cell>
          <cell r="AN783">
            <v>29</v>
          </cell>
          <cell r="AO783">
            <v>33</v>
          </cell>
          <cell r="AP783">
            <v>17</v>
          </cell>
          <cell r="AQ783">
            <v>27</v>
          </cell>
          <cell r="AR783">
            <v>438</v>
          </cell>
          <cell r="AS783">
            <v>180</v>
          </cell>
        </row>
        <row r="784">
          <cell r="B784">
            <v>17031804202</v>
          </cell>
          <cell r="D784">
            <v>3974</v>
          </cell>
          <cell r="E784">
            <v>320</v>
          </cell>
          <cell r="F784">
            <v>3347</v>
          </cell>
          <cell r="G784">
            <v>331</v>
          </cell>
          <cell r="H784">
            <v>3193</v>
          </cell>
          <cell r="I784">
            <v>332</v>
          </cell>
          <cell r="J784">
            <v>154</v>
          </cell>
          <cell r="K784">
            <v>114</v>
          </cell>
          <cell r="L784">
            <v>154</v>
          </cell>
          <cell r="M784">
            <v>114</v>
          </cell>
          <cell r="N784">
            <v>0</v>
          </cell>
          <cell r="O784">
            <v>15</v>
          </cell>
          <cell r="P784">
            <v>0</v>
          </cell>
          <cell r="Q784">
            <v>15</v>
          </cell>
          <cell r="R784">
            <v>0</v>
          </cell>
          <cell r="S784">
            <v>15</v>
          </cell>
          <cell r="T784">
            <v>0</v>
          </cell>
          <cell r="U784">
            <v>15</v>
          </cell>
          <cell r="V784">
            <v>176</v>
          </cell>
          <cell r="W784">
            <v>81</v>
          </cell>
          <cell r="X784">
            <v>0</v>
          </cell>
          <cell r="Y784">
            <v>15</v>
          </cell>
          <cell r="Z784">
            <v>0</v>
          </cell>
          <cell r="AA784">
            <v>15</v>
          </cell>
          <cell r="AB784">
            <v>11</v>
          </cell>
          <cell r="AC784">
            <v>18</v>
          </cell>
          <cell r="AD784">
            <v>165</v>
          </cell>
          <cell r="AE784">
            <v>79</v>
          </cell>
          <cell r="AF784">
            <v>0</v>
          </cell>
          <cell r="AG784">
            <v>15</v>
          </cell>
          <cell r="AH784">
            <v>0</v>
          </cell>
          <cell r="AI784">
            <v>15</v>
          </cell>
          <cell r="AJ784">
            <v>0</v>
          </cell>
          <cell r="AK784">
            <v>15</v>
          </cell>
          <cell r="AL784">
            <v>0</v>
          </cell>
          <cell r="AM784">
            <v>15</v>
          </cell>
          <cell r="AN784">
            <v>55</v>
          </cell>
          <cell r="AO784">
            <v>44</v>
          </cell>
          <cell r="AP784">
            <v>0</v>
          </cell>
          <cell r="AQ784">
            <v>15</v>
          </cell>
          <cell r="AR784">
            <v>396</v>
          </cell>
          <cell r="AS784">
            <v>137</v>
          </cell>
        </row>
        <row r="785">
          <cell r="B785">
            <v>17031804305</v>
          </cell>
          <cell r="D785">
            <v>4316</v>
          </cell>
          <cell r="E785">
            <v>391</v>
          </cell>
          <cell r="F785">
            <v>4139</v>
          </cell>
          <cell r="G785">
            <v>413</v>
          </cell>
          <cell r="H785">
            <v>3672</v>
          </cell>
          <cell r="I785">
            <v>435</v>
          </cell>
          <cell r="J785">
            <v>467</v>
          </cell>
          <cell r="K785">
            <v>250</v>
          </cell>
          <cell r="L785">
            <v>335</v>
          </cell>
          <cell r="M785">
            <v>169</v>
          </cell>
          <cell r="N785">
            <v>0</v>
          </cell>
          <cell r="O785">
            <v>15</v>
          </cell>
          <cell r="P785">
            <v>62</v>
          </cell>
          <cell r="Q785">
            <v>101</v>
          </cell>
          <cell r="R785">
            <v>70</v>
          </cell>
          <cell r="S785">
            <v>117</v>
          </cell>
          <cell r="T785">
            <v>0</v>
          </cell>
          <cell r="U785">
            <v>15</v>
          </cell>
          <cell r="V785">
            <v>63</v>
          </cell>
          <cell r="W785">
            <v>53</v>
          </cell>
          <cell r="X785">
            <v>0</v>
          </cell>
          <cell r="Y785">
            <v>15</v>
          </cell>
          <cell r="Z785">
            <v>0</v>
          </cell>
          <cell r="AA785">
            <v>15</v>
          </cell>
          <cell r="AB785">
            <v>0</v>
          </cell>
          <cell r="AC785">
            <v>15</v>
          </cell>
          <cell r="AD785">
            <v>63</v>
          </cell>
          <cell r="AE785">
            <v>53</v>
          </cell>
          <cell r="AF785">
            <v>0</v>
          </cell>
          <cell r="AG785">
            <v>15</v>
          </cell>
          <cell r="AH785">
            <v>0</v>
          </cell>
          <cell r="AI785">
            <v>15</v>
          </cell>
          <cell r="AJ785">
            <v>0</v>
          </cell>
          <cell r="AK785">
            <v>15</v>
          </cell>
          <cell r="AL785">
            <v>0</v>
          </cell>
          <cell r="AM785">
            <v>15</v>
          </cell>
          <cell r="AN785">
            <v>10</v>
          </cell>
          <cell r="AO785">
            <v>15</v>
          </cell>
          <cell r="AP785">
            <v>12</v>
          </cell>
          <cell r="AQ785">
            <v>20</v>
          </cell>
          <cell r="AR785">
            <v>92</v>
          </cell>
          <cell r="AS785">
            <v>76</v>
          </cell>
        </row>
        <row r="786">
          <cell r="B786">
            <v>17031804306</v>
          </cell>
          <cell r="D786">
            <v>2588</v>
          </cell>
          <cell r="E786">
            <v>241</v>
          </cell>
          <cell r="F786">
            <v>2490</v>
          </cell>
          <cell r="G786">
            <v>233</v>
          </cell>
          <cell r="H786">
            <v>2186</v>
          </cell>
          <cell r="I786">
            <v>239</v>
          </cell>
          <cell r="J786">
            <v>304</v>
          </cell>
          <cell r="K786">
            <v>117</v>
          </cell>
          <cell r="L786">
            <v>238</v>
          </cell>
          <cell r="M786">
            <v>98</v>
          </cell>
          <cell r="N786">
            <v>45</v>
          </cell>
          <cell r="O786">
            <v>51</v>
          </cell>
          <cell r="P786">
            <v>21</v>
          </cell>
          <cell r="Q786">
            <v>31</v>
          </cell>
          <cell r="R786">
            <v>0</v>
          </cell>
          <cell r="S786">
            <v>15</v>
          </cell>
          <cell r="T786">
            <v>0</v>
          </cell>
          <cell r="U786">
            <v>15</v>
          </cell>
          <cell r="V786">
            <v>47</v>
          </cell>
          <cell r="W786">
            <v>36</v>
          </cell>
          <cell r="X786">
            <v>0</v>
          </cell>
          <cell r="Y786">
            <v>15</v>
          </cell>
          <cell r="Z786">
            <v>0</v>
          </cell>
          <cell r="AA786">
            <v>15</v>
          </cell>
          <cell r="AB786">
            <v>0</v>
          </cell>
          <cell r="AC786">
            <v>15</v>
          </cell>
          <cell r="AD786">
            <v>47</v>
          </cell>
          <cell r="AE786">
            <v>36</v>
          </cell>
          <cell r="AF786">
            <v>0</v>
          </cell>
          <cell r="AG786">
            <v>15</v>
          </cell>
          <cell r="AH786">
            <v>0</v>
          </cell>
          <cell r="AI786">
            <v>15</v>
          </cell>
          <cell r="AJ786">
            <v>0</v>
          </cell>
          <cell r="AK786">
            <v>15</v>
          </cell>
          <cell r="AL786">
            <v>0</v>
          </cell>
          <cell r="AM786">
            <v>15</v>
          </cell>
          <cell r="AN786">
            <v>9</v>
          </cell>
          <cell r="AO786">
            <v>14</v>
          </cell>
          <cell r="AP786">
            <v>0</v>
          </cell>
          <cell r="AQ786">
            <v>15</v>
          </cell>
          <cell r="AR786">
            <v>42</v>
          </cell>
          <cell r="AS786">
            <v>42</v>
          </cell>
        </row>
        <row r="787">
          <cell r="B787">
            <v>17031804308</v>
          </cell>
          <cell r="D787">
            <v>3167</v>
          </cell>
          <cell r="E787">
            <v>442</v>
          </cell>
          <cell r="F787">
            <v>2920</v>
          </cell>
          <cell r="G787">
            <v>451</v>
          </cell>
          <cell r="H787">
            <v>2612</v>
          </cell>
          <cell r="I787">
            <v>458</v>
          </cell>
          <cell r="J787">
            <v>308</v>
          </cell>
          <cell r="K787">
            <v>116</v>
          </cell>
          <cell r="L787">
            <v>308</v>
          </cell>
          <cell r="M787">
            <v>116</v>
          </cell>
          <cell r="N787">
            <v>0</v>
          </cell>
          <cell r="O787">
            <v>15</v>
          </cell>
          <cell r="P787">
            <v>0</v>
          </cell>
          <cell r="Q787">
            <v>15</v>
          </cell>
          <cell r="R787">
            <v>0</v>
          </cell>
          <cell r="S787">
            <v>15</v>
          </cell>
          <cell r="T787">
            <v>0</v>
          </cell>
          <cell r="U787">
            <v>15</v>
          </cell>
          <cell r="V787">
            <v>111</v>
          </cell>
          <cell r="W787">
            <v>75</v>
          </cell>
          <cell r="X787">
            <v>0</v>
          </cell>
          <cell r="Y787">
            <v>15</v>
          </cell>
          <cell r="Z787">
            <v>5</v>
          </cell>
          <cell r="AA787">
            <v>11</v>
          </cell>
          <cell r="AB787">
            <v>12</v>
          </cell>
          <cell r="AC787">
            <v>20</v>
          </cell>
          <cell r="AD787">
            <v>94</v>
          </cell>
          <cell r="AE787">
            <v>72</v>
          </cell>
          <cell r="AF787">
            <v>0</v>
          </cell>
          <cell r="AG787">
            <v>15</v>
          </cell>
          <cell r="AH787">
            <v>9</v>
          </cell>
          <cell r="AI787">
            <v>15</v>
          </cell>
          <cell r="AJ787">
            <v>0</v>
          </cell>
          <cell r="AK787">
            <v>15</v>
          </cell>
          <cell r="AL787">
            <v>0</v>
          </cell>
          <cell r="AM787">
            <v>15</v>
          </cell>
          <cell r="AN787">
            <v>8</v>
          </cell>
          <cell r="AO787">
            <v>15</v>
          </cell>
          <cell r="AP787">
            <v>21</v>
          </cell>
          <cell r="AQ787">
            <v>25</v>
          </cell>
          <cell r="AR787">
            <v>98</v>
          </cell>
          <cell r="AS787">
            <v>112</v>
          </cell>
        </row>
        <row r="788">
          <cell r="B788">
            <v>17031804309</v>
          </cell>
          <cell r="D788">
            <v>1472</v>
          </cell>
          <cell r="E788">
            <v>152</v>
          </cell>
          <cell r="F788">
            <v>1322</v>
          </cell>
          <cell r="G788">
            <v>166</v>
          </cell>
          <cell r="H788">
            <v>1140</v>
          </cell>
          <cell r="I788">
            <v>165</v>
          </cell>
          <cell r="J788">
            <v>182</v>
          </cell>
          <cell r="K788">
            <v>60</v>
          </cell>
          <cell r="L788">
            <v>141</v>
          </cell>
          <cell r="M788">
            <v>51</v>
          </cell>
          <cell r="N788">
            <v>21</v>
          </cell>
          <cell r="O788">
            <v>17</v>
          </cell>
          <cell r="P788">
            <v>10</v>
          </cell>
          <cell r="Q788">
            <v>15</v>
          </cell>
          <cell r="R788">
            <v>10</v>
          </cell>
          <cell r="S788">
            <v>16</v>
          </cell>
          <cell r="T788">
            <v>0</v>
          </cell>
          <cell r="U788">
            <v>11</v>
          </cell>
          <cell r="V788">
            <v>26</v>
          </cell>
          <cell r="W788">
            <v>33</v>
          </cell>
          <cell r="X788">
            <v>21</v>
          </cell>
          <cell r="Y788">
            <v>31</v>
          </cell>
          <cell r="Z788">
            <v>0</v>
          </cell>
          <cell r="AA788">
            <v>11</v>
          </cell>
          <cell r="AB788">
            <v>0</v>
          </cell>
          <cell r="AC788">
            <v>11</v>
          </cell>
          <cell r="AD788">
            <v>5</v>
          </cell>
          <cell r="AE788">
            <v>8</v>
          </cell>
          <cell r="AF788">
            <v>0</v>
          </cell>
          <cell r="AG788">
            <v>11</v>
          </cell>
          <cell r="AH788">
            <v>7</v>
          </cell>
          <cell r="AI788">
            <v>11</v>
          </cell>
          <cell r="AJ788">
            <v>0</v>
          </cell>
          <cell r="AK788">
            <v>11</v>
          </cell>
          <cell r="AL788">
            <v>13</v>
          </cell>
          <cell r="AM788">
            <v>14</v>
          </cell>
          <cell r="AN788">
            <v>61</v>
          </cell>
          <cell r="AO788">
            <v>45</v>
          </cell>
          <cell r="AP788">
            <v>7</v>
          </cell>
          <cell r="AQ788">
            <v>10</v>
          </cell>
          <cell r="AR788">
            <v>36</v>
          </cell>
          <cell r="AS788">
            <v>31</v>
          </cell>
        </row>
        <row r="789">
          <cell r="B789">
            <v>17031804310</v>
          </cell>
          <cell r="D789">
            <v>4752</v>
          </cell>
          <cell r="E789">
            <v>357</v>
          </cell>
          <cell r="F789">
            <v>4277</v>
          </cell>
          <cell r="G789">
            <v>403</v>
          </cell>
          <cell r="H789">
            <v>3849</v>
          </cell>
          <cell r="I789">
            <v>352</v>
          </cell>
          <cell r="J789">
            <v>428</v>
          </cell>
          <cell r="K789">
            <v>217</v>
          </cell>
          <cell r="L789">
            <v>282</v>
          </cell>
          <cell r="M789">
            <v>149</v>
          </cell>
          <cell r="N789">
            <v>71</v>
          </cell>
          <cell r="O789">
            <v>85</v>
          </cell>
          <cell r="P789">
            <v>75</v>
          </cell>
          <cell r="Q789">
            <v>104</v>
          </cell>
          <cell r="R789">
            <v>0</v>
          </cell>
          <cell r="S789">
            <v>15</v>
          </cell>
          <cell r="T789">
            <v>0</v>
          </cell>
          <cell r="U789">
            <v>15</v>
          </cell>
          <cell r="V789">
            <v>172</v>
          </cell>
          <cell r="W789">
            <v>96</v>
          </cell>
          <cell r="X789">
            <v>0</v>
          </cell>
          <cell r="Y789">
            <v>15</v>
          </cell>
          <cell r="Z789">
            <v>0</v>
          </cell>
          <cell r="AA789">
            <v>15</v>
          </cell>
          <cell r="AB789">
            <v>75</v>
          </cell>
          <cell r="AC789">
            <v>91</v>
          </cell>
          <cell r="AD789">
            <v>97</v>
          </cell>
          <cell r="AE789">
            <v>81</v>
          </cell>
          <cell r="AF789">
            <v>0</v>
          </cell>
          <cell r="AG789">
            <v>15</v>
          </cell>
          <cell r="AH789">
            <v>0</v>
          </cell>
          <cell r="AI789">
            <v>15</v>
          </cell>
          <cell r="AJ789">
            <v>0</v>
          </cell>
          <cell r="AK789">
            <v>15</v>
          </cell>
          <cell r="AL789">
            <v>32</v>
          </cell>
          <cell r="AM789">
            <v>38</v>
          </cell>
          <cell r="AN789">
            <v>43</v>
          </cell>
          <cell r="AO789">
            <v>62</v>
          </cell>
          <cell r="AP789">
            <v>16</v>
          </cell>
          <cell r="AQ789">
            <v>27</v>
          </cell>
          <cell r="AR789">
            <v>212</v>
          </cell>
          <cell r="AS789">
            <v>95</v>
          </cell>
        </row>
        <row r="790">
          <cell r="B790">
            <v>17031804311</v>
          </cell>
          <cell r="D790">
            <v>4005</v>
          </cell>
          <cell r="E790">
            <v>472</v>
          </cell>
          <cell r="F790">
            <v>3736</v>
          </cell>
          <cell r="G790">
            <v>492</v>
          </cell>
          <cell r="H790">
            <v>3485</v>
          </cell>
          <cell r="I790">
            <v>499</v>
          </cell>
          <cell r="J790">
            <v>251</v>
          </cell>
          <cell r="K790">
            <v>152</v>
          </cell>
          <cell r="L790">
            <v>219</v>
          </cell>
          <cell r="M790">
            <v>147</v>
          </cell>
          <cell r="N790">
            <v>0</v>
          </cell>
          <cell r="O790">
            <v>15</v>
          </cell>
          <cell r="P790">
            <v>32</v>
          </cell>
          <cell r="Q790">
            <v>36</v>
          </cell>
          <cell r="R790">
            <v>0</v>
          </cell>
          <cell r="S790">
            <v>15</v>
          </cell>
          <cell r="T790">
            <v>0</v>
          </cell>
          <cell r="U790">
            <v>15</v>
          </cell>
          <cell r="V790">
            <v>143</v>
          </cell>
          <cell r="W790">
            <v>85</v>
          </cell>
          <cell r="X790">
            <v>38</v>
          </cell>
          <cell r="Y790">
            <v>45</v>
          </cell>
          <cell r="Z790">
            <v>0</v>
          </cell>
          <cell r="AA790">
            <v>15</v>
          </cell>
          <cell r="AB790">
            <v>23</v>
          </cell>
          <cell r="AC790">
            <v>28</v>
          </cell>
          <cell r="AD790">
            <v>65</v>
          </cell>
          <cell r="AE790">
            <v>56</v>
          </cell>
          <cell r="AF790">
            <v>17</v>
          </cell>
          <cell r="AG790">
            <v>30</v>
          </cell>
          <cell r="AH790">
            <v>0</v>
          </cell>
          <cell r="AI790">
            <v>15</v>
          </cell>
          <cell r="AJ790">
            <v>0</v>
          </cell>
          <cell r="AK790">
            <v>15</v>
          </cell>
          <cell r="AL790">
            <v>0</v>
          </cell>
          <cell r="AM790">
            <v>15</v>
          </cell>
          <cell r="AN790">
            <v>0</v>
          </cell>
          <cell r="AO790">
            <v>15</v>
          </cell>
          <cell r="AP790">
            <v>27</v>
          </cell>
          <cell r="AQ790">
            <v>31</v>
          </cell>
          <cell r="AR790">
            <v>99</v>
          </cell>
          <cell r="AS790">
            <v>60</v>
          </cell>
        </row>
        <row r="791">
          <cell r="B791">
            <v>17031804403</v>
          </cell>
          <cell r="D791">
            <v>3366</v>
          </cell>
          <cell r="E791">
            <v>331</v>
          </cell>
          <cell r="F791">
            <v>3052</v>
          </cell>
          <cell r="G791">
            <v>359</v>
          </cell>
          <cell r="H791">
            <v>2849</v>
          </cell>
          <cell r="I791">
            <v>339</v>
          </cell>
          <cell r="J791">
            <v>203</v>
          </cell>
          <cell r="K791">
            <v>140</v>
          </cell>
          <cell r="L791">
            <v>171</v>
          </cell>
          <cell r="M791">
            <v>130</v>
          </cell>
          <cell r="N791">
            <v>32</v>
          </cell>
          <cell r="O791">
            <v>39</v>
          </cell>
          <cell r="P791">
            <v>0</v>
          </cell>
          <cell r="Q791">
            <v>15</v>
          </cell>
          <cell r="R791">
            <v>0</v>
          </cell>
          <cell r="S791">
            <v>15</v>
          </cell>
          <cell r="T791">
            <v>0</v>
          </cell>
          <cell r="U791">
            <v>15</v>
          </cell>
          <cell r="V791">
            <v>80</v>
          </cell>
          <cell r="W791">
            <v>54</v>
          </cell>
          <cell r="X791">
            <v>0</v>
          </cell>
          <cell r="Y791">
            <v>15</v>
          </cell>
          <cell r="Z791">
            <v>0</v>
          </cell>
          <cell r="AA791">
            <v>15</v>
          </cell>
          <cell r="AB791">
            <v>0</v>
          </cell>
          <cell r="AC791">
            <v>15</v>
          </cell>
          <cell r="AD791">
            <v>80</v>
          </cell>
          <cell r="AE791">
            <v>54</v>
          </cell>
          <cell r="AF791">
            <v>0</v>
          </cell>
          <cell r="AG791">
            <v>15</v>
          </cell>
          <cell r="AH791">
            <v>0</v>
          </cell>
          <cell r="AI791">
            <v>15</v>
          </cell>
          <cell r="AJ791">
            <v>0</v>
          </cell>
          <cell r="AK791">
            <v>15</v>
          </cell>
          <cell r="AL791">
            <v>0</v>
          </cell>
          <cell r="AM791">
            <v>15</v>
          </cell>
          <cell r="AN791">
            <v>45</v>
          </cell>
          <cell r="AO791">
            <v>53</v>
          </cell>
          <cell r="AP791">
            <v>17</v>
          </cell>
          <cell r="AQ791">
            <v>28</v>
          </cell>
          <cell r="AR791">
            <v>172</v>
          </cell>
          <cell r="AS791">
            <v>94</v>
          </cell>
        </row>
        <row r="792">
          <cell r="B792">
            <v>17031804404</v>
          </cell>
          <cell r="D792">
            <v>2463</v>
          </cell>
          <cell r="E792">
            <v>280</v>
          </cell>
          <cell r="F792">
            <v>2341</v>
          </cell>
          <cell r="G792">
            <v>293</v>
          </cell>
          <cell r="H792">
            <v>1987</v>
          </cell>
          <cell r="I792">
            <v>266</v>
          </cell>
          <cell r="J792">
            <v>354</v>
          </cell>
          <cell r="K792">
            <v>150</v>
          </cell>
          <cell r="L792">
            <v>241</v>
          </cell>
          <cell r="M792">
            <v>121</v>
          </cell>
          <cell r="N792">
            <v>113</v>
          </cell>
          <cell r="O792">
            <v>98</v>
          </cell>
          <cell r="P792">
            <v>0</v>
          </cell>
          <cell r="Q792">
            <v>15</v>
          </cell>
          <cell r="R792">
            <v>0</v>
          </cell>
          <cell r="S792">
            <v>15</v>
          </cell>
          <cell r="T792">
            <v>0</v>
          </cell>
          <cell r="U792">
            <v>15</v>
          </cell>
          <cell r="V792">
            <v>36</v>
          </cell>
          <cell r="W792">
            <v>28</v>
          </cell>
          <cell r="X792">
            <v>0</v>
          </cell>
          <cell r="Y792">
            <v>15</v>
          </cell>
          <cell r="Z792">
            <v>0</v>
          </cell>
          <cell r="AA792">
            <v>15</v>
          </cell>
          <cell r="AB792">
            <v>0</v>
          </cell>
          <cell r="AC792">
            <v>15</v>
          </cell>
          <cell r="AD792">
            <v>36</v>
          </cell>
          <cell r="AE792">
            <v>28</v>
          </cell>
          <cell r="AF792">
            <v>0</v>
          </cell>
          <cell r="AG792">
            <v>15</v>
          </cell>
          <cell r="AH792">
            <v>0</v>
          </cell>
          <cell r="AI792">
            <v>15</v>
          </cell>
          <cell r="AJ792">
            <v>0</v>
          </cell>
          <cell r="AK792">
            <v>15</v>
          </cell>
          <cell r="AL792">
            <v>0</v>
          </cell>
          <cell r="AM792">
            <v>15</v>
          </cell>
          <cell r="AN792">
            <v>9</v>
          </cell>
          <cell r="AO792">
            <v>15</v>
          </cell>
          <cell r="AP792">
            <v>8</v>
          </cell>
          <cell r="AQ792">
            <v>13</v>
          </cell>
          <cell r="AR792">
            <v>69</v>
          </cell>
          <cell r="AS792">
            <v>37</v>
          </cell>
        </row>
        <row r="793">
          <cell r="B793">
            <v>17031804405</v>
          </cell>
          <cell r="D793">
            <v>1522</v>
          </cell>
          <cell r="E793">
            <v>225</v>
          </cell>
          <cell r="F793">
            <v>1460</v>
          </cell>
          <cell r="G793">
            <v>226</v>
          </cell>
          <cell r="H793">
            <v>1377</v>
          </cell>
          <cell r="I793">
            <v>232</v>
          </cell>
          <cell r="J793">
            <v>83</v>
          </cell>
          <cell r="K793">
            <v>50</v>
          </cell>
          <cell r="L793">
            <v>45</v>
          </cell>
          <cell r="M793">
            <v>33</v>
          </cell>
          <cell r="N793">
            <v>7</v>
          </cell>
          <cell r="O793">
            <v>12</v>
          </cell>
          <cell r="P793">
            <v>0</v>
          </cell>
          <cell r="Q793">
            <v>11</v>
          </cell>
          <cell r="R793">
            <v>23</v>
          </cell>
          <cell r="S793">
            <v>37</v>
          </cell>
          <cell r="T793">
            <v>8</v>
          </cell>
          <cell r="U793">
            <v>13</v>
          </cell>
          <cell r="V793">
            <v>42</v>
          </cell>
          <cell r="W793">
            <v>44</v>
          </cell>
          <cell r="X793">
            <v>26</v>
          </cell>
          <cell r="Y793">
            <v>41</v>
          </cell>
          <cell r="Z793">
            <v>0</v>
          </cell>
          <cell r="AA793">
            <v>11</v>
          </cell>
          <cell r="AB793">
            <v>0</v>
          </cell>
          <cell r="AC793">
            <v>11</v>
          </cell>
          <cell r="AD793">
            <v>16</v>
          </cell>
          <cell r="AE793">
            <v>19</v>
          </cell>
          <cell r="AF793">
            <v>0</v>
          </cell>
          <cell r="AG793">
            <v>11</v>
          </cell>
          <cell r="AH793">
            <v>0</v>
          </cell>
          <cell r="AI793">
            <v>11</v>
          </cell>
          <cell r="AJ793">
            <v>0</v>
          </cell>
          <cell r="AK793">
            <v>11</v>
          </cell>
          <cell r="AL793">
            <v>0</v>
          </cell>
          <cell r="AM793">
            <v>11</v>
          </cell>
          <cell r="AN793">
            <v>0</v>
          </cell>
          <cell r="AO793">
            <v>11</v>
          </cell>
          <cell r="AP793">
            <v>12</v>
          </cell>
          <cell r="AQ793">
            <v>18</v>
          </cell>
          <cell r="AR793">
            <v>8</v>
          </cell>
          <cell r="AS793">
            <v>13</v>
          </cell>
        </row>
        <row r="794">
          <cell r="B794">
            <v>17031804406</v>
          </cell>
          <cell r="D794">
            <v>3228</v>
          </cell>
          <cell r="E794">
            <v>315</v>
          </cell>
          <cell r="F794">
            <v>3023</v>
          </cell>
          <cell r="G794">
            <v>316</v>
          </cell>
          <cell r="H794">
            <v>2603</v>
          </cell>
          <cell r="I794">
            <v>272</v>
          </cell>
          <cell r="J794">
            <v>420</v>
          </cell>
          <cell r="K794">
            <v>125</v>
          </cell>
          <cell r="L794">
            <v>297</v>
          </cell>
          <cell r="M794">
            <v>127</v>
          </cell>
          <cell r="N794">
            <v>81</v>
          </cell>
          <cell r="O794">
            <v>85</v>
          </cell>
          <cell r="P794">
            <v>0</v>
          </cell>
          <cell r="Q794">
            <v>15</v>
          </cell>
          <cell r="R794">
            <v>42</v>
          </cell>
          <cell r="S794">
            <v>74</v>
          </cell>
          <cell r="T794">
            <v>0</v>
          </cell>
          <cell r="U794">
            <v>15</v>
          </cell>
          <cell r="V794">
            <v>62</v>
          </cell>
          <cell r="W794">
            <v>48</v>
          </cell>
          <cell r="X794">
            <v>10</v>
          </cell>
          <cell r="Y794">
            <v>20</v>
          </cell>
          <cell r="Z794">
            <v>0</v>
          </cell>
          <cell r="AA794">
            <v>15</v>
          </cell>
          <cell r="AB794">
            <v>0</v>
          </cell>
          <cell r="AC794">
            <v>15</v>
          </cell>
          <cell r="AD794">
            <v>52</v>
          </cell>
          <cell r="AE794">
            <v>43</v>
          </cell>
          <cell r="AF794">
            <v>0</v>
          </cell>
          <cell r="AG794">
            <v>15</v>
          </cell>
          <cell r="AH794">
            <v>0</v>
          </cell>
          <cell r="AI794">
            <v>15</v>
          </cell>
          <cell r="AJ794">
            <v>12</v>
          </cell>
          <cell r="AK794">
            <v>18</v>
          </cell>
          <cell r="AL794">
            <v>0</v>
          </cell>
          <cell r="AM794">
            <v>15</v>
          </cell>
          <cell r="AN794">
            <v>37</v>
          </cell>
          <cell r="AO794">
            <v>36</v>
          </cell>
          <cell r="AP794">
            <v>0</v>
          </cell>
          <cell r="AQ794">
            <v>15</v>
          </cell>
          <cell r="AR794">
            <v>94</v>
          </cell>
          <cell r="AS794">
            <v>55</v>
          </cell>
        </row>
        <row r="795">
          <cell r="B795">
            <v>17031804505</v>
          </cell>
          <cell r="D795">
            <v>1988</v>
          </cell>
          <cell r="E795">
            <v>249</v>
          </cell>
          <cell r="F795">
            <v>1745</v>
          </cell>
          <cell r="G795">
            <v>227</v>
          </cell>
          <cell r="H795">
            <v>1646</v>
          </cell>
          <cell r="I795">
            <v>221</v>
          </cell>
          <cell r="J795">
            <v>99</v>
          </cell>
          <cell r="K795">
            <v>57</v>
          </cell>
          <cell r="L795">
            <v>99</v>
          </cell>
          <cell r="M795">
            <v>57</v>
          </cell>
          <cell r="N795">
            <v>0</v>
          </cell>
          <cell r="O795">
            <v>11</v>
          </cell>
          <cell r="P795">
            <v>0</v>
          </cell>
          <cell r="Q795">
            <v>11</v>
          </cell>
          <cell r="R795">
            <v>0</v>
          </cell>
          <cell r="S795">
            <v>11</v>
          </cell>
          <cell r="T795">
            <v>0</v>
          </cell>
          <cell r="U795">
            <v>11</v>
          </cell>
          <cell r="V795">
            <v>116</v>
          </cell>
          <cell r="W795">
            <v>55</v>
          </cell>
          <cell r="X795">
            <v>0</v>
          </cell>
          <cell r="Y795">
            <v>11</v>
          </cell>
          <cell r="Z795">
            <v>0</v>
          </cell>
          <cell r="AA795">
            <v>11</v>
          </cell>
          <cell r="AB795">
            <v>29</v>
          </cell>
          <cell r="AC795">
            <v>27</v>
          </cell>
          <cell r="AD795">
            <v>87</v>
          </cell>
          <cell r="AE795">
            <v>47</v>
          </cell>
          <cell r="AF795">
            <v>0</v>
          </cell>
          <cell r="AG795">
            <v>11</v>
          </cell>
          <cell r="AH795">
            <v>0</v>
          </cell>
          <cell r="AI795">
            <v>11</v>
          </cell>
          <cell r="AJ795">
            <v>10</v>
          </cell>
          <cell r="AK795">
            <v>18</v>
          </cell>
          <cell r="AL795">
            <v>9</v>
          </cell>
          <cell r="AM795">
            <v>15</v>
          </cell>
          <cell r="AN795">
            <v>0</v>
          </cell>
          <cell r="AO795">
            <v>11</v>
          </cell>
          <cell r="AP795">
            <v>0</v>
          </cell>
          <cell r="AQ795">
            <v>11</v>
          </cell>
          <cell r="AR795">
            <v>108</v>
          </cell>
          <cell r="AS795">
            <v>61</v>
          </cell>
        </row>
        <row r="796">
          <cell r="B796">
            <v>17031804506</v>
          </cell>
          <cell r="D796">
            <v>2683</v>
          </cell>
          <cell r="E796">
            <v>230</v>
          </cell>
          <cell r="F796">
            <v>2295</v>
          </cell>
          <cell r="G796">
            <v>217</v>
          </cell>
          <cell r="H796">
            <v>2133</v>
          </cell>
          <cell r="I796">
            <v>230</v>
          </cell>
          <cell r="J796">
            <v>162</v>
          </cell>
          <cell r="K796">
            <v>88</v>
          </cell>
          <cell r="L796">
            <v>132</v>
          </cell>
          <cell r="M796">
            <v>84</v>
          </cell>
          <cell r="N796">
            <v>10</v>
          </cell>
          <cell r="O796">
            <v>16</v>
          </cell>
          <cell r="P796">
            <v>0</v>
          </cell>
          <cell r="Q796">
            <v>15</v>
          </cell>
          <cell r="R796">
            <v>20</v>
          </cell>
          <cell r="S796">
            <v>21</v>
          </cell>
          <cell r="T796">
            <v>0</v>
          </cell>
          <cell r="U796">
            <v>15</v>
          </cell>
          <cell r="V796">
            <v>175</v>
          </cell>
          <cell r="W796">
            <v>76</v>
          </cell>
          <cell r="X796">
            <v>21</v>
          </cell>
          <cell r="Y796">
            <v>23</v>
          </cell>
          <cell r="Z796">
            <v>0</v>
          </cell>
          <cell r="AA796">
            <v>15</v>
          </cell>
          <cell r="AB796">
            <v>0</v>
          </cell>
          <cell r="AC796">
            <v>15</v>
          </cell>
          <cell r="AD796">
            <v>154</v>
          </cell>
          <cell r="AE796">
            <v>78</v>
          </cell>
          <cell r="AF796">
            <v>0</v>
          </cell>
          <cell r="AG796">
            <v>15</v>
          </cell>
          <cell r="AH796">
            <v>0</v>
          </cell>
          <cell r="AI796">
            <v>15</v>
          </cell>
          <cell r="AJ796">
            <v>0</v>
          </cell>
          <cell r="AK796">
            <v>15</v>
          </cell>
          <cell r="AL796">
            <v>10</v>
          </cell>
          <cell r="AM796">
            <v>16</v>
          </cell>
          <cell r="AN796">
            <v>0</v>
          </cell>
          <cell r="AO796">
            <v>15</v>
          </cell>
          <cell r="AP796">
            <v>9</v>
          </cell>
          <cell r="AQ796">
            <v>14</v>
          </cell>
          <cell r="AR796">
            <v>194</v>
          </cell>
          <cell r="AS796">
            <v>85</v>
          </cell>
        </row>
        <row r="797">
          <cell r="B797">
            <v>17031804507</v>
          </cell>
          <cell r="D797">
            <v>6758</v>
          </cell>
          <cell r="E797">
            <v>567</v>
          </cell>
          <cell r="F797">
            <v>5847</v>
          </cell>
          <cell r="G797">
            <v>591</v>
          </cell>
          <cell r="H797">
            <v>5576</v>
          </cell>
          <cell r="I797">
            <v>617</v>
          </cell>
          <cell r="J797">
            <v>271</v>
          </cell>
          <cell r="K797">
            <v>147</v>
          </cell>
          <cell r="L797">
            <v>207</v>
          </cell>
          <cell r="M797">
            <v>150</v>
          </cell>
          <cell r="N797">
            <v>64</v>
          </cell>
          <cell r="O797">
            <v>67</v>
          </cell>
          <cell r="P797">
            <v>0</v>
          </cell>
          <cell r="Q797">
            <v>17</v>
          </cell>
          <cell r="R797">
            <v>0</v>
          </cell>
          <cell r="S797">
            <v>17</v>
          </cell>
          <cell r="T797">
            <v>0</v>
          </cell>
          <cell r="U797">
            <v>17</v>
          </cell>
          <cell r="V797">
            <v>448</v>
          </cell>
          <cell r="W797">
            <v>221</v>
          </cell>
          <cell r="X797">
            <v>0</v>
          </cell>
          <cell r="Y797">
            <v>17</v>
          </cell>
          <cell r="Z797">
            <v>0</v>
          </cell>
          <cell r="AA797">
            <v>17</v>
          </cell>
          <cell r="AB797">
            <v>52</v>
          </cell>
          <cell r="AC797">
            <v>62</v>
          </cell>
          <cell r="AD797">
            <v>396</v>
          </cell>
          <cell r="AE797">
            <v>214</v>
          </cell>
          <cell r="AF797">
            <v>0</v>
          </cell>
          <cell r="AG797">
            <v>17</v>
          </cell>
          <cell r="AH797">
            <v>0</v>
          </cell>
          <cell r="AI797">
            <v>17</v>
          </cell>
          <cell r="AJ797">
            <v>0</v>
          </cell>
          <cell r="AK797">
            <v>17</v>
          </cell>
          <cell r="AL797">
            <v>27</v>
          </cell>
          <cell r="AM797">
            <v>44</v>
          </cell>
          <cell r="AN797">
            <v>0</v>
          </cell>
          <cell r="AO797">
            <v>17</v>
          </cell>
          <cell r="AP797">
            <v>0</v>
          </cell>
          <cell r="AQ797">
            <v>17</v>
          </cell>
          <cell r="AR797">
            <v>436</v>
          </cell>
          <cell r="AS797">
            <v>202</v>
          </cell>
        </row>
        <row r="798">
          <cell r="B798">
            <v>17031804508</v>
          </cell>
          <cell r="D798">
            <v>1184</v>
          </cell>
          <cell r="E798">
            <v>229</v>
          </cell>
          <cell r="F798">
            <v>1120</v>
          </cell>
          <cell r="G798">
            <v>230</v>
          </cell>
          <cell r="H798">
            <v>995</v>
          </cell>
          <cell r="I798">
            <v>220</v>
          </cell>
          <cell r="J798">
            <v>125</v>
          </cell>
          <cell r="K798">
            <v>63</v>
          </cell>
          <cell r="L798">
            <v>99</v>
          </cell>
          <cell r="M798">
            <v>53</v>
          </cell>
          <cell r="N798">
            <v>0</v>
          </cell>
          <cell r="O798">
            <v>11</v>
          </cell>
          <cell r="P798">
            <v>3</v>
          </cell>
          <cell r="Q798">
            <v>5</v>
          </cell>
          <cell r="R798">
            <v>23</v>
          </cell>
          <cell r="S798">
            <v>32</v>
          </cell>
          <cell r="T798">
            <v>0</v>
          </cell>
          <cell r="U798">
            <v>11</v>
          </cell>
          <cell r="V798">
            <v>43</v>
          </cell>
          <cell r="W798">
            <v>29</v>
          </cell>
          <cell r="X798">
            <v>7</v>
          </cell>
          <cell r="Y798">
            <v>11</v>
          </cell>
          <cell r="Z798">
            <v>0</v>
          </cell>
          <cell r="AA798">
            <v>11</v>
          </cell>
          <cell r="AB798">
            <v>6</v>
          </cell>
          <cell r="AC798">
            <v>9</v>
          </cell>
          <cell r="AD798">
            <v>30</v>
          </cell>
          <cell r="AE798">
            <v>21</v>
          </cell>
          <cell r="AF798">
            <v>0</v>
          </cell>
          <cell r="AG798">
            <v>11</v>
          </cell>
          <cell r="AH798">
            <v>0</v>
          </cell>
          <cell r="AI798">
            <v>11</v>
          </cell>
          <cell r="AJ798">
            <v>0</v>
          </cell>
          <cell r="AK798">
            <v>11</v>
          </cell>
          <cell r="AL798">
            <v>5</v>
          </cell>
          <cell r="AM798">
            <v>9</v>
          </cell>
          <cell r="AN798">
            <v>6</v>
          </cell>
          <cell r="AO798">
            <v>8</v>
          </cell>
          <cell r="AP798">
            <v>0</v>
          </cell>
          <cell r="AQ798">
            <v>11</v>
          </cell>
          <cell r="AR798">
            <v>10</v>
          </cell>
          <cell r="AS798">
            <v>13</v>
          </cell>
        </row>
        <row r="799">
          <cell r="B799">
            <v>17031804509</v>
          </cell>
          <cell r="D799">
            <v>2936</v>
          </cell>
          <cell r="E799">
            <v>350</v>
          </cell>
          <cell r="F799">
            <v>2817</v>
          </cell>
          <cell r="G799">
            <v>340</v>
          </cell>
          <cell r="H799">
            <v>2413</v>
          </cell>
          <cell r="I799">
            <v>329</v>
          </cell>
          <cell r="J799">
            <v>404</v>
          </cell>
          <cell r="K799">
            <v>147</v>
          </cell>
          <cell r="L799">
            <v>325</v>
          </cell>
          <cell r="M799">
            <v>125</v>
          </cell>
          <cell r="N799">
            <v>79</v>
          </cell>
          <cell r="O799">
            <v>56</v>
          </cell>
          <cell r="P799">
            <v>0</v>
          </cell>
          <cell r="Q799">
            <v>15</v>
          </cell>
          <cell r="R799">
            <v>0</v>
          </cell>
          <cell r="S799">
            <v>15</v>
          </cell>
          <cell r="T799">
            <v>0</v>
          </cell>
          <cell r="U799">
            <v>15</v>
          </cell>
          <cell r="V799">
            <v>48</v>
          </cell>
          <cell r="W799">
            <v>34</v>
          </cell>
          <cell r="X799">
            <v>0</v>
          </cell>
          <cell r="Y799">
            <v>15</v>
          </cell>
          <cell r="Z799">
            <v>0</v>
          </cell>
          <cell r="AA799">
            <v>15</v>
          </cell>
          <cell r="AB799">
            <v>7</v>
          </cell>
          <cell r="AC799">
            <v>13</v>
          </cell>
          <cell r="AD799">
            <v>41</v>
          </cell>
          <cell r="AE799">
            <v>32</v>
          </cell>
          <cell r="AF799">
            <v>0</v>
          </cell>
          <cell r="AG799">
            <v>15</v>
          </cell>
          <cell r="AH799">
            <v>0</v>
          </cell>
          <cell r="AI799">
            <v>15</v>
          </cell>
          <cell r="AJ799">
            <v>0</v>
          </cell>
          <cell r="AK799">
            <v>15</v>
          </cell>
          <cell r="AL799">
            <v>0</v>
          </cell>
          <cell r="AM799">
            <v>15</v>
          </cell>
          <cell r="AN799">
            <v>26</v>
          </cell>
          <cell r="AO799">
            <v>41</v>
          </cell>
          <cell r="AP799">
            <v>22</v>
          </cell>
          <cell r="AQ799">
            <v>37</v>
          </cell>
          <cell r="AR799">
            <v>23</v>
          </cell>
          <cell r="AS799">
            <v>24</v>
          </cell>
        </row>
        <row r="800">
          <cell r="B800">
            <v>17031804510</v>
          </cell>
          <cell r="D800">
            <v>3271</v>
          </cell>
          <cell r="E800">
            <v>336</v>
          </cell>
          <cell r="F800">
            <v>2984</v>
          </cell>
          <cell r="G800">
            <v>338</v>
          </cell>
          <cell r="H800">
            <v>2327</v>
          </cell>
          <cell r="I800">
            <v>306</v>
          </cell>
          <cell r="J800">
            <v>657</v>
          </cell>
          <cell r="K800">
            <v>191</v>
          </cell>
          <cell r="L800">
            <v>472</v>
          </cell>
          <cell r="M800">
            <v>157</v>
          </cell>
          <cell r="N800">
            <v>157</v>
          </cell>
          <cell r="O800">
            <v>108</v>
          </cell>
          <cell r="P800">
            <v>18</v>
          </cell>
          <cell r="Q800">
            <v>28</v>
          </cell>
          <cell r="R800">
            <v>10</v>
          </cell>
          <cell r="S800">
            <v>16</v>
          </cell>
          <cell r="T800">
            <v>0</v>
          </cell>
          <cell r="U800">
            <v>15</v>
          </cell>
          <cell r="V800">
            <v>60</v>
          </cell>
          <cell r="W800">
            <v>47</v>
          </cell>
          <cell r="X800">
            <v>8</v>
          </cell>
          <cell r="Y800">
            <v>14</v>
          </cell>
          <cell r="Z800">
            <v>0</v>
          </cell>
          <cell r="AA800">
            <v>15</v>
          </cell>
          <cell r="AB800">
            <v>0</v>
          </cell>
          <cell r="AC800">
            <v>15</v>
          </cell>
          <cell r="AD800">
            <v>52</v>
          </cell>
          <cell r="AE800">
            <v>45</v>
          </cell>
          <cell r="AF800">
            <v>0</v>
          </cell>
          <cell r="AG800">
            <v>15</v>
          </cell>
          <cell r="AH800">
            <v>0</v>
          </cell>
          <cell r="AI800">
            <v>15</v>
          </cell>
          <cell r="AJ800">
            <v>0</v>
          </cell>
          <cell r="AK800">
            <v>15</v>
          </cell>
          <cell r="AL800">
            <v>47</v>
          </cell>
          <cell r="AM800">
            <v>56</v>
          </cell>
          <cell r="AN800">
            <v>117</v>
          </cell>
          <cell r="AO800">
            <v>101</v>
          </cell>
          <cell r="AP800">
            <v>0</v>
          </cell>
          <cell r="AQ800">
            <v>15</v>
          </cell>
          <cell r="AR800">
            <v>63</v>
          </cell>
          <cell r="AS800">
            <v>56</v>
          </cell>
        </row>
        <row r="801">
          <cell r="B801">
            <v>17031804511</v>
          </cell>
          <cell r="D801">
            <v>1408</v>
          </cell>
          <cell r="E801">
            <v>149</v>
          </cell>
          <cell r="F801">
            <v>1282</v>
          </cell>
          <cell r="G801">
            <v>150</v>
          </cell>
          <cell r="H801">
            <v>913</v>
          </cell>
          <cell r="I801">
            <v>130</v>
          </cell>
          <cell r="J801">
            <v>369</v>
          </cell>
          <cell r="K801">
            <v>118</v>
          </cell>
          <cell r="L801">
            <v>252</v>
          </cell>
          <cell r="M801">
            <v>87</v>
          </cell>
          <cell r="N801">
            <v>100</v>
          </cell>
          <cell r="O801">
            <v>95</v>
          </cell>
          <cell r="P801">
            <v>17</v>
          </cell>
          <cell r="Q801">
            <v>21</v>
          </cell>
          <cell r="R801">
            <v>0</v>
          </cell>
          <cell r="S801">
            <v>11</v>
          </cell>
          <cell r="T801">
            <v>0</v>
          </cell>
          <cell r="U801">
            <v>11</v>
          </cell>
          <cell r="V801">
            <v>49</v>
          </cell>
          <cell r="W801">
            <v>24</v>
          </cell>
          <cell r="X801">
            <v>0</v>
          </cell>
          <cell r="Y801">
            <v>11</v>
          </cell>
          <cell r="Z801">
            <v>0</v>
          </cell>
          <cell r="AA801">
            <v>11</v>
          </cell>
          <cell r="AB801">
            <v>0</v>
          </cell>
          <cell r="AC801">
            <v>11</v>
          </cell>
          <cell r="AD801">
            <v>49</v>
          </cell>
          <cell r="AE801">
            <v>24</v>
          </cell>
          <cell r="AF801">
            <v>0</v>
          </cell>
          <cell r="AG801">
            <v>11</v>
          </cell>
          <cell r="AH801">
            <v>20</v>
          </cell>
          <cell r="AI801">
            <v>17</v>
          </cell>
          <cell r="AJ801">
            <v>0</v>
          </cell>
          <cell r="AK801">
            <v>11</v>
          </cell>
          <cell r="AL801">
            <v>13</v>
          </cell>
          <cell r="AM801">
            <v>20</v>
          </cell>
          <cell r="AN801">
            <v>0</v>
          </cell>
          <cell r="AO801">
            <v>11</v>
          </cell>
          <cell r="AP801">
            <v>6</v>
          </cell>
          <cell r="AQ801">
            <v>9</v>
          </cell>
          <cell r="AR801">
            <v>38</v>
          </cell>
          <cell r="AS801">
            <v>34</v>
          </cell>
        </row>
        <row r="802">
          <cell r="B802">
            <v>17031804603</v>
          </cell>
          <cell r="D802">
            <v>3343</v>
          </cell>
          <cell r="E802">
            <v>450</v>
          </cell>
          <cell r="F802">
            <v>2937</v>
          </cell>
          <cell r="G802">
            <v>409</v>
          </cell>
          <cell r="H802">
            <v>2792</v>
          </cell>
          <cell r="I802">
            <v>377</v>
          </cell>
          <cell r="J802">
            <v>145</v>
          </cell>
          <cell r="K802">
            <v>88</v>
          </cell>
          <cell r="L802">
            <v>135</v>
          </cell>
          <cell r="M802">
            <v>86</v>
          </cell>
          <cell r="N802">
            <v>0</v>
          </cell>
          <cell r="O802">
            <v>15</v>
          </cell>
          <cell r="P802">
            <v>0</v>
          </cell>
          <cell r="Q802">
            <v>15</v>
          </cell>
          <cell r="R802">
            <v>0</v>
          </cell>
          <cell r="S802">
            <v>15</v>
          </cell>
          <cell r="T802">
            <v>10</v>
          </cell>
          <cell r="U802">
            <v>16</v>
          </cell>
          <cell r="V802">
            <v>163</v>
          </cell>
          <cell r="W802">
            <v>120</v>
          </cell>
          <cell r="X802">
            <v>94</v>
          </cell>
          <cell r="Y802">
            <v>90</v>
          </cell>
          <cell r="Z802">
            <v>0</v>
          </cell>
          <cell r="AA802">
            <v>15</v>
          </cell>
          <cell r="AB802">
            <v>0</v>
          </cell>
          <cell r="AC802">
            <v>15</v>
          </cell>
          <cell r="AD802">
            <v>69</v>
          </cell>
          <cell r="AE802">
            <v>76</v>
          </cell>
          <cell r="AF802">
            <v>0</v>
          </cell>
          <cell r="AG802">
            <v>15</v>
          </cell>
          <cell r="AH802">
            <v>0</v>
          </cell>
          <cell r="AI802">
            <v>15</v>
          </cell>
          <cell r="AJ802">
            <v>14</v>
          </cell>
          <cell r="AK802">
            <v>24</v>
          </cell>
          <cell r="AL802">
            <v>62</v>
          </cell>
          <cell r="AM802">
            <v>77</v>
          </cell>
          <cell r="AN802">
            <v>26</v>
          </cell>
          <cell r="AO802">
            <v>35</v>
          </cell>
          <cell r="AP802">
            <v>0</v>
          </cell>
          <cell r="AQ802">
            <v>15</v>
          </cell>
          <cell r="AR802">
            <v>141</v>
          </cell>
          <cell r="AS802">
            <v>75</v>
          </cell>
        </row>
        <row r="803">
          <cell r="B803">
            <v>17031804606</v>
          </cell>
          <cell r="D803">
            <v>3981</v>
          </cell>
          <cell r="E803">
            <v>332</v>
          </cell>
          <cell r="F803">
            <v>3374</v>
          </cell>
          <cell r="G803">
            <v>323</v>
          </cell>
          <cell r="H803">
            <v>3253</v>
          </cell>
          <cell r="I803">
            <v>301</v>
          </cell>
          <cell r="J803">
            <v>121</v>
          </cell>
          <cell r="K803">
            <v>120</v>
          </cell>
          <cell r="L803">
            <v>121</v>
          </cell>
          <cell r="M803">
            <v>120</v>
          </cell>
          <cell r="N803">
            <v>0</v>
          </cell>
          <cell r="O803">
            <v>15</v>
          </cell>
          <cell r="P803">
            <v>0</v>
          </cell>
          <cell r="Q803">
            <v>15</v>
          </cell>
          <cell r="R803">
            <v>0</v>
          </cell>
          <cell r="S803">
            <v>15</v>
          </cell>
          <cell r="T803">
            <v>0</v>
          </cell>
          <cell r="U803">
            <v>15</v>
          </cell>
          <cell r="V803">
            <v>252</v>
          </cell>
          <cell r="W803">
            <v>126</v>
          </cell>
          <cell r="X803">
            <v>7</v>
          </cell>
          <cell r="Y803">
            <v>16</v>
          </cell>
          <cell r="Z803">
            <v>0</v>
          </cell>
          <cell r="AA803">
            <v>15</v>
          </cell>
          <cell r="AB803">
            <v>0</v>
          </cell>
          <cell r="AC803">
            <v>15</v>
          </cell>
          <cell r="AD803">
            <v>245</v>
          </cell>
          <cell r="AE803">
            <v>124</v>
          </cell>
          <cell r="AF803">
            <v>0</v>
          </cell>
          <cell r="AG803">
            <v>15</v>
          </cell>
          <cell r="AH803">
            <v>0</v>
          </cell>
          <cell r="AI803">
            <v>15</v>
          </cell>
          <cell r="AJ803">
            <v>0</v>
          </cell>
          <cell r="AK803">
            <v>15</v>
          </cell>
          <cell r="AL803">
            <v>0</v>
          </cell>
          <cell r="AM803">
            <v>15</v>
          </cell>
          <cell r="AN803">
            <v>31</v>
          </cell>
          <cell r="AO803">
            <v>50</v>
          </cell>
          <cell r="AP803">
            <v>35</v>
          </cell>
          <cell r="AQ803">
            <v>36</v>
          </cell>
          <cell r="AR803">
            <v>289</v>
          </cell>
          <cell r="AS803">
            <v>211</v>
          </cell>
        </row>
        <row r="804">
          <cell r="B804">
            <v>17031804607</v>
          </cell>
          <cell r="D804">
            <v>3619</v>
          </cell>
          <cell r="E804">
            <v>329</v>
          </cell>
          <cell r="F804">
            <v>3194</v>
          </cell>
          <cell r="G804">
            <v>314</v>
          </cell>
          <cell r="H804">
            <v>3031</v>
          </cell>
          <cell r="I804">
            <v>311</v>
          </cell>
          <cell r="J804">
            <v>163</v>
          </cell>
          <cell r="K804">
            <v>117</v>
          </cell>
          <cell r="L804">
            <v>163</v>
          </cell>
          <cell r="M804">
            <v>117</v>
          </cell>
          <cell r="N804">
            <v>0</v>
          </cell>
          <cell r="O804">
            <v>15</v>
          </cell>
          <cell r="P804">
            <v>0</v>
          </cell>
          <cell r="Q804">
            <v>15</v>
          </cell>
          <cell r="R804">
            <v>0</v>
          </cell>
          <cell r="S804">
            <v>15</v>
          </cell>
          <cell r="T804">
            <v>0</v>
          </cell>
          <cell r="U804">
            <v>15</v>
          </cell>
          <cell r="V804">
            <v>179</v>
          </cell>
          <cell r="W804">
            <v>144</v>
          </cell>
          <cell r="X804">
            <v>0</v>
          </cell>
          <cell r="Y804">
            <v>15</v>
          </cell>
          <cell r="Z804">
            <v>0</v>
          </cell>
          <cell r="AA804">
            <v>15</v>
          </cell>
          <cell r="AB804">
            <v>0</v>
          </cell>
          <cell r="AC804">
            <v>15</v>
          </cell>
          <cell r="AD804">
            <v>179</v>
          </cell>
          <cell r="AE804">
            <v>144</v>
          </cell>
          <cell r="AF804">
            <v>0</v>
          </cell>
          <cell r="AG804">
            <v>15</v>
          </cell>
          <cell r="AH804">
            <v>16</v>
          </cell>
          <cell r="AI804">
            <v>25</v>
          </cell>
          <cell r="AJ804">
            <v>0</v>
          </cell>
          <cell r="AK804">
            <v>15</v>
          </cell>
          <cell r="AL804">
            <v>0</v>
          </cell>
          <cell r="AM804">
            <v>15</v>
          </cell>
          <cell r="AN804">
            <v>12</v>
          </cell>
          <cell r="AO804">
            <v>21</v>
          </cell>
          <cell r="AP804">
            <v>9</v>
          </cell>
          <cell r="AQ804">
            <v>16</v>
          </cell>
          <cell r="AR804">
            <v>209</v>
          </cell>
          <cell r="AS804">
            <v>99</v>
          </cell>
        </row>
        <row r="805">
          <cell r="B805">
            <v>17031804608</v>
          </cell>
          <cell r="D805">
            <v>1840</v>
          </cell>
          <cell r="E805">
            <v>218</v>
          </cell>
          <cell r="F805">
            <v>1670</v>
          </cell>
          <cell r="G805">
            <v>217</v>
          </cell>
          <cell r="H805">
            <v>1607</v>
          </cell>
          <cell r="I805">
            <v>205</v>
          </cell>
          <cell r="J805">
            <v>63</v>
          </cell>
          <cell r="K805">
            <v>44</v>
          </cell>
          <cell r="L805">
            <v>38</v>
          </cell>
          <cell r="M805">
            <v>35</v>
          </cell>
          <cell r="N805">
            <v>25</v>
          </cell>
          <cell r="O805">
            <v>27</v>
          </cell>
          <cell r="P805">
            <v>0</v>
          </cell>
          <cell r="Q805">
            <v>11</v>
          </cell>
          <cell r="R805">
            <v>0</v>
          </cell>
          <cell r="S805">
            <v>11</v>
          </cell>
          <cell r="T805">
            <v>0</v>
          </cell>
          <cell r="U805">
            <v>11</v>
          </cell>
          <cell r="V805">
            <v>84</v>
          </cell>
          <cell r="W805">
            <v>45</v>
          </cell>
          <cell r="X805">
            <v>0</v>
          </cell>
          <cell r="Y805">
            <v>11</v>
          </cell>
          <cell r="Z805">
            <v>0</v>
          </cell>
          <cell r="AA805">
            <v>11</v>
          </cell>
          <cell r="AB805">
            <v>6</v>
          </cell>
          <cell r="AC805">
            <v>10</v>
          </cell>
          <cell r="AD805">
            <v>78</v>
          </cell>
          <cell r="AE805">
            <v>43</v>
          </cell>
          <cell r="AF805">
            <v>0</v>
          </cell>
          <cell r="AG805">
            <v>11</v>
          </cell>
          <cell r="AH805">
            <v>0</v>
          </cell>
          <cell r="AI805">
            <v>11</v>
          </cell>
          <cell r="AJ805">
            <v>0</v>
          </cell>
          <cell r="AK805">
            <v>11</v>
          </cell>
          <cell r="AL805">
            <v>6</v>
          </cell>
          <cell r="AM805">
            <v>13</v>
          </cell>
          <cell r="AN805">
            <v>27</v>
          </cell>
          <cell r="AO805">
            <v>25</v>
          </cell>
          <cell r="AP805">
            <v>8</v>
          </cell>
          <cell r="AQ805">
            <v>13</v>
          </cell>
          <cell r="AR805">
            <v>45</v>
          </cell>
          <cell r="AS805">
            <v>32</v>
          </cell>
        </row>
        <row r="806">
          <cell r="B806">
            <v>17031804609</v>
          </cell>
          <cell r="D806">
            <v>3465</v>
          </cell>
          <cell r="E806">
            <v>351</v>
          </cell>
          <cell r="F806">
            <v>3149</v>
          </cell>
          <cell r="G806">
            <v>366</v>
          </cell>
          <cell r="H806">
            <v>3036</v>
          </cell>
          <cell r="I806">
            <v>365</v>
          </cell>
          <cell r="J806">
            <v>113</v>
          </cell>
          <cell r="K806">
            <v>78</v>
          </cell>
          <cell r="L806">
            <v>101</v>
          </cell>
          <cell r="M806">
            <v>74</v>
          </cell>
          <cell r="N806">
            <v>12</v>
          </cell>
          <cell r="O806">
            <v>20</v>
          </cell>
          <cell r="P806">
            <v>0</v>
          </cell>
          <cell r="Q806">
            <v>15</v>
          </cell>
          <cell r="R806">
            <v>0</v>
          </cell>
          <cell r="S806">
            <v>15</v>
          </cell>
          <cell r="T806">
            <v>0</v>
          </cell>
          <cell r="U806">
            <v>15</v>
          </cell>
          <cell r="V806">
            <v>100</v>
          </cell>
          <cell r="W806">
            <v>54</v>
          </cell>
          <cell r="X806">
            <v>0</v>
          </cell>
          <cell r="Y806">
            <v>15</v>
          </cell>
          <cell r="Z806">
            <v>0</v>
          </cell>
          <cell r="AA806">
            <v>15</v>
          </cell>
          <cell r="AB806">
            <v>0</v>
          </cell>
          <cell r="AC806">
            <v>15</v>
          </cell>
          <cell r="AD806">
            <v>100</v>
          </cell>
          <cell r="AE806">
            <v>54</v>
          </cell>
          <cell r="AF806">
            <v>0</v>
          </cell>
          <cell r="AG806">
            <v>15</v>
          </cell>
          <cell r="AH806">
            <v>0</v>
          </cell>
          <cell r="AI806">
            <v>15</v>
          </cell>
          <cell r="AJ806">
            <v>0</v>
          </cell>
          <cell r="AK806">
            <v>15</v>
          </cell>
          <cell r="AL806">
            <v>0</v>
          </cell>
          <cell r="AM806">
            <v>15</v>
          </cell>
          <cell r="AN806">
            <v>37</v>
          </cell>
          <cell r="AO806">
            <v>58</v>
          </cell>
          <cell r="AP806">
            <v>13</v>
          </cell>
          <cell r="AQ806">
            <v>21</v>
          </cell>
          <cell r="AR806">
            <v>166</v>
          </cell>
          <cell r="AS806">
            <v>74</v>
          </cell>
        </row>
        <row r="807">
          <cell r="B807">
            <v>17031804610</v>
          </cell>
          <cell r="D807">
            <v>1422</v>
          </cell>
          <cell r="E807">
            <v>245</v>
          </cell>
          <cell r="F807">
            <v>1245</v>
          </cell>
          <cell r="G807">
            <v>221</v>
          </cell>
          <cell r="H807">
            <v>1180</v>
          </cell>
          <cell r="I807">
            <v>223</v>
          </cell>
          <cell r="J807">
            <v>65</v>
          </cell>
          <cell r="K807">
            <v>46</v>
          </cell>
          <cell r="L807">
            <v>40</v>
          </cell>
          <cell r="M807">
            <v>38</v>
          </cell>
          <cell r="N807">
            <v>16</v>
          </cell>
          <cell r="O807">
            <v>17</v>
          </cell>
          <cell r="P807">
            <v>0</v>
          </cell>
          <cell r="Q807">
            <v>11</v>
          </cell>
          <cell r="R807">
            <v>0</v>
          </cell>
          <cell r="S807">
            <v>11</v>
          </cell>
          <cell r="T807">
            <v>9</v>
          </cell>
          <cell r="U807">
            <v>14</v>
          </cell>
          <cell r="V807">
            <v>78</v>
          </cell>
          <cell r="W807">
            <v>62</v>
          </cell>
          <cell r="X807">
            <v>10</v>
          </cell>
          <cell r="Y807">
            <v>15</v>
          </cell>
          <cell r="Z807">
            <v>0</v>
          </cell>
          <cell r="AA807">
            <v>11</v>
          </cell>
          <cell r="AB807">
            <v>7</v>
          </cell>
          <cell r="AC807">
            <v>11</v>
          </cell>
          <cell r="AD807">
            <v>61</v>
          </cell>
          <cell r="AE807">
            <v>60</v>
          </cell>
          <cell r="AF807">
            <v>0</v>
          </cell>
          <cell r="AG807">
            <v>11</v>
          </cell>
          <cell r="AH807">
            <v>0</v>
          </cell>
          <cell r="AI807">
            <v>11</v>
          </cell>
          <cell r="AJ807">
            <v>0</v>
          </cell>
          <cell r="AK807">
            <v>11</v>
          </cell>
          <cell r="AL807">
            <v>0</v>
          </cell>
          <cell r="AM807">
            <v>11</v>
          </cell>
          <cell r="AN807">
            <v>0</v>
          </cell>
          <cell r="AO807">
            <v>11</v>
          </cell>
          <cell r="AP807">
            <v>5</v>
          </cell>
          <cell r="AQ807">
            <v>11</v>
          </cell>
          <cell r="AR807">
            <v>94</v>
          </cell>
          <cell r="AS807">
            <v>67</v>
          </cell>
        </row>
        <row r="808">
          <cell r="B808">
            <v>17031804611</v>
          </cell>
          <cell r="D808">
            <v>2196</v>
          </cell>
          <cell r="E808">
            <v>172</v>
          </cell>
          <cell r="F808">
            <v>1974</v>
          </cell>
          <cell r="G808">
            <v>160</v>
          </cell>
          <cell r="H808">
            <v>1887</v>
          </cell>
          <cell r="I808">
            <v>167</v>
          </cell>
          <cell r="J808">
            <v>87</v>
          </cell>
          <cell r="K808">
            <v>68</v>
          </cell>
          <cell r="L808">
            <v>87</v>
          </cell>
          <cell r="M808">
            <v>68</v>
          </cell>
          <cell r="N808">
            <v>0</v>
          </cell>
          <cell r="O808">
            <v>11</v>
          </cell>
          <cell r="P808">
            <v>0</v>
          </cell>
          <cell r="Q808">
            <v>11</v>
          </cell>
          <cell r="R808">
            <v>0</v>
          </cell>
          <cell r="S808">
            <v>11</v>
          </cell>
          <cell r="T808">
            <v>0</v>
          </cell>
          <cell r="U808">
            <v>11</v>
          </cell>
          <cell r="V808">
            <v>163</v>
          </cell>
          <cell r="W808">
            <v>85</v>
          </cell>
          <cell r="X808">
            <v>69</v>
          </cell>
          <cell r="Y808">
            <v>61</v>
          </cell>
          <cell r="Z808">
            <v>0</v>
          </cell>
          <cell r="AA808">
            <v>11</v>
          </cell>
          <cell r="AB808">
            <v>10</v>
          </cell>
          <cell r="AC808">
            <v>15</v>
          </cell>
          <cell r="AD808">
            <v>84</v>
          </cell>
          <cell r="AE808">
            <v>60</v>
          </cell>
          <cell r="AF808">
            <v>0</v>
          </cell>
          <cell r="AG808">
            <v>11</v>
          </cell>
          <cell r="AH808">
            <v>0</v>
          </cell>
          <cell r="AI808">
            <v>11</v>
          </cell>
          <cell r="AJ808">
            <v>0</v>
          </cell>
          <cell r="AK808">
            <v>11</v>
          </cell>
          <cell r="AL808">
            <v>10</v>
          </cell>
          <cell r="AM808">
            <v>17</v>
          </cell>
          <cell r="AN808">
            <v>10</v>
          </cell>
          <cell r="AO808">
            <v>15</v>
          </cell>
          <cell r="AP808">
            <v>6</v>
          </cell>
          <cell r="AQ808">
            <v>10</v>
          </cell>
          <cell r="AR808">
            <v>33</v>
          </cell>
          <cell r="AS808">
            <v>32</v>
          </cell>
        </row>
        <row r="809">
          <cell r="B809">
            <v>17031804701</v>
          </cell>
          <cell r="D809">
            <v>3538</v>
          </cell>
          <cell r="E809">
            <v>529</v>
          </cell>
          <cell r="F809">
            <v>3240</v>
          </cell>
          <cell r="G809">
            <v>534</v>
          </cell>
          <cell r="H809">
            <v>2539</v>
          </cell>
          <cell r="I809">
            <v>391</v>
          </cell>
          <cell r="J809">
            <v>701</v>
          </cell>
          <cell r="K809">
            <v>295</v>
          </cell>
          <cell r="L809">
            <v>592</v>
          </cell>
          <cell r="M809">
            <v>255</v>
          </cell>
          <cell r="N809">
            <v>13</v>
          </cell>
          <cell r="O809">
            <v>26</v>
          </cell>
          <cell r="P809">
            <v>0</v>
          </cell>
          <cell r="Q809">
            <v>15</v>
          </cell>
          <cell r="R809">
            <v>96</v>
          </cell>
          <cell r="S809">
            <v>153</v>
          </cell>
          <cell r="T809">
            <v>0</v>
          </cell>
          <cell r="U809">
            <v>15</v>
          </cell>
          <cell r="V809">
            <v>187</v>
          </cell>
          <cell r="W809">
            <v>131</v>
          </cell>
          <cell r="X809">
            <v>0</v>
          </cell>
          <cell r="Y809">
            <v>15</v>
          </cell>
          <cell r="Z809">
            <v>0</v>
          </cell>
          <cell r="AA809">
            <v>15</v>
          </cell>
          <cell r="AB809">
            <v>0</v>
          </cell>
          <cell r="AC809">
            <v>15</v>
          </cell>
          <cell r="AD809">
            <v>187</v>
          </cell>
          <cell r="AE809">
            <v>131</v>
          </cell>
          <cell r="AF809">
            <v>0</v>
          </cell>
          <cell r="AG809">
            <v>15</v>
          </cell>
          <cell r="AH809">
            <v>0</v>
          </cell>
          <cell r="AI809">
            <v>15</v>
          </cell>
          <cell r="AJ809">
            <v>0</v>
          </cell>
          <cell r="AK809">
            <v>15</v>
          </cell>
          <cell r="AL809">
            <v>0</v>
          </cell>
          <cell r="AM809">
            <v>15</v>
          </cell>
          <cell r="AN809">
            <v>48</v>
          </cell>
          <cell r="AO809">
            <v>66</v>
          </cell>
          <cell r="AP809">
            <v>13</v>
          </cell>
          <cell r="AQ809">
            <v>20</v>
          </cell>
          <cell r="AR809">
            <v>50</v>
          </cell>
          <cell r="AS809">
            <v>55</v>
          </cell>
        </row>
        <row r="810">
          <cell r="B810">
            <v>17031804705</v>
          </cell>
          <cell r="D810">
            <v>2062</v>
          </cell>
          <cell r="E810">
            <v>201</v>
          </cell>
          <cell r="F810">
            <v>1918</v>
          </cell>
          <cell r="G810">
            <v>197</v>
          </cell>
          <cell r="H810">
            <v>1740</v>
          </cell>
          <cell r="I810">
            <v>210</v>
          </cell>
          <cell r="J810">
            <v>178</v>
          </cell>
          <cell r="K810">
            <v>66</v>
          </cell>
          <cell r="L810">
            <v>137</v>
          </cell>
          <cell r="M810">
            <v>60</v>
          </cell>
          <cell r="N810">
            <v>32</v>
          </cell>
          <cell r="O810">
            <v>36</v>
          </cell>
          <cell r="P810">
            <v>0</v>
          </cell>
          <cell r="Q810">
            <v>11</v>
          </cell>
          <cell r="R810">
            <v>9</v>
          </cell>
          <cell r="S810">
            <v>15</v>
          </cell>
          <cell r="T810">
            <v>0</v>
          </cell>
          <cell r="U810">
            <v>11</v>
          </cell>
          <cell r="V810">
            <v>45</v>
          </cell>
          <cell r="W810">
            <v>26</v>
          </cell>
          <cell r="X810">
            <v>12</v>
          </cell>
          <cell r="Y810">
            <v>16</v>
          </cell>
          <cell r="Z810">
            <v>0</v>
          </cell>
          <cell r="AA810">
            <v>11</v>
          </cell>
          <cell r="AB810">
            <v>5</v>
          </cell>
          <cell r="AC810">
            <v>11</v>
          </cell>
          <cell r="AD810">
            <v>28</v>
          </cell>
          <cell r="AE810">
            <v>19</v>
          </cell>
          <cell r="AF810">
            <v>0</v>
          </cell>
          <cell r="AG810">
            <v>11</v>
          </cell>
          <cell r="AH810">
            <v>0</v>
          </cell>
          <cell r="AI810">
            <v>11</v>
          </cell>
          <cell r="AJ810">
            <v>0</v>
          </cell>
          <cell r="AK810">
            <v>11</v>
          </cell>
          <cell r="AL810">
            <v>5</v>
          </cell>
          <cell r="AM810">
            <v>9</v>
          </cell>
          <cell r="AN810">
            <v>8</v>
          </cell>
          <cell r="AO810">
            <v>12</v>
          </cell>
          <cell r="AP810">
            <v>16</v>
          </cell>
          <cell r="AQ810">
            <v>16</v>
          </cell>
          <cell r="AR810">
            <v>70</v>
          </cell>
          <cell r="AS810">
            <v>32</v>
          </cell>
        </row>
        <row r="811">
          <cell r="B811">
            <v>17031804706</v>
          </cell>
          <cell r="D811">
            <v>1293</v>
          </cell>
          <cell r="E811">
            <v>114</v>
          </cell>
          <cell r="F811">
            <v>1217</v>
          </cell>
          <cell r="G811">
            <v>118</v>
          </cell>
          <cell r="H811">
            <v>1149</v>
          </cell>
          <cell r="I811">
            <v>116</v>
          </cell>
          <cell r="J811">
            <v>68</v>
          </cell>
          <cell r="K811">
            <v>36</v>
          </cell>
          <cell r="L811">
            <v>57</v>
          </cell>
          <cell r="M811">
            <v>33</v>
          </cell>
          <cell r="N811">
            <v>0</v>
          </cell>
          <cell r="O811">
            <v>11</v>
          </cell>
          <cell r="P811">
            <v>11</v>
          </cell>
          <cell r="Q811">
            <v>19</v>
          </cell>
          <cell r="R811">
            <v>0</v>
          </cell>
          <cell r="S811">
            <v>11</v>
          </cell>
          <cell r="T811">
            <v>0</v>
          </cell>
          <cell r="U811">
            <v>11</v>
          </cell>
          <cell r="V811">
            <v>45</v>
          </cell>
          <cell r="W811">
            <v>21</v>
          </cell>
          <cell r="X811">
            <v>0</v>
          </cell>
          <cell r="Y811">
            <v>11</v>
          </cell>
          <cell r="Z811">
            <v>0</v>
          </cell>
          <cell r="AA811">
            <v>11</v>
          </cell>
          <cell r="AB811">
            <v>0</v>
          </cell>
          <cell r="AC811">
            <v>11</v>
          </cell>
          <cell r="AD811">
            <v>45</v>
          </cell>
          <cell r="AE811">
            <v>21</v>
          </cell>
          <cell r="AF811">
            <v>0</v>
          </cell>
          <cell r="AG811">
            <v>11</v>
          </cell>
          <cell r="AH811">
            <v>0</v>
          </cell>
          <cell r="AI811">
            <v>11</v>
          </cell>
          <cell r="AJ811">
            <v>0</v>
          </cell>
          <cell r="AK811">
            <v>11</v>
          </cell>
          <cell r="AL811">
            <v>0</v>
          </cell>
          <cell r="AM811">
            <v>11</v>
          </cell>
          <cell r="AN811">
            <v>11</v>
          </cell>
          <cell r="AO811">
            <v>15</v>
          </cell>
          <cell r="AP811">
            <v>4</v>
          </cell>
          <cell r="AQ811">
            <v>7</v>
          </cell>
          <cell r="AR811">
            <v>16</v>
          </cell>
          <cell r="AS811">
            <v>13</v>
          </cell>
        </row>
        <row r="812">
          <cell r="B812">
            <v>17031804709</v>
          </cell>
          <cell r="D812">
            <v>3164</v>
          </cell>
          <cell r="E812">
            <v>309</v>
          </cell>
          <cell r="F812">
            <v>2846</v>
          </cell>
          <cell r="G812">
            <v>359</v>
          </cell>
          <cell r="H812">
            <v>2546</v>
          </cell>
          <cell r="I812">
            <v>341</v>
          </cell>
          <cell r="J812">
            <v>300</v>
          </cell>
          <cell r="K812">
            <v>151</v>
          </cell>
          <cell r="L812">
            <v>238</v>
          </cell>
          <cell r="M812">
            <v>152</v>
          </cell>
          <cell r="N812">
            <v>9</v>
          </cell>
          <cell r="O812">
            <v>14</v>
          </cell>
          <cell r="P812">
            <v>39</v>
          </cell>
          <cell r="Q812">
            <v>41</v>
          </cell>
          <cell r="R812">
            <v>14</v>
          </cell>
          <cell r="S812">
            <v>21</v>
          </cell>
          <cell r="T812">
            <v>0</v>
          </cell>
          <cell r="U812">
            <v>15</v>
          </cell>
          <cell r="V812">
            <v>68</v>
          </cell>
          <cell r="W812">
            <v>56</v>
          </cell>
          <cell r="X812">
            <v>0</v>
          </cell>
          <cell r="Y812">
            <v>15</v>
          </cell>
          <cell r="Z812">
            <v>0</v>
          </cell>
          <cell r="AA812">
            <v>15</v>
          </cell>
          <cell r="AB812">
            <v>25</v>
          </cell>
          <cell r="AC812">
            <v>38</v>
          </cell>
          <cell r="AD812">
            <v>43</v>
          </cell>
          <cell r="AE812">
            <v>42</v>
          </cell>
          <cell r="AF812">
            <v>0</v>
          </cell>
          <cell r="AG812">
            <v>15</v>
          </cell>
          <cell r="AH812">
            <v>14</v>
          </cell>
          <cell r="AI812">
            <v>24</v>
          </cell>
          <cell r="AJ812">
            <v>0</v>
          </cell>
          <cell r="AK812">
            <v>15</v>
          </cell>
          <cell r="AL812">
            <v>16</v>
          </cell>
          <cell r="AM812">
            <v>25</v>
          </cell>
          <cell r="AN812">
            <v>27</v>
          </cell>
          <cell r="AO812">
            <v>32</v>
          </cell>
          <cell r="AP812">
            <v>0</v>
          </cell>
          <cell r="AQ812">
            <v>15</v>
          </cell>
          <cell r="AR812">
            <v>193</v>
          </cell>
          <cell r="AS812">
            <v>121</v>
          </cell>
        </row>
        <row r="813">
          <cell r="B813">
            <v>17031804710</v>
          </cell>
          <cell r="D813">
            <v>2335</v>
          </cell>
          <cell r="E813">
            <v>204</v>
          </cell>
          <cell r="F813">
            <v>2131</v>
          </cell>
          <cell r="G813">
            <v>200</v>
          </cell>
          <cell r="H813">
            <v>1954</v>
          </cell>
          <cell r="I813">
            <v>198</v>
          </cell>
          <cell r="J813">
            <v>177</v>
          </cell>
          <cell r="K813">
            <v>115</v>
          </cell>
          <cell r="L813">
            <v>145</v>
          </cell>
          <cell r="M813">
            <v>109</v>
          </cell>
          <cell r="N813">
            <v>32</v>
          </cell>
          <cell r="O813">
            <v>33</v>
          </cell>
          <cell r="P813">
            <v>0</v>
          </cell>
          <cell r="Q813">
            <v>11</v>
          </cell>
          <cell r="R813">
            <v>0</v>
          </cell>
          <cell r="S813">
            <v>11</v>
          </cell>
          <cell r="T813">
            <v>0</v>
          </cell>
          <cell r="U813">
            <v>11</v>
          </cell>
          <cell r="V813">
            <v>77</v>
          </cell>
          <cell r="W813">
            <v>37</v>
          </cell>
          <cell r="X813">
            <v>6</v>
          </cell>
          <cell r="Y813">
            <v>10</v>
          </cell>
          <cell r="Z813">
            <v>0</v>
          </cell>
          <cell r="AA813">
            <v>11</v>
          </cell>
          <cell r="AB813">
            <v>0</v>
          </cell>
          <cell r="AC813">
            <v>11</v>
          </cell>
          <cell r="AD813">
            <v>71</v>
          </cell>
          <cell r="AE813">
            <v>36</v>
          </cell>
          <cell r="AF813">
            <v>0</v>
          </cell>
          <cell r="AG813">
            <v>11</v>
          </cell>
          <cell r="AH813">
            <v>0</v>
          </cell>
          <cell r="AI813">
            <v>11</v>
          </cell>
          <cell r="AJ813">
            <v>0</v>
          </cell>
          <cell r="AK813">
            <v>11</v>
          </cell>
          <cell r="AL813">
            <v>10</v>
          </cell>
          <cell r="AM813">
            <v>15</v>
          </cell>
          <cell r="AN813">
            <v>31</v>
          </cell>
          <cell r="AO813">
            <v>47</v>
          </cell>
          <cell r="AP813">
            <v>0</v>
          </cell>
          <cell r="AQ813">
            <v>11</v>
          </cell>
          <cell r="AR813">
            <v>86</v>
          </cell>
          <cell r="AS813">
            <v>52</v>
          </cell>
        </row>
        <row r="814">
          <cell r="B814">
            <v>17031804711</v>
          </cell>
          <cell r="D814">
            <v>4211</v>
          </cell>
          <cell r="E814">
            <v>357</v>
          </cell>
          <cell r="F814">
            <v>3934</v>
          </cell>
          <cell r="G814">
            <v>398</v>
          </cell>
          <cell r="H814">
            <v>3373</v>
          </cell>
          <cell r="I814">
            <v>345</v>
          </cell>
          <cell r="J814">
            <v>561</v>
          </cell>
          <cell r="K814">
            <v>268</v>
          </cell>
          <cell r="L814">
            <v>529</v>
          </cell>
          <cell r="M814">
            <v>264</v>
          </cell>
          <cell r="N814">
            <v>32</v>
          </cell>
          <cell r="O814">
            <v>50</v>
          </cell>
          <cell r="P814">
            <v>0</v>
          </cell>
          <cell r="Q814">
            <v>15</v>
          </cell>
          <cell r="R814">
            <v>0</v>
          </cell>
          <cell r="S814">
            <v>15</v>
          </cell>
          <cell r="T814">
            <v>0</v>
          </cell>
          <cell r="U814">
            <v>15</v>
          </cell>
          <cell r="V814">
            <v>81</v>
          </cell>
          <cell r="W814">
            <v>52</v>
          </cell>
          <cell r="X814">
            <v>10</v>
          </cell>
          <cell r="Y814">
            <v>14</v>
          </cell>
          <cell r="Z814">
            <v>0</v>
          </cell>
          <cell r="AA814">
            <v>15</v>
          </cell>
          <cell r="AB814">
            <v>0</v>
          </cell>
          <cell r="AC814">
            <v>15</v>
          </cell>
          <cell r="AD814">
            <v>71</v>
          </cell>
          <cell r="AE814">
            <v>54</v>
          </cell>
          <cell r="AF814">
            <v>0</v>
          </cell>
          <cell r="AG814">
            <v>15</v>
          </cell>
          <cell r="AH814">
            <v>33</v>
          </cell>
          <cell r="AI814">
            <v>38</v>
          </cell>
          <cell r="AJ814">
            <v>0</v>
          </cell>
          <cell r="AK814">
            <v>15</v>
          </cell>
          <cell r="AL814">
            <v>31</v>
          </cell>
          <cell r="AM814">
            <v>49</v>
          </cell>
          <cell r="AN814">
            <v>17</v>
          </cell>
          <cell r="AO814">
            <v>27</v>
          </cell>
          <cell r="AP814">
            <v>16</v>
          </cell>
          <cell r="AQ814">
            <v>26</v>
          </cell>
          <cell r="AR814">
            <v>99</v>
          </cell>
          <cell r="AS814">
            <v>67</v>
          </cell>
        </row>
        <row r="815">
          <cell r="B815">
            <v>17031804712</v>
          </cell>
          <cell r="D815">
            <v>2960</v>
          </cell>
          <cell r="E815">
            <v>254</v>
          </cell>
          <cell r="F815">
            <v>2633</v>
          </cell>
          <cell r="G815">
            <v>263</v>
          </cell>
          <cell r="H815">
            <v>2363</v>
          </cell>
          <cell r="I815">
            <v>281</v>
          </cell>
          <cell r="J815">
            <v>270</v>
          </cell>
          <cell r="K815">
            <v>108</v>
          </cell>
          <cell r="L815">
            <v>191</v>
          </cell>
          <cell r="M815">
            <v>96</v>
          </cell>
          <cell r="N815">
            <v>68</v>
          </cell>
          <cell r="O815">
            <v>53</v>
          </cell>
          <cell r="P815">
            <v>11</v>
          </cell>
          <cell r="Q815">
            <v>17</v>
          </cell>
          <cell r="R815">
            <v>0</v>
          </cell>
          <cell r="S815">
            <v>15</v>
          </cell>
          <cell r="T815">
            <v>0</v>
          </cell>
          <cell r="U815">
            <v>15</v>
          </cell>
          <cell r="V815">
            <v>140</v>
          </cell>
          <cell r="W815">
            <v>80</v>
          </cell>
          <cell r="X815">
            <v>0</v>
          </cell>
          <cell r="Y815">
            <v>15</v>
          </cell>
          <cell r="Z815">
            <v>0</v>
          </cell>
          <cell r="AA815">
            <v>15</v>
          </cell>
          <cell r="AB815">
            <v>14</v>
          </cell>
          <cell r="AC815">
            <v>22</v>
          </cell>
          <cell r="AD815">
            <v>126</v>
          </cell>
          <cell r="AE815">
            <v>77</v>
          </cell>
          <cell r="AF815">
            <v>0</v>
          </cell>
          <cell r="AG815">
            <v>15</v>
          </cell>
          <cell r="AH815">
            <v>0</v>
          </cell>
          <cell r="AI815">
            <v>15</v>
          </cell>
          <cell r="AJ815">
            <v>0</v>
          </cell>
          <cell r="AK815">
            <v>15</v>
          </cell>
          <cell r="AL815">
            <v>8</v>
          </cell>
          <cell r="AM815">
            <v>12</v>
          </cell>
          <cell r="AN815">
            <v>31</v>
          </cell>
          <cell r="AO815">
            <v>57</v>
          </cell>
          <cell r="AP815">
            <v>16</v>
          </cell>
          <cell r="AQ815">
            <v>25</v>
          </cell>
          <cell r="AR815">
            <v>132</v>
          </cell>
          <cell r="AS815">
            <v>74</v>
          </cell>
        </row>
        <row r="816">
          <cell r="B816">
            <v>17031804713</v>
          </cell>
          <cell r="D816">
            <v>2952</v>
          </cell>
          <cell r="E816">
            <v>310</v>
          </cell>
          <cell r="F816">
            <v>2557</v>
          </cell>
          <cell r="G816">
            <v>353</v>
          </cell>
          <cell r="H816">
            <v>2307</v>
          </cell>
          <cell r="I816">
            <v>314</v>
          </cell>
          <cell r="J816">
            <v>250</v>
          </cell>
          <cell r="K816">
            <v>150</v>
          </cell>
          <cell r="L816">
            <v>203</v>
          </cell>
          <cell r="M816">
            <v>136</v>
          </cell>
          <cell r="N816">
            <v>47</v>
          </cell>
          <cell r="O816">
            <v>64</v>
          </cell>
          <cell r="P816">
            <v>0</v>
          </cell>
          <cell r="Q816">
            <v>11</v>
          </cell>
          <cell r="R816">
            <v>0</v>
          </cell>
          <cell r="S816">
            <v>11</v>
          </cell>
          <cell r="T816">
            <v>0</v>
          </cell>
          <cell r="U816">
            <v>11</v>
          </cell>
          <cell r="V816">
            <v>211</v>
          </cell>
          <cell r="W816">
            <v>98</v>
          </cell>
          <cell r="X816">
            <v>38</v>
          </cell>
          <cell r="Y816">
            <v>43</v>
          </cell>
          <cell r="Z816">
            <v>0</v>
          </cell>
          <cell r="AA816">
            <v>11</v>
          </cell>
          <cell r="AB816">
            <v>0</v>
          </cell>
          <cell r="AC816">
            <v>11</v>
          </cell>
          <cell r="AD816">
            <v>173</v>
          </cell>
          <cell r="AE816">
            <v>93</v>
          </cell>
          <cell r="AF816">
            <v>0</v>
          </cell>
          <cell r="AG816">
            <v>11</v>
          </cell>
          <cell r="AH816">
            <v>0</v>
          </cell>
          <cell r="AI816">
            <v>11</v>
          </cell>
          <cell r="AJ816">
            <v>0</v>
          </cell>
          <cell r="AK816">
            <v>11</v>
          </cell>
          <cell r="AL816">
            <v>0</v>
          </cell>
          <cell r="AM816">
            <v>11</v>
          </cell>
          <cell r="AN816">
            <v>175</v>
          </cell>
          <cell r="AO816">
            <v>198</v>
          </cell>
          <cell r="AP816">
            <v>0</v>
          </cell>
          <cell r="AQ816">
            <v>11</v>
          </cell>
          <cell r="AR816">
            <v>9</v>
          </cell>
          <cell r="AS816">
            <v>34</v>
          </cell>
        </row>
        <row r="817">
          <cell r="B817">
            <v>17031804714</v>
          </cell>
          <cell r="D817">
            <v>1999</v>
          </cell>
          <cell r="E817">
            <v>193</v>
          </cell>
          <cell r="F817">
            <v>1819</v>
          </cell>
          <cell r="G817">
            <v>188</v>
          </cell>
          <cell r="H817">
            <v>1716</v>
          </cell>
          <cell r="I817">
            <v>178</v>
          </cell>
          <cell r="J817">
            <v>103</v>
          </cell>
          <cell r="K817">
            <v>71</v>
          </cell>
          <cell r="L817">
            <v>103</v>
          </cell>
          <cell r="M817">
            <v>71</v>
          </cell>
          <cell r="N817">
            <v>0</v>
          </cell>
          <cell r="O817">
            <v>11</v>
          </cell>
          <cell r="P817">
            <v>0</v>
          </cell>
          <cell r="Q817">
            <v>11</v>
          </cell>
          <cell r="R817">
            <v>0</v>
          </cell>
          <cell r="S817">
            <v>11</v>
          </cell>
          <cell r="T817">
            <v>0</v>
          </cell>
          <cell r="U817">
            <v>11</v>
          </cell>
          <cell r="V817">
            <v>92</v>
          </cell>
          <cell r="W817">
            <v>55</v>
          </cell>
          <cell r="X817">
            <v>0</v>
          </cell>
          <cell r="Y817">
            <v>11</v>
          </cell>
          <cell r="Z817">
            <v>0</v>
          </cell>
          <cell r="AA817">
            <v>11</v>
          </cell>
          <cell r="AB817">
            <v>15</v>
          </cell>
          <cell r="AC817">
            <v>24</v>
          </cell>
          <cell r="AD817">
            <v>77</v>
          </cell>
          <cell r="AE817">
            <v>50</v>
          </cell>
          <cell r="AF817">
            <v>0</v>
          </cell>
          <cell r="AG817">
            <v>11</v>
          </cell>
          <cell r="AH817">
            <v>0</v>
          </cell>
          <cell r="AI817">
            <v>11</v>
          </cell>
          <cell r="AJ817">
            <v>11</v>
          </cell>
          <cell r="AK817">
            <v>17</v>
          </cell>
          <cell r="AL817">
            <v>0</v>
          </cell>
          <cell r="AM817">
            <v>11</v>
          </cell>
          <cell r="AN817">
            <v>0</v>
          </cell>
          <cell r="AO817">
            <v>11</v>
          </cell>
          <cell r="AP817">
            <v>0</v>
          </cell>
          <cell r="AQ817">
            <v>11</v>
          </cell>
          <cell r="AR817">
            <v>77</v>
          </cell>
          <cell r="AS817">
            <v>50</v>
          </cell>
        </row>
        <row r="818">
          <cell r="B818">
            <v>17031804715</v>
          </cell>
          <cell r="D818">
            <v>1687</v>
          </cell>
          <cell r="E818">
            <v>247</v>
          </cell>
          <cell r="F818">
            <v>1616</v>
          </cell>
          <cell r="G818">
            <v>255</v>
          </cell>
          <cell r="H818">
            <v>1263</v>
          </cell>
          <cell r="I818">
            <v>177</v>
          </cell>
          <cell r="J818">
            <v>353</v>
          </cell>
          <cell r="K818">
            <v>169</v>
          </cell>
          <cell r="L818">
            <v>312</v>
          </cell>
          <cell r="M818">
            <v>164</v>
          </cell>
          <cell r="N818">
            <v>16</v>
          </cell>
          <cell r="O818">
            <v>18</v>
          </cell>
          <cell r="P818">
            <v>25</v>
          </cell>
          <cell r="Q818">
            <v>41</v>
          </cell>
          <cell r="R818">
            <v>0</v>
          </cell>
          <cell r="S818">
            <v>11</v>
          </cell>
          <cell r="T818">
            <v>0</v>
          </cell>
          <cell r="U818">
            <v>11</v>
          </cell>
          <cell r="V818">
            <v>35</v>
          </cell>
          <cell r="W818">
            <v>28</v>
          </cell>
          <cell r="X818">
            <v>26</v>
          </cell>
          <cell r="Y818">
            <v>24</v>
          </cell>
          <cell r="Z818">
            <v>0</v>
          </cell>
          <cell r="AA818">
            <v>11</v>
          </cell>
          <cell r="AB818">
            <v>7</v>
          </cell>
          <cell r="AC818">
            <v>11</v>
          </cell>
          <cell r="AD818">
            <v>2</v>
          </cell>
          <cell r="AE818">
            <v>9</v>
          </cell>
          <cell r="AF818">
            <v>0</v>
          </cell>
          <cell r="AG818">
            <v>11</v>
          </cell>
          <cell r="AH818">
            <v>0</v>
          </cell>
          <cell r="AI818">
            <v>11</v>
          </cell>
          <cell r="AJ818">
            <v>0</v>
          </cell>
          <cell r="AK818">
            <v>11</v>
          </cell>
          <cell r="AL818">
            <v>0</v>
          </cell>
          <cell r="AM818">
            <v>11</v>
          </cell>
          <cell r="AN818">
            <v>20</v>
          </cell>
          <cell r="AO818">
            <v>25</v>
          </cell>
          <cell r="AP818">
            <v>10</v>
          </cell>
          <cell r="AQ818">
            <v>16</v>
          </cell>
          <cell r="AR818">
            <v>6</v>
          </cell>
          <cell r="AS818">
            <v>10</v>
          </cell>
        </row>
        <row r="819">
          <cell r="B819">
            <v>17031804716</v>
          </cell>
          <cell r="D819">
            <v>2839</v>
          </cell>
          <cell r="E819">
            <v>292</v>
          </cell>
          <cell r="F819">
            <v>2468</v>
          </cell>
          <cell r="G819">
            <v>273</v>
          </cell>
          <cell r="H819">
            <v>2177</v>
          </cell>
          <cell r="I819">
            <v>250</v>
          </cell>
          <cell r="J819">
            <v>291</v>
          </cell>
          <cell r="K819">
            <v>94</v>
          </cell>
          <cell r="L819">
            <v>215</v>
          </cell>
          <cell r="M819">
            <v>91</v>
          </cell>
          <cell r="N819">
            <v>60</v>
          </cell>
          <cell r="O819">
            <v>60</v>
          </cell>
          <cell r="P819">
            <v>7</v>
          </cell>
          <cell r="Q819">
            <v>11</v>
          </cell>
          <cell r="R819">
            <v>9</v>
          </cell>
          <cell r="S819">
            <v>14</v>
          </cell>
          <cell r="T819">
            <v>0</v>
          </cell>
          <cell r="U819">
            <v>15</v>
          </cell>
          <cell r="V819">
            <v>144</v>
          </cell>
          <cell r="W819">
            <v>76</v>
          </cell>
          <cell r="X819">
            <v>0</v>
          </cell>
          <cell r="Y819">
            <v>15</v>
          </cell>
          <cell r="Z819">
            <v>0</v>
          </cell>
          <cell r="AA819">
            <v>15</v>
          </cell>
          <cell r="AB819">
            <v>23</v>
          </cell>
          <cell r="AC819">
            <v>32</v>
          </cell>
          <cell r="AD819">
            <v>121</v>
          </cell>
          <cell r="AE819">
            <v>68</v>
          </cell>
          <cell r="AF819">
            <v>0</v>
          </cell>
          <cell r="AG819">
            <v>15</v>
          </cell>
          <cell r="AH819">
            <v>8</v>
          </cell>
          <cell r="AI819">
            <v>12</v>
          </cell>
          <cell r="AJ819">
            <v>0</v>
          </cell>
          <cell r="AK819">
            <v>15</v>
          </cell>
          <cell r="AL819">
            <v>11</v>
          </cell>
          <cell r="AM819">
            <v>18</v>
          </cell>
          <cell r="AN819">
            <v>30</v>
          </cell>
          <cell r="AO819">
            <v>46</v>
          </cell>
          <cell r="AP819">
            <v>17</v>
          </cell>
          <cell r="AQ819">
            <v>20</v>
          </cell>
          <cell r="AR819">
            <v>161</v>
          </cell>
          <cell r="AS819">
            <v>71</v>
          </cell>
        </row>
        <row r="820">
          <cell r="B820">
            <v>17031804803</v>
          </cell>
          <cell r="D820">
            <v>3255</v>
          </cell>
          <cell r="E820">
            <v>431</v>
          </cell>
          <cell r="F820">
            <v>2961</v>
          </cell>
          <cell r="G820">
            <v>421</v>
          </cell>
          <cell r="H820">
            <v>2613</v>
          </cell>
          <cell r="I820">
            <v>443</v>
          </cell>
          <cell r="J820">
            <v>348</v>
          </cell>
          <cell r="K820">
            <v>177</v>
          </cell>
          <cell r="L820">
            <v>323</v>
          </cell>
          <cell r="M820">
            <v>166</v>
          </cell>
          <cell r="N820">
            <v>25</v>
          </cell>
          <cell r="O820">
            <v>40</v>
          </cell>
          <cell r="P820">
            <v>0</v>
          </cell>
          <cell r="Q820">
            <v>15</v>
          </cell>
          <cell r="R820">
            <v>0</v>
          </cell>
          <cell r="S820">
            <v>15</v>
          </cell>
          <cell r="T820">
            <v>0</v>
          </cell>
          <cell r="U820">
            <v>15</v>
          </cell>
          <cell r="V820">
            <v>131</v>
          </cell>
          <cell r="W820">
            <v>90</v>
          </cell>
          <cell r="X820">
            <v>0</v>
          </cell>
          <cell r="Y820">
            <v>15</v>
          </cell>
          <cell r="Z820">
            <v>0</v>
          </cell>
          <cell r="AA820">
            <v>15</v>
          </cell>
          <cell r="AB820">
            <v>21</v>
          </cell>
          <cell r="AC820">
            <v>32</v>
          </cell>
          <cell r="AD820">
            <v>110</v>
          </cell>
          <cell r="AE820">
            <v>85</v>
          </cell>
          <cell r="AF820">
            <v>0</v>
          </cell>
          <cell r="AG820">
            <v>15</v>
          </cell>
          <cell r="AH820">
            <v>0</v>
          </cell>
          <cell r="AI820">
            <v>15</v>
          </cell>
          <cell r="AJ820">
            <v>0</v>
          </cell>
          <cell r="AK820">
            <v>15</v>
          </cell>
          <cell r="AL820">
            <v>0</v>
          </cell>
          <cell r="AM820">
            <v>15</v>
          </cell>
          <cell r="AN820">
            <v>22</v>
          </cell>
          <cell r="AO820">
            <v>34</v>
          </cell>
          <cell r="AP820">
            <v>49</v>
          </cell>
          <cell r="AQ820">
            <v>57</v>
          </cell>
          <cell r="AR820">
            <v>92</v>
          </cell>
          <cell r="AS820">
            <v>73</v>
          </cell>
        </row>
        <row r="821">
          <cell r="B821">
            <v>17031804804</v>
          </cell>
          <cell r="D821">
            <v>3665</v>
          </cell>
          <cell r="E821">
            <v>297</v>
          </cell>
          <cell r="F821">
            <v>3208</v>
          </cell>
          <cell r="G821">
            <v>275</v>
          </cell>
          <cell r="H821">
            <v>3002</v>
          </cell>
          <cell r="I821">
            <v>296</v>
          </cell>
          <cell r="J821">
            <v>206</v>
          </cell>
          <cell r="K821">
            <v>94</v>
          </cell>
          <cell r="L821">
            <v>150</v>
          </cell>
          <cell r="M821">
            <v>76</v>
          </cell>
          <cell r="N821">
            <v>34</v>
          </cell>
          <cell r="O821">
            <v>42</v>
          </cell>
          <cell r="P821">
            <v>5</v>
          </cell>
          <cell r="Q821">
            <v>12</v>
          </cell>
          <cell r="R821">
            <v>17</v>
          </cell>
          <cell r="S821">
            <v>27</v>
          </cell>
          <cell r="T821">
            <v>0</v>
          </cell>
          <cell r="U821">
            <v>15</v>
          </cell>
          <cell r="V821">
            <v>254</v>
          </cell>
          <cell r="W821">
            <v>107</v>
          </cell>
          <cell r="X821">
            <v>27</v>
          </cell>
          <cell r="Y821">
            <v>32</v>
          </cell>
          <cell r="Z821">
            <v>0</v>
          </cell>
          <cell r="AA821">
            <v>15</v>
          </cell>
          <cell r="AB821">
            <v>8</v>
          </cell>
          <cell r="AC821">
            <v>16</v>
          </cell>
          <cell r="AD821">
            <v>219</v>
          </cell>
          <cell r="AE821">
            <v>101</v>
          </cell>
          <cell r="AF821">
            <v>0</v>
          </cell>
          <cell r="AG821">
            <v>15</v>
          </cell>
          <cell r="AH821">
            <v>0</v>
          </cell>
          <cell r="AI821">
            <v>15</v>
          </cell>
          <cell r="AJ821">
            <v>0</v>
          </cell>
          <cell r="AK821">
            <v>15</v>
          </cell>
          <cell r="AL821">
            <v>0</v>
          </cell>
          <cell r="AM821">
            <v>15</v>
          </cell>
          <cell r="AN821">
            <v>67</v>
          </cell>
          <cell r="AO821">
            <v>52</v>
          </cell>
          <cell r="AP821">
            <v>16</v>
          </cell>
          <cell r="AQ821">
            <v>24</v>
          </cell>
          <cell r="AR821">
            <v>120</v>
          </cell>
          <cell r="AS821">
            <v>70</v>
          </cell>
        </row>
        <row r="822">
          <cell r="B822">
            <v>17031804805</v>
          </cell>
          <cell r="D822">
            <v>3447</v>
          </cell>
          <cell r="E822">
            <v>270</v>
          </cell>
          <cell r="F822">
            <v>2879</v>
          </cell>
          <cell r="G822">
            <v>308</v>
          </cell>
          <cell r="H822">
            <v>2636</v>
          </cell>
          <cell r="I822">
            <v>291</v>
          </cell>
          <cell r="J822">
            <v>243</v>
          </cell>
          <cell r="K822">
            <v>138</v>
          </cell>
          <cell r="L822">
            <v>201</v>
          </cell>
          <cell r="M822">
            <v>134</v>
          </cell>
          <cell r="N822">
            <v>42</v>
          </cell>
          <cell r="O822">
            <v>48</v>
          </cell>
          <cell r="P822">
            <v>0</v>
          </cell>
          <cell r="Q822">
            <v>15</v>
          </cell>
          <cell r="R822">
            <v>0</v>
          </cell>
          <cell r="S822">
            <v>15</v>
          </cell>
          <cell r="T822">
            <v>0</v>
          </cell>
          <cell r="U822">
            <v>15</v>
          </cell>
          <cell r="V822">
            <v>166</v>
          </cell>
          <cell r="W822">
            <v>73</v>
          </cell>
          <cell r="X822">
            <v>0</v>
          </cell>
          <cell r="Y822">
            <v>15</v>
          </cell>
          <cell r="Z822">
            <v>0</v>
          </cell>
          <cell r="AA822">
            <v>15</v>
          </cell>
          <cell r="AB822">
            <v>10</v>
          </cell>
          <cell r="AC822">
            <v>17</v>
          </cell>
          <cell r="AD822">
            <v>156</v>
          </cell>
          <cell r="AE822">
            <v>71</v>
          </cell>
          <cell r="AF822">
            <v>0</v>
          </cell>
          <cell r="AG822">
            <v>15</v>
          </cell>
          <cell r="AH822">
            <v>0</v>
          </cell>
          <cell r="AI822">
            <v>15</v>
          </cell>
          <cell r="AJ822">
            <v>0</v>
          </cell>
          <cell r="AK822">
            <v>15</v>
          </cell>
          <cell r="AL822">
            <v>0</v>
          </cell>
          <cell r="AM822">
            <v>15</v>
          </cell>
          <cell r="AN822">
            <v>195</v>
          </cell>
          <cell r="AO822">
            <v>144</v>
          </cell>
          <cell r="AP822">
            <v>6</v>
          </cell>
          <cell r="AQ822">
            <v>10</v>
          </cell>
          <cell r="AR822">
            <v>201</v>
          </cell>
          <cell r="AS822">
            <v>129</v>
          </cell>
        </row>
        <row r="823">
          <cell r="B823">
            <v>17031804806</v>
          </cell>
          <cell r="D823">
            <v>2074</v>
          </cell>
          <cell r="E823">
            <v>266</v>
          </cell>
          <cell r="F823">
            <v>1905</v>
          </cell>
          <cell r="G823">
            <v>261</v>
          </cell>
          <cell r="H823">
            <v>1657</v>
          </cell>
          <cell r="I823">
            <v>255</v>
          </cell>
          <cell r="J823">
            <v>248</v>
          </cell>
          <cell r="K823">
            <v>134</v>
          </cell>
          <cell r="L823">
            <v>207</v>
          </cell>
          <cell r="M823">
            <v>126</v>
          </cell>
          <cell r="N823">
            <v>0</v>
          </cell>
          <cell r="O823">
            <v>11</v>
          </cell>
          <cell r="P823">
            <v>35</v>
          </cell>
          <cell r="Q823">
            <v>51</v>
          </cell>
          <cell r="R823">
            <v>0</v>
          </cell>
          <cell r="S823">
            <v>11</v>
          </cell>
          <cell r="T823">
            <v>6</v>
          </cell>
          <cell r="U823">
            <v>13</v>
          </cell>
          <cell r="V823">
            <v>4</v>
          </cell>
          <cell r="W823">
            <v>9</v>
          </cell>
          <cell r="X823">
            <v>0</v>
          </cell>
          <cell r="Y823">
            <v>11</v>
          </cell>
          <cell r="Z823">
            <v>0</v>
          </cell>
          <cell r="AA823">
            <v>11</v>
          </cell>
          <cell r="AB823">
            <v>0</v>
          </cell>
          <cell r="AC823">
            <v>11</v>
          </cell>
          <cell r="AD823">
            <v>4</v>
          </cell>
          <cell r="AE823">
            <v>9</v>
          </cell>
          <cell r="AF823">
            <v>0</v>
          </cell>
          <cell r="AG823">
            <v>11</v>
          </cell>
          <cell r="AH823">
            <v>0</v>
          </cell>
          <cell r="AI823">
            <v>11</v>
          </cell>
          <cell r="AJ823">
            <v>0</v>
          </cell>
          <cell r="AK823">
            <v>11</v>
          </cell>
          <cell r="AL823">
            <v>28</v>
          </cell>
          <cell r="AM823">
            <v>44</v>
          </cell>
          <cell r="AN823">
            <v>34</v>
          </cell>
          <cell r="AO823">
            <v>31</v>
          </cell>
          <cell r="AP823">
            <v>8</v>
          </cell>
          <cell r="AQ823">
            <v>13</v>
          </cell>
          <cell r="AR823">
            <v>95</v>
          </cell>
          <cell r="AS823">
            <v>65</v>
          </cell>
        </row>
        <row r="824">
          <cell r="B824">
            <v>17031804807</v>
          </cell>
          <cell r="D824">
            <v>2409</v>
          </cell>
          <cell r="E824">
            <v>236</v>
          </cell>
          <cell r="F824">
            <v>2079</v>
          </cell>
          <cell r="G824">
            <v>252</v>
          </cell>
          <cell r="H824">
            <v>1959</v>
          </cell>
          <cell r="I824">
            <v>255</v>
          </cell>
          <cell r="J824">
            <v>120</v>
          </cell>
          <cell r="K824">
            <v>90</v>
          </cell>
          <cell r="L824">
            <v>120</v>
          </cell>
          <cell r="M824">
            <v>90</v>
          </cell>
          <cell r="N824">
            <v>0</v>
          </cell>
          <cell r="O824">
            <v>11</v>
          </cell>
          <cell r="P824">
            <v>0</v>
          </cell>
          <cell r="Q824">
            <v>11</v>
          </cell>
          <cell r="R824">
            <v>0</v>
          </cell>
          <cell r="S824">
            <v>11</v>
          </cell>
          <cell r="T824">
            <v>0</v>
          </cell>
          <cell r="U824">
            <v>11</v>
          </cell>
          <cell r="V824">
            <v>87</v>
          </cell>
          <cell r="W824">
            <v>45</v>
          </cell>
          <cell r="X824">
            <v>8</v>
          </cell>
          <cell r="Y824">
            <v>13</v>
          </cell>
          <cell r="Z824">
            <v>0</v>
          </cell>
          <cell r="AA824">
            <v>11</v>
          </cell>
          <cell r="AB824">
            <v>0</v>
          </cell>
          <cell r="AC824">
            <v>11</v>
          </cell>
          <cell r="AD824">
            <v>79</v>
          </cell>
          <cell r="AE824">
            <v>44</v>
          </cell>
          <cell r="AF824">
            <v>0</v>
          </cell>
          <cell r="AG824">
            <v>11</v>
          </cell>
          <cell r="AH824">
            <v>16</v>
          </cell>
          <cell r="AI824">
            <v>25</v>
          </cell>
          <cell r="AJ824">
            <v>0</v>
          </cell>
          <cell r="AK824">
            <v>11</v>
          </cell>
          <cell r="AL824">
            <v>23</v>
          </cell>
          <cell r="AM824">
            <v>30</v>
          </cell>
          <cell r="AN824">
            <v>26</v>
          </cell>
          <cell r="AO824">
            <v>21</v>
          </cell>
          <cell r="AP824">
            <v>45</v>
          </cell>
          <cell r="AQ824">
            <v>53</v>
          </cell>
          <cell r="AR824">
            <v>133</v>
          </cell>
          <cell r="AS824">
            <v>75</v>
          </cell>
        </row>
        <row r="825">
          <cell r="B825">
            <v>17031804808</v>
          </cell>
          <cell r="D825">
            <v>1396</v>
          </cell>
          <cell r="E825">
            <v>118</v>
          </cell>
          <cell r="F825">
            <v>1275</v>
          </cell>
          <cell r="G825">
            <v>130</v>
          </cell>
          <cell r="H825">
            <v>1129</v>
          </cell>
          <cell r="I825">
            <v>110</v>
          </cell>
          <cell r="J825">
            <v>146</v>
          </cell>
          <cell r="K825">
            <v>56</v>
          </cell>
          <cell r="L825">
            <v>126</v>
          </cell>
          <cell r="M825">
            <v>57</v>
          </cell>
          <cell r="N825">
            <v>20</v>
          </cell>
          <cell r="O825">
            <v>22</v>
          </cell>
          <cell r="P825">
            <v>0</v>
          </cell>
          <cell r="Q825">
            <v>11</v>
          </cell>
          <cell r="R825">
            <v>0</v>
          </cell>
          <cell r="S825">
            <v>11</v>
          </cell>
          <cell r="T825">
            <v>0</v>
          </cell>
          <cell r="U825">
            <v>11</v>
          </cell>
          <cell r="V825">
            <v>65</v>
          </cell>
          <cell r="W825">
            <v>27</v>
          </cell>
          <cell r="X825">
            <v>0</v>
          </cell>
          <cell r="Y825">
            <v>11</v>
          </cell>
          <cell r="Z825">
            <v>0</v>
          </cell>
          <cell r="AA825">
            <v>11</v>
          </cell>
          <cell r="AB825">
            <v>0</v>
          </cell>
          <cell r="AC825">
            <v>11</v>
          </cell>
          <cell r="AD825">
            <v>65</v>
          </cell>
          <cell r="AE825">
            <v>27</v>
          </cell>
          <cell r="AF825">
            <v>0</v>
          </cell>
          <cell r="AG825">
            <v>11</v>
          </cell>
          <cell r="AH825">
            <v>0</v>
          </cell>
          <cell r="AI825">
            <v>11</v>
          </cell>
          <cell r="AJ825">
            <v>0</v>
          </cell>
          <cell r="AK825">
            <v>11</v>
          </cell>
          <cell r="AL825">
            <v>0</v>
          </cell>
          <cell r="AM825">
            <v>11</v>
          </cell>
          <cell r="AN825">
            <v>9</v>
          </cell>
          <cell r="AO825">
            <v>9</v>
          </cell>
          <cell r="AP825">
            <v>3</v>
          </cell>
          <cell r="AQ825">
            <v>5</v>
          </cell>
          <cell r="AR825">
            <v>44</v>
          </cell>
          <cell r="AS825">
            <v>45</v>
          </cell>
        </row>
        <row r="826">
          <cell r="B826">
            <v>17031804809</v>
          </cell>
          <cell r="D826">
            <v>2282</v>
          </cell>
          <cell r="E826">
            <v>173</v>
          </cell>
          <cell r="F826">
            <v>2056</v>
          </cell>
          <cell r="G826">
            <v>175</v>
          </cell>
          <cell r="H826">
            <v>1956</v>
          </cell>
          <cell r="I826">
            <v>168</v>
          </cell>
          <cell r="J826">
            <v>100</v>
          </cell>
          <cell r="K826">
            <v>69</v>
          </cell>
          <cell r="L826">
            <v>70</v>
          </cell>
          <cell r="M826">
            <v>61</v>
          </cell>
          <cell r="N826">
            <v>18</v>
          </cell>
          <cell r="O826">
            <v>21</v>
          </cell>
          <cell r="P826">
            <v>0</v>
          </cell>
          <cell r="Q826">
            <v>11</v>
          </cell>
          <cell r="R826">
            <v>0</v>
          </cell>
          <cell r="S826">
            <v>11</v>
          </cell>
          <cell r="T826">
            <v>12</v>
          </cell>
          <cell r="U826">
            <v>18</v>
          </cell>
          <cell r="V826">
            <v>135</v>
          </cell>
          <cell r="W826">
            <v>71</v>
          </cell>
          <cell r="X826">
            <v>0</v>
          </cell>
          <cell r="Y826">
            <v>11</v>
          </cell>
          <cell r="Z826">
            <v>0</v>
          </cell>
          <cell r="AA826">
            <v>11</v>
          </cell>
          <cell r="AB826">
            <v>0</v>
          </cell>
          <cell r="AC826">
            <v>11</v>
          </cell>
          <cell r="AD826">
            <v>135</v>
          </cell>
          <cell r="AE826">
            <v>71</v>
          </cell>
          <cell r="AF826">
            <v>0</v>
          </cell>
          <cell r="AG826">
            <v>11</v>
          </cell>
          <cell r="AH826">
            <v>0</v>
          </cell>
          <cell r="AI826">
            <v>11</v>
          </cell>
          <cell r="AJ826">
            <v>0</v>
          </cell>
          <cell r="AK826">
            <v>11</v>
          </cell>
          <cell r="AL826">
            <v>13</v>
          </cell>
          <cell r="AM826">
            <v>20</v>
          </cell>
          <cell r="AN826">
            <v>0</v>
          </cell>
          <cell r="AO826">
            <v>11</v>
          </cell>
          <cell r="AP826">
            <v>0</v>
          </cell>
          <cell r="AQ826">
            <v>11</v>
          </cell>
          <cell r="AR826">
            <v>78</v>
          </cell>
          <cell r="AS826">
            <v>44</v>
          </cell>
        </row>
        <row r="827">
          <cell r="B827">
            <v>17031804810</v>
          </cell>
          <cell r="D827">
            <v>3345</v>
          </cell>
          <cell r="E827">
            <v>290</v>
          </cell>
          <cell r="F827">
            <v>3185</v>
          </cell>
          <cell r="G827">
            <v>296</v>
          </cell>
          <cell r="H827">
            <v>3028</v>
          </cell>
          <cell r="I827">
            <v>285</v>
          </cell>
          <cell r="J827">
            <v>157</v>
          </cell>
          <cell r="K827">
            <v>114</v>
          </cell>
          <cell r="L827">
            <v>157</v>
          </cell>
          <cell r="M827">
            <v>114</v>
          </cell>
          <cell r="N827">
            <v>0</v>
          </cell>
          <cell r="O827">
            <v>15</v>
          </cell>
          <cell r="P827">
            <v>0</v>
          </cell>
          <cell r="Q827">
            <v>15</v>
          </cell>
          <cell r="R827">
            <v>0</v>
          </cell>
          <cell r="S827">
            <v>15</v>
          </cell>
          <cell r="T827">
            <v>0</v>
          </cell>
          <cell r="U827">
            <v>15</v>
          </cell>
          <cell r="V827">
            <v>94</v>
          </cell>
          <cell r="W827">
            <v>66</v>
          </cell>
          <cell r="X827">
            <v>13</v>
          </cell>
          <cell r="Y827">
            <v>22</v>
          </cell>
          <cell r="Z827">
            <v>0</v>
          </cell>
          <cell r="AA827">
            <v>15</v>
          </cell>
          <cell r="AB827">
            <v>0</v>
          </cell>
          <cell r="AC827">
            <v>15</v>
          </cell>
          <cell r="AD827">
            <v>81</v>
          </cell>
          <cell r="AE827">
            <v>61</v>
          </cell>
          <cell r="AF827">
            <v>0</v>
          </cell>
          <cell r="AG827">
            <v>15</v>
          </cell>
          <cell r="AH827">
            <v>0</v>
          </cell>
          <cell r="AI827">
            <v>15</v>
          </cell>
          <cell r="AJ827">
            <v>0</v>
          </cell>
          <cell r="AK827">
            <v>15</v>
          </cell>
          <cell r="AL827">
            <v>0</v>
          </cell>
          <cell r="AM827">
            <v>15</v>
          </cell>
          <cell r="AN827">
            <v>47</v>
          </cell>
          <cell r="AO827">
            <v>39</v>
          </cell>
          <cell r="AP827">
            <v>0</v>
          </cell>
          <cell r="AQ827">
            <v>15</v>
          </cell>
          <cell r="AR827">
            <v>19</v>
          </cell>
          <cell r="AS827">
            <v>30</v>
          </cell>
        </row>
        <row r="828">
          <cell r="B828">
            <v>17031804901</v>
          </cell>
          <cell r="D828">
            <v>3502</v>
          </cell>
          <cell r="E828">
            <v>375</v>
          </cell>
          <cell r="F828">
            <v>2876</v>
          </cell>
          <cell r="G828">
            <v>387</v>
          </cell>
          <cell r="H828">
            <v>2670</v>
          </cell>
          <cell r="I828">
            <v>358</v>
          </cell>
          <cell r="J828">
            <v>206</v>
          </cell>
          <cell r="K828">
            <v>147</v>
          </cell>
          <cell r="L828">
            <v>135</v>
          </cell>
          <cell r="M828">
            <v>91</v>
          </cell>
          <cell r="N828">
            <v>0</v>
          </cell>
          <cell r="O828">
            <v>15</v>
          </cell>
          <cell r="P828">
            <v>71</v>
          </cell>
          <cell r="Q828">
            <v>114</v>
          </cell>
          <cell r="R828">
            <v>0</v>
          </cell>
          <cell r="S828">
            <v>15</v>
          </cell>
          <cell r="T828">
            <v>0</v>
          </cell>
          <cell r="U828">
            <v>15</v>
          </cell>
          <cell r="V828">
            <v>388</v>
          </cell>
          <cell r="W828">
            <v>135</v>
          </cell>
          <cell r="X828">
            <v>0</v>
          </cell>
          <cell r="Y828">
            <v>15</v>
          </cell>
          <cell r="Z828">
            <v>0</v>
          </cell>
          <cell r="AA828">
            <v>15</v>
          </cell>
          <cell r="AB828">
            <v>65</v>
          </cell>
          <cell r="AC828">
            <v>57</v>
          </cell>
          <cell r="AD828">
            <v>323</v>
          </cell>
          <cell r="AE828">
            <v>126</v>
          </cell>
          <cell r="AF828">
            <v>0</v>
          </cell>
          <cell r="AG828">
            <v>15</v>
          </cell>
          <cell r="AH828">
            <v>0</v>
          </cell>
          <cell r="AI828">
            <v>15</v>
          </cell>
          <cell r="AJ828">
            <v>0</v>
          </cell>
          <cell r="AK828">
            <v>15</v>
          </cell>
          <cell r="AL828">
            <v>17</v>
          </cell>
          <cell r="AM828">
            <v>27</v>
          </cell>
          <cell r="AN828">
            <v>63</v>
          </cell>
          <cell r="AO828">
            <v>39</v>
          </cell>
          <cell r="AP828">
            <v>15</v>
          </cell>
          <cell r="AQ828">
            <v>25</v>
          </cell>
          <cell r="AR828">
            <v>143</v>
          </cell>
          <cell r="AS828">
            <v>75</v>
          </cell>
        </row>
        <row r="829">
          <cell r="B829">
            <v>17031804902</v>
          </cell>
          <cell r="D829">
            <v>2656</v>
          </cell>
          <cell r="E829">
            <v>330</v>
          </cell>
          <cell r="F829">
            <v>2333</v>
          </cell>
          <cell r="G829">
            <v>311</v>
          </cell>
          <cell r="H829">
            <v>2190</v>
          </cell>
          <cell r="I829">
            <v>306</v>
          </cell>
          <cell r="J829">
            <v>143</v>
          </cell>
          <cell r="K829">
            <v>89</v>
          </cell>
          <cell r="L829">
            <v>125</v>
          </cell>
          <cell r="M829">
            <v>85</v>
          </cell>
          <cell r="N829">
            <v>18</v>
          </cell>
          <cell r="O829">
            <v>26</v>
          </cell>
          <cell r="P829">
            <v>0</v>
          </cell>
          <cell r="Q829">
            <v>15</v>
          </cell>
          <cell r="R829">
            <v>0</v>
          </cell>
          <cell r="S829">
            <v>15</v>
          </cell>
          <cell r="T829">
            <v>0</v>
          </cell>
          <cell r="U829">
            <v>15</v>
          </cell>
          <cell r="V829">
            <v>163</v>
          </cell>
          <cell r="W829">
            <v>92</v>
          </cell>
          <cell r="X829">
            <v>29</v>
          </cell>
          <cell r="Y829">
            <v>46</v>
          </cell>
          <cell r="Z829">
            <v>0</v>
          </cell>
          <cell r="AA829">
            <v>15</v>
          </cell>
          <cell r="AB829">
            <v>16</v>
          </cell>
          <cell r="AC829">
            <v>24</v>
          </cell>
          <cell r="AD829">
            <v>118</v>
          </cell>
          <cell r="AE829">
            <v>78</v>
          </cell>
          <cell r="AF829">
            <v>0</v>
          </cell>
          <cell r="AG829">
            <v>15</v>
          </cell>
          <cell r="AH829">
            <v>0</v>
          </cell>
          <cell r="AI829">
            <v>15</v>
          </cell>
          <cell r="AJ829">
            <v>0</v>
          </cell>
          <cell r="AK829">
            <v>15</v>
          </cell>
          <cell r="AL829">
            <v>0</v>
          </cell>
          <cell r="AM829">
            <v>15</v>
          </cell>
          <cell r="AN829">
            <v>60</v>
          </cell>
          <cell r="AO829">
            <v>71</v>
          </cell>
          <cell r="AP829">
            <v>42</v>
          </cell>
          <cell r="AQ829">
            <v>40</v>
          </cell>
          <cell r="AR829">
            <v>58</v>
          </cell>
          <cell r="AS829">
            <v>60</v>
          </cell>
        </row>
        <row r="830">
          <cell r="B830">
            <v>17031805001</v>
          </cell>
          <cell r="D830">
            <v>2424</v>
          </cell>
          <cell r="E830">
            <v>227</v>
          </cell>
          <cell r="F830">
            <v>2010</v>
          </cell>
          <cell r="G830">
            <v>222</v>
          </cell>
          <cell r="H830">
            <v>1850</v>
          </cell>
          <cell r="I830">
            <v>224</v>
          </cell>
          <cell r="J830">
            <v>160</v>
          </cell>
          <cell r="K830">
            <v>68</v>
          </cell>
          <cell r="L830">
            <v>128</v>
          </cell>
          <cell r="M830">
            <v>63</v>
          </cell>
          <cell r="N830">
            <v>16</v>
          </cell>
          <cell r="O830">
            <v>19</v>
          </cell>
          <cell r="P830">
            <v>0</v>
          </cell>
          <cell r="Q830">
            <v>11</v>
          </cell>
          <cell r="R830">
            <v>0</v>
          </cell>
          <cell r="S830">
            <v>11</v>
          </cell>
          <cell r="T830">
            <v>16</v>
          </cell>
          <cell r="U830">
            <v>19</v>
          </cell>
          <cell r="V830">
            <v>215</v>
          </cell>
          <cell r="W830">
            <v>82</v>
          </cell>
          <cell r="X830">
            <v>9</v>
          </cell>
          <cell r="Y830">
            <v>14</v>
          </cell>
          <cell r="Z830">
            <v>0</v>
          </cell>
          <cell r="AA830">
            <v>11</v>
          </cell>
          <cell r="AB830">
            <v>0</v>
          </cell>
          <cell r="AC830">
            <v>11</v>
          </cell>
          <cell r="AD830">
            <v>206</v>
          </cell>
          <cell r="AE830">
            <v>81</v>
          </cell>
          <cell r="AF830">
            <v>0</v>
          </cell>
          <cell r="AG830">
            <v>11</v>
          </cell>
          <cell r="AH830">
            <v>0</v>
          </cell>
          <cell r="AI830">
            <v>11</v>
          </cell>
          <cell r="AJ830">
            <v>0</v>
          </cell>
          <cell r="AK830">
            <v>11</v>
          </cell>
          <cell r="AL830">
            <v>0</v>
          </cell>
          <cell r="AM830">
            <v>11</v>
          </cell>
          <cell r="AN830">
            <v>23</v>
          </cell>
          <cell r="AO830">
            <v>24</v>
          </cell>
          <cell r="AP830">
            <v>22</v>
          </cell>
          <cell r="AQ830">
            <v>24</v>
          </cell>
          <cell r="AR830">
            <v>154</v>
          </cell>
          <cell r="AS830">
            <v>100</v>
          </cell>
        </row>
        <row r="831">
          <cell r="B831">
            <v>17031805002</v>
          </cell>
          <cell r="D831">
            <v>3683</v>
          </cell>
          <cell r="E831">
            <v>409</v>
          </cell>
          <cell r="F831">
            <v>3279</v>
          </cell>
          <cell r="G831">
            <v>418</v>
          </cell>
          <cell r="H831">
            <v>2796</v>
          </cell>
          <cell r="I831">
            <v>317</v>
          </cell>
          <cell r="J831">
            <v>483</v>
          </cell>
          <cell r="K831">
            <v>268</v>
          </cell>
          <cell r="L831">
            <v>256</v>
          </cell>
          <cell r="M831">
            <v>127</v>
          </cell>
          <cell r="N831">
            <v>202</v>
          </cell>
          <cell r="O831">
            <v>247</v>
          </cell>
          <cell r="P831">
            <v>25</v>
          </cell>
          <cell r="Q831">
            <v>40</v>
          </cell>
          <cell r="R831">
            <v>0</v>
          </cell>
          <cell r="S831">
            <v>15</v>
          </cell>
          <cell r="T831">
            <v>0</v>
          </cell>
          <cell r="U831">
            <v>15</v>
          </cell>
          <cell r="V831">
            <v>216</v>
          </cell>
          <cell r="W831">
            <v>113</v>
          </cell>
          <cell r="X831">
            <v>24</v>
          </cell>
          <cell r="Y831">
            <v>27</v>
          </cell>
          <cell r="Z831">
            <v>31</v>
          </cell>
          <cell r="AA831">
            <v>35</v>
          </cell>
          <cell r="AB831">
            <v>0</v>
          </cell>
          <cell r="AC831">
            <v>15</v>
          </cell>
          <cell r="AD831">
            <v>161</v>
          </cell>
          <cell r="AE831">
            <v>98</v>
          </cell>
          <cell r="AF831">
            <v>0</v>
          </cell>
          <cell r="AG831">
            <v>15</v>
          </cell>
          <cell r="AH831">
            <v>28</v>
          </cell>
          <cell r="AI831">
            <v>32</v>
          </cell>
          <cell r="AJ831">
            <v>0</v>
          </cell>
          <cell r="AK831">
            <v>15</v>
          </cell>
          <cell r="AL831">
            <v>30</v>
          </cell>
          <cell r="AM831">
            <v>35</v>
          </cell>
          <cell r="AN831">
            <v>6</v>
          </cell>
          <cell r="AO831">
            <v>9</v>
          </cell>
          <cell r="AP831">
            <v>78</v>
          </cell>
          <cell r="AQ831">
            <v>79</v>
          </cell>
          <cell r="AR831">
            <v>46</v>
          </cell>
          <cell r="AS831">
            <v>41</v>
          </cell>
        </row>
        <row r="832">
          <cell r="B832">
            <v>17031805105</v>
          </cell>
          <cell r="D832">
            <v>3644</v>
          </cell>
          <cell r="E832">
            <v>362</v>
          </cell>
          <cell r="F832">
            <v>3152</v>
          </cell>
          <cell r="G832">
            <v>398</v>
          </cell>
          <cell r="H832">
            <v>2563</v>
          </cell>
          <cell r="I832">
            <v>338</v>
          </cell>
          <cell r="J832">
            <v>589</v>
          </cell>
          <cell r="K832">
            <v>326</v>
          </cell>
          <cell r="L832">
            <v>551</v>
          </cell>
          <cell r="M832">
            <v>312</v>
          </cell>
          <cell r="N832">
            <v>38</v>
          </cell>
          <cell r="O832">
            <v>65</v>
          </cell>
          <cell r="P832">
            <v>0</v>
          </cell>
          <cell r="Q832">
            <v>15</v>
          </cell>
          <cell r="R832">
            <v>0</v>
          </cell>
          <cell r="S832">
            <v>15</v>
          </cell>
          <cell r="T832">
            <v>0</v>
          </cell>
          <cell r="U832">
            <v>15</v>
          </cell>
          <cell r="V832">
            <v>227</v>
          </cell>
          <cell r="W832">
            <v>123</v>
          </cell>
          <cell r="X832">
            <v>35</v>
          </cell>
          <cell r="Y832">
            <v>48</v>
          </cell>
          <cell r="Z832">
            <v>0</v>
          </cell>
          <cell r="AA832">
            <v>15</v>
          </cell>
          <cell r="AB832">
            <v>0</v>
          </cell>
          <cell r="AC832">
            <v>15</v>
          </cell>
          <cell r="AD832">
            <v>192</v>
          </cell>
          <cell r="AE832">
            <v>111</v>
          </cell>
          <cell r="AF832">
            <v>0</v>
          </cell>
          <cell r="AG832">
            <v>15</v>
          </cell>
          <cell r="AH832">
            <v>49</v>
          </cell>
          <cell r="AI832">
            <v>77</v>
          </cell>
          <cell r="AJ832">
            <v>0</v>
          </cell>
          <cell r="AK832">
            <v>15</v>
          </cell>
          <cell r="AL832">
            <v>0</v>
          </cell>
          <cell r="AM832">
            <v>15</v>
          </cell>
          <cell r="AN832">
            <v>133</v>
          </cell>
          <cell r="AO832">
            <v>115</v>
          </cell>
          <cell r="AP832">
            <v>14</v>
          </cell>
          <cell r="AQ832">
            <v>21</v>
          </cell>
          <cell r="AR832">
            <v>69</v>
          </cell>
          <cell r="AS832">
            <v>58</v>
          </cell>
        </row>
        <row r="833">
          <cell r="B833">
            <v>17031805106</v>
          </cell>
          <cell r="D833">
            <v>1529</v>
          </cell>
          <cell r="E833">
            <v>171</v>
          </cell>
          <cell r="F833">
            <v>1364</v>
          </cell>
          <cell r="G833">
            <v>159</v>
          </cell>
          <cell r="H833">
            <v>1320</v>
          </cell>
          <cell r="I833">
            <v>161</v>
          </cell>
          <cell r="J833">
            <v>44</v>
          </cell>
          <cell r="K833">
            <v>37</v>
          </cell>
          <cell r="L833">
            <v>27</v>
          </cell>
          <cell r="M833">
            <v>31</v>
          </cell>
          <cell r="N833">
            <v>11</v>
          </cell>
          <cell r="O833">
            <v>15</v>
          </cell>
          <cell r="P833">
            <v>6</v>
          </cell>
          <cell r="Q833">
            <v>10</v>
          </cell>
          <cell r="R833">
            <v>0</v>
          </cell>
          <cell r="S833">
            <v>11</v>
          </cell>
          <cell r="T833">
            <v>0</v>
          </cell>
          <cell r="U833">
            <v>11</v>
          </cell>
          <cell r="V833">
            <v>77</v>
          </cell>
          <cell r="W833">
            <v>40</v>
          </cell>
          <cell r="X833">
            <v>0</v>
          </cell>
          <cell r="Y833">
            <v>11</v>
          </cell>
          <cell r="Z833">
            <v>0</v>
          </cell>
          <cell r="AA833">
            <v>11</v>
          </cell>
          <cell r="AB833">
            <v>9</v>
          </cell>
          <cell r="AC833">
            <v>14</v>
          </cell>
          <cell r="AD833">
            <v>68</v>
          </cell>
          <cell r="AE833">
            <v>40</v>
          </cell>
          <cell r="AF833">
            <v>0</v>
          </cell>
          <cell r="AG833">
            <v>11</v>
          </cell>
          <cell r="AH833">
            <v>0</v>
          </cell>
          <cell r="AI833">
            <v>11</v>
          </cell>
          <cell r="AJ833">
            <v>0</v>
          </cell>
          <cell r="AK833">
            <v>11</v>
          </cell>
          <cell r="AL833">
            <v>6</v>
          </cell>
          <cell r="AM833">
            <v>9</v>
          </cell>
          <cell r="AN833">
            <v>11</v>
          </cell>
          <cell r="AO833">
            <v>17</v>
          </cell>
          <cell r="AP833">
            <v>8</v>
          </cell>
          <cell r="AQ833">
            <v>14</v>
          </cell>
          <cell r="AR833">
            <v>63</v>
          </cell>
          <cell r="AS833">
            <v>39</v>
          </cell>
        </row>
        <row r="834">
          <cell r="B834">
            <v>17031805107</v>
          </cell>
          <cell r="D834">
            <v>3622</v>
          </cell>
          <cell r="E834">
            <v>414</v>
          </cell>
          <cell r="F834">
            <v>3217</v>
          </cell>
          <cell r="G834">
            <v>401</v>
          </cell>
          <cell r="H834">
            <v>2892</v>
          </cell>
          <cell r="I834">
            <v>354</v>
          </cell>
          <cell r="J834">
            <v>325</v>
          </cell>
          <cell r="K834">
            <v>172</v>
          </cell>
          <cell r="L834">
            <v>252</v>
          </cell>
          <cell r="M834">
            <v>167</v>
          </cell>
          <cell r="N834">
            <v>0</v>
          </cell>
          <cell r="O834">
            <v>15</v>
          </cell>
          <cell r="P834">
            <v>0</v>
          </cell>
          <cell r="Q834">
            <v>15</v>
          </cell>
          <cell r="R834">
            <v>0</v>
          </cell>
          <cell r="S834">
            <v>15</v>
          </cell>
          <cell r="T834">
            <v>73</v>
          </cell>
          <cell r="U834">
            <v>65</v>
          </cell>
          <cell r="V834">
            <v>106</v>
          </cell>
          <cell r="W834">
            <v>69</v>
          </cell>
          <cell r="X834">
            <v>0</v>
          </cell>
          <cell r="Y834">
            <v>15</v>
          </cell>
          <cell r="Z834">
            <v>0</v>
          </cell>
          <cell r="AA834">
            <v>15</v>
          </cell>
          <cell r="AB834">
            <v>9</v>
          </cell>
          <cell r="AC834">
            <v>21</v>
          </cell>
          <cell r="AD834">
            <v>97</v>
          </cell>
          <cell r="AE834">
            <v>66</v>
          </cell>
          <cell r="AF834">
            <v>0</v>
          </cell>
          <cell r="AG834">
            <v>15</v>
          </cell>
          <cell r="AH834">
            <v>0</v>
          </cell>
          <cell r="AI834">
            <v>15</v>
          </cell>
          <cell r="AJ834">
            <v>0</v>
          </cell>
          <cell r="AK834">
            <v>15</v>
          </cell>
          <cell r="AL834">
            <v>56</v>
          </cell>
          <cell r="AM834">
            <v>90</v>
          </cell>
          <cell r="AN834">
            <v>161</v>
          </cell>
          <cell r="AO834">
            <v>144</v>
          </cell>
          <cell r="AP834">
            <v>26</v>
          </cell>
          <cell r="AQ834">
            <v>29</v>
          </cell>
          <cell r="AR834">
            <v>56</v>
          </cell>
          <cell r="AS834">
            <v>45</v>
          </cell>
        </row>
        <row r="835">
          <cell r="B835">
            <v>17031805108</v>
          </cell>
          <cell r="D835">
            <v>3420</v>
          </cell>
          <cell r="E835">
            <v>385</v>
          </cell>
          <cell r="F835">
            <v>2846</v>
          </cell>
          <cell r="G835">
            <v>370</v>
          </cell>
          <cell r="H835">
            <v>2278</v>
          </cell>
          <cell r="I835">
            <v>364</v>
          </cell>
          <cell r="J835">
            <v>568</v>
          </cell>
          <cell r="K835">
            <v>190</v>
          </cell>
          <cell r="L835">
            <v>458</v>
          </cell>
          <cell r="M835">
            <v>186</v>
          </cell>
          <cell r="N835">
            <v>77</v>
          </cell>
          <cell r="O835">
            <v>123</v>
          </cell>
          <cell r="P835">
            <v>33</v>
          </cell>
          <cell r="Q835">
            <v>37</v>
          </cell>
          <cell r="R835">
            <v>0</v>
          </cell>
          <cell r="S835">
            <v>15</v>
          </cell>
          <cell r="T835">
            <v>0</v>
          </cell>
          <cell r="U835">
            <v>15</v>
          </cell>
          <cell r="V835">
            <v>197</v>
          </cell>
          <cell r="W835">
            <v>121</v>
          </cell>
          <cell r="X835">
            <v>69</v>
          </cell>
          <cell r="Y835">
            <v>96</v>
          </cell>
          <cell r="Z835">
            <v>0</v>
          </cell>
          <cell r="AA835">
            <v>15</v>
          </cell>
          <cell r="AB835">
            <v>12</v>
          </cell>
          <cell r="AC835">
            <v>20</v>
          </cell>
          <cell r="AD835">
            <v>116</v>
          </cell>
          <cell r="AE835">
            <v>81</v>
          </cell>
          <cell r="AF835">
            <v>0</v>
          </cell>
          <cell r="AG835">
            <v>15</v>
          </cell>
          <cell r="AH835">
            <v>11</v>
          </cell>
          <cell r="AI835">
            <v>18</v>
          </cell>
          <cell r="AJ835">
            <v>0</v>
          </cell>
          <cell r="AK835">
            <v>15</v>
          </cell>
          <cell r="AL835">
            <v>52</v>
          </cell>
          <cell r="AM835">
            <v>63</v>
          </cell>
          <cell r="AN835">
            <v>155</v>
          </cell>
          <cell r="AO835">
            <v>151</v>
          </cell>
          <cell r="AP835">
            <v>13</v>
          </cell>
          <cell r="AQ835">
            <v>21</v>
          </cell>
          <cell r="AR835">
            <v>146</v>
          </cell>
          <cell r="AS835">
            <v>78</v>
          </cell>
        </row>
        <row r="836">
          <cell r="B836">
            <v>17031805109</v>
          </cell>
          <cell r="D836">
            <v>2058</v>
          </cell>
          <cell r="E836">
            <v>180</v>
          </cell>
          <cell r="F836">
            <v>1812</v>
          </cell>
          <cell r="G836">
            <v>178</v>
          </cell>
          <cell r="H836">
            <v>1685</v>
          </cell>
          <cell r="I836">
            <v>174</v>
          </cell>
          <cell r="J836">
            <v>127</v>
          </cell>
          <cell r="K836">
            <v>59</v>
          </cell>
          <cell r="L836">
            <v>119</v>
          </cell>
          <cell r="M836">
            <v>58</v>
          </cell>
          <cell r="N836">
            <v>8</v>
          </cell>
          <cell r="O836">
            <v>12</v>
          </cell>
          <cell r="P836">
            <v>0</v>
          </cell>
          <cell r="Q836">
            <v>11</v>
          </cell>
          <cell r="R836">
            <v>0</v>
          </cell>
          <cell r="S836">
            <v>11</v>
          </cell>
          <cell r="T836">
            <v>0</v>
          </cell>
          <cell r="U836">
            <v>11</v>
          </cell>
          <cell r="V836">
            <v>130</v>
          </cell>
          <cell r="W836">
            <v>64</v>
          </cell>
          <cell r="X836">
            <v>25</v>
          </cell>
          <cell r="Y836">
            <v>40</v>
          </cell>
          <cell r="Z836">
            <v>0</v>
          </cell>
          <cell r="AA836">
            <v>11</v>
          </cell>
          <cell r="AB836">
            <v>20</v>
          </cell>
          <cell r="AC836">
            <v>23</v>
          </cell>
          <cell r="AD836">
            <v>85</v>
          </cell>
          <cell r="AE836">
            <v>49</v>
          </cell>
          <cell r="AF836">
            <v>0</v>
          </cell>
          <cell r="AG836">
            <v>11</v>
          </cell>
          <cell r="AH836">
            <v>0</v>
          </cell>
          <cell r="AI836">
            <v>11</v>
          </cell>
          <cell r="AJ836">
            <v>0</v>
          </cell>
          <cell r="AK836">
            <v>11</v>
          </cell>
          <cell r="AL836">
            <v>9</v>
          </cell>
          <cell r="AM836">
            <v>11</v>
          </cell>
          <cell r="AN836">
            <v>39</v>
          </cell>
          <cell r="AO836">
            <v>50</v>
          </cell>
          <cell r="AP836">
            <v>6</v>
          </cell>
          <cell r="AQ836">
            <v>10</v>
          </cell>
          <cell r="AR836">
            <v>62</v>
          </cell>
          <cell r="AS836">
            <v>38</v>
          </cell>
        </row>
        <row r="837">
          <cell r="B837">
            <v>17031805110</v>
          </cell>
          <cell r="D837">
            <v>2037</v>
          </cell>
          <cell r="E837">
            <v>233</v>
          </cell>
          <cell r="F837">
            <v>1759</v>
          </cell>
          <cell r="G837">
            <v>240</v>
          </cell>
          <cell r="H837">
            <v>1672</v>
          </cell>
          <cell r="I837">
            <v>225</v>
          </cell>
          <cell r="J837">
            <v>87</v>
          </cell>
          <cell r="K837">
            <v>74</v>
          </cell>
          <cell r="L837">
            <v>87</v>
          </cell>
          <cell r="M837">
            <v>74</v>
          </cell>
          <cell r="N837">
            <v>0</v>
          </cell>
          <cell r="O837">
            <v>11</v>
          </cell>
          <cell r="P837">
            <v>0</v>
          </cell>
          <cell r="Q837">
            <v>11</v>
          </cell>
          <cell r="R837">
            <v>0</v>
          </cell>
          <cell r="S837">
            <v>11</v>
          </cell>
          <cell r="T837">
            <v>0</v>
          </cell>
          <cell r="U837">
            <v>11</v>
          </cell>
          <cell r="V837">
            <v>146</v>
          </cell>
          <cell r="W837">
            <v>78</v>
          </cell>
          <cell r="X837">
            <v>12</v>
          </cell>
          <cell r="Y837">
            <v>18</v>
          </cell>
          <cell r="Z837">
            <v>0</v>
          </cell>
          <cell r="AA837">
            <v>11</v>
          </cell>
          <cell r="AB837">
            <v>0</v>
          </cell>
          <cell r="AC837">
            <v>11</v>
          </cell>
          <cell r="AD837">
            <v>134</v>
          </cell>
          <cell r="AE837">
            <v>78</v>
          </cell>
          <cell r="AF837">
            <v>0</v>
          </cell>
          <cell r="AG837">
            <v>11</v>
          </cell>
          <cell r="AH837">
            <v>0</v>
          </cell>
          <cell r="AI837">
            <v>11</v>
          </cell>
          <cell r="AJ837">
            <v>0</v>
          </cell>
          <cell r="AK837">
            <v>11</v>
          </cell>
          <cell r="AL837">
            <v>0</v>
          </cell>
          <cell r="AM837">
            <v>11</v>
          </cell>
          <cell r="AN837">
            <v>62</v>
          </cell>
          <cell r="AO837">
            <v>48</v>
          </cell>
          <cell r="AP837">
            <v>6</v>
          </cell>
          <cell r="AQ837">
            <v>11</v>
          </cell>
          <cell r="AR837">
            <v>64</v>
          </cell>
          <cell r="AS837">
            <v>35</v>
          </cell>
        </row>
        <row r="838">
          <cell r="B838">
            <v>17031805111</v>
          </cell>
          <cell r="D838">
            <v>3710</v>
          </cell>
          <cell r="E838">
            <v>311</v>
          </cell>
          <cell r="F838">
            <v>3317</v>
          </cell>
          <cell r="G838">
            <v>317</v>
          </cell>
          <cell r="H838">
            <v>3061</v>
          </cell>
          <cell r="I838">
            <v>326</v>
          </cell>
          <cell r="J838">
            <v>256</v>
          </cell>
          <cell r="K838">
            <v>132</v>
          </cell>
          <cell r="L838">
            <v>152</v>
          </cell>
          <cell r="M838">
            <v>114</v>
          </cell>
          <cell r="N838">
            <v>48</v>
          </cell>
          <cell r="O838">
            <v>78</v>
          </cell>
          <cell r="P838">
            <v>32</v>
          </cell>
          <cell r="Q838">
            <v>37</v>
          </cell>
          <cell r="R838">
            <v>15</v>
          </cell>
          <cell r="S838">
            <v>26</v>
          </cell>
          <cell r="T838">
            <v>9</v>
          </cell>
          <cell r="U838">
            <v>14</v>
          </cell>
          <cell r="V838">
            <v>211</v>
          </cell>
          <cell r="W838">
            <v>118</v>
          </cell>
          <cell r="X838">
            <v>44</v>
          </cell>
          <cell r="Y838">
            <v>43</v>
          </cell>
          <cell r="Z838">
            <v>0</v>
          </cell>
          <cell r="AA838">
            <v>15</v>
          </cell>
          <cell r="AB838">
            <v>69</v>
          </cell>
          <cell r="AC838">
            <v>62</v>
          </cell>
          <cell r="AD838">
            <v>98</v>
          </cell>
          <cell r="AE838">
            <v>102</v>
          </cell>
          <cell r="AF838">
            <v>0</v>
          </cell>
          <cell r="AG838">
            <v>15</v>
          </cell>
          <cell r="AH838">
            <v>0</v>
          </cell>
          <cell r="AI838">
            <v>15</v>
          </cell>
          <cell r="AJ838">
            <v>0</v>
          </cell>
          <cell r="AK838">
            <v>15</v>
          </cell>
          <cell r="AL838">
            <v>0</v>
          </cell>
          <cell r="AM838">
            <v>15</v>
          </cell>
          <cell r="AN838">
            <v>36</v>
          </cell>
          <cell r="AO838">
            <v>42</v>
          </cell>
          <cell r="AP838">
            <v>0</v>
          </cell>
          <cell r="AQ838">
            <v>15</v>
          </cell>
          <cell r="AR838">
            <v>146</v>
          </cell>
          <cell r="AS838">
            <v>106</v>
          </cell>
        </row>
        <row r="839">
          <cell r="B839">
            <v>17031805112</v>
          </cell>
          <cell r="D839">
            <v>1604</v>
          </cell>
          <cell r="E839">
            <v>178</v>
          </cell>
          <cell r="F839">
            <v>1447</v>
          </cell>
          <cell r="G839">
            <v>178</v>
          </cell>
          <cell r="H839">
            <v>1355</v>
          </cell>
          <cell r="I839">
            <v>179</v>
          </cell>
          <cell r="J839">
            <v>92</v>
          </cell>
          <cell r="K839">
            <v>62</v>
          </cell>
          <cell r="L839">
            <v>73</v>
          </cell>
          <cell r="M839">
            <v>60</v>
          </cell>
          <cell r="N839">
            <v>16</v>
          </cell>
          <cell r="O839">
            <v>14</v>
          </cell>
          <cell r="P839">
            <v>0</v>
          </cell>
          <cell r="Q839">
            <v>11</v>
          </cell>
          <cell r="R839">
            <v>3</v>
          </cell>
          <cell r="S839">
            <v>19</v>
          </cell>
          <cell r="T839">
            <v>0</v>
          </cell>
          <cell r="U839">
            <v>11</v>
          </cell>
          <cell r="V839">
            <v>30</v>
          </cell>
          <cell r="W839">
            <v>22</v>
          </cell>
          <cell r="X839">
            <v>18</v>
          </cell>
          <cell r="Y839">
            <v>19</v>
          </cell>
          <cell r="Z839">
            <v>0</v>
          </cell>
          <cell r="AA839">
            <v>11</v>
          </cell>
          <cell r="AB839">
            <v>7</v>
          </cell>
          <cell r="AC839">
            <v>12</v>
          </cell>
          <cell r="AD839">
            <v>5</v>
          </cell>
          <cell r="AE839">
            <v>8</v>
          </cell>
          <cell r="AF839">
            <v>0</v>
          </cell>
          <cell r="AG839">
            <v>11</v>
          </cell>
          <cell r="AH839">
            <v>0</v>
          </cell>
          <cell r="AI839">
            <v>11</v>
          </cell>
          <cell r="AJ839">
            <v>9</v>
          </cell>
          <cell r="AK839">
            <v>13</v>
          </cell>
          <cell r="AL839">
            <v>0</v>
          </cell>
          <cell r="AM839">
            <v>11</v>
          </cell>
          <cell r="AN839">
            <v>31</v>
          </cell>
          <cell r="AO839">
            <v>30</v>
          </cell>
          <cell r="AP839">
            <v>0</v>
          </cell>
          <cell r="AQ839">
            <v>11</v>
          </cell>
          <cell r="AR839">
            <v>87</v>
          </cell>
          <cell r="AS839">
            <v>41</v>
          </cell>
        </row>
        <row r="840">
          <cell r="B840">
            <v>17031805201</v>
          </cell>
          <cell r="D840">
            <v>1668</v>
          </cell>
          <cell r="E840">
            <v>196</v>
          </cell>
          <cell r="F840">
            <v>1523</v>
          </cell>
          <cell r="G840">
            <v>204</v>
          </cell>
          <cell r="H840">
            <v>1430</v>
          </cell>
          <cell r="I840">
            <v>201</v>
          </cell>
          <cell r="J840">
            <v>93</v>
          </cell>
          <cell r="K840">
            <v>64</v>
          </cell>
          <cell r="L840">
            <v>59</v>
          </cell>
          <cell r="M840">
            <v>56</v>
          </cell>
          <cell r="N840">
            <v>34</v>
          </cell>
          <cell r="O840">
            <v>32</v>
          </cell>
          <cell r="P840">
            <v>0</v>
          </cell>
          <cell r="Q840">
            <v>11</v>
          </cell>
          <cell r="R840">
            <v>0</v>
          </cell>
          <cell r="S840">
            <v>11</v>
          </cell>
          <cell r="T840">
            <v>0</v>
          </cell>
          <cell r="U840">
            <v>11</v>
          </cell>
          <cell r="V840">
            <v>63</v>
          </cell>
          <cell r="W840">
            <v>35</v>
          </cell>
          <cell r="X840">
            <v>22</v>
          </cell>
          <cell r="Y840">
            <v>25</v>
          </cell>
          <cell r="Z840">
            <v>0</v>
          </cell>
          <cell r="AA840">
            <v>11</v>
          </cell>
          <cell r="AB840">
            <v>24</v>
          </cell>
          <cell r="AC840">
            <v>22</v>
          </cell>
          <cell r="AD840">
            <v>17</v>
          </cell>
          <cell r="AE840">
            <v>19</v>
          </cell>
          <cell r="AF840">
            <v>0</v>
          </cell>
          <cell r="AG840">
            <v>11</v>
          </cell>
          <cell r="AH840">
            <v>0</v>
          </cell>
          <cell r="AI840">
            <v>11</v>
          </cell>
          <cell r="AJ840">
            <v>0</v>
          </cell>
          <cell r="AK840">
            <v>11</v>
          </cell>
          <cell r="AL840">
            <v>0</v>
          </cell>
          <cell r="AM840">
            <v>11</v>
          </cell>
          <cell r="AN840">
            <v>0</v>
          </cell>
          <cell r="AO840">
            <v>11</v>
          </cell>
          <cell r="AP840">
            <v>7</v>
          </cell>
          <cell r="AQ840">
            <v>11</v>
          </cell>
          <cell r="AR840">
            <v>75</v>
          </cell>
          <cell r="AS840">
            <v>56</v>
          </cell>
        </row>
        <row r="841">
          <cell r="B841">
            <v>17031805202</v>
          </cell>
          <cell r="D841">
            <v>2186</v>
          </cell>
          <cell r="E841">
            <v>212</v>
          </cell>
          <cell r="F841">
            <v>1938</v>
          </cell>
          <cell r="G841">
            <v>229</v>
          </cell>
          <cell r="H841">
            <v>1763</v>
          </cell>
          <cell r="I841">
            <v>210</v>
          </cell>
          <cell r="J841">
            <v>175</v>
          </cell>
          <cell r="K841">
            <v>82</v>
          </cell>
          <cell r="L841">
            <v>138</v>
          </cell>
          <cell r="M841">
            <v>73</v>
          </cell>
          <cell r="N841">
            <v>22</v>
          </cell>
          <cell r="O841">
            <v>32</v>
          </cell>
          <cell r="P841">
            <v>15</v>
          </cell>
          <cell r="Q841">
            <v>25</v>
          </cell>
          <cell r="R841">
            <v>0</v>
          </cell>
          <cell r="S841">
            <v>11</v>
          </cell>
          <cell r="T841">
            <v>0</v>
          </cell>
          <cell r="U841">
            <v>11</v>
          </cell>
          <cell r="V841">
            <v>175</v>
          </cell>
          <cell r="W841">
            <v>78</v>
          </cell>
          <cell r="X841">
            <v>8</v>
          </cell>
          <cell r="Y841">
            <v>12</v>
          </cell>
          <cell r="Z841">
            <v>0</v>
          </cell>
          <cell r="AA841">
            <v>11</v>
          </cell>
          <cell r="AB841">
            <v>22</v>
          </cell>
          <cell r="AC841">
            <v>18</v>
          </cell>
          <cell r="AD841">
            <v>145</v>
          </cell>
          <cell r="AE841">
            <v>76</v>
          </cell>
          <cell r="AF841">
            <v>0</v>
          </cell>
          <cell r="AG841">
            <v>11</v>
          </cell>
          <cell r="AH841">
            <v>0</v>
          </cell>
          <cell r="AI841">
            <v>11</v>
          </cell>
          <cell r="AJ841">
            <v>0</v>
          </cell>
          <cell r="AK841">
            <v>11</v>
          </cell>
          <cell r="AL841">
            <v>16</v>
          </cell>
          <cell r="AM841">
            <v>14</v>
          </cell>
          <cell r="AN841">
            <v>0</v>
          </cell>
          <cell r="AO841">
            <v>11</v>
          </cell>
          <cell r="AP841">
            <v>0</v>
          </cell>
          <cell r="AQ841">
            <v>11</v>
          </cell>
          <cell r="AR841">
            <v>57</v>
          </cell>
          <cell r="AS841">
            <v>46</v>
          </cell>
        </row>
        <row r="842">
          <cell r="B842">
            <v>17031805301</v>
          </cell>
          <cell r="D842">
            <v>1537</v>
          </cell>
          <cell r="E842">
            <v>210</v>
          </cell>
          <cell r="F842">
            <v>1433</v>
          </cell>
          <cell r="G842">
            <v>203</v>
          </cell>
          <cell r="H842">
            <v>1297</v>
          </cell>
          <cell r="I842">
            <v>197</v>
          </cell>
          <cell r="J842">
            <v>136</v>
          </cell>
          <cell r="K842">
            <v>69</v>
          </cell>
          <cell r="L842">
            <v>136</v>
          </cell>
          <cell r="M842">
            <v>69</v>
          </cell>
          <cell r="N842">
            <v>0</v>
          </cell>
          <cell r="O842">
            <v>11</v>
          </cell>
          <cell r="P842">
            <v>0</v>
          </cell>
          <cell r="Q842">
            <v>11</v>
          </cell>
          <cell r="R842">
            <v>0</v>
          </cell>
          <cell r="S842">
            <v>11</v>
          </cell>
          <cell r="T842">
            <v>0</v>
          </cell>
          <cell r="U842">
            <v>11</v>
          </cell>
          <cell r="V842">
            <v>73</v>
          </cell>
          <cell r="W842">
            <v>50</v>
          </cell>
          <cell r="X842">
            <v>31</v>
          </cell>
          <cell r="Y842">
            <v>29</v>
          </cell>
          <cell r="Z842">
            <v>0</v>
          </cell>
          <cell r="AA842">
            <v>11</v>
          </cell>
          <cell r="AB842">
            <v>12</v>
          </cell>
          <cell r="AC842">
            <v>20</v>
          </cell>
          <cell r="AD842">
            <v>30</v>
          </cell>
          <cell r="AE842">
            <v>35</v>
          </cell>
          <cell r="AF842">
            <v>0</v>
          </cell>
          <cell r="AG842">
            <v>11</v>
          </cell>
          <cell r="AH842">
            <v>0</v>
          </cell>
          <cell r="AI842">
            <v>11</v>
          </cell>
          <cell r="AJ842">
            <v>0</v>
          </cell>
          <cell r="AK842">
            <v>11</v>
          </cell>
          <cell r="AL842">
            <v>0</v>
          </cell>
          <cell r="AM842">
            <v>11</v>
          </cell>
          <cell r="AN842">
            <v>12</v>
          </cell>
          <cell r="AO842">
            <v>19</v>
          </cell>
          <cell r="AP842">
            <v>0</v>
          </cell>
          <cell r="AQ842">
            <v>11</v>
          </cell>
          <cell r="AR842">
            <v>19</v>
          </cell>
          <cell r="AS842">
            <v>19</v>
          </cell>
        </row>
        <row r="843">
          <cell r="B843">
            <v>17031805302</v>
          </cell>
          <cell r="D843">
            <v>1784</v>
          </cell>
          <cell r="E843">
            <v>207</v>
          </cell>
          <cell r="F843">
            <v>1587</v>
          </cell>
          <cell r="G843">
            <v>218</v>
          </cell>
          <cell r="H843">
            <v>1404</v>
          </cell>
          <cell r="I843">
            <v>214</v>
          </cell>
          <cell r="J843">
            <v>183</v>
          </cell>
          <cell r="K843">
            <v>78</v>
          </cell>
          <cell r="L843">
            <v>158</v>
          </cell>
          <cell r="M843">
            <v>68</v>
          </cell>
          <cell r="N843">
            <v>25</v>
          </cell>
          <cell r="O843">
            <v>29</v>
          </cell>
          <cell r="P843">
            <v>0</v>
          </cell>
          <cell r="Q843">
            <v>11</v>
          </cell>
          <cell r="R843">
            <v>0</v>
          </cell>
          <cell r="S843">
            <v>11</v>
          </cell>
          <cell r="T843">
            <v>0</v>
          </cell>
          <cell r="U843">
            <v>11</v>
          </cell>
          <cell r="V843">
            <v>138</v>
          </cell>
          <cell r="W843">
            <v>57</v>
          </cell>
          <cell r="X843">
            <v>10</v>
          </cell>
          <cell r="Y843">
            <v>17</v>
          </cell>
          <cell r="Z843">
            <v>0</v>
          </cell>
          <cell r="AA843">
            <v>11</v>
          </cell>
          <cell r="AB843">
            <v>45</v>
          </cell>
          <cell r="AC843">
            <v>33</v>
          </cell>
          <cell r="AD843">
            <v>83</v>
          </cell>
          <cell r="AE843">
            <v>52</v>
          </cell>
          <cell r="AF843">
            <v>0</v>
          </cell>
          <cell r="AG843">
            <v>11</v>
          </cell>
          <cell r="AH843">
            <v>0</v>
          </cell>
          <cell r="AI843">
            <v>11</v>
          </cell>
          <cell r="AJ843">
            <v>13</v>
          </cell>
          <cell r="AK843">
            <v>18</v>
          </cell>
          <cell r="AL843">
            <v>10</v>
          </cell>
          <cell r="AM843">
            <v>16</v>
          </cell>
          <cell r="AN843">
            <v>0</v>
          </cell>
          <cell r="AO843">
            <v>11</v>
          </cell>
          <cell r="AP843">
            <v>0</v>
          </cell>
          <cell r="AQ843">
            <v>11</v>
          </cell>
          <cell r="AR843">
            <v>36</v>
          </cell>
          <cell r="AS843">
            <v>38</v>
          </cell>
        </row>
        <row r="844">
          <cell r="B844">
            <v>17031805401</v>
          </cell>
          <cell r="D844">
            <v>1809</v>
          </cell>
          <cell r="E844">
            <v>229</v>
          </cell>
          <cell r="F844">
            <v>1615</v>
          </cell>
          <cell r="G844">
            <v>224</v>
          </cell>
          <cell r="H844">
            <v>1409</v>
          </cell>
          <cell r="I844">
            <v>201</v>
          </cell>
          <cell r="J844">
            <v>206</v>
          </cell>
          <cell r="K844">
            <v>89</v>
          </cell>
          <cell r="L844">
            <v>167</v>
          </cell>
          <cell r="M844">
            <v>82</v>
          </cell>
          <cell r="N844">
            <v>14</v>
          </cell>
          <cell r="O844">
            <v>16</v>
          </cell>
          <cell r="P844">
            <v>0</v>
          </cell>
          <cell r="Q844">
            <v>11</v>
          </cell>
          <cell r="R844">
            <v>0</v>
          </cell>
          <cell r="S844">
            <v>11</v>
          </cell>
          <cell r="T844">
            <v>25</v>
          </cell>
          <cell r="U844">
            <v>23</v>
          </cell>
          <cell r="V844">
            <v>156</v>
          </cell>
          <cell r="W844">
            <v>78</v>
          </cell>
          <cell r="X844">
            <v>100</v>
          </cell>
          <cell r="Y844">
            <v>75</v>
          </cell>
          <cell r="Z844">
            <v>0</v>
          </cell>
          <cell r="AA844">
            <v>11</v>
          </cell>
          <cell r="AB844">
            <v>28</v>
          </cell>
          <cell r="AC844">
            <v>25</v>
          </cell>
          <cell r="AD844">
            <v>28</v>
          </cell>
          <cell r="AE844">
            <v>27</v>
          </cell>
          <cell r="AF844">
            <v>0</v>
          </cell>
          <cell r="AG844">
            <v>11</v>
          </cell>
          <cell r="AH844">
            <v>0</v>
          </cell>
          <cell r="AI844">
            <v>11</v>
          </cell>
          <cell r="AJ844">
            <v>0</v>
          </cell>
          <cell r="AK844">
            <v>11</v>
          </cell>
          <cell r="AL844">
            <v>14</v>
          </cell>
          <cell r="AM844">
            <v>15</v>
          </cell>
          <cell r="AN844">
            <v>10</v>
          </cell>
          <cell r="AO844">
            <v>16</v>
          </cell>
          <cell r="AP844">
            <v>6</v>
          </cell>
          <cell r="AQ844">
            <v>10</v>
          </cell>
          <cell r="AR844">
            <v>8</v>
          </cell>
          <cell r="AS844">
            <v>13</v>
          </cell>
        </row>
        <row r="845">
          <cell r="B845">
            <v>17031805402</v>
          </cell>
          <cell r="D845">
            <v>2202</v>
          </cell>
          <cell r="E845">
            <v>319</v>
          </cell>
          <cell r="F845">
            <v>1986</v>
          </cell>
          <cell r="G845">
            <v>343</v>
          </cell>
          <cell r="H845">
            <v>1775</v>
          </cell>
          <cell r="I845">
            <v>328</v>
          </cell>
          <cell r="J845">
            <v>211</v>
          </cell>
          <cell r="K845">
            <v>148</v>
          </cell>
          <cell r="L845">
            <v>140</v>
          </cell>
          <cell r="M845">
            <v>89</v>
          </cell>
          <cell r="N845">
            <v>71</v>
          </cell>
          <cell r="O845">
            <v>79</v>
          </cell>
          <cell r="P845">
            <v>0</v>
          </cell>
          <cell r="Q845">
            <v>11</v>
          </cell>
          <cell r="R845">
            <v>0</v>
          </cell>
          <cell r="S845">
            <v>11</v>
          </cell>
          <cell r="T845">
            <v>0</v>
          </cell>
          <cell r="U845">
            <v>11</v>
          </cell>
          <cell r="V845">
            <v>110</v>
          </cell>
          <cell r="W845">
            <v>88</v>
          </cell>
          <cell r="X845">
            <v>41</v>
          </cell>
          <cell r="Y845">
            <v>43</v>
          </cell>
          <cell r="Z845">
            <v>0</v>
          </cell>
          <cell r="AA845">
            <v>11</v>
          </cell>
          <cell r="AB845">
            <v>0</v>
          </cell>
          <cell r="AC845">
            <v>11</v>
          </cell>
          <cell r="AD845">
            <v>69</v>
          </cell>
          <cell r="AE845">
            <v>73</v>
          </cell>
          <cell r="AF845">
            <v>0</v>
          </cell>
          <cell r="AG845">
            <v>11</v>
          </cell>
          <cell r="AH845">
            <v>0</v>
          </cell>
          <cell r="AI845">
            <v>11</v>
          </cell>
          <cell r="AJ845">
            <v>0</v>
          </cell>
          <cell r="AK845">
            <v>11</v>
          </cell>
          <cell r="AL845">
            <v>13</v>
          </cell>
          <cell r="AM845">
            <v>20</v>
          </cell>
          <cell r="AN845">
            <v>0</v>
          </cell>
          <cell r="AO845">
            <v>11</v>
          </cell>
          <cell r="AP845">
            <v>0</v>
          </cell>
          <cell r="AQ845">
            <v>11</v>
          </cell>
          <cell r="AR845">
            <v>93</v>
          </cell>
          <cell r="AS845">
            <v>51</v>
          </cell>
        </row>
        <row r="846">
          <cell r="B846">
            <v>17031805501</v>
          </cell>
          <cell r="D846">
            <v>1843</v>
          </cell>
          <cell r="E846">
            <v>186</v>
          </cell>
          <cell r="F846">
            <v>1408</v>
          </cell>
          <cell r="G846">
            <v>169</v>
          </cell>
          <cell r="H846">
            <v>1265</v>
          </cell>
          <cell r="I846">
            <v>170</v>
          </cell>
          <cell r="J846">
            <v>143</v>
          </cell>
          <cell r="K846">
            <v>79</v>
          </cell>
          <cell r="L846">
            <v>107</v>
          </cell>
          <cell r="M846">
            <v>58</v>
          </cell>
          <cell r="N846">
            <v>0</v>
          </cell>
          <cell r="O846">
            <v>11</v>
          </cell>
          <cell r="P846">
            <v>36</v>
          </cell>
          <cell r="Q846">
            <v>56</v>
          </cell>
          <cell r="R846">
            <v>0</v>
          </cell>
          <cell r="S846">
            <v>11</v>
          </cell>
          <cell r="T846">
            <v>0</v>
          </cell>
          <cell r="U846">
            <v>11</v>
          </cell>
          <cell r="V846">
            <v>218</v>
          </cell>
          <cell r="W846">
            <v>75</v>
          </cell>
          <cell r="X846">
            <v>39</v>
          </cell>
          <cell r="Y846">
            <v>34</v>
          </cell>
          <cell r="Z846">
            <v>0</v>
          </cell>
          <cell r="AA846">
            <v>11</v>
          </cell>
          <cell r="AB846">
            <v>31</v>
          </cell>
          <cell r="AC846">
            <v>29</v>
          </cell>
          <cell r="AD846">
            <v>148</v>
          </cell>
          <cell r="AE846">
            <v>54</v>
          </cell>
          <cell r="AF846">
            <v>0</v>
          </cell>
          <cell r="AG846">
            <v>11</v>
          </cell>
          <cell r="AH846">
            <v>0</v>
          </cell>
          <cell r="AI846">
            <v>11</v>
          </cell>
          <cell r="AJ846">
            <v>0</v>
          </cell>
          <cell r="AK846">
            <v>11</v>
          </cell>
          <cell r="AL846">
            <v>0</v>
          </cell>
          <cell r="AM846">
            <v>11</v>
          </cell>
          <cell r="AN846">
            <v>30</v>
          </cell>
          <cell r="AO846">
            <v>38</v>
          </cell>
          <cell r="AP846">
            <v>19</v>
          </cell>
          <cell r="AQ846">
            <v>21</v>
          </cell>
          <cell r="AR846">
            <v>168</v>
          </cell>
          <cell r="AS846">
            <v>107</v>
          </cell>
        </row>
        <row r="847">
          <cell r="B847">
            <v>17031805502</v>
          </cell>
          <cell r="D847">
            <v>1717</v>
          </cell>
          <cell r="E847">
            <v>171</v>
          </cell>
          <cell r="F847">
            <v>1329</v>
          </cell>
          <cell r="G847">
            <v>164</v>
          </cell>
          <cell r="H847">
            <v>1271</v>
          </cell>
          <cell r="I847">
            <v>158</v>
          </cell>
          <cell r="J847">
            <v>58</v>
          </cell>
          <cell r="K847">
            <v>40</v>
          </cell>
          <cell r="L847">
            <v>49</v>
          </cell>
          <cell r="M847">
            <v>37</v>
          </cell>
          <cell r="N847">
            <v>9</v>
          </cell>
          <cell r="O847">
            <v>14</v>
          </cell>
          <cell r="P847">
            <v>0</v>
          </cell>
          <cell r="Q847">
            <v>11</v>
          </cell>
          <cell r="R847">
            <v>0</v>
          </cell>
          <cell r="S847">
            <v>11</v>
          </cell>
          <cell r="T847">
            <v>0</v>
          </cell>
          <cell r="U847">
            <v>11</v>
          </cell>
          <cell r="V847">
            <v>180</v>
          </cell>
          <cell r="W847">
            <v>69</v>
          </cell>
          <cell r="X847">
            <v>0</v>
          </cell>
          <cell r="Y847">
            <v>11</v>
          </cell>
          <cell r="Z847">
            <v>0</v>
          </cell>
          <cell r="AA847">
            <v>11</v>
          </cell>
          <cell r="AB847">
            <v>31</v>
          </cell>
          <cell r="AC847">
            <v>26</v>
          </cell>
          <cell r="AD847">
            <v>149</v>
          </cell>
          <cell r="AE847">
            <v>67</v>
          </cell>
          <cell r="AF847">
            <v>0</v>
          </cell>
          <cell r="AG847">
            <v>11</v>
          </cell>
          <cell r="AH847">
            <v>0</v>
          </cell>
          <cell r="AI847">
            <v>11</v>
          </cell>
          <cell r="AJ847">
            <v>0</v>
          </cell>
          <cell r="AK847">
            <v>11</v>
          </cell>
          <cell r="AL847">
            <v>0</v>
          </cell>
          <cell r="AM847">
            <v>11</v>
          </cell>
          <cell r="AN847">
            <v>35</v>
          </cell>
          <cell r="AO847">
            <v>23</v>
          </cell>
          <cell r="AP847">
            <v>12</v>
          </cell>
          <cell r="AQ847">
            <v>19</v>
          </cell>
          <cell r="AR847">
            <v>161</v>
          </cell>
          <cell r="AS847">
            <v>67</v>
          </cell>
        </row>
        <row r="848">
          <cell r="B848">
            <v>17031805600</v>
          </cell>
          <cell r="D848">
            <v>2207</v>
          </cell>
          <cell r="E848">
            <v>194</v>
          </cell>
          <cell r="F848">
            <v>1465</v>
          </cell>
          <cell r="G848">
            <v>184</v>
          </cell>
          <cell r="H848">
            <v>1387</v>
          </cell>
          <cell r="I848">
            <v>188</v>
          </cell>
          <cell r="J848">
            <v>78</v>
          </cell>
          <cell r="K848">
            <v>41</v>
          </cell>
          <cell r="L848">
            <v>58</v>
          </cell>
          <cell r="M848">
            <v>35</v>
          </cell>
          <cell r="N848">
            <v>20</v>
          </cell>
          <cell r="O848">
            <v>21</v>
          </cell>
          <cell r="P848">
            <v>0</v>
          </cell>
          <cell r="Q848">
            <v>11</v>
          </cell>
          <cell r="R848">
            <v>0</v>
          </cell>
          <cell r="S848">
            <v>11</v>
          </cell>
          <cell r="T848">
            <v>0</v>
          </cell>
          <cell r="U848">
            <v>11</v>
          </cell>
          <cell r="V848">
            <v>400</v>
          </cell>
          <cell r="W848">
            <v>80</v>
          </cell>
          <cell r="X848">
            <v>26</v>
          </cell>
          <cell r="Y848">
            <v>29</v>
          </cell>
          <cell r="Z848">
            <v>0</v>
          </cell>
          <cell r="AA848">
            <v>11</v>
          </cell>
          <cell r="AB848">
            <v>145</v>
          </cell>
          <cell r="AC848">
            <v>53</v>
          </cell>
          <cell r="AD848">
            <v>229</v>
          </cell>
          <cell r="AE848">
            <v>74</v>
          </cell>
          <cell r="AF848">
            <v>0</v>
          </cell>
          <cell r="AG848">
            <v>11</v>
          </cell>
          <cell r="AH848">
            <v>0</v>
          </cell>
          <cell r="AI848">
            <v>11</v>
          </cell>
          <cell r="AJ848">
            <v>0</v>
          </cell>
          <cell r="AK848">
            <v>11</v>
          </cell>
          <cell r="AL848">
            <v>0</v>
          </cell>
          <cell r="AM848">
            <v>11</v>
          </cell>
          <cell r="AN848">
            <v>86</v>
          </cell>
          <cell r="AO848">
            <v>63</v>
          </cell>
          <cell r="AP848">
            <v>0</v>
          </cell>
          <cell r="AQ848">
            <v>11</v>
          </cell>
          <cell r="AR848">
            <v>256</v>
          </cell>
          <cell r="AS848">
            <v>109</v>
          </cell>
        </row>
        <row r="849">
          <cell r="B849">
            <v>17031805701</v>
          </cell>
          <cell r="D849">
            <v>2394</v>
          </cell>
          <cell r="E849">
            <v>186</v>
          </cell>
          <cell r="F849">
            <v>1931</v>
          </cell>
          <cell r="G849">
            <v>178</v>
          </cell>
          <cell r="H849">
            <v>1696</v>
          </cell>
          <cell r="I849">
            <v>204</v>
          </cell>
          <cell r="J849">
            <v>235</v>
          </cell>
          <cell r="K849">
            <v>121</v>
          </cell>
          <cell r="L849">
            <v>178</v>
          </cell>
          <cell r="M849">
            <v>106</v>
          </cell>
          <cell r="N849">
            <v>40</v>
          </cell>
          <cell r="O849">
            <v>44</v>
          </cell>
          <cell r="P849">
            <v>0</v>
          </cell>
          <cell r="Q849">
            <v>15</v>
          </cell>
          <cell r="R849">
            <v>0</v>
          </cell>
          <cell r="S849">
            <v>15</v>
          </cell>
          <cell r="T849">
            <v>17</v>
          </cell>
          <cell r="U849">
            <v>19</v>
          </cell>
          <cell r="V849">
            <v>329</v>
          </cell>
          <cell r="W849">
            <v>99</v>
          </cell>
          <cell r="X849">
            <v>0</v>
          </cell>
          <cell r="Y849">
            <v>15</v>
          </cell>
          <cell r="Z849">
            <v>0</v>
          </cell>
          <cell r="AA849">
            <v>15</v>
          </cell>
          <cell r="AB849">
            <v>99</v>
          </cell>
          <cell r="AC849">
            <v>50</v>
          </cell>
          <cell r="AD849">
            <v>230</v>
          </cell>
          <cell r="AE849">
            <v>86</v>
          </cell>
          <cell r="AF849">
            <v>0</v>
          </cell>
          <cell r="AG849">
            <v>15</v>
          </cell>
          <cell r="AH849">
            <v>0</v>
          </cell>
          <cell r="AI849">
            <v>15</v>
          </cell>
          <cell r="AJ849">
            <v>0</v>
          </cell>
          <cell r="AK849">
            <v>15</v>
          </cell>
          <cell r="AL849">
            <v>0</v>
          </cell>
          <cell r="AM849">
            <v>15</v>
          </cell>
          <cell r="AN849">
            <v>20</v>
          </cell>
          <cell r="AO849">
            <v>22</v>
          </cell>
          <cell r="AP849">
            <v>8</v>
          </cell>
          <cell r="AQ849">
            <v>13</v>
          </cell>
          <cell r="AR849">
            <v>106</v>
          </cell>
          <cell r="AS849">
            <v>48</v>
          </cell>
        </row>
        <row r="850">
          <cell r="B850">
            <v>17031805702</v>
          </cell>
          <cell r="D850">
            <v>931</v>
          </cell>
          <cell r="E850">
            <v>89</v>
          </cell>
          <cell r="F850">
            <v>764</v>
          </cell>
          <cell r="G850">
            <v>91</v>
          </cell>
          <cell r="H850">
            <v>676</v>
          </cell>
          <cell r="I850">
            <v>91</v>
          </cell>
          <cell r="J850">
            <v>88</v>
          </cell>
          <cell r="K850">
            <v>45</v>
          </cell>
          <cell r="L850">
            <v>59</v>
          </cell>
          <cell r="M850">
            <v>34</v>
          </cell>
          <cell r="N850">
            <v>1</v>
          </cell>
          <cell r="O850">
            <v>3</v>
          </cell>
          <cell r="P850">
            <v>13</v>
          </cell>
          <cell r="Q850">
            <v>14</v>
          </cell>
          <cell r="R850">
            <v>0</v>
          </cell>
          <cell r="S850">
            <v>11</v>
          </cell>
          <cell r="T850">
            <v>15</v>
          </cell>
          <cell r="U850">
            <v>21</v>
          </cell>
          <cell r="V850">
            <v>110</v>
          </cell>
          <cell r="W850">
            <v>40</v>
          </cell>
          <cell r="X850">
            <v>0</v>
          </cell>
          <cell r="Y850">
            <v>11</v>
          </cell>
          <cell r="Z850">
            <v>0</v>
          </cell>
          <cell r="AA850">
            <v>11</v>
          </cell>
          <cell r="AB850">
            <v>78</v>
          </cell>
          <cell r="AC850">
            <v>38</v>
          </cell>
          <cell r="AD850">
            <v>32</v>
          </cell>
          <cell r="AE850">
            <v>19</v>
          </cell>
          <cell r="AF850">
            <v>0</v>
          </cell>
          <cell r="AG850">
            <v>11</v>
          </cell>
          <cell r="AH850">
            <v>0</v>
          </cell>
          <cell r="AI850">
            <v>11</v>
          </cell>
          <cell r="AJ850">
            <v>0</v>
          </cell>
          <cell r="AK850">
            <v>11</v>
          </cell>
          <cell r="AL850">
            <v>6</v>
          </cell>
          <cell r="AM850">
            <v>10</v>
          </cell>
          <cell r="AN850">
            <v>5</v>
          </cell>
          <cell r="AO850">
            <v>7</v>
          </cell>
          <cell r="AP850">
            <v>10</v>
          </cell>
          <cell r="AQ850">
            <v>13</v>
          </cell>
          <cell r="AR850">
            <v>36</v>
          </cell>
          <cell r="AS850">
            <v>23</v>
          </cell>
        </row>
        <row r="851">
          <cell r="B851">
            <v>17031805801</v>
          </cell>
          <cell r="D851">
            <v>1122</v>
          </cell>
          <cell r="E851">
            <v>123</v>
          </cell>
          <cell r="F851">
            <v>855</v>
          </cell>
          <cell r="G851">
            <v>128</v>
          </cell>
          <cell r="H851">
            <v>744</v>
          </cell>
          <cell r="I851">
            <v>135</v>
          </cell>
          <cell r="J851">
            <v>111</v>
          </cell>
          <cell r="K851">
            <v>68</v>
          </cell>
          <cell r="L851">
            <v>98</v>
          </cell>
          <cell r="M851">
            <v>58</v>
          </cell>
          <cell r="N851">
            <v>13</v>
          </cell>
          <cell r="O851">
            <v>22</v>
          </cell>
          <cell r="P851">
            <v>0</v>
          </cell>
          <cell r="Q851">
            <v>11</v>
          </cell>
          <cell r="R851">
            <v>0</v>
          </cell>
          <cell r="S851">
            <v>11</v>
          </cell>
          <cell r="T851">
            <v>0</v>
          </cell>
          <cell r="U851">
            <v>11</v>
          </cell>
          <cell r="V851">
            <v>184</v>
          </cell>
          <cell r="W851">
            <v>58</v>
          </cell>
          <cell r="X851">
            <v>16</v>
          </cell>
          <cell r="Y851">
            <v>24</v>
          </cell>
          <cell r="Z851">
            <v>0</v>
          </cell>
          <cell r="AA851">
            <v>11</v>
          </cell>
          <cell r="AB851">
            <v>21</v>
          </cell>
          <cell r="AC851">
            <v>21</v>
          </cell>
          <cell r="AD851">
            <v>147</v>
          </cell>
          <cell r="AE851">
            <v>53</v>
          </cell>
          <cell r="AF851">
            <v>0</v>
          </cell>
          <cell r="AG851">
            <v>11</v>
          </cell>
          <cell r="AH851">
            <v>9</v>
          </cell>
          <cell r="AI851">
            <v>13</v>
          </cell>
          <cell r="AJ851">
            <v>0</v>
          </cell>
          <cell r="AK851">
            <v>11</v>
          </cell>
          <cell r="AL851">
            <v>13</v>
          </cell>
          <cell r="AM851">
            <v>15</v>
          </cell>
          <cell r="AN851">
            <v>0</v>
          </cell>
          <cell r="AO851">
            <v>11</v>
          </cell>
          <cell r="AP851">
            <v>7</v>
          </cell>
          <cell r="AQ851">
            <v>12</v>
          </cell>
          <cell r="AR851">
            <v>54</v>
          </cell>
          <cell r="AS851">
            <v>36</v>
          </cell>
        </row>
        <row r="852">
          <cell r="B852">
            <v>17031805802</v>
          </cell>
          <cell r="D852">
            <v>2439</v>
          </cell>
          <cell r="E852">
            <v>183</v>
          </cell>
          <cell r="F852">
            <v>1917</v>
          </cell>
          <cell r="G852">
            <v>185</v>
          </cell>
          <cell r="H852">
            <v>1865</v>
          </cell>
          <cell r="I852">
            <v>180</v>
          </cell>
          <cell r="J852">
            <v>52</v>
          </cell>
          <cell r="K852">
            <v>26</v>
          </cell>
          <cell r="L852">
            <v>34</v>
          </cell>
          <cell r="M852">
            <v>22</v>
          </cell>
          <cell r="N852">
            <v>18</v>
          </cell>
          <cell r="O852">
            <v>16</v>
          </cell>
          <cell r="P852">
            <v>0</v>
          </cell>
          <cell r="Q852">
            <v>11</v>
          </cell>
          <cell r="R852">
            <v>0</v>
          </cell>
          <cell r="S852">
            <v>11</v>
          </cell>
          <cell r="T852">
            <v>0</v>
          </cell>
          <cell r="U852">
            <v>11</v>
          </cell>
          <cell r="V852">
            <v>311</v>
          </cell>
          <cell r="W852">
            <v>115</v>
          </cell>
          <cell r="X852">
            <v>27</v>
          </cell>
          <cell r="Y852">
            <v>33</v>
          </cell>
          <cell r="Z852">
            <v>0</v>
          </cell>
          <cell r="AA852">
            <v>11</v>
          </cell>
          <cell r="AB852">
            <v>58</v>
          </cell>
          <cell r="AC852">
            <v>38</v>
          </cell>
          <cell r="AD852">
            <v>226</v>
          </cell>
          <cell r="AE852">
            <v>114</v>
          </cell>
          <cell r="AF852">
            <v>0</v>
          </cell>
          <cell r="AG852">
            <v>11</v>
          </cell>
          <cell r="AH852">
            <v>0</v>
          </cell>
          <cell r="AI852">
            <v>11</v>
          </cell>
          <cell r="AJ852">
            <v>0</v>
          </cell>
          <cell r="AK852">
            <v>11</v>
          </cell>
          <cell r="AL852">
            <v>0</v>
          </cell>
          <cell r="AM852">
            <v>11</v>
          </cell>
          <cell r="AN852">
            <v>72</v>
          </cell>
          <cell r="AO852">
            <v>48</v>
          </cell>
          <cell r="AP852">
            <v>18</v>
          </cell>
          <cell r="AQ852">
            <v>17</v>
          </cell>
          <cell r="AR852">
            <v>121</v>
          </cell>
          <cell r="AS852">
            <v>56</v>
          </cell>
        </row>
        <row r="853">
          <cell r="B853">
            <v>17031805901</v>
          </cell>
          <cell r="D853">
            <v>2258</v>
          </cell>
          <cell r="E853">
            <v>203</v>
          </cell>
          <cell r="F853">
            <v>1832</v>
          </cell>
          <cell r="G853">
            <v>226</v>
          </cell>
          <cell r="H853">
            <v>1568</v>
          </cell>
          <cell r="I853">
            <v>195</v>
          </cell>
          <cell r="J853">
            <v>264</v>
          </cell>
          <cell r="K853">
            <v>102</v>
          </cell>
          <cell r="L853">
            <v>264</v>
          </cell>
          <cell r="M853">
            <v>102</v>
          </cell>
          <cell r="N853">
            <v>0</v>
          </cell>
          <cell r="O853">
            <v>11</v>
          </cell>
          <cell r="P853">
            <v>0</v>
          </cell>
          <cell r="Q853">
            <v>11</v>
          </cell>
          <cell r="R853">
            <v>0</v>
          </cell>
          <cell r="S853">
            <v>11</v>
          </cell>
          <cell r="T853">
            <v>0</v>
          </cell>
          <cell r="U853">
            <v>11</v>
          </cell>
          <cell r="V853">
            <v>190</v>
          </cell>
          <cell r="W853">
            <v>78</v>
          </cell>
          <cell r="X853">
            <v>27</v>
          </cell>
          <cell r="Y853">
            <v>34</v>
          </cell>
          <cell r="Z853">
            <v>0</v>
          </cell>
          <cell r="AA853">
            <v>11</v>
          </cell>
          <cell r="AB853">
            <v>22</v>
          </cell>
          <cell r="AC853">
            <v>25</v>
          </cell>
          <cell r="AD853">
            <v>141</v>
          </cell>
          <cell r="AE853">
            <v>66</v>
          </cell>
          <cell r="AF853">
            <v>0</v>
          </cell>
          <cell r="AG853">
            <v>11</v>
          </cell>
          <cell r="AH853">
            <v>7</v>
          </cell>
          <cell r="AI853">
            <v>10</v>
          </cell>
          <cell r="AJ853">
            <v>0</v>
          </cell>
          <cell r="AK853">
            <v>11</v>
          </cell>
          <cell r="AL853">
            <v>11</v>
          </cell>
          <cell r="AM853">
            <v>17</v>
          </cell>
          <cell r="AN853">
            <v>48</v>
          </cell>
          <cell r="AO853">
            <v>41</v>
          </cell>
          <cell r="AP853">
            <v>71</v>
          </cell>
          <cell r="AQ853">
            <v>51</v>
          </cell>
          <cell r="AR853">
            <v>99</v>
          </cell>
          <cell r="AS853">
            <v>83</v>
          </cell>
        </row>
        <row r="854">
          <cell r="B854">
            <v>17031805902</v>
          </cell>
          <cell r="D854">
            <v>3026</v>
          </cell>
          <cell r="E854">
            <v>252</v>
          </cell>
          <cell r="F854">
            <v>2412</v>
          </cell>
          <cell r="G854">
            <v>336</v>
          </cell>
          <cell r="H854">
            <v>2164</v>
          </cell>
          <cell r="I854">
            <v>310</v>
          </cell>
          <cell r="J854">
            <v>248</v>
          </cell>
          <cell r="K854">
            <v>108</v>
          </cell>
          <cell r="L854">
            <v>205</v>
          </cell>
          <cell r="M854">
            <v>102</v>
          </cell>
          <cell r="N854">
            <v>11</v>
          </cell>
          <cell r="O854">
            <v>18</v>
          </cell>
          <cell r="P854">
            <v>0</v>
          </cell>
          <cell r="Q854">
            <v>15</v>
          </cell>
          <cell r="R854">
            <v>15</v>
          </cell>
          <cell r="S854">
            <v>26</v>
          </cell>
          <cell r="T854">
            <v>17</v>
          </cell>
          <cell r="U854">
            <v>27</v>
          </cell>
          <cell r="V854">
            <v>292</v>
          </cell>
          <cell r="W854">
            <v>132</v>
          </cell>
          <cell r="X854">
            <v>32</v>
          </cell>
          <cell r="Y854">
            <v>51</v>
          </cell>
          <cell r="Z854">
            <v>0</v>
          </cell>
          <cell r="AA854">
            <v>15</v>
          </cell>
          <cell r="AB854">
            <v>54</v>
          </cell>
          <cell r="AC854">
            <v>31</v>
          </cell>
          <cell r="AD854">
            <v>206</v>
          </cell>
          <cell r="AE854">
            <v>123</v>
          </cell>
          <cell r="AF854">
            <v>0</v>
          </cell>
          <cell r="AG854">
            <v>15</v>
          </cell>
          <cell r="AH854">
            <v>0</v>
          </cell>
          <cell r="AI854">
            <v>15</v>
          </cell>
          <cell r="AJ854">
            <v>0</v>
          </cell>
          <cell r="AK854">
            <v>15</v>
          </cell>
          <cell r="AL854">
            <v>16</v>
          </cell>
          <cell r="AM854">
            <v>27</v>
          </cell>
          <cell r="AN854">
            <v>127</v>
          </cell>
          <cell r="AO854">
            <v>112</v>
          </cell>
          <cell r="AP854">
            <v>82</v>
          </cell>
          <cell r="AQ854">
            <v>115</v>
          </cell>
          <cell r="AR854">
            <v>97</v>
          </cell>
          <cell r="AS854">
            <v>66</v>
          </cell>
        </row>
        <row r="855">
          <cell r="B855">
            <v>17031806001</v>
          </cell>
          <cell r="D855">
            <v>3255</v>
          </cell>
          <cell r="E855">
            <v>374</v>
          </cell>
          <cell r="F855">
            <v>2837</v>
          </cell>
          <cell r="G855">
            <v>306</v>
          </cell>
          <cell r="H855">
            <v>2643</v>
          </cell>
          <cell r="I855">
            <v>307</v>
          </cell>
          <cell r="J855">
            <v>194</v>
          </cell>
          <cell r="K855">
            <v>134</v>
          </cell>
          <cell r="L855">
            <v>181</v>
          </cell>
          <cell r="M855">
            <v>133</v>
          </cell>
          <cell r="N855">
            <v>0</v>
          </cell>
          <cell r="O855">
            <v>15</v>
          </cell>
          <cell r="P855">
            <v>0</v>
          </cell>
          <cell r="Q855">
            <v>15</v>
          </cell>
          <cell r="R855">
            <v>0</v>
          </cell>
          <cell r="S855">
            <v>15</v>
          </cell>
          <cell r="T855">
            <v>13</v>
          </cell>
          <cell r="U855">
            <v>21</v>
          </cell>
          <cell r="V855">
            <v>221</v>
          </cell>
          <cell r="W855">
            <v>213</v>
          </cell>
          <cell r="X855">
            <v>164</v>
          </cell>
          <cell r="Y855">
            <v>204</v>
          </cell>
          <cell r="Z855">
            <v>0</v>
          </cell>
          <cell r="AA855">
            <v>15</v>
          </cell>
          <cell r="AB855">
            <v>16</v>
          </cell>
          <cell r="AC855">
            <v>26</v>
          </cell>
          <cell r="AD855">
            <v>41</v>
          </cell>
          <cell r="AE855">
            <v>47</v>
          </cell>
          <cell r="AF855">
            <v>0</v>
          </cell>
          <cell r="AG855">
            <v>15</v>
          </cell>
          <cell r="AH855">
            <v>17</v>
          </cell>
          <cell r="AI855">
            <v>27</v>
          </cell>
          <cell r="AJ855">
            <v>0</v>
          </cell>
          <cell r="AK855">
            <v>15</v>
          </cell>
          <cell r="AL855">
            <v>0</v>
          </cell>
          <cell r="AM855">
            <v>15</v>
          </cell>
          <cell r="AN855">
            <v>0</v>
          </cell>
          <cell r="AO855">
            <v>15</v>
          </cell>
          <cell r="AP855">
            <v>34</v>
          </cell>
          <cell r="AQ855">
            <v>41</v>
          </cell>
          <cell r="AR855">
            <v>146</v>
          </cell>
          <cell r="AS855">
            <v>112</v>
          </cell>
        </row>
        <row r="856">
          <cell r="B856">
            <v>17031806002</v>
          </cell>
          <cell r="D856">
            <v>3492</v>
          </cell>
          <cell r="E856">
            <v>376</v>
          </cell>
          <cell r="F856">
            <v>3095</v>
          </cell>
          <cell r="G856">
            <v>330</v>
          </cell>
          <cell r="H856">
            <v>2804</v>
          </cell>
          <cell r="I856">
            <v>336</v>
          </cell>
          <cell r="J856">
            <v>291</v>
          </cell>
          <cell r="K856">
            <v>165</v>
          </cell>
          <cell r="L856">
            <v>210</v>
          </cell>
          <cell r="M856">
            <v>132</v>
          </cell>
          <cell r="N856">
            <v>81</v>
          </cell>
          <cell r="O856">
            <v>97</v>
          </cell>
          <cell r="P856">
            <v>0</v>
          </cell>
          <cell r="Q856">
            <v>15</v>
          </cell>
          <cell r="R856">
            <v>0</v>
          </cell>
          <cell r="S856">
            <v>15</v>
          </cell>
          <cell r="T856">
            <v>0</v>
          </cell>
          <cell r="U856">
            <v>15</v>
          </cell>
          <cell r="V856">
            <v>129</v>
          </cell>
          <cell r="W856">
            <v>75</v>
          </cell>
          <cell r="X856">
            <v>59</v>
          </cell>
          <cell r="Y856">
            <v>57</v>
          </cell>
          <cell r="Z856">
            <v>0</v>
          </cell>
          <cell r="AA856">
            <v>15</v>
          </cell>
          <cell r="AB856">
            <v>29</v>
          </cell>
          <cell r="AC856">
            <v>34</v>
          </cell>
          <cell r="AD856">
            <v>41</v>
          </cell>
          <cell r="AE856">
            <v>38</v>
          </cell>
          <cell r="AF856">
            <v>0</v>
          </cell>
          <cell r="AG856">
            <v>15</v>
          </cell>
          <cell r="AH856">
            <v>10</v>
          </cell>
          <cell r="AI856">
            <v>18</v>
          </cell>
          <cell r="AJ856">
            <v>0</v>
          </cell>
          <cell r="AK856">
            <v>15</v>
          </cell>
          <cell r="AL856">
            <v>15</v>
          </cell>
          <cell r="AM856">
            <v>24</v>
          </cell>
          <cell r="AN856">
            <v>112</v>
          </cell>
          <cell r="AO856">
            <v>89</v>
          </cell>
          <cell r="AP856">
            <v>0</v>
          </cell>
          <cell r="AQ856">
            <v>15</v>
          </cell>
          <cell r="AR856">
            <v>131</v>
          </cell>
          <cell r="AS856">
            <v>99</v>
          </cell>
        </row>
        <row r="857">
          <cell r="B857">
            <v>17031806003</v>
          </cell>
          <cell r="D857">
            <v>3733</v>
          </cell>
          <cell r="E857">
            <v>536</v>
          </cell>
          <cell r="F857">
            <v>3283</v>
          </cell>
          <cell r="G857">
            <v>423</v>
          </cell>
          <cell r="H857">
            <v>2681</v>
          </cell>
          <cell r="I857">
            <v>427</v>
          </cell>
          <cell r="J857">
            <v>602</v>
          </cell>
          <cell r="K857">
            <v>215</v>
          </cell>
          <cell r="L857">
            <v>389</v>
          </cell>
          <cell r="M857">
            <v>180</v>
          </cell>
          <cell r="N857">
            <v>149</v>
          </cell>
          <cell r="O857">
            <v>112</v>
          </cell>
          <cell r="P857">
            <v>25</v>
          </cell>
          <cell r="Q857">
            <v>48</v>
          </cell>
          <cell r="R857">
            <v>39</v>
          </cell>
          <cell r="S857">
            <v>77</v>
          </cell>
          <cell r="T857">
            <v>0</v>
          </cell>
          <cell r="U857">
            <v>15</v>
          </cell>
          <cell r="V857">
            <v>118</v>
          </cell>
          <cell r="W857">
            <v>85</v>
          </cell>
          <cell r="X857">
            <v>34</v>
          </cell>
          <cell r="Y857">
            <v>41</v>
          </cell>
          <cell r="Z857">
            <v>0</v>
          </cell>
          <cell r="AA857">
            <v>15</v>
          </cell>
          <cell r="AB857">
            <v>0</v>
          </cell>
          <cell r="AC857">
            <v>15</v>
          </cell>
          <cell r="AD857">
            <v>84</v>
          </cell>
          <cell r="AE857">
            <v>64</v>
          </cell>
          <cell r="AF857">
            <v>0</v>
          </cell>
          <cell r="AG857">
            <v>15</v>
          </cell>
          <cell r="AH857">
            <v>0</v>
          </cell>
          <cell r="AI857">
            <v>15</v>
          </cell>
          <cell r="AJ857">
            <v>0</v>
          </cell>
          <cell r="AK857">
            <v>15</v>
          </cell>
          <cell r="AL857">
            <v>0</v>
          </cell>
          <cell r="AM857">
            <v>15</v>
          </cell>
          <cell r="AN857">
            <v>50</v>
          </cell>
          <cell r="AO857">
            <v>69</v>
          </cell>
          <cell r="AP857">
            <v>64</v>
          </cell>
          <cell r="AQ857">
            <v>55</v>
          </cell>
          <cell r="AR857">
            <v>218</v>
          </cell>
          <cell r="AS857">
            <v>156</v>
          </cell>
        </row>
        <row r="858">
          <cell r="B858">
            <v>17031806004</v>
          </cell>
          <cell r="D858">
            <v>3347</v>
          </cell>
          <cell r="E858">
            <v>310</v>
          </cell>
          <cell r="F858">
            <v>2996</v>
          </cell>
          <cell r="G858">
            <v>284</v>
          </cell>
          <cell r="H858">
            <v>2697</v>
          </cell>
          <cell r="I858">
            <v>284</v>
          </cell>
          <cell r="J858">
            <v>299</v>
          </cell>
          <cell r="K858">
            <v>142</v>
          </cell>
          <cell r="L858">
            <v>213</v>
          </cell>
          <cell r="M858">
            <v>121</v>
          </cell>
          <cell r="N858">
            <v>71</v>
          </cell>
          <cell r="O858">
            <v>69</v>
          </cell>
          <cell r="P858">
            <v>0</v>
          </cell>
          <cell r="Q858">
            <v>15</v>
          </cell>
          <cell r="R858">
            <v>0</v>
          </cell>
          <cell r="S858">
            <v>15</v>
          </cell>
          <cell r="T858">
            <v>15</v>
          </cell>
          <cell r="U858">
            <v>30</v>
          </cell>
          <cell r="V858">
            <v>140</v>
          </cell>
          <cell r="W858">
            <v>113</v>
          </cell>
          <cell r="X858">
            <v>94</v>
          </cell>
          <cell r="Y858">
            <v>86</v>
          </cell>
          <cell r="Z858">
            <v>0</v>
          </cell>
          <cell r="AA858">
            <v>15</v>
          </cell>
          <cell r="AB858">
            <v>46</v>
          </cell>
          <cell r="AC858">
            <v>55</v>
          </cell>
          <cell r="AD858">
            <v>0</v>
          </cell>
          <cell r="AE858">
            <v>15</v>
          </cell>
          <cell r="AF858">
            <v>0</v>
          </cell>
          <cell r="AG858">
            <v>15</v>
          </cell>
          <cell r="AH858">
            <v>0</v>
          </cell>
          <cell r="AI858">
            <v>15</v>
          </cell>
          <cell r="AJ858">
            <v>0</v>
          </cell>
          <cell r="AK858">
            <v>15</v>
          </cell>
          <cell r="AL858">
            <v>25</v>
          </cell>
          <cell r="AM858">
            <v>42</v>
          </cell>
          <cell r="AN858">
            <v>63</v>
          </cell>
          <cell r="AO858">
            <v>56</v>
          </cell>
          <cell r="AP858">
            <v>51</v>
          </cell>
          <cell r="AQ858">
            <v>59</v>
          </cell>
          <cell r="AR858">
            <v>72</v>
          </cell>
          <cell r="AS858">
            <v>68</v>
          </cell>
        </row>
        <row r="859">
          <cell r="B859">
            <v>17031806102</v>
          </cell>
          <cell r="D859">
            <v>2200</v>
          </cell>
          <cell r="E859">
            <v>218</v>
          </cell>
          <cell r="F859">
            <v>1803</v>
          </cell>
          <cell r="G859">
            <v>196</v>
          </cell>
          <cell r="H859">
            <v>1647</v>
          </cell>
          <cell r="I859">
            <v>187</v>
          </cell>
          <cell r="J859">
            <v>156</v>
          </cell>
          <cell r="K859">
            <v>90</v>
          </cell>
          <cell r="L859">
            <v>117</v>
          </cell>
          <cell r="M859">
            <v>68</v>
          </cell>
          <cell r="N859">
            <v>27</v>
          </cell>
          <cell r="O859">
            <v>30</v>
          </cell>
          <cell r="P859">
            <v>12</v>
          </cell>
          <cell r="Q859">
            <v>16</v>
          </cell>
          <cell r="R859">
            <v>0</v>
          </cell>
          <cell r="S859">
            <v>11</v>
          </cell>
          <cell r="T859">
            <v>0</v>
          </cell>
          <cell r="U859">
            <v>11</v>
          </cell>
          <cell r="V859">
            <v>224</v>
          </cell>
          <cell r="W859">
            <v>79</v>
          </cell>
          <cell r="X859">
            <v>48</v>
          </cell>
          <cell r="Y859">
            <v>47</v>
          </cell>
          <cell r="Z859">
            <v>7</v>
          </cell>
          <cell r="AA859">
            <v>10</v>
          </cell>
          <cell r="AB859">
            <v>25</v>
          </cell>
          <cell r="AC859">
            <v>36</v>
          </cell>
          <cell r="AD859">
            <v>144</v>
          </cell>
          <cell r="AE859">
            <v>54</v>
          </cell>
          <cell r="AF859">
            <v>0</v>
          </cell>
          <cell r="AG859">
            <v>11</v>
          </cell>
          <cell r="AH859">
            <v>0</v>
          </cell>
          <cell r="AI859">
            <v>11</v>
          </cell>
          <cell r="AJ859">
            <v>0</v>
          </cell>
          <cell r="AK859">
            <v>11</v>
          </cell>
          <cell r="AL859">
            <v>43</v>
          </cell>
          <cell r="AM859">
            <v>60</v>
          </cell>
          <cell r="AN859">
            <v>9</v>
          </cell>
          <cell r="AO859">
            <v>15</v>
          </cell>
          <cell r="AP859">
            <v>21</v>
          </cell>
          <cell r="AQ859">
            <v>32</v>
          </cell>
          <cell r="AR859">
            <v>100</v>
          </cell>
          <cell r="AS859">
            <v>51</v>
          </cell>
        </row>
        <row r="860">
          <cell r="B860">
            <v>17031806103</v>
          </cell>
          <cell r="D860">
            <v>2599</v>
          </cell>
          <cell r="E860">
            <v>185</v>
          </cell>
          <cell r="F860">
            <v>2301</v>
          </cell>
          <cell r="G860">
            <v>175</v>
          </cell>
          <cell r="H860">
            <v>2039</v>
          </cell>
          <cell r="I860">
            <v>178</v>
          </cell>
          <cell r="J860">
            <v>262</v>
          </cell>
          <cell r="K860">
            <v>92</v>
          </cell>
          <cell r="L860">
            <v>223</v>
          </cell>
          <cell r="M860">
            <v>83</v>
          </cell>
          <cell r="N860">
            <v>39</v>
          </cell>
          <cell r="O860">
            <v>31</v>
          </cell>
          <cell r="P860">
            <v>0</v>
          </cell>
          <cell r="Q860">
            <v>11</v>
          </cell>
          <cell r="R860">
            <v>0</v>
          </cell>
          <cell r="S860">
            <v>11</v>
          </cell>
          <cell r="T860">
            <v>0</v>
          </cell>
          <cell r="U860">
            <v>11</v>
          </cell>
          <cell r="V860">
            <v>136</v>
          </cell>
          <cell r="W860">
            <v>54</v>
          </cell>
          <cell r="X860">
            <v>0</v>
          </cell>
          <cell r="Y860">
            <v>11</v>
          </cell>
          <cell r="Z860">
            <v>0</v>
          </cell>
          <cell r="AA860">
            <v>11</v>
          </cell>
          <cell r="AB860">
            <v>23</v>
          </cell>
          <cell r="AC860">
            <v>20</v>
          </cell>
          <cell r="AD860">
            <v>113</v>
          </cell>
          <cell r="AE860">
            <v>49</v>
          </cell>
          <cell r="AF860">
            <v>0</v>
          </cell>
          <cell r="AG860">
            <v>11</v>
          </cell>
          <cell r="AH860">
            <v>0</v>
          </cell>
          <cell r="AI860">
            <v>11</v>
          </cell>
          <cell r="AJ860">
            <v>0</v>
          </cell>
          <cell r="AK860">
            <v>11</v>
          </cell>
          <cell r="AL860">
            <v>28</v>
          </cell>
          <cell r="AM860">
            <v>33</v>
          </cell>
          <cell r="AN860">
            <v>8</v>
          </cell>
          <cell r="AO860">
            <v>12</v>
          </cell>
          <cell r="AP860">
            <v>25</v>
          </cell>
          <cell r="AQ860">
            <v>23</v>
          </cell>
          <cell r="AR860">
            <v>101</v>
          </cell>
          <cell r="AS860">
            <v>55</v>
          </cell>
        </row>
        <row r="861">
          <cell r="B861">
            <v>17031806104</v>
          </cell>
          <cell r="D861">
            <v>2246</v>
          </cell>
          <cell r="E861">
            <v>292</v>
          </cell>
          <cell r="F861">
            <v>1877</v>
          </cell>
          <cell r="G861">
            <v>270</v>
          </cell>
          <cell r="H861">
            <v>1603</v>
          </cell>
          <cell r="I861">
            <v>233</v>
          </cell>
          <cell r="J861">
            <v>274</v>
          </cell>
          <cell r="K861">
            <v>142</v>
          </cell>
          <cell r="L861">
            <v>219</v>
          </cell>
          <cell r="M861">
            <v>123</v>
          </cell>
          <cell r="N861">
            <v>35</v>
          </cell>
          <cell r="O861">
            <v>37</v>
          </cell>
          <cell r="P861">
            <v>8</v>
          </cell>
          <cell r="Q861">
            <v>13</v>
          </cell>
          <cell r="R861">
            <v>0</v>
          </cell>
          <cell r="S861">
            <v>11</v>
          </cell>
          <cell r="T861">
            <v>12</v>
          </cell>
          <cell r="U861">
            <v>21</v>
          </cell>
          <cell r="V861">
            <v>142</v>
          </cell>
          <cell r="W861">
            <v>112</v>
          </cell>
          <cell r="X861">
            <v>73</v>
          </cell>
          <cell r="Y861">
            <v>75</v>
          </cell>
          <cell r="Z861">
            <v>0</v>
          </cell>
          <cell r="AA861">
            <v>11</v>
          </cell>
          <cell r="AB861">
            <v>13</v>
          </cell>
          <cell r="AC861">
            <v>13</v>
          </cell>
          <cell r="AD861">
            <v>56</v>
          </cell>
          <cell r="AE861">
            <v>75</v>
          </cell>
          <cell r="AF861">
            <v>0</v>
          </cell>
          <cell r="AG861">
            <v>11</v>
          </cell>
          <cell r="AH861">
            <v>35</v>
          </cell>
          <cell r="AI861">
            <v>42</v>
          </cell>
          <cell r="AJ861">
            <v>0</v>
          </cell>
          <cell r="AK861">
            <v>11</v>
          </cell>
          <cell r="AL861">
            <v>0</v>
          </cell>
          <cell r="AM861">
            <v>11</v>
          </cell>
          <cell r="AN861">
            <v>40</v>
          </cell>
          <cell r="AO861">
            <v>39</v>
          </cell>
          <cell r="AP861">
            <v>43</v>
          </cell>
          <cell r="AQ861">
            <v>41</v>
          </cell>
          <cell r="AR861">
            <v>109</v>
          </cell>
          <cell r="AS861">
            <v>76</v>
          </cell>
        </row>
        <row r="862">
          <cell r="B862">
            <v>17031806201</v>
          </cell>
          <cell r="D862">
            <v>2609</v>
          </cell>
          <cell r="E862">
            <v>286</v>
          </cell>
          <cell r="F862">
            <v>2121</v>
          </cell>
          <cell r="G862">
            <v>306</v>
          </cell>
          <cell r="H862">
            <v>1938</v>
          </cell>
          <cell r="I862">
            <v>314</v>
          </cell>
          <cell r="J862">
            <v>183</v>
          </cell>
          <cell r="K862">
            <v>118</v>
          </cell>
          <cell r="L862">
            <v>133</v>
          </cell>
          <cell r="M862">
            <v>98</v>
          </cell>
          <cell r="N862">
            <v>46</v>
          </cell>
          <cell r="O862">
            <v>66</v>
          </cell>
          <cell r="P862">
            <v>0</v>
          </cell>
          <cell r="Q862">
            <v>11</v>
          </cell>
          <cell r="R862">
            <v>0</v>
          </cell>
          <cell r="S862">
            <v>11</v>
          </cell>
          <cell r="T862">
            <v>4</v>
          </cell>
          <cell r="U862">
            <v>9</v>
          </cell>
          <cell r="V862">
            <v>301</v>
          </cell>
          <cell r="W862">
            <v>137</v>
          </cell>
          <cell r="X862">
            <v>41</v>
          </cell>
          <cell r="Y862">
            <v>37</v>
          </cell>
          <cell r="Z862">
            <v>0</v>
          </cell>
          <cell r="AA862">
            <v>11</v>
          </cell>
          <cell r="AB862">
            <v>38</v>
          </cell>
          <cell r="AC862">
            <v>46</v>
          </cell>
          <cell r="AD862">
            <v>222</v>
          </cell>
          <cell r="AE862">
            <v>119</v>
          </cell>
          <cell r="AF862">
            <v>0</v>
          </cell>
          <cell r="AG862">
            <v>11</v>
          </cell>
          <cell r="AH862">
            <v>0</v>
          </cell>
          <cell r="AI862">
            <v>11</v>
          </cell>
          <cell r="AJ862">
            <v>0</v>
          </cell>
          <cell r="AK862">
            <v>11</v>
          </cell>
          <cell r="AL862">
            <v>0</v>
          </cell>
          <cell r="AM862">
            <v>11</v>
          </cell>
          <cell r="AN862">
            <v>47</v>
          </cell>
          <cell r="AO862">
            <v>58</v>
          </cell>
          <cell r="AP862">
            <v>35</v>
          </cell>
          <cell r="AQ862">
            <v>49</v>
          </cell>
          <cell r="AR862">
            <v>105</v>
          </cell>
          <cell r="AS862">
            <v>94</v>
          </cell>
        </row>
        <row r="863">
          <cell r="B863">
            <v>17031806202</v>
          </cell>
          <cell r="D863">
            <v>2000</v>
          </cell>
          <cell r="E863">
            <v>251</v>
          </cell>
          <cell r="F863">
            <v>1670</v>
          </cell>
          <cell r="G863">
            <v>248</v>
          </cell>
          <cell r="H863">
            <v>1542</v>
          </cell>
          <cell r="I863">
            <v>239</v>
          </cell>
          <cell r="J863">
            <v>128</v>
          </cell>
          <cell r="K863">
            <v>97</v>
          </cell>
          <cell r="L863">
            <v>55</v>
          </cell>
          <cell r="M863">
            <v>41</v>
          </cell>
          <cell r="N863">
            <v>57</v>
          </cell>
          <cell r="O863">
            <v>86</v>
          </cell>
          <cell r="P863">
            <v>0</v>
          </cell>
          <cell r="Q863">
            <v>11</v>
          </cell>
          <cell r="R863">
            <v>0</v>
          </cell>
          <cell r="S863">
            <v>11</v>
          </cell>
          <cell r="T863">
            <v>16</v>
          </cell>
          <cell r="U863">
            <v>25</v>
          </cell>
          <cell r="V863">
            <v>100</v>
          </cell>
          <cell r="W863">
            <v>71</v>
          </cell>
          <cell r="X863">
            <v>44</v>
          </cell>
          <cell r="Y863">
            <v>43</v>
          </cell>
          <cell r="Z863">
            <v>0</v>
          </cell>
          <cell r="AA863">
            <v>11</v>
          </cell>
          <cell r="AB863">
            <v>0</v>
          </cell>
          <cell r="AC863">
            <v>11</v>
          </cell>
          <cell r="AD863">
            <v>56</v>
          </cell>
          <cell r="AE863">
            <v>52</v>
          </cell>
          <cell r="AF863">
            <v>0</v>
          </cell>
          <cell r="AG863">
            <v>11</v>
          </cell>
          <cell r="AH863">
            <v>0</v>
          </cell>
          <cell r="AI863">
            <v>11</v>
          </cell>
          <cell r="AJ863">
            <v>0</v>
          </cell>
          <cell r="AK863">
            <v>11</v>
          </cell>
          <cell r="AL863">
            <v>0</v>
          </cell>
          <cell r="AM863">
            <v>11</v>
          </cell>
          <cell r="AN863">
            <v>21</v>
          </cell>
          <cell r="AO863">
            <v>30</v>
          </cell>
          <cell r="AP863">
            <v>0</v>
          </cell>
          <cell r="AQ863">
            <v>11</v>
          </cell>
          <cell r="AR863">
            <v>209</v>
          </cell>
          <cell r="AS863">
            <v>124</v>
          </cell>
        </row>
        <row r="864">
          <cell r="B864">
            <v>17031806300</v>
          </cell>
          <cell r="D864">
            <v>2469</v>
          </cell>
          <cell r="E864">
            <v>238</v>
          </cell>
          <cell r="F864">
            <v>2179</v>
          </cell>
          <cell r="G864">
            <v>233</v>
          </cell>
          <cell r="H864">
            <v>1986</v>
          </cell>
          <cell r="I864">
            <v>219</v>
          </cell>
          <cell r="J864">
            <v>193</v>
          </cell>
          <cell r="K864">
            <v>77</v>
          </cell>
          <cell r="L864">
            <v>147</v>
          </cell>
          <cell r="M864">
            <v>70</v>
          </cell>
          <cell r="N864">
            <v>20</v>
          </cell>
          <cell r="O864">
            <v>21</v>
          </cell>
          <cell r="P864">
            <v>9</v>
          </cell>
          <cell r="Q864">
            <v>11</v>
          </cell>
          <cell r="R864">
            <v>17</v>
          </cell>
          <cell r="S864">
            <v>29</v>
          </cell>
          <cell r="T864">
            <v>0</v>
          </cell>
          <cell r="U864">
            <v>11</v>
          </cell>
          <cell r="V864">
            <v>176</v>
          </cell>
          <cell r="W864">
            <v>72</v>
          </cell>
          <cell r="X864">
            <v>0</v>
          </cell>
          <cell r="Y864">
            <v>11</v>
          </cell>
          <cell r="Z864">
            <v>0</v>
          </cell>
          <cell r="AA864">
            <v>11</v>
          </cell>
          <cell r="AB864">
            <v>16</v>
          </cell>
          <cell r="AC864">
            <v>17</v>
          </cell>
          <cell r="AD864">
            <v>160</v>
          </cell>
          <cell r="AE864">
            <v>71</v>
          </cell>
          <cell r="AF864">
            <v>0</v>
          </cell>
          <cell r="AG864">
            <v>11</v>
          </cell>
          <cell r="AH864">
            <v>8</v>
          </cell>
          <cell r="AI864">
            <v>12</v>
          </cell>
          <cell r="AJ864">
            <v>0</v>
          </cell>
          <cell r="AK864">
            <v>11</v>
          </cell>
          <cell r="AL864">
            <v>0</v>
          </cell>
          <cell r="AM864">
            <v>11</v>
          </cell>
          <cell r="AN864">
            <v>24</v>
          </cell>
          <cell r="AO864">
            <v>21</v>
          </cell>
          <cell r="AP864">
            <v>0</v>
          </cell>
          <cell r="AQ864">
            <v>11</v>
          </cell>
          <cell r="AR864">
            <v>82</v>
          </cell>
          <cell r="AS864">
            <v>44</v>
          </cell>
        </row>
        <row r="865">
          <cell r="B865">
            <v>17031806400</v>
          </cell>
          <cell r="D865">
            <v>1419</v>
          </cell>
          <cell r="E865">
            <v>236</v>
          </cell>
          <cell r="F865">
            <v>1294</v>
          </cell>
          <cell r="G865">
            <v>217</v>
          </cell>
          <cell r="H865">
            <v>1167</v>
          </cell>
          <cell r="I865">
            <v>203</v>
          </cell>
          <cell r="J865">
            <v>127</v>
          </cell>
          <cell r="K865">
            <v>82</v>
          </cell>
          <cell r="L865">
            <v>53</v>
          </cell>
          <cell r="M865">
            <v>34</v>
          </cell>
          <cell r="N865">
            <v>52</v>
          </cell>
          <cell r="O865">
            <v>66</v>
          </cell>
          <cell r="P865">
            <v>0</v>
          </cell>
          <cell r="Q865">
            <v>11</v>
          </cell>
          <cell r="R865">
            <v>22</v>
          </cell>
          <cell r="S865">
            <v>27</v>
          </cell>
          <cell r="T865">
            <v>0</v>
          </cell>
          <cell r="U865">
            <v>11</v>
          </cell>
          <cell r="V865">
            <v>77</v>
          </cell>
          <cell r="W865">
            <v>53</v>
          </cell>
          <cell r="X865">
            <v>36</v>
          </cell>
          <cell r="Y865">
            <v>45</v>
          </cell>
          <cell r="Z865">
            <v>0</v>
          </cell>
          <cell r="AA865">
            <v>11</v>
          </cell>
          <cell r="AB865">
            <v>26</v>
          </cell>
          <cell r="AC865">
            <v>19</v>
          </cell>
          <cell r="AD865">
            <v>15</v>
          </cell>
          <cell r="AE865">
            <v>16</v>
          </cell>
          <cell r="AF865">
            <v>0</v>
          </cell>
          <cell r="AG865">
            <v>11</v>
          </cell>
          <cell r="AH865">
            <v>0</v>
          </cell>
          <cell r="AI865">
            <v>11</v>
          </cell>
          <cell r="AJ865">
            <v>7</v>
          </cell>
          <cell r="AK865">
            <v>10</v>
          </cell>
          <cell r="AL865">
            <v>8</v>
          </cell>
          <cell r="AM865">
            <v>11</v>
          </cell>
          <cell r="AN865">
            <v>13</v>
          </cell>
          <cell r="AO865">
            <v>14</v>
          </cell>
          <cell r="AP865">
            <v>0</v>
          </cell>
          <cell r="AQ865">
            <v>11</v>
          </cell>
          <cell r="AR865">
            <v>20</v>
          </cell>
          <cell r="AS865">
            <v>16</v>
          </cell>
        </row>
        <row r="866">
          <cell r="B866">
            <v>17031806501</v>
          </cell>
          <cell r="D866">
            <v>1188</v>
          </cell>
          <cell r="E866">
            <v>145</v>
          </cell>
          <cell r="F866">
            <v>1092</v>
          </cell>
          <cell r="G866">
            <v>141</v>
          </cell>
          <cell r="H866">
            <v>1028</v>
          </cell>
          <cell r="I866">
            <v>127</v>
          </cell>
          <cell r="J866">
            <v>64</v>
          </cell>
          <cell r="K866">
            <v>45</v>
          </cell>
          <cell r="L866">
            <v>64</v>
          </cell>
          <cell r="M866">
            <v>45</v>
          </cell>
          <cell r="N866">
            <v>0</v>
          </cell>
          <cell r="O866">
            <v>11</v>
          </cell>
          <cell r="P866">
            <v>0</v>
          </cell>
          <cell r="Q866">
            <v>11</v>
          </cell>
          <cell r="R866">
            <v>0</v>
          </cell>
          <cell r="S866">
            <v>11</v>
          </cell>
          <cell r="T866">
            <v>0</v>
          </cell>
          <cell r="U866">
            <v>11</v>
          </cell>
          <cell r="V866">
            <v>44</v>
          </cell>
          <cell r="W866">
            <v>30</v>
          </cell>
          <cell r="X866">
            <v>27</v>
          </cell>
          <cell r="Y866">
            <v>30</v>
          </cell>
          <cell r="Z866">
            <v>0</v>
          </cell>
          <cell r="AA866">
            <v>11</v>
          </cell>
          <cell r="AB866">
            <v>3</v>
          </cell>
          <cell r="AC866">
            <v>5</v>
          </cell>
          <cell r="AD866">
            <v>14</v>
          </cell>
          <cell r="AE866">
            <v>17</v>
          </cell>
          <cell r="AF866">
            <v>0</v>
          </cell>
          <cell r="AG866">
            <v>11</v>
          </cell>
          <cell r="AH866">
            <v>0</v>
          </cell>
          <cell r="AI866">
            <v>11</v>
          </cell>
          <cell r="AJ866">
            <v>0</v>
          </cell>
          <cell r="AK866">
            <v>11</v>
          </cell>
          <cell r="AL866">
            <v>17</v>
          </cell>
          <cell r="AM866">
            <v>27</v>
          </cell>
          <cell r="AN866">
            <v>6</v>
          </cell>
          <cell r="AO866">
            <v>9</v>
          </cell>
          <cell r="AP866">
            <v>5</v>
          </cell>
          <cell r="AQ866">
            <v>8</v>
          </cell>
          <cell r="AR866">
            <v>24</v>
          </cell>
          <cell r="AS866">
            <v>20</v>
          </cell>
        </row>
        <row r="867">
          <cell r="B867">
            <v>17031806502</v>
          </cell>
          <cell r="D867">
            <v>2392</v>
          </cell>
          <cell r="E867">
            <v>232</v>
          </cell>
          <cell r="F867">
            <v>2135</v>
          </cell>
          <cell r="G867">
            <v>220</v>
          </cell>
          <cell r="H867">
            <v>1780</v>
          </cell>
          <cell r="I867">
            <v>219</v>
          </cell>
          <cell r="J867">
            <v>355</v>
          </cell>
          <cell r="K867">
            <v>116</v>
          </cell>
          <cell r="L867">
            <v>312</v>
          </cell>
          <cell r="M867">
            <v>100</v>
          </cell>
          <cell r="N867">
            <v>43</v>
          </cell>
          <cell r="O867">
            <v>46</v>
          </cell>
          <cell r="P867">
            <v>0</v>
          </cell>
          <cell r="Q867">
            <v>11</v>
          </cell>
          <cell r="R867">
            <v>0</v>
          </cell>
          <cell r="S867">
            <v>11</v>
          </cell>
          <cell r="T867">
            <v>0</v>
          </cell>
          <cell r="U867">
            <v>11</v>
          </cell>
          <cell r="V867">
            <v>42</v>
          </cell>
          <cell r="W867">
            <v>31</v>
          </cell>
          <cell r="X867">
            <v>9</v>
          </cell>
          <cell r="Y867">
            <v>14</v>
          </cell>
          <cell r="Z867">
            <v>0</v>
          </cell>
          <cell r="AA867">
            <v>11</v>
          </cell>
          <cell r="AB867">
            <v>0</v>
          </cell>
          <cell r="AC867">
            <v>11</v>
          </cell>
          <cell r="AD867">
            <v>33</v>
          </cell>
          <cell r="AE867">
            <v>27</v>
          </cell>
          <cell r="AF867">
            <v>0</v>
          </cell>
          <cell r="AG867">
            <v>11</v>
          </cell>
          <cell r="AH867">
            <v>21</v>
          </cell>
          <cell r="AI867">
            <v>32</v>
          </cell>
          <cell r="AJ867">
            <v>0</v>
          </cell>
          <cell r="AK867">
            <v>11</v>
          </cell>
          <cell r="AL867">
            <v>0</v>
          </cell>
          <cell r="AM867">
            <v>11</v>
          </cell>
          <cell r="AN867">
            <v>81</v>
          </cell>
          <cell r="AO867">
            <v>64</v>
          </cell>
          <cell r="AP867">
            <v>0</v>
          </cell>
          <cell r="AQ867">
            <v>11</v>
          </cell>
          <cell r="AR867">
            <v>113</v>
          </cell>
          <cell r="AS867">
            <v>64</v>
          </cell>
        </row>
        <row r="868">
          <cell r="B868">
            <v>17031806600</v>
          </cell>
          <cell r="D868">
            <v>1870</v>
          </cell>
          <cell r="E868">
            <v>167</v>
          </cell>
          <cell r="F868">
            <v>1656</v>
          </cell>
          <cell r="G868">
            <v>151</v>
          </cell>
          <cell r="H868">
            <v>1551</v>
          </cell>
          <cell r="I868">
            <v>146</v>
          </cell>
          <cell r="J868">
            <v>105</v>
          </cell>
          <cell r="K868">
            <v>68</v>
          </cell>
          <cell r="L868">
            <v>71</v>
          </cell>
          <cell r="M868">
            <v>64</v>
          </cell>
          <cell r="N868">
            <v>26</v>
          </cell>
          <cell r="O868">
            <v>32</v>
          </cell>
          <cell r="P868">
            <v>8</v>
          </cell>
          <cell r="Q868">
            <v>14</v>
          </cell>
          <cell r="R868">
            <v>0</v>
          </cell>
          <cell r="S868">
            <v>11</v>
          </cell>
          <cell r="T868">
            <v>0</v>
          </cell>
          <cell r="U868">
            <v>11</v>
          </cell>
          <cell r="V868">
            <v>129</v>
          </cell>
          <cell r="W868">
            <v>88</v>
          </cell>
          <cell r="X868">
            <v>90</v>
          </cell>
          <cell r="Y868">
            <v>72</v>
          </cell>
          <cell r="Z868">
            <v>0</v>
          </cell>
          <cell r="AA868">
            <v>11</v>
          </cell>
          <cell r="AB868">
            <v>30</v>
          </cell>
          <cell r="AC868">
            <v>28</v>
          </cell>
          <cell r="AD868">
            <v>9</v>
          </cell>
          <cell r="AE868">
            <v>15</v>
          </cell>
          <cell r="AF868">
            <v>0</v>
          </cell>
          <cell r="AG868">
            <v>11</v>
          </cell>
          <cell r="AH868">
            <v>0</v>
          </cell>
          <cell r="AI868">
            <v>11</v>
          </cell>
          <cell r="AJ868">
            <v>0</v>
          </cell>
          <cell r="AK868">
            <v>11</v>
          </cell>
          <cell r="AL868">
            <v>18</v>
          </cell>
          <cell r="AM868">
            <v>22</v>
          </cell>
          <cell r="AN868">
            <v>0</v>
          </cell>
          <cell r="AO868">
            <v>11</v>
          </cell>
          <cell r="AP868">
            <v>32</v>
          </cell>
          <cell r="AQ868">
            <v>30</v>
          </cell>
          <cell r="AR868">
            <v>35</v>
          </cell>
          <cell r="AS868">
            <v>30</v>
          </cell>
        </row>
        <row r="869">
          <cell r="B869">
            <v>17031806700</v>
          </cell>
          <cell r="D869">
            <v>2017</v>
          </cell>
          <cell r="E869">
            <v>174</v>
          </cell>
          <cell r="F869">
            <v>1425</v>
          </cell>
          <cell r="G869">
            <v>159</v>
          </cell>
          <cell r="H869">
            <v>1320</v>
          </cell>
          <cell r="I869">
            <v>148</v>
          </cell>
          <cell r="J869">
            <v>105</v>
          </cell>
          <cell r="K869">
            <v>56</v>
          </cell>
          <cell r="L869">
            <v>73</v>
          </cell>
          <cell r="M869">
            <v>40</v>
          </cell>
          <cell r="N869">
            <v>32</v>
          </cell>
          <cell r="O869">
            <v>34</v>
          </cell>
          <cell r="P869">
            <v>0</v>
          </cell>
          <cell r="Q869">
            <v>11</v>
          </cell>
          <cell r="R869">
            <v>0</v>
          </cell>
          <cell r="S869">
            <v>11</v>
          </cell>
          <cell r="T869">
            <v>0</v>
          </cell>
          <cell r="U869">
            <v>11</v>
          </cell>
          <cell r="V869">
            <v>218</v>
          </cell>
          <cell r="W869">
            <v>65</v>
          </cell>
          <cell r="X869">
            <v>68</v>
          </cell>
          <cell r="Y869">
            <v>47</v>
          </cell>
          <cell r="Z869">
            <v>0</v>
          </cell>
          <cell r="AA869">
            <v>11</v>
          </cell>
          <cell r="AB869">
            <v>40</v>
          </cell>
          <cell r="AC869">
            <v>29</v>
          </cell>
          <cell r="AD869">
            <v>110</v>
          </cell>
          <cell r="AE869">
            <v>49</v>
          </cell>
          <cell r="AF869">
            <v>0</v>
          </cell>
          <cell r="AG869">
            <v>11</v>
          </cell>
          <cell r="AH869">
            <v>0</v>
          </cell>
          <cell r="AI869">
            <v>11</v>
          </cell>
          <cell r="AJ869">
            <v>26</v>
          </cell>
          <cell r="AK869">
            <v>26</v>
          </cell>
          <cell r="AL869">
            <v>32</v>
          </cell>
          <cell r="AM869">
            <v>31</v>
          </cell>
          <cell r="AN869">
            <v>13</v>
          </cell>
          <cell r="AO869">
            <v>15</v>
          </cell>
          <cell r="AP869">
            <v>35</v>
          </cell>
          <cell r="AQ869">
            <v>26</v>
          </cell>
          <cell r="AR869">
            <v>268</v>
          </cell>
          <cell r="AS869">
            <v>116</v>
          </cell>
        </row>
        <row r="870">
          <cell r="B870">
            <v>17031806801</v>
          </cell>
          <cell r="D870">
            <v>1554</v>
          </cell>
          <cell r="E870">
            <v>206</v>
          </cell>
          <cell r="F870">
            <v>1214</v>
          </cell>
          <cell r="G870">
            <v>181</v>
          </cell>
          <cell r="H870">
            <v>1144</v>
          </cell>
          <cell r="I870">
            <v>172</v>
          </cell>
          <cell r="J870">
            <v>70</v>
          </cell>
          <cell r="K870">
            <v>62</v>
          </cell>
          <cell r="L870">
            <v>63</v>
          </cell>
          <cell r="M870">
            <v>57</v>
          </cell>
          <cell r="N870">
            <v>7</v>
          </cell>
          <cell r="O870">
            <v>13</v>
          </cell>
          <cell r="P870">
            <v>0</v>
          </cell>
          <cell r="Q870">
            <v>11</v>
          </cell>
          <cell r="R870">
            <v>0</v>
          </cell>
          <cell r="S870">
            <v>11</v>
          </cell>
          <cell r="T870">
            <v>0</v>
          </cell>
          <cell r="U870">
            <v>11</v>
          </cell>
          <cell r="V870">
            <v>146</v>
          </cell>
          <cell r="W870">
            <v>78</v>
          </cell>
          <cell r="X870">
            <v>43</v>
          </cell>
          <cell r="Y870">
            <v>36</v>
          </cell>
          <cell r="Z870">
            <v>0</v>
          </cell>
          <cell r="AA870">
            <v>11</v>
          </cell>
          <cell r="AB870">
            <v>49</v>
          </cell>
          <cell r="AC870">
            <v>44</v>
          </cell>
          <cell r="AD870">
            <v>54</v>
          </cell>
          <cell r="AE870">
            <v>56</v>
          </cell>
          <cell r="AF870">
            <v>0</v>
          </cell>
          <cell r="AG870">
            <v>11</v>
          </cell>
          <cell r="AH870">
            <v>0</v>
          </cell>
          <cell r="AI870">
            <v>11</v>
          </cell>
          <cell r="AJ870">
            <v>0</v>
          </cell>
          <cell r="AK870">
            <v>11</v>
          </cell>
          <cell r="AL870">
            <v>0</v>
          </cell>
          <cell r="AM870">
            <v>11</v>
          </cell>
          <cell r="AN870">
            <v>94</v>
          </cell>
          <cell r="AO870">
            <v>80</v>
          </cell>
          <cell r="AP870">
            <v>10</v>
          </cell>
          <cell r="AQ870">
            <v>12</v>
          </cell>
          <cell r="AR870">
            <v>90</v>
          </cell>
          <cell r="AS870">
            <v>56</v>
          </cell>
        </row>
        <row r="871">
          <cell r="B871">
            <v>17031806802</v>
          </cell>
          <cell r="D871">
            <v>1517</v>
          </cell>
          <cell r="E871">
            <v>190</v>
          </cell>
          <cell r="F871">
            <v>1175</v>
          </cell>
          <cell r="G871">
            <v>172</v>
          </cell>
          <cell r="H871">
            <v>1020</v>
          </cell>
          <cell r="I871">
            <v>166</v>
          </cell>
          <cell r="J871">
            <v>155</v>
          </cell>
          <cell r="K871">
            <v>94</v>
          </cell>
          <cell r="L871">
            <v>155</v>
          </cell>
          <cell r="M871">
            <v>94</v>
          </cell>
          <cell r="N871">
            <v>0</v>
          </cell>
          <cell r="O871">
            <v>11</v>
          </cell>
          <cell r="P871">
            <v>0</v>
          </cell>
          <cell r="Q871">
            <v>11</v>
          </cell>
          <cell r="R871">
            <v>0</v>
          </cell>
          <cell r="S871">
            <v>11</v>
          </cell>
          <cell r="T871">
            <v>0</v>
          </cell>
          <cell r="U871">
            <v>11</v>
          </cell>
          <cell r="V871">
            <v>187</v>
          </cell>
          <cell r="W871">
            <v>77</v>
          </cell>
          <cell r="X871">
            <v>69</v>
          </cell>
          <cell r="Y871">
            <v>49</v>
          </cell>
          <cell r="Z871">
            <v>0</v>
          </cell>
          <cell r="AA871">
            <v>11</v>
          </cell>
          <cell r="AB871">
            <v>30</v>
          </cell>
          <cell r="AC871">
            <v>27</v>
          </cell>
          <cell r="AD871">
            <v>88</v>
          </cell>
          <cell r="AE871">
            <v>57</v>
          </cell>
          <cell r="AF871">
            <v>0</v>
          </cell>
          <cell r="AG871">
            <v>11</v>
          </cell>
          <cell r="AH871">
            <v>6</v>
          </cell>
          <cell r="AI871">
            <v>11</v>
          </cell>
          <cell r="AJ871">
            <v>0</v>
          </cell>
          <cell r="AK871">
            <v>11</v>
          </cell>
          <cell r="AL871">
            <v>14</v>
          </cell>
          <cell r="AM871">
            <v>15</v>
          </cell>
          <cell r="AN871">
            <v>23</v>
          </cell>
          <cell r="AO871">
            <v>23</v>
          </cell>
          <cell r="AP871">
            <v>10</v>
          </cell>
          <cell r="AQ871">
            <v>18</v>
          </cell>
          <cell r="AR871">
            <v>102</v>
          </cell>
          <cell r="AS871">
            <v>54</v>
          </cell>
        </row>
        <row r="872">
          <cell r="B872">
            <v>17031806900</v>
          </cell>
          <cell r="D872">
            <v>2155</v>
          </cell>
          <cell r="E872">
            <v>352</v>
          </cell>
          <cell r="F872">
            <v>1820</v>
          </cell>
          <cell r="G872">
            <v>291</v>
          </cell>
          <cell r="H872">
            <v>1550</v>
          </cell>
          <cell r="I872">
            <v>275</v>
          </cell>
          <cell r="J872">
            <v>270</v>
          </cell>
          <cell r="K872">
            <v>214</v>
          </cell>
          <cell r="L872">
            <v>163</v>
          </cell>
          <cell r="M872">
            <v>117</v>
          </cell>
          <cell r="N872">
            <v>91</v>
          </cell>
          <cell r="O872">
            <v>161</v>
          </cell>
          <cell r="P872">
            <v>0</v>
          </cell>
          <cell r="Q872">
            <v>11</v>
          </cell>
          <cell r="R872">
            <v>16</v>
          </cell>
          <cell r="S872">
            <v>24</v>
          </cell>
          <cell r="T872">
            <v>0</v>
          </cell>
          <cell r="U872">
            <v>11</v>
          </cell>
          <cell r="V872">
            <v>139</v>
          </cell>
          <cell r="W872">
            <v>104</v>
          </cell>
          <cell r="X872">
            <v>9</v>
          </cell>
          <cell r="Y872">
            <v>18</v>
          </cell>
          <cell r="Z872">
            <v>0</v>
          </cell>
          <cell r="AA872">
            <v>11</v>
          </cell>
          <cell r="AB872">
            <v>31</v>
          </cell>
          <cell r="AC872">
            <v>33</v>
          </cell>
          <cell r="AD872">
            <v>99</v>
          </cell>
          <cell r="AE872">
            <v>86</v>
          </cell>
          <cell r="AF872">
            <v>0</v>
          </cell>
          <cell r="AG872">
            <v>11</v>
          </cell>
          <cell r="AH872">
            <v>0</v>
          </cell>
          <cell r="AI872">
            <v>11</v>
          </cell>
          <cell r="AJ872">
            <v>0</v>
          </cell>
          <cell r="AK872">
            <v>11</v>
          </cell>
          <cell r="AL872">
            <v>39</v>
          </cell>
          <cell r="AM872">
            <v>68</v>
          </cell>
          <cell r="AN872">
            <v>99</v>
          </cell>
          <cell r="AO872">
            <v>73</v>
          </cell>
          <cell r="AP872">
            <v>0</v>
          </cell>
          <cell r="AQ872">
            <v>11</v>
          </cell>
          <cell r="AR872">
            <v>58</v>
          </cell>
          <cell r="AS872">
            <v>48</v>
          </cell>
        </row>
        <row r="873">
          <cell r="B873">
            <v>17031807000</v>
          </cell>
          <cell r="D873">
            <v>2876</v>
          </cell>
          <cell r="E873">
            <v>342</v>
          </cell>
          <cell r="F873">
            <v>2405</v>
          </cell>
          <cell r="G873">
            <v>327</v>
          </cell>
          <cell r="H873">
            <v>1810</v>
          </cell>
          <cell r="I873">
            <v>294</v>
          </cell>
          <cell r="J873">
            <v>595</v>
          </cell>
          <cell r="K873">
            <v>249</v>
          </cell>
          <cell r="L873">
            <v>474</v>
          </cell>
          <cell r="M873">
            <v>235</v>
          </cell>
          <cell r="N873">
            <v>75</v>
          </cell>
          <cell r="O873">
            <v>85</v>
          </cell>
          <cell r="P873">
            <v>46</v>
          </cell>
          <cell r="Q873">
            <v>51</v>
          </cell>
          <cell r="R873">
            <v>0</v>
          </cell>
          <cell r="S873">
            <v>15</v>
          </cell>
          <cell r="T873">
            <v>0</v>
          </cell>
          <cell r="U873">
            <v>15</v>
          </cell>
          <cell r="V873">
            <v>274</v>
          </cell>
          <cell r="W873">
            <v>138</v>
          </cell>
          <cell r="X873">
            <v>151</v>
          </cell>
          <cell r="Y873">
            <v>91</v>
          </cell>
          <cell r="Z873">
            <v>0</v>
          </cell>
          <cell r="AA873">
            <v>15</v>
          </cell>
          <cell r="AB873">
            <v>109</v>
          </cell>
          <cell r="AC873">
            <v>75</v>
          </cell>
          <cell r="AD873">
            <v>14</v>
          </cell>
          <cell r="AE873">
            <v>23</v>
          </cell>
          <cell r="AF873">
            <v>0</v>
          </cell>
          <cell r="AG873">
            <v>15</v>
          </cell>
          <cell r="AH873">
            <v>24</v>
          </cell>
          <cell r="AI873">
            <v>28</v>
          </cell>
          <cell r="AJ873">
            <v>0</v>
          </cell>
          <cell r="AK873">
            <v>15</v>
          </cell>
          <cell r="AL873">
            <v>14</v>
          </cell>
          <cell r="AM873">
            <v>22</v>
          </cell>
          <cell r="AN873">
            <v>48</v>
          </cell>
          <cell r="AO873">
            <v>45</v>
          </cell>
          <cell r="AP873">
            <v>14</v>
          </cell>
          <cell r="AQ873">
            <v>22</v>
          </cell>
          <cell r="AR873">
            <v>97</v>
          </cell>
          <cell r="AS873">
            <v>81</v>
          </cell>
        </row>
        <row r="874">
          <cell r="B874">
            <v>17031807100</v>
          </cell>
          <cell r="D874">
            <v>1688</v>
          </cell>
          <cell r="E874">
            <v>166</v>
          </cell>
          <cell r="F874">
            <v>1358</v>
          </cell>
          <cell r="G874">
            <v>165</v>
          </cell>
          <cell r="H874">
            <v>1253</v>
          </cell>
          <cell r="I874">
            <v>170</v>
          </cell>
          <cell r="J874">
            <v>105</v>
          </cell>
          <cell r="K874">
            <v>69</v>
          </cell>
          <cell r="L874">
            <v>93</v>
          </cell>
          <cell r="M874">
            <v>64</v>
          </cell>
          <cell r="N874">
            <v>5</v>
          </cell>
          <cell r="O874">
            <v>7</v>
          </cell>
          <cell r="P874">
            <v>0</v>
          </cell>
          <cell r="Q874">
            <v>11</v>
          </cell>
          <cell r="R874">
            <v>7</v>
          </cell>
          <cell r="S874">
            <v>12</v>
          </cell>
          <cell r="T874">
            <v>0</v>
          </cell>
          <cell r="U874">
            <v>11</v>
          </cell>
          <cell r="V874">
            <v>176</v>
          </cell>
          <cell r="W874">
            <v>60</v>
          </cell>
          <cell r="X874">
            <v>35</v>
          </cell>
          <cell r="Y874">
            <v>30</v>
          </cell>
          <cell r="Z874">
            <v>0</v>
          </cell>
          <cell r="AA874">
            <v>11</v>
          </cell>
          <cell r="AB874">
            <v>45</v>
          </cell>
          <cell r="AC874">
            <v>28</v>
          </cell>
          <cell r="AD874">
            <v>96</v>
          </cell>
          <cell r="AE874">
            <v>43</v>
          </cell>
          <cell r="AF874">
            <v>0</v>
          </cell>
          <cell r="AG874">
            <v>11</v>
          </cell>
          <cell r="AH874">
            <v>0</v>
          </cell>
          <cell r="AI874">
            <v>11</v>
          </cell>
          <cell r="AJ874">
            <v>0</v>
          </cell>
          <cell r="AK874">
            <v>11</v>
          </cell>
          <cell r="AL874">
            <v>14</v>
          </cell>
          <cell r="AM874">
            <v>15</v>
          </cell>
          <cell r="AN874">
            <v>0</v>
          </cell>
          <cell r="AO874">
            <v>11</v>
          </cell>
          <cell r="AP874">
            <v>15</v>
          </cell>
          <cell r="AQ874">
            <v>17</v>
          </cell>
          <cell r="AR874">
            <v>125</v>
          </cell>
          <cell r="AS874">
            <v>59</v>
          </cell>
        </row>
        <row r="875">
          <cell r="B875">
            <v>17031807200</v>
          </cell>
          <cell r="D875">
            <v>2678</v>
          </cell>
          <cell r="E875">
            <v>336</v>
          </cell>
          <cell r="F875">
            <v>2180</v>
          </cell>
          <cell r="G875">
            <v>279</v>
          </cell>
          <cell r="H875">
            <v>1899</v>
          </cell>
          <cell r="I875">
            <v>262</v>
          </cell>
          <cell r="J875">
            <v>281</v>
          </cell>
          <cell r="K875">
            <v>112</v>
          </cell>
          <cell r="L875">
            <v>206</v>
          </cell>
          <cell r="M875">
            <v>102</v>
          </cell>
          <cell r="N875">
            <v>54</v>
          </cell>
          <cell r="O875">
            <v>54</v>
          </cell>
          <cell r="P875">
            <v>15</v>
          </cell>
          <cell r="Q875">
            <v>18</v>
          </cell>
          <cell r="R875">
            <v>4</v>
          </cell>
          <cell r="S875">
            <v>9</v>
          </cell>
          <cell r="T875">
            <v>2</v>
          </cell>
          <cell r="U875">
            <v>6</v>
          </cell>
          <cell r="V875">
            <v>290</v>
          </cell>
          <cell r="W875">
            <v>119</v>
          </cell>
          <cell r="X875">
            <v>141</v>
          </cell>
          <cell r="Y875">
            <v>91</v>
          </cell>
          <cell r="Z875">
            <v>0</v>
          </cell>
          <cell r="AA875">
            <v>15</v>
          </cell>
          <cell r="AB875">
            <v>63</v>
          </cell>
          <cell r="AC875">
            <v>39</v>
          </cell>
          <cell r="AD875">
            <v>86</v>
          </cell>
          <cell r="AE875">
            <v>65</v>
          </cell>
          <cell r="AF875">
            <v>0</v>
          </cell>
          <cell r="AG875">
            <v>15</v>
          </cell>
          <cell r="AH875">
            <v>0</v>
          </cell>
          <cell r="AI875">
            <v>15</v>
          </cell>
          <cell r="AJ875">
            <v>0</v>
          </cell>
          <cell r="AK875">
            <v>15</v>
          </cell>
          <cell r="AL875">
            <v>23</v>
          </cell>
          <cell r="AM875">
            <v>29</v>
          </cell>
          <cell r="AN875">
            <v>38</v>
          </cell>
          <cell r="AO875">
            <v>29</v>
          </cell>
          <cell r="AP875">
            <v>51</v>
          </cell>
          <cell r="AQ875">
            <v>41</v>
          </cell>
          <cell r="AR875">
            <v>96</v>
          </cell>
          <cell r="AS875">
            <v>58</v>
          </cell>
        </row>
        <row r="876">
          <cell r="B876">
            <v>17031807300</v>
          </cell>
          <cell r="D876">
            <v>3755</v>
          </cell>
          <cell r="E876">
            <v>397</v>
          </cell>
          <cell r="F876">
            <v>3022</v>
          </cell>
          <cell r="G876">
            <v>362</v>
          </cell>
          <cell r="H876">
            <v>2800</v>
          </cell>
          <cell r="I876">
            <v>375</v>
          </cell>
          <cell r="J876">
            <v>222</v>
          </cell>
          <cell r="K876">
            <v>158</v>
          </cell>
          <cell r="L876">
            <v>222</v>
          </cell>
          <cell r="M876">
            <v>158</v>
          </cell>
          <cell r="N876">
            <v>0</v>
          </cell>
          <cell r="O876">
            <v>15</v>
          </cell>
          <cell r="P876">
            <v>0</v>
          </cell>
          <cell r="Q876">
            <v>15</v>
          </cell>
          <cell r="R876">
            <v>0</v>
          </cell>
          <cell r="S876">
            <v>15</v>
          </cell>
          <cell r="T876">
            <v>0</v>
          </cell>
          <cell r="U876">
            <v>15</v>
          </cell>
          <cell r="V876">
            <v>499</v>
          </cell>
          <cell r="W876">
            <v>181</v>
          </cell>
          <cell r="X876">
            <v>134</v>
          </cell>
          <cell r="Y876">
            <v>100</v>
          </cell>
          <cell r="Z876">
            <v>0</v>
          </cell>
          <cell r="AA876">
            <v>15</v>
          </cell>
          <cell r="AB876">
            <v>216</v>
          </cell>
          <cell r="AC876">
            <v>93</v>
          </cell>
          <cell r="AD876">
            <v>149</v>
          </cell>
          <cell r="AE876">
            <v>109</v>
          </cell>
          <cell r="AF876">
            <v>0</v>
          </cell>
          <cell r="AG876">
            <v>15</v>
          </cell>
          <cell r="AH876">
            <v>3</v>
          </cell>
          <cell r="AI876">
            <v>9</v>
          </cell>
          <cell r="AJ876">
            <v>0</v>
          </cell>
          <cell r="AK876">
            <v>15</v>
          </cell>
          <cell r="AL876">
            <v>56</v>
          </cell>
          <cell r="AM876">
            <v>57</v>
          </cell>
          <cell r="AN876">
            <v>59</v>
          </cell>
          <cell r="AO876">
            <v>61</v>
          </cell>
          <cell r="AP876">
            <v>15</v>
          </cell>
          <cell r="AQ876">
            <v>25</v>
          </cell>
          <cell r="AR876">
            <v>101</v>
          </cell>
          <cell r="AS876">
            <v>65</v>
          </cell>
        </row>
        <row r="877">
          <cell r="B877">
            <v>17031807400</v>
          </cell>
          <cell r="D877">
            <v>3112</v>
          </cell>
          <cell r="E877">
            <v>352</v>
          </cell>
          <cell r="F877">
            <v>2514</v>
          </cell>
          <cell r="G877">
            <v>352</v>
          </cell>
          <cell r="H877">
            <v>2364</v>
          </cell>
          <cell r="I877">
            <v>345</v>
          </cell>
          <cell r="J877">
            <v>150</v>
          </cell>
          <cell r="K877">
            <v>74</v>
          </cell>
          <cell r="L877">
            <v>139</v>
          </cell>
          <cell r="M877">
            <v>70</v>
          </cell>
          <cell r="N877">
            <v>0</v>
          </cell>
          <cell r="O877">
            <v>15</v>
          </cell>
          <cell r="P877">
            <v>8</v>
          </cell>
          <cell r="Q877">
            <v>14</v>
          </cell>
          <cell r="R877">
            <v>0</v>
          </cell>
          <cell r="S877">
            <v>15</v>
          </cell>
          <cell r="T877">
            <v>3</v>
          </cell>
          <cell r="U877">
            <v>6</v>
          </cell>
          <cell r="V877">
            <v>375</v>
          </cell>
          <cell r="W877">
            <v>155</v>
          </cell>
          <cell r="X877">
            <v>101</v>
          </cell>
          <cell r="Y877">
            <v>73</v>
          </cell>
          <cell r="Z877">
            <v>0</v>
          </cell>
          <cell r="AA877">
            <v>15</v>
          </cell>
          <cell r="AB877">
            <v>197</v>
          </cell>
          <cell r="AC877">
            <v>112</v>
          </cell>
          <cell r="AD877">
            <v>77</v>
          </cell>
          <cell r="AE877">
            <v>65</v>
          </cell>
          <cell r="AF877">
            <v>0</v>
          </cell>
          <cell r="AG877">
            <v>15</v>
          </cell>
          <cell r="AH877">
            <v>40</v>
          </cell>
          <cell r="AI877">
            <v>46</v>
          </cell>
          <cell r="AJ877">
            <v>12</v>
          </cell>
          <cell r="AK877">
            <v>22</v>
          </cell>
          <cell r="AL877">
            <v>0</v>
          </cell>
          <cell r="AM877">
            <v>15</v>
          </cell>
          <cell r="AN877">
            <v>98</v>
          </cell>
          <cell r="AO877">
            <v>78</v>
          </cell>
          <cell r="AP877">
            <v>0</v>
          </cell>
          <cell r="AQ877">
            <v>15</v>
          </cell>
          <cell r="AR877">
            <v>73</v>
          </cell>
          <cell r="AS877">
            <v>50</v>
          </cell>
        </row>
        <row r="878">
          <cell r="B878">
            <v>17031807500</v>
          </cell>
          <cell r="D878">
            <v>1759</v>
          </cell>
          <cell r="E878">
            <v>159</v>
          </cell>
          <cell r="F878">
            <v>1480</v>
          </cell>
          <cell r="G878">
            <v>171</v>
          </cell>
          <cell r="H878">
            <v>1259</v>
          </cell>
          <cell r="I878">
            <v>170</v>
          </cell>
          <cell r="J878">
            <v>221</v>
          </cell>
          <cell r="K878">
            <v>111</v>
          </cell>
          <cell r="L878">
            <v>192</v>
          </cell>
          <cell r="M878">
            <v>111</v>
          </cell>
          <cell r="N878">
            <v>29</v>
          </cell>
          <cell r="O878">
            <v>29</v>
          </cell>
          <cell r="P878">
            <v>0</v>
          </cell>
          <cell r="Q878">
            <v>11</v>
          </cell>
          <cell r="R878">
            <v>0</v>
          </cell>
          <cell r="S878">
            <v>11</v>
          </cell>
          <cell r="T878">
            <v>0</v>
          </cell>
          <cell r="U878">
            <v>11</v>
          </cell>
          <cell r="V878">
            <v>146</v>
          </cell>
          <cell r="W878">
            <v>54</v>
          </cell>
          <cell r="X878">
            <v>10</v>
          </cell>
          <cell r="Y878">
            <v>16</v>
          </cell>
          <cell r="Z878">
            <v>0</v>
          </cell>
          <cell r="AA878">
            <v>11</v>
          </cell>
          <cell r="AB878">
            <v>85</v>
          </cell>
          <cell r="AC878">
            <v>41</v>
          </cell>
          <cell r="AD878">
            <v>51</v>
          </cell>
          <cell r="AE878">
            <v>36</v>
          </cell>
          <cell r="AF878">
            <v>0</v>
          </cell>
          <cell r="AG878">
            <v>11</v>
          </cell>
          <cell r="AH878">
            <v>0</v>
          </cell>
          <cell r="AI878">
            <v>11</v>
          </cell>
          <cell r="AJ878">
            <v>0</v>
          </cell>
          <cell r="AK878">
            <v>11</v>
          </cell>
          <cell r="AL878">
            <v>11</v>
          </cell>
          <cell r="AM878">
            <v>18</v>
          </cell>
          <cell r="AN878">
            <v>52</v>
          </cell>
          <cell r="AO878">
            <v>49</v>
          </cell>
          <cell r="AP878">
            <v>0</v>
          </cell>
          <cell r="AQ878">
            <v>11</v>
          </cell>
          <cell r="AR878">
            <v>70</v>
          </cell>
          <cell r="AS878">
            <v>56</v>
          </cell>
        </row>
        <row r="879">
          <cell r="B879">
            <v>17031807600</v>
          </cell>
          <cell r="D879">
            <v>2933</v>
          </cell>
          <cell r="E879">
            <v>319</v>
          </cell>
          <cell r="F879">
            <v>2482</v>
          </cell>
          <cell r="G879">
            <v>270</v>
          </cell>
          <cell r="H879">
            <v>2168</v>
          </cell>
          <cell r="I879">
            <v>292</v>
          </cell>
          <cell r="J879">
            <v>314</v>
          </cell>
          <cell r="K879">
            <v>120</v>
          </cell>
          <cell r="L879">
            <v>271</v>
          </cell>
          <cell r="M879">
            <v>118</v>
          </cell>
          <cell r="N879">
            <v>0</v>
          </cell>
          <cell r="O879">
            <v>15</v>
          </cell>
          <cell r="P879">
            <v>30</v>
          </cell>
          <cell r="Q879">
            <v>34</v>
          </cell>
          <cell r="R879">
            <v>13</v>
          </cell>
          <cell r="S879">
            <v>21</v>
          </cell>
          <cell r="T879">
            <v>0</v>
          </cell>
          <cell r="U879">
            <v>15</v>
          </cell>
          <cell r="V879">
            <v>286</v>
          </cell>
          <cell r="W879">
            <v>151</v>
          </cell>
          <cell r="X879">
            <v>51</v>
          </cell>
          <cell r="Y879">
            <v>53</v>
          </cell>
          <cell r="Z879">
            <v>0</v>
          </cell>
          <cell r="AA879">
            <v>15</v>
          </cell>
          <cell r="AB879">
            <v>144</v>
          </cell>
          <cell r="AC879">
            <v>123</v>
          </cell>
          <cell r="AD879">
            <v>91</v>
          </cell>
          <cell r="AE879">
            <v>100</v>
          </cell>
          <cell r="AF879">
            <v>0</v>
          </cell>
          <cell r="AG879">
            <v>15</v>
          </cell>
          <cell r="AH879">
            <v>0</v>
          </cell>
          <cell r="AI879">
            <v>15</v>
          </cell>
          <cell r="AJ879">
            <v>0</v>
          </cell>
          <cell r="AK879">
            <v>15</v>
          </cell>
          <cell r="AL879">
            <v>0</v>
          </cell>
          <cell r="AM879">
            <v>15</v>
          </cell>
          <cell r="AN879">
            <v>14</v>
          </cell>
          <cell r="AO879">
            <v>20</v>
          </cell>
          <cell r="AP879">
            <v>0</v>
          </cell>
          <cell r="AQ879">
            <v>15</v>
          </cell>
          <cell r="AR879">
            <v>151</v>
          </cell>
          <cell r="AS879">
            <v>100</v>
          </cell>
        </row>
        <row r="880">
          <cell r="B880">
            <v>17031807700</v>
          </cell>
          <cell r="D880">
            <v>2522</v>
          </cell>
          <cell r="E880">
            <v>288</v>
          </cell>
          <cell r="F880">
            <v>2078</v>
          </cell>
          <cell r="G880">
            <v>296</v>
          </cell>
          <cell r="H880">
            <v>1910</v>
          </cell>
          <cell r="I880">
            <v>295</v>
          </cell>
          <cell r="J880">
            <v>168</v>
          </cell>
          <cell r="K880">
            <v>112</v>
          </cell>
          <cell r="L880">
            <v>154</v>
          </cell>
          <cell r="M880">
            <v>103</v>
          </cell>
          <cell r="N880">
            <v>14</v>
          </cell>
          <cell r="O880">
            <v>23</v>
          </cell>
          <cell r="P880">
            <v>0</v>
          </cell>
          <cell r="Q880">
            <v>15</v>
          </cell>
          <cell r="R880">
            <v>0</v>
          </cell>
          <cell r="S880">
            <v>15</v>
          </cell>
          <cell r="T880">
            <v>0</v>
          </cell>
          <cell r="U880">
            <v>15</v>
          </cell>
          <cell r="V880">
            <v>127</v>
          </cell>
          <cell r="W880">
            <v>62</v>
          </cell>
          <cell r="X880">
            <v>0</v>
          </cell>
          <cell r="Y880">
            <v>15</v>
          </cell>
          <cell r="Z880">
            <v>0</v>
          </cell>
          <cell r="AA880">
            <v>15</v>
          </cell>
          <cell r="AB880">
            <v>99</v>
          </cell>
          <cell r="AC880">
            <v>63</v>
          </cell>
          <cell r="AD880">
            <v>28</v>
          </cell>
          <cell r="AE880">
            <v>32</v>
          </cell>
          <cell r="AF880">
            <v>0</v>
          </cell>
          <cell r="AG880">
            <v>15</v>
          </cell>
          <cell r="AH880">
            <v>19</v>
          </cell>
          <cell r="AI880">
            <v>33</v>
          </cell>
          <cell r="AJ880">
            <v>0</v>
          </cell>
          <cell r="AK880">
            <v>15</v>
          </cell>
          <cell r="AL880">
            <v>49</v>
          </cell>
          <cell r="AM880">
            <v>77</v>
          </cell>
          <cell r="AN880">
            <v>60</v>
          </cell>
          <cell r="AO880">
            <v>77</v>
          </cell>
          <cell r="AP880">
            <v>0</v>
          </cell>
          <cell r="AQ880">
            <v>15</v>
          </cell>
          <cell r="AR880">
            <v>189</v>
          </cell>
          <cell r="AS880">
            <v>112</v>
          </cell>
        </row>
        <row r="881">
          <cell r="B881">
            <v>17031807800</v>
          </cell>
          <cell r="D881">
            <v>1344</v>
          </cell>
          <cell r="E881">
            <v>130</v>
          </cell>
          <cell r="F881">
            <v>1149</v>
          </cell>
          <cell r="G881">
            <v>106</v>
          </cell>
          <cell r="H881">
            <v>1013</v>
          </cell>
          <cell r="I881">
            <v>106</v>
          </cell>
          <cell r="J881">
            <v>136</v>
          </cell>
          <cell r="K881">
            <v>64</v>
          </cell>
          <cell r="L881">
            <v>98</v>
          </cell>
          <cell r="M881">
            <v>42</v>
          </cell>
          <cell r="N881">
            <v>0</v>
          </cell>
          <cell r="O881">
            <v>11</v>
          </cell>
          <cell r="P881">
            <v>38</v>
          </cell>
          <cell r="Q881">
            <v>48</v>
          </cell>
          <cell r="R881">
            <v>0</v>
          </cell>
          <cell r="S881">
            <v>11</v>
          </cell>
          <cell r="T881">
            <v>0</v>
          </cell>
          <cell r="U881">
            <v>11</v>
          </cell>
          <cell r="V881">
            <v>105</v>
          </cell>
          <cell r="W881">
            <v>45</v>
          </cell>
          <cell r="X881">
            <v>29</v>
          </cell>
          <cell r="Y881">
            <v>25</v>
          </cell>
          <cell r="Z881">
            <v>0</v>
          </cell>
          <cell r="AA881">
            <v>11</v>
          </cell>
          <cell r="AB881">
            <v>15</v>
          </cell>
          <cell r="AC881">
            <v>14</v>
          </cell>
          <cell r="AD881">
            <v>61</v>
          </cell>
          <cell r="AE881">
            <v>32</v>
          </cell>
          <cell r="AF881">
            <v>0</v>
          </cell>
          <cell r="AG881">
            <v>11</v>
          </cell>
          <cell r="AH881">
            <v>0</v>
          </cell>
          <cell r="AI881">
            <v>11</v>
          </cell>
          <cell r="AJ881">
            <v>0</v>
          </cell>
          <cell r="AK881">
            <v>11</v>
          </cell>
          <cell r="AL881">
            <v>0</v>
          </cell>
          <cell r="AM881">
            <v>11</v>
          </cell>
          <cell r="AN881">
            <v>14</v>
          </cell>
          <cell r="AO881">
            <v>15</v>
          </cell>
          <cell r="AP881">
            <v>0</v>
          </cell>
          <cell r="AQ881">
            <v>11</v>
          </cell>
          <cell r="AR881">
            <v>76</v>
          </cell>
          <cell r="AS881">
            <v>59</v>
          </cell>
        </row>
        <row r="882">
          <cell r="B882">
            <v>17031807900</v>
          </cell>
          <cell r="D882">
            <v>2026</v>
          </cell>
          <cell r="E882">
            <v>308</v>
          </cell>
          <cell r="F882">
            <v>1765</v>
          </cell>
          <cell r="G882">
            <v>317</v>
          </cell>
          <cell r="H882">
            <v>1551</v>
          </cell>
          <cell r="I882">
            <v>267</v>
          </cell>
          <cell r="J882">
            <v>214</v>
          </cell>
          <cell r="K882">
            <v>100</v>
          </cell>
          <cell r="L882">
            <v>196</v>
          </cell>
          <cell r="M882">
            <v>98</v>
          </cell>
          <cell r="N882">
            <v>18</v>
          </cell>
          <cell r="O882">
            <v>24</v>
          </cell>
          <cell r="P882">
            <v>0</v>
          </cell>
          <cell r="Q882">
            <v>11</v>
          </cell>
          <cell r="R882">
            <v>0</v>
          </cell>
          <cell r="S882">
            <v>11</v>
          </cell>
          <cell r="T882">
            <v>0</v>
          </cell>
          <cell r="U882">
            <v>11</v>
          </cell>
          <cell r="V882">
            <v>69</v>
          </cell>
          <cell r="W882">
            <v>43</v>
          </cell>
          <cell r="X882">
            <v>9</v>
          </cell>
          <cell r="Y882">
            <v>13</v>
          </cell>
          <cell r="Z882">
            <v>0</v>
          </cell>
          <cell r="AA882">
            <v>11</v>
          </cell>
          <cell r="AB882">
            <v>26</v>
          </cell>
          <cell r="AC882">
            <v>25</v>
          </cell>
          <cell r="AD882">
            <v>34</v>
          </cell>
          <cell r="AE882">
            <v>33</v>
          </cell>
          <cell r="AF882">
            <v>0</v>
          </cell>
          <cell r="AG882">
            <v>11</v>
          </cell>
          <cell r="AH882">
            <v>0</v>
          </cell>
          <cell r="AI882">
            <v>11</v>
          </cell>
          <cell r="AJ882">
            <v>0</v>
          </cell>
          <cell r="AK882">
            <v>11</v>
          </cell>
          <cell r="AL882">
            <v>0</v>
          </cell>
          <cell r="AM882">
            <v>11</v>
          </cell>
          <cell r="AN882">
            <v>10</v>
          </cell>
          <cell r="AO882">
            <v>15</v>
          </cell>
          <cell r="AP882">
            <v>10</v>
          </cell>
          <cell r="AQ882">
            <v>17</v>
          </cell>
          <cell r="AR882">
            <v>172</v>
          </cell>
          <cell r="AS882">
            <v>81</v>
          </cell>
        </row>
        <row r="883">
          <cell r="B883">
            <v>17031808001</v>
          </cell>
          <cell r="D883">
            <v>1486</v>
          </cell>
          <cell r="E883">
            <v>179</v>
          </cell>
          <cell r="F883">
            <v>1200</v>
          </cell>
          <cell r="G883">
            <v>219</v>
          </cell>
          <cell r="H883">
            <v>1076</v>
          </cell>
          <cell r="I883">
            <v>207</v>
          </cell>
          <cell r="J883">
            <v>124</v>
          </cell>
          <cell r="K883">
            <v>75</v>
          </cell>
          <cell r="L883">
            <v>124</v>
          </cell>
          <cell r="M883">
            <v>75</v>
          </cell>
          <cell r="N883">
            <v>0</v>
          </cell>
          <cell r="O883">
            <v>11</v>
          </cell>
          <cell r="P883">
            <v>0</v>
          </cell>
          <cell r="Q883">
            <v>11</v>
          </cell>
          <cell r="R883">
            <v>0</v>
          </cell>
          <cell r="S883">
            <v>11</v>
          </cell>
          <cell r="T883">
            <v>0</v>
          </cell>
          <cell r="U883">
            <v>11</v>
          </cell>
          <cell r="V883">
            <v>120</v>
          </cell>
          <cell r="W883">
            <v>76</v>
          </cell>
          <cell r="X883">
            <v>44</v>
          </cell>
          <cell r="Y883">
            <v>44</v>
          </cell>
          <cell r="Z883">
            <v>0</v>
          </cell>
          <cell r="AA883">
            <v>11</v>
          </cell>
          <cell r="AB883">
            <v>14</v>
          </cell>
          <cell r="AC883">
            <v>17</v>
          </cell>
          <cell r="AD883">
            <v>62</v>
          </cell>
          <cell r="AE883">
            <v>68</v>
          </cell>
          <cell r="AF883">
            <v>0</v>
          </cell>
          <cell r="AG883">
            <v>11</v>
          </cell>
          <cell r="AH883">
            <v>12</v>
          </cell>
          <cell r="AI883">
            <v>18</v>
          </cell>
          <cell r="AJ883">
            <v>0</v>
          </cell>
          <cell r="AK883">
            <v>11</v>
          </cell>
          <cell r="AL883">
            <v>0</v>
          </cell>
          <cell r="AM883">
            <v>11</v>
          </cell>
          <cell r="AN883">
            <v>0</v>
          </cell>
          <cell r="AO883">
            <v>11</v>
          </cell>
          <cell r="AP883">
            <v>0</v>
          </cell>
          <cell r="AQ883">
            <v>11</v>
          </cell>
          <cell r="AR883">
            <v>154</v>
          </cell>
          <cell r="AS883">
            <v>109</v>
          </cell>
        </row>
        <row r="884">
          <cell r="B884">
            <v>17031808002</v>
          </cell>
          <cell r="D884">
            <v>1973</v>
          </cell>
          <cell r="E884">
            <v>179</v>
          </cell>
          <cell r="F884">
            <v>1761</v>
          </cell>
          <cell r="G884">
            <v>174</v>
          </cell>
          <cell r="H884">
            <v>1557</v>
          </cell>
          <cell r="I884">
            <v>173</v>
          </cell>
          <cell r="J884">
            <v>204</v>
          </cell>
          <cell r="K884">
            <v>92</v>
          </cell>
          <cell r="L884">
            <v>144</v>
          </cell>
          <cell r="M884">
            <v>71</v>
          </cell>
          <cell r="N884">
            <v>60</v>
          </cell>
          <cell r="O884">
            <v>59</v>
          </cell>
          <cell r="P884">
            <v>0</v>
          </cell>
          <cell r="Q884">
            <v>11</v>
          </cell>
          <cell r="R884">
            <v>0</v>
          </cell>
          <cell r="S884">
            <v>11</v>
          </cell>
          <cell r="T884">
            <v>0</v>
          </cell>
          <cell r="U884">
            <v>11</v>
          </cell>
          <cell r="V884">
            <v>59</v>
          </cell>
          <cell r="W884">
            <v>40</v>
          </cell>
          <cell r="X884">
            <v>20</v>
          </cell>
          <cell r="Y884">
            <v>22</v>
          </cell>
          <cell r="Z884">
            <v>0</v>
          </cell>
          <cell r="AA884">
            <v>11</v>
          </cell>
          <cell r="AB884">
            <v>15</v>
          </cell>
          <cell r="AC884">
            <v>17</v>
          </cell>
          <cell r="AD884">
            <v>24</v>
          </cell>
          <cell r="AE884">
            <v>31</v>
          </cell>
          <cell r="AF884">
            <v>0</v>
          </cell>
          <cell r="AG884">
            <v>11</v>
          </cell>
          <cell r="AH884">
            <v>0</v>
          </cell>
          <cell r="AI884">
            <v>11</v>
          </cell>
          <cell r="AJ884">
            <v>0</v>
          </cell>
          <cell r="AK884">
            <v>11</v>
          </cell>
          <cell r="AL884">
            <v>0</v>
          </cell>
          <cell r="AM884">
            <v>11</v>
          </cell>
          <cell r="AN884">
            <v>25</v>
          </cell>
          <cell r="AO884">
            <v>29</v>
          </cell>
          <cell r="AP884">
            <v>17</v>
          </cell>
          <cell r="AQ884">
            <v>29</v>
          </cell>
          <cell r="AR884">
            <v>111</v>
          </cell>
          <cell r="AS884">
            <v>61</v>
          </cell>
        </row>
        <row r="885">
          <cell r="B885">
            <v>17031808100</v>
          </cell>
          <cell r="D885">
            <v>1134</v>
          </cell>
          <cell r="E885">
            <v>167</v>
          </cell>
          <cell r="F885">
            <v>939</v>
          </cell>
          <cell r="G885">
            <v>169</v>
          </cell>
          <cell r="H885">
            <v>909</v>
          </cell>
          <cell r="I885">
            <v>163</v>
          </cell>
          <cell r="J885">
            <v>30</v>
          </cell>
          <cell r="K885">
            <v>28</v>
          </cell>
          <cell r="L885">
            <v>17</v>
          </cell>
          <cell r="M885">
            <v>21</v>
          </cell>
          <cell r="N885">
            <v>0</v>
          </cell>
          <cell r="O885">
            <v>11</v>
          </cell>
          <cell r="P885">
            <v>13</v>
          </cell>
          <cell r="Q885">
            <v>19</v>
          </cell>
          <cell r="R885">
            <v>0</v>
          </cell>
          <cell r="S885">
            <v>11</v>
          </cell>
          <cell r="T885">
            <v>0</v>
          </cell>
          <cell r="U885">
            <v>11</v>
          </cell>
          <cell r="V885">
            <v>72</v>
          </cell>
          <cell r="W885">
            <v>57</v>
          </cell>
          <cell r="X885">
            <v>35</v>
          </cell>
          <cell r="Y885">
            <v>38</v>
          </cell>
          <cell r="Z885">
            <v>0</v>
          </cell>
          <cell r="AA885">
            <v>11</v>
          </cell>
          <cell r="AB885">
            <v>16</v>
          </cell>
          <cell r="AC885">
            <v>21</v>
          </cell>
          <cell r="AD885">
            <v>21</v>
          </cell>
          <cell r="AE885">
            <v>28</v>
          </cell>
          <cell r="AF885">
            <v>0</v>
          </cell>
          <cell r="AG885">
            <v>11</v>
          </cell>
          <cell r="AH885">
            <v>0</v>
          </cell>
          <cell r="AI885">
            <v>11</v>
          </cell>
          <cell r="AJ885">
            <v>0</v>
          </cell>
          <cell r="AK885">
            <v>11</v>
          </cell>
          <cell r="AL885">
            <v>7</v>
          </cell>
          <cell r="AM885">
            <v>11</v>
          </cell>
          <cell r="AN885">
            <v>43</v>
          </cell>
          <cell r="AO885">
            <v>31</v>
          </cell>
          <cell r="AP885">
            <v>0</v>
          </cell>
          <cell r="AQ885">
            <v>11</v>
          </cell>
          <cell r="AR885">
            <v>73</v>
          </cell>
          <cell r="AS885">
            <v>48</v>
          </cell>
        </row>
        <row r="886">
          <cell r="B886">
            <v>17031808200</v>
          </cell>
          <cell r="D886">
            <v>2662</v>
          </cell>
          <cell r="E886">
            <v>176</v>
          </cell>
          <cell r="F886">
            <v>2333</v>
          </cell>
          <cell r="G886">
            <v>210</v>
          </cell>
          <cell r="H886">
            <v>2035</v>
          </cell>
          <cell r="I886">
            <v>208</v>
          </cell>
          <cell r="J886">
            <v>298</v>
          </cell>
          <cell r="K886">
            <v>123</v>
          </cell>
          <cell r="L886">
            <v>241</v>
          </cell>
          <cell r="M886">
            <v>120</v>
          </cell>
          <cell r="N886">
            <v>41</v>
          </cell>
          <cell r="O886">
            <v>41</v>
          </cell>
          <cell r="P886">
            <v>16</v>
          </cell>
          <cell r="Q886">
            <v>23</v>
          </cell>
          <cell r="R886">
            <v>0</v>
          </cell>
          <cell r="S886">
            <v>15</v>
          </cell>
          <cell r="T886">
            <v>0</v>
          </cell>
          <cell r="U886">
            <v>15</v>
          </cell>
          <cell r="V886">
            <v>84</v>
          </cell>
          <cell r="W886">
            <v>48</v>
          </cell>
          <cell r="X886">
            <v>43</v>
          </cell>
          <cell r="Y886">
            <v>37</v>
          </cell>
          <cell r="Z886">
            <v>0</v>
          </cell>
          <cell r="AA886">
            <v>15</v>
          </cell>
          <cell r="AB886">
            <v>12</v>
          </cell>
          <cell r="AC886">
            <v>15</v>
          </cell>
          <cell r="AD886">
            <v>29</v>
          </cell>
          <cell r="AE886">
            <v>26</v>
          </cell>
          <cell r="AF886">
            <v>0</v>
          </cell>
          <cell r="AG886">
            <v>15</v>
          </cell>
          <cell r="AH886">
            <v>35</v>
          </cell>
          <cell r="AI886">
            <v>29</v>
          </cell>
          <cell r="AJ886">
            <v>0</v>
          </cell>
          <cell r="AK886">
            <v>15</v>
          </cell>
          <cell r="AL886">
            <v>0</v>
          </cell>
          <cell r="AM886">
            <v>15</v>
          </cell>
          <cell r="AN886">
            <v>60</v>
          </cell>
          <cell r="AO886">
            <v>38</v>
          </cell>
          <cell r="AP886">
            <v>22</v>
          </cell>
          <cell r="AQ886">
            <v>35</v>
          </cell>
          <cell r="AR886">
            <v>128</v>
          </cell>
          <cell r="AS886">
            <v>66</v>
          </cell>
        </row>
        <row r="887">
          <cell r="B887">
            <v>17031808301</v>
          </cell>
          <cell r="D887">
            <v>2839</v>
          </cell>
          <cell r="E887">
            <v>371</v>
          </cell>
          <cell r="F887">
            <v>2390</v>
          </cell>
          <cell r="G887">
            <v>354</v>
          </cell>
          <cell r="H887">
            <v>2020</v>
          </cell>
          <cell r="I887">
            <v>334</v>
          </cell>
          <cell r="J887">
            <v>370</v>
          </cell>
          <cell r="K887">
            <v>187</v>
          </cell>
          <cell r="L887">
            <v>370</v>
          </cell>
          <cell r="M887">
            <v>187</v>
          </cell>
          <cell r="N887">
            <v>0</v>
          </cell>
          <cell r="O887">
            <v>15</v>
          </cell>
          <cell r="P887">
            <v>0</v>
          </cell>
          <cell r="Q887">
            <v>15</v>
          </cell>
          <cell r="R887">
            <v>0</v>
          </cell>
          <cell r="S887">
            <v>15</v>
          </cell>
          <cell r="T887">
            <v>0</v>
          </cell>
          <cell r="U887">
            <v>15</v>
          </cell>
          <cell r="V887">
            <v>209</v>
          </cell>
          <cell r="W887">
            <v>100</v>
          </cell>
          <cell r="X887">
            <v>20</v>
          </cell>
          <cell r="Y887">
            <v>32</v>
          </cell>
          <cell r="Z887">
            <v>0</v>
          </cell>
          <cell r="AA887">
            <v>15</v>
          </cell>
          <cell r="AB887">
            <v>44</v>
          </cell>
          <cell r="AC887">
            <v>40</v>
          </cell>
          <cell r="AD887">
            <v>145</v>
          </cell>
          <cell r="AE887">
            <v>83</v>
          </cell>
          <cell r="AF887">
            <v>0</v>
          </cell>
          <cell r="AG887">
            <v>15</v>
          </cell>
          <cell r="AH887">
            <v>13</v>
          </cell>
          <cell r="AI887">
            <v>24</v>
          </cell>
          <cell r="AJ887">
            <v>0</v>
          </cell>
          <cell r="AK887">
            <v>15</v>
          </cell>
          <cell r="AL887">
            <v>38</v>
          </cell>
          <cell r="AM887">
            <v>36</v>
          </cell>
          <cell r="AN887">
            <v>110</v>
          </cell>
          <cell r="AO887">
            <v>113</v>
          </cell>
          <cell r="AP887">
            <v>18</v>
          </cell>
          <cell r="AQ887">
            <v>28</v>
          </cell>
          <cell r="AR887">
            <v>61</v>
          </cell>
          <cell r="AS887">
            <v>42</v>
          </cell>
        </row>
        <row r="888">
          <cell r="B888">
            <v>17031808302</v>
          </cell>
          <cell r="D888">
            <v>1674</v>
          </cell>
          <cell r="E888">
            <v>185</v>
          </cell>
          <cell r="F888">
            <v>1459</v>
          </cell>
          <cell r="G888">
            <v>166</v>
          </cell>
          <cell r="H888">
            <v>1277</v>
          </cell>
          <cell r="I888">
            <v>157</v>
          </cell>
          <cell r="J888">
            <v>182</v>
          </cell>
          <cell r="K888">
            <v>75</v>
          </cell>
          <cell r="L888">
            <v>143</v>
          </cell>
          <cell r="M888">
            <v>71</v>
          </cell>
          <cell r="N888">
            <v>21</v>
          </cell>
          <cell r="O888">
            <v>23</v>
          </cell>
          <cell r="P888">
            <v>11</v>
          </cell>
          <cell r="Q888">
            <v>13</v>
          </cell>
          <cell r="R888">
            <v>0</v>
          </cell>
          <cell r="S888">
            <v>11</v>
          </cell>
          <cell r="T888">
            <v>7</v>
          </cell>
          <cell r="U888">
            <v>11</v>
          </cell>
          <cell r="V888">
            <v>129</v>
          </cell>
          <cell r="W888">
            <v>65</v>
          </cell>
          <cell r="X888">
            <v>22</v>
          </cell>
          <cell r="Y888">
            <v>23</v>
          </cell>
          <cell r="Z888">
            <v>0</v>
          </cell>
          <cell r="AA888">
            <v>11</v>
          </cell>
          <cell r="AB888">
            <v>13</v>
          </cell>
          <cell r="AC888">
            <v>20</v>
          </cell>
          <cell r="AD888">
            <v>94</v>
          </cell>
          <cell r="AE888">
            <v>55</v>
          </cell>
          <cell r="AF888">
            <v>0</v>
          </cell>
          <cell r="AG888">
            <v>11</v>
          </cell>
          <cell r="AH888">
            <v>0</v>
          </cell>
          <cell r="AI888">
            <v>11</v>
          </cell>
          <cell r="AJ888">
            <v>0</v>
          </cell>
          <cell r="AK888">
            <v>11</v>
          </cell>
          <cell r="AL888">
            <v>7</v>
          </cell>
          <cell r="AM888">
            <v>11</v>
          </cell>
          <cell r="AN888">
            <v>10</v>
          </cell>
          <cell r="AO888">
            <v>16</v>
          </cell>
          <cell r="AP888">
            <v>0</v>
          </cell>
          <cell r="AQ888">
            <v>11</v>
          </cell>
          <cell r="AR888">
            <v>69</v>
          </cell>
          <cell r="AS888">
            <v>46</v>
          </cell>
        </row>
        <row r="889">
          <cell r="B889">
            <v>17031808400</v>
          </cell>
          <cell r="D889">
            <v>2073</v>
          </cell>
          <cell r="E889">
            <v>184</v>
          </cell>
          <cell r="F889">
            <v>1738</v>
          </cell>
          <cell r="G889">
            <v>189</v>
          </cell>
          <cell r="H889">
            <v>1584</v>
          </cell>
          <cell r="I889">
            <v>178</v>
          </cell>
          <cell r="J889">
            <v>154</v>
          </cell>
          <cell r="K889">
            <v>76</v>
          </cell>
          <cell r="L889">
            <v>127</v>
          </cell>
          <cell r="M889">
            <v>69</v>
          </cell>
          <cell r="N889">
            <v>7</v>
          </cell>
          <cell r="O889">
            <v>11</v>
          </cell>
          <cell r="P889">
            <v>0</v>
          </cell>
          <cell r="Q889">
            <v>11</v>
          </cell>
          <cell r="R889">
            <v>11</v>
          </cell>
          <cell r="S889">
            <v>17</v>
          </cell>
          <cell r="T889">
            <v>9</v>
          </cell>
          <cell r="U889">
            <v>13</v>
          </cell>
          <cell r="V889">
            <v>142</v>
          </cell>
          <cell r="W889">
            <v>74</v>
          </cell>
          <cell r="X889">
            <v>54</v>
          </cell>
          <cell r="Y889">
            <v>61</v>
          </cell>
          <cell r="Z889">
            <v>0</v>
          </cell>
          <cell r="AA889">
            <v>11</v>
          </cell>
          <cell r="AB889">
            <v>34</v>
          </cell>
          <cell r="AC889">
            <v>34</v>
          </cell>
          <cell r="AD889">
            <v>54</v>
          </cell>
          <cell r="AE889">
            <v>39</v>
          </cell>
          <cell r="AF889">
            <v>0</v>
          </cell>
          <cell r="AG889">
            <v>11</v>
          </cell>
          <cell r="AH889">
            <v>0</v>
          </cell>
          <cell r="AI889">
            <v>11</v>
          </cell>
          <cell r="AJ889">
            <v>0</v>
          </cell>
          <cell r="AK889">
            <v>11</v>
          </cell>
          <cell r="AL889">
            <v>7</v>
          </cell>
          <cell r="AM889">
            <v>11</v>
          </cell>
          <cell r="AN889">
            <v>40</v>
          </cell>
          <cell r="AO889">
            <v>30</v>
          </cell>
          <cell r="AP889">
            <v>6</v>
          </cell>
          <cell r="AQ889">
            <v>11</v>
          </cell>
          <cell r="AR889">
            <v>140</v>
          </cell>
          <cell r="AS889">
            <v>71</v>
          </cell>
        </row>
        <row r="890">
          <cell r="B890">
            <v>17031808500</v>
          </cell>
          <cell r="D890">
            <v>1953</v>
          </cell>
          <cell r="E890">
            <v>165</v>
          </cell>
          <cell r="F890">
            <v>1802</v>
          </cell>
          <cell r="G890">
            <v>182</v>
          </cell>
          <cell r="H890">
            <v>1650</v>
          </cell>
          <cell r="I890">
            <v>181</v>
          </cell>
          <cell r="J890">
            <v>152</v>
          </cell>
          <cell r="K890">
            <v>80</v>
          </cell>
          <cell r="L890">
            <v>96</v>
          </cell>
          <cell r="M890">
            <v>58</v>
          </cell>
          <cell r="N890">
            <v>37</v>
          </cell>
          <cell r="O890">
            <v>29</v>
          </cell>
          <cell r="P890">
            <v>19</v>
          </cell>
          <cell r="Q890">
            <v>29</v>
          </cell>
          <cell r="R890">
            <v>0</v>
          </cell>
          <cell r="S890">
            <v>11</v>
          </cell>
          <cell r="T890">
            <v>0</v>
          </cell>
          <cell r="U890">
            <v>11</v>
          </cell>
          <cell r="V890">
            <v>25</v>
          </cell>
          <cell r="W890">
            <v>22</v>
          </cell>
          <cell r="X890">
            <v>0</v>
          </cell>
          <cell r="Y890">
            <v>11</v>
          </cell>
          <cell r="Z890">
            <v>0</v>
          </cell>
          <cell r="AA890">
            <v>11</v>
          </cell>
          <cell r="AB890">
            <v>17</v>
          </cell>
          <cell r="AC890">
            <v>18</v>
          </cell>
          <cell r="AD890">
            <v>8</v>
          </cell>
          <cell r="AE890">
            <v>13</v>
          </cell>
          <cell r="AF890">
            <v>0</v>
          </cell>
          <cell r="AG890">
            <v>11</v>
          </cell>
          <cell r="AH890">
            <v>0</v>
          </cell>
          <cell r="AI890">
            <v>11</v>
          </cell>
          <cell r="AJ890">
            <v>0</v>
          </cell>
          <cell r="AK890">
            <v>11</v>
          </cell>
          <cell r="AL890">
            <v>17</v>
          </cell>
          <cell r="AM890">
            <v>29</v>
          </cell>
          <cell r="AN890">
            <v>2</v>
          </cell>
          <cell r="AO890">
            <v>4</v>
          </cell>
          <cell r="AP890">
            <v>14</v>
          </cell>
          <cell r="AQ890">
            <v>17</v>
          </cell>
          <cell r="AR890">
            <v>93</v>
          </cell>
          <cell r="AS890">
            <v>54</v>
          </cell>
        </row>
        <row r="891">
          <cell r="B891">
            <v>17031808600</v>
          </cell>
          <cell r="D891">
            <v>960</v>
          </cell>
          <cell r="E891">
            <v>127</v>
          </cell>
          <cell r="F891">
            <v>655</v>
          </cell>
          <cell r="G891">
            <v>99</v>
          </cell>
          <cell r="H891">
            <v>624</v>
          </cell>
          <cell r="I891">
            <v>97</v>
          </cell>
          <cell r="J891">
            <v>31</v>
          </cell>
          <cell r="K891">
            <v>18</v>
          </cell>
          <cell r="L891">
            <v>20</v>
          </cell>
          <cell r="M891">
            <v>14</v>
          </cell>
          <cell r="N891">
            <v>10</v>
          </cell>
          <cell r="O891">
            <v>10</v>
          </cell>
          <cell r="P891">
            <v>1</v>
          </cell>
          <cell r="Q891">
            <v>3</v>
          </cell>
          <cell r="R891">
            <v>0</v>
          </cell>
          <cell r="S891">
            <v>11</v>
          </cell>
          <cell r="T891">
            <v>0</v>
          </cell>
          <cell r="U891">
            <v>11</v>
          </cell>
          <cell r="V891">
            <v>165</v>
          </cell>
          <cell r="W891">
            <v>42</v>
          </cell>
          <cell r="X891">
            <v>5</v>
          </cell>
          <cell r="Y891">
            <v>7</v>
          </cell>
          <cell r="Z891">
            <v>0</v>
          </cell>
          <cell r="AA891">
            <v>11</v>
          </cell>
          <cell r="AB891">
            <v>21</v>
          </cell>
          <cell r="AC891">
            <v>15</v>
          </cell>
          <cell r="AD891">
            <v>139</v>
          </cell>
          <cell r="AE891">
            <v>43</v>
          </cell>
          <cell r="AF891">
            <v>0</v>
          </cell>
          <cell r="AG891">
            <v>11</v>
          </cell>
          <cell r="AH891">
            <v>0</v>
          </cell>
          <cell r="AI891">
            <v>11</v>
          </cell>
          <cell r="AJ891">
            <v>0</v>
          </cell>
          <cell r="AK891">
            <v>11</v>
          </cell>
          <cell r="AL891">
            <v>0</v>
          </cell>
          <cell r="AM891">
            <v>11</v>
          </cell>
          <cell r="AN891">
            <v>26</v>
          </cell>
          <cell r="AO891">
            <v>26</v>
          </cell>
          <cell r="AP891">
            <v>19</v>
          </cell>
          <cell r="AQ891">
            <v>17</v>
          </cell>
          <cell r="AR891">
            <v>95</v>
          </cell>
          <cell r="AS891">
            <v>80</v>
          </cell>
        </row>
        <row r="892">
          <cell r="B892">
            <v>17031808702</v>
          </cell>
          <cell r="D892">
            <v>1768</v>
          </cell>
          <cell r="E892">
            <v>204</v>
          </cell>
          <cell r="F892">
            <v>276</v>
          </cell>
          <cell r="G892">
            <v>82</v>
          </cell>
          <cell r="H892">
            <v>218</v>
          </cell>
          <cell r="I892">
            <v>76</v>
          </cell>
          <cell r="J892">
            <v>58</v>
          </cell>
          <cell r="K892">
            <v>36</v>
          </cell>
          <cell r="L892">
            <v>23</v>
          </cell>
          <cell r="M892">
            <v>22</v>
          </cell>
          <cell r="N892">
            <v>0</v>
          </cell>
          <cell r="O892">
            <v>15</v>
          </cell>
          <cell r="P892">
            <v>9</v>
          </cell>
          <cell r="Q892">
            <v>15</v>
          </cell>
          <cell r="R892">
            <v>10</v>
          </cell>
          <cell r="S892">
            <v>19</v>
          </cell>
          <cell r="T892">
            <v>16</v>
          </cell>
          <cell r="U892">
            <v>18</v>
          </cell>
          <cell r="V892">
            <v>280</v>
          </cell>
          <cell r="W892">
            <v>92</v>
          </cell>
          <cell r="X892">
            <v>110</v>
          </cell>
          <cell r="Y892">
            <v>54</v>
          </cell>
          <cell r="Z892">
            <v>0</v>
          </cell>
          <cell r="AA892">
            <v>15</v>
          </cell>
          <cell r="AB892">
            <v>122</v>
          </cell>
          <cell r="AC892">
            <v>44</v>
          </cell>
          <cell r="AD892">
            <v>48</v>
          </cell>
          <cell r="AE892">
            <v>28</v>
          </cell>
          <cell r="AF892">
            <v>0</v>
          </cell>
          <cell r="AG892">
            <v>15</v>
          </cell>
          <cell r="AH892">
            <v>0</v>
          </cell>
          <cell r="AI892">
            <v>15</v>
          </cell>
          <cell r="AJ892">
            <v>0</v>
          </cell>
          <cell r="AK892">
            <v>15</v>
          </cell>
          <cell r="AL892">
            <v>70</v>
          </cell>
          <cell r="AM892">
            <v>46</v>
          </cell>
          <cell r="AN892">
            <v>947</v>
          </cell>
          <cell r="AO892">
            <v>157</v>
          </cell>
          <cell r="AP892">
            <v>18</v>
          </cell>
          <cell r="AQ892">
            <v>24</v>
          </cell>
          <cell r="AR892">
            <v>177</v>
          </cell>
          <cell r="AS892">
            <v>67</v>
          </cell>
        </row>
        <row r="893">
          <cell r="B893">
            <v>17031808800</v>
          </cell>
          <cell r="D893">
            <v>1764</v>
          </cell>
          <cell r="E893">
            <v>178</v>
          </cell>
          <cell r="F893">
            <v>889</v>
          </cell>
          <cell r="G893">
            <v>135</v>
          </cell>
          <cell r="H893">
            <v>782</v>
          </cell>
          <cell r="I893">
            <v>118</v>
          </cell>
          <cell r="J893">
            <v>107</v>
          </cell>
          <cell r="K893">
            <v>59</v>
          </cell>
          <cell r="L893">
            <v>99</v>
          </cell>
          <cell r="M893">
            <v>56</v>
          </cell>
          <cell r="N893">
            <v>0</v>
          </cell>
          <cell r="O893">
            <v>11</v>
          </cell>
          <cell r="P893">
            <v>8</v>
          </cell>
          <cell r="Q893">
            <v>17</v>
          </cell>
          <cell r="R893">
            <v>0</v>
          </cell>
          <cell r="S893">
            <v>11</v>
          </cell>
          <cell r="T893">
            <v>0</v>
          </cell>
          <cell r="U893">
            <v>11</v>
          </cell>
          <cell r="V893">
            <v>474</v>
          </cell>
          <cell r="W893">
            <v>98</v>
          </cell>
          <cell r="X893">
            <v>110</v>
          </cell>
          <cell r="Y893">
            <v>65</v>
          </cell>
          <cell r="Z893">
            <v>0</v>
          </cell>
          <cell r="AA893">
            <v>11</v>
          </cell>
          <cell r="AB893">
            <v>169</v>
          </cell>
          <cell r="AC893">
            <v>70</v>
          </cell>
          <cell r="AD893">
            <v>195</v>
          </cell>
          <cell r="AE893">
            <v>76</v>
          </cell>
          <cell r="AF893">
            <v>0</v>
          </cell>
          <cell r="AG893">
            <v>11</v>
          </cell>
          <cell r="AH893">
            <v>0</v>
          </cell>
          <cell r="AI893">
            <v>11</v>
          </cell>
          <cell r="AJ893">
            <v>0</v>
          </cell>
          <cell r="AK893">
            <v>11</v>
          </cell>
          <cell r="AL893">
            <v>48</v>
          </cell>
          <cell r="AM893">
            <v>33</v>
          </cell>
          <cell r="AN893">
            <v>174</v>
          </cell>
          <cell r="AO893">
            <v>58</v>
          </cell>
          <cell r="AP893">
            <v>24</v>
          </cell>
          <cell r="AQ893">
            <v>22</v>
          </cell>
          <cell r="AR893">
            <v>155</v>
          </cell>
          <cell r="AS893">
            <v>59</v>
          </cell>
        </row>
        <row r="894">
          <cell r="B894">
            <v>17031808900</v>
          </cell>
          <cell r="D894">
            <v>2013</v>
          </cell>
          <cell r="E894">
            <v>174</v>
          </cell>
          <cell r="F894">
            <v>1255</v>
          </cell>
          <cell r="G894">
            <v>168</v>
          </cell>
          <cell r="H894">
            <v>1146</v>
          </cell>
          <cell r="I894">
            <v>160</v>
          </cell>
          <cell r="J894">
            <v>109</v>
          </cell>
          <cell r="K894">
            <v>57</v>
          </cell>
          <cell r="L894">
            <v>99</v>
          </cell>
          <cell r="M894">
            <v>55</v>
          </cell>
          <cell r="N894">
            <v>0</v>
          </cell>
          <cell r="O894">
            <v>11</v>
          </cell>
          <cell r="P894">
            <v>10</v>
          </cell>
          <cell r="Q894">
            <v>15</v>
          </cell>
          <cell r="R894">
            <v>0</v>
          </cell>
          <cell r="S894">
            <v>11</v>
          </cell>
          <cell r="T894">
            <v>0</v>
          </cell>
          <cell r="U894">
            <v>11</v>
          </cell>
          <cell r="V894">
            <v>480</v>
          </cell>
          <cell r="W894">
            <v>101</v>
          </cell>
          <cell r="X894">
            <v>57</v>
          </cell>
          <cell r="Y894">
            <v>52</v>
          </cell>
          <cell r="Z894">
            <v>0</v>
          </cell>
          <cell r="AA894">
            <v>11</v>
          </cell>
          <cell r="AB894">
            <v>32</v>
          </cell>
          <cell r="AC894">
            <v>28</v>
          </cell>
          <cell r="AD894">
            <v>391</v>
          </cell>
          <cell r="AE894">
            <v>78</v>
          </cell>
          <cell r="AF894">
            <v>0</v>
          </cell>
          <cell r="AG894">
            <v>11</v>
          </cell>
          <cell r="AH894">
            <v>0</v>
          </cell>
          <cell r="AI894">
            <v>11</v>
          </cell>
          <cell r="AJ894">
            <v>0</v>
          </cell>
          <cell r="AK894">
            <v>11</v>
          </cell>
          <cell r="AL894">
            <v>54</v>
          </cell>
          <cell r="AM894">
            <v>48</v>
          </cell>
          <cell r="AN894">
            <v>30</v>
          </cell>
          <cell r="AO894">
            <v>28</v>
          </cell>
          <cell r="AP894">
            <v>9</v>
          </cell>
          <cell r="AQ894">
            <v>14</v>
          </cell>
          <cell r="AR894">
            <v>185</v>
          </cell>
          <cell r="AS894">
            <v>61</v>
          </cell>
        </row>
        <row r="895">
          <cell r="B895">
            <v>17031809000</v>
          </cell>
          <cell r="D895">
            <v>1694</v>
          </cell>
          <cell r="E895">
            <v>118</v>
          </cell>
          <cell r="F895">
            <v>1154</v>
          </cell>
          <cell r="G895">
            <v>123</v>
          </cell>
          <cell r="H895">
            <v>1038</v>
          </cell>
          <cell r="I895">
            <v>118</v>
          </cell>
          <cell r="J895">
            <v>116</v>
          </cell>
          <cell r="K895">
            <v>63</v>
          </cell>
          <cell r="L895">
            <v>112</v>
          </cell>
          <cell r="M895">
            <v>61</v>
          </cell>
          <cell r="N895">
            <v>4</v>
          </cell>
          <cell r="O895">
            <v>7</v>
          </cell>
          <cell r="P895">
            <v>0</v>
          </cell>
          <cell r="Q895">
            <v>11</v>
          </cell>
          <cell r="R895">
            <v>0</v>
          </cell>
          <cell r="S895">
            <v>11</v>
          </cell>
          <cell r="T895">
            <v>0</v>
          </cell>
          <cell r="U895">
            <v>11</v>
          </cell>
          <cell r="V895">
            <v>300</v>
          </cell>
          <cell r="W895">
            <v>78</v>
          </cell>
          <cell r="X895">
            <v>15</v>
          </cell>
          <cell r="Y895">
            <v>20</v>
          </cell>
          <cell r="Z895">
            <v>0</v>
          </cell>
          <cell r="AA895">
            <v>11</v>
          </cell>
          <cell r="AB895">
            <v>42</v>
          </cell>
          <cell r="AC895">
            <v>26</v>
          </cell>
          <cell r="AD895">
            <v>243</v>
          </cell>
          <cell r="AE895">
            <v>71</v>
          </cell>
          <cell r="AF895">
            <v>0</v>
          </cell>
          <cell r="AG895">
            <v>11</v>
          </cell>
          <cell r="AH895">
            <v>0</v>
          </cell>
          <cell r="AI895">
            <v>11</v>
          </cell>
          <cell r="AJ895">
            <v>0</v>
          </cell>
          <cell r="AK895">
            <v>11</v>
          </cell>
          <cell r="AL895">
            <v>37</v>
          </cell>
          <cell r="AM895">
            <v>33</v>
          </cell>
          <cell r="AN895">
            <v>21</v>
          </cell>
          <cell r="AO895">
            <v>24</v>
          </cell>
          <cell r="AP895">
            <v>0</v>
          </cell>
          <cell r="AQ895">
            <v>11</v>
          </cell>
          <cell r="AR895">
            <v>182</v>
          </cell>
          <cell r="AS895">
            <v>62</v>
          </cell>
        </row>
        <row r="896">
          <cell r="B896">
            <v>17031809100</v>
          </cell>
          <cell r="D896">
            <v>1647</v>
          </cell>
          <cell r="E896">
            <v>136</v>
          </cell>
          <cell r="F896">
            <v>1088</v>
          </cell>
          <cell r="G896">
            <v>137</v>
          </cell>
          <cell r="H896">
            <v>963</v>
          </cell>
          <cell r="I896">
            <v>135</v>
          </cell>
          <cell r="J896">
            <v>125</v>
          </cell>
          <cell r="K896">
            <v>65</v>
          </cell>
          <cell r="L896">
            <v>122</v>
          </cell>
          <cell r="M896">
            <v>64</v>
          </cell>
          <cell r="N896">
            <v>3</v>
          </cell>
          <cell r="O896">
            <v>7</v>
          </cell>
          <cell r="P896">
            <v>0</v>
          </cell>
          <cell r="Q896">
            <v>11</v>
          </cell>
          <cell r="R896">
            <v>0</v>
          </cell>
          <cell r="S896">
            <v>11</v>
          </cell>
          <cell r="T896">
            <v>0</v>
          </cell>
          <cell r="U896">
            <v>11</v>
          </cell>
          <cell r="V896">
            <v>316</v>
          </cell>
          <cell r="W896">
            <v>72</v>
          </cell>
          <cell r="X896">
            <v>20</v>
          </cell>
          <cell r="Y896">
            <v>20</v>
          </cell>
          <cell r="Z896">
            <v>0</v>
          </cell>
          <cell r="AA896">
            <v>11</v>
          </cell>
          <cell r="AB896">
            <v>67</v>
          </cell>
          <cell r="AC896">
            <v>45</v>
          </cell>
          <cell r="AD896">
            <v>229</v>
          </cell>
          <cell r="AE896">
            <v>68</v>
          </cell>
          <cell r="AF896">
            <v>0</v>
          </cell>
          <cell r="AG896">
            <v>11</v>
          </cell>
          <cell r="AH896">
            <v>8</v>
          </cell>
          <cell r="AI896">
            <v>12</v>
          </cell>
          <cell r="AJ896">
            <v>0</v>
          </cell>
          <cell r="AK896">
            <v>11</v>
          </cell>
          <cell r="AL896">
            <v>56</v>
          </cell>
          <cell r="AM896">
            <v>35</v>
          </cell>
          <cell r="AN896">
            <v>54</v>
          </cell>
          <cell r="AO896">
            <v>39</v>
          </cell>
          <cell r="AP896">
            <v>30</v>
          </cell>
          <cell r="AQ896">
            <v>26</v>
          </cell>
          <cell r="AR896">
            <v>95</v>
          </cell>
          <cell r="AS896">
            <v>44</v>
          </cell>
        </row>
        <row r="897">
          <cell r="B897">
            <v>17031809200</v>
          </cell>
          <cell r="D897">
            <v>2196</v>
          </cell>
          <cell r="E897">
            <v>263</v>
          </cell>
          <cell r="F897">
            <v>1472</v>
          </cell>
          <cell r="G897">
            <v>234</v>
          </cell>
          <cell r="H897">
            <v>1350</v>
          </cell>
          <cell r="I897">
            <v>213</v>
          </cell>
          <cell r="J897">
            <v>122</v>
          </cell>
          <cell r="K897">
            <v>68</v>
          </cell>
          <cell r="L897">
            <v>43</v>
          </cell>
          <cell r="M897">
            <v>33</v>
          </cell>
          <cell r="N897">
            <v>18</v>
          </cell>
          <cell r="O897">
            <v>19</v>
          </cell>
          <cell r="P897">
            <v>50</v>
          </cell>
          <cell r="Q897">
            <v>43</v>
          </cell>
          <cell r="R897">
            <v>0</v>
          </cell>
          <cell r="S897">
            <v>11</v>
          </cell>
          <cell r="T897">
            <v>11</v>
          </cell>
          <cell r="U897">
            <v>18</v>
          </cell>
          <cell r="V897">
            <v>299</v>
          </cell>
          <cell r="W897">
            <v>120</v>
          </cell>
          <cell r="X897">
            <v>207</v>
          </cell>
          <cell r="Y897">
            <v>114</v>
          </cell>
          <cell r="Z897">
            <v>8</v>
          </cell>
          <cell r="AA897">
            <v>13</v>
          </cell>
          <cell r="AB897">
            <v>34</v>
          </cell>
          <cell r="AC897">
            <v>41</v>
          </cell>
          <cell r="AD897">
            <v>50</v>
          </cell>
          <cell r="AE897">
            <v>40</v>
          </cell>
          <cell r="AF897">
            <v>0</v>
          </cell>
          <cell r="AG897">
            <v>11</v>
          </cell>
          <cell r="AH897">
            <v>0</v>
          </cell>
          <cell r="AI897">
            <v>11</v>
          </cell>
          <cell r="AJ897">
            <v>11</v>
          </cell>
          <cell r="AK897">
            <v>17</v>
          </cell>
          <cell r="AL897">
            <v>62</v>
          </cell>
          <cell r="AM897">
            <v>59</v>
          </cell>
          <cell r="AN897">
            <v>125</v>
          </cell>
          <cell r="AO897">
            <v>74</v>
          </cell>
          <cell r="AP897">
            <v>22</v>
          </cell>
          <cell r="AQ897">
            <v>35</v>
          </cell>
          <cell r="AR897">
            <v>205</v>
          </cell>
          <cell r="AS897">
            <v>142</v>
          </cell>
        </row>
        <row r="898">
          <cell r="B898">
            <v>17031809300</v>
          </cell>
          <cell r="D898">
            <v>1774</v>
          </cell>
          <cell r="E898">
            <v>276</v>
          </cell>
          <cell r="F898">
            <v>602</v>
          </cell>
          <cell r="G898">
            <v>165</v>
          </cell>
          <cell r="H898">
            <v>542</v>
          </cell>
          <cell r="I898">
            <v>144</v>
          </cell>
          <cell r="J898">
            <v>60</v>
          </cell>
          <cell r="K898">
            <v>67</v>
          </cell>
          <cell r="L898">
            <v>45</v>
          </cell>
          <cell r="M898">
            <v>62</v>
          </cell>
          <cell r="N898">
            <v>15</v>
          </cell>
          <cell r="O898">
            <v>24</v>
          </cell>
          <cell r="P898">
            <v>0</v>
          </cell>
          <cell r="Q898">
            <v>11</v>
          </cell>
          <cell r="R898">
            <v>0</v>
          </cell>
          <cell r="S898">
            <v>11</v>
          </cell>
          <cell r="T898">
            <v>0</v>
          </cell>
          <cell r="U898">
            <v>11</v>
          </cell>
          <cell r="V898">
            <v>301</v>
          </cell>
          <cell r="W898">
            <v>89</v>
          </cell>
          <cell r="X898">
            <v>8</v>
          </cell>
          <cell r="Y898">
            <v>17</v>
          </cell>
          <cell r="Z898">
            <v>0</v>
          </cell>
          <cell r="AA898">
            <v>11</v>
          </cell>
          <cell r="AB898">
            <v>194</v>
          </cell>
          <cell r="AC898">
            <v>89</v>
          </cell>
          <cell r="AD898">
            <v>99</v>
          </cell>
          <cell r="AE898">
            <v>68</v>
          </cell>
          <cell r="AF898">
            <v>0</v>
          </cell>
          <cell r="AG898">
            <v>11</v>
          </cell>
          <cell r="AH898">
            <v>0</v>
          </cell>
          <cell r="AI898">
            <v>11</v>
          </cell>
          <cell r="AJ898">
            <v>0</v>
          </cell>
          <cell r="AK898">
            <v>11</v>
          </cell>
          <cell r="AL898">
            <v>203</v>
          </cell>
          <cell r="AM898">
            <v>150</v>
          </cell>
          <cell r="AN898">
            <v>542</v>
          </cell>
          <cell r="AO898">
            <v>178</v>
          </cell>
          <cell r="AP898">
            <v>0</v>
          </cell>
          <cell r="AQ898">
            <v>11</v>
          </cell>
          <cell r="AR898">
            <v>126</v>
          </cell>
          <cell r="AS898">
            <v>82</v>
          </cell>
        </row>
        <row r="899">
          <cell r="B899">
            <v>17031809400</v>
          </cell>
          <cell r="D899">
            <v>2220</v>
          </cell>
          <cell r="E899">
            <v>279</v>
          </cell>
          <cell r="F899">
            <v>646</v>
          </cell>
          <cell r="G899">
            <v>162</v>
          </cell>
          <cell r="H899">
            <v>569</v>
          </cell>
          <cell r="I899">
            <v>162</v>
          </cell>
          <cell r="J899">
            <v>77</v>
          </cell>
          <cell r="K899">
            <v>67</v>
          </cell>
          <cell r="L899">
            <v>39</v>
          </cell>
          <cell r="M899">
            <v>47</v>
          </cell>
          <cell r="N899">
            <v>0</v>
          </cell>
          <cell r="O899">
            <v>15</v>
          </cell>
          <cell r="P899">
            <v>0</v>
          </cell>
          <cell r="Q899">
            <v>15</v>
          </cell>
          <cell r="R899">
            <v>31</v>
          </cell>
          <cell r="S899">
            <v>46</v>
          </cell>
          <cell r="T899">
            <v>7</v>
          </cell>
          <cell r="U899">
            <v>13</v>
          </cell>
          <cell r="V899">
            <v>683</v>
          </cell>
          <cell r="W899">
            <v>197</v>
          </cell>
          <cell r="X899">
            <v>279</v>
          </cell>
          <cell r="Y899">
            <v>168</v>
          </cell>
          <cell r="Z899">
            <v>0</v>
          </cell>
          <cell r="AA899">
            <v>15</v>
          </cell>
          <cell r="AB899">
            <v>267</v>
          </cell>
          <cell r="AC899">
            <v>98</v>
          </cell>
          <cell r="AD899">
            <v>137</v>
          </cell>
          <cell r="AE899">
            <v>80</v>
          </cell>
          <cell r="AF899">
            <v>0</v>
          </cell>
          <cell r="AG899">
            <v>15</v>
          </cell>
          <cell r="AH899">
            <v>6</v>
          </cell>
          <cell r="AI899">
            <v>13</v>
          </cell>
          <cell r="AJ899">
            <v>13</v>
          </cell>
          <cell r="AK899">
            <v>21</v>
          </cell>
          <cell r="AL899">
            <v>151</v>
          </cell>
          <cell r="AM899">
            <v>98</v>
          </cell>
          <cell r="AN899">
            <v>562</v>
          </cell>
          <cell r="AO899">
            <v>164</v>
          </cell>
          <cell r="AP899">
            <v>0</v>
          </cell>
          <cell r="AQ899">
            <v>15</v>
          </cell>
          <cell r="AR899">
            <v>159</v>
          </cell>
          <cell r="AS899">
            <v>82</v>
          </cell>
        </row>
        <row r="900">
          <cell r="B900">
            <v>17031809500</v>
          </cell>
          <cell r="D900">
            <v>2064</v>
          </cell>
          <cell r="E900">
            <v>235</v>
          </cell>
          <cell r="F900">
            <v>1017</v>
          </cell>
          <cell r="G900">
            <v>189</v>
          </cell>
          <cell r="H900">
            <v>895</v>
          </cell>
          <cell r="I900">
            <v>185</v>
          </cell>
          <cell r="J900">
            <v>122</v>
          </cell>
          <cell r="K900">
            <v>59</v>
          </cell>
          <cell r="L900">
            <v>122</v>
          </cell>
          <cell r="M900">
            <v>59</v>
          </cell>
          <cell r="N900">
            <v>0</v>
          </cell>
          <cell r="O900">
            <v>11</v>
          </cell>
          <cell r="P900">
            <v>0</v>
          </cell>
          <cell r="Q900">
            <v>11</v>
          </cell>
          <cell r="R900">
            <v>0</v>
          </cell>
          <cell r="S900">
            <v>11</v>
          </cell>
          <cell r="T900">
            <v>0</v>
          </cell>
          <cell r="U900">
            <v>11</v>
          </cell>
          <cell r="V900">
            <v>505</v>
          </cell>
          <cell r="W900">
            <v>139</v>
          </cell>
          <cell r="X900">
            <v>154</v>
          </cell>
          <cell r="Y900">
            <v>114</v>
          </cell>
          <cell r="Z900">
            <v>0</v>
          </cell>
          <cell r="AA900">
            <v>11</v>
          </cell>
          <cell r="AB900">
            <v>169</v>
          </cell>
          <cell r="AC900">
            <v>77</v>
          </cell>
          <cell r="AD900">
            <v>182</v>
          </cell>
          <cell r="AE900">
            <v>89</v>
          </cell>
          <cell r="AF900">
            <v>0</v>
          </cell>
          <cell r="AG900">
            <v>11</v>
          </cell>
          <cell r="AH900">
            <v>0</v>
          </cell>
          <cell r="AI900">
            <v>11</v>
          </cell>
          <cell r="AJ900">
            <v>0</v>
          </cell>
          <cell r="AK900">
            <v>11</v>
          </cell>
          <cell r="AL900">
            <v>32</v>
          </cell>
          <cell r="AM900">
            <v>31</v>
          </cell>
          <cell r="AN900">
            <v>372</v>
          </cell>
          <cell r="AO900">
            <v>133</v>
          </cell>
          <cell r="AP900">
            <v>0</v>
          </cell>
          <cell r="AQ900">
            <v>11</v>
          </cell>
          <cell r="AR900">
            <v>138</v>
          </cell>
          <cell r="AS900">
            <v>68</v>
          </cell>
        </row>
        <row r="901">
          <cell r="B901">
            <v>17031809600</v>
          </cell>
          <cell r="D901">
            <v>1601</v>
          </cell>
          <cell r="E901">
            <v>253</v>
          </cell>
          <cell r="F901">
            <v>945</v>
          </cell>
          <cell r="G901">
            <v>173</v>
          </cell>
          <cell r="H901">
            <v>870</v>
          </cell>
          <cell r="I901">
            <v>171</v>
          </cell>
          <cell r="J901">
            <v>75</v>
          </cell>
          <cell r="K901">
            <v>59</v>
          </cell>
          <cell r="L901">
            <v>75</v>
          </cell>
          <cell r="M901">
            <v>59</v>
          </cell>
          <cell r="N901">
            <v>0</v>
          </cell>
          <cell r="O901">
            <v>11</v>
          </cell>
          <cell r="P901">
            <v>0</v>
          </cell>
          <cell r="Q901">
            <v>11</v>
          </cell>
          <cell r="R901">
            <v>0</v>
          </cell>
          <cell r="S901">
            <v>11</v>
          </cell>
          <cell r="T901">
            <v>0</v>
          </cell>
          <cell r="U901">
            <v>11</v>
          </cell>
          <cell r="V901">
            <v>301</v>
          </cell>
          <cell r="W901">
            <v>118</v>
          </cell>
          <cell r="X901">
            <v>103</v>
          </cell>
          <cell r="Y901">
            <v>64</v>
          </cell>
          <cell r="Z901">
            <v>0</v>
          </cell>
          <cell r="AA901">
            <v>11</v>
          </cell>
          <cell r="AB901">
            <v>120</v>
          </cell>
          <cell r="AC901">
            <v>76</v>
          </cell>
          <cell r="AD901">
            <v>78</v>
          </cell>
          <cell r="AE901">
            <v>60</v>
          </cell>
          <cell r="AF901">
            <v>0</v>
          </cell>
          <cell r="AG901">
            <v>11</v>
          </cell>
          <cell r="AH901">
            <v>0</v>
          </cell>
          <cell r="AI901">
            <v>11</v>
          </cell>
          <cell r="AJ901">
            <v>0</v>
          </cell>
          <cell r="AK901">
            <v>11</v>
          </cell>
          <cell r="AL901">
            <v>37</v>
          </cell>
          <cell r="AM901">
            <v>29</v>
          </cell>
          <cell r="AN901">
            <v>113</v>
          </cell>
          <cell r="AO901">
            <v>98</v>
          </cell>
          <cell r="AP901">
            <v>14</v>
          </cell>
          <cell r="AQ901">
            <v>17</v>
          </cell>
          <cell r="AR901">
            <v>191</v>
          </cell>
          <cell r="AS901">
            <v>94</v>
          </cell>
        </row>
        <row r="902">
          <cell r="B902">
            <v>17031809700</v>
          </cell>
          <cell r="D902">
            <v>1953</v>
          </cell>
          <cell r="E902">
            <v>200</v>
          </cell>
          <cell r="F902">
            <v>1385</v>
          </cell>
          <cell r="G902">
            <v>193</v>
          </cell>
          <cell r="H902">
            <v>1040</v>
          </cell>
          <cell r="I902">
            <v>180</v>
          </cell>
          <cell r="J902">
            <v>345</v>
          </cell>
          <cell r="K902">
            <v>184</v>
          </cell>
          <cell r="L902">
            <v>259</v>
          </cell>
          <cell r="M902">
            <v>116</v>
          </cell>
          <cell r="N902">
            <v>86</v>
          </cell>
          <cell r="O902">
            <v>110</v>
          </cell>
          <cell r="P902">
            <v>0</v>
          </cell>
          <cell r="Q902">
            <v>11</v>
          </cell>
          <cell r="R902">
            <v>0</v>
          </cell>
          <cell r="S902">
            <v>11</v>
          </cell>
          <cell r="T902">
            <v>0</v>
          </cell>
          <cell r="U902">
            <v>11</v>
          </cell>
          <cell r="V902">
            <v>250</v>
          </cell>
          <cell r="W902">
            <v>93</v>
          </cell>
          <cell r="X902">
            <v>129</v>
          </cell>
          <cell r="Y902">
            <v>81</v>
          </cell>
          <cell r="Z902">
            <v>0</v>
          </cell>
          <cell r="AA902">
            <v>11</v>
          </cell>
          <cell r="AB902">
            <v>83</v>
          </cell>
          <cell r="AC902">
            <v>51</v>
          </cell>
          <cell r="AD902">
            <v>38</v>
          </cell>
          <cell r="AE902">
            <v>32</v>
          </cell>
          <cell r="AF902">
            <v>0</v>
          </cell>
          <cell r="AG902">
            <v>11</v>
          </cell>
          <cell r="AH902">
            <v>0</v>
          </cell>
          <cell r="AI902">
            <v>11</v>
          </cell>
          <cell r="AJ902">
            <v>0</v>
          </cell>
          <cell r="AK902">
            <v>11</v>
          </cell>
          <cell r="AL902">
            <v>86</v>
          </cell>
          <cell r="AM902">
            <v>59</v>
          </cell>
          <cell r="AN902">
            <v>59</v>
          </cell>
          <cell r="AO902">
            <v>46</v>
          </cell>
          <cell r="AP902">
            <v>18</v>
          </cell>
          <cell r="AQ902">
            <v>28</v>
          </cell>
          <cell r="AR902">
            <v>155</v>
          </cell>
          <cell r="AS902">
            <v>72</v>
          </cell>
        </row>
        <row r="903">
          <cell r="B903">
            <v>17031809800</v>
          </cell>
          <cell r="D903">
            <v>1287</v>
          </cell>
          <cell r="E903">
            <v>144</v>
          </cell>
          <cell r="F903">
            <v>712</v>
          </cell>
          <cell r="G903">
            <v>134</v>
          </cell>
          <cell r="H903">
            <v>572</v>
          </cell>
          <cell r="I903">
            <v>118</v>
          </cell>
          <cell r="J903">
            <v>140</v>
          </cell>
          <cell r="K903">
            <v>71</v>
          </cell>
          <cell r="L903">
            <v>123</v>
          </cell>
          <cell r="M903">
            <v>69</v>
          </cell>
          <cell r="N903">
            <v>8</v>
          </cell>
          <cell r="O903">
            <v>13</v>
          </cell>
          <cell r="P903">
            <v>0</v>
          </cell>
          <cell r="Q903">
            <v>11</v>
          </cell>
          <cell r="R903">
            <v>0</v>
          </cell>
          <cell r="S903">
            <v>11</v>
          </cell>
          <cell r="T903">
            <v>9</v>
          </cell>
          <cell r="U903">
            <v>14</v>
          </cell>
          <cell r="V903">
            <v>357</v>
          </cell>
          <cell r="W903">
            <v>95</v>
          </cell>
          <cell r="X903">
            <v>118</v>
          </cell>
          <cell r="Y903">
            <v>67</v>
          </cell>
          <cell r="Z903">
            <v>0</v>
          </cell>
          <cell r="AA903">
            <v>11</v>
          </cell>
          <cell r="AB903">
            <v>106</v>
          </cell>
          <cell r="AC903">
            <v>47</v>
          </cell>
          <cell r="AD903">
            <v>133</v>
          </cell>
          <cell r="AE903">
            <v>59</v>
          </cell>
          <cell r="AF903">
            <v>0</v>
          </cell>
          <cell r="AG903">
            <v>11</v>
          </cell>
          <cell r="AH903">
            <v>0</v>
          </cell>
          <cell r="AI903">
            <v>11</v>
          </cell>
          <cell r="AJ903">
            <v>7</v>
          </cell>
          <cell r="AK903">
            <v>12</v>
          </cell>
          <cell r="AL903">
            <v>51</v>
          </cell>
          <cell r="AM903">
            <v>33</v>
          </cell>
          <cell r="AN903">
            <v>82</v>
          </cell>
          <cell r="AO903">
            <v>58</v>
          </cell>
          <cell r="AP903">
            <v>14</v>
          </cell>
          <cell r="AQ903">
            <v>21</v>
          </cell>
          <cell r="AR903">
            <v>64</v>
          </cell>
          <cell r="AS903">
            <v>38</v>
          </cell>
        </row>
        <row r="904">
          <cell r="B904">
            <v>17031809900</v>
          </cell>
          <cell r="D904">
            <v>1795</v>
          </cell>
          <cell r="E904">
            <v>158</v>
          </cell>
          <cell r="F904">
            <v>989</v>
          </cell>
          <cell r="G904">
            <v>140</v>
          </cell>
          <cell r="H904">
            <v>824</v>
          </cell>
          <cell r="I904">
            <v>129</v>
          </cell>
          <cell r="J904">
            <v>165</v>
          </cell>
          <cell r="K904">
            <v>70</v>
          </cell>
          <cell r="L904">
            <v>90</v>
          </cell>
          <cell r="M904">
            <v>54</v>
          </cell>
          <cell r="N904">
            <v>33</v>
          </cell>
          <cell r="O904">
            <v>41</v>
          </cell>
          <cell r="P904">
            <v>42</v>
          </cell>
          <cell r="Q904">
            <v>44</v>
          </cell>
          <cell r="R904">
            <v>0</v>
          </cell>
          <cell r="S904">
            <v>11</v>
          </cell>
          <cell r="T904">
            <v>0</v>
          </cell>
          <cell r="U904">
            <v>11</v>
          </cell>
          <cell r="V904">
            <v>416</v>
          </cell>
          <cell r="W904">
            <v>99</v>
          </cell>
          <cell r="X904">
            <v>18</v>
          </cell>
          <cell r="Y904">
            <v>21</v>
          </cell>
          <cell r="Z904">
            <v>0</v>
          </cell>
          <cell r="AA904">
            <v>11</v>
          </cell>
          <cell r="AB904">
            <v>238</v>
          </cell>
          <cell r="AC904">
            <v>87</v>
          </cell>
          <cell r="AD904">
            <v>160</v>
          </cell>
          <cell r="AE904">
            <v>63</v>
          </cell>
          <cell r="AF904">
            <v>0</v>
          </cell>
          <cell r="AG904">
            <v>11</v>
          </cell>
          <cell r="AH904">
            <v>0</v>
          </cell>
          <cell r="AI904">
            <v>11</v>
          </cell>
          <cell r="AJ904">
            <v>0</v>
          </cell>
          <cell r="AK904">
            <v>11</v>
          </cell>
          <cell r="AL904">
            <v>43</v>
          </cell>
          <cell r="AM904">
            <v>46</v>
          </cell>
          <cell r="AN904">
            <v>171</v>
          </cell>
          <cell r="AO904">
            <v>73</v>
          </cell>
          <cell r="AP904">
            <v>26</v>
          </cell>
          <cell r="AQ904">
            <v>25</v>
          </cell>
          <cell r="AR904">
            <v>150</v>
          </cell>
          <cell r="AS904">
            <v>86</v>
          </cell>
        </row>
        <row r="905">
          <cell r="B905">
            <v>17031810000</v>
          </cell>
          <cell r="D905">
            <v>3043</v>
          </cell>
          <cell r="E905">
            <v>261</v>
          </cell>
          <cell r="F905">
            <v>1382</v>
          </cell>
          <cell r="G905">
            <v>237</v>
          </cell>
          <cell r="H905">
            <v>1234</v>
          </cell>
          <cell r="I905">
            <v>227</v>
          </cell>
          <cell r="J905">
            <v>148</v>
          </cell>
          <cell r="K905">
            <v>90</v>
          </cell>
          <cell r="L905">
            <v>128</v>
          </cell>
          <cell r="M905">
            <v>89</v>
          </cell>
          <cell r="N905">
            <v>20</v>
          </cell>
          <cell r="O905">
            <v>29</v>
          </cell>
          <cell r="P905">
            <v>0</v>
          </cell>
          <cell r="Q905">
            <v>11</v>
          </cell>
          <cell r="R905">
            <v>0</v>
          </cell>
          <cell r="S905">
            <v>11</v>
          </cell>
          <cell r="T905">
            <v>0</v>
          </cell>
          <cell r="U905">
            <v>11</v>
          </cell>
          <cell r="V905">
            <v>969</v>
          </cell>
          <cell r="W905">
            <v>170</v>
          </cell>
          <cell r="X905">
            <v>78</v>
          </cell>
          <cell r="Y905">
            <v>53</v>
          </cell>
          <cell r="Z905">
            <v>0</v>
          </cell>
          <cell r="AA905">
            <v>11</v>
          </cell>
          <cell r="AB905">
            <v>509</v>
          </cell>
          <cell r="AC905">
            <v>132</v>
          </cell>
          <cell r="AD905">
            <v>382</v>
          </cell>
          <cell r="AE905">
            <v>143</v>
          </cell>
          <cell r="AF905">
            <v>0</v>
          </cell>
          <cell r="AG905">
            <v>11</v>
          </cell>
          <cell r="AH905">
            <v>0</v>
          </cell>
          <cell r="AI905">
            <v>11</v>
          </cell>
          <cell r="AJ905">
            <v>0</v>
          </cell>
          <cell r="AK905">
            <v>11</v>
          </cell>
          <cell r="AL905">
            <v>130</v>
          </cell>
          <cell r="AM905">
            <v>90</v>
          </cell>
          <cell r="AN905">
            <v>150</v>
          </cell>
          <cell r="AO905">
            <v>94</v>
          </cell>
          <cell r="AP905">
            <v>28</v>
          </cell>
          <cell r="AQ905">
            <v>32</v>
          </cell>
          <cell r="AR905">
            <v>384</v>
          </cell>
          <cell r="AS905">
            <v>144</v>
          </cell>
        </row>
        <row r="906">
          <cell r="B906">
            <v>17031810100</v>
          </cell>
          <cell r="D906">
            <v>2612</v>
          </cell>
          <cell r="E906">
            <v>296</v>
          </cell>
          <cell r="F906">
            <v>1181</v>
          </cell>
          <cell r="G906">
            <v>284</v>
          </cell>
          <cell r="H906">
            <v>1115</v>
          </cell>
          <cell r="I906">
            <v>269</v>
          </cell>
          <cell r="J906">
            <v>66</v>
          </cell>
          <cell r="K906">
            <v>77</v>
          </cell>
          <cell r="L906">
            <v>10</v>
          </cell>
          <cell r="M906">
            <v>15</v>
          </cell>
          <cell r="N906">
            <v>45</v>
          </cell>
          <cell r="O906">
            <v>72</v>
          </cell>
          <cell r="P906">
            <v>0</v>
          </cell>
          <cell r="Q906">
            <v>11</v>
          </cell>
          <cell r="R906">
            <v>11</v>
          </cell>
          <cell r="S906">
            <v>20</v>
          </cell>
          <cell r="T906">
            <v>0</v>
          </cell>
          <cell r="U906">
            <v>11</v>
          </cell>
          <cell r="V906">
            <v>792</v>
          </cell>
          <cell r="W906">
            <v>225</v>
          </cell>
          <cell r="X906">
            <v>168</v>
          </cell>
          <cell r="Y906">
            <v>99</v>
          </cell>
          <cell r="Z906">
            <v>0</v>
          </cell>
          <cell r="AA906">
            <v>11</v>
          </cell>
          <cell r="AB906">
            <v>260</v>
          </cell>
          <cell r="AC906">
            <v>112</v>
          </cell>
          <cell r="AD906">
            <v>364</v>
          </cell>
          <cell r="AE906">
            <v>182</v>
          </cell>
          <cell r="AF906">
            <v>0</v>
          </cell>
          <cell r="AG906">
            <v>11</v>
          </cell>
          <cell r="AH906">
            <v>0</v>
          </cell>
          <cell r="AI906">
            <v>11</v>
          </cell>
          <cell r="AJ906">
            <v>13</v>
          </cell>
          <cell r="AK906">
            <v>21</v>
          </cell>
          <cell r="AL906">
            <v>175</v>
          </cell>
          <cell r="AM906">
            <v>98</v>
          </cell>
          <cell r="AN906">
            <v>248</v>
          </cell>
          <cell r="AO906">
            <v>137</v>
          </cell>
          <cell r="AP906">
            <v>0</v>
          </cell>
          <cell r="AQ906">
            <v>11</v>
          </cell>
          <cell r="AR906">
            <v>203</v>
          </cell>
          <cell r="AS906">
            <v>111</v>
          </cell>
        </row>
        <row r="907">
          <cell r="B907">
            <v>17031810200</v>
          </cell>
          <cell r="D907">
            <v>3171</v>
          </cell>
          <cell r="E907">
            <v>334</v>
          </cell>
          <cell r="F907">
            <v>2168</v>
          </cell>
          <cell r="G907">
            <v>364</v>
          </cell>
          <cell r="H907">
            <v>1743</v>
          </cell>
          <cell r="I907">
            <v>351</v>
          </cell>
          <cell r="J907">
            <v>425</v>
          </cell>
          <cell r="K907">
            <v>256</v>
          </cell>
          <cell r="L907">
            <v>405</v>
          </cell>
          <cell r="M907">
            <v>240</v>
          </cell>
          <cell r="N907">
            <v>20</v>
          </cell>
          <cell r="O907">
            <v>36</v>
          </cell>
          <cell r="P907">
            <v>0</v>
          </cell>
          <cell r="Q907">
            <v>15</v>
          </cell>
          <cell r="R907">
            <v>0</v>
          </cell>
          <cell r="S907">
            <v>15</v>
          </cell>
          <cell r="T907">
            <v>0</v>
          </cell>
          <cell r="U907">
            <v>15</v>
          </cell>
          <cell r="V907">
            <v>691</v>
          </cell>
          <cell r="W907">
            <v>252</v>
          </cell>
          <cell r="X907">
            <v>370</v>
          </cell>
          <cell r="Y907">
            <v>214</v>
          </cell>
          <cell r="Z907">
            <v>0</v>
          </cell>
          <cell r="AA907">
            <v>15</v>
          </cell>
          <cell r="AB907">
            <v>166</v>
          </cell>
          <cell r="AC907">
            <v>114</v>
          </cell>
          <cell r="AD907">
            <v>155</v>
          </cell>
          <cell r="AE907">
            <v>100</v>
          </cell>
          <cell r="AF907">
            <v>0</v>
          </cell>
          <cell r="AG907">
            <v>15</v>
          </cell>
          <cell r="AH907">
            <v>0</v>
          </cell>
          <cell r="AI907">
            <v>15</v>
          </cell>
          <cell r="AJ907">
            <v>0</v>
          </cell>
          <cell r="AK907">
            <v>15</v>
          </cell>
          <cell r="AL907">
            <v>31</v>
          </cell>
          <cell r="AM907">
            <v>36</v>
          </cell>
          <cell r="AN907">
            <v>122</v>
          </cell>
          <cell r="AO907">
            <v>77</v>
          </cell>
          <cell r="AP907">
            <v>0</v>
          </cell>
          <cell r="AQ907">
            <v>15</v>
          </cell>
          <cell r="AR907">
            <v>159</v>
          </cell>
          <cell r="AS907">
            <v>86</v>
          </cell>
        </row>
        <row r="908">
          <cell r="B908">
            <v>17031810301</v>
          </cell>
          <cell r="D908">
            <v>1843</v>
          </cell>
          <cell r="E908">
            <v>188</v>
          </cell>
          <cell r="F908">
            <v>1304</v>
          </cell>
          <cell r="G908">
            <v>187</v>
          </cell>
          <cell r="H908">
            <v>1098</v>
          </cell>
          <cell r="I908">
            <v>169</v>
          </cell>
          <cell r="J908">
            <v>206</v>
          </cell>
          <cell r="K908">
            <v>100</v>
          </cell>
          <cell r="L908">
            <v>194</v>
          </cell>
          <cell r="M908">
            <v>99</v>
          </cell>
          <cell r="N908">
            <v>0</v>
          </cell>
          <cell r="O908">
            <v>11</v>
          </cell>
          <cell r="P908">
            <v>10</v>
          </cell>
          <cell r="Q908">
            <v>15</v>
          </cell>
          <cell r="R908">
            <v>2</v>
          </cell>
          <cell r="S908">
            <v>4</v>
          </cell>
          <cell r="T908">
            <v>0</v>
          </cell>
          <cell r="U908">
            <v>11</v>
          </cell>
          <cell r="V908">
            <v>302</v>
          </cell>
          <cell r="W908">
            <v>123</v>
          </cell>
          <cell r="X908">
            <v>96</v>
          </cell>
          <cell r="Y908">
            <v>60</v>
          </cell>
          <cell r="Z908">
            <v>0</v>
          </cell>
          <cell r="AA908">
            <v>11</v>
          </cell>
          <cell r="AB908">
            <v>77</v>
          </cell>
          <cell r="AC908">
            <v>43</v>
          </cell>
          <cell r="AD908">
            <v>129</v>
          </cell>
          <cell r="AE908">
            <v>94</v>
          </cell>
          <cell r="AF908">
            <v>0</v>
          </cell>
          <cell r="AG908">
            <v>11</v>
          </cell>
          <cell r="AH908">
            <v>64</v>
          </cell>
          <cell r="AI908">
            <v>64</v>
          </cell>
          <cell r="AJ908">
            <v>0</v>
          </cell>
          <cell r="AK908">
            <v>11</v>
          </cell>
          <cell r="AL908">
            <v>0</v>
          </cell>
          <cell r="AM908">
            <v>11</v>
          </cell>
          <cell r="AN908">
            <v>58</v>
          </cell>
          <cell r="AO908">
            <v>43</v>
          </cell>
          <cell r="AP908">
            <v>0</v>
          </cell>
          <cell r="AQ908">
            <v>11</v>
          </cell>
          <cell r="AR908">
            <v>115</v>
          </cell>
          <cell r="AS908">
            <v>75</v>
          </cell>
        </row>
        <row r="909">
          <cell r="B909">
            <v>17031810302</v>
          </cell>
          <cell r="D909">
            <v>1512</v>
          </cell>
          <cell r="E909">
            <v>257</v>
          </cell>
          <cell r="F909">
            <v>1031</v>
          </cell>
          <cell r="G909">
            <v>187</v>
          </cell>
          <cell r="H909">
            <v>824</v>
          </cell>
          <cell r="I909">
            <v>167</v>
          </cell>
          <cell r="J909">
            <v>207</v>
          </cell>
          <cell r="K909">
            <v>93</v>
          </cell>
          <cell r="L909">
            <v>187</v>
          </cell>
          <cell r="M909">
            <v>90</v>
          </cell>
          <cell r="N909">
            <v>1</v>
          </cell>
          <cell r="O909">
            <v>2</v>
          </cell>
          <cell r="P909">
            <v>19</v>
          </cell>
          <cell r="Q909">
            <v>20</v>
          </cell>
          <cell r="R909">
            <v>0</v>
          </cell>
          <cell r="S909">
            <v>11</v>
          </cell>
          <cell r="T909">
            <v>0</v>
          </cell>
          <cell r="U909">
            <v>11</v>
          </cell>
          <cell r="V909">
            <v>258</v>
          </cell>
          <cell r="W909">
            <v>107</v>
          </cell>
          <cell r="X909">
            <v>48</v>
          </cell>
          <cell r="Y909">
            <v>48</v>
          </cell>
          <cell r="Z909">
            <v>0</v>
          </cell>
          <cell r="AA909">
            <v>11</v>
          </cell>
          <cell r="AB909">
            <v>116</v>
          </cell>
          <cell r="AC909">
            <v>59</v>
          </cell>
          <cell r="AD909">
            <v>94</v>
          </cell>
          <cell r="AE909">
            <v>85</v>
          </cell>
          <cell r="AF909">
            <v>0</v>
          </cell>
          <cell r="AG909">
            <v>11</v>
          </cell>
          <cell r="AH909">
            <v>34</v>
          </cell>
          <cell r="AI909">
            <v>56</v>
          </cell>
          <cell r="AJ909">
            <v>0</v>
          </cell>
          <cell r="AK909">
            <v>11</v>
          </cell>
          <cell r="AL909">
            <v>43</v>
          </cell>
          <cell r="AM909">
            <v>24</v>
          </cell>
          <cell r="AN909">
            <v>35</v>
          </cell>
          <cell r="AO909">
            <v>30</v>
          </cell>
          <cell r="AP909">
            <v>13</v>
          </cell>
          <cell r="AQ909">
            <v>15</v>
          </cell>
          <cell r="AR909">
            <v>98</v>
          </cell>
          <cell r="AS909">
            <v>56</v>
          </cell>
        </row>
        <row r="910">
          <cell r="B910">
            <v>17031810400</v>
          </cell>
          <cell r="D910">
            <v>2602</v>
          </cell>
          <cell r="E910">
            <v>218</v>
          </cell>
          <cell r="F910">
            <v>1987</v>
          </cell>
          <cell r="G910">
            <v>230</v>
          </cell>
          <cell r="H910">
            <v>1727</v>
          </cell>
          <cell r="I910">
            <v>217</v>
          </cell>
          <cell r="J910">
            <v>260</v>
          </cell>
          <cell r="K910">
            <v>78</v>
          </cell>
          <cell r="L910">
            <v>161</v>
          </cell>
          <cell r="M910">
            <v>62</v>
          </cell>
          <cell r="N910">
            <v>53</v>
          </cell>
          <cell r="O910">
            <v>54</v>
          </cell>
          <cell r="P910">
            <v>18</v>
          </cell>
          <cell r="Q910">
            <v>19</v>
          </cell>
          <cell r="R910">
            <v>11</v>
          </cell>
          <cell r="S910">
            <v>18</v>
          </cell>
          <cell r="T910">
            <v>17</v>
          </cell>
          <cell r="U910">
            <v>25</v>
          </cell>
          <cell r="V910">
            <v>319</v>
          </cell>
          <cell r="W910">
            <v>95</v>
          </cell>
          <cell r="X910">
            <v>43</v>
          </cell>
          <cell r="Y910">
            <v>36</v>
          </cell>
          <cell r="Z910">
            <v>0</v>
          </cell>
          <cell r="AA910">
            <v>15</v>
          </cell>
          <cell r="AB910">
            <v>102</v>
          </cell>
          <cell r="AC910">
            <v>48</v>
          </cell>
          <cell r="AD910">
            <v>174</v>
          </cell>
          <cell r="AE910">
            <v>80</v>
          </cell>
          <cell r="AF910">
            <v>0</v>
          </cell>
          <cell r="AG910">
            <v>15</v>
          </cell>
          <cell r="AH910">
            <v>0</v>
          </cell>
          <cell r="AI910">
            <v>15</v>
          </cell>
          <cell r="AJ910">
            <v>0</v>
          </cell>
          <cell r="AK910">
            <v>15</v>
          </cell>
          <cell r="AL910">
            <v>0</v>
          </cell>
          <cell r="AM910">
            <v>15</v>
          </cell>
          <cell r="AN910">
            <v>31</v>
          </cell>
          <cell r="AO910">
            <v>26</v>
          </cell>
          <cell r="AP910">
            <v>18</v>
          </cell>
          <cell r="AQ910">
            <v>20</v>
          </cell>
          <cell r="AR910">
            <v>247</v>
          </cell>
          <cell r="AS910">
            <v>111</v>
          </cell>
        </row>
        <row r="911">
          <cell r="B911">
            <v>17031810501</v>
          </cell>
          <cell r="D911">
            <v>2301</v>
          </cell>
          <cell r="E911">
            <v>265</v>
          </cell>
          <cell r="F911">
            <v>2142</v>
          </cell>
          <cell r="G911">
            <v>272</v>
          </cell>
          <cell r="H911">
            <v>2002</v>
          </cell>
          <cell r="I911">
            <v>274</v>
          </cell>
          <cell r="J911">
            <v>140</v>
          </cell>
          <cell r="K911">
            <v>93</v>
          </cell>
          <cell r="L911">
            <v>90</v>
          </cell>
          <cell r="M911">
            <v>78</v>
          </cell>
          <cell r="N911">
            <v>38</v>
          </cell>
          <cell r="O911">
            <v>49</v>
          </cell>
          <cell r="P911">
            <v>2</v>
          </cell>
          <cell r="Q911">
            <v>8</v>
          </cell>
          <cell r="R911">
            <v>10</v>
          </cell>
          <cell r="S911">
            <v>16</v>
          </cell>
          <cell r="T911">
            <v>0</v>
          </cell>
          <cell r="U911">
            <v>11</v>
          </cell>
          <cell r="V911">
            <v>93</v>
          </cell>
          <cell r="W911">
            <v>51</v>
          </cell>
          <cell r="X911">
            <v>22</v>
          </cell>
          <cell r="Y911">
            <v>25</v>
          </cell>
          <cell r="Z911">
            <v>0</v>
          </cell>
          <cell r="AA911">
            <v>11</v>
          </cell>
          <cell r="AB911">
            <v>54</v>
          </cell>
          <cell r="AC911">
            <v>45</v>
          </cell>
          <cell r="AD911">
            <v>17</v>
          </cell>
          <cell r="AE911">
            <v>20</v>
          </cell>
          <cell r="AF911">
            <v>0</v>
          </cell>
          <cell r="AG911">
            <v>11</v>
          </cell>
          <cell r="AH911">
            <v>0</v>
          </cell>
          <cell r="AI911">
            <v>11</v>
          </cell>
          <cell r="AJ911">
            <v>0</v>
          </cell>
          <cell r="AK911">
            <v>11</v>
          </cell>
          <cell r="AL911">
            <v>8</v>
          </cell>
          <cell r="AM911">
            <v>13</v>
          </cell>
          <cell r="AN911">
            <v>10</v>
          </cell>
          <cell r="AO911">
            <v>15</v>
          </cell>
          <cell r="AP911">
            <v>0</v>
          </cell>
          <cell r="AQ911">
            <v>11</v>
          </cell>
          <cell r="AR911">
            <v>48</v>
          </cell>
          <cell r="AS911">
            <v>51</v>
          </cell>
        </row>
        <row r="912">
          <cell r="B912">
            <v>17031810502</v>
          </cell>
          <cell r="D912">
            <v>2223</v>
          </cell>
          <cell r="E912">
            <v>226</v>
          </cell>
          <cell r="F912">
            <v>1821</v>
          </cell>
          <cell r="G912">
            <v>212</v>
          </cell>
          <cell r="H912">
            <v>1609</v>
          </cell>
          <cell r="I912">
            <v>242</v>
          </cell>
          <cell r="J912">
            <v>212</v>
          </cell>
          <cell r="K912">
            <v>111</v>
          </cell>
          <cell r="L912">
            <v>199</v>
          </cell>
          <cell r="M912">
            <v>108</v>
          </cell>
          <cell r="N912">
            <v>0</v>
          </cell>
          <cell r="O912">
            <v>15</v>
          </cell>
          <cell r="P912">
            <v>13</v>
          </cell>
          <cell r="Q912">
            <v>22</v>
          </cell>
          <cell r="R912">
            <v>0</v>
          </cell>
          <cell r="S912">
            <v>15</v>
          </cell>
          <cell r="T912">
            <v>0</v>
          </cell>
          <cell r="U912">
            <v>15</v>
          </cell>
          <cell r="V912">
            <v>120</v>
          </cell>
          <cell r="W912">
            <v>69</v>
          </cell>
          <cell r="X912">
            <v>37</v>
          </cell>
          <cell r="Y912">
            <v>40</v>
          </cell>
          <cell r="Z912">
            <v>0</v>
          </cell>
          <cell r="AA912">
            <v>15</v>
          </cell>
          <cell r="AB912">
            <v>83</v>
          </cell>
          <cell r="AC912">
            <v>52</v>
          </cell>
          <cell r="AD912">
            <v>0</v>
          </cell>
          <cell r="AE912">
            <v>15</v>
          </cell>
          <cell r="AF912">
            <v>0</v>
          </cell>
          <cell r="AG912">
            <v>15</v>
          </cell>
          <cell r="AH912">
            <v>0</v>
          </cell>
          <cell r="AI912">
            <v>15</v>
          </cell>
          <cell r="AJ912">
            <v>0</v>
          </cell>
          <cell r="AK912">
            <v>15</v>
          </cell>
          <cell r="AL912">
            <v>0</v>
          </cell>
          <cell r="AM912">
            <v>15</v>
          </cell>
          <cell r="AN912">
            <v>137</v>
          </cell>
          <cell r="AO912">
            <v>82</v>
          </cell>
          <cell r="AP912">
            <v>56</v>
          </cell>
          <cell r="AQ912">
            <v>48</v>
          </cell>
          <cell r="AR912">
            <v>89</v>
          </cell>
          <cell r="AS912">
            <v>64</v>
          </cell>
        </row>
        <row r="913">
          <cell r="B913">
            <v>17031810600</v>
          </cell>
          <cell r="D913">
            <v>2366</v>
          </cell>
          <cell r="E913">
            <v>285</v>
          </cell>
          <cell r="F913">
            <v>2003</v>
          </cell>
          <cell r="G913">
            <v>265</v>
          </cell>
          <cell r="H913">
            <v>1847</v>
          </cell>
          <cell r="I913">
            <v>280</v>
          </cell>
          <cell r="J913">
            <v>156</v>
          </cell>
          <cell r="K913">
            <v>85</v>
          </cell>
          <cell r="L913">
            <v>146</v>
          </cell>
          <cell r="M913">
            <v>83</v>
          </cell>
          <cell r="N913">
            <v>10</v>
          </cell>
          <cell r="O913">
            <v>14</v>
          </cell>
          <cell r="P913">
            <v>0</v>
          </cell>
          <cell r="Q913">
            <v>11</v>
          </cell>
          <cell r="R913">
            <v>0</v>
          </cell>
          <cell r="S913">
            <v>11</v>
          </cell>
          <cell r="T913">
            <v>0</v>
          </cell>
          <cell r="U913">
            <v>11</v>
          </cell>
          <cell r="V913">
            <v>225</v>
          </cell>
          <cell r="W913">
            <v>80</v>
          </cell>
          <cell r="X913">
            <v>28</v>
          </cell>
          <cell r="Y913">
            <v>25</v>
          </cell>
          <cell r="Z913">
            <v>0</v>
          </cell>
          <cell r="AA913">
            <v>11</v>
          </cell>
          <cell r="AB913">
            <v>143</v>
          </cell>
          <cell r="AC913">
            <v>63</v>
          </cell>
          <cell r="AD913">
            <v>54</v>
          </cell>
          <cell r="AE913">
            <v>46</v>
          </cell>
          <cell r="AF913">
            <v>0</v>
          </cell>
          <cell r="AG913">
            <v>11</v>
          </cell>
          <cell r="AH913">
            <v>0</v>
          </cell>
          <cell r="AI913">
            <v>11</v>
          </cell>
          <cell r="AJ913">
            <v>0</v>
          </cell>
          <cell r="AK913">
            <v>11</v>
          </cell>
          <cell r="AL913">
            <v>0</v>
          </cell>
          <cell r="AM913">
            <v>11</v>
          </cell>
          <cell r="AN913">
            <v>34</v>
          </cell>
          <cell r="AO913">
            <v>29</v>
          </cell>
          <cell r="AP913">
            <v>26</v>
          </cell>
          <cell r="AQ913">
            <v>35</v>
          </cell>
          <cell r="AR913">
            <v>78</v>
          </cell>
          <cell r="AS913">
            <v>52</v>
          </cell>
        </row>
        <row r="914">
          <cell r="B914">
            <v>17031810701</v>
          </cell>
          <cell r="D914">
            <v>2324</v>
          </cell>
          <cell r="E914">
            <v>250</v>
          </cell>
          <cell r="F914">
            <v>1960</v>
          </cell>
          <cell r="G914">
            <v>235</v>
          </cell>
          <cell r="H914">
            <v>1900</v>
          </cell>
          <cell r="I914">
            <v>233</v>
          </cell>
          <cell r="J914">
            <v>60</v>
          </cell>
          <cell r="K914">
            <v>50</v>
          </cell>
          <cell r="L914">
            <v>52</v>
          </cell>
          <cell r="M914">
            <v>48</v>
          </cell>
          <cell r="N914">
            <v>8</v>
          </cell>
          <cell r="O914">
            <v>14</v>
          </cell>
          <cell r="P914">
            <v>0</v>
          </cell>
          <cell r="Q914">
            <v>15</v>
          </cell>
          <cell r="R914">
            <v>0</v>
          </cell>
          <cell r="S914">
            <v>15</v>
          </cell>
          <cell r="T914">
            <v>0</v>
          </cell>
          <cell r="U914">
            <v>15</v>
          </cell>
          <cell r="V914">
            <v>176</v>
          </cell>
          <cell r="W914">
            <v>91</v>
          </cell>
          <cell r="X914">
            <v>88</v>
          </cell>
          <cell r="Y914">
            <v>60</v>
          </cell>
          <cell r="Z914">
            <v>0</v>
          </cell>
          <cell r="AA914">
            <v>15</v>
          </cell>
          <cell r="AB914">
            <v>35</v>
          </cell>
          <cell r="AC914">
            <v>42</v>
          </cell>
          <cell r="AD914">
            <v>53</v>
          </cell>
          <cell r="AE914">
            <v>50</v>
          </cell>
          <cell r="AF914">
            <v>0</v>
          </cell>
          <cell r="AG914">
            <v>15</v>
          </cell>
          <cell r="AH914">
            <v>0</v>
          </cell>
          <cell r="AI914">
            <v>15</v>
          </cell>
          <cell r="AJ914">
            <v>11</v>
          </cell>
          <cell r="AK914">
            <v>19</v>
          </cell>
          <cell r="AL914">
            <v>0</v>
          </cell>
          <cell r="AM914">
            <v>15</v>
          </cell>
          <cell r="AN914">
            <v>19</v>
          </cell>
          <cell r="AO914">
            <v>21</v>
          </cell>
          <cell r="AP914">
            <v>0</v>
          </cell>
          <cell r="AQ914">
            <v>15</v>
          </cell>
          <cell r="AR914">
            <v>158</v>
          </cell>
          <cell r="AS914">
            <v>105</v>
          </cell>
        </row>
        <row r="915">
          <cell r="B915">
            <v>17031810702</v>
          </cell>
          <cell r="D915">
            <v>1930</v>
          </cell>
          <cell r="E915">
            <v>298</v>
          </cell>
          <cell r="F915">
            <v>1591</v>
          </cell>
          <cell r="G915">
            <v>294</v>
          </cell>
          <cell r="H915">
            <v>1452</v>
          </cell>
          <cell r="I915">
            <v>261</v>
          </cell>
          <cell r="J915">
            <v>139</v>
          </cell>
          <cell r="K915">
            <v>87</v>
          </cell>
          <cell r="L915">
            <v>48</v>
          </cell>
          <cell r="M915">
            <v>40</v>
          </cell>
          <cell r="N915">
            <v>81</v>
          </cell>
          <cell r="O915">
            <v>70</v>
          </cell>
          <cell r="P915">
            <v>0</v>
          </cell>
          <cell r="Q915">
            <v>11</v>
          </cell>
          <cell r="R915">
            <v>10</v>
          </cell>
          <cell r="S915">
            <v>16</v>
          </cell>
          <cell r="T915">
            <v>0</v>
          </cell>
          <cell r="U915">
            <v>11</v>
          </cell>
          <cell r="V915">
            <v>219</v>
          </cell>
          <cell r="W915">
            <v>105</v>
          </cell>
          <cell r="X915">
            <v>118</v>
          </cell>
          <cell r="Y915">
            <v>73</v>
          </cell>
          <cell r="Z915">
            <v>23</v>
          </cell>
          <cell r="AA915">
            <v>35</v>
          </cell>
          <cell r="AB915">
            <v>0</v>
          </cell>
          <cell r="AC915">
            <v>11</v>
          </cell>
          <cell r="AD915">
            <v>78</v>
          </cell>
          <cell r="AE915">
            <v>69</v>
          </cell>
          <cell r="AF915">
            <v>0</v>
          </cell>
          <cell r="AG915">
            <v>11</v>
          </cell>
          <cell r="AH915">
            <v>0</v>
          </cell>
          <cell r="AI915">
            <v>11</v>
          </cell>
          <cell r="AJ915">
            <v>0</v>
          </cell>
          <cell r="AK915">
            <v>11</v>
          </cell>
          <cell r="AL915">
            <v>0</v>
          </cell>
          <cell r="AM915">
            <v>11</v>
          </cell>
          <cell r="AN915">
            <v>72</v>
          </cell>
          <cell r="AO915">
            <v>46</v>
          </cell>
          <cell r="AP915">
            <v>8</v>
          </cell>
          <cell r="AQ915">
            <v>12</v>
          </cell>
          <cell r="AR915">
            <v>40</v>
          </cell>
          <cell r="AS915">
            <v>45</v>
          </cell>
        </row>
        <row r="916">
          <cell r="B916">
            <v>17031810800</v>
          </cell>
          <cell r="D916">
            <v>2637</v>
          </cell>
          <cell r="E916">
            <v>264</v>
          </cell>
          <cell r="F916">
            <v>2308</v>
          </cell>
          <cell r="G916">
            <v>269</v>
          </cell>
          <cell r="H916">
            <v>2105</v>
          </cell>
          <cell r="I916">
            <v>289</v>
          </cell>
          <cell r="J916">
            <v>203</v>
          </cell>
          <cell r="K916">
            <v>107</v>
          </cell>
          <cell r="L916">
            <v>113</v>
          </cell>
          <cell r="M916">
            <v>80</v>
          </cell>
          <cell r="N916">
            <v>90</v>
          </cell>
          <cell r="O916">
            <v>66</v>
          </cell>
          <cell r="P916">
            <v>0</v>
          </cell>
          <cell r="Q916">
            <v>15</v>
          </cell>
          <cell r="R916">
            <v>0</v>
          </cell>
          <cell r="S916">
            <v>15</v>
          </cell>
          <cell r="T916">
            <v>0</v>
          </cell>
          <cell r="U916">
            <v>15</v>
          </cell>
          <cell r="V916">
            <v>217</v>
          </cell>
          <cell r="W916">
            <v>83</v>
          </cell>
          <cell r="X916">
            <v>77</v>
          </cell>
          <cell r="Y916">
            <v>53</v>
          </cell>
          <cell r="Z916">
            <v>0</v>
          </cell>
          <cell r="AA916">
            <v>15</v>
          </cell>
          <cell r="AB916">
            <v>17</v>
          </cell>
          <cell r="AC916">
            <v>20</v>
          </cell>
          <cell r="AD916">
            <v>123</v>
          </cell>
          <cell r="AE916">
            <v>63</v>
          </cell>
          <cell r="AF916">
            <v>0</v>
          </cell>
          <cell r="AG916">
            <v>15</v>
          </cell>
          <cell r="AH916">
            <v>0</v>
          </cell>
          <cell r="AI916">
            <v>15</v>
          </cell>
          <cell r="AJ916">
            <v>0</v>
          </cell>
          <cell r="AK916">
            <v>15</v>
          </cell>
          <cell r="AL916">
            <v>0</v>
          </cell>
          <cell r="AM916">
            <v>15</v>
          </cell>
          <cell r="AN916">
            <v>26</v>
          </cell>
          <cell r="AO916">
            <v>25</v>
          </cell>
          <cell r="AP916">
            <v>40</v>
          </cell>
          <cell r="AQ916">
            <v>36</v>
          </cell>
          <cell r="AR916">
            <v>46</v>
          </cell>
          <cell r="AS916">
            <v>28</v>
          </cell>
        </row>
        <row r="917">
          <cell r="B917">
            <v>17031810900</v>
          </cell>
          <cell r="D917">
            <v>3156</v>
          </cell>
          <cell r="E917">
            <v>420</v>
          </cell>
          <cell r="F917">
            <v>2712</v>
          </cell>
          <cell r="G917">
            <v>401</v>
          </cell>
          <cell r="H917">
            <v>2361</v>
          </cell>
          <cell r="I917">
            <v>384</v>
          </cell>
          <cell r="J917">
            <v>351</v>
          </cell>
          <cell r="K917">
            <v>176</v>
          </cell>
          <cell r="L917">
            <v>289</v>
          </cell>
          <cell r="M917">
            <v>162</v>
          </cell>
          <cell r="N917">
            <v>0</v>
          </cell>
          <cell r="O917">
            <v>15</v>
          </cell>
          <cell r="P917">
            <v>18</v>
          </cell>
          <cell r="Q917">
            <v>29</v>
          </cell>
          <cell r="R917">
            <v>0</v>
          </cell>
          <cell r="S917">
            <v>15</v>
          </cell>
          <cell r="T917">
            <v>44</v>
          </cell>
          <cell r="U917">
            <v>50</v>
          </cell>
          <cell r="V917">
            <v>345</v>
          </cell>
          <cell r="W917">
            <v>178</v>
          </cell>
          <cell r="X917">
            <v>191</v>
          </cell>
          <cell r="Y917">
            <v>136</v>
          </cell>
          <cell r="Z917">
            <v>0</v>
          </cell>
          <cell r="AA917">
            <v>15</v>
          </cell>
          <cell r="AB917">
            <v>32</v>
          </cell>
          <cell r="AC917">
            <v>48</v>
          </cell>
          <cell r="AD917">
            <v>122</v>
          </cell>
          <cell r="AE917">
            <v>100</v>
          </cell>
          <cell r="AF917">
            <v>0</v>
          </cell>
          <cell r="AG917">
            <v>15</v>
          </cell>
          <cell r="AH917">
            <v>0</v>
          </cell>
          <cell r="AI917">
            <v>15</v>
          </cell>
          <cell r="AJ917">
            <v>0</v>
          </cell>
          <cell r="AK917">
            <v>15</v>
          </cell>
          <cell r="AL917">
            <v>0</v>
          </cell>
          <cell r="AM917">
            <v>15</v>
          </cell>
          <cell r="AN917">
            <v>55</v>
          </cell>
          <cell r="AO917">
            <v>54</v>
          </cell>
          <cell r="AP917">
            <v>0</v>
          </cell>
          <cell r="AQ917">
            <v>15</v>
          </cell>
          <cell r="AR917">
            <v>44</v>
          </cell>
          <cell r="AS917">
            <v>50</v>
          </cell>
        </row>
        <row r="918">
          <cell r="B918">
            <v>17031811000</v>
          </cell>
          <cell r="D918">
            <v>1895</v>
          </cell>
          <cell r="E918">
            <v>171</v>
          </cell>
          <cell r="F918">
            <v>1609</v>
          </cell>
          <cell r="G918">
            <v>165</v>
          </cell>
          <cell r="H918">
            <v>1381</v>
          </cell>
          <cell r="I918">
            <v>180</v>
          </cell>
          <cell r="J918">
            <v>228</v>
          </cell>
          <cell r="K918">
            <v>101</v>
          </cell>
          <cell r="L918">
            <v>192</v>
          </cell>
          <cell r="M918">
            <v>90</v>
          </cell>
          <cell r="N918">
            <v>14</v>
          </cell>
          <cell r="O918">
            <v>21</v>
          </cell>
          <cell r="P918">
            <v>0</v>
          </cell>
          <cell r="Q918">
            <v>11</v>
          </cell>
          <cell r="R918">
            <v>22</v>
          </cell>
          <cell r="S918">
            <v>34</v>
          </cell>
          <cell r="T918">
            <v>0</v>
          </cell>
          <cell r="U918">
            <v>11</v>
          </cell>
          <cell r="V918">
            <v>197</v>
          </cell>
          <cell r="W918">
            <v>90</v>
          </cell>
          <cell r="X918">
            <v>52</v>
          </cell>
          <cell r="Y918">
            <v>47</v>
          </cell>
          <cell r="Z918">
            <v>0</v>
          </cell>
          <cell r="AA918">
            <v>11</v>
          </cell>
          <cell r="AB918">
            <v>85</v>
          </cell>
          <cell r="AC918">
            <v>61</v>
          </cell>
          <cell r="AD918">
            <v>60</v>
          </cell>
          <cell r="AE918">
            <v>36</v>
          </cell>
          <cell r="AF918">
            <v>0</v>
          </cell>
          <cell r="AG918">
            <v>11</v>
          </cell>
          <cell r="AH918">
            <v>0</v>
          </cell>
          <cell r="AI918">
            <v>11</v>
          </cell>
          <cell r="AJ918">
            <v>0</v>
          </cell>
          <cell r="AK918">
            <v>11</v>
          </cell>
          <cell r="AL918">
            <v>0</v>
          </cell>
          <cell r="AM918">
            <v>11</v>
          </cell>
          <cell r="AN918">
            <v>10</v>
          </cell>
          <cell r="AO918">
            <v>16</v>
          </cell>
          <cell r="AP918">
            <v>19</v>
          </cell>
          <cell r="AQ918">
            <v>30</v>
          </cell>
          <cell r="AR918">
            <v>60</v>
          </cell>
          <cell r="AS918">
            <v>46</v>
          </cell>
        </row>
        <row r="919">
          <cell r="B919">
            <v>17031811100</v>
          </cell>
          <cell r="D919">
            <v>3338</v>
          </cell>
          <cell r="E919">
            <v>266</v>
          </cell>
          <cell r="F919">
            <v>2910</v>
          </cell>
          <cell r="G919">
            <v>265</v>
          </cell>
          <cell r="H919">
            <v>2557</v>
          </cell>
          <cell r="I919">
            <v>278</v>
          </cell>
          <cell r="J919">
            <v>353</v>
          </cell>
          <cell r="K919">
            <v>149</v>
          </cell>
          <cell r="L919">
            <v>305</v>
          </cell>
          <cell r="M919">
            <v>132</v>
          </cell>
          <cell r="N919">
            <v>48</v>
          </cell>
          <cell r="O919">
            <v>49</v>
          </cell>
          <cell r="P919">
            <v>0</v>
          </cell>
          <cell r="Q919">
            <v>15</v>
          </cell>
          <cell r="R919">
            <v>0</v>
          </cell>
          <cell r="S919">
            <v>15</v>
          </cell>
          <cell r="T919">
            <v>0</v>
          </cell>
          <cell r="U919">
            <v>15</v>
          </cell>
          <cell r="V919">
            <v>247</v>
          </cell>
          <cell r="W919">
            <v>127</v>
          </cell>
          <cell r="X919">
            <v>141</v>
          </cell>
          <cell r="Y919">
            <v>98</v>
          </cell>
          <cell r="Z919">
            <v>0</v>
          </cell>
          <cell r="AA919">
            <v>15</v>
          </cell>
          <cell r="AB919">
            <v>31</v>
          </cell>
          <cell r="AC919">
            <v>50</v>
          </cell>
          <cell r="AD919">
            <v>75</v>
          </cell>
          <cell r="AE919">
            <v>61</v>
          </cell>
          <cell r="AF919">
            <v>0</v>
          </cell>
          <cell r="AG919">
            <v>15</v>
          </cell>
          <cell r="AH919">
            <v>0</v>
          </cell>
          <cell r="AI919">
            <v>15</v>
          </cell>
          <cell r="AJ919">
            <v>0</v>
          </cell>
          <cell r="AK919">
            <v>15</v>
          </cell>
          <cell r="AL919">
            <v>0</v>
          </cell>
          <cell r="AM919">
            <v>15</v>
          </cell>
          <cell r="AN919">
            <v>83</v>
          </cell>
          <cell r="AO919">
            <v>80</v>
          </cell>
          <cell r="AP919">
            <v>23</v>
          </cell>
          <cell r="AQ919">
            <v>37</v>
          </cell>
          <cell r="AR919">
            <v>75</v>
          </cell>
          <cell r="AS919">
            <v>67</v>
          </cell>
        </row>
        <row r="920">
          <cell r="B920">
            <v>17031811200</v>
          </cell>
          <cell r="D920">
            <v>2698</v>
          </cell>
          <cell r="E920">
            <v>247</v>
          </cell>
          <cell r="F920">
            <v>2462</v>
          </cell>
          <cell r="G920">
            <v>247</v>
          </cell>
          <cell r="H920">
            <v>2263</v>
          </cell>
          <cell r="I920">
            <v>248</v>
          </cell>
          <cell r="J920">
            <v>199</v>
          </cell>
          <cell r="K920">
            <v>99</v>
          </cell>
          <cell r="L920">
            <v>172</v>
          </cell>
          <cell r="M920">
            <v>96</v>
          </cell>
          <cell r="N920">
            <v>27</v>
          </cell>
          <cell r="O920">
            <v>29</v>
          </cell>
          <cell r="P920">
            <v>0</v>
          </cell>
          <cell r="Q920">
            <v>15</v>
          </cell>
          <cell r="R920">
            <v>0</v>
          </cell>
          <cell r="S920">
            <v>15</v>
          </cell>
          <cell r="T920">
            <v>0</v>
          </cell>
          <cell r="U920">
            <v>15</v>
          </cell>
          <cell r="V920">
            <v>97</v>
          </cell>
          <cell r="W920">
            <v>62</v>
          </cell>
          <cell r="X920">
            <v>11</v>
          </cell>
          <cell r="Y920">
            <v>17</v>
          </cell>
          <cell r="Z920">
            <v>0</v>
          </cell>
          <cell r="AA920">
            <v>15</v>
          </cell>
          <cell r="AB920">
            <v>29</v>
          </cell>
          <cell r="AC920">
            <v>33</v>
          </cell>
          <cell r="AD920">
            <v>57</v>
          </cell>
          <cell r="AE920">
            <v>46</v>
          </cell>
          <cell r="AF920">
            <v>0</v>
          </cell>
          <cell r="AG920">
            <v>15</v>
          </cell>
          <cell r="AH920">
            <v>0</v>
          </cell>
          <cell r="AI920">
            <v>15</v>
          </cell>
          <cell r="AJ920">
            <v>0</v>
          </cell>
          <cell r="AK920">
            <v>15</v>
          </cell>
          <cell r="AL920">
            <v>12</v>
          </cell>
          <cell r="AM920">
            <v>19</v>
          </cell>
          <cell r="AN920">
            <v>32</v>
          </cell>
          <cell r="AO920">
            <v>30</v>
          </cell>
          <cell r="AP920">
            <v>28</v>
          </cell>
          <cell r="AQ920">
            <v>45</v>
          </cell>
          <cell r="AR920">
            <v>67</v>
          </cell>
          <cell r="AS920">
            <v>46</v>
          </cell>
        </row>
        <row r="921">
          <cell r="B921">
            <v>17031811301</v>
          </cell>
          <cell r="D921">
            <v>2308</v>
          </cell>
          <cell r="E921">
            <v>271</v>
          </cell>
          <cell r="F921">
            <v>2001</v>
          </cell>
          <cell r="G921">
            <v>265</v>
          </cell>
          <cell r="H921">
            <v>1673</v>
          </cell>
          <cell r="I921">
            <v>260</v>
          </cell>
          <cell r="J921">
            <v>328</v>
          </cell>
          <cell r="K921">
            <v>119</v>
          </cell>
          <cell r="L921">
            <v>264</v>
          </cell>
          <cell r="M921">
            <v>97</v>
          </cell>
          <cell r="N921">
            <v>30</v>
          </cell>
          <cell r="O921">
            <v>47</v>
          </cell>
          <cell r="P921">
            <v>34</v>
          </cell>
          <cell r="Q921">
            <v>40</v>
          </cell>
          <cell r="R921">
            <v>0</v>
          </cell>
          <cell r="S921">
            <v>11</v>
          </cell>
          <cell r="T921">
            <v>0</v>
          </cell>
          <cell r="U921">
            <v>11</v>
          </cell>
          <cell r="V921">
            <v>89</v>
          </cell>
          <cell r="W921">
            <v>80</v>
          </cell>
          <cell r="X921">
            <v>24</v>
          </cell>
          <cell r="Y921">
            <v>20</v>
          </cell>
          <cell r="Z921">
            <v>0</v>
          </cell>
          <cell r="AA921">
            <v>11</v>
          </cell>
          <cell r="AB921">
            <v>4</v>
          </cell>
          <cell r="AC921">
            <v>11</v>
          </cell>
          <cell r="AD921">
            <v>61</v>
          </cell>
          <cell r="AE921">
            <v>74</v>
          </cell>
          <cell r="AF921">
            <v>0</v>
          </cell>
          <cell r="AG921">
            <v>11</v>
          </cell>
          <cell r="AH921">
            <v>0</v>
          </cell>
          <cell r="AI921">
            <v>11</v>
          </cell>
          <cell r="AJ921">
            <v>0</v>
          </cell>
          <cell r="AK921">
            <v>11</v>
          </cell>
          <cell r="AL921">
            <v>0</v>
          </cell>
          <cell r="AM921">
            <v>11</v>
          </cell>
          <cell r="AN921">
            <v>100</v>
          </cell>
          <cell r="AO921">
            <v>85</v>
          </cell>
          <cell r="AP921">
            <v>66</v>
          </cell>
          <cell r="AQ921">
            <v>65</v>
          </cell>
          <cell r="AR921">
            <v>52</v>
          </cell>
          <cell r="AS921">
            <v>80</v>
          </cell>
        </row>
        <row r="922">
          <cell r="B922">
            <v>17031811302</v>
          </cell>
          <cell r="D922">
            <v>1343</v>
          </cell>
          <cell r="E922">
            <v>189</v>
          </cell>
          <cell r="F922">
            <v>1211</v>
          </cell>
          <cell r="G922">
            <v>182</v>
          </cell>
          <cell r="H922">
            <v>1128</v>
          </cell>
          <cell r="I922">
            <v>188</v>
          </cell>
          <cell r="J922">
            <v>83</v>
          </cell>
          <cell r="K922">
            <v>51</v>
          </cell>
          <cell r="L922">
            <v>63</v>
          </cell>
          <cell r="M922">
            <v>43</v>
          </cell>
          <cell r="N922">
            <v>0</v>
          </cell>
          <cell r="O922">
            <v>11</v>
          </cell>
          <cell r="P922">
            <v>20</v>
          </cell>
          <cell r="Q922">
            <v>27</v>
          </cell>
          <cell r="R922">
            <v>0</v>
          </cell>
          <cell r="S922">
            <v>11</v>
          </cell>
          <cell r="T922">
            <v>0</v>
          </cell>
          <cell r="U922">
            <v>11</v>
          </cell>
          <cell r="V922">
            <v>92</v>
          </cell>
          <cell r="W922">
            <v>68</v>
          </cell>
          <cell r="X922">
            <v>57</v>
          </cell>
          <cell r="Y922">
            <v>63</v>
          </cell>
          <cell r="Z922">
            <v>0</v>
          </cell>
          <cell r="AA922">
            <v>11</v>
          </cell>
          <cell r="AB922">
            <v>0</v>
          </cell>
          <cell r="AC922">
            <v>11</v>
          </cell>
          <cell r="AD922">
            <v>35</v>
          </cell>
          <cell r="AE922">
            <v>27</v>
          </cell>
          <cell r="AF922">
            <v>0</v>
          </cell>
          <cell r="AG922">
            <v>11</v>
          </cell>
          <cell r="AH922">
            <v>0</v>
          </cell>
          <cell r="AI922">
            <v>11</v>
          </cell>
          <cell r="AJ922">
            <v>0</v>
          </cell>
          <cell r="AK922">
            <v>11</v>
          </cell>
          <cell r="AL922">
            <v>0</v>
          </cell>
          <cell r="AM922">
            <v>11</v>
          </cell>
          <cell r="AN922">
            <v>21</v>
          </cell>
          <cell r="AO922">
            <v>22</v>
          </cell>
          <cell r="AP922">
            <v>10</v>
          </cell>
          <cell r="AQ922">
            <v>15</v>
          </cell>
          <cell r="AR922">
            <v>9</v>
          </cell>
          <cell r="AS922">
            <v>15</v>
          </cell>
        </row>
        <row r="923">
          <cell r="B923">
            <v>17031811401</v>
          </cell>
          <cell r="D923">
            <v>2500</v>
          </cell>
          <cell r="E923">
            <v>265</v>
          </cell>
          <cell r="F923">
            <v>2272</v>
          </cell>
          <cell r="G923">
            <v>264</v>
          </cell>
          <cell r="H923">
            <v>2074</v>
          </cell>
          <cell r="I923">
            <v>231</v>
          </cell>
          <cell r="J923">
            <v>198</v>
          </cell>
          <cell r="K923">
            <v>80</v>
          </cell>
          <cell r="L923">
            <v>175</v>
          </cell>
          <cell r="M923">
            <v>76</v>
          </cell>
          <cell r="N923">
            <v>8</v>
          </cell>
          <cell r="O923">
            <v>13</v>
          </cell>
          <cell r="P923">
            <v>6</v>
          </cell>
          <cell r="Q923">
            <v>11</v>
          </cell>
          <cell r="R923">
            <v>9</v>
          </cell>
          <cell r="S923">
            <v>15</v>
          </cell>
          <cell r="T923">
            <v>0</v>
          </cell>
          <cell r="U923">
            <v>15</v>
          </cell>
          <cell r="V923">
            <v>174</v>
          </cell>
          <cell r="W923">
            <v>65</v>
          </cell>
          <cell r="X923">
            <v>66</v>
          </cell>
          <cell r="Y923">
            <v>40</v>
          </cell>
          <cell r="Z923">
            <v>0</v>
          </cell>
          <cell r="AA923">
            <v>15</v>
          </cell>
          <cell r="AB923">
            <v>57</v>
          </cell>
          <cell r="AC923">
            <v>45</v>
          </cell>
          <cell r="AD923">
            <v>51</v>
          </cell>
          <cell r="AE923">
            <v>38</v>
          </cell>
          <cell r="AF923">
            <v>0</v>
          </cell>
          <cell r="AG923">
            <v>15</v>
          </cell>
          <cell r="AH923">
            <v>0</v>
          </cell>
          <cell r="AI923">
            <v>15</v>
          </cell>
          <cell r="AJ923">
            <v>0</v>
          </cell>
          <cell r="AK923">
            <v>15</v>
          </cell>
          <cell r="AL923">
            <v>0</v>
          </cell>
          <cell r="AM923">
            <v>15</v>
          </cell>
          <cell r="AN923">
            <v>27</v>
          </cell>
          <cell r="AO923">
            <v>24</v>
          </cell>
          <cell r="AP923">
            <v>0</v>
          </cell>
          <cell r="AQ923">
            <v>15</v>
          </cell>
          <cell r="AR923">
            <v>27</v>
          </cell>
          <cell r="AS923">
            <v>25</v>
          </cell>
        </row>
        <row r="924">
          <cell r="B924">
            <v>17031811402</v>
          </cell>
          <cell r="D924">
            <v>2412</v>
          </cell>
          <cell r="E924">
            <v>263</v>
          </cell>
          <cell r="F924">
            <v>2061</v>
          </cell>
          <cell r="G924">
            <v>249</v>
          </cell>
          <cell r="H924">
            <v>1904</v>
          </cell>
          <cell r="I924">
            <v>245</v>
          </cell>
          <cell r="J924">
            <v>157</v>
          </cell>
          <cell r="K924">
            <v>84</v>
          </cell>
          <cell r="L924">
            <v>148</v>
          </cell>
          <cell r="M924">
            <v>83</v>
          </cell>
          <cell r="N924">
            <v>9</v>
          </cell>
          <cell r="O924">
            <v>15</v>
          </cell>
          <cell r="P924">
            <v>0</v>
          </cell>
          <cell r="Q924">
            <v>11</v>
          </cell>
          <cell r="R924">
            <v>0</v>
          </cell>
          <cell r="S924">
            <v>11</v>
          </cell>
          <cell r="T924">
            <v>0</v>
          </cell>
          <cell r="U924">
            <v>11</v>
          </cell>
          <cell r="V924">
            <v>110</v>
          </cell>
          <cell r="W924">
            <v>71</v>
          </cell>
          <cell r="X924">
            <v>8</v>
          </cell>
          <cell r="Y924">
            <v>13</v>
          </cell>
          <cell r="Z924">
            <v>0</v>
          </cell>
          <cell r="AA924">
            <v>11</v>
          </cell>
          <cell r="AB924">
            <v>0</v>
          </cell>
          <cell r="AC924">
            <v>11</v>
          </cell>
          <cell r="AD924">
            <v>102</v>
          </cell>
          <cell r="AE924">
            <v>69</v>
          </cell>
          <cell r="AF924">
            <v>0</v>
          </cell>
          <cell r="AG924">
            <v>11</v>
          </cell>
          <cell r="AH924">
            <v>11</v>
          </cell>
          <cell r="AI924">
            <v>17</v>
          </cell>
          <cell r="AJ924">
            <v>10</v>
          </cell>
          <cell r="AK924">
            <v>17</v>
          </cell>
          <cell r="AL924">
            <v>0</v>
          </cell>
          <cell r="AM924">
            <v>11</v>
          </cell>
          <cell r="AN924">
            <v>118</v>
          </cell>
          <cell r="AO924">
            <v>84</v>
          </cell>
          <cell r="AP924">
            <v>89</v>
          </cell>
          <cell r="AQ924">
            <v>82</v>
          </cell>
          <cell r="AR924">
            <v>13</v>
          </cell>
          <cell r="AS924">
            <v>20</v>
          </cell>
        </row>
        <row r="925">
          <cell r="B925">
            <v>17031811500</v>
          </cell>
          <cell r="D925">
            <v>3258</v>
          </cell>
          <cell r="E925">
            <v>376</v>
          </cell>
          <cell r="F925">
            <v>2881</v>
          </cell>
          <cell r="G925">
            <v>341</v>
          </cell>
          <cell r="H925">
            <v>2623</v>
          </cell>
          <cell r="I925">
            <v>320</v>
          </cell>
          <cell r="J925">
            <v>258</v>
          </cell>
          <cell r="K925">
            <v>112</v>
          </cell>
          <cell r="L925">
            <v>214</v>
          </cell>
          <cell r="M925">
            <v>108</v>
          </cell>
          <cell r="N925">
            <v>18</v>
          </cell>
          <cell r="O925">
            <v>20</v>
          </cell>
          <cell r="P925">
            <v>26</v>
          </cell>
          <cell r="Q925">
            <v>30</v>
          </cell>
          <cell r="R925">
            <v>0</v>
          </cell>
          <cell r="S925">
            <v>15</v>
          </cell>
          <cell r="T925">
            <v>0</v>
          </cell>
          <cell r="U925">
            <v>15</v>
          </cell>
          <cell r="V925">
            <v>153</v>
          </cell>
          <cell r="W925">
            <v>79</v>
          </cell>
          <cell r="X925">
            <v>16</v>
          </cell>
          <cell r="Y925">
            <v>27</v>
          </cell>
          <cell r="Z925">
            <v>0</v>
          </cell>
          <cell r="AA925">
            <v>15</v>
          </cell>
          <cell r="AB925">
            <v>74</v>
          </cell>
          <cell r="AC925">
            <v>69</v>
          </cell>
          <cell r="AD925">
            <v>63</v>
          </cell>
          <cell r="AE925">
            <v>43</v>
          </cell>
          <cell r="AF925">
            <v>0</v>
          </cell>
          <cell r="AG925">
            <v>15</v>
          </cell>
          <cell r="AH925">
            <v>0</v>
          </cell>
          <cell r="AI925">
            <v>15</v>
          </cell>
          <cell r="AJ925">
            <v>3</v>
          </cell>
          <cell r="AK925">
            <v>7</v>
          </cell>
          <cell r="AL925">
            <v>0</v>
          </cell>
          <cell r="AM925">
            <v>15</v>
          </cell>
          <cell r="AN925">
            <v>101</v>
          </cell>
          <cell r="AO925">
            <v>108</v>
          </cell>
          <cell r="AP925">
            <v>21</v>
          </cell>
          <cell r="AQ925">
            <v>23</v>
          </cell>
          <cell r="AR925">
            <v>99</v>
          </cell>
          <cell r="AS925">
            <v>68</v>
          </cell>
        </row>
        <row r="926">
          <cell r="B926">
            <v>17031811600</v>
          </cell>
          <cell r="D926">
            <v>3090</v>
          </cell>
          <cell r="E926">
            <v>353</v>
          </cell>
          <cell r="F926">
            <v>2643</v>
          </cell>
          <cell r="G926">
            <v>330</v>
          </cell>
          <cell r="H926">
            <v>2336</v>
          </cell>
          <cell r="I926">
            <v>314</v>
          </cell>
          <cell r="J926">
            <v>307</v>
          </cell>
          <cell r="K926">
            <v>148</v>
          </cell>
          <cell r="L926">
            <v>202</v>
          </cell>
          <cell r="M926">
            <v>120</v>
          </cell>
          <cell r="N926">
            <v>62</v>
          </cell>
          <cell r="O926">
            <v>83</v>
          </cell>
          <cell r="P926">
            <v>0</v>
          </cell>
          <cell r="Q926">
            <v>15</v>
          </cell>
          <cell r="R926">
            <v>0</v>
          </cell>
          <cell r="S926">
            <v>15</v>
          </cell>
          <cell r="T926">
            <v>43</v>
          </cell>
          <cell r="U926">
            <v>50</v>
          </cell>
          <cell r="V926">
            <v>196</v>
          </cell>
          <cell r="W926">
            <v>104</v>
          </cell>
          <cell r="X926">
            <v>14</v>
          </cell>
          <cell r="Y926">
            <v>22</v>
          </cell>
          <cell r="Z926">
            <v>44</v>
          </cell>
          <cell r="AA926">
            <v>33</v>
          </cell>
          <cell r="AB926">
            <v>58</v>
          </cell>
          <cell r="AC926">
            <v>69</v>
          </cell>
          <cell r="AD926">
            <v>80</v>
          </cell>
          <cell r="AE926">
            <v>64</v>
          </cell>
          <cell r="AF926">
            <v>0</v>
          </cell>
          <cell r="AG926">
            <v>15</v>
          </cell>
          <cell r="AH926">
            <v>0</v>
          </cell>
          <cell r="AI926">
            <v>15</v>
          </cell>
          <cell r="AJ926">
            <v>0</v>
          </cell>
          <cell r="AK926">
            <v>15</v>
          </cell>
          <cell r="AL926">
            <v>44</v>
          </cell>
          <cell r="AM926">
            <v>71</v>
          </cell>
          <cell r="AN926">
            <v>53</v>
          </cell>
          <cell r="AO926">
            <v>63</v>
          </cell>
          <cell r="AP926">
            <v>127</v>
          </cell>
          <cell r="AQ926">
            <v>97</v>
          </cell>
          <cell r="AR926">
            <v>27</v>
          </cell>
          <cell r="AS926">
            <v>30</v>
          </cell>
        </row>
        <row r="927">
          <cell r="B927">
            <v>17031811701</v>
          </cell>
          <cell r="D927">
            <v>1925</v>
          </cell>
          <cell r="E927">
            <v>181</v>
          </cell>
          <cell r="F927">
            <v>1574</v>
          </cell>
          <cell r="G927">
            <v>231</v>
          </cell>
          <cell r="H927">
            <v>1426</v>
          </cell>
          <cell r="I927">
            <v>199</v>
          </cell>
          <cell r="J927">
            <v>148</v>
          </cell>
          <cell r="K927">
            <v>125</v>
          </cell>
          <cell r="L927">
            <v>124</v>
          </cell>
          <cell r="M927">
            <v>112</v>
          </cell>
          <cell r="N927">
            <v>24</v>
          </cell>
          <cell r="O927">
            <v>40</v>
          </cell>
          <cell r="P927">
            <v>0</v>
          </cell>
          <cell r="Q927">
            <v>11</v>
          </cell>
          <cell r="R927">
            <v>0</v>
          </cell>
          <cell r="S927">
            <v>11</v>
          </cell>
          <cell r="T927">
            <v>0</v>
          </cell>
          <cell r="U927">
            <v>11</v>
          </cell>
          <cell r="V927">
            <v>118</v>
          </cell>
          <cell r="W927">
            <v>72</v>
          </cell>
          <cell r="X927">
            <v>64</v>
          </cell>
          <cell r="Y927">
            <v>66</v>
          </cell>
          <cell r="Z927">
            <v>0</v>
          </cell>
          <cell r="AA927">
            <v>11</v>
          </cell>
          <cell r="AB927">
            <v>43</v>
          </cell>
          <cell r="AC927">
            <v>54</v>
          </cell>
          <cell r="AD927">
            <v>11</v>
          </cell>
          <cell r="AE927">
            <v>17</v>
          </cell>
          <cell r="AF927">
            <v>0</v>
          </cell>
          <cell r="AG927">
            <v>11</v>
          </cell>
          <cell r="AH927">
            <v>25</v>
          </cell>
          <cell r="AI927">
            <v>38</v>
          </cell>
          <cell r="AJ927">
            <v>0</v>
          </cell>
          <cell r="AK927">
            <v>11</v>
          </cell>
          <cell r="AL927">
            <v>12</v>
          </cell>
          <cell r="AM927">
            <v>18</v>
          </cell>
          <cell r="AN927">
            <v>45</v>
          </cell>
          <cell r="AO927">
            <v>53</v>
          </cell>
          <cell r="AP927">
            <v>105</v>
          </cell>
          <cell r="AQ927">
            <v>76</v>
          </cell>
          <cell r="AR927">
            <v>46</v>
          </cell>
          <cell r="AS927">
            <v>54</v>
          </cell>
        </row>
        <row r="928">
          <cell r="B928">
            <v>17031811702</v>
          </cell>
          <cell r="D928">
            <v>2331</v>
          </cell>
          <cell r="E928">
            <v>251</v>
          </cell>
          <cell r="F928">
            <v>2204</v>
          </cell>
          <cell r="G928">
            <v>255</v>
          </cell>
          <cell r="H928">
            <v>1787</v>
          </cell>
          <cell r="I928">
            <v>241</v>
          </cell>
          <cell r="J928">
            <v>417</v>
          </cell>
          <cell r="K928">
            <v>207</v>
          </cell>
          <cell r="L928">
            <v>370</v>
          </cell>
          <cell r="M928">
            <v>194</v>
          </cell>
          <cell r="N928">
            <v>23</v>
          </cell>
          <cell r="O928">
            <v>24</v>
          </cell>
          <cell r="P928">
            <v>24</v>
          </cell>
          <cell r="Q928">
            <v>31</v>
          </cell>
          <cell r="R928">
            <v>0</v>
          </cell>
          <cell r="S928">
            <v>11</v>
          </cell>
          <cell r="T928">
            <v>0</v>
          </cell>
          <cell r="U928">
            <v>11</v>
          </cell>
          <cell r="V928">
            <v>48</v>
          </cell>
          <cell r="W928">
            <v>42</v>
          </cell>
          <cell r="X928">
            <v>26</v>
          </cell>
          <cell r="Y928">
            <v>36</v>
          </cell>
          <cell r="Z928">
            <v>0</v>
          </cell>
          <cell r="AA928">
            <v>11</v>
          </cell>
          <cell r="AB928">
            <v>22</v>
          </cell>
          <cell r="AC928">
            <v>27</v>
          </cell>
          <cell r="AD928">
            <v>0</v>
          </cell>
          <cell r="AE928">
            <v>11</v>
          </cell>
          <cell r="AF928">
            <v>0</v>
          </cell>
          <cell r="AG928">
            <v>11</v>
          </cell>
          <cell r="AH928">
            <v>0</v>
          </cell>
          <cell r="AI928">
            <v>11</v>
          </cell>
          <cell r="AJ928">
            <v>0</v>
          </cell>
          <cell r="AK928">
            <v>11</v>
          </cell>
          <cell r="AL928">
            <v>12</v>
          </cell>
          <cell r="AM928">
            <v>19</v>
          </cell>
          <cell r="AN928">
            <v>24</v>
          </cell>
          <cell r="AO928">
            <v>32</v>
          </cell>
          <cell r="AP928">
            <v>9</v>
          </cell>
          <cell r="AQ928">
            <v>11</v>
          </cell>
          <cell r="AR928">
            <v>34</v>
          </cell>
          <cell r="AS928">
            <v>27</v>
          </cell>
        </row>
        <row r="929">
          <cell r="B929">
            <v>17031811800</v>
          </cell>
          <cell r="D929">
            <v>2486</v>
          </cell>
          <cell r="E929">
            <v>298</v>
          </cell>
          <cell r="F929">
            <v>2330</v>
          </cell>
          <cell r="G929">
            <v>273</v>
          </cell>
          <cell r="H929">
            <v>2066</v>
          </cell>
          <cell r="I929">
            <v>275</v>
          </cell>
          <cell r="J929">
            <v>264</v>
          </cell>
          <cell r="K929">
            <v>104</v>
          </cell>
          <cell r="L929">
            <v>227</v>
          </cell>
          <cell r="M929">
            <v>103</v>
          </cell>
          <cell r="N929">
            <v>37</v>
          </cell>
          <cell r="O929">
            <v>34</v>
          </cell>
          <cell r="P929">
            <v>0</v>
          </cell>
          <cell r="Q929">
            <v>15</v>
          </cell>
          <cell r="R929">
            <v>0</v>
          </cell>
          <cell r="S929">
            <v>15</v>
          </cell>
          <cell r="T929">
            <v>0</v>
          </cell>
          <cell r="U929">
            <v>15</v>
          </cell>
          <cell r="V929">
            <v>56</v>
          </cell>
          <cell r="W929">
            <v>53</v>
          </cell>
          <cell r="X929">
            <v>35</v>
          </cell>
          <cell r="Y929">
            <v>51</v>
          </cell>
          <cell r="Z929">
            <v>0</v>
          </cell>
          <cell r="AA929">
            <v>15</v>
          </cell>
          <cell r="AB929">
            <v>15</v>
          </cell>
          <cell r="AC929">
            <v>19</v>
          </cell>
          <cell r="AD929">
            <v>6</v>
          </cell>
          <cell r="AE929">
            <v>10</v>
          </cell>
          <cell r="AF929">
            <v>0</v>
          </cell>
          <cell r="AG929">
            <v>15</v>
          </cell>
          <cell r="AH929">
            <v>0</v>
          </cell>
          <cell r="AI929">
            <v>15</v>
          </cell>
          <cell r="AJ929">
            <v>0</v>
          </cell>
          <cell r="AK929">
            <v>15</v>
          </cell>
          <cell r="AL929">
            <v>0</v>
          </cell>
          <cell r="AM929">
            <v>15</v>
          </cell>
          <cell r="AN929">
            <v>28</v>
          </cell>
          <cell r="AO929">
            <v>32</v>
          </cell>
          <cell r="AP929">
            <v>13</v>
          </cell>
          <cell r="AQ929">
            <v>21</v>
          </cell>
          <cell r="AR929">
            <v>59</v>
          </cell>
          <cell r="AS929">
            <v>39</v>
          </cell>
        </row>
        <row r="930">
          <cell r="B930">
            <v>17031811900</v>
          </cell>
          <cell r="D930">
            <v>2464</v>
          </cell>
          <cell r="E930">
            <v>238</v>
          </cell>
          <cell r="F930">
            <v>1522</v>
          </cell>
          <cell r="G930">
            <v>161</v>
          </cell>
          <cell r="H930">
            <v>1396</v>
          </cell>
          <cell r="I930">
            <v>163</v>
          </cell>
          <cell r="J930">
            <v>126</v>
          </cell>
          <cell r="K930">
            <v>61</v>
          </cell>
          <cell r="L930">
            <v>117</v>
          </cell>
          <cell r="M930">
            <v>60</v>
          </cell>
          <cell r="N930">
            <v>0</v>
          </cell>
          <cell r="O930">
            <v>15</v>
          </cell>
          <cell r="P930">
            <v>9</v>
          </cell>
          <cell r="Q930">
            <v>18</v>
          </cell>
          <cell r="R930">
            <v>0</v>
          </cell>
          <cell r="S930">
            <v>15</v>
          </cell>
          <cell r="T930">
            <v>0</v>
          </cell>
          <cell r="U930">
            <v>15</v>
          </cell>
          <cell r="V930">
            <v>344</v>
          </cell>
          <cell r="W930">
            <v>91</v>
          </cell>
          <cell r="X930">
            <v>50</v>
          </cell>
          <cell r="Y930">
            <v>42</v>
          </cell>
          <cell r="Z930">
            <v>0</v>
          </cell>
          <cell r="AA930">
            <v>15</v>
          </cell>
          <cell r="AB930">
            <v>175</v>
          </cell>
          <cell r="AC930">
            <v>56</v>
          </cell>
          <cell r="AD930">
            <v>119</v>
          </cell>
          <cell r="AE930">
            <v>60</v>
          </cell>
          <cell r="AF930">
            <v>0</v>
          </cell>
          <cell r="AG930">
            <v>15</v>
          </cell>
          <cell r="AH930">
            <v>0</v>
          </cell>
          <cell r="AI930">
            <v>15</v>
          </cell>
          <cell r="AJ930">
            <v>0</v>
          </cell>
          <cell r="AK930">
            <v>15</v>
          </cell>
          <cell r="AL930">
            <v>20</v>
          </cell>
          <cell r="AM930">
            <v>22</v>
          </cell>
          <cell r="AN930">
            <v>299</v>
          </cell>
          <cell r="AO930">
            <v>134</v>
          </cell>
          <cell r="AP930">
            <v>62</v>
          </cell>
          <cell r="AQ930">
            <v>51</v>
          </cell>
          <cell r="AR930">
            <v>217</v>
          </cell>
          <cell r="AS930">
            <v>76</v>
          </cell>
        </row>
        <row r="931">
          <cell r="B931">
            <v>17031812000</v>
          </cell>
          <cell r="D931">
            <v>2464</v>
          </cell>
          <cell r="E931">
            <v>216</v>
          </cell>
          <cell r="F931">
            <v>1463</v>
          </cell>
          <cell r="G931">
            <v>207</v>
          </cell>
          <cell r="H931">
            <v>1367</v>
          </cell>
          <cell r="I931">
            <v>211</v>
          </cell>
          <cell r="J931">
            <v>96</v>
          </cell>
          <cell r="K931">
            <v>68</v>
          </cell>
          <cell r="L931">
            <v>80</v>
          </cell>
          <cell r="M931">
            <v>64</v>
          </cell>
          <cell r="N931">
            <v>0</v>
          </cell>
          <cell r="O931">
            <v>15</v>
          </cell>
          <cell r="P931">
            <v>16</v>
          </cell>
          <cell r="Q931">
            <v>25</v>
          </cell>
          <cell r="R931">
            <v>0</v>
          </cell>
          <cell r="S931">
            <v>15</v>
          </cell>
          <cell r="T931">
            <v>0</v>
          </cell>
          <cell r="U931">
            <v>15</v>
          </cell>
          <cell r="V931">
            <v>557</v>
          </cell>
          <cell r="W931">
            <v>152</v>
          </cell>
          <cell r="X931">
            <v>49</v>
          </cell>
          <cell r="Y931">
            <v>55</v>
          </cell>
          <cell r="Z931">
            <v>0</v>
          </cell>
          <cell r="AA931">
            <v>15</v>
          </cell>
          <cell r="AB931">
            <v>210</v>
          </cell>
          <cell r="AC931">
            <v>113</v>
          </cell>
          <cell r="AD931">
            <v>298</v>
          </cell>
          <cell r="AE931">
            <v>116</v>
          </cell>
          <cell r="AF931">
            <v>0</v>
          </cell>
          <cell r="AG931">
            <v>15</v>
          </cell>
          <cell r="AH931">
            <v>0</v>
          </cell>
          <cell r="AI931">
            <v>15</v>
          </cell>
          <cell r="AJ931">
            <v>0</v>
          </cell>
          <cell r="AK931">
            <v>15</v>
          </cell>
          <cell r="AL931">
            <v>71</v>
          </cell>
          <cell r="AM931">
            <v>52</v>
          </cell>
          <cell r="AN931">
            <v>69</v>
          </cell>
          <cell r="AO931">
            <v>55</v>
          </cell>
          <cell r="AP931">
            <v>30</v>
          </cell>
          <cell r="AQ931">
            <v>37</v>
          </cell>
          <cell r="AR931">
            <v>274</v>
          </cell>
          <cell r="AS931">
            <v>116</v>
          </cell>
        </row>
        <row r="932">
          <cell r="B932">
            <v>17031812100</v>
          </cell>
          <cell r="D932">
            <v>2269</v>
          </cell>
          <cell r="E932">
            <v>229</v>
          </cell>
          <cell r="F932">
            <v>1515</v>
          </cell>
          <cell r="G932">
            <v>201</v>
          </cell>
          <cell r="H932">
            <v>1326</v>
          </cell>
          <cell r="I932">
            <v>214</v>
          </cell>
          <cell r="J932">
            <v>189</v>
          </cell>
          <cell r="K932">
            <v>92</v>
          </cell>
          <cell r="L932">
            <v>147</v>
          </cell>
          <cell r="M932">
            <v>84</v>
          </cell>
          <cell r="N932">
            <v>38</v>
          </cell>
          <cell r="O932">
            <v>56</v>
          </cell>
          <cell r="P932">
            <v>4</v>
          </cell>
          <cell r="Q932">
            <v>7</v>
          </cell>
          <cell r="R932">
            <v>0</v>
          </cell>
          <cell r="S932">
            <v>11</v>
          </cell>
          <cell r="T932">
            <v>0</v>
          </cell>
          <cell r="U932">
            <v>11</v>
          </cell>
          <cell r="V932">
            <v>500</v>
          </cell>
          <cell r="W932">
            <v>119</v>
          </cell>
          <cell r="X932">
            <v>89</v>
          </cell>
          <cell r="Y932">
            <v>69</v>
          </cell>
          <cell r="Z932">
            <v>0</v>
          </cell>
          <cell r="AA932">
            <v>11</v>
          </cell>
          <cell r="AB932">
            <v>411</v>
          </cell>
          <cell r="AC932">
            <v>114</v>
          </cell>
          <cell r="AD932">
            <v>0</v>
          </cell>
          <cell r="AE932">
            <v>11</v>
          </cell>
          <cell r="AF932">
            <v>0</v>
          </cell>
          <cell r="AG932">
            <v>11</v>
          </cell>
          <cell r="AH932">
            <v>0</v>
          </cell>
          <cell r="AI932">
            <v>11</v>
          </cell>
          <cell r="AJ932">
            <v>0</v>
          </cell>
          <cell r="AK932">
            <v>11</v>
          </cell>
          <cell r="AL932">
            <v>25</v>
          </cell>
          <cell r="AM932">
            <v>24</v>
          </cell>
          <cell r="AN932">
            <v>38</v>
          </cell>
          <cell r="AO932">
            <v>30</v>
          </cell>
          <cell r="AP932">
            <v>0</v>
          </cell>
          <cell r="AQ932">
            <v>11</v>
          </cell>
          <cell r="AR932">
            <v>191</v>
          </cell>
          <cell r="AS932">
            <v>92</v>
          </cell>
        </row>
        <row r="933">
          <cell r="B933">
            <v>17031812200</v>
          </cell>
          <cell r="D933">
            <v>1717</v>
          </cell>
          <cell r="E933">
            <v>158</v>
          </cell>
          <cell r="F933">
            <v>1102</v>
          </cell>
          <cell r="G933">
            <v>119</v>
          </cell>
          <cell r="H933">
            <v>997</v>
          </cell>
          <cell r="I933">
            <v>114</v>
          </cell>
          <cell r="J933">
            <v>105</v>
          </cell>
          <cell r="K933">
            <v>51</v>
          </cell>
          <cell r="L933">
            <v>98</v>
          </cell>
          <cell r="M933">
            <v>49</v>
          </cell>
          <cell r="N933">
            <v>7</v>
          </cell>
          <cell r="O933">
            <v>11</v>
          </cell>
          <cell r="P933">
            <v>0</v>
          </cell>
          <cell r="Q933">
            <v>11</v>
          </cell>
          <cell r="R933">
            <v>0</v>
          </cell>
          <cell r="S933">
            <v>11</v>
          </cell>
          <cell r="T933">
            <v>0</v>
          </cell>
          <cell r="U933">
            <v>11</v>
          </cell>
          <cell r="V933">
            <v>370</v>
          </cell>
          <cell r="W933">
            <v>107</v>
          </cell>
          <cell r="X933">
            <v>52</v>
          </cell>
          <cell r="Y933">
            <v>43</v>
          </cell>
          <cell r="Z933">
            <v>0</v>
          </cell>
          <cell r="AA933">
            <v>11</v>
          </cell>
          <cell r="AB933">
            <v>228</v>
          </cell>
          <cell r="AC933">
            <v>78</v>
          </cell>
          <cell r="AD933">
            <v>90</v>
          </cell>
          <cell r="AE933">
            <v>59</v>
          </cell>
          <cell r="AF933">
            <v>0</v>
          </cell>
          <cell r="AG933">
            <v>11</v>
          </cell>
          <cell r="AH933">
            <v>0</v>
          </cell>
          <cell r="AI933">
            <v>11</v>
          </cell>
          <cell r="AJ933">
            <v>0</v>
          </cell>
          <cell r="AK933">
            <v>11</v>
          </cell>
          <cell r="AL933">
            <v>9</v>
          </cell>
          <cell r="AM933">
            <v>15</v>
          </cell>
          <cell r="AN933">
            <v>22</v>
          </cell>
          <cell r="AO933">
            <v>20</v>
          </cell>
          <cell r="AP933">
            <v>25</v>
          </cell>
          <cell r="AQ933">
            <v>26</v>
          </cell>
          <cell r="AR933">
            <v>189</v>
          </cell>
          <cell r="AS933">
            <v>75</v>
          </cell>
        </row>
        <row r="934">
          <cell r="B934">
            <v>17031812301</v>
          </cell>
          <cell r="D934">
            <v>2175</v>
          </cell>
          <cell r="E934">
            <v>296</v>
          </cell>
          <cell r="F934">
            <v>1372</v>
          </cell>
          <cell r="G934">
            <v>240</v>
          </cell>
          <cell r="H934">
            <v>1271</v>
          </cell>
          <cell r="I934">
            <v>248</v>
          </cell>
          <cell r="J934">
            <v>101</v>
          </cell>
          <cell r="K934">
            <v>71</v>
          </cell>
          <cell r="L934">
            <v>101</v>
          </cell>
          <cell r="M934">
            <v>71</v>
          </cell>
          <cell r="N934">
            <v>0</v>
          </cell>
          <cell r="O934">
            <v>11</v>
          </cell>
          <cell r="P934">
            <v>0</v>
          </cell>
          <cell r="Q934">
            <v>11</v>
          </cell>
          <cell r="R934">
            <v>0</v>
          </cell>
          <cell r="S934">
            <v>11</v>
          </cell>
          <cell r="T934">
            <v>0</v>
          </cell>
          <cell r="U934">
            <v>11</v>
          </cell>
          <cell r="V934">
            <v>498</v>
          </cell>
          <cell r="W934">
            <v>147</v>
          </cell>
          <cell r="X934">
            <v>104</v>
          </cell>
          <cell r="Y934">
            <v>88</v>
          </cell>
          <cell r="Z934">
            <v>0</v>
          </cell>
          <cell r="AA934">
            <v>11</v>
          </cell>
          <cell r="AB934">
            <v>276</v>
          </cell>
          <cell r="AC934">
            <v>123</v>
          </cell>
          <cell r="AD934">
            <v>118</v>
          </cell>
          <cell r="AE934">
            <v>62</v>
          </cell>
          <cell r="AF934">
            <v>0</v>
          </cell>
          <cell r="AG934">
            <v>11</v>
          </cell>
          <cell r="AH934">
            <v>0</v>
          </cell>
          <cell r="AI934">
            <v>11</v>
          </cell>
          <cell r="AJ934">
            <v>0</v>
          </cell>
          <cell r="AK934">
            <v>11</v>
          </cell>
          <cell r="AL934">
            <v>19</v>
          </cell>
          <cell r="AM934">
            <v>32</v>
          </cell>
          <cell r="AN934">
            <v>173</v>
          </cell>
          <cell r="AO934">
            <v>94</v>
          </cell>
          <cell r="AP934">
            <v>50</v>
          </cell>
          <cell r="AQ934">
            <v>67</v>
          </cell>
          <cell r="AR934">
            <v>63</v>
          </cell>
          <cell r="AS934">
            <v>43</v>
          </cell>
        </row>
        <row r="935">
          <cell r="B935">
            <v>17031812302</v>
          </cell>
          <cell r="D935">
            <v>1372</v>
          </cell>
          <cell r="E935">
            <v>177</v>
          </cell>
          <cell r="F935">
            <v>743</v>
          </cell>
          <cell r="G935">
            <v>125</v>
          </cell>
          <cell r="H935">
            <v>694</v>
          </cell>
          <cell r="I935">
            <v>133</v>
          </cell>
          <cell r="J935">
            <v>49</v>
          </cell>
          <cell r="K935">
            <v>67</v>
          </cell>
          <cell r="L935">
            <v>7</v>
          </cell>
          <cell r="M935">
            <v>11</v>
          </cell>
          <cell r="N935">
            <v>42</v>
          </cell>
          <cell r="O935">
            <v>67</v>
          </cell>
          <cell r="P935">
            <v>0</v>
          </cell>
          <cell r="Q935">
            <v>11</v>
          </cell>
          <cell r="R935">
            <v>0</v>
          </cell>
          <cell r="S935">
            <v>11</v>
          </cell>
          <cell r="T935">
            <v>0</v>
          </cell>
          <cell r="U935">
            <v>11</v>
          </cell>
          <cell r="V935">
            <v>420</v>
          </cell>
          <cell r="W935">
            <v>144</v>
          </cell>
          <cell r="X935">
            <v>30</v>
          </cell>
          <cell r="Y935">
            <v>42</v>
          </cell>
          <cell r="Z935">
            <v>0</v>
          </cell>
          <cell r="AA935">
            <v>11</v>
          </cell>
          <cell r="AB935">
            <v>238</v>
          </cell>
          <cell r="AC935">
            <v>134</v>
          </cell>
          <cell r="AD935">
            <v>152</v>
          </cell>
          <cell r="AE935">
            <v>73</v>
          </cell>
          <cell r="AF935">
            <v>0</v>
          </cell>
          <cell r="AG935">
            <v>11</v>
          </cell>
          <cell r="AH935">
            <v>0</v>
          </cell>
          <cell r="AI935">
            <v>11</v>
          </cell>
          <cell r="AJ935">
            <v>0</v>
          </cell>
          <cell r="AK935">
            <v>11</v>
          </cell>
          <cell r="AL935">
            <v>0</v>
          </cell>
          <cell r="AM935">
            <v>11</v>
          </cell>
          <cell r="AN935">
            <v>30</v>
          </cell>
          <cell r="AO935">
            <v>26</v>
          </cell>
          <cell r="AP935">
            <v>10</v>
          </cell>
          <cell r="AQ935">
            <v>16</v>
          </cell>
          <cell r="AR935">
            <v>169</v>
          </cell>
          <cell r="AS935">
            <v>81</v>
          </cell>
        </row>
        <row r="936">
          <cell r="B936">
            <v>17031812400</v>
          </cell>
          <cell r="D936">
            <v>1643</v>
          </cell>
          <cell r="E936">
            <v>135</v>
          </cell>
          <cell r="F936">
            <v>1056</v>
          </cell>
          <cell r="G936">
            <v>135</v>
          </cell>
          <cell r="H936">
            <v>953</v>
          </cell>
          <cell r="I936">
            <v>131</v>
          </cell>
          <cell r="J936">
            <v>103</v>
          </cell>
          <cell r="K936">
            <v>54</v>
          </cell>
          <cell r="L936">
            <v>103</v>
          </cell>
          <cell r="M936">
            <v>54</v>
          </cell>
          <cell r="N936">
            <v>0</v>
          </cell>
          <cell r="O936">
            <v>11</v>
          </cell>
          <cell r="P936">
            <v>0</v>
          </cell>
          <cell r="Q936">
            <v>11</v>
          </cell>
          <cell r="R936">
            <v>0</v>
          </cell>
          <cell r="S936">
            <v>11</v>
          </cell>
          <cell r="T936">
            <v>0</v>
          </cell>
          <cell r="U936">
            <v>11</v>
          </cell>
          <cell r="V936">
            <v>322</v>
          </cell>
          <cell r="W936">
            <v>98</v>
          </cell>
          <cell r="X936">
            <v>32</v>
          </cell>
          <cell r="Y936">
            <v>37</v>
          </cell>
          <cell r="Z936">
            <v>0</v>
          </cell>
          <cell r="AA936">
            <v>11</v>
          </cell>
          <cell r="AB936">
            <v>212</v>
          </cell>
          <cell r="AC936">
            <v>69</v>
          </cell>
          <cell r="AD936">
            <v>78</v>
          </cell>
          <cell r="AE936">
            <v>59</v>
          </cell>
          <cell r="AF936">
            <v>0</v>
          </cell>
          <cell r="AG936">
            <v>11</v>
          </cell>
          <cell r="AH936">
            <v>0</v>
          </cell>
          <cell r="AI936">
            <v>11</v>
          </cell>
          <cell r="AJ936">
            <v>11</v>
          </cell>
          <cell r="AK936">
            <v>18</v>
          </cell>
          <cell r="AL936">
            <v>24</v>
          </cell>
          <cell r="AM936">
            <v>19</v>
          </cell>
          <cell r="AN936">
            <v>19</v>
          </cell>
          <cell r="AO936">
            <v>20</v>
          </cell>
          <cell r="AP936">
            <v>9</v>
          </cell>
          <cell r="AQ936">
            <v>13</v>
          </cell>
          <cell r="AR936">
            <v>202</v>
          </cell>
          <cell r="AS936">
            <v>62</v>
          </cell>
        </row>
        <row r="937">
          <cell r="B937">
            <v>17031812500</v>
          </cell>
          <cell r="D937">
            <v>1731</v>
          </cell>
          <cell r="E937">
            <v>241</v>
          </cell>
          <cell r="F937">
            <v>1140</v>
          </cell>
          <cell r="G937">
            <v>185</v>
          </cell>
          <cell r="H937">
            <v>1012</v>
          </cell>
          <cell r="I937">
            <v>185</v>
          </cell>
          <cell r="J937">
            <v>128</v>
          </cell>
          <cell r="K937">
            <v>67</v>
          </cell>
          <cell r="L937">
            <v>128</v>
          </cell>
          <cell r="M937">
            <v>67</v>
          </cell>
          <cell r="N937">
            <v>0</v>
          </cell>
          <cell r="O937">
            <v>11</v>
          </cell>
          <cell r="P937">
            <v>0</v>
          </cell>
          <cell r="Q937">
            <v>11</v>
          </cell>
          <cell r="R937">
            <v>0</v>
          </cell>
          <cell r="S937">
            <v>11</v>
          </cell>
          <cell r="T937">
            <v>0</v>
          </cell>
          <cell r="U937">
            <v>11</v>
          </cell>
          <cell r="V937">
            <v>367</v>
          </cell>
          <cell r="W937">
            <v>110</v>
          </cell>
          <cell r="X937">
            <v>82</v>
          </cell>
          <cell r="Y937">
            <v>67</v>
          </cell>
          <cell r="Z937">
            <v>0</v>
          </cell>
          <cell r="AA937">
            <v>11</v>
          </cell>
          <cell r="AB937">
            <v>267</v>
          </cell>
          <cell r="AC937">
            <v>91</v>
          </cell>
          <cell r="AD937">
            <v>18</v>
          </cell>
          <cell r="AE937">
            <v>16</v>
          </cell>
          <cell r="AF937">
            <v>0</v>
          </cell>
          <cell r="AG937">
            <v>11</v>
          </cell>
          <cell r="AH937">
            <v>0</v>
          </cell>
          <cell r="AI937">
            <v>11</v>
          </cell>
          <cell r="AJ937">
            <v>0</v>
          </cell>
          <cell r="AK937">
            <v>11</v>
          </cell>
          <cell r="AL937">
            <v>22</v>
          </cell>
          <cell r="AM937">
            <v>20</v>
          </cell>
          <cell r="AN937">
            <v>43</v>
          </cell>
          <cell r="AO937">
            <v>33</v>
          </cell>
          <cell r="AP937">
            <v>0</v>
          </cell>
          <cell r="AQ937">
            <v>11</v>
          </cell>
          <cell r="AR937">
            <v>159</v>
          </cell>
          <cell r="AS937">
            <v>81</v>
          </cell>
        </row>
        <row r="938">
          <cell r="B938">
            <v>17031812600</v>
          </cell>
          <cell r="D938">
            <v>1836</v>
          </cell>
          <cell r="E938">
            <v>217</v>
          </cell>
          <cell r="F938">
            <v>1174</v>
          </cell>
          <cell r="G938">
            <v>215</v>
          </cell>
          <cell r="H938">
            <v>991</v>
          </cell>
          <cell r="I938">
            <v>201</v>
          </cell>
          <cell r="J938">
            <v>183</v>
          </cell>
          <cell r="K938">
            <v>85</v>
          </cell>
          <cell r="L938">
            <v>167</v>
          </cell>
          <cell r="M938">
            <v>83</v>
          </cell>
          <cell r="N938">
            <v>0</v>
          </cell>
          <cell r="O938">
            <v>11</v>
          </cell>
          <cell r="P938">
            <v>7</v>
          </cell>
          <cell r="Q938">
            <v>11</v>
          </cell>
          <cell r="R938">
            <v>9</v>
          </cell>
          <cell r="S938">
            <v>13</v>
          </cell>
          <cell r="T938">
            <v>0</v>
          </cell>
          <cell r="U938">
            <v>11</v>
          </cell>
          <cell r="V938">
            <v>395</v>
          </cell>
          <cell r="W938">
            <v>123</v>
          </cell>
          <cell r="X938">
            <v>138</v>
          </cell>
          <cell r="Y938">
            <v>78</v>
          </cell>
          <cell r="Z938">
            <v>0</v>
          </cell>
          <cell r="AA938">
            <v>11</v>
          </cell>
          <cell r="AB938">
            <v>194</v>
          </cell>
          <cell r="AC938">
            <v>67</v>
          </cell>
          <cell r="AD938">
            <v>63</v>
          </cell>
          <cell r="AE938">
            <v>48</v>
          </cell>
          <cell r="AF938">
            <v>0</v>
          </cell>
          <cell r="AG938">
            <v>11</v>
          </cell>
          <cell r="AH938">
            <v>0</v>
          </cell>
          <cell r="AI938">
            <v>11</v>
          </cell>
          <cell r="AJ938">
            <v>0</v>
          </cell>
          <cell r="AK938">
            <v>11</v>
          </cell>
          <cell r="AL938">
            <v>24</v>
          </cell>
          <cell r="AM938">
            <v>23</v>
          </cell>
          <cell r="AN938">
            <v>41</v>
          </cell>
          <cell r="AO938">
            <v>24</v>
          </cell>
          <cell r="AP938">
            <v>11</v>
          </cell>
          <cell r="AQ938">
            <v>16</v>
          </cell>
          <cell r="AR938">
            <v>191</v>
          </cell>
          <cell r="AS938">
            <v>75</v>
          </cell>
        </row>
        <row r="939">
          <cell r="B939">
            <v>17031812700</v>
          </cell>
          <cell r="D939">
            <v>1931</v>
          </cell>
          <cell r="E939">
            <v>169</v>
          </cell>
          <cell r="F939">
            <v>1223</v>
          </cell>
          <cell r="G939">
            <v>157</v>
          </cell>
          <cell r="H939">
            <v>1122</v>
          </cell>
          <cell r="I939">
            <v>160</v>
          </cell>
          <cell r="J939">
            <v>101</v>
          </cell>
          <cell r="K939">
            <v>55</v>
          </cell>
          <cell r="L939">
            <v>94</v>
          </cell>
          <cell r="M939">
            <v>55</v>
          </cell>
          <cell r="N939">
            <v>7</v>
          </cell>
          <cell r="O939">
            <v>11</v>
          </cell>
          <cell r="P939">
            <v>0</v>
          </cell>
          <cell r="Q939">
            <v>11</v>
          </cell>
          <cell r="R939">
            <v>0</v>
          </cell>
          <cell r="S939">
            <v>11</v>
          </cell>
          <cell r="T939">
            <v>0</v>
          </cell>
          <cell r="U939">
            <v>11</v>
          </cell>
          <cell r="V939">
            <v>462</v>
          </cell>
          <cell r="W939">
            <v>134</v>
          </cell>
          <cell r="X939">
            <v>121</v>
          </cell>
          <cell r="Y939">
            <v>84</v>
          </cell>
          <cell r="Z939">
            <v>0</v>
          </cell>
          <cell r="AA939">
            <v>11</v>
          </cell>
          <cell r="AB939">
            <v>282</v>
          </cell>
          <cell r="AC939">
            <v>84</v>
          </cell>
          <cell r="AD939">
            <v>59</v>
          </cell>
          <cell r="AE939">
            <v>52</v>
          </cell>
          <cell r="AF939">
            <v>0</v>
          </cell>
          <cell r="AG939">
            <v>11</v>
          </cell>
          <cell r="AH939">
            <v>0</v>
          </cell>
          <cell r="AI939">
            <v>11</v>
          </cell>
          <cell r="AJ939">
            <v>0</v>
          </cell>
          <cell r="AK939">
            <v>11</v>
          </cell>
          <cell r="AL939">
            <v>31</v>
          </cell>
          <cell r="AM939">
            <v>36</v>
          </cell>
          <cell r="AN939">
            <v>98</v>
          </cell>
          <cell r="AO939">
            <v>67</v>
          </cell>
          <cell r="AP939">
            <v>19</v>
          </cell>
          <cell r="AQ939">
            <v>21</v>
          </cell>
          <cell r="AR939">
            <v>98</v>
          </cell>
          <cell r="AS939">
            <v>52</v>
          </cell>
        </row>
        <row r="940">
          <cell r="B940">
            <v>17031812801</v>
          </cell>
          <cell r="D940">
            <v>1537</v>
          </cell>
          <cell r="E940">
            <v>205</v>
          </cell>
          <cell r="F940">
            <v>816</v>
          </cell>
          <cell r="G940">
            <v>163</v>
          </cell>
          <cell r="H940">
            <v>719</v>
          </cell>
          <cell r="I940">
            <v>147</v>
          </cell>
          <cell r="J940">
            <v>97</v>
          </cell>
          <cell r="K940">
            <v>68</v>
          </cell>
          <cell r="L940">
            <v>97</v>
          </cell>
          <cell r="M940">
            <v>68</v>
          </cell>
          <cell r="N940">
            <v>0</v>
          </cell>
          <cell r="O940">
            <v>11</v>
          </cell>
          <cell r="P940">
            <v>0</v>
          </cell>
          <cell r="Q940">
            <v>11</v>
          </cell>
          <cell r="R940">
            <v>0</v>
          </cell>
          <cell r="S940">
            <v>11</v>
          </cell>
          <cell r="T940">
            <v>0</v>
          </cell>
          <cell r="U940">
            <v>11</v>
          </cell>
          <cell r="V940">
            <v>498</v>
          </cell>
          <cell r="W940">
            <v>137</v>
          </cell>
          <cell r="X940">
            <v>30</v>
          </cell>
          <cell r="Y940">
            <v>28</v>
          </cell>
          <cell r="Z940">
            <v>0</v>
          </cell>
          <cell r="AA940">
            <v>11</v>
          </cell>
          <cell r="AB940">
            <v>299</v>
          </cell>
          <cell r="AC940">
            <v>93</v>
          </cell>
          <cell r="AD940">
            <v>169</v>
          </cell>
          <cell r="AE940">
            <v>106</v>
          </cell>
          <cell r="AF940">
            <v>0</v>
          </cell>
          <cell r="AG940">
            <v>11</v>
          </cell>
          <cell r="AH940">
            <v>0</v>
          </cell>
          <cell r="AI940">
            <v>11</v>
          </cell>
          <cell r="AJ940">
            <v>0</v>
          </cell>
          <cell r="AK940">
            <v>11</v>
          </cell>
          <cell r="AL940">
            <v>26</v>
          </cell>
          <cell r="AM940">
            <v>23</v>
          </cell>
          <cell r="AN940">
            <v>59</v>
          </cell>
          <cell r="AO940">
            <v>39</v>
          </cell>
          <cell r="AP940">
            <v>15</v>
          </cell>
          <cell r="AQ940">
            <v>22</v>
          </cell>
          <cell r="AR940">
            <v>123</v>
          </cell>
          <cell r="AS940">
            <v>67</v>
          </cell>
        </row>
        <row r="941">
          <cell r="B941">
            <v>17031812802</v>
          </cell>
          <cell r="D941">
            <v>1388</v>
          </cell>
          <cell r="E941">
            <v>142</v>
          </cell>
          <cell r="F941">
            <v>662</v>
          </cell>
          <cell r="G941">
            <v>123</v>
          </cell>
          <cell r="H941">
            <v>613</v>
          </cell>
          <cell r="I941">
            <v>119</v>
          </cell>
          <cell r="J941">
            <v>49</v>
          </cell>
          <cell r="K941">
            <v>39</v>
          </cell>
          <cell r="L941">
            <v>31</v>
          </cell>
          <cell r="M941">
            <v>30</v>
          </cell>
          <cell r="N941">
            <v>18</v>
          </cell>
          <cell r="O941">
            <v>27</v>
          </cell>
          <cell r="P941">
            <v>0</v>
          </cell>
          <cell r="Q941">
            <v>11</v>
          </cell>
          <cell r="R941">
            <v>0</v>
          </cell>
          <cell r="S941">
            <v>11</v>
          </cell>
          <cell r="T941">
            <v>0</v>
          </cell>
          <cell r="U941">
            <v>11</v>
          </cell>
          <cell r="V941">
            <v>452</v>
          </cell>
          <cell r="W941">
            <v>91</v>
          </cell>
          <cell r="X941">
            <v>43</v>
          </cell>
          <cell r="Y941">
            <v>35</v>
          </cell>
          <cell r="Z941">
            <v>0</v>
          </cell>
          <cell r="AA941">
            <v>11</v>
          </cell>
          <cell r="AB941">
            <v>341</v>
          </cell>
          <cell r="AC941">
            <v>82</v>
          </cell>
          <cell r="AD941">
            <v>68</v>
          </cell>
          <cell r="AE941">
            <v>37</v>
          </cell>
          <cell r="AF941">
            <v>0</v>
          </cell>
          <cell r="AG941">
            <v>11</v>
          </cell>
          <cell r="AH941">
            <v>0</v>
          </cell>
          <cell r="AI941">
            <v>11</v>
          </cell>
          <cell r="AJ941">
            <v>10</v>
          </cell>
          <cell r="AK941">
            <v>16</v>
          </cell>
          <cell r="AL941">
            <v>19</v>
          </cell>
          <cell r="AM941">
            <v>20</v>
          </cell>
          <cell r="AN941">
            <v>114</v>
          </cell>
          <cell r="AO941">
            <v>47</v>
          </cell>
          <cell r="AP941">
            <v>0</v>
          </cell>
          <cell r="AQ941">
            <v>11</v>
          </cell>
          <cell r="AR941">
            <v>131</v>
          </cell>
          <cell r="AS941">
            <v>51</v>
          </cell>
        </row>
        <row r="942">
          <cell r="B942">
            <v>17031812900</v>
          </cell>
          <cell r="D942">
            <v>2315</v>
          </cell>
          <cell r="E942">
            <v>198</v>
          </cell>
          <cell r="F942">
            <v>1423</v>
          </cell>
          <cell r="G942">
            <v>158</v>
          </cell>
          <cell r="H942">
            <v>1281</v>
          </cell>
          <cell r="I942">
            <v>155</v>
          </cell>
          <cell r="J942">
            <v>142</v>
          </cell>
          <cell r="K942">
            <v>107</v>
          </cell>
          <cell r="L942">
            <v>135</v>
          </cell>
          <cell r="M942">
            <v>107</v>
          </cell>
          <cell r="N942">
            <v>7</v>
          </cell>
          <cell r="O942">
            <v>11</v>
          </cell>
          <cell r="P942">
            <v>0</v>
          </cell>
          <cell r="Q942">
            <v>11</v>
          </cell>
          <cell r="R942">
            <v>0</v>
          </cell>
          <cell r="S942">
            <v>11</v>
          </cell>
          <cell r="T942">
            <v>0</v>
          </cell>
          <cell r="U942">
            <v>11</v>
          </cell>
          <cell r="V942">
            <v>563</v>
          </cell>
          <cell r="W942">
            <v>122</v>
          </cell>
          <cell r="X942">
            <v>14</v>
          </cell>
          <cell r="Y942">
            <v>17</v>
          </cell>
          <cell r="Z942">
            <v>0</v>
          </cell>
          <cell r="AA942">
            <v>11</v>
          </cell>
          <cell r="AB942">
            <v>508</v>
          </cell>
          <cell r="AC942">
            <v>111</v>
          </cell>
          <cell r="AD942">
            <v>41</v>
          </cell>
          <cell r="AE942">
            <v>30</v>
          </cell>
          <cell r="AF942">
            <v>0</v>
          </cell>
          <cell r="AG942">
            <v>11</v>
          </cell>
          <cell r="AH942">
            <v>0</v>
          </cell>
          <cell r="AI942">
            <v>11</v>
          </cell>
          <cell r="AJ942">
            <v>0</v>
          </cell>
          <cell r="AK942">
            <v>11</v>
          </cell>
          <cell r="AL942">
            <v>83</v>
          </cell>
          <cell r="AM942">
            <v>53</v>
          </cell>
          <cell r="AN942">
            <v>71</v>
          </cell>
          <cell r="AO942">
            <v>39</v>
          </cell>
          <cell r="AP942">
            <v>22</v>
          </cell>
          <cell r="AQ942">
            <v>35</v>
          </cell>
          <cell r="AR942">
            <v>153</v>
          </cell>
          <cell r="AS942">
            <v>51</v>
          </cell>
        </row>
        <row r="943">
          <cell r="B943">
            <v>17031813000</v>
          </cell>
          <cell r="D943">
            <v>1819</v>
          </cell>
          <cell r="E943">
            <v>193</v>
          </cell>
          <cell r="F943">
            <v>1140</v>
          </cell>
          <cell r="G943">
            <v>173</v>
          </cell>
          <cell r="H943">
            <v>1073</v>
          </cell>
          <cell r="I943">
            <v>171</v>
          </cell>
          <cell r="J943">
            <v>67</v>
          </cell>
          <cell r="K943">
            <v>41</v>
          </cell>
          <cell r="L943">
            <v>56</v>
          </cell>
          <cell r="M943">
            <v>41</v>
          </cell>
          <cell r="N943">
            <v>11</v>
          </cell>
          <cell r="O943">
            <v>16</v>
          </cell>
          <cell r="P943">
            <v>0</v>
          </cell>
          <cell r="Q943">
            <v>11</v>
          </cell>
          <cell r="R943">
            <v>0</v>
          </cell>
          <cell r="S943">
            <v>11</v>
          </cell>
          <cell r="T943">
            <v>0</v>
          </cell>
          <cell r="U943">
            <v>11</v>
          </cell>
          <cell r="V943">
            <v>452</v>
          </cell>
          <cell r="W943">
            <v>126</v>
          </cell>
          <cell r="X943">
            <v>42</v>
          </cell>
          <cell r="Y943">
            <v>48</v>
          </cell>
          <cell r="Z943">
            <v>0</v>
          </cell>
          <cell r="AA943">
            <v>11</v>
          </cell>
          <cell r="AB943">
            <v>403</v>
          </cell>
          <cell r="AC943">
            <v>119</v>
          </cell>
          <cell r="AD943">
            <v>7</v>
          </cell>
          <cell r="AE943">
            <v>12</v>
          </cell>
          <cell r="AF943">
            <v>0</v>
          </cell>
          <cell r="AG943">
            <v>11</v>
          </cell>
          <cell r="AH943">
            <v>0</v>
          </cell>
          <cell r="AI943">
            <v>11</v>
          </cell>
          <cell r="AJ943">
            <v>0</v>
          </cell>
          <cell r="AK943">
            <v>11</v>
          </cell>
          <cell r="AL943">
            <v>20</v>
          </cell>
          <cell r="AM943">
            <v>21</v>
          </cell>
          <cell r="AN943">
            <v>67</v>
          </cell>
          <cell r="AO943">
            <v>43</v>
          </cell>
          <cell r="AP943">
            <v>22</v>
          </cell>
          <cell r="AQ943">
            <v>26</v>
          </cell>
          <cell r="AR943">
            <v>118</v>
          </cell>
          <cell r="AS943">
            <v>53</v>
          </cell>
        </row>
        <row r="944">
          <cell r="B944">
            <v>17031813100</v>
          </cell>
          <cell r="D944">
            <v>2396</v>
          </cell>
          <cell r="E944">
            <v>233</v>
          </cell>
          <cell r="F944">
            <v>1574</v>
          </cell>
          <cell r="G944">
            <v>212</v>
          </cell>
          <cell r="H944">
            <v>1451</v>
          </cell>
          <cell r="I944">
            <v>211</v>
          </cell>
          <cell r="J944">
            <v>123</v>
          </cell>
          <cell r="K944">
            <v>60</v>
          </cell>
          <cell r="L944">
            <v>115</v>
          </cell>
          <cell r="M944">
            <v>55</v>
          </cell>
          <cell r="N944">
            <v>8</v>
          </cell>
          <cell r="O944">
            <v>12</v>
          </cell>
          <cell r="P944">
            <v>0</v>
          </cell>
          <cell r="Q944">
            <v>11</v>
          </cell>
          <cell r="R944">
            <v>0</v>
          </cell>
          <cell r="S944">
            <v>11</v>
          </cell>
          <cell r="T944">
            <v>0</v>
          </cell>
          <cell r="U944">
            <v>11</v>
          </cell>
          <cell r="V944">
            <v>630</v>
          </cell>
          <cell r="W944">
            <v>144</v>
          </cell>
          <cell r="X944">
            <v>94</v>
          </cell>
          <cell r="Y944">
            <v>59</v>
          </cell>
          <cell r="Z944">
            <v>0</v>
          </cell>
          <cell r="AA944">
            <v>11</v>
          </cell>
          <cell r="AB944">
            <v>481</v>
          </cell>
          <cell r="AC944">
            <v>124</v>
          </cell>
          <cell r="AD944">
            <v>55</v>
          </cell>
          <cell r="AE944">
            <v>60</v>
          </cell>
          <cell r="AF944">
            <v>0</v>
          </cell>
          <cell r="AG944">
            <v>11</v>
          </cell>
          <cell r="AH944">
            <v>0</v>
          </cell>
          <cell r="AI944">
            <v>11</v>
          </cell>
          <cell r="AJ944">
            <v>6</v>
          </cell>
          <cell r="AK944">
            <v>10</v>
          </cell>
          <cell r="AL944">
            <v>45</v>
          </cell>
          <cell r="AM944">
            <v>42</v>
          </cell>
          <cell r="AN944">
            <v>62</v>
          </cell>
          <cell r="AO944">
            <v>43</v>
          </cell>
          <cell r="AP944">
            <v>10</v>
          </cell>
          <cell r="AQ944">
            <v>17</v>
          </cell>
          <cell r="AR944">
            <v>69</v>
          </cell>
          <cell r="AS944">
            <v>46</v>
          </cell>
        </row>
        <row r="945">
          <cell r="B945">
            <v>17031813200</v>
          </cell>
          <cell r="D945">
            <v>2302</v>
          </cell>
          <cell r="E945">
            <v>208</v>
          </cell>
          <cell r="F945">
            <v>1427</v>
          </cell>
          <cell r="G945">
            <v>187</v>
          </cell>
          <cell r="H945">
            <v>1302</v>
          </cell>
          <cell r="I945">
            <v>178</v>
          </cell>
          <cell r="J945">
            <v>125</v>
          </cell>
          <cell r="K945">
            <v>72</v>
          </cell>
          <cell r="L945">
            <v>116</v>
          </cell>
          <cell r="M945">
            <v>71</v>
          </cell>
          <cell r="N945">
            <v>9</v>
          </cell>
          <cell r="O945">
            <v>14</v>
          </cell>
          <cell r="P945">
            <v>0</v>
          </cell>
          <cell r="Q945">
            <v>11</v>
          </cell>
          <cell r="R945">
            <v>0</v>
          </cell>
          <cell r="S945">
            <v>11</v>
          </cell>
          <cell r="T945">
            <v>0</v>
          </cell>
          <cell r="U945">
            <v>11</v>
          </cell>
          <cell r="V945">
            <v>607</v>
          </cell>
          <cell r="W945">
            <v>161</v>
          </cell>
          <cell r="X945">
            <v>96</v>
          </cell>
          <cell r="Y945">
            <v>79</v>
          </cell>
          <cell r="Z945">
            <v>0</v>
          </cell>
          <cell r="AA945">
            <v>11</v>
          </cell>
          <cell r="AB945">
            <v>477</v>
          </cell>
          <cell r="AC945">
            <v>136</v>
          </cell>
          <cell r="AD945">
            <v>34</v>
          </cell>
          <cell r="AE945">
            <v>30</v>
          </cell>
          <cell r="AF945">
            <v>0</v>
          </cell>
          <cell r="AG945">
            <v>11</v>
          </cell>
          <cell r="AH945">
            <v>0</v>
          </cell>
          <cell r="AI945">
            <v>11</v>
          </cell>
          <cell r="AJ945">
            <v>0</v>
          </cell>
          <cell r="AK945">
            <v>11</v>
          </cell>
          <cell r="AL945">
            <v>47</v>
          </cell>
          <cell r="AM945">
            <v>32</v>
          </cell>
          <cell r="AN945">
            <v>67</v>
          </cell>
          <cell r="AO945">
            <v>37</v>
          </cell>
          <cell r="AP945">
            <v>9</v>
          </cell>
          <cell r="AQ945">
            <v>14</v>
          </cell>
          <cell r="AR945">
            <v>145</v>
          </cell>
          <cell r="AS945">
            <v>63</v>
          </cell>
        </row>
        <row r="946">
          <cell r="B946">
            <v>17031813301</v>
          </cell>
          <cell r="D946">
            <v>1249</v>
          </cell>
          <cell r="E946">
            <v>231</v>
          </cell>
          <cell r="F946">
            <v>1044</v>
          </cell>
          <cell r="G946">
            <v>193</v>
          </cell>
          <cell r="H946">
            <v>804</v>
          </cell>
          <cell r="I946">
            <v>164</v>
          </cell>
          <cell r="J946">
            <v>240</v>
          </cell>
          <cell r="K946">
            <v>86</v>
          </cell>
          <cell r="L946">
            <v>109</v>
          </cell>
          <cell r="M946">
            <v>54</v>
          </cell>
          <cell r="N946">
            <v>42</v>
          </cell>
          <cell r="O946">
            <v>31</v>
          </cell>
          <cell r="P946">
            <v>49</v>
          </cell>
          <cell r="Q946">
            <v>55</v>
          </cell>
          <cell r="R946">
            <v>26</v>
          </cell>
          <cell r="S946">
            <v>27</v>
          </cell>
          <cell r="T946">
            <v>14</v>
          </cell>
          <cell r="U946">
            <v>15</v>
          </cell>
          <cell r="V946">
            <v>155</v>
          </cell>
          <cell r="W946">
            <v>79</v>
          </cell>
          <cell r="X946">
            <v>66</v>
          </cell>
          <cell r="Y946">
            <v>42</v>
          </cell>
          <cell r="Z946">
            <v>0</v>
          </cell>
          <cell r="AA946">
            <v>11</v>
          </cell>
          <cell r="AB946">
            <v>19</v>
          </cell>
          <cell r="AC946">
            <v>22</v>
          </cell>
          <cell r="AD946">
            <v>70</v>
          </cell>
          <cell r="AE946">
            <v>43</v>
          </cell>
          <cell r="AF946">
            <v>0</v>
          </cell>
          <cell r="AG946">
            <v>11</v>
          </cell>
          <cell r="AH946">
            <v>0</v>
          </cell>
          <cell r="AI946">
            <v>11</v>
          </cell>
          <cell r="AJ946">
            <v>0</v>
          </cell>
          <cell r="AK946">
            <v>11</v>
          </cell>
          <cell r="AL946">
            <v>0</v>
          </cell>
          <cell r="AM946">
            <v>11</v>
          </cell>
          <cell r="AN946">
            <v>44</v>
          </cell>
          <cell r="AO946">
            <v>39</v>
          </cell>
          <cell r="AP946">
            <v>6</v>
          </cell>
          <cell r="AQ946">
            <v>9</v>
          </cell>
          <cell r="AR946">
            <v>0</v>
          </cell>
          <cell r="AS946">
            <v>11</v>
          </cell>
        </row>
        <row r="947">
          <cell r="B947">
            <v>17031813302</v>
          </cell>
          <cell r="D947">
            <v>1641</v>
          </cell>
          <cell r="E947">
            <v>201</v>
          </cell>
          <cell r="F947">
            <v>1350</v>
          </cell>
          <cell r="G947">
            <v>196</v>
          </cell>
          <cell r="H947">
            <v>967</v>
          </cell>
          <cell r="I947">
            <v>179</v>
          </cell>
          <cell r="J947">
            <v>383</v>
          </cell>
          <cell r="K947">
            <v>102</v>
          </cell>
          <cell r="L947">
            <v>266</v>
          </cell>
          <cell r="M947">
            <v>95</v>
          </cell>
          <cell r="N947">
            <v>61</v>
          </cell>
          <cell r="O947">
            <v>38</v>
          </cell>
          <cell r="P947">
            <v>47</v>
          </cell>
          <cell r="Q947">
            <v>41</v>
          </cell>
          <cell r="R947">
            <v>9</v>
          </cell>
          <cell r="S947">
            <v>12</v>
          </cell>
          <cell r="T947">
            <v>0</v>
          </cell>
          <cell r="U947">
            <v>11</v>
          </cell>
          <cell r="V947">
            <v>253</v>
          </cell>
          <cell r="W947">
            <v>81</v>
          </cell>
          <cell r="X947">
            <v>159</v>
          </cell>
          <cell r="Y947">
            <v>78</v>
          </cell>
          <cell r="Z947">
            <v>0</v>
          </cell>
          <cell r="AA947">
            <v>11</v>
          </cell>
          <cell r="AB947">
            <v>38</v>
          </cell>
          <cell r="AC947">
            <v>33</v>
          </cell>
          <cell r="AD947">
            <v>56</v>
          </cell>
          <cell r="AE947">
            <v>39</v>
          </cell>
          <cell r="AF947">
            <v>0</v>
          </cell>
          <cell r="AG947">
            <v>11</v>
          </cell>
          <cell r="AH947">
            <v>0</v>
          </cell>
          <cell r="AI947">
            <v>11</v>
          </cell>
          <cell r="AJ947">
            <v>0</v>
          </cell>
          <cell r="AK947">
            <v>11</v>
          </cell>
          <cell r="AL947">
            <v>0</v>
          </cell>
          <cell r="AM947">
            <v>11</v>
          </cell>
          <cell r="AN947">
            <v>23</v>
          </cell>
          <cell r="AO947">
            <v>27</v>
          </cell>
          <cell r="AP947">
            <v>6</v>
          </cell>
          <cell r="AQ947">
            <v>10</v>
          </cell>
          <cell r="AR947">
            <v>9</v>
          </cell>
          <cell r="AS947">
            <v>15</v>
          </cell>
        </row>
        <row r="948">
          <cell r="B948">
            <v>17031813400</v>
          </cell>
          <cell r="D948">
            <v>3142</v>
          </cell>
          <cell r="E948">
            <v>315</v>
          </cell>
          <cell r="F948">
            <v>2622</v>
          </cell>
          <cell r="G948">
            <v>280</v>
          </cell>
          <cell r="H948">
            <v>2226</v>
          </cell>
          <cell r="I948">
            <v>260</v>
          </cell>
          <cell r="J948">
            <v>396</v>
          </cell>
          <cell r="K948">
            <v>136</v>
          </cell>
          <cell r="L948">
            <v>290</v>
          </cell>
          <cell r="M948">
            <v>114</v>
          </cell>
          <cell r="N948">
            <v>0</v>
          </cell>
          <cell r="O948">
            <v>15</v>
          </cell>
          <cell r="P948">
            <v>68</v>
          </cell>
          <cell r="Q948">
            <v>57</v>
          </cell>
          <cell r="R948">
            <v>38</v>
          </cell>
          <cell r="S948">
            <v>35</v>
          </cell>
          <cell r="T948">
            <v>0</v>
          </cell>
          <cell r="U948">
            <v>15</v>
          </cell>
          <cell r="V948">
            <v>356</v>
          </cell>
          <cell r="W948">
            <v>155</v>
          </cell>
          <cell r="X948">
            <v>201</v>
          </cell>
          <cell r="Y948">
            <v>125</v>
          </cell>
          <cell r="Z948">
            <v>0</v>
          </cell>
          <cell r="AA948">
            <v>15</v>
          </cell>
          <cell r="AB948">
            <v>140</v>
          </cell>
          <cell r="AC948">
            <v>76</v>
          </cell>
          <cell r="AD948">
            <v>15</v>
          </cell>
          <cell r="AE948">
            <v>24</v>
          </cell>
          <cell r="AF948">
            <v>0</v>
          </cell>
          <cell r="AG948">
            <v>15</v>
          </cell>
          <cell r="AH948">
            <v>22</v>
          </cell>
          <cell r="AI948">
            <v>24</v>
          </cell>
          <cell r="AJ948">
            <v>0</v>
          </cell>
          <cell r="AK948">
            <v>15</v>
          </cell>
          <cell r="AL948">
            <v>0</v>
          </cell>
          <cell r="AM948">
            <v>15</v>
          </cell>
          <cell r="AN948">
            <v>70</v>
          </cell>
          <cell r="AO948">
            <v>56</v>
          </cell>
          <cell r="AP948">
            <v>0</v>
          </cell>
          <cell r="AQ948">
            <v>15</v>
          </cell>
          <cell r="AR948">
            <v>72</v>
          </cell>
          <cell r="AS948">
            <v>57</v>
          </cell>
        </row>
        <row r="949">
          <cell r="B949">
            <v>17031813500</v>
          </cell>
          <cell r="D949">
            <v>3027</v>
          </cell>
          <cell r="E949">
            <v>372</v>
          </cell>
          <cell r="F949">
            <v>2518</v>
          </cell>
          <cell r="G949">
            <v>338</v>
          </cell>
          <cell r="H949">
            <v>1875</v>
          </cell>
          <cell r="I949">
            <v>248</v>
          </cell>
          <cell r="J949">
            <v>643</v>
          </cell>
          <cell r="K949">
            <v>231</v>
          </cell>
          <cell r="L949">
            <v>508</v>
          </cell>
          <cell r="M949">
            <v>211</v>
          </cell>
          <cell r="N949">
            <v>87</v>
          </cell>
          <cell r="O949">
            <v>88</v>
          </cell>
          <cell r="P949">
            <v>25</v>
          </cell>
          <cell r="Q949">
            <v>40</v>
          </cell>
          <cell r="R949">
            <v>23</v>
          </cell>
          <cell r="S949">
            <v>38</v>
          </cell>
          <cell r="T949">
            <v>0</v>
          </cell>
          <cell r="U949">
            <v>15</v>
          </cell>
          <cell r="V949">
            <v>305</v>
          </cell>
          <cell r="W949">
            <v>122</v>
          </cell>
          <cell r="X949">
            <v>179</v>
          </cell>
          <cell r="Y949">
            <v>99</v>
          </cell>
          <cell r="Z949">
            <v>0</v>
          </cell>
          <cell r="AA949">
            <v>15</v>
          </cell>
          <cell r="AB949">
            <v>89</v>
          </cell>
          <cell r="AC949">
            <v>56</v>
          </cell>
          <cell r="AD949">
            <v>37</v>
          </cell>
          <cell r="AE949">
            <v>36</v>
          </cell>
          <cell r="AF949">
            <v>0</v>
          </cell>
          <cell r="AG949">
            <v>15</v>
          </cell>
          <cell r="AH949">
            <v>0</v>
          </cell>
          <cell r="AI949">
            <v>15</v>
          </cell>
          <cell r="AJ949">
            <v>0</v>
          </cell>
          <cell r="AK949">
            <v>15</v>
          </cell>
          <cell r="AL949">
            <v>0</v>
          </cell>
          <cell r="AM949">
            <v>15</v>
          </cell>
          <cell r="AN949">
            <v>29</v>
          </cell>
          <cell r="AO949">
            <v>37</v>
          </cell>
          <cell r="AP949">
            <v>111</v>
          </cell>
          <cell r="AQ949">
            <v>100</v>
          </cell>
          <cell r="AR949">
            <v>64</v>
          </cell>
          <cell r="AS949">
            <v>50</v>
          </cell>
        </row>
        <row r="950">
          <cell r="B950">
            <v>17031813600</v>
          </cell>
          <cell r="D950">
            <v>2210</v>
          </cell>
          <cell r="E950">
            <v>284</v>
          </cell>
          <cell r="F950">
            <v>1885</v>
          </cell>
          <cell r="G950">
            <v>268</v>
          </cell>
          <cell r="H950">
            <v>1382</v>
          </cell>
          <cell r="I950">
            <v>210</v>
          </cell>
          <cell r="J950">
            <v>503</v>
          </cell>
          <cell r="K950">
            <v>161</v>
          </cell>
          <cell r="L950">
            <v>432</v>
          </cell>
          <cell r="M950">
            <v>155</v>
          </cell>
          <cell r="N950">
            <v>45</v>
          </cell>
          <cell r="O950">
            <v>39</v>
          </cell>
          <cell r="P950">
            <v>26</v>
          </cell>
          <cell r="Q950">
            <v>31</v>
          </cell>
          <cell r="R950">
            <v>0</v>
          </cell>
          <cell r="S950">
            <v>11</v>
          </cell>
          <cell r="T950">
            <v>0</v>
          </cell>
          <cell r="U950">
            <v>11</v>
          </cell>
          <cell r="V950">
            <v>205</v>
          </cell>
          <cell r="W950">
            <v>106</v>
          </cell>
          <cell r="X950">
            <v>41</v>
          </cell>
          <cell r="Y950">
            <v>45</v>
          </cell>
          <cell r="Z950">
            <v>0</v>
          </cell>
          <cell r="AA950">
            <v>11</v>
          </cell>
          <cell r="AB950">
            <v>145</v>
          </cell>
          <cell r="AC950">
            <v>107</v>
          </cell>
          <cell r="AD950">
            <v>19</v>
          </cell>
          <cell r="AE950">
            <v>30</v>
          </cell>
          <cell r="AF950">
            <v>0</v>
          </cell>
          <cell r="AG950">
            <v>11</v>
          </cell>
          <cell r="AH950">
            <v>39</v>
          </cell>
          <cell r="AI950">
            <v>44</v>
          </cell>
          <cell r="AJ950">
            <v>0</v>
          </cell>
          <cell r="AK950">
            <v>11</v>
          </cell>
          <cell r="AL950">
            <v>0</v>
          </cell>
          <cell r="AM950">
            <v>11</v>
          </cell>
          <cell r="AN950">
            <v>28</v>
          </cell>
          <cell r="AO950">
            <v>34</v>
          </cell>
          <cell r="AP950">
            <v>6</v>
          </cell>
          <cell r="AQ950">
            <v>12</v>
          </cell>
          <cell r="AR950">
            <v>47</v>
          </cell>
          <cell r="AS950">
            <v>44</v>
          </cell>
        </row>
        <row r="951">
          <cell r="B951">
            <v>17031813701</v>
          </cell>
          <cell r="D951">
            <v>1537</v>
          </cell>
          <cell r="E951">
            <v>276</v>
          </cell>
          <cell r="F951">
            <v>1088</v>
          </cell>
          <cell r="G951">
            <v>247</v>
          </cell>
          <cell r="H951">
            <v>809</v>
          </cell>
          <cell r="I951">
            <v>218</v>
          </cell>
          <cell r="J951">
            <v>279</v>
          </cell>
          <cell r="K951">
            <v>149</v>
          </cell>
          <cell r="L951">
            <v>242</v>
          </cell>
          <cell r="M951">
            <v>150</v>
          </cell>
          <cell r="N951">
            <v>0</v>
          </cell>
          <cell r="O951">
            <v>11</v>
          </cell>
          <cell r="P951">
            <v>37</v>
          </cell>
          <cell r="Q951">
            <v>34</v>
          </cell>
          <cell r="R951">
            <v>0</v>
          </cell>
          <cell r="S951">
            <v>11</v>
          </cell>
          <cell r="T951">
            <v>0</v>
          </cell>
          <cell r="U951">
            <v>11</v>
          </cell>
          <cell r="V951">
            <v>420</v>
          </cell>
          <cell r="W951">
            <v>194</v>
          </cell>
          <cell r="X951">
            <v>242</v>
          </cell>
          <cell r="Y951">
            <v>153</v>
          </cell>
          <cell r="Z951">
            <v>0</v>
          </cell>
          <cell r="AA951">
            <v>11</v>
          </cell>
          <cell r="AB951">
            <v>155</v>
          </cell>
          <cell r="AC951">
            <v>107</v>
          </cell>
          <cell r="AD951">
            <v>23</v>
          </cell>
          <cell r="AE951">
            <v>25</v>
          </cell>
          <cell r="AF951">
            <v>0</v>
          </cell>
          <cell r="AG951">
            <v>11</v>
          </cell>
          <cell r="AH951">
            <v>0</v>
          </cell>
          <cell r="AI951">
            <v>11</v>
          </cell>
          <cell r="AJ951">
            <v>0</v>
          </cell>
          <cell r="AK951">
            <v>11</v>
          </cell>
          <cell r="AL951">
            <v>21</v>
          </cell>
          <cell r="AM951">
            <v>26</v>
          </cell>
          <cell r="AN951">
            <v>0</v>
          </cell>
          <cell r="AO951">
            <v>11</v>
          </cell>
          <cell r="AP951">
            <v>8</v>
          </cell>
          <cell r="AQ951">
            <v>18</v>
          </cell>
          <cell r="AR951">
            <v>0</v>
          </cell>
          <cell r="AS951">
            <v>11</v>
          </cell>
        </row>
        <row r="952">
          <cell r="B952">
            <v>17031813702</v>
          </cell>
          <cell r="D952">
            <v>1489</v>
          </cell>
          <cell r="E952">
            <v>202</v>
          </cell>
          <cell r="F952">
            <v>1003</v>
          </cell>
          <cell r="G952">
            <v>183</v>
          </cell>
          <cell r="H952">
            <v>792</v>
          </cell>
          <cell r="I952">
            <v>179</v>
          </cell>
          <cell r="J952">
            <v>211</v>
          </cell>
          <cell r="K952">
            <v>98</v>
          </cell>
          <cell r="L952">
            <v>161</v>
          </cell>
          <cell r="M952">
            <v>87</v>
          </cell>
          <cell r="N952">
            <v>9</v>
          </cell>
          <cell r="O952">
            <v>15</v>
          </cell>
          <cell r="P952">
            <v>22</v>
          </cell>
          <cell r="Q952">
            <v>36</v>
          </cell>
          <cell r="R952">
            <v>0</v>
          </cell>
          <cell r="S952">
            <v>11</v>
          </cell>
          <cell r="T952">
            <v>19</v>
          </cell>
          <cell r="U952">
            <v>31</v>
          </cell>
          <cell r="V952">
            <v>408</v>
          </cell>
          <cell r="W952">
            <v>144</v>
          </cell>
          <cell r="X952">
            <v>138</v>
          </cell>
          <cell r="Y952">
            <v>61</v>
          </cell>
          <cell r="Z952">
            <v>0</v>
          </cell>
          <cell r="AA952">
            <v>11</v>
          </cell>
          <cell r="AB952">
            <v>181</v>
          </cell>
          <cell r="AC952">
            <v>101</v>
          </cell>
          <cell r="AD952">
            <v>89</v>
          </cell>
          <cell r="AE952">
            <v>83</v>
          </cell>
          <cell r="AF952">
            <v>0</v>
          </cell>
          <cell r="AG952">
            <v>11</v>
          </cell>
          <cell r="AH952">
            <v>0</v>
          </cell>
          <cell r="AI952">
            <v>11</v>
          </cell>
          <cell r="AJ952">
            <v>0</v>
          </cell>
          <cell r="AK952">
            <v>11</v>
          </cell>
          <cell r="AL952">
            <v>0</v>
          </cell>
          <cell r="AM952">
            <v>11</v>
          </cell>
          <cell r="AN952">
            <v>21</v>
          </cell>
          <cell r="AO952">
            <v>23</v>
          </cell>
          <cell r="AP952">
            <v>32</v>
          </cell>
          <cell r="AQ952">
            <v>45</v>
          </cell>
          <cell r="AR952">
            <v>25</v>
          </cell>
          <cell r="AS952">
            <v>50</v>
          </cell>
        </row>
        <row r="953">
          <cell r="B953">
            <v>17031813801</v>
          </cell>
          <cell r="D953">
            <v>1483</v>
          </cell>
          <cell r="E953">
            <v>222</v>
          </cell>
          <cell r="F953">
            <v>1116</v>
          </cell>
          <cell r="G953">
            <v>185</v>
          </cell>
          <cell r="H953">
            <v>911</v>
          </cell>
          <cell r="I953">
            <v>157</v>
          </cell>
          <cell r="J953">
            <v>205</v>
          </cell>
          <cell r="K953">
            <v>74</v>
          </cell>
          <cell r="L953">
            <v>149</v>
          </cell>
          <cell r="M953">
            <v>64</v>
          </cell>
          <cell r="N953">
            <v>47</v>
          </cell>
          <cell r="O953">
            <v>42</v>
          </cell>
          <cell r="P953">
            <v>9</v>
          </cell>
          <cell r="Q953">
            <v>14</v>
          </cell>
          <cell r="R953">
            <v>0</v>
          </cell>
          <cell r="S953">
            <v>11</v>
          </cell>
          <cell r="T953">
            <v>0</v>
          </cell>
          <cell r="U953">
            <v>11</v>
          </cell>
          <cell r="V953">
            <v>183</v>
          </cell>
          <cell r="W953">
            <v>71</v>
          </cell>
          <cell r="X953">
            <v>83</v>
          </cell>
          <cell r="Y953">
            <v>47</v>
          </cell>
          <cell r="Z953">
            <v>0</v>
          </cell>
          <cell r="AA953">
            <v>11</v>
          </cell>
          <cell r="AB953">
            <v>67</v>
          </cell>
          <cell r="AC953">
            <v>50</v>
          </cell>
          <cell r="AD953">
            <v>33</v>
          </cell>
          <cell r="AE953">
            <v>32</v>
          </cell>
          <cell r="AF953">
            <v>0</v>
          </cell>
          <cell r="AG953">
            <v>11</v>
          </cell>
          <cell r="AH953">
            <v>0</v>
          </cell>
          <cell r="AI953">
            <v>11</v>
          </cell>
          <cell r="AJ953">
            <v>0</v>
          </cell>
          <cell r="AK953">
            <v>11</v>
          </cell>
          <cell r="AL953">
            <v>16</v>
          </cell>
          <cell r="AM953">
            <v>24</v>
          </cell>
          <cell r="AN953">
            <v>163</v>
          </cell>
          <cell r="AO953">
            <v>89</v>
          </cell>
          <cell r="AP953">
            <v>0</v>
          </cell>
          <cell r="AQ953">
            <v>11</v>
          </cell>
          <cell r="AR953">
            <v>5</v>
          </cell>
          <cell r="AS953">
            <v>8</v>
          </cell>
        </row>
        <row r="954">
          <cell r="B954">
            <v>17031813802</v>
          </cell>
          <cell r="D954">
            <v>2199</v>
          </cell>
          <cell r="E954">
            <v>314</v>
          </cell>
          <cell r="F954">
            <v>1942</v>
          </cell>
          <cell r="G954">
            <v>301</v>
          </cell>
          <cell r="H954">
            <v>1510</v>
          </cell>
          <cell r="I954">
            <v>271</v>
          </cell>
          <cell r="J954">
            <v>432</v>
          </cell>
          <cell r="K954">
            <v>180</v>
          </cell>
          <cell r="L954">
            <v>327</v>
          </cell>
          <cell r="M954">
            <v>125</v>
          </cell>
          <cell r="N954">
            <v>105</v>
          </cell>
          <cell r="O954">
            <v>127</v>
          </cell>
          <cell r="P954">
            <v>0</v>
          </cell>
          <cell r="Q954">
            <v>15</v>
          </cell>
          <cell r="R954">
            <v>0</v>
          </cell>
          <cell r="S954">
            <v>15</v>
          </cell>
          <cell r="T954">
            <v>0</v>
          </cell>
          <cell r="U954">
            <v>15</v>
          </cell>
          <cell r="V954">
            <v>164</v>
          </cell>
          <cell r="W954">
            <v>86</v>
          </cell>
          <cell r="X954">
            <v>102</v>
          </cell>
          <cell r="Y954">
            <v>75</v>
          </cell>
          <cell r="Z954">
            <v>0</v>
          </cell>
          <cell r="AA954">
            <v>15</v>
          </cell>
          <cell r="AB954">
            <v>62</v>
          </cell>
          <cell r="AC954">
            <v>59</v>
          </cell>
          <cell r="AD954">
            <v>0</v>
          </cell>
          <cell r="AE954">
            <v>15</v>
          </cell>
          <cell r="AF954">
            <v>0</v>
          </cell>
          <cell r="AG954">
            <v>15</v>
          </cell>
          <cell r="AH954">
            <v>0</v>
          </cell>
          <cell r="AI954">
            <v>15</v>
          </cell>
          <cell r="AJ954">
            <v>0</v>
          </cell>
          <cell r="AK954">
            <v>15</v>
          </cell>
          <cell r="AL954">
            <v>35</v>
          </cell>
          <cell r="AM954">
            <v>41</v>
          </cell>
          <cell r="AN954">
            <v>30</v>
          </cell>
          <cell r="AO954">
            <v>28</v>
          </cell>
          <cell r="AP954">
            <v>22</v>
          </cell>
          <cell r="AQ954">
            <v>36</v>
          </cell>
          <cell r="AR954">
            <v>6</v>
          </cell>
          <cell r="AS954">
            <v>12</v>
          </cell>
        </row>
        <row r="955">
          <cell r="B955">
            <v>17031813900</v>
          </cell>
          <cell r="D955">
            <v>2881</v>
          </cell>
          <cell r="E955">
            <v>281</v>
          </cell>
          <cell r="F955">
            <v>2240</v>
          </cell>
          <cell r="G955">
            <v>296</v>
          </cell>
          <cell r="H955">
            <v>1700</v>
          </cell>
          <cell r="I955">
            <v>240</v>
          </cell>
          <cell r="J955">
            <v>540</v>
          </cell>
          <cell r="K955">
            <v>158</v>
          </cell>
          <cell r="L955">
            <v>300</v>
          </cell>
          <cell r="M955">
            <v>97</v>
          </cell>
          <cell r="N955">
            <v>98</v>
          </cell>
          <cell r="O955">
            <v>63</v>
          </cell>
          <cell r="P955">
            <v>87</v>
          </cell>
          <cell r="Q955">
            <v>72</v>
          </cell>
          <cell r="R955">
            <v>18</v>
          </cell>
          <cell r="S955">
            <v>29</v>
          </cell>
          <cell r="T955">
            <v>37</v>
          </cell>
          <cell r="U955">
            <v>34</v>
          </cell>
          <cell r="V955">
            <v>319</v>
          </cell>
          <cell r="W955">
            <v>117</v>
          </cell>
          <cell r="X955">
            <v>126</v>
          </cell>
          <cell r="Y955">
            <v>86</v>
          </cell>
          <cell r="Z955">
            <v>24</v>
          </cell>
          <cell r="AA955">
            <v>29</v>
          </cell>
          <cell r="AB955">
            <v>77</v>
          </cell>
          <cell r="AC955">
            <v>46</v>
          </cell>
          <cell r="AD955">
            <v>92</v>
          </cell>
          <cell r="AE955">
            <v>60</v>
          </cell>
          <cell r="AF955">
            <v>0</v>
          </cell>
          <cell r="AG955">
            <v>15</v>
          </cell>
          <cell r="AH955">
            <v>0</v>
          </cell>
          <cell r="AI955">
            <v>15</v>
          </cell>
          <cell r="AJ955">
            <v>0</v>
          </cell>
          <cell r="AK955">
            <v>15</v>
          </cell>
          <cell r="AL955">
            <v>27</v>
          </cell>
          <cell r="AM955">
            <v>42</v>
          </cell>
          <cell r="AN955">
            <v>218</v>
          </cell>
          <cell r="AO955">
            <v>102</v>
          </cell>
          <cell r="AP955">
            <v>34</v>
          </cell>
          <cell r="AQ955">
            <v>35</v>
          </cell>
          <cell r="AR955">
            <v>43</v>
          </cell>
          <cell r="AS955">
            <v>31</v>
          </cell>
        </row>
        <row r="956">
          <cell r="B956">
            <v>17031814000</v>
          </cell>
          <cell r="D956">
            <v>2119</v>
          </cell>
          <cell r="E956">
            <v>258</v>
          </cell>
          <cell r="F956">
            <v>1682</v>
          </cell>
          <cell r="G956">
            <v>222</v>
          </cell>
          <cell r="H956">
            <v>1352</v>
          </cell>
          <cell r="I956">
            <v>222</v>
          </cell>
          <cell r="J956">
            <v>330</v>
          </cell>
          <cell r="K956">
            <v>133</v>
          </cell>
          <cell r="L956">
            <v>293</v>
          </cell>
          <cell r="M956">
            <v>131</v>
          </cell>
          <cell r="N956">
            <v>21</v>
          </cell>
          <cell r="O956">
            <v>26</v>
          </cell>
          <cell r="P956">
            <v>16</v>
          </cell>
          <cell r="Q956">
            <v>26</v>
          </cell>
          <cell r="R956">
            <v>0</v>
          </cell>
          <cell r="S956">
            <v>15</v>
          </cell>
          <cell r="T956">
            <v>0</v>
          </cell>
          <cell r="U956">
            <v>15</v>
          </cell>
          <cell r="V956">
            <v>276</v>
          </cell>
          <cell r="W956">
            <v>110</v>
          </cell>
          <cell r="X956">
            <v>179</v>
          </cell>
          <cell r="Y956">
            <v>93</v>
          </cell>
          <cell r="Z956">
            <v>0</v>
          </cell>
          <cell r="AA956">
            <v>15</v>
          </cell>
          <cell r="AB956">
            <v>44</v>
          </cell>
          <cell r="AC956">
            <v>43</v>
          </cell>
          <cell r="AD956">
            <v>53</v>
          </cell>
          <cell r="AE956">
            <v>71</v>
          </cell>
          <cell r="AF956">
            <v>0</v>
          </cell>
          <cell r="AG956">
            <v>15</v>
          </cell>
          <cell r="AH956">
            <v>0</v>
          </cell>
          <cell r="AI956">
            <v>15</v>
          </cell>
          <cell r="AJ956">
            <v>0</v>
          </cell>
          <cell r="AK956">
            <v>15</v>
          </cell>
          <cell r="AL956">
            <v>13</v>
          </cell>
          <cell r="AM956">
            <v>21</v>
          </cell>
          <cell r="AN956">
            <v>93</v>
          </cell>
          <cell r="AO956">
            <v>61</v>
          </cell>
          <cell r="AP956">
            <v>23</v>
          </cell>
          <cell r="AQ956">
            <v>25</v>
          </cell>
          <cell r="AR956">
            <v>32</v>
          </cell>
          <cell r="AS956">
            <v>33</v>
          </cell>
        </row>
        <row r="957">
          <cell r="B957">
            <v>17031814100</v>
          </cell>
          <cell r="D957">
            <v>1911</v>
          </cell>
          <cell r="E957">
            <v>265</v>
          </cell>
          <cell r="F957">
            <v>1512</v>
          </cell>
          <cell r="G957">
            <v>271</v>
          </cell>
          <cell r="H957">
            <v>1250</v>
          </cell>
          <cell r="I957">
            <v>254</v>
          </cell>
          <cell r="J957">
            <v>262</v>
          </cell>
          <cell r="K957">
            <v>110</v>
          </cell>
          <cell r="L957">
            <v>152</v>
          </cell>
          <cell r="M957">
            <v>79</v>
          </cell>
          <cell r="N957">
            <v>83</v>
          </cell>
          <cell r="O957">
            <v>70</v>
          </cell>
          <cell r="P957">
            <v>27</v>
          </cell>
          <cell r="Q957">
            <v>40</v>
          </cell>
          <cell r="R957">
            <v>0</v>
          </cell>
          <cell r="S957">
            <v>11</v>
          </cell>
          <cell r="T957">
            <v>0</v>
          </cell>
          <cell r="U957">
            <v>11</v>
          </cell>
          <cell r="V957">
            <v>276</v>
          </cell>
          <cell r="W957">
            <v>108</v>
          </cell>
          <cell r="X957">
            <v>204</v>
          </cell>
          <cell r="Y957">
            <v>87</v>
          </cell>
          <cell r="Z957">
            <v>0</v>
          </cell>
          <cell r="AA957">
            <v>11</v>
          </cell>
          <cell r="AB957">
            <v>72</v>
          </cell>
          <cell r="AC957">
            <v>48</v>
          </cell>
          <cell r="AD957">
            <v>0</v>
          </cell>
          <cell r="AE957">
            <v>11</v>
          </cell>
          <cell r="AF957">
            <v>0</v>
          </cell>
          <cell r="AG957">
            <v>11</v>
          </cell>
          <cell r="AH957">
            <v>0</v>
          </cell>
          <cell r="AI957">
            <v>11</v>
          </cell>
          <cell r="AJ957">
            <v>0</v>
          </cell>
          <cell r="AK957">
            <v>11</v>
          </cell>
          <cell r="AL957">
            <v>0</v>
          </cell>
          <cell r="AM957">
            <v>11</v>
          </cell>
          <cell r="AN957">
            <v>115</v>
          </cell>
          <cell r="AO957">
            <v>70</v>
          </cell>
          <cell r="AP957">
            <v>8</v>
          </cell>
          <cell r="AQ957">
            <v>12</v>
          </cell>
          <cell r="AR957">
            <v>0</v>
          </cell>
          <cell r="AS957">
            <v>11</v>
          </cell>
        </row>
        <row r="958">
          <cell r="B958">
            <v>17031814200</v>
          </cell>
          <cell r="D958">
            <v>2902</v>
          </cell>
          <cell r="E958">
            <v>388</v>
          </cell>
          <cell r="F958">
            <v>2328</v>
          </cell>
          <cell r="G958">
            <v>344</v>
          </cell>
          <cell r="H958">
            <v>1912</v>
          </cell>
          <cell r="I958">
            <v>287</v>
          </cell>
          <cell r="J958">
            <v>416</v>
          </cell>
          <cell r="K958">
            <v>158</v>
          </cell>
          <cell r="L958">
            <v>377</v>
          </cell>
          <cell r="M958">
            <v>155</v>
          </cell>
          <cell r="N958">
            <v>39</v>
          </cell>
          <cell r="O958">
            <v>33</v>
          </cell>
          <cell r="P958">
            <v>0</v>
          </cell>
          <cell r="Q958">
            <v>15</v>
          </cell>
          <cell r="R958">
            <v>0</v>
          </cell>
          <cell r="S958">
            <v>15</v>
          </cell>
          <cell r="T958">
            <v>0</v>
          </cell>
          <cell r="U958">
            <v>15</v>
          </cell>
          <cell r="V958">
            <v>426</v>
          </cell>
          <cell r="W958">
            <v>142</v>
          </cell>
          <cell r="X958">
            <v>222</v>
          </cell>
          <cell r="Y958">
            <v>107</v>
          </cell>
          <cell r="Z958">
            <v>0</v>
          </cell>
          <cell r="AA958">
            <v>15</v>
          </cell>
          <cell r="AB958">
            <v>120</v>
          </cell>
          <cell r="AC958">
            <v>85</v>
          </cell>
          <cell r="AD958">
            <v>84</v>
          </cell>
          <cell r="AE958">
            <v>58</v>
          </cell>
          <cell r="AF958">
            <v>0</v>
          </cell>
          <cell r="AG958">
            <v>15</v>
          </cell>
          <cell r="AH958">
            <v>0</v>
          </cell>
          <cell r="AI958">
            <v>15</v>
          </cell>
          <cell r="AJ958">
            <v>0</v>
          </cell>
          <cell r="AK958">
            <v>15</v>
          </cell>
          <cell r="AL958">
            <v>33</v>
          </cell>
          <cell r="AM958">
            <v>39</v>
          </cell>
          <cell r="AN958">
            <v>73</v>
          </cell>
          <cell r="AO958">
            <v>52</v>
          </cell>
          <cell r="AP958">
            <v>24</v>
          </cell>
          <cell r="AQ958">
            <v>34</v>
          </cell>
          <cell r="AR958">
            <v>18</v>
          </cell>
          <cell r="AS958">
            <v>14</v>
          </cell>
        </row>
        <row r="959">
          <cell r="B959">
            <v>17031814300</v>
          </cell>
          <cell r="D959">
            <v>1876</v>
          </cell>
          <cell r="E959">
            <v>307</v>
          </cell>
          <cell r="F959">
            <v>1603</v>
          </cell>
          <cell r="G959">
            <v>285</v>
          </cell>
          <cell r="H959">
            <v>1306</v>
          </cell>
          <cell r="I959">
            <v>205</v>
          </cell>
          <cell r="J959">
            <v>297</v>
          </cell>
          <cell r="K959">
            <v>222</v>
          </cell>
          <cell r="L959">
            <v>183</v>
          </cell>
          <cell r="M959">
            <v>135</v>
          </cell>
          <cell r="N959">
            <v>90</v>
          </cell>
          <cell r="O959">
            <v>109</v>
          </cell>
          <cell r="P959">
            <v>24</v>
          </cell>
          <cell r="Q959">
            <v>37</v>
          </cell>
          <cell r="R959">
            <v>0</v>
          </cell>
          <cell r="S959">
            <v>11</v>
          </cell>
          <cell r="T959">
            <v>0</v>
          </cell>
          <cell r="U959">
            <v>11</v>
          </cell>
          <cell r="V959">
            <v>175</v>
          </cell>
          <cell r="W959">
            <v>92</v>
          </cell>
          <cell r="X959">
            <v>36</v>
          </cell>
          <cell r="Y959">
            <v>42</v>
          </cell>
          <cell r="Z959">
            <v>0</v>
          </cell>
          <cell r="AA959">
            <v>11</v>
          </cell>
          <cell r="AB959">
            <v>121</v>
          </cell>
          <cell r="AC959">
            <v>75</v>
          </cell>
          <cell r="AD959">
            <v>18</v>
          </cell>
          <cell r="AE959">
            <v>28</v>
          </cell>
          <cell r="AF959">
            <v>0</v>
          </cell>
          <cell r="AG959">
            <v>11</v>
          </cell>
          <cell r="AH959">
            <v>0</v>
          </cell>
          <cell r="AI959">
            <v>11</v>
          </cell>
          <cell r="AJ959">
            <v>0</v>
          </cell>
          <cell r="AK959">
            <v>11</v>
          </cell>
          <cell r="AL959">
            <v>11</v>
          </cell>
          <cell r="AM959">
            <v>16</v>
          </cell>
          <cell r="AN959">
            <v>81</v>
          </cell>
          <cell r="AO959">
            <v>68</v>
          </cell>
          <cell r="AP959">
            <v>0</v>
          </cell>
          <cell r="AQ959">
            <v>11</v>
          </cell>
          <cell r="AR959">
            <v>6</v>
          </cell>
          <cell r="AS959">
            <v>10</v>
          </cell>
        </row>
        <row r="960">
          <cell r="B960">
            <v>17031814400</v>
          </cell>
          <cell r="D960">
            <v>3129</v>
          </cell>
          <cell r="E960">
            <v>481</v>
          </cell>
          <cell r="F960">
            <v>2834</v>
          </cell>
          <cell r="G960">
            <v>452</v>
          </cell>
          <cell r="H960">
            <v>2211</v>
          </cell>
          <cell r="I960">
            <v>426</v>
          </cell>
          <cell r="J960">
            <v>623</v>
          </cell>
          <cell r="K960">
            <v>265</v>
          </cell>
          <cell r="L960">
            <v>509</v>
          </cell>
          <cell r="M960">
            <v>236</v>
          </cell>
          <cell r="N960">
            <v>51</v>
          </cell>
          <cell r="O960">
            <v>44</v>
          </cell>
          <cell r="P960">
            <v>63</v>
          </cell>
          <cell r="Q960">
            <v>57</v>
          </cell>
          <cell r="R960">
            <v>0</v>
          </cell>
          <cell r="S960">
            <v>15</v>
          </cell>
          <cell r="T960">
            <v>0</v>
          </cell>
          <cell r="U960">
            <v>15</v>
          </cell>
          <cell r="V960">
            <v>175</v>
          </cell>
          <cell r="W960">
            <v>113</v>
          </cell>
          <cell r="X960">
            <v>119</v>
          </cell>
          <cell r="Y960">
            <v>101</v>
          </cell>
          <cell r="Z960">
            <v>0</v>
          </cell>
          <cell r="AA960">
            <v>15</v>
          </cell>
          <cell r="AB960">
            <v>41</v>
          </cell>
          <cell r="AC960">
            <v>49</v>
          </cell>
          <cell r="AD960">
            <v>15</v>
          </cell>
          <cell r="AE960">
            <v>23</v>
          </cell>
          <cell r="AF960">
            <v>0</v>
          </cell>
          <cell r="AG960">
            <v>15</v>
          </cell>
          <cell r="AH960">
            <v>0</v>
          </cell>
          <cell r="AI960">
            <v>15</v>
          </cell>
          <cell r="AJ960">
            <v>0</v>
          </cell>
          <cell r="AK960">
            <v>15</v>
          </cell>
          <cell r="AL960">
            <v>17</v>
          </cell>
          <cell r="AM960">
            <v>28</v>
          </cell>
          <cell r="AN960">
            <v>0</v>
          </cell>
          <cell r="AO960">
            <v>15</v>
          </cell>
          <cell r="AP960">
            <v>0</v>
          </cell>
          <cell r="AQ960">
            <v>15</v>
          </cell>
          <cell r="AR960">
            <v>103</v>
          </cell>
          <cell r="AS960">
            <v>96</v>
          </cell>
        </row>
        <row r="961">
          <cell r="B961">
            <v>17031814500</v>
          </cell>
          <cell r="D961">
            <v>2511</v>
          </cell>
          <cell r="E961">
            <v>294</v>
          </cell>
          <cell r="F961">
            <v>2342</v>
          </cell>
          <cell r="G961">
            <v>265</v>
          </cell>
          <cell r="H961">
            <v>1943</v>
          </cell>
          <cell r="I961">
            <v>237</v>
          </cell>
          <cell r="J961">
            <v>399</v>
          </cell>
          <cell r="K961">
            <v>144</v>
          </cell>
          <cell r="L961">
            <v>294</v>
          </cell>
          <cell r="M961">
            <v>143</v>
          </cell>
          <cell r="N961">
            <v>70</v>
          </cell>
          <cell r="O961">
            <v>73</v>
          </cell>
          <cell r="P961">
            <v>35</v>
          </cell>
          <cell r="Q961">
            <v>40</v>
          </cell>
          <cell r="R961">
            <v>0</v>
          </cell>
          <cell r="S961">
            <v>15</v>
          </cell>
          <cell r="T961">
            <v>0</v>
          </cell>
          <cell r="U961">
            <v>15</v>
          </cell>
          <cell r="V961">
            <v>147</v>
          </cell>
          <cell r="W961">
            <v>87</v>
          </cell>
          <cell r="X961">
            <v>74</v>
          </cell>
          <cell r="Y961">
            <v>61</v>
          </cell>
          <cell r="Z961">
            <v>0</v>
          </cell>
          <cell r="AA961">
            <v>15</v>
          </cell>
          <cell r="AB961">
            <v>39</v>
          </cell>
          <cell r="AC961">
            <v>52</v>
          </cell>
          <cell r="AD961">
            <v>34</v>
          </cell>
          <cell r="AE961">
            <v>43</v>
          </cell>
          <cell r="AF961">
            <v>0</v>
          </cell>
          <cell r="AG961">
            <v>15</v>
          </cell>
          <cell r="AH961">
            <v>0</v>
          </cell>
          <cell r="AI961">
            <v>15</v>
          </cell>
          <cell r="AJ961">
            <v>0</v>
          </cell>
          <cell r="AK961">
            <v>15</v>
          </cell>
          <cell r="AL961">
            <v>0</v>
          </cell>
          <cell r="AM961">
            <v>15</v>
          </cell>
          <cell r="AN961">
            <v>12</v>
          </cell>
          <cell r="AO961">
            <v>20</v>
          </cell>
          <cell r="AP961">
            <v>0</v>
          </cell>
          <cell r="AQ961">
            <v>15</v>
          </cell>
          <cell r="AR961">
            <v>10</v>
          </cell>
          <cell r="AS961">
            <v>15</v>
          </cell>
        </row>
        <row r="962">
          <cell r="B962">
            <v>17031814600</v>
          </cell>
          <cell r="D962">
            <v>2229</v>
          </cell>
          <cell r="E962">
            <v>296</v>
          </cell>
          <cell r="F962">
            <v>1768</v>
          </cell>
          <cell r="G962">
            <v>311</v>
          </cell>
          <cell r="H962">
            <v>1528</v>
          </cell>
          <cell r="I962">
            <v>269</v>
          </cell>
          <cell r="J962">
            <v>240</v>
          </cell>
          <cell r="K962">
            <v>109</v>
          </cell>
          <cell r="L962">
            <v>183</v>
          </cell>
          <cell r="M962">
            <v>103</v>
          </cell>
          <cell r="N962">
            <v>21</v>
          </cell>
          <cell r="O962">
            <v>24</v>
          </cell>
          <cell r="P962">
            <v>27</v>
          </cell>
          <cell r="Q962">
            <v>25</v>
          </cell>
          <cell r="R962">
            <v>0</v>
          </cell>
          <cell r="S962">
            <v>15</v>
          </cell>
          <cell r="T962">
            <v>9</v>
          </cell>
          <cell r="U962">
            <v>15</v>
          </cell>
          <cell r="V962">
            <v>269</v>
          </cell>
          <cell r="W962">
            <v>138</v>
          </cell>
          <cell r="X962">
            <v>105</v>
          </cell>
          <cell r="Y962">
            <v>88</v>
          </cell>
          <cell r="Z962">
            <v>0</v>
          </cell>
          <cell r="AA962">
            <v>15</v>
          </cell>
          <cell r="AB962">
            <v>89</v>
          </cell>
          <cell r="AC962">
            <v>72</v>
          </cell>
          <cell r="AD962">
            <v>75</v>
          </cell>
          <cell r="AE962">
            <v>65</v>
          </cell>
          <cell r="AF962">
            <v>0</v>
          </cell>
          <cell r="AG962">
            <v>15</v>
          </cell>
          <cell r="AH962">
            <v>0</v>
          </cell>
          <cell r="AI962">
            <v>15</v>
          </cell>
          <cell r="AJ962">
            <v>7</v>
          </cell>
          <cell r="AK962">
            <v>12</v>
          </cell>
          <cell r="AL962">
            <v>19</v>
          </cell>
          <cell r="AM962">
            <v>21</v>
          </cell>
          <cell r="AN962">
            <v>76</v>
          </cell>
          <cell r="AO962">
            <v>63</v>
          </cell>
          <cell r="AP962">
            <v>0</v>
          </cell>
          <cell r="AQ962">
            <v>15</v>
          </cell>
          <cell r="AR962">
            <v>90</v>
          </cell>
          <cell r="AS962">
            <v>65</v>
          </cell>
        </row>
        <row r="963">
          <cell r="B963">
            <v>17031814700</v>
          </cell>
          <cell r="D963">
            <v>2801</v>
          </cell>
          <cell r="E963">
            <v>267</v>
          </cell>
          <cell r="F963">
            <v>2126</v>
          </cell>
          <cell r="G963">
            <v>266</v>
          </cell>
          <cell r="H963">
            <v>1783</v>
          </cell>
          <cell r="I963">
            <v>251</v>
          </cell>
          <cell r="J963">
            <v>343</v>
          </cell>
          <cell r="K963">
            <v>135</v>
          </cell>
          <cell r="L963">
            <v>201</v>
          </cell>
          <cell r="M963">
            <v>84</v>
          </cell>
          <cell r="N963">
            <v>125</v>
          </cell>
          <cell r="O963">
            <v>126</v>
          </cell>
          <cell r="P963">
            <v>17</v>
          </cell>
          <cell r="Q963">
            <v>20</v>
          </cell>
          <cell r="R963">
            <v>0</v>
          </cell>
          <cell r="S963">
            <v>15</v>
          </cell>
          <cell r="T963">
            <v>0</v>
          </cell>
          <cell r="U963">
            <v>15</v>
          </cell>
          <cell r="V963">
            <v>350</v>
          </cell>
          <cell r="W963">
            <v>151</v>
          </cell>
          <cell r="X963">
            <v>91</v>
          </cell>
          <cell r="Y963">
            <v>57</v>
          </cell>
          <cell r="Z963">
            <v>0</v>
          </cell>
          <cell r="AA963">
            <v>15</v>
          </cell>
          <cell r="AB963">
            <v>224</v>
          </cell>
          <cell r="AC963">
            <v>140</v>
          </cell>
          <cell r="AD963">
            <v>35</v>
          </cell>
          <cell r="AE963">
            <v>43</v>
          </cell>
          <cell r="AF963">
            <v>0</v>
          </cell>
          <cell r="AG963">
            <v>15</v>
          </cell>
          <cell r="AH963">
            <v>23</v>
          </cell>
          <cell r="AI963">
            <v>26</v>
          </cell>
          <cell r="AJ963">
            <v>0</v>
          </cell>
          <cell r="AK963">
            <v>15</v>
          </cell>
          <cell r="AL963">
            <v>101</v>
          </cell>
          <cell r="AM963">
            <v>109</v>
          </cell>
          <cell r="AN963">
            <v>167</v>
          </cell>
          <cell r="AO963">
            <v>103</v>
          </cell>
          <cell r="AP963">
            <v>0</v>
          </cell>
          <cell r="AQ963">
            <v>15</v>
          </cell>
          <cell r="AR963">
            <v>34</v>
          </cell>
          <cell r="AS963">
            <v>45</v>
          </cell>
        </row>
        <row r="964">
          <cell r="B964">
            <v>17031814800</v>
          </cell>
          <cell r="D964">
            <v>3041</v>
          </cell>
          <cell r="E964">
            <v>423</v>
          </cell>
          <cell r="F964">
            <v>2615</v>
          </cell>
          <cell r="G964">
            <v>429</v>
          </cell>
          <cell r="H964">
            <v>2068</v>
          </cell>
          <cell r="I964">
            <v>397</v>
          </cell>
          <cell r="J964">
            <v>547</v>
          </cell>
          <cell r="K964">
            <v>226</v>
          </cell>
          <cell r="L964">
            <v>426</v>
          </cell>
          <cell r="M964">
            <v>231</v>
          </cell>
          <cell r="N964">
            <v>121</v>
          </cell>
          <cell r="O964">
            <v>104</v>
          </cell>
          <cell r="P964">
            <v>0</v>
          </cell>
          <cell r="Q964">
            <v>15</v>
          </cell>
          <cell r="R964">
            <v>0</v>
          </cell>
          <cell r="S964">
            <v>15</v>
          </cell>
          <cell r="T964">
            <v>0</v>
          </cell>
          <cell r="U964">
            <v>15</v>
          </cell>
          <cell r="V964">
            <v>266</v>
          </cell>
          <cell r="W964">
            <v>122</v>
          </cell>
          <cell r="X964">
            <v>66</v>
          </cell>
          <cell r="Y964">
            <v>64</v>
          </cell>
          <cell r="Z964">
            <v>17</v>
          </cell>
          <cell r="AA964">
            <v>28</v>
          </cell>
          <cell r="AB964">
            <v>137</v>
          </cell>
          <cell r="AC964">
            <v>79</v>
          </cell>
          <cell r="AD964">
            <v>46</v>
          </cell>
          <cell r="AE964">
            <v>51</v>
          </cell>
          <cell r="AF964">
            <v>0</v>
          </cell>
          <cell r="AG964">
            <v>15</v>
          </cell>
          <cell r="AH964">
            <v>53</v>
          </cell>
          <cell r="AI964">
            <v>61</v>
          </cell>
          <cell r="AJ964">
            <v>0</v>
          </cell>
          <cell r="AK964">
            <v>15</v>
          </cell>
          <cell r="AL964">
            <v>0</v>
          </cell>
          <cell r="AM964">
            <v>15</v>
          </cell>
          <cell r="AN964">
            <v>80</v>
          </cell>
          <cell r="AO964">
            <v>75</v>
          </cell>
          <cell r="AP964">
            <v>0</v>
          </cell>
          <cell r="AQ964">
            <v>15</v>
          </cell>
          <cell r="AR964">
            <v>27</v>
          </cell>
          <cell r="AS964">
            <v>33</v>
          </cell>
        </row>
        <row r="965">
          <cell r="B965">
            <v>17031814900</v>
          </cell>
          <cell r="D965">
            <v>3060</v>
          </cell>
          <cell r="E965">
            <v>462</v>
          </cell>
          <cell r="F965">
            <v>2472</v>
          </cell>
          <cell r="G965">
            <v>396</v>
          </cell>
          <cell r="H965">
            <v>2197</v>
          </cell>
          <cell r="I965">
            <v>347</v>
          </cell>
          <cell r="J965">
            <v>275</v>
          </cell>
          <cell r="K965">
            <v>177</v>
          </cell>
          <cell r="L965">
            <v>275</v>
          </cell>
          <cell r="M965">
            <v>177</v>
          </cell>
          <cell r="N965">
            <v>0</v>
          </cell>
          <cell r="O965">
            <v>15</v>
          </cell>
          <cell r="P965">
            <v>0</v>
          </cell>
          <cell r="Q965">
            <v>15</v>
          </cell>
          <cell r="R965">
            <v>0</v>
          </cell>
          <cell r="S965">
            <v>15</v>
          </cell>
          <cell r="T965">
            <v>0</v>
          </cell>
          <cell r="U965">
            <v>15</v>
          </cell>
          <cell r="V965">
            <v>342</v>
          </cell>
          <cell r="W965">
            <v>159</v>
          </cell>
          <cell r="X965">
            <v>146</v>
          </cell>
          <cell r="Y965">
            <v>124</v>
          </cell>
          <cell r="Z965">
            <v>0</v>
          </cell>
          <cell r="AA965">
            <v>15</v>
          </cell>
          <cell r="AB965">
            <v>61</v>
          </cell>
          <cell r="AC965">
            <v>46</v>
          </cell>
          <cell r="AD965">
            <v>135</v>
          </cell>
          <cell r="AE965">
            <v>94</v>
          </cell>
          <cell r="AF965">
            <v>0</v>
          </cell>
          <cell r="AG965">
            <v>15</v>
          </cell>
          <cell r="AH965">
            <v>39</v>
          </cell>
          <cell r="AI965">
            <v>57</v>
          </cell>
          <cell r="AJ965">
            <v>0</v>
          </cell>
          <cell r="AK965">
            <v>15</v>
          </cell>
          <cell r="AL965">
            <v>0</v>
          </cell>
          <cell r="AM965">
            <v>15</v>
          </cell>
          <cell r="AN965">
            <v>127</v>
          </cell>
          <cell r="AO965">
            <v>84</v>
          </cell>
          <cell r="AP965">
            <v>0</v>
          </cell>
          <cell r="AQ965">
            <v>15</v>
          </cell>
          <cell r="AR965">
            <v>80</v>
          </cell>
          <cell r="AS965">
            <v>76</v>
          </cell>
        </row>
        <row r="966">
          <cell r="B966">
            <v>17031815000</v>
          </cell>
          <cell r="D966">
            <v>1812</v>
          </cell>
          <cell r="E966">
            <v>275</v>
          </cell>
          <cell r="F966">
            <v>1511</v>
          </cell>
          <cell r="G966">
            <v>246</v>
          </cell>
          <cell r="H966">
            <v>1278</v>
          </cell>
          <cell r="I966">
            <v>222</v>
          </cell>
          <cell r="J966">
            <v>233</v>
          </cell>
          <cell r="K966">
            <v>107</v>
          </cell>
          <cell r="L966">
            <v>175</v>
          </cell>
          <cell r="M966">
            <v>100</v>
          </cell>
          <cell r="N966">
            <v>0</v>
          </cell>
          <cell r="O966">
            <v>11</v>
          </cell>
          <cell r="P966">
            <v>42</v>
          </cell>
          <cell r="Q966">
            <v>48</v>
          </cell>
          <cell r="R966">
            <v>16</v>
          </cell>
          <cell r="S966">
            <v>27</v>
          </cell>
          <cell r="T966">
            <v>0</v>
          </cell>
          <cell r="U966">
            <v>11</v>
          </cell>
          <cell r="V966">
            <v>169</v>
          </cell>
          <cell r="W966">
            <v>88</v>
          </cell>
          <cell r="X966">
            <v>73</v>
          </cell>
          <cell r="Y966">
            <v>65</v>
          </cell>
          <cell r="Z966">
            <v>17</v>
          </cell>
          <cell r="AA966">
            <v>25</v>
          </cell>
          <cell r="AB966">
            <v>46</v>
          </cell>
          <cell r="AC966">
            <v>44</v>
          </cell>
          <cell r="AD966">
            <v>33</v>
          </cell>
          <cell r="AE966">
            <v>39</v>
          </cell>
          <cell r="AF966">
            <v>0</v>
          </cell>
          <cell r="AG966">
            <v>11</v>
          </cell>
          <cell r="AH966">
            <v>0</v>
          </cell>
          <cell r="AI966">
            <v>11</v>
          </cell>
          <cell r="AJ966">
            <v>0</v>
          </cell>
          <cell r="AK966">
            <v>11</v>
          </cell>
          <cell r="AL966">
            <v>0</v>
          </cell>
          <cell r="AM966">
            <v>11</v>
          </cell>
          <cell r="AN966">
            <v>70</v>
          </cell>
          <cell r="AO966">
            <v>52</v>
          </cell>
          <cell r="AP966">
            <v>0</v>
          </cell>
          <cell r="AQ966">
            <v>11</v>
          </cell>
          <cell r="AR966">
            <v>62</v>
          </cell>
          <cell r="AS966">
            <v>64</v>
          </cell>
        </row>
        <row r="967">
          <cell r="B967">
            <v>17031815100</v>
          </cell>
          <cell r="D967">
            <v>2008</v>
          </cell>
          <cell r="E967">
            <v>271</v>
          </cell>
          <cell r="F967">
            <v>1874</v>
          </cell>
          <cell r="G967">
            <v>254</v>
          </cell>
          <cell r="H967">
            <v>1390</v>
          </cell>
          <cell r="I967">
            <v>225</v>
          </cell>
          <cell r="J967">
            <v>484</v>
          </cell>
          <cell r="K967">
            <v>175</v>
          </cell>
          <cell r="L967">
            <v>336</v>
          </cell>
          <cell r="M967">
            <v>139</v>
          </cell>
          <cell r="N967">
            <v>98</v>
          </cell>
          <cell r="O967">
            <v>77</v>
          </cell>
          <cell r="P967">
            <v>50</v>
          </cell>
          <cell r="Q967">
            <v>56</v>
          </cell>
          <cell r="R967">
            <v>0</v>
          </cell>
          <cell r="S967">
            <v>11</v>
          </cell>
          <cell r="T967">
            <v>0</v>
          </cell>
          <cell r="U967">
            <v>11</v>
          </cell>
          <cell r="V967">
            <v>71</v>
          </cell>
          <cell r="W967">
            <v>66</v>
          </cell>
          <cell r="X967">
            <v>49</v>
          </cell>
          <cell r="Y967">
            <v>58</v>
          </cell>
          <cell r="Z967">
            <v>0</v>
          </cell>
          <cell r="AA967">
            <v>11</v>
          </cell>
          <cell r="AB967">
            <v>22</v>
          </cell>
          <cell r="AC967">
            <v>29</v>
          </cell>
          <cell r="AD967">
            <v>0</v>
          </cell>
          <cell r="AE967">
            <v>11</v>
          </cell>
          <cell r="AF967">
            <v>0</v>
          </cell>
          <cell r="AG967">
            <v>11</v>
          </cell>
          <cell r="AH967">
            <v>0</v>
          </cell>
          <cell r="AI967">
            <v>11</v>
          </cell>
          <cell r="AJ967">
            <v>0</v>
          </cell>
          <cell r="AK967">
            <v>11</v>
          </cell>
          <cell r="AL967">
            <v>0</v>
          </cell>
          <cell r="AM967">
            <v>11</v>
          </cell>
          <cell r="AN967">
            <v>36</v>
          </cell>
          <cell r="AO967">
            <v>30</v>
          </cell>
          <cell r="AP967">
            <v>26</v>
          </cell>
          <cell r="AQ967">
            <v>42</v>
          </cell>
          <cell r="AR967">
            <v>1</v>
          </cell>
          <cell r="AS967">
            <v>2</v>
          </cell>
        </row>
        <row r="968">
          <cell r="B968">
            <v>17031815200</v>
          </cell>
          <cell r="D968">
            <v>2992</v>
          </cell>
          <cell r="E968">
            <v>583</v>
          </cell>
          <cell r="F968">
            <v>2457</v>
          </cell>
          <cell r="G968">
            <v>552</v>
          </cell>
          <cell r="H968">
            <v>2201</v>
          </cell>
          <cell r="I968">
            <v>476</v>
          </cell>
          <cell r="J968">
            <v>256</v>
          </cell>
          <cell r="K968">
            <v>150</v>
          </cell>
          <cell r="L968">
            <v>217</v>
          </cell>
          <cell r="M968">
            <v>146</v>
          </cell>
          <cell r="N968">
            <v>39</v>
          </cell>
          <cell r="O968">
            <v>35</v>
          </cell>
          <cell r="P968">
            <v>0</v>
          </cell>
          <cell r="Q968">
            <v>15</v>
          </cell>
          <cell r="R968">
            <v>0</v>
          </cell>
          <cell r="S968">
            <v>15</v>
          </cell>
          <cell r="T968">
            <v>0</v>
          </cell>
          <cell r="U968">
            <v>15</v>
          </cell>
          <cell r="V968">
            <v>384</v>
          </cell>
          <cell r="W968">
            <v>161</v>
          </cell>
          <cell r="X968">
            <v>113</v>
          </cell>
          <cell r="Y968">
            <v>98</v>
          </cell>
          <cell r="Z968">
            <v>45</v>
          </cell>
          <cell r="AA968">
            <v>64</v>
          </cell>
          <cell r="AB968">
            <v>45</v>
          </cell>
          <cell r="AC968">
            <v>34</v>
          </cell>
          <cell r="AD968">
            <v>181</v>
          </cell>
          <cell r="AE968">
            <v>140</v>
          </cell>
          <cell r="AF968">
            <v>0</v>
          </cell>
          <cell r="AG968">
            <v>15</v>
          </cell>
          <cell r="AH968">
            <v>0</v>
          </cell>
          <cell r="AI968">
            <v>15</v>
          </cell>
          <cell r="AJ968">
            <v>0</v>
          </cell>
          <cell r="AK968">
            <v>15</v>
          </cell>
          <cell r="AL968">
            <v>28</v>
          </cell>
          <cell r="AM968">
            <v>39</v>
          </cell>
          <cell r="AN968">
            <v>22</v>
          </cell>
          <cell r="AO968">
            <v>34</v>
          </cell>
          <cell r="AP968">
            <v>0</v>
          </cell>
          <cell r="AQ968">
            <v>15</v>
          </cell>
          <cell r="AR968">
            <v>101</v>
          </cell>
          <cell r="AS968">
            <v>86</v>
          </cell>
        </row>
        <row r="969">
          <cell r="B969">
            <v>17031815300</v>
          </cell>
          <cell r="D969">
            <v>1687</v>
          </cell>
          <cell r="E969">
            <v>272</v>
          </cell>
          <cell r="F969">
            <v>1355</v>
          </cell>
          <cell r="G969">
            <v>229</v>
          </cell>
          <cell r="H969">
            <v>1151</v>
          </cell>
          <cell r="I969">
            <v>208</v>
          </cell>
          <cell r="J969">
            <v>204</v>
          </cell>
          <cell r="K969">
            <v>92</v>
          </cell>
          <cell r="L969">
            <v>155</v>
          </cell>
          <cell r="M969">
            <v>81</v>
          </cell>
          <cell r="N969">
            <v>0</v>
          </cell>
          <cell r="O969">
            <v>11</v>
          </cell>
          <cell r="P969">
            <v>49</v>
          </cell>
          <cell r="Q969">
            <v>56</v>
          </cell>
          <cell r="R969">
            <v>0</v>
          </cell>
          <cell r="S969">
            <v>11</v>
          </cell>
          <cell r="T969">
            <v>0</v>
          </cell>
          <cell r="U969">
            <v>11</v>
          </cell>
          <cell r="V969">
            <v>273</v>
          </cell>
          <cell r="W969">
            <v>150</v>
          </cell>
          <cell r="X969">
            <v>99</v>
          </cell>
          <cell r="Y969">
            <v>71</v>
          </cell>
          <cell r="Z969">
            <v>0</v>
          </cell>
          <cell r="AA969">
            <v>11</v>
          </cell>
          <cell r="AB969">
            <v>24</v>
          </cell>
          <cell r="AC969">
            <v>27</v>
          </cell>
          <cell r="AD969">
            <v>150</v>
          </cell>
          <cell r="AE969">
            <v>128</v>
          </cell>
          <cell r="AF969">
            <v>0</v>
          </cell>
          <cell r="AG969">
            <v>11</v>
          </cell>
          <cell r="AH969">
            <v>0</v>
          </cell>
          <cell r="AI969">
            <v>11</v>
          </cell>
          <cell r="AJ969">
            <v>0</v>
          </cell>
          <cell r="AK969">
            <v>11</v>
          </cell>
          <cell r="AL969">
            <v>0</v>
          </cell>
          <cell r="AM969">
            <v>11</v>
          </cell>
          <cell r="AN969">
            <v>21</v>
          </cell>
          <cell r="AO969">
            <v>18</v>
          </cell>
          <cell r="AP969">
            <v>0</v>
          </cell>
          <cell r="AQ969">
            <v>11</v>
          </cell>
          <cell r="AR969">
            <v>38</v>
          </cell>
          <cell r="AS969">
            <v>30</v>
          </cell>
        </row>
        <row r="970">
          <cell r="B970">
            <v>17031815400</v>
          </cell>
          <cell r="D970">
            <v>2746</v>
          </cell>
          <cell r="E970">
            <v>366</v>
          </cell>
          <cell r="F970">
            <v>2121</v>
          </cell>
          <cell r="G970">
            <v>367</v>
          </cell>
          <cell r="H970">
            <v>1999</v>
          </cell>
          <cell r="I970">
            <v>335</v>
          </cell>
          <cell r="J970">
            <v>122</v>
          </cell>
          <cell r="K970">
            <v>87</v>
          </cell>
          <cell r="L970">
            <v>20</v>
          </cell>
          <cell r="M970">
            <v>32</v>
          </cell>
          <cell r="N970">
            <v>89</v>
          </cell>
          <cell r="O970">
            <v>84</v>
          </cell>
          <cell r="P970">
            <v>0</v>
          </cell>
          <cell r="Q970">
            <v>15</v>
          </cell>
          <cell r="R970">
            <v>0</v>
          </cell>
          <cell r="S970">
            <v>15</v>
          </cell>
          <cell r="T970">
            <v>13</v>
          </cell>
          <cell r="U970">
            <v>23</v>
          </cell>
          <cell r="V970">
            <v>377</v>
          </cell>
          <cell r="W970">
            <v>149</v>
          </cell>
          <cell r="X970">
            <v>68</v>
          </cell>
          <cell r="Y970">
            <v>57</v>
          </cell>
          <cell r="Z970">
            <v>0</v>
          </cell>
          <cell r="AA970">
            <v>15</v>
          </cell>
          <cell r="AB970">
            <v>51</v>
          </cell>
          <cell r="AC970">
            <v>55</v>
          </cell>
          <cell r="AD970">
            <v>258</v>
          </cell>
          <cell r="AE970">
            <v>123</v>
          </cell>
          <cell r="AF970">
            <v>0</v>
          </cell>
          <cell r="AG970">
            <v>15</v>
          </cell>
          <cell r="AH970">
            <v>0</v>
          </cell>
          <cell r="AI970">
            <v>15</v>
          </cell>
          <cell r="AJ970">
            <v>0</v>
          </cell>
          <cell r="AK970">
            <v>15</v>
          </cell>
          <cell r="AL970">
            <v>0</v>
          </cell>
          <cell r="AM970">
            <v>15</v>
          </cell>
          <cell r="AN970">
            <v>96</v>
          </cell>
          <cell r="AO970">
            <v>79</v>
          </cell>
          <cell r="AP970">
            <v>0</v>
          </cell>
          <cell r="AQ970">
            <v>15</v>
          </cell>
          <cell r="AR970">
            <v>152</v>
          </cell>
          <cell r="AS970">
            <v>94</v>
          </cell>
        </row>
        <row r="971">
          <cell r="B971">
            <v>17031815500</v>
          </cell>
          <cell r="D971">
            <v>3890</v>
          </cell>
          <cell r="E971">
            <v>493</v>
          </cell>
          <cell r="F971">
            <v>3524</v>
          </cell>
          <cell r="G971">
            <v>489</v>
          </cell>
          <cell r="H971">
            <v>2994</v>
          </cell>
          <cell r="I971">
            <v>414</v>
          </cell>
          <cell r="J971">
            <v>530</v>
          </cell>
          <cell r="K971">
            <v>294</v>
          </cell>
          <cell r="L971">
            <v>478</v>
          </cell>
          <cell r="M971">
            <v>281</v>
          </cell>
          <cell r="N971">
            <v>0</v>
          </cell>
          <cell r="O971">
            <v>15</v>
          </cell>
          <cell r="P971">
            <v>18</v>
          </cell>
          <cell r="Q971">
            <v>32</v>
          </cell>
          <cell r="R971">
            <v>34</v>
          </cell>
          <cell r="S971">
            <v>57</v>
          </cell>
          <cell r="T971">
            <v>0</v>
          </cell>
          <cell r="U971">
            <v>15</v>
          </cell>
          <cell r="V971">
            <v>238</v>
          </cell>
          <cell r="W971">
            <v>117</v>
          </cell>
          <cell r="X971">
            <v>87</v>
          </cell>
          <cell r="Y971">
            <v>59</v>
          </cell>
          <cell r="Z971">
            <v>0</v>
          </cell>
          <cell r="AA971">
            <v>15</v>
          </cell>
          <cell r="AB971">
            <v>39</v>
          </cell>
          <cell r="AC971">
            <v>46</v>
          </cell>
          <cell r="AD971">
            <v>112</v>
          </cell>
          <cell r="AE971">
            <v>75</v>
          </cell>
          <cell r="AF971">
            <v>0</v>
          </cell>
          <cell r="AG971">
            <v>15</v>
          </cell>
          <cell r="AH971">
            <v>0</v>
          </cell>
          <cell r="AI971">
            <v>15</v>
          </cell>
          <cell r="AJ971">
            <v>0</v>
          </cell>
          <cell r="AK971">
            <v>15</v>
          </cell>
          <cell r="AL971">
            <v>24</v>
          </cell>
          <cell r="AM971">
            <v>37</v>
          </cell>
          <cell r="AN971">
            <v>58</v>
          </cell>
          <cell r="AO971">
            <v>61</v>
          </cell>
          <cell r="AP971">
            <v>27</v>
          </cell>
          <cell r="AQ971">
            <v>31</v>
          </cell>
          <cell r="AR971">
            <v>19</v>
          </cell>
          <cell r="AS971">
            <v>30</v>
          </cell>
        </row>
        <row r="972">
          <cell r="B972">
            <v>17031815600</v>
          </cell>
          <cell r="D972">
            <v>2396</v>
          </cell>
          <cell r="E972">
            <v>254</v>
          </cell>
          <cell r="F972">
            <v>2191</v>
          </cell>
          <cell r="G972">
            <v>231</v>
          </cell>
          <cell r="H972">
            <v>1906</v>
          </cell>
          <cell r="I972">
            <v>224</v>
          </cell>
          <cell r="J972">
            <v>285</v>
          </cell>
          <cell r="K972">
            <v>140</v>
          </cell>
          <cell r="L972">
            <v>285</v>
          </cell>
          <cell r="M972">
            <v>140</v>
          </cell>
          <cell r="N972">
            <v>0</v>
          </cell>
          <cell r="O972">
            <v>15</v>
          </cell>
          <cell r="P972">
            <v>0</v>
          </cell>
          <cell r="Q972">
            <v>15</v>
          </cell>
          <cell r="R972">
            <v>0</v>
          </cell>
          <cell r="S972">
            <v>15</v>
          </cell>
          <cell r="T972">
            <v>0</v>
          </cell>
          <cell r="U972">
            <v>15</v>
          </cell>
          <cell r="V972">
            <v>67</v>
          </cell>
          <cell r="W972">
            <v>66</v>
          </cell>
          <cell r="X972">
            <v>48</v>
          </cell>
          <cell r="Y972">
            <v>59</v>
          </cell>
          <cell r="Z972">
            <v>0</v>
          </cell>
          <cell r="AA972">
            <v>15</v>
          </cell>
          <cell r="AB972">
            <v>19</v>
          </cell>
          <cell r="AC972">
            <v>32</v>
          </cell>
          <cell r="AD972">
            <v>0</v>
          </cell>
          <cell r="AE972">
            <v>15</v>
          </cell>
          <cell r="AF972">
            <v>0</v>
          </cell>
          <cell r="AG972">
            <v>15</v>
          </cell>
          <cell r="AH972">
            <v>0</v>
          </cell>
          <cell r="AI972">
            <v>15</v>
          </cell>
          <cell r="AJ972">
            <v>0</v>
          </cell>
          <cell r="AK972">
            <v>15</v>
          </cell>
          <cell r="AL972">
            <v>0</v>
          </cell>
          <cell r="AM972">
            <v>15</v>
          </cell>
          <cell r="AN972">
            <v>10</v>
          </cell>
          <cell r="AO972">
            <v>16</v>
          </cell>
          <cell r="AP972">
            <v>0</v>
          </cell>
          <cell r="AQ972">
            <v>15</v>
          </cell>
          <cell r="AR972">
            <v>128</v>
          </cell>
          <cell r="AS972">
            <v>104</v>
          </cell>
        </row>
        <row r="973">
          <cell r="B973">
            <v>17031815701</v>
          </cell>
          <cell r="D973">
            <v>1796</v>
          </cell>
          <cell r="E973">
            <v>195</v>
          </cell>
          <cell r="F973">
            <v>1432</v>
          </cell>
          <cell r="G973">
            <v>206</v>
          </cell>
          <cell r="H973">
            <v>1308</v>
          </cell>
          <cell r="I973">
            <v>177</v>
          </cell>
          <cell r="J973">
            <v>124</v>
          </cell>
          <cell r="K973">
            <v>63</v>
          </cell>
          <cell r="L973">
            <v>71</v>
          </cell>
          <cell r="M973">
            <v>55</v>
          </cell>
          <cell r="N973">
            <v>30</v>
          </cell>
          <cell r="O973">
            <v>27</v>
          </cell>
          <cell r="P973">
            <v>0</v>
          </cell>
          <cell r="Q973">
            <v>11</v>
          </cell>
          <cell r="R973">
            <v>23</v>
          </cell>
          <cell r="S973">
            <v>22</v>
          </cell>
          <cell r="T973">
            <v>0</v>
          </cell>
          <cell r="U973">
            <v>11</v>
          </cell>
          <cell r="V973">
            <v>246</v>
          </cell>
          <cell r="W973">
            <v>70</v>
          </cell>
          <cell r="X973">
            <v>24</v>
          </cell>
          <cell r="Y973">
            <v>23</v>
          </cell>
          <cell r="Z973">
            <v>0</v>
          </cell>
          <cell r="AA973">
            <v>11</v>
          </cell>
          <cell r="AB973">
            <v>56</v>
          </cell>
          <cell r="AC973">
            <v>37</v>
          </cell>
          <cell r="AD973">
            <v>166</v>
          </cell>
          <cell r="AE973">
            <v>60</v>
          </cell>
          <cell r="AF973">
            <v>0</v>
          </cell>
          <cell r="AG973">
            <v>11</v>
          </cell>
          <cell r="AH973">
            <v>0</v>
          </cell>
          <cell r="AI973">
            <v>11</v>
          </cell>
          <cell r="AJ973">
            <v>0</v>
          </cell>
          <cell r="AK973">
            <v>11</v>
          </cell>
          <cell r="AL973">
            <v>11</v>
          </cell>
          <cell r="AM973">
            <v>17</v>
          </cell>
          <cell r="AN973">
            <v>0</v>
          </cell>
          <cell r="AO973">
            <v>11</v>
          </cell>
          <cell r="AP973">
            <v>13</v>
          </cell>
          <cell r="AQ973">
            <v>20</v>
          </cell>
          <cell r="AR973">
            <v>94</v>
          </cell>
          <cell r="AS973">
            <v>54</v>
          </cell>
        </row>
        <row r="974">
          <cell r="B974">
            <v>17031815702</v>
          </cell>
          <cell r="D974">
            <v>2430</v>
          </cell>
          <cell r="E974">
            <v>250</v>
          </cell>
          <cell r="F974">
            <v>1541</v>
          </cell>
          <cell r="G974">
            <v>257</v>
          </cell>
          <cell r="H974">
            <v>1462</v>
          </cell>
          <cell r="I974">
            <v>268</v>
          </cell>
          <cell r="J974">
            <v>79</v>
          </cell>
          <cell r="K974">
            <v>59</v>
          </cell>
          <cell r="L974">
            <v>36</v>
          </cell>
          <cell r="M974">
            <v>47</v>
          </cell>
          <cell r="N974">
            <v>0</v>
          </cell>
          <cell r="O974">
            <v>15</v>
          </cell>
          <cell r="P974">
            <v>22</v>
          </cell>
          <cell r="Q974">
            <v>25</v>
          </cell>
          <cell r="R974">
            <v>21</v>
          </cell>
          <cell r="S974">
            <v>26</v>
          </cell>
          <cell r="T974">
            <v>0</v>
          </cell>
          <cell r="U974">
            <v>15</v>
          </cell>
          <cell r="V974">
            <v>660</v>
          </cell>
          <cell r="W974">
            <v>214</v>
          </cell>
          <cell r="X974">
            <v>124</v>
          </cell>
          <cell r="Y974">
            <v>162</v>
          </cell>
          <cell r="Z974">
            <v>0</v>
          </cell>
          <cell r="AA974">
            <v>15</v>
          </cell>
          <cell r="AB974">
            <v>93</v>
          </cell>
          <cell r="AC974">
            <v>75</v>
          </cell>
          <cell r="AD974">
            <v>443</v>
          </cell>
          <cell r="AE974">
            <v>139</v>
          </cell>
          <cell r="AF974">
            <v>0</v>
          </cell>
          <cell r="AG974">
            <v>15</v>
          </cell>
          <cell r="AH974">
            <v>0</v>
          </cell>
          <cell r="AI974">
            <v>15</v>
          </cell>
          <cell r="AJ974">
            <v>0</v>
          </cell>
          <cell r="AK974">
            <v>15</v>
          </cell>
          <cell r="AL974">
            <v>33</v>
          </cell>
          <cell r="AM974">
            <v>37</v>
          </cell>
          <cell r="AN974">
            <v>47</v>
          </cell>
          <cell r="AO974">
            <v>46</v>
          </cell>
          <cell r="AP974">
            <v>0</v>
          </cell>
          <cell r="AQ974">
            <v>15</v>
          </cell>
          <cell r="AR974">
            <v>149</v>
          </cell>
          <cell r="AS974">
            <v>88</v>
          </cell>
        </row>
        <row r="975">
          <cell r="B975">
            <v>17031815800</v>
          </cell>
          <cell r="D975">
            <v>622</v>
          </cell>
          <cell r="E975">
            <v>72</v>
          </cell>
          <cell r="F975">
            <v>459</v>
          </cell>
          <cell r="G975">
            <v>80</v>
          </cell>
          <cell r="H975">
            <v>446</v>
          </cell>
          <cell r="I975">
            <v>82</v>
          </cell>
          <cell r="J975">
            <v>13</v>
          </cell>
          <cell r="K975">
            <v>12</v>
          </cell>
          <cell r="L975">
            <v>13</v>
          </cell>
          <cell r="M975">
            <v>12</v>
          </cell>
          <cell r="N975">
            <v>0</v>
          </cell>
          <cell r="O975">
            <v>11</v>
          </cell>
          <cell r="P975">
            <v>0</v>
          </cell>
          <cell r="Q975">
            <v>11</v>
          </cell>
          <cell r="R975">
            <v>0</v>
          </cell>
          <cell r="S975">
            <v>11</v>
          </cell>
          <cell r="T975">
            <v>0</v>
          </cell>
          <cell r="U975">
            <v>11</v>
          </cell>
          <cell r="V975">
            <v>37</v>
          </cell>
          <cell r="W975">
            <v>22</v>
          </cell>
          <cell r="X975">
            <v>0</v>
          </cell>
          <cell r="Y975">
            <v>11</v>
          </cell>
          <cell r="Z975">
            <v>0</v>
          </cell>
          <cell r="AA975">
            <v>11</v>
          </cell>
          <cell r="AB975">
            <v>8</v>
          </cell>
          <cell r="AC975">
            <v>10</v>
          </cell>
          <cell r="AD975">
            <v>29</v>
          </cell>
          <cell r="AE975">
            <v>20</v>
          </cell>
          <cell r="AF975">
            <v>0</v>
          </cell>
          <cell r="AG975">
            <v>11</v>
          </cell>
          <cell r="AH975">
            <v>0</v>
          </cell>
          <cell r="AI975">
            <v>11</v>
          </cell>
          <cell r="AJ975">
            <v>0</v>
          </cell>
          <cell r="AK975">
            <v>11</v>
          </cell>
          <cell r="AL975">
            <v>14</v>
          </cell>
          <cell r="AM975">
            <v>13</v>
          </cell>
          <cell r="AN975">
            <v>0</v>
          </cell>
          <cell r="AO975">
            <v>11</v>
          </cell>
          <cell r="AP975">
            <v>0</v>
          </cell>
          <cell r="AQ975">
            <v>11</v>
          </cell>
          <cell r="AR975">
            <v>112</v>
          </cell>
          <cell r="AS975">
            <v>60</v>
          </cell>
        </row>
        <row r="976">
          <cell r="B976">
            <v>17031815900</v>
          </cell>
          <cell r="D976">
            <v>2601</v>
          </cell>
          <cell r="E976">
            <v>334</v>
          </cell>
          <cell r="F976">
            <v>1525</v>
          </cell>
          <cell r="G976">
            <v>296</v>
          </cell>
          <cell r="H976">
            <v>1461</v>
          </cell>
          <cell r="I976">
            <v>294</v>
          </cell>
          <cell r="J976">
            <v>64</v>
          </cell>
          <cell r="K976">
            <v>66</v>
          </cell>
          <cell r="L976">
            <v>51</v>
          </cell>
          <cell r="M976">
            <v>63</v>
          </cell>
          <cell r="N976">
            <v>0</v>
          </cell>
          <cell r="O976">
            <v>11</v>
          </cell>
          <cell r="P976">
            <v>0</v>
          </cell>
          <cell r="Q976">
            <v>11</v>
          </cell>
          <cell r="R976">
            <v>0</v>
          </cell>
          <cell r="S976">
            <v>11</v>
          </cell>
          <cell r="T976">
            <v>13</v>
          </cell>
          <cell r="U976">
            <v>21</v>
          </cell>
          <cell r="V976">
            <v>750</v>
          </cell>
          <cell r="W976">
            <v>189</v>
          </cell>
          <cell r="X976">
            <v>178</v>
          </cell>
          <cell r="Y976">
            <v>126</v>
          </cell>
          <cell r="Z976">
            <v>0</v>
          </cell>
          <cell r="AA976">
            <v>11</v>
          </cell>
          <cell r="AB976">
            <v>361</v>
          </cell>
          <cell r="AC976">
            <v>153</v>
          </cell>
          <cell r="AD976">
            <v>211</v>
          </cell>
          <cell r="AE976">
            <v>160</v>
          </cell>
          <cell r="AF976">
            <v>0</v>
          </cell>
          <cell r="AG976">
            <v>11</v>
          </cell>
          <cell r="AH976">
            <v>0</v>
          </cell>
          <cell r="AI976">
            <v>11</v>
          </cell>
          <cell r="AJ976">
            <v>0</v>
          </cell>
          <cell r="AK976">
            <v>11</v>
          </cell>
          <cell r="AL976">
            <v>0</v>
          </cell>
          <cell r="AM976">
            <v>11</v>
          </cell>
          <cell r="AN976">
            <v>79</v>
          </cell>
          <cell r="AO976">
            <v>58</v>
          </cell>
          <cell r="AP976">
            <v>0</v>
          </cell>
          <cell r="AQ976">
            <v>11</v>
          </cell>
          <cell r="AR976">
            <v>247</v>
          </cell>
          <cell r="AS976">
            <v>137</v>
          </cell>
        </row>
        <row r="977">
          <cell r="B977">
            <v>17031816000</v>
          </cell>
          <cell r="D977">
            <v>2108</v>
          </cell>
          <cell r="E977">
            <v>223</v>
          </cell>
          <cell r="F977">
            <v>1444</v>
          </cell>
          <cell r="G977">
            <v>213</v>
          </cell>
          <cell r="H977">
            <v>1317</v>
          </cell>
          <cell r="I977">
            <v>204</v>
          </cell>
          <cell r="J977">
            <v>127</v>
          </cell>
          <cell r="K977">
            <v>68</v>
          </cell>
          <cell r="L977">
            <v>111</v>
          </cell>
          <cell r="M977">
            <v>69</v>
          </cell>
          <cell r="N977">
            <v>16</v>
          </cell>
          <cell r="O977">
            <v>18</v>
          </cell>
          <cell r="P977">
            <v>0</v>
          </cell>
          <cell r="Q977">
            <v>11</v>
          </cell>
          <cell r="R977">
            <v>0</v>
          </cell>
          <cell r="S977">
            <v>11</v>
          </cell>
          <cell r="T977">
            <v>0</v>
          </cell>
          <cell r="U977">
            <v>11</v>
          </cell>
          <cell r="V977">
            <v>389</v>
          </cell>
          <cell r="W977">
            <v>107</v>
          </cell>
          <cell r="X977">
            <v>62</v>
          </cell>
          <cell r="Y977">
            <v>49</v>
          </cell>
          <cell r="Z977">
            <v>0</v>
          </cell>
          <cell r="AA977">
            <v>11</v>
          </cell>
          <cell r="AB977">
            <v>312</v>
          </cell>
          <cell r="AC977">
            <v>110</v>
          </cell>
          <cell r="AD977">
            <v>15</v>
          </cell>
          <cell r="AE977">
            <v>18</v>
          </cell>
          <cell r="AF977">
            <v>0</v>
          </cell>
          <cell r="AG977">
            <v>11</v>
          </cell>
          <cell r="AH977">
            <v>0</v>
          </cell>
          <cell r="AI977">
            <v>11</v>
          </cell>
          <cell r="AJ977">
            <v>6</v>
          </cell>
          <cell r="AK977">
            <v>10</v>
          </cell>
          <cell r="AL977">
            <v>0</v>
          </cell>
          <cell r="AM977">
            <v>11</v>
          </cell>
          <cell r="AN977">
            <v>70</v>
          </cell>
          <cell r="AO977">
            <v>33</v>
          </cell>
          <cell r="AP977">
            <v>4</v>
          </cell>
          <cell r="AQ977">
            <v>7</v>
          </cell>
          <cell r="AR977">
            <v>195</v>
          </cell>
          <cell r="AS977">
            <v>80</v>
          </cell>
        </row>
        <row r="978">
          <cell r="B978">
            <v>17031816100</v>
          </cell>
          <cell r="D978">
            <v>3019</v>
          </cell>
          <cell r="E978">
            <v>294</v>
          </cell>
          <cell r="F978">
            <v>2051</v>
          </cell>
          <cell r="G978">
            <v>320</v>
          </cell>
          <cell r="H978">
            <v>1860</v>
          </cell>
          <cell r="I978">
            <v>330</v>
          </cell>
          <cell r="J978">
            <v>191</v>
          </cell>
          <cell r="K978">
            <v>90</v>
          </cell>
          <cell r="L978">
            <v>140</v>
          </cell>
          <cell r="M978">
            <v>79</v>
          </cell>
          <cell r="N978">
            <v>40</v>
          </cell>
          <cell r="O978">
            <v>42</v>
          </cell>
          <cell r="P978">
            <v>0</v>
          </cell>
          <cell r="Q978">
            <v>15</v>
          </cell>
          <cell r="R978">
            <v>11</v>
          </cell>
          <cell r="S978">
            <v>17</v>
          </cell>
          <cell r="T978">
            <v>0</v>
          </cell>
          <cell r="U978">
            <v>15</v>
          </cell>
          <cell r="V978">
            <v>664</v>
          </cell>
          <cell r="W978">
            <v>223</v>
          </cell>
          <cell r="X978">
            <v>225</v>
          </cell>
          <cell r="Y978">
            <v>142</v>
          </cell>
          <cell r="Z978">
            <v>0</v>
          </cell>
          <cell r="AA978">
            <v>15</v>
          </cell>
          <cell r="AB978">
            <v>321</v>
          </cell>
          <cell r="AC978">
            <v>151</v>
          </cell>
          <cell r="AD978">
            <v>118</v>
          </cell>
          <cell r="AE978">
            <v>84</v>
          </cell>
          <cell r="AF978">
            <v>0</v>
          </cell>
          <cell r="AG978">
            <v>15</v>
          </cell>
          <cell r="AH978">
            <v>0</v>
          </cell>
          <cell r="AI978">
            <v>15</v>
          </cell>
          <cell r="AJ978">
            <v>0</v>
          </cell>
          <cell r="AK978">
            <v>15</v>
          </cell>
          <cell r="AL978">
            <v>15</v>
          </cell>
          <cell r="AM978">
            <v>24</v>
          </cell>
          <cell r="AN978">
            <v>124</v>
          </cell>
          <cell r="AO978">
            <v>79</v>
          </cell>
          <cell r="AP978">
            <v>0</v>
          </cell>
          <cell r="AQ978">
            <v>15</v>
          </cell>
          <cell r="AR978">
            <v>165</v>
          </cell>
          <cell r="AS978">
            <v>88</v>
          </cell>
        </row>
        <row r="979">
          <cell r="B979">
            <v>17031816200</v>
          </cell>
          <cell r="D979">
            <v>1802</v>
          </cell>
          <cell r="E979">
            <v>216</v>
          </cell>
          <cell r="F979">
            <v>1567</v>
          </cell>
          <cell r="G979">
            <v>206</v>
          </cell>
          <cell r="H979">
            <v>1432</v>
          </cell>
          <cell r="I979">
            <v>215</v>
          </cell>
          <cell r="J979">
            <v>135</v>
          </cell>
          <cell r="K979">
            <v>63</v>
          </cell>
          <cell r="L979">
            <v>84</v>
          </cell>
          <cell r="M979">
            <v>49</v>
          </cell>
          <cell r="N979">
            <v>44</v>
          </cell>
          <cell r="O979">
            <v>35</v>
          </cell>
          <cell r="P979">
            <v>7</v>
          </cell>
          <cell r="Q979">
            <v>12</v>
          </cell>
          <cell r="R979">
            <v>0</v>
          </cell>
          <cell r="S979">
            <v>11</v>
          </cell>
          <cell r="T979">
            <v>0</v>
          </cell>
          <cell r="U979">
            <v>11</v>
          </cell>
          <cell r="V979">
            <v>107</v>
          </cell>
          <cell r="W979">
            <v>72</v>
          </cell>
          <cell r="X979">
            <v>87</v>
          </cell>
          <cell r="Y979">
            <v>66</v>
          </cell>
          <cell r="Z979">
            <v>0</v>
          </cell>
          <cell r="AA979">
            <v>11</v>
          </cell>
          <cell r="AB979">
            <v>13</v>
          </cell>
          <cell r="AC979">
            <v>23</v>
          </cell>
          <cell r="AD979">
            <v>7</v>
          </cell>
          <cell r="AE979">
            <v>11</v>
          </cell>
          <cell r="AF979">
            <v>0</v>
          </cell>
          <cell r="AG979">
            <v>11</v>
          </cell>
          <cell r="AH979">
            <v>0</v>
          </cell>
          <cell r="AI979">
            <v>11</v>
          </cell>
          <cell r="AJ979">
            <v>12</v>
          </cell>
          <cell r="AK979">
            <v>20</v>
          </cell>
          <cell r="AL979">
            <v>0</v>
          </cell>
          <cell r="AM979">
            <v>11</v>
          </cell>
          <cell r="AN979">
            <v>51</v>
          </cell>
          <cell r="AO979">
            <v>37</v>
          </cell>
          <cell r="AP979">
            <v>0</v>
          </cell>
          <cell r="AQ979">
            <v>11</v>
          </cell>
          <cell r="AR979">
            <v>65</v>
          </cell>
          <cell r="AS979">
            <v>38</v>
          </cell>
        </row>
        <row r="980">
          <cell r="B980">
            <v>17031816300</v>
          </cell>
          <cell r="D980">
            <v>2540</v>
          </cell>
          <cell r="E980">
            <v>194</v>
          </cell>
          <cell r="F980">
            <v>2294</v>
          </cell>
          <cell r="G980">
            <v>203</v>
          </cell>
          <cell r="H980">
            <v>1903</v>
          </cell>
          <cell r="I980">
            <v>196</v>
          </cell>
          <cell r="J980">
            <v>391</v>
          </cell>
          <cell r="K980">
            <v>149</v>
          </cell>
          <cell r="L980">
            <v>308</v>
          </cell>
          <cell r="M980">
            <v>119</v>
          </cell>
          <cell r="N980">
            <v>65</v>
          </cell>
          <cell r="O980">
            <v>83</v>
          </cell>
          <cell r="P980">
            <v>18</v>
          </cell>
          <cell r="Q980">
            <v>19</v>
          </cell>
          <cell r="R980">
            <v>0</v>
          </cell>
          <cell r="S980">
            <v>15</v>
          </cell>
          <cell r="T980">
            <v>0</v>
          </cell>
          <cell r="U980">
            <v>15</v>
          </cell>
          <cell r="V980">
            <v>67</v>
          </cell>
          <cell r="W980">
            <v>64</v>
          </cell>
          <cell r="X980">
            <v>34</v>
          </cell>
          <cell r="Y980">
            <v>38</v>
          </cell>
          <cell r="Z980">
            <v>0</v>
          </cell>
          <cell r="AA980">
            <v>15</v>
          </cell>
          <cell r="AB980">
            <v>33</v>
          </cell>
          <cell r="AC980">
            <v>54</v>
          </cell>
          <cell r="AD980">
            <v>0</v>
          </cell>
          <cell r="AE980">
            <v>15</v>
          </cell>
          <cell r="AF980">
            <v>0</v>
          </cell>
          <cell r="AG980">
            <v>15</v>
          </cell>
          <cell r="AH980">
            <v>0</v>
          </cell>
          <cell r="AI980">
            <v>15</v>
          </cell>
          <cell r="AJ980">
            <v>0</v>
          </cell>
          <cell r="AK980">
            <v>15</v>
          </cell>
          <cell r="AL980">
            <v>14</v>
          </cell>
          <cell r="AM980">
            <v>15</v>
          </cell>
          <cell r="AN980">
            <v>71</v>
          </cell>
          <cell r="AO980">
            <v>41</v>
          </cell>
          <cell r="AP980">
            <v>16</v>
          </cell>
          <cell r="AQ980">
            <v>17</v>
          </cell>
          <cell r="AR980">
            <v>78</v>
          </cell>
          <cell r="AS980">
            <v>41</v>
          </cell>
        </row>
        <row r="981">
          <cell r="B981">
            <v>17031816401</v>
          </cell>
          <cell r="D981">
            <v>2464</v>
          </cell>
          <cell r="E981">
            <v>302</v>
          </cell>
          <cell r="F981">
            <v>2204</v>
          </cell>
          <cell r="G981">
            <v>295</v>
          </cell>
          <cell r="H981">
            <v>1817</v>
          </cell>
          <cell r="I981">
            <v>218</v>
          </cell>
          <cell r="J981">
            <v>387</v>
          </cell>
          <cell r="K981">
            <v>207</v>
          </cell>
          <cell r="L981">
            <v>339</v>
          </cell>
          <cell r="M981">
            <v>203</v>
          </cell>
          <cell r="N981">
            <v>39</v>
          </cell>
          <cell r="O981">
            <v>41</v>
          </cell>
          <cell r="P981">
            <v>9</v>
          </cell>
          <cell r="Q981">
            <v>17</v>
          </cell>
          <cell r="R981">
            <v>0</v>
          </cell>
          <cell r="S981">
            <v>15</v>
          </cell>
          <cell r="T981">
            <v>0</v>
          </cell>
          <cell r="U981">
            <v>15</v>
          </cell>
          <cell r="V981">
            <v>27</v>
          </cell>
          <cell r="W981">
            <v>40</v>
          </cell>
          <cell r="X981">
            <v>27</v>
          </cell>
          <cell r="Y981">
            <v>40</v>
          </cell>
          <cell r="Z981">
            <v>0</v>
          </cell>
          <cell r="AA981">
            <v>15</v>
          </cell>
          <cell r="AB981">
            <v>0</v>
          </cell>
          <cell r="AC981">
            <v>15</v>
          </cell>
          <cell r="AD981">
            <v>0</v>
          </cell>
          <cell r="AE981">
            <v>15</v>
          </cell>
          <cell r="AF981">
            <v>0</v>
          </cell>
          <cell r="AG981">
            <v>15</v>
          </cell>
          <cell r="AH981">
            <v>0</v>
          </cell>
          <cell r="AI981">
            <v>15</v>
          </cell>
          <cell r="AJ981">
            <v>0</v>
          </cell>
          <cell r="AK981">
            <v>15</v>
          </cell>
          <cell r="AL981">
            <v>25</v>
          </cell>
          <cell r="AM981">
            <v>31</v>
          </cell>
          <cell r="AN981">
            <v>69</v>
          </cell>
          <cell r="AO981">
            <v>52</v>
          </cell>
          <cell r="AP981">
            <v>87</v>
          </cell>
          <cell r="AQ981">
            <v>60</v>
          </cell>
          <cell r="AR981">
            <v>52</v>
          </cell>
          <cell r="AS981">
            <v>56</v>
          </cell>
        </row>
        <row r="982">
          <cell r="B982">
            <v>17031816402</v>
          </cell>
          <cell r="D982">
            <v>1965</v>
          </cell>
          <cell r="E982">
            <v>274</v>
          </cell>
          <cell r="F982">
            <v>1804</v>
          </cell>
          <cell r="G982">
            <v>265</v>
          </cell>
          <cell r="H982">
            <v>1482</v>
          </cell>
          <cell r="I982">
            <v>231</v>
          </cell>
          <cell r="J982">
            <v>322</v>
          </cell>
          <cell r="K982">
            <v>130</v>
          </cell>
          <cell r="L982">
            <v>257</v>
          </cell>
          <cell r="M982">
            <v>130</v>
          </cell>
          <cell r="N982">
            <v>34</v>
          </cell>
          <cell r="O982">
            <v>40</v>
          </cell>
          <cell r="P982">
            <v>0</v>
          </cell>
          <cell r="Q982">
            <v>11</v>
          </cell>
          <cell r="R982">
            <v>23</v>
          </cell>
          <cell r="S982">
            <v>36</v>
          </cell>
          <cell r="T982">
            <v>8</v>
          </cell>
          <cell r="U982">
            <v>12</v>
          </cell>
          <cell r="V982">
            <v>77</v>
          </cell>
          <cell r="W982">
            <v>60</v>
          </cell>
          <cell r="X982">
            <v>68</v>
          </cell>
          <cell r="Y982">
            <v>55</v>
          </cell>
          <cell r="Z982">
            <v>0</v>
          </cell>
          <cell r="AA982">
            <v>11</v>
          </cell>
          <cell r="AB982">
            <v>9</v>
          </cell>
          <cell r="AC982">
            <v>14</v>
          </cell>
          <cell r="AD982">
            <v>0</v>
          </cell>
          <cell r="AE982">
            <v>11</v>
          </cell>
          <cell r="AF982">
            <v>0</v>
          </cell>
          <cell r="AG982">
            <v>11</v>
          </cell>
          <cell r="AH982">
            <v>0</v>
          </cell>
          <cell r="AI982">
            <v>11</v>
          </cell>
          <cell r="AJ982">
            <v>0</v>
          </cell>
          <cell r="AK982">
            <v>11</v>
          </cell>
          <cell r="AL982">
            <v>0</v>
          </cell>
          <cell r="AM982">
            <v>11</v>
          </cell>
          <cell r="AN982">
            <v>19</v>
          </cell>
          <cell r="AO982">
            <v>21</v>
          </cell>
          <cell r="AP982">
            <v>62</v>
          </cell>
          <cell r="AQ982">
            <v>55</v>
          </cell>
          <cell r="AR982">
            <v>3</v>
          </cell>
          <cell r="AS982">
            <v>6</v>
          </cell>
        </row>
        <row r="983">
          <cell r="B983">
            <v>17031816500</v>
          </cell>
          <cell r="D983">
            <v>1986</v>
          </cell>
          <cell r="E983">
            <v>270</v>
          </cell>
          <cell r="F983">
            <v>1782</v>
          </cell>
          <cell r="G983">
            <v>273</v>
          </cell>
          <cell r="H983">
            <v>1553</v>
          </cell>
          <cell r="I983">
            <v>245</v>
          </cell>
          <cell r="J983">
            <v>229</v>
          </cell>
          <cell r="K983">
            <v>117</v>
          </cell>
          <cell r="L983">
            <v>192</v>
          </cell>
          <cell r="M983">
            <v>107</v>
          </cell>
          <cell r="N983">
            <v>37</v>
          </cell>
          <cell r="O983">
            <v>44</v>
          </cell>
          <cell r="P983">
            <v>0</v>
          </cell>
          <cell r="Q983">
            <v>11</v>
          </cell>
          <cell r="R983">
            <v>0</v>
          </cell>
          <cell r="S983">
            <v>11</v>
          </cell>
          <cell r="T983">
            <v>0</v>
          </cell>
          <cell r="U983">
            <v>11</v>
          </cell>
          <cell r="V983">
            <v>61</v>
          </cell>
          <cell r="W983">
            <v>59</v>
          </cell>
          <cell r="X983">
            <v>61</v>
          </cell>
          <cell r="Y983">
            <v>59</v>
          </cell>
          <cell r="Z983">
            <v>0</v>
          </cell>
          <cell r="AA983">
            <v>11</v>
          </cell>
          <cell r="AB983">
            <v>0</v>
          </cell>
          <cell r="AC983">
            <v>11</v>
          </cell>
          <cell r="AD983">
            <v>0</v>
          </cell>
          <cell r="AE983">
            <v>11</v>
          </cell>
          <cell r="AF983">
            <v>0</v>
          </cell>
          <cell r="AG983">
            <v>11</v>
          </cell>
          <cell r="AH983">
            <v>0</v>
          </cell>
          <cell r="AI983">
            <v>11</v>
          </cell>
          <cell r="AJ983">
            <v>13</v>
          </cell>
          <cell r="AK983">
            <v>21</v>
          </cell>
          <cell r="AL983">
            <v>0</v>
          </cell>
          <cell r="AM983">
            <v>11</v>
          </cell>
          <cell r="AN983">
            <v>97</v>
          </cell>
          <cell r="AO983">
            <v>64</v>
          </cell>
          <cell r="AP983">
            <v>0</v>
          </cell>
          <cell r="AQ983">
            <v>11</v>
          </cell>
          <cell r="AR983">
            <v>33</v>
          </cell>
          <cell r="AS983">
            <v>43</v>
          </cell>
        </row>
        <row r="984">
          <cell r="B984">
            <v>17031816600</v>
          </cell>
          <cell r="D984">
            <v>1970</v>
          </cell>
          <cell r="E984">
            <v>270</v>
          </cell>
          <cell r="F984">
            <v>1842</v>
          </cell>
          <cell r="G984">
            <v>263</v>
          </cell>
          <cell r="H984">
            <v>1539</v>
          </cell>
          <cell r="I984">
            <v>207</v>
          </cell>
          <cell r="J984">
            <v>303</v>
          </cell>
          <cell r="K984">
            <v>152</v>
          </cell>
          <cell r="L984">
            <v>269</v>
          </cell>
          <cell r="M984">
            <v>147</v>
          </cell>
          <cell r="N984">
            <v>34</v>
          </cell>
          <cell r="O984">
            <v>34</v>
          </cell>
          <cell r="P984">
            <v>0</v>
          </cell>
          <cell r="Q984">
            <v>11</v>
          </cell>
          <cell r="R984">
            <v>0</v>
          </cell>
          <cell r="S984">
            <v>11</v>
          </cell>
          <cell r="T984">
            <v>0</v>
          </cell>
          <cell r="U984">
            <v>11</v>
          </cell>
          <cell r="V984">
            <v>74</v>
          </cell>
          <cell r="W984">
            <v>63</v>
          </cell>
          <cell r="X984">
            <v>41</v>
          </cell>
          <cell r="Y984">
            <v>44</v>
          </cell>
          <cell r="Z984">
            <v>0</v>
          </cell>
          <cell r="AA984">
            <v>11</v>
          </cell>
          <cell r="AB984">
            <v>0</v>
          </cell>
          <cell r="AC984">
            <v>11</v>
          </cell>
          <cell r="AD984">
            <v>33</v>
          </cell>
          <cell r="AE984">
            <v>43</v>
          </cell>
          <cell r="AF984">
            <v>0</v>
          </cell>
          <cell r="AG984">
            <v>11</v>
          </cell>
          <cell r="AH984">
            <v>0</v>
          </cell>
          <cell r="AI984">
            <v>11</v>
          </cell>
          <cell r="AJ984">
            <v>0</v>
          </cell>
          <cell r="AK984">
            <v>11</v>
          </cell>
          <cell r="AL984">
            <v>0</v>
          </cell>
          <cell r="AM984">
            <v>11</v>
          </cell>
          <cell r="AN984">
            <v>7</v>
          </cell>
          <cell r="AO984">
            <v>12</v>
          </cell>
          <cell r="AP984">
            <v>30</v>
          </cell>
          <cell r="AQ984">
            <v>31</v>
          </cell>
          <cell r="AR984">
            <v>17</v>
          </cell>
          <cell r="AS984">
            <v>27</v>
          </cell>
        </row>
        <row r="985">
          <cell r="B985">
            <v>17031816700</v>
          </cell>
          <cell r="D985">
            <v>1395</v>
          </cell>
          <cell r="E985">
            <v>136</v>
          </cell>
          <cell r="F985">
            <v>1350</v>
          </cell>
          <cell r="G985">
            <v>136</v>
          </cell>
          <cell r="H985">
            <v>1180</v>
          </cell>
          <cell r="I985">
            <v>125</v>
          </cell>
          <cell r="J985">
            <v>170</v>
          </cell>
          <cell r="K985">
            <v>74</v>
          </cell>
          <cell r="L985">
            <v>134</v>
          </cell>
          <cell r="M985">
            <v>60</v>
          </cell>
          <cell r="N985">
            <v>17</v>
          </cell>
          <cell r="O985">
            <v>27</v>
          </cell>
          <cell r="P985">
            <v>13</v>
          </cell>
          <cell r="Q985">
            <v>14</v>
          </cell>
          <cell r="R985">
            <v>0</v>
          </cell>
          <cell r="S985">
            <v>11</v>
          </cell>
          <cell r="T985">
            <v>6</v>
          </cell>
          <cell r="U985">
            <v>9</v>
          </cell>
          <cell r="V985">
            <v>13</v>
          </cell>
          <cell r="W985">
            <v>17</v>
          </cell>
          <cell r="X985">
            <v>13</v>
          </cell>
          <cell r="Y985">
            <v>17</v>
          </cell>
          <cell r="Z985">
            <v>0</v>
          </cell>
          <cell r="AA985">
            <v>11</v>
          </cell>
          <cell r="AB985">
            <v>0</v>
          </cell>
          <cell r="AC985">
            <v>11</v>
          </cell>
          <cell r="AD985">
            <v>0</v>
          </cell>
          <cell r="AE985">
            <v>11</v>
          </cell>
          <cell r="AF985">
            <v>0</v>
          </cell>
          <cell r="AG985">
            <v>11</v>
          </cell>
          <cell r="AH985">
            <v>0</v>
          </cell>
          <cell r="AI985">
            <v>11</v>
          </cell>
          <cell r="AJ985">
            <v>0</v>
          </cell>
          <cell r="AK985">
            <v>11</v>
          </cell>
          <cell r="AL985">
            <v>0</v>
          </cell>
          <cell r="AM985">
            <v>11</v>
          </cell>
          <cell r="AN985">
            <v>9</v>
          </cell>
          <cell r="AO985">
            <v>10</v>
          </cell>
          <cell r="AP985">
            <v>12</v>
          </cell>
          <cell r="AQ985">
            <v>19</v>
          </cell>
          <cell r="AR985">
            <v>11</v>
          </cell>
          <cell r="AS985">
            <v>13</v>
          </cell>
        </row>
        <row r="986">
          <cell r="B986">
            <v>17031816800</v>
          </cell>
          <cell r="D986">
            <v>2674</v>
          </cell>
          <cell r="E986">
            <v>160</v>
          </cell>
          <cell r="F986">
            <v>2344</v>
          </cell>
          <cell r="G986">
            <v>180</v>
          </cell>
          <cell r="H986">
            <v>2164</v>
          </cell>
          <cell r="I986">
            <v>174</v>
          </cell>
          <cell r="J986">
            <v>180</v>
          </cell>
          <cell r="K986">
            <v>68</v>
          </cell>
          <cell r="L986">
            <v>152</v>
          </cell>
          <cell r="M986">
            <v>60</v>
          </cell>
          <cell r="N986">
            <v>8</v>
          </cell>
          <cell r="O986">
            <v>13</v>
          </cell>
          <cell r="P986">
            <v>10</v>
          </cell>
          <cell r="Q986">
            <v>17</v>
          </cell>
          <cell r="R986">
            <v>10</v>
          </cell>
          <cell r="S986">
            <v>15</v>
          </cell>
          <cell r="T986">
            <v>0</v>
          </cell>
          <cell r="U986">
            <v>15</v>
          </cell>
          <cell r="V986">
            <v>107</v>
          </cell>
          <cell r="W986">
            <v>54</v>
          </cell>
          <cell r="X986">
            <v>13</v>
          </cell>
          <cell r="Y986">
            <v>19</v>
          </cell>
          <cell r="Z986">
            <v>0</v>
          </cell>
          <cell r="AA986">
            <v>15</v>
          </cell>
          <cell r="AB986">
            <v>60</v>
          </cell>
          <cell r="AC986">
            <v>46</v>
          </cell>
          <cell r="AD986">
            <v>34</v>
          </cell>
          <cell r="AE986">
            <v>28</v>
          </cell>
          <cell r="AF986">
            <v>0</v>
          </cell>
          <cell r="AG986">
            <v>15</v>
          </cell>
          <cell r="AH986">
            <v>0</v>
          </cell>
          <cell r="AI986">
            <v>15</v>
          </cell>
          <cell r="AJ986">
            <v>0</v>
          </cell>
          <cell r="AK986">
            <v>15</v>
          </cell>
          <cell r="AL986">
            <v>0</v>
          </cell>
          <cell r="AM986">
            <v>15</v>
          </cell>
          <cell r="AN986">
            <v>90</v>
          </cell>
          <cell r="AO986">
            <v>89</v>
          </cell>
          <cell r="AP986">
            <v>58</v>
          </cell>
          <cell r="AQ986">
            <v>60</v>
          </cell>
          <cell r="AR986">
            <v>75</v>
          </cell>
          <cell r="AS986">
            <v>53</v>
          </cell>
        </row>
        <row r="987">
          <cell r="B987">
            <v>17031816900</v>
          </cell>
          <cell r="D987">
            <v>2755</v>
          </cell>
          <cell r="E987">
            <v>313</v>
          </cell>
          <cell r="F987">
            <v>2504</v>
          </cell>
          <cell r="G987">
            <v>322</v>
          </cell>
          <cell r="H987">
            <v>2314</v>
          </cell>
          <cell r="I987">
            <v>351</v>
          </cell>
          <cell r="J987">
            <v>190</v>
          </cell>
          <cell r="K987">
            <v>126</v>
          </cell>
          <cell r="L987">
            <v>178</v>
          </cell>
          <cell r="M987">
            <v>127</v>
          </cell>
          <cell r="N987">
            <v>12</v>
          </cell>
          <cell r="O987">
            <v>18</v>
          </cell>
          <cell r="P987">
            <v>0</v>
          </cell>
          <cell r="Q987">
            <v>15</v>
          </cell>
          <cell r="R987">
            <v>0</v>
          </cell>
          <cell r="S987">
            <v>15</v>
          </cell>
          <cell r="T987">
            <v>0</v>
          </cell>
          <cell r="U987">
            <v>15</v>
          </cell>
          <cell r="V987">
            <v>138</v>
          </cell>
          <cell r="W987">
            <v>71</v>
          </cell>
          <cell r="X987">
            <v>59</v>
          </cell>
          <cell r="Y987">
            <v>49</v>
          </cell>
          <cell r="Z987">
            <v>0</v>
          </cell>
          <cell r="AA987">
            <v>15</v>
          </cell>
          <cell r="AB987">
            <v>12</v>
          </cell>
          <cell r="AC987">
            <v>15</v>
          </cell>
          <cell r="AD987">
            <v>67</v>
          </cell>
          <cell r="AE987">
            <v>64</v>
          </cell>
          <cell r="AF987">
            <v>0</v>
          </cell>
          <cell r="AG987">
            <v>15</v>
          </cell>
          <cell r="AH987">
            <v>19</v>
          </cell>
          <cell r="AI987">
            <v>20</v>
          </cell>
          <cell r="AJ987">
            <v>0</v>
          </cell>
          <cell r="AK987">
            <v>15</v>
          </cell>
          <cell r="AL987">
            <v>0</v>
          </cell>
          <cell r="AM987">
            <v>15</v>
          </cell>
          <cell r="AN987">
            <v>30</v>
          </cell>
          <cell r="AO987">
            <v>38</v>
          </cell>
          <cell r="AP987">
            <v>8</v>
          </cell>
          <cell r="AQ987">
            <v>12</v>
          </cell>
          <cell r="AR987">
            <v>56</v>
          </cell>
          <cell r="AS987">
            <v>43</v>
          </cell>
        </row>
        <row r="988">
          <cell r="B988">
            <v>17031817000</v>
          </cell>
          <cell r="D988">
            <v>2575</v>
          </cell>
          <cell r="E988">
            <v>335</v>
          </cell>
          <cell r="F988">
            <v>2177</v>
          </cell>
          <cell r="G988">
            <v>302</v>
          </cell>
          <cell r="H988">
            <v>1845</v>
          </cell>
          <cell r="I988">
            <v>295</v>
          </cell>
          <cell r="J988">
            <v>332</v>
          </cell>
          <cell r="K988">
            <v>149</v>
          </cell>
          <cell r="L988">
            <v>221</v>
          </cell>
          <cell r="M988">
            <v>122</v>
          </cell>
          <cell r="N988">
            <v>84</v>
          </cell>
          <cell r="O988">
            <v>97</v>
          </cell>
          <cell r="P988">
            <v>0</v>
          </cell>
          <cell r="Q988">
            <v>15</v>
          </cell>
          <cell r="R988">
            <v>27</v>
          </cell>
          <cell r="S988">
            <v>40</v>
          </cell>
          <cell r="T988">
            <v>0</v>
          </cell>
          <cell r="U988">
            <v>15</v>
          </cell>
          <cell r="V988">
            <v>248</v>
          </cell>
          <cell r="W988">
            <v>99</v>
          </cell>
          <cell r="X988">
            <v>92</v>
          </cell>
          <cell r="Y988">
            <v>55</v>
          </cell>
          <cell r="Z988">
            <v>17</v>
          </cell>
          <cell r="AA988">
            <v>28</v>
          </cell>
          <cell r="AB988">
            <v>102</v>
          </cell>
          <cell r="AC988">
            <v>79</v>
          </cell>
          <cell r="AD988">
            <v>37</v>
          </cell>
          <cell r="AE988">
            <v>31</v>
          </cell>
          <cell r="AF988">
            <v>0</v>
          </cell>
          <cell r="AG988">
            <v>15</v>
          </cell>
          <cell r="AH988">
            <v>25</v>
          </cell>
          <cell r="AI988">
            <v>38</v>
          </cell>
          <cell r="AJ988">
            <v>0</v>
          </cell>
          <cell r="AK988">
            <v>15</v>
          </cell>
          <cell r="AL988">
            <v>14</v>
          </cell>
          <cell r="AM988">
            <v>21</v>
          </cell>
          <cell r="AN988">
            <v>43</v>
          </cell>
          <cell r="AO988">
            <v>50</v>
          </cell>
          <cell r="AP988">
            <v>0</v>
          </cell>
          <cell r="AQ988">
            <v>15</v>
          </cell>
          <cell r="AR988">
            <v>68</v>
          </cell>
          <cell r="AS988">
            <v>54</v>
          </cell>
        </row>
        <row r="989">
          <cell r="B989">
            <v>17031817101</v>
          </cell>
          <cell r="D989">
            <v>2336</v>
          </cell>
          <cell r="E989">
            <v>302</v>
          </cell>
          <cell r="F989">
            <v>1811</v>
          </cell>
          <cell r="G989">
            <v>279</v>
          </cell>
          <cell r="H989">
            <v>1474</v>
          </cell>
          <cell r="I989">
            <v>252</v>
          </cell>
          <cell r="J989">
            <v>337</v>
          </cell>
          <cell r="K989">
            <v>130</v>
          </cell>
          <cell r="L989">
            <v>310</v>
          </cell>
          <cell r="M989">
            <v>132</v>
          </cell>
          <cell r="N989">
            <v>27</v>
          </cell>
          <cell r="O989">
            <v>44</v>
          </cell>
          <cell r="P989">
            <v>0</v>
          </cell>
          <cell r="Q989">
            <v>11</v>
          </cell>
          <cell r="R989">
            <v>0</v>
          </cell>
          <cell r="S989">
            <v>11</v>
          </cell>
          <cell r="T989">
            <v>0</v>
          </cell>
          <cell r="U989">
            <v>11</v>
          </cell>
          <cell r="V989">
            <v>353</v>
          </cell>
          <cell r="W989">
            <v>142</v>
          </cell>
          <cell r="X989">
            <v>234</v>
          </cell>
          <cell r="Y989">
            <v>125</v>
          </cell>
          <cell r="Z989">
            <v>0</v>
          </cell>
          <cell r="AA989">
            <v>11</v>
          </cell>
          <cell r="AB989">
            <v>107</v>
          </cell>
          <cell r="AC989">
            <v>93</v>
          </cell>
          <cell r="AD989">
            <v>12</v>
          </cell>
          <cell r="AE989">
            <v>19</v>
          </cell>
          <cell r="AF989">
            <v>0</v>
          </cell>
          <cell r="AG989">
            <v>11</v>
          </cell>
          <cell r="AH989">
            <v>37</v>
          </cell>
          <cell r="AI989">
            <v>57</v>
          </cell>
          <cell r="AJ989">
            <v>0</v>
          </cell>
          <cell r="AK989">
            <v>11</v>
          </cell>
          <cell r="AL989">
            <v>27</v>
          </cell>
          <cell r="AM989">
            <v>32</v>
          </cell>
          <cell r="AN989">
            <v>28</v>
          </cell>
          <cell r="AO989">
            <v>31</v>
          </cell>
          <cell r="AP989">
            <v>60</v>
          </cell>
          <cell r="AQ989">
            <v>51</v>
          </cell>
          <cell r="AR989">
            <v>20</v>
          </cell>
          <cell r="AS989">
            <v>31</v>
          </cell>
        </row>
        <row r="990">
          <cell r="B990">
            <v>17031817102</v>
          </cell>
          <cell r="D990">
            <v>1550</v>
          </cell>
          <cell r="E990">
            <v>282</v>
          </cell>
          <cell r="F990">
            <v>1410</v>
          </cell>
          <cell r="G990">
            <v>278</v>
          </cell>
          <cell r="H990">
            <v>1365</v>
          </cell>
          <cell r="I990">
            <v>271</v>
          </cell>
          <cell r="J990">
            <v>45</v>
          </cell>
          <cell r="K990">
            <v>39</v>
          </cell>
          <cell r="L990">
            <v>24</v>
          </cell>
          <cell r="M990">
            <v>28</v>
          </cell>
          <cell r="N990">
            <v>0</v>
          </cell>
          <cell r="O990">
            <v>11</v>
          </cell>
          <cell r="P990">
            <v>11</v>
          </cell>
          <cell r="Q990">
            <v>20</v>
          </cell>
          <cell r="R990">
            <v>10</v>
          </cell>
          <cell r="S990">
            <v>16</v>
          </cell>
          <cell r="T990">
            <v>0</v>
          </cell>
          <cell r="U990">
            <v>11</v>
          </cell>
          <cell r="V990">
            <v>101</v>
          </cell>
          <cell r="W990">
            <v>68</v>
          </cell>
          <cell r="X990">
            <v>44</v>
          </cell>
          <cell r="Y990">
            <v>51</v>
          </cell>
          <cell r="Z990">
            <v>0</v>
          </cell>
          <cell r="AA990">
            <v>11</v>
          </cell>
          <cell r="AB990">
            <v>57</v>
          </cell>
          <cell r="AC990">
            <v>41</v>
          </cell>
          <cell r="AD990">
            <v>0</v>
          </cell>
          <cell r="AE990">
            <v>11</v>
          </cell>
          <cell r="AF990">
            <v>0</v>
          </cell>
          <cell r="AG990">
            <v>11</v>
          </cell>
          <cell r="AH990">
            <v>0</v>
          </cell>
          <cell r="AI990">
            <v>11</v>
          </cell>
          <cell r="AJ990">
            <v>0</v>
          </cell>
          <cell r="AK990">
            <v>11</v>
          </cell>
          <cell r="AL990">
            <v>12</v>
          </cell>
          <cell r="AM990">
            <v>20</v>
          </cell>
          <cell r="AN990">
            <v>18</v>
          </cell>
          <cell r="AO990">
            <v>23</v>
          </cell>
          <cell r="AP990">
            <v>0</v>
          </cell>
          <cell r="AQ990">
            <v>11</v>
          </cell>
          <cell r="AR990">
            <v>9</v>
          </cell>
          <cell r="AS990">
            <v>17</v>
          </cell>
        </row>
        <row r="991">
          <cell r="B991">
            <v>17031817200</v>
          </cell>
          <cell r="D991">
            <v>1671</v>
          </cell>
          <cell r="E991">
            <v>283</v>
          </cell>
          <cell r="F991">
            <v>1249</v>
          </cell>
          <cell r="G991">
            <v>245</v>
          </cell>
          <cell r="H991">
            <v>1093</v>
          </cell>
          <cell r="I991">
            <v>233</v>
          </cell>
          <cell r="J991">
            <v>156</v>
          </cell>
          <cell r="K991">
            <v>86</v>
          </cell>
          <cell r="L991">
            <v>156</v>
          </cell>
          <cell r="M991">
            <v>86</v>
          </cell>
          <cell r="N991">
            <v>0</v>
          </cell>
          <cell r="O991">
            <v>11</v>
          </cell>
          <cell r="P991">
            <v>0</v>
          </cell>
          <cell r="Q991">
            <v>11</v>
          </cell>
          <cell r="R991">
            <v>0</v>
          </cell>
          <cell r="S991">
            <v>11</v>
          </cell>
          <cell r="T991">
            <v>0</v>
          </cell>
          <cell r="U991">
            <v>11</v>
          </cell>
          <cell r="V991">
            <v>149</v>
          </cell>
          <cell r="W991">
            <v>89</v>
          </cell>
          <cell r="X991">
            <v>149</v>
          </cell>
          <cell r="Y991">
            <v>89</v>
          </cell>
          <cell r="Z991">
            <v>0</v>
          </cell>
          <cell r="AA991">
            <v>11</v>
          </cell>
          <cell r="AB991">
            <v>0</v>
          </cell>
          <cell r="AC991">
            <v>11</v>
          </cell>
          <cell r="AD991">
            <v>0</v>
          </cell>
          <cell r="AE991">
            <v>11</v>
          </cell>
          <cell r="AF991">
            <v>0</v>
          </cell>
          <cell r="AG991">
            <v>11</v>
          </cell>
          <cell r="AH991">
            <v>23</v>
          </cell>
          <cell r="AI991">
            <v>40</v>
          </cell>
          <cell r="AJ991">
            <v>0</v>
          </cell>
          <cell r="AK991">
            <v>11</v>
          </cell>
          <cell r="AL991">
            <v>0</v>
          </cell>
          <cell r="AM991">
            <v>11</v>
          </cell>
          <cell r="AN991">
            <v>54</v>
          </cell>
          <cell r="AO991">
            <v>66</v>
          </cell>
          <cell r="AP991">
            <v>65</v>
          </cell>
          <cell r="AQ991">
            <v>71</v>
          </cell>
          <cell r="AR991">
            <v>131</v>
          </cell>
          <cell r="AS991">
            <v>103</v>
          </cell>
        </row>
        <row r="992">
          <cell r="B992">
            <v>17031817300</v>
          </cell>
          <cell r="D992">
            <v>969</v>
          </cell>
          <cell r="E992">
            <v>128</v>
          </cell>
          <cell r="F992">
            <v>822</v>
          </cell>
          <cell r="G992">
            <v>134</v>
          </cell>
          <cell r="H992">
            <v>746</v>
          </cell>
          <cell r="I992">
            <v>125</v>
          </cell>
          <cell r="J992">
            <v>76</v>
          </cell>
          <cell r="K992">
            <v>48</v>
          </cell>
          <cell r="L992">
            <v>76</v>
          </cell>
          <cell r="M992">
            <v>48</v>
          </cell>
          <cell r="N992">
            <v>0</v>
          </cell>
          <cell r="O992">
            <v>11</v>
          </cell>
          <cell r="P992">
            <v>0</v>
          </cell>
          <cell r="Q992">
            <v>11</v>
          </cell>
          <cell r="R992">
            <v>0</v>
          </cell>
          <cell r="S992">
            <v>11</v>
          </cell>
          <cell r="T992">
            <v>0</v>
          </cell>
          <cell r="U992">
            <v>11</v>
          </cell>
          <cell r="V992">
            <v>79</v>
          </cell>
          <cell r="W992">
            <v>39</v>
          </cell>
          <cell r="X992">
            <v>75</v>
          </cell>
          <cell r="Y992">
            <v>39</v>
          </cell>
          <cell r="Z992">
            <v>0</v>
          </cell>
          <cell r="AA992">
            <v>11</v>
          </cell>
          <cell r="AB992">
            <v>4</v>
          </cell>
          <cell r="AC992">
            <v>6</v>
          </cell>
          <cell r="AD992">
            <v>0</v>
          </cell>
          <cell r="AE992">
            <v>11</v>
          </cell>
          <cell r="AF992">
            <v>0</v>
          </cell>
          <cell r="AG992">
            <v>11</v>
          </cell>
          <cell r="AH992">
            <v>0</v>
          </cell>
          <cell r="AI992">
            <v>11</v>
          </cell>
          <cell r="AJ992">
            <v>0</v>
          </cell>
          <cell r="AK992">
            <v>11</v>
          </cell>
          <cell r="AL992">
            <v>5</v>
          </cell>
          <cell r="AM992">
            <v>8</v>
          </cell>
          <cell r="AN992">
            <v>0</v>
          </cell>
          <cell r="AO992">
            <v>11</v>
          </cell>
          <cell r="AP992">
            <v>0</v>
          </cell>
          <cell r="AQ992">
            <v>11</v>
          </cell>
          <cell r="AR992">
            <v>63</v>
          </cell>
          <cell r="AS992">
            <v>41</v>
          </cell>
        </row>
        <row r="993">
          <cell r="B993">
            <v>17031817400</v>
          </cell>
          <cell r="D993">
            <v>2009</v>
          </cell>
          <cell r="E993">
            <v>263</v>
          </cell>
          <cell r="F993">
            <v>1645</v>
          </cell>
          <cell r="G993">
            <v>263</v>
          </cell>
          <cell r="H993">
            <v>1369</v>
          </cell>
          <cell r="I993">
            <v>210</v>
          </cell>
          <cell r="J993">
            <v>276</v>
          </cell>
          <cell r="K993">
            <v>137</v>
          </cell>
          <cell r="L993">
            <v>263</v>
          </cell>
          <cell r="M993">
            <v>138</v>
          </cell>
          <cell r="N993">
            <v>3</v>
          </cell>
          <cell r="O993">
            <v>6</v>
          </cell>
          <cell r="P993">
            <v>10</v>
          </cell>
          <cell r="Q993">
            <v>14</v>
          </cell>
          <cell r="R993">
            <v>0</v>
          </cell>
          <cell r="S993">
            <v>11</v>
          </cell>
          <cell r="T993">
            <v>0</v>
          </cell>
          <cell r="U993">
            <v>11</v>
          </cell>
          <cell r="V993">
            <v>97</v>
          </cell>
          <cell r="W993">
            <v>70</v>
          </cell>
          <cell r="X993">
            <v>41</v>
          </cell>
          <cell r="Y993">
            <v>52</v>
          </cell>
          <cell r="Z993">
            <v>0</v>
          </cell>
          <cell r="AA993">
            <v>11</v>
          </cell>
          <cell r="AB993">
            <v>51</v>
          </cell>
          <cell r="AC993">
            <v>57</v>
          </cell>
          <cell r="AD993">
            <v>5</v>
          </cell>
          <cell r="AE993">
            <v>9</v>
          </cell>
          <cell r="AF993">
            <v>0</v>
          </cell>
          <cell r="AG993">
            <v>11</v>
          </cell>
          <cell r="AH993">
            <v>26</v>
          </cell>
          <cell r="AI993">
            <v>42</v>
          </cell>
          <cell r="AJ993">
            <v>0</v>
          </cell>
          <cell r="AK993">
            <v>11</v>
          </cell>
          <cell r="AL993">
            <v>0</v>
          </cell>
          <cell r="AM993">
            <v>11</v>
          </cell>
          <cell r="AN993">
            <v>49</v>
          </cell>
          <cell r="AO993">
            <v>54</v>
          </cell>
          <cell r="AP993">
            <v>126</v>
          </cell>
          <cell r="AQ993">
            <v>127</v>
          </cell>
          <cell r="AR993">
            <v>66</v>
          </cell>
          <cell r="AS993">
            <v>54</v>
          </cell>
        </row>
        <row r="994">
          <cell r="B994">
            <v>17031817500</v>
          </cell>
          <cell r="D994">
            <v>1429</v>
          </cell>
          <cell r="E994">
            <v>253</v>
          </cell>
          <cell r="F994">
            <v>1198</v>
          </cell>
          <cell r="G994">
            <v>231</v>
          </cell>
          <cell r="H994">
            <v>940</v>
          </cell>
          <cell r="I994">
            <v>158</v>
          </cell>
          <cell r="J994">
            <v>258</v>
          </cell>
          <cell r="K994">
            <v>142</v>
          </cell>
          <cell r="L994">
            <v>186</v>
          </cell>
          <cell r="M994">
            <v>136</v>
          </cell>
          <cell r="N994">
            <v>34</v>
          </cell>
          <cell r="O994">
            <v>39</v>
          </cell>
          <cell r="P994">
            <v>8</v>
          </cell>
          <cell r="Q994">
            <v>14</v>
          </cell>
          <cell r="R994">
            <v>30</v>
          </cell>
          <cell r="S994">
            <v>44</v>
          </cell>
          <cell r="T994">
            <v>0</v>
          </cell>
          <cell r="U994">
            <v>11</v>
          </cell>
          <cell r="V994">
            <v>111</v>
          </cell>
          <cell r="W994">
            <v>70</v>
          </cell>
          <cell r="X994">
            <v>64</v>
          </cell>
          <cell r="Y994">
            <v>61</v>
          </cell>
          <cell r="Z994">
            <v>0</v>
          </cell>
          <cell r="AA994">
            <v>11</v>
          </cell>
          <cell r="AB994">
            <v>47</v>
          </cell>
          <cell r="AC994">
            <v>39</v>
          </cell>
          <cell r="AD994">
            <v>0</v>
          </cell>
          <cell r="AE994">
            <v>11</v>
          </cell>
          <cell r="AF994">
            <v>0</v>
          </cell>
          <cell r="AG994">
            <v>11</v>
          </cell>
          <cell r="AH994">
            <v>12</v>
          </cell>
          <cell r="AI994">
            <v>19</v>
          </cell>
          <cell r="AJ994">
            <v>0</v>
          </cell>
          <cell r="AK994">
            <v>11</v>
          </cell>
          <cell r="AL994">
            <v>0</v>
          </cell>
          <cell r="AM994">
            <v>11</v>
          </cell>
          <cell r="AN994">
            <v>59</v>
          </cell>
          <cell r="AO994">
            <v>51</v>
          </cell>
          <cell r="AP994">
            <v>21</v>
          </cell>
          <cell r="AQ994">
            <v>33</v>
          </cell>
          <cell r="AR994">
            <v>28</v>
          </cell>
          <cell r="AS994">
            <v>31</v>
          </cell>
        </row>
        <row r="995">
          <cell r="B995">
            <v>17031817600</v>
          </cell>
          <cell r="D995">
            <v>1781</v>
          </cell>
          <cell r="E995">
            <v>234</v>
          </cell>
          <cell r="F995">
            <v>1474</v>
          </cell>
          <cell r="G995">
            <v>243</v>
          </cell>
          <cell r="H995">
            <v>1441</v>
          </cell>
          <cell r="I995">
            <v>229</v>
          </cell>
          <cell r="J995">
            <v>33</v>
          </cell>
          <cell r="K995">
            <v>37</v>
          </cell>
          <cell r="L995">
            <v>12</v>
          </cell>
          <cell r="M995">
            <v>19</v>
          </cell>
          <cell r="N995">
            <v>0</v>
          </cell>
          <cell r="O995">
            <v>11</v>
          </cell>
          <cell r="P995">
            <v>0</v>
          </cell>
          <cell r="Q995">
            <v>11</v>
          </cell>
          <cell r="R995">
            <v>21</v>
          </cell>
          <cell r="S995">
            <v>32</v>
          </cell>
          <cell r="T995">
            <v>0</v>
          </cell>
          <cell r="U995">
            <v>11</v>
          </cell>
          <cell r="V995">
            <v>109</v>
          </cell>
          <cell r="W995">
            <v>71</v>
          </cell>
          <cell r="X995">
            <v>40</v>
          </cell>
          <cell r="Y995">
            <v>37</v>
          </cell>
          <cell r="Z995">
            <v>0</v>
          </cell>
          <cell r="AA995">
            <v>11</v>
          </cell>
          <cell r="AB995">
            <v>57</v>
          </cell>
          <cell r="AC995">
            <v>48</v>
          </cell>
          <cell r="AD995">
            <v>12</v>
          </cell>
          <cell r="AE995">
            <v>21</v>
          </cell>
          <cell r="AF995">
            <v>0</v>
          </cell>
          <cell r="AG995">
            <v>11</v>
          </cell>
          <cell r="AH995">
            <v>0</v>
          </cell>
          <cell r="AI995">
            <v>11</v>
          </cell>
          <cell r="AJ995">
            <v>0</v>
          </cell>
          <cell r="AK995">
            <v>11</v>
          </cell>
          <cell r="AL995">
            <v>14</v>
          </cell>
          <cell r="AM995">
            <v>24</v>
          </cell>
          <cell r="AN995">
            <v>74</v>
          </cell>
          <cell r="AO995">
            <v>52</v>
          </cell>
          <cell r="AP995">
            <v>42</v>
          </cell>
          <cell r="AQ995">
            <v>54</v>
          </cell>
          <cell r="AR995">
            <v>68</v>
          </cell>
          <cell r="AS995">
            <v>55</v>
          </cell>
        </row>
        <row r="996">
          <cell r="B996">
            <v>17031817700</v>
          </cell>
          <cell r="D996">
            <v>1925</v>
          </cell>
          <cell r="E996">
            <v>270</v>
          </cell>
          <cell r="F996">
            <v>1701</v>
          </cell>
          <cell r="G996">
            <v>274</v>
          </cell>
          <cell r="H996">
            <v>1496</v>
          </cell>
          <cell r="I996">
            <v>253</v>
          </cell>
          <cell r="J996">
            <v>205</v>
          </cell>
          <cell r="K996">
            <v>100</v>
          </cell>
          <cell r="L996">
            <v>130</v>
          </cell>
          <cell r="M996">
            <v>85</v>
          </cell>
          <cell r="N996">
            <v>66</v>
          </cell>
          <cell r="O996">
            <v>54</v>
          </cell>
          <cell r="P996">
            <v>0</v>
          </cell>
          <cell r="Q996">
            <v>15</v>
          </cell>
          <cell r="R996">
            <v>9</v>
          </cell>
          <cell r="S996">
            <v>13</v>
          </cell>
          <cell r="T996">
            <v>0</v>
          </cell>
          <cell r="U996">
            <v>15</v>
          </cell>
          <cell r="V996">
            <v>125</v>
          </cell>
          <cell r="W996">
            <v>77</v>
          </cell>
          <cell r="X996">
            <v>57</v>
          </cell>
          <cell r="Y996">
            <v>66</v>
          </cell>
          <cell r="Z996">
            <v>0</v>
          </cell>
          <cell r="AA996">
            <v>15</v>
          </cell>
          <cell r="AB996">
            <v>57</v>
          </cell>
          <cell r="AC996">
            <v>42</v>
          </cell>
          <cell r="AD996">
            <v>11</v>
          </cell>
          <cell r="AE996">
            <v>16</v>
          </cell>
          <cell r="AF996">
            <v>0</v>
          </cell>
          <cell r="AG996">
            <v>15</v>
          </cell>
          <cell r="AH996">
            <v>0</v>
          </cell>
          <cell r="AI996">
            <v>15</v>
          </cell>
          <cell r="AJ996">
            <v>0</v>
          </cell>
          <cell r="AK996">
            <v>15</v>
          </cell>
          <cell r="AL996">
            <v>0</v>
          </cell>
          <cell r="AM996">
            <v>15</v>
          </cell>
          <cell r="AN996">
            <v>40</v>
          </cell>
          <cell r="AO996">
            <v>37</v>
          </cell>
          <cell r="AP996">
            <v>16</v>
          </cell>
          <cell r="AQ996">
            <v>26</v>
          </cell>
          <cell r="AR996">
            <v>43</v>
          </cell>
          <cell r="AS996">
            <v>38</v>
          </cell>
        </row>
        <row r="997">
          <cell r="B997">
            <v>17031817900</v>
          </cell>
          <cell r="D997">
            <v>2395</v>
          </cell>
          <cell r="E997">
            <v>339</v>
          </cell>
          <cell r="F997">
            <v>1829</v>
          </cell>
          <cell r="G997">
            <v>379</v>
          </cell>
          <cell r="H997">
            <v>1774</v>
          </cell>
          <cell r="I997">
            <v>374</v>
          </cell>
          <cell r="J997">
            <v>55</v>
          </cell>
          <cell r="K997">
            <v>69</v>
          </cell>
          <cell r="L997">
            <v>55</v>
          </cell>
          <cell r="M997">
            <v>69</v>
          </cell>
          <cell r="N997">
            <v>0</v>
          </cell>
          <cell r="O997">
            <v>15</v>
          </cell>
          <cell r="P997">
            <v>0</v>
          </cell>
          <cell r="Q997">
            <v>15</v>
          </cell>
          <cell r="R997">
            <v>0</v>
          </cell>
          <cell r="S997">
            <v>15</v>
          </cell>
          <cell r="T997">
            <v>0</v>
          </cell>
          <cell r="U997">
            <v>15</v>
          </cell>
          <cell r="V997">
            <v>234</v>
          </cell>
          <cell r="W997">
            <v>136</v>
          </cell>
          <cell r="X997">
            <v>172</v>
          </cell>
          <cell r="Y997">
            <v>121</v>
          </cell>
          <cell r="Z997">
            <v>0</v>
          </cell>
          <cell r="AA997">
            <v>15</v>
          </cell>
          <cell r="AB997">
            <v>62</v>
          </cell>
          <cell r="AC997">
            <v>64</v>
          </cell>
          <cell r="AD997">
            <v>0</v>
          </cell>
          <cell r="AE997">
            <v>15</v>
          </cell>
          <cell r="AF997">
            <v>0</v>
          </cell>
          <cell r="AG997">
            <v>15</v>
          </cell>
          <cell r="AH997">
            <v>0</v>
          </cell>
          <cell r="AI997">
            <v>15</v>
          </cell>
          <cell r="AJ997">
            <v>0</v>
          </cell>
          <cell r="AK997">
            <v>15</v>
          </cell>
          <cell r="AL997">
            <v>0</v>
          </cell>
          <cell r="AM997">
            <v>15</v>
          </cell>
          <cell r="AN997">
            <v>129</v>
          </cell>
          <cell r="AO997">
            <v>136</v>
          </cell>
          <cell r="AP997">
            <v>0</v>
          </cell>
          <cell r="AQ997">
            <v>15</v>
          </cell>
          <cell r="AR997">
            <v>203</v>
          </cell>
          <cell r="AS997">
            <v>204</v>
          </cell>
        </row>
        <row r="998">
          <cell r="B998">
            <v>17031818000</v>
          </cell>
          <cell r="D998">
            <v>2098</v>
          </cell>
          <cell r="E998">
            <v>226</v>
          </cell>
          <cell r="F998">
            <v>1835</v>
          </cell>
          <cell r="G998">
            <v>224</v>
          </cell>
          <cell r="H998">
            <v>1590</v>
          </cell>
          <cell r="I998">
            <v>219</v>
          </cell>
          <cell r="J998">
            <v>245</v>
          </cell>
          <cell r="K998">
            <v>102</v>
          </cell>
          <cell r="L998">
            <v>235</v>
          </cell>
          <cell r="M998">
            <v>96</v>
          </cell>
          <cell r="N998">
            <v>10</v>
          </cell>
          <cell r="O998">
            <v>17</v>
          </cell>
          <cell r="P998">
            <v>0</v>
          </cell>
          <cell r="Q998">
            <v>11</v>
          </cell>
          <cell r="R998">
            <v>0</v>
          </cell>
          <cell r="S998">
            <v>11</v>
          </cell>
          <cell r="T998">
            <v>0</v>
          </cell>
          <cell r="U998">
            <v>11</v>
          </cell>
          <cell r="V998">
            <v>149</v>
          </cell>
          <cell r="W998">
            <v>75</v>
          </cell>
          <cell r="X998">
            <v>25</v>
          </cell>
          <cell r="Y998">
            <v>30</v>
          </cell>
          <cell r="Z998">
            <v>0</v>
          </cell>
          <cell r="AA998">
            <v>11</v>
          </cell>
          <cell r="AB998">
            <v>100</v>
          </cell>
          <cell r="AC998">
            <v>67</v>
          </cell>
          <cell r="AD998">
            <v>24</v>
          </cell>
          <cell r="AE998">
            <v>23</v>
          </cell>
          <cell r="AF998">
            <v>0</v>
          </cell>
          <cell r="AG998">
            <v>11</v>
          </cell>
          <cell r="AH998">
            <v>0</v>
          </cell>
          <cell r="AI998">
            <v>11</v>
          </cell>
          <cell r="AJ998">
            <v>27</v>
          </cell>
          <cell r="AK998">
            <v>30</v>
          </cell>
          <cell r="AL998">
            <v>0</v>
          </cell>
          <cell r="AM998">
            <v>11</v>
          </cell>
          <cell r="AN998">
            <v>46</v>
          </cell>
          <cell r="AO998">
            <v>39</v>
          </cell>
          <cell r="AP998">
            <v>8</v>
          </cell>
          <cell r="AQ998">
            <v>12</v>
          </cell>
          <cell r="AR998">
            <v>33</v>
          </cell>
          <cell r="AS998">
            <v>38</v>
          </cell>
        </row>
        <row r="999">
          <cell r="B999">
            <v>17031818100</v>
          </cell>
          <cell r="D999">
            <v>1123</v>
          </cell>
          <cell r="E999">
            <v>120</v>
          </cell>
          <cell r="F999">
            <v>1045</v>
          </cell>
          <cell r="G999">
            <v>121</v>
          </cell>
          <cell r="H999">
            <v>908</v>
          </cell>
          <cell r="I999">
            <v>128</v>
          </cell>
          <cell r="J999">
            <v>137</v>
          </cell>
          <cell r="K999">
            <v>55</v>
          </cell>
          <cell r="L999">
            <v>111</v>
          </cell>
          <cell r="M999">
            <v>59</v>
          </cell>
          <cell r="N999">
            <v>26</v>
          </cell>
          <cell r="O999">
            <v>31</v>
          </cell>
          <cell r="P999">
            <v>0</v>
          </cell>
          <cell r="Q999">
            <v>11</v>
          </cell>
          <cell r="R999">
            <v>0</v>
          </cell>
          <cell r="S999">
            <v>11</v>
          </cell>
          <cell r="T999">
            <v>0</v>
          </cell>
          <cell r="U999">
            <v>11</v>
          </cell>
          <cell r="V999">
            <v>23</v>
          </cell>
          <cell r="W999">
            <v>17</v>
          </cell>
          <cell r="X999">
            <v>0</v>
          </cell>
          <cell r="Y999">
            <v>11</v>
          </cell>
          <cell r="Z999">
            <v>0</v>
          </cell>
          <cell r="AA999">
            <v>11</v>
          </cell>
          <cell r="AB999">
            <v>4</v>
          </cell>
          <cell r="AC999">
            <v>6</v>
          </cell>
          <cell r="AD999">
            <v>19</v>
          </cell>
          <cell r="AE999">
            <v>16</v>
          </cell>
          <cell r="AF999">
            <v>0</v>
          </cell>
          <cell r="AG999">
            <v>11</v>
          </cell>
          <cell r="AH999">
            <v>0</v>
          </cell>
          <cell r="AI999">
            <v>11</v>
          </cell>
          <cell r="AJ999">
            <v>0</v>
          </cell>
          <cell r="AK999">
            <v>11</v>
          </cell>
          <cell r="AL999">
            <v>0</v>
          </cell>
          <cell r="AM999">
            <v>11</v>
          </cell>
          <cell r="AN999">
            <v>32</v>
          </cell>
          <cell r="AO999">
            <v>23</v>
          </cell>
          <cell r="AP999">
            <v>0</v>
          </cell>
          <cell r="AQ999">
            <v>11</v>
          </cell>
          <cell r="AR999">
            <v>23</v>
          </cell>
          <cell r="AS999">
            <v>17</v>
          </cell>
        </row>
        <row r="1000">
          <cell r="B1000">
            <v>17031818200</v>
          </cell>
          <cell r="D1000">
            <v>2308</v>
          </cell>
          <cell r="E1000">
            <v>208</v>
          </cell>
          <cell r="F1000">
            <v>1990</v>
          </cell>
          <cell r="G1000">
            <v>213</v>
          </cell>
          <cell r="H1000">
            <v>1839</v>
          </cell>
          <cell r="I1000">
            <v>207</v>
          </cell>
          <cell r="J1000">
            <v>151</v>
          </cell>
          <cell r="K1000">
            <v>87</v>
          </cell>
          <cell r="L1000">
            <v>84</v>
          </cell>
          <cell r="M1000">
            <v>62</v>
          </cell>
          <cell r="N1000">
            <v>5</v>
          </cell>
          <cell r="O1000">
            <v>10</v>
          </cell>
          <cell r="P1000">
            <v>56</v>
          </cell>
          <cell r="Q1000">
            <v>56</v>
          </cell>
          <cell r="R1000">
            <v>6</v>
          </cell>
          <cell r="S1000">
            <v>11</v>
          </cell>
          <cell r="T1000">
            <v>0</v>
          </cell>
          <cell r="U1000">
            <v>11</v>
          </cell>
          <cell r="V1000">
            <v>182</v>
          </cell>
          <cell r="W1000">
            <v>85</v>
          </cell>
          <cell r="X1000">
            <v>38</v>
          </cell>
          <cell r="Y1000">
            <v>39</v>
          </cell>
          <cell r="Z1000">
            <v>0</v>
          </cell>
          <cell r="AA1000">
            <v>11</v>
          </cell>
          <cell r="AB1000">
            <v>85</v>
          </cell>
          <cell r="AC1000">
            <v>64</v>
          </cell>
          <cell r="AD1000">
            <v>59</v>
          </cell>
          <cell r="AE1000">
            <v>44</v>
          </cell>
          <cell r="AF1000">
            <v>0</v>
          </cell>
          <cell r="AG1000">
            <v>11</v>
          </cell>
          <cell r="AH1000">
            <v>0</v>
          </cell>
          <cell r="AI1000">
            <v>11</v>
          </cell>
          <cell r="AJ1000">
            <v>0</v>
          </cell>
          <cell r="AK1000">
            <v>11</v>
          </cell>
          <cell r="AL1000">
            <v>8</v>
          </cell>
          <cell r="AM1000">
            <v>13</v>
          </cell>
          <cell r="AN1000">
            <v>25</v>
          </cell>
          <cell r="AO1000">
            <v>33</v>
          </cell>
          <cell r="AP1000">
            <v>12</v>
          </cell>
          <cell r="AQ1000">
            <v>18</v>
          </cell>
          <cell r="AR1000">
            <v>91</v>
          </cell>
          <cell r="AS1000">
            <v>60</v>
          </cell>
        </row>
        <row r="1001">
          <cell r="B1001">
            <v>17031818300</v>
          </cell>
          <cell r="D1001">
            <v>2659</v>
          </cell>
          <cell r="E1001">
            <v>285</v>
          </cell>
          <cell r="F1001">
            <v>2441</v>
          </cell>
          <cell r="G1001">
            <v>289</v>
          </cell>
          <cell r="H1001">
            <v>2158</v>
          </cell>
          <cell r="I1001">
            <v>297</v>
          </cell>
          <cell r="J1001">
            <v>283</v>
          </cell>
          <cell r="K1001">
            <v>178</v>
          </cell>
          <cell r="L1001">
            <v>283</v>
          </cell>
          <cell r="M1001">
            <v>178</v>
          </cell>
          <cell r="N1001">
            <v>0</v>
          </cell>
          <cell r="O1001">
            <v>15</v>
          </cell>
          <cell r="P1001">
            <v>0</v>
          </cell>
          <cell r="Q1001">
            <v>15</v>
          </cell>
          <cell r="R1001">
            <v>0</v>
          </cell>
          <cell r="S1001">
            <v>15</v>
          </cell>
          <cell r="T1001">
            <v>0</v>
          </cell>
          <cell r="U1001">
            <v>15</v>
          </cell>
          <cell r="V1001">
            <v>142</v>
          </cell>
          <cell r="W1001">
            <v>91</v>
          </cell>
          <cell r="X1001">
            <v>82</v>
          </cell>
          <cell r="Y1001">
            <v>82</v>
          </cell>
          <cell r="Z1001">
            <v>0</v>
          </cell>
          <cell r="AA1001">
            <v>15</v>
          </cell>
          <cell r="AB1001">
            <v>31</v>
          </cell>
          <cell r="AC1001">
            <v>29</v>
          </cell>
          <cell r="AD1001">
            <v>6</v>
          </cell>
          <cell r="AE1001">
            <v>11</v>
          </cell>
          <cell r="AF1001">
            <v>23</v>
          </cell>
          <cell r="AG1001">
            <v>28</v>
          </cell>
          <cell r="AH1001">
            <v>0</v>
          </cell>
          <cell r="AI1001">
            <v>15</v>
          </cell>
          <cell r="AJ1001">
            <v>0</v>
          </cell>
          <cell r="AK1001">
            <v>15</v>
          </cell>
          <cell r="AL1001">
            <v>0</v>
          </cell>
          <cell r="AM1001">
            <v>15</v>
          </cell>
          <cell r="AN1001">
            <v>12</v>
          </cell>
          <cell r="AO1001">
            <v>18</v>
          </cell>
          <cell r="AP1001">
            <v>0</v>
          </cell>
          <cell r="AQ1001">
            <v>15</v>
          </cell>
          <cell r="AR1001">
            <v>64</v>
          </cell>
          <cell r="AS1001">
            <v>40</v>
          </cell>
        </row>
        <row r="1002">
          <cell r="B1002">
            <v>17031818401</v>
          </cell>
          <cell r="D1002">
            <v>1885</v>
          </cell>
          <cell r="E1002">
            <v>213</v>
          </cell>
          <cell r="F1002">
            <v>1612</v>
          </cell>
          <cell r="G1002">
            <v>217</v>
          </cell>
          <cell r="H1002">
            <v>1484</v>
          </cell>
          <cell r="I1002">
            <v>232</v>
          </cell>
          <cell r="J1002">
            <v>128</v>
          </cell>
          <cell r="K1002">
            <v>80</v>
          </cell>
          <cell r="L1002">
            <v>128</v>
          </cell>
          <cell r="M1002">
            <v>80</v>
          </cell>
          <cell r="N1002">
            <v>0</v>
          </cell>
          <cell r="O1002">
            <v>11</v>
          </cell>
          <cell r="P1002">
            <v>0</v>
          </cell>
          <cell r="Q1002">
            <v>11</v>
          </cell>
          <cell r="R1002">
            <v>0</v>
          </cell>
          <cell r="S1002">
            <v>11</v>
          </cell>
          <cell r="T1002">
            <v>0</v>
          </cell>
          <cell r="U1002">
            <v>11</v>
          </cell>
          <cell r="V1002">
            <v>95</v>
          </cell>
          <cell r="W1002">
            <v>59</v>
          </cell>
          <cell r="X1002">
            <v>12</v>
          </cell>
          <cell r="Y1002">
            <v>20</v>
          </cell>
          <cell r="Z1002">
            <v>0</v>
          </cell>
          <cell r="AA1002">
            <v>11</v>
          </cell>
          <cell r="AB1002">
            <v>10</v>
          </cell>
          <cell r="AC1002">
            <v>15</v>
          </cell>
          <cell r="AD1002">
            <v>73</v>
          </cell>
          <cell r="AE1002">
            <v>53</v>
          </cell>
          <cell r="AF1002">
            <v>0</v>
          </cell>
          <cell r="AG1002">
            <v>11</v>
          </cell>
          <cell r="AH1002">
            <v>0</v>
          </cell>
          <cell r="AI1002">
            <v>11</v>
          </cell>
          <cell r="AJ1002">
            <v>0</v>
          </cell>
          <cell r="AK1002">
            <v>11</v>
          </cell>
          <cell r="AL1002">
            <v>0</v>
          </cell>
          <cell r="AM1002">
            <v>11</v>
          </cell>
          <cell r="AN1002">
            <v>6</v>
          </cell>
          <cell r="AO1002">
            <v>10</v>
          </cell>
          <cell r="AP1002">
            <v>0</v>
          </cell>
          <cell r="AQ1002">
            <v>11</v>
          </cell>
          <cell r="AR1002">
            <v>172</v>
          </cell>
          <cell r="AS1002">
            <v>111</v>
          </cell>
        </row>
        <row r="1003">
          <cell r="B1003">
            <v>17031818402</v>
          </cell>
          <cell r="D1003">
            <v>1525</v>
          </cell>
          <cell r="E1003">
            <v>153</v>
          </cell>
          <cell r="F1003">
            <v>1379</v>
          </cell>
          <cell r="G1003">
            <v>165</v>
          </cell>
          <cell r="H1003">
            <v>1346</v>
          </cell>
          <cell r="I1003">
            <v>161</v>
          </cell>
          <cell r="J1003">
            <v>33</v>
          </cell>
          <cell r="K1003">
            <v>34</v>
          </cell>
          <cell r="L1003">
            <v>33</v>
          </cell>
          <cell r="M1003">
            <v>34</v>
          </cell>
          <cell r="N1003">
            <v>0</v>
          </cell>
          <cell r="O1003">
            <v>11</v>
          </cell>
          <cell r="P1003">
            <v>0</v>
          </cell>
          <cell r="Q1003">
            <v>11</v>
          </cell>
          <cell r="R1003">
            <v>0</v>
          </cell>
          <cell r="S1003">
            <v>11</v>
          </cell>
          <cell r="T1003">
            <v>0</v>
          </cell>
          <cell r="U1003">
            <v>11</v>
          </cell>
          <cell r="V1003">
            <v>81</v>
          </cell>
          <cell r="W1003">
            <v>44</v>
          </cell>
          <cell r="X1003">
            <v>10</v>
          </cell>
          <cell r="Y1003">
            <v>15</v>
          </cell>
          <cell r="Z1003">
            <v>0</v>
          </cell>
          <cell r="AA1003">
            <v>11</v>
          </cell>
          <cell r="AB1003">
            <v>44</v>
          </cell>
          <cell r="AC1003">
            <v>31</v>
          </cell>
          <cell r="AD1003">
            <v>27</v>
          </cell>
          <cell r="AE1003">
            <v>25</v>
          </cell>
          <cell r="AF1003">
            <v>0</v>
          </cell>
          <cell r="AG1003">
            <v>11</v>
          </cell>
          <cell r="AH1003">
            <v>0</v>
          </cell>
          <cell r="AI1003">
            <v>11</v>
          </cell>
          <cell r="AJ1003">
            <v>0</v>
          </cell>
          <cell r="AK1003">
            <v>11</v>
          </cell>
          <cell r="AL1003">
            <v>0</v>
          </cell>
          <cell r="AM1003">
            <v>11</v>
          </cell>
          <cell r="AN1003">
            <v>9</v>
          </cell>
          <cell r="AO1003">
            <v>13</v>
          </cell>
          <cell r="AP1003">
            <v>21</v>
          </cell>
          <cell r="AQ1003">
            <v>25</v>
          </cell>
          <cell r="AR1003">
            <v>35</v>
          </cell>
          <cell r="AS1003">
            <v>32</v>
          </cell>
        </row>
        <row r="1004">
          <cell r="B1004">
            <v>17031818500</v>
          </cell>
          <cell r="D1004">
            <v>2404</v>
          </cell>
          <cell r="E1004">
            <v>263</v>
          </cell>
          <cell r="F1004">
            <v>2110</v>
          </cell>
          <cell r="G1004">
            <v>242</v>
          </cell>
          <cell r="H1004">
            <v>2002</v>
          </cell>
          <cell r="I1004">
            <v>243</v>
          </cell>
          <cell r="J1004">
            <v>108</v>
          </cell>
          <cell r="K1004">
            <v>77</v>
          </cell>
          <cell r="L1004">
            <v>108</v>
          </cell>
          <cell r="M1004">
            <v>77</v>
          </cell>
          <cell r="N1004">
            <v>0</v>
          </cell>
          <cell r="O1004">
            <v>15</v>
          </cell>
          <cell r="P1004">
            <v>0</v>
          </cell>
          <cell r="Q1004">
            <v>15</v>
          </cell>
          <cell r="R1004">
            <v>0</v>
          </cell>
          <cell r="S1004">
            <v>15</v>
          </cell>
          <cell r="T1004">
            <v>0</v>
          </cell>
          <cell r="U1004">
            <v>15</v>
          </cell>
          <cell r="V1004">
            <v>107</v>
          </cell>
          <cell r="W1004">
            <v>69</v>
          </cell>
          <cell r="X1004">
            <v>0</v>
          </cell>
          <cell r="Y1004">
            <v>15</v>
          </cell>
          <cell r="Z1004">
            <v>0</v>
          </cell>
          <cell r="AA1004">
            <v>15</v>
          </cell>
          <cell r="AB1004">
            <v>59</v>
          </cell>
          <cell r="AC1004">
            <v>51</v>
          </cell>
          <cell r="AD1004">
            <v>48</v>
          </cell>
          <cell r="AE1004">
            <v>44</v>
          </cell>
          <cell r="AF1004">
            <v>0</v>
          </cell>
          <cell r="AG1004">
            <v>15</v>
          </cell>
          <cell r="AH1004">
            <v>45</v>
          </cell>
          <cell r="AI1004">
            <v>66</v>
          </cell>
          <cell r="AJ1004">
            <v>0</v>
          </cell>
          <cell r="AK1004">
            <v>15</v>
          </cell>
          <cell r="AL1004">
            <v>7</v>
          </cell>
          <cell r="AM1004">
            <v>16</v>
          </cell>
          <cell r="AN1004">
            <v>19</v>
          </cell>
          <cell r="AO1004">
            <v>30</v>
          </cell>
          <cell r="AP1004">
            <v>15</v>
          </cell>
          <cell r="AQ1004">
            <v>25</v>
          </cell>
          <cell r="AR1004">
            <v>101</v>
          </cell>
          <cell r="AS1004">
            <v>83</v>
          </cell>
        </row>
        <row r="1005">
          <cell r="B1005">
            <v>17031818600</v>
          </cell>
          <cell r="D1005">
            <v>2445</v>
          </cell>
          <cell r="E1005">
            <v>241</v>
          </cell>
          <cell r="F1005">
            <v>2147</v>
          </cell>
          <cell r="G1005">
            <v>263</v>
          </cell>
          <cell r="H1005">
            <v>1915</v>
          </cell>
          <cell r="I1005">
            <v>280</v>
          </cell>
          <cell r="J1005">
            <v>232</v>
          </cell>
          <cell r="K1005">
            <v>134</v>
          </cell>
          <cell r="L1005">
            <v>210</v>
          </cell>
          <cell r="M1005">
            <v>132</v>
          </cell>
          <cell r="N1005">
            <v>0</v>
          </cell>
          <cell r="O1005">
            <v>11</v>
          </cell>
          <cell r="P1005">
            <v>0</v>
          </cell>
          <cell r="Q1005">
            <v>11</v>
          </cell>
          <cell r="R1005">
            <v>0</v>
          </cell>
          <cell r="S1005">
            <v>11</v>
          </cell>
          <cell r="T1005">
            <v>22</v>
          </cell>
          <cell r="U1005">
            <v>33</v>
          </cell>
          <cell r="V1005">
            <v>148</v>
          </cell>
          <cell r="W1005">
            <v>81</v>
          </cell>
          <cell r="X1005">
            <v>3</v>
          </cell>
          <cell r="Y1005">
            <v>5</v>
          </cell>
          <cell r="Z1005">
            <v>0</v>
          </cell>
          <cell r="AA1005">
            <v>11</v>
          </cell>
          <cell r="AB1005">
            <v>14</v>
          </cell>
          <cell r="AC1005">
            <v>24</v>
          </cell>
          <cell r="AD1005">
            <v>131</v>
          </cell>
          <cell r="AE1005">
            <v>75</v>
          </cell>
          <cell r="AF1005">
            <v>0</v>
          </cell>
          <cell r="AG1005">
            <v>11</v>
          </cell>
          <cell r="AH1005">
            <v>0</v>
          </cell>
          <cell r="AI1005">
            <v>11</v>
          </cell>
          <cell r="AJ1005">
            <v>0</v>
          </cell>
          <cell r="AK1005">
            <v>11</v>
          </cell>
          <cell r="AL1005">
            <v>0</v>
          </cell>
          <cell r="AM1005">
            <v>11</v>
          </cell>
          <cell r="AN1005">
            <v>17</v>
          </cell>
          <cell r="AO1005">
            <v>28</v>
          </cell>
          <cell r="AP1005">
            <v>20</v>
          </cell>
          <cell r="AQ1005">
            <v>30</v>
          </cell>
          <cell r="AR1005">
            <v>113</v>
          </cell>
          <cell r="AS1005">
            <v>84</v>
          </cell>
        </row>
        <row r="1006">
          <cell r="B1006">
            <v>17031818700</v>
          </cell>
          <cell r="D1006">
            <v>2014</v>
          </cell>
          <cell r="E1006">
            <v>160</v>
          </cell>
          <cell r="F1006">
            <v>1649</v>
          </cell>
          <cell r="G1006">
            <v>180</v>
          </cell>
          <cell r="H1006">
            <v>1599</v>
          </cell>
          <cell r="I1006">
            <v>191</v>
          </cell>
          <cell r="J1006">
            <v>50</v>
          </cell>
          <cell r="K1006">
            <v>39</v>
          </cell>
          <cell r="L1006">
            <v>49</v>
          </cell>
          <cell r="M1006">
            <v>40</v>
          </cell>
          <cell r="N1006">
            <v>0</v>
          </cell>
          <cell r="O1006">
            <v>11</v>
          </cell>
          <cell r="P1006">
            <v>0</v>
          </cell>
          <cell r="Q1006">
            <v>11</v>
          </cell>
          <cell r="R1006">
            <v>1</v>
          </cell>
          <cell r="S1006">
            <v>2</v>
          </cell>
          <cell r="T1006">
            <v>0</v>
          </cell>
          <cell r="U1006">
            <v>11</v>
          </cell>
          <cell r="V1006">
            <v>260</v>
          </cell>
          <cell r="W1006">
            <v>86</v>
          </cell>
          <cell r="X1006">
            <v>14</v>
          </cell>
          <cell r="Y1006">
            <v>19</v>
          </cell>
          <cell r="Z1006">
            <v>0</v>
          </cell>
          <cell r="AA1006">
            <v>11</v>
          </cell>
          <cell r="AB1006">
            <v>5</v>
          </cell>
          <cell r="AC1006">
            <v>10</v>
          </cell>
          <cell r="AD1006">
            <v>241</v>
          </cell>
          <cell r="AE1006">
            <v>85</v>
          </cell>
          <cell r="AF1006">
            <v>0</v>
          </cell>
          <cell r="AG1006">
            <v>11</v>
          </cell>
          <cell r="AH1006">
            <v>0</v>
          </cell>
          <cell r="AI1006">
            <v>11</v>
          </cell>
          <cell r="AJ1006">
            <v>0</v>
          </cell>
          <cell r="AK1006">
            <v>11</v>
          </cell>
          <cell r="AL1006">
            <v>26</v>
          </cell>
          <cell r="AM1006">
            <v>30</v>
          </cell>
          <cell r="AN1006">
            <v>30</v>
          </cell>
          <cell r="AO1006">
            <v>33</v>
          </cell>
          <cell r="AP1006">
            <v>20</v>
          </cell>
          <cell r="AQ1006">
            <v>27</v>
          </cell>
          <cell r="AR1006">
            <v>29</v>
          </cell>
          <cell r="AS1006">
            <v>24</v>
          </cell>
        </row>
        <row r="1007">
          <cell r="B1007">
            <v>17031818800</v>
          </cell>
          <cell r="D1007">
            <v>2508</v>
          </cell>
          <cell r="E1007">
            <v>297</v>
          </cell>
          <cell r="F1007">
            <v>2102</v>
          </cell>
          <cell r="G1007">
            <v>292</v>
          </cell>
          <cell r="H1007">
            <v>2005</v>
          </cell>
          <cell r="I1007">
            <v>297</v>
          </cell>
          <cell r="J1007">
            <v>97</v>
          </cell>
          <cell r="K1007">
            <v>88</v>
          </cell>
          <cell r="L1007">
            <v>83</v>
          </cell>
          <cell r="M1007">
            <v>85</v>
          </cell>
          <cell r="N1007">
            <v>14</v>
          </cell>
          <cell r="O1007">
            <v>22</v>
          </cell>
          <cell r="P1007">
            <v>0</v>
          </cell>
          <cell r="Q1007">
            <v>15</v>
          </cell>
          <cell r="R1007">
            <v>0</v>
          </cell>
          <cell r="S1007">
            <v>15</v>
          </cell>
          <cell r="T1007">
            <v>0</v>
          </cell>
          <cell r="U1007">
            <v>15</v>
          </cell>
          <cell r="V1007">
            <v>293</v>
          </cell>
          <cell r="W1007">
            <v>113</v>
          </cell>
          <cell r="X1007">
            <v>30</v>
          </cell>
          <cell r="Y1007">
            <v>32</v>
          </cell>
          <cell r="Z1007">
            <v>0</v>
          </cell>
          <cell r="AA1007">
            <v>15</v>
          </cell>
          <cell r="AB1007">
            <v>71</v>
          </cell>
          <cell r="AC1007">
            <v>71</v>
          </cell>
          <cell r="AD1007">
            <v>192</v>
          </cell>
          <cell r="AE1007">
            <v>81</v>
          </cell>
          <cell r="AF1007">
            <v>0</v>
          </cell>
          <cell r="AG1007">
            <v>15</v>
          </cell>
          <cell r="AH1007">
            <v>0</v>
          </cell>
          <cell r="AI1007">
            <v>15</v>
          </cell>
          <cell r="AJ1007">
            <v>0</v>
          </cell>
          <cell r="AK1007">
            <v>15</v>
          </cell>
          <cell r="AL1007">
            <v>0</v>
          </cell>
          <cell r="AM1007">
            <v>15</v>
          </cell>
          <cell r="AN1007">
            <v>8</v>
          </cell>
          <cell r="AO1007">
            <v>16</v>
          </cell>
          <cell r="AP1007">
            <v>14</v>
          </cell>
          <cell r="AQ1007">
            <v>24</v>
          </cell>
          <cell r="AR1007">
            <v>91</v>
          </cell>
          <cell r="AS1007">
            <v>80</v>
          </cell>
        </row>
        <row r="1008">
          <cell r="B1008">
            <v>17031818900</v>
          </cell>
          <cell r="D1008">
            <v>2342</v>
          </cell>
          <cell r="E1008">
            <v>173</v>
          </cell>
          <cell r="F1008">
            <v>1922</v>
          </cell>
          <cell r="G1008">
            <v>174</v>
          </cell>
          <cell r="H1008">
            <v>1774</v>
          </cell>
          <cell r="I1008">
            <v>193</v>
          </cell>
          <cell r="J1008">
            <v>148</v>
          </cell>
          <cell r="K1008">
            <v>122</v>
          </cell>
          <cell r="L1008">
            <v>148</v>
          </cell>
          <cell r="M1008">
            <v>122</v>
          </cell>
          <cell r="N1008">
            <v>0</v>
          </cell>
          <cell r="O1008">
            <v>11</v>
          </cell>
          <cell r="P1008">
            <v>0</v>
          </cell>
          <cell r="Q1008">
            <v>11</v>
          </cell>
          <cell r="R1008">
            <v>0</v>
          </cell>
          <cell r="S1008">
            <v>11</v>
          </cell>
          <cell r="T1008">
            <v>0</v>
          </cell>
          <cell r="U1008">
            <v>11</v>
          </cell>
          <cell r="V1008">
            <v>246</v>
          </cell>
          <cell r="W1008">
            <v>95</v>
          </cell>
          <cell r="X1008">
            <v>0</v>
          </cell>
          <cell r="Y1008">
            <v>11</v>
          </cell>
          <cell r="Z1008">
            <v>0</v>
          </cell>
          <cell r="AA1008">
            <v>11</v>
          </cell>
          <cell r="AB1008">
            <v>3</v>
          </cell>
          <cell r="AC1008">
            <v>7</v>
          </cell>
          <cell r="AD1008">
            <v>243</v>
          </cell>
          <cell r="AE1008">
            <v>95</v>
          </cell>
          <cell r="AF1008">
            <v>0</v>
          </cell>
          <cell r="AG1008">
            <v>11</v>
          </cell>
          <cell r="AH1008">
            <v>0</v>
          </cell>
          <cell r="AI1008">
            <v>11</v>
          </cell>
          <cell r="AJ1008">
            <v>0</v>
          </cell>
          <cell r="AK1008">
            <v>11</v>
          </cell>
          <cell r="AL1008">
            <v>3</v>
          </cell>
          <cell r="AM1008">
            <v>10</v>
          </cell>
          <cell r="AN1008">
            <v>53</v>
          </cell>
          <cell r="AO1008">
            <v>36</v>
          </cell>
          <cell r="AP1008">
            <v>9</v>
          </cell>
          <cell r="AQ1008">
            <v>14</v>
          </cell>
          <cell r="AR1008">
            <v>109</v>
          </cell>
          <cell r="AS1008">
            <v>63</v>
          </cell>
        </row>
        <row r="1009">
          <cell r="B1009">
            <v>17031819000</v>
          </cell>
          <cell r="D1009">
            <v>1920</v>
          </cell>
          <cell r="E1009">
            <v>179</v>
          </cell>
          <cell r="F1009">
            <v>1262</v>
          </cell>
          <cell r="G1009">
            <v>151</v>
          </cell>
          <cell r="H1009">
            <v>1165</v>
          </cell>
          <cell r="I1009">
            <v>138</v>
          </cell>
          <cell r="J1009">
            <v>97</v>
          </cell>
          <cell r="K1009">
            <v>49</v>
          </cell>
          <cell r="L1009">
            <v>77</v>
          </cell>
          <cell r="M1009">
            <v>42</v>
          </cell>
          <cell r="N1009">
            <v>11</v>
          </cell>
          <cell r="O1009">
            <v>14</v>
          </cell>
          <cell r="P1009">
            <v>0</v>
          </cell>
          <cell r="Q1009">
            <v>11</v>
          </cell>
          <cell r="R1009">
            <v>9</v>
          </cell>
          <cell r="S1009">
            <v>15</v>
          </cell>
          <cell r="T1009">
            <v>0</v>
          </cell>
          <cell r="U1009">
            <v>11</v>
          </cell>
          <cell r="V1009">
            <v>409</v>
          </cell>
          <cell r="W1009">
            <v>97</v>
          </cell>
          <cell r="X1009">
            <v>29</v>
          </cell>
          <cell r="Y1009">
            <v>44</v>
          </cell>
          <cell r="Z1009">
            <v>0</v>
          </cell>
          <cell r="AA1009">
            <v>11</v>
          </cell>
          <cell r="AB1009">
            <v>16</v>
          </cell>
          <cell r="AC1009">
            <v>25</v>
          </cell>
          <cell r="AD1009">
            <v>364</v>
          </cell>
          <cell r="AE1009">
            <v>89</v>
          </cell>
          <cell r="AF1009">
            <v>0</v>
          </cell>
          <cell r="AG1009">
            <v>11</v>
          </cell>
          <cell r="AH1009">
            <v>0</v>
          </cell>
          <cell r="AI1009">
            <v>11</v>
          </cell>
          <cell r="AJ1009">
            <v>0</v>
          </cell>
          <cell r="AK1009">
            <v>11</v>
          </cell>
          <cell r="AL1009">
            <v>8</v>
          </cell>
          <cell r="AM1009">
            <v>11</v>
          </cell>
          <cell r="AN1009">
            <v>18</v>
          </cell>
          <cell r="AO1009">
            <v>20</v>
          </cell>
          <cell r="AP1009">
            <v>17</v>
          </cell>
          <cell r="AQ1009">
            <v>18</v>
          </cell>
          <cell r="AR1009">
            <v>206</v>
          </cell>
          <cell r="AS1009">
            <v>74</v>
          </cell>
        </row>
        <row r="1010">
          <cell r="B1010">
            <v>17031819100</v>
          </cell>
          <cell r="D1010">
            <v>2157</v>
          </cell>
          <cell r="E1010">
            <v>211</v>
          </cell>
          <cell r="F1010">
            <v>1897</v>
          </cell>
          <cell r="G1010">
            <v>200</v>
          </cell>
          <cell r="H1010">
            <v>1747</v>
          </cell>
          <cell r="I1010">
            <v>195</v>
          </cell>
          <cell r="J1010">
            <v>150</v>
          </cell>
          <cell r="K1010">
            <v>77</v>
          </cell>
          <cell r="L1010">
            <v>76</v>
          </cell>
          <cell r="M1010">
            <v>51</v>
          </cell>
          <cell r="N1010">
            <v>43</v>
          </cell>
          <cell r="O1010">
            <v>55</v>
          </cell>
          <cell r="P1010">
            <v>31</v>
          </cell>
          <cell r="Q1010">
            <v>41</v>
          </cell>
          <cell r="R1010">
            <v>0</v>
          </cell>
          <cell r="S1010">
            <v>11</v>
          </cell>
          <cell r="T1010">
            <v>0</v>
          </cell>
          <cell r="U1010">
            <v>11</v>
          </cell>
          <cell r="V1010">
            <v>198</v>
          </cell>
          <cell r="W1010">
            <v>97</v>
          </cell>
          <cell r="X1010">
            <v>49</v>
          </cell>
          <cell r="Y1010">
            <v>52</v>
          </cell>
          <cell r="Z1010">
            <v>0</v>
          </cell>
          <cell r="AA1010">
            <v>11</v>
          </cell>
          <cell r="AB1010">
            <v>0</v>
          </cell>
          <cell r="AC1010">
            <v>11</v>
          </cell>
          <cell r="AD1010">
            <v>149</v>
          </cell>
          <cell r="AE1010">
            <v>84</v>
          </cell>
          <cell r="AF1010">
            <v>0</v>
          </cell>
          <cell r="AG1010">
            <v>11</v>
          </cell>
          <cell r="AH1010">
            <v>0</v>
          </cell>
          <cell r="AI1010">
            <v>11</v>
          </cell>
          <cell r="AJ1010">
            <v>0</v>
          </cell>
          <cell r="AK1010">
            <v>11</v>
          </cell>
          <cell r="AL1010">
            <v>0</v>
          </cell>
          <cell r="AM1010">
            <v>11</v>
          </cell>
          <cell r="AN1010">
            <v>15</v>
          </cell>
          <cell r="AO1010">
            <v>26</v>
          </cell>
          <cell r="AP1010">
            <v>15</v>
          </cell>
          <cell r="AQ1010">
            <v>17</v>
          </cell>
          <cell r="AR1010">
            <v>32</v>
          </cell>
          <cell r="AS1010">
            <v>27</v>
          </cell>
        </row>
        <row r="1011">
          <cell r="B1011">
            <v>17031819200</v>
          </cell>
          <cell r="D1011">
            <v>2714</v>
          </cell>
          <cell r="E1011">
            <v>347</v>
          </cell>
          <cell r="F1011">
            <v>2398</v>
          </cell>
          <cell r="G1011">
            <v>353</v>
          </cell>
          <cell r="H1011">
            <v>2235</v>
          </cell>
          <cell r="I1011">
            <v>367</v>
          </cell>
          <cell r="J1011">
            <v>163</v>
          </cell>
          <cell r="K1011">
            <v>90</v>
          </cell>
          <cell r="L1011">
            <v>91</v>
          </cell>
          <cell r="M1011">
            <v>47</v>
          </cell>
          <cell r="N1011">
            <v>8</v>
          </cell>
          <cell r="O1011">
            <v>22</v>
          </cell>
          <cell r="P1011">
            <v>64</v>
          </cell>
          <cell r="Q1011">
            <v>78</v>
          </cell>
          <cell r="R1011">
            <v>0</v>
          </cell>
          <cell r="S1011">
            <v>15</v>
          </cell>
          <cell r="T1011">
            <v>0</v>
          </cell>
          <cell r="U1011">
            <v>15</v>
          </cell>
          <cell r="V1011">
            <v>96</v>
          </cell>
          <cell r="W1011">
            <v>76</v>
          </cell>
          <cell r="X1011">
            <v>36</v>
          </cell>
          <cell r="Y1011">
            <v>39</v>
          </cell>
          <cell r="Z1011">
            <v>0</v>
          </cell>
          <cell r="AA1011">
            <v>15</v>
          </cell>
          <cell r="AB1011">
            <v>0</v>
          </cell>
          <cell r="AC1011">
            <v>15</v>
          </cell>
          <cell r="AD1011">
            <v>60</v>
          </cell>
          <cell r="AE1011">
            <v>64</v>
          </cell>
          <cell r="AF1011">
            <v>0</v>
          </cell>
          <cell r="AG1011">
            <v>15</v>
          </cell>
          <cell r="AH1011">
            <v>19</v>
          </cell>
          <cell r="AI1011">
            <v>32</v>
          </cell>
          <cell r="AJ1011">
            <v>0</v>
          </cell>
          <cell r="AK1011">
            <v>15</v>
          </cell>
          <cell r="AL1011">
            <v>42</v>
          </cell>
          <cell r="AM1011">
            <v>57</v>
          </cell>
          <cell r="AN1011">
            <v>111</v>
          </cell>
          <cell r="AO1011">
            <v>102</v>
          </cell>
          <cell r="AP1011">
            <v>0</v>
          </cell>
          <cell r="AQ1011">
            <v>15</v>
          </cell>
          <cell r="AR1011">
            <v>48</v>
          </cell>
          <cell r="AS1011">
            <v>53</v>
          </cell>
        </row>
        <row r="1012">
          <cell r="B1012">
            <v>17031819300</v>
          </cell>
          <cell r="D1012">
            <v>1405</v>
          </cell>
          <cell r="E1012">
            <v>148</v>
          </cell>
          <cell r="F1012">
            <v>1306</v>
          </cell>
          <cell r="G1012">
            <v>145</v>
          </cell>
          <cell r="H1012">
            <v>1194</v>
          </cell>
          <cell r="I1012">
            <v>132</v>
          </cell>
          <cell r="J1012">
            <v>112</v>
          </cell>
          <cell r="K1012">
            <v>75</v>
          </cell>
          <cell r="L1012">
            <v>80</v>
          </cell>
          <cell r="M1012">
            <v>68</v>
          </cell>
          <cell r="N1012">
            <v>17</v>
          </cell>
          <cell r="O1012">
            <v>30</v>
          </cell>
          <cell r="P1012">
            <v>10</v>
          </cell>
          <cell r="Q1012">
            <v>18</v>
          </cell>
          <cell r="R1012">
            <v>5</v>
          </cell>
          <cell r="S1012">
            <v>8</v>
          </cell>
          <cell r="T1012">
            <v>0</v>
          </cell>
          <cell r="U1012">
            <v>11</v>
          </cell>
          <cell r="V1012">
            <v>46</v>
          </cell>
          <cell r="W1012">
            <v>32</v>
          </cell>
          <cell r="X1012">
            <v>0</v>
          </cell>
          <cell r="Y1012">
            <v>11</v>
          </cell>
          <cell r="Z1012">
            <v>0</v>
          </cell>
          <cell r="AA1012">
            <v>11</v>
          </cell>
          <cell r="AB1012">
            <v>0</v>
          </cell>
          <cell r="AC1012">
            <v>11</v>
          </cell>
          <cell r="AD1012">
            <v>46</v>
          </cell>
          <cell r="AE1012">
            <v>32</v>
          </cell>
          <cell r="AF1012">
            <v>0</v>
          </cell>
          <cell r="AG1012">
            <v>11</v>
          </cell>
          <cell r="AH1012">
            <v>0</v>
          </cell>
          <cell r="AI1012">
            <v>11</v>
          </cell>
          <cell r="AJ1012">
            <v>0</v>
          </cell>
          <cell r="AK1012">
            <v>11</v>
          </cell>
          <cell r="AL1012">
            <v>5</v>
          </cell>
          <cell r="AM1012">
            <v>9</v>
          </cell>
          <cell r="AN1012">
            <v>16</v>
          </cell>
          <cell r="AO1012">
            <v>26</v>
          </cell>
          <cell r="AP1012">
            <v>12</v>
          </cell>
          <cell r="AQ1012">
            <v>14</v>
          </cell>
          <cell r="AR1012">
            <v>20</v>
          </cell>
          <cell r="AS1012">
            <v>19</v>
          </cell>
        </row>
        <row r="1013">
          <cell r="B1013">
            <v>17031819400</v>
          </cell>
          <cell r="D1013">
            <v>2796</v>
          </cell>
          <cell r="E1013">
            <v>361</v>
          </cell>
          <cell r="F1013">
            <v>2436</v>
          </cell>
          <cell r="G1013">
            <v>370</v>
          </cell>
          <cell r="H1013">
            <v>2239</v>
          </cell>
          <cell r="I1013">
            <v>381</v>
          </cell>
          <cell r="J1013">
            <v>197</v>
          </cell>
          <cell r="K1013">
            <v>135</v>
          </cell>
          <cell r="L1013">
            <v>153</v>
          </cell>
          <cell r="M1013">
            <v>123</v>
          </cell>
          <cell r="N1013">
            <v>44</v>
          </cell>
          <cell r="O1013">
            <v>55</v>
          </cell>
          <cell r="P1013">
            <v>0</v>
          </cell>
          <cell r="Q1013">
            <v>15</v>
          </cell>
          <cell r="R1013">
            <v>0</v>
          </cell>
          <cell r="S1013">
            <v>15</v>
          </cell>
          <cell r="T1013">
            <v>0</v>
          </cell>
          <cell r="U1013">
            <v>15</v>
          </cell>
          <cell r="V1013">
            <v>196</v>
          </cell>
          <cell r="W1013">
            <v>96</v>
          </cell>
          <cell r="X1013">
            <v>26</v>
          </cell>
          <cell r="Y1013">
            <v>40</v>
          </cell>
          <cell r="Z1013">
            <v>0</v>
          </cell>
          <cell r="AA1013">
            <v>15</v>
          </cell>
          <cell r="AB1013">
            <v>0</v>
          </cell>
          <cell r="AC1013">
            <v>15</v>
          </cell>
          <cell r="AD1013">
            <v>170</v>
          </cell>
          <cell r="AE1013">
            <v>78</v>
          </cell>
          <cell r="AF1013">
            <v>0</v>
          </cell>
          <cell r="AG1013">
            <v>15</v>
          </cell>
          <cell r="AH1013">
            <v>0</v>
          </cell>
          <cell r="AI1013">
            <v>15</v>
          </cell>
          <cell r="AJ1013">
            <v>0</v>
          </cell>
          <cell r="AK1013">
            <v>15</v>
          </cell>
          <cell r="AL1013">
            <v>12</v>
          </cell>
          <cell r="AM1013">
            <v>20</v>
          </cell>
          <cell r="AN1013">
            <v>42</v>
          </cell>
          <cell r="AO1013">
            <v>62</v>
          </cell>
          <cell r="AP1013">
            <v>63</v>
          </cell>
          <cell r="AQ1013">
            <v>83</v>
          </cell>
          <cell r="AR1013">
            <v>47</v>
          </cell>
          <cell r="AS1013">
            <v>63</v>
          </cell>
        </row>
        <row r="1014">
          <cell r="B1014">
            <v>17031819500</v>
          </cell>
          <cell r="D1014">
            <v>1451</v>
          </cell>
          <cell r="E1014">
            <v>193</v>
          </cell>
          <cell r="F1014">
            <v>901</v>
          </cell>
          <cell r="G1014">
            <v>195</v>
          </cell>
          <cell r="H1014">
            <v>892</v>
          </cell>
          <cell r="I1014">
            <v>200</v>
          </cell>
          <cell r="J1014">
            <v>9</v>
          </cell>
          <cell r="K1014">
            <v>15</v>
          </cell>
          <cell r="L1014">
            <v>0</v>
          </cell>
          <cell r="M1014">
            <v>11</v>
          </cell>
          <cell r="N1014">
            <v>9</v>
          </cell>
          <cell r="O1014">
            <v>15</v>
          </cell>
          <cell r="P1014">
            <v>0</v>
          </cell>
          <cell r="Q1014">
            <v>11</v>
          </cell>
          <cell r="R1014">
            <v>0</v>
          </cell>
          <cell r="S1014">
            <v>11</v>
          </cell>
          <cell r="T1014">
            <v>0</v>
          </cell>
          <cell r="U1014">
            <v>11</v>
          </cell>
          <cell r="V1014">
            <v>324</v>
          </cell>
          <cell r="W1014">
            <v>89</v>
          </cell>
          <cell r="X1014">
            <v>0</v>
          </cell>
          <cell r="Y1014">
            <v>11</v>
          </cell>
          <cell r="Z1014">
            <v>0</v>
          </cell>
          <cell r="AA1014">
            <v>11</v>
          </cell>
          <cell r="AB1014">
            <v>0</v>
          </cell>
          <cell r="AC1014">
            <v>11</v>
          </cell>
          <cell r="AD1014">
            <v>324</v>
          </cell>
          <cell r="AE1014">
            <v>89</v>
          </cell>
          <cell r="AF1014">
            <v>0</v>
          </cell>
          <cell r="AG1014">
            <v>11</v>
          </cell>
          <cell r="AH1014">
            <v>0</v>
          </cell>
          <cell r="AI1014">
            <v>11</v>
          </cell>
          <cell r="AJ1014">
            <v>0</v>
          </cell>
          <cell r="AK1014">
            <v>11</v>
          </cell>
          <cell r="AL1014">
            <v>0</v>
          </cell>
          <cell r="AM1014">
            <v>11</v>
          </cell>
          <cell r="AN1014">
            <v>84</v>
          </cell>
          <cell r="AO1014">
            <v>55</v>
          </cell>
          <cell r="AP1014">
            <v>9</v>
          </cell>
          <cell r="AQ1014">
            <v>15</v>
          </cell>
          <cell r="AR1014">
            <v>133</v>
          </cell>
          <cell r="AS1014">
            <v>90</v>
          </cell>
        </row>
        <row r="1015">
          <cell r="B1015">
            <v>17031819600</v>
          </cell>
          <cell r="D1015">
            <v>1736</v>
          </cell>
          <cell r="E1015">
            <v>135</v>
          </cell>
          <cell r="F1015">
            <v>1126</v>
          </cell>
          <cell r="G1015">
            <v>144</v>
          </cell>
          <cell r="H1015">
            <v>1072</v>
          </cell>
          <cell r="I1015">
            <v>145</v>
          </cell>
          <cell r="J1015">
            <v>54</v>
          </cell>
          <cell r="K1015">
            <v>38</v>
          </cell>
          <cell r="L1015">
            <v>15</v>
          </cell>
          <cell r="M1015">
            <v>17</v>
          </cell>
          <cell r="N1015">
            <v>39</v>
          </cell>
          <cell r="O1015">
            <v>35</v>
          </cell>
          <cell r="P1015">
            <v>0</v>
          </cell>
          <cell r="Q1015">
            <v>11</v>
          </cell>
          <cell r="R1015">
            <v>0</v>
          </cell>
          <cell r="S1015">
            <v>11</v>
          </cell>
          <cell r="T1015">
            <v>0</v>
          </cell>
          <cell r="U1015">
            <v>11</v>
          </cell>
          <cell r="V1015">
            <v>362</v>
          </cell>
          <cell r="W1015">
            <v>78</v>
          </cell>
          <cell r="X1015">
            <v>16</v>
          </cell>
          <cell r="Y1015">
            <v>18</v>
          </cell>
          <cell r="Z1015">
            <v>7</v>
          </cell>
          <cell r="AA1015">
            <v>12</v>
          </cell>
          <cell r="AB1015">
            <v>15</v>
          </cell>
          <cell r="AC1015">
            <v>16</v>
          </cell>
          <cell r="AD1015">
            <v>324</v>
          </cell>
          <cell r="AE1015">
            <v>79</v>
          </cell>
          <cell r="AF1015">
            <v>0</v>
          </cell>
          <cell r="AG1015">
            <v>11</v>
          </cell>
          <cell r="AH1015">
            <v>0</v>
          </cell>
          <cell r="AI1015">
            <v>11</v>
          </cell>
          <cell r="AJ1015">
            <v>0</v>
          </cell>
          <cell r="AK1015">
            <v>11</v>
          </cell>
          <cell r="AL1015">
            <v>21</v>
          </cell>
          <cell r="AM1015">
            <v>20</v>
          </cell>
          <cell r="AN1015">
            <v>55</v>
          </cell>
          <cell r="AO1015">
            <v>33</v>
          </cell>
          <cell r="AP1015">
            <v>0</v>
          </cell>
          <cell r="AQ1015">
            <v>11</v>
          </cell>
          <cell r="AR1015">
            <v>172</v>
          </cell>
          <cell r="AS1015">
            <v>72</v>
          </cell>
        </row>
        <row r="1016">
          <cell r="B1016">
            <v>17031819700</v>
          </cell>
          <cell r="D1016">
            <v>2717</v>
          </cell>
          <cell r="E1016">
            <v>165</v>
          </cell>
          <cell r="F1016">
            <v>1767</v>
          </cell>
          <cell r="G1016">
            <v>169</v>
          </cell>
          <cell r="H1016">
            <v>1723</v>
          </cell>
          <cell r="I1016">
            <v>173</v>
          </cell>
          <cell r="J1016">
            <v>44</v>
          </cell>
          <cell r="K1016">
            <v>36</v>
          </cell>
          <cell r="L1016">
            <v>44</v>
          </cell>
          <cell r="M1016">
            <v>36</v>
          </cell>
          <cell r="N1016">
            <v>0</v>
          </cell>
          <cell r="O1016">
            <v>15</v>
          </cell>
          <cell r="P1016">
            <v>0</v>
          </cell>
          <cell r="Q1016">
            <v>15</v>
          </cell>
          <cell r="R1016">
            <v>0</v>
          </cell>
          <cell r="S1016">
            <v>15</v>
          </cell>
          <cell r="T1016">
            <v>0</v>
          </cell>
          <cell r="U1016">
            <v>15</v>
          </cell>
          <cell r="V1016">
            <v>583</v>
          </cell>
          <cell r="W1016">
            <v>126</v>
          </cell>
          <cell r="X1016">
            <v>8</v>
          </cell>
          <cell r="Y1016">
            <v>11</v>
          </cell>
          <cell r="Z1016">
            <v>0</v>
          </cell>
          <cell r="AA1016">
            <v>15</v>
          </cell>
          <cell r="AB1016">
            <v>25</v>
          </cell>
          <cell r="AC1016">
            <v>27</v>
          </cell>
          <cell r="AD1016">
            <v>550</v>
          </cell>
          <cell r="AE1016">
            <v>123</v>
          </cell>
          <cell r="AF1016">
            <v>0</v>
          </cell>
          <cell r="AG1016">
            <v>15</v>
          </cell>
          <cell r="AH1016">
            <v>10</v>
          </cell>
          <cell r="AI1016">
            <v>17</v>
          </cell>
          <cell r="AJ1016">
            <v>0</v>
          </cell>
          <cell r="AK1016">
            <v>15</v>
          </cell>
          <cell r="AL1016">
            <v>0</v>
          </cell>
          <cell r="AM1016">
            <v>15</v>
          </cell>
          <cell r="AN1016">
            <v>113</v>
          </cell>
          <cell r="AO1016">
            <v>49</v>
          </cell>
          <cell r="AP1016">
            <v>32</v>
          </cell>
          <cell r="AQ1016">
            <v>36</v>
          </cell>
          <cell r="AR1016">
            <v>212</v>
          </cell>
          <cell r="AS1016">
            <v>63</v>
          </cell>
        </row>
        <row r="1017">
          <cell r="B1017">
            <v>17031819801</v>
          </cell>
          <cell r="D1017">
            <v>2521</v>
          </cell>
          <cell r="E1017">
            <v>141</v>
          </cell>
          <cell r="F1017">
            <v>1521</v>
          </cell>
          <cell r="G1017">
            <v>179</v>
          </cell>
          <cell r="H1017">
            <v>1497</v>
          </cell>
          <cell r="I1017">
            <v>178</v>
          </cell>
          <cell r="J1017">
            <v>24</v>
          </cell>
          <cell r="K1017">
            <v>28</v>
          </cell>
          <cell r="L1017">
            <v>24</v>
          </cell>
          <cell r="M1017">
            <v>28</v>
          </cell>
          <cell r="N1017">
            <v>0</v>
          </cell>
          <cell r="O1017">
            <v>15</v>
          </cell>
          <cell r="P1017">
            <v>0</v>
          </cell>
          <cell r="Q1017">
            <v>15</v>
          </cell>
          <cell r="R1017">
            <v>0</v>
          </cell>
          <cell r="S1017">
            <v>15</v>
          </cell>
          <cell r="T1017">
            <v>0</v>
          </cell>
          <cell r="U1017">
            <v>15</v>
          </cell>
          <cell r="V1017">
            <v>726</v>
          </cell>
          <cell r="W1017">
            <v>112</v>
          </cell>
          <cell r="X1017">
            <v>17</v>
          </cell>
          <cell r="Y1017">
            <v>36</v>
          </cell>
          <cell r="Z1017">
            <v>0</v>
          </cell>
          <cell r="AA1017">
            <v>15</v>
          </cell>
          <cell r="AB1017">
            <v>28</v>
          </cell>
          <cell r="AC1017">
            <v>32</v>
          </cell>
          <cell r="AD1017">
            <v>681</v>
          </cell>
          <cell r="AE1017">
            <v>122</v>
          </cell>
          <cell r="AF1017">
            <v>0</v>
          </cell>
          <cell r="AG1017">
            <v>15</v>
          </cell>
          <cell r="AH1017">
            <v>0</v>
          </cell>
          <cell r="AI1017">
            <v>15</v>
          </cell>
          <cell r="AJ1017">
            <v>0</v>
          </cell>
          <cell r="AK1017">
            <v>15</v>
          </cell>
          <cell r="AL1017">
            <v>0</v>
          </cell>
          <cell r="AM1017">
            <v>15</v>
          </cell>
          <cell r="AN1017">
            <v>105</v>
          </cell>
          <cell r="AO1017">
            <v>60</v>
          </cell>
          <cell r="AP1017">
            <v>31</v>
          </cell>
          <cell r="AQ1017">
            <v>32</v>
          </cell>
          <cell r="AR1017">
            <v>138</v>
          </cell>
          <cell r="AS1017">
            <v>64</v>
          </cell>
        </row>
        <row r="1018">
          <cell r="B1018">
            <v>17031819802</v>
          </cell>
          <cell r="D1018">
            <v>1227</v>
          </cell>
          <cell r="E1018">
            <v>96</v>
          </cell>
          <cell r="F1018">
            <v>949</v>
          </cell>
          <cell r="G1018">
            <v>98</v>
          </cell>
          <cell r="H1018">
            <v>853</v>
          </cell>
          <cell r="I1018">
            <v>100</v>
          </cell>
          <cell r="J1018">
            <v>96</v>
          </cell>
          <cell r="K1018">
            <v>53</v>
          </cell>
          <cell r="L1018">
            <v>59</v>
          </cell>
          <cell r="M1018">
            <v>36</v>
          </cell>
          <cell r="N1018">
            <v>0</v>
          </cell>
          <cell r="O1018">
            <v>11</v>
          </cell>
          <cell r="P1018">
            <v>16</v>
          </cell>
          <cell r="Q1018">
            <v>20</v>
          </cell>
          <cell r="R1018">
            <v>21</v>
          </cell>
          <cell r="S1018">
            <v>31</v>
          </cell>
          <cell r="T1018">
            <v>0</v>
          </cell>
          <cell r="U1018">
            <v>11</v>
          </cell>
          <cell r="V1018">
            <v>158</v>
          </cell>
          <cell r="W1018">
            <v>51</v>
          </cell>
          <cell r="X1018">
            <v>10</v>
          </cell>
          <cell r="Y1018">
            <v>17</v>
          </cell>
          <cell r="Z1018">
            <v>0</v>
          </cell>
          <cell r="AA1018">
            <v>11</v>
          </cell>
          <cell r="AB1018">
            <v>4</v>
          </cell>
          <cell r="AC1018">
            <v>8</v>
          </cell>
          <cell r="AD1018">
            <v>144</v>
          </cell>
          <cell r="AE1018">
            <v>54</v>
          </cell>
          <cell r="AF1018">
            <v>0</v>
          </cell>
          <cell r="AG1018">
            <v>11</v>
          </cell>
          <cell r="AH1018">
            <v>0</v>
          </cell>
          <cell r="AI1018">
            <v>11</v>
          </cell>
          <cell r="AJ1018">
            <v>0</v>
          </cell>
          <cell r="AK1018">
            <v>11</v>
          </cell>
          <cell r="AL1018">
            <v>5</v>
          </cell>
          <cell r="AM1018">
            <v>8</v>
          </cell>
          <cell r="AN1018">
            <v>16</v>
          </cell>
          <cell r="AO1018">
            <v>15</v>
          </cell>
          <cell r="AP1018">
            <v>5</v>
          </cell>
          <cell r="AQ1018">
            <v>7</v>
          </cell>
          <cell r="AR1018">
            <v>94</v>
          </cell>
          <cell r="AS1018">
            <v>34</v>
          </cell>
        </row>
        <row r="1019">
          <cell r="B1019">
            <v>17031819900</v>
          </cell>
          <cell r="D1019">
            <v>1565</v>
          </cell>
          <cell r="E1019">
            <v>125</v>
          </cell>
          <cell r="F1019">
            <v>992</v>
          </cell>
          <cell r="G1019">
            <v>115</v>
          </cell>
          <cell r="H1019">
            <v>971</v>
          </cell>
          <cell r="I1019">
            <v>119</v>
          </cell>
          <cell r="J1019">
            <v>21</v>
          </cell>
          <cell r="K1019">
            <v>23</v>
          </cell>
          <cell r="L1019">
            <v>12</v>
          </cell>
          <cell r="M1019">
            <v>19</v>
          </cell>
          <cell r="N1019">
            <v>9</v>
          </cell>
          <cell r="O1019">
            <v>15</v>
          </cell>
          <cell r="P1019">
            <v>0</v>
          </cell>
          <cell r="Q1019">
            <v>11</v>
          </cell>
          <cell r="R1019">
            <v>0</v>
          </cell>
          <cell r="S1019">
            <v>11</v>
          </cell>
          <cell r="T1019">
            <v>0</v>
          </cell>
          <cell r="U1019">
            <v>11</v>
          </cell>
          <cell r="V1019">
            <v>354</v>
          </cell>
          <cell r="W1019">
            <v>85</v>
          </cell>
          <cell r="X1019">
            <v>0</v>
          </cell>
          <cell r="Y1019">
            <v>11</v>
          </cell>
          <cell r="Z1019">
            <v>0</v>
          </cell>
          <cell r="AA1019">
            <v>11</v>
          </cell>
          <cell r="AB1019">
            <v>0</v>
          </cell>
          <cell r="AC1019">
            <v>11</v>
          </cell>
          <cell r="AD1019">
            <v>354</v>
          </cell>
          <cell r="AE1019">
            <v>85</v>
          </cell>
          <cell r="AF1019">
            <v>0</v>
          </cell>
          <cell r="AG1019">
            <v>11</v>
          </cell>
          <cell r="AH1019">
            <v>0</v>
          </cell>
          <cell r="AI1019">
            <v>11</v>
          </cell>
          <cell r="AJ1019">
            <v>0</v>
          </cell>
          <cell r="AK1019">
            <v>11</v>
          </cell>
          <cell r="AL1019">
            <v>9</v>
          </cell>
          <cell r="AM1019">
            <v>14</v>
          </cell>
          <cell r="AN1019">
            <v>97</v>
          </cell>
          <cell r="AO1019">
            <v>50</v>
          </cell>
          <cell r="AP1019">
            <v>17</v>
          </cell>
          <cell r="AQ1019">
            <v>19</v>
          </cell>
          <cell r="AR1019">
            <v>96</v>
          </cell>
          <cell r="AS1019">
            <v>49</v>
          </cell>
        </row>
        <row r="1020">
          <cell r="B1020">
            <v>17031820000</v>
          </cell>
          <cell r="D1020">
            <v>822</v>
          </cell>
          <cell r="E1020">
            <v>97</v>
          </cell>
          <cell r="F1020">
            <v>549</v>
          </cell>
          <cell r="G1020">
            <v>85</v>
          </cell>
          <cell r="H1020">
            <v>517</v>
          </cell>
          <cell r="I1020">
            <v>86</v>
          </cell>
          <cell r="J1020">
            <v>32</v>
          </cell>
          <cell r="K1020">
            <v>20</v>
          </cell>
          <cell r="L1020">
            <v>25</v>
          </cell>
          <cell r="M1020">
            <v>17</v>
          </cell>
          <cell r="N1020">
            <v>3</v>
          </cell>
          <cell r="O1020">
            <v>5</v>
          </cell>
          <cell r="P1020">
            <v>4</v>
          </cell>
          <cell r="Q1020">
            <v>6</v>
          </cell>
          <cell r="R1020">
            <v>0</v>
          </cell>
          <cell r="S1020">
            <v>11</v>
          </cell>
          <cell r="T1020">
            <v>0</v>
          </cell>
          <cell r="U1020">
            <v>11</v>
          </cell>
          <cell r="V1020">
            <v>155</v>
          </cell>
          <cell r="W1020">
            <v>43</v>
          </cell>
          <cell r="X1020">
            <v>5</v>
          </cell>
          <cell r="Y1020">
            <v>7</v>
          </cell>
          <cell r="Z1020">
            <v>4</v>
          </cell>
          <cell r="AA1020">
            <v>6</v>
          </cell>
          <cell r="AB1020">
            <v>4</v>
          </cell>
          <cell r="AC1020">
            <v>7</v>
          </cell>
          <cell r="AD1020">
            <v>142</v>
          </cell>
          <cell r="AE1020">
            <v>42</v>
          </cell>
          <cell r="AF1020">
            <v>0</v>
          </cell>
          <cell r="AG1020">
            <v>11</v>
          </cell>
          <cell r="AH1020">
            <v>0</v>
          </cell>
          <cell r="AI1020">
            <v>11</v>
          </cell>
          <cell r="AJ1020">
            <v>0</v>
          </cell>
          <cell r="AK1020">
            <v>11</v>
          </cell>
          <cell r="AL1020">
            <v>0</v>
          </cell>
          <cell r="AM1020">
            <v>11</v>
          </cell>
          <cell r="AN1020">
            <v>13</v>
          </cell>
          <cell r="AO1020">
            <v>11</v>
          </cell>
          <cell r="AP1020">
            <v>6</v>
          </cell>
          <cell r="AQ1020">
            <v>9</v>
          </cell>
          <cell r="AR1020">
            <v>99</v>
          </cell>
          <cell r="AS1020">
            <v>39</v>
          </cell>
        </row>
        <row r="1021">
          <cell r="B1021">
            <v>17031820101</v>
          </cell>
          <cell r="D1021">
            <v>2784</v>
          </cell>
          <cell r="E1021">
            <v>358</v>
          </cell>
          <cell r="F1021">
            <v>2294</v>
          </cell>
          <cell r="G1021">
            <v>364</v>
          </cell>
          <cell r="H1021">
            <v>2170</v>
          </cell>
          <cell r="I1021">
            <v>353</v>
          </cell>
          <cell r="J1021">
            <v>124</v>
          </cell>
          <cell r="K1021">
            <v>91</v>
          </cell>
          <cell r="L1021">
            <v>124</v>
          </cell>
          <cell r="M1021">
            <v>91</v>
          </cell>
          <cell r="N1021">
            <v>0</v>
          </cell>
          <cell r="O1021">
            <v>15</v>
          </cell>
          <cell r="P1021">
            <v>0</v>
          </cell>
          <cell r="Q1021">
            <v>15</v>
          </cell>
          <cell r="R1021">
            <v>0</v>
          </cell>
          <cell r="S1021">
            <v>15</v>
          </cell>
          <cell r="T1021">
            <v>0</v>
          </cell>
          <cell r="U1021">
            <v>15</v>
          </cell>
          <cell r="V1021">
            <v>300</v>
          </cell>
          <cell r="W1021">
            <v>124</v>
          </cell>
          <cell r="X1021">
            <v>0</v>
          </cell>
          <cell r="Y1021">
            <v>15</v>
          </cell>
          <cell r="Z1021">
            <v>0</v>
          </cell>
          <cell r="AA1021">
            <v>15</v>
          </cell>
          <cell r="AB1021">
            <v>86</v>
          </cell>
          <cell r="AC1021">
            <v>98</v>
          </cell>
          <cell r="AD1021">
            <v>214</v>
          </cell>
          <cell r="AE1021">
            <v>97</v>
          </cell>
          <cell r="AF1021">
            <v>0</v>
          </cell>
          <cell r="AG1021">
            <v>15</v>
          </cell>
          <cell r="AH1021">
            <v>0</v>
          </cell>
          <cell r="AI1021">
            <v>15</v>
          </cell>
          <cell r="AJ1021">
            <v>0</v>
          </cell>
          <cell r="AK1021">
            <v>15</v>
          </cell>
          <cell r="AL1021">
            <v>13</v>
          </cell>
          <cell r="AM1021">
            <v>20</v>
          </cell>
          <cell r="AN1021">
            <v>21</v>
          </cell>
          <cell r="AO1021">
            <v>26</v>
          </cell>
          <cell r="AP1021">
            <v>0</v>
          </cell>
          <cell r="AQ1021">
            <v>15</v>
          </cell>
          <cell r="AR1021">
            <v>156</v>
          </cell>
          <cell r="AS1021">
            <v>91</v>
          </cell>
        </row>
        <row r="1022">
          <cell r="B1022">
            <v>17031820103</v>
          </cell>
          <cell r="D1022">
            <v>1869</v>
          </cell>
          <cell r="E1022">
            <v>183</v>
          </cell>
          <cell r="F1022">
            <v>1534</v>
          </cell>
          <cell r="G1022">
            <v>194</v>
          </cell>
          <cell r="H1022">
            <v>1486</v>
          </cell>
          <cell r="I1022">
            <v>187</v>
          </cell>
          <cell r="J1022">
            <v>48</v>
          </cell>
          <cell r="K1022">
            <v>37</v>
          </cell>
          <cell r="L1022">
            <v>25</v>
          </cell>
          <cell r="M1022">
            <v>27</v>
          </cell>
          <cell r="N1022">
            <v>11</v>
          </cell>
          <cell r="O1022">
            <v>16</v>
          </cell>
          <cell r="P1022">
            <v>0</v>
          </cell>
          <cell r="Q1022">
            <v>11</v>
          </cell>
          <cell r="R1022">
            <v>0</v>
          </cell>
          <cell r="S1022">
            <v>11</v>
          </cell>
          <cell r="T1022">
            <v>12</v>
          </cell>
          <cell r="U1022">
            <v>19</v>
          </cell>
          <cell r="V1022">
            <v>133</v>
          </cell>
          <cell r="W1022">
            <v>45</v>
          </cell>
          <cell r="X1022">
            <v>0</v>
          </cell>
          <cell r="Y1022">
            <v>11</v>
          </cell>
          <cell r="Z1022">
            <v>0</v>
          </cell>
          <cell r="AA1022">
            <v>11</v>
          </cell>
          <cell r="AB1022">
            <v>16</v>
          </cell>
          <cell r="AC1022">
            <v>19</v>
          </cell>
          <cell r="AD1022">
            <v>117</v>
          </cell>
          <cell r="AE1022">
            <v>46</v>
          </cell>
          <cell r="AF1022">
            <v>0</v>
          </cell>
          <cell r="AG1022">
            <v>11</v>
          </cell>
          <cell r="AH1022">
            <v>0</v>
          </cell>
          <cell r="AI1022">
            <v>11</v>
          </cell>
          <cell r="AJ1022">
            <v>0</v>
          </cell>
          <cell r="AK1022">
            <v>11</v>
          </cell>
          <cell r="AL1022">
            <v>18</v>
          </cell>
          <cell r="AM1022">
            <v>20</v>
          </cell>
          <cell r="AN1022">
            <v>73</v>
          </cell>
          <cell r="AO1022">
            <v>51</v>
          </cell>
          <cell r="AP1022">
            <v>0</v>
          </cell>
          <cell r="AQ1022">
            <v>11</v>
          </cell>
          <cell r="AR1022">
            <v>111</v>
          </cell>
          <cell r="AS1022">
            <v>49</v>
          </cell>
        </row>
        <row r="1023">
          <cell r="B1023">
            <v>17031820104</v>
          </cell>
          <cell r="D1023">
            <v>2040</v>
          </cell>
          <cell r="E1023">
            <v>221</v>
          </cell>
          <cell r="F1023">
            <v>1722</v>
          </cell>
          <cell r="G1023">
            <v>204</v>
          </cell>
          <cell r="H1023">
            <v>1588</v>
          </cell>
          <cell r="I1023">
            <v>188</v>
          </cell>
          <cell r="J1023">
            <v>134</v>
          </cell>
          <cell r="K1023">
            <v>75</v>
          </cell>
          <cell r="L1023">
            <v>90</v>
          </cell>
          <cell r="M1023">
            <v>69</v>
          </cell>
          <cell r="N1023">
            <v>16</v>
          </cell>
          <cell r="O1023">
            <v>21</v>
          </cell>
          <cell r="P1023">
            <v>28</v>
          </cell>
          <cell r="Q1023">
            <v>44</v>
          </cell>
          <cell r="R1023">
            <v>0</v>
          </cell>
          <cell r="S1023">
            <v>11</v>
          </cell>
          <cell r="T1023">
            <v>0</v>
          </cell>
          <cell r="U1023">
            <v>11</v>
          </cell>
          <cell r="V1023">
            <v>129</v>
          </cell>
          <cell r="W1023">
            <v>64</v>
          </cell>
          <cell r="X1023">
            <v>6</v>
          </cell>
          <cell r="Y1023">
            <v>6</v>
          </cell>
          <cell r="Z1023">
            <v>0</v>
          </cell>
          <cell r="AA1023">
            <v>11</v>
          </cell>
          <cell r="AB1023">
            <v>0</v>
          </cell>
          <cell r="AC1023">
            <v>11</v>
          </cell>
          <cell r="AD1023">
            <v>123</v>
          </cell>
          <cell r="AE1023">
            <v>63</v>
          </cell>
          <cell r="AF1023">
            <v>0</v>
          </cell>
          <cell r="AG1023">
            <v>11</v>
          </cell>
          <cell r="AH1023">
            <v>0</v>
          </cell>
          <cell r="AI1023">
            <v>11</v>
          </cell>
          <cell r="AJ1023">
            <v>0</v>
          </cell>
          <cell r="AK1023">
            <v>11</v>
          </cell>
          <cell r="AL1023">
            <v>12</v>
          </cell>
          <cell r="AM1023">
            <v>19</v>
          </cell>
          <cell r="AN1023">
            <v>80</v>
          </cell>
          <cell r="AO1023">
            <v>58</v>
          </cell>
          <cell r="AP1023">
            <v>15</v>
          </cell>
          <cell r="AQ1023">
            <v>23</v>
          </cell>
          <cell r="AR1023">
            <v>82</v>
          </cell>
          <cell r="AS1023">
            <v>53</v>
          </cell>
        </row>
        <row r="1024">
          <cell r="B1024">
            <v>17031820201</v>
          </cell>
          <cell r="D1024">
            <v>3891</v>
          </cell>
          <cell r="E1024">
            <v>368</v>
          </cell>
          <cell r="F1024">
            <v>3304</v>
          </cell>
          <cell r="G1024">
            <v>381</v>
          </cell>
          <cell r="H1024">
            <v>2931</v>
          </cell>
          <cell r="I1024">
            <v>407</v>
          </cell>
          <cell r="J1024">
            <v>373</v>
          </cell>
          <cell r="K1024">
            <v>152</v>
          </cell>
          <cell r="L1024">
            <v>358</v>
          </cell>
          <cell r="M1024">
            <v>154</v>
          </cell>
          <cell r="N1024">
            <v>0</v>
          </cell>
          <cell r="O1024">
            <v>15</v>
          </cell>
          <cell r="P1024">
            <v>15</v>
          </cell>
          <cell r="Q1024">
            <v>24</v>
          </cell>
          <cell r="R1024">
            <v>0</v>
          </cell>
          <cell r="S1024">
            <v>15</v>
          </cell>
          <cell r="T1024">
            <v>0</v>
          </cell>
          <cell r="U1024">
            <v>15</v>
          </cell>
          <cell r="V1024">
            <v>128</v>
          </cell>
          <cell r="W1024">
            <v>67</v>
          </cell>
          <cell r="X1024">
            <v>0</v>
          </cell>
          <cell r="Y1024">
            <v>15</v>
          </cell>
          <cell r="Z1024">
            <v>0</v>
          </cell>
          <cell r="AA1024">
            <v>15</v>
          </cell>
          <cell r="AB1024">
            <v>14</v>
          </cell>
          <cell r="AC1024">
            <v>24</v>
          </cell>
          <cell r="AD1024">
            <v>114</v>
          </cell>
          <cell r="AE1024">
            <v>70</v>
          </cell>
          <cell r="AF1024">
            <v>0</v>
          </cell>
          <cell r="AG1024">
            <v>15</v>
          </cell>
          <cell r="AH1024">
            <v>23</v>
          </cell>
          <cell r="AI1024">
            <v>35</v>
          </cell>
          <cell r="AJ1024">
            <v>37</v>
          </cell>
          <cell r="AK1024">
            <v>43</v>
          </cell>
          <cell r="AL1024">
            <v>0</v>
          </cell>
          <cell r="AM1024">
            <v>15</v>
          </cell>
          <cell r="AN1024">
            <v>55</v>
          </cell>
          <cell r="AO1024">
            <v>50</v>
          </cell>
          <cell r="AP1024">
            <v>30</v>
          </cell>
          <cell r="AQ1024">
            <v>35</v>
          </cell>
          <cell r="AR1024">
            <v>314</v>
          </cell>
          <cell r="AS1024">
            <v>147</v>
          </cell>
        </row>
        <row r="1025">
          <cell r="B1025">
            <v>17031820202</v>
          </cell>
          <cell r="D1025">
            <v>1661</v>
          </cell>
          <cell r="E1025">
            <v>229</v>
          </cell>
          <cell r="F1025">
            <v>1395</v>
          </cell>
          <cell r="G1025">
            <v>184</v>
          </cell>
          <cell r="H1025">
            <v>1202</v>
          </cell>
          <cell r="I1025">
            <v>153</v>
          </cell>
          <cell r="J1025">
            <v>193</v>
          </cell>
          <cell r="K1025">
            <v>86</v>
          </cell>
          <cell r="L1025">
            <v>161</v>
          </cell>
          <cell r="M1025">
            <v>80</v>
          </cell>
          <cell r="N1025">
            <v>31</v>
          </cell>
          <cell r="O1025">
            <v>26</v>
          </cell>
          <cell r="P1025">
            <v>0</v>
          </cell>
          <cell r="Q1025">
            <v>11</v>
          </cell>
          <cell r="R1025">
            <v>0</v>
          </cell>
          <cell r="S1025">
            <v>11</v>
          </cell>
          <cell r="T1025">
            <v>1</v>
          </cell>
          <cell r="U1025">
            <v>5</v>
          </cell>
          <cell r="V1025">
            <v>34</v>
          </cell>
          <cell r="W1025">
            <v>31</v>
          </cell>
          <cell r="X1025">
            <v>16</v>
          </cell>
          <cell r="Y1025">
            <v>26</v>
          </cell>
          <cell r="Z1025">
            <v>0</v>
          </cell>
          <cell r="AA1025">
            <v>11</v>
          </cell>
          <cell r="AB1025">
            <v>10</v>
          </cell>
          <cell r="AC1025">
            <v>14</v>
          </cell>
          <cell r="AD1025">
            <v>8</v>
          </cell>
          <cell r="AE1025">
            <v>10</v>
          </cell>
          <cell r="AF1025">
            <v>0</v>
          </cell>
          <cell r="AG1025">
            <v>11</v>
          </cell>
          <cell r="AH1025">
            <v>2</v>
          </cell>
          <cell r="AI1025">
            <v>3</v>
          </cell>
          <cell r="AJ1025">
            <v>4</v>
          </cell>
          <cell r="AK1025">
            <v>6</v>
          </cell>
          <cell r="AL1025">
            <v>120</v>
          </cell>
          <cell r="AM1025">
            <v>98</v>
          </cell>
          <cell r="AN1025">
            <v>76</v>
          </cell>
          <cell r="AO1025">
            <v>50</v>
          </cell>
          <cell r="AP1025">
            <v>0</v>
          </cell>
          <cell r="AQ1025">
            <v>11</v>
          </cell>
          <cell r="AR1025">
            <v>30</v>
          </cell>
          <cell r="AS1025">
            <v>19</v>
          </cell>
        </row>
        <row r="1026">
          <cell r="B1026">
            <v>17031820300</v>
          </cell>
          <cell r="D1026">
            <v>2278</v>
          </cell>
          <cell r="E1026">
            <v>217</v>
          </cell>
          <cell r="F1026">
            <v>2075</v>
          </cell>
          <cell r="G1026">
            <v>235</v>
          </cell>
          <cell r="H1026">
            <v>1717</v>
          </cell>
          <cell r="I1026">
            <v>221</v>
          </cell>
          <cell r="J1026">
            <v>358</v>
          </cell>
          <cell r="K1026">
            <v>124</v>
          </cell>
          <cell r="L1026">
            <v>319</v>
          </cell>
          <cell r="M1026">
            <v>125</v>
          </cell>
          <cell r="N1026">
            <v>39</v>
          </cell>
          <cell r="O1026">
            <v>31</v>
          </cell>
          <cell r="P1026">
            <v>0</v>
          </cell>
          <cell r="Q1026">
            <v>15</v>
          </cell>
          <cell r="R1026">
            <v>0</v>
          </cell>
          <cell r="S1026">
            <v>15</v>
          </cell>
          <cell r="T1026">
            <v>0</v>
          </cell>
          <cell r="U1026">
            <v>15</v>
          </cell>
          <cell r="V1026">
            <v>106</v>
          </cell>
          <cell r="W1026">
            <v>77</v>
          </cell>
          <cell r="X1026">
            <v>48</v>
          </cell>
          <cell r="Y1026">
            <v>47</v>
          </cell>
          <cell r="Z1026">
            <v>0</v>
          </cell>
          <cell r="AA1026">
            <v>15</v>
          </cell>
          <cell r="AB1026">
            <v>34</v>
          </cell>
          <cell r="AC1026">
            <v>42</v>
          </cell>
          <cell r="AD1026">
            <v>24</v>
          </cell>
          <cell r="AE1026">
            <v>39</v>
          </cell>
          <cell r="AF1026">
            <v>0</v>
          </cell>
          <cell r="AG1026">
            <v>15</v>
          </cell>
          <cell r="AH1026">
            <v>0</v>
          </cell>
          <cell r="AI1026">
            <v>15</v>
          </cell>
          <cell r="AJ1026">
            <v>0</v>
          </cell>
          <cell r="AK1026">
            <v>15</v>
          </cell>
          <cell r="AL1026">
            <v>19</v>
          </cell>
          <cell r="AM1026">
            <v>28</v>
          </cell>
          <cell r="AN1026">
            <v>71</v>
          </cell>
          <cell r="AO1026">
            <v>48</v>
          </cell>
          <cell r="AP1026">
            <v>0</v>
          </cell>
          <cell r="AQ1026">
            <v>15</v>
          </cell>
          <cell r="AR1026">
            <v>7</v>
          </cell>
          <cell r="AS1026">
            <v>10</v>
          </cell>
        </row>
        <row r="1027">
          <cell r="B1027">
            <v>17031820400</v>
          </cell>
          <cell r="D1027">
            <v>2375</v>
          </cell>
          <cell r="E1027">
            <v>319</v>
          </cell>
          <cell r="F1027">
            <v>1921</v>
          </cell>
          <cell r="G1027">
            <v>298</v>
          </cell>
          <cell r="H1027">
            <v>1592</v>
          </cell>
          <cell r="I1027">
            <v>257</v>
          </cell>
          <cell r="J1027">
            <v>329</v>
          </cell>
          <cell r="K1027">
            <v>109</v>
          </cell>
          <cell r="L1027">
            <v>306</v>
          </cell>
          <cell r="M1027">
            <v>108</v>
          </cell>
          <cell r="N1027">
            <v>23</v>
          </cell>
          <cell r="O1027">
            <v>29</v>
          </cell>
          <cell r="P1027">
            <v>0</v>
          </cell>
          <cell r="Q1027">
            <v>15</v>
          </cell>
          <cell r="R1027">
            <v>0</v>
          </cell>
          <cell r="S1027">
            <v>15</v>
          </cell>
          <cell r="T1027">
            <v>0</v>
          </cell>
          <cell r="U1027">
            <v>15</v>
          </cell>
          <cell r="V1027">
            <v>101</v>
          </cell>
          <cell r="W1027">
            <v>60</v>
          </cell>
          <cell r="X1027">
            <v>54</v>
          </cell>
          <cell r="Y1027">
            <v>46</v>
          </cell>
          <cell r="Z1027">
            <v>0</v>
          </cell>
          <cell r="AA1027">
            <v>15</v>
          </cell>
          <cell r="AB1027">
            <v>29</v>
          </cell>
          <cell r="AC1027">
            <v>35</v>
          </cell>
          <cell r="AD1027">
            <v>18</v>
          </cell>
          <cell r="AE1027">
            <v>28</v>
          </cell>
          <cell r="AF1027">
            <v>0</v>
          </cell>
          <cell r="AG1027">
            <v>15</v>
          </cell>
          <cell r="AH1027">
            <v>0</v>
          </cell>
          <cell r="AI1027">
            <v>15</v>
          </cell>
          <cell r="AJ1027">
            <v>10</v>
          </cell>
          <cell r="AK1027">
            <v>15</v>
          </cell>
          <cell r="AL1027">
            <v>24</v>
          </cell>
          <cell r="AM1027">
            <v>37</v>
          </cell>
          <cell r="AN1027">
            <v>245</v>
          </cell>
          <cell r="AO1027">
            <v>130</v>
          </cell>
          <cell r="AP1027">
            <v>0</v>
          </cell>
          <cell r="AQ1027">
            <v>15</v>
          </cell>
          <cell r="AR1027">
            <v>74</v>
          </cell>
          <cell r="AS1027">
            <v>59</v>
          </cell>
        </row>
        <row r="1028">
          <cell r="B1028">
            <v>17031820501</v>
          </cell>
          <cell r="D1028">
            <v>3199</v>
          </cell>
          <cell r="E1028">
            <v>367</v>
          </cell>
          <cell r="F1028">
            <v>3052</v>
          </cell>
          <cell r="G1028">
            <v>350</v>
          </cell>
          <cell r="H1028">
            <v>2597</v>
          </cell>
          <cell r="I1028">
            <v>362</v>
          </cell>
          <cell r="J1028">
            <v>455</v>
          </cell>
          <cell r="K1028">
            <v>206</v>
          </cell>
          <cell r="L1028">
            <v>402</v>
          </cell>
          <cell r="M1028">
            <v>197</v>
          </cell>
          <cell r="N1028">
            <v>49</v>
          </cell>
          <cell r="O1028">
            <v>55</v>
          </cell>
          <cell r="P1028">
            <v>0</v>
          </cell>
          <cell r="Q1028">
            <v>15</v>
          </cell>
          <cell r="R1028">
            <v>4</v>
          </cell>
          <cell r="S1028">
            <v>6</v>
          </cell>
          <cell r="T1028">
            <v>0</v>
          </cell>
          <cell r="U1028">
            <v>15</v>
          </cell>
          <cell r="V1028">
            <v>67</v>
          </cell>
          <cell r="W1028">
            <v>39</v>
          </cell>
          <cell r="X1028">
            <v>8</v>
          </cell>
          <cell r="Y1028">
            <v>11</v>
          </cell>
          <cell r="Z1028">
            <v>0</v>
          </cell>
          <cell r="AA1028">
            <v>15</v>
          </cell>
          <cell r="AB1028">
            <v>0</v>
          </cell>
          <cell r="AC1028">
            <v>15</v>
          </cell>
          <cell r="AD1028">
            <v>59</v>
          </cell>
          <cell r="AE1028">
            <v>41</v>
          </cell>
          <cell r="AF1028">
            <v>0</v>
          </cell>
          <cell r="AG1028">
            <v>15</v>
          </cell>
          <cell r="AH1028">
            <v>0</v>
          </cell>
          <cell r="AI1028">
            <v>15</v>
          </cell>
          <cell r="AJ1028">
            <v>0</v>
          </cell>
          <cell r="AK1028">
            <v>15</v>
          </cell>
          <cell r="AL1028">
            <v>48</v>
          </cell>
          <cell r="AM1028">
            <v>67</v>
          </cell>
          <cell r="AN1028">
            <v>15</v>
          </cell>
          <cell r="AO1028">
            <v>19</v>
          </cell>
          <cell r="AP1028">
            <v>15</v>
          </cell>
          <cell r="AQ1028">
            <v>20</v>
          </cell>
          <cell r="AR1028">
            <v>2</v>
          </cell>
          <cell r="AS1028">
            <v>4</v>
          </cell>
        </row>
        <row r="1029">
          <cell r="B1029">
            <v>17031820502</v>
          </cell>
          <cell r="D1029">
            <v>1951</v>
          </cell>
          <cell r="E1029">
            <v>265</v>
          </cell>
          <cell r="F1029">
            <v>1679</v>
          </cell>
          <cell r="G1029">
            <v>257</v>
          </cell>
          <cell r="H1029">
            <v>1390</v>
          </cell>
          <cell r="I1029">
            <v>210</v>
          </cell>
          <cell r="J1029">
            <v>289</v>
          </cell>
          <cell r="K1029">
            <v>172</v>
          </cell>
          <cell r="L1029">
            <v>194</v>
          </cell>
          <cell r="M1029">
            <v>146</v>
          </cell>
          <cell r="N1029">
            <v>41</v>
          </cell>
          <cell r="O1029">
            <v>62</v>
          </cell>
          <cell r="P1029">
            <v>43</v>
          </cell>
          <cell r="Q1029">
            <v>40</v>
          </cell>
          <cell r="R1029">
            <v>11</v>
          </cell>
          <cell r="S1029">
            <v>18</v>
          </cell>
          <cell r="T1029">
            <v>0</v>
          </cell>
          <cell r="U1029">
            <v>15</v>
          </cell>
          <cell r="V1029">
            <v>82</v>
          </cell>
          <cell r="W1029">
            <v>67</v>
          </cell>
          <cell r="X1029">
            <v>37</v>
          </cell>
          <cell r="Y1029">
            <v>50</v>
          </cell>
          <cell r="Z1029">
            <v>0</v>
          </cell>
          <cell r="AA1029">
            <v>15</v>
          </cell>
          <cell r="AB1029">
            <v>32</v>
          </cell>
          <cell r="AC1029">
            <v>31</v>
          </cell>
          <cell r="AD1029">
            <v>13</v>
          </cell>
          <cell r="AE1029">
            <v>22</v>
          </cell>
          <cell r="AF1029">
            <v>0</v>
          </cell>
          <cell r="AG1029">
            <v>15</v>
          </cell>
          <cell r="AH1029">
            <v>0</v>
          </cell>
          <cell r="AI1029">
            <v>15</v>
          </cell>
          <cell r="AJ1029">
            <v>0</v>
          </cell>
          <cell r="AK1029">
            <v>15</v>
          </cell>
          <cell r="AL1029">
            <v>0</v>
          </cell>
          <cell r="AM1029">
            <v>15</v>
          </cell>
          <cell r="AN1029">
            <v>47</v>
          </cell>
          <cell r="AO1029">
            <v>34</v>
          </cell>
          <cell r="AP1029">
            <v>20</v>
          </cell>
          <cell r="AQ1029">
            <v>23</v>
          </cell>
          <cell r="AR1029">
            <v>123</v>
          </cell>
          <cell r="AS1029">
            <v>79</v>
          </cell>
        </row>
        <row r="1030">
          <cell r="B1030">
            <v>17031820603</v>
          </cell>
          <cell r="D1030">
            <v>2413</v>
          </cell>
          <cell r="E1030">
            <v>272</v>
          </cell>
          <cell r="F1030">
            <v>2132</v>
          </cell>
          <cell r="G1030">
            <v>311</v>
          </cell>
          <cell r="H1030">
            <v>1849</v>
          </cell>
          <cell r="I1030">
            <v>291</v>
          </cell>
          <cell r="J1030">
            <v>283</v>
          </cell>
          <cell r="K1030">
            <v>98</v>
          </cell>
          <cell r="L1030">
            <v>255</v>
          </cell>
          <cell r="M1030">
            <v>86</v>
          </cell>
          <cell r="N1030">
            <v>23</v>
          </cell>
          <cell r="O1030">
            <v>36</v>
          </cell>
          <cell r="P1030">
            <v>0</v>
          </cell>
          <cell r="Q1030">
            <v>15</v>
          </cell>
          <cell r="R1030">
            <v>5</v>
          </cell>
          <cell r="S1030">
            <v>8</v>
          </cell>
          <cell r="T1030">
            <v>0</v>
          </cell>
          <cell r="U1030">
            <v>15</v>
          </cell>
          <cell r="V1030">
            <v>152</v>
          </cell>
          <cell r="W1030">
            <v>81</v>
          </cell>
          <cell r="X1030">
            <v>18</v>
          </cell>
          <cell r="Y1030">
            <v>20</v>
          </cell>
          <cell r="Z1030">
            <v>0</v>
          </cell>
          <cell r="AA1030">
            <v>15</v>
          </cell>
          <cell r="AB1030">
            <v>94</v>
          </cell>
          <cell r="AC1030">
            <v>68</v>
          </cell>
          <cell r="AD1030">
            <v>40</v>
          </cell>
          <cell r="AE1030">
            <v>40</v>
          </cell>
          <cell r="AF1030">
            <v>0</v>
          </cell>
          <cell r="AG1030">
            <v>15</v>
          </cell>
          <cell r="AH1030">
            <v>0</v>
          </cell>
          <cell r="AI1030">
            <v>15</v>
          </cell>
          <cell r="AJ1030">
            <v>0</v>
          </cell>
          <cell r="AK1030">
            <v>15</v>
          </cell>
          <cell r="AL1030">
            <v>0</v>
          </cell>
          <cell r="AM1030">
            <v>15</v>
          </cell>
          <cell r="AN1030">
            <v>83</v>
          </cell>
          <cell r="AO1030">
            <v>93</v>
          </cell>
          <cell r="AP1030">
            <v>14</v>
          </cell>
          <cell r="AQ1030">
            <v>15</v>
          </cell>
          <cell r="AR1030">
            <v>32</v>
          </cell>
          <cell r="AS1030">
            <v>38</v>
          </cell>
        </row>
        <row r="1031">
          <cell r="B1031">
            <v>17031820604</v>
          </cell>
          <cell r="D1031">
            <v>1591</v>
          </cell>
          <cell r="E1031">
            <v>247</v>
          </cell>
          <cell r="F1031">
            <v>1540</v>
          </cell>
          <cell r="G1031">
            <v>251</v>
          </cell>
          <cell r="H1031">
            <v>1290</v>
          </cell>
          <cell r="I1031">
            <v>236</v>
          </cell>
          <cell r="J1031">
            <v>250</v>
          </cell>
          <cell r="K1031">
            <v>153</v>
          </cell>
          <cell r="L1031">
            <v>215</v>
          </cell>
          <cell r="M1031">
            <v>148</v>
          </cell>
          <cell r="N1031">
            <v>26</v>
          </cell>
          <cell r="O1031">
            <v>29</v>
          </cell>
          <cell r="P1031">
            <v>9</v>
          </cell>
          <cell r="Q1031">
            <v>17</v>
          </cell>
          <cell r="R1031">
            <v>0</v>
          </cell>
          <cell r="S1031">
            <v>11</v>
          </cell>
          <cell r="T1031">
            <v>0</v>
          </cell>
          <cell r="U1031">
            <v>11</v>
          </cell>
          <cell r="V1031">
            <v>19</v>
          </cell>
          <cell r="W1031">
            <v>40</v>
          </cell>
          <cell r="X1031">
            <v>0</v>
          </cell>
          <cell r="Y1031">
            <v>11</v>
          </cell>
          <cell r="Z1031">
            <v>0</v>
          </cell>
          <cell r="AA1031">
            <v>11</v>
          </cell>
          <cell r="AB1031">
            <v>0</v>
          </cell>
          <cell r="AC1031">
            <v>11</v>
          </cell>
          <cell r="AD1031">
            <v>19</v>
          </cell>
          <cell r="AE1031">
            <v>40</v>
          </cell>
          <cell r="AF1031">
            <v>0</v>
          </cell>
          <cell r="AG1031">
            <v>11</v>
          </cell>
          <cell r="AH1031">
            <v>0</v>
          </cell>
          <cell r="AI1031">
            <v>11</v>
          </cell>
          <cell r="AJ1031">
            <v>0</v>
          </cell>
          <cell r="AK1031">
            <v>11</v>
          </cell>
          <cell r="AL1031">
            <v>0</v>
          </cell>
          <cell r="AM1031">
            <v>11</v>
          </cell>
          <cell r="AN1031">
            <v>32</v>
          </cell>
          <cell r="AO1031">
            <v>30</v>
          </cell>
          <cell r="AP1031">
            <v>0</v>
          </cell>
          <cell r="AQ1031">
            <v>11</v>
          </cell>
          <cell r="AR1031">
            <v>0</v>
          </cell>
          <cell r="AS1031">
            <v>11</v>
          </cell>
        </row>
        <row r="1032">
          <cell r="B1032">
            <v>17031820605</v>
          </cell>
          <cell r="D1032">
            <v>1948</v>
          </cell>
          <cell r="E1032">
            <v>248</v>
          </cell>
          <cell r="F1032">
            <v>1734</v>
          </cell>
          <cell r="G1032">
            <v>245</v>
          </cell>
          <cell r="H1032">
            <v>1658</v>
          </cell>
          <cell r="I1032">
            <v>248</v>
          </cell>
          <cell r="J1032">
            <v>76</v>
          </cell>
          <cell r="K1032">
            <v>56</v>
          </cell>
          <cell r="L1032">
            <v>76</v>
          </cell>
          <cell r="M1032">
            <v>56</v>
          </cell>
          <cell r="N1032">
            <v>0</v>
          </cell>
          <cell r="O1032">
            <v>11</v>
          </cell>
          <cell r="P1032">
            <v>0</v>
          </cell>
          <cell r="Q1032">
            <v>11</v>
          </cell>
          <cell r="R1032">
            <v>0</v>
          </cell>
          <cell r="S1032">
            <v>11</v>
          </cell>
          <cell r="T1032">
            <v>0</v>
          </cell>
          <cell r="U1032">
            <v>11</v>
          </cell>
          <cell r="V1032">
            <v>180</v>
          </cell>
          <cell r="W1032">
            <v>90</v>
          </cell>
          <cell r="X1032">
            <v>78</v>
          </cell>
          <cell r="Y1032">
            <v>56</v>
          </cell>
          <cell r="Z1032">
            <v>0</v>
          </cell>
          <cell r="AA1032">
            <v>11</v>
          </cell>
          <cell r="AB1032">
            <v>63</v>
          </cell>
          <cell r="AC1032">
            <v>70</v>
          </cell>
          <cell r="AD1032">
            <v>39</v>
          </cell>
          <cell r="AE1032">
            <v>57</v>
          </cell>
          <cell r="AF1032">
            <v>0</v>
          </cell>
          <cell r="AG1032">
            <v>11</v>
          </cell>
          <cell r="AH1032">
            <v>0</v>
          </cell>
          <cell r="AI1032">
            <v>11</v>
          </cell>
          <cell r="AJ1032">
            <v>0</v>
          </cell>
          <cell r="AK1032">
            <v>11</v>
          </cell>
          <cell r="AL1032">
            <v>0</v>
          </cell>
          <cell r="AM1032">
            <v>11</v>
          </cell>
          <cell r="AN1032">
            <v>0</v>
          </cell>
          <cell r="AO1032">
            <v>11</v>
          </cell>
          <cell r="AP1032">
            <v>0</v>
          </cell>
          <cell r="AQ1032">
            <v>11</v>
          </cell>
          <cell r="AR1032">
            <v>34</v>
          </cell>
          <cell r="AS1032">
            <v>30</v>
          </cell>
        </row>
        <row r="1033">
          <cell r="B1033">
            <v>17031820606</v>
          </cell>
          <cell r="D1033">
            <v>1843</v>
          </cell>
          <cell r="E1033">
            <v>247</v>
          </cell>
          <cell r="F1033">
            <v>1700</v>
          </cell>
          <cell r="G1033">
            <v>229</v>
          </cell>
          <cell r="H1033">
            <v>1559</v>
          </cell>
          <cell r="I1033">
            <v>234</v>
          </cell>
          <cell r="J1033">
            <v>141</v>
          </cell>
          <cell r="K1033">
            <v>86</v>
          </cell>
          <cell r="L1033">
            <v>96</v>
          </cell>
          <cell r="M1033">
            <v>62</v>
          </cell>
          <cell r="N1033">
            <v>0</v>
          </cell>
          <cell r="O1033">
            <v>11</v>
          </cell>
          <cell r="P1033">
            <v>11</v>
          </cell>
          <cell r="Q1033">
            <v>16</v>
          </cell>
          <cell r="R1033">
            <v>0</v>
          </cell>
          <cell r="S1033">
            <v>11</v>
          </cell>
          <cell r="T1033">
            <v>34</v>
          </cell>
          <cell r="U1033">
            <v>54</v>
          </cell>
          <cell r="V1033">
            <v>71</v>
          </cell>
          <cell r="W1033">
            <v>45</v>
          </cell>
          <cell r="X1033">
            <v>15</v>
          </cell>
          <cell r="Y1033">
            <v>23</v>
          </cell>
          <cell r="Z1033">
            <v>0</v>
          </cell>
          <cell r="AA1033">
            <v>11</v>
          </cell>
          <cell r="AB1033">
            <v>25</v>
          </cell>
          <cell r="AC1033">
            <v>22</v>
          </cell>
          <cell r="AD1033">
            <v>31</v>
          </cell>
          <cell r="AE1033">
            <v>31</v>
          </cell>
          <cell r="AF1033">
            <v>0</v>
          </cell>
          <cell r="AG1033">
            <v>11</v>
          </cell>
          <cell r="AH1033">
            <v>0</v>
          </cell>
          <cell r="AI1033">
            <v>11</v>
          </cell>
          <cell r="AJ1033">
            <v>0</v>
          </cell>
          <cell r="AK1033">
            <v>11</v>
          </cell>
          <cell r="AL1033">
            <v>0</v>
          </cell>
          <cell r="AM1033">
            <v>11</v>
          </cell>
          <cell r="AN1033">
            <v>7</v>
          </cell>
          <cell r="AO1033">
            <v>11</v>
          </cell>
          <cell r="AP1033">
            <v>28</v>
          </cell>
          <cell r="AQ1033">
            <v>45</v>
          </cell>
          <cell r="AR1033">
            <v>37</v>
          </cell>
          <cell r="AS1033">
            <v>31</v>
          </cell>
        </row>
        <row r="1034">
          <cell r="B1034">
            <v>17031820700</v>
          </cell>
          <cell r="D1034">
            <v>3359</v>
          </cell>
          <cell r="E1034">
            <v>345</v>
          </cell>
          <cell r="F1034">
            <v>2998</v>
          </cell>
          <cell r="G1034">
            <v>372</v>
          </cell>
          <cell r="H1034">
            <v>2639</v>
          </cell>
          <cell r="I1034">
            <v>364</v>
          </cell>
          <cell r="J1034">
            <v>359</v>
          </cell>
          <cell r="K1034">
            <v>144</v>
          </cell>
          <cell r="L1034">
            <v>349</v>
          </cell>
          <cell r="M1034">
            <v>143</v>
          </cell>
          <cell r="N1034">
            <v>0</v>
          </cell>
          <cell r="O1034">
            <v>15</v>
          </cell>
          <cell r="P1034">
            <v>0</v>
          </cell>
          <cell r="Q1034">
            <v>15</v>
          </cell>
          <cell r="R1034">
            <v>0</v>
          </cell>
          <cell r="S1034">
            <v>15</v>
          </cell>
          <cell r="T1034">
            <v>10</v>
          </cell>
          <cell r="U1034">
            <v>19</v>
          </cell>
          <cell r="V1034">
            <v>77</v>
          </cell>
          <cell r="W1034">
            <v>63</v>
          </cell>
          <cell r="X1034">
            <v>0</v>
          </cell>
          <cell r="Y1034">
            <v>15</v>
          </cell>
          <cell r="Z1034">
            <v>0</v>
          </cell>
          <cell r="AA1034">
            <v>15</v>
          </cell>
          <cell r="AB1034">
            <v>0</v>
          </cell>
          <cell r="AC1034">
            <v>15</v>
          </cell>
          <cell r="AD1034">
            <v>77</v>
          </cell>
          <cell r="AE1034">
            <v>63</v>
          </cell>
          <cell r="AF1034">
            <v>0</v>
          </cell>
          <cell r="AG1034">
            <v>15</v>
          </cell>
          <cell r="AH1034">
            <v>0</v>
          </cell>
          <cell r="AI1034">
            <v>15</v>
          </cell>
          <cell r="AJ1034">
            <v>0</v>
          </cell>
          <cell r="AK1034">
            <v>15</v>
          </cell>
          <cell r="AL1034">
            <v>0</v>
          </cell>
          <cell r="AM1034">
            <v>15</v>
          </cell>
          <cell r="AN1034">
            <v>105</v>
          </cell>
          <cell r="AO1034">
            <v>92</v>
          </cell>
          <cell r="AP1034">
            <v>56</v>
          </cell>
          <cell r="AQ1034">
            <v>68</v>
          </cell>
          <cell r="AR1034">
            <v>123</v>
          </cell>
          <cell r="AS1034">
            <v>78</v>
          </cell>
        </row>
        <row r="1035">
          <cell r="B1035">
            <v>17031820800</v>
          </cell>
          <cell r="D1035">
            <v>1910</v>
          </cell>
          <cell r="E1035">
            <v>232</v>
          </cell>
          <cell r="F1035">
            <v>1585</v>
          </cell>
          <cell r="G1035">
            <v>200</v>
          </cell>
          <cell r="H1035">
            <v>1274</v>
          </cell>
          <cell r="I1035">
            <v>149</v>
          </cell>
          <cell r="J1035">
            <v>311</v>
          </cell>
          <cell r="K1035">
            <v>132</v>
          </cell>
          <cell r="L1035">
            <v>222</v>
          </cell>
          <cell r="M1035">
            <v>123</v>
          </cell>
          <cell r="N1035">
            <v>70</v>
          </cell>
          <cell r="O1035">
            <v>36</v>
          </cell>
          <cell r="P1035">
            <v>6</v>
          </cell>
          <cell r="Q1035">
            <v>8</v>
          </cell>
          <cell r="R1035">
            <v>4</v>
          </cell>
          <cell r="S1035">
            <v>7</v>
          </cell>
          <cell r="T1035">
            <v>9</v>
          </cell>
          <cell r="U1035">
            <v>11</v>
          </cell>
          <cell r="V1035">
            <v>204</v>
          </cell>
          <cell r="W1035">
            <v>97</v>
          </cell>
          <cell r="X1035">
            <v>69</v>
          </cell>
          <cell r="Y1035">
            <v>45</v>
          </cell>
          <cell r="Z1035">
            <v>0</v>
          </cell>
          <cell r="AA1035">
            <v>11</v>
          </cell>
          <cell r="AB1035">
            <v>123</v>
          </cell>
          <cell r="AC1035">
            <v>76</v>
          </cell>
          <cell r="AD1035">
            <v>12</v>
          </cell>
          <cell r="AE1035">
            <v>10</v>
          </cell>
          <cell r="AF1035">
            <v>0</v>
          </cell>
          <cell r="AG1035">
            <v>11</v>
          </cell>
          <cell r="AH1035">
            <v>0</v>
          </cell>
          <cell r="AI1035">
            <v>11</v>
          </cell>
          <cell r="AJ1035">
            <v>0</v>
          </cell>
          <cell r="AK1035">
            <v>11</v>
          </cell>
          <cell r="AL1035">
            <v>8</v>
          </cell>
          <cell r="AM1035">
            <v>13</v>
          </cell>
          <cell r="AN1035">
            <v>37</v>
          </cell>
          <cell r="AO1035">
            <v>30</v>
          </cell>
          <cell r="AP1035">
            <v>6</v>
          </cell>
          <cell r="AQ1035">
            <v>9</v>
          </cell>
          <cell r="AR1035">
            <v>70</v>
          </cell>
          <cell r="AS1035">
            <v>71</v>
          </cell>
        </row>
        <row r="1036">
          <cell r="B1036">
            <v>17031820901</v>
          </cell>
          <cell r="D1036">
            <v>2289</v>
          </cell>
          <cell r="E1036">
            <v>284</v>
          </cell>
          <cell r="F1036">
            <v>2108</v>
          </cell>
          <cell r="G1036">
            <v>278</v>
          </cell>
          <cell r="H1036">
            <v>1837</v>
          </cell>
          <cell r="I1036">
            <v>241</v>
          </cell>
          <cell r="J1036">
            <v>271</v>
          </cell>
          <cell r="K1036">
            <v>156</v>
          </cell>
          <cell r="L1036">
            <v>221</v>
          </cell>
          <cell r="M1036">
            <v>128</v>
          </cell>
          <cell r="N1036">
            <v>44</v>
          </cell>
          <cell r="O1036">
            <v>51</v>
          </cell>
          <cell r="P1036">
            <v>0</v>
          </cell>
          <cell r="Q1036">
            <v>15</v>
          </cell>
          <cell r="R1036">
            <v>6</v>
          </cell>
          <cell r="S1036">
            <v>10</v>
          </cell>
          <cell r="T1036">
            <v>0</v>
          </cell>
          <cell r="U1036">
            <v>15</v>
          </cell>
          <cell r="V1036">
            <v>164</v>
          </cell>
          <cell r="W1036">
            <v>88</v>
          </cell>
          <cell r="X1036">
            <v>78</v>
          </cell>
          <cell r="Y1036">
            <v>59</v>
          </cell>
          <cell r="Z1036">
            <v>0</v>
          </cell>
          <cell r="AA1036">
            <v>15</v>
          </cell>
          <cell r="AB1036">
            <v>61</v>
          </cell>
          <cell r="AC1036">
            <v>59</v>
          </cell>
          <cell r="AD1036">
            <v>25</v>
          </cell>
          <cell r="AE1036">
            <v>23</v>
          </cell>
          <cell r="AF1036">
            <v>0</v>
          </cell>
          <cell r="AG1036">
            <v>15</v>
          </cell>
          <cell r="AH1036">
            <v>0</v>
          </cell>
          <cell r="AI1036">
            <v>15</v>
          </cell>
          <cell r="AJ1036">
            <v>5</v>
          </cell>
          <cell r="AK1036">
            <v>9</v>
          </cell>
          <cell r="AL1036">
            <v>0</v>
          </cell>
          <cell r="AM1036">
            <v>15</v>
          </cell>
          <cell r="AN1036">
            <v>0</v>
          </cell>
          <cell r="AO1036">
            <v>15</v>
          </cell>
          <cell r="AP1036">
            <v>0</v>
          </cell>
          <cell r="AQ1036">
            <v>15</v>
          </cell>
          <cell r="AR1036">
            <v>12</v>
          </cell>
          <cell r="AS1036">
            <v>19</v>
          </cell>
        </row>
        <row r="1037">
          <cell r="B1037">
            <v>17031820902</v>
          </cell>
          <cell r="D1037">
            <v>2136</v>
          </cell>
          <cell r="E1037">
            <v>223</v>
          </cell>
          <cell r="F1037">
            <v>1812</v>
          </cell>
          <cell r="G1037">
            <v>216</v>
          </cell>
          <cell r="H1037">
            <v>1589</v>
          </cell>
          <cell r="I1037">
            <v>230</v>
          </cell>
          <cell r="J1037">
            <v>223</v>
          </cell>
          <cell r="K1037">
            <v>133</v>
          </cell>
          <cell r="L1037">
            <v>80</v>
          </cell>
          <cell r="M1037">
            <v>66</v>
          </cell>
          <cell r="N1037">
            <v>100</v>
          </cell>
          <cell r="O1037">
            <v>88</v>
          </cell>
          <cell r="P1037">
            <v>0</v>
          </cell>
          <cell r="Q1037">
            <v>11</v>
          </cell>
          <cell r="R1037">
            <v>43</v>
          </cell>
          <cell r="S1037">
            <v>41</v>
          </cell>
          <cell r="T1037">
            <v>0</v>
          </cell>
          <cell r="U1037">
            <v>11</v>
          </cell>
          <cell r="V1037">
            <v>233</v>
          </cell>
          <cell r="W1037">
            <v>95</v>
          </cell>
          <cell r="X1037">
            <v>72</v>
          </cell>
          <cell r="Y1037">
            <v>50</v>
          </cell>
          <cell r="Z1037">
            <v>35</v>
          </cell>
          <cell r="AA1037">
            <v>43</v>
          </cell>
          <cell r="AB1037">
            <v>95</v>
          </cell>
          <cell r="AC1037">
            <v>64</v>
          </cell>
          <cell r="AD1037">
            <v>31</v>
          </cell>
          <cell r="AE1037">
            <v>41</v>
          </cell>
          <cell r="AF1037">
            <v>0</v>
          </cell>
          <cell r="AG1037">
            <v>11</v>
          </cell>
          <cell r="AH1037">
            <v>0</v>
          </cell>
          <cell r="AI1037">
            <v>11</v>
          </cell>
          <cell r="AJ1037">
            <v>0</v>
          </cell>
          <cell r="AK1037">
            <v>11</v>
          </cell>
          <cell r="AL1037">
            <v>11</v>
          </cell>
          <cell r="AM1037">
            <v>16</v>
          </cell>
          <cell r="AN1037">
            <v>36</v>
          </cell>
          <cell r="AO1037">
            <v>30</v>
          </cell>
          <cell r="AP1037">
            <v>0</v>
          </cell>
          <cell r="AQ1037">
            <v>11</v>
          </cell>
          <cell r="AR1037">
            <v>44</v>
          </cell>
          <cell r="AS1037">
            <v>33</v>
          </cell>
        </row>
        <row r="1038">
          <cell r="B1038">
            <v>17031821001</v>
          </cell>
          <cell r="D1038">
            <v>2240</v>
          </cell>
          <cell r="E1038">
            <v>235</v>
          </cell>
          <cell r="F1038">
            <v>2024</v>
          </cell>
          <cell r="G1038">
            <v>236</v>
          </cell>
          <cell r="H1038">
            <v>1717</v>
          </cell>
          <cell r="I1038">
            <v>247</v>
          </cell>
          <cell r="J1038">
            <v>307</v>
          </cell>
          <cell r="K1038">
            <v>115</v>
          </cell>
          <cell r="L1038">
            <v>265</v>
          </cell>
          <cell r="M1038">
            <v>113</v>
          </cell>
          <cell r="N1038">
            <v>35</v>
          </cell>
          <cell r="O1038">
            <v>50</v>
          </cell>
          <cell r="P1038">
            <v>7</v>
          </cell>
          <cell r="Q1038">
            <v>12</v>
          </cell>
          <cell r="R1038">
            <v>0</v>
          </cell>
          <cell r="S1038">
            <v>15</v>
          </cell>
          <cell r="T1038">
            <v>0</v>
          </cell>
          <cell r="U1038">
            <v>15</v>
          </cell>
          <cell r="V1038">
            <v>147</v>
          </cell>
          <cell r="W1038">
            <v>88</v>
          </cell>
          <cell r="X1038">
            <v>75</v>
          </cell>
          <cell r="Y1038">
            <v>58</v>
          </cell>
          <cell r="Z1038">
            <v>0</v>
          </cell>
          <cell r="AA1038">
            <v>15</v>
          </cell>
          <cell r="AB1038">
            <v>19</v>
          </cell>
          <cell r="AC1038">
            <v>26</v>
          </cell>
          <cell r="AD1038">
            <v>53</v>
          </cell>
          <cell r="AE1038">
            <v>48</v>
          </cell>
          <cell r="AF1038">
            <v>0</v>
          </cell>
          <cell r="AG1038">
            <v>15</v>
          </cell>
          <cell r="AH1038">
            <v>0</v>
          </cell>
          <cell r="AI1038">
            <v>15</v>
          </cell>
          <cell r="AJ1038">
            <v>0</v>
          </cell>
          <cell r="AK1038">
            <v>15</v>
          </cell>
          <cell r="AL1038">
            <v>0</v>
          </cell>
          <cell r="AM1038">
            <v>15</v>
          </cell>
          <cell r="AN1038">
            <v>32</v>
          </cell>
          <cell r="AO1038">
            <v>25</v>
          </cell>
          <cell r="AP1038">
            <v>0</v>
          </cell>
          <cell r="AQ1038">
            <v>15</v>
          </cell>
          <cell r="AR1038">
            <v>37</v>
          </cell>
          <cell r="AS1038">
            <v>35</v>
          </cell>
        </row>
        <row r="1039">
          <cell r="B1039">
            <v>17031821002</v>
          </cell>
          <cell r="D1039">
            <v>2438</v>
          </cell>
          <cell r="E1039">
            <v>288</v>
          </cell>
          <cell r="F1039">
            <v>2251</v>
          </cell>
          <cell r="G1039">
            <v>276</v>
          </cell>
          <cell r="H1039">
            <v>1921</v>
          </cell>
          <cell r="I1039">
            <v>249</v>
          </cell>
          <cell r="J1039">
            <v>330</v>
          </cell>
          <cell r="K1039">
            <v>141</v>
          </cell>
          <cell r="L1039">
            <v>196</v>
          </cell>
          <cell r="M1039">
            <v>117</v>
          </cell>
          <cell r="N1039">
            <v>7</v>
          </cell>
          <cell r="O1039">
            <v>11</v>
          </cell>
          <cell r="P1039">
            <v>110</v>
          </cell>
          <cell r="Q1039">
            <v>107</v>
          </cell>
          <cell r="R1039">
            <v>17</v>
          </cell>
          <cell r="S1039">
            <v>19</v>
          </cell>
          <cell r="T1039">
            <v>0</v>
          </cell>
          <cell r="U1039">
            <v>15</v>
          </cell>
          <cell r="V1039">
            <v>127</v>
          </cell>
          <cell r="W1039">
            <v>71</v>
          </cell>
          <cell r="X1039">
            <v>52</v>
          </cell>
          <cell r="Y1039">
            <v>45</v>
          </cell>
          <cell r="Z1039">
            <v>0</v>
          </cell>
          <cell r="AA1039">
            <v>15</v>
          </cell>
          <cell r="AB1039">
            <v>41</v>
          </cell>
          <cell r="AC1039">
            <v>35</v>
          </cell>
          <cell r="AD1039">
            <v>34</v>
          </cell>
          <cell r="AE1039">
            <v>43</v>
          </cell>
          <cell r="AF1039">
            <v>0</v>
          </cell>
          <cell r="AG1039">
            <v>15</v>
          </cell>
          <cell r="AH1039">
            <v>0</v>
          </cell>
          <cell r="AI1039">
            <v>15</v>
          </cell>
          <cell r="AJ1039">
            <v>0</v>
          </cell>
          <cell r="AK1039">
            <v>15</v>
          </cell>
          <cell r="AL1039">
            <v>8</v>
          </cell>
          <cell r="AM1039">
            <v>12</v>
          </cell>
          <cell r="AN1039">
            <v>26</v>
          </cell>
          <cell r="AO1039">
            <v>32</v>
          </cell>
          <cell r="AP1039">
            <v>7</v>
          </cell>
          <cell r="AQ1039">
            <v>11</v>
          </cell>
          <cell r="AR1039">
            <v>19</v>
          </cell>
          <cell r="AS1039">
            <v>21</v>
          </cell>
        </row>
        <row r="1040">
          <cell r="B1040">
            <v>17031821101</v>
          </cell>
          <cell r="D1040">
            <v>1980</v>
          </cell>
          <cell r="E1040">
            <v>209</v>
          </cell>
          <cell r="F1040">
            <v>1795</v>
          </cell>
          <cell r="G1040">
            <v>207</v>
          </cell>
          <cell r="H1040">
            <v>1544</v>
          </cell>
          <cell r="I1040">
            <v>172</v>
          </cell>
          <cell r="J1040">
            <v>251</v>
          </cell>
          <cell r="K1040">
            <v>113</v>
          </cell>
          <cell r="L1040">
            <v>229</v>
          </cell>
          <cell r="M1040">
            <v>113</v>
          </cell>
          <cell r="N1040">
            <v>15</v>
          </cell>
          <cell r="O1040">
            <v>22</v>
          </cell>
          <cell r="P1040">
            <v>7</v>
          </cell>
          <cell r="Q1040">
            <v>11</v>
          </cell>
          <cell r="R1040">
            <v>0</v>
          </cell>
          <cell r="S1040">
            <v>11</v>
          </cell>
          <cell r="T1040">
            <v>0</v>
          </cell>
          <cell r="U1040">
            <v>11</v>
          </cell>
          <cell r="V1040">
            <v>129</v>
          </cell>
          <cell r="W1040">
            <v>70</v>
          </cell>
          <cell r="X1040">
            <v>29</v>
          </cell>
          <cell r="Y1040">
            <v>33</v>
          </cell>
          <cell r="Z1040">
            <v>0</v>
          </cell>
          <cell r="AA1040">
            <v>11</v>
          </cell>
          <cell r="AB1040">
            <v>40</v>
          </cell>
          <cell r="AC1040">
            <v>33</v>
          </cell>
          <cell r="AD1040">
            <v>60</v>
          </cell>
          <cell r="AE1040">
            <v>50</v>
          </cell>
          <cell r="AF1040">
            <v>0</v>
          </cell>
          <cell r="AG1040">
            <v>11</v>
          </cell>
          <cell r="AH1040">
            <v>0</v>
          </cell>
          <cell r="AI1040">
            <v>11</v>
          </cell>
          <cell r="AJ1040">
            <v>0</v>
          </cell>
          <cell r="AK1040">
            <v>11</v>
          </cell>
          <cell r="AL1040">
            <v>23</v>
          </cell>
          <cell r="AM1040">
            <v>31</v>
          </cell>
          <cell r="AN1040">
            <v>11</v>
          </cell>
          <cell r="AO1040">
            <v>17</v>
          </cell>
          <cell r="AP1040">
            <v>0</v>
          </cell>
          <cell r="AQ1040">
            <v>11</v>
          </cell>
          <cell r="AR1040">
            <v>22</v>
          </cell>
          <cell r="AS1040">
            <v>23</v>
          </cell>
        </row>
        <row r="1041">
          <cell r="B1041">
            <v>17031821102</v>
          </cell>
          <cell r="D1041">
            <v>1916</v>
          </cell>
          <cell r="E1041">
            <v>203</v>
          </cell>
          <cell r="F1041">
            <v>1729</v>
          </cell>
          <cell r="G1041">
            <v>211</v>
          </cell>
          <cell r="H1041">
            <v>1584</v>
          </cell>
          <cell r="I1041">
            <v>231</v>
          </cell>
          <cell r="J1041">
            <v>145</v>
          </cell>
          <cell r="K1041">
            <v>86</v>
          </cell>
          <cell r="L1041">
            <v>135</v>
          </cell>
          <cell r="M1041">
            <v>78</v>
          </cell>
          <cell r="N1041">
            <v>10</v>
          </cell>
          <cell r="O1041">
            <v>17</v>
          </cell>
          <cell r="P1041">
            <v>0</v>
          </cell>
          <cell r="Q1041">
            <v>11</v>
          </cell>
          <cell r="R1041">
            <v>0</v>
          </cell>
          <cell r="S1041">
            <v>11</v>
          </cell>
          <cell r="T1041">
            <v>0</v>
          </cell>
          <cell r="U1041">
            <v>11</v>
          </cell>
          <cell r="V1041">
            <v>166</v>
          </cell>
          <cell r="W1041">
            <v>90</v>
          </cell>
          <cell r="X1041">
            <v>88</v>
          </cell>
          <cell r="Y1041">
            <v>72</v>
          </cell>
          <cell r="Z1041">
            <v>0</v>
          </cell>
          <cell r="AA1041">
            <v>11</v>
          </cell>
          <cell r="AB1041">
            <v>13</v>
          </cell>
          <cell r="AC1041">
            <v>21</v>
          </cell>
          <cell r="AD1041">
            <v>65</v>
          </cell>
          <cell r="AE1041">
            <v>61</v>
          </cell>
          <cell r="AF1041">
            <v>0</v>
          </cell>
          <cell r="AG1041">
            <v>11</v>
          </cell>
          <cell r="AH1041">
            <v>0</v>
          </cell>
          <cell r="AI1041">
            <v>11</v>
          </cell>
          <cell r="AJ1041">
            <v>0</v>
          </cell>
          <cell r="AK1041">
            <v>11</v>
          </cell>
          <cell r="AL1041">
            <v>0</v>
          </cell>
          <cell r="AM1041">
            <v>11</v>
          </cell>
          <cell r="AN1041">
            <v>16</v>
          </cell>
          <cell r="AO1041">
            <v>25</v>
          </cell>
          <cell r="AP1041">
            <v>0</v>
          </cell>
          <cell r="AQ1041">
            <v>11</v>
          </cell>
          <cell r="AR1041">
            <v>5</v>
          </cell>
          <cell r="AS1041">
            <v>10</v>
          </cell>
        </row>
        <row r="1042">
          <cell r="B1042">
            <v>17031821200</v>
          </cell>
          <cell r="D1042">
            <v>2935</v>
          </cell>
          <cell r="E1042">
            <v>454</v>
          </cell>
          <cell r="F1042">
            <v>2359</v>
          </cell>
          <cell r="G1042">
            <v>430</v>
          </cell>
          <cell r="H1042">
            <v>2173</v>
          </cell>
          <cell r="I1042">
            <v>449</v>
          </cell>
          <cell r="J1042">
            <v>186</v>
          </cell>
          <cell r="K1042">
            <v>139</v>
          </cell>
          <cell r="L1042">
            <v>136</v>
          </cell>
          <cell r="M1042">
            <v>102</v>
          </cell>
          <cell r="N1042">
            <v>24</v>
          </cell>
          <cell r="O1042">
            <v>28</v>
          </cell>
          <cell r="P1042">
            <v>26</v>
          </cell>
          <cell r="Q1042">
            <v>41</v>
          </cell>
          <cell r="R1042">
            <v>0</v>
          </cell>
          <cell r="S1042">
            <v>15</v>
          </cell>
          <cell r="T1042">
            <v>0</v>
          </cell>
          <cell r="U1042">
            <v>15</v>
          </cell>
          <cell r="V1042">
            <v>465</v>
          </cell>
          <cell r="W1042">
            <v>192</v>
          </cell>
          <cell r="X1042">
            <v>296</v>
          </cell>
          <cell r="Y1042">
            <v>164</v>
          </cell>
          <cell r="Z1042">
            <v>22</v>
          </cell>
          <cell r="AA1042">
            <v>33</v>
          </cell>
          <cell r="AB1042">
            <v>53</v>
          </cell>
          <cell r="AC1042">
            <v>54</v>
          </cell>
          <cell r="AD1042">
            <v>94</v>
          </cell>
          <cell r="AE1042">
            <v>74</v>
          </cell>
          <cell r="AF1042">
            <v>0</v>
          </cell>
          <cell r="AG1042">
            <v>15</v>
          </cell>
          <cell r="AH1042">
            <v>0</v>
          </cell>
          <cell r="AI1042">
            <v>15</v>
          </cell>
          <cell r="AJ1042">
            <v>16</v>
          </cell>
          <cell r="AK1042">
            <v>27</v>
          </cell>
          <cell r="AL1042">
            <v>0</v>
          </cell>
          <cell r="AM1042">
            <v>15</v>
          </cell>
          <cell r="AN1042">
            <v>62</v>
          </cell>
          <cell r="AO1042">
            <v>51</v>
          </cell>
          <cell r="AP1042">
            <v>0</v>
          </cell>
          <cell r="AQ1042">
            <v>15</v>
          </cell>
          <cell r="AR1042">
            <v>33</v>
          </cell>
          <cell r="AS1042">
            <v>38</v>
          </cell>
        </row>
        <row r="1043">
          <cell r="B1043">
            <v>17031821300</v>
          </cell>
          <cell r="D1043">
            <v>2405</v>
          </cell>
          <cell r="E1043">
            <v>337</v>
          </cell>
          <cell r="F1043">
            <v>2050</v>
          </cell>
          <cell r="G1043">
            <v>361</v>
          </cell>
          <cell r="H1043">
            <v>1888</v>
          </cell>
          <cell r="I1043">
            <v>350</v>
          </cell>
          <cell r="J1043">
            <v>162</v>
          </cell>
          <cell r="K1043">
            <v>94</v>
          </cell>
          <cell r="L1043">
            <v>145</v>
          </cell>
          <cell r="M1043">
            <v>88</v>
          </cell>
          <cell r="N1043">
            <v>17</v>
          </cell>
          <cell r="O1043">
            <v>33</v>
          </cell>
          <cell r="P1043">
            <v>0</v>
          </cell>
          <cell r="Q1043">
            <v>15</v>
          </cell>
          <cell r="R1043">
            <v>0</v>
          </cell>
          <cell r="S1043">
            <v>15</v>
          </cell>
          <cell r="T1043">
            <v>0</v>
          </cell>
          <cell r="U1043">
            <v>15</v>
          </cell>
          <cell r="V1043">
            <v>182</v>
          </cell>
          <cell r="W1043">
            <v>112</v>
          </cell>
          <cell r="X1043">
            <v>96</v>
          </cell>
          <cell r="Y1043">
            <v>89</v>
          </cell>
          <cell r="Z1043">
            <v>0</v>
          </cell>
          <cell r="AA1043">
            <v>15</v>
          </cell>
          <cell r="AB1043">
            <v>20</v>
          </cell>
          <cell r="AC1043">
            <v>32</v>
          </cell>
          <cell r="AD1043">
            <v>66</v>
          </cell>
          <cell r="AE1043">
            <v>51</v>
          </cell>
          <cell r="AF1043">
            <v>0</v>
          </cell>
          <cell r="AG1043">
            <v>15</v>
          </cell>
          <cell r="AH1043">
            <v>0</v>
          </cell>
          <cell r="AI1043">
            <v>15</v>
          </cell>
          <cell r="AJ1043">
            <v>0</v>
          </cell>
          <cell r="AK1043">
            <v>15</v>
          </cell>
          <cell r="AL1043">
            <v>0</v>
          </cell>
          <cell r="AM1043">
            <v>15</v>
          </cell>
          <cell r="AN1043">
            <v>111</v>
          </cell>
          <cell r="AO1043">
            <v>86</v>
          </cell>
          <cell r="AP1043">
            <v>15</v>
          </cell>
          <cell r="AQ1043">
            <v>22</v>
          </cell>
          <cell r="AR1043">
            <v>47</v>
          </cell>
          <cell r="AS1043">
            <v>45</v>
          </cell>
        </row>
        <row r="1044">
          <cell r="B1044">
            <v>17031821401</v>
          </cell>
          <cell r="D1044">
            <v>1550</v>
          </cell>
          <cell r="E1044">
            <v>265</v>
          </cell>
          <cell r="F1044">
            <v>1360</v>
          </cell>
          <cell r="G1044">
            <v>249</v>
          </cell>
          <cell r="H1044">
            <v>1276</v>
          </cell>
          <cell r="I1044">
            <v>252</v>
          </cell>
          <cell r="J1044">
            <v>84</v>
          </cell>
          <cell r="K1044">
            <v>113</v>
          </cell>
          <cell r="L1044">
            <v>28</v>
          </cell>
          <cell r="M1044">
            <v>32</v>
          </cell>
          <cell r="N1044">
            <v>56</v>
          </cell>
          <cell r="O1044">
            <v>102</v>
          </cell>
          <cell r="P1044">
            <v>0</v>
          </cell>
          <cell r="Q1044">
            <v>11</v>
          </cell>
          <cell r="R1044">
            <v>0</v>
          </cell>
          <cell r="S1044">
            <v>11</v>
          </cell>
          <cell r="T1044">
            <v>0</v>
          </cell>
          <cell r="U1044">
            <v>11</v>
          </cell>
          <cell r="V1044">
            <v>138</v>
          </cell>
          <cell r="W1044">
            <v>92</v>
          </cell>
          <cell r="X1044">
            <v>11</v>
          </cell>
          <cell r="Y1044">
            <v>17</v>
          </cell>
          <cell r="Z1044">
            <v>0</v>
          </cell>
          <cell r="AA1044">
            <v>11</v>
          </cell>
          <cell r="AB1044">
            <v>27</v>
          </cell>
          <cell r="AC1044">
            <v>36</v>
          </cell>
          <cell r="AD1044">
            <v>100</v>
          </cell>
          <cell r="AE1044">
            <v>84</v>
          </cell>
          <cell r="AF1044">
            <v>0</v>
          </cell>
          <cell r="AG1044">
            <v>11</v>
          </cell>
          <cell r="AH1044">
            <v>0</v>
          </cell>
          <cell r="AI1044">
            <v>11</v>
          </cell>
          <cell r="AJ1044">
            <v>0</v>
          </cell>
          <cell r="AK1044">
            <v>11</v>
          </cell>
          <cell r="AL1044">
            <v>0</v>
          </cell>
          <cell r="AM1044">
            <v>11</v>
          </cell>
          <cell r="AN1044">
            <v>0</v>
          </cell>
          <cell r="AO1044">
            <v>11</v>
          </cell>
          <cell r="AP1044">
            <v>44</v>
          </cell>
          <cell r="AQ1044">
            <v>47</v>
          </cell>
          <cell r="AR1044">
            <v>8</v>
          </cell>
          <cell r="AS1044">
            <v>16</v>
          </cell>
        </row>
        <row r="1045">
          <cell r="B1045">
            <v>17031821402</v>
          </cell>
          <cell r="D1045">
            <v>1215</v>
          </cell>
          <cell r="E1045">
            <v>226</v>
          </cell>
          <cell r="F1045">
            <v>1042</v>
          </cell>
          <cell r="G1045">
            <v>228</v>
          </cell>
          <cell r="H1045">
            <v>977</v>
          </cell>
          <cell r="I1045">
            <v>225</v>
          </cell>
          <cell r="J1045">
            <v>65</v>
          </cell>
          <cell r="K1045">
            <v>59</v>
          </cell>
          <cell r="L1045">
            <v>65</v>
          </cell>
          <cell r="M1045">
            <v>59</v>
          </cell>
          <cell r="N1045">
            <v>0</v>
          </cell>
          <cell r="O1045">
            <v>11</v>
          </cell>
          <cell r="P1045">
            <v>0</v>
          </cell>
          <cell r="Q1045">
            <v>11</v>
          </cell>
          <cell r="R1045">
            <v>0</v>
          </cell>
          <cell r="S1045">
            <v>11</v>
          </cell>
          <cell r="T1045">
            <v>0</v>
          </cell>
          <cell r="U1045">
            <v>11</v>
          </cell>
          <cell r="V1045">
            <v>120</v>
          </cell>
          <cell r="W1045">
            <v>61</v>
          </cell>
          <cell r="X1045">
            <v>44</v>
          </cell>
          <cell r="Y1045">
            <v>34</v>
          </cell>
          <cell r="Z1045">
            <v>0</v>
          </cell>
          <cell r="AA1045">
            <v>11</v>
          </cell>
          <cell r="AB1045">
            <v>23</v>
          </cell>
          <cell r="AC1045">
            <v>26</v>
          </cell>
          <cell r="AD1045">
            <v>53</v>
          </cell>
          <cell r="AE1045">
            <v>41</v>
          </cell>
          <cell r="AF1045">
            <v>0</v>
          </cell>
          <cell r="AG1045">
            <v>11</v>
          </cell>
          <cell r="AH1045">
            <v>0</v>
          </cell>
          <cell r="AI1045">
            <v>11</v>
          </cell>
          <cell r="AJ1045">
            <v>0</v>
          </cell>
          <cell r="AK1045">
            <v>11</v>
          </cell>
          <cell r="AL1045">
            <v>0</v>
          </cell>
          <cell r="AM1045">
            <v>11</v>
          </cell>
          <cell r="AN1045">
            <v>31</v>
          </cell>
          <cell r="AO1045">
            <v>49</v>
          </cell>
          <cell r="AP1045">
            <v>9</v>
          </cell>
          <cell r="AQ1045">
            <v>15</v>
          </cell>
          <cell r="AR1045">
            <v>13</v>
          </cell>
          <cell r="AS1045">
            <v>20</v>
          </cell>
        </row>
        <row r="1046">
          <cell r="B1046">
            <v>17031821500</v>
          </cell>
          <cell r="D1046">
            <v>605</v>
          </cell>
          <cell r="E1046">
            <v>105</v>
          </cell>
          <cell r="F1046">
            <v>448</v>
          </cell>
          <cell r="G1046">
            <v>99</v>
          </cell>
          <cell r="H1046">
            <v>434</v>
          </cell>
          <cell r="I1046">
            <v>99</v>
          </cell>
          <cell r="J1046">
            <v>14</v>
          </cell>
          <cell r="K1046">
            <v>14</v>
          </cell>
          <cell r="L1046">
            <v>3</v>
          </cell>
          <cell r="M1046">
            <v>4</v>
          </cell>
          <cell r="N1046">
            <v>9</v>
          </cell>
          <cell r="O1046">
            <v>13</v>
          </cell>
          <cell r="P1046">
            <v>0</v>
          </cell>
          <cell r="Q1046">
            <v>11</v>
          </cell>
          <cell r="R1046">
            <v>0</v>
          </cell>
          <cell r="S1046">
            <v>11</v>
          </cell>
          <cell r="T1046">
            <v>2</v>
          </cell>
          <cell r="U1046">
            <v>5</v>
          </cell>
          <cell r="V1046">
            <v>99</v>
          </cell>
          <cell r="W1046">
            <v>47</v>
          </cell>
          <cell r="X1046">
            <v>45</v>
          </cell>
          <cell r="Y1046">
            <v>28</v>
          </cell>
          <cell r="Z1046">
            <v>11</v>
          </cell>
          <cell r="AA1046">
            <v>18</v>
          </cell>
          <cell r="AB1046">
            <v>43</v>
          </cell>
          <cell r="AC1046">
            <v>29</v>
          </cell>
          <cell r="AD1046">
            <v>0</v>
          </cell>
          <cell r="AE1046">
            <v>11</v>
          </cell>
          <cell r="AF1046">
            <v>0</v>
          </cell>
          <cell r="AG1046">
            <v>11</v>
          </cell>
          <cell r="AH1046">
            <v>0</v>
          </cell>
          <cell r="AI1046">
            <v>11</v>
          </cell>
          <cell r="AJ1046">
            <v>0</v>
          </cell>
          <cell r="AK1046">
            <v>11</v>
          </cell>
          <cell r="AL1046">
            <v>0</v>
          </cell>
          <cell r="AM1046">
            <v>11</v>
          </cell>
          <cell r="AN1046">
            <v>3</v>
          </cell>
          <cell r="AO1046">
            <v>5</v>
          </cell>
          <cell r="AP1046">
            <v>0</v>
          </cell>
          <cell r="AQ1046">
            <v>11</v>
          </cell>
          <cell r="AR1046">
            <v>55</v>
          </cell>
          <cell r="AS1046">
            <v>35</v>
          </cell>
        </row>
        <row r="1047">
          <cell r="B1047">
            <v>17031821600</v>
          </cell>
          <cell r="D1047">
            <v>1947</v>
          </cell>
          <cell r="E1047">
            <v>250</v>
          </cell>
          <cell r="F1047">
            <v>1636</v>
          </cell>
          <cell r="G1047">
            <v>237</v>
          </cell>
          <cell r="H1047">
            <v>1443</v>
          </cell>
          <cell r="I1047">
            <v>222</v>
          </cell>
          <cell r="J1047">
            <v>193</v>
          </cell>
          <cell r="K1047">
            <v>77</v>
          </cell>
          <cell r="L1047">
            <v>147</v>
          </cell>
          <cell r="M1047">
            <v>66</v>
          </cell>
          <cell r="N1047">
            <v>21</v>
          </cell>
          <cell r="O1047">
            <v>25</v>
          </cell>
          <cell r="P1047">
            <v>14</v>
          </cell>
          <cell r="Q1047">
            <v>22</v>
          </cell>
          <cell r="R1047">
            <v>11</v>
          </cell>
          <cell r="S1047">
            <v>14</v>
          </cell>
          <cell r="T1047">
            <v>0</v>
          </cell>
          <cell r="U1047">
            <v>11</v>
          </cell>
          <cell r="V1047">
            <v>251</v>
          </cell>
          <cell r="W1047">
            <v>107</v>
          </cell>
          <cell r="X1047">
            <v>55</v>
          </cell>
          <cell r="Y1047">
            <v>65</v>
          </cell>
          <cell r="Z1047">
            <v>0</v>
          </cell>
          <cell r="AA1047">
            <v>11</v>
          </cell>
          <cell r="AB1047">
            <v>49</v>
          </cell>
          <cell r="AC1047">
            <v>45</v>
          </cell>
          <cell r="AD1047">
            <v>147</v>
          </cell>
          <cell r="AE1047">
            <v>69</v>
          </cell>
          <cell r="AF1047">
            <v>0</v>
          </cell>
          <cell r="AG1047">
            <v>11</v>
          </cell>
          <cell r="AH1047">
            <v>0</v>
          </cell>
          <cell r="AI1047">
            <v>11</v>
          </cell>
          <cell r="AJ1047">
            <v>0</v>
          </cell>
          <cell r="AK1047">
            <v>11</v>
          </cell>
          <cell r="AL1047">
            <v>0</v>
          </cell>
          <cell r="AM1047">
            <v>11</v>
          </cell>
          <cell r="AN1047">
            <v>10</v>
          </cell>
          <cell r="AO1047">
            <v>16</v>
          </cell>
          <cell r="AP1047">
            <v>0</v>
          </cell>
          <cell r="AQ1047">
            <v>11</v>
          </cell>
          <cell r="AR1047">
            <v>50</v>
          </cell>
          <cell r="AS1047">
            <v>38</v>
          </cell>
        </row>
        <row r="1048">
          <cell r="B1048">
            <v>17031821700</v>
          </cell>
          <cell r="D1048">
            <v>2237</v>
          </cell>
          <cell r="E1048">
            <v>197</v>
          </cell>
          <cell r="F1048">
            <v>1827</v>
          </cell>
          <cell r="G1048">
            <v>246</v>
          </cell>
          <cell r="H1048">
            <v>1637</v>
          </cell>
          <cell r="I1048">
            <v>224</v>
          </cell>
          <cell r="J1048">
            <v>190</v>
          </cell>
          <cell r="K1048">
            <v>78</v>
          </cell>
          <cell r="L1048">
            <v>126</v>
          </cell>
          <cell r="M1048">
            <v>65</v>
          </cell>
          <cell r="N1048">
            <v>35</v>
          </cell>
          <cell r="O1048">
            <v>33</v>
          </cell>
          <cell r="P1048">
            <v>15</v>
          </cell>
          <cell r="Q1048">
            <v>22</v>
          </cell>
          <cell r="R1048">
            <v>0</v>
          </cell>
          <cell r="S1048">
            <v>11</v>
          </cell>
          <cell r="T1048">
            <v>14</v>
          </cell>
          <cell r="U1048">
            <v>23</v>
          </cell>
          <cell r="V1048">
            <v>322</v>
          </cell>
          <cell r="W1048">
            <v>117</v>
          </cell>
          <cell r="X1048">
            <v>42</v>
          </cell>
          <cell r="Y1048">
            <v>40</v>
          </cell>
          <cell r="Z1048">
            <v>0</v>
          </cell>
          <cell r="AA1048">
            <v>11</v>
          </cell>
          <cell r="AB1048">
            <v>106</v>
          </cell>
          <cell r="AC1048">
            <v>73</v>
          </cell>
          <cell r="AD1048">
            <v>174</v>
          </cell>
          <cell r="AE1048">
            <v>81</v>
          </cell>
          <cell r="AF1048">
            <v>0</v>
          </cell>
          <cell r="AG1048">
            <v>11</v>
          </cell>
          <cell r="AH1048">
            <v>0</v>
          </cell>
          <cell r="AI1048">
            <v>11</v>
          </cell>
          <cell r="AJ1048">
            <v>0</v>
          </cell>
          <cell r="AK1048">
            <v>11</v>
          </cell>
          <cell r="AL1048">
            <v>0</v>
          </cell>
          <cell r="AM1048">
            <v>11</v>
          </cell>
          <cell r="AN1048">
            <v>36</v>
          </cell>
          <cell r="AO1048">
            <v>33</v>
          </cell>
          <cell r="AP1048">
            <v>0</v>
          </cell>
          <cell r="AQ1048">
            <v>11</v>
          </cell>
          <cell r="AR1048">
            <v>52</v>
          </cell>
          <cell r="AS1048">
            <v>38</v>
          </cell>
        </row>
        <row r="1049">
          <cell r="B1049">
            <v>17031821800</v>
          </cell>
          <cell r="D1049">
            <v>2771</v>
          </cell>
          <cell r="E1049">
            <v>248</v>
          </cell>
          <cell r="F1049">
            <v>2290</v>
          </cell>
          <cell r="G1049">
            <v>233</v>
          </cell>
          <cell r="H1049">
            <v>2018</v>
          </cell>
          <cell r="I1049">
            <v>235</v>
          </cell>
          <cell r="J1049">
            <v>272</v>
          </cell>
          <cell r="K1049">
            <v>138</v>
          </cell>
          <cell r="L1049">
            <v>224</v>
          </cell>
          <cell r="M1049">
            <v>131</v>
          </cell>
          <cell r="N1049">
            <v>48</v>
          </cell>
          <cell r="O1049">
            <v>51</v>
          </cell>
          <cell r="P1049">
            <v>0</v>
          </cell>
          <cell r="Q1049">
            <v>15</v>
          </cell>
          <cell r="R1049">
            <v>0</v>
          </cell>
          <cell r="S1049">
            <v>15</v>
          </cell>
          <cell r="T1049">
            <v>0</v>
          </cell>
          <cell r="U1049">
            <v>15</v>
          </cell>
          <cell r="V1049">
            <v>364</v>
          </cell>
          <cell r="W1049">
            <v>140</v>
          </cell>
          <cell r="X1049">
            <v>52</v>
          </cell>
          <cell r="Y1049">
            <v>43</v>
          </cell>
          <cell r="Z1049">
            <v>0</v>
          </cell>
          <cell r="AA1049">
            <v>15</v>
          </cell>
          <cell r="AB1049">
            <v>130</v>
          </cell>
          <cell r="AC1049">
            <v>91</v>
          </cell>
          <cell r="AD1049">
            <v>182</v>
          </cell>
          <cell r="AE1049">
            <v>111</v>
          </cell>
          <cell r="AF1049">
            <v>0</v>
          </cell>
          <cell r="AG1049">
            <v>15</v>
          </cell>
          <cell r="AH1049">
            <v>0</v>
          </cell>
          <cell r="AI1049">
            <v>15</v>
          </cell>
          <cell r="AJ1049">
            <v>0</v>
          </cell>
          <cell r="AK1049">
            <v>15</v>
          </cell>
          <cell r="AL1049">
            <v>0</v>
          </cell>
          <cell r="AM1049">
            <v>15</v>
          </cell>
          <cell r="AN1049">
            <v>76</v>
          </cell>
          <cell r="AO1049">
            <v>63</v>
          </cell>
          <cell r="AP1049">
            <v>9</v>
          </cell>
          <cell r="AQ1049">
            <v>14</v>
          </cell>
          <cell r="AR1049">
            <v>32</v>
          </cell>
          <cell r="AS1049">
            <v>38</v>
          </cell>
        </row>
        <row r="1050">
          <cell r="B1050">
            <v>17031821900</v>
          </cell>
          <cell r="D1050">
            <v>2312</v>
          </cell>
          <cell r="E1050">
            <v>221</v>
          </cell>
          <cell r="F1050">
            <v>1794</v>
          </cell>
          <cell r="G1050">
            <v>188</v>
          </cell>
          <cell r="H1050">
            <v>1646</v>
          </cell>
          <cell r="I1050">
            <v>170</v>
          </cell>
          <cell r="J1050">
            <v>148</v>
          </cell>
          <cell r="K1050">
            <v>120</v>
          </cell>
          <cell r="L1050">
            <v>141</v>
          </cell>
          <cell r="M1050">
            <v>119</v>
          </cell>
          <cell r="N1050">
            <v>7</v>
          </cell>
          <cell r="O1050">
            <v>11</v>
          </cell>
          <cell r="P1050">
            <v>0</v>
          </cell>
          <cell r="Q1050">
            <v>11</v>
          </cell>
          <cell r="R1050">
            <v>0</v>
          </cell>
          <cell r="S1050">
            <v>11</v>
          </cell>
          <cell r="T1050">
            <v>0</v>
          </cell>
          <cell r="U1050">
            <v>11</v>
          </cell>
          <cell r="V1050">
            <v>282</v>
          </cell>
          <cell r="W1050">
            <v>102</v>
          </cell>
          <cell r="X1050">
            <v>28</v>
          </cell>
          <cell r="Y1050">
            <v>34</v>
          </cell>
          <cell r="Z1050">
            <v>0</v>
          </cell>
          <cell r="AA1050">
            <v>11</v>
          </cell>
          <cell r="AB1050">
            <v>32</v>
          </cell>
          <cell r="AC1050">
            <v>32</v>
          </cell>
          <cell r="AD1050">
            <v>222</v>
          </cell>
          <cell r="AE1050">
            <v>87</v>
          </cell>
          <cell r="AF1050">
            <v>0</v>
          </cell>
          <cell r="AG1050">
            <v>11</v>
          </cell>
          <cell r="AH1050">
            <v>0</v>
          </cell>
          <cell r="AI1050">
            <v>11</v>
          </cell>
          <cell r="AJ1050">
            <v>0</v>
          </cell>
          <cell r="AK1050">
            <v>11</v>
          </cell>
          <cell r="AL1050">
            <v>7</v>
          </cell>
          <cell r="AM1050">
            <v>11</v>
          </cell>
          <cell r="AN1050">
            <v>69</v>
          </cell>
          <cell r="AO1050">
            <v>54</v>
          </cell>
          <cell r="AP1050">
            <v>23</v>
          </cell>
          <cell r="AQ1050">
            <v>21</v>
          </cell>
          <cell r="AR1050">
            <v>137</v>
          </cell>
          <cell r="AS1050">
            <v>70</v>
          </cell>
        </row>
        <row r="1051">
          <cell r="B1051">
            <v>17031822000</v>
          </cell>
          <cell r="D1051">
            <v>2028</v>
          </cell>
          <cell r="E1051">
            <v>255</v>
          </cell>
          <cell r="F1051">
            <v>1766</v>
          </cell>
          <cell r="G1051">
            <v>288</v>
          </cell>
          <cell r="H1051">
            <v>1682</v>
          </cell>
          <cell r="I1051">
            <v>277</v>
          </cell>
          <cell r="J1051">
            <v>84</v>
          </cell>
          <cell r="K1051">
            <v>66</v>
          </cell>
          <cell r="L1051">
            <v>73</v>
          </cell>
          <cell r="M1051">
            <v>64</v>
          </cell>
          <cell r="N1051">
            <v>11</v>
          </cell>
          <cell r="O1051">
            <v>18</v>
          </cell>
          <cell r="P1051">
            <v>0</v>
          </cell>
          <cell r="Q1051">
            <v>11</v>
          </cell>
          <cell r="R1051">
            <v>0</v>
          </cell>
          <cell r="S1051">
            <v>11</v>
          </cell>
          <cell r="T1051">
            <v>0</v>
          </cell>
          <cell r="U1051">
            <v>11</v>
          </cell>
          <cell r="V1051">
            <v>119</v>
          </cell>
          <cell r="W1051">
            <v>66</v>
          </cell>
          <cell r="X1051">
            <v>17</v>
          </cell>
          <cell r="Y1051">
            <v>23</v>
          </cell>
          <cell r="Z1051">
            <v>12</v>
          </cell>
          <cell r="AA1051">
            <v>20</v>
          </cell>
          <cell r="AB1051">
            <v>43</v>
          </cell>
          <cell r="AC1051">
            <v>39</v>
          </cell>
          <cell r="AD1051">
            <v>47</v>
          </cell>
          <cell r="AE1051">
            <v>50</v>
          </cell>
          <cell r="AF1051">
            <v>0</v>
          </cell>
          <cell r="AG1051">
            <v>11</v>
          </cell>
          <cell r="AH1051">
            <v>0</v>
          </cell>
          <cell r="AI1051">
            <v>11</v>
          </cell>
          <cell r="AJ1051">
            <v>0</v>
          </cell>
          <cell r="AK1051">
            <v>11</v>
          </cell>
          <cell r="AL1051">
            <v>0</v>
          </cell>
          <cell r="AM1051">
            <v>11</v>
          </cell>
          <cell r="AN1051">
            <v>71</v>
          </cell>
          <cell r="AO1051">
            <v>63</v>
          </cell>
          <cell r="AP1051">
            <v>0</v>
          </cell>
          <cell r="AQ1051">
            <v>11</v>
          </cell>
          <cell r="AR1051">
            <v>72</v>
          </cell>
          <cell r="AS1051">
            <v>62</v>
          </cell>
        </row>
        <row r="1052">
          <cell r="B1052">
            <v>17031822101</v>
          </cell>
          <cell r="D1052">
            <v>2262</v>
          </cell>
          <cell r="E1052">
            <v>168</v>
          </cell>
          <cell r="F1052">
            <v>1941</v>
          </cell>
          <cell r="G1052">
            <v>186</v>
          </cell>
          <cell r="H1052">
            <v>1727</v>
          </cell>
          <cell r="I1052">
            <v>188</v>
          </cell>
          <cell r="J1052">
            <v>214</v>
          </cell>
          <cell r="K1052">
            <v>92</v>
          </cell>
          <cell r="L1052">
            <v>214</v>
          </cell>
          <cell r="M1052">
            <v>92</v>
          </cell>
          <cell r="N1052">
            <v>0</v>
          </cell>
          <cell r="O1052">
            <v>11</v>
          </cell>
          <cell r="P1052">
            <v>0</v>
          </cell>
          <cell r="Q1052">
            <v>11</v>
          </cell>
          <cell r="R1052">
            <v>0</v>
          </cell>
          <cell r="S1052">
            <v>11</v>
          </cell>
          <cell r="T1052">
            <v>0</v>
          </cell>
          <cell r="U1052">
            <v>11</v>
          </cell>
          <cell r="V1052">
            <v>208</v>
          </cell>
          <cell r="W1052">
            <v>84</v>
          </cell>
          <cell r="X1052">
            <v>49</v>
          </cell>
          <cell r="Y1052">
            <v>55</v>
          </cell>
          <cell r="Z1052">
            <v>0</v>
          </cell>
          <cell r="AA1052">
            <v>11</v>
          </cell>
          <cell r="AB1052">
            <v>18</v>
          </cell>
          <cell r="AC1052">
            <v>21</v>
          </cell>
          <cell r="AD1052">
            <v>141</v>
          </cell>
          <cell r="AE1052">
            <v>68</v>
          </cell>
          <cell r="AF1052">
            <v>0</v>
          </cell>
          <cell r="AG1052">
            <v>11</v>
          </cell>
          <cell r="AH1052">
            <v>0</v>
          </cell>
          <cell r="AI1052">
            <v>11</v>
          </cell>
          <cell r="AJ1052">
            <v>0</v>
          </cell>
          <cell r="AK1052">
            <v>11</v>
          </cell>
          <cell r="AL1052">
            <v>0</v>
          </cell>
          <cell r="AM1052">
            <v>11</v>
          </cell>
          <cell r="AN1052">
            <v>37</v>
          </cell>
          <cell r="AO1052">
            <v>38</v>
          </cell>
          <cell r="AP1052">
            <v>13</v>
          </cell>
          <cell r="AQ1052">
            <v>21</v>
          </cell>
          <cell r="AR1052">
            <v>63</v>
          </cell>
          <cell r="AS1052">
            <v>53</v>
          </cell>
        </row>
        <row r="1053">
          <cell r="B1053">
            <v>17031822102</v>
          </cell>
          <cell r="D1053">
            <v>2192</v>
          </cell>
          <cell r="E1053">
            <v>382</v>
          </cell>
          <cell r="F1053">
            <v>1691</v>
          </cell>
          <cell r="G1053">
            <v>321</v>
          </cell>
          <cell r="H1053">
            <v>1532</v>
          </cell>
          <cell r="I1053">
            <v>289</v>
          </cell>
          <cell r="J1053">
            <v>159</v>
          </cell>
          <cell r="K1053">
            <v>111</v>
          </cell>
          <cell r="L1053">
            <v>159</v>
          </cell>
          <cell r="M1053">
            <v>111</v>
          </cell>
          <cell r="N1053">
            <v>0</v>
          </cell>
          <cell r="O1053">
            <v>11</v>
          </cell>
          <cell r="P1053">
            <v>0</v>
          </cell>
          <cell r="Q1053">
            <v>11</v>
          </cell>
          <cell r="R1053">
            <v>0</v>
          </cell>
          <cell r="S1053">
            <v>11</v>
          </cell>
          <cell r="T1053">
            <v>0</v>
          </cell>
          <cell r="U1053">
            <v>11</v>
          </cell>
          <cell r="V1053">
            <v>310</v>
          </cell>
          <cell r="W1053">
            <v>152</v>
          </cell>
          <cell r="X1053">
            <v>179</v>
          </cell>
          <cell r="Y1053">
            <v>125</v>
          </cell>
          <cell r="Z1053">
            <v>0</v>
          </cell>
          <cell r="AA1053">
            <v>11</v>
          </cell>
          <cell r="AB1053">
            <v>33</v>
          </cell>
          <cell r="AC1053">
            <v>36</v>
          </cell>
          <cell r="AD1053">
            <v>98</v>
          </cell>
          <cell r="AE1053">
            <v>78</v>
          </cell>
          <cell r="AF1053">
            <v>0</v>
          </cell>
          <cell r="AG1053">
            <v>11</v>
          </cell>
          <cell r="AH1053">
            <v>0</v>
          </cell>
          <cell r="AI1053">
            <v>11</v>
          </cell>
          <cell r="AJ1053">
            <v>0</v>
          </cell>
          <cell r="AK1053">
            <v>11</v>
          </cell>
          <cell r="AL1053">
            <v>0</v>
          </cell>
          <cell r="AM1053">
            <v>11</v>
          </cell>
          <cell r="AN1053">
            <v>79</v>
          </cell>
          <cell r="AO1053">
            <v>75</v>
          </cell>
          <cell r="AP1053">
            <v>15</v>
          </cell>
          <cell r="AQ1053">
            <v>26</v>
          </cell>
          <cell r="AR1053">
            <v>97</v>
          </cell>
          <cell r="AS1053">
            <v>69</v>
          </cell>
        </row>
        <row r="1054">
          <cell r="B1054">
            <v>17031822200</v>
          </cell>
          <cell r="D1054">
            <v>1946</v>
          </cell>
          <cell r="E1054">
            <v>231</v>
          </cell>
          <cell r="F1054">
            <v>1663</v>
          </cell>
          <cell r="G1054">
            <v>181</v>
          </cell>
          <cell r="H1054">
            <v>1509</v>
          </cell>
          <cell r="I1054">
            <v>164</v>
          </cell>
          <cell r="J1054">
            <v>154</v>
          </cell>
          <cell r="K1054">
            <v>69</v>
          </cell>
          <cell r="L1054">
            <v>139</v>
          </cell>
          <cell r="M1054">
            <v>72</v>
          </cell>
          <cell r="N1054">
            <v>15</v>
          </cell>
          <cell r="O1054">
            <v>25</v>
          </cell>
          <cell r="P1054">
            <v>0</v>
          </cell>
          <cell r="Q1054">
            <v>11</v>
          </cell>
          <cell r="R1054">
            <v>0</v>
          </cell>
          <cell r="S1054">
            <v>11</v>
          </cell>
          <cell r="T1054">
            <v>0</v>
          </cell>
          <cell r="U1054">
            <v>11</v>
          </cell>
          <cell r="V1054">
            <v>209</v>
          </cell>
          <cell r="W1054">
            <v>90</v>
          </cell>
          <cell r="X1054">
            <v>8</v>
          </cell>
          <cell r="Y1054">
            <v>13</v>
          </cell>
          <cell r="Z1054">
            <v>0</v>
          </cell>
          <cell r="AA1054">
            <v>11</v>
          </cell>
          <cell r="AB1054">
            <v>103</v>
          </cell>
          <cell r="AC1054">
            <v>77</v>
          </cell>
          <cell r="AD1054">
            <v>98</v>
          </cell>
          <cell r="AE1054">
            <v>52</v>
          </cell>
          <cell r="AF1054">
            <v>0</v>
          </cell>
          <cell r="AG1054">
            <v>11</v>
          </cell>
          <cell r="AH1054">
            <v>0</v>
          </cell>
          <cell r="AI1054">
            <v>11</v>
          </cell>
          <cell r="AJ1054">
            <v>0</v>
          </cell>
          <cell r="AK1054">
            <v>11</v>
          </cell>
          <cell r="AL1054">
            <v>11</v>
          </cell>
          <cell r="AM1054">
            <v>18</v>
          </cell>
          <cell r="AN1054">
            <v>16</v>
          </cell>
          <cell r="AO1054">
            <v>19</v>
          </cell>
          <cell r="AP1054">
            <v>23</v>
          </cell>
          <cell r="AQ1054">
            <v>23</v>
          </cell>
          <cell r="AR1054">
            <v>24</v>
          </cell>
          <cell r="AS1054">
            <v>22</v>
          </cell>
        </row>
        <row r="1055">
          <cell r="B1055">
            <v>17031822301</v>
          </cell>
          <cell r="D1055">
            <v>1500</v>
          </cell>
          <cell r="E1055">
            <v>165</v>
          </cell>
          <cell r="F1055">
            <v>1462</v>
          </cell>
          <cell r="G1055">
            <v>161</v>
          </cell>
          <cell r="H1055">
            <v>1360</v>
          </cell>
          <cell r="I1055">
            <v>149</v>
          </cell>
          <cell r="J1055">
            <v>102</v>
          </cell>
          <cell r="K1055">
            <v>61</v>
          </cell>
          <cell r="L1055">
            <v>72</v>
          </cell>
          <cell r="M1055">
            <v>53</v>
          </cell>
          <cell r="N1055">
            <v>24</v>
          </cell>
          <cell r="O1055">
            <v>19</v>
          </cell>
          <cell r="P1055">
            <v>6</v>
          </cell>
          <cell r="Q1055">
            <v>10</v>
          </cell>
          <cell r="R1055">
            <v>0</v>
          </cell>
          <cell r="S1055">
            <v>11</v>
          </cell>
          <cell r="T1055">
            <v>0</v>
          </cell>
          <cell r="U1055">
            <v>11</v>
          </cell>
          <cell r="V1055">
            <v>21</v>
          </cell>
          <cell r="W1055">
            <v>26</v>
          </cell>
          <cell r="X1055">
            <v>0</v>
          </cell>
          <cell r="Y1055">
            <v>11</v>
          </cell>
          <cell r="Z1055">
            <v>0</v>
          </cell>
          <cell r="AA1055">
            <v>11</v>
          </cell>
          <cell r="AB1055">
            <v>0</v>
          </cell>
          <cell r="AC1055">
            <v>11</v>
          </cell>
          <cell r="AD1055">
            <v>21</v>
          </cell>
          <cell r="AE1055">
            <v>26</v>
          </cell>
          <cell r="AF1055">
            <v>0</v>
          </cell>
          <cell r="AG1055">
            <v>11</v>
          </cell>
          <cell r="AH1055">
            <v>0</v>
          </cell>
          <cell r="AI1055">
            <v>11</v>
          </cell>
          <cell r="AJ1055">
            <v>0</v>
          </cell>
          <cell r="AK1055">
            <v>11</v>
          </cell>
          <cell r="AL1055">
            <v>10</v>
          </cell>
          <cell r="AM1055">
            <v>17</v>
          </cell>
          <cell r="AN1055">
            <v>0</v>
          </cell>
          <cell r="AO1055">
            <v>11</v>
          </cell>
          <cell r="AP1055">
            <v>0</v>
          </cell>
          <cell r="AQ1055">
            <v>11</v>
          </cell>
          <cell r="AR1055">
            <v>7</v>
          </cell>
          <cell r="AS1055">
            <v>11</v>
          </cell>
        </row>
        <row r="1056">
          <cell r="B1056">
            <v>17031822302</v>
          </cell>
          <cell r="D1056">
            <v>1930</v>
          </cell>
          <cell r="E1056">
            <v>256</v>
          </cell>
          <cell r="F1056">
            <v>1804</v>
          </cell>
          <cell r="G1056">
            <v>243</v>
          </cell>
          <cell r="H1056">
            <v>1619</v>
          </cell>
          <cell r="I1056">
            <v>229</v>
          </cell>
          <cell r="J1056">
            <v>185</v>
          </cell>
          <cell r="K1056">
            <v>106</v>
          </cell>
          <cell r="L1056">
            <v>178</v>
          </cell>
          <cell r="M1056">
            <v>104</v>
          </cell>
          <cell r="N1056">
            <v>0</v>
          </cell>
          <cell r="O1056">
            <v>11</v>
          </cell>
          <cell r="P1056">
            <v>0</v>
          </cell>
          <cell r="Q1056">
            <v>11</v>
          </cell>
          <cell r="R1056">
            <v>7</v>
          </cell>
          <cell r="S1056">
            <v>12</v>
          </cell>
          <cell r="T1056">
            <v>0</v>
          </cell>
          <cell r="U1056">
            <v>11</v>
          </cell>
          <cell r="V1056">
            <v>71</v>
          </cell>
          <cell r="W1056">
            <v>55</v>
          </cell>
          <cell r="X1056">
            <v>26</v>
          </cell>
          <cell r="Y1056">
            <v>37</v>
          </cell>
          <cell r="Z1056">
            <v>0</v>
          </cell>
          <cell r="AA1056">
            <v>11</v>
          </cell>
          <cell r="AB1056">
            <v>45</v>
          </cell>
          <cell r="AC1056">
            <v>41</v>
          </cell>
          <cell r="AD1056">
            <v>0</v>
          </cell>
          <cell r="AE1056">
            <v>11</v>
          </cell>
          <cell r="AF1056">
            <v>0</v>
          </cell>
          <cell r="AG1056">
            <v>11</v>
          </cell>
          <cell r="AH1056">
            <v>8</v>
          </cell>
          <cell r="AI1056">
            <v>13</v>
          </cell>
          <cell r="AJ1056">
            <v>0</v>
          </cell>
          <cell r="AK1056">
            <v>11</v>
          </cell>
          <cell r="AL1056">
            <v>0</v>
          </cell>
          <cell r="AM1056">
            <v>11</v>
          </cell>
          <cell r="AN1056">
            <v>8</v>
          </cell>
          <cell r="AO1056">
            <v>13</v>
          </cell>
          <cell r="AP1056">
            <v>20</v>
          </cell>
          <cell r="AQ1056">
            <v>23</v>
          </cell>
          <cell r="AR1056">
            <v>19</v>
          </cell>
          <cell r="AS1056">
            <v>23</v>
          </cell>
        </row>
        <row r="1057">
          <cell r="B1057">
            <v>17031822400</v>
          </cell>
          <cell r="D1057">
            <v>2255</v>
          </cell>
          <cell r="E1057">
            <v>241</v>
          </cell>
          <cell r="F1057">
            <v>1992</v>
          </cell>
          <cell r="G1057">
            <v>255</v>
          </cell>
          <cell r="H1057">
            <v>1653</v>
          </cell>
          <cell r="I1057">
            <v>225</v>
          </cell>
          <cell r="J1057">
            <v>339</v>
          </cell>
          <cell r="K1057">
            <v>154</v>
          </cell>
          <cell r="L1057">
            <v>276</v>
          </cell>
          <cell r="M1057">
            <v>150</v>
          </cell>
          <cell r="N1057">
            <v>39</v>
          </cell>
          <cell r="O1057">
            <v>29</v>
          </cell>
          <cell r="P1057">
            <v>14</v>
          </cell>
          <cell r="Q1057">
            <v>23</v>
          </cell>
          <cell r="R1057">
            <v>0</v>
          </cell>
          <cell r="S1057">
            <v>15</v>
          </cell>
          <cell r="T1057">
            <v>10</v>
          </cell>
          <cell r="U1057">
            <v>14</v>
          </cell>
          <cell r="V1057">
            <v>129</v>
          </cell>
          <cell r="W1057">
            <v>94</v>
          </cell>
          <cell r="X1057">
            <v>0</v>
          </cell>
          <cell r="Y1057">
            <v>15</v>
          </cell>
          <cell r="Z1057">
            <v>0</v>
          </cell>
          <cell r="AA1057">
            <v>15</v>
          </cell>
          <cell r="AB1057">
            <v>0</v>
          </cell>
          <cell r="AC1057">
            <v>15</v>
          </cell>
          <cell r="AD1057">
            <v>129</v>
          </cell>
          <cell r="AE1057">
            <v>94</v>
          </cell>
          <cell r="AF1057">
            <v>0</v>
          </cell>
          <cell r="AG1057">
            <v>15</v>
          </cell>
          <cell r="AH1057">
            <v>0</v>
          </cell>
          <cell r="AI1057">
            <v>15</v>
          </cell>
          <cell r="AJ1057">
            <v>0</v>
          </cell>
          <cell r="AK1057">
            <v>15</v>
          </cell>
          <cell r="AL1057">
            <v>0</v>
          </cell>
          <cell r="AM1057">
            <v>15</v>
          </cell>
          <cell r="AN1057">
            <v>0</v>
          </cell>
          <cell r="AO1057">
            <v>15</v>
          </cell>
          <cell r="AP1057">
            <v>26</v>
          </cell>
          <cell r="AQ1057">
            <v>44</v>
          </cell>
          <cell r="AR1057">
            <v>108</v>
          </cell>
          <cell r="AS1057">
            <v>95</v>
          </cell>
        </row>
        <row r="1058">
          <cell r="B1058">
            <v>17031822500</v>
          </cell>
          <cell r="D1058">
            <v>2114</v>
          </cell>
          <cell r="E1058">
            <v>160</v>
          </cell>
          <cell r="F1058">
            <v>1786</v>
          </cell>
          <cell r="G1058">
            <v>189</v>
          </cell>
          <cell r="H1058">
            <v>1572</v>
          </cell>
          <cell r="I1058">
            <v>184</v>
          </cell>
          <cell r="J1058">
            <v>214</v>
          </cell>
          <cell r="K1058">
            <v>87</v>
          </cell>
          <cell r="L1058">
            <v>203</v>
          </cell>
          <cell r="M1058">
            <v>83</v>
          </cell>
          <cell r="N1058">
            <v>11</v>
          </cell>
          <cell r="O1058">
            <v>16</v>
          </cell>
          <cell r="P1058">
            <v>0</v>
          </cell>
          <cell r="Q1058">
            <v>11</v>
          </cell>
          <cell r="R1058">
            <v>0</v>
          </cell>
          <cell r="S1058">
            <v>11</v>
          </cell>
          <cell r="T1058">
            <v>0</v>
          </cell>
          <cell r="U1058">
            <v>11</v>
          </cell>
          <cell r="V1058">
            <v>214</v>
          </cell>
          <cell r="W1058">
            <v>75</v>
          </cell>
          <cell r="X1058">
            <v>9</v>
          </cell>
          <cell r="Y1058">
            <v>15</v>
          </cell>
          <cell r="Z1058">
            <v>0</v>
          </cell>
          <cell r="AA1058">
            <v>11</v>
          </cell>
          <cell r="AB1058">
            <v>68</v>
          </cell>
          <cell r="AC1058">
            <v>44</v>
          </cell>
          <cell r="AD1058">
            <v>137</v>
          </cell>
          <cell r="AE1058">
            <v>66</v>
          </cell>
          <cell r="AF1058">
            <v>0</v>
          </cell>
          <cell r="AG1058">
            <v>11</v>
          </cell>
          <cell r="AH1058">
            <v>0</v>
          </cell>
          <cell r="AI1058">
            <v>11</v>
          </cell>
          <cell r="AJ1058">
            <v>0</v>
          </cell>
          <cell r="AK1058">
            <v>11</v>
          </cell>
          <cell r="AL1058">
            <v>14</v>
          </cell>
          <cell r="AM1058">
            <v>21</v>
          </cell>
          <cell r="AN1058">
            <v>49</v>
          </cell>
          <cell r="AO1058">
            <v>41</v>
          </cell>
          <cell r="AP1058">
            <v>7</v>
          </cell>
          <cell r="AQ1058">
            <v>11</v>
          </cell>
          <cell r="AR1058">
            <v>44</v>
          </cell>
          <cell r="AS1058">
            <v>35</v>
          </cell>
        </row>
        <row r="1059">
          <cell r="B1059">
            <v>17031822601</v>
          </cell>
          <cell r="D1059">
            <v>2314</v>
          </cell>
          <cell r="E1059">
            <v>188</v>
          </cell>
          <cell r="F1059">
            <v>2129</v>
          </cell>
          <cell r="G1059">
            <v>208</v>
          </cell>
          <cell r="H1059">
            <v>2003</v>
          </cell>
          <cell r="I1059">
            <v>216</v>
          </cell>
          <cell r="J1059">
            <v>126</v>
          </cell>
          <cell r="K1059">
            <v>64</v>
          </cell>
          <cell r="L1059">
            <v>105</v>
          </cell>
          <cell r="M1059">
            <v>60</v>
          </cell>
          <cell r="N1059">
            <v>21</v>
          </cell>
          <cell r="O1059">
            <v>25</v>
          </cell>
          <cell r="P1059">
            <v>0</v>
          </cell>
          <cell r="Q1059">
            <v>11</v>
          </cell>
          <cell r="R1059">
            <v>0</v>
          </cell>
          <cell r="S1059">
            <v>11</v>
          </cell>
          <cell r="T1059">
            <v>0</v>
          </cell>
          <cell r="U1059">
            <v>11</v>
          </cell>
          <cell r="V1059">
            <v>100</v>
          </cell>
          <cell r="W1059">
            <v>61</v>
          </cell>
          <cell r="X1059">
            <v>0</v>
          </cell>
          <cell r="Y1059">
            <v>11</v>
          </cell>
          <cell r="Z1059">
            <v>0</v>
          </cell>
          <cell r="AA1059">
            <v>11</v>
          </cell>
          <cell r="AB1059">
            <v>0</v>
          </cell>
          <cell r="AC1059">
            <v>11</v>
          </cell>
          <cell r="AD1059">
            <v>100</v>
          </cell>
          <cell r="AE1059">
            <v>61</v>
          </cell>
          <cell r="AF1059">
            <v>0</v>
          </cell>
          <cell r="AG1059">
            <v>11</v>
          </cell>
          <cell r="AH1059">
            <v>0</v>
          </cell>
          <cell r="AI1059">
            <v>11</v>
          </cell>
          <cell r="AJ1059">
            <v>0</v>
          </cell>
          <cell r="AK1059">
            <v>11</v>
          </cell>
          <cell r="AL1059">
            <v>13</v>
          </cell>
          <cell r="AM1059">
            <v>21</v>
          </cell>
          <cell r="AN1059">
            <v>0</v>
          </cell>
          <cell r="AO1059">
            <v>11</v>
          </cell>
          <cell r="AP1059">
            <v>18</v>
          </cell>
          <cell r="AQ1059">
            <v>26</v>
          </cell>
          <cell r="AR1059">
            <v>54</v>
          </cell>
          <cell r="AS1059">
            <v>32</v>
          </cell>
        </row>
        <row r="1060">
          <cell r="B1060">
            <v>17031822602</v>
          </cell>
          <cell r="D1060">
            <v>3152</v>
          </cell>
          <cell r="E1060">
            <v>384</v>
          </cell>
          <cell r="F1060">
            <v>2817</v>
          </cell>
          <cell r="G1060">
            <v>379</v>
          </cell>
          <cell r="H1060">
            <v>2677</v>
          </cell>
          <cell r="I1060">
            <v>386</v>
          </cell>
          <cell r="J1060">
            <v>140</v>
          </cell>
          <cell r="K1060">
            <v>70</v>
          </cell>
          <cell r="L1060">
            <v>124</v>
          </cell>
          <cell r="M1060">
            <v>62</v>
          </cell>
          <cell r="N1060">
            <v>0</v>
          </cell>
          <cell r="O1060">
            <v>15</v>
          </cell>
          <cell r="P1060">
            <v>16</v>
          </cell>
          <cell r="Q1060">
            <v>27</v>
          </cell>
          <cell r="R1060">
            <v>0</v>
          </cell>
          <cell r="S1060">
            <v>15</v>
          </cell>
          <cell r="T1060">
            <v>0</v>
          </cell>
          <cell r="U1060">
            <v>15</v>
          </cell>
          <cell r="V1060">
            <v>292</v>
          </cell>
          <cell r="W1060">
            <v>146</v>
          </cell>
          <cell r="X1060">
            <v>0</v>
          </cell>
          <cell r="Y1060">
            <v>15</v>
          </cell>
          <cell r="Z1060">
            <v>0</v>
          </cell>
          <cell r="AA1060">
            <v>15</v>
          </cell>
          <cell r="AB1060">
            <v>140</v>
          </cell>
          <cell r="AC1060">
            <v>103</v>
          </cell>
          <cell r="AD1060">
            <v>152</v>
          </cell>
          <cell r="AE1060">
            <v>101</v>
          </cell>
          <cell r="AF1060">
            <v>0</v>
          </cell>
          <cell r="AG1060">
            <v>15</v>
          </cell>
          <cell r="AH1060">
            <v>0</v>
          </cell>
          <cell r="AI1060">
            <v>15</v>
          </cell>
          <cell r="AJ1060">
            <v>0</v>
          </cell>
          <cell r="AK1060">
            <v>15</v>
          </cell>
          <cell r="AL1060">
            <v>0</v>
          </cell>
          <cell r="AM1060">
            <v>15</v>
          </cell>
          <cell r="AN1060">
            <v>25</v>
          </cell>
          <cell r="AO1060">
            <v>31</v>
          </cell>
          <cell r="AP1060">
            <v>0</v>
          </cell>
          <cell r="AQ1060">
            <v>15</v>
          </cell>
          <cell r="AR1060">
            <v>18</v>
          </cell>
          <cell r="AS1060">
            <v>30</v>
          </cell>
        </row>
        <row r="1061">
          <cell r="B1061">
            <v>17031822701</v>
          </cell>
          <cell r="D1061">
            <v>1869</v>
          </cell>
          <cell r="E1061">
            <v>275</v>
          </cell>
          <cell r="F1061">
            <v>1484</v>
          </cell>
          <cell r="G1061">
            <v>278</v>
          </cell>
          <cell r="H1061">
            <v>1447</v>
          </cell>
          <cell r="I1061">
            <v>279</v>
          </cell>
          <cell r="J1061">
            <v>37</v>
          </cell>
          <cell r="K1061">
            <v>43</v>
          </cell>
          <cell r="L1061">
            <v>13</v>
          </cell>
          <cell r="M1061">
            <v>23</v>
          </cell>
          <cell r="N1061">
            <v>0</v>
          </cell>
          <cell r="O1061">
            <v>11</v>
          </cell>
          <cell r="P1061">
            <v>0</v>
          </cell>
          <cell r="Q1061">
            <v>11</v>
          </cell>
          <cell r="R1061">
            <v>0</v>
          </cell>
          <cell r="S1061">
            <v>11</v>
          </cell>
          <cell r="T1061">
            <v>24</v>
          </cell>
          <cell r="U1061">
            <v>34</v>
          </cell>
          <cell r="V1061">
            <v>277</v>
          </cell>
          <cell r="W1061">
            <v>111</v>
          </cell>
          <cell r="X1061">
            <v>144</v>
          </cell>
          <cell r="Y1061">
            <v>104</v>
          </cell>
          <cell r="Z1061">
            <v>0</v>
          </cell>
          <cell r="AA1061">
            <v>11</v>
          </cell>
          <cell r="AB1061">
            <v>13</v>
          </cell>
          <cell r="AC1061">
            <v>21</v>
          </cell>
          <cell r="AD1061">
            <v>120</v>
          </cell>
          <cell r="AE1061">
            <v>67</v>
          </cell>
          <cell r="AF1061">
            <v>0</v>
          </cell>
          <cell r="AG1061">
            <v>11</v>
          </cell>
          <cell r="AH1061">
            <v>25</v>
          </cell>
          <cell r="AI1061">
            <v>37</v>
          </cell>
          <cell r="AJ1061">
            <v>0</v>
          </cell>
          <cell r="AK1061">
            <v>11</v>
          </cell>
          <cell r="AL1061">
            <v>0</v>
          </cell>
          <cell r="AM1061">
            <v>11</v>
          </cell>
          <cell r="AN1061">
            <v>19</v>
          </cell>
          <cell r="AO1061">
            <v>29</v>
          </cell>
          <cell r="AP1061">
            <v>51</v>
          </cell>
          <cell r="AQ1061">
            <v>59</v>
          </cell>
          <cell r="AR1061">
            <v>13</v>
          </cell>
          <cell r="AS1061">
            <v>22</v>
          </cell>
        </row>
        <row r="1062">
          <cell r="B1062">
            <v>17031822702</v>
          </cell>
          <cell r="D1062">
            <v>1419</v>
          </cell>
          <cell r="E1062">
            <v>142</v>
          </cell>
          <cell r="F1062">
            <v>1204</v>
          </cell>
          <cell r="G1062">
            <v>142</v>
          </cell>
          <cell r="H1062">
            <v>1097</v>
          </cell>
          <cell r="I1062">
            <v>146</v>
          </cell>
          <cell r="J1062">
            <v>107</v>
          </cell>
          <cell r="K1062">
            <v>65</v>
          </cell>
          <cell r="L1062">
            <v>96</v>
          </cell>
          <cell r="M1062">
            <v>63</v>
          </cell>
          <cell r="N1062">
            <v>11</v>
          </cell>
          <cell r="O1062">
            <v>17</v>
          </cell>
          <cell r="P1062">
            <v>0</v>
          </cell>
          <cell r="Q1062">
            <v>11</v>
          </cell>
          <cell r="R1062">
            <v>0</v>
          </cell>
          <cell r="S1062">
            <v>11</v>
          </cell>
          <cell r="T1062">
            <v>0</v>
          </cell>
          <cell r="U1062">
            <v>11</v>
          </cell>
          <cell r="V1062">
            <v>151</v>
          </cell>
          <cell r="W1062">
            <v>70</v>
          </cell>
          <cell r="X1062">
            <v>61</v>
          </cell>
          <cell r="Y1062">
            <v>46</v>
          </cell>
          <cell r="Z1062">
            <v>26</v>
          </cell>
          <cell r="AA1062">
            <v>39</v>
          </cell>
          <cell r="AB1062">
            <v>0</v>
          </cell>
          <cell r="AC1062">
            <v>11</v>
          </cell>
          <cell r="AD1062">
            <v>64</v>
          </cell>
          <cell r="AE1062">
            <v>37</v>
          </cell>
          <cell r="AF1062">
            <v>0</v>
          </cell>
          <cell r="AG1062">
            <v>11</v>
          </cell>
          <cell r="AH1062">
            <v>0</v>
          </cell>
          <cell r="AI1062">
            <v>11</v>
          </cell>
          <cell r="AJ1062">
            <v>0</v>
          </cell>
          <cell r="AK1062">
            <v>11</v>
          </cell>
          <cell r="AL1062">
            <v>0</v>
          </cell>
          <cell r="AM1062">
            <v>11</v>
          </cell>
          <cell r="AN1062">
            <v>35</v>
          </cell>
          <cell r="AO1062">
            <v>25</v>
          </cell>
          <cell r="AP1062">
            <v>0</v>
          </cell>
          <cell r="AQ1062">
            <v>11</v>
          </cell>
          <cell r="AR1062">
            <v>29</v>
          </cell>
          <cell r="AS1062">
            <v>35</v>
          </cell>
        </row>
        <row r="1063">
          <cell r="B1063">
            <v>17031822801</v>
          </cell>
          <cell r="D1063">
            <v>1557</v>
          </cell>
          <cell r="E1063">
            <v>166</v>
          </cell>
          <cell r="F1063">
            <v>1374</v>
          </cell>
          <cell r="G1063">
            <v>156</v>
          </cell>
          <cell r="H1063">
            <v>1278</v>
          </cell>
          <cell r="I1063">
            <v>146</v>
          </cell>
          <cell r="J1063">
            <v>96</v>
          </cell>
          <cell r="K1063">
            <v>73</v>
          </cell>
          <cell r="L1063">
            <v>91</v>
          </cell>
          <cell r="M1063">
            <v>72</v>
          </cell>
          <cell r="N1063">
            <v>0</v>
          </cell>
          <cell r="O1063">
            <v>11</v>
          </cell>
          <cell r="P1063">
            <v>5</v>
          </cell>
          <cell r="Q1063">
            <v>8</v>
          </cell>
          <cell r="R1063">
            <v>0</v>
          </cell>
          <cell r="S1063">
            <v>11</v>
          </cell>
          <cell r="T1063">
            <v>0</v>
          </cell>
          <cell r="U1063">
            <v>11</v>
          </cell>
          <cell r="V1063">
            <v>115</v>
          </cell>
          <cell r="W1063">
            <v>72</v>
          </cell>
          <cell r="X1063">
            <v>45</v>
          </cell>
          <cell r="Y1063">
            <v>56</v>
          </cell>
          <cell r="Z1063">
            <v>0</v>
          </cell>
          <cell r="AA1063">
            <v>11</v>
          </cell>
          <cell r="AB1063">
            <v>0</v>
          </cell>
          <cell r="AC1063">
            <v>11</v>
          </cell>
          <cell r="AD1063">
            <v>70</v>
          </cell>
          <cell r="AE1063">
            <v>40</v>
          </cell>
          <cell r="AF1063">
            <v>0</v>
          </cell>
          <cell r="AG1063">
            <v>11</v>
          </cell>
          <cell r="AH1063">
            <v>12</v>
          </cell>
          <cell r="AI1063">
            <v>19</v>
          </cell>
          <cell r="AJ1063">
            <v>0</v>
          </cell>
          <cell r="AK1063">
            <v>11</v>
          </cell>
          <cell r="AL1063">
            <v>0</v>
          </cell>
          <cell r="AM1063">
            <v>11</v>
          </cell>
          <cell r="AN1063">
            <v>6</v>
          </cell>
          <cell r="AO1063">
            <v>9</v>
          </cell>
          <cell r="AP1063">
            <v>0</v>
          </cell>
          <cell r="AQ1063">
            <v>11</v>
          </cell>
          <cell r="AR1063">
            <v>50</v>
          </cell>
          <cell r="AS1063">
            <v>44</v>
          </cell>
        </row>
        <row r="1064">
          <cell r="B1064">
            <v>17031822802</v>
          </cell>
          <cell r="D1064">
            <v>1581</v>
          </cell>
          <cell r="E1064">
            <v>157</v>
          </cell>
          <cell r="F1064">
            <v>1344</v>
          </cell>
          <cell r="G1064">
            <v>164</v>
          </cell>
          <cell r="H1064">
            <v>1211</v>
          </cell>
          <cell r="I1064">
            <v>174</v>
          </cell>
          <cell r="J1064">
            <v>133</v>
          </cell>
          <cell r="K1064">
            <v>116</v>
          </cell>
          <cell r="L1064">
            <v>120</v>
          </cell>
          <cell r="M1064">
            <v>116</v>
          </cell>
          <cell r="N1064">
            <v>13</v>
          </cell>
          <cell r="O1064">
            <v>19</v>
          </cell>
          <cell r="P1064">
            <v>0</v>
          </cell>
          <cell r="Q1064">
            <v>11</v>
          </cell>
          <cell r="R1064">
            <v>0</v>
          </cell>
          <cell r="S1064">
            <v>11</v>
          </cell>
          <cell r="T1064">
            <v>0</v>
          </cell>
          <cell r="U1064">
            <v>11</v>
          </cell>
          <cell r="V1064">
            <v>147</v>
          </cell>
          <cell r="W1064">
            <v>78</v>
          </cell>
          <cell r="X1064">
            <v>10</v>
          </cell>
          <cell r="Y1064">
            <v>15</v>
          </cell>
          <cell r="Z1064">
            <v>0</v>
          </cell>
          <cell r="AA1064">
            <v>11</v>
          </cell>
          <cell r="AB1064">
            <v>31</v>
          </cell>
          <cell r="AC1064">
            <v>30</v>
          </cell>
          <cell r="AD1064">
            <v>106</v>
          </cell>
          <cell r="AE1064">
            <v>69</v>
          </cell>
          <cell r="AF1064">
            <v>0</v>
          </cell>
          <cell r="AG1064">
            <v>11</v>
          </cell>
          <cell r="AH1064">
            <v>0</v>
          </cell>
          <cell r="AI1064">
            <v>11</v>
          </cell>
          <cell r="AJ1064">
            <v>0</v>
          </cell>
          <cell r="AK1064">
            <v>11</v>
          </cell>
          <cell r="AL1064">
            <v>7</v>
          </cell>
          <cell r="AM1064">
            <v>12</v>
          </cell>
          <cell r="AN1064">
            <v>20</v>
          </cell>
          <cell r="AO1064">
            <v>22</v>
          </cell>
          <cell r="AP1064">
            <v>0</v>
          </cell>
          <cell r="AQ1064">
            <v>11</v>
          </cell>
          <cell r="AR1064">
            <v>63</v>
          </cell>
          <cell r="AS1064">
            <v>59</v>
          </cell>
        </row>
        <row r="1065">
          <cell r="B1065">
            <v>17031822900</v>
          </cell>
          <cell r="D1065">
            <v>913</v>
          </cell>
          <cell r="E1065">
            <v>159</v>
          </cell>
          <cell r="F1065">
            <v>816</v>
          </cell>
          <cell r="G1065">
            <v>161</v>
          </cell>
          <cell r="H1065">
            <v>738</v>
          </cell>
          <cell r="I1065">
            <v>155</v>
          </cell>
          <cell r="J1065">
            <v>78</v>
          </cell>
          <cell r="K1065">
            <v>39</v>
          </cell>
          <cell r="L1065">
            <v>55</v>
          </cell>
          <cell r="M1065">
            <v>34</v>
          </cell>
          <cell r="N1065">
            <v>16</v>
          </cell>
          <cell r="O1065">
            <v>14</v>
          </cell>
          <cell r="P1065">
            <v>0</v>
          </cell>
          <cell r="Q1065">
            <v>11</v>
          </cell>
          <cell r="R1065">
            <v>7</v>
          </cell>
          <cell r="S1065">
            <v>23</v>
          </cell>
          <cell r="T1065">
            <v>0</v>
          </cell>
          <cell r="U1065">
            <v>11</v>
          </cell>
          <cell r="V1065">
            <v>74</v>
          </cell>
          <cell r="W1065">
            <v>55</v>
          </cell>
          <cell r="X1065">
            <v>53</v>
          </cell>
          <cell r="Y1065">
            <v>52</v>
          </cell>
          <cell r="Z1065">
            <v>0</v>
          </cell>
          <cell r="AA1065">
            <v>11</v>
          </cell>
          <cell r="AB1065">
            <v>11</v>
          </cell>
          <cell r="AC1065">
            <v>11</v>
          </cell>
          <cell r="AD1065">
            <v>10</v>
          </cell>
          <cell r="AE1065">
            <v>11</v>
          </cell>
          <cell r="AF1065">
            <v>0</v>
          </cell>
          <cell r="AG1065">
            <v>11</v>
          </cell>
          <cell r="AH1065">
            <v>0</v>
          </cell>
          <cell r="AI1065">
            <v>11</v>
          </cell>
          <cell r="AJ1065">
            <v>0</v>
          </cell>
          <cell r="AK1065">
            <v>11</v>
          </cell>
          <cell r="AL1065">
            <v>0</v>
          </cell>
          <cell r="AM1065">
            <v>11</v>
          </cell>
          <cell r="AN1065">
            <v>12</v>
          </cell>
          <cell r="AO1065">
            <v>12</v>
          </cell>
          <cell r="AP1065">
            <v>6</v>
          </cell>
          <cell r="AQ1065">
            <v>9</v>
          </cell>
          <cell r="AR1065">
            <v>5</v>
          </cell>
          <cell r="AS1065">
            <v>8</v>
          </cell>
        </row>
        <row r="1066">
          <cell r="B1066">
            <v>17031823001</v>
          </cell>
          <cell r="D1066">
            <v>2589</v>
          </cell>
          <cell r="E1066">
            <v>325</v>
          </cell>
          <cell r="F1066">
            <v>2286</v>
          </cell>
          <cell r="G1066">
            <v>324</v>
          </cell>
          <cell r="H1066">
            <v>2091</v>
          </cell>
          <cell r="I1066">
            <v>329</v>
          </cell>
          <cell r="J1066">
            <v>195</v>
          </cell>
          <cell r="K1066">
            <v>125</v>
          </cell>
          <cell r="L1066">
            <v>121</v>
          </cell>
          <cell r="M1066">
            <v>87</v>
          </cell>
          <cell r="N1066">
            <v>48</v>
          </cell>
          <cell r="O1066">
            <v>76</v>
          </cell>
          <cell r="P1066">
            <v>0</v>
          </cell>
          <cell r="Q1066">
            <v>15</v>
          </cell>
          <cell r="R1066">
            <v>0</v>
          </cell>
          <cell r="S1066">
            <v>15</v>
          </cell>
          <cell r="T1066">
            <v>26</v>
          </cell>
          <cell r="U1066">
            <v>34</v>
          </cell>
          <cell r="V1066">
            <v>246</v>
          </cell>
          <cell r="W1066">
            <v>131</v>
          </cell>
          <cell r="X1066">
            <v>10</v>
          </cell>
          <cell r="Y1066">
            <v>17</v>
          </cell>
          <cell r="Z1066">
            <v>0</v>
          </cell>
          <cell r="AA1066">
            <v>15</v>
          </cell>
          <cell r="AB1066">
            <v>27</v>
          </cell>
          <cell r="AC1066">
            <v>31</v>
          </cell>
          <cell r="AD1066">
            <v>209</v>
          </cell>
          <cell r="AE1066">
            <v>124</v>
          </cell>
          <cell r="AF1066">
            <v>0</v>
          </cell>
          <cell r="AG1066">
            <v>15</v>
          </cell>
          <cell r="AH1066">
            <v>0</v>
          </cell>
          <cell r="AI1066">
            <v>15</v>
          </cell>
          <cell r="AJ1066">
            <v>0</v>
          </cell>
          <cell r="AK1066">
            <v>15</v>
          </cell>
          <cell r="AL1066">
            <v>0</v>
          </cell>
          <cell r="AM1066">
            <v>15</v>
          </cell>
          <cell r="AN1066">
            <v>0</v>
          </cell>
          <cell r="AO1066">
            <v>15</v>
          </cell>
          <cell r="AP1066">
            <v>45</v>
          </cell>
          <cell r="AQ1066">
            <v>44</v>
          </cell>
          <cell r="AR1066">
            <v>12</v>
          </cell>
          <cell r="AS1066">
            <v>22</v>
          </cell>
        </row>
        <row r="1067">
          <cell r="B1067">
            <v>17031823002</v>
          </cell>
          <cell r="D1067">
            <v>2670</v>
          </cell>
          <cell r="E1067">
            <v>434</v>
          </cell>
          <cell r="F1067">
            <v>2499</v>
          </cell>
          <cell r="G1067">
            <v>421</v>
          </cell>
          <cell r="H1067">
            <v>2346</v>
          </cell>
          <cell r="I1067">
            <v>418</v>
          </cell>
          <cell r="J1067">
            <v>153</v>
          </cell>
          <cell r="K1067">
            <v>133</v>
          </cell>
          <cell r="L1067">
            <v>153</v>
          </cell>
          <cell r="M1067">
            <v>133</v>
          </cell>
          <cell r="N1067">
            <v>0</v>
          </cell>
          <cell r="O1067">
            <v>15</v>
          </cell>
          <cell r="P1067">
            <v>0</v>
          </cell>
          <cell r="Q1067">
            <v>15</v>
          </cell>
          <cell r="R1067">
            <v>0</v>
          </cell>
          <cell r="S1067">
            <v>15</v>
          </cell>
          <cell r="T1067">
            <v>0</v>
          </cell>
          <cell r="U1067">
            <v>15</v>
          </cell>
          <cell r="V1067">
            <v>59</v>
          </cell>
          <cell r="W1067">
            <v>51</v>
          </cell>
          <cell r="X1067">
            <v>11</v>
          </cell>
          <cell r="Y1067">
            <v>17</v>
          </cell>
          <cell r="Z1067">
            <v>0</v>
          </cell>
          <cell r="AA1067">
            <v>15</v>
          </cell>
          <cell r="AB1067">
            <v>22</v>
          </cell>
          <cell r="AC1067">
            <v>34</v>
          </cell>
          <cell r="AD1067">
            <v>26</v>
          </cell>
          <cell r="AE1067">
            <v>34</v>
          </cell>
          <cell r="AF1067">
            <v>0</v>
          </cell>
          <cell r="AG1067">
            <v>15</v>
          </cell>
          <cell r="AH1067">
            <v>0</v>
          </cell>
          <cell r="AI1067">
            <v>15</v>
          </cell>
          <cell r="AJ1067">
            <v>11</v>
          </cell>
          <cell r="AK1067">
            <v>17</v>
          </cell>
          <cell r="AL1067">
            <v>9</v>
          </cell>
          <cell r="AM1067">
            <v>18</v>
          </cell>
          <cell r="AN1067">
            <v>34</v>
          </cell>
          <cell r="AO1067">
            <v>41</v>
          </cell>
          <cell r="AP1067">
            <v>12</v>
          </cell>
          <cell r="AQ1067">
            <v>21</v>
          </cell>
          <cell r="AR1067">
            <v>46</v>
          </cell>
          <cell r="AS1067">
            <v>46</v>
          </cell>
        </row>
        <row r="1068">
          <cell r="B1068">
            <v>17031823101</v>
          </cell>
          <cell r="D1068">
            <v>2066</v>
          </cell>
          <cell r="E1068">
            <v>214</v>
          </cell>
          <cell r="F1068">
            <v>1879</v>
          </cell>
          <cell r="G1068">
            <v>199</v>
          </cell>
          <cell r="H1068">
            <v>1746</v>
          </cell>
          <cell r="I1068">
            <v>178</v>
          </cell>
          <cell r="J1068">
            <v>133</v>
          </cell>
          <cell r="K1068">
            <v>57</v>
          </cell>
          <cell r="L1068">
            <v>123</v>
          </cell>
          <cell r="M1068">
            <v>59</v>
          </cell>
          <cell r="N1068">
            <v>10</v>
          </cell>
          <cell r="O1068">
            <v>16</v>
          </cell>
          <cell r="P1068">
            <v>0</v>
          </cell>
          <cell r="Q1068">
            <v>11</v>
          </cell>
          <cell r="R1068">
            <v>0</v>
          </cell>
          <cell r="S1068">
            <v>11</v>
          </cell>
          <cell r="T1068">
            <v>0</v>
          </cell>
          <cell r="U1068">
            <v>11</v>
          </cell>
          <cell r="V1068">
            <v>62</v>
          </cell>
          <cell r="W1068">
            <v>49</v>
          </cell>
          <cell r="X1068">
            <v>0</v>
          </cell>
          <cell r="Y1068">
            <v>11</v>
          </cell>
          <cell r="Z1068">
            <v>0</v>
          </cell>
          <cell r="AA1068">
            <v>11</v>
          </cell>
          <cell r="AB1068">
            <v>0</v>
          </cell>
          <cell r="AC1068">
            <v>11</v>
          </cell>
          <cell r="AD1068">
            <v>62</v>
          </cell>
          <cell r="AE1068">
            <v>49</v>
          </cell>
          <cell r="AF1068">
            <v>0</v>
          </cell>
          <cell r="AG1068">
            <v>11</v>
          </cell>
          <cell r="AH1068">
            <v>22</v>
          </cell>
          <cell r="AI1068">
            <v>35</v>
          </cell>
          <cell r="AJ1068">
            <v>0</v>
          </cell>
          <cell r="AK1068">
            <v>11</v>
          </cell>
          <cell r="AL1068">
            <v>0</v>
          </cell>
          <cell r="AM1068">
            <v>11</v>
          </cell>
          <cell r="AN1068">
            <v>30</v>
          </cell>
          <cell r="AO1068">
            <v>29</v>
          </cell>
          <cell r="AP1068">
            <v>0</v>
          </cell>
          <cell r="AQ1068">
            <v>11</v>
          </cell>
          <cell r="AR1068">
            <v>73</v>
          </cell>
          <cell r="AS1068">
            <v>73</v>
          </cell>
        </row>
        <row r="1069">
          <cell r="B1069">
            <v>17031823102</v>
          </cell>
          <cell r="D1069">
            <v>1577</v>
          </cell>
          <cell r="E1069">
            <v>184</v>
          </cell>
          <cell r="F1069">
            <v>1354</v>
          </cell>
          <cell r="G1069">
            <v>226</v>
          </cell>
          <cell r="H1069">
            <v>1212</v>
          </cell>
          <cell r="I1069">
            <v>194</v>
          </cell>
          <cell r="J1069">
            <v>142</v>
          </cell>
          <cell r="K1069">
            <v>108</v>
          </cell>
          <cell r="L1069">
            <v>111</v>
          </cell>
          <cell r="M1069">
            <v>104</v>
          </cell>
          <cell r="N1069">
            <v>18</v>
          </cell>
          <cell r="O1069">
            <v>22</v>
          </cell>
          <cell r="P1069">
            <v>13</v>
          </cell>
          <cell r="Q1069">
            <v>20</v>
          </cell>
          <cell r="R1069">
            <v>0</v>
          </cell>
          <cell r="S1069">
            <v>11</v>
          </cell>
          <cell r="T1069">
            <v>0</v>
          </cell>
          <cell r="U1069">
            <v>11</v>
          </cell>
          <cell r="V1069">
            <v>168</v>
          </cell>
          <cell r="W1069">
            <v>88</v>
          </cell>
          <cell r="X1069">
            <v>46</v>
          </cell>
          <cell r="Y1069">
            <v>51</v>
          </cell>
          <cell r="Z1069">
            <v>0</v>
          </cell>
          <cell r="AA1069">
            <v>11</v>
          </cell>
          <cell r="AB1069">
            <v>86</v>
          </cell>
          <cell r="AC1069">
            <v>57</v>
          </cell>
          <cell r="AD1069">
            <v>36</v>
          </cell>
          <cell r="AE1069">
            <v>35</v>
          </cell>
          <cell r="AF1069">
            <v>0</v>
          </cell>
          <cell r="AG1069">
            <v>11</v>
          </cell>
          <cell r="AH1069">
            <v>0</v>
          </cell>
          <cell r="AI1069">
            <v>11</v>
          </cell>
          <cell r="AJ1069">
            <v>0</v>
          </cell>
          <cell r="AK1069">
            <v>11</v>
          </cell>
          <cell r="AL1069">
            <v>0</v>
          </cell>
          <cell r="AM1069">
            <v>11</v>
          </cell>
          <cell r="AN1069">
            <v>45</v>
          </cell>
          <cell r="AO1069">
            <v>56</v>
          </cell>
          <cell r="AP1069">
            <v>10</v>
          </cell>
          <cell r="AQ1069">
            <v>15</v>
          </cell>
          <cell r="AR1069">
            <v>0</v>
          </cell>
          <cell r="AS1069">
            <v>11</v>
          </cell>
        </row>
        <row r="1070">
          <cell r="B1070">
            <v>17031823200</v>
          </cell>
          <cell r="D1070">
            <v>2238</v>
          </cell>
          <cell r="E1070">
            <v>274</v>
          </cell>
          <cell r="F1070">
            <v>1994</v>
          </cell>
          <cell r="G1070">
            <v>262</v>
          </cell>
          <cell r="H1070">
            <v>1816</v>
          </cell>
          <cell r="I1070">
            <v>262</v>
          </cell>
          <cell r="J1070">
            <v>178</v>
          </cell>
          <cell r="K1070">
            <v>84</v>
          </cell>
          <cell r="L1070">
            <v>146</v>
          </cell>
          <cell r="M1070">
            <v>75</v>
          </cell>
          <cell r="N1070">
            <v>32</v>
          </cell>
          <cell r="O1070">
            <v>38</v>
          </cell>
          <cell r="P1070">
            <v>0</v>
          </cell>
          <cell r="Q1070">
            <v>11</v>
          </cell>
          <cell r="R1070">
            <v>0</v>
          </cell>
          <cell r="S1070">
            <v>11</v>
          </cell>
          <cell r="T1070">
            <v>0</v>
          </cell>
          <cell r="U1070">
            <v>11</v>
          </cell>
          <cell r="V1070">
            <v>137</v>
          </cell>
          <cell r="W1070">
            <v>81</v>
          </cell>
          <cell r="X1070">
            <v>0</v>
          </cell>
          <cell r="Y1070">
            <v>11</v>
          </cell>
          <cell r="Z1070">
            <v>0</v>
          </cell>
          <cell r="AA1070">
            <v>11</v>
          </cell>
          <cell r="AB1070">
            <v>32</v>
          </cell>
          <cell r="AC1070">
            <v>28</v>
          </cell>
          <cell r="AD1070">
            <v>105</v>
          </cell>
          <cell r="AE1070">
            <v>78</v>
          </cell>
          <cell r="AF1070">
            <v>0</v>
          </cell>
          <cell r="AG1070">
            <v>11</v>
          </cell>
          <cell r="AH1070">
            <v>0</v>
          </cell>
          <cell r="AI1070">
            <v>11</v>
          </cell>
          <cell r="AJ1070">
            <v>0</v>
          </cell>
          <cell r="AK1070">
            <v>11</v>
          </cell>
          <cell r="AL1070">
            <v>0</v>
          </cell>
          <cell r="AM1070">
            <v>11</v>
          </cell>
          <cell r="AN1070">
            <v>8</v>
          </cell>
          <cell r="AO1070">
            <v>14</v>
          </cell>
          <cell r="AP1070">
            <v>39</v>
          </cell>
          <cell r="AQ1070">
            <v>39</v>
          </cell>
          <cell r="AR1070">
            <v>60</v>
          </cell>
          <cell r="AS1070">
            <v>41</v>
          </cell>
        </row>
        <row r="1071">
          <cell r="B1071">
            <v>17031823302</v>
          </cell>
          <cell r="D1071">
            <v>2845</v>
          </cell>
          <cell r="E1071">
            <v>379</v>
          </cell>
          <cell r="F1071">
            <v>2590</v>
          </cell>
          <cell r="G1071">
            <v>354</v>
          </cell>
          <cell r="H1071">
            <v>2286</v>
          </cell>
          <cell r="I1071">
            <v>335</v>
          </cell>
          <cell r="J1071">
            <v>304</v>
          </cell>
          <cell r="K1071">
            <v>131</v>
          </cell>
          <cell r="L1071">
            <v>212</v>
          </cell>
          <cell r="M1071">
            <v>128</v>
          </cell>
          <cell r="N1071">
            <v>63</v>
          </cell>
          <cell r="O1071">
            <v>92</v>
          </cell>
          <cell r="P1071">
            <v>14</v>
          </cell>
          <cell r="Q1071">
            <v>25</v>
          </cell>
          <cell r="R1071">
            <v>15</v>
          </cell>
          <cell r="S1071">
            <v>26</v>
          </cell>
          <cell r="T1071">
            <v>0</v>
          </cell>
          <cell r="U1071">
            <v>15</v>
          </cell>
          <cell r="V1071">
            <v>238</v>
          </cell>
          <cell r="W1071">
            <v>130</v>
          </cell>
          <cell r="X1071">
            <v>42</v>
          </cell>
          <cell r="Y1071">
            <v>45</v>
          </cell>
          <cell r="Z1071">
            <v>0</v>
          </cell>
          <cell r="AA1071">
            <v>15</v>
          </cell>
          <cell r="AB1071">
            <v>15</v>
          </cell>
          <cell r="AC1071">
            <v>25</v>
          </cell>
          <cell r="AD1071">
            <v>181</v>
          </cell>
          <cell r="AE1071">
            <v>118</v>
          </cell>
          <cell r="AF1071">
            <v>0</v>
          </cell>
          <cell r="AG1071">
            <v>15</v>
          </cell>
          <cell r="AH1071">
            <v>0</v>
          </cell>
          <cell r="AI1071">
            <v>15</v>
          </cell>
          <cell r="AJ1071">
            <v>0</v>
          </cell>
          <cell r="AK1071">
            <v>15</v>
          </cell>
          <cell r="AL1071">
            <v>0</v>
          </cell>
          <cell r="AM1071">
            <v>15</v>
          </cell>
          <cell r="AN1071">
            <v>0</v>
          </cell>
          <cell r="AO1071">
            <v>15</v>
          </cell>
          <cell r="AP1071">
            <v>0</v>
          </cell>
          <cell r="AQ1071">
            <v>15</v>
          </cell>
          <cell r="AR1071">
            <v>17</v>
          </cell>
          <cell r="AS1071">
            <v>26</v>
          </cell>
        </row>
        <row r="1072">
          <cell r="B1072">
            <v>17031823303</v>
          </cell>
          <cell r="D1072">
            <v>2139</v>
          </cell>
          <cell r="E1072">
            <v>266</v>
          </cell>
          <cell r="F1072">
            <v>1762</v>
          </cell>
          <cell r="G1072">
            <v>262</v>
          </cell>
          <cell r="H1072">
            <v>1615</v>
          </cell>
          <cell r="I1072">
            <v>242</v>
          </cell>
          <cell r="J1072">
            <v>147</v>
          </cell>
          <cell r="K1072">
            <v>133</v>
          </cell>
          <cell r="L1072">
            <v>113</v>
          </cell>
          <cell r="M1072">
            <v>124</v>
          </cell>
          <cell r="N1072">
            <v>34</v>
          </cell>
          <cell r="O1072">
            <v>31</v>
          </cell>
          <cell r="P1072">
            <v>0</v>
          </cell>
          <cell r="Q1072">
            <v>11</v>
          </cell>
          <cell r="R1072">
            <v>0</v>
          </cell>
          <cell r="S1072">
            <v>11</v>
          </cell>
          <cell r="T1072">
            <v>0</v>
          </cell>
          <cell r="U1072">
            <v>11</v>
          </cell>
          <cell r="V1072">
            <v>300</v>
          </cell>
          <cell r="W1072">
            <v>156</v>
          </cell>
          <cell r="X1072">
            <v>137</v>
          </cell>
          <cell r="Y1072">
            <v>130</v>
          </cell>
          <cell r="Z1072">
            <v>0</v>
          </cell>
          <cell r="AA1072">
            <v>11</v>
          </cell>
          <cell r="AB1072">
            <v>18</v>
          </cell>
          <cell r="AC1072">
            <v>28</v>
          </cell>
          <cell r="AD1072">
            <v>145</v>
          </cell>
          <cell r="AE1072">
            <v>103</v>
          </cell>
          <cell r="AF1072">
            <v>0</v>
          </cell>
          <cell r="AG1072">
            <v>11</v>
          </cell>
          <cell r="AH1072">
            <v>0</v>
          </cell>
          <cell r="AI1072">
            <v>11</v>
          </cell>
          <cell r="AJ1072">
            <v>0</v>
          </cell>
          <cell r="AK1072">
            <v>11</v>
          </cell>
          <cell r="AL1072">
            <v>0</v>
          </cell>
          <cell r="AM1072">
            <v>11</v>
          </cell>
          <cell r="AN1072">
            <v>49</v>
          </cell>
          <cell r="AO1072">
            <v>50</v>
          </cell>
          <cell r="AP1072">
            <v>0</v>
          </cell>
          <cell r="AQ1072">
            <v>11</v>
          </cell>
          <cell r="AR1072">
            <v>28</v>
          </cell>
          <cell r="AS1072">
            <v>27</v>
          </cell>
        </row>
        <row r="1073">
          <cell r="B1073">
            <v>17031823304</v>
          </cell>
          <cell r="D1073">
            <v>2705</v>
          </cell>
          <cell r="E1073">
            <v>310</v>
          </cell>
          <cell r="F1073">
            <v>2460</v>
          </cell>
          <cell r="G1073">
            <v>301</v>
          </cell>
          <cell r="H1073">
            <v>2220</v>
          </cell>
          <cell r="I1073">
            <v>305</v>
          </cell>
          <cell r="J1073">
            <v>240</v>
          </cell>
          <cell r="K1073">
            <v>98</v>
          </cell>
          <cell r="L1073">
            <v>229</v>
          </cell>
          <cell r="M1073">
            <v>98</v>
          </cell>
          <cell r="N1073">
            <v>6</v>
          </cell>
          <cell r="O1073">
            <v>9</v>
          </cell>
          <cell r="P1073">
            <v>0</v>
          </cell>
          <cell r="Q1073">
            <v>15</v>
          </cell>
          <cell r="R1073">
            <v>0</v>
          </cell>
          <cell r="S1073">
            <v>15</v>
          </cell>
          <cell r="T1073">
            <v>5</v>
          </cell>
          <cell r="U1073">
            <v>7</v>
          </cell>
          <cell r="V1073">
            <v>115</v>
          </cell>
          <cell r="W1073">
            <v>82</v>
          </cell>
          <cell r="X1073">
            <v>6</v>
          </cell>
          <cell r="Y1073">
            <v>9</v>
          </cell>
          <cell r="Z1073">
            <v>0</v>
          </cell>
          <cell r="AA1073">
            <v>15</v>
          </cell>
          <cell r="AB1073">
            <v>0</v>
          </cell>
          <cell r="AC1073">
            <v>15</v>
          </cell>
          <cell r="AD1073">
            <v>109</v>
          </cell>
          <cell r="AE1073">
            <v>81</v>
          </cell>
          <cell r="AF1073">
            <v>0</v>
          </cell>
          <cell r="AG1073">
            <v>15</v>
          </cell>
          <cell r="AH1073">
            <v>0</v>
          </cell>
          <cell r="AI1073">
            <v>15</v>
          </cell>
          <cell r="AJ1073">
            <v>0</v>
          </cell>
          <cell r="AK1073">
            <v>15</v>
          </cell>
          <cell r="AL1073">
            <v>0</v>
          </cell>
          <cell r="AM1073">
            <v>15</v>
          </cell>
          <cell r="AN1073">
            <v>39</v>
          </cell>
          <cell r="AO1073">
            <v>34</v>
          </cell>
          <cell r="AP1073">
            <v>79</v>
          </cell>
          <cell r="AQ1073">
            <v>75</v>
          </cell>
          <cell r="AR1073">
            <v>12</v>
          </cell>
          <cell r="AS1073">
            <v>13</v>
          </cell>
        </row>
        <row r="1074">
          <cell r="B1074">
            <v>17031823400</v>
          </cell>
          <cell r="D1074">
            <v>2283</v>
          </cell>
          <cell r="E1074">
            <v>292</v>
          </cell>
          <cell r="F1074">
            <v>1928</v>
          </cell>
          <cell r="G1074">
            <v>281</v>
          </cell>
          <cell r="H1074">
            <v>1663</v>
          </cell>
          <cell r="I1074">
            <v>288</v>
          </cell>
          <cell r="J1074">
            <v>265</v>
          </cell>
          <cell r="K1074">
            <v>116</v>
          </cell>
          <cell r="L1074">
            <v>148</v>
          </cell>
          <cell r="M1074">
            <v>79</v>
          </cell>
          <cell r="N1074">
            <v>83</v>
          </cell>
          <cell r="O1074">
            <v>71</v>
          </cell>
          <cell r="P1074">
            <v>34</v>
          </cell>
          <cell r="Q1074">
            <v>53</v>
          </cell>
          <cell r="R1074">
            <v>0</v>
          </cell>
          <cell r="S1074">
            <v>15</v>
          </cell>
          <cell r="T1074">
            <v>0</v>
          </cell>
          <cell r="U1074">
            <v>15</v>
          </cell>
          <cell r="V1074">
            <v>314</v>
          </cell>
          <cell r="W1074">
            <v>139</v>
          </cell>
          <cell r="X1074">
            <v>20</v>
          </cell>
          <cell r="Y1074">
            <v>24</v>
          </cell>
          <cell r="Z1074">
            <v>0</v>
          </cell>
          <cell r="AA1074">
            <v>15</v>
          </cell>
          <cell r="AB1074">
            <v>55</v>
          </cell>
          <cell r="AC1074">
            <v>67</v>
          </cell>
          <cell r="AD1074">
            <v>239</v>
          </cell>
          <cell r="AE1074">
            <v>116</v>
          </cell>
          <cell r="AF1074">
            <v>0</v>
          </cell>
          <cell r="AG1074">
            <v>15</v>
          </cell>
          <cell r="AH1074">
            <v>0</v>
          </cell>
          <cell r="AI1074">
            <v>15</v>
          </cell>
          <cell r="AJ1074">
            <v>0</v>
          </cell>
          <cell r="AK1074">
            <v>15</v>
          </cell>
          <cell r="AL1074">
            <v>0</v>
          </cell>
          <cell r="AM1074">
            <v>15</v>
          </cell>
          <cell r="AN1074">
            <v>28</v>
          </cell>
          <cell r="AO1074">
            <v>27</v>
          </cell>
          <cell r="AP1074">
            <v>7</v>
          </cell>
          <cell r="AQ1074">
            <v>11</v>
          </cell>
          <cell r="AR1074">
            <v>6</v>
          </cell>
          <cell r="AS1074">
            <v>11</v>
          </cell>
        </row>
        <row r="1075">
          <cell r="B1075">
            <v>17031823500</v>
          </cell>
          <cell r="D1075">
            <v>2062</v>
          </cell>
          <cell r="E1075">
            <v>223</v>
          </cell>
          <cell r="F1075">
            <v>1774</v>
          </cell>
          <cell r="G1075">
            <v>203</v>
          </cell>
          <cell r="H1075">
            <v>1435</v>
          </cell>
          <cell r="I1075">
            <v>210</v>
          </cell>
          <cell r="J1075">
            <v>339</v>
          </cell>
          <cell r="K1075">
            <v>154</v>
          </cell>
          <cell r="L1075">
            <v>284</v>
          </cell>
          <cell r="M1075">
            <v>148</v>
          </cell>
          <cell r="N1075">
            <v>36</v>
          </cell>
          <cell r="O1075">
            <v>41</v>
          </cell>
          <cell r="P1075">
            <v>19</v>
          </cell>
          <cell r="Q1075">
            <v>21</v>
          </cell>
          <cell r="R1075">
            <v>0</v>
          </cell>
          <cell r="S1075">
            <v>11</v>
          </cell>
          <cell r="T1075">
            <v>0</v>
          </cell>
          <cell r="U1075">
            <v>11</v>
          </cell>
          <cell r="V1075">
            <v>163</v>
          </cell>
          <cell r="W1075">
            <v>91</v>
          </cell>
          <cell r="X1075">
            <v>77</v>
          </cell>
          <cell r="Y1075">
            <v>68</v>
          </cell>
          <cell r="Z1075">
            <v>0</v>
          </cell>
          <cell r="AA1075">
            <v>11</v>
          </cell>
          <cell r="AB1075">
            <v>18</v>
          </cell>
          <cell r="AC1075">
            <v>24</v>
          </cell>
          <cell r="AD1075">
            <v>68</v>
          </cell>
          <cell r="AE1075">
            <v>53</v>
          </cell>
          <cell r="AF1075">
            <v>0</v>
          </cell>
          <cell r="AG1075">
            <v>11</v>
          </cell>
          <cell r="AH1075">
            <v>0</v>
          </cell>
          <cell r="AI1075">
            <v>11</v>
          </cell>
          <cell r="AJ1075">
            <v>0</v>
          </cell>
          <cell r="AK1075">
            <v>11</v>
          </cell>
          <cell r="AL1075">
            <v>13</v>
          </cell>
          <cell r="AM1075">
            <v>21</v>
          </cell>
          <cell r="AN1075">
            <v>85</v>
          </cell>
          <cell r="AO1075">
            <v>53</v>
          </cell>
          <cell r="AP1075">
            <v>22</v>
          </cell>
          <cell r="AQ1075">
            <v>27</v>
          </cell>
          <cell r="AR1075">
            <v>5</v>
          </cell>
          <cell r="AS1075">
            <v>11</v>
          </cell>
        </row>
        <row r="1076">
          <cell r="B1076">
            <v>17031823602</v>
          </cell>
          <cell r="D1076">
            <v>2806</v>
          </cell>
          <cell r="E1076">
            <v>311</v>
          </cell>
          <cell r="F1076">
            <v>2352</v>
          </cell>
          <cell r="G1076">
            <v>284</v>
          </cell>
          <cell r="H1076">
            <v>2311</v>
          </cell>
          <cell r="I1076">
            <v>284</v>
          </cell>
          <cell r="J1076">
            <v>41</v>
          </cell>
          <cell r="K1076">
            <v>45</v>
          </cell>
          <cell r="L1076">
            <v>25</v>
          </cell>
          <cell r="M1076">
            <v>38</v>
          </cell>
          <cell r="N1076">
            <v>16</v>
          </cell>
          <cell r="O1076">
            <v>26</v>
          </cell>
          <cell r="P1076">
            <v>0</v>
          </cell>
          <cell r="Q1076">
            <v>15</v>
          </cell>
          <cell r="R1076">
            <v>0</v>
          </cell>
          <cell r="S1076">
            <v>15</v>
          </cell>
          <cell r="T1076">
            <v>0</v>
          </cell>
          <cell r="U1076">
            <v>15</v>
          </cell>
          <cell r="V1076">
            <v>250</v>
          </cell>
          <cell r="W1076">
            <v>118</v>
          </cell>
          <cell r="X1076">
            <v>30</v>
          </cell>
          <cell r="Y1076">
            <v>39</v>
          </cell>
          <cell r="Z1076">
            <v>0</v>
          </cell>
          <cell r="AA1076">
            <v>15</v>
          </cell>
          <cell r="AB1076">
            <v>19</v>
          </cell>
          <cell r="AC1076">
            <v>29</v>
          </cell>
          <cell r="AD1076">
            <v>201</v>
          </cell>
          <cell r="AE1076">
            <v>100</v>
          </cell>
          <cell r="AF1076">
            <v>0</v>
          </cell>
          <cell r="AG1076">
            <v>15</v>
          </cell>
          <cell r="AH1076">
            <v>0</v>
          </cell>
          <cell r="AI1076">
            <v>15</v>
          </cell>
          <cell r="AJ1076">
            <v>0</v>
          </cell>
          <cell r="AK1076">
            <v>15</v>
          </cell>
          <cell r="AL1076">
            <v>0</v>
          </cell>
          <cell r="AM1076">
            <v>15</v>
          </cell>
          <cell r="AN1076">
            <v>50</v>
          </cell>
          <cell r="AO1076">
            <v>52</v>
          </cell>
          <cell r="AP1076">
            <v>18</v>
          </cell>
          <cell r="AQ1076">
            <v>30</v>
          </cell>
          <cell r="AR1076">
            <v>136</v>
          </cell>
          <cell r="AS1076">
            <v>104</v>
          </cell>
        </row>
        <row r="1077">
          <cell r="B1077">
            <v>17031823603</v>
          </cell>
          <cell r="D1077">
            <v>879</v>
          </cell>
          <cell r="E1077">
            <v>177</v>
          </cell>
          <cell r="F1077">
            <v>799</v>
          </cell>
          <cell r="G1077">
            <v>170</v>
          </cell>
          <cell r="H1077">
            <v>685</v>
          </cell>
          <cell r="I1077">
            <v>144</v>
          </cell>
          <cell r="J1077">
            <v>114</v>
          </cell>
          <cell r="K1077">
            <v>105</v>
          </cell>
          <cell r="L1077">
            <v>99</v>
          </cell>
          <cell r="M1077">
            <v>101</v>
          </cell>
          <cell r="N1077">
            <v>15</v>
          </cell>
          <cell r="O1077">
            <v>22</v>
          </cell>
          <cell r="P1077">
            <v>0</v>
          </cell>
          <cell r="Q1077">
            <v>11</v>
          </cell>
          <cell r="R1077">
            <v>0</v>
          </cell>
          <cell r="S1077">
            <v>11</v>
          </cell>
          <cell r="T1077">
            <v>0</v>
          </cell>
          <cell r="U1077">
            <v>11</v>
          </cell>
          <cell r="V1077">
            <v>53</v>
          </cell>
          <cell r="W1077">
            <v>31</v>
          </cell>
          <cell r="X1077">
            <v>27</v>
          </cell>
          <cell r="Y1077">
            <v>21</v>
          </cell>
          <cell r="Z1077">
            <v>0</v>
          </cell>
          <cell r="AA1077">
            <v>11</v>
          </cell>
          <cell r="AB1077">
            <v>0</v>
          </cell>
          <cell r="AC1077">
            <v>11</v>
          </cell>
          <cell r="AD1077">
            <v>26</v>
          </cell>
          <cell r="AE1077">
            <v>31</v>
          </cell>
          <cell r="AF1077">
            <v>0</v>
          </cell>
          <cell r="AG1077">
            <v>11</v>
          </cell>
          <cell r="AH1077">
            <v>0</v>
          </cell>
          <cell r="AI1077">
            <v>11</v>
          </cell>
          <cell r="AJ1077">
            <v>0</v>
          </cell>
          <cell r="AK1077">
            <v>11</v>
          </cell>
          <cell r="AL1077">
            <v>9</v>
          </cell>
          <cell r="AM1077">
            <v>14</v>
          </cell>
          <cell r="AN1077">
            <v>0</v>
          </cell>
          <cell r="AO1077">
            <v>11</v>
          </cell>
          <cell r="AP1077">
            <v>18</v>
          </cell>
          <cell r="AQ1077">
            <v>25</v>
          </cell>
          <cell r="AR1077">
            <v>0</v>
          </cell>
          <cell r="AS1077">
            <v>11</v>
          </cell>
        </row>
        <row r="1078">
          <cell r="B1078">
            <v>17031823604</v>
          </cell>
          <cell r="D1078">
            <v>1630</v>
          </cell>
          <cell r="E1078">
            <v>206</v>
          </cell>
          <cell r="F1078">
            <v>1280</v>
          </cell>
          <cell r="G1078">
            <v>174</v>
          </cell>
          <cell r="H1078">
            <v>1214</v>
          </cell>
          <cell r="I1078">
            <v>166</v>
          </cell>
          <cell r="J1078">
            <v>66</v>
          </cell>
          <cell r="K1078">
            <v>56</v>
          </cell>
          <cell r="L1078">
            <v>59</v>
          </cell>
          <cell r="M1078">
            <v>56</v>
          </cell>
          <cell r="N1078">
            <v>0</v>
          </cell>
          <cell r="O1078">
            <v>11</v>
          </cell>
          <cell r="P1078">
            <v>7</v>
          </cell>
          <cell r="Q1078">
            <v>11</v>
          </cell>
          <cell r="R1078">
            <v>0</v>
          </cell>
          <cell r="S1078">
            <v>11</v>
          </cell>
          <cell r="T1078">
            <v>0</v>
          </cell>
          <cell r="U1078">
            <v>11</v>
          </cell>
          <cell r="V1078">
            <v>173</v>
          </cell>
          <cell r="W1078">
            <v>60</v>
          </cell>
          <cell r="X1078">
            <v>7</v>
          </cell>
          <cell r="Y1078">
            <v>11</v>
          </cell>
          <cell r="Z1078">
            <v>0</v>
          </cell>
          <cell r="AA1078">
            <v>11</v>
          </cell>
          <cell r="AB1078">
            <v>9</v>
          </cell>
          <cell r="AC1078">
            <v>15</v>
          </cell>
          <cell r="AD1078">
            <v>157</v>
          </cell>
          <cell r="AE1078">
            <v>60</v>
          </cell>
          <cell r="AF1078">
            <v>0</v>
          </cell>
          <cell r="AG1078">
            <v>11</v>
          </cell>
          <cell r="AH1078">
            <v>0</v>
          </cell>
          <cell r="AI1078">
            <v>11</v>
          </cell>
          <cell r="AJ1078">
            <v>0</v>
          </cell>
          <cell r="AK1078">
            <v>11</v>
          </cell>
          <cell r="AL1078">
            <v>0</v>
          </cell>
          <cell r="AM1078">
            <v>11</v>
          </cell>
          <cell r="AN1078">
            <v>78</v>
          </cell>
          <cell r="AO1078">
            <v>51</v>
          </cell>
          <cell r="AP1078">
            <v>0</v>
          </cell>
          <cell r="AQ1078">
            <v>11</v>
          </cell>
          <cell r="AR1078">
            <v>99</v>
          </cell>
          <cell r="AS1078">
            <v>53</v>
          </cell>
        </row>
        <row r="1079">
          <cell r="B1079">
            <v>17031823605</v>
          </cell>
          <cell r="D1079">
            <v>1775</v>
          </cell>
          <cell r="E1079">
            <v>202</v>
          </cell>
          <cell r="F1079">
            <v>1368</v>
          </cell>
          <cell r="G1079">
            <v>158</v>
          </cell>
          <cell r="H1079">
            <v>1283</v>
          </cell>
          <cell r="I1079">
            <v>161</v>
          </cell>
          <cell r="J1079">
            <v>85</v>
          </cell>
          <cell r="K1079">
            <v>41</v>
          </cell>
          <cell r="L1079">
            <v>58</v>
          </cell>
          <cell r="M1079">
            <v>35</v>
          </cell>
          <cell r="N1079">
            <v>21</v>
          </cell>
          <cell r="O1079">
            <v>18</v>
          </cell>
          <cell r="P1079">
            <v>6</v>
          </cell>
          <cell r="Q1079">
            <v>12</v>
          </cell>
          <cell r="R1079">
            <v>0</v>
          </cell>
          <cell r="S1079">
            <v>11</v>
          </cell>
          <cell r="T1079">
            <v>0</v>
          </cell>
          <cell r="U1079">
            <v>11</v>
          </cell>
          <cell r="V1079">
            <v>120</v>
          </cell>
          <cell r="W1079">
            <v>79</v>
          </cell>
          <cell r="X1079">
            <v>0</v>
          </cell>
          <cell r="Y1079">
            <v>11</v>
          </cell>
          <cell r="Z1079">
            <v>0</v>
          </cell>
          <cell r="AA1079">
            <v>11</v>
          </cell>
          <cell r="AB1079">
            <v>4</v>
          </cell>
          <cell r="AC1079">
            <v>7</v>
          </cell>
          <cell r="AD1079">
            <v>116</v>
          </cell>
          <cell r="AE1079">
            <v>78</v>
          </cell>
          <cell r="AF1079">
            <v>0</v>
          </cell>
          <cell r="AG1079">
            <v>11</v>
          </cell>
          <cell r="AH1079">
            <v>0</v>
          </cell>
          <cell r="AI1079">
            <v>11</v>
          </cell>
          <cell r="AJ1079">
            <v>0</v>
          </cell>
          <cell r="AK1079">
            <v>11</v>
          </cell>
          <cell r="AL1079">
            <v>11</v>
          </cell>
          <cell r="AM1079">
            <v>16</v>
          </cell>
          <cell r="AN1079">
            <v>63</v>
          </cell>
          <cell r="AO1079">
            <v>43</v>
          </cell>
          <cell r="AP1079">
            <v>8</v>
          </cell>
          <cell r="AQ1079">
            <v>13</v>
          </cell>
          <cell r="AR1079">
            <v>205</v>
          </cell>
          <cell r="AS1079">
            <v>135</v>
          </cell>
        </row>
        <row r="1080">
          <cell r="B1080">
            <v>17031823702</v>
          </cell>
          <cell r="D1080">
            <v>3195</v>
          </cell>
          <cell r="E1080">
            <v>375</v>
          </cell>
          <cell r="F1080">
            <v>2881</v>
          </cell>
          <cell r="G1080">
            <v>351</v>
          </cell>
          <cell r="H1080">
            <v>2517</v>
          </cell>
          <cell r="I1080">
            <v>280</v>
          </cell>
          <cell r="J1080">
            <v>364</v>
          </cell>
          <cell r="K1080">
            <v>216</v>
          </cell>
          <cell r="L1080">
            <v>364</v>
          </cell>
          <cell r="M1080">
            <v>216</v>
          </cell>
          <cell r="N1080">
            <v>0</v>
          </cell>
          <cell r="O1080">
            <v>15</v>
          </cell>
          <cell r="P1080">
            <v>0</v>
          </cell>
          <cell r="Q1080">
            <v>15</v>
          </cell>
          <cell r="R1080">
            <v>0</v>
          </cell>
          <cell r="S1080">
            <v>15</v>
          </cell>
          <cell r="T1080">
            <v>0</v>
          </cell>
          <cell r="U1080">
            <v>15</v>
          </cell>
          <cell r="V1080">
            <v>191</v>
          </cell>
          <cell r="W1080">
            <v>95</v>
          </cell>
          <cell r="X1080">
            <v>27</v>
          </cell>
          <cell r="Y1080">
            <v>34</v>
          </cell>
          <cell r="Z1080">
            <v>0</v>
          </cell>
          <cell r="AA1080">
            <v>15</v>
          </cell>
          <cell r="AB1080">
            <v>20</v>
          </cell>
          <cell r="AC1080">
            <v>31</v>
          </cell>
          <cell r="AD1080">
            <v>144</v>
          </cell>
          <cell r="AE1080">
            <v>86</v>
          </cell>
          <cell r="AF1080">
            <v>0</v>
          </cell>
          <cell r="AG1080">
            <v>15</v>
          </cell>
          <cell r="AH1080">
            <v>0</v>
          </cell>
          <cell r="AI1080">
            <v>15</v>
          </cell>
          <cell r="AJ1080">
            <v>0</v>
          </cell>
          <cell r="AK1080">
            <v>15</v>
          </cell>
          <cell r="AL1080">
            <v>0</v>
          </cell>
          <cell r="AM1080">
            <v>15</v>
          </cell>
          <cell r="AN1080">
            <v>18</v>
          </cell>
          <cell r="AO1080">
            <v>28</v>
          </cell>
          <cell r="AP1080">
            <v>0</v>
          </cell>
          <cell r="AQ1080">
            <v>15</v>
          </cell>
          <cell r="AR1080">
            <v>105</v>
          </cell>
          <cell r="AS1080">
            <v>60</v>
          </cell>
        </row>
        <row r="1081">
          <cell r="B1081">
            <v>17031823703</v>
          </cell>
          <cell r="D1081">
            <v>3114</v>
          </cell>
          <cell r="E1081">
            <v>463</v>
          </cell>
          <cell r="F1081">
            <v>2757</v>
          </cell>
          <cell r="G1081">
            <v>440</v>
          </cell>
          <cell r="H1081">
            <v>2459</v>
          </cell>
          <cell r="I1081">
            <v>394</v>
          </cell>
          <cell r="J1081">
            <v>298</v>
          </cell>
          <cell r="K1081">
            <v>180</v>
          </cell>
          <cell r="L1081">
            <v>278</v>
          </cell>
          <cell r="M1081">
            <v>172</v>
          </cell>
          <cell r="N1081">
            <v>20</v>
          </cell>
          <cell r="O1081">
            <v>46</v>
          </cell>
          <cell r="P1081">
            <v>0</v>
          </cell>
          <cell r="Q1081">
            <v>15</v>
          </cell>
          <cell r="R1081">
            <v>0</v>
          </cell>
          <cell r="S1081">
            <v>15</v>
          </cell>
          <cell r="T1081">
            <v>0</v>
          </cell>
          <cell r="U1081">
            <v>15</v>
          </cell>
          <cell r="V1081">
            <v>145</v>
          </cell>
          <cell r="W1081">
            <v>89</v>
          </cell>
          <cell r="X1081">
            <v>0</v>
          </cell>
          <cell r="Y1081">
            <v>15</v>
          </cell>
          <cell r="Z1081">
            <v>0</v>
          </cell>
          <cell r="AA1081">
            <v>15</v>
          </cell>
          <cell r="AB1081">
            <v>27</v>
          </cell>
          <cell r="AC1081">
            <v>48</v>
          </cell>
          <cell r="AD1081">
            <v>118</v>
          </cell>
          <cell r="AE1081">
            <v>81</v>
          </cell>
          <cell r="AF1081">
            <v>0</v>
          </cell>
          <cell r="AG1081">
            <v>15</v>
          </cell>
          <cell r="AH1081">
            <v>0</v>
          </cell>
          <cell r="AI1081">
            <v>15</v>
          </cell>
          <cell r="AJ1081">
            <v>0</v>
          </cell>
          <cell r="AK1081">
            <v>15</v>
          </cell>
          <cell r="AL1081">
            <v>0</v>
          </cell>
          <cell r="AM1081">
            <v>15</v>
          </cell>
          <cell r="AN1081">
            <v>39</v>
          </cell>
          <cell r="AO1081">
            <v>91</v>
          </cell>
          <cell r="AP1081">
            <v>41</v>
          </cell>
          <cell r="AQ1081">
            <v>54</v>
          </cell>
          <cell r="AR1081">
            <v>132</v>
          </cell>
          <cell r="AS1081">
            <v>156</v>
          </cell>
        </row>
        <row r="1082">
          <cell r="B1082">
            <v>17031823704</v>
          </cell>
          <cell r="D1082">
            <v>2036</v>
          </cell>
          <cell r="E1082">
            <v>191</v>
          </cell>
          <cell r="F1082">
            <v>1893</v>
          </cell>
          <cell r="G1082">
            <v>178</v>
          </cell>
          <cell r="H1082">
            <v>1789</v>
          </cell>
          <cell r="I1082">
            <v>199</v>
          </cell>
          <cell r="J1082">
            <v>104</v>
          </cell>
          <cell r="K1082">
            <v>72</v>
          </cell>
          <cell r="L1082">
            <v>36</v>
          </cell>
          <cell r="M1082">
            <v>34</v>
          </cell>
          <cell r="N1082">
            <v>68</v>
          </cell>
          <cell r="O1082">
            <v>53</v>
          </cell>
          <cell r="P1082">
            <v>0</v>
          </cell>
          <cell r="Q1082">
            <v>11</v>
          </cell>
          <cell r="R1082">
            <v>0</v>
          </cell>
          <cell r="S1082">
            <v>11</v>
          </cell>
          <cell r="T1082">
            <v>0</v>
          </cell>
          <cell r="U1082">
            <v>11</v>
          </cell>
          <cell r="V1082">
            <v>30</v>
          </cell>
          <cell r="W1082">
            <v>30</v>
          </cell>
          <cell r="X1082">
            <v>11</v>
          </cell>
          <cell r="Y1082">
            <v>17</v>
          </cell>
          <cell r="Z1082">
            <v>0</v>
          </cell>
          <cell r="AA1082">
            <v>11</v>
          </cell>
          <cell r="AB1082">
            <v>0</v>
          </cell>
          <cell r="AC1082">
            <v>11</v>
          </cell>
          <cell r="AD1082">
            <v>19</v>
          </cell>
          <cell r="AE1082">
            <v>25</v>
          </cell>
          <cell r="AF1082">
            <v>0</v>
          </cell>
          <cell r="AG1082">
            <v>11</v>
          </cell>
          <cell r="AH1082">
            <v>0</v>
          </cell>
          <cell r="AI1082">
            <v>11</v>
          </cell>
          <cell r="AJ1082">
            <v>0</v>
          </cell>
          <cell r="AK1082">
            <v>11</v>
          </cell>
          <cell r="AL1082">
            <v>0</v>
          </cell>
          <cell r="AM1082">
            <v>11</v>
          </cell>
          <cell r="AN1082">
            <v>10</v>
          </cell>
          <cell r="AO1082">
            <v>15</v>
          </cell>
          <cell r="AP1082">
            <v>0</v>
          </cell>
          <cell r="AQ1082">
            <v>11</v>
          </cell>
          <cell r="AR1082">
            <v>103</v>
          </cell>
          <cell r="AS1082">
            <v>91</v>
          </cell>
        </row>
        <row r="1083">
          <cell r="B1083">
            <v>17031823705</v>
          </cell>
          <cell r="D1083">
            <v>1803</v>
          </cell>
          <cell r="E1083">
            <v>262</v>
          </cell>
          <cell r="F1083">
            <v>1622</v>
          </cell>
          <cell r="G1083">
            <v>241</v>
          </cell>
          <cell r="H1083">
            <v>1462</v>
          </cell>
          <cell r="I1083">
            <v>198</v>
          </cell>
          <cell r="J1083">
            <v>160</v>
          </cell>
          <cell r="K1083">
            <v>96</v>
          </cell>
          <cell r="L1083">
            <v>156</v>
          </cell>
          <cell r="M1083">
            <v>95</v>
          </cell>
          <cell r="N1083">
            <v>0</v>
          </cell>
          <cell r="O1083">
            <v>11</v>
          </cell>
          <cell r="P1083">
            <v>4</v>
          </cell>
          <cell r="Q1083">
            <v>11</v>
          </cell>
          <cell r="R1083">
            <v>0</v>
          </cell>
          <cell r="S1083">
            <v>11</v>
          </cell>
          <cell r="T1083">
            <v>0</v>
          </cell>
          <cell r="U1083">
            <v>11</v>
          </cell>
          <cell r="V1083">
            <v>102</v>
          </cell>
          <cell r="W1083">
            <v>68</v>
          </cell>
          <cell r="X1083">
            <v>18</v>
          </cell>
          <cell r="Y1083">
            <v>30</v>
          </cell>
          <cell r="Z1083">
            <v>0</v>
          </cell>
          <cell r="AA1083">
            <v>11</v>
          </cell>
          <cell r="AB1083">
            <v>26</v>
          </cell>
          <cell r="AC1083">
            <v>32</v>
          </cell>
          <cell r="AD1083">
            <v>58</v>
          </cell>
          <cell r="AE1083">
            <v>44</v>
          </cell>
          <cell r="AF1083">
            <v>0</v>
          </cell>
          <cell r="AG1083">
            <v>11</v>
          </cell>
          <cell r="AH1083">
            <v>0</v>
          </cell>
          <cell r="AI1083">
            <v>11</v>
          </cell>
          <cell r="AJ1083">
            <v>6</v>
          </cell>
          <cell r="AK1083">
            <v>11</v>
          </cell>
          <cell r="AL1083">
            <v>0</v>
          </cell>
          <cell r="AM1083">
            <v>11</v>
          </cell>
          <cell r="AN1083">
            <v>31</v>
          </cell>
          <cell r="AO1083">
            <v>37</v>
          </cell>
          <cell r="AP1083">
            <v>0</v>
          </cell>
          <cell r="AQ1083">
            <v>11</v>
          </cell>
          <cell r="AR1083">
            <v>42</v>
          </cell>
          <cell r="AS1083">
            <v>42</v>
          </cell>
        </row>
        <row r="1084">
          <cell r="B1084">
            <v>17031823801</v>
          </cell>
          <cell r="D1084">
            <v>2360</v>
          </cell>
          <cell r="E1084">
            <v>274</v>
          </cell>
          <cell r="F1084">
            <v>2084</v>
          </cell>
          <cell r="G1084">
            <v>302</v>
          </cell>
          <cell r="H1084">
            <v>1945</v>
          </cell>
          <cell r="I1084">
            <v>289</v>
          </cell>
          <cell r="J1084">
            <v>139</v>
          </cell>
          <cell r="K1084">
            <v>95</v>
          </cell>
          <cell r="L1084">
            <v>118</v>
          </cell>
          <cell r="M1084">
            <v>89</v>
          </cell>
          <cell r="N1084">
            <v>21</v>
          </cell>
          <cell r="O1084">
            <v>34</v>
          </cell>
          <cell r="P1084">
            <v>0</v>
          </cell>
          <cell r="Q1084">
            <v>15</v>
          </cell>
          <cell r="R1084">
            <v>0</v>
          </cell>
          <cell r="S1084">
            <v>15</v>
          </cell>
          <cell r="T1084">
            <v>0</v>
          </cell>
          <cell r="U1084">
            <v>15</v>
          </cell>
          <cell r="V1084">
            <v>207</v>
          </cell>
          <cell r="W1084">
            <v>99</v>
          </cell>
          <cell r="X1084">
            <v>0</v>
          </cell>
          <cell r="Y1084">
            <v>15</v>
          </cell>
          <cell r="Z1084">
            <v>0</v>
          </cell>
          <cell r="AA1084">
            <v>15</v>
          </cell>
          <cell r="AB1084">
            <v>0</v>
          </cell>
          <cell r="AC1084">
            <v>15</v>
          </cell>
          <cell r="AD1084">
            <v>207</v>
          </cell>
          <cell r="AE1084">
            <v>99</v>
          </cell>
          <cell r="AF1084">
            <v>0</v>
          </cell>
          <cell r="AG1084">
            <v>15</v>
          </cell>
          <cell r="AH1084">
            <v>0</v>
          </cell>
          <cell r="AI1084">
            <v>15</v>
          </cell>
          <cell r="AJ1084">
            <v>0</v>
          </cell>
          <cell r="AK1084">
            <v>15</v>
          </cell>
          <cell r="AL1084">
            <v>0</v>
          </cell>
          <cell r="AM1084">
            <v>15</v>
          </cell>
          <cell r="AN1084">
            <v>3</v>
          </cell>
          <cell r="AO1084">
            <v>6</v>
          </cell>
          <cell r="AP1084">
            <v>0</v>
          </cell>
          <cell r="AQ1084">
            <v>15</v>
          </cell>
          <cell r="AR1084">
            <v>66</v>
          </cell>
          <cell r="AS1084">
            <v>57</v>
          </cell>
        </row>
        <row r="1085">
          <cell r="B1085">
            <v>17031823803</v>
          </cell>
          <cell r="D1085">
            <v>3203</v>
          </cell>
          <cell r="E1085">
            <v>373</v>
          </cell>
          <cell r="F1085">
            <v>2936</v>
          </cell>
          <cell r="G1085">
            <v>377</v>
          </cell>
          <cell r="H1085">
            <v>2591</v>
          </cell>
          <cell r="I1085">
            <v>233</v>
          </cell>
          <cell r="J1085">
            <v>345</v>
          </cell>
          <cell r="K1085">
            <v>278</v>
          </cell>
          <cell r="L1085">
            <v>318</v>
          </cell>
          <cell r="M1085">
            <v>280</v>
          </cell>
          <cell r="N1085">
            <v>27</v>
          </cell>
          <cell r="O1085">
            <v>29</v>
          </cell>
          <cell r="P1085">
            <v>0</v>
          </cell>
          <cell r="Q1085">
            <v>15</v>
          </cell>
          <cell r="R1085">
            <v>0</v>
          </cell>
          <cell r="S1085">
            <v>15</v>
          </cell>
          <cell r="T1085">
            <v>0</v>
          </cell>
          <cell r="U1085">
            <v>15</v>
          </cell>
          <cell r="V1085">
            <v>62</v>
          </cell>
          <cell r="W1085">
            <v>60</v>
          </cell>
          <cell r="X1085">
            <v>22</v>
          </cell>
          <cell r="Y1085">
            <v>36</v>
          </cell>
          <cell r="Z1085">
            <v>0</v>
          </cell>
          <cell r="AA1085">
            <v>15</v>
          </cell>
          <cell r="AB1085">
            <v>19</v>
          </cell>
          <cell r="AC1085">
            <v>31</v>
          </cell>
          <cell r="AD1085">
            <v>21</v>
          </cell>
          <cell r="AE1085">
            <v>37</v>
          </cell>
          <cell r="AF1085">
            <v>0</v>
          </cell>
          <cell r="AG1085">
            <v>15</v>
          </cell>
          <cell r="AH1085">
            <v>0</v>
          </cell>
          <cell r="AI1085">
            <v>15</v>
          </cell>
          <cell r="AJ1085">
            <v>0</v>
          </cell>
          <cell r="AK1085">
            <v>15</v>
          </cell>
          <cell r="AL1085">
            <v>32</v>
          </cell>
          <cell r="AM1085">
            <v>31</v>
          </cell>
          <cell r="AN1085">
            <v>27</v>
          </cell>
          <cell r="AO1085">
            <v>31</v>
          </cell>
          <cell r="AP1085">
            <v>17</v>
          </cell>
          <cell r="AQ1085">
            <v>28</v>
          </cell>
          <cell r="AR1085">
            <v>129</v>
          </cell>
          <cell r="AS1085">
            <v>82</v>
          </cell>
        </row>
        <row r="1086">
          <cell r="B1086">
            <v>17031823805</v>
          </cell>
          <cell r="D1086">
            <v>1410</v>
          </cell>
          <cell r="E1086">
            <v>165</v>
          </cell>
          <cell r="F1086">
            <v>1279</v>
          </cell>
          <cell r="G1086">
            <v>149</v>
          </cell>
          <cell r="H1086">
            <v>1162</v>
          </cell>
          <cell r="I1086">
            <v>153</v>
          </cell>
          <cell r="J1086">
            <v>117</v>
          </cell>
          <cell r="K1086">
            <v>54</v>
          </cell>
          <cell r="L1086">
            <v>99</v>
          </cell>
          <cell r="M1086">
            <v>47</v>
          </cell>
          <cell r="N1086">
            <v>18</v>
          </cell>
          <cell r="O1086">
            <v>28</v>
          </cell>
          <cell r="P1086">
            <v>0</v>
          </cell>
          <cell r="Q1086">
            <v>11</v>
          </cell>
          <cell r="R1086">
            <v>0</v>
          </cell>
          <cell r="S1086">
            <v>11</v>
          </cell>
          <cell r="T1086">
            <v>0</v>
          </cell>
          <cell r="U1086">
            <v>11</v>
          </cell>
          <cell r="V1086">
            <v>91</v>
          </cell>
          <cell r="W1086">
            <v>61</v>
          </cell>
          <cell r="X1086">
            <v>37</v>
          </cell>
          <cell r="Y1086">
            <v>48</v>
          </cell>
          <cell r="Z1086">
            <v>0</v>
          </cell>
          <cell r="AA1086">
            <v>11</v>
          </cell>
          <cell r="AB1086">
            <v>14</v>
          </cell>
          <cell r="AC1086">
            <v>17</v>
          </cell>
          <cell r="AD1086">
            <v>40</v>
          </cell>
          <cell r="AE1086">
            <v>34</v>
          </cell>
          <cell r="AF1086">
            <v>0</v>
          </cell>
          <cell r="AG1086">
            <v>11</v>
          </cell>
          <cell r="AH1086">
            <v>0</v>
          </cell>
          <cell r="AI1086">
            <v>11</v>
          </cell>
          <cell r="AJ1086">
            <v>0</v>
          </cell>
          <cell r="AK1086">
            <v>11</v>
          </cell>
          <cell r="AL1086">
            <v>0</v>
          </cell>
          <cell r="AM1086">
            <v>11</v>
          </cell>
          <cell r="AN1086">
            <v>0</v>
          </cell>
          <cell r="AO1086">
            <v>11</v>
          </cell>
          <cell r="AP1086">
            <v>4</v>
          </cell>
          <cell r="AQ1086">
            <v>7</v>
          </cell>
          <cell r="AR1086">
            <v>36</v>
          </cell>
          <cell r="AS1086">
            <v>35</v>
          </cell>
        </row>
        <row r="1087">
          <cell r="B1087">
            <v>17031823806</v>
          </cell>
          <cell r="D1087">
            <v>1660</v>
          </cell>
          <cell r="E1087">
            <v>279</v>
          </cell>
          <cell r="F1087">
            <v>1510</v>
          </cell>
          <cell r="G1087">
            <v>271</v>
          </cell>
          <cell r="H1087">
            <v>1248</v>
          </cell>
          <cell r="I1087">
            <v>277</v>
          </cell>
          <cell r="J1087">
            <v>262</v>
          </cell>
          <cell r="K1087">
            <v>144</v>
          </cell>
          <cell r="L1087">
            <v>262</v>
          </cell>
          <cell r="M1087">
            <v>144</v>
          </cell>
          <cell r="N1087">
            <v>0</v>
          </cell>
          <cell r="O1087">
            <v>11</v>
          </cell>
          <cell r="P1087">
            <v>0</v>
          </cell>
          <cell r="Q1087">
            <v>11</v>
          </cell>
          <cell r="R1087">
            <v>0</v>
          </cell>
          <cell r="S1087">
            <v>11</v>
          </cell>
          <cell r="T1087">
            <v>0</v>
          </cell>
          <cell r="U1087">
            <v>11</v>
          </cell>
          <cell r="V1087">
            <v>109</v>
          </cell>
          <cell r="W1087">
            <v>78</v>
          </cell>
          <cell r="X1087">
            <v>49</v>
          </cell>
          <cell r="Y1087">
            <v>59</v>
          </cell>
          <cell r="Z1087">
            <v>0</v>
          </cell>
          <cell r="AA1087">
            <v>11</v>
          </cell>
          <cell r="AB1087">
            <v>0</v>
          </cell>
          <cell r="AC1087">
            <v>11</v>
          </cell>
          <cell r="AD1087">
            <v>60</v>
          </cell>
          <cell r="AE1087">
            <v>54</v>
          </cell>
          <cell r="AF1087">
            <v>0</v>
          </cell>
          <cell r="AG1087">
            <v>11</v>
          </cell>
          <cell r="AH1087">
            <v>0</v>
          </cell>
          <cell r="AI1087">
            <v>11</v>
          </cell>
          <cell r="AJ1087">
            <v>0</v>
          </cell>
          <cell r="AK1087">
            <v>11</v>
          </cell>
          <cell r="AL1087">
            <v>0</v>
          </cell>
          <cell r="AM1087">
            <v>11</v>
          </cell>
          <cell r="AN1087">
            <v>2</v>
          </cell>
          <cell r="AO1087">
            <v>4</v>
          </cell>
          <cell r="AP1087">
            <v>6</v>
          </cell>
          <cell r="AQ1087">
            <v>9</v>
          </cell>
          <cell r="AR1087">
            <v>33</v>
          </cell>
          <cell r="AS1087">
            <v>28</v>
          </cell>
        </row>
        <row r="1088">
          <cell r="B1088">
            <v>17031823901</v>
          </cell>
          <cell r="D1088">
            <v>1699</v>
          </cell>
          <cell r="E1088">
            <v>181</v>
          </cell>
          <cell r="F1088">
            <v>1490</v>
          </cell>
          <cell r="G1088">
            <v>177</v>
          </cell>
          <cell r="H1088">
            <v>1394</v>
          </cell>
          <cell r="I1088">
            <v>180</v>
          </cell>
          <cell r="J1088">
            <v>96</v>
          </cell>
          <cell r="K1088">
            <v>53</v>
          </cell>
          <cell r="L1088">
            <v>74</v>
          </cell>
          <cell r="M1088">
            <v>47</v>
          </cell>
          <cell r="N1088">
            <v>22</v>
          </cell>
          <cell r="O1088">
            <v>25</v>
          </cell>
          <cell r="P1088">
            <v>0</v>
          </cell>
          <cell r="Q1088">
            <v>11</v>
          </cell>
          <cell r="R1088">
            <v>0</v>
          </cell>
          <cell r="S1088">
            <v>11</v>
          </cell>
          <cell r="T1088">
            <v>0</v>
          </cell>
          <cell r="U1088">
            <v>11</v>
          </cell>
          <cell r="V1088">
            <v>90</v>
          </cell>
          <cell r="W1088">
            <v>42</v>
          </cell>
          <cell r="X1088">
            <v>20</v>
          </cell>
          <cell r="Y1088">
            <v>23</v>
          </cell>
          <cell r="Z1088">
            <v>0</v>
          </cell>
          <cell r="AA1088">
            <v>11</v>
          </cell>
          <cell r="AB1088">
            <v>2</v>
          </cell>
          <cell r="AC1088">
            <v>6</v>
          </cell>
          <cell r="AD1088">
            <v>68</v>
          </cell>
          <cell r="AE1088">
            <v>38</v>
          </cell>
          <cell r="AF1088">
            <v>0</v>
          </cell>
          <cell r="AG1088">
            <v>11</v>
          </cell>
          <cell r="AH1088">
            <v>0</v>
          </cell>
          <cell r="AI1088">
            <v>11</v>
          </cell>
          <cell r="AJ1088">
            <v>0</v>
          </cell>
          <cell r="AK1088">
            <v>11</v>
          </cell>
          <cell r="AL1088">
            <v>0</v>
          </cell>
          <cell r="AM1088">
            <v>11</v>
          </cell>
          <cell r="AN1088">
            <v>27</v>
          </cell>
          <cell r="AO1088">
            <v>25</v>
          </cell>
          <cell r="AP1088">
            <v>9</v>
          </cell>
          <cell r="AQ1088">
            <v>14</v>
          </cell>
          <cell r="AR1088">
            <v>83</v>
          </cell>
          <cell r="AS1088">
            <v>48</v>
          </cell>
        </row>
        <row r="1089">
          <cell r="B1089">
            <v>17031823903</v>
          </cell>
          <cell r="D1089">
            <v>2065</v>
          </cell>
          <cell r="E1089">
            <v>216</v>
          </cell>
          <cell r="F1089">
            <v>1637</v>
          </cell>
          <cell r="G1089">
            <v>221</v>
          </cell>
          <cell r="H1089">
            <v>1611</v>
          </cell>
          <cell r="I1089">
            <v>224</v>
          </cell>
          <cell r="J1089">
            <v>26</v>
          </cell>
          <cell r="K1089">
            <v>24</v>
          </cell>
          <cell r="L1089">
            <v>26</v>
          </cell>
          <cell r="M1089">
            <v>24</v>
          </cell>
          <cell r="N1089">
            <v>0</v>
          </cell>
          <cell r="O1089">
            <v>11</v>
          </cell>
          <cell r="P1089">
            <v>0</v>
          </cell>
          <cell r="Q1089">
            <v>11</v>
          </cell>
          <cell r="R1089">
            <v>0</v>
          </cell>
          <cell r="S1089">
            <v>11</v>
          </cell>
          <cell r="T1089">
            <v>0</v>
          </cell>
          <cell r="U1089">
            <v>11</v>
          </cell>
          <cell r="V1089">
            <v>242</v>
          </cell>
          <cell r="W1089">
            <v>99</v>
          </cell>
          <cell r="X1089">
            <v>0</v>
          </cell>
          <cell r="Y1089">
            <v>11</v>
          </cell>
          <cell r="Z1089">
            <v>0</v>
          </cell>
          <cell r="AA1089">
            <v>11</v>
          </cell>
          <cell r="AB1089">
            <v>12</v>
          </cell>
          <cell r="AC1089">
            <v>18</v>
          </cell>
          <cell r="AD1089">
            <v>230</v>
          </cell>
          <cell r="AE1089">
            <v>98</v>
          </cell>
          <cell r="AF1089">
            <v>0</v>
          </cell>
          <cell r="AG1089">
            <v>11</v>
          </cell>
          <cell r="AH1089">
            <v>0</v>
          </cell>
          <cell r="AI1089">
            <v>11</v>
          </cell>
          <cell r="AJ1089">
            <v>0</v>
          </cell>
          <cell r="AK1089">
            <v>11</v>
          </cell>
          <cell r="AL1089">
            <v>0</v>
          </cell>
          <cell r="AM1089">
            <v>11</v>
          </cell>
          <cell r="AN1089">
            <v>42</v>
          </cell>
          <cell r="AO1089">
            <v>43</v>
          </cell>
          <cell r="AP1089">
            <v>7</v>
          </cell>
          <cell r="AQ1089">
            <v>12</v>
          </cell>
          <cell r="AR1089">
            <v>137</v>
          </cell>
          <cell r="AS1089">
            <v>78</v>
          </cell>
        </row>
        <row r="1090">
          <cell r="B1090">
            <v>17031823904</v>
          </cell>
          <cell r="D1090">
            <v>1759</v>
          </cell>
          <cell r="E1090">
            <v>196</v>
          </cell>
          <cell r="F1090">
            <v>1493</v>
          </cell>
          <cell r="G1090">
            <v>191</v>
          </cell>
          <cell r="H1090">
            <v>1422</v>
          </cell>
          <cell r="I1090">
            <v>184</v>
          </cell>
          <cell r="J1090">
            <v>71</v>
          </cell>
          <cell r="K1090">
            <v>65</v>
          </cell>
          <cell r="L1090">
            <v>56</v>
          </cell>
          <cell r="M1090">
            <v>64</v>
          </cell>
          <cell r="N1090">
            <v>9</v>
          </cell>
          <cell r="O1090">
            <v>14</v>
          </cell>
          <cell r="P1090">
            <v>0</v>
          </cell>
          <cell r="Q1090">
            <v>11</v>
          </cell>
          <cell r="R1090">
            <v>6</v>
          </cell>
          <cell r="S1090">
            <v>11</v>
          </cell>
          <cell r="T1090">
            <v>0</v>
          </cell>
          <cell r="U1090">
            <v>11</v>
          </cell>
          <cell r="V1090">
            <v>134</v>
          </cell>
          <cell r="W1090">
            <v>55</v>
          </cell>
          <cell r="X1090">
            <v>0</v>
          </cell>
          <cell r="Y1090">
            <v>11</v>
          </cell>
          <cell r="Z1090">
            <v>0</v>
          </cell>
          <cell r="AA1090">
            <v>11</v>
          </cell>
          <cell r="AB1090">
            <v>21</v>
          </cell>
          <cell r="AC1090">
            <v>23</v>
          </cell>
          <cell r="AD1090">
            <v>113</v>
          </cell>
          <cell r="AE1090">
            <v>50</v>
          </cell>
          <cell r="AF1090">
            <v>0</v>
          </cell>
          <cell r="AG1090">
            <v>11</v>
          </cell>
          <cell r="AH1090">
            <v>0</v>
          </cell>
          <cell r="AI1090">
            <v>11</v>
          </cell>
          <cell r="AJ1090">
            <v>0</v>
          </cell>
          <cell r="AK1090">
            <v>11</v>
          </cell>
          <cell r="AL1090">
            <v>11</v>
          </cell>
          <cell r="AM1090">
            <v>18</v>
          </cell>
          <cell r="AN1090">
            <v>44</v>
          </cell>
          <cell r="AO1090">
            <v>68</v>
          </cell>
          <cell r="AP1090">
            <v>11</v>
          </cell>
          <cell r="AQ1090">
            <v>16</v>
          </cell>
          <cell r="AR1090">
            <v>66</v>
          </cell>
          <cell r="AS1090">
            <v>51</v>
          </cell>
        </row>
        <row r="1091">
          <cell r="B1091">
            <v>17031824003</v>
          </cell>
          <cell r="D1091">
            <v>3459</v>
          </cell>
          <cell r="E1091">
            <v>264</v>
          </cell>
          <cell r="F1091">
            <v>3149</v>
          </cell>
          <cell r="G1091">
            <v>306</v>
          </cell>
          <cell r="H1091">
            <v>2989</v>
          </cell>
          <cell r="I1091">
            <v>298</v>
          </cell>
          <cell r="J1091">
            <v>160</v>
          </cell>
          <cell r="K1091">
            <v>111</v>
          </cell>
          <cell r="L1091">
            <v>92</v>
          </cell>
          <cell r="M1091">
            <v>78</v>
          </cell>
          <cell r="N1091">
            <v>68</v>
          </cell>
          <cell r="O1091">
            <v>87</v>
          </cell>
          <cell r="P1091">
            <v>0</v>
          </cell>
          <cell r="Q1091">
            <v>15</v>
          </cell>
          <cell r="R1091">
            <v>0</v>
          </cell>
          <cell r="S1091">
            <v>15</v>
          </cell>
          <cell r="T1091">
            <v>0</v>
          </cell>
          <cell r="U1091">
            <v>15</v>
          </cell>
          <cell r="V1091">
            <v>81</v>
          </cell>
          <cell r="W1091">
            <v>58</v>
          </cell>
          <cell r="X1091">
            <v>0</v>
          </cell>
          <cell r="Y1091">
            <v>15</v>
          </cell>
          <cell r="Z1091">
            <v>0</v>
          </cell>
          <cell r="AA1091">
            <v>15</v>
          </cell>
          <cell r="AB1091">
            <v>0</v>
          </cell>
          <cell r="AC1091">
            <v>15</v>
          </cell>
          <cell r="AD1091">
            <v>81</v>
          </cell>
          <cell r="AE1091">
            <v>58</v>
          </cell>
          <cell r="AF1091">
            <v>0</v>
          </cell>
          <cell r="AG1091">
            <v>15</v>
          </cell>
          <cell r="AH1091">
            <v>0</v>
          </cell>
          <cell r="AI1091">
            <v>15</v>
          </cell>
          <cell r="AJ1091">
            <v>0</v>
          </cell>
          <cell r="AK1091">
            <v>15</v>
          </cell>
          <cell r="AL1091">
            <v>0</v>
          </cell>
          <cell r="AM1091">
            <v>15</v>
          </cell>
          <cell r="AN1091">
            <v>26</v>
          </cell>
          <cell r="AO1091">
            <v>38</v>
          </cell>
          <cell r="AP1091">
            <v>0</v>
          </cell>
          <cell r="AQ1091">
            <v>15</v>
          </cell>
          <cell r="AR1091">
            <v>203</v>
          </cell>
          <cell r="AS1091">
            <v>114</v>
          </cell>
        </row>
        <row r="1092">
          <cell r="B1092">
            <v>17031824004</v>
          </cell>
          <cell r="D1092">
            <v>2478</v>
          </cell>
          <cell r="E1092">
            <v>291</v>
          </cell>
          <cell r="F1092">
            <v>1948</v>
          </cell>
          <cell r="G1092">
            <v>280</v>
          </cell>
          <cell r="H1092">
            <v>1741</v>
          </cell>
          <cell r="I1092">
            <v>305</v>
          </cell>
          <cell r="J1092">
            <v>207</v>
          </cell>
          <cell r="K1092">
            <v>177</v>
          </cell>
          <cell r="L1092">
            <v>107</v>
          </cell>
          <cell r="M1092">
            <v>116</v>
          </cell>
          <cell r="N1092">
            <v>68</v>
          </cell>
          <cell r="O1092">
            <v>62</v>
          </cell>
          <cell r="P1092">
            <v>32</v>
          </cell>
          <cell r="Q1092">
            <v>41</v>
          </cell>
          <cell r="R1092">
            <v>0</v>
          </cell>
          <cell r="S1092">
            <v>15</v>
          </cell>
          <cell r="T1092">
            <v>0</v>
          </cell>
          <cell r="U1092">
            <v>15</v>
          </cell>
          <cell r="V1092">
            <v>225</v>
          </cell>
          <cell r="W1092">
            <v>120</v>
          </cell>
          <cell r="X1092">
            <v>0</v>
          </cell>
          <cell r="Y1092">
            <v>15</v>
          </cell>
          <cell r="Z1092">
            <v>0</v>
          </cell>
          <cell r="AA1092">
            <v>15</v>
          </cell>
          <cell r="AB1092">
            <v>0</v>
          </cell>
          <cell r="AC1092">
            <v>15</v>
          </cell>
          <cell r="AD1092">
            <v>225</v>
          </cell>
          <cell r="AE1092">
            <v>120</v>
          </cell>
          <cell r="AF1092">
            <v>0</v>
          </cell>
          <cell r="AG1092">
            <v>15</v>
          </cell>
          <cell r="AH1092">
            <v>0</v>
          </cell>
          <cell r="AI1092">
            <v>15</v>
          </cell>
          <cell r="AJ1092">
            <v>0</v>
          </cell>
          <cell r="AK1092">
            <v>15</v>
          </cell>
          <cell r="AL1092">
            <v>0</v>
          </cell>
          <cell r="AM1092">
            <v>15</v>
          </cell>
          <cell r="AN1092">
            <v>71</v>
          </cell>
          <cell r="AO1092">
            <v>65</v>
          </cell>
          <cell r="AP1092">
            <v>33</v>
          </cell>
          <cell r="AQ1092">
            <v>46</v>
          </cell>
          <cell r="AR1092">
            <v>201</v>
          </cell>
          <cell r="AS1092">
            <v>109</v>
          </cell>
        </row>
        <row r="1093">
          <cell r="B1093">
            <v>17031824005</v>
          </cell>
          <cell r="D1093">
            <v>2889</v>
          </cell>
          <cell r="E1093">
            <v>219</v>
          </cell>
          <cell r="F1093">
            <v>2509</v>
          </cell>
          <cell r="G1093">
            <v>226</v>
          </cell>
          <cell r="H1093">
            <v>2302</v>
          </cell>
          <cell r="I1093">
            <v>213</v>
          </cell>
          <cell r="J1093">
            <v>207</v>
          </cell>
          <cell r="K1093">
            <v>92</v>
          </cell>
          <cell r="L1093">
            <v>182</v>
          </cell>
          <cell r="M1093">
            <v>79</v>
          </cell>
          <cell r="N1093">
            <v>8</v>
          </cell>
          <cell r="O1093">
            <v>14</v>
          </cell>
          <cell r="P1093">
            <v>17</v>
          </cell>
          <cell r="Q1093">
            <v>26</v>
          </cell>
          <cell r="R1093">
            <v>0</v>
          </cell>
          <cell r="S1093">
            <v>15</v>
          </cell>
          <cell r="T1093">
            <v>0</v>
          </cell>
          <cell r="U1093">
            <v>15</v>
          </cell>
          <cell r="V1093">
            <v>168</v>
          </cell>
          <cell r="W1093">
            <v>64</v>
          </cell>
          <cell r="X1093">
            <v>0</v>
          </cell>
          <cell r="Y1093">
            <v>15</v>
          </cell>
          <cell r="Z1093">
            <v>0</v>
          </cell>
          <cell r="AA1093">
            <v>15</v>
          </cell>
          <cell r="AB1093">
            <v>0</v>
          </cell>
          <cell r="AC1093">
            <v>15</v>
          </cell>
          <cell r="AD1093">
            <v>168</v>
          </cell>
          <cell r="AE1093">
            <v>64</v>
          </cell>
          <cell r="AF1093">
            <v>0</v>
          </cell>
          <cell r="AG1093">
            <v>15</v>
          </cell>
          <cell r="AH1093">
            <v>0</v>
          </cell>
          <cell r="AI1093">
            <v>15</v>
          </cell>
          <cell r="AJ1093">
            <v>0</v>
          </cell>
          <cell r="AK1093">
            <v>15</v>
          </cell>
          <cell r="AL1093">
            <v>0</v>
          </cell>
          <cell r="AM1093">
            <v>15</v>
          </cell>
          <cell r="AN1093">
            <v>18</v>
          </cell>
          <cell r="AO1093">
            <v>27</v>
          </cell>
          <cell r="AP1093">
            <v>0</v>
          </cell>
          <cell r="AQ1093">
            <v>15</v>
          </cell>
          <cell r="AR1093">
            <v>194</v>
          </cell>
          <cell r="AS1093">
            <v>64</v>
          </cell>
        </row>
        <row r="1094">
          <cell r="B1094">
            <v>17031824006</v>
          </cell>
          <cell r="D1094">
            <v>2047</v>
          </cell>
          <cell r="E1094">
            <v>205</v>
          </cell>
          <cell r="F1094">
            <v>1895</v>
          </cell>
          <cell r="G1094">
            <v>189</v>
          </cell>
          <cell r="H1094">
            <v>1797</v>
          </cell>
          <cell r="I1094">
            <v>197</v>
          </cell>
          <cell r="J1094">
            <v>98</v>
          </cell>
          <cell r="K1094">
            <v>68</v>
          </cell>
          <cell r="L1094">
            <v>82</v>
          </cell>
          <cell r="M1094">
            <v>58</v>
          </cell>
          <cell r="N1094">
            <v>16</v>
          </cell>
          <cell r="O1094">
            <v>26</v>
          </cell>
          <cell r="P1094">
            <v>0</v>
          </cell>
          <cell r="Q1094">
            <v>11</v>
          </cell>
          <cell r="R1094">
            <v>0</v>
          </cell>
          <cell r="S1094">
            <v>11</v>
          </cell>
          <cell r="T1094">
            <v>0</v>
          </cell>
          <cell r="U1094">
            <v>11</v>
          </cell>
          <cell r="V1094">
            <v>23</v>
          </cell>
          <cell r="W1094">
            <v>26</v>
          </cell>
          <cell r="X1094">
            <v>0</v>
          </cell>
          <cell r="Y1094">
            <v>11</v>
          </cell>
          <cell r="Z1094">
            <v>0</v>
          </cell>
          <cell r="AA1094">
            <v>11</v>
          </cell>
          <cell r="AB1094">
            <v>0</v>
          </cell>
          <cell r="AC1094">
            <v>11</v>
          </cell>
          <cell r="AD1094">
            <v>23</v>
          </cell>
          <cell r="AE1094">
            <v>26</v>
          </cell>
          <cell r="AF1094">
            <v>0</v>
          </cell>
          <cell r="AG1094">
            <v>11</v>
          </cell>
          <cell r="AH1094">
            <v>0</v>
          </cell>
          <cell r="AI1094">
            <v>11</v>
          </cell>
          <cell r="AJ1094">
            <v>0</v>
          </cell>
          <cell r="AK1094">
            <v>11</v>
          </cell>
          <cell r="AL1094">
            <v>0</v>
          </cell>
          <cell r="AM1094">
            <v>11</v>
          </cell>
          <cell r="AN1094">
            <v>0</v>
          </cell>
          <cell r="AO1094">
            <v>11</v>
          </cell>
          <cell r="AP1094">
            <v>0</v>
          </cell>
          <cell r="AQ1094">
            <v>11</v>
          </cell>
          <cell r="AR1094">
            <v>129</v>
          </cell>
          <cell r="AS1094">
            <v>80</v>
          </cell>
        </row>
        <row r="1095">
          <cell r="B1095">
            <v>17031824105</v>
          </cell>
          <cell r="D1095">
            <v>3515</v>
          </cell>
          <cell r="E1095">
            <v>320</v>
          </cell>
          <cell r="F1095">
            <v>3106</v>
          </cell>
          <cell r="G1095">
            <v>355</v>
          </cell>
          <cell r="H1095">
            <v>2905</v>
          </cell>
          <cell r="I1095">
            <v>339</v>
          </cell>
          <cell r="J1095">
            <v>201</v>
          </cell>
          <cell r="K1095">
            <v>108</v>
          </cell>
          <cell r="L1095">
            <v>172</v>
          </cell>
          <cell r="M1095">
            <v>99</v>
          </cell>
          <cell r="N1095">
            <v>29</v>
          </cell>
          <cell r="O1095">
            <v>42</v>
          </cell>
          <cell r="P1095">
            <v>0</v>
          </cell>
          <cell r="Q1095">
            <v>15</v>
          </cell>
          <cell r="R1095">
            <v>0</v>
          </cell>
          <cell r="S1095">
            <v>15</v>
          </cell>
          <cell r="T1095">
            <v>0</v>
          </cell>
          <cell r="U1095">
            <v>15</v>
          </cell>
          <cell r="V1095">
            <v>250</v>
          </cell>
          <cell r="W1095">
            <v>101</v>
          </cell>
          <cell r="X1095">
            <v>0</v>
          </cell>
          <cell r="Y1095">
            <v>15</v>
          </cell>
          <cell r="Z1095">
            <v>0</v>
          </cell>
          <cell r="AA1095">
            <v>15</v>
          </cell>
          <cell r="AB1095">
            <v>0</v>
          </cell>
          <cell r="AC1095">
            <v>15</v>
          </cell>
          <cell r="AD1095">
            <v>250</v>
          </cell>
          <cell r="AE1095">
            <v>101</v>
          </cell>
          <cell r="AF1095">
            <v>0</v>
          </cell>
          <cell r="AG1095">
            <v>15</v>
          </cell>
          <cell r="AH1095">
            <v>0</v>
          </cell>
          <cell r="AI1095">
            <v>15</v>
          </cell>
          <cell r="AJ1095">
            <v>0</v>
          </cell>
          <cell r="AK1095">
            <v>15</v>
          </cell>
          <cell r="AL1095">
            <v>0</v>
          </cell>
          <cell r="AM1095">
            <v>15</v>
          </cell>
          <cell r="AN1095">
            <v>0</v>
          </cell>
          <cell r="AO1095">
            <v>15</v>
          </cell>
          <cell r="AP1095">
            <v>36</v>
          </cell>
          <cell r="AQ1095">
            <v>40</v>
          </cell>
          <cell r="AR1095">
            <v>123</v>
          </cell>
          <cell r="AS1095">
            <v>74</v>
          </cell>
        </row>
        <row r="1096">
          <cell r="B1096">
            <v>17031824106</v>
          </cell>
          <cell r="D1096">
            <v>3426</v>
          </cell>
          <cell r="E1096">
            <v>323</v>
          </cell>
          <cell r="F1096">
            <v>3004</v>
          </cell>
          <cell r="G1096">
            <v>335</v>
          </cell>
          <cell r="H1096">
            <v>2768</v>
          </cell>
          <cell r="I1096">
            <v>359</v>
          </cell>
          <cell r="J1096">
            <v>236</v>
          </cell>
          <cell r="K1096">
            <v>141</v>
          </cell>
          <cell r="L1096">
            <v>173</v>
          </cell>
          <cell r="M1096">
            <v>117</v>
          </cell>
          <cell r="N1096">
            <v>63</v>
          </cell>
          <cell r="O1096">
            <v>88</v>
          </cell>
          <cell r="P1096">
            <v>0</v>
          </cell>
          <cell r="Q1096">
            <v>15</v>
          </cell>
          <cell r="R1096">
            <v>0</v>
          </cell>
          <cell r="S1096">
            <v>15</v>
          </cell>
          <cell r="T1096">
            <v>0</v>
          </cell>
          <cell r="U1096">
            <v>15</v>
          </cell>
          <cell r="V1096">
            <v>195</v>
          </cell>
          <cell r="W1096">
            <v>82</v>
          </cell>
          <cell r="X1096">
            <v>0</v>
          </cell>
          <cell r="Y1096">
            <v>15</v>
          </cell>
          <cell r="Z1096">
            <v>0</v>
          </cell>
          <cell r="AA1096">
            <v>15</v>
          </cell>
          <cell r="AB1096">
            <v>0</v>
          </cell>
          <cell r="AC1096">
            <v>15</v>
          </cell>
          <cell r="AD1096">
            <v>195</v>
          </cell>
          <cell r="AE1096">
            <v>82</v>
          </cell>
          <cell r="AF1096">
            <v>0</v>
          </cell>
          <cell r="AG1096">
            <v>15</v>
          </cell>
          <cell r="AH1096">
            <v>0</v>
          </cell>
          <cell r="AI1096">
            <v>15</v>
          </cell>
          <cell r="AJ1096">
            <v>0</v>
          </cell>
          <cell r="AK1096">
            <v>15</v>
          </cell>
          <cell r="AL1096">
            <v>0</v>
          </cell>
          <cell r="AM1096">
            <v>15</v>
          </cell>
          <cell r="AN1096">
            <v>0</v>
          </cell>
          <cell r="AO1096">
            <v>15</v>
          </cell>
          <cell r="AP1096">
            <v>0</v>
          </cell>
          <cell r="AQ1096">
            <v>15</v>
          </cell>
          <cell r="AR1096">
            <v>227</v>
          </cell>
          <cell r="AS1096">
            <v>129</v>
          </cell>
        </row>
        <row r="1097">
          <cell r="B1097">
            <v>17031824107</v>
          </cell>
          <cell r="D1097">
            <v>3282</v>
          </cell>
          <cell r="E1097">
            <v>362</v>
          </cell>
          <cell r="F1097">
            <v>2999</v>
          </cell>
          <cell r="G1097">
            <v>352</v>
          </cell>
          <cell r="H1097">
            <v>2885</v>
          </cell>
          <cell r="I1097">
            <v>364</v>
          </cell>
          <cell r="J1097">
            <v>114</v>
          </cell>
          <cell r="K1097">
            <v>88</v>
          </cell>
          <cell r="L1097">
            <v>92</v>
          </cell>
          <cell r="M1097">
            <v>80</v>
          </cell>
          <cell r="N1097">
            <v>22</v>
          </cell>
          <cell r="O1097">
            <v>35</v>
          </cell>
          <cell r="P1097">
            <v>0</v>
          </cell>
          <cell r="Q1097">
            <v>15</v>
          </cell>
          <cell r="R1097">
            <v>0</v>
          </cell>
          <cell r="S1097">
            <v>15</v>
          </cell>
          <cell r="T1097">
            <v>0</v>
          </cell>
          <cell r="U1097">
            <v>15</v>
          </cell>
          <cell r="V1097">
            <v>147</v>
          </cell>
          <cell r="W1097">
            <v>101</v>
          </cell>
          <cell r="X1097">
            <v>0</v>
          </cell>
          <cell r="Y1097">
            <v>15</v>
          </cell>
          <cell r="Z1097">
            <v>0</v>
          </cell>
          <cell r="AA1097">
            <v>15</v>
          </cell>
          <cell r="AB1097">
            <v>0</v>
          </cell>
          <cell r="AC1097">
            <v>15</v>
          </cell>
          <cell r="AD1097">
            <v>147</v>
          </cell>
          <cell r="AE1097">
            <v>101</v>
          </cell>
          <cell r="AF1097">
            <v>0</v>
          </cell>
          <cell r="AG1097">
            <v>15</v>
          </cell>
          <cell r="AH1097">
            <v>0</v>
          </cell>
          <cell r="AI1097">
            <v>15</v>
          </cell>
          <cell r="AJ1097">
            <v>0</v>
          </cell>
          <cell r="AK1097">
            <v>15</v>
          </cell>
          <cell r="AL1097">
            <v>0</v>
          </cell>
          <cell r="AM1097">
            <v>15</v>
          </cell>
          <cell r="AN1097">
            <v>0</v>
          </cell>
          <cell r="AO1097">
            <v>15</v>
          </cell>
          <cell r="AP1097">
            <v>14</v>
          </cell>
          <cell r="AQ1097">
            <v>22</v>
          </cell>
          <cell r="AR1097">
            <v>122</v>
          </cell>
          <cell r="AS1097">
            <v>39</v>
          </cell>
        </row>
        <row r="1098">
          <cell r="B1098">
            <v>17031824108</v>
          </cell>
          <cell r="D1098">
            <v>4134</v>
          </cell>
          <cell r="E1098">
            <v>403</v>
          </cell>
          <cell r="F1098">
            <v>3716</v>
          </cell>
          <cell r="G1098">
            <v>405</v>
          </cell>
          <cell r="H1098">
            <v>3410</v>
          </cell>
          <cell r="I1098">
            <v>421</v>
          </cell>
          <cell r="J1098">
            <v>306</v>
          </cell>
          <cell r="K1098">
            <v>153</v>
          </cell>
          <cell r="L1098">
            <v>282</v>
          </cell>
          <cell r="M1098">
            <v>150</v>
          </cell>
          <cell r="N1098">
            <v>24</v>
          </cell>
          <cell r="O1098">
            <v>35</v>
          </cell>
          <cell r="P1098">
            <v>0</v>
          </cell>
          <cell r="Q1098">
            <v>15</v>
          </cell>
          <cell r="R1098">
            <v>0</v>
          </cell>
          <cell r="S1098">
            <v>15</v>
          </cell>
          <cell r="T1098">
            <v>0</v>
          </cell>
          <cell r="U1098">
            <v>15</v>
          </cell>
          <cell r="V1098">
            <v>285</v>
          </cell>
          <cell r="W1098">
            <v>136</v>
          </cell>
          <cell r="X1098">
            <v>0</v>
          </cell>
          <cell r="Y1098">
            <v>15</v>
          </cell>
          <cell r="Z1098">
            <v>0</v>
          </cell>
          <cell r="AA1098">
            <v>15</v>
          </cell>
          <cell r="AB1098">
            <v>0</v>
          </cell>
          <cell r="AC1098">
            <v>15</v>
          </cell>
          <cell r="AD1098">
            <v>285</v>
          </cell>
          <cell r="AE1098">
            <v>136</v>
          </cell>
          <cell r="AF1098">
            <v>0</v>
          </cell>
          <cell r="AG1098">
            <v>15</v>
          </cell>
          <cell r="AH1098">
            <v>0</v>
          </cell>
          <cell r="AI1098">
            <v>15</v>
          </cell>
          <cell r="AJ1098">
            <v>0</v>
          </cell>
          <cell r="AK1098">
            <v>15</v>
          </cell>
          <cell r="AL1098">
            <v>0</v>
          </cell>
          <cell r="AM1098">
            <v>15</v>
          </cell>
          <cell r="AN1098">
            <v>25</v>
          </cell>
          <cell r="AO1098">
            <v>40</v>
          </cell>
          <cell r="AP1098">
            <v>24</v>
          </cell>
          <cell r="AQ1098">
            <v>40</v>
          </cell>
          <cell r="AR1098">
            <v>84</v>
          </cell>
          <cell r="AS1098">
            <v>63</v>
          </cell>
        </row>
        <row r="1099">
          <cell r="B1099">
            <v>17031824113</v>
          </cell>
          <cell r="D1099">
            <v>3440</v>
          </cell>
          <cell r="E1099">
            <v>330</v>
          </cell>
          <cell r="F1099">
            <v>3073</v>
          </cell>
          <cell r="G1099">
            <v>342</v>
          </cell>
          <cell r="H1099">
            <v>2701</v>
          </cell>
          <cell r="I1099">
            <v>363</v>
          </cell>
          <cell r="J1099">
            <v>372</v>
          </cell>
          <cell r="K1099">
            <v>170</v>
          </cell>
          <cell r="L1099">
            <v>249</v>
          </cell>
          <cell r="M1099">
            <v>128</v>
          </cell>
          <cell r="N1099">
            <v>123</v>
          </cell>
          <cell r="O1099">
            <v>118</v>
          </cell>
          <cell r="P1099">
            <v>0</v>
          </cell>
          <cell r="Q1099">
            <v>15</v>
          </cell>
          <cell r="R1099">
            <v>0</v>
          </cell>
          <cell r="S1099">
            <v>15</v>
          </cell>
          <cell r="T1099">
            <v>0</v>
          </cell>
          <cell r="U1099">
            <v>15</v>
          </cell>
          <cell r="V1099">
            <v>221</v>
          </cell>
          <cell r="W1099">
            <v>102</v>
          </cell>
          <cell r="X1099">
            <v>0</v>
          </cell>
          <cell r="Y1099">
            <v>15</v>
          </cell>
          <cell r="Z1099">
            <v>0</v>
          </cell>
          <cell r="AA1099">
            <v>15</v>
          </cell>
          <cell r="AB1099">
            <v>0</v>
          </cell>
          <cell r="AC1099">
            <v>15</v>
          </cell>
          <cell r="AD1099">
            <v>221</v>
          </cell>
          <cell r="AE1099">
            <v>102</v>
          </cell>
          <cell r="AF1099">
            <v>0</v>
          </cell>
          <cell r="AG1099">
            <v>15</v>
          </cell>
          <cell r="AH1099">
            <v>0</v>
          </cell>
          <cell r="AI1099">
            <v>15</v>
          </cell>
          <cell r="AJ1099">
            <v>0</v>
          </cell>
          <cell r="AK1099">
            <v>15</v>
          </cell>
          <cell r="AL1099">
            <v>9</v>
          </cell>
          <cell r="AM1099">
            <v>16</v>
          </cell>
          <cell r="AN1099">
            <v>0</v>
          </cell>
          <cell r="AO1099">
            <v>15</v>
          </cell>
          <cell r="AP1099">
            <v>3</v>
          </cell>
          <cell r="AQ1099">
            <v>20</v>
          </cell>
          <cell r="AR1099">
            <v>134</v>
          </cell>
          <cell r="AS1099">
            <v>95</v>
          </cell>
        </row>
        <row r="1100">
          <cell r="B1100">
            <v>17031824114</v>
          </cell>
          <cell r="D1100">
            <v>2481</v>
          </cell>
          <cell r="E1100">
            <v>200</v>
          </cell>
          <cell r="F1100">
            <v>2219</v>
          </cell>
          <cell r="G1100">
            <v>205</v>
          </cell>
          <cell r="H1100">
            <v>1943</v>
          </cell>
          <cell r="I1100">
            <v>199</v>
          </cell>
          <cell r="J1100">
            <v>276</v>
          </cell>
          <cell r="K1100">
            <v>108</v>
          </cell>
          <cell r="L1100">
            <v>222</v>
          </cell>
          <cell r="M1100">
            <v>94</v>
          </cell>
          <cell r="N1100">
            <v>46</v>
          </cell>
          <cell r="O1100">
            <v>45</v>
          </cell>
          <cell r="P1100">
            <v>0</v>
          </cell>
          <cell r="Q1100">
            <v>15</v>
          </cell>
          <cell r="R1100">
            <v>0</v>
          </cell>
          <cell r="S1100">
            <v>15</v>
          </cell>
          <cell r="T1100">
            <v>8</v>
          </cell>
          <cell r="U1100">
            <v>12</v>
          </cell>
          <cell r="V1100">
            <v>148</v>
          </cell>
          <cell r="W1100">
            <v>71</v>
          </cell>
          <cell r="X1100">
            <v>0</v>
          </cell>
          <cell r="Y1100">
            <v>15</v>
          </cell>
          <cell r="Z1100">
            <v>0</v>
          </cell>
          <cell r="AA1100">
            <v>15</v>
          </cell>
          <cell r="AB1100">
            <v>0</v>
          </cell>
          <cell r="AC1100">
            <v>15</v>
          </cell>
          <cell r="AD1100">
            <v>148</v>
          </cell>
          <cell r="AE1100">
            <v>71</v>
          </cell>
          <cell r="AF1100">
            <v>0</v>
          </cell>
          <cell r="AG1100">
            <v>15</v>
          </cell>
          <cell r="AH1100">
            <v>0</v>
          </cell>
          <cell r="AI1100">
            <v>15</v>
          </cell>
          <cell r="AJ1100">
            <v>0</v>
          </cell>
          <cell r="AK1100">
            <v>15</v>
          </cell>
          <cell r="AL1100">
            <v>0</v>
          </cell>
          <cell r="AM1100">
            <v>15</v>
          </cell>
          <cell r="AN1100">
            <v>22</v>
          </cell>
          <cell r="AO1100">
            <v>35</v>
          </cell>
          <cell r="AP1100">
            <v>0</v>
          </cell>
          <cell r="AQ1100">
            <v>15</v>
          </cell>
          <cell r="AR1100">
            <v>92</v>
          </cell>
          <cell r="AS1100">
            <v>64</v>
          </cell>
        </row>
        <row r="1101">
          <cell r="B1101">
            <v>17031824115</v>
          </cell>
          <cell r="D1101">
            <v>1731</v>
          </cell>
          <cell r="E1101">
            <v>160</v>
          </cell>
          <cell r="F1101">
            <v>1508</v>
          </cell>
          <cell r="G1101">
            <v>150</v>
          </cell>
          <cell r="H1101">
            <v>1366</v>
          </cell>
          <cell r="I1101">
            <v>148</v>
          </cell>
          <cell r="J1101">
            <v>142</v>
          </cell>
          <cell r="K1101">
            <v>79</v>
          </cell>
          <cell r="L1101">
            <v>132</v>
          </cell>
          <cell r="M1101">
            <v>75</v>
          </cell>
          <cell r="N1101">
            <v>0</v>
          </cell>
          <cell r="O1101">
            <v>11</v>
          </cell>
          <cell r="P1101">
            <v>0</v>
          </cell>
          <cell r="Q1101">
            <v>11</v>
          </cell>
          <cell r="R1101">
            <v>10</v>
          </cell>
          <cell r="S1101">
            <v>15</v>
          </cell>
          <cell r="T1101">
            <v>0</v>
          </cell>
          <cell r="U1101">
            <v>11</v>
          </cell>
          <cell r="V1101">
            <v>105</v>
          </cell>
          <cell r="W1101">
            <v>52</v>
          </cell>
          <cell r="X1101">
            <v>10</v>
          </cell>
          <cell r="Y1101">
            <v>15</v>
          </cell>
          <cell r="Z1101">
            <v>0</v>
          </cell>
          <cell r="AA1101">
            <v>11</v>
          </cell>
          <cell r="AB1101">
            <v>0</v>
          </cell>
          <cell r="AC1101">
            <v>11</v>
          </cell>
          <cell r="AD1101">
            <v>95</v>
          </cell>
          <cell r="AE1101">
            <v>51</v>
          </cell>
          <cell r="AF1101">
            <v>0</v>
          </cell>
          <cell r="AG1101">
            <v>11</v>
          </cell>
          <cell r="AH1101">
            <v>0</v>
          </cell>
          <cell r="AI1101">
            <v>11</v>
          </cell>
          <cell r="AJ1101">
            <v>0</v>
          </cell>
          <cell r="AK1101">
            <v>11</v>
          </cell>
          <cell r="AL1101">
            <v>15</v>
          </cell>
          <cell r="AM1101">
            <v>17</v>
          </cell>
          <cell r="AN1101">
            <v>39</v>
          </cell>
          <cell r="AO1101">
            <v>51</v>
          </cell>
          <cell r="AP1101">
            <v>9</v>
          </cell>
          <cell r="AQ1101">
            <v>15</v>
          </cell>
          <cell r="AR1101">
            <v>55</v>
          </cell>
          <cell r="AS1101">
            <v>42</v>
          </cell>
        </row>
        <row r="1102">
          <cell r="B1102">
            <v>17031824116</v>
          </cell>
          <cell r="D1102">
            <v>2418</v>
          </cell>
          <cell r="E1102">
            <v>281</v>
          </cell>
          <cell r="F1102">
            <v>2007</v>
          </cell>
          <cell r="G1102">
            <v>296</v>
          </cell>
          <cell r="H1102">
            <v>1937</v>
          </cell>
          <cell r="I1102">
            <v>293</v>
          </cell>
          <cell r="J1102">
            <v>70</v>
          </cell>
          <cell r="K1102">
            <v>54</v>
          </cell>
          <cell r="L1102">
            <v>60</v>
          </cell>
          <cell r="M1102">
            <v>52</v>
          </cell>
          <cell r="N1102">
            <v>10</v>
          </cell>
          <cell r="O1102">
            <v>15</v>
          </cell>
          <cell r="P1102">
            <v>0</v>
          </cell>
          <cell r="Q1102">
            <v>11</v>
          </cell>
          <cell r="R1102">
            <v>0</v>
          </cell>
          <cell r="S1102">
            <v>11</v>
          </cell>
          <cell r="T1102">
            <v>0</v>
          </cell>
          <cell r="U1102">
            <v>11</v>
          </cell>
          <cell r="V1102">
            <v>145</v>
          </cell>
          <cell r="W1102">
            <v>68</v>
          </cell>
          <cell r="X1102">
            <v>10</v>
          </cell>
          <cell r="Y1102">
            <v>17</v>
          </cell>
          <cell r="Z1102">
            <v>0</v>
          </cell>
          <cell r="AA1102">
            <v>11</v>
          </cell>
          <cell r="AB1102">
            <v>35</v>
          </cell>
          <cell r="AC1102">
            <v>35</v>
          </cell>
          <cell r="AD1102">
            <v>100</v>
          </cell>
          <cell r="AE1102">
            <v>61</v>
          </cell>
          <cell r="AF1102">
            <v>0</v>
          </cell>
          <cell r="AG1102">
            <v>11</v>
          </cell>
          <cell r="AH1102">
            <v>0</v>
          </cell>
          <cell r="AI1102">
            <v>11</v>
          </cell>
          <cell r="AJ1102">
            <v>0</v>
          </cell>
          <cell r="AK1102">
            <v>11</v>
          </cell>
          <cell r="AL1102">
            <v>18</v>
          </cell>
          <cell r="AM1102">
            <v>32</v>
          </cell>
          <cell r="AN1102">
            <v>102</v>
          </cell>
          <cell r="AO1102">
            <v>82</v>
          </cell>
          <cell r="AP1102">
            <v>21</v>
          </cell>
          <cell r="AQ1102">
            <v>24</v>
          </cell>
          <cell r="AR1102">
            <v>125</v>
          </cell>
          <cell r="AS1102">
            <v>68</v>
          </cell>
        </row>
        <row r="1103">
          <cell r="B1103">
            <v>17031824117</v>
          </cell>
          <cell r="D1103">
            <v>5313</v>
          </cell>
          <cell r="E1103">
            <v>365</v>
          </cell>
          <cell r="F1103">
            <v>4719</v>
          </cell>
          <cell r="G1103">
            <v>413</v>
          </cell>
          <cell r="H1103">
            <v>4537</v>
          </cell>
          <cell r="I1103">
            <v>405</v>
          </cell>
          <cell r="J1103">
            <v>182</v>
          </cell>
          <cell r="K1103">
            <v>108</v>
          </cell>
          <cell r="L1103">
            <v>113</v>
          </cell>
          <cell r="M1103">
            <v>88</v>
          </cell>
          <cell r="N1103">
            <v>69</v>
          </cell>
          <cell r="O1103">
            <v>65</v>
          </cell>
          <cell r="P1103">
            <v>0</v>
          </cell>
          <cell r="Q1103">
            <v>15</v>
          </cell>
          <cell r="R1103">
            <v>0</v>
          </cell>
          <cell r="S1103">
            <v>15</v>
          </cell>
          <cell r="T1103">
            <v>0</v>
          </cell>
          <cell r="U1103">
            <v>15</v>
          </cell>
          <cell r="V1103">
            <v>390</v>
          </cell>
          <cell r="W1103">
            <v>139</v>
          </cell>
          <cell r="X1103">
            <v>19</v>
          </cell>
          <cell r="Y1103">
            <v>30</v>
          </cell>
          <cell r="Z1103">
            <v>0</v>
          </cell>
          <cell r="AA1103">
            <v>15</v>
          </cell>
          <cell r="AB1103">
            <v>37</v>
          </cell>
          <cell r="AC1103">
            <v>38</v>
          </cell>
          <cell r="AD1103">
            <v>334</v>
          </cell>
          <cell r="AE1103">
            <v>126</v>
          </cell>
          <cell r="AF1103">
            <v>0</v>
          </cell>
          <cell r="AG1103">
            <v>15</v>
          </cell>
          <cell r="AH1103">
            <v>0</v>
          </cell>
          <cell r="AI1103">
            <v>15</v>
          </cell>
          <cell r="AJ1103">
            <v>0</v>
          </cell>
          <cell r="AK1103">
            <v>15</v>
          </cell>
          <cell r="AL1103">
            <v>0</v>
          </cell>
          <cell r="AM1103">
            <v>15</v>
          </cell>
          <cell r="AN1103">
            <v>101</v>
          </cell>
          <cell r="AO1103">
            <v>80</v>
          </cell>
          <cell r="AP1103">
            <v>13</v>
          </cell>
          <cell r="AQ1103">
            <v>21</v>
          </cell>
          <cell r="AR1103">
            <v>90</v>
          </cell>
          <cell r="AS1103">
            <v>78</v>
          </cell>
        </row>
        <row r="1104">
          <cell r="B1104">
            <v>17031824119</v>
          </cell>
          <cell r="D1104">
            <v>2876</v>
          </cell>
          <cell r="E1104">
            <v>258</v>
          </cell>
          <cell r="F1104">
            <v>2399</v>
          </cell>
          <cell r="G1104">
            <v>246</v>
          </cell>
          <cell r="H1104">
            <v>2186</v>
          </cell>
          <cell r="I1104">
            <v>238</v>
          </cell>
          <cell r="J1104">
            <v>213</v>
          </cell>
          <cell r="K1104">
            <v>114</v>
          </cell>
          <cell r="L1104">
            <v>200</v>
          </cell>
          <cell r="M1104">
            <v>113</v>
          </cell>
          <cell r="N1104">
            <v>13</v>
          </cell>
          <cell r="O1104">
            <v>22</v>
          </cell>
          <cell r="P1104">
            <v>0</v>
          </cell>
          <cell r="Q1104">
            <v>15</v>
          </cell>
          <cell r="R1104">
            <v>0</v>
          </cell>
          <cell r="S1104">
            <v>15</v>
          </cell>
          <cell r="T1104">
            <v>0</v>
          </cell>
          <cell r="U1104">
            <v>15</v>
          </cell>
          <cell r="V1104">
            <v>291</v>
          </cell>
          <cell r="W1104">
            <v>106</v>
          </cell>
          <cell r="X1104">
            <v>37</v>
          </cell>
          <cell r="Y1104">
            <v>58</v>
          </cell>
          <cell r="Z1104">
            <v>0</v>
          </cell>
          <cell r="AA1104">
            <v>15</v>
          </cell>
          <cell r="AB1104">
            <v>0</v>
          </cell>
          <cell r="AC1104">
            <v>15</v>
          </cell>
          <cell r="AD1104">
            <v>254</v>
          </cell>
          <cell r="AE1104">
            <v>101</v>
          </cell>
          <cell r="AF1104">
            <v>0</v>
          </cell>
          <cell r="AG1104">
            <v>15</v>
          </cell>
          <cell r="AH1104">
            <v>0</v>
          </cell>
          <cell r="AI1104">
            <v>15</v>
          </cell>
          <cell r="AJ1104">
            <v>0</v>
          </cell>
          <cell r="AK1104">
            <v>15</v>
          </cell>
          <cell r="AL1104">
            <v>0</v>
          </cell>
          <cell r="AM1104">
            <v>15</v>
          </cell>
          <cell r="AN1104">
            <v>16</v>
          </cell>
          <cell r="AO1104">
            <v>25</v>
          </cell>
          <cell r="AP1104">
            <v>31</v>
          </cell>
          <cell r="AQ1104">
            <v>34</v>
          </cell>
          <cell r="AR1104">
            <v>139</v>
          </cell>
          <cell r="AS1104">
            <v>80</v>
          </cell>
        </row>
        <row r="1105">
          <cell r="B1105">
            <v>17031824120</v>
          </cell>
          <cell r="D1105">
            <v>4205</v>
          </cell>
          <cell r="E1105">
            <v>360</v>
          </cell>
          <cell r="F1105">
            <v>3522</v>
          </cell>
          <cell r="G1105">
            <v>386</v>
          </cell>
          <cell r="H1105">
            <v>3407</v>
          </cell>
          <cell r="I1105">
            <v>387</v>
          </cell>
          <cell r="J1105">
            <v>115</v>
          </cell>
          <cell r="K1105">
            <v>75</v>
          </cell>
          <cell r="L1105">
            <v>102</v>
          </cell>
          <cell r="M1105">
            <v>68</v>
          </cell>
          <cell r="N1105">
            <v>13</v>
          </cell>
          <cell r="O1105">
            <v>21</v>
          </cell>
          <cell r="P1105">
            <v>0</v>
          </cell>
          <cell r="Q1105">
            <v>15</v>
          </cell>
          <cell r="R1105">
            <v>0</v>
          </cell>
          <cell r="S1105">
            <v>15</v>
          </cell>
          <cell r="T1105">
            <v>0</v>
          </cell>
          <cell r="U1105">
            <v>15</v>
          </cell>
          <cell r="V1105">
            <v>419</v>
          </cell>
          <cell r="W1105">
            <v>186</v>
          </cell>
          <cell r="X1105">
            <v>0</v>
          </cell>
          <cell r="Y1105">
            <v>15</v>
          </cell>
          <cell r="Z1105">
            <v>0</v>
          </cell>
          <cell r="AA1105">
            <v>15</v>
          </cell>
          <cell r="AB1105">
            <v>0</v>
          </cell>
          <cell r="AC1105">
            <v>15</v>
          </cell>
          <cell r="AD1105">
            <v>419</v>
          </cell>
          <cell r="AE1105">
            <v>186</v>
          </cell>
          <cell r="AF1105">
            <v>0</v>
          </cell>
          <cell r="AG1105">
            <v>15</v>
          </cell>
          <cell r="AH1105">
            <v>0</v>
          </cell>
          <cell r="AI1105">
            <v>15</v>
          </cell>
          <cell r="AJ1105">
            <v>0</v>
          </cell>
          <cell r="AK1105">
            <v>15</v>
          </cell>
          <cell r="AL1105">
            <v>0</v>
          </cell>
          <cell r="AM1105">
            <v>15</v>
          </cell>
          <cell r="AN1105">
            <v>20</v>
          </cell>
          <cell r="AO1105">
            <v>31</v>
          </cell>
          <cell r="AP1105">
            <v>0</v>
          </cell>
          <cell r="AQ1105">
            <v>15</v>
          </cell>
          <cell r="AR1105">
            <v>244</v>
          </cell>
          <cell r="AS1105">
            <v>116</v>
          </cell>
        </row>
        <row r="1106">
          <cell r="B1106">
            <v>17031824121</v>
          </cell>
          <cell r="D1106">
            <v>1592</v>
          </cell>
          <cell r="E1106">
            <v>139</v>
          </cell>
          <cell r="F1106">
            <v>1458</v>
          </cell>
          <cell r="G1106">
            <v>159</v>
          </cell>
          <cell r="H1106">
            <v>1424</v>
          </cell>
          <cell r="I1106">
            <v>164</v>
          </cell>
          <cell r="J1106">
            <v>34</v>
          </cell>
          <cell r="K1106">
            <v>26</v>
          </cell>
          <cell r="L1106">
            <v>25</v>
          </cell>
          <cell r="M1106">
            <v>23</v>
          </cell>
          <cell r="N1106">
            <v>0</v>
          </cell>
          <cell r="O1106">
            <v>11</v>
          </cell>
          <cell r="P1106">
            <v>0</v>
          </cell>
          <cell r="Q1106">
            <v>11</v>
          </cell>
          <cell r="R1106">
            <v>0</v>
          </cell>
          <cell r="S1106">
            <v>11</v>
          </cell>
          <cell r="T1106">
            <v>9</v>
          </cell>
          <cell r="U1106">
            <v>15</v>
          </cell>
          <cell r="V1106">
            <v>57</v>
          </cell>
          <cell r="W1106">
            <v>45</v>
          </cell>
          <cell r="X1106">
            <v>5</v>
          </cell>
          <cell r="Y1106">
            <v>10</v>
          </cell>
          <cell r="Z1106">
            <v>0</v>
          </cell>
          <cell r="AA1106">
            <v>11</v>
          </cell>
          <cell r="AB1106">
            <v>10</v>
          </cell>
          <cell r="AC1106">
            <v>16</v>
          </cell>
          <cell r="AD1106">
            <v>42</v>
          </cell>
          <cell r="AE1106">
            <v>41</v>
          </cell>
          <cell r="AF1106">
            <v>0</v>
          </cell>
          <cell r="AG1106">
            <v>11</v>
          </cell>
          <cell r="AH1106">
            <v>0</v>
          </cell>
          <cell r="AI1106">
            <v>11</v>
          </cell>
          <cell r="AJ1106">
            <v>0</v>
          </cell>
          <cell r="AK1106">
            <v>11</v>
          </cell>
          <cell r="AL1106">
            <v>10</v>
          </cell>
          <cell r="AM1106">
            <v>15</v>
          </cell>
          <cell r="AN1106">
            <v>0</v>
          </cell>
          <cell r="AO1106">
            <v>11</v>
          </cell>
          <cell r="AP1106">
            <v>22</v>
          </cell>
          <cell r="AQ1106">
            <v>26</v>
          </cell>
          <cell r="AR1106">
            <v>45</v>
          </cell>
          <cell r="AS1106">
            <v>37</v>
          </cell>
        </row>
        <row r="1107">
          <cell r="B1107">
            <v>17031824122</v>
          </cell>
          <cell r="D1107">
            <v>3337</v>
          </cell>
          <cell r="E1107">
            <v>340</v>
          </cell>
          <cell r="F1107">
            <v>2784</v>
          </cell>
          <cell r="G1107">
            <v>319</v>
          </cell>
          <cell r="H1107">
            <v>2572</v>
          </cell>
          <cell r="I1107">
            <v>295</v>
          </cell>
          <cell r="J1107">
            <v>212</v>
          </cell>
          <cell r="K1107">
            <v>121</v>
          </cell>
          <cell r="L1107">
            <v>130</v>
          </cell>
          <cell r="M1107">
            <v>90</v>
          </cell>
          <cell r="N1107">
            <v>15</v>
          </cell>
          <cell r="O1107">
            <v>26</v>
          </cell>
          <cell r="P1107">
            <v>0</v>
          </cell>
          <cell r="Q1107">
            <v>15</v>
          </cell>
          <cell r="R1107">
            <v>67</v>
          </cell>
          <cell r="S1107">
            <v>62</v>
          </cell>
          <cell r="T1107">
            <v>0</v>
          </cell>
          <cell r="U1107">
            <v>15</v>
          </cell>
          <cell r="V1107">
            <v>301</v>
          </cell>
          <cell r="W1107">
            <v>101</v>
          </cell>
          <cell r="X1107">
            <v>0</v>
          </cell>
          <cell r="Y1107">
            <v>15</v>
          </cell>
          <cell r="Z1107">
            <v>0</v>
          </cell>
          <cell r="AA1107">
            <v>15</v>
          </cell>
          <cell r="AB1107">
            <v>0</v>
          </cell>
          <cell r="AC1107">
            <v>15</v>
          </cell>
          <cell r="AD1107">
            <v>301</v>
          </cell>
          <cell r="AE1107">
            <v>101</v>
          </cell>
          <cell r="AF1107">
            <v>0</v>
          </cell>
          <cell r="AG1107">
            <v>15</v>
          </cell>
          <cell r="AH1107">
            <v>0</v>
          </cell>
          <cell r="AI1107">
            <v>15</v>
          </cell>
          <cell r="AJ1107">
            <v>0</v>
          </cell>
          <cell r="AK1107">
            <v>15</v>
          </cell>
          <cell r="AL1107">
            <v>0</v>
          </cell>
          <cell r="AM1107">
            <v>15</v>
          </cell>
          <cell r="AN1107">
            <v>0</v>
          </cell>
          <cell r="AO1107">
            <v>15</v>
          </cell>
          <cell r="AP1107">
            <v>58</v>
          </cell>
          <cell r="AQ1107">
            <v>40</v>
          </cell>
          <cell r="AR1107">
            <v>194</v>
          </cell>
          <cell r="AS1107">
            <v>104</v>
          </cell>
        </row>
        <row r="1108">
          <cell r="B1108">
            <v>17031824123</v>
          </cell>
          <cell r="D1108">
            <v>4163</v>
          </cell>
          <cell r="E1108">
            <v>434</v>
          </cell>
          <cell r="F1108">
            <v>3676</v>
          </cell>
          <cell r="G1108">
            <v>470</v>
          </cell>
          <cell r="H1108">
            <v>3417</v>
          </cell>
          <cell r="I1108">
            <v>475</v>
          </cell>
          <cell r="J1108">
            <v>259</v>
          </cell>
          <cell r="K1108">
            <v>133</v>
          </cell>
          <cell r="L1108">
            <v>259</v>
          </cell>
          <cell r="M1108">
            <v>133</v>
          </cell>
          <cell r="N1108">
            <v>0</v>
          </cell>
          <cell r="O1108">
            <v>15</v>
          </cell>
          <cell r="P1108">
            <v>0</v>
          </cell>
          <cell r="Q1108">
            <v>15</v>
          </cell>
          <cell r="R1108">
            <v>0</v>
          </cell>
          <cell r="S1108">
            <v>15</v>
          </cell>
          <cell r="T1108">
            <v>0</v>
          </cell>
          <cell r="U1108">
            <v>15</v>
          </cell>
          <cell r="V1108">
            <v>363</v>
          </cell>
          <cell r="W1108">
            <v>161</v>
          </cell>
          <cell r="X1108">
            <v>0</v>
          </cell>
          <cell r="Y1108">
            <v>15</v>
          </cell>
          <cell r="Z1108">
            <v>0</v>
          </cell>
          <cell r="AA1108">
            <v>15</v>
          </cell>
          <cell r="AB1108">
            <v>0</v>
          </cell>
          <cell r="AC1108">
            <v>15</v>
          </cell>
          <cell r="AD1108">
            <v>363</v>
          </cell>
          <cell r="AE1108">
            <v>161</v>
          </cell>
          <cell r="AF1108">
            <v>0</v>
          </cell>
          <cell r="AG1108">
            <v>15</v>
          </cell>
          <cell r="AH1108">
            <v>0</v>
          </cell>
          <cell r="AI1108">
            <v>15</v>
          </cell>
          <cell r="AJ1108">
            <v>0</v>
          </cell>
          <cell r="AK1108">
            <v>15</v>
          </cell>
          <cell r="AL1108">
            <v>0</v>
          </cell>
          <cell r="AM1108">
            <v>15</v>
          </cell>
          <cell r="AN1108">
            <v>13</v>
          </cell>
          <cell r="AO1108">
            <v>22</v>
          </cell>
          <cell r="AP1108">
            <v>51</v>
          </cell>
          <cell r="AQ1108">
            <v>59</v>
          </cell>
          <cell r="AR1108">
            <v>60</v>
          </cell>
          <cell r="AS1108">
            <v>61</v>
          </cell>
        </row>
        <row r="1109">
          <cell r="B1109">
            <v>17031824300</v>
          </cell>
          <cell r="D1109">
            <v>1278</v>
          </cell>
          <cell r="E1109">
            <v>278</v>
          </cell>
          <cell r="F1109">
            <v>1059</v>
          </cell>
          <cell r="G1109">
            <v>264</v>
          </cell>
          <cell r="H1109">
            <v>862</v>
          </cell>
          <cell r="I1109">
            <v>190</v>
          </cell>
          <cell r="J1109">
            <v>197</v>
          </cell>
          <cell r="K1109">
            <v>171</v>
          </cell>
          <cell r="L1109">
            <v>186</v>
          </cell>
          <cell r="M1109">
            <v>171</v>
          </cell>
          <cell r="N1109">
            <v>11</v>
          </cell>
          <cell r="O1109">
            <v>19</v>
          </cell>
          <cell r="P1109">
            <v>0</v>
          </cell>
          <cell r="Q1109">
            <v>11</v>
          </cell>
          <cell r="R1109">
            <v>0</v>
          </cell>
          <cell r="S1109">
            <v>11</v>
          </cell>
          <cell r="T1109">
            <v>0</v>
          </cell>
          <cell r="U1109">
            <v>11</v>
          </cell>
          <cell r="V1109">
            <v>109</v>
          </cell>
          <cell r="W1109">
            <v>75</v>
          </cell>
          <cell r="X1109">
            <v>65</v>
          </cell>
          <cell r="Y1109">
            <v>59</v>
          </cell>
          <cell r="Z1109">
            <v>0</v>
          </cell>
          <cell r="AA1109">
            <v>11</v>
          </cell>
          <cell r="AB1109">
            <v>28</v>
          </cell>
          <cell r="AC1109">
            <v>36</v>
          </cell>
          <cell r="AD1109">
            <v>16</v>
          </cell>
          <cell r="AE1109">
            <v>25</v>
          </cell>
          <cell r="AF1109">
            <v>0</v>
          </cell>
          <cell r="AG1109">
            <v>11</v>
          </cell>
          <cell r="AH1109">
            <v>0</v>
          </cell>
          <cell r="AI1109">
            <v>11</v>
          </cell>
          <cell r="AJ1109">
            <v>0</v>
          </cell>
          <cell r="AK1109">
            <v>11</v>
          </cell>
          <cell r="AL1109">
            <v>0</v>
          </cell>
          <cell r="AM1109">
            <v>11</v>
          </cell>
          <cell r="AN1109">
            <v>47</v>
          </cell>
          <cell r="AO1109">
            <v>43</v>
          </cell>
          <cell r="AP1109">
            <v>29</v>
          </cell>
          <cell r="AQ1109">
            <v>31</v>
          </cell>
          <cell r="AR1109">
            <v>34</v>
          </cell>
          <cell r="AS1109">
            <v>45</v>
          </cell>
        </row>
        <row r="1110">
          <cell r="B1110">
            <v>17031824400</v>
          </cell>
          <cell r="D1110">
            <v>906</v>
          </cell>
          <cell r="E1110">
            <v>181</v>
          </cell>
          <cell r="F1110">
            <v>829</v>
          </cell>
          <cell r="G1110">
            <v>174</v>
          </cell>
          <cell r="H1110">
            <v>764</v>
          </cell>
          <cell r="I1110">
            <v>159</v>
          </cell>
          <cell r="J1110">
            <v>65</v>
          </cell>
          <cell r="K1110">
            <v>48</v>
          </cell>
          <cell r="L1110">
            <v>51</v>
          </cell>
          <cell r="M1110">
            <v>42</v>
          </cell>
          <cell r="N1110">
            <v>14</v>
          </cell>
          <cell r="O1110">
            <v>18</v>
          </cell>
          <cell r="P1110">
            <v>0</v>
          </cell>
          <cell r="Q1110">
            <v>11</v>
          </cell>
          <cell r="R1110">
            <v>0</v>
          </cell>
          <cell r="S1110">
            <v>11</v>
          </cell>
          <cell r="T1110">
            <v>0</v>
          </cell>
          <cell r="U1110">
            <v>11</v>
          </cell>
          <cell r="V1110">
            <v>41</v>
          </cell>
          <cell r="W1110">
            <v>36</v>
          </cell>
          <cell r="X1110">
            <v>6</v>
          </cell>
          <cell r="Y1110">
            <v>9</v>
          </cell>
          <cell r="Z1110">
            <v>0</v>
          </cell>
          <cell r="AA1110">
            <v>11</v>
          </cell>
          <cell r="AB1110">
            <v>9</v>
          </cell>
          <cell r="AC1110">
            <v>19</v>
          </cell>
          <cell r="AD1110">
            <v>26</v>
          </cell>
          <cell r="AE1110">
            <v>29</v>
          </cell>
          <cell r="AF1110">
            <v>0</v>
          </cell>
          <cell r="AG1110">
            <v>11</v>
          </cell>
          <cell r="AH1110">
            <v>0</v>
          </cell>
          <cell r="AI1110">
            <v>11</v>
          </cell>
          <cell r="AJ1110">
            <v>0</v>
          </cell>
          <cell r="AK1110">
            <v>11</v>
          </cell>
          <cell r="AL1110">
            <v>0</v>
          </cell>
          <cell r="AM1110">
            <v>11</v>
          </cell>
          <cell r="AN1110">
            <v>8</v>
          </cell>
          <cell r="AO1110">
            <v>11</v>
          </cell>
          <cell r="AP1110">
            <v>0</v>
          </cell>
          <cell r="AQ1110">
            <v>11</v>
          </cell>
          <cell r="AR1110">
            <v>28</v>
          </cell>
          <cell r="AS1110">
            <v>28</v>
          </cell>
        </row>
        <row r="1111">
          <cell r="B1111">
            <v>17031824503</v>
          </cell>
          <cell r="D1111">
            <v>3550</v>
          </cell>
          <cell r="E1111">
            <v>311</v>
          </cell>
          <cell r="F1111">
            <v>3175</v>
          </cell>
          <cell r="G1111">
            <v>315</v>
          </cell>
          <cell r="H1111">
            <v>2931</v>
          </cell>
          <cell r="I1111">
            <v>269</v>
          </cell>
          <cell r="J1111">
            <v>244</v>
          </cell>
          <cell r="K1111">
            <v>132</v>
          </cell>
          <cell r="L1111">
            <v>244</v>
          </cell>
          <cell r="M1111">
            <v>132</v>
          </cell>
          <cell r="N1111">
            <v>0</v>
          </cell>
          <cell r="O1111">
            <v>15</v>
          </cell>
          <cell r="P1111">
            <v>0</v>
          </cell>
          <cell r="Q1111">
            <v>15</v>
          </cell>
          <cell r="R1111">
            <v>0</v>
          </cell>
          <cell r="S1111">
            <v>15</v>
          </cell>
          <cell r="T1111">
            <v>0</v>
          </cell>
          <cell r="U1111">
            <v>15</v>
          </cell>
          <cell r="V1111">
            <v>193</v>
          </cell>
          <cell r="W1111">
            <v>99</v>
          </cell>
          <cell r="X1111">
            <v>0</v>
          </cell>
          <cell r="Y1111">
            <v>15</v>
          </cell>
          <cell r="Z1111">
            <v>0</v>
          </cell>
          <cell r="AA1111">
            <v>15</v>
          </cell>
          <cell r="AB1111">
            <v>25</v>
          </cell>
          <cell r="AC1111">
            <v>37</v>
          </cell>
          <cell r="AD1111">
            <v>168</v>
          </cell>
          <cell r="AE1111">
            <v>97</v>
          </cell>
          <cell r="AF1111">
            <v>0</v>
          </cell>
          <cell r="AG1111">
            <v>15</v>
          </cell>
          <cell r="AH1111">
            <v>0</v>
          </cell>
          <cell r="AI1111">
            <v>15</v>
          </cell>
          <cell r="AJ1111">
            <v>0</v>
          </cell>
          <cell r="AK1111">
            <v>15</v>
          </cell>
          <cell r="AL1111">
            <v>0</v>
          </cell>
          <cell r="AM1111">
            <v>15</v>
          </cell>
          <cell r="AN1111">
            <v>64</v>
          </cell>
          <cell r="AO1111">
            <v>82</v>
          </cell>
          <cell r="AP1111">
            <v>0</v>
          </cell>
          <cell r="AQ1111">
            <v>15</v>
          </cell>
          <cell r="AR1111">
            <v>118</v>
          </cell>
          <cell r="AS1111">
            <v>77</v>
          </cell>
        </row>
        <row r="1112">
          <cell r="B1112">
            <v>17031824505</v>
          </cell>
          <cell r="D1112">
            <v>3860</v>
          </cell>
          <cell r="E1112">
            <v>285</v>
          </cell>
          <cell r="F1112">
            <v>3195</v>
          </cell>
          <cell r="G1112">
            <v>263</v>
          </cell>
          <cell r="H1112">
            <v>3053</v>
          </cell>
          <cell r="I1112">
            <v>287</v>
          </cell>
          <cell r="J1112">
            <v>142</v>
          </cell>
          <cell r="K1112">
            <v>111</v>
          </cell>
          <cell r="L1112">
            <v>114</v>
          </cell>
          <cell r="M1112">
            <v>88</v>
          </cell>
          <cell r="N1112">
            <v>28</v>
          </cell>
          <cell r="O1112">
            <v>42</v>
          </cell>
          <cell r="P1112">
            <v>0</v>
          </cell>
          <cell r="Q1112">
            <v>15</v>
          </cell>
          <cell r="R1112">
            <v>0</v>
          </cell>
          <cell r="S1112">
            <v>15</v>
          </cell>
          <cell r="T1112">
            <v>0</v>
          </cell>
          <cell r="U1112">
            <v>15</v>
          </cell>
          <cell r="V1112">
            <v>401</v>
          </cell>
          <cell r="W1112">
            <v>158</v>
          </cell>
          <cell r="X1112">
            <v>163</v>
          </cell>
          <cell r="Y1112">
            <v>126</v>
          </cell>
          <cell r="Z1112">
            <v>0</v>
          </cell>
          <cell r="AA1112">
            <v>15</v>
          </cell>
          <cell r="AB1112">
            <v>0</v>
          </cell>
          <cell r="AC1112">
            <v>15</v>
          </cell>
          <cell r="AD1112">
            <v>238</v>
          </cell>
          <cell r="AE1112">
            <v>98</v>
          </cell>
          <cell r="AF1112">
            <v>0</v>
          </cell>
          <cell r="AG1112">
            <v>15</v>
          </cell>
          <cell r="AH1112">
            <v>0</v>
          </cell>
          <cell r="AI1112">
            <v>15</v>
          </cell>
          <cell r="AJ1112">
            <v>0</v>
          </cell>
          <cell r="AK1112">
            <v>15</v>
          </cell>
          <cell r="AL1112">
            <v>0</v>
          </cell>
          <cell r="AM1112">
            <v>15</v>
          </cell>
          <cell r="AN1112">
            <v>0</v>
          </cell>
          <cell r="AO1112">
            <v>15</v>
          </cell>
          <cell r="AP1112">
            <v>11</v>
          </cell>
          <cell r="AQ1112">
            <v>18</v>
          </cell>
          <cell r="AR1112">
            <v>253</v>
          </cell>
          <cell r="AS1112">
            <v>117</v>
          </cell>
        </row>
        <row r="1113">
          <cell r="B1113">
            <v>17031824506</v>
          </cell>
          <cell r="D1113">
            <v>3894</v>
          </cell>
          <cell r="E1113">
            <v>318</v>
          </cell>
          <cell r="F1113">
            <v>3447</v>
          </cell>
          <cell r="G1113">
            <v>376</v>
          </cell>
          <cell r="H1113">
            <v>3265</v>
          </cell>
          <cell r="I1113">
            <v>360</v>
          </cell>
          <cell r="J1113">
            <v>182</v>
          </cell>
          <cell r="K1113">
            <v>116</v>
          </cell>
          <cell r="L1113">
            <v>182</v>
          </cell>
          <cell r="M1113">
            <v>116</v>
          </cell>
          <cell r="N1113">
            <v>0</v>
          </cell>
          <cell r="O1113">
            <v>15</v>
          </cell>
          <cell r="P1113">
            <v>0</v>
          </cell>
          <cell r="Q1113">
            <v>15</v>
          </cell>
          <cell r="R1113">
            <v>0</v>
          </cell>
          <cell r="S1113">
            <v>15</v>
          </cell>
          <cell r="T1113">
            <v>0</v>
          </cell>
          <cell r="U1113">
            <v>15</v>
          </cell>
          <cell r="V1113">
            <v>254</v>
          </cell>
          <cell r="W1113">
            <v>132</v>
          </cell>
          <cell r="X1113">
            <v>7</v>
          </cell>
          <cell r="Y1113">
            <v>18</v>
          </cell>
          <cell r="Z1113">
            <v>0</v>
          </cell>
          <cell r="AA1113">
            <v>15</v>
          </cell>
          <cell r="AB1113">
            <v>0</v>
          </cell>
          <cell r="AC1113">
            <v>15</v>
          </cell>
          <cell r="AD1113">
            <v>247</v>
          </cell>
          <cell r="AE1113">
            <v>130</v>
          </cell>
          <cell r="AF1113">
            <v>0</v>
          </cell>
          <cell r="AG1113">
            <v>15</v>
          </cell>
          <cell r="AH1113">
            <v>0</v>
          </cell>
          <cell r="AI1113">
            <v>15</v>
          </cell>
          <cell r="AJ1113">
            <v>0</v>
          </cell>
          <cell r="AK1113">
            <v>15</v>
          </cell>
          <cell r="AL1113">
            <v>0</v>
          </cell>
          <cell r="AM1113">
            <v>15</v>
          </cell>
          <cell r="AN1113">
            <v>0</v>
          </cell>
          <cell r="AO1113">
            <v>15</v>
          </cell>
          <cell r="AP1113">
            <v>0</v>
          </cell>
          <cell r="AQ1113">
            <v>15</v>
          </cell>
          <cell r="AR1113">
            <v>193</v>
          </cell>
          <cell r="AS1113">
            <v>183</v>
          </cell>
        </row>
        <row r="1114">
          <cell r="B1114">
            <v>17031824507</v>
          </cell>
          <cell r="D1114">
            <v>1856</v>
          </cell>
          <cell r="E1114">
            <v>210</v>
          </cell>
          <cell r="F1114">
            <v>1645</v>
          </cell>
          <cell r="G1114">
            <v>197</v>
          </cell>
          <cell r="H1114">
            <v>1454</v>
          </cell>
          <cell r="I1114">
            <v>187</v>
          </cell>
          <cell r="J1114">
            <v>191</v>
          </cell>
          <cell r="K1114">
            <v>109</v>
          </cell>
          <cell r="L1114">
            <v>122</v>
          </cell>
          <cell r="M1114">
            <v>63</v>
          </cell>
          <cell r="N1114">
            <v>16</v>
          </cell>
          <cell r="O1114">
            <v>23</v>
          </cell>
          <cell r="P1114">
            <v>43</v>
          </cell>
          <cell r="Q1114">
            <v>68</v>
          </cell>
          <cell r="R1114">
            <v>10</v>
          </cell>
          <cell r="S1114">
            <v>17</v>
          </cell>
          <cell r="T1114">
            <v>0</v>
          </cell>
          <cell r="U1114">
            <v>11</v>
          </cell>
          <cell r="V1114">
            <v>165</v>
          </cell>
          <cell r="W1114">
            <v>75</v>
          </cell>
          <cell r="X1114">
            <v>47</v>
          </cell>
          <cell r="Y1114">
            <v>42</v>
          </cell>
          <cell r="Z1114">
            <v>0</v>
          </cell>
          <cell r="AA1114">
            <v>11</v>
          </cell>
          <cell r="AB1114">
            <v>0</v>
          </cell>
          <cell r="AC1114">
            <v>11</v>
          </cell>
          <cell r="AD1114">
            <v>118</v>
          </cell>
          <cell r="AE1114">
            <v>68</v>
          </cell>
          <cell r="AF1114">
            <v>0</v>
          </cell>
          <cell r="AG1114">
            <v>11</v>
          </cell>
          <cell r="AH1114">
            <v>0</v>
          </cell>
          <cell r="AI1114">
            <v>11</v>
          </cell>
          <cell r="AJ1114">
            <v>0</v>
          </cell>
          <cell r="AK1114">
            <v>11</v>
          </cell>
          <cell r="AL1114">
            <v>0</v>
          </cell>
          <cell r="AM1114">
            <v>11</v>
          </cell>
          <cell r="AN1114">
            <v>12</v>
          </cell>
          <cell r="AO1114">
            <v>18</v>
          </cell>
          <cell r="AP1114">
            <v>0</v>
          </cell>
          <cell r="AQ1114">
            <v>11</v>
          </cell>
          <cell r="AR1114">
            <v>34</v>
          </cell>
          <cell r="AS1114">
            <v>34</v>
          </cell>
        </row>
        <row r="1115">
          <cell r="B1115">
            <v>17031824601</v>
          </cell>
          <cell r="D1115">
            <v>2743</v>
          </cell>
          <cell r="E1115">
            <v>263</v>
          </cell>
          <cell r="F1115">
            <v>2467</v>
          </cell>
          <cell r="G1115">
            <v>271</v>
          </cell>
          <cell r="H1115">
            <v>2413</v>
          </cell>
          <cell r="I1115">
            <v>265</v>
          </cell>
          <cell r="J1115">
            <v>54</v>
          </cell>
          <cell r="K1115">
            <v>45</v>
          </cell>
          <cell r="L1115">
            <v>29</v>
          </cell>
          <cell r="M1115">
            <v>34</v>
          </cell>
          <cell r="N1115">
            <v>0</v>
          </cell>
          <cell r="O1115">
            <v>11</v>
          </cell>
          <cell r="P1115">
            <v>0</v>
          </cell>
          <cell r="Q1115">
            <v>11</v>
          </cell>
          <cell r="R1115">
            <v>25</v>
          </cell>
          <cell r="S1115">
            <v>27</v>
          </cell>
          <cell r="T1115">
            <v>0</v>
          </cell>
          <cell r="U1115">
            <v>11</v>
          </cell>
          <cell r="V1115">
            <v>165</v>
          </cell>
          <cell r="W1115">
            <v>84</v>
          </cell>
          <cell r="X1115">
            <v>0</v>
          </cell>
          <cell r="Y1115">
            <v>11</v>
          </cell>
          <cell r="Z1115">
            <v>0</v>
          </cell>
          <cell r="AA1115">
            <v>11</v>
          </cell>
          <cell r="AB1115">
            <v>11</v>
          </cell>
          <cell r="AC1115">
            <v>16</v>
          </cell>
          <cell r="AD1115">
            <v>154</v>
          </cell>
          <cell r="AE1115">
            <v>82</v>
          </cell>
          <cell r="AF1115">
            <v>0</v>
          </cell>
          <cell r="AG1115">
            <v>11</v>
          </cell>
          <cell r="AH1115">
            <v>0</v>
          </cell>
          <cell r="AI1115">
            <v>11</v>
          </cell>
          <cell r="AJ1115">
            <v>0</v>
          </cell>
          <cell r="AK1115">
            <v>11</v>
          </cell>
          <cell r="AL1115">
            <v>0</v>
          </cell>
          <cell r="AM1115">
            <v>11</v>
          </cell>
          <cell r="AN1115">
            <v>0</v>
          </cell>
          <cell r="AO1115">
            <v>11</v>
          </cell>
          <cell r="AP1115">
            <v>40</v>
          </cell>
          <cell r="AQ1115">
            <v>32</v>
          </cell>
          <cell r="AR1115">
            <v>71</v>
          </cell>
          <cell r="AS1115">
            <v>66</v>
          </cell>
        </row>
        <row r="1116">
          <cell r="B1116">
            <v>17031824602</v>
          </cell>
          <cell r="D1116">
            <v>3148</v>
          </cell>
          <cell r="E1116">
            <v>377</v>
          </cell>
          <cell r="F1116">
            <v>2977</v>
          </cell>
          <cell r="G1116">
            <v>370</v>
          </cell>
          <cell r="H1116">
            <v>2902</v>
          </cell>
          <cell r="I1116">
            <v>367</v>
          </cell>
          <cell r="J1116">
            <v>75</v>
          </cell>
          <cell r="K1116">
            <v>64</v>
          </cell>
          <cell r="L1116">
            <v>75</v>
          </cell>
          <cell r="M1116">
            <v>64</v>
          </cell>
          <cell r="N1116">
            <v>0</v>
          </cell>
          <cell r="O1116">
            <v>15</v>
          </cell>
          <cell r="P1116">
            <v>0</v>
          </cell>
          <cell r="Q1116">
            <v>15</v>
          </cell>
          <cell r="R1116">
            <v>0</v>
          </cell>
          <cell r="S1116">
            <v>15</v>
          </cell>
          <cell r="T1116">
            <v>0</v>
          </cell>
          <cell r="U1116">
            <v>15</v>
          </cell>
          <cell r="V1116">
            <v>151</v>
          </cell>
          <cell r="W1116">
            <v>82</v>
          </cell>
          <cell r="X1116">
            <v>0</v>
          </cell>
          <cell r="Y1116">
            <v>15</v>
          </cell>
          <cell r="Z1116">
            <v>0</v>
          </cell>
          <cell r="AA1116">
            <v>15</v>
          </cell>
          <cell r="AB1116">
            <v>24</v>
          </cell>
          <cell r="AC1116">
            <v>31</v>
          </cell>
          <cell r="AD1116">
            <v>127</v>
          </cell>
          <cell r="AE1116">
            <v>81</v>
          </cell>
          <cell r="AF1116">
            <v>0</v>
          </cell>
          <cell r="AG1116">
            <v>15</v>
          </cell>
          <cell r="AH1116">
            <v>0</v>
          </cell>
          <cell r="AI1116">
            <v>15</v>
          </cell>
          <cell r="AJ1116">
            <v>0</v>
          </cell>
          <cell r="AK1116">
            <v>15</v>
          </cell>
          <cell r="AL1116">
            <v>0</v>
          </cell>
          <cell r="AM1116">
            <v>15</v>
          </cell>
          <cell r="AN1116">
            <v>0</v>
          </cell>
          <cell r="AO1116">
            <v>15</v>
          </cell>
          <cell r="AP1116">
            <v>0</v>
          </cell>
          <cell r="AQ1116">
            <v>15</v>
          </cell>
          <cell r="AR1116">
            <v>20</v>
          </cell>
          <cell r="AS1116">
            <v>23</v>
          </cell>
        </row>
        <row r="1117">
          <cell r="B1117">
            <v>17031824701</v>
          </cell>
          <cell r="D1117">
            <v>2005</v>
          </cell>
          <cell r="E1117">
            <v>215</v>
          </cell>
          <cell r="F1117">
            <v>1787</v>
          </cell>
          <cell r="G1117">
            <v>214</v>
          </cell>
          <cell r="H1117">
            <v>1668</v>
          </cell>
          <cell r="I1117">
            <v>210</v>
          </cell>
          <cell r="J1117">
            <v>119</v>
          </cell>
          <cell r="K1117">
            <v>75</v>
          </cell>
          <cell r="L1117">
            <v>100</v>
          </cell>
          <cell r="M1117">
            <v>67</v>
          </cell>
          <cell r="N1117">
            <v>0</v>
          </cell>
          <cell r="O1117">
            <v>11</v>
          </cell>
          <cell r="P1117">
            <v>19</v>
          </cell>
          <cell r="Q1117">
            <v>33</v>
          </cell>
          <cell r="R1117">
            <v>0</v>
          </cell>
          <cell r="S1117">
            <v>11</v>
          </cell>
          <cell r="T1117">
            <v>0</v>
          </cell>
          <cell r="U1117">
            <v>11</v>
          </cell>
          <cell r="V1117">
            <v>162</v>
          </cell>
          <cell r="W1117">
            <v>61</v>
          </cell>
          <cell r="X1117">
            <v>9</v>
          </cell>
          <cell r="Y1117">
            <v>14</v>
          </cell>
          <cell r="Z1117">
            <v>0</v>
          </cell>
          <cell r="AA1117">
            <v>11</v>
          </cell>
          <cell r="AB1117">
            <v>13</v>
          </cell>
          <cell r="AC1117">
            <v>24</v>
          </cell>
          <cell r="AD1117">
            <v>140</v>
          </cell>
          <cell r="AE1117">
            <v>57</v>
          </cell>
          <cell r="AF1117">
            <v>0</v>
          </cell>
          <cell r="AG1117">
            <v>11</v>
          </cell>
          <cell r="AH1117">
            <v>0</v>
          </cell>
          <cell r="AI1117">
            <v>11</v>
          </cell>
          <cell r="AJ1117">
            <v>0</v>
          </cell>
          <cell r="AK1117">
            <v>11</v>
          </cell>
          <cell r="AL1117">
            <v>0</v>
          </cell>
          <cell r="AM1117">
            <v>11</v>
          </cell>
          <cell r="AN1117">
            <v>0</v>
          </cell>
          <cell r="AO1117">
            <v>11</v>
          </cell>
          <cell r="AP1117">
            <v>0</v>
          </cell>
          <cell r="AQ1117">
            <v>11</v>
          </cell>
          <cell r="AR1117">
            <v>56</v>
          </cell>
          <cell r="AS1117">
            <v>52</v>
          </cell>
        </row>
        <row r="1118">
          <cell r="B1118">
            <v>17031824702</v>
          </cell>
          <cell r="D1118">
            <v>2652</v>
          </cell>
          <cell r="E1118">
            <v>291</v>
          </cell>
          <cell r="F1118">
            <v>2238</v>
          </cell>
          <cell r="G1118">
            <v>276</v>
          </cell>
          <cell r="H1118">
            <v>2013</v>
          </cell>
          <cell r="I1118">
            <v>251</v>
          </cell>
          <cell r="J1118">
            <v>225</v>
          </cell>
          <cell r="K1118">
            <v>96</v>
          </cell>
          <cell r="L1118">
            <v>216</v>
          </cell>
          <cell r="M1118">
            <v>93</v>
          </cell>
          <cell r="N1118">
            <v>8</v>
          </cell>
          <cell r="O1118">
            <v>14</v>
          </cell>
          <cell r="P1118">
            <v>0</v>
          </cell>
          <cell r="Q1118">
            <v>15</v>
          </cell>
          <cell r="R1118">
            <v>0</v>
          </cell>
          <cell r="S1118">
            <v>15</v>
          </cell>
          <cell r="T1118">
            <v>1</v>
          </cell>
          <cell r="U1118">
            <v>4</v>
          </cell>
          <cell r="V1118">
            <v>173</v>
          </cell>
          <cell r="W1118">
            <v>95</v>
          </cell>
          <cell r="X1118">
            <v>61</v>
          </cell>
          <cell r="Y1118">
            <v>52</v>
          </cell>
          <cell r="Z1118">
            <v>0</v>
          </cell>
          <cell r="AA1118">
            <v>15</v>
          </cell>
          <cell r="AB1118">
            <v>0</v>
          </cell>
          <cell r="AC1118">
            <v>15</v>
          </cell>
          <cell r="AD1118">
            <v>112</v>
          </cell>
          <cell r="AE1118">
            <v>74</v>
          </cell>
          <cell r="AF1118">
            <v>0</v>
          </cell>
          <cell r="AG1118">
            <v>15</v>
          </cell>
          <cell r="AH1118">
            <v>0</v>
          </cell>
          <cell r="AI1118">
            <v>15</v>
          </cell>
          <cell r="AJ1118">
            <v>0</v>
          </cell>
          <cell r="AK1118">
            <v>15</v>
          </cell>
          <cell r="AL1118">
            <v>20</v>
          </cell>
          <cell r="AM1118">
            <v>21</v>
          </cell>
          <cell r="AN1118">
            <v>54</v>
          </cell>
          <cell r="AO1118">
            <v>64</v>
          </cell>
          <cell r="AP1118">
            <v>37</v>
          </cell>
          <cell r="AQ1118">
            <v>35</v>
          </cell>
          <cell r="AR1118">
            <v>130</v>
          </cell>
          <cell r="AS1118">
            <v>86</v>
          </cell>
        </row>
        <row r="1119">
          <cell r="B1119">
            <v>17031824800</v>
          </cell>
          <cell r="D1119">
            <v>2263</v>
          </cell>
          <cell r="E1119">
            <v>466</v>
          </cell>
          <cell r="F1119">
            <v>2062</v>
          </cell>
          <cell r="G1119">
            <v>453</v>
          </cell>
          <cell r="H1119">
            <v>1655</v>
          </cell>
          <cell r="I1119">
            <v>435</v>
          </cell>
          <cell r="J1119">
            <v>407</v>
          </cell>
          <cell r="K1119">
            <v>150</v>
          </cell>
          <cell r="L1119">
            <v>280</v>
          </cell>
          <cell r="M1119">
            <v>137</v>
          </cell>
          <cell r="N1119">
            <v>127</v>
          </cell>
          <cell r="O1119">
            <v>110</v>
          </cell>
          <cell r="P1119">
            <v>0</v>
          </cell>
          <cell r="Q1119">
            <v>15</v>
          </cell>
          <cell r="R1119">
            <v>0</v>
          </cell>
          <cell r="S1119">
            <v>15</v>
          </cell>
          <cell r="T1119">
            <v>0</v>
          </cell>
          <cell r="U1119">
            <v>15</v>
          </cell>
          <cell r="V1119">
            <v>124</v>
          </cell>
          <cell r="W1119">
            <v>105</v>
          </cell>
          <cell r="X1119">
            <v>78</v>
          </cell>
          <cell r="Y1119">
            <v>96</v>
          </cell>
          <cell r="Z1119">
            <v>0</v>
          </cell>
          <cell r="AA1119">
            <v>15</v>
          </cell>
          <cell r="AB1119">
            <v>33</v>
          </cell>
          <cell r="AC1119">
            <v>41</v>
          </cell>
          <cell r="AD1119">
            <v>13</v>
          </cell>
          <cell r="AE1119">
            <v>25</v>
          </cell>
          <cell r="AF1119">
            <v>0</v>
          </cell>
          <cell r="AG1119">
            <v>15</v>
          </cell>
          <cell r="AH1119">
            <v>0</v>
          </cell>
          <cell r="AI1119">
            <v>15</v>
          </cell>
          <cell r="AJ1119">
            <v>0</v>
          </cell>
          <cell r="AK1119">
            <v>15</v>
          </cell>
          <cell r="AL1119">
            <v>0</v>
          </cell>
          <cell r="AM1119">
            <v>15</v>
          </cell>
          <cell r="AN1119">
            <v>25</v>
          </cell>
          <cell r="AO1119">
            <v>42</v>
          </cell>
          <cell r="AP1119">
            <v>0</v>
          </cell>
          <cell r="AQ1119">
            <v>15</v>
          </cell>
          <cell r="AR1119">
            <v>52</v>
          </cell>
          <cell r="AS1119">
            <v>68</v>
          </cell>
        </row>
        <row r="1120">
          <cell r="B1120">
            <v>17031824900</v>
          </cell>
          <cell r="D1120">
            <v>1016</v>
          </cell>
          <cell r="E1120">
            <v>220</v>
          </cell>
          <cell r="F1120">
            <v>827</v>
          </cell>
          <cell r="G1120">
            <v>198</v>
          </cell>
          <cell r="H1120">
            <v>728</v>
          </cell>
          <cell r="I1120">
            <v>195</v>
          </cell>
          <cell r="J1120">
            <v>99</v>
          </cell>
          <cell r="K1120">
            <v>54</v>
          </cell>
          <cell r="L1120">
            <v>64</v>
          </cell>
          <cell r="M1120">
            <v>44</v>
          </cell>
          <cell r="N1120">
            <v>15</v>
          </cell>
          <cell r="O1120">
            <v>24</v>
          </cell>
          <cell r="P1120">
            <v>20</v>
          </cell>
          <cell r="Q1120">
            <v>30</v>
          </cell>
          <cell r="R1120">
            <v>0</v>
          </cell>
          <cell r="S1120">
            <v>11</v>
          </cell>
          <cell r="T1120">
            <v>0</v>
          </cell>
          <cell r="U1120">
            <v>11</v>
          </cell>
          <cell r="V1120">
            <v>48</v>
          </cell>
          <cell r="W1120">
            <v>42</v>
          </cell>
          <cell r="X1120">
            <v>0</v>
          </cell>
          <cell r="Y1120">
            <v>11</v>
          </cell>
          <cell r="Z1120">
            <v>0</v>
          </cell>
          <cell r="AA1120">
            <v>11</v>
          </cell>
          <cell r="AB1120">
            <v>28</v>
          </cell>
          <cell r="AC1120">
            <v>34</v>
          </cell>
          <cell r="AD1120">
            <v>20</v>
          </cell>
          <cell r="AE1120">
            <v>23</v>
          </cell>
          <cell r="AF1120">
            <v>0</v>
          </cell>
          <cell r="AG1120">
            <v>11</v>
          </cell>
          <cell r="AH1120">
            <v>0</v>
          </cell>
          <cell r="AI1120">
            <v>11</v>
          </cell>
          <cell r="AJ1120">
            <v>0</v>
          </cell>
          <cell r="AK1120">
            <v>11</v>
          </cell>
          <cell r="AL1120">
            <v>0</v>
          </cell>
          <cell r="AM1120">
            <v>11</v>
          </cell>
          <cell r="AN1120">
            <v>30</v>
          </cell>
          <cell r="AO1120">
            <v>44</v>
          </cell>
          <cell r="AP1120">
            <v>0</v>
          </cell>
          <cell r="AQ1120">
            <v>11</v>
          </cell>
          <cell r="AR1120">
            <v>111</v>
          </cell>
          <cell r="AS1120">
            <v>65</v>
          </cell>
        </row>
        <row r="1121">
          <cell r="B1121">
            <v>17031825000</v>
          </cell>
          <cell r="D1121">
            <v>2425</v>
          </cell>
          <cell r="E1121">
            <v>323</v>
          </cell>
          <cell r="F1121">
            <v>2096</v>
          </cell>
          <cell r="G1121">
            <v>306</v>
          </cell>
          <cell r="H1121">
            <v>1934</v>
          </cell>
          <cell r="I1121">
            <v>287</v>
          </cell>
          <cell r="J1121">
            <v>162</v>
          </cell>
          <cell r="K1121">
            <v>94</v>
          </cell>
          <cell r="L1121">
            <v>153</v>
          </cell>
          <cell r="M1121">
            <v>94</v>
          </cell>
          <cell r="N1121">
            <v>9</v>
          </cell>
          <cell r="O1121">
            <v>14</v>
          </cell>
          <cell r="P1121">
            <v>0</v>
          </cell>
          <cell r="Q1121">
            <v>11</v>
          </cell>
          <cell r="R1121">
            <v>0</v>
          </cell>
          <cell r="S1121">
            <v>11</v>
          </cell>
          <cell r="T1121">
            <v>0</v>
          </cell>
          <cell r="U1121">
            <v>11</v>
          </cell>
          <cell r="V1121">
            <v>207</v>
          </cell>
          <cell r="W1121">
            <v>91</v>
          </cell>
          <cell r="X1121">
            <v>56</v>
          </cell>
          <cell r="Y1121">
            <v>39</v>
          </cell>
          <cell r="Z1121">
            <v>0</v>
          </cell>
          <cell r="AA1121">
            <v>11</v>
          </cell>
          <cell r="AB1121">
            <v>0</v>
          </cell>
          <cell r="AC1121">
            <v>11</v>
          </cell>
          <cell r="AD1121">
            <v>151</v>
          </cell>
          <cell r="AE1121">
            <v>82</v>
          </cell>
          <cell r="AF1121">
            <v>0</v>
          </cell>
          <cell r="AG1121">
            <v>11</v>
          </cell>
          <cell r="AH1121">
            <v>0</v>
          </cell>
          <cell r="AI1121">
            <v>11</v>
          </cell>
          <cell r="AJ1121">
            <v>0</v>
          </cell>
          <cell r="AK1121">
            <v>11</v>
          </cell>
          <cell r="AL1121">
            <v>0</v>
          </cell>
          <cell r="AM1121">
            <v>11</v>
          </cell>
          <cell r="AN1121">
            <v>41</v>
          </cell>
          <cell r="AO1121">
            <v>36</v>
          </cell>
          <cell r="AP1121">
            <v>0</v>
          </cell>
          <cell r="AQ1121">
            <v>11</v>
          </cell>
          <cell r="AR1121">
            <v>81</v>
          </cell>
          <cell r="AS1121">
            <v>44</v>
          </cell>
        </row>
        <row r="1122">
          <cell r="B1122">
            <v>17031825200</v>
          </cell>
          <cell r="D1122">
            <v>953</v>
          </cell>
          <cell r="E1122">
            <v>125</v>
          </cell>
          <cell r="F1122">
            <v>890</v>
          </cell>
          <cell r="G1122">
            <v>114</v>
          </cell>
          <cell r="H1122">
            <v>803</v>
          </cell>
          <cell r="I1122">
            <v>111</v>
          </cell>
          <cell r="J1122">
            <v>87</v>
          </cell>
          <cell r="K1122">
            <v>51</v>
          </cell>
          <cell r="L1122">
            <v>68</v>
          </cell>
          <cell r="M1122">
            <v>41</v>
          </cell>
          <cell r="N1122">
            <v>7</v>
          </cell>
          <cell r="O1122">
            <v>11</v>
          </cell>
          <cell r="P1122">
            <v>12</v>
          </cell>
          <cell r="Q1122">
            <v>17</v>
          </cell>
          <cell r="R1122">
            <v>0</v>
          </cell>
          <cell r="S1122">
            <v>11</v>
          </cell>
          <cell r="T1122">
            <v>0</v>
          </cell>
          <cell r="U1122">
            <v>11</v>
          </cell>
          <cell r="V1122">
            <v>52</v>
          </cell>
          <cell r="W1122">
            <v>30</v>
          </cell>
          <cell r="X1122">
            <v>11</v>
          </cell>
          <cell r="Y1122">
            <v>18</v>
          </cell>
          <cell r="Z1122">
            <v>0</v>
          </cell>
          <cell r="AA1122">
            <v>11</v>
          </cell>
          <cell r="AB1122">
            <v>11</v>
          </cell>
          <cell r="AC1122">
            <v>17</v>
          </cell>
          <cell r="AD1122">
            <v>30</v>
          </cell>
          <cell r="AE1122">
            <v>19</v>
          </cell>
          <cell r="AF1122">
            <v>0</v>
          </cell>
          <cell r="AG1122">
            <v>11</v>
          </cell>
          <cell r="AH1122">
            <v>0</v>
          </cell>
          <cell r="AI1122">
            <v>11</v>
          </cell>
          <cell r="AJ1122">
            <v>0</v>
          </cell>
          <cell r="AK1122">
            <v>11</v>
          </cell>
          <cell r="AL1122">
            <v>0</v>
          </cell>
          <cell r="AM1122">
            <v>11</v>
          </cell>
          <cell r="AN1122">
            <v>0</v>
          </cell>
          <cell r="AO1122">
            <v>11</v>
          </cell>
          <cell r="AP1122">
            <v>0</v>
          </cell>
          <cell r="AQ1122">
            <v>11</v>
          </cell>
          <cell r="AR1122">
            <v>11</v>
          </cell>
          <cell r="AS1122">
            <v>18</v>
          </cell>
        </row>
        <row r="1123">
          <cell r="B1123">
            <v>17031825302</v>
          </cell>
          <cell r="D1123">
            <v>3238</v>
          </cell>
          <cell r="E1123">
            <v>398</v>
          </cell>
          <cell r="F1123">
            <v>2832</v>
          </cell>
          <cell r="G1123">
            <v>349</v>
          </cell>
          <cell r="H1123">
            <v>2678</v>
          </cell>
          <cell r="I1123">
            <v>341</v>
          </cell>
          <cell r="J1123">
            <v>154</v>
          </cell>
          <cell r="K1123">
            <v>101</v>
          </cell>
          <cell r="L1123">
            <v>28</v>
          </cell>
          <cell r="M1123">
            <v>32</v>
          </cell>
          <cell r="N1123">
            <v>48</v>
          </cell>
          <cell r="O1123">
            <v>55</v>
          </cell>
          <cell r="P1123">
            <v>23</v>
          </cell>
          <cell r="Q1123">
            <v>40</v>
          </cell>
          <cell r="R1123">
            <v>55</v>
          </cell>
          <cell r="S1123">
            <v>76</v>
          </cell>
          <cell r="T1123">
            <v>0</v>
          </cell>
          <cell r="U1123">
            <v>15</v>
          </cell>
          <cell r="V1123">
            <v>226</v>
          </cell>
          <cell r="W1123">
            <v>107</v>
          </cell>
          <cell r="X1123">
            <v>0</v>
          </cell>
          <cell r="Y1123">
            <v>15</v>
          </cell>
          <cell r="Z1123">
            <v>0</v>
          </cell>
          <cell r="AA1123">
            <v>15</v>
          </cell>
          <cell r="AB1123">
            <v>30</v>
          </cell>
          <cell r="AC1123">
            <v>36</v>
          </cell>
          <cell r="AD1123">
            <v>196</v>
          </cell>
          <cell r="AE1123">
            <v>108</v>
          </cell>
          <cell r="AF1123">
            <v>0</v>
          </cell>
          <cell r="AG1123">
            <v>15</v>
          </cell>
          <cell r="AH1123">
            <v>0</v>
          </cell>
          <cell r="AI1123">
            <v>15</v>
          </cell>
          <cell r="AJ1123">
            <v>0</v>
          </cell>
          <cell r="AK1123">
            <v>15</v>
          </cell>
          <cell r="AL1123">
            <v>0</v>
          </cell>
          <cell r="AM1123">
            <v>15</v>
          </cell>
          <cell r="AN1123">
            <v>55</v>
          </cell>
          <cell r="AO1123">
            <v>69</v>
          </cell>
          <cell r="AP1123">
            <v>78</v>
          </cell>
          <cell r="AQ1123">
            <v>112</v>
          </cell>
          <cell r="AR1123">
            <v>47</v>
          </cell>
          <cell r="AS1123">
            <v>43</v>
          </cell>
        </row>
        <row r="1124">
          <cell r="B1124">
            <v>17031825303</v>
          </cell>
          <cell r="D1124">
            <v>1943</v>
          </cell>
          <cell r="E1124">
            <v>195</v>
          </cell>
          <cell r="F1124">
            <v>1572</v>
          </cell>
          <cell r="G1124">
            <v>177</v>
          </cell>
          <cell r="H1124">
            <v>1447</v>
          </cell>
          <cell r="I1124">
            <v>195</v>
          </cell>
          <cell r="J1124">
            <v>125</v>
          </cell>
          <cell r="K1124">
            <v>84</v>
          </cell>
          <cell r="L1124">
            <v>91</v>
          </cell>
          <cell r="M1124">
            <v>60</v>
          </cell>
          <cell r="N1124">
            <v>34</v>
          </cell>
          <cell r="O1124">
            <v>55</v>
          </cell>
          <cell r="P1124">
            <v>0</v>
          </cell>
          <cell r="Q1124">
            <v>11</v>
          </cell>
          <cell r="R1124">
            <v>0</v>
          </cell>
          <cell r="S1124">
            <v>11</v>
          </cell>
          <cell r="T1124">
            <v>0</v>
          </cell>
          <cell r="U1124">
            <v>11</v>
          </cell>
          <cell r="V1124">
            <v>209</v>
          </cell>
          <cell r="W1124">
            <v>109</v>
          </cell>
          <cell r="X1124">
            <v>24</v>
          </cell>
          <cell r="Y1124">
            <v>37</v>
          </cell>
          <cell r="Z1124">
            <v>0</v>
          </cell>
          <cell r="AA1124">
            <v>11</v>
          </cell>
          <cell r="AB1124">
            <v>9</v>
          </cell>
          <cell r="AC1124">
            <v>16</v>
          </cell>
          <cell r="AD1124">
            <v>176</v>
          </cell>
          <cell r="AE1124">
            <v>102</v>
          </cell>
          <cell r="AF1124">
            <v>0</v>
          </cell>
          <cell r="AG1124">
            <v>11</v>
          </cell>
          <cell r="AH1124">
            <v>0</v>
          </cell>
          <cell r="AI1124">
            <v>11</v>
          </cell>
          <cell r="AJ1124">
            <v>0</v>
          </cell>
          <cell r="AK1124">
            <v>11</v>
          </cell>
          <cell r="AL1124">
            <v>44</v>
          </cell>
          <cell r="AM1124">
            <v>63</v>
          </cell>
          <cell r="AN1124">
            <v>35</v>
          </cell>
          <cell r="AO1124">
            <v>31</v>
          </cell>
          <cell r="AP1124">
            <v>16</v>
          </cell>
          <cell r="AQ1124">
            <v>22</v>
          </cell>
          <cell r="AR1124">
            <v>67</v>
          </cell>
          <cell r="AS1124">
            <v>53</v>
          </cell>
        </row>
        <row r="1125">
          <cell r="B1125">
            <v>17031825304</v>
          </cell>
          <cell r="D1125">
            <v>2263</v>
          </cell>
          <cell r="E1125">
            <v>210</v>
          </cell>
          <cell r="F1125">
            <v>1911</v>
          </cell>
          <cell r="G1125">
            <v>196</v>
          </cell>
          <cell r="H1125">
            <v>1696</v>
          </cell>
          <cell r="I1125">
            <v>232</v>
          </cell>
          <cell r="J1125">
            <v>215</v>
          </cell>
          <cell r="K1125">
            <v>97</v>
          </cell>
          <cell r="L1125">
            <v>206</v>
          </cell>
          <cell r="M1125">
            <v>99</v>
          </cell>
          <cell r="N1125">
            <v>9</v>
          </cell>
          <cell r="O1125">
            <v>14</v>
          </cell>
          <cell r="P1125">
            <v>0</v>
          </cell>
          <cell r="Q1125">
            <v>11</v>
          </cell>
          <cell r="R1125">
            <v>0</v>
          </cell>
          <cell r="S1125">
            <v>11</v>
          </cell>
          <cell r="T1125">
            <v>0</v>
          </cell>
          <cell r="U1125">
            <v>11</v>
          </cell>
          <cell r="V1125">
            <v>168</v>
          </cell>
          <cell r="W1125">
            <v>105</v>
          </cell>
          <cell r="X1125">
            <v>41</v>
          </cell>
          <cell r="Y1125">
            <v>65</v>
          </cell>
          <cell r="Z1125">
            <v>0</v>
          </cell>
          <cell r="AA1125">
            <v>11</v>
          </cell>
          <cell r="AB1125">
            <v>9</v>
          </cell>
          <cell r="AC1125">
            <v>14</v>
          </cell>
          <cell r="AD1125">
            <v>118</v>
          </cell>
          <cell r="AE1125">
            <v>71</v>
          </cell>
          <cell r="AF1125">
            <v>0</v>
          </cell>
          <cell r="AG1125">
            <v>11</v>
          </cell>
          <cell r="AH1125">
            <v>8</v>
          </cell>
          <cell r="AI1125">
            <v>12</v>
          </cell>
          <cell r="AJ1125">
            <v>0</v>
          </cell>
          <cell r="AK1125">
            <v>11</v>
          </cell>
          <cell r="AL1125">
            <v>41</v>
          </cell>
          <cell r="AM1125">
            <v>66</v>
          </cell>
          <cell r="AN1125">
            <v>28</v>
          </cell>
          <cell r="AO1125">
            <v>25</v>
          </cell>
          <cell r="AP1125">
            <v>14</v>
          </cell>
          <cell r="AQ1125">
            <v>16</v>
          </cell>
          <cell r="AR1125">
            <v>93</v>
          </cell>
          <cell r="AS1125">
            <v>70</v>
          </cell>
        </row>
        <row r="1126">
          <cell r="B1126">
            <v>17031825400</v>
          </cell>
          <cell r="D1126">
            <v>2846</v>
          </cell>
          <cell r="E1126">
            <v>349</v>
          </cell>
          <cell r="F1126">
            <v>2432</v>
          </cell>
          <cell r="G1126">
            <v>348</v>
          </cell>
          <cell r="H1126">
            <v>2286</v>
          </cell>
          <cell r="I1126">
            <v>349</v>
          </cell>
          <cell r="J1126">
            <v>146</v>
          </cell>
          <cell r="K1126">
            <v>86</v>
          </cell>
          <cell r="L1126">
            <v>131</v>
          </cell>
          <cell r="M1126">
            <v>83</v>
          </cell>
          <cell r="N1126">
            <v>15</v>
          </cell>
          <cell r="O1126">
            <v>24</v>
          </cell>
          <cell r="P1126">
            <v>0</v>
          </cell>
          <cell r="Q1126">
            <v>15</v>
          </cell>
          <cell r="R1126">
            <v>0</v>
          </cell>
          <cell r="S1126">
            <v>15</v>
          </cell>
          <cell r="T1126">
            <v>0</v>
          </cell>
          <cell r="U1126">
            <v>15</v>
          </cell>
          <cell r="V1126">
            <v>153</v>
          </cell>
          <cell r="W1126">
            <v>82</v>
          </cell>
          <cell r="X1126">
            <v>39</v>
          </cell>
          <cell r="Y1126">
            <v>38</v>
          </cell>
          <cell r="Z1126">
            <v>0</v>
          </cell>
          <cell r="AA1126">
            <v>15</v>
          </cell>
          <cell r="AB1126">
            <v>0</v>
          </cell>
          <cell r="AC1126">
            <v>15</v>
          </cell>
          <cell r="AD1126">
            <v>114</v>
          </cell>
          <cell r="AE1126">
            <v>74</v>
          </cell>
          <cell r="AF1126">
            <v>0</v>
          </cell>
          <cell r="AG1126">
            <v>15</v>
          </cell>
          <cell r="AH1126">
            <v>0</v>
          </cell>
          <cell r="AI1126">
            <v>15</v>
          </cell>
          <cell r="AJ1126">
            <v>0</v>
          </cell>
          <cell r="AK1126">
            <v>15</v>
          </cell>
          <cell r="AL1126">
            <v>0</v>
          </cell>
          <cell r="AM1126">
            <v>15</v>
          </cell>
          <cell r="AN1126">
            <v>161</v>
          </cell>
          <cell r="AO1126">
            <v>218</v>
          </cell>
          <cell r="AP1126">
            <v>0</v>
          </cell>
          <cell r="AQ1126">
            <v>15</v>
          </cell>
          <cell r="AR1126">
            <v>100</v>
          </cell>
          <cell r="AS1126">
            <v>89</v>
          </cell>
        </row>
        <row r="1127">
          <cell r="B1127">
            <v>17031825501</v>
          </cell>
          <cell r="D1127">
            <v>2160</v>
          </cell>
          <cell r="E1127">
            <v>270</v>
          </cell>
          <cell r="F1127">
            <v>1779</v>
          </cell>
          <cell r="G1127">
            <v>271</v>
          </cell>
          <cell r="H1127">
            <v>1647</v>
          </cell>
          <cell r="I1127">
            <v>257</v>
          </cell>
          <cell r="J1127">
            <v>132</v>
          </cell>
          <cell r="K1127">
            <v>79</v>
          </cell>
          <cell r="L1127">
            <v>115</v>
          </cell>
          <cell r="M1127">
            <v>79</v>
          </cell>
          <cell r="N1127">
            <v>0</v>
          </cell>
          <cell r="O1127">
            <v>15</v>
          </cell>
          <cell r="P1127">
            <v>17</v>
          </cell>
          <cell r="Q1127">
            <v>24</v>
          </cell>
          <cell r="R1127">
            <v>0</v>
          </cell>
          <cell r="S1127">
            <v>15</v>
          </cell>
          <cell r="T1127">
            <v>0</v>
          </cell>
          <cell r="U1127">
            <v>15</v>
          </cell>
          <cell r="V1127">
            <v>200</v>
          </cell>
          <cell r="W1127">
            <v>105</v>
          </cell>
          <cell r="X1127">
            <v>85</v>
          </cell>
          <cell r="Y1127">
            <v>75</v>
          </cell>
          <cell r="Z1127">
            <v>0</v>
          </cell>
          <cell r="AA1127">
            <v>15</v>
          </cell>
          <cell r="AB1127">
            <v>51</v>
          </cell>
          <cell r="AC1127">
            <v>43</v>
          </cell>
          <cell r="AD1127">
            <v>64</v>
          </cell>
          <cell r="AE1127">
            <v>51</v>
          </cell>
          <cell r="AF1127">
            <v>0</v>
          </cell>
          <cell r="AG1127">
            <v>15</v>
          </cell>
          <cell r="AH1127">
            <v>0</v>
          </cell>
          <cell r="AI1127">
            <v>15</v>
          </cell>
          <cell r="AJ1127">
            <v>0</v>
          </cell>
          <cell r="AK1127">
            <v>15</v>
          </cell>
          <cell r="AL1127">
            <v>0</v>
          </cell>
          <cell r="AM1127">
            <v>15</v>
          </cell>
          <cell r="AN1127">
            <v>0</v>
          </cell>
          <cell r="AO1127">
            <v>15</v>
          </cell>
          <cell r="AP1127">
            <v>38</v>
          </cell>
          <cell r="AQ1127">
            <v>36</v>
          </cell>
          <cell r="AR1127">
            <v>143</v>
          </cell>
          <cell r="AS1127">
            <v>64</v>
          </cell>
        </row>
        <row r="1128">
          <cell r="B1128">
            <v>17031825503</v>
          </cell>
          <cell r="D1128">
            <v>3002</v>
          </cell>
          <cell r="E1128">
            <v>458</v>
          </cell>
          <cell r="F1128">
            <v>2358</v>
          </cell>
          <cell r="G1128">
            <v>470</v>
          </cell>
          <cell r="H1128">
            <v>2170</v>
          </cell>
          <cell r="I1128">
            <v>442</v>
          </cell>
          <cell r="J1128">
            <v>188</v>
          </cell>
          <cell r="K1128">
            <v>131</v>
          </cell>
          <cell r="L1128">
            <v>174</v>
          </cell>
          <cell r="M1128">
            <v>123</v>
          </cell>
          <cell r="N1128">
            <v>0</v>
          </cell>
          <cell r="O1128">
            <v>15</v>
          </cell>
          <cell r="P1128">
            <v>14</v>
          </cell>
          <cell r="Q1128">
            <v>23</v>
          </cell>
          <cell r="R1128">
            <v>0</v>
          </cell>
          <cell r="S1128">
            <v>15</v>
          </cell>
          <cell r="T1128">
            <v>0</v>
          </cell>
          <cell r="U1128">
            <v>15</v>
          </cell>
          <cell r="V1128">
            <v>330</v>
          </cell>
          <cell r="W1128">
            <v>182</v>
          </cell>
          <cell r="X1128">
            <v>70</v>
          </cell>
          <cell r="Y1128">
            <v>66</v>
          </cell>
          <cell r="Z1128">
            <v>0</v>
          </cell>
          <cell r="AA1128">
            <v>15</v>
          </cell>
          <cell r="AB1128">
            <v>81</v>
          </cell>
          <cell r="AC1128">
            <v>99</v>
          </cell>
          <cell r="AD1128">
            <v>179</v>
          </cell>
          <cell r="AE1128">
            <v>140</v>
          </cell>
          <cell r="AF1128">
            <v>0</v>
          </cell>
          <cell r="AG1128">
            <v>15</v>
          </cell>
          <cell r="AH1128">
            <v>0</v>
          </cell>
          <cell r="AI1128">
            <v>15</v>
          </cell>
          <cell r="AJ1128">
            <v>0</v>
          </cell>
          <cell r="AK1128">
            <v>15</v>
          </cell>
          <cell r="AL1128">
            <v>0</v>
          </cell>
          <cell r="AM1128">
            <v>15</v>
          </cell>
          <cell r="AN1128">
            <v>20</v>
          </cell>
          <cell r="AO1128">
            <v>33</v>
          </cell>
          <cell r="AP1128">
            <v>51</v>
          </cell>
          <cell r="AQ1128">
            <v>86</v>
          </cell>
          <cell r="AR1128">
            <v>243</v>
          </cell>
          <cell r="AS1128">
            <v>125</v>
          </cell>
        </row>
        <row r="1129">
          <cell r="B1129">
            <v>17031825504</v>
          </cell>
          <cell r="D1129">
            <v>1524</v>
          </cell>
          <cell r="E1129">
            <v>212</v>
          </cell>
          <cell r="F1129">
            <v>1440</v>
          </cell>
          <cell r="G1129">
            <v>192</v>
          </cell>
          <cell r="H1129">
            <v>1344</v>
          </cell>
          <cell r="I1129">
            <v>187</v>
          </cell>
          <cell r="J1129">
            <v>96</v>
          </cell>
          <cell r="K1129">
            <v>98</v>
          </cell>
          <cell r="L1129">
            <v>96</v>
          </cell>
          <cell r="M1129">
            <v>98</v>
          </cell>
          <cell r="N1129">
            <v>0</v>
          </cell>
          <cell r="O1129">
            <v>11</v>
          </cell>
          <cell r="P1129">
            <v>0</v>
          </cell>
          <cell r="Q1129">
            <v>11</v>
          </cell>
          <cell r="R1129">
            <v>0</v>
          </cell>
          <cell r="S1129">
            <v>11</v>
          </cell>
          <cell r="T1129">
            <v>0</v>
          </cell>
          <cell r="U1129">
            <v>11</v>
          </cell>
          <cell r="V1129">
            <v>35</v>
          </cell>
          <cell r="W1129">
            <v>40</v>
          </cell>
          <cell r="X1129">
            <v>0</v>
          </cell>
          <cell r="Y1129">
            <v>11</v>
          </cell>
          <cell r="Z1129">
            <v>0</v>
          </cell>
          <cell r="AA1129">
            <v>11</v>
          </cell>
          <cell r="AB1129">
            <v>0</v>
          </cell>
          <cell r="AC1129">
            <v>11</v>
          </cell>
          <cell r="AD1129">
            <v>35</v>
          </cell>
          <cell r="AE1129">
            <v>40</v>
          </cell>
          <cell r="AF1129">
            <v>0</v>
          </cell>
          <cell r="AG1129">
            <v>11</v>
          </cell>
          <cell r="AH1129">
            <v>0</v>
          </cell>
          <cell r="AI1129">
            <v>11</v>
          </cell>
          <cell r="AJ1129">
            <v>0</v>
          </cell>
          <cell r="AK1129">
            <v>11</v>
          </cell>
          <cell r="AL1129">
            <v>0</v>
          </cell>
          <cell r="AM1129">
            <v>11</v>
          </cell>
          <cell r="AN1129">
            <v>0</v>
          </cell>
          <cell r="AO1129">
            <v>11</v>
          </cell>
          <cell r="AP1129">
            <v>0</v>
          </cell>
          <cell r="AQ1129">
            <v>11</v>
          </cell>
          <cell r="AR1129">
            <v>49</v>
          </cell>
          <cell r="AS1129">
            <v>47</v>
          </cell>
        </row>
        <row r="1130">
          <cell r="B1130">
            <v>17031825505</v>
          </cell>
          <cell r="D1130">
            <v>2164</v>
          </cell>
          <cell r="E1130">
            <v>248</v>
          </cell>
          <cell r="F1130">
            <v>1859</v>
          </cell>
          <cell r="G1130">
            <v>244</v>
          </cell>
          <cell r="H1130">
            <v>1763</v>
          </cell>
          <cell r="I1130">
            <v>239</v>
          </cell>
          <cell r="J1130">
            <v>96</v>
          </cell>
          <cell r="K1130">
            <v>74</v>
          </cell>
          <cell r="L1130">
            <v>87</v>
          </cell>
          <cell r="M1130">
            <v>69</v>
          </cell>
          <cell r="N1130">
            <v>9</v>
          </cell>
          <cell r="O1130">
            <v>14</v>
          </cell>
          <cell r="P1130">
            <v>0</v>
          </cell>
          <cell r="Q1130">
            <v>15</v>
          </cell>
          <cell r="R1130">
            <v>0</v>
          </cell>
          <cell r="S1130">
            <v>15</v>
          </cell>
          <cell r="T1130">
            <v>0</v>
          </cell>
          <cell r="U1130">
            <v>15</v>
          </cell>
          <cell r="V1130">
            <v>163</v>
          </cell>
          <cell r="W1130">
            <v>84</v>
          </cell>
          <cell r="X1130">
            <v>59</v>
          </cell>
          <cell r="Y1130">
            <v>60</v>
          </cell>
          <cell r="Z1130">
            <v>7</v>
          </cell>
          <cell r="AA1130">
            <v>12</v>
          </cell>
          <cell r="AB1130">
            <v>38</v>
          </cell>
          <cell r="AC1130">
            <v>40</v>
          </cell>
          <cell r="AD1130">
            <v>59</v>
          </cell>
          <cell r="AE1130">
            <v>40</v>
          </cell>
          <cell r="AF1130">
            <v>0</v>
          </cell>
          <cell r="AG1130">
            <v>15</v>
          </cell>
          <cell r="AH1130">
            <v>0</v>
          </cell>
          <cell r="AI1130">
            <v>15</v>
          </cell>
          <cell r="AJ1130">
            <v>0</v>
          </cell>
          <cell r="AK1130">
            <v>15</v>
          </cell>
          <cell r="AL1130">
            <v>0</v>
          </cell>
          <cell r="AM1130">
            <v>15</v>
          </cell>
          <cell r="AN1130">
            <v>21</v>
          </cell>
          <cell r="AO1130">
            <v>28</v>
          </cell>
          <cell r="AP1130">
            <v>13</v>
          </cell>
          <cell r="AQ1130">
            <v>20</v>
          </cell>
          <cell r="AR1130">
            <v>108</v>
          </cell>
          <cell r="AS1130">
            <v>67</v>
          </cell>
        </row>
        <row r="1131">
          <cell r="B1131">
            <v>17031825600</v>
          </cell>
          <cell r="D1131">
            <v>2036</v>
          </cell>
          <cell r="E1131">
            <v>289</v>
          </cell>
          <cell r="F1131">
            <v>1717</v>
          </cell>
          <cell r="G1131">
            <v>285</v>
          </cell>
          <cell r="H1131">
            <v>1612</v>
          </cell>
          <cell r="I1131">
            <v>269</v>
          </cell>
          <cell r="J1131">
            <v>105</v>
          </cell>
          <cell r="K1131">
            <v>65</v>
          </cell>
          <cell r="L1131">
            <v>77</v>
          </cell>
          <cell r="M1131">
            <v>55</v>
          </cell>
          <cell r="N1131">
            <v>0</v>
          </cell>
          <cell r="O1131">
            <v>15</v>
          </cell>
          <cell r="P1131">
            <v>9</v>
          </cell>
          <cell r="Q1131">
            <v>13</v>
          </cell>
          <cell r="R1131">
            <v>0</v>
          </cell>
          <cell r="S1131">
            <v>15</v>
          </cell>
          <cell r="T1131">
            <v>19</v>
          </cell>
          <cell r="U1131">
            <v>20</v>
          </cell>
          <cell r="V1131">
            <v>97</v>
          </cell>
          <cell r="W1131">
            <v>69</v>
          </cell>
          <cell r="X1131">
            <v>52</v>
          </cell>
          <cell r="Y1131">
            <v>47</v>
          </cell>
          <cell r="Z1131">
            <v>0</v>
          </cell>
          <cell r="AA1131">
            <v>15</v>
          </cell>
          <cell r="AB1131">
            <v>16</v>
          </cell>
          <cell r="AC1131">
            <v>24</v>
          </cell>
          <cell r="AD1131">
            <v>29</v>
          </cell>
          <cell r="AE1131">
            <v>34</v>
          </cell>
          <cell r="AF1131">
            <v>0</v>
          </cell>
          <cell r="AG1131">
            <v>15</v>
          </cell>
          <cell r="AH1131">
            <v>0</v>
          </cell>
          <cell r="AI1131">
            <v>15</v>
          </cell>
          <cell r="AJ1131">
            <v>20</v>
          </cell>
          <cell r="AK1131">
            <v>22</v>
          </cell>
          <cell r="AL1131">
            <v>0</v>
          </cell>
          <cell r="AM1131">
            <v>15</v>
          </cell>
          <cell r="AN1131">
            <v>21</v>
          </cell>
          <cell r="AO1131">
            <v>24</v>
          </cell>
          <cell r="AP1131">
            <v>55</v>
          </cell>
          <cell r="AQ1131">
            <v>56</v>
          </cell>
          <cell r="AR1131">
            <v>126</v>
          </cell>
          <cell r="AS1131">
            <v>97</v>
          </cell>
        </row>
        <row r="1132">
          <cell r="B1132">
            <v>17031825700</v>
          </cell>
          <cell r="D1132">
            <v>1492</v>
          </cell>
          <cell r="E1132">
            <v>176</v>
          </cell>
          <cell r="F1132">
            <v>1262</v>
          </cell>
          <cell r="G1132">
            <v>178</v>
          </cell>
          <cell r="H1132">
            <v>1055</v>
          </cell>
          <cell r="I1132">
            <v>175</v>
          </cell>
          <cell r="J1132">
            <v>207</v>
          </cell>
          <cell r="K1132">
            <v>76</v>
          </cell>
          <cell r="L1132">
            <v>184</v>
          </cell>
          <cell r="M1132">
            <v>65</v>
          </cell>
          <cell r="N1132">
            <v>23</v>
          </cell>
          <cell r="O1132">
            <v>35</v>
          </cell>
          <cell r="P1132">
            <v>0</v>
          </cell>
          <cell r="Q1132">
            <v>11</v>
          </cell>
          <cell r="R1132">
            <v>0</v>
          </cell>
          <cell r="S1132">
            <v>11</v>
          </cell>
          <cell r="T1132">
            <v>0</v>
          </cell>
          <cell r="U1132">
            <v>11</v>
          </cell>
          <cell r="V1132">
            <v>152</v>
          </cell>
          <cell r="W1132">
            <v>59</v>
          </cell>
          <cell r="X1132">
            <v>45</v>
          </cell>
          <cell r="Y1132">
            <v>32</v>
          </cell>
          <cell r="Z1132">
            <v>0</v>
          </cell>
          <cell r="AA1132">
            <v>11</v>
          </cell>
          <cell r="AB1132">
            <v>37</v>
          </cell>
          <cell r="AC1132">
            <v>37</v>
          </cell>
          <cell r="AD1132">
            <v>70</v>
          </cell>
          <cell r="AE1132">
            <v>36</v>
          </cell>
          <cell r="AF1132">
            <v>0</v>
          </cell>
          <cell r="AG1132">
            <v>11</v>
          </cell>
          <cell r="AH1132">
            <v>11</v>
          </cell>
          <cell r="AI1132">
            <v>17</v>
          </cell>
          <cell r="AJ1132">
            <v>0</v>
          </cell>
          <cell r="AK1132">
            <v>11</v>
          </cell>
          <cell r="AL1132">
            <v>0</v>
          </cell>
          <cell r="AM1132">
            <v>11</v>
          </cell>
          <cell r="AN1132">
            <v>21</v>
          </cell>
          <cell r="AO1132">
            <v>24</v>
          </cell>
          <cell r="AP1132">
            <v>13</v>
          </cell>
          <cell r="AQ1132">
            <v>18</v>
          </cell>
          <cell r="AR1132">
            <v>33</v>
          </cell>
          <cell r="AS1132">
            <v>26</v>
          </cell>
        </row>
        <row r="1133">
          <cell r="B1133">
            <v>17031825801</v>
          </cell>
          <cell r="D1133">
            <v>1193</v>
          </cell>
          <cell r="E1133">
            <v>202</v>
          </cell>
          <cell r="F1133">
            <v>992</v>
          </cell>
          <cell r="G1133">
            <v>202</v>
          </cell>
          <cell r="H1133">
            <v>807</v>
          </cell>
          <cell r="I1133">
            <v>193</v>
          </cell>
          <cell r="J1133">
            <v>185</v>
          </cell>
          <cell r="K1133">
            <v>97</v>
          </cell>
          <cell r="L1133">
            <v>174</v>
          </cell>
          <cell r="M1133">
            <v>93</v>
          </cell>
          <cell r="N1133">
            <v>11</v>
          </cell>
          <cell r="O1133">
            <v>18</v>
          </cell>
          <cell r="P1133">
            <v>0</v>
          </cell>
          <cell r="Q1133">
            <v>11</v>
          </cell>
          <cell r="R1133">
            <v>0</v>
          </cell>
          <cell r="S1133">
            <v>11</v>
          </cell>
          <cell r="T1133">
            <v>0</v>
          </cell>
          <cell r="U1133">
            <v>11</v>
          </cell>
          <cell r="V1133">
            <v>150</v>
          </cell>
          <cell r="W1133">
            <v>91</v>
          </cell>
          <cell r="X1133">
            <v>124</v>
          </cell>
          <cell r="Y1133">
            <v>83</v>
          </cell>
          <cell r="Z1133">
            <v>0</v>
          </cell>
          <cell r="AA1133">
            <v>11</v>
          </cell>
          <cell r="AB1133">
            <v>5</v>
          </cell>
          <cell r="AC1133">
            <v>11</v>
          </cell>
          <cell r="AD1133">
            <v>21</v>
          </cell>
          <cell r="AE1133">
            <v>24</v>
          </cell>
          <cell r="AF1133">
            <v>0</v>
          </cell>
          <cell r="AG1133">
            <v>11</v>
          </cell>
          <cell r="AH1133">
            <v>0</v>
          </cell>
          <cell r="AI1133">
            <v>11</v>
          </cell>
          <cell r="AJ1133">
            <v>0</v>
          </cell>
          <cell r="AK1133">
            <v>11</v>
          </cell>
          <cell r="AL1133">
            <v>0</v>
          </cell>
          <cell r="AM1133">
            <v>11</v>
          </cell>
          <cell r="AN1133">
            <v>0</v>
          </cell>
          <cell r="AO1133">
            <v>11</v>
          </cell>
          <cell r="AP1133">
            <v>0</v>
          </cell>
          <cell r="AQ1133">
            <v>11</v>
          </cell>
          <cell r="AR1133">
            <v>51</v>
          </cell>
          <cell r="AS1133">
            <v>58</v>
          </cell>
        </row>
        <row r="1134">
          <cell r="B1134">
            <v>17031825802</v>
          </cell>
          <cell r="D1134">
            <v>2453</v>
          </cell>
          <cell r="E1134">
            <v>387</v>
          </cell>
          <cell r="F1134">
            <v>2131</v>
          </cell>
          <cell r="G1134">
            <v>333</v>
          </cell>
          <cell r="H1134">
            <v>2024</v>
          </cell>
          <cell r="I1134">
            <v>319</v>
          </cell>
          <cell r="J1134">
            <v>107</v>
          </cell>
          <cell r="K1134">
            <v>86</v>
          </cell>
          <cell r="L1134">
            <v>107</v>
          </cell>
          <cell r="M1134">
            <v>86</v>
          </cell>
          <cell r="N1134">
            <v>0</v>
          </cell>
          <cell r="O1134">
            <v>15</v>
          </cell>
          <cell r="P1134">
            <v>0</v>
          </cell>
          <cell r="Q1134">
            <v>15</v>
          </cell>
          <cell r="R1134">
            <v>0</v>
          </cell>
          <cell r="S1134">
            <v>15</v>
          </cell>
          <cell r="T1134">
            <v>0</v>
          </cell>
          <cell r="U1134">
            <v>15</v>
          </cell>
          <cell r="V1134">
            <v>179</v>
          </cell>
          <cell r="W1134">
            <v>119</v>
          </cell>
          <cell r="X1134">
            <v>77</v>
          </cell>
          <cell r="Y1134">
            <v>101</v>
          </cell>
          <cell r="Z1134">
            <v>0</v>
          </cell>
          <cell r="AA1134">
            <v>15</v>
          </cell>
          <cell r="AB1134">
            <v>0</v>
          </cell>
          <cell r="AC1134">
            <v>15</v>
          </cell>
          <cell r="AD1134">
            <v>102</v>
          </cell>
          <cell r="AE1134">
            <v>75</v>
          </cell>
          <cell r="AF1134">
            <v>0</v>
          </cell>
          <cell r="AG1134">
            <v>15</v>
          </cell>
          <cell r="AH1134">
            <v>0</v>
          </cell>
          <cell r="AI1134">
            <v>15</v>
          </cell>
          <cell r="AJ1134">
            <v>0</v>
          </cell>
          <cell r="AK1134">
            <v>15</v>
          </cell>
          <cell r="AL1134">
            <v>0</v>
          </cell>
          <cell r="AM1134">
            <v>15</v>
          </cell>
          <cell r="AN1134">
            <v>23</v>
          </cell>
          <cell r="AO1134">
            <v>34</v>
          </cell>
          <cell r="AP1134">
            <v>20</v>
          </cell>
          <cell r="AQ1134">
            <v>24</v>
          </cell>
          <cell r="AR1134">
            <v>100</v>
          </cell>
          <cell r="AS1134">
            <v>90</v>
          </cell>
        </row>
        <row r="1135">
          <cell r="B1135">
            <v>17031825803</v>
          </cell>
          <cell r="D1135">
            <v>2699</v>
          </cell>
          <cell r="E1135">
            <v>406</v>
          </cell>
          <cell r="F1135">
            <v>2349</v>
          </cell>
          <cell r="G1135">
            <v>378</v>
          </cell>
          <cell r="H1135">
            <v>2146</v>
          </cell>
          <cell r="I1135">
            <v>378</v>
          </cell>
          <cell r="J1135">
            <v>203</v>
          </cell>
          <cell r="K1135">
            <v>165</v>
          </cell>
          <cell r="L1135">
            <v>178</v>
          </cell>
          <cell r="M1135">
            <v>148</v>
          </cell>
          <cell r="N1135">
            <v>25</v>
          </cell>
          <cell r="O1135">
            <v>58</v>
          </cell>
          <cell r="P1135">
            <v>0</v>
          </cell>
          <cell r="Q1135">
            <v>15</v>
          </cell>
          <cell r="R1135">
            <v>0</v>
          </cell>
          <cell r="S1135">
            <v>15</v>
          </cell>
          <cell r="T1135">
            <v>0</v>
          </cell>
          <cell r="U1135">
            <v>15</v>
          </cell>
          <cell r="V1135">
            <v>171</v>
          </cell>
          <cell r="W1135">
            <v>110</v>
          </cell>
          <cell r="X1135">
            <v>0</v>
          </cell>
          <cell r="Y1135">
            <v>15</v>
          </cell>
          <cell r="Z1135">
            <v>0</v>
          </cell>
          <cell r="AA1135">
            <v>15</v>
          </cell>
          <cell r="AB1135">
            <v>50</v>
          </cell>
          <cell r="AC1135">
            <v>54</v>
          </cell>
          <cell r="AD1135">
            <v>121</v>
          </cell>
          <cell r="AE1135">
            <v>89</v>
          </cell>
          <cell r="AF1135">
            <v>0</v>
          </cell>
          <cell r="AG1135">
            <v>15</v>
          </cell>
          <cell r="AH1135">
            <v>0</v>
          </cell>
          <cell r="AI1135">
            <v>15</v>
          </cell>
          <cell r="AJ1135">
            <v>0</v>
          </cell>
          <cell r="AK1135">
            <v>15</v>
          </cell>
          <cell r="AL1135">
            <v>0</v>
          </cell>
          <cell r="AM1135">
            <v>15</v>
          </cell>
          <cell r="AN1135">
            <v>13</v>
          </cell>
          <cell r="AO1135">
            <v>21</v>
          </cell>
          <cell r="AP1135">
            <v>98</v>
          </cell>
          <cell r="AQ1135">
            <v>117</v>
          </cell>
          <cell r="AR1135">
            <v>68</v>
          </cell>
          <cell r="AS1135">
            <v>56</v>
          </cell>
        </row>
        <row r="1136">
          <cell r="B1136">
            <v>17031825900</v>
          </cell>
          <cell r="D1136">
            <v>1478</v>
          </cell>
          <cell r="E1136">
            <v>277</v>
          </cell>
          <cell r="F1136">
            <v>1312</v>
          </cell>
          <cell r="G1136">
            <v>263</v>
          </cell>
          <cell r="H1136">
            <v>1177</v>
          </cell>
          <cell r="I1136">
            <v>272</v>
          </cell>
          <cell r="J1136">
            <v>135</v>
          </cell>
          <cell r="K1136">
            <v>75</v>
          </cell>
          <cell r="L1136">
            <v>135</v>
          </cell>
          <cell r="M1136">
            <v>75</v>
          </cell>
          <cell r="N1136">
            <v>0</v>
          </cell>
          <cell r="O1136">
            <v>11</v>
          </cell>
          <cell r="P1136">
            <v>0</v>
          </cell>
          <cell r="Q1136">
            <v>11</v>
          </cell>
          <cell r="R1136">
            <v>0</v>
          </cell>
          <cell r="S1136">
            <v>11</v>
          </cell>
          <cell r="T1136">
            <v>0</v>
          </cell>
          <cell r="U1136">
            <v>11</v>
          </cell>
          <cell r="V1136">
            <v>105</v>
          </cell>
          <cell r="W1136">
            <v>68</v>
          </cell>
          <cell r="X1136">
            <v>57</v>
          </cell>
          <cell r="Y1136">
            <v>48</v>
          </cell>
          <cell r="Z1136">
            <v>0</v>
          </cell>
          <cell r="AA1136">
            <v>11</v>
          </cell>
          <cell r="AB1136">
            <v>39</v>
          </cell>
          <cell r="AC1136">
            <v>37</v>
          </cell>
          <cell r="AD1136">
            <v>9</v>
          </cell>
          <cell r="AE1136">
            <v>15</v>
          </cell>
          <cell r="AF1136">
            <v>0</v>
          </cell>
          <cell r="AG1136">
            <v>11</v>
          </cell>
          <cell r="AH1136">
            <v>0</v>
          </cell>
          <cell r="AI1136">
            <v>11</v>
          </cell>
          <cell r="AJ1136">
            <v>0</v>
          </cell>
          <cell r="AK1136">
            <v>11</v>
          </cell>
          <cell r="AL1136">
            <v>0</v>
          </cell>
          <cell r="AM1136">
            <v>11</v>
          </cell>
          <cell r="AN1136">
            <v>29</v>
          </cell>
          <cell r="AO1136">
            <v>45</v>
          </cell>
          <cell r="AP1136">
            <v>7</v>
          </cell>
          <cell r="AQ1136">
            <v>12</v>
          </cell>
          <cell r="AR1136">
            <v>25</v>
          </cell>
          <cell r="AS1136">
            <v>26</v>
          </cell>
        </row>
        <row r="1137">
          <cell r="B1137">
            <v>17031826000</v>
          </cell>
          <cell r="D1137">
            <v>1173</v>
          </cell>
          <cell r="E1137">
            <v>242</v>
          </cell>
          <cell r="F1137">
            <v>988</v>
          </cell>
          <cell r="G1137">
            <v>244</v>
          </cell>
          <cell r="H1137">
            <v>862</v>
          </cell>
          <cell r="I1137">
            <v>246</v>
          </cell>
          <cell r="J1137">
            <v>126</v>
          </cell>
          <cell r="K1137">
            <v>113</v>
          </cell>
          <cell r="L1137">
            <v>55</v>
          </cell>
          <cell r="M1137">
            <v>57</v>
          </cell>
          <cell r="N1137">
            <v>71</v>
          </cell>
          <cell r="O1137">
            <v>101</v>
          </cell>
          <cell r="P1137">
            <v>0</v>
          </cell>
          <cell r="Q1137">
            <v>11</v>
          </cell>
          <cell r="R1137">
            <v>0</v>
          </cell>
          <cell r="S1137">
            <v>11</v>
          </cell>
          <cell r="T1137">
            <v>0</v>
          </cell>
          <cell r="U1137">
            <v>11</v>
          </cell>
          <cell r="V1137">
            <v>91</v>
          </cell>
          <cell r="W1137">
            <v>64</v>
          </cell>
          <cell r="X1137">
            <v>76</v>
          </cell>
          <cell r="Y1137">
            <v>61</v>
          </cell>
          <cell r="Z1137">
            <v>0</v>
          </cell>
          <cell r="AA1137">
            <v>11</v>
          </cell>
          <cell r="AB1137">
            <v>0</v>
          </cell>
          <cell r="AC1137">
            <v>11</v>
          </cell>
          <cell r="AD1137">
            <v>15</v>
          </cell>
          <cell r="AE1137">
            <v>18</v>
          </cell>
          <cell r="AF1137">
            <v>0</v>
          </cell>
          <cell r="AG1137">
            <v>11</v>
          </cell>
          <cell r="AH1137">
            <v>0</v>
          </cell>
          <cell r="AI1137">
            <v>11</v>
          </cell>
          <cell r="AJ1137">
            <v>0</v>
          </cell>
          <cell r="AK1137">
            <v>11</v>
          </cell>
          <cell r="AL1137">
            <v>0</v>
          </cell>
          <cell r="AM1137">
            <v>11</v>
          </cell>
          <cell r="AN1137">
            <v>26</v>
          </cell>
          <cell r="AO1137">
            <v>33</v>
          </cell>
          <cell r="AP1137">
            <v>58</v>
          </cell>
          <cell r="AQ1137">
            <v>69</v>
          </cell>
          <cell r="AR1137">
            <v>10</v>
          </cell>
          <cell r="AS1137">
            <v>15</v>
          </cell>
        </row>
        <row r="1138">
          <cell r="B1138">
            <v>17031826100</v>
          </cell>
          <cell r="D1138">
            <v>2912</v>
          </cell>
          <cell r="E1138">
            <v>421</v>
          </cell>
          <cell r="F1138">
            <v>2194</v>
          </cell>
          <cell r="G1138">
            <v>347</v>
          </cell>
          <cell r="H1138">
            <v>2060</v>
          </cell>
          <cell r="I1138">
            <v>358</v>
          </cell>
          <cell r="J1138">
            <v>134</v>
          </cell>
          <cell r="K1138">
            <v>117</v>
          </cell>
          <cell r="L1138">
            <v>103</v>
          </cell>
          <cell r="M1138">
            <v>99</v>
          </cell>
          <cell r="N1138">
            <v>0</v>
          </cell>
          <cell r="O1138">
            <v>15</v>
          </cell>
          <cell r="P1138">
            <v>31</v>
          </cell>
          <cell r="Q1138">
            <v>56</v>
          </cell>
          <cell r="R1138">
            <v>0</v>
          </cell>
          <cell r="S1138">
            <v>15</v>
          </cell>
          <cell r="T1138">
            <v>0</v>
          </cell>
          <cell r="U1138">
            <v>15</v>
          </cell>
          <cell r="V1138">
            <v>546</v>
          </cell>
          <cell r="W1138">
            <v>174</v>
          </cell>
          <cell r="X1138">
            <v>356</v>
          </cell>
          <cell r="Y1138">
            <v>146</v>
          </cell>
          <cell r="Z1138">
            <v>0</v>
          </cell>
          <cell r="AA1138">
            <v>15</v>
          </cell>
          <cell r="AB1138">
            <v>27</v>
          </cell>
          <cell r="AC1138">
            <v>33</v>
          </cell>
          <cell r="AD1138">
            <v>163</v>
          </cell>
          <cell r="AE1138">
            <v>108</v>
          </cell>
          <cell r="AF1138">
            <v>0</v>
          </cell>
          <cell r="AG1138">
            <v>15</v>
          </cell>
          <cell r="AH1138">
            <v>37</v>
          </cell>
          <cell r="AI1138">
            <v>60</v>
          </cell>
          <cell r="AJ1138">
            <v>0</v>
          </cell>
          <cell r="AK1138">
            <v>15</v>
          </cell>
          <cell r="AL1138">
            <v>50</v>
          </cell>
          <cell r="AM1138">
            <v>80</v>
          </cell>
          <cell r="AN1138">
            <v>28</v>
          </cell>
          <cell r="AO1138">
            <v>47</v>
          </cell>
          <cell r="AP1138">
            <v>0</v>
          </cell>
          <cell r="AQ1138">
            <v>15</v>
          </cell>
          <cell r="AR1138">
            <v>57</v>
          </cell>
          <cell r="AS1138">
            <v>56</v>
          </cell>
        </row>
        <row r="1139">
          <cell r="B1139">
            <v>17031826201</v>
          </cell>
          <cell r="D1139">
            <v>1158</v>
          </cell>
          <cell r="E1139">
            <v>227</v>
          </cell>
          <cell r="F1139">
            <v>984</v>
          </cell>
          <cell r="G1139">
            <v>214</v>
          </cell>
          <cell r="H1139">
            <v>874</v>
          </cell>
          <cell r="I1139">
            <v>208</v>
          </cell>
          <cell r="J1139">
            <v>110</v>
          </cell>
          <cell r="K1139">
            <v>75</v>
          </cell>
          <cell r="L1139">
            <v>110</v>
          </cell>
          <cell r="M1139">
            <v>75</v>
          </cell>
          <cell r="N1139">
            <v>0</v>
          </cell>
          <cell r="O1139">
            <v>11</v>
          </cell>
          <cell r="P1139">
            <v>0</v>
          </cell>
          <cell r="Q1139">
            <v>11</v>
          </cell>
          <cell r="R1139">
            <v>0</v>
          </cell>
          <cell r="S1139">
            <v>11</v>
          </cell>
          <cell r="T1139">
            <v>0</v>
          </cell>
          <cell r="U1139">
            <v>11</v>
          </cell>
          <cell r="V1139">
            <v>145</v>
          </cell>
          <cell r="W1139">
            <v>78</v>
          </cell>
          <cell r="X1139">
            <v>56</v>
          </cell>
          <cell r="Y1139">
            <v>46</v>
          </cell>
          <cell r="Z1139">
            <v>0</v>
          </cell>
          <cell r="AA1139">
            <v>11</v>
          </cell>
          <cell r="AB1139">
            <v>24</v>
          </cell>
          <cell r="AC1139">
            <v>27</v>
          </cell>
          <cell r="AD1139">
            <v>65</v>
          </cell>
          <cell r="AE1139">
            <v>45</v>
          </cell>
          <cell r="AF1139">
            <v>0</v>
          </cell>
          <cell r="AG1139">
            <v>11</v>
          </cell>
          <cell r="AH1139">
            <v>0</v>
          </cell>
          <cell r="AI1139">
            <v>11</v>
          </cell>
          <cell r="AJ1139">
            <v>0</v>
          </cell>
          <cell r="AK1139">
            <v>11</v>
          </cell>
          <cell r="AL1139">
            <v>0</v>
          </cell>
          <cell r="AM1139">
            <v>11</v>
          </cell>
          <cell r="AN1139">
            <v>9</v>
          </cell>
          <cell r="AO1139">
            <v>16</v>
          </cell>
          <cell r="AP1139">
            <v>0</v>
          </cell>
          <cell r="AQ1139">
            <v>11</v>
          </cell>
          <cell r="AR1139">
            <v>20</v>
          </cell>
          <cell r="AS1139">
            <v>19</v>
          </cell>
        </row>
        <row r="1140">
          <cell r="B1140">
            <v>17031826202</v>
          </cell>
          <cell r="D1140">
            <v>2545</v>
          </cell>
          <cell r="E1140">
            <v>367</v>
          </cell>
          <cell r="F1140">
            <v>2197</v>
          </cell>
          <cell r="G1140">
            <v>333</v>
          </cell>
          <cell r="H1140">
            <v>1956</v>
          </cell>
          <cell r="I1140">
            <v>317</v>
          </cell>
          <cell r="J1140">
            <v>241</v>
          </cell>
          <cell r="K1140">
            <v>193</v>
          </cell>
          <cell r="L1140">
            <v>241</v>
          </cell>
          <cell r="M1140">
            <v>193</v>
          </cell>
          <cell r="N1140">
            <v>0</v>
          </cell>
          <cell r="O1140">
            <v>15</v>
          </cell>
          <cell r="P1140">
            <v>0</v>
          </cell>
          <cell r="Q1140">
            <v>15</v>
          </cell>
          <cell r="R1140">
            <v>0</v>
          </cell>
          <cell r="S1140">
            <v>15</v>
          </cell>
          <cell r="T1140">
            <v>0</v>
          </cell>
          <cell r="U1140">
            <v>15</v>
          </cell>
          <cell r="V1140">
            <v>223</v>
          </cell>
          <cell r="W1140">
            <v>124</v>
          </cell>
          <cell r="X1140">
            <v>48</v>
          </cell>
          <cell r="Y1140">
            <v>76</v>
          </cell>
          <cell r="Z1140">
            <v>0</v>
          </cell>
          <cell r="AA1140">
            <v>15</v>
          </cell>
          <cell r="AB1140">
            <v>40</v>
          </cell>
          <cell r="AC1140">
            <v>43</v>
          </cell>
          <cell r="AD1140">
            <v>135</v>
          </cell>
          <cell r="AE1140">
            <v>85</v>
          </cell>
          <cell r="AF1140">
            <v>0</v>
          </cell>
          <cell r="AG1140">
            <v>15</v>
          </cell>
          <cell r="AH1140">
            <v>40</v>
          </cell>
          <cell r="AI1140">
            <v>69</v>
          </cell>
          <cell r="AJ1140">
            <v>0</v>
          </cell>
          <cell r="AK1140">
            <v>15</v>
          </cell>
          <cell r="AL1140">
            <v>35</v>
          </cell>
          <cell r="AM1140">
            <v>43</v>
          </cell>
          <cell r="AN1140">
            <v>13</v>
          </cell>
          <cell r="AO1140">
            <v>21</v>
          </cell>
          <cell r="AP1140">
            <v>0</v>
          </cell>
          <cell r="AQ1140">
            <v>15</v>
          </cell>
          <cell r="AR1140">
            <v>37</v>
          </cell>
          <cell r="AS1140">
            <v>40</v>
          </cell>
        </row>
        <row r="1141">
          <cell r="B1141">
            <v>17031826301</v>
          </cell>
          <cell r="D1141">
            <v>1796</v>
          </cell>
          <cell r="E1141">
            <v>301</v>
          </cell>
          <cell r="F1141">
            <v>1432</v>
          </cell>
          <cell r="G1141">
            <v>231</v>
          </cell>
          <cell r="H1141">
            <v>1204</v>
          </cell>
          <cell r="I1141">
            <v>220</v>
          </cell>
          <cell r="J1141">
            <v>228</v>
          </cell>
          <cell r="K1141">
            <v>156</v>
          </cell>
          <cell r="L1141">
            <v>177</v>
          </cell>
          <cell r="M1141">
            <v>150</v>
          </cell>
          <cell r="N1141">
            <v>29</v>
          </cell>
          <cell r="O1141">
            <v>31</v>
          </cell>
          <cell r="P1141">
            <v>14</v>
          </cell>
          <cell r="Q1141">
            <v>22</v>
          </cell>
          <cell r="R1141">
            <v>0</v>
          </cell>
          <cell r="S1141">
            <v>11</v>
          </cell>
          <cell r="T1141">
            <v>8</v>
          </cell>
          <cell r="U1141">
            <v>13</v>
          </cell>
          <cell r="V1141">
            <v>243</v>
          </cell>
          <cell r="W1141">
            <v>99</v>
          </cell>
          <cell r="X1141">
            <v>107</v>
          </cell>
          <cell r="Y1141">
            <v>69</v>
          </cell>
          <cell r="Z1141">
            <v>0</v>
          </cell>
          <cell r="AA1141">
            <v>11</v>
          </cell>
          <cell r="AB1141">
            <v>13</v>
          </cell>
          <cell r="AC1141">
            <v>16</v>
          </cell>
          <cell r="AD1141">
            <v>123</v>
          </cell>
          <cell r="AE1141">
            <v>73</v>
          </cell>
          <cell r="AF1141">
            <v>0</v>
          </cell>
          <cell r="AG1141">
            <v>11</v>
          </cell>
          <cell r="AH1141">
            <v>0</v>
          </cell>
          <cell r="AI1141">
            <v>11</v>
          </cell>
          <cell r="AJ1141">
            <v>0</v>
          </cell>
          <cell r="AK1141">
            <v>11</v>
          </cell>
          <cell r="AL1141">
            <v>0</v>
          </cell>
          <cell r="AM1141">
            <v>11</v>
          </cell>
          <cell r="AN1141">
            <v>10</v>
          </cell>
          <cell r="AO1141">
            <v>15</v>
          </cell>
          <cell r="AP1141">
            <v>44</v>
          </cell>
          <cell r="AQ1141">
            <v>68</v>
          </cell>
          <cell r="AR1141">
            <v>67</v>
          </cell>
          <cell r="AS1141">
            <v>55</v>
          </cell>
        </row>
        <row r="1142">
          <cell r="B1142">
            <v>17031826303</v>
          </cell>
          <cell r="D1142">
            <v>1675</v>
          </cell>
          <cell r="E1142">
            <v>215</v>
          </cell>
          <cell r="F1142">
            <v>1318</v>
          </cell>
          <cell r="G1142">
            <v>194</v>
          </cell>
          <cell r="H1142">
            <v>1135</v>
          </cell>
          <cell r="I1142">
            <v>191</v>
          </cell>
          <cell r="J1142">
            <v>183</v>
          </cell>
          <cell r="K1142">
            <v>108</v>
          </cell>
          <cell r="L1142">
            <v>131</v>
          </cell>
          <cell r="M1142">
            <v>95</v>
          </cell>
          <cell r="N1142">
            <v>52</v>
          </cell>
          <cell r="O1142">
            <v>64</v>
          </cell>
          <cell r="P1142">
            <v>0</v>
          </cell>
          <cell r="Q1142">
            <v>11</v>
          </cell>
          <cell r="R1142">
            <v>0</v>
          </cell>
          <cell r="S1142">
            <v>11</v>
          </cell>
          <cell r="T1142">
            <v>0</v>
          </cell>
          <cell r="U1142">
            <v>11</v>
          </cell>
          <cell r="V1142">
            <v>239</v>
          </cell>
          <cell r="W1142">
            <v>116</v>
          </cell>
          <cell r="X1142">
            <v>147</v>
          </cell>
          <cell r="Y1142">
            <v>79</v>
          </cell>
          <cell r="Z1142">
            <v>0</v>
          </cell>
          <cell r="AA1142">
            <v>11</v>
          </cell>
          <cell r="AB1142">
            <v>19</v>
          </cell>
          <cell r="AC1142">
            <v>22</v>
          </cell>
          <cell r="AD1142">
            <v>73</v>
          </cell>
          <cell r="AE1142">
            <v>53</v>
          </cell>
          <cell r="AF1142">
            <v>0</v>
          </cell>
          <cell r="AG1142">
            <v>11</v>
          </cell>
          <cell r="AH1142">
            <v>0</v>
          </cell>
          <cell r="AI1142">
            <v>11</v>
          </cell>
          <cell r="AJ1142">
            <v>0</v>
          </cell>
          <cell r="AK1142">
            <v>11</v>
          </cell>
          <cell r="AL1142">
            <v>0</v>
          </cell>
          <cell r="AM1142">
            <v>11</v>
          </cell>
          <cell r="AN1142">
            <v>0</v>
          </cell>
          <cell r="AO1142">
            <v>11</v>
          </cell>
          <cell r="AP1142">
            <v>47</v>
          </cell>
          <cell r="AQ1142">
            <v>33</v>
          </cell>
          <cell r="AR1142">
            <v>71</v>
          </cell>
          <cell r="AS1142">
            <v>64</v>
          </cell>
        </row>
        <row r="1143">
          <cell r="B1143">
            <v>17031826304</v>
          </cell>
          <cell r="D1143">
            <v>1147</v>
          </cell>
          <cell r="E1143">
            <v>200</v>
          </cell>
          <cell r="F1143">
            <v>851</v>
          </cell>
          <cell r="G1143">
            <v>157</v>
          </cell>
          <cell r="H1143">
            <v>783</v>
          </cell>
          <cell r="I1143">
            <v>151</v>
          </cell>
          <cell r="J1143">
            <v>68</v>
          </cell>
          <cell r="K1143">
            <v>63</v>
          </cell>
          <cell r="L1143">
            <v>68</v>
          </cell>
          <cell r="M1143">
            <v>63</v>
          </cell>
          <cell r="N1143">
            <v>0</v>
          </cell>
          <cell r="O1143">
            <v>11</v>
          </cell>
          <cell r="P1143">
            <v>0</v>
          </cell>
          <cell r="Q1143">
            <v>11</v>
          </cell>
          <cell r="R1143">
            <v>0</v>
          </cell>
          <cell r="S1143">
            <v>11</v>
          </cell>
          <cell r="T1143">
            <v>0</v>
          </cell>
          <cell r="U1143">
            <v>11</v>
          </cell>
          <cell r="V1143">
            <v>283</v>
          </cell>
          <cell r="W1143">
            <v>102</v>
          </cell>
          <cell r="X1143">
            <v>172</v>
          </cell>
          <cell r="Y1143">
            <v>77</v>
          </cell>
          <cell r="Z1143">
            <v>0</v>
          </cell>
          <cell r="AA1143">
            <v>11</v>
          </cell>
          <cell r="AB1143">
            <v>34</v>
          </cell>
          <cell r="AC1143">
            <v>40</v>
          </cell>
          <cell r="AD1143">
            <v>77</v>
          </cell>
          <cell r="AE1143">
            <v>61</v>
          </cell>
          <cell r="AF1143">
            <v>0</v>
          </cell>
          <cell r="AG1143">
            <v>11</v>
          </cell>
          <cell r="AH1143">
            <v>0</v>
          </cell>
          <cell r="AI1143">
            <v>11</v>
          </cell>
          <cell r="AJ1143">
            <v>0</v>
          </cell>
          <cell r="AK1143">
            <v>11</v>
          </cell>
          <cell r="AL1143">
            <v>0</v>
          </cell>
          <cell r="AM1143">
            <v>11</v>
          </cell>
          <cell r="AN1143">
            <v>0</v>
          </cell>
          <cell r="AO1143">
            <v>11</v>
          </cell>
          <cell r="AP1143">
            <v>0</v>
          </cell>
          <cell r="AQ1143">
            <v>11</v>
          </cell>
          <cell r="AR1143">
            <v>13</v>
          </cell>
          <cell r="AS1143">
            <v>20</v>
          </cell>
        </row>
        <row r="1144">
          <cell r="B1144">
            <v>17031826401</v>
          </cell>
          <cell r="D1144">
            <v>1687</v>
          </cell>
          <cell r="E1144">
            <v>228</v>
          </cell>
          <cell r="F1144">
            <v>1481</v>
          </cell>
          <cell r="G1144">
            <v>211</v>
          </cell>
          <cell r="H1144">
            <v>1322</v>
          </cell>
          <cell r="I1144">
            <v>236</v>
          </cell>
          <cell r="J1144">
            <v>159</v>
          </cell>
          <cell r="K1144">
            <v>97</v>
          </cell>
          <cell r="L1144">
            <v>90</v>
          </cell>
          <cell r="M1144">
            <v>59</v>
          </cell>
          <cell r="N1144">
            <v>69</v>
          </cell>
          <cell r="O1144">
            <v>61</v>
          </cell>
          <cell r="P1144">
            <v>0</v>
          </cell>
          <cell r="Q1144">
            <v>11</v>
          </cell>
          <cell r="R1144">
            <v>0</v>
          </cell>
          <cell r="S1144">
            <v>11</v>
          </cell>
          <cell r="T1144">
            <v>0</v>
          </cell>
          <cell r="U1144">
            <v>11</v>
          </cell>
          <cell r="V1144">
            <v>165</v>
          </cell>
          <cell r="W1144">
            <v>103</v>
          </cell>
          <cell r="X1144">
            <v>141</v>
          </cell>
          <cell r="Y1144">
            <v>101</v>
          </cell>
          <cell r="Z1144">
            <v>0</v>
          </cell>
          <cell r="AA1144">
            <v>11</v>
          </cell>
          <cell r="AB1144">
            <v>7</v>
          </cell>
          <cell r="AC1144">
            <v>11</v>
          </cell>
          <cell r="AD1144">
            <v>17</v>
          </cell>
          <cell r="AE1144">
            <v>19</v>
          </cell>
          <cell r="AF1144">
            <v>0</v>
          </cell>
          <cell r="AG1144">
            <v>11</v>
          </cell>
          <cell r="AH1144">
            <v>0</v>
          </cell>
          <cell r="AI1144">
            <v>11</v>
          </cell>
          <cell r="AJ1144">
            <v>0</v>
          </cell>
          <cell r="AK1144">
            <v>11</v>
          </cell>
          <cell r="AL1144">
            <v>0</v>
          </cell>
          <cell r="AM1144">
            <v>11</v>
          </cell>
          <cell r="AN1144">
            <v>30</v>
          </cell>
          <cell r="AO1144">
            <v>34</v>
          </cell>
          <cell r="AP1144">
            <v>0</v>
          </cell>
          <cell r="AQ1144">
            <v>11</v>
          </cell>
          <cell r="AR1144">
            <v>11</v>
          </cell>
          <cell r="AS1144">
            <v>15</v>
          </cell>
        </row>
        <row r="1145">
          <cell r="B1145">
            <v>17031826402</v>
          </cell>
          <cell r="D1145">
            <v>1973</v>
          </cell>
          <cell r="E1145">
            <v>212</v>
          </cell>
          <cell r="F1145">
            <v>1563</v>
          </cell>
          <cell r="G1145">
            <v>212</v>
          </cell>
          <cell r="H1145">
            <v>1483</v>
          </cell>
          <cell r="I1145">
            <v>211</v>
          </cell>
          <cell r="J1145">
            <v>80</v>
          </cell>
          <cell r="K1145">
            <v>54</v>
          </cell>
          <cell r="L1145">
            <v>64</v>
          </cell>
          <cell r="M1145">
            <v>48</v>
          </cell>
          <cell r="N1145">
            <v>16</v>
          </cell>
          <cell r="O1145">
            <v>19</v>
          </cell>
          <cell r="P1145">
            <v>0</v>
          </cell>
          <cell r="Q1145">
            <v>15</v>
          </cell>
          <cell r="R1145">
            <v>0</v>
          </cell>
          <cell r="S1145">
            <v>15</v>
          </cell>
          <cell r="T1145">
            <v>0</v>
          </cell>
          <cell r="U1145">
            <v>15</v>
          </cell>
          <cell r="V1145">
            <v>338</v>
          </cell>
          <cell r="W1145">
            <v>134</v>
          </cell>
          <cell r="X1145">
            <v>192</v>
          </cell>
          <cell r="Y1145">
            <v>107</v>
          </cell>
          <cell r="Z1145">
            <v>0</v>
          </cell>
          <cell r="AA1145">
            <v>15</v>
          </cell>
          <cell r="AB1145">
            <v>62</v>
          </cell>
          <cell r="AC1145">
            <v>44</v>
          </cell>
          <cell r="AD1145">
            <v>84</v>
          </cell>
          <cell r="AE1145">
            <v>51</v>
          </cell>
          <cell r="AF1145">
            <v>0</v>
          </cell>
          <cell r="AG1145">
            <v>15</v>
          </cell>
          <cell r="AH1145">
            <v>0</v>
          </cell>
          <cell r="AI1145">
            <v>15</v>
          </cell>
          <cell r="AJ1145">
            <v>0</v>
          </cell>
          <cell r="AK1145">
            <v>15</v>
          </cell>
          <cell r="AL1145">
            <v>0</v>
          </cell>
          <cell r="AM1145">
            <v>15</v>
          </cell>
          <cell r="AN1145">
            <v>18</v>
          </cell>
          <cell r="AO1145">
            <v>28</v>
          </cell>
          <cell r="AP1145">
            <v>54</v>
          </cell>
          <cell r="AQ1145">
            <v>39</v>
          </cell>
          <cell r="AR1145">
            <v>0</v>
          </cell>
          <cell r="AS1145">
            <v>15</v>
          </cell>
        </row>
        <row r="1146">
          <cell r="B1146">
            <v>17031826500</v>
          </cell>
          <cell r="D1146">
            <v>2092</v>
          </cell>
          <cell r="E1146">
            <v>292</v>
          </cell>
          <cell r="F1146">
            <v>1649</v>
          </cell>
          <cell r="G1146">
            <v>269</v>
          </cell>
          <cell r="H1146">
            <v>1476</v>
          </cell>
          <cell r="I1146">
            <v>268</v>
          </cell>
          <cell r="J1146">
            <v>173</v>
          </cell>
          <cell r="K1146">
            <v>103</v>
          </cell>
          <cell r="L1146">
            <v>147</v>
          </cell>
          <cell r="M1146">
            <v>94</v>
          </cell>
          <cell r="N1146">
            <v>0</v>
          </cell>
          <cell r="O1146">
            <v>15</v>
          </cell>
          <cell r="P1146">
            <v>3</v>
          </cell>
          <cell r="Q1146">
            <v>6</v>
          </cell>
          <cell r="R1146">
            <v>0</v>
          </cell>
          <cell r="S1146">
            <v>15</v>
          </cell>
          <cell r="T1146">
            <v>23</v>
          </cell>
          <cell r="U1146">
            <v>37</v>
          </cell>
          <cell r="V1146">
            <v>360</v>
          </cell>
          <cell r="W1146">
            <v>122</v>
          </cell>
          <cell r="X1146">
            <v>234</v>
          </cell>
          <cell r="Y1146">
            <v>108</v>
          </cell>
          <cell r="Z1146">
            <v>0</v>
          </cell>
          <cell r="AA1146">
            <v>15</v>
          </cell>
          <cell r="AB1146">
            <v>37</v>
          </cell>
          <cell r="AC1146">
            <v>30</v>
          </cell>
          <cell r="AD1146">
            <v>89</v>
          </cell>
          <cell r="AE1146">
            <v>64</v>
          </cell>
          <cell r="AF1146">
            <v>0</v>
          </cell>
          <cell r="AG1146">
            <v>15</v>
          </cell>
          <cell r="AH1146">
            <v>0</v>
          </cell>
          <cell r="AI1146">
            <v>15</v>
          </cell>
          <cell r="AJ1146">
            <v>0</v>
          </cell>
          <cell r="AK1146">
            <v>15</v>
          </cell>
          <cell r="AL1146">
            <v>0</v>
          </cell>
          <cell r="AM1146">
            <v>15</v>
          </cell>
          <cell r="AN1146">
            <v>27</v>
          </cell>
          <cell r="AO1146">
            <v>31</v>
          </cell>
          <cell r="AP1146">
            <v>47</v>
          </cell>
          <cell r="AQ1146">
            <v>39</v>
          </cell>
          <cell r="AR1146">
            <v>9</v>
          </cell>
          <cell r="AS1146">
            <v>14</v>
          </cell>
        </row>
        <row r="1147">
          <cell r="B1147">
            <v>17031826600</v>
          </cell>
          <cell r="D1147">
            <v>1830</v>
          </cell>
          <cell r="E1147">
            <v>242</v>
          </cell>
          <cell r="F1147">
            <v>1500</v>
          </cell>
          <cell r="G1147">
            <v>199</v>
          </cell>
          <cell r="H1147">
            <v>1133</v>
          </cell>
          <cell r="I1147">
            <v>184</v>
          </cell>
          <cell r="J1147">
            <v>367</v>
          </cell>
          <cell r="K1147">
            <v>143</v>
          </cell>
          <cell r="L1147">
            <v>222</v>
          </cell>
          <cell r="M1147">
            <v>104</v>
          </cell>
          <cell r="N1147">
            <v>56</v>
          </cell>
          <cell r="O1147">
            <v>61</v>
          </cell>
          <cell r="P1147">
            <v>15</v>
          </cell>
          <cell r="Q1147">
            <v>22</v>
          </cell>
          <cell r="R1147">
            <v>13</v>
          </cell>
          <cell r="S1147">
            <v>19</v>
          </cell>
          <cell r="T1147">
            <v>61</v>
          </cell>
          <cell r="U1147">
            <v>58</v>
          </cell>
          <cell r="V1147">
            <v>261</v>
          </cell>
          <cell r="W1147">
            <v>106</v>
          </cell>
          <cell r="X1147">
            <v>131</v>
          </cell>
          <cell r="Y1147">
            <v>84</v>
          </cell>
          <cell r="Z1147">
            <v>0</v>
          </cell>
          <cell r="AA1147">
            <v>15</v>
          </cell>
          <cell r="AB1147">
            <v>36</v>
          </cell>
          <cell r="AC1147">
            <v>26</v>
          </cell>
          <cell r="AD1147">
            <v>67</v>
          </cell>
          <cell r="AE1147">
            <v>48</v>
          </cell>
          <cell r="AF1147">
            <v>27</v>
          </cell>
          <cell r="AG1147">
            <v>43</v>
          </cell>
          <cell r="AH1147">
            <v>0</v>
          </cell>
          <cell r="AI1147">
            <v>15</v>
          </cell>
          <cell r="AJ1147">
            <v>0</v>
          </cell>
          <cell r="AK1147">
            <v>15</v>
          </cell>
          <cell r="AL1147">
            <v>0</v>
          </cell>
          <cell r="AM1147">
            <v>15</v>
          </cell>
          <cell r="AN1147">
            <v>33</v>
          </cell>
          <cell r="AO1147">
            <v>41</v>
          </cell>
          <cell r="AP1147">
            <v>19</v>
          </cell>
          <cell r="AQ1147">
            <v>24</v>
          </cell>
          <cell r="AR1147">
            <v>17</v>
          </cell>
          <cell r="AS1147">
            <v>28</v>
          </cell>
        </row>
        <row r="1148">
          <cell r="B1148">
            <v>17031826700</v>
          </cell>
          <cell r="D1148">
            <v>1965</v>
          </cell>
          <cell r="E1148">
            <v>287</v>
          </cell>
          <cell r="F1148">
            <v>1508</v>
          </cell>
          <cell r="G1148">
            <v>281</v>
          </cell>
          <cell r="H1148">
            <v>1331</v>
          </cell>
          <cell r="I1148">
            <v>261</v>
          </cell>
          <cell r="J1148">
            <v>177</v>
          </cell>
          <cell r="K1148">
            <v>102</v>
          </cell>
          <cell r="L1148">
            <v>111</v>
          </cell>
          <cell r="M1148">
            <v>84</v>
          </cell>
          <cell r="N1148">
            <v>12</v>
          </cell>
          <cell r="O1148">
            <v>20</v>
          </cell>
          <cell r="P1148">
            <v>0</v>
          </cell>
          <cell r="Q1148">
            <v>15</v>
          </cell>
          <cell r="R1148">
            <v>0</v>
          </cell>
          <cell r="S1148">
            <v>15</v>
          </cell>
          <cell r="T1148">
            <v>54</v>
          </cell>
          <cell r="U1148">
            <v>64</v>
          </cell>
          <cell r="V1148">
            <v>338</v>
          </cell>
          <cell r="W1148">
            <v>160</v>
          </cell>
          <cell r="X1148">
            <v>217</v>
          </cell>
          <cell r="Y1148">
            <v>111</v>
          </cell>
          <cell r="Z1148">
            <v>0</v>
          </cell>
          <cell r="AA1148">
            <v>15</v>
          </cell>
          <cell r="AB1148">
            <v>49</v>
          </cell>
          <cell r="AC1148">
            <v>49</v>
          </cell>
          <cell r="AD1148">
            <v>72</v>
          </cell>
          <cell r="AE1148">
            <v>84</v>
          </cell>
          <cell r="AF1148">
            <v>0</v>
          </cell>
          <cell r="AG1148">
            <v>15</v>
          </cell>
          <cell r="AH1148">
            <v>0</v>
          </cell>
          <cell r="AI1148">
            <v>15</v>
          </cell>
          <cell r="AJ1148">
            <v>0</v>
          </cell>
          <cell r="AK1148">
            <v>15</v>
          </cell>
          <cell r="AL1148">
            <v>0</v>
          </cell>
          <cell r="AM1148">
            <v>15</v>
          </cell>
          <cell r="AN1148">
            <v>46</v>
          </cell>
          <cell r="AO1148">
            <v>39</v>
          </cell>
          <cell r="AP1148">
            <v>0</v>
          </cell>
          <cell r="AQ1148">
            <v>15</v>
          </cell>
          <cell r="AR1148">
            <v>73</v>
          </cell>
          <cell r="AS1148">
            <v>67</v>
          </cell>
        </row>
        <row r="1149">
          <cell r="B1149">
            <v>17031826800</v>
          </cell>
          <cell r="D1149">
            <v>1680</v>
          </cell>
          <cell r="E1149">
            <v>209</v>
          </cell>
          <cell r="F1149">
            <v>1553</v>
          </cell>
          <cell r="G1149">
            <v>200</v>
          </cell>
          <cell r="H1149">
            <v>1328</v>
          </cell>
          <cell r="I1149">
            <v>193</v>
          </cell>
          <cell r="J1149">
            <v>225</v>
          </cell>
          <cell r="K1149">
            <v>129</v>
          </cell>
          <cell r="L1149">
            <v>183</v>
          </cell>
          <cell r="M1149">
            <v>131</v>
          </cell>
          <cell r="N1149">
            <v>17</v>
          </cell>
          <cell r="O1149">
            <v>21</v>
          </cell>
          <cell r="P1149">
            <v>0</v>
          </cell>
          <cell r="Q1149">
            <v>15</v>
          </cell>
          <cell r="R1149">
            <v>25</v>
          </cell>
          <cell r="S1149">
            <v>28</v>
          </cell>
          <cell r="T1149">
            <v>0</v>
          </cell>
          <cell r="U1149">
            <v>15</v>
          </cell>
          <cell r="V1149">
            <v>87</v>
          </cell>
          <cell r="W1149">
            <v>73</v>
          </cell>
          <cell r="X1149">
            <v>57</v>
          </cell>
          <cell r="Y1149">
            <v>69</v>
          </cell>
          <cell r="Z1149">
            <v>0</v>
          </cell>
          <cell r="AA1149">
            <v>15</v>
          </cell>
          <cell r="AB1149">
            <v>12</v>
          </cell>
          <cell r="AC1149">
            <v>18</v>
          </cell>
          <cell r="AD1149">
            <v>18</v>
          </cell>
          <cell r="AE1149">
            <v>21</v>
          </cell>
          <cell r="AF1149">
            <v>0</v>
          </cell>
          <cell r="AG1149">
            <v>15</v>
          </cell>
          <cell r="AH1149">
            <v>0</v>
          </cell>
          <cell r="AI1149">
            <v>15</v>
          </cell>
          <cell r="AJ1149">
            <v>0</v>
          </cell>
          <cell r="AK1149">
            <v>15</v>
          </cell>
          <cell r="AL1149">
            <v>0</v>
          </cell>
          <cell r="AM1149">
            <v>15</v>
          </cell>
          <cell r="AN1149">
            <v>0</v>
          </cell>
          <cell r="AO1149">
            <v>15</v>
          </cell>
          <cell r="AP1149">
            <v>5</v>
          </cell>
          <cell r="AQ1149">
            <v>10</v>
          </cell>
          <cell r="AR1149">
            <v>35</v>
          </cell>
          <cell r="AS1149">
            <v>32</v>
          </cell>
        </row>
        <row r="1150">
          <cell r="B1150">
            <v>17031826901</v>
          </cell>
          <cell r="D1150">
            <v>541</v>
          </cell>
          <cell r="E1150">
            <v>152</v>
          </cell>
          <cell r="F1150">
            <v>442</v>
          </cell>
          <cell r="G1150">
            <v>124</v>
          </cell>
          <cell r="H1150">
            <v>442</v>
          </cell>
          <cell r="I1150">
            <v>124</v>
          </cell>
          <cell r="J1150">
            <v>0</v>
          </cell>
          <cell r="K1150">
            <v>11</v>
          </cell>
          <cell r="L1150">
            <v>0</v>
          </cell>
          <cell r="M1150">
            <v>11</v>
          </cell>
          <cell r="N1150">
            <v>0</v>
          </cell>
          <cell r="O1150">
            <v>11</v>
          </cell>
          <cell r="P1150">
            <v>0</v>
          </cell>
          <cell r="Q1150">
            <v>11</v>
          </cell>
          <cell r="R1150">
            <v>0</v>
          </cell>
          <cell r="S1150">
            <v>11</v>
          </cell>
          <cell r="T1150">
            <v>0</v>
          </cell>
          <cell r="U1150">
            <v>11</v>
          </cell>
          <cell r="V1150">
            <v>43</v>
          </cell>
          <cell r="W1150">
            <v>39</v>
          </cell>
          <cell r="X1150">
            <v>20</v>
          </cell>
          <cell r="Y1150">
            <v>26</v>
          </cell>
          <cell r="Z1150">
            <v>0</v>
          </cell>
          <cell r="AA1150">
            <v>11</v>
          </cell>
          <cell r="AB1150">
            <v>11</v>
          </cell>
          <cell r="AC1150">
            <v>20</v>
          </cell>
          <cell r="AD1150">
            <v>12</v>
          </cell>
          <cell r="AE1150">
            <v>19</v>
          </cell>
          <cell r="AF1150">
            <v>0</v>
          </cell>
          <cell r="AG1150">
            <v>11</v>
          </cell>
          <cell r="AH1150">
            <v>0</v>
          </cell>
          <cell r="AI1150">
            <v>11</v>
          </cell>
          <cell r="AJ1150">
            <v>0</v>
          </cell>
          <cell r="AK1150">
            <v>11</v>
          </cell>
          <cell r="AL1150">
            <v>0</v>
          </cell>
          <cell r="AM1150">
            <v>11</v>
          </cell>
          <cell r="AN1150">
            <v>23</v>
          </cell>
          <cell r="AO1150">
            <v>28</v>
          </cell>
          <cell r="AP1150">
            <v>0</v>
          </cell>
          <cell r="AQ1150">
            <v>11</v>
          </cell>
          <cell r="AR1150">
            <v>33</v>
          </cell>
          <cell r="AS1150">
            <v>47</v>
          </cell>
        </row>
        <row r="1151">
          <cell r="B1151">
            <v>17031826902</v>
          </cell>
          <cell r="D1151">
            <v>328</v>
          </cell>
          <cell r="E1151">
            <v>102</v>
          </cell>
          <cell r="F1151">
            <v>260</v>
          </cell>
          <cell r="G1151">
            <v>77</v>
          </cell>
          <cell r="H1151">
            <v>253</v>
          </cell>
          <cell r="I1151">
            <v>76</v>
          </cell>
          <cell r="J1151">
            <v>7</v>
          </cell>
          <cell r="K1151">
            <v>11</v>
          </cell>
          <cell r="L1151">
            <v>7</v>
          </cell>
          <cell r="M1151">
            <v>11</v>
          </cell>
          <cell r="N1151">
            <v>0</v>
          </cell>
          <cell r="O1151">
            <v>11</v>
          </cell>
          <cell r="P1151">
            <v>0</v>
          </cell>
          <cell r="Q1151">
            <v>11</v>
          </cell>
          <cell r="R1151">
            <v>0</v>
          </cell>
          <cell r="S1151">
            <v>11</v>
          </cell>
          <cell r="T1151">
            <v>0</v>
          </cell>
          <cell r="U1151">
            <v>11</v>
          </cell>
          <cell r="V1151">
            <v>61</v>
          </cell>
          <cell r="W1151">
            <v>63</v>
          </cell>
          <cell r="X1151">
            <v>44</v>
          </cell>
          <cell r="Y1151">
            <v>61</v>
          </cell>
          <cell r="Z1151">
            <v>0</v>
          </cell>
          <cell r="AA1151">
            <v>11</v>
          </cell>
          <cell r="AB1151">
            <v>17</v>
          </cell>
          <cell r="AC1151">
            <v>21</v>
          </cell>
          <cell r="AD1151">
            <v>0</v>
          </cell>
          <cell r="AE1151">
            <v>11</v>
          </cell>
          <cell r="AF1151">
            <v>0</v>
          </cell>
          <cell r="AG1151">
            <v>11</v>
          </cell>
          <cell r="AH1151">
            <v>0</v>
          </cell>
          <cell r="AI1151">
            <v>11</v>
          </cell>
          <cell r="AJ1151">
            <v>0</v>
          </cell>
          <cell r="AK1151">
            <v>11</v>
          </cell>
          <cell r="AL1151">
            <v>0</v>
          </cell>
          <cell r="AM1151">
            <v>11</v>
          </cell>
          <cell r="AN1151">
            <v>7</v>
          </cell>
          <cell r="AO1151">
            <v>10</v>
          </cell>
          <cell r="AP1151">
            <v>0</v>
          </cell>
          <cell r="AQ1151">
            <v>11</v>
          </cell>
          <cell r="AR1151">
            <v>0</v>
          </cell>
          <cell r="AS1151">
            <v>11</v>
          </cell>
        </row>
        <row r="1152">
          <cell r="B1152">
            <v>17031827000</v>
          </cell>
          <cell r="D1152">
            <v>1097</v>
          </cell>
          <cell r="E1152">
            <v>199</v>
          </cell>
          <cell r="F1152">
            <v>788</v>
          </cell>
          <cell r="G1152">
            <v>166</v>
          </cell>
          <cell r="H1152">
            <v>764</v>
          </cell>
          <cell r="I1152">
            <v>162</v>
          </cell>
          <cell r="J1152">
            <v>24</v>
          </cell>
          <cell r="K1152">
            <v>31</v>
          </cell>
          <cell r="L1152">
            <v>24</v>
          </cell>
          <cell r="M1152">
            <v>31</v>
          </cell>
          <cell r="N1152">
            <v>0</v>
          </cell>
          <cell r="O1152">
            <v>11</v>
          </cell>
          <cell r="P1152">
            <v>0</v>
          </cell>
          <cell r="Q1152">
            <v>11</v>
          </cell>
          <cell r="R1152">
            <v>0</v>
          </cell>
          <cell r="S1152">
            <v>11</v>
          </cell>
          <cell r="T1152">
            <v>0</v>
          </cell>
          <cell r="U1152">
            <v>11</v>
          </cell>
          <cell r="V1152">
            <v>263</v>
          </cell>
          <cell r="W1152">
            <v>109</v>
          </cell>
          <cell r="X1152">
            <v>185</v>
          </cell>
          <cell r="Y1152">
            <v>96</v>
          </cell>
          <cell r="Z1152">
            <v>0</v>
          </cell>
          <cell r="AA1152">
            <v>11</v>
          </cell>
          <cell r="AB1152">
            <v>0</v>
          </cell>
          <cell r="AC1152">
            <v>11</v>
          </cell>
          <cell r="AD1152">
            <v>78</v>
          </cell>
          <cell r="AE1152">
            <v>65</v>
          </cell>
          <cell r="AF1152">
            <v>0</v>
          </cell>
          <cell r="AG1152">
            <v>11</v>
          </cell>
          <cell r="AH1152">
            <v>0</v>
          </cell>
          <cell r="AI1152">
            <v>11</v>
          </cell>
          <cell r="AJ1152">
            <v>0</v>
          </cell>
          <cell r="AK1152">
            <v>11</v>
          </cell>
          <cell r="AL1152">
            <v>0</v>
          </cell>
          <cell r="AM1152">
            <v>11</v>
          </cell>
          <cell r="AN1152">
            <v>46</v>
          </cell>
          <cell r="AO1152">
            <v>47</v>
          </cell>
          <cell r="AP1152">
            <v>0</v>
          </cell>
          <cell r="AQ1152">
            <v>11</v>
          </cell>
          <cell r="AR1152">
            <v>0</v>
          </cell>
          <cell r="AS1152">
            <v>11</v>
          </cell>
        </row>
        <row r="1153">
          <cell r="B1153">
            <v>17031827100</v>
          </cell>
          <cell r="D1153">
            <v>843</v>
          </cell>
          <cell r="E1153">
            <v>172</v>
          </cell>
          <cell r="F1153">
            <v>675</v>
          </cell>
          <cell r="G1153">
            <v>164</v>
          </cell>
          <cell r="H1153">
            <v>596</v>
          </cell>
          <cell r="I1153">
            <v>154</v>
          </cell>
          <cell r="J1153">
            <v>79</v>
          </cell>
          <cell r="K1153">
            <v>49</v>
          </cell>
          <cell r="L1153">
            <v>50</v>
          </cell>
          <cell r="M1153">
            <v>42</v>
          </cell>
          <cell r="N1153">
            <v>0</v>
          </cell>
          <cell r="O1153">
            <v>11</v>
          </cell>
          <cell r="P1153">
            <v>23</v>
          </cell>
          <cell r="Q1153">
            <v>23</v>
          </cell>
          <cell r="R1153">
            <v>6</v>
          </cell>
          <cell r="S1153">
            <v>10</v>
          </cell>
          <cell r="T1153">
            <v>0</v>
          </cell>
          <cell r="U1153">
            <v>11</v>
          </cell>
          <cell r="V1153">
            <v>129</v>
          </cell>
          <cell r="W1153">
            <v>67</v>
          </cell>
          <cell r="X1153">
            <v>67</v>
          </cell>
          <cell r="Y1153">
            <v>48</v>
          </cell>
          <cell r="Z1153">
            <v>0</v>
          </cell>
          <cell r="AA1153">
            <v>11</v>
          </cell>
          <cell r="AB1153">
            <v>0</v>
          </cell>
          <cell r="AC1153">
            <v>11</v>
          </cell>
          <cell r="AD1153">
            <v>62</v>
          </cell>
          <cell r="AE1153">
            <v>50</v>
          </cell>
          <cell r="AF1153">
            <v>0</v>
          </cell>
          <cell r="AG1153">
            <v>11</v>
          </cell>
          <cell r="AH1153">
            <v>0</v>
          </cell>
          <cell r="AI1153">
            <v>11</v>
          </cell>
          <cell r="AJ1153">
            <v>0</v>
          </cell>
          <cell r="AK1153">
            <v>11</v>
          </cell>
          <cell r="AL1153">
            <v>0</v>
          </cell>
          <cell r="AM1153">
            <v>11</v>
          </cell>
          <cell r="AN1153">
            <v>39</v>
          </cell>
          <cell r="AO1153">
            <v>39</v>
          </cell>
          <cell r="AP1153">
            <v>0</v>
          </cell>
          <cell r="AQ1153">
            <v>11</v>
          </cell>
          <cell r="AR1153">
            <v>0</v>
          </cell>
          <cell r="AS1153">
            <v>11</v>
          </cell>
        </row>
        <row r="1154">
          <cell r="B1154">
            <v>17031827200</v>
          </cell>
          <cell r="D1154">
            <v>1907</v>
          </cell>
          <cell r="E1154">
            <v>321</v>
          </cell>
          <cell r="F1154">
            <v>1677</v>
          </cell>
          <cell r="G1154">
            <v>292</v>
          </cell>
          <cell r="H1154">
            <v>1590</v>
          </cell>
          <cell r="I1154">
            <v>297</v>
          </cell>
          <cell r="J1154">
            <v>87</v>
          </cell>
          <cell r="K1154">
            <v>45</v>
          </cell>
          <cell r="L1154">
            <v>41</v>
          </cell>
          <cell r="M1154">
            <v>31</v>
          </cell>
          <cell r="N1154">
            <v>10</v>
          </cell>
          <cell r="O1154">
            <v>16</v>
          </cell>
          <cell r="P1154">
            <v>14</v>
          </cell>
          <cell r="Q1154">
            <v>16</v>
          </cell>
          <cell r="R1154">
            <v>22</v>
          </cell>
          <cell r="S1154">
            <v>23</v>
          </cell>
          <cell r="T1154">
            <v>0</v>
          </cell>
          <cell r="U1154">
            <v>11</v>
          </cell>
          <cell r="V1154">
            <v>100</v>
          </cell>
          <cell r="W1154">
            <v>72</v>
          </cell>
          <cell r="X1154">
            <v>67</v>
          </cell>
          <cell r="Y1154">
            <v>66</v>
          </cell>
          <cell r="Z1154">
            <v>0</v>
          </cell>
          <cell r="AA1154">
            <v>11</v>
          </cell>
          <cell r="AB1154">
            <v>0</v>
          </cell>
          <cell r="AC1154">
            <v>11</v>
          </cell>
          <cell r="AD1154">
            <v>33</v>
          </cell>
          <cell r="AE1154">
            <v>30</v>
          </cell>
          <cell r="AF1154">
            <v>0</v>
          </cell>
          <cell r="AG1154">
            <v>11</v>
          </cell>
          <cell r="AH1154">
            <v>0</v>
          </cell>
          <cell r="AI1154">
            <v>11</v>
          </cell>
          <cell r="AJ1154">
            <v>0</v>
          </cell>
          <cell r="AK1154">
            <v>11</v>
          </cell>
          <cell r="AL1154">
            <v>0</v>
          </cell>
          <cell r="AM1154">
            <v>11</v>
          </cell>
          <cell r="AN1154">
            <v>21</v>
          </cell>
          <cell r="AO1154">
            <v>19</v>
          </cell>
          <cell r="AP1154">
            <v>22</v>
          </cell>
          <cell r="AQ1154">
            <v>32</v>
          </cell>
          <cell r="AR1154">
            <v>87</v>
          </cell>
          <cell r="AS1154">
            <v>48</v>
          </cell>
        </row>
        <row r="1155">
          <cell r="B1155">
            <v>17031827300</v>
          </cell>
          <cell r="D1155">
            <v>830</v>
          </cell>
          <cell r="E1155">
            <v>222</v>
          </cell>
          <cell r="F1155">
            <v>627</v>
          </cell>
          <cell r="G1155">
            <v>199</v>
          </cell>
          <cell r="H1155">
            <v>586</v>
          </cell>
          <cell r="I1155">
            <v>197</v>
          </cell>
          <cell r="J1155">
            <v>41</v>
          </cell>
          <cell r="K1155">
            <v>40</v>
          </cell>
          <cell r="L1155">
            <v>20</v>
          </cell>
          <cell r="M1155">
            <v>22</v>
          </cell>
          <cell r="N1155">
            <v>0</v>
          </cell>
          <cell r="O1155">
            <v>11</v>
          </cell>
          <cell r="P1155">
            <v>0</v>
          </cell>
          <cell r="Q1155">
            <v>11</v>
          </cell>
          <cell r="R1155">
            <v>21</v>
          </cell>
          <cell r="S1155">
            <v>33</v>
          </cell>
          <cell r="T1155">
            <v>0</v>
          </cell>
          <cell r="U1155">
            <v>11</v>
          </cell>
          <cell r="V1155">
            <v>125</v>
          </cell>
          <cell r="W1155">
            <v>70</v>
          </cell>
          <cell r="X1155">
            <v>89</v>
          </cell>
          <cell r="Y1155">
            <v>59</v>
          </cell>
          <cell r="Z1155">
            <v>0</v>
          </cell>
          <cell r="AA1155">
            <v>11</v>
          </cell>
          <cell r="AB1155">
            <v>19</v>
          </cell>
          <cell r="AC1155">
            <v>20</v>
          </cell>
          <cell r="AD1155">
            <v>17</v>
          </cell>
          <cell r="AE1155">
            <v>19</v>
          </cell>
          <cell r="AF1155">
            <v>0</v>
          </cell>
          <cell r="AG1155">
            <v>11</v>
          </cell>
          <cell r="AH1155">
            <v>0</v>
          </cell>
          <cell r="AI1155">
            <v>11</v>
          </cell>
          <cell r="AJ1155">
            <v>0</v>
          </cell>
          <cell r="AK1155">
            <v>11</v>
          </cell>
          <cell r="AL1155">
            <v>0</v>
          </cell>
          <cell r="AM1155">
            <v>11</v>
          </cell>
          <cell r="AN1155">
            <v>48</v>
          </cell>
          <cell r="AO1155">
            <v>47</v>
          </cell>
          <cell r="AP1155">
            <v>0</v>
          </cell>
          <cell r="AQ1155">
            <v>11</v>
          </cell>
          <cell r="AR1155">
            <v>30</v>
          </cell>
          <cell r="AS1155">
            <v>32</v>
          </cell>
        </row>
        <row r="1156">
          <cell r="B1156">
            <v>17031827400</v>
          </cell>
          <cell r="D1156">
            <v>1474</v>
          </cell>
          <cell r="E1156">
            <v>371</v>
          </cell>
          <cell r="F1156">
            <v>1246</v>
          </cell>
          <cell r="G1156">
            <v>305</v>
          </cell>
          <cell r="H1156">
            <v>1157</v>
          </cell>
          <cell r="I1156">
            <v>307</v>
          </cell>
          <cell r="J1156">
            <v>89</v>
          </cell>
          <cell r="K1156">
            <v>77</v>
          </cell>
          <cell r="L1156">
            <v>89</v>
          </cell>
          <cell r="M1156">
            <v>77</v>
          </cell>
          <cell r="N1156">
            <v>0</v>
          </cell>
          <cell r="O1156">
            <v>11</v>
          </cell>
          <cell r="P1156">
            <v>0</v>
          </cell>
          <cell r="Q1156">
            <v>11</v>
          </cell>
          <cell r="R1156">
            <v>0</v>
          </cell>
          <cell r="S1156">
            <v>11</v>
          </cell>
          <cell r="T1156">
            <v>0</v>
          </cell>
          <cell r="U1156">
            <v>11</v>
          </cell>
          <cell r="V1156">
            <v>163</v>
          </cell>
          <cell r="W1156">
            <v>101</v>
          </cell>
          <cell r="X1156">
            <v>99</v>
          </cell>
          <cell r="Y1156">
            <v>77</v>
          </cell>
          <cell r="Z1156">
            <v>0</v>
          </cell>
          <cell r="AA1156">
            <v>11</v>
          </cell>
          <cell r="AB1156">
            <v>12</v>
          </cell>
          <cell r="AC1156">
            <v>20</v>
          </cell>
          <cell r="AD1156">
            <v>52</v>
          </cell>
          <cell r="AE1156">
            <v>59</v>
          </cell>
          <cell r="AF1156">
            <v>0</v>
          </cell>
          <cell r="AG1156">
            <v>11</v>
          </cell>
          <cell r="AH1156">
            <v>0</v>
          </cell>
          <cell r="AI1156">
            <v>11</v>
          </cell>
          <cell r="AJ1156">
            <v>0</v>
          </cell>
          <cell r="AK1156">
            <v>11</v>
          </cell>
          <cell r="AL1156">
            <v>0</v>
          </cell>
          <cell r="AM1156">
            <v>11</v>
          </cell>
          <cell r="AN1156">
            <v>11</v>
          </cell>
          <cell r="AO1156">
            <v>17</v>
          </cell>
          <cell r="AP1156">
            <v>0</v>
          </cell>
          <cell r="AQ1156">
            <v>11</v>
          </cell>
          <cell r="AR1156">
            <v>54</v>
          </cell>
          <cell r="AS1156">
            <v>61</v>
          </cell>
        </row>
        <row r="1157">
          <cell r="B1157">
            <v>17031827500</v>
          </cell>
          <cell r="D1157">
            <v>1643</v>
          </cell>
          <cell r="E1157">
            <v>286</v>
          </cell>
          <cell r="F1157">
            <v>1377</v>
          </cell>
          <cell r="G1157">
            <v>226</v>
          </cell>
          <cell r="H1157">
            <v>1304</v>
          </cell>
          <cell r="I1157">
            <v>215</v>
          </cell>
          <cell r="J1157">
            <v>73</v>
          </cell>
          <cell r="K1157">
            <v>58</v>
          </cell>
          <cell r="L1157">
            <v>73</v>
          </cell>
          <cell r="M1157">
            <v>58</v>
          </cell>
          <cell r="N1157">
            <v>0</v>
          </cell>
          <cell r="O1157">
            <v>15</v>
          </cell>
          <cell r="P1157">
            <v>0</v>
          </cell>
          <cell r="Q1157">
            <v>15</v>
          </cell>
          <cell r="R1157">
            <v>0</v>
          </cell>
          <cell r="S1157">
            <v>15</v>
          </cell>
          <cell r="T1157">
            <v>0</v>
          </cell>
          <cell r="U1157">
            <v>15</v>
          </cell>
          <cell r="V1157">
            <v>71</v>
          </cell>
          <cell r="W1157">
            <v>54</v>
          </cell>
          <cell r="X1157">
            <v>53</v>
          </cell>
          <cell r="Y1157">
            <v>47</v>
          </cell>
          <cell r="Z1157">
            <v>0</v>
          </cell>
          <cell r="AA1157">
            <v>15</v>
          </cell>
          <cell r="AB1157">
            <v>0</v>
          </cell>
          <cell r="AC1157">
            <v>15</v>
          </cell>
          <cell r="AD1157">
            <v>18</v>
          </cell>
          <cell r="AE1157">
            <v>27</v>
          </cell>
          <cell r="AF1157">
            <v>0</v>
          </cell>
          <cell r="AG1157">
            <v>15</v>
          </cell>
          <cell r="AH1157">
            <v>0</v>
          </cell>
          <cell r="AI1157">
            <v>15</v>
          </cell>
          <cell r="AJ1157">
            <v>0</v>
          </cell>
          <cell r="AK1157">
            <v>15</v>
          </cell>
          <cell r="AL1157">
            <v>33</v>
          </cell>
          <cell r="AM1157">
            <v>54</v>
          </cell>
          <cell r="AN1157">
            <v>2</v>
          </cell>
          <cell r="AO1157">
            <v>4</v>
          </cell>
          <cell r="AP1157">
            <v>94</v>
          </cell>
          <cell r="AQ1157">
            <v>104</v>
          </cell>
          <cell r="AR1157">
            <v>66</v>
          </cell>
          <cell r="AS1157">
            <v>56</v>
          </cell>
        </row>
        <row r="1158">
          <cell r="B1158">
            <v>17031827600</v>
          </cell>
          <cell r="D1158">
            <v>954</v>
          </cell>
          <cell r="E1158">
            <v>179</v>
          </cell>
          <cell r="F1158">
            <v>774</v>
          </cell>
          <cell r="G1158">
            <v>168</v>
          </cell>
          <cell r="H1158">
            <v>694</v>
          </cell>
          <cell r="I1158">
            <v>164</v>
          </cell>
          <cell r="J1158">
            <v>80</v>
          </cell>
          <cell r="K1158">
            <v>71</v>
          </cell>
          <cell r="L1158">
            <v>39</v>
          </cell>
          <cell r="M1158">
            <v>49</v>
          </cell>
          <cell r="N1158">
            <v>41</v>
          </cell>
          <cell r="O1158">
            <v>45</v>
          </cell>
          <cell r="P1158">
            <v>0</v>
          </cell>
          <cell r="Q1158">
            <v>11</v>
          </cell>
          <cell r="R1158">
            <v>0</v>
          </cell>
          <cell r="S1158">
            <v>11</v>
          </cell>
          <cell r="T1158">
            <v>0</v>
          </cell>
          <cell r="U1158">
            <v>11</v>
          </cell>
          <cell r="V1158">
            <v>163</v>
          </cell>
          <cell r="W1158">
            <v>98</v>
          </cell>
          <cell r="X1158">
            <v>23</v>
          </cell>
          <cell r="Y1158">
            <v>28</v>
          </cell>
          <cell r="Z1158">
            <v>0</v>
          </cell>
          <cell r="AA1158">
            <v>11</v>
          </cell>
          <cell r="AB1158">
            <v>80</v>
          </cell>
          <cell r="AC1158">
            <v>88</v>
          </cell>
          <cell r="AD1158">
            <v>60</v>
          </cell>
          <cell r="AE1158">
            <v>50</v>
          </cell>
          <cell r="AF1158">
            <v>0</v>
          </cell>
          <cell r="AG1158">
            <v>11</v>
          </cell>
          <cell r="AH1158">
            <v>0</v>
          </cell>
          <cell r="AI1158">
            <v>11</v>
          </cell>
          <cell r="AJ1158">
            <v>0</v>
          </cell>
          <cell r="AK1158">
            <v>11</v>
          </cell>
          <cell r="AL1158">
            <v>0</v>
          </cell>
          <cell r="AM1158">
            <v>11</v>
          </cell>
          <cell r="AN1158">
            <v>0</v>
          </cell>
          <cell r="AO1158">
            <v>11</v>
          </cell>
          <cell r="AP1158">
            <v>6</v>
          </cell>
          <cell r="AQ1158">
            <v>16</v>
          </cell>
          <cell r="AR1158">
            <v>11</v>
          </cell>
          <cell r="AS1158">
            <v>16</v>
          </cell>
        </row>
        <row r="1159">
          <cell r="B1159">
            <v>17031827700</v>
          </cell>
          <cell r="D1159">
            <v>1000</v>
          </cell>
          <cell r="E1159">
            <v>136</v>
          </cell>
          <cell r="F1159">
            <v>871</v>
          </cell>
          <cell r="G1159">
            <v>120</v>
          </cell>
          <cell r="H1159">
            <v>811</v>
          </cell>
          <cell r="I1159">
            <v>129</v>
          </cell>
          <cell r="J1159">
            <v>60</v>
          </cell>
          <cell r="K1159">
            <v>43</v>
          </cell>
          <cell r="L1159">
            <v>53</v>
          </cell>
          <cell r="M1159">
            <v>42</v>
          </cell>
          <cell r="N1159">
            <v>0</v>
          </cell>
          <cell r="O1159">
            <v>11</v>
          </cell>
          <cell r="P1159">
            <v>7</v>
          </cell>
          <cell r="Q1159">
            <v>9</v>
          </cell>
          <cell r="R1159">
            <v>0</v>
          </cell>
          <cell r="S1159">
            <v>11</v>
          </cell>
          <cell r="T1159">
            <v>0</v>
          </cell>
          <cell r="U1159">
            <v>11</v>
          </cell>
          <cell r="V1159">
            <v>95</v>
          </cell>
          <cell r="W1159">
            <v>49</v>
          </cell>
          <cell r="X1159">
            <v>10</v>
          </cell>
          <cell r="Y1159">
            <v>14</v>
          </cell>
          <cell r="Z1159">
            <v>0</v>
          </cell>
          <cell r="AA1159">
            <v>11</v>
          </cell>
          <cell r="AB1159">
            <v>34</v>
          </cell>
          <cell r="AC1159">
            <v>26</v>
          </cell>
          <cell r="AD1159">
            <v>51</v>
          </cell>
          <cell r="AE1159">
            <v>38</v>
          </cell>
          <cell r="AF1159">
            <v>0</v>
          </cell>
          <cell r="AG1159">
            <v>11</v>
          </cell>
          <cell r="AH1159">
            <v>0</v>
          </cell>
          <cell r="AI1159">
            <v>11</v>
          </cell>
          <cell r="AJ1159">
            <v>0</v>
          </cell>
          <cell r="AK1159">
            <v>11</v>
          </cell>
          <cell r="AL1159">
            <v>0</v>
          </cell>
          <cell r="AM1159">
            <v>11</v>
          </cell>
          <cell r="AN1159">
            <v>6</v>
          </cell>
          <cell r="AO1159">
            <v>10</v>
          </cell>
          <cell r="AP1159">
            <v>22</v>
          </cell>
          <cell r="AQ1159">
            <v>27</v>
          </cell>
          <cell r="AR1159">
            <v>6</v>
          </cell>
          <cell r="AS1159">
            <v>9</v>
          </cell>
        </row>
        <row r="1160">
          <cell r="B1160">
            <v>17031827801</v>
          </cell>
          <cell r="D1160">
            <v>2105</v>
          </cell>
          <cell r="E1160">
            <v>257</v>
          </cell>
          <cell r="F1160">
            <v>1766</v>
          </cell>
          <cell r="G1160">
            <v>229</v>
          </cell>
          <cell r="H1160">
            <v>1585</v>
          </cell>
          <cell r="I1160">
            <v>252</v>
          </cell>
          <cell r="J1160">
            <v>181</v>
          </cell>
          <cell r="K1160">
            <v>95</v>
          </cell>
          <cell r="L1160">
            <v>124</v>
          </cell>
          <cell r="M1160">
            <v>81</v>
          </cell>
          <cell r="N1160">
            <v>57</v>
          </cell>
          <cell r="O1160">
            <v>62</v>
          </cell>
          <cell r="P1160">
            <v>0</v>
          </cell>
          <cell r="Q1160">
            <v>15</v>
          </cell>
          <cell r="R1160">
            <v>0</v>
          </cell>
          <cell r="S1160">
            <v>15</v>
          </cell>
          <cell r="T1160">
            <v>0</v>
          </cell>
          <cell r="U1160">
            <v>15</v>
          </cell>
          <cell r="V1160">
            <v>277</v>
          </cell>
          <cell r="W1160">
            <v>113</v>
          </cell>
          <cell r="X1160">
            <v>82</v>
          </cell>
          <cell r="Y1160">
            <v>77</v>
          </cell>
          <cell r="Z1160">
            <v>0</v>
          </cell>
          <cell r="AA1160">
            <v>15</v>
          </cell>
          <cell r="AB1160">
            <v>59</v>
          </cell>
          <cell r="AC1160">
            <v>55</v>
          </cell>
          <cell r="AD1160">
            <v>136</v>
          </cell>
          <cell r="AE1160">
            <v>62</v>
          </cell>
          <cell r="AF1160">
            <v>0</v>
          </cell>
          <cell r="AG1160">
            <v>15</v>
          </cell>
          <cell r="AH1160">
            <v>0</v>
          </cell>
          <cell r="AI1160">
            <v>15</v>
          </cell>
          <cell r="AJ1160">
            <v>0</v>
          </cell>
          <cell r="AK1160">
            <v>15</v>
          </cell>
          <cell r="AL1160">
            <v>0</v>
          </cell>
          <cell r="AM1160">
            <v>15</v>
          </cell>
          <cell r="AN1160">
            <v>0</v>
          </cell>
          <cell r="AO1160">
            <v>15</v>
          </cell>
          <cell r="AP1160">
            <v>20</v>
          </cell>
          <cell r="AQ1160">
            <v>24</v>
          </cell>
          <cell r="AR1160">
            <v>42</v>
          </cell>
          <cell r="AS1160">
            <v>41</v>
          </cell>
        </row>
        <row r="1161">
          <cell r="B1161">
            <v>17031827802</v>
          </cell>
          <cell r="D1161">
            <v>1541</v>
          </cell>
          <cell r="E1161">
            <v>218</v>
          </cell>
          <cell r="F1161">
            <v>1354</v>
          </cell>
          <cell r="G1161">
            <v>224</v>
          </cell>
          <cell r="H1161">
            <v>1152</v>
          </cell>
          <cell r="I1161">
            <v>260</v>
          </cell>
          <cell r="J1161">
            <v>202</v>
          </cell>
          <cell r="K1161">
            <v>127</v>
          </cell>
          <cell r="L1161">
            <v>130</v>
          </cell>
          <cell r="M1161">
            <v>80</v>
          </cell>
          <cell r="N1161">
            <v>72</v>
          </cell>
          <cell r="O1161">
            <v>78</v>
          </cell>
          <cell r="P1161">
            <v>0</v>
          </cell>
          <cell r="Q1161">
            <v>11</v>
          </cell>
          <cell r="R1161">
            <v>0</v>
          </cell>
          <cell r="S1161">
            <v>11</v>
          </cell>
          <cell r="T1161">
            <v>0</v>
          </cell>
          <cell r="U1161">
            <v>11</v>
          </cell>
          <cell r="V1161">
            <v>131</v>
          </cell>
          <cell r="W1161">
            <v>93</v>
          </cell>
          <cell r="X1161">
            <v>91</v>
          </cell>
          <cell r="Y1161">
            <v>75</v>
          </cell>
          <cell r="Z1161">
            <v>0</v>
          </cell>
          <cell r="AA1161">
            <v>11</v>
          </cell>
          <cell r="AB1161">
            <v>31</v>
          </cell>
          <cell r="AC1161">
            <v>37</v>
          </cell>
          <cell r="AD1161">
            <v>9</v>
          </cell>
          <cell r="AE1161">
            <v>15</v>
          </cell>
          <cell r="AF1161">
            <v>0</v>
          </cell>
          <cell r="AG1161">
            <v>11</v>
          </cell>
          <cell r="AH1161">
            <v>0</v>
          </cell>
          <cell r="AI1161">
            <v>11</v>
          </cell>
          <cell r="AJ1161">
            <v>0</v>
          </cell>
          <cell r="AK1161">
            <v>11</v>
          </cell>
          <cell r="AL1161">
            <v>0</v>
          </cell>
          <cell r="AM1161">
            <v>11</v>
          </cell>
          <cell r="AN1161">
            <v>17</v>
          </cell>
          <cell r="AO1161">
            <v>24</v>
          </cell>
          <cell r="AP1161">
            <v>21</v>
          </cell>
          <cell r="AQ1161">
            <v>26</v>
          </cell>
          <cell r="AR1161">
            <v>18</v>
          </cell>
          <cell r="AS1161">
            <v>19</v>
          </cell>
        </row>
        <row r="1162">
          <cell r="B1162">
            <v>17031827804</v>
          </cell>
          <cell r="D1162">
            <v>1553</v>
          </cell>
          <cell r="E1162">
            <v>202</v>
          </cell>
          <cell r="F1162">
            <v>1263</v>
          </cell>
          <cell r="G1162">
            <v>192</v>
          </cell>
          <cell r="H1162">
            <v>1075</v>
          </cell>
          <cell r="I1162">
            <v>191</v>
          </cell>
          <cell r="J1162">
            <v>188</v>
          </cell>
          <cell r="K1162">
            <v>79</v>
          </cell>
          <cell r="L1162">
            <v>154</v>
          </cell>
          <cell r="M1162">
            <v>76</v>
          </cell>
          <cell r="N1162">
            <v>24</v>
          </cell>
          <cell r="O1162">
            <v>36</v>
          </cell>
          <cell r="P1162">
            <v>10</v>
          </cell>
          <cell r="Q1162">
            <v>17</v>
          </cell>
          <cell r="R1162">
            <v>0</v>
          </cell>
          <cell r="S1162">
            <v>11</v>
          </cell>
          <cell r="T1162">
            <v>0</v>
          </cell>
          <cell r="U1162">
            <v>11</v>
          </cell>
          <cell r="V1162">
            <v>137</v>
          </cell>
          <cell r="W1162">
            <v>76</v>
          </cell>
          <cell r="X1162">
            <v>9</v>
          </cell>
          <cell r="Y1162">
            <v>14</v>
          </cell>
          <cell r="Z1162">
            <v>0</v>
          </cell>
          <cell r="AA1162">
            <v>11</v>
          </cell>
          <cell r="AB1162">
            <v>59</v>
          </cell>
          <cell r="AC1162">
            <v>35</v>
          </cell>
          <cell r="AD1162">
            <v>69</v>
          </cell>
          <cell r="AE1162">
            <v>63</v>
          </cell>
          <cell r="AF1162">
            <v>0</v>
          </cell>
          <cell r="AG1162">
            <v>11</v>
          </cell>
          <cell r="AH1162">
            <v>0</v>
          </cell>
          <cell r="AI1162">
            <v>11</v>
          </cell>
          <cell r="AJ1162">
            <v>0</v>
          </cell>
          <cell r="AK1162">
            <v>11</v>
          </cell>
          <cell r="AL1162">
            <v>0</v>
          </cell>
          <cell r="AM1162">
            <v>11</v>
          </cell>
          <cell r="AN1162">
            <v>11</v>
          </cell>
          <cell r="AO1162">
            <v>18</v>
          </cell>
          <cell r="AP1162">
            <v>50</v>
          </cell>
          <cell r="AQ1162">
            <v>55</v>
          </cell>
          <cell r="AR1162">
            <v>92</v>
          </cell>
          <cell r="AS1162">
            <v>59</v>
          </cell>
        </row>
        <row r="1163">
          <cell r="B1163">
            <v>17031827805</v>
          </cell>
          <cell r="D1163">
            <v>1198</v>
          </cell>
          <cell r="E1163">
            <v>180</v>
          </cell>
          <cell r="F1163">
            <v>945</v>
          </cell>
          <cell r="G1163">
            <v>154</v>
          </cell>
          <cell r="H1163">
            <v>876</v>
          </cell>
          <cell r="I1163">
            <v>142</v>
          </cell>
          <cell r="J1163">
            <v>69</v>
          </cell>
          <cell r="K1163">
            <v>38</v>
          </cell>
          <cell r="L1163">
            <v>48</v>
          </cell>
          <cell r="M1163">
            <v>31</v>
          </cell>
          <cell r="N1163">
            <v>17</v>
          </cell>
          <cell r="O1163">
            <v>20</v>
          </cell>
          <cell r="P1163">
            <v>0</v>
          </cell>
          <cell r="Q1163">
            <v>11</v>
          </cell>
          <cell r="R1163">
            <v>0</v>
          </cell>
          <cell r="S1163">
            <v>11</v>
          </cell>
          <cell r="T1163">
            <v>4</v>
          </cell>
          <cell r="U1163">
            <v>9</v>
          </cell>
          <cell r="V1163">
            <v>189</v>
          </cell>
          <cell r="W1163">
            <v>58</v>
          </cell>
          <cell r="X1163">
            <v>51</v>
          </cell>
          <cell r="Y1163">
            <v>43</v>
          </cell>
          <cell r="Z1163">
            <v>0</v>
          </cell>
          <cell r="AA1163">
            <v>11</v>
          </cell>
          <cell r="AB1163">
            <v>43</v>
          </cell>
          <cell r="AC1163">
            <v>42</v>
          </cell>
          <cell r="AD1163">
            <v>95</v>
          </cell>
          <cell r="AE1163">
            <v>55</v>
          </cell>
          <cell r="AF1163">
            <v>0</v>
          </cell>
          <cell r="AG1163">
            <v>11</v>
          </cell>
          <cell r="AH1163">
            <v>0</v>
          </cell>
          <cell r="AI1163">
            <v>11</v>
          </cell>
          <cell r="AJ1163">
            <v>0</v>
          </cell>
          <cell r="AK1163">
            <v>11</v>
          </cell>
          <cell r="AL1163">
            <v>0</v>
          </cell>
          <cell r="AM1163">
            <v>11</v>
          </cell>
          <cell r="AN1163">
            <v>9</v>
          </cell>
          <cell r="AO1163">
            <v>14</v>
          </cell>
          <cell r="AP1163">
            <v>0</v>
          </cell>
          <cell r="AQ1163">
            <v>11</v>
          </cell>
          <cell r="AR1163">
            <v>55</v>
          </cell>
          <cell r="AS1163">
            <v>38</v>
          </cell>
        </row>
        <row r="1164">
          <cell r="B1164">
            <v>17031827901</v>
          </cell>
          <cell r="D1164">
            <v>1217</v>
          </cell>
          <cell r="E1164">
            <v>237</v>
          </cell>
          <cell r="F1164">
            <v>1062</v>
          </cell>
          <cell r="G1164">
            <v>228</v>
          </cell>
          <cell r="H1164">
            <v>909</v>
          </cell>
          <cell r="I1164">
            <v>158</v>
          </cell>
          <cell r="J1164">
            <v>153</v>
          </cell>
          <cell r="K1164">
            <v>119</v>
          </cell>
          <cell r="L1164">
            <v>151</v>
          </cell>
          <cell r="M1164">
            <v>119</v>
          </cell>
          <cell r="N1164">
            <v>0</v>
          </cell>
          <cell r="O1164">
            <v>11</v>
          </cell>
          <cell r="P1164">
            <v>0</v>
          </cell>
          <cell r="Q1164">
            <v>11</v>
          </cell>
          <cell r="R1164">
            <v>2</v>
          </cell>
          <cell r="S1164">
            <v>4</v>
          </cell>
          <cell r="T1164">
            <v>0</v>
          </cell>
          <cell r="U1164">
            <v>11</v>
          </cell>
          <cell r="V1164">
            <v>85</v>
          </cell>
          <cell r="W1164">
            <v>72</v>
          </cell>
          <cell r="X1164">
            <v>36</v>
          </cell>
          <cell r="Y1164">
            <v>52</v>
          </cell>
          <cell r="Z1164">
            <v>0</v>
          </cell>
          <cell r="AA1164">
            <v>11</v>
          </cell>
          <cell r="AB1164">
            <v>32</v>
          </cell>
          <cell r="AC1164">
            <v>41</v>
          </cell>
          <cell r="AD1164">
            <v>17</v>
          </cell>
          <cell r="AE1164">
            <v>17</v>
          </cell>
          <cell r="AF1164">
            <v>0</v>
          </cell>
          <cell r="AG1164">
            <v>11</v>
          </cell>
          <cell r="AH1164">
            <v>0</v>
          </cell>
          <cell r="AI1164">
            <v>11</v>
          </cell>
          <cell r="AJ1164">
            <v>0</v>
          </cell>
          <cell r="AK1164">
            <v>11</v>
          </cell>
          <cell r="AL1164">
            <v>0</v>
          </cell>
          <cell r="AM1164">
            <v>11</v>
          </cell>
          <cell r="AN1164">
            <v>0</v>
          </cell>
          <cell r="AO1164">
            <v>11</v>
          </cell>
          <cell r="AP1164">
            <v>6</v>
          </cell>
          <cell r="AQ1164">
            <v>9</v>
          </cell>
          <cell r="AR1164">
            <v>64</v>
          </cell>
          <cell r="AS1164">
            <v>40</v>
          </cell>
        </row>
        <row r="1165">
          <cell r="B1165">
            <v>17031827902</v>
          </cell>
          <cell r="D1165">
            <v>2132</v>
          </cell>
          <cell r="E1165">
            <v>303</v>
          </cell>
          <cell r="F1165">
            <v>1962</v>
          </cell>
          <cell r="G1165">
            <v>276</v>
          </cell>
          <cell r="H1165">
            <v>1776</v>
          </cell>
          <cell r="I1165">
            <v>269</v>
          </cell>
          <cell r="J1165">
            <v>186</v>
          </cell>
          <cell r="K1165">
            <v>83</v>
          </cell>
          <cell r="L1165">
            <v>175</v>
          </cell>
          <cell r="M1165">
            <v>81</v>
          </cell>
          <cell r="N1165">
            <v>0</v>
          </cell>
          <cell r="O1165">
            <v>11</v>
          </cell>
          <cell r="P1165">
            <v>0</v>
          </cell>
          <cell r="Q1165">
            <v>11</v>
          </cell>
          <cell r="R1165">
            <v>0</v>
          </cell>
          <cell r="S1165">
            <v>11</v>
          </cell>
          <cell r="T1165">
            <v>11</v>
          </cell>
          <cell r="U1165">
            <v>17</v>
          </cell>
          <cell r="V1165">
            <v>86</v>
          </cell>
          <cell r="W1165">
            <v>53</v>
          </cell>
          <cell r="X1165">
            <v>21</v>
          </cell>
          <cell r="Y1165">
            <v>32</v>
          </cell>
          <cell r="Z1165">
            <v>0</v>
          </cell>
          <cell r="AA1165">
            <v>11</v>
          </cell>
          <cell r="AB1165">
            <v>0</v>
          </cell>
          <cell r="AC1165">
            <v>11</v>
          </cell>
          <cell r="AD1165">
            <v>65</v>
          </cell>
          <cell r="AE1165">
            <v>42</v>
          </cell>
          <cell r="AF1165">
            <v>0</v>
          </cell>
          <cell r="AG1165">
            <v>11</v>
          </cell>
          <cell r="AH1165">
            <v>7</v>
          </cell>
          <cell r="AI1165">
            <v>12</v>
          </cell>
          <cell r="AJ1165">
            <v>0</v>
          </cell>
          <cell r="AK1165">
            <v>11</v>
          </cell>
          <cell r="AL1165">
            <v>0</v>
          </cell>
          <cell r="AM1165">
            <v>11</v>
          </cell>
          <cell r="AN1165">
            <v>52</v>
          </cell>
          <cell r="AO1165">
            <v>62</v>
          </cell>
          <cell r="AP1165">
            <v>15</v>
          </cell>
          <cell r="AQ1165">
            <v>23</v>
          </cell>
          <cell r="AR1165">
            <v>10</v>
          </cell>
          <cell r="AS1165">
            <v>17</v>
          </cell>
        </row>
        <row r="1166">
          <cell r="B1166">
            <v>17031828000</v>
          </cell>
          <cell r="D1166">
            <v>2329</v>
          </cell>
          <cell r="E1166">
            <v>242</v>
          </cell>
          <cell r="F1166">
            <v>1930</v>
          </cell>
          <cell r="G1166">
            <v>227</v>
          </cell>
          <cell r="H1166">
            <v>1839</v>
          </cell>
          <cell r="I1166">
            <v>219</v>
          </cell>
          <cell r="J1166">
            <v>91</v>
          </cell>
          <cell r="K1166">
            <v>72</v>
          </cell>
          <cell r="L1166">
            <v>61</v>
          </cell>
          <cell r="M1166">
            <v>65</v>
          </cell>
          <cell r="N1166">
            <v>14</v>
          </cell>
          <cell r="O1166">
            <v>22</v>
          </cell>
          <cell r="P1166">
            <v>16</v>
          </cell>
          <cell r="Q1166">
            <v>20</v>
          </cell>
          <cell r="R1166">
            <v>0</v>
          </cell>
          <cell r="S1166">
            <v>15</v>
          </cell>
          <cell r="T1166">
            <v>0</v>
          </cell>
          <cell r="U1166">
            <v>15</v>
          </cell>
          <cell r="V1166">
            <v>162</v>
          </cell>
          <cell r="W1166">
            <v>91</v>
          </cell>
          <cell r="X1166">
            <v>51</v>
          </cell>
          <cell r="Y1166">
            <v>59</v>
          </cell>
          <cell r="Z1166">
            <v>0</v>
          </cell>
          <cell r="AA1166">
            <v>15</v>
          </cell>
          <cell r="AB1166">
            <v>27</v>
          </cell>
          <cell r="AC1166">
            <v>26</v>
          </cell>
          <cell r="AD1166">
            <v>84</v>
          </cell>
          <cell r="AE1166">
            <v>60</v>
          </cell>
          <cell r="AF1166">
            <v>0</v>
          </cell>
          <cell r="AG1166">
            <v>15</v>
          </cell>
          <cell r="AH1166">
            <v>19</v>
          </cell>
          <cell r="AI1166">
            <v>30</v>
          </cell>
          <cell r="AJ1166">
            <v>0</v>
          </cell>
          <cell r="AK1166">
            <v>15</v>
          </cell>
          <cell r="AL1166">
            <v>12</v>
          </cell>
          <cell r="AM1166">
            <v>20</v>
          </cell>
          <cell r="AN1166">
            <v>68</v>
          </cell>
          <cell r="AO1166">
            <v>68</v>
          </cell>
          <cell r="AP1166">
            <v>65</v>
          </cell>
          <cell r="AQ1166">
            <v>87</v>
          </cell>
          <cell r="AR1166">
            <v>73</v>
          </cell>
          <cell r="AS1166">
            <v>59</v>
          </cell>
        </row>
        <row r="1167">
          <cell r="B1167">
            <v>17031828100</v>
          </cell>
          <cell r="D1167">
            <v>2119</v>
          </cell>
          <cell r="E1167">
            <v>302</v>
          </cell>
          <cell r="F1167">
            <v>1794</v>
          </cell>
          <cell r="G1167">
            <v>321</v>
          </cell>
          <cell r="H1167">
            <v>1673</v>
          </cell>
          <cell r="I1167">
            <v>337</v>
          </cell>
          <cell r="J1167">
            <v>121</v>
          </cell>
          <cell r="K1167">
            <v>91</v>
          </cell>
          <cell r="L1167">
            <v>76</v>
          </cell>
          <cell r="M1167">
            <v>62</v>
          </cell>
          <cell r="N1167">
            <v>16</v>
          </cell>
          <cell r="O1167">
            <v>25</v>
          </cell>
          <cell r="P1167">
            <v>29</v>
          </cell>
          <cell r="Q1167">
            <v>65</v>
          </cell>
          <cell r="R1167">
            <v>0</v>
          </cell>
          <cell r="S1167">
            <v>11</v>
          </cell>
          <cell r="T1167">
            <v>0</v>
          </cell>
          <cell r="U1167">
            <v>11</v>
          </cell>
          <cell r="V1167">
            <v>233</v>
          </cell>
          <cell r="W1167">
            <v>135</v>
          </cell>
          <cell r="X1167">
            <v>75</v>
          </cell>
          <cell r="Y1167">
            <v>71</v>
          </cell>
          <cell r="Z1167">
            <v>0</v>
          </cell>
          <cell r="AA1167">
            <v>11</v>
          </cell>
          <cell r="AB1167">
            <v>0</v>
          </cell>
          <cell r="AC1167">
            <v>11</v>
          </cell>
          <cell r="AD1167">
            <v>158</v>
          </cell>
          <cell r="AE1167">
            <v>107</v>
          </cell>
          <cell r="AF1167">
            <v>0</v>
          </cell>
          <cell r="AG1167">
            <v>11</v>
          </cell>
          <cell r="AH1167">
            <v>0</v>
          </cell>
          <cell r="AI1167">
            <v>11</v>
          </cell>
          <cell r="AJ1167">
            <v>0</v>
          </cell>
          <cell r="AK1167">
            <v>11</v>
          </cell>
          <cell r="AL1167">
            <v>0</v>
          </cell>
          <cell r="AM1167">
            <v>11</v>
          </cell>
          <cell r="AN1167">
            <v>22</v>
          </cell>
          <cell r="AO1167">
            <v>35</v>
          </cell>
          <cell r="AP1167">
            <v>0</v>
          </cell>
          <cell r="AQ1167">
            <v>11</v>
          </cell>
          <cell r="AR1167">
            <v>70</v>
          </cell>
          <cell r="AS1167">
            <v>67</v>
          </cell>
        </row>
        <row r="1168">
          <cell r="B1168">
            <v>17031828201</v>
          </cell>
          <cell r="D1168">
            <v>1950</v>
          </cell>
          <cell r="E1168">
            <v>263</v>
          </cell>
          <cell r="F1168">
            <v>1626</v>
          </cell>
          <cell r="G1168">
            <v>261</v>
          </cell>
          <cell r="H1168">
            <v>1426</v>
          </cell>
          <cell r="I1168">
            <v>214</v>
          </cell>
          <cell r="J1168">
            <v>200</v>
          </cell>
          <cell r="K1168">
            <v>139</v>
          </cell>
          <cell r="L1168">
            <v>97</v>
          </cell>
          <cell r="M1168">
            <v>86</v>
          </cell>
          <cell r="N1168">
            <v>88</v>
          </cell>
          <cell r="O1168">
            <v>100</v>
          </cell>
          <cell r="P1168">
            <v>14</v>
          </cell>
          <cell r="Q1168">
            <v>22</v>
          </cell>
          <cell r="R1168">
            <v>1</v>
          </cell>
          <cell r="S1168">
            <v>3</v>
          </cell>
          <cell r="T1168">
            <v>0</v>
          </cell>
          <cell r="U1168">
            <v>11</v>
          </cell>
          <cell r="V1168">
            <v>215</v>
          </cell>
          <cell r="W1168">
            <v>123</v>
          </cell>
          <cell r="X1168">
            <v>45</v>
          </cell>
          <cell r="Y1168">
            <v>69</v>
          </cell>
          <cell r="Z1168">
            <v>0</v>
          </cell>
          <cell r="AA1168">
            <v>11</v>
          </cell>
          <cell r="AB1168">
            <v>106</v>
          </cell>
          <cell r="AC1168">
            <v>101</v>
          </cell>
          <cell r="AD1168">
            <v>64</v>
          </cell>
          <cell r="AE1168">
            <v>37</v>
          </cell>
          <cell r="AF1168">
            <v>0</v>
          </cell>
          <cell r="AG1168">
            <v>11</v>
          </cell>
          <cell r="AH1168">
            <v>0</v>
          </cell>
          <cell r="AI1168">
            <v>11</v>
          </cell>
          <cell r="AJ1168">
            <v>0</v>
          </cell>
          <cell r="AK1168">
            <v>11</v>
          </cell>
          <cell r="AL1168">
            <v>0</v>
          </cell>
          <cell r="AM1168">
            <v>11</v>
          </cell>
          <cell r="AN1168">
            <v>34</v>
          </cell>
          <cell r="AO1168">
            <v>31</v>
          </cell>
          <cell r="AP1168">
            <v>47</v>
          </cell>
          <cell r="AQ1168">
            <v>38</v>
          </cell>
          <cell r="AR1168">
            <v>28</v>
          </cell>
          <cell r="AS1168">
            <v>27</v>
          </cell>
        </row>
        <row r="1169">
          <cell r="B1169">
            <v>17031828202</v>
          </cell>
          <cell r="D1169">
            <v>2406</v>
          </cell>
          <cell r="E1169">
            <v>285</v>
          </cell>
          <cell r="F1169">
            <v>2257</v>
          </cell>
          <cell r="G1169">
            <v>310</v>
          </cell>
          <cell r="H1169">
            <v>1969</v>
          </cell>
          <cell r="I1169">
            <v>336</v>
          </cell>
          <cell r="J1169">
            <v>288</v>
          </cell>
          <cell r="K1169">
            <v>163</v>
          </cell>
          <cell r="L1169">
            <v>227</v>
          </cell>
          <cell r="M1169">
            <v>147</v>
          </cell>
          <cell r="N1169">
            <v>51</v>
          </cell>
          <cell r="O1169">
            <v>69</v>
          </cell>
          <cell r="P1169">
            <v>10</v>
          </cell>
          <cell r="Q1169">
            <v>16</v>
          </cell>
          <cell r="R1169">
            <v>0</v>
          </cell>
          <cell r="S1169">
            <v>11</v>
          </cell>
          <cell r="T1169">
            <v>0</v>
          </cell>
          <cell r="U1169">
            <v>11</v>
          </cell>
          <cell r="V1169">
            <v>64</v>
          </cell>
          <cell r="W1169">
            <v>58</v>
          </cell>
          <cell r="X1169">
            <v>0</v>
          </cell>
          <cell r="Y1169">
            <v>11</v>
          </cell>
          <cell r="Z1169">
            <v>0</v>
          </cell>
          <cell r="AA1169">
            <v>11</v>
          </cell>
          <cell r="AB1169">
            <v>10</v>
          </cell>
          <cell r="AC1169">
            <v>17</v>
          </cell>
          <cell r="AD1169">
            <v>54</v>
          </cell>
          <cell r="AE1169">
            <v>56</v>
          </cell>
          <cell r="AF1169">
            <v>0</v>
          </cell>
          <cell r="AG1169">
            <v>11</v>
          </cell>
          <cell r="AH1169">
            <v>0</v>
          </cell>
          <cell r="AI1169">
            <v>11</v>
          </cell>
          <cell r="AJ1169">
            <v>0</v>
          </cell>
          <cell r="AK1169">
            <v>11</v>
          </cell>
          <cell r="AL1169">
            <v>0</v>
          </cell>
          <cell r="AM1169">
            <v>11</v>
          </cell>
          <cell r="AN1169">
            <v>16</v>
          </cell>
          <cell r="AO1169">
            <v>19</v>
          </cell>
          <cell r="AP1169">
            <v>35</v>
          </cell>
          <cell r="AQ1169">
            <v>53</v>
          </cell>
          <cell r="AR1169">
            <v>34</v>
          </cell>
          <cell r="AS1169">
            <v>36</v>
          </cell>
        </row>
        <row r="1170">
          <cell r="B1170">
            <v>17031828300</v>
          </cell>
          <cell r="D1170">
            <v>1442</v>
          </cell>
          <cell r="E1170">
            <v>181</v>
          </cell>
          <cell r="F1170">
            <v>1305</v>
          </cell>
          <cell r="G1170">
            <v>172</v>
          </cell>
          <cell r="H1170">
            <v>1188</v>
          </cell>
          <cell r="I1170">
            <v>166</v>
          </cell>
          <cell r="J1170">
            <v>117</v>
          </cell>
          <cell r="K1170">
            <v>50</v>
          </cell>
          <cell r="L1170">
            <v>92</v>
          </cell>
          <cell r="M1170">
            <v>42</v>
          </cell>
          <cell r="N1170">
            <v>15</v>
          </cell>
          <cell r="O1170">
            <v>17</v>
          </cell>
          <cell r="P1170">
            <v>10</v>
          </cell>
          <cell r="Q1170">
            <v>16</v>
          </cell>
          <cell r="R1170">
            <v>0</v>
          </cell>
          <cell r="S1170">
            <v>11</v>
          </cell>
          <cell r="T1170">
            <v>0</v>
          </cell>
          <cell r="U1170">
            <v>11</v>
          </cell>
          <cell r="V1170">
            <v>47</v>
          </cell>
          <cell r="W1170">
            <v>33</v>
          </cell>
          <cell r="X1170">
            <v>5</v>
          </cell>
          <cell r="Y1170">
            <v>10</v>
          </cell>
          <cell r="Z1170">
            <v>0</v>
          </cell>
          <cell r="AA1170">
            <v>11</v>
          </cell>
          <cell r="AB1170">
            <v>6</v>
          </cell>
          <cell r="AC1170">
            <v>9</v>
          </cell>
          <cell r="AD1170">
            <v>36</v>
          </cell>
          <cell r="AE1170">
            <v>28</v>
          </cell>
          <cell r="AF1170">
            <v>0</v>
          </cell>
          <cell r="AG1170">
            <v>11</v>
          </cell>
          <cell r="AH1170">
            <v>0</v>
          </cell>
          <cell r="AI1170">
            <v>11</v>
          </cell>
          <cell r="AJ1170">
            <v>0</v>
          </cell>
          <cell r="AK1170">
            <v>11</v>
          </cell>
          <cell r="AL1170">
            <v>0</v>
          </cell>
          <cell r="AM1170">
            <v>11</v>
          </cell>
          <cell r="AN1170">
            <v>44</v>
          </cell>
          <cell r="AO1170">
            <v>38</v>
          </cell>
          <cell r="AP1170">
            <v>0</v>
          </cell>
          <cell r="AQ1170">
            <v>11</v>
          </cell>
          <cell r="AR1170">
            <v>46</v>
          </cell>
          <cell r="AS1170">
            <v>36</v>
          </cell>
        </row>
        <row r="1171">
          <cell r="B1171">
            <v>17031828401</v>
          </cell>
          <cell r="D1171">
            <v>1890</v>
          </cell>
          <cell r="E1171">
            <v>204</v>
          </cell>
          <cell r="F1171">
            <v>1408</v>
          </cell>
          <cell r="G1171">
            <v>189</v>
          </cell>
          <cell r="H1171">
            <v>1382</v>
          </cell>
          <cell r="I1171">
            <v>186</v>
          </cell>
          <cell r="J1171">
            <v>26</v>
          </cell>
          <cell r="K1171">
            <v>30</v>
          </cell>
          <cell r="L1171">
            <v>26</v>
          </cell>
          <cell r="M1171">
            <v>30</v>
          </cell>
          <cell r="N1171">
            <v>0</v>
          </cell>
          <cell r="O1171">
            <v>11</v>
          </cell>
          <cell r="P1171">
            <v>0</v>
          </cell>
          <cell r="Q1171">
            <v>11</v>
          </cell>
          <cell r="R1171">
            <v>0</v>
          </cell>
          <cell r="S1171">
            <v>11</v>
          </cell>
          <cell r="T1171">
            <v>0</v>
          </cell>
          <cell r="U1171">
            <v>11</v>
          </cell>
          <cell r="V1171">
            <v>300</v>
          </cell>
          <cell r="W1171">
            <v>97</v>
          </cell>
          <cell r="X1171">
            <v>25</v>
          </cell>
          <cell r="Y1171">
            <v>27</v>
          </cell>
          <cell r="Z1171">
            <v>11</v>
          </cell>
          <cell r="AA1171">
            <v>17</v>
          </cell>
          <cell r="AB1171">
            <v>26</v>
          </cell>
          <cell r="AC1171">
            <v>41</v>
          </cell>
          <cell r="AD1171">
            <v>238</v>
          </cell>
          <cell r="AE1171">
            <v>78</v>
          </cell>
          <cell r="AF1171">
            <v>0</v>
          </cell>
          <cell r="AG1171">
            <v>11</v>
          </cell>
          <cell r="AH1171">
            <v>0</v>
          </cell>
          <cell r="AI1171">
            <v>11</v>
          </cell>
          <cell r="AJ1171">
            <v>8</v>
          </cell>
          <cell r="AK1171">
            <v>13</v>
          </cell>
          <cell r="AL1171">
            <v>9</v>
          </cell>
          <cell r="AM1171">
            <v>14</v>
          </cell>
          <cell r="AN1171">
            <v>42</v>
          </cell>
          <cell r="AO1171">
            <v>50</v>
          </cell>
          <cell r="AP1171">
            <v>37</v>
          </cell>
          <cell r="AQ1171">
            <v>38</v>
          </cell>
          <cell r="AR1171">
            <v>86</v>
          </cell>
          <cell r="AS1171">
            <v>59</v>
          </cell>
        </row>
        <row r="1172">
          <cell r="B1172">
            <v>17031828402</v>
          </cell>
          <cell r="D1172">
            <v>1613</v>
          </cell>
          <cell r="E1172">
            <v>204</v>
          </cell>
          <cell r="F1172">
            <v>1351</v>
          </cell>
          <cell r="G1172">
            <v>178</v>
          </cell>
          <cell r="H1172">
            <v>1280</v>
          </cell>
          <cell r="I1172">
            <v>171</v>
          </cell>
          <cell r="J1172">
            <v>71</v>
          </cell>
          <cell r="K1172">
            <v>36</v>
          </cell>
          <cell r="L1172">
            <v>62</v>
          </cell>
          <cell r="M1172">
            <v>32</v>
          </cell>
          <cell r="N1172">
            <v>9</v>
          </cell>
          <cell r="O1172">
            <v>14</v>
          </cell>
          <cell r="P1172">
            <v>0</v>
          </cell>
          <cell r="Q1172">
            <v>11</v>
          </cell>
          <cell r="R1172">
            <v>0</v>
          </cell>
          <cell r="S1172">
            <v>11</v>
          </cell>
          <cell r="T1172">
            <v>0</v>
          </cell>
          <cell r="U1172">
            <v>11</v>
          </cell>
          <cell r="V1172">
            <v>199</v>
          </cell>
          <cell r="W1172">
            <v>77</v>
          </cell>
          <cell r="X1172">
            <v>21</v>
          </cell>
          <cell r="Y1172">
            <v>22</v>
          </cell>
          <cell r="Z1172">
            <v>0</v>
          </cell>
          <cell r="AA1172">
            <v>11</v>
          </cell>
          <cell r="AB1172">
            <v>38</v>
          </cell>
          <cell r="AC1172">
            <v>28</v>
          </cell>
          <cell r="AD1172">
            <v>140</v>
          </cell>
          <cell r="AE1172">
            <v>60</v>
          </cell>
          <cell r="AF1172">
            <v>0</v>
          </cell>
          <cell r="AG1172">
            <v>11</v>
          </cell>
          <cell r="AH1172">
            <v>0</v>
          </cell>
          <cell r="AI1172">
            <v>11</v>
          </cell>
          <cell r="AJ1172">
            <v>11</v>
          </cell>
          <cell r="AK1172">
            <v>17</v>
          </cell>
          <cell r="AL1172">
            <v>0</v>
          </cell>
          <cell r="AM1172">
            <v>11</v>
          </cell>
          <cell r="AN1172">
            <v>26</v>
          </cell>
          <cell r="AO1172">
            <v>21</v>
          </cell>
          <cell r="AP1172">
            <v>16</v>
          </cell>
          <cell r="AQ1172">
            <v>14</v>
          </cell>
          <cell r="AR1172">
            <v>10</v>
          </cell>
          <cell r="AS1172">
            <v>16</v>
          </cell>
        </row>
        <row r="1173">
          <cell r="B1173">
            <v>17031828503</v>
          </cell>
          <cell r="D1173">
            <v>1503</v>
          </cell>
          <cell r="E1173">
            <v>217</v>
          </cell>
          <cell r="F1173">
            <v>1320</v>
          </cell>
          <cell r="G1173">
            <v>206</v>
          </cell>
          <cell r="H1173">
            <v>1221</v>
          </cell>
          <cell r="I1173">
            <v>173</v>
          </cell>
          <cell r="J1173">
            <v>99</v>
          </cell>
          <cell r="K1173">
            <v>82</v>
          </cell>
          <cell r="L1173">
            <v>99</v>
          </cell>
          <cell r="M1173">
            <v>82</v>
          </cell>
          <cell r="N1173">
            <v>0</v>
          </cell>
          <cell r="O1173">
            <v>11</v>
          </cell>
          <cell r="P1173">
            <v>0</v>
          </cell>
          <cell r="Q1173">
            <v>11</v>
          </cell>
          <cell r="R1173">
            <v>0</v>
          </cell>
          <cell r="S1173">
            <v>11</v>
          </cell>
          <cell r="T1173">
            <v>0</v>
          </cell>
          <cell r="U1173">
            <v>11</v>
          </cell>
          <cell r="V1173">
            <v>105</v>
          </cell>
          <cell r="W1173">
            <v>64</v>
          </cell>
          <cell r="X1173">
            <v>30</v>
          </cell>
          <cell r="Y1173">
            <v>35</v>
          </cell>
          <cell r="Z1173">
            <v>0</v>
          </cell>
          <cell r="AA1173">
            <v>11</v>
          </cell>
          <cell r="AB1173">
            <v>32</v>
          </cell>
          <cell r="AC1173">
            <v>47</v>
          </cell>
          <cell r="AD1173">
            <v>43</v>
          </cell>
          <cell r="AE1173">
            <v>31</v>
          </cell>
          <cell r="AF1173">
            <v>0</v>
          </cell>
          <cell r="AG1173">
            <v>11</v>
          </cell>
          <cell r="AH1173">
            <v>0</v>
          </cell>
          <cell r="AI1173">
            <v>11</v>
          </cell>
          <cell r="AJ1173">
            <v>0</v>
          </cell>
          <cell r="AK1173">
            <v>11</v>
          </cell>
          <cell r="AL1173">
            <v>0</v>
          </cell>
          <cell r="AM1173">
            <v>11</v>
          </cell>
          <cell r="AN1173">
            <v>9</v>
          </cell>
          <cell r="AO1173">
            <v>15</v>
          </cell>
          <cell r="AP1173">
            <v>22</v>
          </cell>
          <cell r="AQ1173">
            <v>36</v>
          </cell>
          <cell r="AR1173">
            <v>47</v>
          </cell>
          <cell r="AS1173">
            <v>56</v>
          </cell>
        </row>
        <row r="1174">
          <cell r="B1174">
            <v>17031828504</v>
          </cell>
          <cell r="D1174">
            <v>2401</v>
          </cell>
          <cell r="E1174">
            <v>377</v>
          </cell>
          <cell r="F1174">
            <v>2089</v>
          </cell>
          <cell r="G1174">
            <v>343</v>
          </cell>
          <cell r="H1174">
            <v>1947</v>
          </cell>
          <cell r="I1174">
            <v>338</v>
          </cell>
          <cell r="J1174">
            <v>142</v>
          </cell>
          <cell r="K1174">
            <v>99</v>
          </cell>
          <cell r="L1174">
            <v>71</v>
          </cell>
          <cell r="M1174">
            <v>56</v>
          </cell>
          <cell r="N1174">
            <v>71</v>
          </cell>
          <cell r="O1174">
            <v>84</v>
          </cell>
          <cell r="P1174">
            <v>0</v>
          </cell>
          <cell r="Q1174">
            <v>15</v>
          </cell>
          <cell r="R1174">
            <v>0</v>
          </cell>
          <cell r="S1174">
            <v>15</v>
          </cell>
          <cell r="T1174">
            <v>0</v>
          </cell>
          <cell r="U1174">
            <v>15</v>
          </cell>
          <cell r="V1174">
            <v>174</v>
          </cell>
          <cell r="W1174">
            <v>117</v>
          </cell>
          <cell r="X1174">
            <v>106</v>
          </cell>
          <cell r="Y1174">
            <v>100</v>
          </cell>
          <cell r="Z1174">
            <v>0</v>
          </cell>
          <cell r="AA1174">
            <v>15</v>
          </cell>
          <cell r="AB1174">
            <v>68</v>
          </cell>
          <cell r="AC1174">
            <v>67</v>
          </cell>
          <cell r="AD1174">
            <v>0</v>
          </cell>
          <cell r="AE1174">
            <v>15</v>
          </cell>
          <cell r="AF1174">
            <v>0</v>
          </cell>
          <cell r="AG1174">
            <v>15</v>
          </cell>
          <cell r="AH1174">
            <v>0</v>
          </cell>
          <cell r="AI1174">
            <v>15</v>
          </cell>
          <cell r="AJ1174">
            <v>0</v>
          </cell>
          <cell r="AK1174">
            <v>15</v>
          </cell>
          <cell r="AL1174">
            <v>0</v>
          </cell>
          <cell r="AM1174">
            <v>15</v>
          </cell>
          <cell r="AN1174">
            <v>53</v>
          </cell>
          <cell r="AO1174">
            <v>49</v>
          </cell>
          <cell r="AP1174">
            <v>26</v>
          </cell>
          <cell r="AQ1174">
            <v>43</v>
          </cell>
          <cell r="AR1174">
            <v>59</v>
          </cell>
          <cell r="AS1174">
            <v>74</v>
          </cell>
        </row>
        <row r="1175">
          <cell r="B1175">
            <v>17031828505</v>
          </cell>
          <cell r="D1175">
            <v>2585</v>
          </cell>
          <cell r="E1175">
            <v>432</v>
          </cell>
          <cell r="F1175">
            <v>2481</v>
          </cell>
          <cell r="G1175">
            <v>406</v>
          </cell>
          <cell r="H1175">
            <v>2203</v>
          </cell>
          <cell r="I1175">
            <v>370</v>
          </cell>
          <cell r="J1175">
            <v>278</v>
          </cell>
          <cell r="K1175">
            <v>160</v>
          </cell>
          <cell r="L1175">
            <v>175</v>
          </cell>
          <cell r="M1175">
            <v>141</v>
          </cell>
          <cell r="N1175">
            <v>42</v>
          </cell>
          <cell r="O1175">
            <v>33</v>
          </cell>
          <cell r="P1175">
            <v>61</v>
          </cell>
          <cell r="Q1175">
            <v>76</v>
          </cell>
          <cell r="R1175">
            <v>0</v>
          </cell>
          <cell r="S1175">
            <v>15</v>
          </cell>
          <cell r="T1175">
            <v>0</v>
          </cell>
          <cell r="U1175">
            <v>15</v>
          </cell>
          <cell r="V1175">
            <v>18</v>
          </cell>
          <cell r="W1175">
            <v>35</v>
          </cell>
          <cell r="X1175">
            <v>8</v>
          </cell>
          <cell r="Y1175">
            <v>30</v>
          </cell>
          <cell r="Z1175">
            <v>0</v>
          </cell>
          <cell r="AA1175">
            <v>15</v>
          </cell>
          <cell r="AB1175">
            <v>0</v>
          </cell>
          <cell r="AC1175">
            <v>15</v>
          </cell>
          <cell r="AD1175">
            <v>10</v>
          </cell>
          <cell r="AE1175">
            <v>19</v>
          </cell>
          <cell r="AF1175">
            <v>0</v>
          </cell>
          <cell r="AG1175">
            <v>15</v>
          </cell>
          <cell r="AH1175">
            <v>0</v>
          </cell>
          <cell r="AI1175">
            <v>15</v>
          </cell>
          <cell r="AJ1175">
            <v>0</v>
          </cell>
          <cell r="AK1175">
            <v>15</v>
          </cell>
          <cell r="AL1175">
            <v>0</v>
          </cell>
          <cell r="AM1175">
            <v>15</v>
          </cell>
          <cell r="AN1175">
            <v>32</v>
          </cell>
          <cell r="AO1175">
            <v>40</v>
          </cell>
          <cell r="AP1175">
            <v>0</v>
          </cell>
          <cell r="AQ1175">
            <v>15</v>
          </cell>
          <cell r="AR1175">
            <v>54</v>
          </cell>
          <cell r="AS1175">
            <v>52</v>
          </cell>
        </row>
        <row r="1176">
          <cell r="B1176">
            <v>17031828506</v>
          </cell>
          <cell r="D1176">
            <v>4125</v>
          </cell>
          <cell r="E1176">
            <v>426</v>
          </cell>
          <cell r="F1176">
            <v>3654</v>
          </cell>
          <cell r="G1176">
            <v>439</v>
          </cell>
          <cell r="H1176">
            <v>3456</v>
          </cell>
          <cell r="I1176">
            <v>442</v>
          </cell>
          <cell r="J1176">
            <v>198</v>
          </cell>
          <cell r="K1176">
            <v>120</v>
          </cell>
          <cell r="L1176">
            <v>159</v>
          </cell>
          <cell r="M1176">
            <v>104</v>
          </cell>
          <cell r="N1176">
            <v>39</v>
          </cell>
          <cell r="O1176">
            <v>63</v>
          </cell>
          <cell r="P1176">
            <v>0</v>
          </cell>
          <cell r="Q1176">
            <v>15</v>
          </cell>
          <cell r="R1176">
            <v>0</v>
          </cell>
          <cell r="S1176">
            <v>15</v>
          </cell>
          <cell r="T1176">
            <v>0</v>
          </cell>
          <cell r="U1176">
            <v>15</v>
          </cell>
          <cell r="V1176">
            <v>277</v>
          </cell>
          <cell r="W1176">
            <v>194</v>
          </cell>
          <cell r="X1176">
            <v>173</v>
          </cell>
          <cell r="Y1176">
            <v>189</v>
          </cell>
          <cell r="Z1176">
            <v>0</v>
          </cell>
          <cell r="AA1176">
            <v>15</v>
          </cell>
          <cell r="AB1176">
            <v>19</v>
          </cell>
          <cell r="AC1176">
            <v>31</v>
          </cell>
          <cell r="AD1176">
            <v>85</v>
          </cell>
          <cell r="AE1176">
            <v>70</v>
          </cell>
          <cell r="AF1176">
            <v>0</v>
          </cell>
          <cell r="AG1176">
            <v>15</v>
          </cell>
          <cell r="AH1176">
            <v>0</v>
          </cell>
          <cell r="AI1176">
            <v>15</v>
          </cell>
          <cell r="AJ1176">
            <v>0</v>
          </cell>
          <cell r="AK1176">
            <v>15</v>
          </cell>
          <cell r="AL1176">
            <v>34</v>
          </cell>
          <cell r="AM1176">
            <v>54</v>
          </cell>
          <cell r="AN1176">
            <v>0</v>
          </cell>
          <cell r="AO1176">
            <v>15</v>
          </cell>
          <cell r="AP1176">
            <v>24</v>
          </cell>
          <cell r="AQ1176">
            <v>39</v>
          </cell>
          <cell r="AR1176">
            <v>136</v>
          </cell>
          <cell r="AS1176">
            <v>180</v>
          </cell>
        </row>
        <row r="1177">
          <cell r="B1177">
            <v>17031828601</v>
          </cell>
          <cell r="D1177">
            <v>2053</v>
          </cell>
          <cell r="E1177">
            <v>239</v>
          </cell>
          <cell r="F1177">
            <v>1701</v>
          </cell>
          <cell r="G1177">
            <v>238</v>
          </cell>
          <cell r="H1177">
            <v>1627</v>
          </cell>
          <cell r="I1177">
            <v>213</v>
          </cell>
          <cell r="J1177">
            <v>74</v>
          </cell>
          <cell r="K1177">
            <v>60</v>
          </cell>
          <cell r="L1177">
            <v>63</v>
          </cell>
          <cell r="M1177">
            <v>42</v>
          </cell>
          <cell r="N1177">
            <v>11</v>
          </cell>
          <cell r="O1177">
            <v>30</v>
          </cell>
          <cell r="P1177">
            <v>0</v>
          </cell>
          <cell r="Q1177">
            <v>11</v>
          </cell>
          <cell r="R1177">
            <v>0</v>
          </cell>
          <cell r="S1177">
            <v>11</v>
          </cell>
          <cell r="T1177">
            <v>0</v>
          </cell>
          <cell r="U1177">
            <v>11</v>
          </cell>
          <cell r="V1177">
            <v>220</v>
          </cell>
          <cell r="W1177">
            <v>88</v>
          </cell>
          <cell r="X1177">
            <v>0</v>
          </cell>
          <cell r="Y1177">
            <v>11</v>
          </cell>
          <cell r="Z1177">
            <v>22</v>
          </cell>
          <cell r="AA1177">
            <v>32</v>
          </cell>
          <cell r="AB1177">
            <v>77</v>
          </cell>
          <cell r="AC1177">
            <v>67</v>
          </cell>
          <cell r="AD1177">
            <v>121</v>
          </cell>
          <cell r="AE1177">
            <v>55</v>
          </cell>
          <cell r="AF1177">
            <v>0</v>
          </cell>
          <cell r="AG1177">
            <v>11</v>
          </cell>
          <cell r="AH1177">
            <v>0</v>
          </cell>
          <cell r="AI1177">
            <v>11</v>
          </cell>
          <cell r="AJ1177">
            <v>7</v>
          </cell>
          <cell r="AK1177">
            <v>11</v>
          </cell>
          <cell r="AL1177">
            <v>0</v>
          </cell>
          <cell r="AM1177">
            <v>11</v>
          </cell>
          <cell r="AN1177">
            <v>40</v>
          </cell>
          <cell r="AO1177">
            <v>28</v>
          </cell>
          <cell r="AP1177">
            <v>0</v>
          </cell>
          <cell r="AQ1177">
            <v>11</v>
          </cell>
          <cell r="AR1177">
            <v>85</v>
          </cell>
          <cell r="AS1177">
            <v>37</v>
          </cell>
        </row>
        <row r="1178">
          <cell r="B1178">
            <v>17031828602</v>
          </cell>
          <cell r="D1178">
            <v>2122</v>
          </cell>
          <cell r="E1178">
            <v>221</v>
          </cell>
          <cell r="F1178">
            <v>1602</v>
          </cell>
          <cell r="G1178">
            <v>218</v>
          </cell>
          <cell r="H1178">
            <v>1466</v>
          </cell>
          <cell r="I1178">
            <v>224</v>
          </cell>
          <cell r="J1178">
            <v>136</v>
          </cell>
          <cell r="K1178">
            <v>67</v>
          </cell>
          <cell r="L1178">
            <v>136</v>
          </cell>
          <cell r="M1178">
            <v>67</v>
          </cell>
          <cell r="N1178">
            <v>0</v>
          </cell>
          <cell r="O1178">
            <v>11</v>
          </cell>
          <cell r="P1178">
            <v>0</v>
          </cell>
          <cell r="Q1178">
            <v>11</v>
          </cell>
          <cell r="R1178">
            <v>0</v>
          </cell>
          <cell r="S1178">
            <v>11</v>
          </cell>
          <cell r="T1178">
            <v>0</v>
          </cell>
          <cell r="U1178">
            <v>11</v>
          </cell>
          <cell r="V1178">
            <v>331</v>
          </cell>
          <cell r="W1178">
            <v>101</v>
          </cell>
          <cell r="X1178">
            <v>76</v>
          </cell>
          <cell r="Y1178">
            <v>48</v>
          </cell>
          <cell r="Z1178">
            <v>9</v>
          </cell>
          <cell r="AA1178">
            <v>14</v>
          </cell>
          <cell r="AB1178">
            <v>58</v>
          </cell>
          <cell r="AC1178">
            <v>43</v>
          </cell>
          <cell r="AD1178">
            <v>188</v>
          </cell>
          <cell r="AE1178">
            <v>76</v>
          </cell>
          <cell r="AF1178">
            <v>0</v>
          </cell>
          <cell r="AG1178">
            <v>11</v>
          </cell>
          <cell r="AH1178">
            <v>0</v>
          </cell>
          <cell r="AI1178">
            <v>11</v>
          </cell>
          <cell r="AJ1178">
            <v>0</v>
          </cell>
          <cell r="AK1178">
            <v>11</v>
          </cell>
          <cell r="AL1178">
            <v>13</v>
          </cell>
          <cell r="AM1178">
            <v>21</v>
          </cell>
          <cell r="AN1178">
            <v>12</v>
          </cell>
          <cell r="AO1178">
            <v>20</v>
          </cell>
          <cell r="AP1178">
            <v>19</v>
          </cell>
          <cell r="AQ1178">
            <v>31</v>
          </cell>
          <cell r="AR1178">
            <v>145</v>
          </cell>
          <cell r="AS1178">
            <v>65</v>
          </cell>
        </row>
        <row r="1179">
          <cell r="B1179">
            <v>17031828701</v>
          </cell>
          <cell r="D1179">
            <v>1752</v>
          </cell>
          <cell r="E1179">
            <v>289</v>
          </cell>
          <cell r="F1179">
            <v>1420</v>
          </cell>
          <cell r="G1179">
            <v>250</v>
          </cell>
          <cell r="H1179">
            <v>1346</v>
          </cell>
          <cell r="I1179">
            <v>252</v>
          </cell>
          <cell r="J1179">
            <v>74</v>
          </cell>
          <cell r="K1179">
            <v>56</v>
          </cell>
          <cell r="L1179">
            <v>74</v>
          </cell>
          <cell r="M1179">
            <v>56</v>
          </cell>
          <cell r="N1179">
            <v>0</v>
          </cell>
          <cell r="O1179">
            <v>11</v>
          </cell>
          <cell r="P1179">
            <v>0</v>
          </cell>
          <cell r="Q1179">
            <v>11</v>
          </cell>
          <cell r="R1179">
            <v>0</v>
          </cell>
          <cell r="S1179">
            <v>11</v>
          </cell>
          <cell r="T1179">
            <v>0</v>
          </cell>
          <cell r="U1179">
            <v>11</v>
          </cell>
          <cell r="V1179">
            <v>108</v>
          </cell>
          <cell r="W1179">
            <v>63</v>
          </cell>
          <cell r="X1179">
            <v>14</v>
          </cell>
          <cell r="Y1179">
            <v>23</v>
          </cell>
          <cell r="Z1179">
            <v>0</v>
          </cell>
          <cell r="AA1179">
            <v>11</v>
          </cell>
          <cell r="AB1179">
            <v>0</v>
          </cell>
          <cell r="AC1179">
            <v>11</v>
          </cell>
          <cell r="AD1179">
            <v>94</v>
          </cell>
          <cell r="AE1179">
            <v>60</v>
          </cell>
          <cell r="AF1179">
            <v>0</v>
          </cell>
          <cell r="AG1179">
            <v>11</v>
          </cell>
          <cell r="AH1179">
            <v>0</v>
          </cell>
          <cell r="AI1179">
            <v>11</v>
          </cell>
          <cell r="AJ1179">
            <v>0</v>
          </cell>
          <cell r="AK1179">
            <v>11</v>
          </cell>
          <cell r="AL1179">
            <v>0</v>
          </cell>
          <cell r="AM1179">
            <v>11</v>
          </cell>
          <cell r="AN1179">
            <v>46</v>
          </cell>
          <cell r="AO1179">
            <v>99</v>
          </cell>
          <cell r="AP1179">
            <v>37</v>
          </cell>
          <cell r="AQ1179">
            <v>42</v>
          </cell>
          <cell r="AR1179">
            <v>141</v>
          </cell>
          <cell r="AS1179">
            <v>120</v>
          </cell>
        </row>
        <row r="1180">
          <cell r="B1180">
            <v>17031828702</v>
          </cell>
          <cell r="D1180">
            <v>1854</v>
          </cell>
          <cell r="E1180">
            <v>276</v>
          </cell>
          <cell r="F1180">
            <v>1710</v>
          </cell>
          <cell r="G1180">
            <v>253</v>
          </cell>
          <cell r="H1180">
            <v>1619</v>
          </cell>
          <cell r="I1180">
            <v>236</v>
          </cell>
          <cell r="J1180">
            <v>91</v>
          </cell>
          <cell r="K1180">
            <v>77</v>
          </cell>
          <cell r="L1180">
            <v>32</v>
          </cell>
          <cell r="M1180">
            <v>30</v>
          </cell>
          <cell r="N1180">
            <v>45</v>
          </cell>
          <cell r="O1180">
            <v>67</v>
          </cell>
          <cell r="P1180">
            <v>14</v>
          </cell>
          <cell r="Q1180">
            <v>25</v>
          </cell>
          <cell r="R1180">
            <v>0</v>
          </cell>
          <cell r="S1180">
            <v>15</v>
          </cell>
          <cell r="T1180">
            <v>0</v>
          </cell>
          <cell r="U1180">
            <v>15</v>
          </cell>
          <cell r="V1180">
            <v>116</v>
          </cell>
          <cell r="W1180">
            <v>67</v>
          </cell>
          <cell r="X1180">
            <v>23</v>
          </cell>
          <cell r="Y1180">
            <v>25</v>
          </cell>
          <cell r="Z1180">
            <v>0</v>
          </cell>
          <cell r="AA1180">
            <v>15</v>
          </cell>
          <cell r="AB1180">
            <v>17</v>
          </cell>
          <cell r="AC1180">
            <v>21</v>
          </cell>
          <cell r="AD1180">
            <v>76</v>
          </cell>
          <cell r="AE1180">
            <v>52</v>
          </cell>
          <cell r="AF1180">
            <v>0</v>
          </cell>
          <cell r="AG1180">
            <v>15</v>
          </cell>
          <cell r="AH1180">
            <v>0</v>
          </cell>
          <cell r="AI1180">
            <v>15</v>
          </cell>
          <cell r="AJ1180">
            <v>0</v>
          </cell>
          <cell r="AK1180">
            <v>15</v>
          </cell>
          <cell r="AL1180">
            <v>0</v>
          </cell>
          <cell r="AM1180">
            <v>15</v>
          </cell>
          <cell r="AN1180">
            <v>0</v>
          </cell>
          <cell r="AO1180">
            <v>15</v>
          </cell>
          <cell r="AP1180">
            <v>7</v>
          </cell>
          <cell r="AQ1180">
            <v>12</v>
          </cell>
          <cell r="AR1180">
            <v>21</v>
          </cell>
          <cell r="AS1180">
            <v>22</v>
          </cell>
        </row>
        <row r="1181">
          <cell r="B1181">
            <v>17031828801</v>
          </cell>
          <cell r="D1181">
            <v>2491</v>
          </cell>
          <cell r="E1181">
            <v>204</v>
          </cell>
          <cell r="F1181">
            <v>1945</v>
          </cell>
          <cell r="G1181">
            <v>199</v>
          </cell>
          <cell r="H1181">
            <v>1811</v>
          </cell>
          <cell r="I1181">
            <v>183</v>
          </cell>
          <cell r="J1181">
            <v>134</v>
          </cell>
          <cell r="K1181">
            <v>99</v>
          </cell>
          <cell r="L1181">
            <v>94</v>
          </cell>
          <cell r="M1181">
            <v>71</v>
          </cell>
          <cell r="N1181">
            <v>2</v>
          </cell>
          <cell r="O1181">
            <v>4</v>
          </cell>
          <cell r="P1181">
            <v>9</v>
          </cell>
          <cell r="Q1181">
            <v>13</v>
          </cell>
          <cell r="R1181">
            <v>29</v>
          </cell>
          <cell r="S1181">
            <v>66</v>
          </cell>
          <cell r="T1181">
            <v>0</v>
          </cell>
          <cell r="U1181">
            <v>15</v>
          </cell>
          <cell r="V1181">
            <v>392</v>
          </cell>
          <cell r="W1181">
            <v>112</v>
          </cell>
          <cell r="X1181">
            <v>44</v>
          </cell>
          <cell r="Y1181">
            <v>58</v>
          </cell>
          <cell r="Z1181">
            <v>0</v>
          </cell>
          <cell r="AA1181">
            <v>15</v>
          </cell>
          <cell r="AB1181">
            <v>43</v>
          </cell>
          <cell r="AC1181">
            <v>51</v>
          </cell>
          <cell r="AD1181">
            <v>305</v>
          </cell>
          <cell r="AE1181">
            <v>86</v>
          </cell>
          <cell r="AF1181">
            <v>0</v>
          </cell>
          <cell r="AG1181">
            <v>15</v>
          </cell>
          <cell r="AH1181">
            <v>0</v>
          </cell>
          <cell r="AI1181">
            <v>15</v>
          </cell>
          <cell r="AJ1181">
            <v>0</v>
          </cell>
          <cell r="AK1181">
            <v>15</v>
          </cell>
          <cell r="AL1181">
            <v>0</v>
          </cell>
          <cell r="AM1181">
            <v>15</v>
          </cell>
          <cell r="AN1181">
            <v>28</v>
          </cell>
          <cell r="AO1181">
            <v>40</v>
          </cell>
          <cell r="AP1181">
            <v>0</v>
          </cell>
          <cell r="AQ1181">
            <v>15</v>
          </cell>
          <cell r="AR1181">
            <v>126</v>
          </cell>
          <cell r="AS1181">
            <v>79</v>
          </cell>
        </row>
        <row r="1182">
          <cell r="B1182">
            <v>17031828802</v>
          </cell>
          <cell r="D1182">
            <v>1466</v>
          </cell>
          <cell r="E1182">
            <v>212</v>
          </cell>
          <cell r="F1182">
            <v>1341</v>
          </cell>
          <cell r="G1182">
            <v>195</v>
          </cell>
          <cell r="H1182">
            <v>1276</v>
          </cell>
          <cell r="I1182">
            <v>191</v>
          </cell>
          <cell r="J1182">
            <v>65</v>
          </cell>
          <cell r="K1182">
            <v>51</v>
          </cell>
          <cell r="L1182">
            <v>42</v>
          </cell>
          <cell r="M1182">
            <v>40</v>
          </cell>
          <cell r="N1182">
            <v>23</v>
          </cell>
          <cell r="O1182">
            <v>28</v>
          </cell>
          <cell r="P1182">
            <v>0</v>
          </cell>
          <cell r="Q1182">
            <v>11</v>
          </cell>
          <cell r="R1182">
            <v>0</v>
          </cell>
          <cell r="S1182">
            <v>11</v>
          </cell>
          <cell r="T1182">
            <v>0</v>
          </cell>
          <cell r="U1182">
            <v>11</v>
          </cell>
          <cell r="V1182">
            <v>55</v>
          </cell>
          <cell r="W1182">
            <v>41</v>
          </cell>
          <cell r="X1182">
            <v>0</v>
          </cell>
          <cell r="Y1182">
            <v>11</v>
          </cell>
          <cell r="Z1182">
            <v>0</v>
          </cell>
          <cell r="AA1182">
            <v>11</v>
          </cell>
          <cell r="AB1182">
            <v>13</v>
          </cell>
          <cell r="AC1182">
            <v>22</v>
          </cell>
          <cell r="AD1182">
            <v>42</v>
          </cell>
          <cell r="AE1182">
            <v>35</v>
          </cell>
          <cell r="AF1182">
            <v>0</v>
          </cell>
          <cell r="AG1182">
            <v>11</v>
          </cell>
          <cell r="AH1182">
            <v>0</v>
          </cell>
          <cell r="AI1182">
            <v>11</v>
          </cell>
          <cell r="AJ1182">
            <v>0</v>
          </cell>
          <cell r="AK1182">
            <v>11</v>
          </cell>
          <cell r="AL1182">
            <v>0</v>
          </cell>
          <cell r="AM1182">
            <v>11</v>
          </cell>
          <cell r="AN1182">
            <v>27</v>
          </cell>
          <cell r="AO1182">
            <v>28</v>
          </cell>
          <cell r="AP1182">
            <v>35</v>
          </cell>
          <cell r="AQ1182">
            <v>50</v>
          </cell>
          <cell r="AR1182">
            <v>8</v>
          </cell>
          <cell r="AS1182">
            <v>14</v>
          </cell>
        </row>
        <row r="1183">
          <cell r="B1183">
            <v>17031828900</v>
          </cell>
          <cell r="D1183">
            <v>1251</v>
          </cell>
          <cell r="E1183">
            <v>214</v>
          </cell>
          <cell r="F1183">
            <v>1185</v>
          </cell>
          <cell r="G1183">
            <v>204</v>
          </cell>
          <cell r="H1183">
            <v>1081</v>
          </cell>
          <cell r="I1183">
            <v>199</v>
          </cell>
          <cell r="J1183">
            <v>104</v>
          </cell>
          <cell r="K1183">
            <v>62</v>
          </cell>
          <cell r="L1183">
            <v>104</v>
          </cell>
          <cell r="M1183">
            <v>62</v>
          </cell>
          <cell r="N1183">
            <v>0</v>
          </cell>
          <cell r="O1183">
            <v>11</v>
          </cell>
          <cell r="P1183">
            <v>0</v>
          </cell>
          <cell r="Q1183">
            <v>11</v>
          </cell>
          <cell r="R1183">
            <v>0</v>
          </cell>
          <cell r="S1183">
            <v>11</v>
          </cell>
          <cell r="T1183">
            <v>0</v>
          </cell>
          <cell r="U1183">
            <v>11</v>
          </cell>
          <cell r="V1183">
            <v>22</v>
          </cell>
          <cell r="W1183">
            <v>30</v>
          </cell>
          <cell r="X1183">
            <v>21</v>
          </cell>
          <cell r="Y1183">
            <v>29</v>
          </cell>
          <cell r="Z1183">
            <v>0</v>
          </cell>
          <cell r="AA1183">
            <v>11</v>
          </cell>
          <cell r="AB1183">
            <v>0</v>
          </cell>
          <cell r="AC1183">
            <v>11</v>
          </cell>
          <cell r="AD1183">
            <v>1</v>
          </cell>
          <cell r="AE1183">
            <v>3</v>
          </cell>
          <cell r="AF1183">
            <v>0</v>
          </cell>
          <cell r="AG1183">
            <v>11</v>
          </cell>
          <cell r="AH1183">
            <v>0</v>
          </cell>
          <cell r="AI1183">
            <v>11</v>
          </cell>
          <cell r="AJ1183">
            <v>0</v>
          </cell>
          <cell r="AK1183">
            <v>11</v>
          </cell>
          <cell r="AL1183">
            <v>0</v>
          </cell>
          <cell r="AM1183">
            <v>11</v>
          </cell>
          <cell r="AN1183">
            <v>0</v>
          </cell>
          <cell r="AO1183">
            <v>11</v>
          </cell>
          <cell r="AP1183">
            <v>43</v>
          </cell>
          <cell r="AQ1183">
            <v>43</v>
          </cell>
          <cell r="AR1183">
            <v>1</v>
          </cell>
          <cell r="AS1183">
            <v>3</v>
          </cell>
        </row>
        <row r="1184">
          <cell r="B1184">
            <v>17031829000</v>
          </cell>
          <cell r="D1184">
            <v>276</v>
          </cell>
          <cell r="E1184">
            <v>84</v>
          </cell>
          <cell r="F1184">
            <v>190</v>
          </cell>
          <cell r="G1184">
            <v>68</v>
          </cell>
          <cell r="H1184">
            <v>183</v>
          </cell>
          <cell r="I1184">
            <v>67</v>
          </cell>
          <cell r="J1184">
            <v>7</v>
          </cell>
          <cell r="K1184">
            <v>12</v>
          </cell>
          <cell r="L1184">
            <v>0</v>
          </cell>
          <cell r="M1184">
            <v>11</v>
          </cell>
          <cell r="N1184">
            <v>0</v>
          </cell>
          <cell r="O1184">
            <v>11</v>
          </cell>
          <cell r="P1184">
            <v>7</v>
          </cell>
          <cell r="Q1184">
            <v>12</v>
          </cell>
          <cell r="R1184">
            <v>0</v>
          </cell>
          <cell r="S1184">
            <v>11</v>
          </cell>
          <cell r="T1184">
            <v>0</v>
          </cell>
          <cell r="U1184">
            <v>11</v>
          </cell>
          <cell r="V1184">
            <v>58</v>
          </cell>
          <cell r="W1184">
            <v>45</v>
          </cell>
          <cell r="X1184">
            <v>40</v>
          </cell>
          <cell r="Y1184">
            <v>32</v>
          </cell>
          <cell r="Z1184">
            <v>0</v>
          </cell>
          <cell r="AA1184">
            <v>11</v>
          </cell>
          <cell r="AB1184">
            <v>0</v>
          </cell>
          <cell r="AC1184">
            <v>11</v>
          </cell>
          <cell r="AD1184">
            <v>18</v>
          </cell>
          <cell r="AE1184">
            <v>30</v>
          </cell>
          <cell r="AF1184">
            <v>0</v>
          </cell>
          <cell r="AG1184">
            <v>11</v>
          </cell>
          <cell r="AH1184">
            <v>0</v>
          </cell>
          <cell r="AI1184">
            <v>11</v>
          </cell>
          <cell r="AJ1184">
            <v>0</v>
          </cell>
          <cell r="AK1184">
            <v>11</v>
          </cell>
          <cell r="AL1184">
            <v>0</v>
          </cell>
          <cell r="AM1184">
            <v>11</v>
          </cell>
          <cell r="AN1184">
            <v>28</v>
          </cell>
          <cell r="AO1184">
            <v>40</v>
          </cell>
          <cell r="AP1184">
            <v>0</v>
          </cell>
          <cell r="AQ1184">
            <v>11</v>
          </cell>
          <cell r="AR1184">
            <v>0</v>
          </cell>
          <cell r="AS1184">
            <v>11</v>
          </cell>
        </row>
        <row r="1185">
          <cell r="B1185">
            <v>17031829100</v>
          </cell>
          <cell r="D1185">
            <v>1242</v>
          </cell>
          <cell r="E1185">
            <v>213</v>
          </cell>
          <cell r="F1185">
            <v>996</v>
          </cell>
          <cell r="G1185">
            <v>202</v>
          </cell>
          <cell r="H1185">
            <v>891</v>
          </cell>
          <cell r="I1185">
            <v>198</v>
          </cell>
          <cell r="J1185">
            <v>105</v>
          </cell>
          <cell r="K1185">
            <v>70</v>
          </cell>
          <cell r="L1185">
            <v>99</v>
          </cell>
          <cell r="M1185">
            <v>64</v>
          </cell>
          <cell r="N1185">
            <v>0</v>
          </cell>
          <cell r="O1185">
            <v>11</v>
          </cell>
          <cell r="P1185">
            <v>6</v>
          </cell>
          <cell r="Q1185">
            <v>12</v>
          </cell>
          <cell r="R1185">
            <v>0</v>
          </cell>
          <cell r="S1185">
            <v>11</v>
          </cell>
          <cell r="T1185">
            <v>0</v>
          </cell>
          <cell r="U1185">
            <v>11</v>
          </cell>
          <cell r="V1185">
            <v>55</v>
          </cell>
          <cell r="W1185">
            <v>51</v>
          </cell>
          <cell r="X1185">
            <v>40</v>
          </cell>
          <cell r="Y1185">
            <v>45</v>
          </cell>
          <cell r="Z1185">
            <v>0</v>
          </cell>
          <cell r="AA1185">
            <v>11</v>
          </cell>
          <cell r="AB1185">
            <v>15</v>
          </cell>
          <cell r="AC1185">
            <v>25</v>
          </cell>
          <cell r="AD1185">
            <v>0</v>
          </cell>
          <cell r="AE1185">
            <v>11</v>
          </cell>
          <cell r="AF1185">
            <v>0</v>
          </cell>
          <cell r="AG1185">
            <v>11</v>
          </cell>
          <cell r="AH1185">
            <v>0</v>
          </cell>
          <cell r="AI1185">
            <v>11</v>
          </cell>
          <cell r="AJ1185">
            <v>0</v>
          </cell>
          <cell r="AK1185">
            <v>11</v>
          </cell>
          <cell r="AL1185">
            <v>0</v>
          </cell>
          <cell r="AM1185">
            <v>11</v>
          </cell>
          <cell r="AN1185">
            <v>97</v>
          </cell>
          <cell r="AO1185">
            <v>64</v>
          </cell>
          <cell r="AP1185">
            <v>65</v>
          </cell>
          <cell r="AQ1185">
            <v>60</v>
          </cell>
          <cell r="AR1185">
            <v>29</v>
          </cell>
          <cell r="AS1185">
            <v>34</v>
          </cell>
        </row>
        <row r="1186">
          <cell r="B1186">
            <v>17031829200</v>
          </cell>
          <cell r="D1186">
            <v>2330</v>
          </cell>
          <cell r="E1186">
            <v>310</v>
          </cell>
          <cell r="F1186">
            <v>2046</v>
          </cell>
          <cell r="G1186">
            <v>288</v>
          </cell>
          <cell r="H1186">
            <v>1811</v>
          </cell>
          <cell r="I1186">
            <v>307</v>
          </cell>
          <cell r="J1186">
            <v>235</v>
          </cell>
          <cell r="K1186">
            <v>110</v>
          </cell>
          <cell r="L1186">
            <v>214</v>
          </cell>
          <cell r="M1186">
            <v>105</v>
          </cell>
          <cell r="N1186">
            <v>11</v>
          </cell>
          <cell r="O1186">
            <v>18</v>
          </cell>
          <cell r="P1186">
            <v>0</v>
          </cell>
          <cell r="Q1186">
            <v>15</v>
          </cell>
          <cell r="R1186">
            <v>10</v>
          </cell>
          <cell r="S1186">
            <v>16</v>
          </cell>
          <cell r="T1186">
            <v>0</v>
          </cell>
          <cell r="U1186">
            <v>15</v>
          </cell>
          <cell r="V1186">
            <v>149</v>
          </cell>
          <cell r="W1186">
            <v>99</v>
          </cell>
          <cell r="X1186">
            <v>104</v>
          </cell>
          <cell r="Y1186">
            <v>96</v>
          </cell>
          <cell r="Z1186">
            <v>0</v>
          </cell>
          <cell r="AA1186">
            <v>15</v>
          </cell>
          <cell r="AB1186">
            <v>0</v>
          </cell>
          <cell r="AC1186">
            <v>15</v>
          </cell>
          <cell r="AD1186">
            <v>45</v>
          </cell>
          <cell r="AE1186">
            <v>37</v>
          </cell>
          <cell r="AF1186">
            <v>0</v>
          </cell>
          <cell r="AG1186">
            <v>15</v>
          </cell>
          <cell r="AH1186">
            <v>0</v>
          </cell>
          <cell r="AI1186">
            <v>15</v>
          </cell>
          <cell r="AJ1186">
            <v>0</v>
          </cell>
          <cell r="AK1186">
            <v>15</v>
          </cell>
          <cell r="AL1186">
            <v>0</v>
          </cell>
          <cell r="AM1186">
            <v>15</v>
          </cell>
          <cell r="AN1186">
            <v>52</v>
          </cell>
          <cell r="AO1186">
            <v>48</v>
          </cell>
          <cell r="AP1186">
            <v>0</v>
          </cell>
          <cell r="AQ1186">
            <v>15</v>
          </cell>
          <cell r="AR1186">
            <v>83</v>
          </cell>
          <cell r="AS1186">
            <v>64</v>
          </cell>
        </row>
        <row r="1187">
          <cell r="B1187">
            <v>17031829301</v>
          </cell>
          <cell r="D1187">
            <v>1834</v>
          </cell>
          <cell r="E1187">
            <v>272</v>
          </cell>
          <cell r="F1187">
            <v>1603</v>
          </cell>
          <cell r="G1187">
            <v>222</v>
          </cell>
          <cell r="H1187">
            <v>1414</v>
          </cell>
          <cell r="I1187">
            <v>207</v>
          </cell>
          <cell r="J1187">
            <v>189</v>
          </cell>
          <cell r="K1187">
            <v>99</v>
          </cell>
          <cell r="L1187">
            <v>134</v>
          </cell>
          <cell r="M1187">
            <v>97</v>
          </cell>
          <cell r="N1187">
            <v>23</v>
          </cell>
          <cell r="O1187">
            <v>30</v>
          </cell>
          <cell r="P1187">
            <v>32</v>
          </cell>
          <cell r="Q1187">
            <v>42</v>
          </cell>
          <cell r="R1187">
            <v>0</v>
          </cell>
          <cell r="S1187">
            <v>11</v>
          </cell>
          <cell r="T1187">
            <v>0</v>
          </cell>
          <cell r="U1187">
            <v>11</v>
          </cell>
          <cell r="V1187">
            <v>161</v>
          </cell>
          <cell r="W1187">
            <v>100</v>
          </cell>
          <cell r="X1187">
            <v>55</v>
          </cell>
          <cell r="Y1187">
            <v>69</v>
          </cell>
          <cell r="Z1187">
            <v>0</v>
          </cell>
          <cell r="AA1187">
            <v>11</v>
          </cell>
          <cell r="AB1187">
            <v>39</v>
          </cell>
          <cell r="AC1187">
            <v>53</v>
          </cell>
          <cell r="AD1187">
            <v>67</v>
          </cell>
          <cell r="AE1187">
            <v>53</v>
          </cell>
          <cell r="AF1187">
            <v>0</v>
          </cell>
          <cell r="AG1187">
            <v>11</v>
          </cell>
          <cell r="AH1187">
            <v>8</v>
          </cell>
          <cell r="AI1187">
            <v>12</v>
          </cell>
          <cell r="AJ1187">
            <v>0</v>
          </cell>
          <cell r="AK1187">
            <v>11</v>
          </cell>
          <cell r="AL1187">
            <v>0</v>
          </cell>
          <cell r="AM1187">
            <v>11</v>
          </cell>
          <cell r="AN1187">
            <v>0</v>
          </cell>
          <cell r="AO1187">
            <v>11</v>
          </cell>
          <cell r="AP1187">
            <v>27</v>
          </cell>
          <cell r="AQ1187">
            <v>42</v>
          </cell>
          <cell r="AR1187">
            <v>35</v>
          </cell>
          <cell r="AS1187">
            <v>35</v>
          </cell>
        </row>
        <row r="1188">
          <cell r="B1188">
            <v>17031829302</v>
          </cell>
          <cell r="D1188">
            <v>1199</v>
          </cell>
          <cell r="E1188">
            <v>251</v>
          </cell>
          <cell r="F1188">
            <v>907</v>
          </cell>
          <cell r="G1188">
            <v>210</v>
          </cell>
          <cell r="H1188">
            <v>784</v>
          </cell>
          <cell r="I1188">
            <v>198</v>
          </cell>
          <cell r="J1188">
            <v>123</v>
          </cell>
          <cell r="K1188">
            <v>91</v>
          </cell>
          <cell r="L1188">
            <v>107</v>
          </cell>
          <cell r="M1188">
            <v>82</v>
          </cell>
          <cell r="N1188">
            <v>8</v>
          </cell>
          <cell r="O1188">
            <v>17</v>
          </cell>
          <cell r="P1188">
            <v>8</v>
          </cell>
          <cell r="Q1188">
            <v>19</v>
          </cell>
          <cell r="R1188">
            <v>0</v>
          </cell>
          <cell r="S1188">
            <v>11</v>
          </cell>
          <cell r="T1188">
            <v>0</v>
          </cell>
          <cell r="U1188">
            <v>11</v>
          </cell>
          <cell r="V1188">
            <v>94</v>
          </cell>
          <cell r="W1188">
            <v>84</v>
          </cell>
          <cell r="X1188">
            <v>26</v>
          </cell>
          <cell r="Y1188">
            <v>31</v>
          </cell>
          <cell r="Z1188">
            <v>0</v>
          </cell>
          <cell r="AA1188">
            <v>11</v>
          </cell>
          <cell r="AB1188">
            <v>56</v>
          </cell>
          <cell r="AC1188">
            <v>74</v>
          </cell>
          <cell r="AD1188">
            <v>12</v>
          </cell>
          <cell r="AE1188">
            <v>19</v>
          </cell>
          <cell r="AF1188">
            <v>0</v>
          </cell>
          <cell r="AG1188">
            <v>11</v>
          </cell>
          <cell r="AH1188">
            <v>0</v>
          </cell>
          <cell r="AI1188">
            <v>11</v>
          </cell>
          <cell r="AJ1188">
            <v>0</v>
          </cell>
          <cell r="AK1188">
            <v>11</v>
          </cell>
          <cell r="AL1188">
            <v>0</v>
          </cell>
          <cell r="AM1188">
            <v>11</v>
          </cell>
          <cell r="AN1188">
            <v>0</v>
          </cell>
          <cell r="AO1188">
            <v>11</v>
          </cell>
          <cell r="AP1188">
            <v>116</v>
          </cell>
          <cell r="AQ1188">
            <v>87</v>
          </cell>
          <cell r="AR1188">
            <v>82</v>
          </cell>
          <cell r="AS1188">
            <v>79</v>
          </cell>
        </row>
        <row r="1189">
          <cell r="B1189">
            <v>17031829401</v>
          </cell>
          <cell r="D1189">
            <v>375</v>
          </cell>
          <cell r="E1189">
            <v>134</v>
          </cell>
          <cell r="F1189">
            <v>257</v>
          </cell>
          <cell r="G1189">
            <v>97</v>
          </cell>
          <cell r="H1189">
            <v>257</v>
          </cell>
          <cell r="I1189">
            <v>97</v>
          </cell>
          <cell r="J1189">
            <v>0</v>
          </cell>
          <cell r="K1189">
            <v>11</v>
          </cell>
          <cell r="L1189">
            <v>0</v>
          </cell>
          <cell r="M1189">
            <v>11</v>
          </cell>
          <cell r="N1189">
            <v>0</v>
          </cell>
          <cell r="O1189">
            <v>11</v>
          </cell>
          <cell r="P1189">
            <v>0</v>
          </cell>
          <cell r="Q1189">
            <v>11</v>
          </cell>
          <cell r="R1189">
            <v>0</v>
          </cell>
          <cell r="S1189">
            <v>11</v>
          </cell>
          <cell r="T1189">
            <v>0</v>
          </cell>
          <cell r="U1189">
            <v>11</v>
          </cell>
          <cell r="V1189">
            <v>25</v>
          </cell>
          <cell r="W1189">
            <v>25</v>
          </cell>
          <cell r="X1189">
            <v>25</v>
          </cell>
          <cell r="Y1189">
            <v>25</v>
          </cell>
          <cell r="Z1189">
            <v>0</v>
          </cell>
          <cell r="AA1189">
            <v>11</v>
          </cell>
          <cell r="AB1189">
            <v>0</v>
          </cell>
          <cell r="AC1189">
            <v>11</v>
          </cell>
          <cell r="AD1189">
            <v>0</v>
          </cell>
          <cell r="AE1189">
            <v>11</v>
          </cell>
          <cell r="AF1189">
            <v>0</v>
          </cell>
          <cell r="AG1189">
            <v>11</v>
          </cell>
          <cell r="AH1189">
            <v>0</v>
          </cell>
          <cell r="AI1189">
            <v>11</v>
          </cell>
          <cell r="AJ1189">
            <v>0</v>
          </cell>
          <cell r="AK1189">
            <v>11</v>
          </cell>
          <cell r="AL1189">
            <v>0</v>
          </cell>
          <cell r="AM1189">
            <v>11</v>
          </cell>
          <cell r="AN1189">
            <v>13</v>
          </cell>
          <cell r="AO1189">
            <v>19</v>
          </cell>
          <cell r="AP1189">
            <v>0</v>
          </cell>
          <cell r="AQ1189">
            <v>11</v>
          </cell>
          <cell r="AR1189">
            <v>80</v>
          </cell>
          <cell r="AS1189">
            <v>81</v>
          </cell>
        </row>
        <row r="1190">
          <cell r="B1190">
            <v>17031829402</v>
          </cell>
          <cell r="D1190">
            <v>1438</v>
          </cell>
          <cell r="E1190">
            <v>202</v>
          </cell>
          <cell r="F1190">
            <v>1187</v>
          </cell>
          <cell r="G1190">
            <v>227</v>
          </cell>
          <cell r="H1190">
            <v>1153</v>
          </cell>
          <cell r="I1190">
            <v>217</v>
          </cell>
          <cell r="J1190">
            <v>34</v>
          </cell>
          <cell r="K1190">
            <v>36</v>
          </cell>
          <cell r="L1190">
            <v>34</v>
          </cell>
          <cell r="M1190">
            <v>36</v>
          </cell>
          <cell r="N1190">
            <v>0</v>
          </cell>
          <cell r="O1190">
            <v>11</v>
          </cell>
          <cell r="P1190">
            <v>0</v>
          </cell>
          <cell r="Q1190">
            <v>11</v>
          </cell>
          <cell r="R1190">
            <v>0</v>
          </cell>
          <cell r="S1190">
            <v>11</v>
          </cell>
          <cell r="T1190">
            <v>0</v>
          </cell>
          <cell r="U1190">
            <v>11</v>
          </cell>
          <cell r="V1190">
            <v>124</v>
          </cell>
          <cell r="W1190">
            <v>67</v>
          </cell>
          <cell r="X1190">
            <v>37</v>
          </cell>
          <cell r="Y1190">
            <v>41</v>
          </cell>
          <cell r="Z1190">
            <v>0</v>
          </cell>
          <cell r="AA1190">
            <v>11</v>
          </cell>
          <cell r="AB1190">
            <v>30</v>
          </cell>
          <cell r="AC1190">
            <v>47</v>
          </cell>
          <cell r="AD1190">
            <v>57</v>
          </cell>
          <cell r="AE1190">
            <v>46</v>
          </cell>
          <cell r="AF1190">
            <v>0</v>
          </cell>
          <cell r="AG1190">
            <v>11</v>
          </cell>
          <cell r="AH1190">
            <v>0</v>
          </cell>
          <cell r="AI1190">
            <v>11</v>
          </cell>
          <cell r="AJ1190">
            <v>0</v>
          </cell>
          <cell r="AK1190">
            <v>11</v>
          </cell>
          <cell r="AL1190">
            <v>8</v>
          </cell>
          <cell r="AM1190">
            <v>13</v>
          </cell>
          <cell r="AN1190">
            <v>8</v>
          </cell>
          <cell r="AO1190">
            <v>14</v>
          </cell>
          <cell r="AP1190">
            <v>111</v>
          </cell>
          <cell r="AQ1190">
            <v>85</v>
          </cell>
          <cell r="AR1190">
            <v>0</v>
          </cell>
          <cell r="AS1190">
            <v>11</v>
          </cell>
        </row>
        <row r="1191">
          <cell r="B1191">
            <v>17031829500</v>
          </cell>
          <cell r="D1191">
            <v>1562</v>
          </cell>
          <cell r="E1191">
            <v>209</v>
          </cell>
          <cell r="F1191">
            <v>1547</v>
          </cell>
          <cell r="G1191">
            <v>208</v>
          </cell>
          <cell r="H1191">
            <v>1334</v>
          </cell>
          <cell r="I1191">
            <v>217</v>
          </cell>
          <cell r="J1191">
            <v>213</v>
          </cell>
          <cell r="K1191">
            <v>90</v>
          </cell>
          <cell r="L1191">
            <v>173</v>
          </cell>
          <cell r="M1191">
            <v>82</v>
          </cell>
          <cell r="N1191">
            <v>27</v>
          </cell>
          <cell r="O1191">
            <v>44</v>
          </cell>
          <cell r="P1191">
            <v>0</v>
          </cell>
          <cell r="Q1191">
            <v>11</v>
          </cell>
          <cell r="R1191">
            <v>0</v>
          </cell>
          <cell r="S1191">
            <v>11</v>
          </cell>
          <cell r="T1191">
            <v>13</v>
          </cell>
          <cell r="U1191">
            <v>17</v>
          </cell>
          <cell r="V1191">
            <v>15</v>
          </cell>
          <cell r="W1191">
            <v>19</v>
          </cell>
          <cell r="X1191">
            <v>0</v>
          </cell>
          <cell r="Y1191">
            <v>11</v>
          </cell>
          <cell r="Z1191">
            <v>0</v>
          </cell>
          <cell r="AA1191">
            <v>11</v>
          </cell>
          <cell r="AB1191">
            <v>0</v>
          </cell>
          <cell r="AC1191">
            <v>11</v>
          </cell>
          <cell r="AD1191">
            <v>15</v>
          </cell>
          <cell r="AE1191">
            <v>19</v>
          </cell>
          <cell r="AF1191">
            <v>0</v>
          </cell>
          <cell r="AG1191">
            <v>11</v>
          </cell>
          <cell r="AH1191">
            <v>0</v>
          </cell>
          <cell r="AI1191">
            <v>11</v>
          </cell>
          <cell r="AJ1191">
            <v>0</v>
          </cell>
          <cell r="AK1191">
            <v>11</v>
          </cell>
          <cell r="AL1191">
            <v>0</v>
          </cell>
          <cell r="AM1191">
            <v>11</v>
          </cell>
          <cell r="AN1191">
            <v>0</v>
          </cell>
          <cell r="AO1191">
            <v>11</v>
          </cell>
          <cell r="AP1191">
            <v>0</v>
          </cell>
          <cell r="AQ1191">
            <v>11</v>
          </cell>
          <cell r="AR1191">
            <v>0</v>
          </cell>
          <cell r="AS1191">
            <v>11</v>
          </cell>
        </row>
        <row r="1192">
          <cell r="B1192">
            <v>17031829600</v>
          </cell>
          <cell r="D1192">
            <v>1380</v>
          </cell>
          <cell r="E1192">
            <v>257</v>
          </cell>
          <cell r="F1192">
            <v>1318</v>
          </cell>
          <cell r="G1192">
            <v>268</v>
          </cell>
          <cell r="H1192">
            <v>1252</v>
          </cell>
          <cell r="I1192">
            <v>250</v>
          </cell>
          <cell r="J1192">
            <v>66</v>
          </cell>
          <cell r="K1192">
            <v>51</v>
          </cell>
          <cell r="L1192">
            <v>66</v>
          </cell>
          <cell r="M1192">
            <v>51</v>
          </cell>
          <cell r="N1192">
            <v>0</v>
          </cell>
          <cell r="O1192">
            <v>11</v>
          </cell>
          <cell r="P1192">
            <v>0</v>
          </cell>
          <cell r="Q1192">
            <v>11</v>
          </cell>
          <cell r="R1192">
            <v>0</v>
          </cell>
          <cell r="S1192">
            <v>11</v>
          </cell>
          <cell r="T1192">
            <v>0</v>
          </cell>
          <cell r="U1192">
            <v>11</v>
          </cell>
          <cell r="V1192">
            <v>2</v>
          </cell>
          <cell r="W1192">
            <v>6</v>
          </cell>
          <cell r="X1192">
            <v>2</v>
          </cell>
          <cell r="Y1192">
            <v>6</v>
          </cell>
          <cell r="Z1192">
            <v>0</v>
          </cell>
          <cell r="AA1192">
            <v>11</v>
          </cell>
          <cell r="AB1192">
            <v>0</v>
          </cell>
          <cell r="AC1192">
            <v>11</v>
          </cell>
          <cell r="AD1192">
            <v>0</v>
          </cell>
          <cell r="AE1192">
            <v>11</v>
          </cell>
          <cell r="AF1192">
            <v>0</v>
          </cell>
          <cell r="AG1192">
            <v>11</v>
          </cell>
          <cell r="AH1192">
            <v>0</v>
          </cell>
          <cell r="AI1192">
            <v>11</v>
          </cell>
          <cell r="AJ1192">
            <v>22</v>
          </cell>
          <cell r="AK1192">
            <v>23</v>
          </cell>
          <cell r="AL1192">
            <v>0</v>
          </cell>
          <cell r="AM1192">
            <v>11</v>
          </cell>
          <cell r="AN1192">
            <v>17</v>
          </cell>
          <cell r="AO1192">
            <v>26</v>
          </cell>
          <cell r="AP1192">
            <v>0</v>
          </cell>
          <cell r="AQ1192">
            <v>11</v>
          </cell>
          <cell r="AR1192">
            <v>21</v>
          </cell>
          <cell r="AS1192">
            <v>25</v>
          </cell>
        </row>
        <row r="1193">
          <cell r="B1193">
            <v>17031829700</v>
          </cell>
          <cell r="D1193">
            <v>1285</v>
          </cell>
          <cell r="E1193">
            <v>176</v>
          </cell>
          <cell r="F1193">
            <v>1022</v>
          </cell>
          <cell r="G1193">
            <v>161</v>
          </cell>
          <cell r="H1193">
            <v>943</v>
          </cell>
          <cell r="I1193">
            <v>147</v>
          </cell>
          <cell r="J1193">
            <v>79</v>
          </cell>
          <cell r="K1193">
            <v>37</v>
          </cell>
          <cell r="L1193">
            <v>64</v>
          </cell>
          <cell r="M1193">
            <v>35</v>
          </cell>
          <cell r="N1193">
            <v>7</v>
          </cell>
          <cell r="O1193">
            <v>10</v>
          </cell>
          <cell r="P1193">
            <v>0</v>
          </cell>
          <cell r="Q1193">
            <v>11</v>
          </cell>
          <cell r="R1193">
            <v>8</v>
          </cell>
          <cell r="S1193">
            <v>12</v>
          </cell>
          <cell r="T1193">
            <v>0</v>
          </cell>
          <cell r="U1193">
            <v>11</v>
          </cell>
          <cell r="V1193">
            <v>107</v>
          </cell>
          <cell r="W1193">
            <v>56</v>
          </cell>
          <cell r="X1193">
            <v>83</v>
          </cell>
          <cell r="Y1193">
            <v>50</v>
          </cell>
          <cell r="Z1193">
            <v>0</v>
          </cell>
          <cell r="AA1193">
            <v>11</v>
          </cell>
          <cell r="AB1193">
            <v>0</v>
          </cell>
          <cell r="AC1193">
            <v>11</v>
          </cell>
          <cell r="AD1193">
            <v>24</v>
          </cell>
          <cell r="AE1193">
            <v>25</v>
          </cell>
          <cell r="AF1193">
            <v>0</v>
          </cell>
          <cell r="AG1193">
            <v>11</v>
          </cell>
          <cell r="AH1193">
            <v>0</v>
          </cell>
          <cell r="AI1193">
            <v>11</v>
          </cell>
          <cell r="AJ1193">
            <v>0</v>
          </cell>
          <cell r="AK1193">
            <v>11</v>
          </cell>
          <cell r="AL1193">
            <v>0</v>
          </cell>
          <cell r="AM1193">
            <v>11</v>
          </cell>
          <cell r="AN1193">
            <v>54</v>
          </cell>
          <cell r="AO1193">
            <v>50</v>
          </cell>
          <cell r="AP1193">
            <v>22</v>
          </cell>
          <cell r="AQ1193">
            <v>24</v>
          </cell>
          <cell r="AR1193">
            <v>80</v>
          </cell>
          <cell r="AS1193">
            <v>48</v>
          </cell>
        </row>
        <row r="1194">
          <cell r="B1194">
            <v>17031829800</v>
          </cell>
          <cell r="D1194">
            <v>3088</v>
          </cell>
          <cell r="E1194">
            <v>397</v>
          </cell>
          <cell r="F1194">
            <v>2211</v>
          </cell>
          <cell r="G1194">
            <v>375</v>
          </cell>
          <cell r="H1194">
            <v>2005</v>
          </cell>
          <cell r="I1194">
            <v>356</v>
          </cell>
          <cell r="J1194">
            <v>206</v>
          </cell>
          <cell r="K1194">
            <v>141</v>
          </cell>
          <cell r="L1194">
            <v>114</v>
          </cell>
          <cell r="M1194">
            <v>91</v>
          </cell>
          <cell r="N1194">
            <v>92</v>
          </cell>
          <cell r="O1194">
            <v>94</v>
          </cell>
          <cell r="P1194">
            <v>0</v>
          </cell>
          <cell r="Q1194">
            <v>15</v>
          </cell>
          <cell r="R1194">
            <v>0</v>
          </cell>
          <cell r="S1194">
            <v>15</v>
          </cell>
          <cell r="T1194">
            <v>0</v>
          </cell>
          <cell r="U1194">
            <v>15</v>
          </cell>
          <cell r="V1194">
            <v>575</v>
          </cell>
          <cell r="W1194">
            <v>179</v>
          </cell>
          <cell r="X1194">
            <v>83</v>
          </cell>
          <cell r="Y1194">
            <v>81</v>
          </cell>
          <cell r="Z1194">
            <v>0</v>
          </cell>
          <cell r="AA1194">
            <v>15</v>
          </cell>
          <cell r="AB1194">
            <v>108</v>
          </cell>
          <cell r="AC1194">
            <v>85</v>
          </cell>
          <cell r="AD1194">
            <v>384</v>
          </cell>
          <cell r="AE1194">
            <v>157</v>
          </cell>
          <cell r="AF1194">
            <v>0</v>
          </cell>
          <cell r="AG1194">
            <v>15</v>
          </cell>
          <cell r="AH1194">
            <v>0</v>
          </cell>
          <cell r="AI1194">
            <v>15</v>
          </cell>
          <cell r="AJ1194">
            <v>0</v>
          </cell>
          <cell r="AK1194">
            <v>15</v>
          </cell>
          <cell r="AL1194">
            <v>0</v>
          </cell>
          <cell r="AM1194">
            <v>15</v>
          </cell>
          <cell r="AN1194">
            <v>67</v>
          </cell>
          <cell r="AO1194">
            <v>62</v>
          </cell>
          <cell r="AP1194">
            <v>0</v>
          </cell>
          <cell r="AQ1194">
            <v>15</v>
          </cell>
          <cell r="AR1194">
            <v>235</v>
          </cell>
          <cell r="AS1194">
            <v>128</v>
          </cell>
        </row>
        <row r="1195">
          <cell r="B1195">
            <v>17031829901</v>
          </cell>
          <cell r="D1195">
            <v>3853</v>
          </cell>
          <cell r="E1195">
            <v>382</v>
          </cell>
          <cell r="F1195">
            <v>3421</v>
          </cell>
          <cell r="G1195">
            <v>375</v>
          </cell>
          <cell r="H1195">
            <v>3185</v>
          </cell>
          <cell r="I1195">
            <v>358</v>
          </cell>
          <cell r="J1195">
            <v>236</v>
          </cell>
          <cell r="K1195">
            <v>137</v>
          </cell>
          <cell r="L1195">
            <v>222</v>
          </cell>
          <cell r="M1195">
            <v>132</v>
          </cell>
          <cell r="N1195">
            <v>14</v>
          </cell>
          <cell r="O1195">
            <v>23</v>
          </cell>
          <cell r="P1195">
            <v>0</v>
          </cell>
          <cell r="Q1195">
            <v>15</v>
          </cell>
          <cell r="R1195">
            <v>0</v>
          </cell>
          <cell r="S1195">
            <v>15</v>
          </cell>
          <cell r="T1195">
            <v>0</v>
          </cell>
          <cell r="U1195">
            <v>15</v>
          </cell>
          <cell r="V1195">
            <v>229</v>
          </cell>
          <cell r="W1195">
            <v>138</v>
          </cell>
          <cell r="X1195">
            <v>0</v>
          </cell>
          <cell r="Y1195">
            <v>15</v>
          </cell>
          <cell r="Z1195">
            <v>0</v>
          </cell>
          <cell r="AA1195">
            <v>15</v>
          </cell>
          <cell r="AB1195">
            <v>82</v>
          </cell>
          <cell r="AC1195">
            <v>91</v>
          </cell>
          <cell r="AD1195">
            <v>147</v>
          </cell>
          <cell r="AE1195">
            <v>98</v>
          </cell>
          <cell r="AF1195">
            <v>0</v>
          </cell>
          <cell r="AG1195">
            <v>15</v>
          </cell>
          <cell r="AH1195">
            <v>0</v>
          </cell>
          <cell r="AI1195">
            <v>15</v>
          </cell>
          <cell r="AJ1195">
            <v>0</v>
          </cell>
          <cell r="AK1195">
            <v>15</v>
          </cell>
          <cell r="AL1195">
            <v>13</v>
          </cell>
          <cell r="AM1195">
            <v>25</v>
          </cell>
          <cell r="AN1195">
            <v>0</v>
          </cell>
          <cell r="AO1195">
            <v>15</v>
          </cell>
          <cell r="AP1195">
            <v>13</v>
          </cell>
          <cell r="AQ1195">
            <v>21</v>
          </cell>
          <cell r="AR1195">
            <v>177</v>
          </cell>
          <cell r="AS1195">
            <v>126</v>
          </cell>
        </row>
        <row r="1196">
          <cell r="B1196">
            <v>17031829902</v>
          </cell>
          <cell r="D1196">
            <v>2582</v>
          </cell>
          <cell r="E1196">
            <v>422</v>
          </cell>
          <cell r="F1196">
            <v>2053</v>
          </cell>
          <cell r="G1196">
            <v>324</v>
          </cell>
          <cell r="H1196">
            <v>1813</v>
          </cell>
          <cell r="I1196">
            <v>296</v>
          </cell>
          <cell r="J1196">
            <v>240</v>
          </cell>
          <cell r="K1196">
            <v>142</v>
          </cell>
          <cell r="L1196">
            <v>240</v>
          </cell>
          <cell r="M1196">
            <v>142</v>
          </cell>
          <cell r="N1196">
            <v>0</v>
          </cell>
          <cell r="O1196">
            <v>15</v>
          </cell>
          <cell r="P1196">
            <v>0</v>
          </cell>
          <cell r="Q1196">
            <v>15</v>
          </cell>
          <cell r="R1196">
            <v>0</v>
          </cell>
          <cell r="S1196">
            <v>15</v>
          </cell>
          <cell r="T1196">
            <v>0</v>
          </cell>
          <cell r="U1196">
            <v>15</v>
          </cell>
          <cell r="V1196">
            <v>257</v>
          </cell>
          <cell r="W1196">
            <v>138</v>
          </cell>
          <cell r="X1196">
            <v>34</v>
          </cell>
          <cell r="Y1196">
            <v>53</v>
          </cell>
          <cell r="Z1196">
            <v>0</v>
          </cell>
          <cell r="AA1196">
            <v>15</v>
          </cell>
          <cell r="AB1196">
            <v>138</v>
          </cell>
          <cell r="AC1196">
            <v>128</v>
          </cell>
          <cell r="AD1196">
            <v>85</v>
          </cell>
          <cell r="AE1196">
            <v>59</v>
          </cell>
          <cell r="AF1196">
            <v>0</v>
          </cell>
          <cell r="AG1196">
            <v>15</v>
          </cell>
          <cell r="AH1196">
            <v>0</v>
          </cell>
          <cell r="AI1196">
            <v>15</v>
          </cell>
          <cell r="AJ1196">
            <v>0</v>
          </cell>
          <cell r="AK1196">
            <v>15</v>
          </cell>
          <cell r="AL1196">
            <v>0</v>
          </cell>
          <cell r="AM1196">
            <v>15</v>
          </cell>
          <cell r="AN1196">
            <v>0</v>
          </cell>
          <cell r="AO1196">
            <v>15</v>
          </cell>
          <cell r="AP1196">
            <v>0</v>
          </cell>
          <cell r="AQ1196">
            <v>15</v>
          </cell>
          <cell r="AR1196">
            <v>272</v>
          </cell>
          <cell r="AS1196">
            <v>177</v>
          </cell>
        </row>
        <row r="1197">
          <cell r="B1197">
            <v>17031830001</v>
          </cell>
          <cell r="D1197">
            <v>1008</v>
          </cell>
          <cell r="E1197">
            <v>200</v>
          </cell>
          <cell r="F1197">
            <v>956</v>
          </cell>
          <cell r="G1197">
            <v>190</v>
          </cell>
          <cell r="H1197">
            <v>818</v>
          </cell>
          <cell r="I1197">
            <v>208</v>
          </cell>
          <cell r="J1197">
            <v>138</v>
          </cell>
          <cell r="K1197">
            <v>81</v>
          </cell>
          <cell r="L1197">
            <v>138</v>
          </cell>
          <cell r="M1197">
            <v>81</v>
          </cell>
          <cell r="N1197">
            <v>0</v>
          </cell>
          <cell r="O1197">
            <v>11</v>
          </cell>
          <cell r="P1197">
            <v>0</v>
          </cell>
          <cell r="Q1197">
            <v>11</v>
          </cell>
          <cell r="R1197">
            <v>0</v>
          </cell>
          <cell r="S1197">
            <v>11</v>
          </cell>
          <cell r="T1197">
            <v>0</v>
          </cell>
          <cell r="U1197">
            <v>11</v>
          </cell>
          <cell r="V1197">
            <v>19</v>
          </cell>
          <cell r="W1197">
            <v>23</v>
          </cell>
          <cell r="X1197">
            <v>0</v>
          </cell>
          <cell r="Y1197">
            <v>11</v>
          </cell>
          <cell r="Z1197">
            <v>0</v>
          </cell>
          <cell r="AA1197">
            <v>11</v>
          </cell>
          <cell r="AB1197">
            <v>0</v>
          </cell>
          <cell r="AC1197">
            <v>11</v>
          </cell>
          <cell r="AD1197">
            <v>19</v>
          </cell>
          <cell r="AE1197">
            <v>23</v>
          </cell>
          <cell r="AF1197">
            <v>0</v>
          </cell>
          <cell r="AG1197">
            <v>11</v>
          </cell>
          <cell r="AH1197">
            <v>0</v>
          </cell>
          <cell r="AI1197">
            <v>11</v>
          </cell>
          <cell r="AJ1197">
            <v>0</v>
          </cell>
          <cell r="AK1197">
            <v>11</v>
          </cell>
          <cell r="AL1197">
            <v>0</v>
          </cell>
          <cell r="AM1197">
            <v>11</v>
          </cell>
          <cell r="AN1197">
            <v>10</v>
          </cell>
          <cell r="AO1197">
            <v>15</v>
          </cell>
          <cell r="AP1197">
            <v>0</v>
          </cell>
          <cell r="AQ1197">
            <v>11</v>
          </cell>
          <cell r="AR1197">
            <v>23</v>
          </cell>
          <cell r="AS1197">
            <v>24</v>
          </cell>
        </row>
        <row r="1198">
          <cell r="B1198">
            <v>17031830003</v>
          </cell>
          <cell r="D1198">
            <v>3554</v>
          </cell>
          <cell r="E1198">
            <v>430</v>
          </cell>
          <cell r="F1198">
            <v>2908</v>
          </cell>
          <cell r="G1198">
            <v>434</v>
          </cell>
          <cell r="H1198">
            <v>2568</v>
          </cell>
          <cell r="I1198">
            <v>385</v>
          </cell>
          <cell r="J1198">
            <v>340</v>
          </cell>
          <cell r="K1198">
            <v>157</v>
          </cell>
          <cell r="L1198">
            <v>229</v>
          </cell>
          <cell r="M1198">
            <v>112</v>
          </cell>
          <cell r="N1198">
            <v>64</v>
          </cell>
          <cell r="O1198">
            <v>55</v>
          </cell>
          <cell r="P1198">
            <v>47</v>
          </cell>
          <cell r="Q1198">
            <v>73</v>
          </cell>
          <cell r="R1198">
            <v>0</v>
          </cell>
          <cell r="S1198">
            <v>15</v>
          </cell>
          <cell r="T1198">
            <v>0</v>
          </cell>
          <cell r="U1198">
            <v>15</v>
          </cell>
          <cell r="V1198">
            <v>373</v>
          </cell>
          <cell r="W1198">
            <v>159</v>
          </cell>
          <cell r="X1198">
            <v>119</v>
          </cell>
          <cell r="Y1198">
            <v>89</v>
          </cell>
          <cell r="Z1198">
            <v>0</v>
          </cell>
          <cell r="AA1198">
            <v>15</v>
          </cell>
          <cell r="AB1198">
            <v>46</v>
          </cell>
          <cell r="AC1198">
            <v>51</v>
          </cell>
          <cell r="AD1198">
            <v>208</v>
          </cell>
          <cell r="AE1198">
            <v>121</v>
          </cell>
          <cell r="AF1198">
            <v>0</v>
          </cell>
          <cell r="AG1198">
            <v>15</v>
          </cell>
          <cell r="AH1198">
            <v>0</v>
          </cell>
          <cell r="AI1198">
            <v>15</v>
          </cell>
          <cell r="AJ1198">
            <v>0</v>
          </cell>
          <cell r="AK1198">
            <v>15</v>
          </cell>
          <cell r="AL1198">
            <v>0</v>
          </cell>
          <cell r="AM1198">
            <v>15</v>
          </cell>
          <cell r="AN1198">
            <v>0</v>
          </cell>
          <cell r="AO1198">
            <v>15</v>
          </cell>
          <cell r="AP1198">
            <v>32</v>
          </cell>
          <cell r="AQ1198">
            <v>36</v>
          </cell>
          <cell r="AR1198">
            <v>241</v>
          </cell>
          <cell r="AS1198">
            <v>131</v>
          </cell>
        </row>
        <row r="1199">
          <cell r="B1199">
            <v>17031830004</v>
          </cell>
          <cell r="D1199">
            <v>3771</v>
          </cell>
          <cell r="E1199">
            <v>525</v>
          </cell>
          <cell r="F1199">
            <v>3301</v>
          </cell>
          <cell r="G1199">
            <v>552</v>
          </cell>
          <cell r="H1199">
            <v>2803</v>
          </cell>
          <cell r="I1199">
            <v>525</v>
          </cell>
          <cell r="J1199">
            <v>498</v>
          </cell>
          <cell r="K1199">
            <v>401</v>
          </cell>
          <cell r="L1199">
            <v>401</v>
          </cell>
          <cell r="M1199">
            <v>316</v>
          </cell>
          <cell r="N1199">
            <v>94</v>
          </cell>
          <cell r="O1199">
            <v>108</v>
          </cell>
          <cell r="P1199">
            <v>0</v>
          </cell>
          <cell r="Q1199">
            <v>15</v>
          </cell>
          <cell r="R1199">
            <v>2</v>
          </cell>
          <cell r="S1199">
            <v>4</v>
          </cell>
          <cell r="T1199">
            <v>1</v>
          </cell>
          <cell r="U1199">
            <v>2</v>
          </cell>
          <cell r="V1199">
            <v>260</v>
          </cell>
          <cell r="W1199">
            <v>138</v>
          </cell>
          <cell r="X1199">
            <v>28</v>
          </cell>
          <cell r="Y1199">
            <v>46</v>
          </cell>
          <cell r="Z1199">
            <v>0</v>
          </cell>
          <cell r="AA1199">
            <v>15</v>
          </cell>
          <cell r="AB1199">
            <v>45</v>
          </cell>
          <cell r="AC1199">
            <v>54</v>
          </cell>
          <cell r="AD1199">
            <v>187</v>
          </cell>
          <cell r="AE1199">
            <v>108</v>
          </cell>
          <cell r="AF1199">
            <v>0</v>
          </cell>
          <cell r="AG1199">
            <v>15</v>
          </cell>
          <cell r="AH1199">
            <v>0</v>
          </cell>
          <cell r="AI1199">
            <v>15</v>
          </cell>
          <cell r="AJ1199">
            <v>0</v>
          </cell>
          <cell r="AK1199">
            <v>15</v>
          </cell>
          <cell r="AL1199">
            <v>0</v>
          </cell>
          <cell r="AM1199">
            <v>15</v>
          </cell>
          <cell r="AN1199">
            <v>28</v>
          </cell>
          <cell r="AO1199">
            <v>31</v>
          </cell>
          <cell r="AP1199">
            <v>0</v>
          </cell>
          <cell r="AQ1199">
            <v>15</v>
          </cell>
          <cell r="AR1199">
            <v>182</v>
          </cell>
          <cell r="AS1199">
            <v>147</v>
          </cell>
        </row>
        <row r="1200">
          <cell r="B1200">
            <v>17031830005</v>
          </cell>
          <cell r="D1200">
            <v>1866</v>
          </cell>
          <cell r="E1200">
            <v>220</v>
          </cell>
          <cell r="F1200">
            <v>1420</v>
          </cell>
          <cell r="G1200">
            <v>240</v>
          </cell>
          <cell r="H1200">
            <v>1358</v>
          </cell>
          <cell r="I1200">
            <v>245</v>
          </cell>
          <cell r="J1200">
            <v>62</v>
          </cell>
          <cell r="K1200">
            <v>57</v>
          </cell>
          <cell r="L1200">
            <v>25</v>
          </cell>
          <cell r="M1200">
            <v>28</v>
          </cell>
          <cell r="N1200">
            <v>0</v>
          </cell>
          <cell r="O1200">
            <v>11</v>
          </cell>
          <cell r="P1200">
            <v>0</v>
          </cell>
          <cell r="Q1200">
            <v>11</v>
          </cell>
          <cell r="R1200">
            <v>0</v>
          </cell>
          <cell r="S1200">
            <v>11</v>
          </cell>
          <cell r="T1200">
            <v>37</v>
          </cell>
          <cell r="U1200">
            <v>49</v>
          </cell>
          <cell r="V1200">
            <v>332</v>
          </cell>
          <cell r="W1200">
            <v>142</v>
          </cell>
          <cell r="X1200">
            <v>34</v>
          </cell>
          <cell r="Y1200">
            <v>47</v>
          </cell>
          <cell r="Z1200">
            <v>0</v>
          </cell>
          <cell r="AA1200">
            <v>11</v>
          </cell>
          <cell r="AB1200">
            <v>16</v>
          </cell>
          <cell r="AC1200">
            <v>23</v>
          </cell>
          <cell r="AD1200">
            <v>282</v>
          </cell>
          <cell r="AE1200">
            <v>139</v>
          </cell>
          <cell r="AF1200">
            <v>0</v>
          </cell>
          <cell r="AG1200">
            <v>11</v>
          </cell>
          <cell r="AH1200">
            <v>0</v>
          </cell>
          <cell r="AI1200">
            <v>11</v>
          </cell>
          <cell r="AJ1200">
            <v>0</v>
          </cell>
          <cell r="AK1200">
            <v>11</v>
          </cell>
          <cell r="AL1200">
            <v>0</v>
          </cell>
          <cell r="AM1200">
            <v>11</v>
          </cell>
          <cell r="AN1200">
            <v>0</v>
          </cell>
          <cell r="AO1200">
            <v>11</v>
          </cell>
          <cell r="AP1200">
            <v>71</v>
          </cell>
          <cell r="AQ1200">
            <v>56</v>
          </cell>
          <cell r="AR1200">
            <v>43</v>
          </cell>
          <cell r="AS1200">
            <v>41</v>
          </cell>
        </row>
        <row r="1201">
          <cell r="B1201">
            <v>17031830006</v>
          </cell>
          <cell r="D1201">
            <v>1021</v>
          </cell>
          <cell r="E1201">
            <v>187</v>
          </cell>
          <cell r="F1201">
            <v>804</v>
          </cell>
          <cell r="G1201">
            <v>162</v>
          </cell>
          <cell r="H1201">
            <v>766</v>
          </cell>
          <cell r="I1201">
            <v>149</v>
          </cell>
          <cell r="J1201">
            <v>38</v>
          </cell>
          <cell r="K1201">
            <v>41</v>
          </cell>
          <cell r="L1201">
            <v>38</v>
          </cell>
          <cell r="M1201">
            <v>41</v>
          </cell>
          <cell r="N1201">
            <v>0</v>
          </cell>
          <cell r="O1201">
            <v>11</v>
          </cell>
          <cell r="P1201">
            <v>0</v>
          </cell>
          <cell r="Q1201">
            <v>11</v>
          </cell>
          <cell r="R1201">
            <v>0</v>
          </cell>
          <cell r="S1201">
            <v>11</v>
          </cell>
          <cell r="T1201">
            <v>0</v>
          </cell>
          <cell r="U1201">
            <v>11</v>
          </cell>
          <cell r="V1201">
            <v>122</v>
          </cell>
          <cell r="W1201">
            <v>93</v>
          </cell>
          <cell r="X1201">
            <v>0</v>
          </cell>
          <cell r="Y1201">
            <v>11</v>
          </cell>
          <cell r="Z1201">
            <v>0</v>
          </cell>
          <cell r="AA1201">
            <v>11</v>
          </cell>
          <cell r="AB1201">
            <v>10</v>
          </cell>
          <cell r="AC1201">
            <v>16</v>
          </cell>
          <cell r="AD1201">
            <v>112</v>
          </cell>
          <cell r="AE1201">
            <v>87</v>
          </cell>
          <cell r="AF1201">
            <v>0</v>
          </cell>
          <cell r="AG1201">
            <v>11</v>
          </cell>
          <cell r="AH1201">
            <v>0</v>
          </cell>
          <cell r="AI1201">
            <v>11</v>
          </cell>
          <cell r="AJ1201">
            <v>0</v>
          </cell>
          <cell r="AK1201">
            <v>11</v>
          </cell>
          <cell r="AL1201">
            <v>0</v>
          </cell>
          <cell r="AM1201">
            <v>11</v>
          </cell>
          <cell r="AN1201">
            <v>12</v>
          </cell>
          <cell r="AO1201">
            <v>19</v>
          </cell>
          <cell r="AP1201">
            <v>12</v>
          </cell>
          <cell r="AQ1201">
            <v>20</v>
          </cell>
          <cell r="AR1201">
            <v>71</v>
          </cell>
          <cell r="AS1201">
            <v>47</v>
          </cell>
        </row>
        <row r="1202">
          <cell r="B1202">
            <v>17031830007</v>
          </cell>
          <cell r="D1202">
            <v>1988</v>
          </cell>
          <cell r="E1202">
            <v>248</v>
          </cell>
          <cell r="F1202">
            <v>1644</v>
          </cell>
          <cell r="G1202">
            <v>217</v>
          </cell>
          <cell r="H1202">
            <v>1619</v>
          </cell>
          <cell r="I1202">
            <v>217</v>
          </cell>
          <cell r="J1202">
            <v>25</v>
          </cell>
          <cell r="K1202">
            <v>28</v>
          </cell>
          <cell r="L1202">
            <v>25</v>
          </cell>
          <cell r="M1202">
            <v>28</v>
          </cell>
          <cell r="N1202">
            <v>0</v>
          </cell>
          <cell r="O1202">
            <v>11</v>
          </cell>
          <cell r="P1202">
            <v>0</v>
          </cell>
          <cell r="Q1202">
            <v>11</v>
          </cell>
          <cell r="R1202">
            <v>0</v>
          </cell>
          <cell r="S1202">
            <v>11</v>
          </cell>
          <cell r="T1202">
            <v>0</v>
          </cell>
          <cell r="U1202">
            <v>11</v>
          </cell>
          <cell r="V1202">
            <v>239</v>
          </cell>
          <cell r="W1202">
            <v>108</v>
          </cell>
          <cell r="X1202">
            <v>0</v>
          </cell>
          <cell r="Y1202">
            <v>11</v>
          </cell>
          <cell r="Z1202">
            <v>26</v>
          </cell>
          <cell r="AA1202">
            <v>37</v>
          </cell>
          <cell r="AB1202">
            <v>28</v>
          </cell>
          <cell r="AC1202">
            <v>27</v>
          </cell>
          <cell r="AD1202">
            <v>185</v>
          </cell>
          <cell r="AE1202">
            <v>105</v>
          </cell>
          <cell r="AF1202">
            <v>0</v>
          </cell>
          <cell r="AG1202">
            <v>11</v>
          </cell>
          <cell r="AH1202">
            <v>0</v>
          </cell>
          <cell r="AI1202">
            <v>11</v>
          </cell>
          <cell r="AJ1202">
            <v>0</v>
          </cell>
          <cell r="AK1202">
            <v>11</v>
          </cell>
          <cell r="AL1202">
            <v>0</v>
          </cell>
          <cell r="AM1202">
            <v>11</v>
          </cell>
          <cell r="AN1202">
            <v>25</v>
          </cell>
          <cell r="AO1202">
            <v>31</v>
          </cell>
          <cell r="AP1202">
            <v>53</v>
          </cell>
          <cell r="AQ1202">
            <v>60</v>
          </cell>
          <cell r="AR1202">
            <v>27</v>
          </cell>
          <cell r="AS1202">
            <v>22</v>
          </cell>
        </row>
        <row r="1203">
          <cell r="B1203">
            <v>17031830008</v>
          </cell>
          <cell r="D1203">
            <v>2138</v>
          </cell>
          <cell r="E1203">
            <v>255</v>
          </cell>
          <cell r="F1203">
            <v>1738</v>
          </cell>
          <cell r="G1203">
            <v>208</v>
          </cell>
          <cell r="H1203">
            <v>1586</v>
          </cell>
          <cell r="I1203">
            <v>211</v>
          </cell>
          <cell r="J1203">
            <v>152</v>
          </cell>
          <cell r="K1203">
            <v>80</v>
          </cell>
          <cell r="L1203">
            <v>142</v>
          </cell>
          <cell r="M1203">
            <v>80</v>
          </cell>
          <cell r="N1203">
            <v>10</v>
          </cell>
          <cell r="O1203">
            <v>15</v>
          </cell>
          <cell r="P1203">
            <v>0</v>
          </cell>
          <cell r="Q1203">
            <v>11</v>
          </cell>
          <cell r="R1203">
            <v>0</v>
          </cell>
          <cell r="S1203">
            <v>11</v>
          </cell>
          <cell r="T1203">
            <v>0</v>
          </cell>
          <cell r="U1203">
            <v>11</v>
          </cell>
          <cell r="V1203">
            <v>221</v>
          </cell>
          <cell r="W1203">
            <v>99</v>
          </cell>
          <cell r="X1203">
            <v>0</v>
          </cell>
          <cell r="Y1203">
            <v>11</v>
          </cell>
          <cell r="Z1203">
            <v>36</v>
          </cell>
          <cell r="AA1203">
            <v>56</v>
          </cell>
          <cell r="AB1203">
            <v>54</v>
          </cell>
          <cell r="AC1203">
            <v>39</v>
          </cell>
          <cell r="AD1203">
            <v>131</v>
          </cell>
          <cell r="AE1203">
            <v>81</v>
          </cell>
          <cell r="AF1203">
            <v>0</v>
          </cell>
          <cell r="AG1203">
            <v>11</v>
          </cell>
          <cell r="AH1203">
            <v>0</v>
          </cell>
          <cell r="AI1203">
            <v>11</v>
          </cell>
          <cell r="AJ1203">
            <v>0</v>
          </cell>
          <cell r="AK1203">
            <v>11</v>
          </cell>
          <cell r="AL1203">
            <v>0</v>
          </cell>
          <cell r="AM1203">
            <v>11</v>
          </cell>
          <cell r="AN1203">
            <v>24</v>
          </cell>
          <cell r="AO1203">
            <v>40</v>
          </cell>
          <cell r="AP1203">
            <v>94</v>
          </cell>
          <cell r="AQ1203">
            <v>89</v>
          </cell>
          <cell r="AR1203">
            <v>61</v>
          </cell>
          <cell r="AS1203">
            <v>47</v>
          </cell>
        </row>
        <row r="1204">
          <cell r="B1204">
            <v>17031830100</v>
          </cell>
          <cell r="D1204">
            <v>1295</v>
          </cell>
          <cell r="E1204">
            <v>182</v>
          </cell>
          <cell r="F1204">
            <v>1187</v>
          </cell>
          <cell r="G1204">
            <v>183</v>
          </cell>
          <cell r="H1204">
            <v>1187</v>
          </cell>
          <cell r="I1204">
            <v>183</v>
          </cell>
          <cell r="J1204">
            <v>0</v>
          </cell>
          <cell r="K1204">
            <v>11</v>
          </cell>
          <cell r="L1204">
            <v>0</v>
          </cell>
          <cell r="M1204">
            <v>11</v>
          </cell>
          <cell r="N1204">
            <v>0</v>
          </cell>
          <cell r="O1204">
            <v>11</v>
          </cell>
          <cell r="P1204">
            <v>0</v>
          </cell>
          <cell r="Q1204">
            <v>11</v>
          </cell>
          <cell r="R1204">
            <v>0</v>
          </cell>
          <cell r="S1204">
            <v>11</v>
          </cell>
          <cell r="T1204">
            <v>0</v>
          </cell>
          <cell r="U1204">
            <v>11</v>
          </cell>
          <cell r="V1204">
            <v>23</v>
          </cell>
          <cell r="W1204">
            <v>23</v>
          </cell>
          <cell r="X1204">
            <v>0</v>
          </cell>
          <cell r="Y1204">
            <v>11</v>
          </cell>
          <cell r="Z1204">
            <v>0</v>
          </cell>
          <cell r="AA1204">
            <v>11</v>
          </cell>
          <cell r="AB1204">
            <v>0</v>
          </cell>
          <cell r="AC1204">
            <v>11</v>
          </cell>
          <cell r="AD1204">
            <v>23</v>
          </cell>
          <cell r="AE1204">
            <v>23</v>
          </cell>
          <cell r="AF1204">
            <v>0</v>
          </cell>
          <cell r="AG1204">
            <v>11</v>
          </cell>
          <cell r="AH1204">
            <v>0</v>
          </cell>
          <cell r="AI1204">
            <v>11</v>
          </cell>
          <cell r="AJ1204">
            <v>0</v>
          </cell>
          <cell r="AK1204">
            <v>11</v>
          </cell>
          <cell r="AL1204">
            <v>0</v>
          </cell>
          <cell r="AM1204">
            <v>11</v>
          </cell>
          <cell r="AN1204">
            <v>0</v>
          </cell>
          <cell r="AO1204">
            <v>11</v>
          </cell>
          <cell r="AP1204">
            <v>26</v>
          </cell>
          <cell r="AQ1204">
            <v>28</v>
          </cell>
          <cell r="AR1204">
            <v>59</v>
          </cell>
          <cell r="AS1204">
            <v>38</v>
          </cell>
        </row>
        <row r="1205">
          <cell r="B1205">
            <v>17031830201</v>
          </cell>
          <cell r="D1205">
            <v>2606</v>
          </cell>
          <cell r="E1205">
            <v>385</v>
          </cell>
          <cell r="F1205">
            <v>2018</v>
          </cell>
          <cell r="G1205">
            <v>363</v>
          </cell>
          <cell r="H1205">
            <v>1958</v>
          </cell>
          <cell r="I1205">
            <v>360</v>
          </cell>
          <cell r="J1205">
            <v>60</v>
          </cell>
          <cell r="K1205">
            <v>56</v>
          </cell>
          <cell r="L1205">
            <v>49</v>
          </cell>
          <cell r="M1205">
            <v>53</v>
          </cell>
          <cell r="N1205">
            <v>11</v>
          </cell>
          <cell r="O1205">
            <v>22</v>
          </cell>
          <cell r="P1205">
            <v>0</v>
          </cell>
          <cell r="Q1205">
            <v>15</v>
          </cell>
          <cell r="R1205">
            <v>0</v>
          </cell>
          <cell r="S1205">
            <v>15</v>
          </cell>
          <cell r="T1205">
            <v>0</v>
          </cell>
          <cell r="U1205">
            <v>15</v>
          </cell>
          <cell r="V1205">
            <v>391</v>
          </cell>
          <cell r="W1205">
            <v>146</v>
          </cell>
          <cell r="X1205">
            <v>89</v>
          </cell>
          <cell r="Y1205">
            <v>96</v>
          </cell>
          <cell r="Z1205">
            <v>0</v>
          </cell>
          <cell r="AA1205">
            <v>15</v>
          </cell>
          <cell r="AB1205">
            <v>61</v>
          </cell>
          <cell r="AC1205">
            <v>80</v>
          </cell>
          <cell r="AD1205">
            <v>241</v>
          </cell>
          <cell r="AE1205">
            <v>114</v>
          </cell>
          <cell r="AF1205">
            <v>0</v>
          </cell>
          <cell r="AG1205">
            <v>15</v>
          </cell>
          <cell r="AH1205">
            <v>0</v>
          </cell>
          <cell r="AI1205">
            <v>15</v>
          </cell>
          <cell r="AJ1205">
            <v>0</v>
          </cell>
          <cell r="AK1205">
            <v>15</v>
          </cell>
          <cell r="AL1205">
            <v>0</v>
          </cell>
          <cell r="AM1205">
            <v>15</v>
          </cell>
          <cell r="AN1205">
            <v>0</v>
          </cell>
          <cell r="AO1205">
            <v>15</v>
          </cell>
          <cell r="AP1205">
            <v>56</v>
          </cell>
          <cell r="AQ1205">
            <v>69</v>
          </cell>
          <cell r="AR1205">
            <v>141</v>
          </cell>
          <cell r="AS1205">
            <v>115</v>
          </cell>
        </row>
        <row r="1206">
          <cell r="B1206">
            <v>17031830202</v>
          </cell>
          <cell r="D1206">
            <v>1434</v>
          </cell>
          <cell r="E1206">
            <v>195</v>
          </cell>
          <cell r="F1206">
            <v>1022</v>
          </cell>
          <cell r="G1206">
            <v>190</v>
          </cell>
          <cell r="H1206">
            <v>878</v>
          </cell>
          <cell r="I1206">
            <v>180</v>
          </cell>
          <cell r="J1206">
            <v>144</v>
          </cell>
          <cell r="K1206">
            <v>83</v>
          </cell>
          <cell r="L1206">
            <v>135</v>
          </cell>
          <cell r="M1206">
            <v>83</v>
          </cell>
          <cell r="N1206">
            <v>0</v>
          </cell>
          <cell r="O1206">
            <v>11</v>
          </cell>
          <cell r="P1206">
            <v>0</v>
          </cell>
          <cell r="Q1206">
            <v>11</v>
          </cell>
          <cell r="R1206">
            <v>9</v>
          </cell>
          <cell r="S1206">
            <v>20</v>
          </cell>
          <cell r="T1206">
            <v>0</v>
          </cell>
          <cell r="U1206">
            <v>11</v>
          </cell>
          <cell r="V1206">
            <v>299</v>
          </cell>
          <cell r="W1206">
            <v>104</v>
          </cell>
          <cell r="X1206">
            <v>48</v>
          </cell>
          <cell r="Y1206">
            <v>68</v>
          </cell>
          <cell r="Z1206">
            <v>0</v>
          </cell>
          <cell r="AA1206">
            <v>11</v>
          </cell>
          <cell r="AB1206">
            <v>40</v>
          </cell>
          <cell r="AC1206">
            <v>45</v>
          </cell>
          <cell r="AD1206">
            <v>211</v>
          </cell>
          <cell r="AE1206">
            <v>112</v>
          </cell>
          <cell r="AF1206">
            <v>0</v>
          </cell>
          <cell r="AG1206">
            <v>11</v>
          </cell>
          <cell r="AH1206">
            <v>0</v>
          </cell>
          <cell r="AI1206">
            <v>11</v>
          </cell>
          <cell r="AJ1206">
            <v>0</v>
          </cell>
          <cell r="AK1206">
            <v>11</v>
          </cell>
          <cell r="AL1206">
            <v>0</v>
          </cell>
          <cell r="AM1206">
            <v>11</v>
          </cell>
          <cell r="AN1206">
            <v>32</v>
          </cell>
          <cell r="AO1206">
            <v>34</v>
          </cell>
          <cell r="AP1206">
            <v>25</v>
          </cell>
          <cell r="AQ1206">
            <v>30</v>
          </cell>
          <cell r="AR1206">
            <v>56</v>
          </cell>
          <cell r="AS1206">
            <v>65</v>
          </cell>
        </row>
        <row r="1207">
          <cell r="B1207">
            <v>17031830300</v>
          </cell>
          <cell r="D1207">
            <v>1690</v>
          </cell>
          <cell r="E1207">
            <v>336</v>
          </cell>
          <cell r="F1207">
            <v>1316</v>
          </cell>
          <cell r="G1207">
            <v>300</v>
          </cell>
          <cell r="H1207">
            <v>995</v>
          </cell>
          <cell r="I1207">
            <v>257</v>
          </cell>
          <cell r="J1207">
            <v>321</v>
          </cell>
          <cell r="K1207">
            <v>155</v>
          </cell>
          <cell r="L1207">
            <v>257</v>
          </cell>
          <cell r="M1207">
            <v>129</v>
          </cell>
          <cell r="N1207">
            <v>64</v>
          </cell>
          <cell r="O1207">
            <v>79</v>
          </cell>
          <cell r="P1207">
            <v>0</v>
          </cell>
          <cell r="Q1207">
            <v>11</v>
          </cell>
          <cell r="R1207">
            <v>0</v>
          </cell>
          <cell r="S1207">
            <v>11</v>
          </cell>
          <cell r="T1207">
            <v>0</v>
          </cell>
          <cell r="U1207">
            <v>11</v>
          </cell>
          <cell r="V1207">
            <v>320</v>
          </cell>
          <cell r="W1207">
            <v>250</v>
          </cell>
          <cell r="X1207">
            <v>50</v>
          </cell>
          <cell r="Y1207">
            <v>56</v>
          </cell>
          <cell r="Z1207">
            <v>0</v>
          </cell>
          <cell r="AA1207">
            <v>11</v>
          </cell>
          <cell r="AB1207">
            <v>43</v>
          </cell>
          <cell r="AC1207">
            <v>49</v>
          </cell>
          <cell r="AD1207">
            <v>227</v>
          </cell>
          <cell r="AE1207">
            <v>242</v>
          </cell>
          <cell r="AF1207">
            <v>0</v>
          </cell>
          <cell r="AG1207">
            <v>11</v>
          </cell>
          <cell r="AH1207">
            <v>0</v>
          </cell>
          <cell r="AI1207">
            <v>11</v>
          </cell>
          <cell r="AJ1207">
            <v>0</v>
          </cell>
          <cell r="AK1207">
            <v>11</v>
          </cell>
          <cell r="AL1207">
            <v>0</v>
          </cell>
          <cell r="AM1207">
            <v>11</v>
          </cell>
          <cell r="AN1207">
            <v>16</v>
          </cell>
          <cell r="AO1207">
            <v>28</v>
          </cell>
          <cell r="AP1207">
            <v>0</v>
          </cell>
          <cell r="AQ1207">
            <v>11</v>
          </cell>
          <cell r="AR1207">
            <v>38</v>
          </cell>
          <cell r="AS1207">
            <v>46</v>
          </cell>
        </row>
        <row r="1208">
          <cell r="B1208">
            <v>17031830400</v>
          </cell>
          <cell r="D1208">
            <v>1956</v>
          </cell>
          <cell r="E1208">
            <v>297</v>
          </cell>
          <cell r="F1208">
            <v>1786</v>
          </cell>
          <cell r="G1208">
            <v>268</v>
          </cell>
          <cell r="H1208">
            <v>1660</v>
          </cell>
          <cell r="I1208">
            <v>259</v>
          </cell>
          <cell r="J1208">
            <v>126</v>
          </cell>
          <cell r="K1208">
            <v>75</v>
          </cell>
          <cell r="L1208">
            <v>120</v>
          </cell>
          <cell r="M1208">
            <v>74</v>
          </cell>
          <cell r="N1208">
            <v>6</v>
          </cell>
          <cell r="O1208">
            <v>11</v>
          </cell>
          <cell r="P1208">
            <v>0</v>
          </cell>
          <cell r="Q1208">
            <v>11</v>
          </cell>
          <cell r="R1208">
            <v>0</v>
          </cell>
          <cell r="S1208">
            <v>11</v>
          </cell>
          <cell r="T1208">
            <v>0</v>
          </cell>
          <cell r="U1208">
            <v>11</v>
          </cell>
          <cell r="V1208">
            <v>119</v>
          </cell>
          <cell r="W1208">
            <v>70</v>
          </cell>
          <cell r="X1208">
            <v>11</v>
          </cell>
          <cell r="Y1208">
            <v>19</v>
          </cell>
          <cell r="Z1208">
            <v>0</v>
          </cell>
          <cell r="AA1208">
            <v>11</v>
          </cell>
          <cell r="AB1208">
            <v>83</v>
          </cell>
          <cell r="AC1208">
            <v>61</v>
          </cell>
          <cell r="AD1208">
            <v>25</v>
          </cell>
          <cell r="AE1208">
            <v>25</v>
          </cell>
          <cell r="AF1208">
            <v>0</v>
          </cell>
          <cell r="AG1208">
            <v>11</v>
          </cell>
          <cell r="AH1208">
            <v>0</v>
          </cell>
          <cell r="AI1208">
            <v>11</v>
          </cell>
          <cell r="AJ1208">
            <v>0</v>
          </cell>
          <cell r="AK1208">
            <v>11</v>
          </cell>
          <cell r="AL1208">
            <v>10</v>
          </cell>
          <cell r="AM1208">
            <v>15</v>
          </cell>
          <cell r="AN1208">
            <v>0</v>
          </cell>
          <cell r="AO1208">
            <v>11</v>
          </cell>
          <cell r="AP1208">
            <v>8</v>
          </cell>
          <cell r="AQ1208">
            <v>13</v>
          </cell>
          <cell r="AR1208">
            <v>33</v>
          </cell>
          <cell r="AS1208">
            <v>39</v>
          </cell>
        </row>
        <row r="1209">
          <cell r="B1209">
            <v>17031830500</v>
          </cell>
          <cell r="D1209">
            <v>1779</v>
          </cell>
          <cell r="E1209">
            <v>276</v>
          </cell>
          <cell r="F1209">
            <v>1231</v>
          </cell>
          <cell r="G1209">
            <v>250</v>
          </cell>
          <cell r="H1209">
            <v>925</v>
          </cell>
          <cell r="I1209">
            <v>258</v>
          </cell>
          <cell r="J1209">
            <v>306</v>
          </cell>
          <cell r="K1209">
            <v>136</v>
          </cell>
          <cell r="L1209">
            <v>130</v>
          </cell>
          <cell r="M1209">
            <v>98</v>
          </cell>
          <cell r="N1209">
            <v>102</v>
          </cell>
          <cell r="O1209">
            <v>82</v>
          </cell>
          <cell r="P1209">
            <v>60</v>
          </cell>
          <cell r="Q1209">
            <v>81</v>
          </cell>
          <cell r="R1209">
            <v>0</v>
          </cell>
          <cell r="S1209">
            <v>11</v>
          </cell>
          <cell r="T1209">
            <v>14</v>
          </cell>
          <cell r="U1209">
            <v>24</v>
          </cell>
          <cell r="V1209">
            <v>300</v>
          </cell>
          <cell r="W1209">
            <v>153</v>
          </cell>
          <cell r="X1209">
            <v>196</v>
          </cell>
          <cell r="Y1209">
            <v>133</v>
          </cell>
          <cell r="Z1209">
            <v>0</v>
          </cell>
          <cell r="AA1209">
            <v>11</v>
          </cell>
          <cell r="AB1209">
            <v>104</v>
          </cell>
          <cell r="AC1209">
            <v>58</v>
          </cell>
          <cell r="AD1209">
            <v>0</v>
          </cell>
          <cell r="AE1209">
            <v>11</v>
          </cell>
          <cell r="AF1209">
            <v>0</v>
          </cell>
          <cell r="AG1209">
            <v>11</v>
          </cell>
          <cell r="AH1209">
            <v>0</v>
          </cell>
          <cell r="AI1209">
            <v>11</v>
          </cell>
          <cell r="AJ1209">
            <v>0</v>
          </cell>
          <cell r="AK1209">
            <v>11</v>
          </cell>
          <cell r="AL1209">
            <v>8</v>
          </cell>
          <cell r="AM1209">
            <v>12</v>
          </cell>
          <cell r="AN1209">
            <v>135</v>
          </cell>
          <cell r="AO1209">
            <v>80</v>
          </cell>
          <cell r="AP1209">
            <v>57</v>
          </cell>
          <cell r="AQ1209">
            <v>75</v>
          </cell>
          <cell r="AR1209">
            <v>48</v>
          </cell>
          <cell r="AS1209">
            <v>38</v>
          </cell>
        </row>
        <row r="1210">
          <cell r="B1210">
            <v>17031830600</v>
          </cell>
          <cell r="D1210">
            <v>2784</v>
          </cell>
          <cell r="E1210">
            <v>326</v>
          </cell>
          <cell r="F1210">
            <v>1190</v>
          </cell>
          <cell r="G1210">
            <v>197</v>
          </cell>
          <cell r="H1210">
            <v>1048</v>
          </cell>
          <cell r="I1210">
            <v>178</v>
          </cell>
          <cell r="J1210">
            <v>142</v>
          </cell>
          <cell r="K1210">
            <v>70</v>
          </cell>
          <cell r="L1210">
            <v>84</v>
          </cell>
          <cell r="M1210">
            <v>56</v>
          </cell>
          <cell r="N1210">
            <v>48</v>
          </cell>
          <cell r="O1210">
            <v>39</v>
          </cell>
          <cell r="P1210">
            <v>10</v>
          </cell>
          <cell r="Q1210">
            <v>15</v>
          </cell>
          <cell r="R1210">
            <v>0</v>
          </cell>
          <cell r="S1210">
            <v>11</v>
          </cell>
          <cell r="T1210">
            <v>0</v>
          </cell>
          <cell r="U1210">
            <v>11</v>
          </cell>
          <cell r="V1210">
            <v>1146</v>
          </cell>
          <cell r="W1210">
            <v>263</v>
          </cell>
          <cell r="X1210">
            <v>520</v>
          </cell>
          <cell r="Y1210">
            <v>235</v>
          </cell>
          <cell r="Z1210">
            <v>20</v>
          </cell>
          <cell r="AA1210">
            <v>33</v>
          </cell>
          <cell r="AB1210">
            <v>461</v>
          </cell>
          <cell r="AC1210">
            <v>143</v>
          </cell>
          <cell r="AD1210">
            <v>145</v>
          </cell>
          <cell r="AE1210">
            <v>76</v>
          </cell>
          <cell r="AF1210">
            <v>0</v>
          </cell>
          <cell r="AG1210">
            <v>11</v>
          </cell>
          <cell r="AH1210">
            <v>39</v>
          </cell>
          <cell r="AI1210">
            <v>47</v>
          </cell>
          <cell r="AJ1210">
            <v>41</v>
          </cell>
          <cell r="AK1210">
            <v>42</v>
          </cell>
          <cell r="AL1210">
            <v>77</v>
          </cell>
          <cell r="AM1210">
            <v>56</v>
          </cell>
          <cell r="AN1210">
            <v>90</v>
          </cell>
          <cell r="AO1210">
            <v>56</v>
          </cell>
          <cell r="AP1210">
            <v>76</v>
          </cell>
          <cell r="AQ1210">
            <v>91</v>
          </cell>
          <cell r="AR1210">
            <v>125</v>
          </cell>
          <cell r="AS1210">
            <v>82</v>
          </cell>
        </row>
        <row r="1211">
          <cell r="B1211">
            <v>17031830700</v>
          </cell>
          <cell r="D1211">
            <v>2012</v>
          </cell>
          <cell r="E1211">
            <v>250</v>
          </cell>
          <cell r="F1211">
            <v>635</v>
          </cell>
          <cell r="G1211">
            <v>134</v>
          </cell>
          <cell r="H1211">
            <v>597</v>
          </cell>
          <cell r="I1211">
            <v>127</v>
          </cell>
          <cell r="J1211">
            <v>38</v>
          </cell>
          <cell r="K1211">
            <v>32</v>
          </cell>
          <cell r="L1211">
            <v>38</v>
          </cell>
          <cell r="M1211">
            <v>32</v>
          </cell>
          <cell r="N1211">
            <v>0</v>
          </cell>
          <cell r="O1211">
            <v>11</v>
          </cell>
          <cell r="P1211">
            <v>0</v>
          </cell>
          <cell r="Q1211">
            <v>11</v>
          </cell>
          <cell r="R1211">
            <v>0</v>
          </cell>
          <cell r="S1211">
            <v>11</v>
          </cell>
          <cell r="T1211">
            <v>0</v>
          </cell>
          <cell r="U1211">
            <v>11</v>
          </cell>
          <cell r="V1211">
            <v>984</v>
          </cell>
          <cell r="W1211">
            <v>166</v>
          </cell>
          <cell r="X1211">
            <v>276</v>
          </cell>
          <cell r="Y1211">
            <v>103</v>
          </cell>
          <cell r="Z1211">
            <v>0</v>
          </cell>
          <cell r="AA1211">
            <v>11</v>
          </cell>
          <cell r="AB1211">
            <v>644</v>
          </cell>
          <cell r="AC1211">
            <v>169</v>
          </cell>
          <cell r="AD1211">
            <v>64</v>
          </cell>
          <cell r="AE1211">
            <v>65</v>
          </cell>
          <cell r="AF1211">
            <v>0</v>
          </cell>
          <cell r="AG1211">
            <v>11</v>
          </cell>
          <cell r="AH1211">
            <v>30</v>
          </cell>
          <cell r="AI1211">
            <v>36</v>
          </cell>
          <cell r="AJ1211">
            <v>0</v>
          </cell>
          <cell r="AK1211">
            <v>11</v>
          </cell>
          <cell r="AL1211">
            <v>99</v>
          </cell>
          <cell r="AM1211">
            <v>66</v>
          </cell>
          <cell r="AN1211">
            <v>158</v>
          </cell>
          <cell r="AO1211">
            <v>79</v>
          </cell>
          <cell r="AP1211">
            <v>7</v>
          </cell>
          <cell r="AQ1211">
            <v>11</v>
          </cell>
          <cell r="AR1211">
            <v>99</v>
          </cell>
          <cell r="AS1211">
            <v>50</v>
          </cell>
        </row>
        <row r="1212">
          <cell r="B1212">
            <v>17031830800</v>
          </cell>
          <cell r="D1212">
            <v>1801</v>
          </cell>
          <cell r="E1212">
            <v>165</v>
          </cell>
          <cell r="F1212">
            <v>621</v>
          </cell>
          <cell r="G1212">
            <v>126</v>
          </cell>
          <cell r="H1212">
            <v>493</v>
          </cell>
          <cell r="I1212">
            <v>111</v>
          </cell>
          <cell r="J1212">
            <v>128</v>
          </cell>
          <cell r="K1212">
            <v>78</v>
          </cell>
          <cell r="L1212">
            <v>123</v>
          </cell>
          <cell r="M1212">
            <v>77</v>
          </cell>
          <cell r="N1212">
            <v>0</v>
          </cell>
          <cell r="O1212">
            <v>11</v>
          </cell>
          <cell r="P1212">
            <v>5</v>
          </cell>
          <cell r="Q1212">
            <v>8</v>
          </cell>
          <cell r="R1212">
            <v>0</v>
          </cell>
          <cell r="S1212">
            <v>11</v>
          </cell>
          <cell r="T1212">
            <v>0</v>
          </cell>
          <cell r="U1212">
            <v>11</v>
          </cell>
          <cell r="V1212">
            <v>860</v>
          </cell>
          <cell r="W1212">
            <v>147</v>
          </cell>
          <cell r="X1212">
            <v>123</v>
          </cell>
          <cell r="Y1212">
            <v>72</v>
          </cell>
          <cell r="Z1212">
            <v>0</v>
          </cell>
          <cell r="AA1212">
            <v>11</v>
          </cell>
          <cell r="AB1212">
            <v>596</v>
          </cell>
          <cell r="AC1212">
            <v>132</v>
          </cell>
          <cell r="AD1212">
            <v>141</v>
          </cell>
          <cell r="AE1212">
            <v>62</v>
          </cell>
          <cell r="AF1212">
            <v>0</v>
          </cell>
          <cell r="AG1212">
            <v>11</v>
          </cell>
          <cell r="AH1212">
            <v>0</v>
          </cell>
          <cell r="AI1212">
            <v>11</v>
          </cell>
          <cell r="AJ1212">
            <v>0</v>
          </cell>
          <cell r="AK1212">
            <v>11</v>
          </cell>
          <cell r="AL1212">
            <v>51</v>
          </cell>
          <cell r="AM1212">
            <v>47</v>
          </cell>
          <cell r="AN1212">
            <v>91</v>
          </cell>
          <cell r="AO1212">
            <v>56</v>
          </cell>
          <cell r="AP1212">
            <v>36</v>
          </cell>
          <cell r="AQ1212">
            <v>55</v>
          </cell>
          <cell r="AR1212">
            <v>142</v>
          </cell>
          <cell r="AS1212">
            <v>77</v>
          </cell>
        </row>
        <row r="1213">
          <cell r="B1213">
            <v>17031830900</v>
          </cell>
          <cell r="D1213">
            <v>1939</v>
          </cell>
          <cell r="E1213">
            <v>151</v>
          </cell>
          <cell r="F1213">
            <v>1321</v>
          </cell>
          <cell r="G1213">
            <v>149</v>
          </cell>
          <cell r="H1213">
            <v>1200</v>
          </cell>
          <cell r="I1213">
            <v>153</v>
          </cell>
          <cell r="J1213">
            <v>121</v>
          </cell>
          <cell r="K1213">
            <v>58</v>
          </cell>
          <cell r="L1213">
            <v>88</v>
          </cell>
          <cell r="M1213">
            <v>50</v>
          </cell>
          <cell r="N1213">
            <v>15</v>
          </cell>
          <cell r="O1213">
            <v>24</v>
          </cell>
          <cell r="P1213">
            <v>18</v>
          </cell>
          <cell r="Q1213">
            <v>29</v>
          </cell>
          <cell r="R1213">
            <v>0</v>
          </cell>
          <cell r="S1213">
            <v>11</v>
          </cell>
          <cell r="T1213">
            <v>0</v>
          </cell>
          <cell r="U1213">
            <v>11</v>
          </cell>
          <cell r="V1213">
            <v>374</v>
          </cell>
          <cell r="W1213">
            <v>125</v>
          </cell>
          <cell r="X1213">
            <v>85</v>
          </cell>
          <cell r="Y1213">
            <v>37</v>
          </cell>
          <cell r="Z1213">
            <v>7</v>
          </cell>
          <cell r="AA1213">
            <v>12</v>
          </cell>
          <cell r="AB1213">
            <v>256</v>
          </cell>
          <cell r="AC1213">
            <v>112</v>
          </cell>
          <cell r="AD1213">
            <v>26</v>
          </cell>
          <cell r="AE1213">
            <v>24</v>
          </cell>
          <cell r="AF1213">
            <v>0</v>
          </cell>
          <cell r="AG1213">
            <v>11</v>
          </cell>
          <cell r="AH1213">
            <v>7</v>
          </cell>
          <cell r="AI1213">
            <v>12</v>
          </cell>
          <cell r="AJ1213">
            <v>0</v>
          </cell>
          <cell r="AK1213">
            <v>11</v>
          </cell>
          <cell r="AL1213">
            <v>50</v>
          </cell>
          <cell r="AM1213">
            <v>39</v>
          </cell>
          <cell r="AN1213">
            <v>84</v>
          </cell>
          <cell r="AO1213">
            <v>36</v>
          </cell>
          <cell r="AP1213">
            <v>10</v>
          </cell>
          <cell r="AQ1213">
            <v>19</v>
          </cell>
          <cell r="AR1213">
            <v>93</v>
          </cell>
          <cell r="AS1213">
            <v>48</v>
          </cell>
        </row>
        <row r="1214">
          <cell r="B1214">
            <v>17031831000</v>
          </cell>
          <cell r="D1214">
            <v>1586</v>
          </cell>
          <cell r="E1214">
            <v>156</v>
          </cell>
          <cell r="F1214">
            <v>660</v>
          </cell>
          <cell r="G1214">
            <v>133</v>
          </cell>
          <cell r="H1214">
            <v>587</v>
          </cell>
          <cell r="I1214">
            <v>128</v>
          </cell>
          <cell r="J1214">
            <v>73</v>
          </cell>
          <cell r="K1214">
            <v>57</v>
          </cell>
          <cell r="L1214">
            <v>52</v>
          </cell>
          <cell r="M1214">
            <v>47</v>
          </cell>
          <cell r="N1214">
            <v>0</v>
          </cell>
          <cell r="O1214">
            <v>11</v>
          </cell>
          <cell r="P1214">
            <v>21</v>
          </cell>
          <cell r="Q1214">
            <v>31</v>
          </cell>
          <cell r="R1214">
            <v>0</v>
          </cell>
          <cell r="S1214">
            <v>11</v>
          </cell>
          <cell r="T1214">
            <v>0</v>
          </cell>
          <cell r="U1214">
            <v>11</v>
          </cell>
          <cell r="V1214">
            <v>570</v>
          </cell>
          <cell r="W1214">
            <v>163</v>
          </cell>
          <cell r="X1214">
            <v>64</v>
          </cell>
          <cell r="Y1214">
            <v>52</v>
          </cell>
          <cell r="Z1214">
            <v>0</v>
          </cell>
          <cell r="AA1214">
            <v>11</v>
          </cell>
          <cell r="AB1214">
            <v>440</v>
          </cell>
          <cell r="AC1214">
            <v>138</v>
          </cell>
          <cell r="AD1214">
            <v>66</v>
          </cell>
          <cell r="AE1214">
            <v>39</v>
          </cell>
          <cell r="AF1214">
            <v>0</v>
          </cell>
          <cell r="AG1214">
            <v>11</v>
          </cell>
          <cell r="AH1214">
            <v>21</v>
          </cell>
          <cell r="AI1214">
            <v>21</v>
          </cell>
          <cell r="AJ1214">
            <v>0</v>
          </cell>
          <cell r="AK1214">
            <v>11</v>
          </cell>
          <cell r="AL1214">
            <v>72</v>
          </cell>
          <cell r="AM1214">
            <v>40</v>
          </cell>
          <cell r="AN1214">
            <v>52</v>
          </cell>
          <cell r="AO1214">
            <v>47</v>
          </cell>
          <cell r="AP1214">
            <v>29</v>
          </cell>
          <cell r="AQ1214">
            <v>35</v>
          </cell>
          <cell r="AR1214">
            <v>182</v>
          </cell>
          <cell r="AS1214">
            <v>69</v>
          </cell>
        </row>
        <row r="1215">
          <cell r="B1215">
            <v>17031831100</v>
          </cell>
          <cell r="D1215">
            <v>3967</v>
          </cell>
          <cell r="E1215">
            <v>475</v>
          </cell>
          <cell r="F1215">
            <v>2401</v>
          </cell>
          <cell r="G1215">
            <v>431</v>
          </cell>
          <cell r="H1215">
            <v>1986</v>
          </cell>
          <cell r="I1215">
            <v>351</v>
          </cell>
          <cell r="J1215">
            <v>415</v>
          </cell>
          <cell r="K1215">
            <v>220</v>
          </cell>
          <cell r="L1215">
            <v>268</v>
          </cell>
          <cell r="M1215">
            <v>184</v>
          </cell>
          <cell r="N1215">
            <v>19</v>
          </cell>
          <cell r="O1215">
            <v>34</v>
          </cell>
          <cell r="P1215">
            <v>128</v>
          </cell>
          <cell r="Q1215">
            <v>138</v>
          </cell>
          <cell r="R1215">
            <v>0</v>
          </cell>
          <cell r="S1215">
            <v>15</v>
          </cell>
          <cell r="T1215">
            <v>0</v>
          </cell>
          <cell r="U1215">
            <v>15</v>
          </cell>
          <cell r="V1215">
            <v>1301</v>
          </cell>
          <cell r="W1215">
            <v>315</v>
          </cell>
          <cell r="X1215">
            <v>493</v>
          </cell>
          <cell r="Y1215">
            <v>245</v>
          </cell>
          <cell r="Z1215">
            <v>0</v>
          </cell>
          <cell r="AA1215">
            <v>15</v>
          </cell>
          <cell r="AB1215">
            <v>765</v>
          </cell>
          <cell r="AC1215">
            <v>230</v>
          </cell>
          <cell r="AD1215">
            <v>43</v>
          </cell>
          <cell r="AE1215">
            <v>43</v>
          </cell>
          <cell r="AF1215">
            <v>0</v>
          </cell>
          <cell r="AG1215">
            <v>15</v>
          </cell>
          <cell r="AH1215">
            <v>14</v>
          </cell>
          <cell r="AI1215">
            <v>22</v>
          </cell>
          <cell r="AJ1215">
            <v>0</v>
          </cell>
          <cell r="AK1215">
            <v>15</v>
          </cell>
          <cell r="AL1215">
            <v>28</v>
          </cell>
          <cell r="AM1215">
            <v>33</v>
          </cell>
          <cell r="AN1215">
            <v>151</v>
          </cell>
          <cell r="AO1215">
            <v>120</v>
          </cell>
          <cell r="AP1215">
            <v>31</v>
          </cell>
          <cell r="AQ1215">
            <v>50</v>
          </cell>
          <cell r="AR1215">
            <v>41</v>
          </cell>
          <cell r="AS1215">
            <v>39</v>
          </cell>
        </row>
        <row r="1216">
          <cell r="B1216">
            <v>17031831200</v>
          </cell>
          <cell r="D1216">
            <v>2356</v>
          </cell>
          <cell r="E1216">
            <v>364</v>
          </cell>
          <cell r="F1216">
            <v>1698</v>
          </cell>
          <cell r="G1216">
            <v>284</v>
          </cell>
          <cell r="H1216">
            <v>1264</v>
          </cell>
          <cell r="I1216">
            <v>234</v>
          </cell>
          <cell r="J1216">
            <v>434</v>
          </cell>
          <cell r="K1216">
            <v>154</v>
          </cell>
          <cell r="L1216">
            <v>229</v>
          </cell>
          <cell r="M1216">
            <v>97</v>
          </cell>
          <cell r="N1216">
            <v>145</v>
          </cell>
          <cell r="O1216">
            <v>110</v>
          </cell>
          <cell r="P1216">
            <v>44</v>
          </cell>
          <cell r="Q1216">
            <v>54</v>
          </cell>
          <cell r="R1216">
            <v>16</v>
          </cell>
          <cell r="S1216">
            <v>26</v>
          </cell>
          <cell r="T1216">
            <v>0</v>
          </cell>
          <cell r="U1216">
            <v>11</v>
          </cell>
          <cell r="V1216">
            <v>348</v>
          </cell>
          <cell r="W1216">
            <v>105</v>
          </cell>
          <cell r="X1216">
            <v>247</v>
          </cell>
          <cell r="Y1216">
            <v>94</v>
          </cell>
          <cell r="Z1216">
            <v>0</v>
          </cell>
          <cell r="AA1216">
            <v>11</v>
          </cell>
          <cell r="AB1216">
            <v>46</v>
          </cell>
          <cell r="AC1216">
            <v>41</v>
          </cell>
          <cell r="AD1216">
            <v>55</v>
          </cell>
          <cell r="AE1216">
            <v>46</v>
          </cell>
          <cell r="AF1216">
            <v>0</v>
          </cell>
          <cell r="AG1216">
            <v>11</v>
          </cell>
          <cell r="AH1216">
            <v>0</v>
          </cell>
          <cell r="AI1216">
            <v>11</v>
          </cell>
          <cell r="AJ1216">
            <v>0</v>
          </cell>
          <cell r="AK1216">
            <v>11</v>
          </cell>
          <cell r="AL1216">
            <v>68</v>
          </cell>
          <cell r="AM1216">
            <v>58</v>
          </cell>
          <cell r="AN1216">
            <v>104</v>
          </cell>
          <cell r="AO1216">
            <v>64</v>
          </cell>
          <cell r="AP1216">
            <v>30</v>
          </cell>
          <cell r="AQ1216">
            <v>47</v>
          </cell>
          <cell r="AR1216">
            <v>108</v>
          </cell>
          <cell r="AS1216">
            <v>104</v>
          </cell>
        </row>
        <row r="1217">
          <cell r="B1217">
            <v>17031831300</v>
          </cell>
          <cell r="D1217">
            <v>397</v>
          </cell>
          <cell r="E1217">
            <v>113</v>
          </cell>
          <cell r="F1217">
            <v>228</v>
          </cell>
          <cell r="G1217">
            <v>90</v>
          </cell>
          <cell r="H1217">
            <v>190</v>
          </cell>
          <cell r="I1217">
            <v>80</v>
          </cell>
          <cell r="J1217">
            <v>38</v>
          </cell>
          <cell r="K1217">
            <v>45</v>
          </cell>
          <cell r="L1217">
            <v>29</v>
          </cell>
          <cell r="M1217">
            <v>43</v>
          </cell>
          <cell r="N1217">
            <v>9</v>
          </cell>
          <cell r="O1217">
            <v>14</v>
          </cell>
          <cell r="P1217">
            <v>0</v>
          </cell>
          <cell r="Q1217">
            <v>11</v>
          </cell>
          <cell r="R1217">
            <v>0</v>
          </cell>
          <cell r="S1217">
            <v>11</v>
          </cell>
          <cell r="T1217">
            <v>0</v>
          </cell>
          <cell r="U1217">
            <v>11</v>
          </cell>
          <cell r="V1217">
            <v>98</v>
          </cell>
          <cell r="W1217">
            <v>42</v>
          </cell>
          <cell r="X1217">
            <v>79</v>
          </cell>
          <cell r="Y1217">
            <v>43</v>
          </cell>
          <cell r="Z1217">
            <v>0</v>
          </cell>
          <cell r="AA1217">
            <v>11</v>
          </cell>
          <cell r="AB1217">
            <v>19</v>
          </cell>
          <cell r="AC1217">
            <v>20</v>
          </cell>
          <cell r="AD1217">
            <v>0</v>
          </cell>
          <cell r="AE1217">
            <v>11</v>
          </cell>
          <cell r="AF1217">
            <v>0</v>
          </cell>
          <cell r="AG1217">
            <v>11</v>
          </cell>
          <cell r="AH1217">
            <v>0</v>
          </cell>
          <cell r="AI1217">
            <v>11</v>
          </cell>
          <cell r="AJ1217">
            <v>0</v>
          </cell>
          <cell r="AK1217">
            <v>11</v>
          </cell>
          <cell r="AL1217">
            <v>0</v>
          </cell>
          <cell r="AM1217">
            <v>11</v>
          </cell>
          <cell r="AN1217">
            <v>0</v>
          </cell>
          <cell r="AO1217">
            <v>11</v>
          </cell>
          <cell r="AP1217">
            <v>0</v>
          </cell>
          <cell r="AQ1217">
            <v>11</v>
          </cell>
          <cell r="AR1217">
            <v>71</v>
          </cell>
          <cell r="AS1217">
            <v>36</v>
          </cell>
        </row>
        <row r="1218">
          <cell r="B1218">
            <v>17031831400</v>
          </cell>
          <cell r="D1218">
            <v>1056</v>
          </cell>
          <cell r="E1218">
            <v>171</v>
          </cell>
          <cell r="F1218">
            <v>656</v>
          </cell>
          <cell r="G1218">
            <v>122</v>
          </cell>
          <cell r="H1218">
            <v>575</v>
          </cell>
          <cell r="I1218">
            <v>128</v>
          </cell>
          <cell r="J1218">
            <v>81</v>
          </cell>
          <cell r="K1218">
            <v>59</v>
          </cell>
          <cell r="L1218">
            <v>54</v>
          </cell>
          <cell r="M1218">
            <v>46</v>
          </cell>
          <cell r="N1218">
            <v>27</v>
          </cell>
          <cell r="O1218">
            <v>31</v>
          </cell>
          <cell r="P1218">
            <v>0</v>
          </cell>
          <cell r="Q1218">
            <v>11</v>
          </cell>
          <cell r="R1218">
            <v>0</v>
          </cell>
          <cell r="S1218">
            <v>11</v>
          </cell>
          <cell r="T1218">
            <v>0</v>
          </cell>
          <cell r="U1218">
            <v>11</v>
          </cell>
          <cell r="V1218">
            <v>303</v>
          </cell>
          <cell r="W1218">
            <v>126</v>
          </cell>
          <cell r="X1218">
            <v>238</v>
          </cell>
          <cell r="Y1218">
            <v>121</v>
          </cell>
          <cell r="Z1218">
            <v>0</v>
          </cell>
          <cell r="AA1218">
            <v>11</v>
          </cell>
          <cell r="AB1218">
            <v>54</v>
          </cell>
          <cell r="AC1218">
            <v>45</v>
          </cell>
          <cell r="AD1218">
            <v>11</v>
          </cell>
          <cell r="AE1218">
            <v>18</v>
          </cell>
          <cell r="AF1218">
            <v>0</v>
          </cell>
          <cell r="AG1218">
            <v>11</v>
          </cell>
          <cell r="AH1218">
            <v>0</v>
          </cell>
          <cell r="AI1218">
            <v>11</v>
          </cell>
          <cell r="AJ1218">
            <v>0</v>
          </cell>
          <cell r="AK1218">
            <v>11</v>
          </cell>
          <cell r="AL1218">
            <v>38</v>
          </cell>
          <cell r="AM1218">
            <v>47</v>
          </cell>
          <cell r="AN1218">
            <v>0</v>
          </cell>
          <cell r="AO1218">
            <v>11</v>
          </cell>
          <cell r="AP1218">
            <v>59</v>
          </cell>
          <cell r="AQ1218">
            <v>97</v>
          </cell>
          <cell r="AR1218">
            <v>0</v>
          </cell>
          <cell r="AS1218">
            <v>11</v>
          </cell>
        </row>
        <row r="1219">
          <cell r="B1219">
            <v>17031831500</v>
          </cell>
          <cell r="D1219">
            <v>1922</v>
          </cell>
          <cell r="E1219">
            <v>294</v>
          </cell>
          <cell r="F1219">
            <v>1669</v>
          </cell>
          <cell r="G1219">
            <v>310</v>
          </cell>
          <cell r="H1219">
            <v>1472</v>
          </cell>
          <cell r="I1219">
            <v>244</v>
          </cell>
          <cell r="J1219">
            <v>197</v>
          </cell>
          <cell r="K1219">
            <v>141</v>
          </cell>
          <cell r="L1219">
            <v>56</v>
          </cell>
          <cell r="M1219">
            <v>37</v>
          </cell>
          <cell r="N1219">
            <v>66</v>
          </cell>
          <cell r="O1219">
            <v>54</v>
          </cell>
          <cell r="P1219">
            <v>75</v>
          </cell>
          <cell r="Q1219">
            <v>95</v>
          </cell>
          <cell r="R1219">
            <v>0</v>
          </cell>
          <cell r="S1219">
            <v>11</v>
          </cell>
          <cell r="T1219">
            <v>0</v>
          </cell>
          <cell r="U1219">
            <v>11</v>
          </cell>
          <cell r="V1219">
            <v>154</v>
          </cell>
          <cell r="W1219">
            <v>69</v>
          </cell>
          <cell r="X1219">
            <v>92</v>
          </cell>
          <cell r="Y1219">
            <v>58</v>
          </cell>
          <cell r="Z1219">
            <v>0</v>
          </cell>
          <cell r="AA1219">
            <v>11</v>
          </cell>
          <cell r="AB1219">
            <v>43</v>
          </cell>
          <cell r="AC1219">
            <v>33</v>
          </cell>
          <cell r="AD1219">
            <v>19</v>
          </cell>
          <cell r="AE1219">
            <v>21</v>
          </cell>
          <cell r="AF1219">
            <v>0</v>
          </cell>
          <cell r="AG1219">
            <v>11</v>
          </cell>
          <cell r="AH1219">
            <v>0</v>
          </cell>
          <cell r="AI1219">
            <v>11</v>
          </cell>
          <cell r="AJ1219">
            <v>0</v>
          </cell>
          <cell r="AK1219">
            <v>11</v>
          </cell>
          <cell r="AL1219">
            <v>0</v>
          </cell>
          <cell r="AM1219">
            <v>11</v>
          </cell>
          <cell r="AN1219">
            <v>29</v>
          </cell>
          <cell r="AO1219">
            <v>31</v>
          </cell>
          <cell r="AP1219">
            <v>12</v>
          </cell>
          <cell r="AQ1219">
            <v>16</v>
          </cell>
          <cell r="AR1219">
            <v>58</v>
          </cell>
          <cell r="AS1219">
            <v>48</v>
          </cell>
        </row>
        <row r="1220">
          <cell r="B1220">
            <v>17031831600</v>
          </cell>
          <cell r="D1220">
            <v>3054</v>
          </cell>
          <cell r="E1220">
            <v>298</v>
          </cell>
          <cell r="F1220">
            <v>2338</v>
          </cell>
          <cell r="G1220">
            <v>312</v>
          </cell>
          <cell r="H1220">
            <v>2165</v>
          </cell>
          <cell r="I1220">
            <v>302</v>
          </cell>
          <cell r="J1220">
            <v>173</v>
          </cell>
          <cell r="K1220">
            <v>101</v>
          </cell>
          <cell r="L1220">
            <v>142</v>
          </cell>
          <cell r="M1220">
            <v>93</v>
          </cell>
          <cell r="N1220">
            <v>31</v>
          </cell>
          <cell r="O1220">
            <v>37</v>
          </cell>
          <cell r="P1220">
            <v>0</v>
          </cell>
          <cell r="Q1220">
            <v>15</v>
          </cell>
          <cell r="R1220">
            <v>0</v>
          </cell>
          <cell r="S1220">
            <v>15</v>
          </cell>
          <cell r="T1220">
            <v>0</v>
          </cell>
          <cell r="U1220">
            <v>15</v>
          </cell>
          <cell r="V1220">
            <v>444</v>
          </cell>
          <cell r="W1220">
            <v>180</v>
          </cell>
          <cell r="X1220">
            <v>401</v>
          </cell>
          <cell r="Y1220">
            <v>177</v>
          </cell>
          <cell r="Z1220">
            <v>0</v>
          </cell>
          <cell r="AA1220">
            <v>15</v>
          </cell>
          <cell r="AB1220">
            <v>0</v>
          </cell>
          <cell r="AC1220">
            <v>15</v>
          </cell>
          <cell r="AD1220">
            <v>43</v>
          </cell>
          <cell r="AE1220">
            <v>43</v>
          </cell>
          <cell r="AF1220">
            <v>0</v>
          </cell>
          <cell r="AG1220">
            <v>15</v>
          </cell>
          <cell r="AH1220">
            <v>0</v>
          </cell>
          <cell r="AI1220">
            <v>15</v>
          </cell>
          <cell r="AJ1220">
            <v>0</v>
          </cell>
          <cell r="AK1220">
            <v>15</v>
          </cell>
          <cell r="AL1220">
            <v>19</v>
          </cell>
          <cell r="AM1220">
            <v>31</v>
          </cell>
          <cell r="AN1220">
            <v>51</v>
          </cell>
          <cell r="AO1220">
            <v>52</v>
          </cell>
          <cell r="AP1220">
            <v>123</v>
          </cell>
          <cell r="AQ1220">
            <v>103</v>
          </cell>
          <cell r="AR1220">
            <v>79</v>
          </cell>
          <cell r="AS1220">
            <v>53</v>
          </cell>
        </row>
        <row r="1221">
          <cell r="B1221">
            <v>17031831700</v>
          </cell>
          <cell r="D1221">
            <v>1159</v>
          </cell>
          <cell r="E1221">
            <v>137</v>
          </cell>
          <cell r="F1221">
            <v>881</v>
          </cell>
          <cell r="G1221">
            <v>134</v>
          </cell>
          <cell r="H1221">
            <v>704</v>
          </cell>
          <cell r="I1221">
            <v>108</v>
          </cell>
          <cell r="J1221">
            <v>177</v>
          </cell>
          <cell r="K1221">
            <v>71</v>
          </cell>
          <cell r="L1221">
            <v>136</v>
          </cell>
          <cell r="M1221">
            <v>62</v>
          </cell>
          <cell r="N1221">
            <v>23</v>
          </cell>
          <cell r="O1221">
            <v>23</v>
          </cell>
          <cell r="P1221">
            <v>18</v>
          </cell>
          <cell r="Q1221">
            <v>26</v>
          </cell>
          <cell r="R1221">
            <v>0</v>
          </cell>
          <cell r="S1221">
            <v>11</v>
          </cell>
          <cell r="T1221">
            <v>0</v>
          </cell>
          <cell r="U1221">
            <v>11</v>
          </cell>
          <cell r="V1221">
            <v>206</v>
          </cell>
          <cell r="W1221">
            <v>76</v>
          </cell>
          <cell r="X1221">
            <v>45</v>
          </cell>
          <cell r="Y1221">
            <v>36</v>
          </cell>
          <cell r="Z1221">
            <v>0</v>
          </cell>
          <cell r="AA1221">
            <v>11</v>
          </cell>
          <cell r="AB1221">
            <v>137</v>
          </cell>
          <cell r="AC1221">
            <v>60</v>
          </cell>
          <cell r="AD1221">
            <v>20</v>
          </cell>
          <cell r="AE1221">
            <v>18</v>
          </cell>
          <cell r="AF1221">
            <v>4</v>
          </cell>
          <cell r="AG1221">
            <v>5</v>
          </cell>
          <cell r="AH1221">
            <v>0</v>
          </cell>
          <cell r="AI1221">
            <v>11</v>
          </cell>
          <cell r="AJ1221">
            <v>0</v>
          </cell>
          <cell r="AK1221">
            <v>11</v>
          </cell>
          <cell r="AL1221">
            <v>0</v>
          </cell>
          <cell r="AM1221">
            <v>11</v>
          </cell>
          <cell r="AN1221">
            <v>5</v>
          </cell>
          <cell r="AO1221">
            <v>7</v>
          </cell>
          <cell r="AP1221">
            <v>19</v>
          </cell>
          <cell r="AQ1221">
            <v>17</v>
          </cell>
          <cell r="AR1221">
            <v>48</v>
          </cell>
          <cell r="AS1221">
            <v>35</v>
          </cell>
        </row>
        <row r="1222">
          <cell r="B1222">
            <v>17031831800</v>
          </cell>
          <cell r="D1222">
            <v>2984</v>
          </cell>
          <cell r="E1222">
            <v>409</v>
          </cell>
          <cell r="F1222">
            <v>1708</v>
          </cell>
          <cell r="G1222">
            <v>330</v>
          </cell>
          <cell r="H1222">
            <v>1444</v>
          </cell>
          <cell r="I1222">
            <v>316</v>
          </cell>
          <cell r="J1222">
            <v>264</v>
          </cell>
          <cell r="K1222">
            <v>151</v>
          </cell>
          <cell r="L1222">
            <v>190</v>
          </cell>
          <cell r="M1222">
            <v>123</v>
          </cell>
          <cell r="N1222">
            <v>71</v>
          </cell>
          <cell r="O1222">
            <v>84</v>
          </cell>
          <cell r="P1222">
            <v>3</v>
          </cell>
          <cell r="Q1222">
            <v>12</v>
          </cell>
          <cell r="R1222">
            <v>0</v>
          </cell>
          <cell r="S1222">
            <v>15</v>
          </cell>
          <cell r="T1222">
            <v>0</v>
          </cell>
          <cell r="U1222">
            <v>15</v>
          </cell>
          <cell r="V1222">
            <v>636</v>
          </cell>
          <cell r="W1222">
            <v>219</v>
          </cell>
          <cell r="X1222">
            <v>276</v>
          </cell>
          <cell r="Y1222">
            <v>141</v>
          </cell>
          <cell r="Z1222">
            <v>0</v>
          </cell>
          <cell r="AA1222">
            <v>15</v>
          </cell>
          <cell r="AB1222">
            <v>309</v>
          </cell>
          <cell r="AC1222">
            <v>130</v>
          </cell>
          <cell r="AD1222">
            <v>51</v>
          </cell>
          <cell r="AE1222">
            <v>58</v>
          </cell>
          <cell r="AF1222">
            <v>0</v>
          </cell>
          <cell r="AG1222">
            <v>15</v>
          </cell>
          <cell r="AH1222">
            <v>67</v>
          </cell>
          <cell r="AI1222">
            <v>103</v>
          </cell>
          <cell r="AJ1222">
            <v>0</v>
          </cell>
          <cell r="AK1222">
            <v>15</v>
          </cell>
          <cell r="AL1222">
            <v>54</v>
          </cell>
          <cell r="AM1222">
            <v>54</v>
          </cell>
          <cell r="AN1222">
            <v>383</v>
          </cell>
          <cell r="AO1222">
            <v>154</v>
          </cell>
          <cell r="AP1222">
            <v>5</v>
          </cell>
          <cell r="AQ1222">
            <v>10</v>
          </cell>
          <cell r="AR1222">
            <v>131</v>
          </cell>
          <cell r="AS1222">
            <v>114</v>
          </cell>
        </row>
        <row r="1223">
          <cell r="B1223">
            <v>17031831900</v>
          </cell>
          <cell r="D1223">
            <v>1979</v>
          </cell>
          <cell r="E1223">
            <v>220</v>
          </cell>
          <cell r="F1223">
            <v>760</v>
          </cell>
          <cell r="G1223">
            <v>177</v>
          </cell>
          <cell r="H1223">
            <v>659</v>
          </cell>
          <cell r="I1223">
            <v>152</v>
          </cell>
          <cell r="J1223">
            <v>101</v>
          </cell>
          <cell r="K1223">
            <v>64</v>
          </cell>
          <cell r="L1223">
            <v>49</v>
          </cell>
          <cell r="M1223">
            <v>39</v>
          </cell>
          <cell r="N1223">
            <v>52</v>
          </cell>
          <cell r="O1223">
            <v>62</v>
          </cell>
          <cell r="P1223">
            <v>0</v>
          </cell>
          <cell r="Q1223">
            <v>11</v>
          </cell>
          <cell r="R1223">
            <v>0</v>
          </cell>
          <cell r="S1223">
            <v>11</v>
          </cell>
          <cell r="T1223">
            <v>0</v>
          </cell>
          <cell r="U1223">
            <v>11</v>
          </cell>
          <cell r="V1223">
            <v>1052</v>
          </cell>
          <cell r="W1223">
            <v>175</v>
          </cell>
          <cell r="X1223">
            <v>64</v>
          </cell>
          <cell r="Y1223">
            <v>42</v>
          </cell>
          <cell r="Z1223">
            <v>15</v>
          </cell>
          <cell r="AA1223">
            <v>18</v>
          </cell>
          <cell r="AB1223">
            <v>958</v>
          </cell>
          <cell r="AC1223">
            <v>171</v>
          </cell>
          <cell r="AD1223">
            <v>15</v>
          </cell>
          <cell r="AE1223">
            <v>16</v>
          </cell>
          <cell r="AF1223">
            <v>0</v>
          </cell>
          <cell r="AG1223">
            <v>11</v>
          </cell>
          <cell r="AH1223">
            <v>29</v>
          </cell>
          <cell r="AI1223">
            <v>27</v>
          </cell>
          <cell r="AJ1223">
            <v>0</v>
          </cell>
          <cell r="AK1223">
            <v>11</v>
          </cell>
          <cell r="AL1223">
            <v>2</v>
          </cell>
          <cell r="AM1223">
            <v>4</v>
          </cell>
          <cell r="AN1223">
            <v>73</v>
          </cell>
          <cell r="AO1223">
            <v>46</v>
          </cell>
          <cell r="AP1223">
            <v>0</v>
          </cell>
          <cell r="AQ1223">
            <v>11</v>
          </cell>
          <cell r="AR1223">
            <v>63</v>
          </cell>
          <cell r="AS1223">
            <v>41</v>
          </cell>
        </row>
        <row r="1224">
          <cell r="B1224">
            <v>17031832000</v>
          </cell>
          <cell r="D1224">
            <v>1385</v>
          </cell>
          <cell r="E1224">
            <v>153</v>
          </cell>
          <cell r="F1224">
            <v>483</v>
          </cell>
          <cell r="G1224">
            <v>103</v>
          </cell>
          <cell r="H1224">
            <v>402</v>
          </cell>
          <cell r="I1224">
            <v>88</v>
          </cell>
          <cell r="J1224">
            <v>81</v>
          </cell>
          <cell r="K1224">
            <v>49</v>
          </cell>
          <cell r="L1224">
            <v>57</v>
          </cell>
          <cell r="M1224">
            <v>41</v>
          </cell>
          <cell r="N1224">
            <v>18</v>
          </cell>
          <cell r="O1224">
            <v>20</v>
          </cell>
          <cell r="P1224">
            <v>0</v>
          </cell>
          <cell r="Q1224">
            <v>11</v>
          </cell>
          <cell r="R1224">
            <v>6</v>
          </cell>
          <cell r="S1224">
            <v>9</v>
          </cell>
          <cell r="T1224">
            <v>0</v>
          </cell>
          <cell r="U1224">
            <v>11</v>
          </cell>
          <cell r="V1224">
            <v>732</v>
          </cell>
          <cell r="W1224">
            <v>119</v>
          </cell>
          <cell r="X1224">
            <v>127</v>
          </cell>
          <cell r="Y1224">
            <v>74</v>
          </cell>
          <cell r="Z1224">
            <v>24</v>
          </cell>
          <cell r="AA1224">
            <v>29</v>
          </cell>
          <cell r="AB1224">
            <v>572</v>
          </cell>
          <cell r="AC1224">
            <v>102</v>
          </cell>
          <cell r="AD1224">
            <v>9</v>
          </cell>
          <cell r="AE1224">
            <v>10</v>
          </cell>
          <cell r="AF1224">
            <v>0</v>
          </cell>
          <cell r="AG1224">
            <v>11</v>
          </cell>
          <cell r="AH1224">
            <v>0</v>
          </cell>
          <cell r="AI1224">
            <v>11</v>
          </cell>
          <cell r="AJ1224">
            <v>0</v>
          </cell>
          <cell r="AK1224">
            <v>11</v>
          </cell>
          <cell r="AL1224">
            <v>9</v>
          </cell>
          <cell r="AM1224">
            <v>9</v>
          </cell>
          <cell r="AN1224">
            <v>116</v>
          </cell>
          <cell r="AO1224">
            <v>62</v>
          </cell>
          <cell r="AP1224">
            <v>4</v>
          </cell>
          <cell r="AQ1224">
            <v>7</v>
          </cell>
          <cell r="AR1224">
            <v>41</v>
          </cell>
          <cell r="AS1224">
            <v>22</v>
          </cell>
        </row>
        <row r="1225">
          <cell r="B1225">
            <v>17031832100</v>
          </cell>
          <cell r="D1225">
            <v>2389</v>
          </cell>
          <cell r="E1225">
            <v>246</v>
          </cell>
          <cell r="F1225">
            <v>743</v>
          </cell>
          <cell r="G1225">
            <v>171</v>
          </cell>
          <cell r="H1225">
            <v>671</v>
          </cell>
          <cell r="I1225">
            <v>177</v>
          </cell>
          <cell r="J1225">
            <v>72</v>
          </cell>
          <cell r="K1225">
            <v>84</v>
          </cell>
          <cell r="L1225">
            <v>44</v>
          </cell>
          <cell r="M1225">
            <v>45</v>
          </cell>
          <cell r="N1225">
            <v>28</v>
          </cell>
          <cell r="O1225">
            <v>41</v>
          </cell>
          <cell r="P1225">
            <v>0</v>
          </cell>
          <cell r="Q1225">
            <v>11</v>
          </cell>
          <cell r="R1225">
            <v>0</v>
          </cell>
          <cell r="S1225">
            <v>11</v>
          </cell>
          <cell r="T1225">
            <v>0</v>
          </cell>
          <cell r="U1225">
            <v>11</v>
          </cell>
          <cell r="V1225">
            <v>1188</v>
          </cell>
          <cell r="W1225">
            <v>203</v>
          </cell>
          <cell r="X1225">
            <v>217</v>
          </cell>
          <cell r="Y1225">
            <v>117</v>
          </cell>
          <cell r="Z1225">
            <v>0</v>
          </cell>
          <cell r="AA1225">
            <v>11</v>
          </cell>
          <cell r="AB1225">
            <v>971</v>
          </cell>
          <cell r="AC1225">
            <v>181</v>
          </cell>
          <cell r="AD1225">
            <v>0</v>
          </cell>
          <cell r="AE1225">
            <v>11</v>
          </cell>
          <cell r="AF1225">
            <v>0</v>
          </cell>
          <cell r="AG1225">
            <v>11</v>
          </cell>
          <cell r="AH1225">
            <v>0</v>
          </cell>
          <cell r="AI1225">
            <v>11</v>
          </cell>
          <cell r="AJ1225">
            <v>0</v>
          </cell>
          <cell r="AK1225">
            <v>11</v>
          </cell>
          <cell r="AL1225">
            <v>29</v>
          </cell>
          <cell r="AM1225">
            <v>23</v>
          </cell>
          <cell r="AN1225">
            <v>152</v>
          </cell>
          <cell r="AO1225">
            <v>80</v>
          </cell>
          <cell r="AP1225">
            <v>131</v>
          </cell>
          <cell r="AQ1225">
            <v>66</v>
          </cell>
          <cell r="AR1225">
            <v>146</v>
          </cell>
          <cell r="AS1225">
            <v>64</v>
          </cell>
        </row>
        <row r="1226">
          <cell r="B1226">
            <v>17031832200</v>
          </cell>
          <cell r="D1226">
            <v>2322</v>
          </cell>
          <cell r="E1226">
            <v>246</v>
          </cell>
          <cell r="F1226">
            <v>1172</v>
          </cell>
          <cell r="G1226">
            <v>216</v>
          </cell>
          <cell r="H1226">
            <v>1030</v>
          </cell>
          <cell r="I1226">
            <v>197</v>
          </cell>
          <cell r="J1226">
            <v>142</v>
          </cell>
          <cell r="K1226">
            <v>107</v>
          </cell>
          <cell r="L1226">
            <v>129</v>
          </cell>
          <cell r="M1226">
            <v>107</v>
          </cell>
          <cell r="N1226">
            <v>5</v>
          </cell>
          <cell r="O1226">
            <v>10</v>
          </cell>
          <cell r="P1226">
            <v>8</v>
          </cell>
          <cell r="Q1226">
            <v>13</v>
          </cell>
          <cell r="R1226">
            <v>0</v>
          </cell>
          <cell r="S1226">
            <v>11</v>
          </cell>
          <cell r="T1226">
            <v>0</v>
          </cell>
          <cell r="U1226">
            <v>11</v>
          </cell>
          <cell r="V1226">
            <v>722</v>
          </cell>
          <cell r="W1226">
            <v>177</v>
          </cell>
          <cell r="X1226">
            <v>155</v>
          </cell>
          <cell r="Y1226">
            <v>78</v>
          </cell>
          <cell r="Z1226">
            <v>0</v>
          </cell>
          <cell r="AA1226">
            <v>11</v>
          </cell>
          <cell r="AB1226">
            <v>513</v>
          </cell>
          <cell r="AC1226">
            <v>141</v>
          </cell>
          <cell r="AD1226">
            <v>54</v>
          </cell>
          <cell r="AE1226">
            <v>37</v>
          </cell>
          <cell r="AF1226">
            <v>0</v>
          </cell>
          <cell r="AG1226">
            <v>11</v>
          </cell>
          <cell r="AH1226">
            <v>0</v>
          </cell>
          <cell r="AI1226">
            <v>11</v>
          </cell>
          <cell r="AJ1226">
            <v>0</v>
          </cell>
          <cell r="AK1226">
            <v>11</v>
          </cell>
          <cell r="AL1226">
            <v>57</v>
          </cell>
          <cell r="AM1226">
            <v>82</v>
          </cell>
          <cell r="AN1226">
            <v>66</v>
          </cell>
          <cell r="AO1226">
            <v>56</v>
          </cell>
          <cell r="AP1226">
            <v>20</v>
          </cell>
          <cell r="AQ1226">
            <v>22</v>
          </cell>
          <cell r="AR1226">
            <v>285</v>
          </cell>
          <cell r="AS1226">
            <v>119</v>
          </cell>
        </row>
        <row r="1227">
          <cell r="B1227">
            <v>17031832300</v>
          </cell>
          <cell r="D1227">
            <v>1331</v>
          </cell>
          <cell r="E1227">
            <v>148</v>
          </cell>
          <cell r="F1227">
            <v>771</v>
          </cell>
          <cell r="G1227">
            <v>129</v>
          </cell>
          <cell r="H1227">
            <v>713</v>
          </cell>
          <cell r="I1227">
            <v>129</v>
          </cell>
          <cell r="J1227">
            <v>58</v>
          </cell>
          <cell r="K1227">
            <v>29</v>
          </cell>
          <cell r="L1227">
            <v>53</v>
          </cell>
          <cell r="M1227">
            <v>27</v>
          </cell>
          <cell r="N1227">
            <v>5</v>
          </cell>
          <cell r="O1227">
            <v>8</v>
          </cell>
          <cell r="P1227">
            <v>0</v>
          </cell>
          <cell r="Q1227">
            <v>11</v>
          </cell>
          <cell r="R1227">
            <v>0</v>
          </cell>
          <cell r="S1227">
            <v>11</v>
          </cell>
          <cell r="T1227">
            <v>0</v>
          </cell>
          <cell r="U1227">
            <v>11</v>
          </cell>
          <cell r="V1227">
            <v>367</v>
          </cell>
          <cell r="W1227">
            <v>91</v>
          </cell>
          <cell r="X1227">
            <v>142</v>
          </cell>
          <cell r="Y1227">
            <v>79</v>
          </cell>
          <cell r="Z1227">
            <v>0</v>
          </cell>
          <cell r="AA1227">
            <v>11</v>
          </cell>
          <cell r="AB1227">
            <v>169</v>
          </cell>
          <cell r="AC1227">
            <v>50</v>
          </cell>
          <cell r="AD1227">
            <v>56</v>
          </cell>
          <cell r="AE1227">
            <v>27</v>
          </cell>
          <cell r="AF1227">
            <v>0</v>
          </cell>
          <cell r="AG1227">
            <v>11</v>
          </cell>
          <cell r="AH1227">
            <v>6</v>
          </cell>
          <cell r="AI1227">
            <v>9</v>
          </cell>
          <cell r="AJ1227">
            <v>0</v>
          </cell>
          <cell r="AK1227">
            <v>11</v>
          </cell>
          <cell r="AL1227">
            <v>26</v>
          </cell>
          <cell r="AM1227">
            <v>19</v>
          </cell>
          <cell r="AN1227">
            <v>31</v>
          </cell>
          <cell r="AO1227">
            <v>21</v>
          </cell>
          <cell r="AP1227">
            <v>4</v>
          </cell>
          <cell r="AQ1227">
            <v>7</v>
          </cell>
          <cell r="AR1227">
            <v>126</v>
          </cell>
          <cell r="AS1227">
            <v>57</v>
          </cell>
        </row>
        <row r="1228">
          <cell r="B1228">
            <v>17031832400</v>
          </cell>
          <cell r="D1228">
            <v>1961</v>
          </cell>
          <cell r="E1228">
            <v>246</v>
          </cell>
          <cell r="F1228">
            <v>958</v>
          </cell>
          <cell r="G1228">
            <v>192</v>
          </cell>
          <cell r="H1228">
            <v>796</v>
          </cell>
          <cell r="I1228">
            <v>196</v>
          </cell>
          <cell r="J1228">
            <v>162</v>
          </cell>
          <cell r="K1228">
            <v>104</v>
          </cell>
          <cell r="L1228">
            <v>100</v>
          </cell>
          <cell r="M1228">
            <v>90</v>
          </cell>
          <cell r="N1228">
            <v>31</v>
          </cell>
          <cell r="O1228">
            <v>38</v>
          </cell>
          <cell r="P1228">
            <v>18</v>
          </cell>
          <cell r="Q1228">
            <v>28</v>
          </cell>
          <cell r="R1228">
            <v>13</v>
          </cell>
          <cell r="S1228">
            <v>15</v>
          </cell>
          <cell r="T1228">
            <v>0</v>
          </cell>
          <cell r="U1228">
            <v>11</v>
          </cell>
          <cell r="V1228">
            <v>705</v>
          </cell>
          <cell r="W1228">
            <v>140</v>
          </cell>
          <cell r="X1228">
            <v>96</v>
          </cell>
          <cell r="Y1228">
            <v>53</v>
          </cell>
          <cell r="Z1228">
            <v>20</v>
          </cell>
          <cell r="AA1228">
            <v>31</v>
          </cell>
          <cell r="AB1228">
            <v>537</v>
          </cell>
          <cell r="AC1228">
            <v>131</v>
          </cell>
          <cell r="AD1228">
            <v>52</v>
          </cell>
          <cell r="AE1228">
            <v>32</v>
          </cell>
          <cell r="AF1228">
            <v>0</v>
          </cell>
          <cell r="AG1228">
            <v>11</v>
          </cell>
          <cell r="AH1228">
            <v>0</v>
          </cell>
          <cell r="AI1228">
            <v>11</v>
          </cell>
          <cell r="AJ1228">
            <v>0</v>
          </cell>
          <cell r="AK1228">
            <v>11</v>
          </cell>
          <cell r="AL1228">
            <v>83</v>
          </cell>
          <cell r="AM1228">
            <v>60</v>
          </cell>
          <cell r="AN1228">
            <v>114</v>
          </cell>
          <cell r="AO1228">
            <v>85</v>
          </cell>
          <cell r="AP1228">
            <v>0</v>
          </cell>
          <cell r="AQ1228">
            <v>11</v>
          </cell>
          <cell r="AR1228">
            <v>101</v>
          </cell>
          <cell r="AS1228">
            <v>48</v>
          </cell>
        </row>
        <row r="1229">
          <cell r="B1229">
            <v>17031832500</v>
          </cell>
          <cell r="D1229">
            <v>1980</v>
          </cell>
          <cell r="E1229">
            <v>252</v>
          </cell>
          <cell r="F1229">
            <v>833</v>
          </cell>
          <cell r="G1229">
            <v>177</v>
          </cell>
          <cell r="H1229">
            <v>702</v>
          </cell>
          <cell r="I1229">
            <v>173</v>
          </cell>
          <cell r="J1229">
            <v>131</v>
          </cell>
          <cell r="K1229">
            <v>75</v>
          </cell>
          <cell r="L1229">
            <v>113</v>
          </cell>
          <cell r="M1229">
            <v>74</v>
          </cell>
          <cell r="N1229">
            <v>3</v>
          </cell>
          <cell r="O1229">
            <v>5</v>
          </cell>
          <cell r="P1229">
            <v>4</v>
          </cell>
          <cell r="Q1229">
            <v>9</v>
          </cell>
          <cell r="R1229">
            <v>0</v>
          </cell>
          <cell r="S1229">
            <v>11</v>
          </cell>
          <cell r="T1229">
            <v>11</v>
          </cell>
          <cell r="U1229">
            <v>21</v>
          </cell>
          <cell r="V1229">
            <v>786</v>
          </cell>
          <cell r="W1229">
            <v>174</v>
          </cell>
          <cell r="X1229">
            <v>65</v>
          </cell>
          <cell r="Y1229">
            <v>74</v>
          </cell>
          <cell r="Z1229">
            <v>0</v>
          </cell>
          <cell r="AA1229">
            <v>11</v>
          </cell>
          <cell r="AB1229">
            <v>650</v>
          </cell>
          <cell r="AC1229">
            <v>142</v>
          </cell>
          <cell r="AD1229">
            <v>71</v>
          </cell>
          <cell r="AE1229">
            <v>46</v>
          </cell>
          <cell r="AF1229">
            <v>0</v>
          </cell>
          <cell r="AG1229">
            <v>11</v>
          </cell>
          <cell r="AH1229">
            <v>11</v>
          </cell>
          <cell r="AI1229">
            <v>22</v>
          </cell>
          <cell r="AJ1229">
            <v>0</v>
          </cell>
          <cell r="AK1229">
            <v>11</v>
          </cell>
          <cell r="AL1229">
            <v>52</v>
          </cell>
          <cell r="AM1229">
            <v>48</v>
          </cell>
          <cell r="AN1229">
            <v>107</v>
          </cell>
          <cell r="AO1229">
            <v>52</v>
          </cell>
          <cell r="AP1229">
            <v>7</v>
          </cell>
          <cell r="AQ1229">
            <v>12</v>
          </cell>
          <cell r="AR1229">
            <v>184</v>
          </cell>
          <cell r="AS1229">
            <v>70</v>
          </cell>
        </row>
        <row r="1230">
          <cell r="B1230">
            <v>17031832600</v>
          </cell>
          <cell r="D1230">
            <v>2757</v>
          </cell>
          <cell r="E1230">
            <v>246</v>
          </cell>
          <cell r="F1230">
            <v>953</v>
          </cell>
          <cell r="G1230">
            <v>178</v>
          </cell>
          <cell r="H1230">
            <v>813</v>
          </cell>
          <cell r="I1230">
            <v>160</v>
          </cell>
          <cell r="J1230">
            <v>140</v>
          </cell>
          <cell r="K1230">
            <v>80</v>
          </cell>
          <cell r="L1230">
            <v>140</v>
          </cell>
          <cell r="M1230">
            <v>80</v>
          </cell>
          <cell r="N1230">
            <v>0</v>
          </cell>
          <cell r="O1230">
            <v>11</v>
          </cell>
          <cell r="P1230">
            <v>0</v>
          </cell>
          <cell r="Q1230">
            <v>11</v>
          </cell>
          <cell r="R1230">
            <v>0</v>
          </cell>
          <cell r="S1230">
            <v>11</v>
          </cell>
          <cell r="T1230">
            <v>0</v>
          </cell>
          <cell r="U1230">
            <v>11</v>
          </cell>
          <cell r="V1230">
            <v>1252</v>
          </cell>
          <cell r="W1230">
            <v>188</v>
          </cell>
          <cell r="X1230">
            <v>109</v>
          </cell>
          <cell r="Y1230">
            <v>69</v>
          </cell>
          <cell r="Z1230">
            <v>0</v>
          </cell>
          <cell r="AA1230">
            <v>11</v>
          </cell>
          <cell r="AB1230">
            <v>1117</v>
          </cell>
          <cell r="AC1230">
            <v>172</v>
          </cell>
          <cell r="AD1230">
            <v>26</v>
          </cell>
          <cell r="AE1230">
            <v>30</v>
          </cell>
          <cell r="AF1230">
            <v>0</v>
          </cell>
          <cell r="AG1230">
            <v>11</v>
          </cell>
          <cell r="AH1230">
            <v>50</v>
          </cell>
          <cell r="AI1230">
            <v>40</v>
          </cell>
          <cell r="AJ1230">
            <v>8</v>
          </cell>
          <cell r="AK1230">
            <v>11</v>
          </cell>
          <cell r="AL1230">
            <v>100</v>
          </cell>
          <cell r="AM1230">
            <v>49</v>
          </cell>
          <cell r="AN1230">
            <v>106</v>
          </cell>
          <cell r="AO1230">
            <v>75</v>
          </cell>
          <cell r="AP1230">
            <v>59</v>
          </cell>
          <cell r="AQ1230">
            <v>51</v>
          </cell>
          <cell r="AR1230">
            <v>229</v>
          </cell>
          <cell r="AS1230">
            <v>73</v>
          </cell>
        </row>
        <row r="1231">
          <cell r="B1231">
            <v>17031832900</v>
          </cell>
          <cell r="D1231">
            <v>1631</v>
          </cell>
          <cell r="E1231">
            <v>280</v>
          </cell>
          <cell r="F1231">
            <v>507</v>
          </cell>
          <cell r="G1231">
            <v>144</v>
          </cell>
          <cell r="H1231">
            <v>465</v>
          </cell>
          <cell r="I1231">
            <v>138</v>
          </cell>
          <cell r="J1231">
            <v>42</v>
          </cell>
          <cell r="K1231">
            <v>37</v>
          </cell>
          <cell r="L1231">
            <v>37</v>
          </cell>
          <cell r="M1231">
            <v>32</v>
          </cell>
          <cell r="N1231">
            <v>0</v>
          </cell>
          <cell r="O1231">
            <v>11</v>
          </cell>
          <cell r="P1231">
            <v>0</v>
          </cell>
          <cell r="Q1231">
            <v>11</v>
          </cell>
          <cell r="R1231">
            <v>0</v>
          </cell>
          <cell r="S1231">
            <v>11</v>
          </cell>
          <cell r="T1231">
            <v>5</v>
          </cell>
          <cell r="U1231">
            <v>11</v>
          </cell>
          <cell r="V1231">
            <v>495</v>
          </cell>
          <cell r="W1231">
            <v>142</v>
          </cell>
          <cell r="X1231">
            <v>76</v>
          </cell>
          <cell r="Y1231">
            <v>52</v>
          </cell>
          <cell r="Z1231">
            <v>0</v>
          </cell>
          <cell r="AA1231">
            <v>11</v>
          </cell>
          <cell r="AB1231">
            <v>347</v>
          </cell>
          <cell r="AC1231">
            <v>123</v>
          </cell>
          <cell r="AD1231">
            <v>72</v>
          </cell>
          <cell r="AE1231">
            <v>98</v>
          </cell>
          <cell r="AF1231">
            <v>0</v>
          </cell>
          <cell r="AG1231">
            <v>11</v>
          </cell>
          <cell r="AH1231">
            <v>0</v>
          </cell>
          <cell r="AI1231">
            <v>11</v>
          </cell>
          <cell r="AJ1231">
            <v>0</v>
          </cell>
          <cell r="AK1231">
            <v>11</v>
          </cell>
          <cell r="AL1231">
            <v>70</v>
          </cell>
          <cell r="AM1231">
            <v>51</v>
          </cell>
          <cell r="AN1231">
            <v>470</v>
          </cell>
          <cell r="AO1231">
            <v>207</v>
          </cell>
          <cell r="AP1231">
            <v>27</v>
          </cell>
          <cell r="AQ1231">
            <v>43</v>
          </cell>
          <cell r="AR1231">
            <v>62</v>
          </cell>
          <cell r="AS1231">
            <v>38</v>
          </cell>
        </row>
        <row r="1232">
          <cell r="B1232">
            <v>17031833000</v>
          </cell>
          <cell r="D1232">
            <v>2358</v>
          </cell>
          <cell r="E1232">
            <v>247</v>
          </cell>
          <cell r="F1232">
            <v>908</v>
          </cell>
          <cell r="G1232">
            <v>182</v>
          </cell>
          <cell r="H1232">
            <v>868</v>
          </cell>
          <cell r="I1232">
            <v>177</v>
          </cell>
          <cell r="J1232">
            <v>40</v>
          </cell>
          <cell r="K1232">
            <v>39</v>
          </cell>
          <cell r="L1232">
            <v>40</v>
          </cell>
          <cell r="M1232">
            <v>39</v>
          </cell>
          <cell r="N1232">
            <v>0</v>
          </cell>
          <cell r="O1232">
            <v>11</v>
          </cell>
          <cell r="P1232">
            <v>0</v>
          </cell>
          <cell r="Q1232">
            <v>11</v>
          </cell>
          <cell r="R1232">
            <v>0</v>
          </cell>
          <cell r="S1232">
            <v>11</v>
          </cell>
          <cell r="T1232">
            <v>0</v>
          </cell>
          <cell r="U1232">
            <v>11</v>
          </cell>
          <cell r="V1232">
            <v>560</v>
          </cell>
          <cell r="W1232">
            <v>114</v>
          </cell>
          <cell r="X1232">
            <v>257</v>
          </cell>
          <cell r="Y1232">
            <v>93</v>
          </cell>
          <cell r="Z1232">
            <v>0</v>
          </cell>
          <cell r="AA1232">
            <v>11</v>
          </cell>
          <cell r="AB1232">
            <v>276</v>
          </cell>
          <cell r="AC1232">
            <v>98</v>
          </cell>
          <cell r="AD1232">
            <v>27</v>
          </cell>
          <cell r="AE1232">
            <v>26</v>
          </cell>
          <cell r="AF1232">
            <v>0</v>
          </cell>
          <cell r="AG1232">
            <v>11</v>
          </cell>
          <cell r="AH1232">
            <v>29</v>
          </cell>
          <cell r="AI1232">
            <v>32</v>
          </cell>
          <cell r="AJ1232">
            <v>0</v>
          </cell>
          <cell r="AK1232">
            <v>11</v>
          </cell>
          <cell r="AL1232">
            <v>118</v>
          </cell>
          <cell r="AM1232">
            <v>69</v>
          </cell>
          <cell r="AN1232">
            <v>547</v>
          </cell>
          <cell r="AO1232">
            <v>144</v>
          </cell>
          <cell r="AP1232">
            <v>8</v>
          </cell>
          <cell r="AQ1232">
            <v>13</v>
          </cell>
          <cell r="AR1232">
            <v>188</v>
          </cell>
          <cell r="AS1232">
            <v>120</v>
          </cell>
        </row>
        <row r="1233">
          <cell r="B1233">
            <v>17031833100</v>
          </cell>
          <cell r="D1233">
            <v>4817</v>
          </cell>
          <cell r="E1233">
            <v>314</v>
          </cell>
          <cell r="F1233">
            <v>2131</v>
          </cell>
          <cell r="G1233">
            <v>285</v>
          </cell>
          <cell r="H1233">
            <v>1958</v>
          </cell>
          <cell r="I1233">
            <v>261</v>
          </cell>
          <cell r="J1233">
            <v>173</v>
          </cell>
          <cell r="K1233">
            <v>125</v>
          </cell>
          <cell r="L1233">
            <v>153</v>
          </cell>
          <cell r="M1233">
            <v>121</v>
          </cell>
          <cell r="N1233">
            <v>0</v>
          </cell>
          <cell r="O1233">
            <v>15</v>
          </cell>
          <cell r="P1233">
            <v>0</v>
          </cell>
          <cell r="Q1233">
            <v>15</v>
          </cell>
          <cell r="R1233">
            <v>0</v>
          </cell>
          <cell r="S1233">
            <v>15</v>
          </cell>
          <cell r="T1233">
            <v>20</v>
          </cell>
          <cell r="U1233">
            <v>33</v>
          </cell>
          <cell r="V1233">
            <v>1129</v>
          </cell>
          <cell r="W1233">
            <v>210</v>
          </cell>
          <cell r="X1233">
            <v>633</v>
          </cell>
          <cell r="Y1233">
            <v>195</v>
          </cell>
          <cell r="Z1233">
            <v>15</v>
          </cell>
          <cell r="AA1233">
            <v>24</v>
          </cell>
          <cell r="AB1233">
            <v>352</v>
          </cell>
          <cell r="AC1233">
            <v>126</v>
          </cell>
          <cell r="AD1233">
            <v>129</v>
          </cell>
          <cell r="AE1233">
            <v>77</v>
          </cell>
          <cell r="AF1233">
            <v>0</v>
          </cell>
          <cell r="AG1233">
            <v>15</v>
          </cell>
          <cell r="AH1233">
            <v>107</v>
          </cell>
          <cell r="AI1233">
            <v>86</v>
          </cell>
          <cell r="AJ1233">
            <v>0</v>
          </cell>
          <cell r="AK1233">
            <v>15</v>
          </cell>
          <cell r="AL1233">
            <v>110</v>
          </cell>
          <cell r="AM1233">
            <v>72</v>
          </cell>
          <cell r="AN1233">
            <v>1023</v>
          </cell>
          <cell r="AO1233">
            <v>187</v>
          </cell>
          <cell r="AP1233">
            <v>29</v>
          </cell>
          <cell r="AQ1233">
            <v>32</v>
          </cell>
          <cell r="AR1233">
            <v>288</v>
          </cell>
          <cell r="AS1233">
            <v>125</v>
          </cell>
        </row>
        <row r="1234">
          <cell r="B1234">
            <v>17031833300</v>
          </cell>
          <cell r="D1234">
            <v>1419</v>
          </cell>
          <cell r="E1234">
            <v>227</v>
          </cell>
          <cell r="F1234">
            <v>493</v>
          </cell>
          <cell r="G1234">
            <v>137</v>
          </cell>
          <cell r="H1234">
            <v>425</v>
          </cell>
          <cell r="I1234">
            <v>134</v>
          </cell>
          <cell r="J1234">
            <v>68</v>
          </cell>
          <cell r="K1234">
            <v>40</v>
          </cell>
          <cell r="L1234">
            <v>51</v>
          </cell>
          <cell r="M1234">
            <v>36</v>
          </cell>
          <cell r="N1234">
            <v>13</v>
          </cell>
          <cell r="O1234">
            <v>11</v>
          </cell>
          <cell r="P1234">
            <v>0</v>
          </cell>
          <cell r="Q1234">
            <v>11</v>
          </cell>
          <cell r="R1234">
            <v>0</v>
          </cell>
          <cell r="S1234">
            <v>11</v>
          </cell>
          <cell r="T1234">
            <v>4</v>
          </cell>
          <cell r="U1234">
            <v>8</v>
          </cell>
          <cell r="V1234">
            <v>490</v>
          </cell>
          <cell r="W1234">
            <v>121</v>
          </cell>
          <cell r="X1234">
            <v>311</v>
          </cell>
          <cell r="Y1234">
            <v>92</v>
          </cell>
          <cell r="Z1234">
            <v>0</v>
          </cell>
          <cell r="AA1234">
            <v>11</v>
          </cell>
          <cell r="AB1234">
            <v>126</v>
          </cell>
          <cell r="AC1234">
            <v>57</v>
          </cell>
          <cell r="AD1234">
            <v>53</v>
          </cell>
          <cell r="AE1234">
            <v>39</v>
          </cell>
          <cell r="AF1234">
            <v>0</v>
          </cell>
          <cell r="AG1234">
            <v>11</v>
          </cell>
          <cell r="AH1234">
            <v>4</v>
          </cell>
          <cell r="AI1234">
            <v>6</v>
          </cell>
          <cell r="AJ1234">
            <v>0</v>
          </cell>
          <cell r="AK1234">
            <v>11</v>
          </cell>
          <cell r="AL1234">
            <v>57</v>
          </cell>
          <cell r="AM1234">
            <v>38</v>
          </cell>
          <cell r="AN1234">
            <v>336</v>
          </cell>
          <cell r="AO1234">
            <v>99</v>
          </cell>
          <cell r="AP1234">
            <v>0</v>
          </cell>
          <cell r="AQ1234">
            <v>11</v>
          </cell>
          <cell r="AR1234">
            <v>39</v>
          </cell>
          <cell r="AS1234">
            <v>29</v>
          </cell>
        </row>
        <row r="1235">
          <cell r="B1235">
            <v>17031833900</v>
          </cell>
          <cell r="D1235">
            <v>850</v>
          </cell>
          <cell r="E1235">
            <v>154</v>
          </cell>
          <cell r="F1235">
            <v>499</v>
          </cell>
          <cell r="G1235">
            <v>114</v>
          </cell>
          <cell r="H1235">
            <v>409</v>
          </cell>
          <cell r="I1235">
            <v>106</v>
          </cell>
          <cell r="J1235">
            <v>90</v>
          </cell>
          <cell r="K1235">
            <v>36</v>
          </cell>
          <cell r="L1235">
            <v>45</v>
          </cell>
          <cell r="M1235">
            <v>32</v>
          </cell>
          <cell r="N1235">
            <v>25</v>
          </cell>
          <cell r="O1235">
            <v>19</v>
          </cell>
          <cell r="P1235">
            <v>16</v>
          </cell>
          <cell r="Q1235">
            <v>17</v>
          </cell>
          <cell r="R1235">
            <v>0</v>
          </cell>
          <cell r="S1235">
            <v>11</v>
          </cell>
          <cell r="T1235">
            <v>4</v>
          </cell>
          <cell r="U1235">
            <v>8</v>
          </cell>
          <cell r="V1235">
            <v>289</v>
          </cell>
          <cell r="W1235">
            <v>96</v>
          </cell>
          <cell r="X1235">
            <v>267</v>
          </cell>
          <cell r="Y1235">
            <v>94</v>
          </cell>
          <cell r="Z1235">
            <v>0</v>
          </cell>
          <cell r="AA1235">
            <v>11</v>
          </cell>
          <cell r="AB1235">
            <v>11</v>
          </cell>
          <cell r="AC1235">
            <v>13</v>
          </cell>
          <cell r="AD1235">
            <v>11</v>
          </cell>
          <cell r="AE1235">
            <v>11</v>
          </cell>
          <cell r="AF1235">
            <v>0</v>
          </cell>
          <cell r="AG1235">
            <v>11</v>
          </cell>
          <cell r="AH1235">
            <v>0</v>
          </cell>
          <cell r="AI1235">
            <v>11</v>
          </cell>
          <cell r="AJ1235">
            <v>0</v>
          </cell>
          <cell r="AK1235">
            <v>11</v>
          </cell>
          <cell r="AL1235">
            <v>0</v>
          </cell>
          <cell r="AM1235">
            <v>11</v>
          </cell>
          <cell r="AN1235">
            <v>34</v>
          </cell>
          <cell r="AO1235">
            <v>26</v>
          </cell>
          <cell r="AP1235">
            <v>3</v>
          </cell>
          <cell r="AQ1235">
            <v>7</v>
          </cell>
          <cell r="AR1235">
            <v>25</v>
          </cell>
          <cell r="AS1235">
            <v>23</v>
          </cell>
        </row>
        <row r="1236">
          <cell r="B1236">
            <v>17031834000</v>
          </cell>
          <cell r="D1236">
            <v>1185</v>
          </cell>
          <cell r="E1236">
            <v>187</v>
          </cell>
          <cell r="F1236">
            <v>756</v>
          </cell>
          <cell r="G1236">
            <v>151</v>
          </cell>
          <cell r="H1236">
            <v>639</v>
          </cell>
          <cell r="I1236">
            <v>144</v>
          </cell>
          <cell r="J1236">
            <v>117</v>
          </cell>
          <cell r="K1236">
            <v>74</v>
          </cell>
          <cell r="L1236">
            <v>96</v>
          </cell>
          <cell r="M1236">
            <v>73</v>
          </cell>
          <cell r="N1236">
            <v>21</v>
          </cell>
          <cell r="O1236">
            <v>33</v>
          </cell>
          <cell r="P1236">
            <v>0</v>
          </cell>
          <cell r="Q1236">
            <v>11</v>
          </cell>
          <cell r="R1236">
            <v>0</v>
          </cell>
          <cell r="S1236">
            <v>11</v>
          </cell>
          <cell r="T1236">
            <v>0</v>
          </cell>
          <cell r="U1236">
            <v>11</v>
          </cell>
          <cell r="V1236">
            <v>334</v>
          </cell>
          <cell r="W1236">
            <v>121</v>
          </cell>
          <cell r="X1236">
            <v>214</v>
          </cell>
          <cell r="Y1236">
            <v>84</v>
          </cell>
          <cell r="Z1236">
            <v>0</v>
          </cell>
          <cell r="AA1236">
            <v>11</v>
          </cell>
          <cell r="AB1236">
            <v>98</v>
          </cell>
          <cell r="AC1236">
            <v>83</v>
          </cell>
          <cell r="AD1236">
            <v>22</v>
          </cell>
          <cell r="AE1236">
            <v>34</v>
          </cell>
          <cell r="AF1236">
            <v>0</v>
          </cell>
          <cell r="AG1236">
            <v>11</v>
          </cell>
          <cell r="AH1236">
            <v>0</v>
          </cell>
          <cell r="AI1236">
            <v>11</v>
          </cell>
          <cell r="AJ1236">
            <v>23</v>
          </cell>
          <cell r="AK1236">
            <v>28</v>
          </cell>
          <cell r="AL1236">
            <v>0</v>
          </cell>
          <cell r="AM1236">
            <v>11</v>
          </cell>
          <cell r="AN1236">
            <v>41</v>
          </cell>
          <cell r="AO1236">
            <v>39</v>
          </cell>
          <cell r="AP1236">
            <v>0</v>
          </cell>
          <cell r="AQ1236">
            <v>11</v>
          </cell>
          <cell r="AR1236">
            <v>31</v>
          </cell>
          <cell r="AS1236">
            <v>40</v>
          </cell>
        </row>
        <row r="1237">
          <cell r="B1237">
            <v>17031834200</v>
          </cell>
          <cell r="D1237">
            <v>1710</v>
          </cell>
          <cell r="E1237">
            <v>324</v>
          </cell>
          <cell r="F1237">
            <v>958</v>
          </cell>
          <cell r="G1237">
            <v>259</v>
          </cell>
          <cell r="H1237">
            <v>880</v>
          </cell>
          <cell r="I1237">
            <v>255</v>
          </cell>
          <cell r="J1237">
            <v>78</v>
          </cell>
          <cell r="K1237">
            <v>69</v>
          </cell>
          <cell r="L1237">
            <v>32</v>
          </cell>
          <cell r="M1237">
            <v>42</v>
          </cell>
          <cell r="N1237">
            <v>32</v>
          </cell>
          <cell r="O1237">
            <v>51</v>
          </cell>
          <cell r="P1237">
            <v>14</v>
          </cell>
          <cell r="Q1237">
            <v>23</v>
          </cell>
          <cell r="R1237">
            <v>0</v>
          </cell>
          <cell r="S1237">
            <v>11</v>
          </cell>
          <cell r="T1237">
            <v>0</v>
          </cell>
          <cell r="U1237">
            <v>11</v>
          </cell>
          <cell r="V1237">
            <v>663</v>
          </cell>
          <cell r="W1237">
            <v>236</v>
          </cell>
          <cell r="X1237">
            <v>641</v>
          </cell>
          <cell r="Y1237">
            <v>234</v>
          </cell>
          <cell r="Z1237">
            <v>0</v>
          </cell>
          <cell r="AA1237">
            <v>11</v>
          </cell>
          <cell r="AB1237">
            <v>22</v>
          </cell>
          <cell r="AC1237">
            <v>39</v>
          </cell>
          <cell r="AD1237">
            <v>0</v>
          </cell>
          <cell r="AE1237">
            <v>11</v>
          </cell>
          <cell r="AF1237">
            <v>0</v>
          </cell>
          <cell r="AG1237">
            <v>11</v>
          </cell>
          <cell r="AH1237">
            <v>0</v>
          </cell>
          <cell r="AI1237">
            <v>11</v>
          </cell>
          <cell r="AJ1237">
            <v>0</v>
          </cell>
          <cell r="AK1237">
            <v>11</v>
          </cell>
          <cell r="AL1237">
            <v>0</v>
          </cell>
          <cell r="AM1237">
            <v>11</v>
          </cell>
          <cell r="AN1237">
            <v>21</v>
          </cell>
          <cell r="AO1237">
            <v>45</v>
          </cell>
          <cell r="AP1237">
            <v>0</v>
          </cell>
          <cell r="AQ1237">
            <v>11</v>
          </cell>
          <cell r="AR1237">
            <v>68</v>
          </cell>
          <cell r="AS1237">
            <v>70</v>
          </cell>
        </row>
        <row r="1238">
          <cell r="B1238">
            <v>17031834300</v>
          </cell>
          <cell r="D1238">
            <v>1831</v>
          </cell>
          <cell r="E1238">
            <v>324</v>
          </cell>
          <cell r="F1238">
            <v>1393</v>
          </cell>
          <cell r="G1238">
            <v>321</v>
          </cell>
          <cell r="H1238">
            <v>1264</v>
          </cell>
          <cell r="I1238">
            <v>278</v>
          </cell>
          <cell r="J1238">
            <v>129</v>
          </cell>
          <cell r="K1238">
            <v>113</v>
          </cell>
          <cell r="L1238">
            <v>99</v>
          </cell>
          <cell r="M1238">
            <v>94</v>
          </cell>
          <cell r="N1238">
            <v>30</v>
          </cell>
          <cell r="O1238">
            <v>56</v>
          </cell>
          <cell r="P1238">
            <v>0</v>
          </cell>
          <cell r="Q1238">
            <v>15</v>
          </cell>
          <cell r="R1238">
            <v>0</v>
          </cell>
          <cell r="S1238">
            <v>15</v>
          </cell>
          <cell r="T1238">
            <v>0</v>
          </cell>
          <cell r="U1238">
            <v>15</v>
          </cell>
          <cell r="V1238">
            <v>322</v>
          </cell>
          <cell r="W1238">
            <v>155</v>
          </cell>
          <cell r="X1238">
            <v>285</v>
          </cell>
          <cell r="Y1238">
            <v>149</v>
          </cell>
          <cell r="Z1238">
            <v>0</v>
          </cell>
          <cell r="AA1238">
            <v>15</v>
          </cell>
          <cell r="AB1238">
            <v>22</v>
          </cell>
          <cell r="AC1238">
            <v>34</v>
          </cell>
          <cell r="AD1238">
            <v>15</v>
          </cell>
          <cell r="AE1238">
            <v>28</v>
          </cell>
          <cell r="AF1238">
            <v>0</v>
          </cell>
          <cell r="AG1238">
            <v>15</v>
          </cell>
          <cell r="AH1238">
            <v>0</v>
          </cell>
          <cell r="AI1238">
            <v>15</v>
          </cell>
          <cell r="AJ1238">
            <v>0</v>
          </cell>
          <cell r="AK1238">
            <v>15</v>
          </cell>
          <cell r="AL1238">
            <v>0</v>
          </cell>
          <cell r="AM1238">
            <v>15</v>
          </cell>
          <cell r="AN1238">
            <v>1</v>
          </cell>
          <cell r="AO1238">
            <v>2</v>
          </cell>
          <cell r="AP1238">
            <v>9</v>
          </cell>
          <cell r="AQ1238">
            <v>18</v>
          </cell>
          <cell r="AR1238">
            <v>106</v>
          </cell>
          <cell r="AS1238">
            <v>75</v>
          </cell>
        </row>
        <row r="1239">
          <cell r="B1239">
            <v>17031834400</v>
          </cell>
          <cell r="D1239">
            <v>1644</v>
          </cell>
          <cell r="E1239">
            <v>253</v>
          </cell>
          <cell r="F1239">
            <v>1060</v>
          </cell>
          <cell r="G1239">
            <v>192</v>
          </cell>
          <cell r="H1239">
            <v>895</v>
          </cell>
          <cell r="I1239">
            <v>188</v>
          </cell>
          <cell r="J1239">
            <v>165</v>
          </cell>
          <cell r="K1239">
            <v>122</v>
          </cell>
          <cell r="L1239">
            <v>130</v>
          </cell>
          <cell r="M1239">
            <v>104</v>
          </cell>
          <cell r="N1239">
            <v>0</v>
          </cell>
          <cell r="O1239">
            <v>11</v>
          </cell>
          <cell r="P1239">
            <v>0</v>
          </cell>
          <cell r="Q1239">
            <v>11</v>
          </cell>
          <cell r="R1239">
            <v>0</v>
          </cell>
          <cell r="S1239">
            <v>11</v>
          </cell>
          <cell r="T1239">
            <v>35</v>
          </cell>
          <cell r="U1239">
            <v>57</v>
          </cell>
          <cell r="V1239">
            <v>415</v>
          </cell>
          <cell r="W1239">
            <v>186</v>
          </cell>
          <cell r="X1239">
            <v>245</v>
          </cell>
          <cell r="Y1239">
            <v>167</v>
          </cell>
          <cell r="Z1239">
            <v>0</v>
          </cell>
          <cell r="AA1239">
            <v>11</v>
          </cell>
          <cell r="AB1239">
            <v>86</v>
          </cell>
          <cell r="AC1239">
            <v>72</v>
          </cell>
          <cell r="AD1239">
            <v>84</v>
          </cell>
          <cell r="AE1239">
            <v>61</v>
          </cell>
          <cell r="AF1239">
            <v>0</v>
          </cell>
          <cell r="AG1239">
            <v>11</v>
          </cell>
          <cell r="AH1239">
            <v>10</v>
          </cell>
          <cell r="AI1239">
            <v>14</v>
          </cell>
          <cell r="AJ1239">
            <v>0</v>
          </cell>
          <cell r="AK1239">
            <v>11</v>
          </cell>
          <cell r="AL1239">
            <v>0</v>
          </cell>
          <cell r="AM1239">
            <v>11</v>
          </cell>
          <cell r="AN1239">
            <v>113</v>
          </cell>
          <cell r="AO1239">
            <v>64</v>
          </cell>
          <cell r="AP1239">
            <v>0</v>
          </cell>
          <cell r="AQ1239">
            <v>11</v>
          </cell>
          <cell r="AR1239">
            <v>46</v>
          </cell>
          <cell r="AS1239">
            <v>44</v>
          </cell>
        </row>
        <row r="1240">
          <cell r="B1240">
            <v>17031834500</v>
          </cell>
          <cell r="D1240">
            <v>338</v>
          </cell>
          <cell r="E1240">
            <v>90</v>
          </cell>
          <cell r="F1240">
            <v>163</v>
          </cell>
          <cell r="G1240">
            <v>72</v>
          </cell>
          <cell r="H1240">
            <v>160</v>
          </cell>
          <cell r="I1240">
            <v>70</v>
          </cell>
          <cell r="J1240">
            <v>3</v>
          </cell>
          <cell r="K1240">
            <v>8</v>
          </cell>
          <cell r="L1240">
            <v>3</v>
          </cell>
          <cell r="M1240">
            <v>8</v>
          </cell>
          <cell r="N1240">
            <v>0</v>
          </cell>
          <cell r="O1240">
            <v>11</v>
          </cell>
          <cell r="P1240">
            <v>0</v>
          </cell>
          <cell r="Q1240">
            <v>11</v>
          </cell>
          <cell r="R1240">
            <v>0</v>
          </cell>
          <cell r="S1240">
            <v>11</v>
          </cell>
          <cell r="T1240">
            <v>0</v>
          </cell>
          <cell r="U1240">
            <v>11</v>
          </cell>
          <cell r="V1240">
            <v>157</v>
          </cell>
          <cell r="W1240">
            <v>50</v>
          </cell>
          <cell r="X1240">
            <v>118</v>
          </cell>
          <cell r="Y1240">
            <v>49</v>
          </cell>
          <cell r="Z1240">
            <v>0</v>
          </cell>
          <cell r="AA1240">
            <v>11</v>
          </cell>
          <cell r="AB1240">
            <v>28</v>
          </cell>
          <cell r="AC1240">
            <v>25</v>
          </cell>
          <cell r="AD1240">
            <v>11</v>
          </cell>
          <cell r="AE1240">
            <v>18</v>
          </cell>
          <cell r="AF1240">
            <v>0</v>
          </cell>
          <cell r="AG1240">
            <v>11</v>
          </cell>
          <cell r="AH1240">
            <v>0</v>
          </cell>
          <cell r="AI1240">
            <v>11</v>
          </cell>
          <cell r="AJ1240">
            <v>0</v>
          </cell>
          <cell r="AK1240">
            <v>11</v>
          </cell>
          <cell r="AL1240">
            <v>0</v>
          </cell>
          <cell r="AM1240">
            <v>11</v>
          </cell>
          <cell r="AN1240">
            <v>0</v>
          </cell>
          <cell r="AO1240">
            <v>11</v>
          </cell>
          <cell r="AP1240">
            <v>5</v>
          </cell>
          <cell r="AQ1240">
            <v>8</v>
          </cell>
          <cell r="AR1240">
            <v>13</v>
          </cell>
          <cell r="AS1240">
            <v>20</v>
          </cell>
        </row>
        <row r="1241">
          <cell r="B1241">
            <v>17031834600</v>
          </cell>
          <cell r="D1241">
            <v>677</v>
          </cell>
          <cell r="E1241">
            <v>150</v>
          </cell>
          <cell r="F1241">
            <v>320</v>
          </cell>
          <cell r="G1241">
            <v>91</v>
          </cell>
          <cell r="H1241">
            <v>297</v>
          </cell>
          <cell r="I1241">
            <v>87</v>
          </cell>
          <cell r="J1241">
            <v>23</v>
          </cell>
          <cell r="K1241">
            <v>30</v>
          </cell>
          <cell r="L1241">
            <v>15</v>
          </cell>
          <cell r="M1241">
            <v>23</v>
          </cell>
          <cell r="N1241">
            <v>0</v>
          </cell>
          <cell r="O1241">
            <v>11</v>
          </cell>
          <cell r="P1241">
            <v>0</v>
          </cell>
          <cell r="Q1241">
            <v>11</v>
          </cell>
          <cell r="R1241">
            <v>8</v>
          </cell>
          <cell r="S1241">
            <v>19</v>
          </cell>
          <cell r="T1241">
            <v>0</v>
          </cell>
          <cell r="U1241">
            <v>11</v>
          </cell>
          <cell r="V1241">
            <v>160</v>
          </cell>
          <cell r="W1241">
            <v>87</v>
          </cell>
          <cell r="X1241">
            <v>103</v>
          </cell>
          <cell r="Y1241">
            <v>74</v>
          </cell>
          <cell r="Z1241">
            <v>0</v>
          </cell>
          <cell r="AA1241">
            <v>11</v>
          </cell>
          <cell r="AB1241">
            <v>49</v>
          </cell>
          <cell r="AC1241">
            <v>44</v>
          </cell>
          <cell r="AD1241">
            <v>8</v>
          </cell>
          <cell r="AE1241">
            <v>12</v>
          </cell>
          <cell r="AF1241">
            <v>0</v>
          </cell>
          <cell r="AG1241">
            <v>11</v>
          </cell>
          <cell r="AH1241">
            <v>9</v>
          </cell>
          <cell r="AI1241">
            <v>14</v>
          </cell>
          <cell r="AJ1241">
            <v>0</v>
          </cell>
          <cell r="AK1241">
            <v>11</v>
          </cell>
          <cell r="AL1241">
            <v>0</v>
          </cell>
          <cell r="AM1241">
            <v>11</v>
          </cell>
          <cell r="AN1241">
            <v>36</v>
          </cell>
          <cell r="AO1241">
            <v>41</v>
          </cell>
          <cell r="AP1241">
            <v>19</v>
          </cell>
          <cell r="AQ1241">
            <v>21</v>
          </cell>
          <cell r="AR1241">
            <v>133</v>
          </cell>
          <cell r="AS1241">
            <v>82</v>
          </cell>
        </row>
        <row r="1242">
          <cell r="B1242">
            <v>17031834700</v>
          </cell>
          <cell r="D1242">
            <v>475</v>
          </cell>
          <cell r="E1242">
            <v>113</v>
          </cell>
          <cell r="F1242">
            <v>269</v>
          </cell>
          <cell r="G1242">
            <v>81</v>
          </cell>
          <cell r="H1242">
            <v>253</v>
          </cell>
          <cell r="I1242">
            <v>77</v>
          </cell>
          <cell r="J1242">
            <v>16</v>
          </cell>
          <cell r="K1242">
            <v>16</v>
          </cell>
          <cell r="L1242">
            <v>8</v>
          </cell>
          <cell r="M1242">
            <v>11</v>
          </cell>
          <cell r="N1242">
            <v>8</v>
          </cell>
          <cell r="O1242">
            <v>12</v>
          </cell>
          <cell r="P1242">
            <v>0</v>
          </cell>
          <cell r="Q1242">
            <v>11</v>
          </cell>
          <cell r="R1242">
            <v>0</v>
          </cell>
          <cell r="S1242">
            <v>11</v>
          </cell>
          <cell r="T1242">
            <v>0</v>
          </cell>
          <cell r="U1242">
            <v>11</v>
          </cell>
          <cell r="V1242">
            <v>169</v>
          </cell>
          <cell r="W1242">
            <v>81</v>
          </cell>
          <cell r="X1242">
            <v>73</v>
          </cell>
          <cell r="Y1242">
            <v>41</v>
          </cell>
          <cell r="Z1242">
            <v>0</v>
          </cell>
          <cell r="AA1242">
            <v>11</v>
          </cell>
          <cell r="AB1242">
            <v>96</v>
          </cell>
          <cell r="AC1242">
            <v>61</v>
          </cell>
          <cell r="AD1242">
            <v>0</v>
          </cell>
          <cell r="AE1242">
            <v>11</v>
          </cell>
          <cell r="AF1242">
            <v>0</v>
          </cell>
          <cell r="AG1242">
            <v>11</v>
          </cell>
          <cell r="AH1242">
            <v>0</v>
          </cell>
          <cell r="AI1242">
            <v>11</v>
          </cell>
          <cell r="AJ1242">
            <v>0</v>
          </cell>
          <cell r="AK1242">
            <v>11</v>
          </cell>
          <cell r="AL1242">
            <v>0</v>
          </cell>
          <cell r="AM1242">
            <v>11</v>
          </cell>
          <cell r="AN1242">
            <v>17</v>
          </cell>
          <cell r="AO1242">
            <v>21</v>
          </cell>
          <cell r="AP1242">
            <v>0</v>
          </cell>
          <cell r="AQ1242">
            <v>11</v>
          </cell>
          <cell r="AR1242">
            <v>20</v>
          </cell>
          <cell r="AS1242">
            <v>23</v>
          </cell>
        </row>
        <row r="1243">
          <cell r="B1243">
            <v>17031834800</v>
          </cell>
          <cell r="D1243">
            <v>365</v>
          </cell>
          <cell r="E1243">
            <v>86</v>
          </cell>
          <cell r="F1243">
            <v>202</v>
          </cell>
          <cell r="G1243">
            <v>69</v>
          </cell>
          <cell r="H1243">
            <v>144</v>
          </cell>
          <cell r="I1243">
            <v>54</v>
          </cell>
          <cell r="J1243">
            <v>58</v>
          </cell>
          <cell r="K1243">
            <v>42</v>
          </cell>
          <cell r="L1243">
            <v>42</v>
          </cell>
          <cell r="M1243">
            <v>35</v>
          </cell>
          <cell r="N1243">
            <v>0</v>
          </cell>
          <cell r="O1243">
            <v>11</v>
          </cell>
          <cell r="P1243">
            <v>0</v>
          </cell>
          <cell r="Q1243">
            <v>11</v>
          </cell>
          <cell r="R1243">
            <v>16</v>
          </cell>
          <cell r="S1243">
            <v>26</v>
          </cell>
          <cell r="T1243">
            <v>0</v>
          </cell>
          <cell r="U1243">
            <v>11</v>
          </cell>
          <cell r="V1243">
            <v>137</v>
          </cell>
          <cell r="W1243">
            <v>44</v>
          </cell>
          <cell r="X1243">
            <v>108</v>
          </cell>
          <cell r="Y1243">
            <v>45</v>
          </cell>
          <cell r="Z1243">
            <v>12</v>
          </cell>
          <cell r="AA1243">
            <v>14</v>
          </cell>
          <cell r="AB1243">
            <v>17</v>
          </cell>
          <cell r="AC1243">
            <v>19</v>
          </cell>
          <cell r="AD1243">
            <v>0</v>
          </cell>
          <cell r="AE1243">
            <v>11</v>
          </cell>
          <cell r="AF1243">
            <v>0</v>
          </cell>
          <cell r="AG1243">
            <v>11</v>
          </cell>
          <cell r="AH1243">
            <v>0</v>
          </cell>
          <cell r="AI1243">
            <v>11</v>
          </cell>
          <cell r="AJ1243">
            <v>0</v>
          </cell>
          <cell r="AK1243">
            <v>11</v>
          </cell>
          <cell r="AL1243">
            <v>0</v>
          </cell>
          <cell r="AM1243">
            <v>11</v>
          </cell>
          <cell r="AN1243">
            <v>0</v>
          </cell>
          <cell r="AO1243">
            <v>11</v>
          </cell>
          <cell r="AP1243">
            <v>14</v>
          </cell>
          <cell r="AQ1243">
            <v>18</v>
          </cell>
          <cell r="AR1243">
            <v>12</v>
          </cell>
          <cell r="AS1243">
            <v>13</v>
          </cell>
        </row>
        <row r="1244">
          <cell r="B1244">
            <v>17031834900</v>
          </cell>
          <cell r="D1244">
            <v>498</v>
          </cell>
          <cell r="E1244">
            <v>94</v>
          </cell>
          <cell r="F1244">
            <v>297</v>
          </cell>
          <cell r="G1244">
            <v>77</v>
          </cell>
          <cell r="H1244">
            <v>265</v>
          </cell>
          <cell r="I1244">
            <v>70</v>
          </cell>
          <cell r="J1244">
            <v>32</v>
          </cell>
          <cell r="K1244">
            <v>29</v>
          </cell>
          <cell r="L1244">
            <v>10</v>
          </cell>
          <cell r="M1244">
            <v>15</v>
          </cell>
          <cell r="N1244">
            <v>17</v>
          </cell>
          <cell r="O1244">
            <v>20</v>
          </cell>
          <cell r="P1244">
            <v>5</v>
          </cell>
          <cell r="Q1244">
            <v>8</v>
          </cell>
          <cell r="R1244">
            <v>0</v>
          </cell>
          <cell r="S1244">
            <v>11</v>
          </cell>
          <cell r="T1244">
            <v>0</v>
          </cell>
          <cell r="U1244">
            <v>11</v>
          </cell>
          <cell r="V1244">
            <v>155</v>
          </cell>
          <cell r="W1244">
            <v>65</v>
          </cell>
          <cell r="X1244">
            <v>121</v>
          </cell>
          <cell r="Y1244">
            <v>60</v>
          </cell>
          <cell r="Z1244">
            <v>0</v>
          </cell>
          <cell r="AA1244">
            <v>11</v>
          </cell>
          <cell r="AB1244">
            <v>34</v>
          </cell>
          <cell r="AC1244">
            <v>26</v>
          </cell>
          <cell r="AD1244">
            <v>0</v>
          </cell>
          <cell r="AE1244">
            <v>11</v>
          </cell>
          <cell r="AF1244">
            <v>0</v>
          </cell>
          <cell r="AG1244">
            <v>11</v>
          </cell>
          <cell r="AH1244">
            <v>0</v>
          </cell>
          <cell r="AI1244">
            <v>11</v>
          </cell>
          <cell r="AJ1244">
            <v>0</v>
          </cell>
          <cell r="AK1244">
            <v>11</v>
          </cell>
          <cell r="AL1244">
            <v>0</v>
          </cell>
          <cell r="AM1244">
            <v>11</v>
          </cell>
          <cell r="AN1244">
            <v>0</v>
          </cell>
          <cell r="AO1244">
            <v>11</v>
          </cell>
          <cell r="AP1244">
            <v>15</v>
          </cell>
          <cell r="AQ1244">
            <v>15</v>
          </cell>
          <cell r="AR1244">
            <v>31</v>
          </cell>
          <cell r="AS1244">
            <v>28</v>
          </cell>
        </row>
        <row r="1245">
          <cell r="B1245">
            <v>17031835000</v>
          </cell>
          <cell r="D1245">
            <v>1853</v>
          </cell>
          <cell r="E1245">
            <v>332</v>
          </cell>
          <cell r="F1245">
            <v>1417</v>
          </cell>
          <cell r="G1245">
            <v>286</v>
          </cell>
          <cell r="H1245">
            <v>1027</v>
          </cell>
          <cell r="I1245">
            <v>251</v>
          </cell>
          <cell r="J1245">
            <v>390</v>
          </cell>
          <cell r="K1245">
            <v>142</v>
          </cell>
          <cell r="L1245">
            <v>332</v>
          </cell>
          <cell r="M1245">
            <v>127</v>
          </cell>
          <cell r="N1245">
            <v>49</v>
          </cell>
          <cell r="O1245">
            <v>46</v>
          </cell>
          <cell r="P1245">
            <v>0</v>
          </cell>
          <cell r="Q1245">
            <v>15</v>
          </cell>
          <cell r="R1245">
            <v>9</v>
          </cell>
          <cell r="S1245">
            <v>14</v>
          </cell>
          <cell r="T1245">
            <v>0</v>
          </cell>
          <cell r="U1245">
            <v>15</v>
          </cell>
          <cell r="V1245">
            <v>378</v>
          </cell>
          <cell r="W1245">
            <v>122</v>
          </cell>
          <cell r="X1245">
            <v>252</v>
          </cell>
          <cell r="Y1245">
            <v>97</v>
          </cell>
          <cell r="Z1245">
            <v>0</v>
          </cell>
          <cell r="AA1245">
            <v>15</v>
          </cell>
          <cell r="AB1245">
            <v>126</v>
          </cell>
          <cell r="AC1245">
            <v>73</v>
          </cell>
          <cell r="AD1245">
            <v>0</v>
          </cell>
          <cell r="AE1245">
            <v>15</v>
          </cell>
          <cell r="AF1245">
            <v>0</v>
          </cell>
          <cell r="AG1245">
            <v>15</v>
          </cell>
          <cell r="AH1245">
            <v>0</v>
          </cell>
          <cell r="AI1245">
            <v>15</v>
          </cell>
          <cell r="AJ1245">
            <v>0</v>
          </cell>
          <cell r="AK1245">
            <v>15</v>
          </cell>
          <cell r="AL1245">
            <v>0</v>
          </cell>
          <cell r="AM1245">
            <v>15</v>
          </cell>
          <cell r="AN1245">
            <v>43</v>
          </cell>
          <cell r="AO1245">
            <v>42</v>
          </cell>
          <cell r="AP1245">
            <v>0</v>
          </cell>
          <cell r="AQ1245">
            <v>15</v>
          </cell>
          <cell r="AR1245">
            <v>15</v>
          </cell>
          <cell r="AS1245">
            <v>24</v>
          </cell>
        </row>
        <row r="1246">
          <cell r="B1246">
            <v>17031835100</v>
          </cell>
          <cell r="D1246">
            <v>2169</v>
          </cell>
          <cell r="E1246">
            <v>311</v>
          </cell>
          <cell r="F1246">
            <v>1688</v>
          </cell>
          <cell r="G1246">
            <v>248</v>
          </cell>
          <cell r="H1246">
            <v>1259</v>
          </cell>
          <cell r="I1246">
            <v>249</v>
          </cell>
          <cell r="J1246">
            <v>429</v>
          </cell>
          <cell r="K1246">
            <v>179</v>
          </cell>
          <cell r="L1246">
            <v>314</v>
          </cell>
          <cell r="M1246">
            <v>159</v>
          </cell>
          <cell r="N1246">
            <v>89</v>
          </cell>
          <cell r="O1246">
            <v>73</v>
          </cell>
          <cell r="P1246">
            <v>0</v>
          </cell>
          <cell r="Q1246">
            <v>15</v>
          </cell>
          <cell r="R1246">
            <v>26</v>
          </cell>
          <cell r="S1246">
            <v>29</v>
          </cell>
          <cell r="T1246">
            <v>0</v>
          </cell>
          <cell r="U1246">
            <v>15</v>
          </cell>
          <cell r="V1246">
            <v>347</v>
          </cell>
          <cell r="W1246">
            <v>176</v>
          </cell>
          <cell r="X1246">
            <v>75</v>
          </cell>
          <cell r="Y1246">
            <v>45</v>
          </cell>
          <cell r="Z1246">
            <v>0</v>
          </cell>
          <cell r="AA1246">
            <v>15</v>
          </cell>
          <cell r="AB1246">
            <v>271</v>
          </cell>
          <cell r="AC1246">
            <v>173</v>
          </cell>
          <cell r="AD1246">
            <v>1</v>
          </cell>
          <cell r="AE1246">
            <v>2</v>
          </cell>
          <cell r="AF1246">
            <v>0</v>
          </cell>
          <cell r="AG1246">
            <v>15</v>
          </cell>
          <cell r="AH1246">
            <v>0</v>
          </cell>
          <cell r="AI1246">
            <v>15</v>
          </cell>
          <cell r="AJ1246">
            <v>0</v>
          </cell>
          <cell r="AK1246">
            <v>15</v>
          </cell>
          <cell r="AL1246">
            <v>20</v>
          </cell>
          <cell r="AM1246">
            <v>31</v>
          </cell>
          <cell r="AN1246">
            <v>29</v>
          </cell>
          <cell r="AO1246">
            <v>37</v>
          </cell>
          <cell r="AP1246">
            <v>7</v>
          </cell>
          <cell r="AQ1246">
            <v>12</v>
          </cell>
          <cell r="AR1246">
            <v>78</v>
          </cell>
          <cell r="AS1246">
            <v>73</v>
          </cell>
        </row>
        <row r="1247">
          <cell r="B1247">
            <v>17031835200</v>
          </cell>
          <cell r="D1247">
            <v>770</v>
          </cell>
          <cell r="E1247">
            <v>117</v>
          </cell>
          <cell r="F1247">
            <v>521</v>
          </cell>
          <cell r="G1247">
            <v>106</v>
          </cell>
          <cell r="H1247">
            <v>449</v>
          </cell>
          <cell r="I1247">
            <v>86</v>
          </cell>
          <cell r="J1247">
            <v>72</v>
          </cell>
          <cell r="K1247">
            <v>44</v>
          </cell>
          <cell r="L1247">
            <v>54</v>
          </cell>
          <cell r="M1247">
            <v>43</v>
          </cell>
          <cell r="N1247">
            <v>3</v>
          </cell>
          <cell r="O1247">
            <v>4</v>
          </cell>
          <cell r="P1247">
            <v>10</v>
          </cell>
          <cell r="Q1247">
            <v>15</v>
          </cell>
          <cell r="R1247">
            <v>5</v>
          </cell>
          <cell r="S1247">
            <v>7</v>
          </cell>
          <cell r="T1247">
            <v>0</v>
          </cell>
          <cell r="U1247">
            <v>11</v>
          </cell>
          <cell r="V1247">
            <v>200</v>
          </cell>
          <cell r="W1247">
            <v>70</v>
          </cell>
          <cell r="X1247">
            <v>91</v>
          </cell>
          <cell r="Y1247">
            <v>43</v>
          </cell>
          <cell r="Z1247">
            <v>0</v>
          </cell>
          <cell r="AA1247">
            <v>11</v>
          </cell>
          <cell r="AB1247">
            <v>109</v>
          </cell>
          <cell r="AC1247">
            <v>46</v>
          </cell>
          <cell r="AD1247">
            <v>0</v>
          </cell>
          <cell r="AE1247">
            <v>11</v>
          </cell>
          <cell r="AF1247">
            <v>0</v>
          </cell>
          <cell r="AG1247">
            <v>11</v>
          </cell>
          <cell r="AH1247">
            <v>0</v>
          </cell>
          <cell r="AI1247">
            <v>11</v>
          </cell>
          <cell r="AJ1247">
            <v>0</v>
          </cell>
          <cell r="AK1247">
            <v>11</v>
          </cell>
          <cell r="AL1247">
            <v>11</v>
          </cell>
          <cell r="AM1247">
            <v>18</v>
          </cell>
          <cell r="AN1247">
            <v>30</v>
          </cell>
          <cell r="AO1247">
            <v>24</v>
          </cell>
          <cell r="AP1247">
            <v>0</v>
          </cell>
          <cell r="AQ1247">
            <v>11</v>
          </cell>
          <cell r="AR1247">
            <v>8</v>
          </cell>
          <cell r="AS1247">
            <v>9</v>
          </cell>
        </row>
        <row r="1248">
          <cell r="B1248">
            <v>17031835500</v>
          </cell>
          <cell r="D1248">
            <v>413</v>
          </cell>
          <cell r="E1248">
            <v>96</v>
          </cell>
          <cell r="F1248">
            <v>258</v>
          </cell>
          <cell r="G1248">
            <v>77</v>
          </cell>
          <cell r="H1248">
            <v>211</v>
          </cell>
          <cell r="I1248">
            <v>76</v>
          </cell>
          <cell r="J1248">
            <v>47</v>
          </cell>
          <cell r="K1248">
            <v>35</v>
          </cell>
          <cell r="L1248">
            <v>47</v>
          </cell>
          <cell r="M1248">
            <v>35</v>
          </cell>
          <cell r="N1248">
            <v>0</v>
          </cell>
          <cell r="O1248">
            <v>11</v>
          </cell>
          <cell r="P1248">
            <v>0</v>
          </cell>
          <cell r="Q1248">
            <v>11</v>
          </cell>
          <cell r="R1248">
            <v>0</v>
          </cell>
          <cell r="S1248">
            <v>11</v>
          </cell>
          <cell r="T1248">
            <v>0</v>
          </cell>
          <cell r="U1248">
            <v>11</v>
          </cell>
          <cell r="V1248">
            <v>131</v>
          </cell>
          <cell r="W1248">
            <v>73</v>
          </cell>
          <cell r="X1248">
            <v>118</v>
          </cell>
          <cell r="Y1248">
            <v>70</v>
          </cell>
          <cell r="Z1248">
            <v>0</v>
          </cell>
          <cell r="AA1248">
            <v>11</v>
          </cell>
          <cell r="AB1248">
            <v>13</v>
          </cell>
          <cell r="AC1248">
            <v>19</v>
          </cell>
          <cell r="AD1248">
            <v>0</v>
          </cell>
          <cell r="AE1248">
            <v>11</v>
          </cell>
          <cell r="AF1248">
            <v>0</v>
          </cell>
          <cell r="AG1248">
            <v>11</v>
          </cell>
          <cell r="AH1248">
            <v>0</v>
          </cell>
          <cell r="AI1248">
            <v>11</v>
          </cell>
          <cell r="AJ1248">
            <v>0</v>
          </cell>
          <cell r="AK1248">
            <v>11</v>
          </cell>
          <cell r="AL1248">
            <v>0</v>
          </cell>
          <cell r="AM1248">
            <v>11</v>
          </cell>
          <cell r="AN1248">
            <v>22</v>
          </cell>
          <cell r="AO1248">
            <v>26</v>
          </cell>
          <cell r="AP1248">
            <v>0</v>
          </cell>
          <cell r="AQ1248">
            <v>11</v>
          </cell>
          <cell r="AR1248">
            <v>2</v>
          </cell>
          <cell r="AS1248">
            <v>4</v>
          </cell>
        </row>
        <row r="1249">
          <cell r="B1249">
            <v>17031835600</v>
          </cell>
          <cell r="D1249">
            <v>221</v>
          </cell>
          <cell r="E1249">
            <v>71</v>
          </cell>
          <cell r="F1249">
            <v>121</v>
          </cell>
          <cell r="G1249">
            <v>57</v>
          </cell>
          <cell r="H1249">
            <v>101</v>
          </cell>
          <cell r="I1249">
            <v>48</v>
          </cell>
          <cell r="J1249">
            <v>20</v>
          </cell>
          <cell r="K1249">
            <v>24</v>
          </cell>
          <cell r="L1249">
            <v>20</v>
          </cell>
          <cell r="M1249">
            <v>24</v>
          </cell>
          <cell r="N1249">
            <v>0</v>
          </cell>
          <cell r="O1249">
            <v>11</v>
          </cell>
          <cell r="P1249">
            <v>0</v>
          </cell>
          <cell r="Q1249">
            <v>11</v>
          </cell>
          <cell r="R1249">
            <v>0</v>
          </cell>
          <cell r="S1249">
            <v>11</v>
          </cell>
          <cell r="T1249">
            <v>0</v>
          </cell>
          <cell r="U1249">
            <v>11</v>
          </cell>
          <cell r="V1249">
            <v>87</v>
          </cell>
          <cell r="W1249">
            <v>49</v>
          </cell>
          <cell r="X1249">
            <v>33</v>
          </cell>
          <cell r="Y1249">
            <v>26</v>
          </cell>
          <cell r="Z1249">
            <v>0</v>
          </cell>
          <cell r="AA1249">
            <v>11</v>
          </cell>
          <cell r="AB1249">
            <v>54</v>
          </cell>
          <cell r="AC1249">
            <v>47</v>
          </cell>
          <cell r="AD1249">
            <v>0</v>
          </cell>
          <cell r="AE1249">
            <v>11</v>
          </cell>
          <cell r="AF1249">
            <v>0</v>
          </cell>
          <cell r="AG1249">
            <v>11</v>
          </cell>
          <cell r="AH1249">
            <v>0</v>
          </cell>
          <cell r="AI1249">
            <v>11</v>
          </cell>
          <cell r="AJ1249">
            <v>0</v>
          </cell>
          <cell r="AK1249">
            <v>11</v>
          </cell>
          <cell r="AL1249">
            <v>0</v>
          </cell>
          <cell r="AM1249">
            <v>11</v>
          </cell>
          <cell r="AN1249">
            <v>13</v>
          </cell>
          <cell r="AO1249">
            <v>21</v>
          </cell>
          <cell r="AP1249">
            <v>0</v>
          </cell>
          <cell r="AQ1249">
            <v>11</v>
          </cell>
          <cell r="AR1249">
            <v>0</v>
          </cell>
          <cell r="AS1249">
            <v>11</v>
          </cell>
        </row>
        <row r="1250">
          <cell r="B1250">
            <v>17031835700</v>
          </cell>
          <cell r="D1250">
            <v>16</v>
          </cell>
          <cell r="E1250">
            <v>24</v>
          </cell>
          <cell r="F1250">
            <v>16</v>
          </cell>
          <cell r="G1250">
            <v>24</v>
          </cell>
          <cell r="H1250">
            <v>16</v>
          </cell>
          <cell r="I1250">
            <v>24</v>
          </cell>
          <cell r="J1250">
            <v>0</v>
          </cell>
          <cell r="K1250">
            <v>11</v>
          </cell>
          <cell r="L1250">
            <v>0</v>
          </cell>
          <cell r="M1250">
            <v>11</v>
          </cell>
          <cell r="N1250">
            <v>0</v>
          </cell>
          <cell r="O1250">
            <v>11</v>
          </cell>
          <cell r="P1250">
            <v>0</v>
          </cell>
          <cell r="Q1250">
            <v>11</v>
          </cell>
          <cell r="R1250">
            <v>0</v>
          </cell>
          <cell r="S1250">
            <v>11</v>
          </cell>
          <cell r="T1250">
            <v>0</v>
          </cell>
          <cell r="U1250">
            <v>11</v>
          </cell>
          <cell r="V1250">
            <v>0</v>
          </cell>
          <cell r="W1250">
            <v>11</v>
          </cell>
          <cell r="X1250">
            <v>0</v>
          </cell>
          <cell r="Y1250">
            <v>11</v>
          </cell>
          <cell r="Z1250">
            <v>0</v>
          </cell>
          <cell r="AA1250">
            <v>11</v>
          </cell>
          <cell r="AB1250">
            <v>0</v>
          </cell>
          <cell r="AC1250">
            <v>11</v>
          </cell>
          <cell r="AD1250">
            <v>0</v>
          </cell>
          <cell r="AE1250">
            <v>11</v>
          </cell>
          <cell r="AF1250">
            <v>0</v>
          </cell>
          <cell r="AG1250">
            <v>11</v>
          </cell>
          <cell r="AH1250">
            <v>0</v>
          </cell>
          <cell r="AI1250">
            <v>11</v>
          </cell>
          <cell r="AJ1250">
            <v>0</v>
          </cell>
          <cell r="AK1250">
            <v>11</v>
          </cell>
          <cell r="AL1250">
            <v>0</v>
          </cell>
          <cell r="AM1250">
            <v>11</v>
          </cell>
          <cell r="AN1250">
            <v>0</v>
          </cell>
          <cell r="AO1250">
            <v>11</v>
          </cell>
          <cell r="AP1250">
            <v>0</v>
          </cell>
          <cell r="AQ1250">
            <v>11</v>
          </cell>
          <cell r="AR1250">
            <v>0</v>
          </cell>
          <cell r="AS1250">
            <v>11</v>
          </cell>
        </row>
        <row r="1251">
          <cell r="B1251">
            <v>17031835800</v>
          </cell>
          <cell r="D1251">
            <v>685</v>
          </cell>
          <cell r="E1251">
            <v>152</v>
          </cell>
          <cell r="F1251">
            <v>484</v>
          </cell>
          <cell r="G1251">
            <v>135</v>
          </cell>
          <cell r="H1251">
            <v>436</v>
          </cell>
          <cell r="I1251">
            <v>131</v>
          </cell>
          <cell r="J1251">
            <v>48</v>
          </cell>
          <cell r="K1251">
            <v>36</v>
          </cell>
          <cell r="L1251">
            <v>37</v>
          </cell>
          <cell r="M1251">
            <v>34</v>
          </cell>
          <cell r="N1251">
            <v>11</v>
          </cell>
          <cell r="O1251">
            <v>12</v>
          </cell>
          <cell r="P1251">
            <v>0</v>
          </cell>
          <cell r="Q1251">
            <v>11</v>
          </cell>
          <cell r="R1251">
            <v>0</v>
          </cell>
          <cell r="S1251">
            <v>11</v>
          </cell>
          <cell r="T1251">
            <v>0</v>
          </cell>
          <cell r="U1251">
            <v>11</v>
          </cell>
          <cell r="V1251">
            <v>109</v>
          </cell>
          <cell r="W1251">
            <v>49</v>
          </cell>
          <cell r="X1251">
            <v>43</v>
          </cell>
          <cell r="Y1251">
            <v>37</v>
          </cell>
          <cell r="Z1251">
            <v>6</v>
          </cell>
          <cell r="AA1251">
            <v>9</v>
          </cell>
          <cell r="AB1251">
            <v>60</v>
          </cell>
          <cell r="AC1251">
            <v>36</v>
          </cell>
          <cell r="AD1251">
            <v>0</v>
          </cell>
          <cell r="AE1251">
            <v>11</v>
          </cell>
          <cell r="AF1251">
            <v>0</v>
          </cell>
          <cell r="AG1251">
            <v>11</v>
          </cell>
          <cell r="AH1251">
            <v>6</v>
          </cell>
          <cell r="AI1251">
            <v>10</v>
          </cell>
          <cell r="AJ1251">
            <v>0</v>
          </cell>
          <cell r="AK1251">
            <v>11</v>
          </cell>
          <cell r="AL1251">
            <v>0</v>
          </cell>
          <cell r="AM1251">
            <v>11</v>
          </cell>
          <cell r="AN1251">
            <v>19</v>
          </cell>
          <cell r="AO1251">
            <v>25</v>
          </cell>
          <cell r="AP1251">
            <v>0</v>
          </cell>
          <cell r="AQ1251">
            <v>11</v>
          </cell>
          <cell r="AR1251">
            <v>67</v>
          </cell>
          <cell r="AS1251">
            <v>42</v>
          </cell>
        </row>
        <row r="1252">
          <cell r="B1252">
            <v>17031835900</v>
          </cell>
          <cell r="D1252">
            <v>1078</v>
          </cell>
          <cell r="E1252">
            <v>226</v>
          </cell>
          <cell r="F1252">
            <v>699</v>
          </cell>
          <cell r="G1252">
            <v>175</v>
          </cell>
          <cell r="H1252">
            <v>646</v>
          </cell>
          <cell r="I1252">
            <v>173</v>
          </cell>
          <cell r="J1252">
            <v>53</v>
          </cell>
          <cell r="K1252">
            <v>48</v>
          </cell>
          <cell r="L1252">
            <v>33</v>
          </cell>
          <cell r="M1252">
            <v>43</v>
          </cell>
          <cell r="N1252">
            <v>20</v>
          </cell>
          <cell r="O1252">
            <v>24</v>
          </cell>
          <cell r="P1252">
            <v>0</v>
          </cell>
          <cell r="Q1252">
            <v>11</v>
          </cell>
          <cell r="R1252">
            <v>0</v>
          </cell>
          <cell r="S1252">
            <v>11</v>
          </cell>
          <cell r="T1252">
            <v>0</v>
          </cell>
          <cell r="U1252">
            <v>11</v>
          </cell>
          <cell r="V1252">
            <v>287</v>
          </cell>
          <cell r="W1252">
            <v>102</v>
          </cell>
          <cell r="X1252">
            <v>250</v>
          </cell>
          <cell r="Y1252">
            <v>98</v>
          </cell>
          <cell r="Z1252">
            <v>0</v>
          </cell>
          <cell r="AA1252">
            <v>11</v>
          </cell>
          <cell r="AB1252">
            <v>35</v>
          </cell>
          <cell r="AC1252">
            <v>32</v>
          </cell>
          <cell r="AD1252">
            <v>2</v>
          </cell>
          <cell r="AE1252">
            <v>5</v>
          </cell>
          <cell r="AF1252">
            <v>0</v>
          </cell>
          <cell r="AG1252">
            <v>11</v>
          </cell>
          <cell r="AH1252">
            <v>0</v>
          </cell>
          <cell r="AI1252">
            <v>11</v>
          </cell>
          <cell r="AJ1252">
            <v>0</v>
          </cell>
          <cell r="AK1252">
            <v>11</v>
          </cell>
          <cell r="AL1252">
            <v>9</v>
          </cell>
          <cell r="AM1252">
            <v>20</v>
          </cell>
          <cell r="AN1252">
            <v>15</v>
          </cell>
          <cell r="AO1252">
            <v>26</v>
          </cell>
          <cell r="AP1252">
            <v>0</v>
          </cell>
          <cell r="AQ1252">
            <v>11</v>
          </cell>
          <cell r="AR1252">
            <v>68</v>
          </cell>
          <cell r="AS1252">
            <v>65</v>
          </cell>
        </row>
        <row r="1253">
          <cell r="B1253">
            <v>17031836000</v>
          </cell>
          <cell r="D1253">
            <v>1018</v>
          </cell>
          <cell r="E1253">
            <v>135</v>
          </cell>
          <cell r="F1253">
            <v>605</v>
          </cell>
          <cell r="G1253">
            <v>126</v>
          </cell>
          <cell r="H1253">
            <v>543</v>
          </cell>
          <cell r="I1253">
            <v>110</v>
          </cell>
          <cell r="J1253">
            <v>62</v>
          </cell>
          <cell r="K1253">
            <v>43</v>
          </cell>
          <cell r="L1253">
            <v>45</v>
          </cell>
          <cell r="M1253">
            <v>41</v>
          </cell>
          <cell r="N1253">
            <v>17</v>
          </cell>
          <cell r="O1253">
            <v>18</v>
          </cell>
          <cell r="P1253">
            <v>0</v>
          </cell>
          <cell r="Q1253">
            <v>11</v>
          </cell>
          <cell r="R1253">
            <v>0</v>
          </cell>
          <cell r="S1253">
            <v>11</v>
          </cell>
          <cell r="T1253">
            <v>0</v>
          </cell>
          <cell r="U1253">
            <v>11</v>
          </cell>
          <cell r="V1253">
            <v>351</v>
          </cell>
          <cell r="W1253">
            <v>119</v>
          </cell>
          <cell r="X1253">
            <v>243</v>
          </cell>
          <cell r="Y1253">
            <v>112</v>
          </cell>
          <cell r="Z1253">
            <v>13</v>
          </cell>
          <cell r="AA1253">
            <v>20</v>
          </cell>
          <cell r="AB1253">
            <v>74</v>
          </cell>
          <cell r="AC1253">
            <v>46</v>
          </cell>
          <cell r="AD1253">
            <v>21</v>
          </cell>
          <cell r="AE1253">
            <v>22</v>
          </cell>
          <cell r="AF1253">
            <v>0</v>
          </cell>
          <cell r="AG1253">
            <v>11</v>
          </cell>
          <cell r="AH1253">
            <v>0</v>
          </cell>
          <cell r="AI1253">
            <v>11</v>
          </cell>
          <cell r="AJ1253">
            <v>0</v>
          </cell>
          <cell r="AK1253">
            <v>11</v>
          </cell>
          <cell r="AL1253">
            <v>5</v>
          </cell>
          <cell r="AM1253">
            <v>8</v>
          </cell>
          <cell r="AN1253">
            <v>0</v>
          </cell>
          <cell r="AO1253">
            <v>11</v>
          </cell>
          <cell r="AP1253">
            <v>51</v>
          </cell>
          <cell r="AQ1253">
            <v>52</v>
          </cell>
          <cell r="AR1253">
            <v>6</v>
          </cell>
          <cell r="AS1253">
            <v>8</v>
          </cell>
        </row>
        <row r="1254">
          <cell r="B1254">
            <v>17031836100</v>
          </cell>
          <cell r="D1254">
            <v>706</v>
          </cell>
          <cell r="E1254">
            <v>155</v>
          </cell>
          <cell r="F1254">
            <v>411</v>
          </cell>
          <cell r="G1254">
            <v>118</v>
          </cell>
          <cell r="H1254">
            <v>334</v>
          </cell>
          <cell r="I1254">
            <v>108</v>
          </cell>
          <cell r="J1254">
            <v>77</v>
          </cell>
          <cell r="K1254">
            <v>46</v>
          </cell>
          <cell r="L1254">
            <v>77</v>
          </cell>
          <cell r="M1254">
            <v>46</v>
          </cell>
          <cell r="N1254">
            <v>0</v>
          </cell>
          <cell r="O1254">
            <v>11</v>
          </cell>
          <cell r="P1254">
            <v>0</v>
          </cell>
          <cell r="Q1254">
            <v>11</v>
          </cell>
          <cell r="R1254">
            <v>0</v>
          </cell>
          <cell r="S1254">
            <v>11</v>
          </cell>
          <cell r="T1254">
            <v>0</v>
          </cell>
          <cell r="U1254">
            <v>11</v>
          </cell>
          <cell r="V1254">
            <v>189</v>
          </cell>
          <cell r="W1254">
            <v>86</v>
          </cell>
          <cell r="X1254">
            <v>139</v>
          </cell>
          <cell r="Y1254">
            <v>75</v>
          </cell>
          <cell r="Z1254">
            <v>16</v>
          </cell>
          <cell r="AA1254">
            <v>24</v>
          </cell>
          <cell r="AB1254">
            <v>34</v>
          </cell>
          <cell r="AC1254">
            <v>36</v>
          </cell>
          <cell r="AD1254">
            <v>0</v>
          </cell>
          <cell r="AE1254">
            <v>11</v>
          </cell>
          <cell r="AF1254">
            <v>0</v>
          </cell>
          <cell r="AG1254">
            <v>11</v>
          </cell>
          <cell r="AH1254">
            <v>0</v>
          </cell>
          <cell r="AI1254">
            <v>11</v>
          </cell>
          <cell r="AJ1254">
            <v>0</v>
          </cell>
          <cell r="AK1254">
            <v>11</v>
          </cell>
          <cell r="AL1254">
            <v>11</v>
          </cell>
          <cell r="AM1254">
            <v>13</v>
          </cell>
          <cell r="AN1254">
            <v>60</v>
          </cell>
          <cell r="AO1254">
            <v>56</v>
          </cell>
          <cell r="AP1254">
            <v>0</v>
          </cell>
          <cell r="AQ1254">
            <v>11</v>
          </cell>
          <cell r="AR1254">
            <v>35</v>
          </cell>
          <cell r="AS1254">
            <v>27</v>
          </cell>
        </row>
        <row r="1255">
          <cell r="B1255">
            <v>17031836200</v>
          </cell>
          <cell r="D1255">
            <v>487</v>
          </cell>
          <cell r="E1255">
            <v>151</v>
          </cell>
          <cell r="F1255">
            <v>24</v>
          </cell>
          <cell r="G1255">
            <v>28</v>
          </cell>
          <cell r="H1255">
            <v>18</v>
          </cell>
          <cell r="I1255">
            <v>22</v>
          </cell>
          <cell r="J1255">
            <v>6</v>
          </cell>
          <cell r="K1255">
            <v>10</v>
          </cell>
          <cell r="L1255">
            <v>0</v>
          </cell>
          <cell r="M1255">
            <v>11</v>
          </cell>
          <cell r="N1255">
            <v>6</v>
          </cell>
          <cell r="O1255">
            <v>10</v>
          </cell>
          <cell r="P1255">
            <v>0</v>
          </cell>
          <cell r="Q1255">
            <v>11</v>
          </cell>
          <cell r="R1255">
            <v>0</v>
          </cell>
          <cell r="S1255">
            <v>11</v>
          </cell>
          <cell r="T1255">
            <v>0</v>
          </cell>
          <cell r="U1255">
            <v>11</v>
          </cell>
          <cell r="V1255">
            <v>81</v>
          </cell>
          <cell r="W1255">
            <v>46</v>
          </cell>
          <cell r="X1255">
            <v>57</v>
          </cell>
          <cell r="Y1255">
            <v>41</v>
          </cell>
          <cell r="Z1255">
            <v>0</v>
          </cell>
          <cell r="AA1255">
            <v>11</v>
          </cell>
          <cell r="AB1255">
            <v>20</v>
          </cell>
          <cell r="AC1255">
            <v>14</v>
          </cell>
          <cell r="AD1255">
            <v>4</v>
          </cell>
          <cell r="AE1255">
            <v>6</v>
          </cell>
          <cell r="AF1255">
            <v>0</v>
          </cell>
          <cell r="AG1255">
            <v>11</v>
          </cell>
          <cell r="AH1255">
            <v>16</v>
          </cell>
          <cell r="AI1255">
            <v>27</v>
          </cell>
          <cell r="AJ1255">
            <v>0</v>
          </cell>
          <cell r="AK1255">
            <v>11</v>
          </cell>
          <cell r="AL1255">
            <v>11</v>
          </cell>
          <cell r="AM1255">
            <v>14</v>
          </cell>
          <cell r="AN1255">
            <v>290</v>
          </cell>
          <cell r="AO1255">
            <v>116</v>
          </cell>
          <cell r="AP1255">
            <v>18</v>
          </cell>
          <cell r="AQ1255">
            <v>25</v>
          </cell>
          <cell r="AR1255">
            <v>47</v>
          </cell>
          <cell r="AS1255">
            <v>36</v>
          </cell>
        </row>
        <row r="1256">
          <cell r="B1256">
            <v>17031836300</v>
          </cell>
          <cell r="D1256">
            <v>671</v>
          </cell>
          <cell r="E1256">
            <v>106</v>
          </cell>
          <cell r="F1256">
            <v>289</v>
          </cell>
          <cell r="G1256">
            <v>88</v>
          </cell>
          <cell r="H1256">
            <v>244</v>
          </cell>
          <cell r="I1256">
            <v>86</v>
          </cell>
          <cell r="J1256">
            <v>45</v>
          </cell>
          <cell r="K1256">
            <v>42</v>
          </cell>
          <cell r="L1256">
            <v>45</v>
          </cell>
          <cell r="M1256">
            <v>42</v>
          </cell>
          <cell r="N1256">
            <v>0</v>
          </cell>
          <cell r="O1256">
            <v>11</v>
          </cell>
          <cell r="P1256">
            <v>0</v>
          </cell>
          <cell r="Q1256">
            <v>11</v>
          </cell>
          <cell r="R1256">
            <v>0</v>
          </cell>
          <cell r="S1256">
            <v>11</v>
          </cell>
          <cell r="T1256">
            <v>0</v>
          </cell>
          <cell r="U1256">
            <v>11</v>
          </cell>
          <cell r="V1256">
            <v>221</v>
          </cell>
          <cell r="W1256">
            <v>67</v>
          </cell>
          <cell r="X1256">
            <v>175</v>
          </cell>
          <cell r="Y1256">
            <v>66</v>
          </cell>
          <cell r="Z1256">
            <v>0</v>
          </cell>
          <cell r="AA1256">
            <v>11</v>
          </cell>
          <cell r="AB1256">
            <v>18</v>
          </cell>
          <cell r="AC1256">
            <v>18</v>
          </cell>
          <cell r="AD1256">
            <v>28</v>
          </cell>
          <cell r="AE1256">
            <v>18</v>
          </cell>
          <cell r="AF1256">
            <v>0</v>
          </cell>
          <cell r="AG1256">
            <v>11</v>
          </cell>
          <cell r="AH1256">
            <v>8</v>
          </cell>
          <cell r="AI1256">
            <v>12</v>
          </cell>
          <cell r="AJ1256">
            <v>0</v>
          </cell>
          <cell r="AK1256">
            <v>11</v>
          </cell>
          <cell r="AL1256">
            <v>17</v>
          </cell>
          <cell r="AM1256">
            <v>28</v>
          </cell>
          <cell r="AN1256">
            <v>110</v>
          </cell>
          <cell r="AO1256">
            <v>51</v>
          </cell>
          <cell r="AP1256">
            <v>0</v>
          </cell>
          <cell r="AQ1256">
            <v>11</v>
          </cell>
          <cell r="AR1256">
            <v>26</v>
          </cell>
          <cell r="AS1256">
            <v>18</v>
          </cell>
        </row>
        <row r="1257">
          <cell r="B1257">
            <v>17031836400</v>
          </cell>
          <cell r="D1257">
            <v>1394</v>
          </cell>
          <cell r="E1257">
            <v>163</v>
          </cell>
          <cell r="F1257">
            <v>833</v>
          </cell>
          <cell r="G1257">
            <v>157</v>
          </cell>
          <cell r="H1257">
            <v>717</v>
          </cell>
          <cell r="I1257">
            <v>146</v>
          </cell>
          <cell r="J1257">
            <v>116</v>
          </cell>
          <cell r="K1257">
            <v>71</v>
          </cell>
          <cell r="L1257">
            <v>116</v>
          </cell>
          <cell r="M1257">
            <v>71</v>
          </cell>
          <cell r="N1257">
            <v>0</v>
          </cell>
          <cell r="O1257">
            <v>11</v>
          </cell>
          <cell r="P1257">
            <v>0</v>
          </cell>
          <cell r="Q1257">
            <v>11</v>
          </cell>
          <cell r="R1257">
            <v>0</v>
          </cell>
          <cell r="S1257">
            <v>11</v>
          </cell>
          <cell r="T1257">
            <v>0</v>
          </cell>
          <cell r="U1257">
            <v>11</v>
          </cell>
          <cell r="V1257">
            <v>410</v>
          </cell>
          <cell r="W1257">
            <v>109</v>
          </cell>
          <cell r="X1257">
            <v>198</v>
          </cell>
          <cell r="Y1257">
            <v>80</v>
          </cell>
          <cell r="Z1257">
            <v>0</v>
          </cell>
          <cell r="AA1257">
            <v>11</v>
          </cell>
          <cell r="AB1257">
            <v>133</v>
          </cell>
          <cell r="AC1257">
            <v>73</v>
          </cell>
          <cell r="AD1257">
            <v>79</v>
          </cell>
          <cell r="AE1257">
            <v>52</v>
          </cell>
          <cell r="AF1257">
            <v>0</v>
          </cell>
          <cell r="AG1257">
            <v>11</v>
          </cell>
          <cell r="AH1257">
            <v>0</v>
          </cell>
          <cell r="AI1257">
            <v>11</v>
          </cell>
          <cell r="AJ1257">
            <v>0</v>
          </cell>
          <cell r="AK1257">
            <v>11</v>
          </cell>
          <cell r="AL1257">
            <v>0</v>
          </cell>
          <cell r="AM1257">
            <v>11</v>
          </cell>
          <cell r="AN1257">
            <v>63</v>
          </cell>
          <cell r="AO1257">
            <v>46</v>
          </cell>
          <cell r="AP1257">
            <v>0</v>
          </cell>
          <cell r="AQ1257">
            <v>11</v>
          </cell>
          <cell r="AR1257">
            <v>88</v>
          </cell>
          <cell r="AS1257">
            <v>49</v>
          </cell>
        </row>
        <row r="1258">
          <cell r="B1258">
            <v>17031836500</v>
          </cell>
          <cell r="D1258">
            <v>516</v>
          </cell>
          <cell r="E1258">
            <v>145</v>
          </cell>
          <cell r="F1258">
            <v>267</v>
          </cell>
          <cell r="G1258">
            <v>82</v>
          </cell>
          <cell r="H1258">
            <v>205</v>
          </cell>
          <cell r="I1258">
            <v>75</v>
          </cell>
          <cell r="J1258">
            <v>62</v>
          </cell>
          <cell r="K1258">
            <v>44</v>
          </cell>
          <cell r="L1258">
            <v>62</v>
          </cell>
          <cell r="M1258">
            <v>44</v>
          </cell>
          <cell r="N1258">
            <v>0</v>
          </cell>
          <cell r="O1258">
            <v>11</v>
          </cell>
          <cell r="P1258">
            <v>0</v>
          </cell>
          <cell r="Q1258">
            <v>11</v>
          </cell>
          <cell r="R1258">
            <v>0</v>
          </cell>
          <cell r="S1258">
            <v>11</v>
          </cell>
          <cell r="T1258">
            <v>0</v>
          </cell>
          <cell r="U1258">
            <v>11</v>
          </cell>
          <cell r="V1258">
            <v>212</v>
          </cell>
          <cell r="W1258">
            <v>92</v>
          </cell>
          <cell r="X1258">
            <v>186</v>
          </cell>
          <cell r="Y1258">
            <v>85</v>
          </cell>
          <cell r="Z1258">
            <v>0</v>
          </cell>
          <cell r="AA1258">
            <v>11</v>
          </cell>
          <cell r="AB1258">
            <v>26</v>
          </cell>
          <cell r="AC1258">
            <v>26</v>
          </cell>
          <cell r="AD1258">
            <v>0</v>
          </cell>
          <cell r="AE1258">
            <v>11</v>
          </cell>
          <cell r="AF1258">
            <v>0</v>
          </cell>
          <cell r="AG1258">
            <v>11</v>
          </cell>
          <cell r="AH1258">
            <v>4</v>
          </cell>
          <cell r="AI1258">
            <v>6</v>
          </cell>
          <cell r="AJ1258">
            <v>0</v>
          </cell>
          <cell r="AK1258">
            <v>11</v>
          </cell>
          <cell r="AL1258">
            <v>0</v>
          </cell>
          <cell r="AM1258">
            <v>11</v>
          </cell>
          <cell r="AN1258">
            <v>33</v>
          </cell>
          <cell r="AO1258">
            <v>31</v>
          </cell>
          <cell r="AP1258">
            <v>0</v>
          </cell>
          <cell r="AQ1258">
            <v>11</v>
          </cell>
          <cell r="AR1258">
            <v>0</v>
          </cell>
          <cell r="AS1258">
            <v>11</v>
          </cell>
        </row>
        <row r="1259">
          <cell r="B1259">
            <v>17031836600</v>
          </cell>
          <cell r="D1259">
            <v>1173</v>
          </cell>
          <cell r="E1259">
            <v>236</v>
          </cell>
          <cell r="F1259">
            <v>817</v>
          </cell>
          <cell r="G1259">
            <v>159</v>
          </cell>
          <cell r="H1259">
            <v>731</v>
          </cell>
          <cell r="I1259">
            <v>147</v>
          </cell>
          <cell r="J1259">
            <v>86</v>
          </cell>
          <cell r="K1259">
            <v>71</v>
          </cell>
          <cell r="L1259">
            <v>77</v>
          </cell>
          <cell r="M1259">
            <v>70</v>
          </cell>
          <cell r="N1259">
            <v>0</v>
          </cell>
          <cell r="O1259">
            <v>11</v>
          </cell>
          <cell r="P1259">
            <v>0</v>
          </cell>
          <cell r="Q1259">
            <v>11</v>
          </cell>
          <cell r="R1259">
            <v>0</v>
          </cell>
          <cell r="S1259">
            <v>11</v>
          </cell>
          <cell r="T1259">
            <v>9</v>
          </cell>
          <cell r="U1259">
            <v>16</v>
          </cell>
          <cell r="V1259">
            <v>170</v>
          </cell>
          <cell r="W1259">
            <v>103</v>
          </cell>
          <cell r="X1259">
            <v>161</v>
          </cell>
          <cell r="Y1259">
            <v>104</v>
          </cell>
          <cell r="Z1259">
            <v>0</v>
          </cell>
          <cell r="AA1259">
            <v>11</v>
          </cell>
          <cell r="AB1259">
            <v>9</v>
          </cell>
          <cell r="AC1259">
            <v>16</v>
          </cell>
          <cell r="AD1259">
            <v>0</v>
          </cell>
          <cell r="AE1259">
            <v>11</v>
          </cell>
          <cell r="AF1259">
            <v>0</v>
          </cell>
          <cell r="AG1259">
            <v>11</v>
          </cell>
          <cell r="AH1259">
            <v>0</v>
          </cell>
          <cell r="AI1259">
            <v>11</v>
          </cell>
          <cell r="AJ1259">
            <v>0</v>
          </cell>
          <cell r="AK1259">
            <v>11</v>
          </cell>
          <cell r="AL1259">
            <v>113</v>
          </cell>
          <cell r="AM1259">
            <v>104</v>
          </cell>
          <cell r="AN1259">
            <v>11</v>
          </cell>
          <cell r="AO1259">
            <v>17</v>
          </cell>
          <cell r="AP1259">
            <v>40</v>
          </cell>
          <cell r="AQ1259">
            <v>59</v>
          </cell>
          <cell r="AR1259">
            <v>22</v>
          </cell>
          <cell r="AS1259">
            <v>25</v>
          </cell>
        </row>
        <row r="1260">
          <cell r="B1260">
            <v>17031836700</v>
          </cell>
          <cell r="D1260">
            <v>845</v>
          </cell>
          <cell r="E1260">
            <v>173</v>
          </cell>
          <cell r="F1260">
            <v>560</v>
          </cell>
          <cell r="G1260">
            <v>129</v>
          </cell>
          <cell r="H1260">
            <v>499</v>
          </cell>
          <cell r="I1260">
            <v>117</v>
          </cell>
          <cell r="J1260">
            <v>61</v>
          </cell>
          <cell r="K1260">
            <v>44</v>
          </cell>
          <cell r="L1260">
            <v>51</v>
          </cell>
          <cell r="M1260">
            <v>41</v>
          </cell>
          <cell r="N1260">
            <v>10</v>
          </cell>
          <cell r="O1260">
            <v>10</v>
          </cell>
          <cell r="P1260">
            <v>0</v>
          </cell>
          <cell r="Q1260">
            <v>11</v>
          </cell>
          <cell r="R1260">
            <v>0</v>
          </cell>
          <cell r="S1260">
            <v>11</v>
          </cell>
          <cell r="T1260">
            <v>0</v>
          </cell>
          <cell r="U1260">
            <v>11</v>
          </cell>
          <cell r="V1260">
            <v>218</v>
          </cell>
          <cell r="W1260">
            <v>76</v>
          </cell>
          <cell r="X1260">
            <v>153</v>
          </cell>
          <cell r="Y1260">
            <v>66</v>
          </cell>
          <cell r="Z1260">
            <v>0</v>
          </cell>
          <cell r="AA1260">
            <v>11</v>
          </cell>
          <cell r="AB1260">
            <v>65</v>
          </cell>
          <cell r="AC1260">
            <v>52</v>
          </cell>
          <cell r="AD1260">
            <v>0</v>
          </cell>
          <cell r="AE1260">
            <v>11</v>
          </cell>
          <cell r="AF1260">
            <v>0</v>
          </cell>
          <cell r="AG1260">
            <v>11</v>
          </cell>
          <cell r="AH1260">
            <v>0</v>
          </cell>
          <cell r="AI1260">
            <v>11</v>
          </cell>
          <cell r="AJ1260">
            <v>0</v>
          </cell>
          <cell r="AK1260">
            <v>11</v>
          </cell>
          <cell r="AL1260">
            <v>13</v>
          </cell>
          <cell r="AM1260">
            <v>15</v>
          </cell>
          <cell r="AN1260">
            <v>0</v>
          </cell>
          <cell r="AO1260">
            <v>11</v>
          </cell>
          <cell r="AP1260">
            <v>12</v>
          </cell>
          <cell r="AQ1260">
            <v>20</v>
          </cell>
          <cell r="AR1260">
            <v>42</v>
          </cell>
          <cell r="AS1260">
            <v>43</v>
          </cell>
        </row>
        <row r="1261">
          <cell r="B1261">
            <v>17031836800</v>
          </cell>
          <cell r="D1261">
            <v>495</v>
          </cell>
          <cell r="E1261">
            <v>119</v>
          </cell>
          <cell r="F1261">
            <v>231</v>
          </cell>
          <cell r="G1261">
            <v>98</v>
          </cell>
          <cell r="H1261">
            <v>225</v>
          </cell>
          <cell r="I1261">
            <v>98</v>
          </cell>
          <cell r="J1261">
            <v>6</v>
          </cell>
          <cell r="K1261">
            <v>9</v>
          </cell>
          <cell r="L1261">
            <v>6</v>
          </cell>
          <cell r="M1261">
            <v>9</v>
          </cell>
          <cell r="N1261">
            <v>0</v>
          </cell>
          <cell r="O1261">
            <v>11</v>
          </cell>
          <cell r="P1261">
            <v>0</v>
          </cell>
          <cell r="Q1261">
            <v>11</v>
          </cell>
          <cell r="R1261">
            <v>0</v>
          </cell>
          <cell r="S1261">
            <v>11</v>
          </cell>
          <cell r="T1261">
            <v>0</v>
          </cell>
          <cell r="U1261">
            <v>11</v>
          </cell>
          <cell r="V1261">
            <v>188</v>
          </cell>
          <cell r="W1261">
            <v>90</v>
          </cell>
          <cell r="X1261">
            <v>177</v>
          </cell>
          <cell r="Y1261">
            <v>89</v>
          </cell>
          <cell r="Z1261">
            <v>0</v>
          </cell>
          <cell r="AA1261">
            <v>11</v>
          </cell>
          <cell r="AB1261">
            <v>11</v>
          </cell>
          <cell r="AC1261">
            <v>16</v>
          </cell>
          <cell r="AD1261">
            <v>0</v>
          </cell>
          <cell r="AE1261">
            <v>11</v>
          </cell>
          <cell r="AF1261">
            <v>0</v>
          </cell>
          <cell r="AG1261">
            <v>11</v>
          </cell>
          <cell r="AH1261">
            <v>0</v>
          </cell>
          <cell r="AI1261">
            <v>11</v>
          </cell>
          <cell r="AJ1261">
            <v>0</v>
          </cell>
          <cell r="AK1261">
            <v>11</v>
          </cell>
          <cell r="AL1261">
            <v>21</v>
          </cell>
          <cell r="AM1261">
            <v>32</v>
          </cell>
          <cell r="AN1261">
            <v>24</v>
          </cell>
          <cell r="AO1261">
            <v>41</v>
          </cell>
          <cell r="AP1261">
            <v>0</v>
          </cell>
          <cell r="AQ1261">
            <v>11</v>
          </cell>
          <cell r="AR1261">
            <v>31</v>
          </cell>
          <cell r="AS1261">
            <v>40</v>
          </cell>
        </row>
        <row r="1262">
          <cell r="B1262">
            <v>17031836900</v>
          </cell>
          <cell r="D1262">
            <v>378</v>
          </cell>
          <cell r="E1262">
            <v>99</v>
          </cell>
          <cell r="F1262">
            <v>205</v>
          </cell>
          <cell r="G1262">
            <v>95</v>
          </cell>
          <cell r="H1262">
            <v>151</v>
          </cell>
          <cell r="I1262">
            <v>71</v>
          </cell>
          <cell r="J1262">
            <v>54</v>
          </cell>
          <cell r="K1262">
            <v>52</v>
          </cell>
          <cell r="L1262">
            <v>54</v>
          </cell>
          <cell r="M1262">
            <v>52</v>
          </cell>
          <cell r="N1262">
            <v>0</v>
          </cell>
          <cell r="O1262">
            <v>11</v>
          </cell>
          <cell r="P1262">
            <v>0</v>
          </cell>
          <cell r="Q1262">
            <v>11</v>
          </cell>
          <cell r="R1262">
            <v>0</v>
          </cell>
          <cell r="S1262">
            <v>11</v>
          </cell>
          <cell r="T1262">
            <v>0</v>
          </cell>
          <cell r="U1262">
            <v>11</v>
          </cell>
          <cell r="V1262">
            <v>114</v>
          </cell>
          <cell r="W1262">
            <v>51</v>
          </cell>
          <cell r="X1262">
            <v>94</v>
          </cell>
          <cell r="Y1262">
            <v>50</v>
          </cell>
          <cell r="Z1262">
            <v>0</v>
          </cell>
          <cell r="AA1262">
            <v>11</v>
          </cell>
          <cell r="AB1262">
            <v>20</v>
          </cell>
          <cell r="AC1262">
            <v>16</v>
          </cell>
          <cell r="AD1262">
            <v>0</v>
          </cell>
          <cell r="AE1262">
            <v>11</v>
          </cell>
          <cell r="AF1262">
            <v>0</v>
          </cell>
          <cell r="AG1262">
            <v>11</v>
          </cell>
          <cell r="AH1262">
            <v>0</v>
          </cell>
          <cell r="AI1262">
            <v>11</v>
          </cell>
          <cell r="AJ1262">
            <v>0</v>
          </cell>
          <cell r="AK1262">
            <v>11</v>
          </cell>
          <cell r="AL1262">
            <v>17</v>
          </cell>
          <cell r="AM1262">
            <v>18</v>
          </cell>
          <cell r="AN1262">
            <v>6</v>
          </cell>
          <cell r="AO1262">
            <v>10</v>
          </cell>
          <cell r="AP1262">
            <v>26</v>
          </cell>
          <cell r="AQ1262">
            <v>19</v>
          </cell>
          <cell r="AR1262">
            <v>10</v>
          </cell>
          <cell r="AS1262">
            <v>14</v>
          </cell>
        </row>
        <row r="1263">
          <cell r="B1263">
            <v>17031837000</v>
          </cell>
          <cell r="D1263">
            <v>608</v>
          </cell>
          <cell r="E1263">
            <v>107</v>
          </cell>
          <cell r="F1263">
            <v>250</v>
          </cell>
          <cell r="G1263">
            <v>73</v>
          </cell>
          <cell r="H1263">
            <v>238</v>
          </cell>
          <cell r="I1263">
            <v>77</v>
          </cell>
          <cell r="J1263">
            <v>12</v>
          </cell>
          <cell r="K1263">
            <v>18</v>
          </cell>
          <cell r="L1263">
            <v>12</v>
          </cell>
          <cell r="M1263">
            <v>18</v>
          </cell>
          <cell r="N1263">
            <v>0</v>
          </cell>
          <cell r="O1263">
            <v>11</v>
          </cell>
          <cell r="P1263">
            <v>0</v>
          </cell>
          <cell r="Q1263">
            <v>11</v>
          </cell>
          <cell r="R1263">
            <v>0</v>
          </cell>
          <cell r="S1263">
            <v>11</v>
          </cell>
          <cell r="T1263">
            <v>0</v>
          </cell>
          <cell r="U1263">
            <v>11</v>
          </cell>
          <cell r="V1263">
            <v>282</v>
          </cell>
          <cell r="W1263">
            <v>86</v>
          </cell>
          <cell r="X1263">
            <v>231</v>
          </cell>
          <cell r="Y1263">
            <v>82</v>
          </cell>
          <cell r="Z1263">
            <v>5</v>
          </cell>
          <cell r="AA1263">
            <v>8</v>
          </cell>
          <cell r="AB1263">
            <v>46</v>
          </cell>
          <cell r="AC1263">
            <v>28</v>
          </cell>
          <cell r="AD1263">
            <v>0</v>
          </cell>
          <cell r="AE1263">
            <v>11</v>
          </cell>
          <cell r="AF1263">
            <v>0</v>
          </cell>
          <cell r="AG1263">
            <v>11</v>
          </cell>
          <cell r="AH1263">
            <v>0</v>
          </cell>
          <cell r="AI1263">
            <v>11</v>
          </cell>
          <cell r="AJ1263">
            <v>0</v>
          </cell>
          <cell r="AK1263">
            <v>11</v>
          </cell>
          <cell r="AL1263">
            <v>45</v>
          </cell>
          <cell r="AM1263">
            <v>25</v>
          </cell>
          <cell r="AN1263">
            <v>11</v>
          </cell>
          <cell r="AO1263">
            <v>10</v>
          </cell>
          <cell r="AP1263">
            <v>9</v>
          </cell>
          <cell r="AQ1263">
            <v>14</v>
          </cell>
          <cell r="AR1263">
            <v>11</v>
          </cell>
          <cell r="AS1263">
            <v>17</v>
          </cell>
        </row>
        <row r="1264">
          <cell r="B1264">
            <v>17031837100</v>
          </cell>
          <cell r="D1264">
            <v>723</v>
          </cell>
          <cell r="E1264">
            <v>143</v>
          </cell>
          <cell r="F1264">
            <v>361</v>
          </cell>
          <cell r="G1264">
            <v>122</v>
          </cell>
          <cell r="H1264">
            <v>354</v>
          </cell>
          <cell r="I1264">
            <v>119</v>
          </cell>
          <cell r="J1264">
            <v>7</v>
          </cell>
          <cell r="K1264">
            <v>12</v>
          </cell>
          <cell r="L1264">
            <v>7</v>
          </cell>
          <cell r="M1264">
            <v>12</v>
          </cell>
          <cell r="N1264">
            <v>0</v>
          </cell>
          <cell r="O1264">
            <v>11</v>
          </cell>
          <cell r="P1264">
            <v>0</v>
          </cell>
          <cell r="Q1264">
            <v>11</v>
          </cell>
          <cell r="R1264">
            <v>0</v>
          </cell>
          <cell r="S1264">
            <v>11</v>
          </cell>
          <cell r="T1264">
            <v>0</v>
          </cell>
          <cell r="U1264">
            <v>11</v>
          </cell>
          <cell r="V1264">
            <v>251</v>
          </cell>
          <cell r="W1264">
            <v>79</v>
          </cell>
          <cell r="X1264">
            <v>113</v>
          </cell>
          <cell r="Y1264">
            <v>63</v>
          </cell>
          <cell r="Z1264">
            <v>0</v>
          </cell>
          <cell r="AA1264">
            <v>11</v>
          </cell>
          <cell r="AB1264">
            <v>133</v>
          </cell>
          <cell r="AC1264">
            <v>56</v>
          </cell>
          <cell r="AD1264">
            <v>5</v>
          </cell>
          <cell r="AE1264">
            <v>8</v>
          </cell>
          <cell r="AF1264">
            <v>0</v>
          </cell>
          <cell r="AG1264">
            <v>11</v>
          </cell>
          <cell r="AH1264">
            <v>0</v>
          </cell>
          <cell r="AI1264">
            <v>11</v>
          </cell>
          <cell r="AJ1264">
            <v>0</v>
          </cell>
          <cell r="AK1264">
            <v>11</v>
          </cell>
          <cell r="AL1264">
            <v>30</v>
          </cell>
          <cell r="AM1264">
            <v>30</v>
          </cell>
          <cell r="AN1264">
            <v>8</v>
          </cell>
          <cell r="AO1264">
            <v>13</v>
          </cell>
          <cell r="AP1264">
            <v>15</v>
          </cell>
          <cell r="AQ1264">
            <v>19</v>
          </cell>
          <cell r="AR1264">
            <v>58</v>
          </cell>
          <cell r="AS1264">
            <v>40</v>
          </cell>
        </row>
        <row r="1265">
          <cell r="B1265">
            <v>17031837300</v>
          </cell>
          <cell r="D1265">
            <v>770</v>
          </cell>
          <cell r="E1265">
            <v>134</v>
          </cell>
          <cell r="F1265">
            <v>447</v>
          </cell>
          <cell r="G1265">
            <v>119</v>
          </cell>
          <cell r="H1265">
            <v>403</v>
          </cell>
          <cell r="I1265">
            <v>110</v>
          </cell>
          <cell r="J1265">
            <v>44</v>
          </cell>
          <cell r="K1265">
            <v>45</v>
          </cell>
          <cell r="L1265">
            <v>44</v>
          </cell>
          <cell r="M1265">
            <v>45</v>
          </cell>
          <cell r="N1265">
            <v>0</v>
          </cell>
          <cell r="O1265">
            <v>11</v>
          </cell>
          <cell r="P1265">
            <v>0</v>
          </cell>
          <cell r="Q1265">
            <v>11</v>
          </cell>
          <cell r="R1265">
            <v>0</v>
          </cell>
          <cell r="S1265">
            <v>11</v>
          </cell>
          <cell r="T1265">
            <v>0</v>
          </cell>
          <cell r="U1265">
            <v>11</v>
          </cell>
          <cell r="V1265">
            <v>248</v>
          </cell>
          <cell r="W1265">
            <v>93</v>
          </cell>
          <cell r="X1265">
            <v>186</v>
          </cell>
          <cell r="Y1265">
            <v>90</v>
          </cell>
          <cell r="Z1265">
            <v>6</v>
          </cell>
          <cell r="AA1265">
            <v>12</v>
          </cell>
          <cell r="AB1265">
            <v>56</v>
          </cell>
          <cell r="AC1265">
            <v>40</v>
          </cell>
          <cell r="AD1265">
            <v>0</v>
          </cell>
          <cell r="AE1265">
            <v>11</v>
          </cell>
          <cell r="AF1265">
            <v>0</v>
          </cell>
          <cell r="AG1265">
            <v>11</v>
          </cell>
          <cell r="AH1265">
            <v>0</v>
          </cell>
          <cell r="AI1265">
            <v>11</v>
          </cell>
          <cell r="AJ1265">
            <v>0</v>
          </cell>
          <cell r="AK1265">
            <v>11</v>
          </cell>
          <cell r="AL1265">
            <v>0</v>
          </cell>
          <cell r="AM1265">
            <v>11</v>
          </cell>
          <cell r="AN1265">
            <v>33</v>
          </cell>
          <cell r="AO1265">
            <v>30</v>
          </cell>
          <cell r="AP1265">
            <v>6</v>
          </cell>
          <cell r="AQ1265">
            <v>10</v>
          </cell>
          <cell r="AR1265">
            <v>36</v>
          </cell>
          <cell r="AS1265">
            <v>28</v>
          </cell>
        </row>
        <row r="1266">
          <cell r="B1266">
            <v>17031837400</v>
          </cell>
          <cell r="D1266">
            <v>770</v>
          </cell>
          <cell r="E1266">
            <v>157</v>
          </cell>
          <cell r="F1266">
            <v>321</v>
          </cell>
          <cell r="G1266">
            <v>119</v>
          </cell>
          <cell r="H1266">
            <v>314</v>
          </cell>
          <cell r="I1266">
            <v>115</v>
          </cell>
          <cell r="J1266">
            <v>7</v>
          </cell>
          <cell r="K1266">
            <v>16</v>
          </cell>
          <cell r="L1266">
            <v>0</v>
          </cell>
          <cell r="M1266">
            <v>11</v>
          </cell>
          <cell r="N1266">
            <v>7</v>
          </cell>
          <cell r="O1266">
            <v>16</v>
          </cell>
          <cell r="P1266">
            <v>0</v>
          </cell>
          <cell r="Q1266">
            <v>11</v>
          </cell>
          <cell r="R1266">
            <v>0</v>
          </cell>
          <cell r="S1266">
            <v>11</v>
          </cell>
          <cell r="T1266">
            <v>0</v>
          </cell>
          <cell r="U1266">
            <v>11</v>
          </cell>
          <cell r="V1266">
            <v>339</v>
          </cell>
          <cell r="W1266">
            <v>116</v>
          </cell>
          <cell r="X1266">
            <v>291</v>
          </cell>
          <cell r="Y1266">
            <v>107</v>
          </cell>
          <cell r="Z1266">
            <v>26</v>
          </cell>
          <cell r="AA1266">
            <v>40</v>
          </cell>
          <cell r="AB1266">
            <v>22</v>
          </cell>
          <cell r="AC1266">
            <v>27</v>
          </cell>
          <cell r="AD1266">
            <v>0</v>
          </cell>
          <cell r="AE1266">
            <v>11</v>
          </cell>
          <cell r="AF1266">
            <v>0</v>
          </cell>
          <cell r="AG1266">
            <v>11</v>
          </cell>
          <cell r="AH1266">
            <v>0</v>
          </cell>
          <cell r="AI1266">
            <v>11</v>
          </cell>
          <cell r="AJ1266">
            <v>0</v>
          </cell>
          <cell r="AK1266">
            <v>11</v>
          </cell>
          <cell r="AL1266">
            <v>13</v>
          </cell>
          <cell r="AM1266">
            <v>22</v>
          </cell>
          <cell r="AN1266">
            <v>15</v>
          </cell>
          <cell r="AO1266">
            <v>23</v>
          </cell>
          <cell r="AP1266">
            <v>19</v>
          </cell>
          <cell r="AQ1266">
            <v>29</v>
          </cell>
          <cell r="AR1266">
            <v>63</v>
          </cell>
          <cell r="AS1266">
            <v>44</v>
          </cell>
        </row>
        <row r="1267">
          <cell r="B1267">
            <v>17031837800</v>
          </cell>
          <cell r="D1267">
            <v>1307</v>
          </cell>
          <cell r="E1267">
            <v>248</v>
          </cell>
          <cell r="F1267">
            <v>693</v>
          </cell>
          <cell r="G1267">
            <v>172</v>
          </cell>
          <cell r="H1267">
            <v>637</v>
          </cell>
          <cell r="I1267">
            <v>163</v>
          </cell>
          <cell r="J1267">
            <v>56</v>
          </cell>
          <cell r="K1267">
            <v>58</v>
          </cell>
          <cell r="L1267">
            <v>56</v>
          </cell>
          <cell r="M1267">
            <v>58</v>
          </cell>
          <cell r="N1267">
            <v>0</v>
          </cell>
          <cell r="O1267">
            <v>11</v>
          </cell>
          <cell r="P1267">
            <v>0</v>
          </cell>
          <cell r="Q1267">
            <v>11</v>
          </cell>
          <cell r="R1267">
            <v>0</v>
          </cell>
          <cell r="S1267">
            <v>11</v>
          </cell>
          <cell r="T1267">
            <v>0</v>
          </cell>
          <cell r="U1267">
            <v>11</v>
          </cell>
          <cell r="V1267">
            <v>477</v>
          </cell>
          <cell r="W1267">
            <v>173</v>
          </cell>
          <cell r="X1267">
            <v>336</v>
          </cell>
          <cell r="Y1267">
            <v>128</v>
          </cell>
          <cell r="Z1267">
            <v>0</v>
          </cell>
          <cell r="AA1267">
            <v>11</v>
          </cell>
          <cell r="AB1267">
            <v>124</v>
          </cell>
          <cell r="AC1267">
            <v>71</v>
          </cell>
          <cell r="AD1267">
            <v>17</v>
          </cell>
          <cell r="AE1267">
            <v>19</v>
          </cell>
          <cell r="AF1267">
            <v>0</v>
          </cell>
          <cell r="AG1267">
            <v>11</v>
          </cell>
          <cell r="AH1267">
            <v>0</v>
          </cell>
          <cell r="AI1267">
            <v>11</v>
          </cell>
          <cell r="AJ1267">
            <v>0</v>
          </cell>
          <cell r="AK1267">
            <v>11</v>
          </cell>
          <cell r="AL1267">
            <v>32</v>
          </cell>
          <cell r="AM1267">
            <v>34</v>
          </cell>
          <cell r="AN1267">
            <v>26</v>
          </cell>
          <cell r="AO1267">
            <v>31</v>
          </cell>
          <cell r="AP1267">
            <v>9</v>
          </cell>
          <cell r="AQ1267">
            <v>14</v>
          </cell>
          <cell r="AR1267">
            <v>70</v>
          </cell>
          <cell r="AS1267">
            <v>51</v>
          </cell>
        </row>
        <row r="1268">
          <cell r="B1268">
            <v>17031838000</v>
          </cell>
          <cell r="D1268">
            <v>1129</v>
          </cell>
          <cell r="E1268">
            <v>204</v>
          </cell>
          <cell r="F1268">
            <v>453</v>
          </cell>
          <cell r="G1268">
            <v>142</v>
          </cell>
          <cell r="H1268">
            <v>410</v>
          </cell>
          <cell r="I1268">
            <v>142</v>
          </cell>
          <cell r="J1268">
            <v>43</v>
          </cell>
          <cell r="K1268">
            <v>42</v>
          </cell>
          <cell r="L1268">
            <v>43</v>
          </cell>
          <cell r="M1268">
            <v>42</v>
          </cell>
          <cell r="N1268">
            <v>0</v>
          </cell>
          <cell r="O1268">
            <v>11</v>
          </cell>
          <cell r="P1268">
            <v>0</v>
          </cell>
          <cell r="Q1268">
            <v>11</v>
          </cell>
          <cell r="R1268">
            <v>0</v>
          </cell>
          <cell r="S1268">
            <v>11</v>
          </cell>
          <cell r="T1268">
            <v>0</v>
          </cell>
          <cell r="U1268">
            <v>11</v>
          </cell>
          <cell r="V1268">
            <v>471</v>
          </cell>
          <cell r="W1268">
            <v>172</v>
          </cell>
          <cell r="X1268">
            <v>348</v>
          </cell>
          <cell r="Y1268">
            <v>181</v>
          </cell>
          <cell r="Z1268">
            <v>0</v>
          </cell>
          <cell r="AA1268">
            <v>11</v>
          </cell>
          <cell r="AB1268">
            <v>123</v>
          </cell>
          <cell r="AC1268">
            <v>95</v>
          </cell>
          <cell r="AD1268">
            <v>0</v>
          </cell>
          <cell r="AE1268">
            <v>11</v>
          </cell>
          <cell r="AF1268">
            <v>0</v>
          </cell>
          <cell r="AG1268">
            <v>11</v>
          </cell>
          <cell r="AH1268">
            <v>26</v>
          </cell>
          <cell r="AI1268">
            <v>41</v>
          </cell>
          <cell r="AJ1268">
            <v>0</v>
          </cell>
          <cell r="AK1268">
            <v>11</v>
          </cell>
          <cell r="AL1268">
            <v>20</v>
          </cell>
          <cell r="AM1268">
            <v>18</v>
          </cell>
          <cell r="AN1268">
            <v>59</v>
          </cell>
          <cell r="AO1268">
            <v>53</v>
          </cell>
          <cell r="AP1268">
            <v>0</v>
          </cell>
          <cell r="AQ1268">
            <v>11</v>
          </cell>
          <cell r="AR1268">
            <v>100</v>
          </cell>
          <cell r="AS1268">
            <v>61</v>
          </cell>
        </row>
        <row r="1269">
          <cell r="B1269">
            <v>17031838100</v>
          </cell>
          <cell r="D1269">
            <v>673</v>
          </cell>
          <cell r="E1269">
            <v>112</v>
          </cell>
          <cell r="F1269">
            <v>319</v>
          </cell>
          <cell r="G1269">
            <v>100</v>
          </cell>
          <cell r="H1269">
            <v>291</v>
          </cell>
          <cell r="I1269">
            <v>93</v>
          </cell>
          <cell r="J1269">
            <v>28</v>
          </cell>
          <cell r="K1269">
            <v>28</v>
          </cell>
          <cell r="L1269">
            <v>28</v>
          </cell>
          <cell r="M1269">
            <v>28</v>
          </cell>
          <cell r="N1269">
            <v>0</v>
          </cell>
          <cell r="O1269">
            <v>11</v>
          </cell>
          <cell r="P1269">
            <v>0</v>
          </cell>
          <cell r="Q1269">
            <v>11</v>
          </cell>
          <cell r="R1269">
            <v>0</v>
          </cell>
          <cell r="S1269">
            <v>11</v>
          </cell>
          <cell r="T1269">
            <v>0</v>
          </cell>
          <cell r="U1269">
            <v>11</v>
          </cell>
          <cell r="V1269">
            <v>224</v>
          </cell>
          <cell r="W1269">
            <v>105</v>
          </cell>
          <cell r="X1269">
            <v>121</v>
          </cell>
          <cell r="Y1269">
            <v>62</v>
          </cell>
          <cell r="Z1269">
            <v>0</v>
          </cell>
          <cell r="AA1269">
            <v>11</v>
          </cell>
          <cell r="AB1269">
            <v>93</v>
          </cell>
          <cell r="AC1269">
            <v>88</v>
          </cell>
          <cell r="AD1269">
            <v>10</v>
          </cell>
          <cell r="AE1269">
            <v>14</v>
          </cell>
          <cell r="AF1269">
            <v>0</v>
          </cell>
          <cell r="AG1269">
            <v>11</v>
          </cell>
          <cell r="AH1269">
            <v>0</v>
          </cell>
          <cell r="AI1269">
            <v>11</v>
          </cell>
          <cell r="AJ1269">
            <v>0</v>
          </cell>
          <cell r="AK1269">
            <v>11</v>
          </cell>
          <cell r="AL1269">
            <v>0</v>
          </cell>
          <cell r="AM1269">
            <v>11</v>
          </cell>
          <cell r="AN1269">
            <v>101</v>
          </cell>
          <cell r="AO1269">
            <v>59</v>
          </cell>
          <cell r="AP1269">
            <v>0</v>
          </cell>
          <cell r="AQ1269">
            <v>11</v>
          </cell>
          <cell r="AR1269">
            <v>29</v>
          </cell>
          <cell r="AS1269">
            <v>24</v>
          </cell>
        </row>
        <row r="1270">
          <cell r="B1270">
            <v>17031838200</v>
          </cell>
          <cell r="D1270">
            <v>850</v>
          </cell>
          <cell r="E1270">
            <v>166</v>
          </cell>
          <cell r="F1270">
            <v>232</v>
          </cell>
          <cell r="G1270">
            <v>107</v>
          </cell>
          <cell r="H1270">
            <v>214</v>
          </cell>
          <cell r="I1270">
            <v>110</v>
          </cell>
          <cell r="J1270">
            <v>18</v>
          </cell>
          <cell r="K1270">
            <v>16</v>
          </cell>
          <cell r="L1270">
            <v>6</v>
          </cell>
          <cell r="M1270">
            <v>9</v>
          </cell>
          <cell r="N1270">
            <v>12</v>
          </cell>
          <cell r="O1270">
            <v>13</v>
          </cell>
          <cell r="P1270">
            <v>0</v>
          </cell>
          <cell r="Q1270">
            <v>11</v>
          </cell>
          <cell r="R1270">
            <v>0</v>
          </cell>
          <cell r="S1270">
            <v>11</v>
          </cell>
          <cell r="T1270">
            <v>0</v>
          </cell>
          <cell r="U1270">
            <v>11</v>
          </cell>
          <cell r="V1270">
            <v>304</v>
          </cell>
          <cell r="W1270">
            <v>97</v>
          </cell>
          <cell r="X1270">
            <v>167</v>
          </cell>
          <cell r="Y1270">
            <v>69</v>
          </cell>
          <cell r="Z1270">
            <v>0</v>
          </cell>
          <cell r="AA1270">
            <v>11</v>
          </cell>
          <cell r="AB1270">
            <v>137</v>
          </cell>
          <cell r="AC1270">
            <v>74</v>
          </cell>
          <cell r="AD1270">
            <v>0</v>
          </cell>
          <cell r="AE1270">
            <v>11</v>
          </cell>
          <cell r="AF1270">
            <v>0</v>
          </cell>
          <cell r="AG1270">
            <v>11</v>
          </cell>
          <cell r="AH1270">
            <v>0</v>
          </cell>
          <cell r="AI1270">
            <v>11</v>
          </cell>
          <cell r="AJ1270">
            <v>0</v>
          </cell>
          <cell r="AK1270">
            <v>11</v>
          </cell>
          <cell r="AL1270">
            <v>40</v>
          </cell>
          <cell r="AM1270">
            <v>36</v>
          </cell>
          <cell r="AN1270">
            <v>250</v>
          </cell>
          <cell r="AO1270">
            <v>65</v>
          </cell>
          <cell r="AP1270">
            <v>0</v>
          </cell>
          <cell r="AQ1270">
            <v>11</v>
          </cell>
          <cell r="AR1270">
            <v>24</v>
          </cell>
          <cell r="AS1270">
            <v>24</v>
          </cell>
        </row>
        <row r="1271">
          <cell r="B1271">
            <v>17031838300</v>
          </cell>
          <cell r="D1271">
            <v>756</v>
          </cell>
          <cell r="E1271">
            <v>88</v>
          </cell>
          <cell r="F1271">
            <v>283</v>
          </cell>
          <cell r="G1271">
            <v>69</v>
          </cell>
          <cell r="H1271">
            <v>264</v>
          </cell>
          <cell r="I1271">
            <v>67</v>
          </cell>
          <cell r="J1271">
            <v>19</v>
          </cell>
          <cell r="K1271">
            <v>21</v>
          </cell>
          <cell r="L1271">
            <v>13</v>
          </cell>
          <cell r="M1271">
            <v>18</v>
          </cell>
          <cell r="N1271">
            <v>6</v>
          </cell>
          <cell r="O1271">
            <v>8</v>
          </cell>
          <cell r="P1271">
            <v>0</v>
          </cell>
          <cell r="Q1271">
            <v>11</v>
          </cell>
          <cell r="R1271">
            <v>0</v>
          </cell>
          <cell r="S1271">
            <v>11</v>
          </cell>
          <cell r="T1271">
            <v>0</v>
          </cell>
          <cell r="U1271">
            <v>11</v>
          </cell>
          <cell r="V1271">
            <v>193</v>
          </cell>
          <cell r="W1271">
            <v>80</v>
          </cell>
          <cell r="X1271">
            <v>155</v>
          </cell>
          <cell r="Y1271">
            <v>80</v>
          </cell>
          <cell r="Z1271">
            <v>0</v>
          </cell>
          <cell r="AA1271">
            <v>11</v>
          </cell>
          <cell r="AB1271">
            <v>34</v>
          </cell>
          <cell r="AC1271">
            <v>19</v>
          </cell>
          <cell r="AD1271">
            <v>4</v>
          </cell>
          <cell r="AE1271">
            <v>6</v>
          </cell>
          <cell r="AF1271">
            <v>0</v>
          </cell>
          <cell r="AG1271">
            <v>11</v>
          </cell>
          <cell r="AH1271">
            <v>0</v>
          </cell>
          <cell r="AI1271">
            <v>11</v>
          </cell>
          <cell r="AJ1271">
            <v>0</v>
          </cell>
          <cell r="AK1271">
            <v>11</v>
          </cell>
          <cell r="AL1271">
            <v>36</v>
          </cell>
          <cell r="AM1271">
            <v>31</v>
          </cell>
          <cell r="AN1271">
            <v>172</v>
          </cell>
          <cell r="AO1271">
            <v>71</v>
          </cell>
          <cell r="AP1271">
            <v>6</v>
          </cell>
          <cell r="AQ1271">
            <v>8</v>
          </cell>
          <cell r="AR1271">
            <v>66</v>
          </cell>
          <cell r="AS1271">
            <v>41</v>
          </cell>
        </row>
        <row r="1272">
          <cell r="B1272">
            <v>17031838600</v>
          </cell>
          <cell r="D1272">
            <v>223</v>
          </cell>
          <cell r="E1272">
            <v>60</v>
          </cell>
          <cell r="F1272">
            <v>93</v>
          </cell>
          <cell r="G1272">
            <v>48</v>
          </cell>
          <cell r="H1272">
            <v>93</v>
          </cell>
          <cell r="I1272">
            <v>48</v>
          </cell>
          <cell r="J1272">
            <v>0</v>
          </cell>
          <cell r="K1272">
            <v>11</v>
          </cell>
          <cell r="L1272">
            <v>0</v>
          </cell>
          <cell r="M1272">
            <v>11</v>
          </cell>
          <cell r="N1272">
            <v>0</v>
          </cell>
          <cell r="O1272">
            <v>11</v>
          </cell>
          <cell r="P1272">
            <v>0</v>
          </cell>
          <cell r="Q1272">
            <v>11</v>
          </cell>
          <cell r="R1272">
            <v>0</v>
          </cell>
          <cell r="S1272">
            <v>11</v>
          </cell>
          <cell r="T1272">
            <v>0</v>
          </cell>
          <cell r="U1272">
            <v>11</v>
          </cell>
          <cell r="V1272">
            <v>117</v>
          </cell>
          <cell r="W1272">
            <v>55</v>
          </cell>
          <cell r="X1272">
            <v>117</v>
          </cell>
          <cell r="Y1272">
            <v>55</v>
          </cell>
          <cell r="Z1272">
            <v>0</v>
          </cell>
          <cell r="AA1272">
            <v>11</v>
          </cell>
          <cell r="AB1272">
            <v>0</v>
          </cell>
          <cell r="AC1272">
            <v>11</v>
          </cell>
          <cell r="AD1272">
            <v>0</v>
          </cell>
          <cell r="AE1272">
            <v>11</v>
          </cell>
          <cell r="AF1272">
            <v>0</v>
          </cell>
          <cell r="AG1272">
            <v>11</v>
          </cell>
          <cell r="AH1272">
            <v>0</v>
          </cell>
          <cell r="AI1272">
            <v>11</v>
          </cell>
          <cell r="AJ1272">
            <v>0</v>
          </cell>
          <cell r="AK1272">
            <v>11</v>
          </cell>
          <cell r="AL1272">
            <v>0</v>
          </cell>
          <cell r="AM1272">
            <v>11</v>
          </cell>
          <cell r="AN1272">
            <v>0</v>
          </cell>
          <cell r="AO1272">
            <v>11</v>
          </cell>
          <cell r="AP1272">
            <v>0</v>
          </cell>
          <cell r="AQ1272">
            <v>11</v>
          </cell>
          <cell r="AR1272">
            <v>13</v>
          </cell>
          <cell r="AS1272">
            <v>19</v>
          </cell>
        </row>
        <row r="1273">
          <cell r="B1273">
            <v>17031838700</v>
          </cell>
          <cell r="D1273">
            <v>1128</v>
          </cell>
          <cell r="E1273">
            <v>202</v>
          </cell>
          <cell r="F1273">
            <v>572</v>
          </cell>
          <cell r="G1273">
            <v>151</v>
          </cell>
          <cell r="H1273">
            <v>413</v>
          </cell>
          <cell r="I1273">
            <v>123</v>
          </cell>
          <cell r="J1273">
            <v>159</v>
          </cell>
          <cell r="K1273">
            <v>92</v>
          </cell>
          <cell r="L1273">
            <v>139</v>
          </cell>
          <cell r="M1273">
            <v>87</v>
          </cell>
          <cell r="N1273">
            <v>0</v>
          </cell>
          <cell r="O1273">
            <v>11</v>
          </cell>
          <cell r="P1273">
            <v>0</v>
          </cell>
          <cell r="Q1273">
            <v>11</v>
          </cell>
          <cell r="R1273">
            <v>20</v>
          </cell>
          <cell r="S1273">
            <v>32</v>
          </cell>
          <cell r="T1273">
            <v>0</v>
          </cell>
          <cell r="U1273">
            <v>11</v>
          </cell>
          <cell r="V1273">
            <v>461</v>
          </cell>
          <cell r="W1273">
            <v>140</v>
          </cell>
          <cell r="X1273">
            <v>323</v>
          </cell>
          <cell r="Y1273">
            <v>129</v>
          </cell>
          <cell r="Z1273">
            <v>0</v>
          </cell>
          <cell r="AA1273">
            <v>11</v>
          </cell>
          <cell r="AB1273">
            <v>103</v>
          </cell>
          <cell r="AC1273">
            <v>73</v>
          </cell>
          <cell r="AD1273">
            <v>35</v>
          </cell>
          <cell r="AE1273">
            <v>44</v>
          </cell>
          <cell r="AF1273">
            <v>0</v>
          </cell>
          <cell r="AG1273">
            <v>11</v>
          </cell>
          <cell r="AH1273">
            <v>0</v>
          </cell>
          <cell r="AI1273">
            <v>11</v>
          </cell>
          <cell r="AJ1273">
            <v>0</v>
          </cell>
          <cell r="AK1273">
            <v>11</v>
          </cell>
          <cell r="AL1273">
            <v>0</v>
          </cell>
          <cell r="AM1273">
            <v>11</v>
          </cell>
          <cell r="AN1273">
            <v>1</v>
          </cell>
          <cell r="AO1273">
            <v>3</v>
          </cell>
          <cell r="AP1273">
            <v>22</v>
          </cell>
          <cell r="AQ1273">
            <v>24</v>
          </cell>
          <cell r="AR1273">
            <v>72</v>
          </cell>
          <cell r="AS1273">
            <v>59</v>
          </cell>
        </row>
        <row r="1274">
          <cell r="B1274">
            <v>17031838800</v>
          </cell>
          <cell r="D1274">
            <v>1011</v>
          </cell>
          <cell r="E1274">
            <v>162</v>
          </cell>
          <cell r="F1274">
            <v>742</v>
          </cell>
          <cell r="G1274">
            <v>120</v>
          </cell>
          <cell r="H1274">
            <v>670</v>
          </cell>
          <cell r="I1274">
            <v>121</v>
          </cell>
          <cell r="J1274">
            <v>72</v>
          </cell>
          <cell r="K1274">
            <v>46</v>
          </cell>
          <cell r="L1274">
            <v>64</v>
          </cell>
          <cell r="M1274">
            <v>43</v>
          </cell>
          <cell r="N1274">
            <v>0</v>
          </cell>
          <cell r="O1274">
            <v>11</v>
          </cell>
          <cell r="P1274">
            <v>0</v>
          </cell>
          <cell r="Q1274">
            <v>11</v>
          </cell>
          <cell r="R1274">
            <v>8</v>
          </cell>
          <cell r="S1274">
            <v>13</v>
          </cell>
          <cell r="T1274">
            <v>0</v>
          </cell>
          <cell r="U1274">
            <v>11</v>
          </cell>
          <cell r="V1274">
            <v>183</v>
          </cell>
          <cell r="W1274">
            <v>80</v>
          </cell>
          <cell r="X1274">
            <v>166</v>
          </cell>
          <cell r="Y1274">
            <v>77</v>
          </cell>
          <cell r="Z1274">
            <v>17</v>
          </cell>
          <cell r="AA1274">
            <v>27</v>
          </cell>
          <cell r="AB1274">
            <v>0</v>
          </cell>
          <cell r="AC1274">
            <v>11</v>
          </cell>
          <cell r="AD1274">
            <v>0</v>
          </cell>
          <cell r="AE1274">
            <v>11</v>
          </cell>
          <cell r="AF1274">
            <v>0</v>
          </cell>
          <cell r="AG1274">
            <v>11</v>
          </cell>
          <cell r="AH1274">
            <v>0</v>
          </cell>
          <cell r="AI1274">
            <v>11</v>
          </cell>
          <cell r="AJ1274">
            <v>0</v>
          </cell>
          <cell r="AK1274">
            <v>11</v>
          </cell>
          <cell r="AL1274">
            <v>5</v>
          </cell>
          <cell r="AM1274">
            <v>9</v>
          </cell>
          <cell r="AN1274">
            <v>23</v>
          </cell>
          <cell r="AO1274">
            <v>22</v>
          </cell>
          <cell r="AP1274">
            <v>0</v>
          </cell>
          <cell r="AQ1274">
            <v>11</v>
          </cell>
          <cell r="AR1274">
            <v>58</v>
          </cell>
          <cell r="AS1274">
            <v>69</v>
          </cell>
        </row>
        <row r="1275">
          <cell r="B1275">
            <v>17031839000</v>
          </cell>
          <cell r="D1275">
            <v>5901</v>
          </cell>
          <cell r="E1275">
            <v>698</v>
          </cell>
          <cell r="F1275">
            <v>1882</v>
          </cell>
          <cell r="G1275">
            <v>424</v>
          </cell>
          <cell r="H1275">
            <v>1616</v>
          </cell>
          <cell r="I1275">
            <v>370</v>
          </cell>
          <cell r="J1275">
            <v>266</v>
          </cell>
          <cell r="K1275">
            <v>150</v>
          </cell>
          <cell r="L1275">
            <v>160</v>
          </cell>
          <cell r="M1275">
            <v>125</v>
          </cell>
          <cell r="N1275">
            <v>52</v>
          </cell>
          <cell r="O1275">
            <v>58</v>
          </cell>
          <cell r="P1275">
            <v>0</v>
          </cell>
          <cell r="Q1275">
            <v>15</v>
          </cell>
          <cell r="R1275">
            <v>54</v>
          </cell>
          <cell r="S1275">
            <v>65</v>
          </cell>
          <cell r="T1275">
            <v>0</v>
          </cell>
          <cell r="U1275">
            <v>15</v>
          </cell>
          <cell r="V1275">
            <v>1651</v>
          </cell>
          <cell r="W1275">
            <v>654</v>
          </cell>
          <cell r="X1275">
            <v>735</v>
          </cell>
          <cell r="Y1275">
            <v>460</v>
          </cell>
          <cell r="Z1275">
            <v>0</v>
          </cell>
          <cell r="AA1275">
            <v>15</v>
          </cell>
          <cell r="AB1275">
            <v>859</v>
          </cell>
          <cell r="AC1275">
            <v>444</v>
          </cell>
          <cell r="AD1275">
            <v>57</v>
          </cell>
          <cell r="AE1275">
            <v>75</v>
          </cell>
          <cell r="AF1275">
            <v>0</v>
          </cell>
          <cell r="AG1275">
            <v>15</v>
          </cell>
          <cell r="AH1275">
            <v>77</v>
          </cell>
          <cell r="AI1275">
            <v>74</v>
          </cell>
          <cell r="AJ1275">
            <v>0</v>
          </cell>
          <cell r="AK1275">
            <v>15</v>
          </cell>
          <cell r="AL1275">
            <v>59</v>
          </cell>
          <cell r="AM1275">
            <v>55</v>
          </cell>
          <cell r="AN1275">
            <v>1857</v>
          </cell>
          <cell r="AO1275">
            <v>427</v>
          </cell>
          <cell r="AP1275">
            <v>32</v>
          </cell>
          <cell r="AQ1275">
            <v>56</v>
          </cell>
          <cell r="AR1275">
            <v>343</v>
          </cell>
          <cell r="AS1275">
            <v>212</v>
          </cell>
        </row>
        <row r="1276">
          <cell r="B1276">
            <v>17031839100</v>
          </cell>
          <cell r="D1276">
            <v>3814</v>
          </cell>
          <cell r="E1276">
            <v>393</v>
          </cell>
          <cell r="F1276">
            <v>742</v>
          </cell>
          <cell r="G1276">
            <v>229</v>
          </cell>
          <cell r="H1276">
            <v>620</v>
          </cell>
          <cell r="I1276">
            <v>203</v>
          </cell>
          <cell r="J1276">
            <v>122</v>
          </cell>
          <cell r="K1276">
            <v>115</v>
          </cell>
          <cell r="L1276">
            <v>33</v>
          </cell>
          <cell r="M1276">
            <v>53</v>
          </cell>
          <cell r="N1276">
            <v>89</v>
          </cell>
          <cell r="O1276">
            <v>103</v>
          </cell>
          <cell r="P1276">
            <v>0</v>
          </cell>
          <cell r="Q1276">
            <v>15</v>
          </cell>
          <cell r="R1276">
            <v>0</v>
          </cell>
          <cell r="S1276">
            <v>15</v>
          </cell>
          <cell r="T1276">
            <v>0</v>
          </cell>
          <cell r="U1276">
            <v>15</v>
          </cell>
          <cell r="V1276">
            <v>1003</v>
          </cell>
          <cell r="W1276">
            <v>238</v>
          </cell>
          <cell r="X1276">
            <v>218</v>
          </cell>
          <cell r="Y1276">
            <v>107</v>
          </cell>
          <cell r="Z1276">
            <v>0</v>
          </cell>
          <cell r="AA1276">
            <v>15</v>
          </cell>
          <cell r="AB1276">
            <v>648</v>
          </cell>
          <cell r="AC1276">
            <v>229</v>
          </cell>
          <cell r="AD1276">
            <v>137</v>
          </cell>
          <cell r="AE1276">
            <v>86</v>
          </cell>
          <cell r="AF1276">
            <v>0</v>
          </cell>
          <cell r="AG1276">
            <v>15</v>
          </cell>
          <cell r="AH1276">
            <v>58</v>
          </cell>
          <cell r="AI1276">
            <v>53</v>
          </cell>
          <cell r="AJ1276">
            <v>0</v>
          </cell>
          <cell r="AK1276">
            <v>15</v>
          </cell>
          <cell r="AL1276">
            <v>50</v>
          </cell>
          <cell r="AM1276">
            <v>51</v>
          </cell>
          <cell r="AN1276">
            <v>1707</v>
          </cell>
          <cell r="AO1276">
            <v>333</v>
          </cell>
          <cell r="AP1276">
            <v>31</v>
          </cell>
          <cell r="AQ1276">
            <v>36</v>
          </cell>
          <cell r="AR1276">
            <v>223</v>
          </cell>
          <cell r="AS1276">
            <v>119</v>
          </cell>
        </row>
        <row r="1277">
          <cell r="B1277">
            <v>17031839200</v>
          </cell>
          <cell r="D1277">
            <v>1149</v>
          </cell>
          <cell r="E1277">
            <v>169</v>
          </cell>
          <cell r="F1277">
            <v>585</v>
          </cell>
          <cell r="G1277">
            <v>120</v>
          </cell>
          <cell r="H1277">
            <v>560</v>
          </cell>
          <cell r="I1277">
            <v>118</v>
          </cell>
          <cell r="J1277">
            <v>25</v>
          </cell>
          <cell r="K1277">
            <v>22</v>
          </cell>
          <cell r="L1277">
            <v>17</v>
          </cell>
          <cell r="M1277">
            <v>20</v>
          </cell>
          <cell r="N1277">
            <v>0</v>
          </cell>
          <cell r="O1277">
            <v>11</v>
          </cell>
          <cell r="P1277">
            <v>0</v>
          </cell>
          <cell r="Q1277">
            <v>11</v>
          </cell>
          <cell r="R1277">
            <v>0</v>
          </cell>
          <cell r="S1277">
            <v>11</v>
          </cell>
          <cell r="T1277">
            <v>8</v>
          </cell>
          <cell r="U1277">
            <v>12</v>
          </cell>
          <cell r="V1277">
            <v>404</v>
          </cell>
          <cell r="W1277">
            <v>122</v>
          </cell>
          <cell r="X1277">
            <v>353</v>
          </cell>
          <cell r="Y1277">
            <v>112</v>
          </cell>
          <cell r="Z1277">
            <v>0</v>
          </cell>
          <cell r="AA1277">
            <v>11</v>
          </cell>
          <cell r="AB1277">
            <v>9</v>
          </cell>
          <cell r="AC1277">
            <v>16</v>
          </cell>
          <cell r="AD1277">
            <v>42</v>
          </cell>
          <cell r="AE1277">
            <v>51</v>
          </cell>
          <cell r="AF1277">
            <v>0</v>
          </cell>
          <cell r="AG1277">
            <v>11</v>
          </cell>
          <cell r="AH1277">
            <v>31</v>
          </cell>
          <cell r="AI1277">
            <v>39</v>
          </cell>
          <cell r="AJ1277">
            <v>0</v>
          </cell>
          <cell r="AK1277">
            <v>11</v>
          </cell>
          <cell r="AL1277">
            <v>7</v>
          </cell>
          <cell r="AM1277">
            <v>12</v>
          </cell>
          <cell r="AN1277">
            <v>100</v>
          </cell>
          <cell r="AO1277">
            <v>75</v>
          </cell>
          <cell r="AP1277">
            <v>0</v>
          </cell>
          <cell r="AQ1277">
            <v>11</v>
          </cell>
          <cell r="AR1277">
            <v>22</v>
          </cell>
          <cell r="AS1277">
            <v>35</v>
          </cell>
        </row>
        <row r="1278">
          <cell r="B1278">
            <v>17031839500</v>
          </cell>
          <cell r="D1278">
            <v>527</v>
          </cell>
          <cell r="E1278">
            <v>148</v>
          </cell>
          <cell r="F1278">
            <v>375</v>
          </cell>
          <cell r="G1278">
            <v>139</v>
          </cell>
          <cell r="H1278">
            <v>317</v>
          </cell>
          <cell r="I1278">
            <v>115</v>
          </cell>
          <cell r="J1278">
            <v>58</v>
          </cell>
          <cell r="K1278">
            <v>52</v>
          </cell>
          <cell r="L1278">
            <v>46</v>
          </cell>
          <cell r="M1278">
            <v>50</v>
          </cell>
          <cell r="N1278">
            <v>12</v>
          </cell>
          <cell r="O1278">
            <v>13</v>
          </cell>
          <cell r="P1278">
            <v>0</v>
          </cell>
          <cell r="Q1278">
            <v>11</v>
          </cell>
          <cell r="R1278">
            <v>0</v>
          </cell>
          <cell r="S1278">
            <v>11</v>
          </cell>
          <cell r="T1278">
            <v>0</v>
          </cell>
          <cell r="U1278">
            <v>11</v>
          </cell>
          <cell r="V1278">
            <v>62</v>
          </cell>
          <cell r="W1278">
            <v>33</v>
          </cell>
          <cell r="X1278">
            <v>30</v>
          </cell>
          <cell r="Y1278">
            <v>24</v>
          </cell>
          <cell r="Z1278">
            <v>0</v>
          </cell>
          <cell r="AA1278">
            <v>11</v>
          </cell>
          <cell r="AB1278">
            <v>32</v>
          </cell>
          <cell r="AC1278">
            <v>18</v>
          </cell>
          <cell r="AD1278">
            <v>0</v>
          </cell>
          <cell r="AE1278">
            <v>11</v>
          </cell>
          <cell r="AF1278">
            <v>0</v>
          </cell>
          <cell r="AG1278">
            <v>11</v>
          </cell>
          <cell r="AH1278">
            <v>0</v>
          </cell>
          <cell r="AI1278">
            <v>11</v>
          </cell>
          <cell r="AJ1278">
            <v>0</v>
          </cell>
          <cell r="AK1278">
            <v>11</v>
          </cell>
          <cell r="AL1278">
            <v>0</v>
          </cell>
          <cell r="AM1278">
            <v>11</v>
          </cell>
          <cell r="AN1278">
            <v>55</v>
          </cell>
          <cell r="AO1278">
            <v>36</v>
          </cell>
          <cell r="AP1278">
            <v>0</v>
          </cell>
          <cell r="AQ1278">
            <v>11</v>
          </cell>
          <cell r="AR1278">
            <v>35</v>
          </cell>
          <cell r="AS1278">
            <v>30</v>
          </cell>
        </row>
        <row r="1279">
          <cell r="B1279">
            <v>17031839600</v>
          </cell>
          <cell r="D1279">
            <v>689</v>
          </cell>
          <cell r="E1279">
            <v>183</v>
          </cell>
          <cell r="F1279">
            <v>387</v>
          </cell>
          <cell r="G1279">
            <v>125</v>
          </cell>
          <cell r="H1279">
            <v>329</v>
          </cell>
          <cell r="I1279">
            <v>121</v>
          </cell>
          <cell r="J1279">
            <v>58</v>
          </cell>
          <cell r="K1279">
            <v>52</v>
          </cell>
          <cell r="L1279">
            <v>19</v>
          </cell>
          <cell r="M1279">
            <v>26</v>
          </cell>
          <cell r="N1279">
            <v>0</v>
          </cell>
          <cell r="O1279">
            <v>11</v>
          </cell>
          <cell r="P1279">
            <v>17</v>
          </cell>
          <cell r="Q1279">
            <v>26</v>
          </cell>
          <cell r="R1279">
            <v>22</v>
          </cell>
          <cell r="S1279">
            <v>36</v>
          </cell>
          <cell r="T1279">
            <v>0</v>
          </cell>
          <cell r="U1279">
            <v>11</v>
          </cell>
          <cell r="V1279">
            <v>229</v>
          </cell>
          <cell r="W1279">
            <v>124</v>
          </cell>
          <cell r="X1279">
            <v>176</v>
          </cell>
          <cell r="Y1279">
            <v>102</v>
          </cell>
          <cell r="Z1279">
            <v>0</v>
          </cell>
          <cell r="AA1279">
            <v>11</v>
          </cell>
          <cell r="AB1279">
            <v>53</v>
          </cell>
          <cell r="AC1279">
            <v>69</v>
          </cell>
          <cell r="AD1279">
            <v>0</v>
          </cell>
          <cell r="AE1279">
            <v>11</v>
          </cell>
          <cell r="AF1279">
            <v>0</v>
          </cell>
          <cell r="AG1279">
            <v>11</v>
          </cell>
          <cell r="AH1279">
            <v>0</v>
          </cell>
          <cell r="AI1279">
            <v>11</v>
          </cell>
          <cell r="AJ1279">
            <v>0</v>
          </cell>
          <cell r="AK1279">
            <v>11</v>
          </cell>
          <cell r="AL1279">
            <v>0</v>
          </cell>
          <cell r="AM1279">
            <v>11</v>
          </cell>
          <cell r="AN1279">
            <v>14</v>
          </cell>
          <cell r="AO1279">
            <v>18</v>
          </cell>
          <cell r="AP1279">
            <v>4</v>
          </cell>
          <cell r="AQ1279">
            <v>7</v>
          </cell>
          <cell r="AR1279">
            <v>55</v>
          </cell>
          <cell r="AS1279">
            <v>35</v>
          </cell>
        </row>
        <row r="1280">
          <cell r="B1280">
            <v>17031839700</v>
          </cell>
          <cell r="D1280">
            <v>2332</v>
          </cell>
          <cell r="E1280">
            <v>253</v>
          </cell>
          <cell r="F1280">
            <v>1393</v>
          </cell>
          <cell r="G1280">
            <v>229</v>
          </cell>
          <cell r="H1280">
            <v>1107</v>
          </cell>
          <cell r="I1280">
            <v>210</v>
          </cell>
          <cell r="J1280">
            <v>286</v>
          </cell>
          <cell r="K1280">
            <v>122</v>
          </cell>
          <cell r="L1280">
            <v>181</v>
          </cell>
          <cell r="M1280">
            <v>70</v>
          </cell>
          <cell r="N1280">
            <v>105</v>
          </cell>
          <cell r="O1280">
            <v>105</v>
          </cell>
          <cell r="P1280">
            <v>0</v>
          </cell>
          <cell r="Q1280">
            <v>11</v>
          </cell>
          <cell r="R1280">
            <v>0</v>
          </cell>
          <cell r="S1280">
            <v>11</v>
          </cell>
          <cell r="T1280">
            <v>0</v>
          </cell>
          <cell r="U1280">
            <v>11</v>
          </cell>
          <cell r="V1280">
            <v>591</v>
          </cell>
          <cell r="W1280">
            <v>125</v>
          </cell>
          <cell r="X1280">
            <v>235</v>
          </cell>
          <cell r="Y1280">
            <v>93</v>
          </cell>
          <cell r="Z1280">
            <v>10</v>
          </cell>
          <cell r="AA1280">
            <v>16</v>
          </cell>
          <cell r="AB1280">
            <v>304</v>
          </cell>
          <cell r="AC1280">
            <v>106</v>
          </cell>
          <cell r="AD1280">
            <v>42</v>
          </cell>
          <cell r="AE1280">
            <v>50</v>
          </cell>
          <cell r="AF1280">
            <v>0</v>
          </cell>
          <cell r="AG1280">
            <v>11</v>
          </cell>
          <cell r="AH1280">
            <v>0</v>
          </cell>
          <cell r="AI1280">
            <v>11</v>
          </cell>
          <cell r="AJ1280">
            <v>0</v>
          </cell>
          <cell r="AK1280">
            <v>11</v>
          </cell>
          <cell r="AL1280">
            <v>48</v>
          </cell>
          <cell r="AM1280">
            <v>38</v>
          </cell>
          <cell r="AN1280">
            <v>195</v>
          </cell>
          <cell r="AO1280">
            <v>99</v>
          </cell>
          <cell r="AP1280">
            <v>51</v>
          </cell>
          <cell r="AQ1280">
            <v>47</v>
          </cell>
          <cell r="AR1280">
            <v>54</v>
          </cell>
          <cell r="AS1280">
            <v>51</v>
          </cell>
        </row>
        <row r="1281">
          <cell r="B1281">
            <v>17031839800</v>
          </cell>
          <cell r="D1281">
            <v>1460</v>
          </cell>
          <cell r="E1281">
            <v>262</v>
          </cell>
          <cell r="F1281">
            <v>915</v>
          </cell>
          <cell r="G1281">
            <v>260</v>
          </cell>
          <cell r="H1281">
            <v>642</v>
          </cell>
          <cell r="I1281">
            <v>188</v>
          </cell>
          <cell r="J1281">
            <v>273</v>
          </cell>
          <cell r="K1281">
            <v>162</v>
          </cell>
          <cell r="L1281">
            <v>182</v>
          </cell>
          <cell r="M1281">
            <v>86</v>
          </cell>
          <cell r="N1281">
            <v>23</v>
          </cell>
          <cell r="O1281">
            <v>38</v>
          </cell>
          <cell r="P1281">
            <v>0</v>
          </cell>
          <cell r="Q1281">
            <v>11</v>
          </cell>
          <cell r="R1281">
            <v>6</v>
          </cell>
          <cell r="S1281">
            <v>9</v>
          </cell>
          <cell r="T1281">
            <v>62</v>
          </cell>
          <cell r="U1281">
            <v>87</v>
          </cell>
          <cell r="V1281">
            <v>303</v>
          </cell>
          <cell r="W1281">
            <v>144</v>
          </cell>
          <cell r="X1281">
            <v>171</v>
          </cell>
          <cell r="Y1281">
            <v>128</v>
          </cell>
          <cell r="Z1281">
            <v>0</v>
          </cell>
          <cell r="AA1281">
            <v>11</v>
          </cell>
          <cell r="AB1281">
            <v>132</v>
          </cell>
          <cell r="AC1281">
            <v>64</v>
          </cell>
          <cell r="AD1281">
            <v>0</v>
          </cell>
          <cell r="AE1281">
            <v>11</v>
          </cell>
          <cell r="AF1281">
            <v>0</v>
          </cell>
          <cell r="AG1281">
            <v>11</v>
          </cell>
          <cell r="AH1281">
            <v>0</v>
          </cell>
          <cell r="AI1281">
            <v>11</v>
          </cell>
          <cell r="AJ1281">
            <v>0</v>
          </cell>
          <cell r="AK1281">
            <v>11</v>
          </cell>
          <cell r="AL1281">
            <v>118</v>
          </cell>
          <cell r="AM1281">
            <v>64</v>
          </cell>
          <cell r="AN1281">
            <v>68</v>
          </cell>
          <cell r="AO1281">
            <v>35</v>
          </cell>
          <cell r="AP1281">
            <v>0</v>
          </cell>
          <cell r="AQ1281">
            <v>11</v>
          </cell>
          <cell r="AR1281">
            <v>56</v>
          </cell>
          <cell r="AS1281">
            <v>47</v>
          </cell>
        </row>
        <row r="1282">
          <cell r="B1282">
            <v>17031839900</v>
          </cell>
          <cell r="D1282">
            <v>2148</v>
          </cell>
          <cell r="E1282">
            <v>256</v>
          </cell>
          <cell r="F1282">
            <v>1649</v>
          </cell>
          <cell r="G1282">
            <v>239</v>
          </cell>
          <cell r="H1282">
            <v>1399</v>
          </cell>
          <cell r="I1282">
            <v>237</v>
          </cell>
          <cell r="J1282">
            <v>250</v>
          </cell>
          <cell r="K1282">
            <v>89</v>
          </cell>
          <cell r="L1282">
            <v>154</v>
          </cell>
          <cell r="M1282">
            <v>79</v>
          </cell>
          <cell r="N1282">
            <v>59</v>
          </cell>
          <cell r="O1282">
            <v>45</v>
          </cell>
          <cell r="P1282">
            <v>0</v>
          </cell>
          <cell r="Q1282">
            <v>11</v>
          </cell>
          <cell r="R1282">
            <v>29</v>
          </cell>
          <cell r="S1282">
            <v>38</v>
          </cell>
          <cell r="T1282">
            <v>8</v>
          </cell>
          <cell r="U1282">
            <v>13</v>
          </cell>
          <cell r="V1282">
            <v>272</v>
          </cell>
          <cell r="W1282">
            <v>104</v>
          </cell>
          <cell r="X1282">
            <v>156</v>
          </cell>
          <cell r="Y1282">
            <v>83</v>
          </cell>
          <cell r="Z1282">
            <v>0</v>
          </cell>
          <cell r="AA1282">
            <v>11</v>
          </cell>
          <cell r="AB1282">
            <v>63</v>
          </cell>
          <cell r="AC1282">
            <v>37</v>
          </cell>
          <cell r="AD1282">
            <v>53</v>
          </cell>
          <cell r="AE1282">
            <v>41</v>
          </cell>
          <cell r="AF1282">
            <v>0</v>
          </cell>
          <cell r="AG1282">
            <v>11</v>
          </cell>
          <cell r="AH1282">
            <v>0</v>
          </cell>
          <cell r="AI1282">
            <v>11</v>
          </cell>
          <cell r="AJ1282">
            <v>0</v>
          </cell>
          <cell r="AK1282">
            <v>11</v>
          </cell>
          <cell r="AL1282">
            <v>55</v>
          </cell>
          <cell r="AM1282">
            <v>44</v>
          </cell>
          <cell r="AN1282">
            <v>54</v>
          </cell>
          <cell r="AO1282">
            <v>52</v>
          </cell>
          <cell r="AP1282">
            <v>20</v>
          </cell>
          <cell r="AQ1282">
            <v>23</v>
          </cell>
          <cell r="AR1282">
            <v>98</v>
          </cell>
          <cell r="AS1282">
            <v>58</v>
          </cell>
        </row>
        <row r="1283">
          <cell r="B1283">
            <v>17031840000</v>
          </cell>
          <cell r="D1283">
            <v>1307</v>
          </cell>
          <cell r="E1283">
            <v>186</v>
          </cell>
          <cell r="F1283">
            <v>967</v>
          </cell>
          <cell r="G1283">
            <v>154</v>
          </cell>
          <cell r="H1283">
            <v>791</v>
          </cell>
          <cell r="I1283">
            <v>147</v>
          </cell>
          <cell r="J1283">
            <v>176</v>
          </cell>
          <cell r="K1283">
            <v>95</v>
          </cell>
          <cell r="L1283">
            <v>92</v>
          </cell>
          <cell r="M1283">
            <v>58</v>
          </cell>
          <cell r="N1283">
            <v>70</v>
          </cell>
          <cell r="O1283">
            <v>73</v>
          </cell>
          <cell r="P1283">
            <v>0</v>
          </cell>
          <cell r="Q1283">
            <v>11</v>
          </cell>
          <cell r="R1283">
            <v>0</v>
          </cell>
          <cell r="S1283">
            <v>11</v>
          </cell>
          <cell r="T1283">
            <v>14</v>
          </cell>
          <cell r="U1283">
            <v>21</v>
          </cell>
          <cell r="V1283">
            <v>267</v>
          </cell>
          <cell r="W1283">
            <v>131</v>
          </cell>
          <cell r="X1283">
            <v>41</v>
          </cell>
          <cell r="Y1283">
            <v>51</v>
          </cell>
          <cell r="Z1283">
            <v>0</v>
          </cell>
          <cell r="AA1283">
            <v>11</v>
          </cell>
          <cell r="AB1283">
            <v>226</v>
          </cell>
          <cell r="AC1283">
            <v>129</v>
          </cell>
          <cell r="AD1283">
            <v>0</v>
          </cell>
          <cell r="AE1283">
            <v>11</v>
          </cell>
          <cell r="AF1283">
            <v>0</v>
          </cell>
          <cell r="AG1283">
            <v>11</v>
          </cell>
          <cell r="AH1283">
            <v>14</v>
          </cell>
          <cell r="AI1283">
            <v>22</v>
          </cell>
          <cell r="AJ1283">
            <v>0</v>
          </cell>
          <cell r="AK1283">
            <v>11</v>
          </cell>
          <cell r="AL1283">
            <v>10</v>
          </cell>
          <cell r="AM1283">
            <v>17</v>
          </cell>
          <cell r="AN1283">
            <v>20</v>
          </cell>
          <cell r="AO1283">
            <v>20</v>
          </cell>
          <cell r="AP1283">
            <v>8</v>
          </cell>
          <cell r="AQ1283">
            <v>13</v>
          </cell>
          <cell r="AR1283">
            <v>21</v>
          </cell>
          <cell r="AS1283">
            <v>26</v>
          </cell>
        </row>
        <row r="1284">
          <cell r="B1284">
            <v>17031840100</v>
          </cell>
          <cell r="D1284">
            <v>1185</v>
          </cell>
          <cell r="E1284">
            <v>223</v>
          </cell>
          <cell r="F1284">
            <v>800</v>
          </cell>
          <cell r="G1284">
            <v>185</v>
          </cell>
          <cell r="H1284">
            <v>482</v>
          </cell>
          <cell r="I1284">
            <v>130</v>
          </cell>
          <cell r="J1284">
            <v>318</v>
          </cell>
          <cell r="K1284">
            <v>112</v>
          </cell>
          <cell r="L1284">
            <v>142</v>
          </cell>
          <cell r="M1284">
            <v>81</v>
          </cell>
          <cell r="N1284">
            <v>68</v>
          </cell>
          <cell r="O1284">
            <v>49</v>
          </cell>
          <cell r="P1284">
            <v>93</v>
          </cell>
          <cell r="Q1284">
            <v>84</v>
          </cell>
          <cell r="R1284">
            <v>0</v>
          </cell>
          <cell r="S1284">
            <v>11</v>
          </cell>
          <cell r="T1284">
            <v>15</v>
          </cell>
          <cell r="U1284">
            <v>22</v>
          </cell>
          <cell r="V1284">
            <v>195</v>
          </cell>
          <cell r="W1284">
            <v>112</v>
          </cell>
          <cell r="X1284">
            <v>92</v>
          </cell>
          <cell r="Y1284">
            <v>59</v>
          </cell>
          <cell r="Z1284">
            <v>0</v>
          </cell>
          <cell r="AA1284">
            <v>11</v>
          </cell>
          <cell r="AB1284">
            <v>103</v>
          </cell>
          <cell r="AC1284">
            <v>79</v>
          </cell>
          <cell r="AD1284">
            <v>0</v>
          </cell>
          <cell r="AE1284">
            <v>11</v>
          </cell>
          <cell r="AF1284">
            <v>0</v>
          </cell>
          <cell r="AG1284">
            <v>11</v>
          </cell>
          <cell r="AH1284">
            <v>0</v>
          </cell>
          <cell r="AI1284">
            <v>11</v>
          </cell>
          <cell r="AJ1284">
            <v>0</v>
          </cell>
          <cell r="AK1284">
            <v>11</v>
          </cell>
          <cell r="AL1284">
            <v>39</v>
          </cell>
          <cell r="AM1284">
            <v>51</v>
          </cell>
          <cell r="AN1284">
            <v>123</v>
          </cell>
          <cell r="AO1284">
            <v>75</v>
          </cell>
          <cell r="AP1284">
            <v>15</v>
          </cell>
          <cell r="AQ1284">
            <v>21</v>
          </cell>
          <cell r="AR1284">
            <v>13</v>
          </cell>
          <cell r="AS1284">
            <v>18</v>
          </cell>
        </row>
        <row r="1285">
          <cell r="B1285">
            <v>17031840200</v>
          </cell>
          <cell r="D1285">
            <v>1101</v>
          </cell>
          <cell r="E1285">
            <v>141</v>
          </cell>
          <cell r="F1285">
            <v>726</v>
          </cell>
          <cell r="G1285">
            <v>122</v>
          </cell>
          <cell r="H1285">
            <v>487</v>
          </cell>
          <cell r="I1285">
            <v>107</v>
          </cell>
          <cell r="J1285">
            <v>239</v>
          </cell>
          <cell r="K1285">
            <v>82</v>
          </cell>
          <cell r="L1285">
            <v>136</v>
          </cell>
          <cell r="M1285">
            <v>63</v>
          </cell>
          <cell r="N1285">
            <v>27</v>
          </cell>
          <cell r="O1285">
            <v>25</v>
          </cell>
          <cell r="P1285">
            <v>40</v>
          </cell>
          <cell r="Q1285">
            <v>35</v>
          </cell>
          <cell r="R1285">
            <v>29</v>
          </cell>
          <cell r="S1285">
            <v>27</v>
          </cell>
          <cell r="T1285">
            <v>7</v>
          </cell>
          <cell r="U1285">
            <v>9</v>
          </cell>
          <cell r="V1285">
            <v>238</v>
          </cell>
          <cell r="W1285">
            <v>74</v>
          </cell>
          <cell r="X1285">
            <v>98</v>
          </cell>
          <cell r="Y1285">
            <v>42</v>
          </cell>
          <cell r="Z1285">
            <v>0</v>
          </cell>
          <cell r="AA1285">
            <v>11</v>
          </cell>
          <cell r="AB1285">
            <v>132</v>
          </cell>
          <cell r="AC1285">
            <v>54</v>
          </cell>
          <cell r="AD1285">
            <v>8</v>
          </cell>
          <cell r="AE1285">
            <v>10</v>
          </cell>
          <cell r="AF1285">
            <v>0</v>
          </cell>
          <cell r="AG1285">
            <v>11</v>
          </cell>
          <cell r="AH1285">
            <v>0</v>
          </cell>
          <cell r="AI1285">
            <v>11</v>
          </cell>
          <cell r="AJ1285">
            <v>6</v>
          </cell>
          <cell r="AK1285">
            <v>9</v>
          </cell>
          <cell r="AL1285">
            <v>4</v>
          </cell>
          <cell r="AM1285">
            <v>7</v>
          </cell>
          <cell r="AN1285">
            <v>74</v>
          </cell>
          <cell r="AO1285">
            <v>44</v>
          </cell>
          <cell r="AP1285">
            <v>27</v>
          </cell>
          <cell r="AQ1285">
            <v>29</v>
          </cell>
          <cell r="AR1285">
            <v>26</v>
          </cell>
          <cell r="AS1285">
            <v>27</v>
          </cell>
        </row>
        <row r="1286">
          <cell r="B1286">
            <v>17031840300</v>
          </cell>
          <cell r="D1286">
            <v>1599</v>
          </cell>
          <cell r="E1286">
            <v>241</v>
          </cell>
          <cell r="F1286">
            <v>920</v>
          </cell>
          <cell r="G1286">
            <v>213</v>
          </cell>
          <cell r="H1286">
            <v>675</v>
          </cell>
          <cell r="I1286">
            <v>158</v>
          </cell>
          <cell r="J1286">
            <v>245</v>
          </cell>
          <cell r="K1286">
            <v>114</v>
          </cell>
          <cell r="L1286">
            <v>126</v>
          </cell>
          <cell r="M1286">
            <v>67</v>
          </cell>
          <cell r="N1286">
            <v>78</v>
          </cell>
          <cell r="O1286">
            <v>67</v>
          </cell>
          <cell r="P1286">
            <v>31</v>
          </cell>
          <cell r="Q1286">
            <v>33</v>
          </cell>
          <cell r="R1286">
            <v>10</v>
          </cell>
          <cell r="S1286">
            <v>17</v>
          </cell>
          <cell r="T1286">
            <v>0</v>
          </cell>
          <cell r="U1286">
            <v>11</v>
          </cell>
          <cell r="V1286">
            <v>566</v>
          </cell>
          <cell r="W1286">
            <v>260</v>
          </cell>
          <cell r="X1286">
            <v>180</v>
          </cell>
          <cell r="Y1286">
            <v>115</v>
          </cell>
          <cell r="Z1286">
            <v>0</v>
          </cell>
          <cell r="AA1286">
            <v>11</v>
          </cell>
          <cell r="AB1286">
            <v>323</v>
          </cell>
          <cell r="AC1286">
            <v>179</v>
          </cell>
          <cell r="AD1286">
            <v>63</v>
          </cell>
          <cell r="AE1286">
            <v>103</v>
          </cell>
          <cell r="AF1286">
            <v>0</v>
          </cell>
          <cell r="AG1286">
            <v>11</v>
          </cell>
          <cell r="AH1286">
            <v>0</v>
          </cell>
          <cell r="AI1286">
            <v>11</v>
          </cell>
          <cell r="AJ1286">
            <v>0</v>
          </cell>
          <cell r="AK1286">
            <v>11</v>
          </cell>
          <cell r="AL1286">
            <v>0</v>
          </cell>
          <cell r="AM1286">
            <v>11</v>
          </cell>
          <cell r="AN1286">
            <v>34</v>
          </cell>
          <cell r="AO1286">
            <v>37</v>
          </cell>
          <cell r="AP1286">
            <v>35</v>
          </cell>
          <cell r="AQ1286">
            <v>55</v>
          </cell>
          <cell r="AR1286">
            <v>44</v>
          </cell>
          <cell r="AS1286">
            <v>49</v>
          </cell>
        </row>
        <row r="1287">
          <cell r="B1287">
            <v>17031840400</v>
          </cell>
          <cell r="D1287">
            <v>1429</v>
          </cell>
          <cell r="E1287">
            <v>230</v>
          </cell>
          <cell r="F1287">
            <v>957</v>
          </cell>
          <cell r="G1287">
            <v>200</v>
          </cell>
          <cell r="H1287">
            <v>734</v>
          </cell>
          <cell r="I1287">
            <v>177</v>
          </cell>
          <cell r="J1287">
            <v>223</v>
          </cell>
          <cell r="K1287">
            <v>106</v>
          </cell>
          <cell r="L1287">
            <v>144</v>
          </cell>
          <cell r="M1287">
            <v>84</v>
          </cell>
          <cell r="N1287">
            <v>0</v>
          </cell>
          <cell r="O1287">
            <v>11</v>
          </cell>
          <cell r="P1287">
            <v>61</v>
          </cell>
          <cell r="Q1287">
            <v>65</v>
          </cell>
          <cell r="R1287">
            <v>18</v>
          </cell>
          <cell r="S1287">
            <v>22</v>
          </cell>
          <cell r="T1287">
            <v>0</v>
          </cell>
          <cell r="U1287">
            <v>11</v>
          </cell>
          <cell r="V1287">
            <v>356</v>
          </cell>
          <cell r="W1287">
            <v>144</v>
          </cell>
          <cell r="X1287">
            <v>113</v>
          </cell>
          <cell r="Y1287">
            <v>87</v>
          </cell>
          <cell r="Z1287">
            <v>18</v>
          </cell>
          <cell r="AA1287">
            <v>31</v>
          </cell>
          <cell r="AB1287">
            <v>214</v>
          </cell>
          <cell r="AC1287">
            <v>131</v>
          </cell>
          <cell r="AD1287">
            <v>0</v>
          </cell>
          <cell r="AE1287">
            <v>11</v>
          </cell>
          <cell r="AF1287">
            <v>11</v>
          </cell>
          <cell r="AG1287">
            <v>18</v>
          </cell>
          <cell r="AH1287">
            <v>0</v>
          </cell>
          <cell r="AI1287">
            <v>11</v>
          </cell>
          <cell r="AJ1287">
            <v>0</v>
          </cell>
          <cell r="AK1287">
            <v>11</v>
          </cell>
          <cell r="AL1287">
            <v>9</v>
          </cell>
          <cell r="AM1287">
            <v>15</v>
          </cell>
          <cell r="AN1287">
            <v>76</v>
          </cell>
          <cell r="AO1287">
            <v>59</v>
          </cell>
          <cell r="AP1287">
            <v>0</v>
          </cell>
          <cell r="AQ1287">
            <v>11</v>
          </cell>
          <cell r="AR1287">
            <v>31</v>
          </cell>
          <cell r="AS1287">
            <v>30</v>
          </cell>
        </row>
        <row r="1288">
          <cell r="B1288">
            <v>17031840700</v>
          </cell>
          <cell r="D1288">
            <v>1493</v>
          </cell>
          <cell r="E1288">
            <v>218</v>
          </cell>
          <cell r="F1288">
            <v>934</v>
          </cell>
          <cell r="G1288">
            <v>180</v>
          </cell>
          <cell r="H1288">
            <v>516</v>
          </cell>
          <cell r="I1288">
            <v>119</v>
          </cell>
          <cell r="J1288">
            <v>418</v>
          </cell>
          <cell r="K1288">
            <v>147</v>
          </cell>
          <cell r="L1288">
            <v>283</v>
          </cell>
          <cell r="M1288">
            <v>120</v>
          </cell>
          <cell r="N1288">
            <v>40</v>
          </cell>
          <cell r="O1288">
            <v>65</v>
          </cell>
          <cell r="P1288">
            <v>49</v>
          </cell>
          <cell r="Q1288">
            <v>34</v>
          </cell>
          <cell r="R1288">
            <v>0</v>
          </cell>
          <cell r="S1288">
            <v>11</v>
          </cell>
          <cell r="T1288">
            <v>46</v>
          </cell>
          <cell r="U1288">
            <v>41</v>
          </cell>
          <cell r="V1288">
            <v>268</v>
          </cell>
          <cell r="W1288">
            <v>86</v>
          </cell>
          <cell r="X1288">
            <v>86</v>
          </cell>
          <cell r="Y1288">
            <v>58</v>
          </cell>
          <cell r="Z1288">
            <v>31</v>
          </cell>
          <cell r="AA1288">
            <v>35</v>
          </cell>
          <cell r="AB1288">
            <v>143</v>
          </cell>
          <cell r="AC1288">
            <v>69</v>
          </cell>
          <cell r="AD1288">
            <v>8</v>
          </cell>
          <cell r="AE1288">
            <v>13</v>
          </cell>
          <cell r="AF1288">
            <v>0</v>
          </cell>
          <cell r="AG1288">
            <v>11</v>
          </cell>
          <cell r="AH1288">
            <v>0</v>
          </cell>
          <cell r="AI1288">
            <v>11</v>
          </cell>
          <cell r="AJ1288">
            <v>0</v>
          </cell>
          <cell r="AK1288">
            <v>11</v>
          </cell>
          <cell r="AL1288">
            <v>60</v>
          </cell>
          <cell r="AM1288">
            <v>58</v>
          </cell>
          <cell r="AN1288">
            <v>50</v>
          </cell>
          <cell r="AO1288">
            <v>35</v>
          </cell>
          <cell r="AP1288">
            <v>76</v>
          </cell>
          <cell r="AQ1288">
            <v>52</v>
          </cell>
          <cell r="AR1288">
            <v>105</v>
          </cell>
          <cell r="AS1288">
            <v>81</v>
          </cell>
        </row>
        <row r="1289">
          <cell r="B1289">
            <v>17031840800</v>
          </cell>
          <cell r="D1289">
            <v>1189</v>
          </cell>
          <cell r="E1289">
            <v>180</v>
          </cell>
          <cell r="F1289">
            <v>849</v>
          </cell>
          <cell r="G1289">
            <v>161</v>
          </cell>
          <cell r="H1289">
            <v>631</v>
          </cell>
          <cell r="I1289">
            <v>142</v>
          </cell>
          <cell r="J1289">
            <v>218</v>
          </cell>
          <cell r="K1289">
            <v>79</v>
          </cell>
          <cell r="L1289">
            <v>54</v>
          </cell>
          <cell r="M1289">
            <v>37</v>
          </cell>
          <cell r="N1289">
            <v>54</v>
          </cell>
          <cell r="O1289">
            <v>34</v>
          </cell>
          <cell r="P1289">
            <v>71</v>
          </cell>
          <cell r="Q1289">
            <v>56</v>
          </cell>
          <cell r="R1289">
            <v>23</v>
          </cell>
          <cell r="S1289">
            <v>24</v>
          </cell>
          <cell r="T1289">
            <v>16</v>
          </cell>
          <cell r="U1289">
            <v>20</v>
          </cell>
          <cell r="V1289">
            <v>162</v>
          </cell>
          <cell r="W1289">
            <v>68</v>
          </cell>
          <cell r="X1289">
            <v>133</v>
          </cell>
          <cell r="Y1289">
            <v>61</v>
          </cell>
          <cell r="Z1289">
            <v>0</v>
          </cell>
          <cell r="AA1289">
            <v>11</v>
          </cell>
          <cell r="AB1289">
            <v>19</v>
          </cell>
          <cell r="AC1289">
            <v>22</v>
          </cell>
          <cell r="AD1289">
            <v>10</v>
          </cell>
          <cell r="AE1289">
            <v>11</v>
          </cell>
          <cell r="AF1289">
            <v>0</v>
          </cell>
          <cell r="AG1289">
            <v>11</v>
          </cell>
          <cell r="AH1289">
            <v>0</v>
          </cell>
          <cell r="AI1289">
            <v>11</v>
          </cell>
          <cell r="AJ1289">
            <v>0</v>
          </cell>
          <cell r="AK1289">
            <v>11</v>
          </cell>
          <cell r="AL1289">
            <v>21</v>
          </cell>
          <cell r="AM1289">
            <v>23</v>
          </cell>
          <cell r="AN1289">
            <v>93</v>
          </cell>
          <cell r="AO1289">
            <v>70</v>
          </cell>
          <cell r="AP1289">
            <v>27</v>
          </cell>
          <cell r="AQ1289">
            <v>28</v>
          </cell>
          <cell r="AR1289">
            <v>37</v>
          </cell>
          <cell r="AS1289">
            <v>26</v>
          </cell>
        </row>
        <row r="1290">
          <cell r="B1290">
            <v>17031841000</v>
          </cell>
          <cell r="D1290">
            <v>425</v>
          </cell>
          <cell r="E1290">
            <v>97</v>
          </cell>
          <cell r="F1290">
            <v>245</v>
          </cell>
          <cell r="G1290">
            <v>85</v>
          </cell>
          <cell r="H1290">
            <v>208</v>
          </cell>
          <cell r="I1290">
            <v>84</v>
          </cell>
          <cell r="J1290">
            <v>37</v>
          </cell>
          <cell r="K1290">
            <v>32</v>
          </cell>
          <cell r="L1290">
            <v>37</v>
          </cell>
          <cell r="M1290">
            <v>32</v>
          </cell>
          <cell r="N1290">
            <v>0</v>
          </cell>
          <cell r="O1290">
            <v>11</v>
          </cell>
          <cell r="P1290">
            <v>0</v>
          </cell>
          <cell r="Q1290">
            <v>11</v>
          </cell>
          <cell r="R1290">
            <v>0</v>
          </cell>
          <cell r="S1290">
            <v>11</v>
          </cell>
          <cell r="T1290">
            <v>0</v>
          </cell>
          <cell r="U1290">
            <v>11</v>
          </cell>
          <cell r="V1290">
            <v>151</v>
          </cell>
          <cell r="W1290">
            <v>60</v>
          </cell>
          <cell r="X1290">
            <v>79</v>
          </cell>
          <cell r="Y1290">
            <v>36</v>
          </cell>
          <cell r="Z1290">
            <v>0</v>
          </cell>
          <cell r="AA1290">
            <v>11</v>
          </cell>
          <cell r="AB1290">
            <v>59</v>
          </cell>
          <cell r="AC1290">
            <v>51</v>
          </cell>
          <cell r="AD1290">
            <v>13</v>
          </cell>
          <cell r="AE1290">
            <v>19</v>
          </cell>
          <cell r="AF1290">
            <v>0</v>
          </cell>
          <cell r="AG1290">
            <v>11</v>
          </cell>
          <cell r="AH1290">
            <v>0</v>
          </cell>
          <cell r="AI1290">
            <v>11</v>
          </cell>
          <cell r="AJ1290">
            <v>0</v>
          </cell>
          <cell r="AK1290">
            <v>11</v>
          </cell>
          <cell r="AL1290">
            <v>3</v>
          </cell>
          <cell r="AM1290">
            <v>6</v>
          </cell>
          <cell r="AN1290">
            <v>8</v>
          </cell>
          <cell r="AO1290">
            <v>11</v>
          </cell>
          <cell r="AP1290">
            <v>0</v>
          </cell>
          <cell r="AQ1290">
            <v>11</v>
          </cell>
          <cell r="AR1290">
            <v>18</v>
          </cell>
          <cell r="AS1290">
            <v>13</v>
          </cell>
        </row>
        <row r="1291">
          <cell r="B1291">
            <v>17031841100</v>
          </cell>
          <cell r="D1291">
            <v>3228</v>
          </cell>
          <cell r="E1291">
            <v>396</v>
          </cell>
          <cell r="F1291">
            <v>1844</v>
          </cell>
          <cell r="G1291">
            <v>316</v>
          </cell>
          <cell r="H1291">
            <v>1241</v>
          </cell>
          <cell r="I1291">
            <v>290</v>
          </cell>
          <cell r="J1291">
            <v>603</v>
          </cell>
          <cell r="K1291">
            <v>229</v>
          </cell>
          <cell r="L1291">
            <v>264</v>
          </cell>
          <cell r="M1291">
            <v>170</v>
          </cell>
          <cell r="N1291">
            <v>114</v>
          </cell>
          <cell r="O1291">
            <v>106</v>
          </cell>
          <cell r="P1291">
            <v>84</v>
          </cell>
          <cell r="Q1291">
            <v>80</v>
          </cell>
          <cell r="R1291">
            <v>87</v>
          </cell>
          <cell r="S1291">
            <v>73</v>
          </cell>
          <cell r="T1291">
            <v>54</v>
          </cell>
          <cell r="U1291">
            <v>52</v>
          </cell>
          <cell r="V1291">
            <v>372</v>
          </cell>
          <cell r="W1291">
            <v>153</v>
          </cell>
          <cell r="X1291">
            <v>150</v>
          </cell>
          <cell r="Y1291">
            <v>101</v>
          </cell>
          <cell r="Z1291">
            <v>0</v>
          </cell>
          <cell r="AA1291">
            <v>15</v>
          </cell>
          <cell r="AB1291">
            <v>172</v>
          </cell>
          <cell r="AC1291">
            <v>116</v>
          </cell>
          <cell r="AD1291">
            <v>25</v>
          </cell>
          <cell r="AE1291">
            <v>40</v>
          </cell>
          <cell r="AF1291">
            <v>25</v>
          </cell>
          <cell r="AG1291">
            <v>41</v>
          </cell>
          <cell r="AH1291">
            <v>0</v>
          </cell>
          <cell r="AI1291">
            <v>15</v>
          </cell>
          <cell r="AJ1291">
            <v>0</v>
          </cell>
          <cell r="AK1291">
            <v>15</v>
          </cell>
          <cell r="AL1291">
            <v>15</v>
          </cell>
          <cell r="AM1291">
            <v>23</v>
          </cell>
          <cell r="AN1291">
            <v>725</v>
          </cell>
          <cell r="AO1291">
            <v>256</v>
          </cell>
          <cell r="AP1291">
            <v>102</v>
          </cell>
          <cell r="AQ1291">
            <v>85</v>
          </cell>
          <cell r="AR1291">
            <v>170</v>
          </cell>
          <cell r="AS1291">
            <v>114</v>
          </cell>
        </row>
        <row r="1292">
          <cell r="B1292">
            <v>17031841200</v>
          </cell>
          <cell r="D1292">
            <v>2270</v>
          </cell>
          <cell r="E1292">
            <v>271</v>
          </cell>
          <cell r="F1292">
            <v>1136</v>
          </cell>
          <cell r="G1292">
            <v>207</v>
          </cell>
          <cell r="H1292">
            <v>967</v>
          </cell>
          <cell r="I1292">
            <v>203</v>
          </cell>
          <cell r="J1292">
            <v>169</v>
          </cell>
          <cell r="K1292">
            <v>79</v>
          </cell>
          <cell r="L1292">
            <v>116</v>
          </cell>
          <cell r="M1292">
            <v>72</v>
          </cell>
          <cell r="N1292">
            <v>19</v>
          </cell>
          <cell r="O1292">
            <v>30</v>
          </cell>
          <cell r="P1292">
            <v>25</v>
          </cell>
          <cell r="Q1292">
            <v>38</v>
          </cell>
          <cell r="R1292">
            <v>0</v>
          </cell>
          <cell r="S1292">
            <v>15</v>
          </cell>
          <cell r="T1292">
            <v>9</v>
          </cell>
          <cell r="U1292">
            <v>14</v>
          </cell>
          <cell r="V1292">
            <v>762</v>
          </cell>
          <cell r="W1292">
            <v>253</v>
          </cell>
          <cell r="X1292">
            <v>151</v>
          </cell>
          <cell r="Y1292">
            <v>74</v>
          </cell>
          <cell r="Z1292">
            <v>59</v>
          </cell>
          <cell r="AA1292">
            <v>68</v>
          </cell>
          <cell r="AB1292">
            <v>523</v>
          </cell>
          <cell r="AC1292">
            <v>215</v>
          </cell>
          <cell r="AD1292">
            <v>29</v>
          </cell>
          <cell r="AE1292">
            <v>40</v>
          </cell>
          <cell r="AF1292">
            <v>0</v>
          </cell>
          <cell r="AG1292">
            <v>15</v>
          </cell>
          <cell r="AH1292">
            <v>28</v>
          </cell>
          <cell r="AI1292">
            <v>44</v>
          </cell>
          <cell r="AJ1292">
            <v>0</v>
          </cell>
          <cell r="AK1292">
            <v>15</v>
          </cell>
          <cell r="AL1292">
            <v>48</v>
          </cell>
          <cell r="AM1292">
            <v>55</v>
          </cell>
          <cell r="AN1292">
            <v>163</v>
          </cell>
          <cell r="AO1292">
            <v>103</v>
          </cell>
          <cell r="AP1292">
            <v>81</v>
          </cell>
          <cell r="AQ1292">
            <v>68</v>
          </cell>
          <cell r="AR1292">
            <v>52</v>
          </cell>
          <cell r="AS1292">
            <v>38</v>
          </cell>
        </row>
        <row r="1293">
          <cell r="B1293">
            <v>17031841300</v>
          </cell>
          <cell r="D1293">
            <v>1923</v>
          </cell>
          <cell r="E1293">
            <v>243</v>
          </cell>
          <cell r="F1293">
            <v>1065</v>
          </cell>
          <cell r="G1293">
            <v>219</v>
          </cell>
          <cell r="H1293">
            <v>926</v>
          </cell>
          <cell r="I1293">
            <v>211</v>
          </cell>
          <cell r="J1293">
            <v>139</v>
          </cell>
          <cell r="K1293">
            <v>71</v>
          </cell>
          <cell r="L1293">
            <v>91</v>
          </cell>
          <cell r="M1293">
            <v>55</v>
          </cell>
          <cell r="N1293">
            <v>0</v>
          </cell>
          <cell r="O1293">
            <v>11</v>
          </cell>
          <cell r="P1293">
            <v>48</v>
          </cell>
          <cell r="Q1293">
            <v>46</v>
          </cell>
          <cell r="R1293">
            <v>0</v>
          </cell>
          <cell r="S1293">
            <v>11</v>
          </cell>
          <cell r="T1293">
            <v>0</v>
          </cell>
          <cell r="U1293">
            <v>11</v>
          </cell>
          <cell r="V1293">
            <v>695</v>
          </cell>
          <cell r="W1293">
            <v>158</v>
          </cell>
          <cell r="X1293">
            <v>425</v>
          </cell>
          <cell r="Y1293">
            <v>135</v>
          </cell>
          <cell r="Z1293">
            <v>0</v>
          </cell>
          <cell r="AA1293">
            <v>11</v>
          </cell>
          <cell r="AB1293">
            <v>230</v>
          </cell>
          <cell r="AC1293">
            <v>104</v>
          </cell>
          <cell r="AD1293">
            <v>40</v>
          </cell>
          <cell r="AE1293">
            <v>45</v>
          </cell>
          <cell r="AF1293">
            <v>0</v>
          </cell>
          <cell r="AG1293">
            <v>11</v>
          </cell>
          <cell r="AH1293">
            <v>0</v>
          </cell>
          <cell r="AI1293">
            <v>11</v>
          </cell>
          <cell r="AJ1293">
            <v>0</v>
          </cell>
          <cell r="AK1293">
            <v>11</v>
          </cell>
          <cell r="AL1293">
            <v>27</v>
          </cell>
          <cell r="AM1293">
            <v>33</v>
          </cell>
          <cell r="AN1293">
            <v>98</v>
          </cell>
          <cell r="AO1293">
            <v>59</v>
          </cell>
          <cell r="AP1293">
            <v>11</v>
          </cell>
          <cell r="AQ1293">
            <v>20</v>
          </cell>
          <cell r="AR1293">
            <v>27</v>
          </cell>
          <cell r="AS1293">
            <v>42</v>
          </cell>
        </row>
        <row r="1294">
          <cell r="B1294">
            <v>17031841400</v>
          </cell>
          <cell r="D1294">
            <v>408</v>
          </cell>
          <cell r="E1294">
            <v>111</v>
          </cell>
          <cell r="F1294">
            <v>189</v>
          </cell>
          <cell r="G1294">
            <v>73</v>
          </cell>
          <cell r="H1294">
            <v>129</v>
          </cell>
          <cell r="I1294">
            <v>63</v>
          </cell>
          <cell r="J1294">
            <v>60</v>
          </cell>
          <cell r="K1294">
            <v>41</v>
          </cell>
          <cell r="L1294">
            <v>22</v>
          </cell>
          <cell r="M1294">
            <v>20</v>
          </cell>
          <cell r="N1294">
            <v>24</v>
          </cell>
          <cell r="O1294">
            <v>26</v>
          </cell>
          <cell r="P1294">
            <v>0</v>
          </cell>
          <cell r="Q1294">
            <v>11</v>
          </cell>
          <cell r="R1294">
            <v>0</v>
          </cell>
          <cell r="S1294">
            <v>11</v>
          </cell>
          <cell r="T1294">
            <v>14</v>
          </cell>
          <cell r="U1294">
            <v>22</v>
          </cell>
          <cell r="V1294">
            <v>148</v>
          </cell>
          <cell r="W1294">
            <v>66</v>
          </cell>
          <cell r="X1294">
            <v>101</v>
          </cell>
          <cell r="Y1294">
            <v>49</v>
          </cell>
          <cell r="Z1294">
            <v>0</v>
          </cell>
          <cell r="AA1294">
            <v>11</v>
          </cell>
          <cell r="AB1294">
            <v>47</v>
          </cell>
          <cell r="AC1294">
            <v>44</v>
          </cell>
          <cell r="AD1294">
            <v>0</v>
          </cell>
          <cell r="AE1294">
            <v>11</v>
          </cell>
          <cell r="AF1294">
            <v>0</v>
          </cell>
          <cell r="AG1294">
            <v>11</v>
          </cell>
          <cell r="AH1294">
            <v>0</v>
          </cell>
          <cell r="AI1294">
            <v>11</v>
          </cell>
          <cell r="AJ1294">
            <v>0</v>
          </cell>
          <cell r="AK1294">
            <v>11</v>
          </cell>
          <cell r="AL1294">
            <v>5</v>
          </cell>
          <cell r="AM1294">
            <v>9</v>
          </cell>
          <cell r="AN1294">
            <v>36</v>
          </cell>
          <cell r="AO1294">
            <v>49</v>
          </cell>
          <cell r="AP1294">
            <v>15</v>
          </cell>
          <cell r="AQ1294">
            <v>23</v>
          </cell>
          <cell r="AR1294">
            <v>15</v>
          </cell>
          <cell r="AS1294">
            <v>16</v>
          </cell>
        </row>
        <row r="1295">
          <cell r="B1295">
            <v>17031841500</v>
          </cell>
          <cell r="D1295">
            <v>748</v>
          </cell>
          <cell r="E1295">
            <v>173</v>
          </cell>
          <cell r="F1295">
            <v>415</v>
          </cell>
          <cell r="G1295">
            <v>146</v>
          </cell>
          <cell r="H1295">
            <v>347</v>
          </cell>
          <cell r="I1295">
            <v>136</v>
          </cell>
          <cell r="J1295">
            <v>68</v>
          </cell>
          <cell r="K1295">
            <v>43</v>
          </cell>
          <cell r="L1295">
            <v>27</v>
          </cell>
          <cell r="M1295">
            <v>31</v>
          </cell>
          <cell r="N1295">
            <v>35</v>
          </cell>
          <cell r="O1295">
            <v>27</v>
          </cell>
          <cell r="P1295">
            <v>0</v>
          </cell>
          <cell r="Q1295">
            <v>11</v>
          </cell>
          <cell r="R1295">
            <v>0</v>
          </cell>
          <cell r="S1295">
            <v>11</v>
          </cell>
          <cell r="T1295">
            <v>6</v>
          </cell>
          <cell r="U1295">
            <v>10</v>
          </cell>
          <cell r="V1295">
            <v>233</v>
          </cell>
          <cell r="W1295">
            <v>74</v>
          </cell>
          <cell r="X1295">
            <v>195</v>
          </cell>
          <cell r="Y1295">
            <v>74</v>
          </cell>
          <cell r="Z1295">
            <v>0</v>
          </cell>
          <cell r="AA1295">
            <v>11</v>
          </cell>
          <cell r="AB1295">
            <v>29</v>
          </cell>
          <cell r="AC1295">
            <v>28</v>
          </cell>
          <cell r="AD1295">
            <v>9</v>
          </cell>
          <cell r="AE1295">
            <v>13</v>
          </cell>
          <cell r="AF1295">
            <v>0</v>
          </cell>
          <cell r="AG1295">
            <v>11</v>
          </cell>
          <cell r="AH1295">
            <v>0</v>
          </cell>
          <cell r="AI1295">
            <v>11</v>
          </cell>
          <cell r="AJ1295">
            <v>0</v>
          </cell>
          <cell r="AK1295">
            <v>11</v>
          </cell>
          <cell r="AL1295">
            <v>0</v>
          </cell>
          <cell r="AM1295">
            <v>11</v>
          </cell>
          <cell r="AN1295">
            <v>6</v>
          </cell>
          <cell r="AO1295">
            <v>9</v>
          </cell>
          <cell r="AP1295">
            <v>15</v>
          </cell>
          <cell r="AQ1295">
            <v>24</v>
          </cell>
          <cell r="AR1295">
            <v>79</v>
          </cell>
          <cell r="AS1295">
            <v>53</v>
          </cell>
        </row>
        <row r="1296">
          <cell r="B1296">
            <v>17031841600</v>
          </cell>
          <cell r="D1296">
            <v>178</v>
          </cell>
          <cell r="E1296">
            <v>66</v>
          </cell>
          <cell r="F1296">
            <v>105</v>
          </cell>
          <cell r="G1296">
            <v>58</v>
          </cell>
          <cell r="H1296">
            <v>88</v>
          </cell>
          <cell r="I1296">
            <v>52</v>
          </cell>
          <cell r="J1296">
            <v>17</v>
          </cell>
          <cell r="K1296">
            <v>26</v>
          </cell>
          <cell r="L1296">
            <v>17</v>
          </cell>
          <cell r="M1296">
            <v>26</v>
          </cell>
          <cell r="N1296">
            <v>0</v>
          </cell>
          <cell r="O1296">
            <v>11</v>
          </cell>
          <cell r="P1296">
            <v>0</v>
          </cell>
          <cell r="Q1296">
            <v>11</v>
          </cell>
          <cell r="R1296">
            <v>0</v>
          </cell>
          <cell r="S1296">
            <v>11</v>
          </cell>
          <cell r="T1296">
            <v>0</v>
          </cell>
          <cell r="U1296">
            <v>11</v>
          </cell>
          <cell r="V1296">
            <v>63</v>
          </cell>
          <cell r="W1296">
            <v>35</v>
          </cell>
          <cell r="X1296">
            <v>35</v>
          </cell>
          <cell r="Y1296">
            <v>23</v>
          </cell>
          <cell r="Z1296">
            <v>0</v>
          </cell>
          <cell r="AA1296">
            <v>11</v>
          </cell>
          <cell r="AB1296">
            <v>14</v>
          </cell>
          <cell r="AC1296">
            <v>14</v>
          </cell>
          <cell r="AD1296">
            <v>14</v>
          </cell>
          <cell r="AE1296">
            <v>23</v>
          </cell>
          <cell r="AF1296">
            <v>0</v>
          </cell>
          <cell r="AG1296">
            <v>11</v>
          </cell>
          <cell r="AH1296">
            <v>0</v>
          </cell>
          <cell r="AI1296">
            <v>11</v>
          </cell>
          <cell r="AJ1296">
            <v>0</v>
          </cell>
          <cell r="AK1296">
            <v>11</v>
          </cell>
          <cell r="AL1296">
            <v>0</v>
          </cell>
          <cell r="AM1296">
            <v>11</v>
          </cell>
          <cell r="AN1296">
            <v>6</v>
          </cell>
          <cell r="AO1296">
            <v>8</v>
          </cell>
          <cell r="AP1296">
            <v>0</v>
          </cell>
          <cell r="AQ1296">
            <v>11</v>
          </cell>
          <cell r="AR1296">
            <v>4</v>
          </cell>
          <cell r="AS1296">
            <v>6</v>
          </cell>
        </row>
        <row r="1297">
          <cell r="B1297">
            <v>17031841700</v>
          </cell>
          <cell r="D1297">
            <v>435</v>
          </cell>
          <cell r="E1297">
            <v>116</v>
          </cell>
          <cell r="F1297">
            <v>314</v>
          </cell>
          <cell r="G1297">
            <v>91</v>
          </cell>
          <cell r="H1297">
            <v>260</v>
          </cell>
          <cell r="I1297">
            <v>86</v>
          </cell>
          <cell r="J1297">
            <v>54</v>
          </cell>
          <cell r="K1297">
            <v>38</v>
          </cell>
          <cell r="L1297">
            <v>54</v>
          </cell>
          <cell r="M1297">
            <v>38</v>
          </cell>
          <cell r="N1297">
            <v>0</v>
          </cell>
          <cell r="O1297">
            <v>11</v>
          </cell>
          <cell r="P1297">
            <v>0</v>
          </cell>
          <cell r="Q1297">
            <v>11</v>
          </cell>
          <cell r="R1297">
            <v>0</v>
          </cell>
          <cell r="S1297">
            <v>11</v>
          </cell>
          <cell r="T1297">
            <v>0</v>
          </cell>
          <cell r="U1297">
            <v>11</v>
          </cell>
          <cell r="V1297">
            <v>95</v>
          </cell>
          <cell r="W1297">
            <v>53</v>
          </cell>
          <cell r="X1297">
            <v>16</v>
          </cell>
          <cell r="Y1297">
            <v>16</v>
          </cell>
          <cell r="Z1297">
            <v>0</v>
          </cell>
          <cell r="AA1297">
            <v>11</v>
          </cell>
          <cell r="AB1297">
            <v>79</v>
          </cell>
          <cell r="AC1297">
            <v>51</v>
          </cell>
          <cell r="AD1297">
            <v>0</v>
          </cell>
          <cell r="AE1297">
            <v>11</v>
          </cell>
          <cell r="AF1297">
            <v>0</v>
          </cell>
          <cell r="AG1297">
            <v>11</v>
          </cell>
          <cell r="AH1297">
            <v>0</v>
          </cell>
          <cell r="AI1297">
            <v>11</v>
          </cell>
          <cell r="AJ1297">
            <v>0</v>
          </cell>
          <cell r="AK1297">
            <v>11</v>
          </cell>
          <cell r="AL1297">
            <v>6</v>
          </cell>
          <cell r="AM1297">
            <v>9</v>
          </cell>
          <cell r="AN1297">
            <v>20</v>
          </cell>
          <cell r="AO1297">
            <v>23</v>
          </cell>
          <cell r="AP1297">
            <v>0</v>
          </cell>
          <cell r="AQ1297">
            <v>11</v>
          </cell>
          <cell r="AR1297">
            <v>0</v>
          </cell>
          <cell r="AS1297">
            <v>11</v>
          </cell>
        </row>
        <row r="1298">
          <cell r="B1298">
            <v>17031841800</v>
          </cell>
          <cell r="D1298">
            <v>746</v>
          </cell>
          <cell r="E1298">
            <v>141</v>
          </cell>
          <cell r="F1298">
            <v>562</v>
          </cell>
          <cell r="G1298">
            <v>132</v>
          </cell>
          <cell r="H1298">
            <v>459</v>
          </cell>
          <cell r="I1298">
            <v>126</v>
          </cell>
          <cell r="J1298">
            <v>103</v>
          </cell>
          <cell r="K1298">
            <v>63</v>
          </cell>
          <cell r="L1298">
            <v>77</v>
          </cell>
          <cell r="M1298">
            <v>53</v>
          </cell>
          <cell r="N1298">
            <v>6</v>
          </cell>
          <cell r="O1298">
            <v>8</v>
          </cell>
          <cell r="P1298">
            <v>20</v>
          </cell>
          <cell r="Q1298">
            <v>28</v>
          </cell>
          <cell r="R1298">
            <v>0</v>
          </cell>
          <cell r="S1298">
            <v>11</v>
          </cell>
          <cell r="T1298">
            <v>0</v>
          </cell>
          <cell r="U1298">
            <v>11</v>
          </cell>
          <cell r="V1298">
            <v>156</v>
          </cell>
          <cell r="W1298">
            <v>68</v>
          </cell>
          <cell r="X1298">
            <v>122</v>
          </cell>
          <cell r="Y1298">
            <v>55</v>
          </cell>
          <cell r="Z1298">
            <v>0</v>
          </cell>
          <cell r="AA1298">
            <v>11</v>
          </cell>
          <cell r="AB1298">
            <v>21</v>
          </cell>
          <cell r="AC1298">
            <v>21</v>
          </cell>
          <cell r="AD1298">
            <v>13</v>
          </cell>
          <cell r="AE1298">
            <v>16</v>
          </cell>
          <cell r="AF1298">
            <v>0</v>
          </cell>
          <cell r="AG1298">
            <v>11</v>
          </cell>
          <cell r="AH1298">
            <v>0</v>
          </cell>
          <cell r="AI1298">
            <v>11</v>
          </cell>
          <cell r="AJ1298">
            <v>0</v>
          </cell>
          <cell r="AK1298">
            <v>11</v>
          </cell>
          <cell r="AL1298">
            <v>0</v>
          </cell>
          <cell r="AM1298">
            <v>11</v>
          </cell>
          <cell r="AN1298">
            <v>0</v>
          </cell>
          <cell r="AO1298">
            <v>11</v>
          </cell>
          <cell r="AP1298">
            <v>0</v>
          </cell>
          <cell r="AQ1298">
            <v>11</v>
          </cell>
          <cell r="AR1298">
            <v>28</v>
          </cell>
          <cell r="AS1298">
            <v>21</v>
          </cell>
        </row>
        <row r="1299">
          <cell r="B1299">
            <v>17031841900</v>
          </cell>
          <cell r="D1299">
            <v>3335</v>
          </cell>
          <cell r="E1299">
            <v>304</v>
          </cell>
          <cell r="F1299">
            <v>1290</v>
          </cell>
          <cell r="G1299">
            <v>213</v>
          </cell>
          <cell r="H1299">
            <v>1122</v>
          </cell>
          <cell r="I1299">
            <v>209</v>
          </cell>
          <cell r="J1299">
            <v>168</v>
          </cell>
          <cell r="K1299">
            <v>74</v>
          </cell>
          <cell r="L1299">
            <v>128</v>
          </cell>
          <cell r="M1299">
            <v>71</v>
          </cell>
          <cell r="N1299">
            <v>32</v>
          </cell>
          <cell r="O1299">
            <v>29</v>
          </cell>
          <cell r="P1299">
            <v>8</v>
          </cell>
          <cell r="Q1299">
            <v>12</v>
          </cell>
          <cell r="R1299">
            <v>0</v>
          </cell>
          <cell r="S1299">
            <v>15</v>
          </cell>
          <cell r="T1299">
            <v>0</v>
          </cell>
          <cell r="U1299">
            <v>15</v>
          </cell>
          <cell r="V1299">
            <v>759</v>
          </cell>
          <cell r="W1299">
            <v>156</v>
          </cell>
          <cell r="X1299">
            <v>499</v>
          </cell>
          <cell r="Y1299">
            <v>125</v>
          </cell>
          <cell r="Z1299">
            <v>0</v>
          </cell>
          <cell r="AA1299">
            <v>15</v>
          </cell>
          <cell r="AB1299">
            <v>189</v>
          </cell>
          <cell r="AC1299">
            <v>90</v>
          </cell>
          <cell r="AD1299">
            <v>71</v>
          </cell>
          <cell r="AE1299">
            <v>45</v>
          </cell>
          <cell r="AF1299">
            <v>0</v>
          </cell>
          <cell r="AG1299">
            <v>15</v>
          </cell>
          <cell r="AH1299">
            <v>66</v>
          </cell>
          <cell r="AI1299">
            <v>43</v>
          </cell>
          <cell r="AJ1299">
            <v>0</v>
          </cell>
          <cell r="AK1299">
            <v>15</v>
          </cell>
          <cell r="AL1299">
            <v>80</v>
          </cell>
          <cell r="AM1299">
            <v>53</v>
          </cell>
          <cell r="AN1299">
            <v>903</v>
          </cell>
          <cell r="AO1299">
            <v>173</v>
          </cell>
          <cell r="AP1299">
            <v>28</v>
          </cell>
          <cell r="AQ1299">
            <v>31</v>
          </cell>
          <cell r="AR1299">
            <v>209</v>
          </cell>
          <cell r="AS1299">
            <v>97</v>
          </cell>
        </row>
        <row r="1300">
          <cell r="B1300">
            <v>17031842000</v>
          </cell>
          <cell r="D1300">
            <v>926</v>
          </cell>
          <cell r="E1300">
            <v>142</v>
          </cell>
          <cell r="F1300">
            <v>260</v>
          </cell>
          <cell r="G1300">
            <v>65</v>
          </cell>
          <cell r="H1300">
            <v>216</v>
          </cell>
          <cell r="I1300">
            <v>68</v>
          </cell>
          <cell r="J1300">
            <v>44</v>
          </cell>
          <cell r="K1300">
            <v>25</v>
          </cell>
          <cell r="L1300">
            <v>44</v>
          </cell>
          <cell r="M1300">
            <v>25</v>
          </cell>
          <cell r="N1300">
            <v>0</v>
          </cell>
          <cell r="O1300">
            <v>11</v>
          </cell>
          <cell r="P1300">
            <v>0</v>
          </cell>
          <cell r="Q1300">
            <v>11</v>
          </cell>
          <cell r="R1300">
            <v>0</v>
          </cell>
          <cell r="S1300">
            <v>11</v>
          </cell>
          <cell r="T1300">
            <v>0</v>
          </cell>
          <cell r="U1300">
            <v>11</v>
          </cell>
          <cell r="V1300">
            <v>210</v>
          </cell>
          <cell r="W1300">
            <v>82</v>
          </cell>
          <cell r="X1300">
            <v>137</v>
          </cell>
          <cell r="Y1300">
            <v>71</v>
          </cell>
          <cell r="Z1300">
            <v>0</v>
          </cell>
          <cell r="AA1300">
            <v>11</v>
          </cell>
          <cell r="AB1300">
            <v>71</v>
          </cell>
          <cell r="AC1300">
            <v>41</v>
          </cell>
          <cell r="AD1300">
            <v>2</v>
          </cell>
          <cell r="AE1300">
            <v>4</v>
          </cell>
          <cell r="AF1300">
            <v>0</v>
          </cell>
          <cell r="AG1300">
            <v>11</v>
          </cell>
          <cell r="AH1300">
            <v>0</v>
          </cell>
          <cell r="AI1300">
            <v>11</v>
          </cell>
          <cell r="AJ1300">
            <v>4</v>
          </cell>
          <cell r="AK1300">
            <v>8</v>
          </cell>
          <cell r="AL1300">
            <v>9</v>
          </cell>
          <cell r="AM1300">
            <v>13</v>
          </cell>
          <cell r="AN1300">
            <v>372</v>
          </cell>
          <cell r="AO1300">
            <v>97</v>
          </cell>
          <cell r="AP1300">
            <v>5</v>
          </cell>
          <cell r="AQ1300">
            <v>10</v>
          </cell>
          <cell r="AR1300">
            <v>66</v>
          </cell>
          <cell r="AS1300">
            <v>43</v>
          </cell>
        </row>
        <row r="1301">
          <cell r="B1301">
            <v>17031842100</v>
          </cell>
          <cell r="D1301">
            <v>2546</v>
          </cell>
          <cell r="E1301">
            <v>550</v>
          </cell>
          <cell r="F1301">
            <v>1779</v>
          </cell>
          <cell r="G1301">
            <v>515</v>
          </cell>
          <cell r="H1301">
            <v>1488</v>
          </cell>
          <cell r="I1301">
            <v>472</v>
          </cell>
          <cell r="J1301">
            <v>291</v>
          </cell>
          <cell r="K1301">
            <v>127</v>
          </cell>
          <cell r="L1301">
            <v>249</v>
          </cell>
          <cell r="M1301">
            <v>112</v>
          </cell>
          <cell r="N1301">
            <v>0</v>
          </cell>
          <cell r="O1301">
            <v>15</v>
          </cell>
          <cell r="P1301">
            <v>0</v>
          </cell>
          <cell r="Q1301">
            <v>15</v>
          </cell>
          <cell r="R1301">
            <v>42</v>
          </cell>
          <cell r="S1301">
            <v>67</v>
          </cell>
          <cell r="T1301">
            <v>0</v>
          </cell>
          <cell r="U1301">
            <v>15</v>
          </cell>
          <cell r="V1301">
            <v>610</v>
          </cell>
          <cell r="W1301">
            <v>230</v>
          </cell>
          <cell r="X1301">
            <v>434</v>
          </cell>
          <cell r="Y1301">
            <v>201</v>
          </cell>
          <cell r="Z1301">
            <v>0</v>
          </cell>
          <cell r="AA1301">
            <v>15</v>
          </cell>
          <cell r="AB1301">
            <v>176</v>
          </cell>
          <cell r="AC1301">
            <v>123</v>
          </cell>
          <cell r="AD1301">
            <v>0</v>
          </cell>
          <cell r="AE1301">
            <v>15</v>
          </cell>
          <cell r="AF1301">
            <v>0</v>
          </cell>
          <cell r="AG1301">
            <v>15</v>
          </cell>
          <cell r="AH1301">
            <v>0</v>
          </cell>
          <cell r="AI1301">
            <v>15</v>
          </cell>
          <cell r="AJ1301">
            <v>0</v>
          </cell>
          <cell r="AK1301">
            <v>15</v>
          </cell>
          <cell r="AL1301">
            <v>0</v>
          </cell>
          <cell r="AM1301">
            <v>15</v>
          </cell>
          <cell r="AN1301">
            <v>42</v>
          </cell>
          <cell r="AO1301">
            <v>48</v>
          </cell>
          <cell r="AP1301">
            <v>92</v>
          </cell>
          <cell r="AQ1301">
            <v>103</v>
          </cell>
          <cell r="AR1301">
            <v>23</v>
          </cell>
          <cell r="AS1301">
            <v>37</v>
          </cell>
        </row>
        <row r="1302">
          <cell r="B1302">
            <v>17031842200</v>
          </cell>
          <cell r="D1302">
            <v>1805</v>
          </cell>
          <cell r="E1302">
            <v>234</v>
          </cell>
          <cell r="F1302">
            <v>651</v>
          </cell>
          <cell r="G1302">
            <v>136</v>
          </cell>
          <cell r="H1302">
            <v>610</v>
          </cell>
          <cell r="I1302">
            <v>137</v>
          </cell>
          <cell r="J1302">
            <v>41</v>
          </cell>
          <cell r="K1302">
            <v>34</v>
          </cell>
          <cell r="L1302">
            <v>32</v>
          </cell>
          <cell r="M1302">
            <v>31</v>
          </cell>
          <cell r="N1302">
            <v>0</v>
          </cell>
          <cell r="O1302">
            <v>11</v>
          </cell>
          <cell r="P1302">
            <v>0</v>
          </cell>
          <cell r="Q1302">
            <v>11</v>
          </cell>
          <cell r="R1302">
            <v>0</v>
          </cell>
          <cell r="S1302">
            <v>11</v>
          </cell>
          <cell r="T1302">
            <v>9</v>
          </cell>
          <cell r="U1302">
            <v>14</v>
          </cell>
          <cell r="V1302">
            <v>541</v>
          </cell>
          <cell r="W1302">
            <v>171</v>
          </cell>
          <cell r="X1302">
            <v>189</v>
          </cell>
          <cell r="Y1302">
            <v>150</v>
          </cell>
          <cell r="Z1302">
            <v>0</v>
          </cell>
          <cell r="AA1302">
            <v>11</v>
          </cell>
          <cell r="AB1302">
            <v>333</v>
          </cell>
          <cell r="AC1302">
            <v>108</v>
          </cell>
          <cell r="AD1302">
            <v>19</v>
          </cell>
          <cell r="AE1302">
            <v>21</v>
          </cell>
          <cell r="AF1302">
            <v>0</v>
          </cell>
          <cell r="AG1302">
            <v>11</v>
          </cell>
          <cell r="AH1302">
            <v>42</v>
          </cell>
          <cell r="AI1302">
            <v>28</v>
          </cell>
          <cell r="AJ1302">
            <v>0</v>
          </cell>
          <cell r="AK1302">
            <v>11</v>
          </cell>
          <cell r="AL1302">
            <v>50</v>
          </cell>
          <cell r="AM1302">
            <v>43</v>
          </cell>
          <cell r="AN1302">
            <v>256</v>
          </cell>
          <cell r="AO1302">
            <v>106</v>
          </cell>
          <cell r="AP1302">
            <v>48</v>
          </cell>
          <cell r="AQ1302">
            <v>42</v>
          </cell>
          <cell r="AR1302">
            <v>217</v>
          </cell>
          <cell r="AS1302">
            <v>110</v>
          </cell>
        </row>
        <row r="1303">
          <cell r="B1303">
            <v>17031842300</v>
          </cell>
          <cell r="D1303">
            <v>2449</v>
          </cell>
          <cell r="E1303">
            <v>291</v>
          </cell>
          <cell r="F1303">
            <v>1051</v>
          </cell>
          <cell r="G1303">
            <v>170</v>
          </cell>
          <cell r="H1303">
            <v>896</v>
          </cell>
          <cell r="I1303">
            <v>163</v>
          </cell>
          <cell r="J1303">
            <v>155</v>
          </cell>
          <cell r="K1303">
            <v>75</v>
          </cell>
          <cell r="L1303">
            <v>117</v>
          </cell>
          <cell r="M1303">
            <v>71</v>
          </cell>
          <cell r="N1303">
            <v>8</v>
          </cell>
          <cell r="O1303">
            <v>14</v>
          </cell>
          <cell r="P1303">
            <v>30</v>
          </cell>
          <cell r="Q1303">
            <v>48</v>
          </cell>
          <cell r="R1303">
            <v>0</v>
          </cell>
          <cell r="S1303">
            <v>11</v>
          </cell>
          <cell r="T1303">
            <v>0</v>
          </cell>
          <cell r="U1303">
            <v>11</v>
          </cell>
          <cell r="V1303">
            <v>801</v>
          </cell>
          <cell r="W1303">
            <v>183</v>
          </cell>
          <cell r="X1303">
            <v>220</v>
          </cell>
          <cell r="Y1303">
            <v>93</v>
          </cell>
          <cell r="Z1303">
            <v>0</v>
          </cell>
          <cell r="AA1303">
            <v>11</v>
          </cell>
          <cell r="AB1303">
            <v>520</v>
          </cell>
          <cell r="AC1303">
            <v>146</v>
          </cell>
          <cell r="AD1303">
            <v>61</v>
          </cell>
          <cell r="AE1303">
            <v>55</v>
          </cell>
          <cell r="AF1303">
            <v>0</v>
          </cell>
          <cell r="AG1303">
            <v>11</v>
          </cell>
          <cell r="AH1303">
            <v>21</v>
          </cell>
          <cell r="AI1303">
            <v>23</v>
          </cell>
          <cell r="AJ1303">
            <v>0</v>
          </cell>
          <cell r="AK1303">
            <v>11</v>
          </cell>
          <cell r="AL1303">
            <v>92</v>
          </cell>
          <cell r="AM1303">
            <v>79</v>
          </cell>
          <cell r="AN1303">
            <v>267</v>
          </cell>
          <cell r="AO1303">
            <v>96</v>
          </cell>
          <cell r="AP1303">
            <v>6</v>
          </cell>
          <cell r="AQ1303">
            <v>11</v>
          </cell>
          <cell r="AR1303">
            <v>211</v>
          </cell>
          <cell r="AS1303">
            <v>137</v>
          </cell>
        </row>
        <row r="1304">
          <cell r="B1304">
            <v>17031842400</v>
          </cell>
          <cell r="D1304">
            <v>1152</v>
          </cell>
          <cell r="E1304">
            <v>175</v>
          </cell>
          <cell r="F1304">
            <v>586</v>
          </cell>
          <cell r="G1304">
            <v>160</v>
          </cell>
          <cell r="H1304">
            <v>536</v>
          </cell>
          <cell r="I1304">
            <v>160</v>
          </cell>
          <cell r="J1304">
            <v>50</v>
          </cell>
          <cell r="K1304">
            <v>43</v>
          </cell>
          <cell r="L1304">
            <v>36</v>
          </cell>
          <cell r="M1304">
            <v>43</v>
          </cell>
          <cell r="N1304">
            <v>14</v>
          </cell>
          <cell r="O1304">
            <v>24</v>
          </cell>
          <cell r="P1304">
            <v>0</v>
          </cell>
          <cell r="Q1304">
            <v>11</v>
          </cell>
          <cell r="R1304">
            <v>0</v>
          </cell>
          <cell r="S1304">
            <v>11</v>
          </cell>
          <cell r="T1304">
            <v>0</v>
          </cell>
          <cell r="U1304">
            <v>11</v>
          </cell>
          <cell r="V1304">
            <v>486</v>
          </cell>
          <cell r="W1304">
            <v>156</v>
          </cell>
          <cell r="X1304">
            <v>298</v>
          </cell>
          <cell r="Y1304">
            <v>115</v>
          </cell>
          <cell r="Z1304">
            <v>0</v>
          </cell>
          <cell r="AA1304">
            <v>11</v>
          </cell>
          <cell r="AB1304">
            <v>164</v>
          </cell>
          <cell r="AC1304">
            <v>108</v>
          </cell>
          <cell r="AD1304">
            <v>24</v>
          </cell>
          <cell r="AE1304">
            <v>28</v>
          </cell>
          <cell r="AF1304">
            <v>0</v>
          </cell>
          <cell r="AG1304">
            <v>11</v>
          </cell>
          <cell r="AH1304">
            <v>9</v>
          </cell>
          <cell r="AI1304">
            <v>13</v>
          </cell>
          <cell r="AJ1304">
            <v>0</v>
          </cell>
          <cell r="AK1304">
            <v>11</v>
          </cell>
          <cell r="AL1304">
            <v>0</v>
          </cell>
          <cell r="AM1304">
            <v>11</v>
          </cell>
          <cell r="AN1304">
            <v>45</v>
          </cell>
          <cell r="AO1304">
            <v>42</v>
          </cell>
          <cell r="AP1304">
            <v>10</v>
          </cell>
          <cell r="AQ1304">
            <v>17</v>
          </cell>
          <cell r="AR1304">
            <v>16</v>
          </cell>
          <cell r="AS1304">
            <v>18</v>
          </cell>
        </row>
        <row r="1305">
          <cell r="B1305">
            <v>17031842500</v>
          </cell>
          <cell r="D1305">
            <v>339</v>
          </cell>
          <cell r="E1305">
            <v>106</v>
          </cell>
          <cell r="F1305">
            <v>178</v>
          </cell>
          <cell r="G1305">
            <v>89</v>
          </cell>
          <cell r="H1305">
            <v>148</v>
          </cell>
          <cell r="I1305">
            <v>65</v>
          </cell>
          <cell r="J1305">
            <v>30</v>
          </cell>
          <cell r="K1305">
            <v>38</v>
          </cell>
          <cell r="L1305">
            <v>0</v>
          </cell>
          <cell r="M1305">
            <v>11</v>
          </cell>
          <cell r="N1305">
            <v>0</v>
          </cell>
          <cell r="O1305">
            <v>11</v>
          </cell>
          <cell r="P1305">
            <v>30</v>
          </cell>
          <cell r="Q1305">
            <v>38</v>
          </cell>
          <cell r="R1305">
            <v>0</v>
          </cell>
          <cell r="S1305">
            <v>11</v>
          </cell>
          <cell r="T1305">
            <v>0</v>
          </cell>
          <cell r="U1305">
            <v>11</v>
          </cell>
          <cell r="V1305">
            <v>154</v>
          </cell>
          <cell r="W1305">
            <v>52</v>
          </cell>
          <cell r="X1305">
            <v>154</v>
          </cell>
          <cell r="Y1305">
            <v>52</v>
          </cell>
          <cell r="Z1305">
            <v>0</v>
          </cell>
          <cell r="AA1305">
            <v>11</v>
          </cell>
          <cell r="AB1305">
            <v>0</v>
          </cell>
          <cell r="AC1305">
            <v>11</v>
          </cell>
          <cell r="AD1305">
            <v>0</v>
          </cell>
          <cell r="AE1305">
            <v>11</v>
          </cell>
          <cell r="AF1305">
            <v>0</v>
          </cell>
          <cell r="AG1305">
            <v>11</v>
          </cell>
          <cell r="AH1305">
            <v>0</v>
          </cell>
          <cell r="AI1305">
            <v>11</v>
          </cell>
          <cell r="AJ1305">
            <v>0</v>
          </cell>
          <cell r="AK1305">
            <v>11</v>
          </cell>
          <cell r="AL1305">
            <v>0</v>
          </cell>
          <cell r="AM1305">
            <v>11</v>
          </cell>
          <cell r="AN1305">
            <v>1</v>
          </cell>
          <cell r="AO1305">
            <v>4</v>
          </cell>
          <cell r="AP1305">
            <v>0</v>
          </cell>
          <cell r="AQ1305">
            <v>11</v>
          </cell>
          <cell r="AR1305">
            <v>6</v>
          </cell>
          <cell r="AS1305">
            <v>8</v>
          </cell>
        </row>
        <row r="1306">
          <cell r="B1306">
            <v>17031842600</v>
          </cell>
          <cell r="D1306">
            <v>2122</v>
          </cell>
          <cell r="E1306">
            <v>306</v>
          </cell>
          <cell r="F1306">
            <v>1557</v>
          </cell>
          <cell r="G1306">
            <v>294</v>
          </cell>
          <cell r="H1306">
            <v>1215</v>
          </cell>
          <cell r="I1306">
            <v>231</v>
          </cell>
          <cell r="J1306">
            <v>342</v>
          </cell>
          <cell r="K1306">
            <v>125</v>
          </cell>
          <cell r="L1306">
            <v>238</v>
          </cell>
          <cell r="M1306">
            <v>95</v>
          </cell>
          <cell r="N1306">
            <v>75</v>
          </cell>
          <cell r="O1306">
            <v>58</v>
          </cell>
          <cell r="P1306">
            <v>0</v>
          </cell>
          <cell r="Q1306">
            <v>11</v>
          </cell>
          <cell r="R1306">
            <v>21</v>
          </cell>
          <cell r="S1306">
            <v>24</v>
          </cell>
          <cell r="T1306">
            <v>8</v>
          </cell>
          <cell r="U1306">
            <v>13</v>
          </cell>
          <cell r="V1306">
            <v>380</v>
          </cell>
          <cell r="W1306">
            <v>130</v>
          </cell>
          <cell r="X1306">
            <v>212</v>
          </cell>
          <cell r="Y1306">
            <v>101</v>
          </cell>
          <cell r="Z1306">
            <v>0</v>
          </cell>
          <cell r="AA1306">
            <v>11</v>
          </cell>
          <cell r="AB1306">
            <v>168</v>
          </cell>
          <cell r="AC1306">
            <v>84</v>
          </cell>
          <cell r="AD1306">
            <v>0</v>
          </cell>
          <cell r="AE1306">
            <v>11</v>
          </cell>
          <cell r="AF1306">
            <v>0</v>
          </cell>
          <cell r="AG1306">
            <v>11</v>
          </cell>
          <cell r="AH1306">
            <v>0</v>
          </cell>
          <cell r="AI1306">
            <v>11</v>
          </cell>
          <cell r="AJ1306">
            <v>0</v>
          </cell>
          <cell r="AK1306">
            <v>11</v>
          </cell>
          <cell r="AL1306">
            <v>0</v>
          </cell>
          <cell r="AM1306">
            <v>11</v>
          </cell>
          <cell r="AN1306">
            <v>110</v>
          </cell>
          <cell r="AO1306">
            <v>66</v>
          </cell>
          <cell r="AP1306">
            <v>37</v>
          </cell>
          <cell r="AQ1306">
            <v>51</v>
          </cell>
          <cell r="AR1306">
            <v>38</v>
          </cell>
          <cell r="AS1306">
            <v>35</v>
          </cell>
        </row>
        <row r="1307">
          <cell r="B1307">
            <v>17031842800</v>
          </cell>
          <cell r="D1307">
            <v>2714</v>
          </cell>
          <cell r="E1307">
            <v>325</v>
          </cell>
          <cell r="F1307">
            <v>2062</v>
          </cell>
          <cell r="G1307">
            <v>314</v>
          </cell>
          <cell r="H1307">
            <v>1716</v>
          </cell>
          <cell r="I1307">
            <v>279</v>
          </cell>
          <cell r="J1307">
            <v>346</v>
          </cell>
          <cell r="K1307">
            <v>222</v>
          </cell>
          <cell r="L1307">
            <v>261</v>
          </cell>
          <cell r="M1307">
            <v>165</v>
          </cell>
          <cell r="N1307">
            <v>0</v>
          </cell>
          <cell r="O1307">
            <v>15</v>
          </cell>
          <cell r="P1307">
            <v>0</v>
          </cell>
          <cell r="Q1307">
            <v>15</v>
          </cell>
          <cell r="R1307">
            <v>85</v>
          </cell>
          <cell r="S1307">
            <v>133</v>
          </cell>
          <cell r="T1307">
            <v>0</v>
          </cell>
          <cell r="U1307">
            <v>15</v>
          </cell>
          <cell r="V1307">
            <v>472</v>
          </cell>
          <cell r="W1307">
            <v>222</v>
          </cell>
          <cell r="X1307">
            <v>266</v>
          </cell>
          <cell r="Y1307">
            <v>164</v>
          </cell>
          <cell r="Z1307">
            <v>0</v>
          </cell>
          <cell r="AA1307">
            <v>15</v>
          </cell>
          <cell r="AB1307">
            <v>161</v>
          </cell>
          <cell r="AC1307">
            <v>122</v>
          </cell>
          <cell r="AD1307">
            <v>45</v>
          </cell>
          <cell r="AE1307">
            <v>73</v>
          </cell>
          <cell r="AF1307">
            <v>0</v>
          </cell>
          <cell r="AG1307">
            <v>15</v>
          </cell>
          <cell r="AH1307">
            <v>0</v>
          </cell>
          <cell r="AI1307">
            <v>15</v>
          </cell>
          <cell r="AJ1307">
            <v>0</v>
          </cell>
          <cell r="AK1307">
            <v>15</v>
          </cell>
          <cell r="AL1307">
            <v>0</v>
          </cell>
          <cell r="AM1307">
            <v>15</v>
          </cell>
          <cell r="AN1307">
            <v>124</v>
          </cell>
          <cell r="AO1307">
            <v>105</v>
          </cell>
          <cell r="AP1307">
            <v>40</v>
          </cell>
          <cell r="AQ1307">
            <v>44</v>
          </cell>
          <cell r="AR1307">
            <v>16</v>
          </cell>
          <cell r="AS1307">
            <v>27</v>
          </cell>
        </row>
        <row r="1308">
          <cell r="B1308">
            <v>17031842900</v>
          </cell>
          <cell r="D1308">
            <v>705</v>
          </cell>
          <cell r="E1308">
            <v>142</v>
          </cell>
          <cell r="F1308">
            <v>366</v>
          </cell>
          <cell r="G1308">
            <v>122</v>
          </cell>
          <cell r="H1308">
            <v>299</v>
          </cell>
          <cell r="I1308">
            <v>128</v>
          </cell>
          <cell r="J1308">
            <v>67</v>
          </cell>
          <cell r="K1308">
            <v>49</v>
          </cell>
          <cell r="L1308">
            <v>67</v>
          </cell>
          <cell r="M1308">
            <v>49</v>
          </cell>
          <cell r="N1308">
            <v>0</v>
          </cell>
          <cell r="O1308">
            <v>11</v>
          </cell>
          <cell r="P1308">
            <v>0</v>
          </cell>
          <cell r="Q1308">
            <v>11</v>
          </cell>
          <cell r="R1308">
            <v>0</v>
          </cell>
          <cell r="S1308">
            <v>11</v>
          </cell>
          <cell r="T1308">
            <v>0</v>
          </cell>
          <cell r="U1308">
            <v>11</v>
          </cell>
          <cell r="V1308">
            <v>241</v>
          </cell>
          <cell r="W1308">
            <v>78</v>
          </cell>
          <cell r="X1308">
            <v>221</v>
          </cell>
          <cell r="Y1308">
            <v>81</v>
          </cell>
          <cell r="Z1308">
            <v>0</v>
          </cell>
          <cell r="AA1308">
            <v>11</v>
          </cell>
          <cell r="AB1308">
            <v>20</v>
          </cell>
          <cell r="AC1308">
            <v>24</v>
          </cell>
          <cell r="AD1308">
            <v>0</v>
          </cell>
          <cell r="AE1308">
            <v>11</v>
          </cell>
          <cell r="AF1308">
            <v>0</v>
          </cell>
          <cell r="AG1308">
            <v>11</v>
          </cell>
          <cell r="AH1308">
            <v>0</v>
          </cell>
          <cell r="AI1308">
            <v>11</v>
          </cell>
          <cell r="AJ1308">
            <v>0</v>
          </cell>
          <cell r="AK1308">
            <v>11</v>
          </cell>
          <cell r="AL1308">
            <v>0</v>
          </cell>
          <cell r="AM1308">
            <v>11</v>
          </cell>
          <cell r="AN1308">
            <v>54</v>
          </cell>
          <cell r="AO1308">
            <v>59</v>
          </cell>
          <cell r="AP1308">
            <v>21</v>
          </cell>
          <cell r="AQ1308">
            <v>27</v>
          </cell>
          <cell r="AR1308">
            <v>23</v>
          </cell>
          <cell r="AS1308">
            <v>33</v>
          </cell>
        </row>
        <row r="1309">
          <cell r="B1309">
            <v>17031843000</v>
          </cell>
          <cell r="D1309">
            <v>607</v>
          </cell>
          <cell r="E1309">
            <v>124</v>
          </cell>
          <cell r="F1309">
            <v>397</v>
          </cell>
          <cell r="G1309">
            <v>90</v>
          </cell>
          <cell r="H1309">
            <v>339</v>
          </cell>
          <cell r="I1309">
            <v>88</v>
          </cell>
          <cell r="J1309">
            <v>58</v>
          </cell>
          <cell r="K1309">
            <v>34</v>
          </cell>
          <cell r="L1309">
            <v>28</v>
          </cell>
          <cell r="M1309">
            <v>26</v>
          </cell>
          <cell r="N1309">
            <v>12</v>
          </cell>
          <cell r="O1309">
            <v>9</v>
          </cell>
          <cell r="P1309">
            <v>0</v>
          </cell>
          <cell r="Q1309">
            <v>11</v>
          </cell>
          <cell r="R1309">
            <v>0</v>
          </cell>
          <cell r="S1309">
            <v>11</v>
          </cell>
          <cell r="T1309">
            <v>18</v>
          </cell>
          <cell r="U1309">
            <v>20</v>
          </cell>
          <cell r="V1309">
            <v>131</v>
          </cell>
          <cell r="W1309">
            <v>52</v>
          </cell>
          <cell r="X1309">
            <v>119</v>
          </cell>
          <cell r="Y1309">
            <v>51</v>
          </cell>
          <cell r="Z1309">
            <v>0</v>
          </cell>
          <cell r="AA1309">
            <v>11</v>
          </cell>
          <cell r="AB1309">
            <v>12</v>
          </cell>
          <cell r="AC1309">
            <v>19</v>
          </cell>
          <cell r="AD1309">
            <v>0</v>
          </cell>
          <cell r="AE1309">
            <v>11</v>
          </cell>
          <cell r="AF1309">
            <v>0</v>
          </cell>
          <cell r="AG1309">
            <v>11</v>
          </cell>
          <cell r="AH1309">
            <v>0</v>
          </cell>
          <cell r="AI1309">
            <v>11</v>
          </cell>
          <cell r="AJ1309">
            <v>0</v>
          </cell>
          <cell r="AK1309">
            <v>11</v>
          </cell>
          <cell r="AL1309">
            <v>0</v>
          </cell>
          <cell r="AM1309">
            <v>11</v>
          </cell>
          <cell r="AN1309">
            <v>0</v>
          </cell>
          <cell r="AO1309">
            <v>11</v>
          </cell>
          <cell r="AP1309">
            <v>74</v>
          </cell>
          <cell r="AQ1309">
            <v>56</v>
          </cell>
          <cell r="AR1309">
            <v>5</v>
          </cell>
          <cell r="AS1309">
            <v>7</v>
          </cell>
        </row>
        <row r="1310">
          <cell r="B1310">
            <v>17031843100</v>
          </cell>
          <cell r="D1310">
            <v>549</v>
          </cell>
          <cell r="E1310">
            <v>111</v>
          </cell>
          <cell r="F1310">
            <v>359</v>
          </cell>
          <cell r="G1310">
            <v>91</v>
          </cell>
          <cell r="H1310">
            <v>320</v>
          </cell>
          <cell r="I1310">
            <v>89</v>
          </cell>
          <cell r="J1310">
            <v>39</v>
          </cell>
          <cell r="K1310">
            <v>30</v>
          </cell>
          <cell r="L1310">
            <v>38</v>
          </cell>
          <cell r="M1310">
            <v>31</v>
          </cell>
          <cell r="N1310">
            <v>1</v>
          </cell>
          <cell r="O1310">
            <v>4</v>
          </cell>
          <cell r="P1310">
            <v>0</v>
          </cell>
          <cell r="Q1310">
            <v>11</v>
          </cell>
          <cell r="R1310">
            <v>0</v>
          </cell>
          <cell r="S1310">
            <v>11</v>
          </cell>
          <cell r="T1310">
            <v>0</v>
          </cell>
          <cell r="U1310">
            <v>11</v>
          </cell>
          <cell r="V1310">
            <v>138</v>
          </cell>
          <cell r="W1310">
            <v>61</v>
          </cell>
          <cell r="X1310">
            <v>91</v>
          </cell>
          <cell r="Y1310">
            <v>53</v>
          </cell>
          <cell r="Z1310">
            <v>8</v>
          </cell>
          <cell r="AA1310">
            <v>11</v>
          </cell>
          <cell r="AB1310">
            <v>39</v>
          </cell>
          <cell r="AC1310">
            <v>32</v>
          </cell>
          <cell r="AD1310">
            <v>0</v>
          </cell>
          <cell r="AE1310">
            <v>11</v>
          </cell>
          <cell r="AF1310">
            <v>0</v>
          </cell>
          <cell r="AG1310">
            <v>11</v>
          </cell>
          <cell r="AH1310">
            <v>0</v>
          </cell>
          <cell r="AI1310">
            <v>11</v>
          </cell>
          <cell r="AJ1310">
            <v>0</v>
          </cell>
          <cell r="AK1310">
            <v>11</v>
          </cell>
          <cell r="AL1310">
            <v>0</v>
          </cell>
          <cell r="AM1310">
            <v>11</v>
          </cell>
          <cell r="AN1310">
            <v>16</v>
          </cell>
          <cell r="AO1310">
            <v>17</v>
          </cell>
          <cell r="AP1310">
            <v>12</v>
          </cell>
          <cell r="AQ1310">
            <v>19</v>
          </cell>
          <cell r="AR1310">
            <v>24</v>
          </cell>
          <cell r="AS1310">
            <v>26</v>
          </cell>
        </row>
        <row r="1311">
          <cell r="B1311">
            <v>17031843200</v>
          </cell>
          <cell r="D1311">
            <v>1002</v>
          </cell>
          <cell r="E1311">
            <v>159</v>
          </cell>
          <cell r="F1311">
            <v>657</v>
          </cell>
          <cell r="G1311">
            <v>142</v>
          </cell>
          <cell r="H1311">
            <v>523</v>
          </cell>
          <cell r="I1311">
            <v>129</v>
          </cell>
          <cell r="J1311">
            <v>134</v>
          </cell>
          <cell r="K1311">
            <v>82</v>
          </cell>
          <cell r="L1311">
            <v>75</v>
          </cell>
          <cell r="M1311">
            <v>50</v>
          </cell>
          <cell r="N1311">
            <v>44</v>
          </cell>
          <cell r="O1311">
            <v>47</v>
          </cell>
          <cell r="P1311">
            <v>0</v>
          </cell>
          <cell r="Q1311">
            <v>11</v>
          </cell>
          <cell r="R1311">
            <v>0</v>
          </cell>
          <cell r="S1311">
            <v>11</v>
          </cell>
          <cell r="T1311">
            <v>15</v>
          </cell>
          <cell r="U1311">
            <v>22</v>
          </cell>
          <cell r="V1311">
            <v>227</v>
          </cell>
          <cell r="W1311">
            <v>96</v>
          </cell>
          <cell r="X1311">
            <v>100</v>
          </cell>
          <cell r="Y1311">
            <v>58</v>
          </cell>
          <cell r="Z1311">
            <v>0</v>
          </cell>
          <cell r="AA1311">
            <v>11</v>
          </cell>
          <cell r="AB1311">
            <v>115</v>
          </cell>
          <cell r="AC1311">
            <v>74</v>
          </cell>
          <cell r="AD1311">
            <v>12</v>
          </cell>
          <cell r="AE1311">
            <v>19</v>
          </cell>
          <cell r="AF1311">
            <v>0</v>
          </cell>
          <cell r="AG1311">
            <v>11</v>
          </cell>
          <cell r="AH1311">
            <v>0</v>
          </cell>
          <cell r="AI1311">
            <v>11</v>
          </cell>
          <cell r="AJ1311">
            <v>0</v>
          </cell>
          <cell r="AK1311">
            <v>11</v>
          </cell>
          <cell r="AL1311">
            <v>43</v>
          </cell>
          <cell r="AM1311">
            <v>29</v>
          </cell>
          <cell r="AN1311">
            <v>50</v>
          </cell>
          <cell r="AO1311">
            <v>37</v>
          </cell>
          <cell r="AP1311">
            <v>7</v>
          </cell>
          <cell r="AQ1311">
            <v>10</v>
          </cell>
          <cell r="AR1311">
            <v>18</v>
          </cell>
          <cell r="AS1311">
            <v>18</v>
          </cell>
        </row>
        <row r="1312">
          <cell r="B1312">
            <v>17031843300</v>
          </cell>
          <cell r="D1312">
            <v>724</v>
          </cell>
          <cell r="E1312">
            <v>177</v>
          </cell>
          <cell r="F1312">
            <v>445</v>
          </cell>
          <cell r="G1312">
            <v>155</v>
          </cell>
          <cell r="H1312">
            <v>388</v>
          </cell>
          <cell r="I1312">
            <v>130</v>
          </cell>
          <cell r="J1312">
            <v>57</v>
          </cell>
          <cell r="K1312">
            <v>57</v>
          </cell>
          <cell r="L1312">
            <v>46</v>
          </cell>
          <cell r="M1312">
            <v>51</v>
          </cell>
          <cell r="N1312">
            <v>11</v>
          </cell>
          <cell r="O1312">
            <v>23</v>
          </cell>
          <cell r="P1312">
            <v>0</v>
          </cell>
          <cell r="Q1312">
            <v>11</v>
          </cell>
          <cell r="R1312">
            <v>0</v>
          </cell>
          <cell r="S1312">
            <v>11</v>
          </cell>
          <cell r="T1312">
            <v>0</v>
          </cell>
          <cell r="U1312">
            <v>11</v>
          </cell>
          <cell r="V1312">
            <v>197</v>
          </cell>
          <cell r="W1312">
            <v>103</v>
          </cell>
          <cell r="X1312">
            <v>172</v>
          </cell>
          <cell r="Y1312">
            <v>103</v>
          </cell>
          <cell r="Z1312">
            <v>0</v>
          </cell>
          <cell r="AA1312">
            <v>11</v>
          </cell>
          <cell r="AB1312">
            <v>17</v>
          </cell>
          <cell r="AC1312">
            <v>13</v>
          </cell>
          <cell r="AD1312">
            <v>8</v>
          </cell>
          <cell r="AE1312">
            <v>11</v>
          </cell>
          <cell r="AF1312">
            <v>0</v>
          </cell>
          <cell r="AG1312">
            <v>11</v>
          </cell>
          <cell r="AH1312">
            <v>5</v>
          </cell>
          <cell r="AI1312">
            <v>11</v>
          </cell>
          <cell r="AJ1312">
            <v>0</v>
          </cell>
          <cell r="AK1312">
            <v>11</v>
          </cell>
          <cell r="AL1312">
            <v>12</v>
          </cell>
          <cell r="AM1312">
            <v>18</v>
          </cell>
          <cell r="AN1312">
            <v>41</v>
          </cell>
          <cell r="AO1312">
            <v>32</v>
          </cell>
          <cell r="AP1312">
            <v>24</v>
          </cell>
          <cell r="AQ1312">
            <v>29</v>
          </cell>
          <cell r="AR1312">
            <v>0</v>
          </cell>
          <cell r="AS1312">
            <v>11</v>
          </cell>
        </row>
        <row r="1313">
          <cell r="B1313">
            <v>17031843400</v>
          </cell>
          <cell r="D1313">
            <v>509</v>
          </cell>
          <cell r="E1313">
            <v>112</v>
          </cell>
          <cell r="F1313">
            <v>285</v>
          </cell>
          <cell r="G1313">
            <v>87</v>
          </cell>
          <cell r="H1313">
            <v>205</v>
          </cell>
          <cell r="I1313">
            <v>70</v>
          </cell>
          <cell r="J1313">
            <v>80</v>
          </cell>
          <cell r="K1313">
            <v>44</v>
          </cell>
          <cell r="L1313">
            <v>60</v>
          </cell>
          <cell r="M1313">
            <v>37</v>
          </cell>
          <cell r="N1313">
            <v>3</v>
          </cell>
          <cell r="O1313">
            <v>4</v>
          </cell>
          <cell r="P1313">
            <v>17</v>
          </cell>
          <cell r="Q1313">
            <v>26</v>
          </cell>
          <cell r="R1313">
            <v>0</v>
          </cell>
          <cell r="S1313">
            <v>11</v>
          </cell>
          <cell r="T1313">
            <v>0</v>
          </cell>
          <cell r="U1313">
            <v>11</v>
          </cell>
          <cell r="V1313">
            <v>154</v>
          </cell>
          <cell r="W1313">
            <v>56</v>
          </cell>
          <cell r="X1313">
            <v>112</v>
          </cell>
          <cell r="Y1313">
            <v>49</v>
          </cell>
          <cell r="Z1313">
            <v>0</v>
          </cell>
          <cell r="AA1313">
            <v>11</v>
          </cell>
          <cell r="AB1313">
            <v>36</v>
          </cell>
          <cell r="AC1313">
            <v>24</v>
          </cell>
          <cell r="AD1313">
            <v>6</v>
          </cell>
          <cell r="AE1313">
            <v>9</v>
          </cell>
          <cell r="AF1313">
            <v>0</v>
          </cell>
          <cell r="AG1313">
            <v>11</v>
          </cell>
          <cell r="AH1313">
            <v>0</v>
          </cell>
          <cell r="AI1313">
            <v>11</v>
          </cell>
          <cell r="AJ1313">
            <v>0</v>
          </cell>
          <cell r="AK1313">
            <v>11</v>
          </cell>
          <cell r="AL1313">
            <v>0</v>
          </cell>
          <cell r="AM1313">
            <v>11</v>
          </cell>
          <cell r="AN1313">
            <v>55</v>
          </cell>
          <cell r="AO1313">
            <v>44</v>
          </cell>
          <cell r="AP1313">
            <v>0</v>
          </cell>
          <cell r="AQ1313">
            <v>11</v>
          </cell>
          <cell r="AR1313">
            <v>15</v>
          </cell>
          <cell r="AS1313">
            <v>16</v>
          </cell>
        </row>
        <row r="1314">
          <cell r="B1314">
            <v>17031843500</v>
          </cell>
          <cell r="D1314">
            <v>513</v>
          </cell>
          <cell r="E1314">
            <v>118</v>
          </cell>
          <cell r="F1314">
            <v>303</v>
          </cell>
          <cell r="G1314">
            <v>61</v>
          </cell>
          <cell r="H1314">
            <v>262</v>
          </cell>
          <cell r="I1314">
            <v>64</v>
          </cell>
          <cell r="J1314">
            <v>41</v>
          </cell>
          <cell r="K1314">
            <v>40</v>
          </cell>
          <cell r="L1314">
            <v>22</v>
          </cell>
          <cell r="M1314">
            <v>27</v>
          </cell>
          <cell r="N1314">
            <v>0</v>
          </cell>
          <cell r="O1314">
            <v>15</v>
          </cell>
          <cell r="P1314">
            <v>5</v>
          </cell>
          <cell r="Q1314">
            <v>7</v>
          </cell>
          <cell r="R1314">
            <v>14</v>
          </cell>
          <cell r="S1314">
            <v>21</v>
          </cell>
          <cell r="T1314">
            <v>0</v>
          </cell>
          <cell r="U1314">
            <v>15</v>
          </cell>
          <cell r="V1314">
            <v>187</v>
          </cell>
          <cell r="W1314">
            <v>85</v>
          </cell>
          <cell r="X1314">
            <v>124</v>
          </cell>
          <cell r="Y1314">
            <v>69</v>
          </cell>
          <cell r="Z1314">
            <v>0</v>
          </cell>
          <cell r="AA1314">
            <v>15</v>
          </cell>
          <cell r="AB1314">
            <v>59</v>
          </cell>
          <cell r="AC1314">
            <v>35</v>
          </cell>
          <cell r="AD1314">
            <v>4</v>
          </cell>
          <cell r="AE1314">
            <v>7</v>
          </cell>
          <cell r="AF1314">
            <v>0</v>
          </cell>
          <cell r="AG1314">
            <v>15</v>
          </cell>
          <cell r="AH1314">
            <v>0</v>
          </cell>
          <cell r="AI1314">
            <v>15</v>
          </cell>
          <cell r="AJ1314">
            <v>0</v>
          </cell>
          <cell r="AK1314">
            <v>15</v>
          </cell>
          <cell r="AL1314">
            <v>7</v>
          </cell>
          <cell r="AM1314">
            <v>12</v>
          </cell>
          <cell r="AN1314">
            <v>5</v>
          </cell>
          <cell r="AO1314">
            <v>7</v>
          </cell>
          <cell r="AP1314">
            <v>0</v>
          </cell>
          <cell r="AQ1314">
            <v>15</v>
          </cell>
          <cell r="AR1314">
            <v>11</v>
          </cell>
          <cell r="AS1314">
            <v>18</v>
          </cell>
        </row>
        <row r="1315">
          <cell r="B1315">
            <v>17031843600</v>
          </cell>
          <cell r="D1315">
            <v>915</v>
          </cell>
          <cell r="E1315">
            <v>158</v>
          </cell>
          <cell r="F1315">
            <v>573</v>
          </cell>
          <cell r="G1315">
            <v>124</v>
          </cell>
          <cell r="H1315">
            <v>508</v>
          </cell>
          <cell r="I1315">
            <v>121</v>
          </cell>
          <cell r="J1315">
            <v>65</v>
          </cell>
          <cell r="K1315">
            <v>53</v>
          </cell>
          <cell r="L1315">
            <v>16</v>
          </cell>
          <cell r="M1315">
            <v>26</v>
          </cell>
          <cell r="N1315">
            <v>49</v>
          </cell>
          <cell r="O1315">
            <v>48</v>
          </cell>
          <cell r="P1315">
            <v>0</v>
          </cell>
          <cell r="Q1315">
            <v>11</v>
          </cell>
          <cell r="R1315">
            <v>0</v>
          </cell>
          <cell r="S1315">
            <v>11</v>
          </cell>
          <cell r="T1315">
            <v>0</v>
          </cell>
          <cell r="U1315">
            <v>11</v>
          </cell>
          <cell r="V1315">
            <v>275</v>
          </cell>
          <cell r="W1315">
            <v>115</v>
          </cell>
          <cell r="X1315">
            <v>180</v>
          </cell>
          <cell r="Y1315">
            <v>81</v>
          </cell>
          <cell r="Z1315">
            <v>0</v>
          </cell>
          <cell r="AA1315">
            <v>11</v>
          </cell>
          <cell r="AB1315">
            <v>95</v>
          </cell>
          <cell r="AC1315">
            <v>78</v>
          </cell>
          <cell r="AD1315">
            <v>0</v>
          </cell>
          <cell r="AE1315">
            <v>11</v>
          </cell>
          <cell r="AF1315">
            <v>0</v>
          </cell>
          <cell r="AG1315">
            <v>11</v>
          </cell>
          <cell r="AH1315">
            <v>0</v>
          </cell>
          <cell r="AI1315">
            <v>11</v>
          </cell>
          <cell r="AJ1315">
            <v>0</v>
          </cell>
          <cell r="AK1315">
            <v>11</v>
          </cell>
          <cell r="AL1315">
            <v>0</v>
          </cell>
          <cell r="AM1315">
            <v>11</v>
          </cell>
          <cell r="AN1315">
            <v>14</v>
          </cell>
          <cell r="AO1315">
            <v>23</v>
          </cell>
          <cell r="AP1315">
            <v>16</v>
          </cell>
          <cell r="AQ1315">
            <v>15</v>
          </cell>
          <cell r="AR1315">
            <v>37</v>
          </cell>
          <cell r="AS1315">
            <v>40</v>
          </cell>
        </row>
        <row r="1316">
          <cell r="B1316">
            <v>17031843700</v>
          </cell>
          <cell r="D1316">
            <v>1349</v>
          </cell>
          <cell r="E1316">
            <v>127</v>
          </cell>
          <cell r="F1316">
            <v>759</v>
          </cell>
          <cell r="G1316">
            <v>120</v>
          </cell>
          <cell r="H1316">
            <v>658</v>
          </cell>
          <cell r="I1316">
            <v>107</v>
          </cell>
          <cell r="J1316">
            <v>101</v>
          </cell>
          <cell r="K1316">
            <v>72</v>
          </cell>
          <cell r="L1316">
            <v>96</v>
          </cell>
          <cell r="M1316">
            <v>72</v>
          </cell>
          <cell r="N1316">
            <v>5</v>
          </cell>
          <cell r="O1316">
            <v>8</v>
          </cell>
          <cell r="P1316">
            <v>0</v>
          </cell>
          <cell r="Q1316">
            <v>11</v>
          </cell>
          <cell r="R1316">
            <v>0</v>
          </cell>
          <cell r="S1316">
            <v>11</v>
          </cell>
          <cell r="T1316">
            <v>0</v>
          </cell>
          <cell r="U1316">
            <v>11</v>
          </cell>
          <cell r="V1316">
            <v>369</v>
          </cell>
          <cell r="W1316">
            <v>94</v>
          </cell>
          <cell r="X1316">
            <v>147</v>
          </cell>
          <cell r="Y1316">
            <v>80</v>
          </cell>
          <cell r="Z1316">
            <v>0</v>
          </cell>
          <cell r="AA1316">
            <v>11</v>
          </cell>
          <cell r="AB1316">
            <v>216</v>
          </cell>
          <cell r="AC1316">
            <v>62</v>
          </cell>
          <cell r="AD1316">
            <v>6</v>
          </cell>
          <cell r="AE1316">
            <v>9</v>
          </cell>
          <cell r="AF1316">
            <v>0</v>
          </cell>
          <cell r="AG1316">
            <v>11</v>
          </cell>
          <cell r="AH1316">
            <v>6</v>
          </cell>
          <cell r="AI1316">
            <v>8</v>
          </cell>
          <cell r="AJ1316">
            <v>5</v>
          </cell>
          <cell r="AK1316">
            <v>8</v>
          </cell>
          <cell r="AL1316">
            <v>41</v>
          </cell>
          <cell r="AM1316">
            <v>30</v>
          </cell>
          <cell r="AN1316">
            <v>15</v>
          </cell>
          <cell r="AO1316">
            <v>15</v>
          </cell>
          <cell r="AP1316">
            <v>15</v>
          </cell>
          <cell r="AQ1316">
            <v>14</v>
          </cell>
          <cell r="AR1316">
            <v>139</v>
          </cell>
          <cell r="AS1316">
            <v>57</v>
          </cell>
        </row>
        <row r="1317">
          <cell r="B1317">
            <v>17031843800</v>
          </cell>
          <cell r="D1317">
            <v>631</v>
          </cell>
          <cell r="E1317">
            <v>130</v>
          </cell>
          <cell r="F1317">
            <v>439</v>
          </cell>
          <cell r="G1317">
            <v>110</v>
          </cell>
          <cell r="H1317">
            <v>374</v>
          </cell>
          <cell r="I1317">
            <v>92</v>
          </cell>
          <cell r="J1317">
            <v>65</v>
          </cell>
          <cell r="K1317">
            <v>45</v>
          </cell>
          <cell r="L1317">
            <v>46</v>
          </cell>
          <cell r="M1317">
            <v>37</v>
          </cell>
          <cell r="N1317">
            <v>0</v>
          </cell>
          <cell r="O1317">
            <v>11</v>
          </cell>
          <cell r="P1317">
            <v>0</v>
          </cell>
          <cell r="Q1317">
            <v>11</v>
          </cell>
          <cell r="R1317">
            <v>19</v>
          </cell>
          <cell r="S1317">
            <v>30</v>
          </cell>
          <cell r="T1317">
            <v>0</v>
          </cell>
          <cell r="U1317">
            <v>11</v>
          </cell>
          <cell r="V1317">
            <v>130</v>
          </cell>
          <cell r="W1317">
            <v>70</v>
          </cell>
          <cell r="X1317">
            <v>120</v>
          </cell>
          <cell r="Y1317">
            <v>70</v>
          </cell>
          <cell r="Z1317">
            <v>0</v>
          </cell>
          <cell r="AA1317">
            <v>11</v>
          </cell>
          <cell r="AB1317">
            <v>10</v>
          </cell>
          <cell r="AC1317">
            <v>11</v>
          </cell>
          <cell r="AD1317">
            <v>0</v>
          </cell>
          <cell r="AE1317">
            <v>11</v>
          </cell>
          <cell r="AF1317">
            <v>0</v>
          </cell>
          <cell r="AG1317">
            <v>11</v>
          </cell>
          <cell r="AH1317">
            <v>0</v>
          </cell>
          <cell r="AI1317">
            <v>11</v>
          </cell>
          <cell r="AJ1317">
            <v>0</v>
          </cell>
          <cell r="AK1317">
            <v>11</v>
          </cell>
          <cell r="AL1317">
            <v>0</v>
          </cell>
          <cell r="AM1317">
            <v>11</v>
          </cell>
          <cell r="AN1317">
            <v>41</v>
          </cell>
          <cell r="AO1317">
            <v>40</v>
          </cell>
          <cell r="AP1317">
            <v>0</v>
          </cell>
          <cell r="AQ1317">
            <v>11</v>
          </cell>
          <cell r="AR1317">
            <v>21</v>
          </cell>
          <cell r="AS1317">
            <v>25</v>
          </cell>
        </row>
        <row r="1318">
          <cell r="B1318">
            <v>17031843900</v>
          </cell>
          <cell r="D1318">
            <v>1242</v>
          </cell>
          <cell r="E1318">
            <v>277</v>
          </cell>
          <cell r="F1318">
            <v>508</v>
          </cell>
          <cell r="G1318">
            <v>142</v>
          </cell>
          <cell r="H1318">
            <v>471</v>
          </cell>
          <cell r="I1318">
            <v>137</v>
          </cell>
          <cell r="J1318">
            <v>37</v>
          </cell>
          <cell r="K1318">
            <v>36</v>
          </cell>
          <cell r="L1318">
            <v>21</v>
          </cell>
          <cell r="M1318">
            <v>24</v>
          </cell>
          <cell r="N1318">
            <v>16</v>
          </cell>
          <cell r="O1318">
            <v>26</v>
          </cell>
          <cell r="P1318">
            <v>0</v>
          </cell>
          <cell r="Q1318">
            <v>11</v>
          </cell>
          <cell r="R1318">
            <v>0</v>
          </cell>
          <cell r="S1318">
            <v>11</v>
          </cell>
          <cell r="T1318">
            <v>0</v>
          </cell>
          <cell r="U1318">
            <v>11</v>
          </cell>
          <cell r="V1318">
            <v>541</v>
          </cell>
          <cell r="W1318">
            <v>157</v>
          </cell>
          <cell r="X1318">
            <v>350</v>
          </cell>
          <cell r="Y1318">
            <v>119</v>
          </cell>
          <cell r="Z1318">
            <v>0</v>
          </cell>
          <cell r="AA1318">
            <v>11</v>
          </cell>
          <cell r="AB1318">
            <v>86</v>
          </cell>
          <cell r="AC1318">
            <v>79</v>
          </cell>
          <cell r="AD1318">
            <v>105</v>
          </cell>
          <cell r="AE1318">
            <v>102</v>
          </cell>
          <cell r="AF1318">
            <v>0</v>
          </cell>
          <cell r="AG1318">
            <v>11</v>
          </cell>
          <cell r="AH1318">
            <v>0</v>
          </cell>
          <cell r="AI1318">
            <v>11</v>
          </cell>
          <cell r="AJ1318">
            <v>0</v>
          </cell>
          <cell r="AK1318">
            <v>11</v>
          </cell>
          <cell r="AL1318">
            <v>0</v>
          </cell>
          <cell r="AM1318">
            <v>11</v>
          </cell>
          <cell r="AN1318">
            <v>133</v>
          </cell>
          <cell r="AO1318">
            <v>178</v>
          </cell>
          <cell r="AP1318">
            <v>0</v>
          </cell>
          <cell r="AQ1318">
            <v>11</v>
          </cell>
          <cell r="AR1318">
            <v>60</v>
          </cell>
          <cell r="AS1318">
            <v>53</v>
          </cell>
        </row>
        <row r="1319">
          <cell r="B1319">
            <v>17031980000</v>
          </cell>
          <cell r="D1319">
            <v>0</v>
          </cell>
          <cell r="E1319">
            <v>11</v>
          </cell>
          <cell r="F1319">
            <v>0</v>
          </cell>
          <cell r="G1319">
            <v>11</v>
          </cell>
          <cell r="H1319">
            <v>0</v>
          </cell>
          <cell r="I1319">
            <v>11</v>
          </cell>
          <cell r="J1319">
            <v>0</v>
          </cell>
          <cell r="K1319">
            <v>11</v>
          </cell>
          <cell r="L1319">
            <v>0</v>
          </cell>
          <cell r="M1319">
            <v>11</v>
          </cell>
          <cell r="N1319">
            <v>0</v>
          </cell>
          <cell r="O1319">
            <v>11</v>
          </cell>
          <cell r="P1319">
            <v>0</v>
          </cell>
          <cell r="Q1319">
            <v>11</v>
          </cell>
          <cell r="R1319">
            <v>0</v>
          </cell>
          <cell r="S1319">
            <v>11</v>
          </cell>
          <cell r="T1319">
            <v>0</v>
          </cell>
          <cell r="U1319">
            <v>11</v>
          </cell>
          <cell r="V1319">
            <v>0</v>
          </cell>
          <cell r="W1319">
            <v>11</v>
          </cell>
          <cell r="X1319">
            <v>0</v>
          </cell>
          <cell r="Y1319">
            <v>11</v>
          </cell>
          <cell r="Z1319">
            <v>0</v>
          </cell>
          <cell r="AA1319">
            <v>11</v>
          </cell>
          <cell r="AB1319">
            <v>0</v>
          </cell>
          <cell r="AC1319">
            <v>11</v>
          </cell>
          <cell r="AD1319">
            <v>0</v>
          </cell>
          <cell r="AE1319">
            <v>11</v>
          </cell>
          <cell r="AF1319">
            <v>0</v>
          </cell>
          <cell r="AG1319">
            <v>11</v>
          </cell>
          <cell r="AH1319">
            <v>0</v>
          </cell>
          <cell r="AI1319">
            <v>11</v>
          </cell>
          <cell r="AJ1319">
            <v>0</v>
          </cell>
          <cell r="AK1319">
            <v>11</v>
          </cell>
          <cell r="AL1319">
            <v>0</v>
          </cell>
          <cell r="AM1319">
            <v>11</v>
          </cell>
          <cell r="AN1319">
            <v>0</v>
          </cell>
          <cell r="AO1319">
            <v>11</v>
          </cell>
          <cell r="AP1319">
            <v>0</v>
          </cell>
          <cell r="AQ1319">
            <v>11</v>
          </cell>
          <cell r="AR1319">
            <v>0</v>
          </cell>
          <cell r="AS1319">
            <v>11</v>
          </cell>
        </row>
        <row r="1320">
          <cell r="B1320">
            <v>17031980100</v>
          </cell>
          <cell r="D1320">
            <v>0</v>
          </cell>
          <cell r="E1320">
            <v>11</v>
          </cell>
          <cell r="F1320">
            <v>0</v>
          </cell>
          <cell r="G1320">
            <v>11</v>
          </cell>
          <cell r="H1320">
            <v>0</v>
          </cell>
          <cell r="I1320">
            <v>11</v>
          </cell>
          <cell r="J1320">
            <v>0</v>
          </cell>
          <cell r="K1320">
            <v>11</v>
          </cell>
          <cell r="L1320">
            <v>0</v>
          </cell>
          <cell r="M1320">
            <v>11</v>
          </cell>
          <cell r="N1320">
            <v>0</v>
          </cell>
          <cell r="O1320">
            <v>11</v>
          </cell>
          <cell r="P1320">
            <v>0</v>
          </cell>
          <cell r="Q1320">
            <v>11</v>
          </cell>
          <cell r="R1320">
            <v>0</v>
          </cell>
          <cell r="S1320">
            <v>11</v>
          </cell>
          <cell r="T1320">
            <v>0</v>
          </cell>
          <cell r="U1320">
            <v>11</v>
          </cell>
          <cell r="V1320">
            <v>0</v>
          </cell>
          <cell r="W1320">
            <v>11</v>
          </cell>
          <cell r="X1320">
            <v>0</v>
          </cell>
          <cell r="Y1320">
            <v>11</v>
          </cell>
          <cell r="Z1320">
            <v>0</v>
          </cell>
          <cell r="AA1320">
            <v>11</v>
          </cell>
          <cell r="AB1320">
            <v>0</v>
          </cell>
          <cell r="AC1320">
            <v>11</v>
          </cell>
          <cell r="AD1320">
            <v>0</v>
          </cell>
          <cell r="AE1320">
            <v>11</v>
          </cell>
          <cell r="AF1320">
            <v>0</v>
          </cell>
          <cell r="AG1320">
            <v>11</v>
          </cell>
          <cell r="AH1320">
            <v>0</v>
          </cell>
          <cell r="AI1320">
            <v>11</v>
          </cell>
          <cell r="AJ1320">
            <v>0</v>
          </cell>
          <cell r="AK1320">
            <v>11</v>
          </cell>
          <cell r="AL1320">
            <v>0</v>
          </cell>
          <cell r="AM1320">
            <v>11</v>
          </cell>
          <cell r="AN1320">
            <v>0</v>
          </cell>
          <cell r="AO1320">
            <v>11</v>
          </cell>
          <cell r="AP1320">
            <v>0</v>
          </cell>
          <cell r="AQ1320">
            <v>11</v>
          </cell>
          <cell r="AR1320">
            <v>0</v>
          </cell>
          <cell r="AS1320">
            <v>11</v>
          </cell>
        </row>
        <row r="1321">
          <cell r="B1321">
            <v>17031990000</v>
          </cell>
          <cell r="D1321">
            <v>0</v>
          </cell>
          <cell r="E1321">
            <v>11</v>
          </cell>
          <cell r="F1321">
            <v>0</v>
          </cell>
          <cell r="G1321">
            <v>11</v>
          </cell>
          <cell r="H1321">
            <v>0</v>
          </cell>
          <cell r="I1321">
            <v>11</v>
          </cell>
          <cell r="J1321">
            <v>0</v>
          </cell>
          <cell r="K1321">
            <v>11</v>
          </cell>
          <cell r="L1321">
            <v>0</v>
          </cell>
          <cell r="M1321">
            <v>11</v>
          </cell>
          <cell r="N1321">
            <v>0</v>
          </cell>
          <cell r="O1321">
            <v>11</v>
          </cell>
          <cell r="P1321">
            <v>0</v>
          </cell>
          <cell r="Q1321">
            <v>11</v>
          </cell>
          <cell r="R1321">
            <v>0</v>
          </cell>
          <cell r="S1321">
            <v>11</v>
          </cell>
          <cell r="T1321">
            <v>0</v>
          </cell>
          <cell r="U1321">
            <v>11</v>
          </cell>
          <cell r="V1321">
            <v>0</v>
          </cell>
          <cell r="W1321">
            <v>11</v>
          </cell>
          <cell r="X1321">
            <v>0</v>
          </cell>
          <cell r="Y1321">
            <v>11</v>
          </cell>
          <cell r="Z1321">
            <v>0</v>
          </cell>
          <cell r="AA1321">
            <v>11</v>
          </cell>
          <cell r="AB1321">
            <v>0</v>
          </cell>
          <cell r="AC1321">
            <v>11</v>
          </cell>
          <cell r="AD1321">
            <v>0</v>
          </cell>
          <cell r="AE1321">
            <v>11</v>
          </cell>
          <cell r="AF1321">
            <v>0</v>
          </cell>
          <cell r="AG1321">
            <v>11</v>
          </cell>
          <cell r="AH1321">
            <v>0</v>
          </cell>
          <cell r="AI1321">
            <v>11</v>
          </cell>
          <cell r="AJ1321">
            <v>0</v>
          </cell>
          <cell r="AK1321">
            <v>11</v>
          </cell>
          <cell r="AL1321">
            <v>0</v>
          </cell>
          <cell r="AM1321">
            <v>11</v>
          </cell>
          <cell r="AN1321">
            <v>0</v>
          </cell>
          <cell r="AO1321">
            <v>11</v>
          </cell>
          <cell r="AP1321">
            <v>0</v>
          </cell>
          <cell r="AQ1321">
            <v>11</v>
          </cell>
          <cell r="AR1321">
            <v>0</v>
          </cell>
          <cell r="AS1321">
            <v>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CDOT_Colors">
      <a:dk1>
        <a:srgbClr val="37373B"/>
      </a:dk1>
      <a:lt1>
        <a:sysClr val="window" lastClr="FFFFFF"/>
      </a:lt1>
      <a:dk2>
        <a:srgbClr val="014965"/>
      </a:dk2>
      <a:lt2>
        <a:srgbClr val="F1F2F4"/>
      </a:lt2>
      <a:accent1>
        <a:srgbClr val="00A4E4"/>
      </a:accent1>
      <a:accent2>
        <a:srgbClr val="E82125"/>
      </a:accent2>
      <a:accent3>
        <a:srgbClr val="FCBD25"/>
      </a:accent3>
      <a:accent4>
        <a:srgbClr val="8CC63F"/>
      </a:accent4>
      <a:accent5>
        <a:srgbClr val="EF6922"/>
      </a:accent5>
      <a:accent6>
        <a:srgbClr val="0BAFA1"/>
      </a:accent6>
      <a:hlink>
        <a:srgbClr val="00A4E4"/>
      </a:hlink>
      <a:folHlink>
        <a:srgbClr val="01496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C176"/>
  <sheetViews>
    <sheetView zoomScale="70" zoomScaleNormal="70" workbookViewId="0">
      <selection activeCell="O73" sqref="O73"/>
    </sheetView>
  </sheetViews>
  <sheetFormatPr defaultColWidth="8.85546875" defaultRowHeight="15" x14ac:dyDescent="0.25"/>
  <cols>
    <col min="1" max="1" width="25.7109375" customWidth="1"/>
    <col min="2" max="20" width="12.85546875" customWidth="1"/>
    <col min="21" max="21" width="2.85546875" customWidth="1"/>
    <col min="22" max="22" width="21.28515625" style="67" bestFit="1" customWidth="1"/>
  </cols>
  <sheetData>
    <row r="1" spans="1:22" ht="18.75" x14ac:dyDescent="0.3">
      <c r="A1" s="7" t="s">
        <v>0</v>
      </c>
    </row>
    <row r="2" spans="1:22" x14ac:dyDescent="0.25">
      <c r="A2" t="s">
        <v>1</v>
      </c>
    </row>
    <row r="5" spans="1:22" x14ac:dyDescent="0.25">
      <c r="A5" s="14" t="s">
        <v>2</v>
      </c>
      <c r="B5" s="15"/>
      <c r="C5" s="15"/>
      <c r="V5" s="72"/>
    </row>
    <row r="6" spans="1:22" ht="17.25" x14ac:dyDescent="0.4">
      <c r="B6" s="212" t="s">
        <v>3</v>
      </c>
      <c r="C6" s="212"/>
    </row>
    <row r="7" spans="1:22" ht="17.25" x14ac:dyDescent="0.4">
      <c r="B7" s="11" t="s">
        <v>4</v>
      </c>
      <c r="C7" s="11" t="s">
        <v>5</v>
      </c>
    </row>
    <row r="8" spans="1:22" x14ac:dyDescent="0.25">
      <c r="A8" t="s">
        <v>6</v>
      </c>
      <c r="B8" s="65">
        <f>SUMIFS(Network!$AB$11:$AB$1010,Network!$N$11:$N$1010,$D8)</f>
        <v>38.508661238490404</v>
      </c>
      <c r="C8" s="65">
        <f>SUMIFS(Network!$AC$11:$AC$1010,Network!$N$11:$N$1010,$D8)</f>
        <v>74.047352060325395</v>
      </c>
      <c r="D8" s="4" t="s">
        <v>7</v>
      </c>
      <c r="G8" s="64"/>
      <c r="H8" s="64"/>
    </row>
    <row r="9" spans="1:22" x14ac:dyDescent="0.25">
      <c r="A9" t="s">
        <v>8</v>
      </c>
      <c r="B9" s="65">
        <f>SUMIFS(Network!$AB$11:$AB$1010,Network!$N$11:$N$1010,$D9)</f>
        <v>115.57459537329746</v>
      </c>
      <c r="C9" s="65">
        <f>SUMIFS(Network!$AC$11:$AC$1010,Network!$N$11:$N$1010,$D9)</f>
        <v>218.44581808527138</v>
      </c>
      <c r="D9" s="4" t="s">
        <v>9</v>
      </c>
      <c r="G9" s="64"/>
      <c r="H9" s="64"/>
    </row>
    <row r="10" spans="1:22" x14ac:dyDescent="0.25">
      <c r="A10" t="s">
        <v>10</v>
      </c>
      <c r="B10" s="65">
        <f>SUMIFS(Network!$AB$11:$AB$1010,Network!$N$11:$N$1010,$D10)</f>
        <v>125.09297730219701</v>
      </c>
      <c r="C10" s="65">
        <f>SUMIFS(Network!$AC$11:$AC$1010,Network!$N$11:$N$1010,$D10)</f>
        <v>240.38120478517257</v>
      </c>
      <c r="D10" s="4" t="s">
        <v>11</v>
      </c>
      <c r="G10" s="64"/>
      <c r="H10" s="64"/>
    </row>
    <row r="11" spans="1:22" x14ac:dyDescent="0.25">
      <c r="A11" t="s">
        <v>12</v>
      </c>
      <c r="B11" s="65">
        <f>SUMIFS(Network!$AB$11:$AB$1010,Network!$N$11:$N$1010,$D11)</f>
        <v>37.912125581387819</v>
      </c>
      <c r="C11" s="65">
        <f>SUMIFS(Network!$AC$11:$AC$1010,Network!$N$11:$N$1010,$D11)</f>
        <v>67.020480955584418</v>
      </c>
      <c r="D11" s="4" t="s">
        <v>13</v>
      </c>
      <c r="G11" s="64"/>
      <c r="H11" s="64"/>
    </row>
    <row r="12" spans="1:22" x14ac:dyDescent="0.25">
      <c r="A12" t="s">
        <v>14</v>
      </c>
      <c r="B12" s="65">
        <f>SUMIFS(Network!$AB$11:$AB$1010,Network!$N$11:$N$1010,$D12)</f>
        <v>49.985623379405396</v>
      </c>
      <c r="C12" s="65">
        <f>SUMIFS(Network!$AC$11:$AC$1010,Network!$N$11:$N$1010,$D12)</f>
        <v>98.506151365977061</v>
      </c>
      <c r="D12" s="4" t="s">
        <v>15</v>
      </c>
      <c r="G12" s="64"/>
      <c r="H12" s="64"/>
      <c r="V12" s="73"/>
    </row>
    <row r="13" spans="1:22" x14ac:dyDescent="0.25">
      <c r="A13" s="54" t="s">
        <v>16</v>
      </c>
      <c r="B13" s="79">
        <f>SUM(B8:B12)</f>
        <v>367.07398287477815</v>
      </c>
      <c r="C13" s="79">
        <f>SUM(C8:C12)</f>
        <v>698.40100725233083</v>
      </c>
      <c r="G13" s="64"/>
      <c r="H13" s="64"/>
      <c r="I13" s="5"/>
    </row>
    <row r="14" spans="1:22" x14ac:dyDescent="0.25">
      <c r="A14" s="2"/>
      <c r="B14" s="61"/>
      <c r="C14" s="61"/>
      <c r="G14" s="64"/>
      <c r="H14" s="64"/>
      <c r="I14" s="5"/>
    </row>
    <row r="15" spans="1:22" x14ac:dyDescent="0.25">
      <c r="A15" t="s">
        <v>17</v>
      </c>
      <c r="B15" s="64">
        <v>5.8</v>
      </c>
      <c r="C15" s="64">
        <v>5.8</v>
      </c>
      <c r="D15" s="4" t="s">
        <v>18</v>
      </c>
    </row>
    <row r="16" spans="1:22" x14ac:dyDescent="0.25">
      <c r="A16" s="12" t="s">
        <v>19</v>
      </c>
      <c r="B16" s="64">
        <v>49.5</v>
      </c>
      <c r="C16" s="64">
        <v>49.5</v>
      </c>
      <c r="D16" s="4" t="s">
        <v>20</v>
      </c>
    </row>
    <row r="17" spans="1:28" x14ac:dyDescent="0.25">
      <c r="A17" s="2" t="s">
        <v>21</v>
      </c>
      <c r="B17" s="108">
        <f>SUM(B15:B16)</f>
        <v>55.3</v>
      </c>
      <c r="C17" s="108">
        <f>SUM(C15:C16)</f>
        <v>55.3</v>
      </c>
    </row>
    <row r="18" spans="1:28" x14ac:dyDescent="0.25">
      <c r="A18" s="2"/>
    </row>
    <row r="19" spans="1:28" x14ac:dyDescent="0.25">
      <c r="A19" s="54" t="s">
        <v>22</v>
      </c>
      <c r="B19" s="108">
        <f>SUM(B13,B17)</f>
        <v>422.37398287477816</v>
      </c>
      <c r="C19" s="108">
        <f>SUM(C13,C17)</f>
        <v>753.70100725233078</v>
      </c>
    </row>
    <row r="20" spans="1:28" x14ac:dyDescent="0.25">
      <c r="A20" s="2"/>
    </row>
    <row r="21" spans="1:28" ht="15" customHeight="1" x14ac:dyDescent="0.25">
      <c r="A21" s="2"/>
      <c r="D21" s="4"/>
    </row>
    <row r="22" spans="1:28" s="99" customFormat="1" ht="27.75" x14ac:dyDescent="0.45">
      <c r="A22" s="97" t="s">
        <v>23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V22" s="100"/>
    </row>
    <row r="23" spans="1:28" x14ac:dyDescent="0.25">
      <c r="B23" s="5"/>
      <c r="C23" s="5"/>
      <c r="D23" s="5"/>
      <c r="E23" s="5"/>
      <c r="F23" s="5"/>
      <c r="G23" s="5"/>
      <c r="H23" s="5"/>
    </row>
    <row r="24" spans="1:28" ht="17.25" x14ac:dyDescent="0.4">
      <c r="B24" s="5"/>
      <c r="C24" s="213" t="s">
        <v>24</v>
      </c>
      <c r="D24" s="214"/>
      <c r="E24" s="214"/>
      <c r="F24" s="215"/>
      <c r="G24" s="213" t="s">
        <v>25</v>
      </c>
      <c r="H24" s="214"/>
      <c r="I24" s="214"/>
      <c r="J24" s="215"/>
      <c r="K24" s="213" t="s">
        <v>26</v>
      </c>
      <c r="L24" s="214"/>
      <c r="M24" s="214"/>
      <c r="N24" s="215"/>
      <c r="O24" s="213" t="s">
        <v>27</v>
      </c>
      <c r="P24" s="214"/>
      <c r="Q24" s="214"/>
      <c r="R24" s="215"/>
    </row>
    <row r="25" spans="1:28" x14ac:dyDescent="0.25">
      <c r="B25" s="5"/>
      <c r="C25" s="118"/>
      <c r="D25" s="5"/>
      <c r="E25" s="5"/>
      <c r="F25" s="119"/>
      <c r="G25" s="118"/>
      <c r="H25" s="5"/>
      <c r="J25" s="132"/>
      <c r="K25" s="109"/>
      <c r="N25" s="132"/>
      <c r="O25" s="109"/>
      <c r="R25" s="132"/>
    </row>
    <row r="26" spans="1:28" x14ac:dyDescent="0.25">
      <c r="A26" s="14" t="s">
        <v>28</v>
      </c>
      <c r="B26" s="15"/>
      <c r="C26" s="120"/>
      <c r="D26" s="15"/>
      <c r="E26" s="15"/>
      <c r="F26" s="121"/>
      <c r="G26" s="120"/>
      <c r="H26" s="15"/>
      <c r="I26" s="15"/>
      <c r="J26" s="121"/>
      <c r="K26" s="120"/>
      <c r="L26" s="15"/>
      <c r="M26" s="15"/>
      <c r="N26" s="121"/>
      <c r="O26" s="120"/>
      <c r="P26" s="15"/>
      <c r="Q26" s="15"/>
      <c r="R26" s="121"/>
      <c r="S26" s="62"/>
      <c r="T26" s="62" t="s">
        <v>29</v>
      </c>
      <c r="V26"/>
    </row>
    <row r="27" spans="1:28" ht="17.25" x14ac:dyDescent="0.4">
      <c r="B27" s="11">
        <v>2010</v>
      </c>
      <c r="C27" s="122">
        <v>2011</v>
      </c>
      <c r="D27" s="11">
        <v>2012</v>
      </c>
      <c r="E27" s="11">
        <v>2013</v>
      </c>
      <c r="F27" s="123">
        <v>2014</v>
      </c>
      <c r="G27" s="122">
        <v>2015</v>
      </c>
      <c r="H27" s="11">
        <v>2016</v>
      </c>
      <c r="I27" s="11">
        <v>2017</v>
      </c>
      <c r="J27" s="123">
        <v>2018</v>
      </c>
      <c r="K27" s="122">
        <v>2019</v>
      </c>
      <c r="L27" s="11">
        <v>2020</v>
      </c>
      <c r="M27" s="11">
        <v>2021</v>
      </c>
      <c r="N27" s="123">
        <v>2022</v>
      </c>
      <c r="O27" s="122">
        <v>2023</v>
      </c>
      <c r="P27" s="11">
        <v>2024</v>
      </c>
      <c r="Q27" s="11">
        <v>2025</v>
      </c>
      <c r="R27" s="123">
        <v>2026</v>
      </c>
      <c r="S27" s="11">
        <v>2027</v>
      </c>
      <c r="T27" s="11">
        <v>2028</v>
      </c>
      <c r="V27"/>
      <c r="AB27" t="s">
        <v>30</v>
      </c>
    </row>
    <row r="28" spans="1:28" x14ac:dyDescent="0.25">
      <c r="A28" s="68" t="s">
        <v>6</v>
      </c>
      <c r="B28" s="71">
        <f>C28-C74</f>
        <v>0</v>
      </c>
      <c r="C28" s="124">
        <v>2</v>
      </c>
      <c r="D28" s="64">
        <v>11.4</v>
      </c>
      <c r="E28" s="64">
        <v>15.5</v>
      </c>
      <c r="F28" s="125">
        <v>18.5</v>
      </c>
      <c r="G28" s="124">
        <v>21.35</v>
      </c>
      <c r="H28" s="71">
        <v>22.55</v>
      </c>
      <c r="I28" s="64">
        <v>22.5</v>
      </c>
      <c r="J28" s="125">
        <v>23.450679652365004</v>
      </c>
      <c r="K28" s="124">
        <v>24.3</v>
      </c>
      <c r="L28" s="64">
        <v>26.7</v>
      </c>
      <c r="M28" s="64">
        <v>35.220584989233799</v>
      </c>
      <c r="N28" s="125">
        <v>37.56</v>
      </c>
      <c r="O28" s="124">
        <v>47.2</v>
      </c>
      <c r="P28" s="64"/>
      <c r="Q28" s="64"/>
      <c r="R28" s="125"/>
      <c r="S28" s="64"/>
      <c r="T28" s="64"/>
      <c r="V28" s="67" t="s">
        <v>31</v>
      </c>
      <c r="AB28" s="13" t="s">
        <v>2</v>
      </c>
    </row>
    <row r="29" spans="1:28" x14ac:dyDescent="0.25">
      <c r="A29" s="70" t="s">
        <v>8</v>
      </c>
      <c r="B29" s="71">
        <f>C29-C75</f>
        <v>0</v>
      </c>
      <c r="C29" s="124">
        <v>1</v>
      </c>
      <c r="D29" s="64">
        <v>18.649999999999999</v>
      </c>
      <c r="E29" s="64">
        <v>33.5</v>
      </c>
      <c r="F29" s="125">
        <v>67</v>
      </c>
      <c r="G29" s="124">
        <v>87</v>
      </c>
      <c r="H29" s="71">
        <v>88.8</v>
      </c>
      <c r="I29" s="64">
        <f>94.5+0.6</f>
        <v>95.1</v>
      </c>
      <c r="J29" s="125">
        <v>105.885433742641</v>
      </c>
      <c r="K29" s="124">
        <v>107.5</v>
      </c>
      <c r="L29" s="64">
        <v>110.5</v>
      </c>
      <c r="M29" s="64">
        <v>113.96737106439124</v>
      </c>
      <c r="N29" s="125">
        <v>115.57</v>
      </c>
      <c r="O29" s="124">
        <v>110.1</v>
      </c>
      <c r="P29" s="64"/>
      <c r="Q29" s="64"/>
      <c r="R29" s="125"/>
      <c r="S29" s="64"/>
      <c r="T29" s="64"/>
      <c r="V29" s="67" t="s">
        <v>32</v>
      </c>
      <c r="AB29" s="96" t="s">
        <v>28</v>
      </c>
    </row>
    <row r="30" spans="1:28" x14ac:dyDescent="0.25">
      <c r="A30" s="15" t="s">
        <v>10</v>
      </c>
      <c r="B30" s="71">
        <f>C30-C76</f>
        <v>116</v>
      </c>
      <c r="C30" s="124">
        <f>116+17</f>
        <v>133</v>
      </c>
      <c r="D30" s="64">
        <v>134.19999999999999</v>
      </c>
      <c r="E30" s="64">
        <v>117.5</v>
      </c>
      <c r="F30" s="125">
        <v>99</v>
      </c>
      <c r="G30" s="124">
        <v>88.5</v>
      </c>
      <c r="H30" s="71">
        <f>AVERAGE(G30,I30)</f>
        <v>85.6</v>
      </c>
      <c r="I30" s="64">
        <f>82.1+1.2-0.6</f>
        <v>82.7</v>
      </c>
      <c r="J30" s="125">
        <v>83.228265631937759</v>
      </c>
      <c r="K30" s="124">
        <v>88</v>
      </c>
      <c r="L30" s="64">
        <v>103.3</v>
      </c>
      <c r="M30" s="64">
        <v>113.05000987613971</v>
      </c>
      <c r="N30" s="125">
        <v>126.1</v>
      </c>
      <c r="O30" s="124">
        <v>130.4</v>
      </c>
      <c r="P30" s="64"/>
      <c r="Q30" s="64"/>
      <c r="R30" s="125"/>
      <c r="S30" s="64"/>
      <c r="T30" s="64"/>
      <c r="V30" s="67" t="s">
        <v>33</v>
      </c>
      <c r="AB30" s="13" t="s">
        <v>34</v>
      </c>
    </row>
    <row r="31" spans="1:28" x14ac:dyDescent="0.25">
      <c r="A31" s="69" t="s">
        <v>12</v>
      </c>
      <c r="B31" s="71">
        <f>C31-C77</f>
        <v>0</v>
      </c>
      <c r="C31" s="124"/>
      <c r="D31" s="64"/>
      <c r="E31" s="64">
        <v>1</v>
      </c>
      <c r="F31" s="125">
        <v>1.5</v>
      </c>
      <c r="G31" s="124">
        <v>1.5</v>
      </c>
      <c r="H31" s="71">
        <v>2.1</v>
      </c>
      <c r="I31" s="64">
        <v>3.2</v>
      </c>
      <c r="J31" s="125">
        <v>11.448654824888697</v>
      </c>
      <c r="K31" s="124">
        <v>14.4</v>
      </c>
      <c r="L31" s="64">
        <v>17.399999999999999</v>
      </c>
      <c r="M31" s="64">
        <v>26.8506288855971</v>
      </c>
      <c r="N31" s="125">
        <v>39.17</v>
      </c>
      <c r="O31" s="124">
        <v>57.2</v>
      </c>
      <c r="P31" s="64"/>
      <c r="Q31" s="64"/>
      <c r="R31" s="125"/>
      <c r="S31" s="64"/>
      <c r="T31" s="64"/>
      <c r="V31" s="67" t="s">
        <v>35</v>
      </c>
      <c r="AB31" s="96" t="s">
        <v>36</v>
      </c>
    </row>
    <row r="32" spans="1:28" x14ac:dyDescent="0.25">
      <c r="A32" s="87" t="s">
        <v>14</v>
      </c>
      <c r="B32" s="71">
        <f>C32-C78</f>
        <v>30</v>
      </c>
      <c r="C32" s="124">
        <f>30+9</f>
        <v>39</v>
      </c>
      <c r="D32" s="64">
        <v>39.85</v>
      </c>
      <c r="E32" s="64">
        <v>40</v>
      </c>
      <c r="F32" s="125">
        <v>41.5</v>
      </c>
      <c r="G32" s="124">
        <v>45.7</v>
      </c>
      <c r="H32" s="71">
        <v>45.7</v>
      </c>
      <c r="I32" s="64">
        <v>45.4</v>
      </c>
      <c r="J32" s="125">
        <v>45.474801331811747</v>
      </c>
      <c r="K32" s="124">
        <v>44.4</v>
      </c>
      <c r="L32" s="64">
        <v>44.9</v>
      </c>
      <c r="M32" s="64">
        <v>52.026724711724498</v>
      </c>
      <c r="N32" s="125">
        <v>49.74</v>
      </c>
      <c r="O32" s="124">
        <v>48.3</v>
      </c>
      <c r="P32" s="64"/>
      <c r="Q32" s="64"/>
      <c r="R32" s="125"/>
      <c r="S32" s="64"/>
      <c r="T32" s="64"/>
      <c r="V32" s="67" t="s">
        <v>37</v>
      </c>
      <c r="AB32" s="96" t="s">
        <v>38</v>
      </c>
    </row>
    <row r="33" spans="1:28" x14ac:dyDescent="0.25">
      <c r="A33" s="54" t="s">
        <v>39</v>
      </c>
      <c r="B33" s="88">
        <f>SUM(B28:B32)</f>
        <v>146</v>
      </c>
      <c r="C33" s="126">
        <f t="shared" ref="C33:T33" si="0">SUM(C28:C32)</f>
        <v>175</v>
      </c>
      <c r="D33" s="79">
        <f t="shared" si="0"/>
        <v>204.1</v>
      </c>
      <c r="E33" s="79">
        <f t="shared" si="0"/>
        <v>207.5</v>
      </c>
      <c r="F33" s="127">
        <f t="shared" si="0"/>
        <v>227.5</v>
      </c>
      <c r="G33" s="126">
        <f t="shared" si="0"/>
        <v>244.05</v>
      </c>
      <c r="H33" s="88">
        <f>SUM(H28:H32)</f>
        <v>244.75</v>
      </c>
      <c r="I33" s="79">
        <f t="shared" si="0"/>
        <v>248.9</v>
      </c>
      <c r="J33" s="127">
        <f t="shared" si="0"/>
        <v>269.48783518364422</v>
      </c>
      <c r="K33" s="126">
        <f t="shared" si="0"/>
        <v>278.60000000000002</v>
      </c>
      <c r="L33" s="79">
        <f t="shared" si="0"/>
        <v>302.79999999999995</v>
      </c>
      <c r="M33" s="79">
        <f t="shared" si="0"/>
        <v>341.11531952708634</v>
      </c>
      <c r="N33" s="127">
        <f t="shared" si="0"/>
        <v>368.14000000000004</v>
      </c>
      <c r="O33" s="126">
        <f t="shared" si="0"/>
        <v>393.20000000000005</v>
      </c>
      <c r="P33" s="79">
        <f t="shared" si="0"/>
        <v>0</v>
      </c>
      <c r="Q33" s="79">
        <f t="shared" si="0"/>
        <v>0</v>
      </c>
      <c r="R33" s="127">
        <f t="shared" si="0"/>
        <v>0</v>
      </c>
      <c r="S33" s="79">
        <f t="shared" si="0"/>
        <v>0</v>
      </c>
      <c r="T33" s="79">
        <f t="shared" si="0"/>
        <v>0</v>
      </c>
      <c r="V33" s="192"/>
      <c r="AB33" s="13" t="s">
        <v>40</v>
      </c>
    </row>
    <row r="34" spans="1:28" x14ac:dyDescent="0.25">
      <c r="A34" s="2"/>
      <c r="B34" s="61"/>
      <c r="C34" s="128"/>
      <c r="D34" s="61"/>
      <c r="E34" s="61"/>
      <c r="F34" s="129"/>
      <c r="G34" s="128"/>
      <c r="H34" s="162"/>
      <c r="I34" s="61"/>
      <c r="J34" s="129"/>
      <c r="K34" s="128"/>
      <c r="L34" s="61"/>
      <c r="M34" s="61"/>
      <c r="N34" s="129"/>
      <c r="O34" s="211"/>
      <c r="P34" s="61"/>
      <c r="Q34" s="61"/>
      <c r="R34" s="129"/>
      <c r="S34" s="61"/>
      <c r="T34" s="61"/>
      <c r="AB34" s="13" t="s">
        <v>41</v>
      </c>
    </row>
    <row r="35" spans="1:28" x14ac:dyDescent="0.25">
      <c r="A35" t="s">
        <v>42</v>
      </c>
      <c r="B35" s="61"/>
      <c r="C35" s="130">
        <f>C33-B33</f>
        <v>29</v>
      </c>
      <c r="D35" s="65">
        <f>D33-C33</f>
        <v>29.099999999999994</v>
      </c>
      <c r="E35" s="65">
        <f t="shared" ref="E35:N35" si="1">E33-D33</f>
        <v>3.4000000000000057</v>
      </c>
      <c r="F35" s="131">
        <f t="shared" si="1"/>
        <v>20</v>
      </c>
      <c r="G35" s="130">
        <f t="shared" si="1"/>
        <v>16.550000000000011</v>
      </c>
      <c r="H35" s="65">
        <f t="shared" si="1"/>
        <v>0.69999999999998863</v>
      </c>
      <c r="I35" s="65">
        <f t="shared" si="1"/>
        <v>4.1500000000000057</v>
      </c>
      <c r="J35" s="131">
        <f t="shared" si="1"/>
        <v>20.587835183644216</v>
      </c>
      <c r="K35" s="130">
        <f t="shared" si="1"/>
        <v>9.1121648163558007</v>
      </c>
      <c r="L35" s="65">
        <f t="shared" si="1"/>
        <v>24.199999999999932</v>
      </c>
      <c r="M35" s="65">
        <f t="shared" si="1"/>
        <v>38.315319527086388</v>
      </c>
      <c r="N35" s="131">
        <f t="shared" si="1"/>
        <v>27.024680472913701</v>
      </c>
      <c r="O35" s="130">
        <f t="shared" ref="O35" si="2">O33-N33</f>
        <v>25.060000000000002</v>
      </c>
      <c r="P35" s="65">
        <f t="shared" ref="P35" si="3">P33-O33</f>
        <v>-393.20000000000005</v>
      </c>
      <c r="Q35" s="65">
        <f t="shared" ref="Q35" si="4">Q33-P33</f>
        <v>0</v>
      </c>
      <c r="R35" s="131">
        <f t="shared" ref="R35" si="5">R33-Q33</f>
        <v>0</v>
      </c>
      <c r="S35" s="61">
        <f t="shared" ref="S35" si="6">S33-R33</f>
        <v>0</v>
      </c>
      <c r="T35" s="61">
        <f t="shared" ref="T35" si="7">T33-S33</f>
        <v>0</v>
      </c>
      <c r="V35" s="6"/>
      <c r="AB35" s="13" t="s">
        <v>43</v>
      </c>
    </row>
    <row r="36" spans="1:28" x14ac:dyDescent="0.25">
      <c r="C36" s="109"/>
      <c r="F36" s="132"/>
      <c r="G36" s="109"/>
      <c r="J36" s="125"/>
      <c r="K36" s="109"/>
      <c r="N36" s="132"/>
      <c r="O36" s="109"/>
      <c r="R36" s="132"/>
    </row>
    <row r="37" spans="1:28" x14ac:dyDescent="0.25">
      <c r="C37" s="109" t="s">
        <v>44</v>
      </c>
      <c r="F37" s="125">
        <f>AVERAGE(C35:F35)</f>
        <v>20.375</v>
      </c>
      <c r="G37" s="109" t="s">
        <v>45</v>
      </c>
      <c r="J37" s="125">
        <f>AVERAGE(G35:J35)</f>
        <v>10.496958795911056</v>
      </c>
      <c r="K37" s="109" t="s">
        <v>46</v>
      </c>
      <c r="N37" s="125">
        <f>AVERAGE(K35:N35)</f>
        <v>24.663041204088955</v>
      </c>
      <c r="O37" s="109"/>
      <c r="R37" s="125"/>
      <c r="AB37" t="s">
        <v>47</v>
      </c>
    </row>
    <row r="38" spans="1:28" x14ac:dyDescent="0.25">
      <c r="C38" s="109"/>
      <c r="F38" s="125"/>
      <c r="G38" s="109" t="s">
        <v>48</v>
      </c>
      <c r="J38" s="125">
        <f>AVERAGE(C35:J35)</f>
        <v>15.435979397955528</v>
      </c>
      <c r="K38" s="109"/>
      <c r="N38" s="132"/>
      <c r="O38" s="109"/>
      <c r="R38" s="132"/>
    </row>
    <row r="39" spans="1:28" x14ac:dyDescent="0.25">
      <c r="B39">
        <v>0</v>
      </c>
      <c r="C39" s="109"/>
      <c r="F39" s="125">
        <f>F33-B33</f>
        <v>81.5</v>
      </c>
      <c r="G39" s="109"/>
      <c r="J39" s="125">
        <f>J33-F33</f>
        <v>41.987835183644222</v>
      </c>
      <c r="K39" s="109"/>
      <c r="N39" s="125">
        <f>N33-J33</f>
        <v>98.652164816355821</v>
      </c>
      <c r="O39" s="109"/>
      <c r="R39" s="125"/>
      <c r="AB39" t="s">
        <v>49</v>
      </c>
    </row>
    <row r="40" spans="1:28" x14ac:dyDescent="0.25">
      <c r="C40" s="109"/>
      <c r="F40" s="132"/>
      <c r="G40" s="109"/>
      <c r="J40" s="125"/>
      <c r="K40" s="109"/>
      <c r="N40" s="132"/>
      <c r="O40" s="109"/>
      <c r="R40" s="132"/>
      <c r="AB40" s="13" t="s">
        <v>50</v>
      </c>
    </row>
    <row r="41" spans="1:28" x14ac:dyDescent="0.25">
      <c r="A41" s="14" t="s">
        <v>51</v>
      </c>
      <c r="B41" s="15"/>
      <c r="C41" s="120"/>
      <c r="D41" s="15"/>
      <c r="E41" s="15"/>
      <c r="F41" s="121"/>
      <c r="G41" s="120"/>
      <c r="H41" s="15"/>
      <c r="I41" s="15"/>
      <c r="J41" s="121"/>
      <c r="K41" s="120"/>
      <c r="L41" s="15"/>
      <c r="M41" s="15"/>
      <c r="N41" s="121"/>
      <c r="O41" s="120"/>
      <c r="P41" s="15" t="s">
        <v>29</v>
      </c>
      <c r="Q41" s="15"/>
      <c r="R41" s="121"/>
      <c r="S41" s="62"/>
      <c r="T41" s="62"/>
      <c r="V41"/>
      <c r="AB41" s="13" t="s">
        <v>52</v>
      </c>
    </row>
    <row r="42" spans="1:28" ht="17.25" x14ac:dyDescent="0.4">
      <c r="B42" s="11">
        <v>2010</v>
      </c>
      <c r="C42" s="122">
        <v>2011</v>
      </c>
      <c r="D42" s="11">
        <v>2012</v>
      </c>
      <c r="E42" s="11">
        <v>2013</v>
      </c>
      <c r="F42" s="123">
        <v>2014</v>
      </c>
      <c r="G42" s="122">
        <v>2015</v>
      </c>
      <c r="H42" s="11">
        <v>2016</v>
      </c>
      <c r="I42" s="11">
        <v>2017</v>
      </c>
      <c r="J42" s="123">
        <v>2018</v>
      </c>
      <c r="K42" s="122">
        <v>2019</v>
      </c>
      <c r="L42" s="11">
        <v>2020</v>
      </c>
      <c r="M42" s="11">
        <v>2021</v>
      </c>
      <c r="N42" s="123">
        <v>2022</v>
      </c>
      <c r="O42" s="122">
        <v>2023</v>
      </c>
      <c r="P42" s="11">
        <v>2024</v>
      </c>
      <c r="Q42" s="11">
        <v>2025</v>
      </c>
      <c r="R42" s="123">
        <v>2026</v>
      </c>
      <c r="S42" s="11">
        <v>2027</v>
      </c>
      <c r="T42" s="11">
        <v>2028</v>
      </c>
      <c r="V42"/>
    </row>
    <row r="43" spans="1:28" x14ac:dyDescent="0.25">
      <c r="A43" t="s">
        <v>14</v>
      </c>
      <c r="B43" s="71">
        <v>30</v>
      </c>
      <c r="C43" s="124">
        <f>30+9</f>
        <v>39</v>
      </c>
      <c r="D43" s="64">
        <v>39.85</v>
      </c>
      <c r="E43" s="64">
        <v>40</v>
      </c>
      <c r="F43" s="125">
        <v>41.5</v>
      </c>
      <c r="G43" s="124">
        <v>45.7</v>
      </c>
      <c r="H43" s="71">
        <v>45.7</v>
      </c>
      <c r="I43" s="64">
        <v>45.4</v>
      </c>
      <c r="J43" s="125">
        <v>45.474801331811747</v>
      </c>
      <c r="K43" s="124">
        <v>44.4</v>
      </c>
      <c r="L43" s="64">
        <v>44.9</v>
      </c>
      <c r="M43" s="64">
        <v>52.026724711724498</v>
      </c>
      <c r="N43" s="125">
        <f>N32</f>
        <v>49.74</v>
      </c>
      <c r="O43" s="124">
        <v>48.3</v>
      </c>
      <c r="P43" s="64">
        <f t="shared" ref="P43:T43" si="8">P32</f>
        <v>0</v>
      </c>
      <c r="Q43" s="64">
        <f t="shared" si="8"/>
        <v>0</v>
      </c>
      <c r="R43" s="125">
        <f t="shared" si="8"/>
        <v>0</v>
      </c>
      <c r="S43" s="64">
        <f t="shared" si="8"/>
        <v>0</v>
      </c>
      <c r="T43" s="64">
        <f t="shared" si="8"/>
        <v>0</v>
      </c>
      <c r="V43" s="209"/>
      <c r="AB43" s="96"/>
    </row>
    <row r="44" spans="1:28" x14ac:dyDescent="0.25">
      <c r="A44" t="s">
        <v>10</v>
      </c>
      <c r="B44" s="71">
        <v>116</v>
      </c>
      <c r="C44" s="124">
        <f>116+17</f>
        <v>133</v>
      </c>
      <c r="D44" s="64">
        <v>134.19999999999999</v>
      </c>
      <c r="E44" s="64">
        <v>117.5</v>
      </c>
      <c r="F44" s="125">
        <v>99</v>
      </c>
      <c r="G44" s="124">
        <v>88.5</v>
      </c>
      <c r="H44" s="71">
        <f>AVERAGE(G44,I44)</f>
        <v>85.6</v>
      </c>
      <c r="I44" s="64">
        <f>82.1+1.2-0.6</f>
        <v>82.7</v>
      </c>
      <c r="J44" s="125">
        <v>83.228265631937759</v>
      </c>
      <c r="K44" s="124">
        <v>88</v>
      </c>
      <c r="L44" s="64">
        <v>103.3</v>
      </c>
      <c r="M44" s="64">
        <v>113.05000987613971</v>
      </c>
      <c r="N44" s="125">
        <f>N30</f>
        <v>126.1</v>
      </c>
      <c r="O44" s="124">
        <v>130.4</v>
      </c>
      <c r="P44" s="64">
        <f t="shared" ref="P44:T44" si="9">P30</f>
        <v>0</v>
      </c>
      <c r="Q44" s="64">
        <f t="shared" si="9"/>
        <v>0</v>
      </c>
      <c r="R44" s="125">
        <f t="shared" si="9"/>
        <v>0</v>
      </c>
      <c r="S44" s="64">
        <f t="shared" si="9"/>
        <v>0</v>
      </c>
      <c r="T44" s="64">
        <f t="shared" si="9"/>
        <v>0</v>
      </c>
      <c r="V44" s="209"/>
      <c r="AB44" s="13"/>
    </row>
    <row r="45" spans="1:28" x14ac:dyDescent="0.25">
      <c r="A45" t="s">
        <v>8</v>
      </c>
      <c r="B45" s="71">
        <v>0</v>
      </c>
      <c r="C45" s="124">
        <v>1</v>
      </c>
      <c r="D45" s="64">
        <v>18.649999999999999</v>
      </c>
      <c r="E45" s="64">
        <v>33.5</v>
      </c>
      <c r="F45" s="125">
        <v>67</v>
      </c>
      <c r="G45" s="124">
        <v>87</v>
      </c>
      <c r="H45" s="71">
        <v>88.8</v>
      </c>
      <c r="I45" s="64">
        <f>94.5+0.6</f>
        <v>95.1</v>
      </c>
      <c r="J45" s="125">
        <v>105.885433742641</v>
      </c>
      <c r="K45" s="124">
        <v>107.5</v>
      </c>
      <c r="L45" s="64">
        <v>110.5</v>
      </c>
      <c r="M45" s="64">
        <v>113.96737106439124</v>
      </c>
      <c r="N45" s="125">
        <f>N29</f>
        <v>115.57</v>
      </c>
      <c r="O45" s="124">
        <v>110.1</v>
      </c>
      <c r="P45" s="64">
        <f t="shared" ref="P45:T45" si="10">P29</f>
        <v>0</v>
      </c>
      <c r="Q45" s="64">
        <f t="shared" si="10"/>
        <v>0</v>
      </c>
      <c r="R45" s="125">
        <f t="shared" si="10"/>
        <v>0</v>
      </c>
      <c r="S45" s="64">
        <f t="shared" si="10"/>
        <v>0</v>
      </c>
      <c r="T45" s="64">
        <f t="shared" si="10"/>
        <v>0</v>
      </c>
      <c r="V45" s="209"/>
      <c r="AB45" s="96"/>
    </row>
    <row r="46" spans="1:28" x14ac:dyDescent="0.25">
      <c r="A46" t="s">
        <v>12</v>
      </c>
      <c r="B46" s="71">
        <v>0</v>
      </c>
      <c r="C46" s="124"/>
      <c r="D46" s="64"/>
      <c r="E46" s="64">
        <v>1</v>
      </c>
      <c r="F46" s="125">
        <v>1.5</v>
      </c>
      <c r="G46" s="124">
        <v>1.5</v>
      </c>
      <c r="H46" s="71">
        <v>2.1</v>
      </c>
      <c r="I46" s="64">
        <v>3.2</v>
      </c>
      <c r="J46" s="125">
        <v>11.448654824888697</v>
      </c>
      <c r="K46" s="124">
        <v>14.4</v>
      </c>
      <c r="L46" s="64">
        <v>17.399999999999999</v>
      </c>
      <c r="M46" s="64">
        <v>26.8506288855971</v>
      </c>
      <c r="N46" s="125">
        <f>N31</f>
        <v>39.17</v>
      </c>
      <c r="O46" s="124">
        <v>57.2</v>
      </c>
      <c r="P46" s="64">
        <f t="shared" ref="P46:T46" si="11">P31</f>
        <v>0</v>
      </c>
      <c r="Q46" s="64">
        <f t="shared" si="11"/>
        <v>0</v>
      </c>
      <c r="R46" s="125">
        <f t="shared" si="11"/>
        <v>0</v>
      </c>
      <c r="S46" s="64">
        <f t="shared" si="11"/>
        <v>0</v>
      </c>
      <c r="T46" s="64">
        <f t="shared" si="11"/>
        <v>0</v>
      </c>
      <c r="V46" s="209"/>
    </row>
    <row r="47" spans="1:28" x14ac:dyDescent="0.25">
      <c r="A47" t="s">
        <v>6</v>
      </c>
      <c r="B47" s="71">
        <v>0</v>
      </c>
      <c r="C47" s="124">
        <v>2</v>
      </c>
      <c r="D47" s="64">
        <v>11.4</v>
      </c>
      <c r="E47" s="64">
        <v>15.5</v>
      </c>
      <c r="F47" s="125">
        <v>18.5</v>
      </c>
      <c r="G47" s="124">
        <v>21.35</v>
      </c>
      <c r="H47" s="71">
        <v>22.55</v>
      </c>
      <c r="I47" s="64">
        <v>22.5</v>
      </c>
      <c r="J47" s="125">
        <v>23.450679652365004</v>
      </c>
      <c r="K47" s="124">
        <v>24.3</v>
      </c>
      <c r="L47" s="64">
        <v>26.7</v>
      </c>
      <c r="M47" s="64">
        <v>35.220584989233799</v>
      </c>
      <c r="N47" s="125">
        <f>N28</f>
        <v>37.56</v>
      </c>
      <c r="O47" s="124">
        <v>47.2</v>
      </c>
      <c r="P47" s="64">
        <f t="shared" ref="P47:T47" si="12">P28</f>
        <v>0</v>
      </c>
      <c r="Q47" s="64">
        <f t="shared" si="12"/>
        <v>0</v>
      </c>
      <c r="R47" s="125">
        <f t="shared" si="12"/>
        <v>0</v>
      </c>
      <c r="S47" s="64">
        <f t="shared" si="12"/>
        <v>0</v>
      </c>
      <c r="T47" s="64">
        <f t="shared" si="12"/>
        <v>0</v>
      </c>
      <c r="V47" s="209"/>
    </row>
    <row r="48" spans="1:28" x14ac:dyDescent="0.25">
      <c r="A48" t="s">
        <v>53</v>
      </c>
      <c r="B48" s="71">
        <v>47.2</v>
      </c>
      <c r="C48" s="124">
        <v>47.2</v>
      </c>
      <c r="D48" s="64">
        <v>47.76</v>
      </c>
      <c r="E48" s="64">
        <v>47.76</v>
      </c>
      <c r="F48" s="125">
        <v>47.76</v>
      </c>
      <c r="G48" s="124">
        <v>51.53</v>
      </c>
      <c r="H48" s="71">
        <v>51.81</v>
      </c>
      <c r="I48" s="64">
        <v>54.62</v>
      </c>
      <c r="J48" s="125">
        <v>54.92</v>
      </c>
      <c r="K48" s="124">
        <v>54.92</v>
      </c>
      <c r="L48" s="64">
        <v>55.27</v>
      </c>
      <c r="M48" s="64">
        <v>55.27</v>
      </c>
      <c r="N48" s="125">
        <v>55.27</v>
      </c>
      <c r="O48" s="124">
        <v>55.3</v>
      </c>
      <c r="P48" s="64">
        <v>55.27</v>
      </c>
      <c r="Q48" s="64">
        <v>55.27</v>
      </c>
      <c r="R48" s="125">
        <v>55.27</v>
      </c>
      <c r="S48" s="124">
        <v>55.27</v>
      </c>
      <c r="T48" s="64">
        <v>55.27</v>
      </c>
      <c r="V48" s="209"/>
    </row>
    <row r="49" spans="1:28" x14ac:dyDescent="0.25">
      <c r="A49" s="54" t="s">
        <v>39</v>
      </c>
      <c r="B49" s="88">
        <f>SUM(B43:B48)</f>
        <v>193.2</v>
      </c>
      <c r="C49" s="126">
        <f t="shared" ref="C49:N49" si="13">SUM(C43:C48)</f>
        <v>222.2</v>
      </c>
      <c r="D49" s="79">
        <f t="shared" si="13"/>
        <v>251.85999999999999</v>
      </c>
      <c r="E49" s="79">
        <f t="shared" si="13"/>
        <v>255.26</v>
      </c>
      <c r="F49" s="127">
        <f t="shared" si="13"/>
        <v>275.26</v>
      </c>
      <c r="G49" s="126">
        <f t="shared" si="13"/>
        <v>295.58</v>
      </c>
      <c r="H49" s="88">
        <f t="shared" si="13"/>
        <v>296.56000000000006</v>
      </c>
      <c r="I49" s="79">
        <f t="shared" si="13"/>
        <v>303.52</v>
      </c>
      <c r="J49" s="127">
        <f t="shared" si="13"/>
        <v>324.40783518364424</v>
      </c>
      <c r="K49" s="126">
        <f t="shared" si="13"/>
        <v>333.52000000000004</v>
      </c>
      <c r="L49" s="79">
        <f t="shared" si="13"/>
        <v>358.06999999999994</v>
      </c>
      <c r="M49" s="79">
        <f t="shared" si="13"/>
        <v>396.38531952708627</v>
      </c>
      <c r="N49" s="127">
        <f t="shared" si="13"/>
        <v>423.40999999999997</v>
      </c>
      <c r="O49" s="126">
        <f t="shared" ref="O49:T49" si="14">SUM(O43:O48)</f>
        <v>448.49999999999994</v>
      </c>
      <c r="P49" s="79">
        <f t="shared" si="14"/>
        <v>55.27</v>
      </c>
      <c r="Q49" s="79">
        <f t="shared" si="14"/>
        <v>55.27</v>
      </c>
      <c r="R49" s="127">
        <f t="shared" si="14"/>
        <v>55.27</v>
      </c>
      <c r="S49" s="126">
        <f t="shared" si="14"/>
        <v>55.27</v>
      </c>
      <c r="T49" s="79">
        <f t="shared" si="14"/>
        <v>55.27</v>
      </c>
      <c r="V49" s="192"/>
      <c r="AB49" s="13"/>
    </row>
    <row r="50" spans="1:28" x14ac:dyDescent="0.25">
      <c r="A50" s="2"/>
      <c r="B50" s="61"/>
      <c r="C50" s="128"/>
      <c r="D50" s="61"/>
      <c r="E50" s="61"/>
      <c r="F50" s="129"/>
      <c r="G50" s="128"/>
      <c r="H50" s="162"/>
      <c r="I50" s="61"/>
      <c r="J50" s="129"/>
      <c r="K50" s="128"/>
      <c r="L50" s="61"/>
      <c r="M50" s="61"/>
      <c r="N50" s="129"/>
      <c r="O50" s="128"/>
      <c r="P50" s="61"/>
      <c r="Q50" s="61"/>
      <c r="R50" s="129"/>
      <c r="S50" s="61"/>
      <c r="T50" s="61"/>
      <c r="AB50" s="13"/>
    </row>
    <row r="51" spans="1:28" ht="17.25" x14ac:dyDescent="0.4">
      <c r="A51" s="2"/>
      <c r="B51" s="11">
        <v>2010</v>
      </c>
      <c r="C51" s="122">
        <v>2011</v>
      </c>
      <c r="D51" s="11">
        <v>2012</v>
      </c>
      <c r="E51" s="11">
        <v>2013</v>
      </c>
      <c r="F51" s="123">
        <v>2014</v>
      </c>
      <c r="G51" s="122">
        <v>2015</v>
      </c>
      <c r="H51" s="11">
        <v>2016</v>
      </c>
      <c r="I51" s="11">
        <v>2017</v>
      </c>
      <c r="J51" s="123">
        <v>2018</v>
      </c>
      <c r="K51" s="122">
        <v>2019</v>
      </c>
      <c r="L51" s="11">
        <v>2020</v>
      </c>
      <c r="M51" s="11">
        <v>2021</v>
      </c>
      <c r="N51" s="123">
        <v>2022</v>
      </c>
      <c r="O51" s="122">
        <v>2023</v>
      </c>
      <c r="P51" s="11">
        <v>2024</v>
      </c>
      <c r="Q51" s="11">
        <v>2025</v>
      </c>
      <c r="R51" s="123">
        <v>2026</v>
      </c>
      <c r="S51" s="11">
        <v>2027</v>
      </c>
      <c r="T51" s="11">
        <v>2028</v>
      </c>
      <c r="AB51" s="13"/>
    </row>
    <row r="52" spans="1:28" x14ac:dyDescent="0.25">
      <c r="A52" t="s">
        <v>54</v>
      </c>
      <c r="B52" s="65">
        <f t="shared" ref="B52:N52" si="15">SUM(B43:B45)</f>
        <v>146</v>
      </c>
      <c r="C52" s="130">
        <f t="shared" si="15"/>
        <v>173</v>
      </c>
      <c r="D52" s="65">
        <f t="shared" si="15"/>
        <v>192.7</v>
      </c>
      <c r="E52" s="65">
        <f t="shared" si="15"/>
        <v>191</v>
      </c>
      <c r="F52" s="131">
        <f t="shared" si="15"/>
        <v>207.5</v>
      </c>
      <c r="G52" s="130">
        <f t="shared" si="15"/>
        <v>221.2</v>
      </c>
      <c r="H52" s="65">
        <f t="shared" si="15"/>
        <v>220.10000000000002</v>
      </c>
      <c r="I52" s="65">
        <f t="shared" si="15"/>
        <v>223.2</v>
      </c>
      <c r="J52" s="131">
        <f t="shared" si="15"/>
        <v>234.58850070639051</v>
      </c>
      <c r="K52" s="130">
        <f t="shared" si="15"/>
        <v>239.9</v>
      </c>
      <c r="L52" s="65">
        <f t="shared" si="15"/>
        <v>258.7</v>
      </c>
      <c r="M52" s="65">
        <f t="shared" si="15"/>
        <v>279.04410565225544</v>
      </c>
      <c r="N52" s="131">
        <f t="shared" si="15"/>
        <v>291.40999999999997</v>
      </c>
      <c r="O52" s="130">
        <f t="shared" ref="O52:T52" si="16">SUM(O43:O45)</f>
        <v>288.79999999999995</v>
      </c>
      <c r="P52" s="65">
        <f t="shared" si="16"/>
        <v>0</v>
      </c>
      <c r="Q52" s="65">
        <f t="shared" si="16"/>
        <v>0</v>
      </c>
      <c r="R52" s="131">
        <f t="shared" si="16"/>
        <v>0</v>
      </c>
      <c r="S52" s="61">
        <f t="shared" si="16"/>
        <v>0</v>
      </c>
      <c r="T52" s="61">
        <f t="shared" si="16"/>
        <v>0</v>
      </c>
      <c r="AB52" s="13"/>
    </row>
    <row r="53" spans="1:28" x14ac:dyDescent="0.25">
      <c r="A53" t="s">
        <v>55</v>
      </c>
      <c r="B53" s="65">
        <f t="shared" ref="B53:N53" si="17">SUM(B46:B48)</f>
        <v>47.2</v>
      </c>
      <c r="C53" s="130">
        <f t="shared" si="17"/>
        <v>49.2</v>
      </c>
      <c r="D53" s="65">
        <f t="shared" si="17"/>
        <v>59.16</v>
      </c>
      <c r="E53" s="65">
        <f t="shared" si="17"/>
        <v>64.259999999999991</v>
      </c>
      <c r="F53" s="131">
        <f t="shared" si="17"/>
        <v>67.759999999999991</v>
      </c>
      <c r="G53" s="130">
        <f t="shared" si="17"/>
        <v>74.38</v>
      </c>
      <c r="H53" s="65">
        <f t="shared" si="17"/>
        <v>76.460000000000008</v>
      </c>
      <c r="I53" s="65">
        <f t="shared" si="17"/>
        <v>80.319999999999993</v>
      </c>
      <c r="J53" s="131">
        <f t="shared" si="17"/>
        <v>89.819334477253705</v>
      </c>
      <c r="K53" s="130">
        <f t="shared" si="17"/>
        <v>93.62</v>
      </c>
      <c r="L53" s="65">
        <f t="shared" si="17"/>
        <v>99.37</v>
      </c>
      <c r="M53" s="65">
        <f t="shared" si="17"/>
        <v>117.34121387483091</v>
      </c>
      <c r="N53" s="131">
        <f t="shared" si="17"/>
        <v>132</v>
      </c>
      <c r="O53" s="130">
        <f t="shared" ref="O53:T53" si="18">SUM(O46:O48)</f>
        <v>159.69999999999999</v>
      </c>
      <c r="P53" s="65">
        <f t="shared" si="18"/>
        <v>55.27</v>
      </c>
      <c r="Q53" s="65">
        <f t="shared" si="18"/>
        <v>55.27</v>
      </c>
      <c r="R53" s="131">
        <f t="shared" si="18"/>
        <v>55.27</v>
      </c>
      <c r="S53" s="61">
        <f t="shared" si="18"/>
        <v>55.27</v>
      </c>
      <c r="T53" s="61">
        <f t="shared" si="18"/>
        <v>55.27</v>
      </c>
      <c r="AB53" s="13"/>
    </row>
    <row r="54" spans="1:28" x14ac:dyDescent="0.25">
      <c r="B54" s="204">
        <f>B53/B49</f>
        <v>0.24430641821946172</v>
      </c>
      <c r="C54" s="205">
        <f t="shared" ref="C54:N54" si="19">C53/C49</f>
        <v>0.22142214221422143</v>
      </c>
      <c r="D54" s="206">
        <f t="shared" si="19"/>
        <v>0.23489240053998253</v>
      </c>
      <c r="E54" s="206">
        <f t="shared" si="19"/>
        <v>0.25174332053592413</v>
      </c>
      <c r="F54" s="207">
        <f t="shared" si="19"/>
        <v>0.2461672600450483</v>
      </c>
      <c r="G54" s="205">
        <f t="shared" si="19"/>
        <v>0.25164084173489409</v>
      </c>
      <c r="H54" s="206">
        <f t="shared" si="19"/>
        <v>0.25782303749662799</v>
      </c>
      <c r="I54" s="206">
        <f t="shared" si="19"/>
        <v>0.26462836056931999</v>
      </c>
      <c r="J54" s="207">
        <f t="shared" si="19"/>
        <v>0.27687165578601952</v>
      </c>
      <c r="K54" s="205">
        <f t="shared" si="19"/>
        <v>0.28070280642840006</v>
      </c>
      <c r="L54" s="206">
        <f t="shared" si="19"/>
        <v>0.27751556958136686</v>
      </c>
      <c r="M54" s="206">
        <f t="shared" si="19"/>
        <v>0.29602815264406535</v>
      </c>
      <c r="N54" s="207">
        <f t="shared" si="19"/>
        <v>0.3117545641340545</v>
      </c>
      <c r="O54" s="205">
        <f t="shared" ref="O54:T54" si="20">O53/O49</f>
        <v>0.35607580824972129</v>
      </c>
      <c r="P54" s="206">
        <f t="shared" si="20"/>
        <v>1</v>
      </c>
      <c r="Q54" s="206">
        <f t="shared" si="20"/>
        <v>1</v>
      </c>
      <c r="R54" s="207">
        <f t="shared" si="20"/>
        <v>1</v>
      </c>
      <c r="S54">
        <f t="shared" si="20"/>
        <v>1</v>
      </c>
      <c r="T54">
        <f t="shared" si="20"/>
        <v>1</v>
      </c>
    </row>
    <row r="55" spans="1:28" x14ac:dyDescent="0.25">
      <c r="C55" s="109"/>
      <c r="F55" s="132"/>
      <c r="G55" s="109"/>
      <c r="J55" s="125"/>
      <c r="K55" s="201"/>
      <c r="L55" s="202"/>
      <c r="M55" s="202"/>
      <c r="N55" s="132"/>
      <c r="O55" s="201"/>
      <c r="P55" s="202"/>
      <c r="Q55" s="202"/>
      <c r="R55" s="132"/>
    </row>
    <row r="56" spans="1:28" x14ac:dyDescent="0.25">
      <c r="A56" s="203" t="s">
        <v>54</v>
      </c>
      <c r="B56" s="65">
        <f>SUM(B43:B45)</f>
        <v>146</v>
      </c>
      <c r="C56" s="130">
        <f t="shared" ref="C56:N56" si="21">SUM(C43:C45)</f>
        <v>173</v>
      </c>
      <c r="D56" s="65">
        <f t="shared" si="21"/>
        <v>192.7</v>
      </c>
      <c r="E56" s="65">
        <f t="shared" si="21"/>
        <v>191</v>
      </c>
      <c r="F56" s="131">
        <f t="shared" si="21"/>
        <v>207.5</v>
      </c>
      <c r="G56" s="130">
        <f t="shared" si="21"/>
        <v>221.2</v>
      </c>
      <c r="H56" s="65">
        <f t="shared" si="21"/>
        <v>220.10000000000002</v>
      </c>
      <c r="I56" s="65">
        <f t="shared" si="21"/>
        <v>223.2</v>
      </c>
      <c r="J56" s="131">
        <f t="shared" si="21"/>
        <v>234.58850070639051</v>
      </c>
      <c r="K56" s="130">
        <f t="shared" si="21"/>
        <v>239.9</v>
      </c>
      <c r="L56" s="65">
        <f t="shared" si="21"/>
        <v>258.7</v>
      </c>
      <c r="M56" s="65">
        <f t="shared" si="21"/>
        <v>279.04410565225544</v>
      </c>
      <c r="N56" s="131">
        <f t="shared" si="21"/>
        <v>291.40999999999997</v>
      </c>
      <c r="O56" s="130">
        <f t="shared" ref="O56:T56" si="22">SUM(O43:O45)</f>
        <v>288.79999999999995</v>
      </c>
      <c r="P56" s="65">
        <f t="shared" si="22"/>
        <v>0</v>
      </c>
      <c r="Q56" s="65">
        <f t="shared" si="22"/>
        <v>0</v>
      </c>
      <c r="R56" s="131">
        <f t="shared" si="22"/>
        <v>0</v>
      </c>
      <c r="S56">
        <f t="shared" si="22"/>
        <v>0</v>
      </c>
      <c r="T56">
        <f t="shared" si="22"/>
        <v>0</v>
      </c>
    </row>
    <row r="57" spans="1:28" x14ac:dyDescent="0.25">
      <c r="A57" s="68" t="s">
        <v>53</v>
      </c>
      <c r="B57" s="65">
        <f t="shared" ref="B57:N57" si="23">B48</f>
        <v>47.2</v>
      </c>
      <c r="C57" s="130">
        <f t="shared" si="23"/>
        <v>47.2</v>
      </c>
      <c r="D57" s="65">
        <f t="shared" si="23"/>
        <v>47.76</v>
      </c>
      <c r="E57" s="65">
        <f t="shared" si="23"/>
        <v>47.76</v>
      </c>
      <c r="F57" s="131">
        <f t="shared" si="23"/>
        <v>47.76</v>
      </c>
      <c r="G57" s="130">
        <f t="shared" si="23"/>
        <v>51.53</v>
      </c>
      <c r="H57" s="65">
        <f t="shared" si="23"/>
        <v>51.81</v>
      </c>
      <c r="I57" s="65">
        <f t="shared" si="23"/>
        <v>54.62</v>
      </c>
      <c r="J57" s="131">
        <f t="shared" si="23"/>
        <v>54.92</v>
      </c>
      <c r="K57" s="130">
        <f t="shared" si="23"/>
        <v>54.92</v>
      </c>
      <c r="L57" s="65">
        <f t="shared" si="23"/>
        <v>55.27</v>
      </c>
      <c r="M57" s="65">
        <f t="shared" si="23"/>
        <v>55.27</v>
      </c>
      <c r="N57" s="131">
        <f t="shared" si="23"/>
        <v>55.27</v>
      </c>
      <c r="O57" s="130">
        <f t="shared" ref="O57:T57" si="24">O48</f>
        <v>55.3</v>
      </c>
      <c r="P57" s="65">
        <f t="shared" si="24"/>
        <v>55.27</v>
      </c>
      <c r="Q57" s="65">
        <f t="shared" si="24"/>
        <v>55.27</v>
      </c>
      <c r="R57" s="131">
        <f t="shared" si="24"/>
        <v>55.27</v>
      </c>
      <c r="S57">
        <f t="shared" si="24"/>
        <v>55.27</v>
      </c>
      <c r="T57">
        <f t="shared" si="24"/>
        <v>55.27</v>
      </c>
    </row>
    <row r="58" spans="1:28" x14ac:dyDescent="0.25">
      <c r="A58" s="69" t="s">
        <v>12</v>
      </c>
      <c r="B58" s="65">
        <f>B46</f>
        <v>0</v>
      </c>
      <c r="C58" s="130">
        <f t="shared" ref="C58:N58" si="25">C46</f>
        <v>0</v>
      </c>
      <c r="D58" s="65">
        <f t="shared" si="25"/>
        <v>0</v>
      </c>
      <c r="E58" s="65">
        <f t="shared" si="25"/>
        <v>1</v>
      </c>
      <c r="F58" s="131">
        <f t="shared" si="25"/>
        <v>1.5</v>
      </c>
      <c r="G58" s="130">
        <f t="shared" si="25"/>
        <v>1.5</v>
      </c>
      <c r="H58" s="65">
        <f t="shared" si="25"/>
        <v>2.1</v>
      </c>
      <c r="I58" s="65">
        <f t="shared" si="25"/>
        <v>3.2</v>
      </c>
      <c r="J58" s="131">
        <f t="shared" si="25"/>
        <v>11.448654824888697</v>
      </c>
      <c r="K58" s="130">
        <f t="shared" si="25"/>
        <v>14.4</v>
      </c>
      <c r="L58" s="65">
        <f t="shared" si="25"/>
        <v>17.399999999999999</v>
      </c>
      <c r="M58" s="65">
        <f t="shared" si="25"/>
        <v>26.8506288855971</v>
      </c>
      <c r="N58" s="131">
        <f t="shared" si="25"/>
        <v>39.17</v>
      </c>
      <c r="O58" s="130">
        <f t="shared" ref="O58:T58" si="26">O46</f>
        <v>57.2</v>
      </c>
      <c r="P58" s="65">
        <f t="shared" si="26"/>
        <v>0</v>
      </c>
      <c r="Q58" s="65">
        <f t="shared" si="26"/>
        <v>0</v>
      </c>
      <c r="R58" s="131">
        <f t="shared" si="26"/>
        <v>0</v>
      </c>
      <c r="S58">
        <f t="shared" si="26"/>
        <v>0</v>
      </c>
      <c r="T58">
        <f t="shared" si="26"/>
        <v>0</v>
      </c>
    </row>
    <row r="59" spans="1:28" x14ac:dyDescent="0.25">
      <c r="A59" s="15" t="s">
        <v>6</v>
      </c>
      <c r="B59" s="65">
        <f>B47</f>
        <v>0</v>
      </c>
      <c r="C59" s="130">
        <f t="shared" ref="C59:N59" si="27">C47</f>
        <v>2</v>
      </c>
      <c r="D59" s="65">
        <f t="shared" si="27"/>
        <v>11.4</v>
      </c>
      <c r="E59" s="65">
        <f t="shared" si="27"/>
        <v>15.5</v>
      </c>
      <c r="F59" s="131">
        <f t="shared" si="27"/>
        <v>18.5</v>
      </c>
      <c r="G59" s="130">
        <f t="shared" si="27"/>
        <v>21.35</v>
      </c>
      <c r="H59" s="65">
        <f t="shared" si="27"/>
        <v>22.55</v>
      </c>
      <c r="I59" s="65">
        <f t="shared" si="27"/>
        <v>22.5</v>
      </c>
      <c r="J59" s="131">
        <f t="shared" si="27"/>
        <v>23.450679652365004</v>
      </c>
      <c r="K59" s="130">
        <f t="shared" si="27"/>
        <v>24.3</v>
      </c>
      <c r="L59" s="65">
        <f t="shared" si="27"/>
        <v>26.7</v>
      </c>
      <c r="M59" s="65">
        <f t="shared" si="27"/>
        <v>35.220584989233799</v>
      </c>
      <c r="N59" s="131">
        <f t="shared" si="27"/>
        <v>37.56</v>
      </c>
      <c r="O59" s="130">
        <f t="shared" ref="O59:T59" si="28">O47</f>
        <v>47.2</v>
      </c>
      <c r="P59" s="65">
        <f t="shared" si="28"/>
        <v>0</v>
      </c>
      <c r="Q59" s="65">
        <f t="shared" si="28"/>
        <v>0</v>
      </c>
      <c r="R59" s="131">
        <f t="shared" si="28"/>
        <v>0</v>
      </c>
      <c r="S59">
        <f t="shared" si="28"/>
        <v>0</v>
      </c>
      <c r="T59">
        <f t="shared" si="28"/>
        <v>0</v>
      </c>
    </row>
    <row r="60" spans="1:28" x14ac:dyDescent="0.25">
      <c r="C60" s="109"/>
      <c r="F60" s="132"/>
      <c r="G60" s="109"/>
      <c r="J60" s="125"/>
      <c r="K60" s="201"/>
      <c r="L60" s="202"/>
      <c r="M60" s="202"/>
      <c r="N60" s="132"/>
      <c r="O60" s="201"/>
      <c r="P60" s="202"/>
      <c r="Q60" s="202"/>
      <c r="R60" s="132"/>
    </row>
    <row r="61" spans="1:28" x14ac:dyDescent="0.25">
      <c r="C61" s="109"/>
      <c r="F61" s="132"/>
      <c r="G61" s="109"/>
      <c r="J61" s="125"/>
      <c r="K61" s="201">
        <f>K47/M47</f>
        <v>0.68993743310703115</v>
      </c>
      <c r="L61" s="202">
        <f>L47/M47</f>
        <v>0.75807940180896016</v>
      </c>
      <c r="M61" s="202"/>
      <c r="N61" s="132"/>
      <c r="O61" s="201"/>
      <c r="P61" s="202"/>
      <c r="Q61" s="202"/>
      <c r="R61" s="132"/>
      <c r="AB61" s="13"/>
    </row>
    <row r="62" spans="1:28" x14ac:dyDescent="0.25">
      <c r="A62" s="14" t="s">
        <v>56</v>
      </c>
      <c r="B62" s="15"/>
      <c r="C62" s="120"/>
      <c r="D62" s="15"/>
      <c r="E62" s="15"/>
      <c r="F62" s="121"/>
      <c r="G62" s="120"/>
      <c r="H62" s="15"/>
      <c r="I62" s="15"/>
      <c r="J62" s="121"/>
      <c r="K62" s="120"/>
      <c r="L62" s="15"/>
      <c r="M62" s="15"/>
      <c r="N62" s="121"/>
      <c r="O62" s="120"/>
      <c r="P62" s="15" t="s">
        <v>29</v>
      </c>
      <c r="Q62" s="15"/>
      <c r="R62" s="121"/>
      <c r="S62" s="62"/>
      <c r="T62" s="62"/>
      <c r="V62"/>
      <c r="AB62" s="13"/>
    </row>
    <row r="63" spans="1:28" ht="17.25" x14ac:dyDescent="0.4">
      <c r="B63" s="11">
        <v>2010</v>
      </c>
      <c r="C63" s="122">
        <v>2011</v>
      </c>
      <c r="D63" s="11">
        <v>2012</v>
      </c>
      <c r="E63" s="11">
        <v>2013</v>
      </c>
      <c r="F63" s="123">
        <v>2014</v>
      </c>
      <c r="G63" s="122">
        <v>2015</v>
      </c>
      <c r="H63" s="11">
        <v>2016</v>
      </c>
      <c r="I63" s="11">
        <v>2017</v>
      </c>
      <c r="J63" s="123">
        <v>2018</v>
      </c>
      <c r="K63" s="122">
        <v>2019</v>
      </c>
      <c r="L63" s="11">
        <v>2020</v>
      </c>
      <c r="M63" s="11">
        <v>2021</v>
      </c>
      <c r="N63" s="123">
        <v>2022</v>
      </c>
      <c r="O63" s="122">
        <v>2023</v>
      </c>
      <c r="P63" s="11">
        <v>2024</v>
      </c>
      <c r="Q63" s="11">
        <v>2025</v>
      </c>
      <c r="R63" s="123">
        <v>2026</v>
      </c>
      <c r="S63" s="122">
        <v>2027</v>
      </c>
      <c r="T63" s="11">
        <v>2028</v>
      </c>
      <c r="AB63" s="13"/>
    </row>
    <row r="64" spans="1:28" x14ac:dyDescent="0.25">
      <c r="A64" t="s">
        <v>57</v>
      </c>
      <c r="B64" s="64">
        <f t="shared" ref="B64:N64" si="29">SUM(B28,B31)</f>
        <v>0</v>
      </c>
      <c r="C64" s="124">
        <f t="shared" si="29"/>
        <v>2</v>
      </c>
      <c r="D64" s="64">
        <f t="shared" si="29"/>
        <v>11.4</v>
      </c>
      <c r="E64" s="64">
        <f t="shared" si="29"/>
        <v>16.5</v>
      </c>
      <c r="F64" s="125">
        <f t="shared" si="29"/>
        <v>20</v>
      </c>
      <c r="G64" s="124">
        <f t="shared" si="29"/>
        <v>22.85</v>
      </c>
      <c r="H64" s="64">
        <f t="shared" si="29"/>
        <v>24.650000000000002</v>
      </c>
      <c r="I64" s="64">
        <f t="shared" si="29"/>
        <v>25.7</v>
      </c>
      <c r="J64" s="125">
        <f t="shared" si="29"/>
        <v>34.899334477253703</v>
      </c>
      <c r="K64" s="124">
        <f t="shared" si="29"/>
        <v>38.700000000000003</v>
      </c>
      <c r="L64" s="64">
        <f t="shared" si="29"/>
        <v>44.099999999999994</v>
      </c>
      <c r="M64" s="64">
        <f t="shared" si="29"/>
        <v>62.071213874830903</v>
      </c>
      <c r="N64" s="125">
        <f t="shared" si="29"/>
        <v>76.73</v>
      </c>
      <c r="O64" s="124">
        <f t="shared" ref="O64" si="30">SUM(O28,O31)</f>
        <v>104.4</v>
      </c>
      <c r="P64" s="64"/>
      <c r="Q64" s="64"/>
      <c r="R64" s="125"/>
      <c r="S64" s="124"/>
      <c r="T64" s="64"/>
    </row>
    <row r="65" spans="1:22" x14ac:dyDescent="0.25">
      <c r="A65" t="s">
        <v>54</v>
      </c>
      <c r="B65" s="64">
        <f t="shared" ref="B65:N65" si="31">B33-B64-B66</f>
        <v>0</v>
      </c>
      <c r="C65" s="124">
        <f t="shared" si="31"/>
        <v>27</v>
      </c>
      <c r="D65" s="64">
        <f t="shared" si="31"/>
        <v>46.699999999999989</v>
      </c>
      <c r="E65" s="64">
        <f t="shared" si="31"/>
        <v>45</v>
      </c>
      <c r="F65" s="125">
        <f t="shared" si="31"/>
        <v>61.5</v>
      </c>
      <c r="G65" s="124">
        <f t="shared" si="31"/>
        <v>75.200000000000017</v>
      </c>
      <c r="H65" s="64">
        <f t="shared" si="31"/>
        <v>74.099999999999994</v>
      </c>
      <c r="I65" s="64">
        <f t="shared" si="31"/>
        <v>77.200000000000017</v>
      </c>
      <c r="J65" s="125">
        <f t="shared" si="31"/>
        <v>88.588500706390505</v>
      </c>
      <c r="K65" s="124">
        <f t="shared" si="31"/>
        <v>93.900000000000034</v>
      </c>
      <c r="L65" s="64">
        <f t="shared" si="31"/>
        <v>112.69999999999993</v>
      </c>
      <c r="M65" s="64">
        <f t="shared" si="31"/>
        <v>133.04410565225544</v>
      </c>
      <c r="N65" s="125">
        <f t="shared" si="31"/>
        <v>145.41000000000003</v>
      </c>
      <c r="O65" s="124">
        <f t="shared" ref="O65" si="32">O33-O64-O66</f>
        <v>142.80000000000007</v>
      </c>
      <c r="P65" s="64"/>
      <c r="Q65" s="64"/>
      <c r="R65" s="125"/>
      <c r="S65" s="124"/>
      <c r="T65" s="64"/>
    </row>
    <row r="66" spans="1:22" x14ac:dyDescent="0.25">
      <c r="A66" t="s">
        <v>58</v>
      </c>
      <c r="B66" s="64">
        <f>B33</f>
        <v>146</v>
      </c>
      <c r="C66" s="124">
        <f>$B66</f>
        <v>146</v>
      </c>
      <c r="D66" s="64">
        <f t="shared" ref="D66:O66" si="33">$B66</f>
        <v>146</v>
      </c>
      <c r="E66" s="64">
        <f t="shared" si="33"/>
        <v>146</v>
      </c>
      <c r="F66" s="125">
        <f t="shared" si="33"/>
        <v>146</v>
      </c>
      <c r="G66" s="124">
        <f t="shared" si="33"/>
        <v>146</v>
      </c>
      <c r="H66" s="64">
        <f t="shared" si="33"/>
        <v>146</v>
      </c>
      <c r="I66" s="64">
        <f t="shared" si="33"/>
        <v>146</v>
      </c>
      <c r="J66" s="125">
        <f t="shared" si="33"/>
        <v>146</v>
      </c>
      <c r="K66" s="124">
        <f t="shared" si="33"/>
        <v>146</v>
      </c>
      <c r="L66" s="64">
        <f t="shared" si="33"/>
        <v>146</v>
      </c>
      <c r="M66" s="64">
        <f t="shared" si="33"/>
        <v>146</v>
      </c>
      <c r="N66" s="125">
        <f t="shared" si="33"/>
        <v>146</v>
      </c>
      <c r="O66" s="124">
        <f t="shared" si="33"/>
        <v>146</v>
      </c>
      <c r="P66" s="64"/>
      <c r="Q66" s="64"/>
      <c r="R66" s="125"/>
      <c r="S66" s="124"/>
      <c r="T66" s="64"/>
    </row>
    <row r="67" spans="1:22" x14ac:dyDescent="0.25">
      <c r="A67" s="54" t="s">
        <v>39</v>
      </c>
      <c r="B67" s="79">
        <f>SUM(B64:B66)</f>
        <v>146</v>
      </c>
      <c r="C67" s="126">
        <f t="shared" ref="C67:T67" si="34">SUM(C64:C66)</f>
        <v>175</v>
      </c>
      <c r="D67" s="79">
        <f t="shared" si="34"/>
        <v>204.1</v>
      </c>
      <c r="E67" s="79">
        <f t="shared" si="34"/>
        <v>207.5</v>
      </c>
      <c r="F67" s="127">
        <f t="shared" si="34"/>
        <v>227.5</v>
      </c>
      <c r="G67" s="126">
        <f t="shared" si="34"/>
        <v>244.05</v>
      </c>
      <c r="H67" s="79">
        <f t="shared" si="34"/>
        <v>244.75</v>
      </c>
      <c r="I67" s="79">
        <f t="shared" si="34"/>
        <v>248.90000000000003</v>
      </c>
      <c r="J67" s="127">
        <f t="shared" si="34"/>
        <v>269.48783518364422</v>
      </c>
      <c r="K67" s="126">
        <f t="shared" si="34"/>
        <v>278.60000000000002</v>
      </c>
      <c r="L67" s="79">
        <f t="shared" si="34"/>
        <v>302.79999999999995</v>
      </c>
      <c r="M67" s="79">
        <f t="shared" si="34"/>
        <v>341.11531952708634</v>
      </c>
      <c r="N67" s="127">
        <f t="shared" si="34"/>
        <v>368.14000000000004</v>
      </c>
      <c r="O67" s="126">
        <f t="shared" si="34"/>
        <v>393.20000000000005</v>
      </c>
      <c r="P67" s="79">
        <f t="shared" si="34"/>
        <v>0</v>
      </c>
      <c r="Q67" s="79">
        <f t="shared" si="34"/>
        <v>0</v>
      </c>
      <c r="R67" s="127">
        <f t="shared" si="34"/>
        <v>0</v>
      </c>
      <c r="S67" s="126">
        <f t="shared" si="34"/>
        <v>0</v>
      </c>
      <c r="T67" s="79">
        <f t="shared" si="34"/>
        <v>0</v>
      </c>
    </row>
    <row r="68" spans="1:22" x14ac:dyDescent="0.25">
      <c r="C68" s="109"/>
      <c r="F68" s="132"/>
      <c r="G68" s="109"/>
      <c r="J68" s="132"/>
      <c r="K68" s="109"/>
      <c r="N68" s="132"/>
      <c r="O68" s="109"/>
      <c r="R68" s="132"/>
    </row>
    <row r="69" spans="1:22" x14ac:dyDescent="0.25">
      <c r="C69" s="109"/>
      <c r="F69" s="132"/>
      <c r="G69" s="109"/>
      <c r="J69" s="132"/>
      <c r="K69" s="109"/>
      <c r="N69" s="132"/>
      <c r="O69" s="109"/>
      <c r="R69" s="132"/>
    </row>
    <row r="70" spans="1:22" x14ac:dyDescent="0.25">
      <c r="C70" s="109"/>
      <c r="F70" s="132"/>
      <c r="G70" s="109"/>
      <c r="J70" s="132"/>
      <c r="K70" s="109"/>
      <c r="N70" s="132"/>
      <c r="O70" s="109"/>
      <c r="R70" s="132"/>
    </row>
    <row r="71" spans="1:22" x14ac:dyDescent="0.25">
      <c r="A71" s="14" t="s">
        <v>59</v>
      </c>
      <c r="B71" s="15"/>
      <c r="C71" s="120"/>
      <c r="D71" s="15"/>
      <c r="E71" s="15"/>
      <c r="F71" s="121"/>
      <c r="G71" s="120"/>
      <c r="H71" s="15"/>
      <c r="I71" s="15"/>
      <c r="J71" s="121"/>
      <c r="K71" s="120"/>
      <c r="L71" s="15"/>
      <c r="M71" s="15"/>
      <c r="N71" s="121"/>
      <c r="O71" s="120"/>
      <c r="P71" s="15"/>
      <c r="Q71" s="15"/>
      <c r="R71" s="121"/>
      <c r="S71" s="15"/>
      <c r="T71" s="15"/>
      <c r="V71"/>
    </row>
    <row r="72" spans="1:22" ht="17.25" x14ac:dyDescent="0.4">
      <c r="B72" s="11">
        <v>2010</v>
      </c>
      <c r="C72" s="122">
        <v>2011</v>
      </c>
      <c r="D72" s="11">
        <v>2012</v>
      </c>
      <c r="E72" s="11">
        <v>2013</v>
      </c>
      <c r="F72" s="123">
        <v>2014</v>
      </c>
      <c r="G72" s="122">
        <v>2015</v>
      </c>
      <c r="H72" s="11">
        <v>2016</v>
      </c>
      <c r="I72" s="11">
        <v>2017</v>
      </c>
      <c r="J72" s="123">
        <v>2018</v>
      </c>
      <c r="K72" s="122">
        <v>2019</v>
      </c>
      <c r="L72" s="11">
        <v>2020</v>
      </c>
      <c r="M72" s="11">
        <v>2021</v>
      </c>
      <c r="N72" s="123">
        <v>2022</v>
      </c>
      <c r="O72" s="122">
        <v>2023</v>
      </c>
      <c r="P72" s="11">
        <v>2024</v>
      </c>
      <c r="Q72" s="11">
        <v>2025</v>
      </c>
      <c r="R72" s="123">
        <v>2026</v>
      </c>
      <c r="S72" s="11">
        <v>2027</v>
      </c>
      <c r="T72" s="11">
        <v>2028</v>
      </c>
      <c r="V72"/>
    </row>
    <row r="73" spans="1:22" x14ac:dyDescent="0.25">
      <c r="A73" s="46" t="s">
        <v>60</v>
      </c>
      <c r="B73" s="46"/>
      <c r="C73" s="133"/>
      <c r="D73" s="46"/>
      <c r="E73" s="46"/>
      <c r="F73" s="134"/>
      <c r="G73" s="133"/>
      <c r="H73" s="46"/>
      <c r="I73" s="46"/>
      <c r="J73" s="134"/>
      <c r="K73" s="133"/>
      <c r="L73" s="46"/>
      <c r="M73" s="46"/>
      <c r="N73" s="134"/>
      <c r="O73" s="133"/>
      <c r="P73" s="46"/>
      <c r="Q73" s="46"/>
      <c r="R73" s="134"/>
      <c r="S73" s="46"/>
      <c r="T73" s="46"/>
      <c r="V73" s="67" t="s">
        <v>61</v>
      </c>
    </row>
    <row r="74" spans="1:22" x14ac:dyDescent="0.25">
      <c r="A74" t="s">
        <v>6</v>
      </c>
      <c r="B74" s="64"/>
      <c r="C74" s="124">
        <v>2</v>
      </c>
      <c r="D74" s="64">
        <v>9.25</v>
      </c>
      <c r="E74" s="64">
        <v>4</v>
      </c>
      <c r="F74" s="125">
        <v>3.25</v>
      </c>
      <c r="G74" s="124">
        <f>2.85+0.5</f>
        <v>3.35</v>
      </c>
      <c r="H74" s="64">
        <v>1.2</v>
      </c>
      <c r="I74" s="64">
        <v>1.2</v>
      </c>
      <c r="J74" s="125">
        <v>3.3545599206441579</v>
      </c>
      <c r="K74" s="124">
        <v>2.5</v>
      </c>
      <c r="L74" s="64">
        <v>2.4</v>
      </c>
      <c r="M74" s="64">
        <v>8.5</v>
      </c>
      <c r="N74" s="125">
        <v>5</v>
      </c>
      <c r="O74" s="124">
        <f>17.56+9.49</f>
        <v>27.049999999999997</v>
      </c>
      <c r="P74" s="64"/>
      <c r="Q74" s="64"/>
      <c r="R74" s="125"/>
      <c r="S74" s="64"/>
      <c r="T74" s="64"/>
      <c r="V74" s="67" t="s">
        <v>35</v>
      </c>
    </row>
    <row r="75" spans="1:22" x14ac:dyDescent="0.25">
      <c r="A75" t="s">
        <v>8</v>
      </c>
      <c r="B75" s="64"/>
      <c r="C75" s="124">
        <v>1</v>
      </c>
      <c r="D75" s="64">
        <v>17.649999999999999</v>
      </c>
      <c r="E75" s="64">
        <v>15</v>
      </c>
      <c r="F75" s="125">
        <v>33.25</v>
      </c>
      <c r="G75" s="124">
        <v>20</v>
      </c>
      <c r="H75" s="64">
        <v>1.8</v>
      </c>
      <c r="I75" s="64">
        <f>8.3+0.6</f>
        <v>8.9</v>
      </c>
      <c r="J75" s="163">
        <v>10.81899752181341</v>
      </c>
      <c r="K75" s="124">
        <v>2.2999999999999998</v>
      </c>
      <c r="L75" s="64">
        <v>3</v>
      </c>
      <c r="M75" s="64">
        <v>3.9099999999999997</v>
      </c>
      <c r="N75" s="163">
        <v>3.08</v>
      </c>
      <c r="O75" s="124">
        <v>0.15</v>
      </c>
      <c r="P75" s="64"/>
      <c r="Q75" s="64"/>
      <c r="R75" s="163"/>
      <c r="S75" s="64"/>
      <c r="T75" s="64"/>
    </row>
    <row r="76" spans="1:22" x14ac:dyDescent="0.25">
      <c r="A76" t="s">
        <v>10</v>
      </c>
      <c r="B76" s="64"/>
      <c r="C76" s="124">
        <v>17</v>
      </c>
      <c r="D76" s="64">
        <v>1.2</v>
      </c>
      <c r="E76" s="64">
        <v>2.25</v>
      </c>
      <c r="F76" s="125">
        <v>2.5</v>
      </c>
      <c r="G76" s="124">
        <v>0.5</v>
      </c>
      <c r="H76" s="64">
        <v>1.3</v>
      </c>
      <c r="I76" s="64">
        <v>3.3</v>
      </c>
      <c r="J76" s="125">
        <v>5.6348717592440334</v>
      </c>
      <c r="K76" s="124">
        <v>4.8</v>
      </c>
      <c r="L76" s="64">
        <v>15.3</v>
      </c>
      <c r="M76" s="64">
        <v>16.34</v>
      </c>
      <c r="N76" s="125">
        <v>13.7</v>
      </c>
      <c r="O76" s="124">
        <v>5.53</v>
      </c>
      <c r="P76" s="64"/>
      <c r="Q76" s="64"/>
      <c r="R76" s="125"/>
      <c r="S76" s="124"/>
      <c r="T76" s="64"/>
    </row>
    <row r="77" spans="1:22" x14ac:dyDescent="0.25">
      <c r="A77" t="s">
        <v>12</v>
      </c>
      <c r="B77" s="64"/>
      <c r="C77" s="124"/>
      <c r="D77" s="64"/>
      <c r="E77" s="64">
        <v>1</v>
      </c>
      <c r="F77" s="125">
        <v>0.5</v>
      </c>
      <c r="G77" s="124"/>
      <c r="H77" s="64">
        <v>0.75</v>
      </c>
      <c r="I77" s="64">
        <v>1.1000000000000001</v>
      </c>
      <c r="J77" s="125">
        <v>7.9231324058717369</v>
      </c>
      <c r="K77" s="124">
        <v>3</v>
      </c>
      <c r="L77" s="64">
        <v>3</v>
      </c>
      <c r="M77" s="64">
        <v>9.18</v>
      </c>
      <c r="N77" s="125">
        <v>12.3</v>
      </c>
      <c r="O77" s="124">
        <v>17.54</v>
      </c>
      <c r="P77" s="64"/>
      <c r="Q77" s="64"/>
      <c r="R77" s="125"/>
      <c r="S77" s="124"/>
      <c r="T77" s="64"/>
    </row>
    <row r="78" spans="1:22" x14ac:dyDescent="0.25">
      <c r="A78" s="12" t="s">
        <v>14</v>
      </c>
      <c r="B78" s="66"/>
      <c r="C78" s="135">
        <v>9</v>
      </c>
      <c r="D78" s="66">
        <v>0.85</v>
      </c>
      <c r="E78" s="66"/>
      <c r="F78" s="136"/>
      <c r="G78" s="135">
        <v>1.6</v>
      </c>
      <c r="H78" s="66"/>
      <c r="I78" s="66">
        <v>3.7</v>
      </c>
      <c r="J78" s="136">
        <v>2.064850419353859</v>
      </c>
      <c r="K78" s="135">
        <v>0.5</v>
      </c>
      <c r="L78" s="66">
        <v>5.3</v>
      </c>
      <c r="M78" s="66">
        <v>6.3</v>
      </c>
      <c r="N78" s="136">
        <v>1</v>
      </c>
      <c r="O78" s="135">
        <v>0.12</v>
      </c>
      <c r="P78" s="66"/>
      <c r="Q78" s="66"/>
      <c r="R78" s="136"/>
      <c r="S78" s="135"/>
      <c r="T78" s="66"/>
    </row>
    <row r="79" spans="1:22" x14ac:dyDescent="0.25">
      <c r="A79" s="2" t="s">
        <v>39</v>
      </c>
      <c r="B79" s="61">
        <f>SUM(B74:B78)</f>
        <v>0</v>
      </c>
      <c r="C79" s="128">
        <f t="shared" ref="C79:P79" si="35">SUM(C74:C78)</f>
        <v>29</v>
      </c>
      <c r="D79" s="61">
        <f t="shared" si="35"/>
        <v>28.95</v>
      </c>
      <c r="E79" s="61">
        <f t="shared" si="35"/>
        <v>22.25</v>
      </c>
      <c r="F79" s="129">
        <f t="shared" si="35"/>
        <v>39.5</v>
      </c>
      <c r="G79" s="128">
        <f t="shared" si="35"/>
        <v>25.450000000000003</v>
      </c>
      <c r="H79" s="61">
        <f t="shared" si="35"/>
        <v>5.05</v>
      </c>
      <c r="I79" s="61">
        <f t="shared" si="35"/>
        <v>18.2</v>
      </c>
      <c r="J79" s="129">
        <f t="shared" si="35"/>
        <v>29.796412026927197</v>
      </c>
      <c r="K79" s="128">
        <f t="shared" si="35"/>
        <v>13.1</v>
      </c>
      <c r="L79" s="61">
        <f t="shared" si="35"/>
        <v>29.000000000000004</v>
      </c>
      <c r="M79" s="61">
        <f t="shared" si="35"/>
        <v>44.23</v>
      </c>
      <c r="N79" s="129">
        <f t="shared" si="35"/>
        <v>35.08</v>
      </c>
      <c r="O79" s="128">
        <f t="shared" si="35"/>
        <v>50.389999999999993</v>
      </c>
      <c r="P79" s="61">
        <f t="shared" si="35"/>
        <v>0</v>
      </c>
      <c r="Q79" s="61">
        <f t="shared" ref="Q79:T79" si="36">SUM(Q74:Q78)</f>
        <v>0</v>
      </c>
      <c r="R79" s="129">
        <f t="shared" si="36"/>
        <v>0</v>
      </c>
      <c r="S79" s="128">
        <f t="shared" si="36"/>
        <v>0</v>
      </c>
      <c r="T79" s="61">
        <f t="shared" si="36"/>
        <v>0</v>
      </c>
      <c r="V79" s="192"/>
    </row>
    <row r="80" spans="1:22" x14ac:dyDescent="0.25">
      <c r="C80" s="124">
        <f>C74+C77</f>
        <v>2</v>
      </c>
      <c r="D80">
        <f t="shared" ref="D80:P80" si="37">D74+D77</f>
        <v>9.25</v>
      </c>
      <c r="E80">
        <f t="shared" si="37"/>
        <v>5</v>
      </c>
      <c r="F80" s="132">
        <f t="shared" si="37"/>
        <v>3.75</v>
      </c>
      <c r="G80" s="109">
        <f t="shared" si="37"/>
        <v>3.35</v>
      </c>
      <c r="H80">
        <f t="shared" si="37"/>
        <v>1.95</v>
      </c>
      <c r="I80">
        <f t="shared" si="37"/>
        <v>2.2999999999999998</v>
      </c>
      <c r="J80" s="125">
        <f t="shared" si="37"/>
        <v>11.277692326515895</v>
      </c>
      <c r="K80" s="109">
        <f t="shared" si="37"/>
        <v>5.5</v>
      </c>
      <c r="L80">
        <f t="shared" si="37"/>
        <v>5.4</v>
      </c>
      <c r="M80">
        <f t="shared" si="37"/>
        <v>17.68</v>
      </c>
      <c r="N80" s="132">
        <f t="shared" si="37"/>
        <v>17.3</v>
      </c>
      <c r="O80" s="109">
        <f t="shared" si="37"/>
        <v>44.589999999999996</v>
      </c>
      <c r="P80">
        <f t="shared" si="37"/>
        <v>0</v>
      </c>
      <c r="Q80">
        <f t="shared" ref="Q80:T80" si="38">Q74+Q77</f>
        <v>0</v>
      </c>
      <c r="R80" s="132">
        <f t="shared" si="38"/>
        <v>0</v>
      </c>
      <c r="S80" s="109">
        <f t="shared" si="38"/>
        <v>0</v>
      </c>
      <c r="T80">
        <f t="shared" si="38"/>
        <v>0</v>
      </c>
    </row>
    <row r="81" spans="1:29" x14ac:dyDescent="0.25">
      <c r="C81" s="109" t="s">
        <v>44</v>
      </c>
      <c r="F81" s="125">
        <f>AVERAGE(C79:F79)</f>
        <v>29.925000000000001</v>
      </c>
      <c r="G81" s="109" t="s">
        <v>45</v>
      </c>
      <c r="J81" s="125">
        <f>AVERAGE(G79:J79)</f>
        <v>19.624103006731801</v>
      </c>
      <c r="K81" s="109" t="s">
        <v>46</v>
      </c>
      <c r="N81" s="125">
        <f>AVERAGE(K79:N79)</f>
        <v>30.352499999999999</v>
      </c>
      <c r="O81" s="109"/>
      <c r="R81" s="125"/>
    </row>
    <row r="82" spans="1:29" x14ac:dyDescent="0.25">
      <c r="C82" s="109"/>
      <c r="F82" s="132"/>
      <c r="G82" s="109" t="s">
        <v>48</v>
      </c>
      <c r="J82" s="125">
        <f>AVERAGE(C79:J79)</f>
        <v>24.774551503365899</v>
      </c>
      <c r="K82" s="109"/>
      <c r="N82" s="132"/>
      <c r="O82" s="109"/>
      <c r="R82" s="132"/>
      <c r="X82" s="74" t="s">
        <v>62</v>
      </c>
      <c r="Y82">
        <v>23.5</v>
      </c>
    </row>
    <row r="83" spans="1:29" x14ac:dyDescent="0.25">
      <c r="C83" s="109"/>
      <c r="F83" s="132"/>
      <c r="G83" s="109"/>
      <c r="J83" s="125"/>
      <c r="K83" s="109"/>
      <c r="N83" s="132"/>
      <c r="O83" s="109"/>
      <c r="R83" s="132"/>
      <c r="S83" s="109"/>
      <c r="X83" s="74" t="s">
        <v>63</v>
      </c>
      <c r="Y83">
        <v>38.6</v>
      </c>
    </row>
    <row r="84" spans="1:29" x14ac:dyDescent="0.25">
      <c r="A84" s="54" t="s">
        <v>64</v>
      </c>
      <c r="B84" s="59"/>
      <c r="C84" s="198"/>
      <c r="D84" s="59">
        <v>0.56000000000000005</v>
      </c>
      <c r="E84" s="59"/>
      <c r="F84" s="199"/>
      <c r="G84" s="198">
        <v>3.77</v>
      </c>
      <c r="H84" s="59">
        <v>0.28000000000000003</v>
      </c>
      <c r="I84" s="59">
        <v>2.81</v>
      </c>
      <c r="J84" s="200">
        <v>0.3</v>
      </c>
      <c r="K84" s="198"/>
      <c r="L84" s="59">
        <v>0.35</v>
      </c>
      <c r="M84" s="59"/>
      <c r="N84" s="199"/>
      <c r="O84" s="198"/>
      <c r="P84" s="59"/>
      <c r="Q84" s="59"/>
      <c r="R84" s="199"/>
      <c r="S84" s="198"/>
      <c r="T84" s="59"/>
    </row>
    <row r="85" spans="1:29" x14ac:dyDescent="0.25">
      <c r="C85" s="109"/>
      <c r="F85" s="132"/>
      <c r="G85" s="109"/>
      <c r="J85" s="125"/>
      <c r="K85" s="109"/>
      <c r="N85" s="132"/>
      <c r="O85" s="109"/>
      <c r="R85" s="132"/>
    </row>
    <row r="86" spans="1:29" x14ac:dyDescent="0.25">
      <c r="C86" s="109"/>
      <c r="F86" s="132"/>
      <c r="G86" s="109"/>
      <c r="J86" s="132"/>
      <c r="K86" s="109"/>
      <c r="L86" s="64"/>
      <c r="N86" s="171"/>
      <c r="O86" s="109"/>
      <c r="P86" s="64"/>
      <c r="R86" s="171"/>
    </row>
    <row r="87" spans="1:29" x14ac:dyDescent="0.25">
      <c r="A87" s="46" t="s">
        <v>65</v>
      </c>
      <c r="B87" s="47"/>
      <c r="C87" s="137"/>
      <c r="D87" s="47"/>
      <c r="E87" s="47"/>
      <c r="F87" s="138"/>
      <c r="G87" s="137"/>
      <c r="H87" s="47"/>
      <c r="I87" s="47"/>
      <c r="J87" s="138"/>
      <c r="K87" s="137"/>
      <c r="L87" s="47"/>
      <c r="M87" s="47"/>
      <c r="N87" s="138"/>
      <c r="O87" s="137"/>
      <c r="P87" s="47"/>
      <c r="Q87" s="47"/>
      <c r="R87" s="138"/>
      <c r="S87" s="47"/>
      <c r="T87" s="47"/>
      <c r="AC87" s="208"/>
    </row>
    <row r="88" spans="1:29" x14ac:dyDescent="0.25">
      <c r="A88" t="s">
        <v>6</v>
      </c>
      <c r="B88" s="64"/>
      <c r="C88" s="124"/>
      <c r="D88" s="64"/>
      <c r="E88" s="64"/>
      <c r="F88" s="125">
        <v>0.75</v>
      </c>
      <c r="G88" s="124">
        <v>0.8</v>
      </c>
      <c r="H88" s="64">
        <v>0.66</v>
      </c>
      <c r="I88" s="64">
        <v>1.3</v>
      </c>
      <c r="J88" s="125">
        <v>1.5884367589862933</v>
      </c>
      <c r="K88" s="124">
        <v>0.40200000000000002</v>
      </c>
      <c r="L88" s="64">
        <v>2.44</v>
      </c>
      <c r="M88" s="64">
        <v>1.8260000000000001</v>
      </c>
      <c r="N88" s="169">
        <v>0.3</v>
      </c>
      <c r="O88" s="124"/>
      <c r="P88" s="64"/>
      <c r="Q88" s="64"/>
      <c r="R88" s="125"/>
      <c r="S88" s="124"/>
      <c r="T88" s="64"/>
      <c r="AC88" s="208"/>
    </row>
    <row r="89" spans="1:29" x14ac:dyDescent="0.25">
      <c r="A89" t="s">
        <v>8</v>
      </c>
      <c r="B89" s="64"/>
      <c r="C89" s="124"/>
      <c r="D89" s="64"/>
      <c r="E89" s="64"/>
      <c r="F89" s="125">
        <v>3.1</v>
      </c>
      <c r="G89" s="124">
        <v>3.7</v>
      </c>
      <c r="H89" s="64"/>
      <c r="I89" s="64">
        <v>5.8</v>
      </c>
      <c r="J89" s="125">
        <v>15.148358185446529</v>
      </c>
      <c r="K89" s="124">
        <v>4.8780016234072097</v>
      </c>
      <c r="L89" s="64">
        <v>3.01</v>
      </c>
      <c r="M89" s="64">
        <v>11.568</v>
      </c>
      <c r="N89" s="169">
        <v>9.41</v>
      </c>
      <c r="O89" s="124"/>
      <c r="P89" s="64"/>
      <c r="Q89" s="64"/>
      <c r="R89" s="125"/>
      <c r="S89" s="124"/>
      <c r="T89" s="64"/>
      <c r="AC89" s="208"/>
    </row>
    <row r="90" spans="1:29" x14ac:dyDescent="0.25">
      <c r="A90" t="s">
        <v>10</v>
      </c>
      <c r="B90" s="64"/>
      <c r="C90" s="124">
        <v>9</v>
      </c>
      <c r="D90" s="64">
        <v>10.199999999999999</v>
      </c>
      <c r="E90" s="64">
        <v>5.25</v>
      </c>
      <c r="F90" s="125">
        <v>6.4</v>
      </c>
      <c r="G90" s="124">
        <v>7.6</v>
      </c>
      <c r="H90" s="64">
        <v>12.8</v>
      </c>
      <c r="I90" s="64">
        <v>10.6</v>
      </c>
      <c r="J90" s="125">
        <v>21.346924164141093</v>
      </c>
      <c r="K90" s="124">
        <v>3.1502500000000002</v>
      </c>
      <c r="L90" s="64">
        <v>15.338999999999997</v>
      </c>
      <c r="M90" s="64">
        <v>8.3770000000000007</v>
      </c>
      <c r="N90" s="169">
        <v>10.079000000000002</v>
      </c>
      <c r="O90" s="124"/>
      <c r="P90" s="64"/>
      <c r="Q90" s="64"/>
      <c r="R90" s="125"/>
      <c r="S90" s="124"/>
      <c r="T90" s="64"/>
      <c r="AC90" s="208"/>
    </row>
    <row r="91" spans="1:29" x14ac:dyDescent="0.25">
      <c r="A91" t="s">
        <v>12</v>
      </c>
      <c r="B91" s="64"/>
      <c r="C91" s="124"/>
      <c r="D91" s="64"/>
      <c r="E91" s="64"/>
      <c r="F91" s="125"/>
      <c r="G91" s="124">
        <v>0.15</v>
      </c>
      <c r="H91" s="64"/>
      <c r="I91" s="64"/>
      <c r="J91" s="125">
        <v>0</v>
      </c>
      <c r="K91" s="124">
        <v>0.86</v>
      </c>
      <c r="L91" s="64">
        <v>3.01</v>
      </c>
      <c r="M91" s="64">
        <v>0</v>
      </c>
      <c r="N91" s="169">
        <v>1.969090909090909</v>
      </c>
      <c r="O91" s="124"/>
      <c r="P91" s="64"/>
      <c r="Q91" s="64"/>
      <c r="R91" s="125"/>
      <c r="S91" s="124"/>
      <c r="T91" s="64"/>
      <c r="AC91" s="208"/>
    </row>
    <row r="92" spans="1:29" x14ac:dyDescent="0.25">
      <c r="A92" s="12" t="s">
        <v>14</v>
      </c>
      <c r="B92" s="66"/>
      <c r="C92" s="135">
        <v>1</v>
      </c>
      <c r="D92" s="66"/>
      <c r="E92" s="66">
        <v>3.5</v>
      </c>
      <c r="F92" s="136">
        <v>1.5</v>
      </c>
      <c r="G92" s="135">
        <v>4</v>
      </c>
      <c r="H92" s="66">
        <v>7.35</v>
      </c>
      <c r="I92" s="66">
        <v>5</v>
      </c>
      <c r="J92" s="136">
        <v>10.419096983311759</v>
      </c>
      <c r="K92" s="135">
        <v>1.4649999999999999</v>
      </c>
      <c r="L92" s="66">
        <v>5.3100000000000005</v>
      </c>
      <c r="M92" s="66">
        <v>5.9399999999999995</v>
      </c>
      <c r="N92" s="172">
        <v>1.74</v>
      </c>
      <c r="O92" s="135"/>
      <c r="P92" s="66"/>
      <c r="Q92" s="66"/>
      <c r="R92" s="136"/>
      <c r="S92" s="135"/>
      <c r="T92" s="66"/>
    </row>
    <row r="93" spans="1:29" x14ac:dyDescent="0.25">
      <c r="A93" s="2" t="s">
        <v>39</v>
      </c>
      <c r="B93" s="61">
        <f t="shared" ref="B93:T93" si="39">SUM(B88:B92)</f>
        <v>0</v>
      </c>
      <c r="C93" s="128">
        <f t="shared" si="39"/>
        <v>10</v>
      </c>
      <c r="D93" s="61">
        <f t="shared" si="39"/>
        <v>10.199999999999999</v>
      </c>
      <c r="E93" s="61">
        <f t="shared" si="39"/>
        <v>8.75</v>
      </c>
      <c r="F93" s="129">
        <f t="shared" si="39"/>
        <v>11.75</v>
      </c>
      <c r="G93" s="128">
        <f t="shared" si="39"/>
        <v>16.25</v>
      </c>
      <c r="H93" s="61">
        <f t="shared" si="39"/>
        <v>20.810000000000002</v>
      </c>
      <c r="I93" s="61">
        <f t="shared" si="39"/>
        <v>22.7</v>
      </c>
      <c r="J93" s="129">
        <f t="shared" si="39"/>
        <v>48.502816091885677</v>
      </c>
      <c r="K93" s="128">
        <f t="shared" ref="K93:N93" si="40">SUM(K88:K92)</f>
        <v>10.75525162340721</v>
      </c>
      <c r="L93" s="61">
        <f t="shared" si="40"/>
        <v>29.108999999999995</v>
      </c>
      <c r="M93" s="61">
        <f t="shared" si="40"/>
        <v>27.710999999999999</v>
      </c>
      <c r="N93" s="170">
        <f t="shared" si="40"/>
        <v>23.498090909090909</v>
      </c>
      <c r="O93" s="128">
        <f t="shared" si="39"/>
        <v>0</v>
      </c>
      <c r="P93" s="61">
        <f t="shared" si="39"/>
        <v>0</v>
      </c>
      <c r="Q93" s="61">
        <f t="shared" si="39"/>
        <v>0</v>
      </c>
      <c r="R93" s="129">
        <f t="shared" si="39"/>
        <v>0</v>
      </c>
      <c r="S93" s="128">
        <f t="shared" si="39"/>
        <v>0</v>
      </c>
      <c r="T93" s="61">
        <f t="shared" si="39"/>
        <v>0</v>
      </c>
      <c r="V93" s="192" t="s">
        <v>66</v>
      </c>
    </row>
    <row r="94" spans="1:29" x14ac:dyDescent="0.25">
      <c r="C94" s="109"/>
      <c r="F94" s="132"/>
      <c r="G94" s="109"/>
      <c r="J94" s="132"/>
      <c r="K94" s="109"/>
      <c r="N94" s="132"/>
      <c r="O94" s="109"/>
      <c r="R94" s="132"/>
    </row>
    <row r="95" spans="1:29" x14ac:dyDescent="0.25">
      <c r="C95" s="109" t="s">
        <v>44</v>
      </c>
      <c r="F95" s="125">
        <f>AVERAGE(C93:F93)</f>
        <v>10.175000000000001</v>
      </c>
      <c r="G95" s="109" t="s">
        <v>45</v>
      </c>
      <c r="J95" s="125">
        <f>AVERAGE(G93:J93)</f>
        <v>27.065704022971421</v>
      </c>
      <c r="K95" s="109" t="s">
        <v>46</v>
      </c>
      <c r="N95" s="125">
        <f>AVERAGE(K93:N93)</f>
        <v>22.768335633124529</v>
      </c>
      <c r="O95" s="109"/>
      <c r="R95" s="125"/>
    </row>
    <row r="96" spans="1:29" x14ac:dyDescent="0.25">
      <c r="C96" s="109"/>
      <c r="F96" s="132"/>
      <c r="G96" s="109" t="s">
        <v>48</v>
      </c>
      <c r="J96" s="125">
        <f>AVERAGE(C93:J93)</f>
        <v>18.620352011485711</v>
      </c>
      <c r="K96" s="109"/>
      <c r="N96" s="132"/>
      <c r="O96" s="109"/>
      <c r="R96" s="132"/>
    </row>
    <row r="97" spans="1:22" x14ac:dyDescent="0.25">
      <c r="C97" s="109"/>
      <c r="F97" s="132"/>
      <c r="G97" s="109"/>
      <c r="J97" s="132"/>
      <c r="K97" s="109"/>
      <c r="L97" s="64"/>
      <c r="N97" s="171"/>
      <c r="O97" s="109"/>
      <c r="P97" s="64"/>
      <c r="R97" s="171"/>
    </row>
    <row r="98" spans="1:22" x14ac:dyDescent="0.25">
      <c r="C98" s="109"/>
      <c r="F98" s="132"/>
      <c r="G98" s="109"/>
      <c r="J98" s="132"/>
      <c r="K98" s="109"/>
      <c r="N98" s="132"/>
      <c r="O98" s="109"/>
      <c r="R98" s="132"/>
    </row>
    <row r="99" spans="1:22" x14ac:dyDescent="0.25">
      <c r="C99" s="109"/>
      <c r="F99" s="132"/>
      <c r="G99" s="109"/>
      <c r="J99" s="132"/>
      <c r="K99" s="109"/>
      <c r="N99" s="132"/>
      <c r="O99" s="109"/>
      <c r="R99" s="132"/>
    </row>
    <row r="100" spans="1:22" x14ac:dyDescent="0.25">
      <c r="A100" s="14" t="s">
        <v>67</v>
      </c>
      <c r="B100" s="15"/>
      <c r="C100" s="120"/>
      <c r="D100" s="15"/>
      <c r="E100" s="15"/>
      <c r="F100" s="121"/>
      <c r="G100" s="120"/>
      <c r="H100" s="15"/>
      <c r="I100" s="15"/>
      <c r="J100" s="121"/>
      <c r="K100" s="120"/>
      <c r="L100" s="15"/>
      <c r="M100" s="15"/>
      <c r="N100" s="121"/>
      <c r="O100" s="120"/>
      <c r="P100" s="15"/>
      <c r="Q100" s="15"/>
      <c r="R100" s="121"/>
      <c r="S100" s="15"/>
      <c r="T100" s="15"/>
    </row>
    <row r="101" spans="1:22" ht="17.25" x14ac:dyDescent="0.4">
      <c r="B101" s="11">
        <v>2010</v>
      </c>
      <c r="C101" s="122">
        <v>2011</v>
      </c>
      <c r="D101" s="11">
        <v>2012</v>
      </c>
      <c r="E101" s="11">
        <v>2013</v>
      </c>
      <c r="F101" s="123">
        <v>2014</v>
      </c>
      <c r="G101" s="122">
        <v>2015</v>
      </c>
      <c r="H101" s="11">
        <v>2016</v>
      </c>
      <c r="I101" s="11">
        <v>2017</v>
      </c>
      <c r="J101" s="123">
        <v>2018</v>
      </c>
      <c r="K101" s="122">
        <v>2019</v>
      </c>
      <c r="L101" s="11">
        <v>2020</v>
      </c>
      <c r="M101" s="11">
        <v>2021</v>
      </c>
      <c r="N101" s="123">
        <v>2022</v>
      </c>
      <c r="O101" s="122">
        <v>2023</v>
      </c>
      <c r="P101" s="11">
        <v>2024</v>
      </c>
      <c r="Q101" s="11">
        <v>2025</v>
      </c>
      <c r="R101" s="123">
        <v>2026</v>
      </c>
      <c r="S101" s="11">
        <v>2027</v>
      </c>
      <c r="T101" s="11">
        <v>2028</v>
      </c>
    </row>
    <row r="102" spans="1:22" x14ac:dyDescent="0.25">
      <c r="A102" s="46" t="s">
        <v>68</v>
      </c>
      <c r="B102" s="47"/>
      <c r="C102" s="137"/>
      <c r="D102" s="47"/>
      <c r="E102" s="47"/>
      <c r="F102" s="138"/>
      <c r="G102" s="137"/>
      <c r="H102" s="47"/>
      <c r="I102" s="47"/>
      <c r="J102" s="138"/>
      <c r="K102" s="137"/>
      <c r="L102" s="47"/>
      <c r="M102" s="47"/>
      <c r="N102" s="138"/>
      <c r="O102" s="137"/>
      <c r="P102" s="47"/>
      <c r="Q102" s="47"/>
      <c r="R102" s="138"/>
      <c r="S102" s="47"/>
      <c r="T102" s="47"/>
    </row>
    <row r="103" spans="1:22" x14ac:dyDescent="0.25">
      <c r="A103" t="s">
        <v>60</v>
      </c>
      <c r="C103" s="109"/>
      <c r="E103" s="110">
        <v>2339120.4724999997</v>
      </c>
      <c r="F103" s="111">
        <v>4357045.5249999994</v>
      </c>
      <c r="G103" s="112">
        <v>4708250.0000000009</v>
      </c>
      <c r="H103" s="110">
        <v>934250</v>
      </c>
      <c r="I103" s="110">
        <v>3367000</v>
      </c>
      <c r="J103" s="113">
        <v>5423354.4157404974</v>
      </c>
      <c r="K103" s="114">
        <v>2523663.5419860734</v>
      </c>
      <c r="L103" s="115">
        <v>2322593.1890000002</v>
      </c>
      <c r="M103" s="115">
        <v>6667275</v>
      </c>
      <c r="N103" s="193">
        <v>16821660.141659163</v>
      </c>
      <c r="O103" s="114"/>
      <c r="P103" s="115"/>
      <c r="Q103" s="115"/>
      <c r="R103" s="113"/>
      <c r="S103" s="114"/>
      <c r="T103" s="115"/>
      <c r="V103"/>
    </row>
    <row r="104" spans="1:22" x14ac:dyDescent="0.25">
      <c r="A104" t="s">
        <v>69</v>
      </c>
      <c r="B104" s="110"/>
      <c r="C104" s="112"/>
      <c r="D104" s="110"/>
      <c r="E104" s="110">
        <v>525000</v>
      </c>
      <c r="F104" s="111">
        <v>859000</v>
      </c>
      <c r="G104" s="112">
        <v>1152000</v>
      </c>
      <c r="H104" s="110">
        <v>1275000</v>
      </c>
      <c r="I104" s="110">
        <v>1646000</v>
      </c>
      <c r="J104" s="111">
        <v>3609935.6982583264</v>
      </c>
      <c r="K104" s="112">
        <v>873715.162340721</v>
      </c>
      <c r="L104" s="110">
        <v>3333351.5785765918</v>
      </c>
      <c r="M104" s="110">
        <v>2198420</v>
      </c>
      <c r="N104" s="194">
        <v>1833667.2727272727</v>
      </c>
      <c r="O104" s="112"/>
      <c r="P104" s="110"/>
      <c r="Q104" s="110"/>
      <c r="R104" s="111"/>
      <c r="S104" s="112"/>
      <c r="T104" s="110"/>
      <c r="V104"/>
    </row>
    <row r="105" spans="1:22" x14ac:dyDescent="0.25">
      <c r="A105" s="54" t="s">
        <v>39</v>
      </c>
      <c r="B105" s="54"/>
      <c r="C105" s="141"/>
      <c r="D105" s="54"/>
      <c r="E105" s="116">
        <f>SUM(E103:E104)</f>
        <v>2864120.4724999997</v>
      </c>
      <c r="F105" s="142">
        <f t="shared" ref="F105:T105" si="41">SUM(F103:F104)</f>
        <v>5216045.5249999994</v>
      </c>
      <c r="G105" s="164">
        <f t="shared" si="41"/>
        <v>5860250.0000000009</v>
      </c>
      <c r="H105" s="116">
        <f t="shared" si="41"/>
        <v>2209250</v>
      </c>
      <c r="I105" s="116">
        <f t="shared" si="41"/>
        <v>5013000</v>
      </c>
      <c r="J105" s="142">
        <f t="shared" si="41"/>
        <v>9033290.1139988229</v>
      </c>
      <c r="K105" s="164">
        <f t="shared" si="41"/>
        <v>3397378.7043267945</v>
      </c>
      <c r="L105" s="116">
        <f t="shared" si="41"/>
        <v>5655944.767576592</v>
      </c>
      <c r="M105" s="117">
        <f t="shared" si="41"/>
        <v>8865695</v>
      </c>
      <c r="N105" s="195">
        <f t="shared" si="41"/>
        <v>18655327.414386436</v>
      </c>
      <c r="O105" s="164">
        <f t="shared" si="41"/>
        <v>0</v>
      </c>
      <c r="P105" s="116">
        <f t="shared" si="41"/>
        <v>0</v>
      </c>
      <c r="Q105" s="117">
        <f t="shared" si="41"/>
        <v>0</v>
      </c>
      <c r="R105" s="142">
        <f t="shared" si="41"/>
        <v>0</v>
      </c>
      <c r="S105" s="164">
        <f t="shared" si="41"/>
        <v>0</v>
      </c>
      <c r="T105" s="116">
        <f t="shared" si="41"/>
        <v>0</v>
      </c>
      <c r="V105" s="192" t="s">
        <v>66</v>
      </c>
    </row>
    <row r="106" spans="1:22" x14ac:dyDescent="0.25">
      <c r="C106" s="109"/>
      <c r="F106" s="132"/>
      <c r="G106" s="109"/>
      <c r="H106" s="165"/>
      <c r="I106" s="165"/>
      <c r="J106" s="166"/>
      <c r="K106" s="109"/>
      <c r="N106" s="132"/>
      <c r="O106" s="109"/>
      <c r="R106" s="166"/>
    </row>
    <row r="107" spans="1:22" x14ac:dyDescent="0.25">
      <c r="C107" s="109" t="s">
        <v>44</v>
      </c>
      <c r="F107" s="196">
        <f>AVERAGE(C105:F105)</f>
        <v>4040082.9987499993</v>
      </c>
      <c r="G107" s="109" t="s">
        <v>45</v>
      </c>
      <c r="J107" s="196">
        <f>AVERAGE(G105:J105)</f>
        <v>5528947.5284997057</v>
      </c>
      <c r="K107" s="109" t="s">
        <v>46</v>
      </c>
      <c r="N107" s="196">
        <f>AVERAGE(K105:N105)</f>
        <v>9143586.471572455</v>
      </c>
      <c r="O107" s="109"/>
      <c r="R107" s="196"/>
    </row>
    <row r="108" spans="1:22" x14ac:dyDescent="0.25">
      <c r="C108" s="109"/>
      <c r="F108" s="132"/>
      <c r="G108" s="109" t="s">
        <v>48</v>
      </c>
      <c r="J108" s="196">
        <f>AVERAGE(C105:J105)</f>
        <v>5032659.3519164706</v>
      </c>
      <c r="K108" s="109"/>
      <c r="N108" s="132"/>
      <c r="O108" s="109"/>
      <c r="R108" s="132"/>
    </row>
    <row r="109" spans="1:22" x14ac:dyDescent="0.25">
      <c r="C109" s="109"/>
      <c r="F109" s="132"/>
      <c r="G109" s="109"/>
      <c r="J109" s="132"/>
      <c r="K109" s="109"/>
      <c r="L109" s="64"/>
      <c r="N109" s="171"/>
      <c r="O109" s="109"/>
      <c r="P109" s="64"/>
      <c r="R109" s="171"/>
    </row>
    <row r="110" spans="1:22" x14ac:dyDescent="0.25">
      <c r="A110" s="46" t="s">
        <v>60</v>
      </c>
      <c r="B110" s="47"/>
      <c r="C110" s="137"/>
      <c r="D110" s="47"/>
      <c r="E110" s="47"/>
      <c r="F110" s="138"/>
      <c r="G110" s="137"/>
      <c r="H110" s="47"/>
      <c r="I110" s="47"/>
      <c r="J110" s="138"/>
      <c r="K110" s="137"/>
      <c r="L110" s="47"/>
      <c r="M110" s="47"/>
      <c r="N110" s="138"/>
      <c r="O110" s="137"/>
      <c r="P110" s="47"/>
      <c r="Q110" s="47"/>
      <c r="R110" s="138"/>
      <c r="S110" s="47"/>
      <c r="T110" s="47"/>
    </row>
    <row r="111" spans="1:22" x14ac:dyDescent="0.25">
      <c r="A111" t="s">
        <v>29</v>
      </c>
      <c r="B111" s="65">
        <f t="shared" ref="B111:N111" si="42">B79</f>
        <v>0</v>
      </c>
      <c r="C111" s="130">
        <f t="shared" si="42"/>
        <v>29</v>
      </c>
      <c r="D111" s="65">
        <f t="shared" si="42"/>
        <v>28.95</v>
      </c>
      <c r="E111" s="65">
        <f t="shared" si="42"/>
        <v>22.25</v>
      </c>
      <c r="F111" s="131">
        <f t="shared" si="42"/>
        <v>39.5</v>
      </c>
      <c r="G111" s="130">
        <f t="shared" si="42"/>
        <v>25.450000000000003</v>
      </c>
      <c r="H111" s="65">
        <f t="shared" si="42"/>
        <v>5.05</v>
      </c>
      <c r="I111" s="65">
        <f t="shared" si="42"/>
        <v>18.2</v>
      </c>
      <c r="J111" s="131">
        <f t="shared" si="42"/>
        <v>29.796412026927197</v>
      </c>
      <c r="K111" s="130">
        <f t="shared" si="42"/>
        <v>13.1</v>
      </c>
      <c r="L111" s="65">
        <f t="shared" si="42"/>
        <v>29.000000000000004</v>
      </c>
      <c r="M111" s="65">
        <f t="shared" si="42"/>
        <v>44.23</v>
      </c>
      <c r="N111" s="131">
        <f t="shared" si="42"/>
        <v>35.08</v>
      </c>
      <c r="O111" s="130">
        <f t="shared" ref="O111:T111" si="43">O79</f>
        <v>50.389999999999993</v>
      </c>
      <c r="P111" s="65">
        <f t="shared" si="43"/>
        <v>0</v>
      </c>
      <c r="Q111" s="65">
        <f t="shared" si="43"/>
        <v>0</v>
      </c>
      <c r="R111" s="131">
        <f t="shared" si="43"/>
        <v>0</v>
      </c>
      <c r="S111" s="65">
        <f t="shared" si="43"/>
        <v>0</v>
      </c>
      <c r="T111" s="65">
        <f t="shared" si="43"/>
        <v>0</v>
      </c>
    </row>
    <row r="112" spans="1:22" x14ac:dyDescent="0.25">
      <c r="A112" t="s">
        <v>70</v>
      </c>
      <c r="C112" s="109"/>
      <c r="E112" s="90">
        <f t="shared" ref="E112:N112" si="44">E105/E111</f>
        <v>128724.51561797751</v>
      </c>
      <c r="F112" s="143">
        <f t="shared" si="44"/>
        <v>132051.78544303795</v>
      </c>
      <c r="G112" s="167">
        <f t="shared" si="44"/>
        <v>230265.22593320237</v>
      </c>
      <c r="H112" s="90">
        <f t="shared" si="44"/>
        <v>437475.24752475251</v>
      </c>
      <c r="I112" s="90">
        <f t="shared" si="44"/>
        <v>275439.56043956045</v>
      </c>
      <c r="J112" s="143">
        <f t="shared" si="44"/>
        <v>303167.04259007372</v>
      </c>
      <c r="K112" s="167">
        <f t="shared" si="44"/>
        <v>259341.88582647286</v>
      </c>
      <c r="L112" s="90">
        <f t="shared" si="44"/>
        <v>195032.57819229626</v>
      </c>
      <c r="M112" s="90">
        <f t="shared" si="44"/>
        <v>200445.28600497401</v>
      </c>
      <c r="N112" s="143">
        <f t="shared" si="44"/>
        <v>531793.8259517228</v>
      </c>
      <c r="O112" s="167">
        <f t="shared" ref="O112:T112" si="45">O105/O111</f>
        <v>0</v>
      </c>
      <c r="P112" s="90" t="e">
        <f t="shared" si="45"/>
        <v>#DIV/0!</v>
      </c>
      <c r="Q112" s="90" t="e">
        <f t="shared" si="45"/>
        <v>#DIV/0!</v>
      </c>
      <c r="R112" s="143" t="e">
        <f t="shared" si="45"/>
        <v>#DIV/0!</v>
      </c>
      <c r="S112" s="90" t="e">
        <f t="shared" si="45"/>
        <v>#DIV/0!</v>
      </c>
      <c r="T112" s="90" t="e">
        <f t="shared" si="45"/>
        <v>#DIV/0!</v>
      </c>
    </row>
    <row r="113" spans="1:20" x14ac:dyDescent="0.25">
      <c r="C113" s="109"/>
      <c r="F113" s="132"/>
      <c r="G113" s="109"/>
      <c r="H113" s="165"/>
      <c r="I113" s="165"/>
      <c r="J113" s="166"/>
      <c r="K113" s="109"/>
      <c r="N113" s="132"/>
      <c r="O113" s="109"/>
      <c r="R113" s="132"/>
    </row>
    <row r="114" spans="1:20" x14ac:dyDescent="0.25">
      <c r="A114" t="s">
        <v>71</v>
      </c>
      <c r="B114" s="91"/>
      <c r="C114" s="144"/>
      <c r="D114" s="91"/>
      <c r="E114" s="91"/>
      <c r="F114" s="145" t="s">
        <v>72</v>
      </c>
      <c r="G114" s="144" t="s">
        <v>72</v>
      </c>
      <c r="H114" s="91" t="s">
        <v>72</v>
      </c>
      <c r="I114" s="91" t="s">
        <v>72</v>
      </c>
      <c r="J114" s="145" t="s">
        <v>73</v>
      </c>
      <c r="K114" s="144" t="s">
        <v>73</v>
      </c>
      <c r="L114" s="91" t="s">
        <v>73</v>
      </c>
      <c r="M114" s="91"/>
      <c r="N114" s="145"/>
      <c r="O114" s="144"/>
      <c r="P114" s="91"/>
      <c r="Q114" s="91"/>
      <c r="R114" s="145"/>
      <c r="S114" s="91"/>
      <c r="T114" s="91"/>
    </row>
    <row r="115" spans="1:20" x14ac:dyDescent="0.25">
      <c r="C115" s="109"/>
      <c r="F115" s="132"/>
      <c r="G115" s="109"/>
      <c r="J115" s="132"/>
      <c r="K115" s="109"/>
      <c r="N115" s="132"/>
      <c r="O115" s="109"/>
      <c r="R115" s="132"/>
    </row>
    <row r="116" spans="1:20" x14ac:dyDescent="0.25">
      <c r="C116" s="109"/>
      <c r="F116" s="132"/>
      <c r="G116" s="109"/>
      <c r="J116" s="132"/>
      <c r="K116" s="109"/>
      <c r="N116" s="132"/>
      <c r="O116" s="109"/>
      <c r="R116" s="132"/>
    </row>
    <row r="117" spans="1:20" x14ac:dyDescent="0.25">
      <c r="B117" s="91"/>
      <c r="C117" s="144"/>
      <c r="D117" s="91"/>
      <c r="E117" s="91"/>
      <c r="F117" s="145"/>
      <c r="G117" s="144"/>
      <c r="H117" s="91"/>
      <c r="I117" s="91"/>
      <c r="J117" s="145"/>
      <c r="K117" s="144"/>
      <c r="L117" s="91"/>
      <c r="M117" s="91"/>
      <c r="N117" s="145"/>
      <c r="O117" s="144"/>
      <c r="P117" s="91"/>
      <c r="Q117" s="91"/>
      <c r="R117" s="145"/>
      <c r="S117" s="91"/>
      <c r="T117" s="91"/>
    </row>
    <row r="118" spans="1:20" x14ac:dyDescent="0.25">
      <c r="A118" s="14" t="s">
        <v>41</v>
      </c>
      <c r="B118" s="15"/>
      <c r="C118" s="120"/>
      <c r="D118" s="15"/>
      <c r="E118" s="15"/>
      <c r="F118" s="121"/>
      <c r="G118" s="120"/>
      <c r="H118" s="15"/>
      <c r="I118" s="15"/>
      <c r="J118" s="121"/>
      <c r="K118" s="120"/>
      <c r="L118" s="15"/>
      <c r="M118" s="15"/>
      <c r="N118" s="121"/>
      <c r="O118" s="120"/>
      <c r="P118" s="15"/>
      <c r="Q118" s="15"/>
      <c r="R118" s="121"/>
      <c r="S118" s="15"/>
      <c r="T118" s="15"/>
    </row>
    <row r="119" spans="1:20" ht="17.25" x14ac:dyDescent="0.4">
      <c r="B119" s="11">
        <v>2010</v>
      </c>
      <c r="C119" s="122">
        <v>2011</v>
      </c>
      <c r="D119" s="11">
        <v>2012</v>
      </c>
      <c r="E119" s="11">
        <v>2013</v>
      </c>
      <c r="F119" s="123">
        <v>2014</v>
      </c>
      <c r="G119" s="122">
        <v>2015</v>
      </c>
      <c r="H119" s="11">
        <v>2016</v>
      </c>
      <c r="I119" s="11">
        <v>2017</v>
      </c>
      <c r="J119" s="123">
        <v>2018</v>
      </c>
      <c r="K119" s="122">
        <v>2019</v>
      </c>
      <c r="L119" s="11">
        <v>2020</v>
      </c>
      <c r="M119" s="11">
        <v>2021</v>
      </c>
      <c r="N119" s="123">
        <v>2022</v>
      </c>
      <c r="O119" s="122">
        <v>2023</v>
      </c>
      <c r="P119" s="11">
        <v>2024</v>
      </c>
      <c r="Q119" s="11">
        <v>2025</v>
      </c>
      <c r="R119" s="123">
        <v>2026</v>
      </c>
      <c r="S119" s="11">
        <v>2027</v>
      </c>
      <c r="T119" s="11">
        <v>2028</v>
      </c>
    </row>
    <row r="120" spans="1:20" x14ac:dyDescent="0.25">
      <c r="A120" t="s">
        <v>74</v>
      </c>
      <c r="C120" s="109"/>
      <c r="F120" s="132"/>
      <c r="G120" s="109"/>
      <c r="J120" s="132"/>
      <c r="K120" s="109"/>
      <c r="N120" s="132"/>
      <c r="O120" s="109"/>
      <c r="R120" s="132"/>
    </row>
    <row r="121" spans="1:20" x14ac:dyDescent="0.25">
      <c r="A121" t="s">
        <v>75</v>
      </c>
      <c r="C121" s="109"/>
      <c r="F121" s="132"/>
      <c r="G121" s="109"/>
      <c r="J121" s="132"/>
      <c r="K121" s="109"/>
      <c r="N121" s="132"/>
      <c r="O121" s="109"/>
      <c r="R121" s="132"/>
    </row>
    <row r="122" spans="1:20" x14ac:dyDescent="0.25">
      <c r="C122" s="109"/>
      <c r="F122" s="132"/>
      <c r="G122" s="109"/>
      <c r="J122" s="132"/>
      <c r="K122" s="109"/>
      <c r="N122" s="132"/>
      <c r="O122" s="109"/>
      <c r="R122" s="132"/>
    </row>
    <row r="123" spans="1:20" x14ac:dyDescent="0.25">
      <c r="C123" s="109"/>
      <c r="F123" s="132"/>
      <c r="G123" s="109"/>
      <c r="J123" s="132"/>
      <c r="K123" s="109"/>
      <c r="N123" s="132"/>
      <c r="O123" s="109"/>
      <c r="R123" s="132"/>
    </row>
    <row r="124" spans="1:20" x14ac:dyDescent="0.25">
      <c r="C124" s="109"/>
      <c r="F124" s="132"/>
      <c r="G124" s="109"/>
      <c r="J124" s="132"/>
      <c r="K124" s="109"/>
      <c r="N124" s="132"/>
      <c r="O124" s="109"/>
      <c r="R124" s="132"/>
    </row>
    <row r="125" spans="1:20" x14ac:dyDescent="0.25">
      <c r="A125" s="14" t="s">
        <v>76</v>
      </c>
      <c r="B125" s="15"/>
      <c r="C125" s="120"/>
      <c r="D125" s="15"/>
      <c r="E125" s="15"/>
      <c r="F125" s="121"/>
      <c r="G125" s="120"/>
      <c r="H125" s="15"/>
      <c r="I125" s="15"/>
      <c r="J125" s="121"/>
      <c r="K125" s="120"/>
      <c r="L125" s="15"/>
      <c r="M125" s="15"/>
      <c r="N125" s="121"/>
      <c r="O125" s="120"/>
      <c r="P125" s="15"/>
      <c r="Q125" s="15"/>
      <c r="R125" s="121"/>
      <c r="S125" s="15"/>
      <c r="T125" s="15"/>
    </row>
    <row r="126" spans="1:20" ht="17.25" x14ac:dyDescent="0.4">
      <c r="B126" s="11">
        <v>2010</v>
      </c>
      <c r="C126" s="122">
        <v>2011</v>
      </c>
      <c r="D126" s="11">
        <v>2012</v>
      </c>
      <c r="E126" s="11">
        <v>2013</v>
      </c>
      <c r="F126" s="123">
        <v>2014</v>
      </c>
      <c r="G126" s="122">
        <v>2015</v>
      </c>
      <c r="H126" s="11">
        <v>2016</v>
      </c>
      <c r="I126" s="11">
        <v>2017</v>
      </c>
      <c r="J126" s="123">
        <v>2018</v>
      </c>
      <c r="K126" s="122">
        <v>2019</v>
      </c>
      <c r="L126" s="11">
        <v>2020</v>
      </c>
      <c r="M126" s="11">
        <v>2021</v>
      </c>
      <c r="N126" s="123">
        <v>2022</v>
      </c>
      <c r="O126" s="122">
        <v>2023</v>
      </c>
      <c r="P126" s="11">
        <v>2024</v>
      </c>
      <c r="Q126" s="11">
        <v>2025</v>
      </c>
      <c r="R126" s="123">
        <v>2026</v>
      </c>
      <c r="S126" s="11">
        <v>2027</v>
      </c>
      <c r="T126" s="11">
        <v>2028</v>
      </c>
    </row>
    <row r="127" spans="1:20" x14ac:dyDescent="0.25">
      <c r="A127" t="s">
        <v>77</v>
      </c>
      <c r="C127" s="109"/>
      <c r="F127" s="132"/>
      <c r="G127" s="109"/>
      <c r="J127" s="168">
        <v>0.78847825240057556</v>
      </c>
      <c r="K127" s="109"/>
      <c r="N127" s="132"/>
      <c r="O127" s="109"/>
      <c r="R127" s="132"/>
    </row>
    <row r="128" spans="1:20" x14ac:dyDescent="0.25">
      <c r="A128" t="s">
        <v>78</v>
      </c>
      <c r="C128" s="109"/>
      <c r="F128" s="132"/>
      <c r="G128" s="109"/>
      <c r="J128" s="168">
        <v>0.74090820344177732</v>
      </c>
      <c r="K128" s="109"/>
      <c r="N128" s="132"/>
      <c r="O128" s="109"/>
      <c r="R128" s="132"/>
    </row>
    <row r="129" spans="1:22" x14ac:dyDescent="0.25">
      <c r="A129" t="s">
        <v>79</v>
      </c>
      <c r="C129" s="109"/>
      <c r="F129" s="132"/>
      <c r="G129" s="109"/>
      <c r="J129" s="168"/>
      <c r="K129" s="109"/>
      <c r="N129" s="132"/>
      <c r="O129" s="109"/>
      <c r="R129" s="132"/>
    </row>
    <row r="130" spans="1:22" x14ac:dyDescent="0.25">
      <c r="C130" s="109"/>
      <c r="F130" s="132"/>
      <c r="G130" s="109"/>
      <c r="J130" s="132"/>
      <c r="K130" s="109"/>
      <c r="N130" s="132"/>
      <c r="O130" s="109"/>
      <c r="R130" s="132"/>
    </row>
    <row r="131" spans="1:22" x14ac:dyDescent="0.25">
      <c r="C131" s="109"/>
      <c r="F131" s="132"/>
      <c r="G131" s="109"/>
      <c r="J131" s="132"/>
      <c r="K131" s="109"/>
      <c r="N131" s="132"/>
      <c r="O131" s="109"/>
      <c r="R131" s="132"/>
    </row>
    <row r="132" spans="1:22" x14ac:dyDescent="0.25">
      <c r="C132" s="109"/>
      <c r="F132" s="132"/>
      <c r="G132" s="109"/>
      <c r="J132" s="132"/>
      <c r="K132" s="109"/>
      <c r="N132" s="132"/>
      <c r="O132" s="109"/>
      <c r="R132" s="132"/>
    </row>
    <row r="133" spans="1:22" s="105" customFormat="1" ht="23.25" x14ac:dyDescent="0.35">
      <c r="A133" s="103" t="s">
        <v>80</v>
      </c>
      <c r="B133" s="104"/>
      <c r="C133" s="146"/>
      <c r="D133" s="104"/>
      <c r="E133" s="104"/>
      <c r="F133" s="147"/>
      <c r="G133" s="146"/>
      <c r="H133" s="104"/>
      <c r="I133" s="104"/>
      <c r="J133" s="147"/>
      <c r="K133" s="146"/>
      <c r="L133" s="104"/>
      <c r="M133" s="104"/>
      <c r="N133" s="147"/>
      <c r="O133" s="146"/>
      <c r="P133" s="104"/>
      <c r="Q133" s="104"/>
      <c r="R133" s="147"/>
      <c r="S133" s="104"/>
      <c r="T133" s="104"/>
      <c r="V133" s="106"/>
    </row>
    <row r="134" spans="1:22" x14ac:dyDescent="0.25">
      <c r="B134" s="5"/>
      <c r="C134" s="118"/>
      <c r="D134" s="5"/>
      <c r="E134" s="5"/>
      <c r="F134" s="119"/>
      <c r="G134" s="118"/>
      <c r="H134" s="5"/>
      <c r="J134" s="132"/>
      <c r="K134" s="109"/>
      <c r="N134" s="132"/>
      <c r="O134" s="109"/>
      <c r="R134" s="132"/>
    </row>
    <row r="135" spans="1:22" x14ac:dyDescent="0.25">
      <c r="A135" s="14" t="s">
        <v>81</v>
      </c>
      <c r="B135" s="15"/>
      <c r="C135" s="120"/>
      <c r="D135" s="15"/>
      <c r="E135" s="15"/>
      <c r="F135" s="121"/>
      <c r="G135" s="120"/>
      <c r="H135" s="15"/>
      <c r="I135" s="15"/>
      <c r="J135" s="121"/>
      <c r="K135" s="120"/>
      <c r="L135" s="15"/>
      <c r="M135" s="15"/>
      <c r="N135" s="121"/>
      <c r="O135" s="120"/>
      <c r="P135" s="15"/>
      <c r="Q135" s="15"/>
      <c r="R135" s="121"/>
      <c r="S135" s="62"/>
      <c r="T135" s="62"/>
      <c r="V135" s="67" t="s">
        <v>82</v>
      </c>
    </row>
    <row r="136" spans="1:22" ht="17.25" x14ac:dyDescent="0.4">
      <c r="B136" s="11">
        <v>2010</v>
      </c>
      <c r="C136" s="122">
        <v>2011</v>
      </c>
      <c r="D136" s="11">
        <v>2012</v>
      </c>
      <c r="E136" s="11">
        <v>2013</v>
      </c>
      <c r="F136" s="123">
        <v>2014</v>
      </c>
      <c r="G136" s="122">
        <v>2015</v>
      </c>
      <c r="H136" s="11">
        <v>2016</v>
      </c>
      <c r="I136" s="11">
        <v>2017</v>
      </c>
      <c r="J136" s="123">
        <v>2018</v>
      </c>
      <c r="K136" s="122">
        <v>2019</v>
      </c>
      <c r="L136" s="11">
        <v>2020</v>
      </c>
      <c r="M136" s="11">
        <v>2021</v>
      </c>
      <c r="N136" s="123">
        <v>2022</v>
      </c>
      <c r="O136" s="122">
        <v>2023</v>
      </c>
      <c r="P136" s="11">
        <v>2024</v>
      </c>
      <c r="Q136" s="11">
        <v>2025</v>
      </c>
      <c r="R136" s="123">
        <v>2026</v>
      </c>
      <c r="S136" s="11">
        <v>2027</v>
      </c>
      <c r="T136" s="11">
        <v>2028</v>
      </c>
      <c r="V136" s="67" t="s">
        <v>83</v>
      </c>
    </row>
    <row r="137" spans="1:22" x14ac:dyDescent="0.25">
      <c r="A137" t="s">
        <v>84</v>
      </c>
      <c r="B137" s="101">
        <v>1162550</v>
      </c>
      <c r="C137" s="148">
        <v>1209122</v>
      </c>
      <c r="D137" s="101">
        <v>1230933</v>
      </c>
      <c r="E137" s="101">
        <v>1260741</v>
      </c>
      <c r="F137" s="149">
        <v>1271744</v>
      </c>
      <c r="G137" s="148">
        <v>1168318</v>
      </c>
      <c r="H137" s="101">
        <v>1199278</v>
      </c>
      <c r="I137" s="101">
        <v>1218908</v>
      </c>
      <c r="J137" s="149">
        <v>1245739</v>
      </c>
      <c r="K137" s="148">
        <v>1255632</v>
      </c>
      <c r="L137" s="101"/>
      <c r="M137" s="101"/>
      <c r="N137" s="149"/>
      <c r="O137" s="148"/>
      <c r="P137" s="101"/>
      <c r="Q137" s="101"/>
      <c r="R137" s="149"/>
      <c r="S137" s="101"/>
      <c r="T137" s="101"/>
      <c r="V137" s="197">
        <f t="shared" ref="V137" si="46">(K137-G137)/G137</f>
        <v>7.4734789671989987E-2</v>
      </c>
    </row>
    <row r="138" spans="1:22" x14ac:dyDescent="0.25">
      <c r="B138" s="101"/>
      <c r="C138" s="148"/>
      <c r="D138" s="101"/>
      <c r="E138" s="101"/>
      <c r="F138" s="149"/>
      <c r="G138" s="148"/>
      <c r="H138" s="101"/>
      <c r="I138" s="101"/>
      <c r="J138" s="149"/>
      <c r="K138" s="148"/>
      <c r="L138" s="101"/>
      <c r="M138" s="101"/>
      <c r="N138" s="149"/>
      <c r="O138" s="148"/>
      <c r="P138" s="101"/>
      <c r="Q138" s="101"/>
      <c r="R138" s="149"/>
      <c r="S138" s="101"/>
      <c r="T138" s="101"/>
    </row>
    <row r="139" spans="1:22" x14ac:dyDescent="0.25">
      <c r="A139" s="46" t="s">
        <v>85</v>
      </c>
      <c r="B139" s="47"/>
      <c r="C139" s="137"/>
      <c r="D139" s="47"/>
      <c r="E139" s="47"/>
      <c r="F139" s="138"/>
      <c r="G139" s="137"/>
      <c r="H139" s="47"/>
      <c r="I139" s="47"/>
      <c r="J139" s="138"/>
      <c r="K139" s="137"/>
      <c r="L139" s="47"/>
      <c r="M139" s="47"/>
      <c r="N139" s="138"/>
      <c r="O139" s="137"/>
      <c r="P139" s="47"/>
      <c r="Q139" s="47"/>
      <c r="R139" s="138"/>
      <c r="S139" s="47"/>
      <c r="T139" s="47"/>
      <c r="V139"/>
    </row>
    <row r="140" spans="1:22" x14ac:dyDescent="0.25">
      <c r="A140" t="s">
        <v>86</v>
      </c>
      <c r="B140" s="107">
        <v>6.5000000000000002E-2</v>
      </c>
      <c r="C140" s="150">
        <v>6.3E-2</v>
      </c>
      <c r="D140" s="151">
        <v>6.9000000000000006E-2</v>
      </c>
      <c r="E140" s="151">
        <v>6.7000000000000004E-2</v>
      </c>
      <c r="F140" s="152">
        <v>6.6000000000000003E-2</v>
      </c>
      <c r="G140" s="150">
        <v>6.7000000000000004E-2</v>
      </c>
      <c r="H140" s="151">
        <v>6.6000000000000003E-2</v>
      </c>
      <c r="I140" s="151">
        <v>6.6467950198503309E-2</v>
      </c>
      <c r="J140" s="152">
        <v>5.6000000000000001E-2</v>
      </c>
      <c r="K140" s="150">
        <v>6.6000000000000003E-2</v>
      </c>
      <c r="L140" s="151"/>
      <c r="M140" s="1"/>
      <c r="N140" s="154"/>
      <c r="O140" s="150"/>
      <c r="P140" s="151"/>
      <c r="Q140" s="1"/>
      <c r="R140" s="154"/>
      <c r="S140" s="197"/>
      <c r="T140" s="197"/>
      <c r="V140" s="197">
        <f>(K140-G140)/G140</f>
        <v>-1.492537313432837E-2</v>
      </c>
    </row>
    <row r="141" spans="1:22" x14ac:dyDescent="0.25">
      <c r="A141" t="s">
        <v>87</v>
      </c>
      <c r="B141" s="107">
        <v>1.2999999999999999E-2</v>
      </c>
      <c r="C141" s="150">
        <v>1.4E-2</v>
      </c>
      <c r="D141" s="151">
        <v>1.6E-2</v>
      </c>
      <c r="E141" s="151">
        <v>1.4E-2</v>
      </c>
      <c r="F141" s="152">
        <v>1.7000000000000001E-2</v>
      </c>
      <c r="G141" s="150">
        <v>1.7999999999999999E-2</v>
      </c>
      <c r="H141" s="151">
        <v>1.7000000000000001E-2</v>
      </c>
      <c r="I141" s="151">
        <v>1.7000000000000001E-2</v>
      </c>
      <c r="J141" s="152">
        <v>1.7999999999999999E-2</v>
      </c>
      <c r="K141" s="150">
        <v>1.4999999999999999E-2</v>
      </c>
      <c r="L141" s="151"/>
      <c r="M141" s="1"/>
      <c r="N141" s="154"/>
      <c r="O141" s="150"/>
      <c r="P141" s="151"/>
      <c r="Q141" s="1"/>
      <c r="R141" s="154"/>
      <c r="S141" s="197"/>
      <c r="T141" s="197"/>
      <c r="V141" s="197">
        <f>(K141-B141)/B141</f>
        <v>0.15384615384615385</v>
      </c>
    </row>
    <row r="142" spans="1:22" x14ac:dyDescent="0.25">
      <c r="A142" t="s">
        <v>88</v>
      </c>
      <c r="B142" s="107">
        <v>0.26500000000000001</v>
      </c>
      <c r="C142" s="150">
        <v>0.27600000000000002</v>
      </c>
      <c r="D142" s="151">
        <v>0.26300000000000001</v>
      </c>
      <c r="E142" s="151">
        <v>0.27800000000000002</v>
      </c>
      <c r="F142" s="152">
        <v>0.28199999999999997</v>
      </c>
      <c r="G142" s="150">
        <v>0.28299999999999997</v>
      </c>
      <c r="H142" s="151">
        <v>0.28199999999999997</v>
      </c>
      <c r="I142" s="151">
        <v>0.28338011596475166</v>
      </c>
      <c r="J142" s="152">
        <v>0.28299999999999997</v>
      </c>
      <c r="K142" s="150">
        <v>0.28399999999999997</v>
      </c>
      <c r="L142" s="151"/>
      <c r="M142" s="1"/>
      <c r="N142" s="154"/>
      <c r="O142" s="150"/>
      <c r="P142" s="151"/>
      <c r="Q142" s="1"/>
      <c r="R142" s="154"/>
      <c r="S142" s="197"/>
      <c r="T142" s="197"/>
      <c r="V142" s="197">
        <f>(K142-G142)/G142</f>
        <v>3.533568904593643E-3</v>
      </c>
    </row>
    <row r="143" spans="1:22" x14ac:dyDescent="0.25">
      <c r="A143" t="s">
        <v>89</v>
      </c>
      <c r="B143" s="107">
        <v>0.59599999999999997</v>
      </c>
      <c r="C143" s="150">
        <v>0.58899999999999997</v>
      </c>
      <c r="D143" s="151">
        <v>0.59499999999999997</v>
      </c>
      <c r="E143" s="151">
        <v>0.58199999999999996</v>
      </c>
      <c r="F143" s="152">
        <v>0.57299999999999995</v>
      </c>
      <c r="G143" s="150">
        <v>0.57099999999999995</v>
      </c>
      <c r="H143" s="151">
        <v>0.56999999999999995</v>
      </c>
      <c r="I143" s="151">
        <v>0.56200000000000006</v>
      </c>
      <c r="J143" s="152">
        <v>0.57199999999999995</v>
      </c>
      <c r="K143" s="150">
        <v>0.55400000000000005</v>
      </c>
      <c r="L143" s="151"/>
      <c r="M143" s="1"/>
      <c r="N143" s="154"/>
      <c r="O143" s="150"/>
      <c r="P143" s="151"/>
      <c r="Q143" s="1"/>
      <c r="R143" s="154"/>
      <c r="S143" s="197"/>
      <c r="T143" s="197"/>
      <c r="V143" s="197">
        <f>(K143-G143)/G143</f>
        <v>-2.9772329246935035E-2</v>
      </c>
    </row>
    <row r="144" spans="1:22" x14ac:dyDescent="0.25">
      <c r="A144" t="s">
        <v>90</v>
      </c>
      <c r="B144" s="107">
        <v>0.502</v>
      </c>
      <c r="C144" s="150">
        <v>0.499</v>
      </c>
      <c r="D144" s="151">
        <v>0.504</v>
      </c>
      <c r="E144" s="151">
        <v>0.497</v>
      </c>
      <c r="F144" s="152">
        <v>0.49199999999999999</v>
      </c>
      <c r="G144" s="150">
        <v>0.495</v>
      </c>
      <c r="H144" s="151">
        <v>0.49399999999999999</v>
      </c>
      <c r="I144" s="151">
        <v>0.48599999999999999</v>
      </c>
      <c r="J144" s="152">
        <v>0.48899999999999999</v>
      </c>
      <c r="K144" s="150">
        <v>0.48199999999999998</v>
      </c>
      <c r="L144" s="151"/>
      <c r="M144" s="1"/>
      <c r="N144" s="154"/>
      <c r="O144" s="150"/>
      <c r="P144" s="151"/>
      <c r="Q144" s="1"/>
      <c r="R144" s="154"/>
      <c r="S144" s="197"/>
      <c r="T144" s="197"/>
      <c r="V144" s="197">
        <f>(K144-G144)/G144</f>
        <v>-2.6262626262626286E-2</v>
      </c>
    </row>
    <row r="145" spans="1:22" x14ac:dyDescent="0.25">
      <c r="A145" t="s">
        <v>91</v>
      </c>
      <c r="B145" s="107">
        <v>4.7E-2</v>
      </c>
      <c r="C145" s="150">
        <v>4.2999999999999997E-2</v>
      </c>
      <c r="D145" s="151">
        <v>4.2999999999999997E-2</v>
      </c>
      <c r="E145" s="151">
        <v>4.3999999999999997E-2</v>
      </c>
      <c r="F145" s="152">
        <v>4.3999999999999997E-2</v>
      </c>
      <c r="G145" s="150">
        <v>4.4999999999999998E-2</v>
      </c>
      <c r="H145" s="151">
        <v>4.7E-2</v>
      </c>
      <c r="I145" s="151">
        <v>5.0386812489044135E-2</v>
      </c>
      <c r="J145" s="152">
        <v>5.1999999999999998E-2</v>
      </c>
      <c r="K145" s="150">
        <v>6.2E-2</v>
      </c>
      <c r="L145" s="151"/>
      <c r="M145" s="1"/>
      <c r="N145" s="154"/>
      <c r="O145" s="150"/>
      <c r="P145" s="151"/>
      <c r="Q145" s="1"/>
      <c r="R145" s="154"/>
      <c r="S145" s="197"/>
      <c r="T145" s="197"/>
      <c r="V145" s="197">
        <f>(K145-G145)/G145</f>
        <v>0.37777777777777782</v>
      </c>
    </row>
    <row r="146" spans="1:22" x14ac:dyDescent="0.25">
      <c r="B146" s="1"/>
      <c r="C146" s="153"/>
      <c r="D146" s="1"/>
      <c r="E146" s="1"/>
      <c r="F146" s="154"/>
      <c r="G146" s="153"/>
      <c r="H146" s="1"/>
      <c r="I146" s="1"/>
      <c r="J146" s="154"/>
      <c r="K146" s="153"/>
      <c r="L146" s="1"/>
      <c r="M146" s="1"/>
      <c r="N146" s="154"/>
      <c r="O146" s="153"/>
      <c r="P146" s="1"/>
      <c r="Q146" s="1"/>
      <c r="R146" s="154"/>
      <c r="S146" s="1"/>
      <c r="T146" s="1"/>
    </row>
    <row r="147" spans="1:22" x14ac:dyDescent="0.25">
      <c r="A147" t="s">
        <v>92</v>
      </c>
      <c r="B147" s="107">
        <f t="shared" ref="B147:J147" si="47">SUM(B140+B141+B142+B145)</f>
        <v>0.39</v>
      </c>
      <c r="C147" s="150">
        <f t="shared" si="47"/>
        <v>0.39600000000000002</v>
      </c>
      <c r="D147" s="151">
        <f t="shared" si="47"/>
        <v>0.39100000000000001</v>
      </c>
      <c r="E147" s="151">
        <f t="shared" si="47"/>
        <v>0.40300000000000002</v>
      </c>
      <c r="F147" s="152">
        <f t="shared" si="47"/>
        <v>0.40899999999999997</v>
      </c>
      <c r="G147" s="150">
        <f t="shared" si="47"/>
        <v>0.41299999999999998</v>
      </c>
      <c r="H147" s="151">
        <f t="shared" si="47"/>
        <v>0.41199999999999998</v>
      </c>
      <c r="I147" s="151">
        <f t="shared" si="47"/>
        <v>0.41723487865229908</v>
      </c>
      <c r="J147" s="152">
        <f t="shared" si="47"/>
        <v>0.40899999999999997</v>
      </c>
      <c r="K147" s="150">
        <f>SUM(K140+K141+K142+K145)</f>
        <v>0.42699999999999999</v>
      </c>
      <c r="L147" s="151"/>
      <c r="M147" s="151"/>
      <c r="N147" s="152"/>
      <c r="O147" s="150"/>
      <c r="P147" s="151"/>
      <c r="Q147" s="151"/>
      <c r="R147" s="152"/>
      <c r="S147" s="107"/>
      <c r="T147" s="107"/>
    </row>
    <row r="148" spans="1:22" x14ac:dyDescent="0.25">
      <c r="C148" s="109"/>
      <c r="F148" s="132"/>
      <c r="G148" s="109"/>
      <c r="J148" s="132"/>
      <c r="K148" s="109"/>
      <c r="N148" s="132"/>
      <c r="O148" s="109"/>
      <c r="R148" s="132"/>
    </row>
    <row r="149" spans="1:22" x14ac:dyDescent="0.25">
      <c r="A149" s="46" t="s">
        <v>93</v>
      </c>
      <c r="B149" s="47"/>
      <c r="C149" s="137"/>
      <c r="D149" s="47"/>
      <c r="E149" s="47"/>
      <c r="F149" s="138"/>
      <c r="G149" s="137"/>
      <c r="H149" s="47"/>
      <c r="I149" s="47"/>
      <c r="J149" s="138"/>
      <c r="K149" s="137"/>
      <c r="L149" s="47"/>
      <c r="M149" s="47"/>
      <c r="N149" s="138"/>
      <c r="O149" s="137"/>
      <c r="P149" s="47"/>
      <c r="Q149" s="47"/>
      <c r="R149" s="138"/>
      <c r="S149" s="47"/>
      <c r="T149" s="47"/>
    </row>
    <row r="150" spans="1:22" x14ac:dyDescent="0.25">
      <c r="A150" t="s">
        <v>86</v>
      </c>
      <c r="B150" s="17">
        <f>B140*B$137</f>
        <v>75565.75</v>
      </c>
      <c r="C150" s="155">
        <f t="shared" ref="C150:P150" si="48">C140*C$137</f>
        <v>76174.686000000002</v>
      </c>
      <c r="D150" s="102">
        <f t="shared" si="48"/>
        <v>84934.377000000008</v>
      </c>
      <c r="E150" s="102">
        <f t="shared" si="48"/>
        <v>84469.647000000012</v>
      </c>
      <c r="F150" s="156">
        <f t="shared" si="48"/>
        <v>83935.104000000007</v>
      </c>
      <c r="G150" s="155">
        <f t="shared" si="48"/>
        <v>78277.306000000011</v>
      </c>
      <c r="H150" s="102">
        <f t="shared" si="48"/>
        <v>79152.347999999998</v>
      </c>
      <c r="I150" s="102">
        <f t="shared" si="48"/>
        <v>81018.316240557266</v>
      </c>
      <c r="J150" s="156">
        <f t="shared" si="48"/>
        <v>69761.384000000005</v>
      </c>
      <c r="K150" s="155">
        <f t="shared" si="48"/>
        <v>82871.712</v>
      </c>
      <c r="L150" s="102">
        <f t="shared" si="48"/>
        <v>0</v>
      </c>
      <c r="M150" s="102">
        <f t="shared" si="48"/>
        <v>0</v>
      </c>
      <c r="N150" s="156">
        <f t="shared" si="48"/>
        <v>0</v>
      </c>
      <c r="O150" s="155">
        <f t="shared" si="48"/>
        <v>0</v>
      </c>
      <c r="P150" s="102">
        <f t="shared" si="48"/>
        <v>0</v>
      </c>
      <c r="Q150" s="102">
        <f t="shared" ref="Q150:T150" si="49">Q140*Q$137</f>
        <v>0</v>
      </c>
      <c r="R150" s="156">
        <f t="shared" si="49"/>
        <v>0</v>
      </c>
      <c r="S150" s="17">
        <f t="shared" si="49"/>
        <v>0</v>
      </c>
      <c r="T150" s="17">
        <f t="shared" si="49"/>
        <v>0</v>
      </c>
      <c r="V150" s="197">
        <f>(K150-G150)/G150</f>
        <v>5.8693971915691472E-2</v>
      </c>
    </row>
    <row r="151" spans="1:22" x14ac:dyDescent="0.25">
      <c r="A151" t="s">
        <v>87</v>
      </c>
      <c r="B151" s="17">
        <f t="shared" ref="B151:P151" si="50">B141*B$137</f>
        <v>15113.15</v>
      </c>
      <c r="C151" s="155">
        <f t="shared" si="50"/>
        <v>16927.707999999999</v>
      </c>
      <c r="D151" s="102">
        <f t="shared" si="50"/>
        <v>19694.928</v>
      </c>
      <c r="E151" s="102">
        <f t="shared" si="50"/>
        <v>17650.374</v>
      </c>
      <c r="F151" s="156">
        <f t="shared" si="50"/>
        <v>21619.648000000001</v>
      </c>
      <c r="G151" s="155">
        <f t="shared" si="50"/>
        <v>21029.723999999998</v>
      </c>
      <c r="H151" s="102">
        <f t="shared" si="50"/>
        <v>20387.726000000002</v>
      </c>
      <c r="I151" s="102">
        <f t="shared" si="50"/>
        <v>20721.436000000002</v>
      </c>
      <c r="J151" s="156">
        <f t="shared" si="50"/>
        <v>22423.302</v>
      </c>
      <c r="K151" s="155">
        <f t="shared" si="50"/>
        <v>18834.48</v>
      </c>
      <c r="L151" s="102">
        <f t="shared" si="50"/>
        <v>0</v>
      </c>
      <c r="M151" s="102">
        <f t="shared" si="50"/>
        <v>0</v>
      </c>
      <c r="N151" s="156">
        <f t="shared" si="50"/>
        <v>0</v>
      </c>
      <c r="O151" s="155">
        <f t="shared" si="50"/>
        <v>0</v>
      </c>
      <c r="P151" s="102">
        <f t="shared" si="50"/>
        <v>0</v>
      </c>
      <c r="Q151" s="102">
        <f t="shared" ref="Q151:T151" si="51">Q141*Q$137</f>
        <v>0</v>
      </c>
      <c r="R151" s="156">
        <f t="shared" si="51"/>
        <v>0</v>
      </c>
      <c r="S151" s="17">
        <f t="shared" si="51"/>
        <v>0</v>
      </c>
      <c r="T151" s="17">
        <f t="shared" si="51"/>
        <v>0</v>
      </c>
      <c r="V151" s="197">
        <f>(K151-B151)/B151</f>
        <v>0.24623126217896335</v>
      </c>
    </row>
    <row r="152" spans="1:22" x14ac:dyDescent="0.25">
      <c r="A152" t="s">
        <v>88</v>
      </c>
      <c r="B152" s="17">
        <f t="shared" ref="B152:P152" si="52">B142*B$137</f>
        <v>308075.75</v>
      </c>
      <c r="C152" s="155">
        <f t="shared" si="52"/>
        <v>333717.67200000002</v>
      </c>
      <c r="D152" s="102">
        <f t="shared" si="52"/>
        <v>323735.37900000002</v>
      </c>
      <c r="E152" s="102">
        <f t="shared" si="52"/>
        <v>350485.99800000002</v>
      </c>
      <c r="F152" s="156">
        <f t="shared" si="52"/>
        <v>358631.80799999996</v>
      </c>
      <c r="G152" s="155">
        <f t="shared" si="52"/>
        <v>330633.99399999995</v>
      </c>
      <c r="H152" s="102">
        <f t="shared" si="52"/>
        <v>338196.39599999995</v>
      </c>
      <c r="I152" s="102">
        <f t="shared" si="52"/>
        <v>345414.29039036349</v>
      </c>
      <c r="J152" s="156">
        <f t="shared" si="52"/>
        <v>352544.13699999999</v>
      </c>
      <c r="K152" s="155">
        <f t="shared" si="52"/>
        <v>356599.48799999995</v>
      </c>
      <c r="L152" s="102">
        <f t="shared" si="52"/>
        <v>0</v>
      </c>
      <c r="M152" s="102">
        <f t="shared" si="52"/>
        <v>0</v>
      </c>
      <c r="N152" s="156">
        <f t="shared" si="52"/>
        <v>0</v>
      </c>
      <c r="O152" s="155">
        <f t="shared" si="52"/>
        <v>0</v>
      </c>
      <c r="P152" s="102">
        <f t="shared" si="52"/>
        <v>0</v>
      </c>
      <c r="Q152" s="102">
        <f t="shared" ref="Q152:T152" si="53">Q142*Q$137</f>
        <v>0</v>
      </c>
      <c r="R152" s="156">
        <f t="shared" si="53"/>
        <v>0</v>
      </c>
      <c r="S152" s="17">
        <f t="shared" si="53"/>
        <v>0</v>
      </c>
      <c r="T152" s="17">
        <f t="shared" si="53"/>
        <v>0</v>
      </c>
      <c r="V152" s="197">
        <f t="shared" ref="V152:V155" si="54">(K152-G152)/G152</f>
        <v>7.8532439105459956E-2</v>
      </c>
    </row>
    <row r="153" spans="1:22" x14ac:dyDescent="0.25">
      <c r="A153" t="s">
        <v>89</v>
      </c>
      <c r="B153" s="17">
        <f t="shared" ref="B153:P153" si="55">B143*B$137</f>
        <v>692879.79999999993</v>
      </c>
      <c r="C153" s="155">
        <f t="shared" si="55"/>
        <v>712172.85800000001</v>
      </c>
      <c r="D153" s="102">
        <f t="shared" si="55"/>
        <v>732405.13500000001</v>
      </c>
      <c r="E153" s="102">
        <f t="shared" si="55"/>
        <v>733751.26199999999</v>
      </c>
      <c r="F153" s="156">
        <f t="shared" si="55"/>
        <v>728709.31199999992</v>
      </c>
      <c r="G153" s="155">
        <f t="shared" si="55"/>
        <v>667109.57799999998</v>
      </c>
      <c r="H153" s="102">
        <f t="shared" si="55"/>
        <v>683588.46</v>
      </c>
      <c r="I153" s="102">
        <f t="shared" si="55"/>
        <v>685026.29600000009</v>
      </c>
      <c r="J153" s="156">
        <f t="shared" si="55"/>
        <v>712562.70799999998</v>
      </c>
      <c r="K153" s="155">
        <f t="shared" si="55"/>
        <v>695620.12800000003</v>
      </c>
      <c r="L153" s="102">
        <f t="shared" si="55"/>
        <v>0</v>
      </c>
      <c r="M153" s="102">
        <f t="shared" si="55"/>
        <v>0</v>
      </c>
      <c r="N153" s="156">
        <f t="shared" si="55"/>
        <v>0</v>
      </c>
      <c r="O153" s="155">
        <f t="shared" si="55"/>
        <v>0</v>
      </c>
      <c r="P153" s="102">
        <f t="shared" si="55"/>
        <v>0</v>
      </c>
      <c r="Q153" s="102">
        <f t="shared" ref="Q153:T153" si="56">Q143*Q$137</f>
        <v>0</v>
      </c>
      <c r="R153" s="156">
        <f t="shared" si="56"/>
        <v>0</v>
      </c>
      <c r="S153" s="17">
        <f t="shared" si="56"/>
        <v>0</v>
      </c>
      <c r="T153" s="17">
        <f t="shared" si="56"/>
        <v>0</v>
      </c>
      <c r="V153" s="197">
        <f t="shared" si="54"/>
        <v>4.273743166073992E-2</v>
      </c>
    </row>
    <row r="154" spans="1:22" x14ac:dyDescent="0.25">
      <c r="A154" t="s">
        <v>90</v>
      </c>
      <c r="B154" s="17">
        <f t="shared" ref="B154:P154" si="57">B144*B$137</f>
        <v>583600.1</v>
      </c>
      <c r="C154" s="155">
        <f t="shared" si="57"/>
        <v>603351.87800000003</v>
      </c>
      <c r="D154" s="102">
        <f t="shared" si="57"/>
        <v>620390.23199999996</v>
      </c>
      <c r="E154" s="102">
        <f t="shared" si="57"/>
        <v>626588.277</v>
      </c>
      <c r="F154" s="156">
        <f t="shared" si="57"/>
        <v>625698.04799999995</v>
      </c>
      <c r="G154" s="155">
        <f t="shared" si="57"/>
        <v>578317.41</v>
      </c>
      <c r="H154" s="102">
        <f t="shared" si="57"/>
        <v>592443.33199999994</v>
      </c>
      <c r="I154" s="102">
        <f t="shared" si="57"/>
        <v>592389.28799999994</v>
      </c>
      <c r="J154" s="156">
        <f t="shared" si="57"/>
        <v>609166.37100000004</v>
      </c>
      <c r="K154" s="155">
        <f t="shared" si="57"/>
        <v>605214.62399999995</v>
      </c>
      <c r="L154" s="102">
        <f t="shared" si="57"/>
        <v>0</v>
      </c>
      <c r="M154" s="102">
        <f t="shared" si="57"/>
        <v>0</v>
      </c>
      <c r="N154" s="156">
        <f t="shared" si="57"/>
        <v>0</v>
      </c>
      <c r="O154" s="155">
        <f t="shared" si="57"/>
        <v>0</v>
      </c>
      <c r="P154" s="102">
        <f t="shared" si="57"/>
        <v>0</v>
      </c>
      <c r="Q154" s="102">
        <f t="shared" ref="Q154:T154" si="58">Q144*Q$137</f>
        <v>0</v>
      </c>
      <c r="R154" s="156">
        <f t="shared" si="58"/>
        <v>0</v>
      </c>
      <c r="S154" s="17">
        <f t="shared" si="58"/>
        <v>0</v>
      </c>
      <c r="T154" s="17">
        <f t="shared" si="58"/>
        <v>0</v>
      </c>
      <c r="V154" s="197">
        <f t="shared" si="54"/>
        <v>4.6509431559392134E-2</v>
      </c>
    </row>
    <row r="155" spans="1:22" x14ac:dyDescent="0.25">
      <c r="A155" t="s">
        <v>91</v>
      </c>
      <c r="B155" s="17">
        <f t="shared" ref="B155:P155" si="59">B145*B$137</f>
        <v>54639.85</v>
      </c>
      <c r="C155" s="155">
        <f t="shared" si="59"/>
        <v>51992.245999999999</v>
      </c>
      <c r="D155" s="102">
        <f t="shared" si="59"/>
        <v>52930.118999999999</v>
      </c>
      <c r="E155" s="102">
        <f t="shared" si="59"/>
        <v>55472.603999999999</v>
      </c>
      <c r="F155" s="156">
        <f t="shared" si="59"/>
        <v>55956.735999999997</v>
      </c>
      <c r="G155" s="155">
        <f t="shared" si="59"/>
        <v>52574.31</v>
      </c>
      <c r="H155" s="102">
        <f t="shared" si="59"/>
        <v>56366.065999999999</v>
      </c>
      <c r="I155" s="102">
        <f t="shared" si="59"/>
        <v>61416.888837395811</v>
      </c>
      <c r="J155" s="156">
        <f t="shared" si="59"/>
        <v>64778.428</v>
      </c>
      <c r="K155" s="155">
        <f t="shared" si="59"/>
        <v>77849.183999999994</v>
      </c>
      <c r="L155" s="102">
        <f t="shared" si="59"/>
        <v>0</v>
      </c>
      <c r="M155" s="102">
        <f t="shared" si="59"/>
        <v>0</v>
      </c>
      <c r="N155" s="156">
        <f t="shared" si="59"/>
        <v>0</v>
      </c>
      <c r="O155" s="155">
        <f t="shared" si="59"/>
        <v>0</v>
      </c>
      <c r="P155" s="102">
        <f t="shared" si="59"/>
        <v>0</v>
      </c>
      <c r="Q155" s="102">
        <f t="shared" ref="Q155:T155" si="60">Q145*Q$137</f>
        <v>0</v>
      </c>
      <c r="R155" s="156">
        <f t="shared" si="60"/>
        <v>0</v>
      </c>
      <c r="S155" s="17">
        <f t="shared" si="60"/>
        <v>0</v>
      </c>
      <c r="T155" s="17">
        <f t="shared" si="60"/>
        <v>0</v>
      </c>
      <c r="V155" s="197">
        <f t="shared" si="54"/>
        <v>0.48074571021474172</v>
      </c>
    </row>
    <row r="156" spans="1:22" x14ac:dyDescent="0.25">
      <c r="B156" s="102"/>
      <c r="C156" s="155"/>
      <c r="D156" s="102"/>
      <c r="E156" s="102"/>
      <c r="F156" s="156"/>
      <c r="G156" s="155"/>
      <c r="H156" s="102"/>
      <c r="I156" s="102"/>
      <c r="J156" s="156"/>
      <c r="K156" s="155"/>
      <c r="L156" s="101"/>
      <c r="M156" s="101"/>
      <c r="N156" s="149"/>
      <c r="O156" s="155"/>
      <c r="P156" s="101"/>
      <c r="Q156" s="101"/>
      <c r="R156" s="149"/>
      <c r="S156" s="101"/>
      <c r="T156" s="101"/>
    </row>
    <row r="157" spans="1:22" x14ac:dyDescent="0.25">
      <c r="A157" t="s">
        <v>92</v>
      </c>
      <c r="B157" s="50">
        <f t="shared" ref="B157:T157" si="61">SUM(B150+B151+B152+B155)</f>
        <v>453394.5</v>
      </c>
      <c r="C157" s="157">
        <f t="shared" si="61"/>
        <v>478812.31199999998</v>
      </c>
      <c r="D157" s="158">
        <f t="shared" si="61"/>
        <v>481294.80300000001</v>
      </c>
      <c r="E157" s="158">
        <f t="shared" si="61"/>
        <v>508078.62300000002</v>
      </c>
      <c r="F157" s="159">
        <f t="shared" si="61"/>
        <v>520143.29599999991</v>
      </c>
      <c r="G157" s="157">
        <f t="shared" si="61"/>
        <v>482515.33399999997</v>
      </c>
      <c r="H157" s="158">
        <f t="shared" si="61"/>
        <v>494102.53599999996</v>
      </c>
      <c r="I157" s="158">
        <f t="shared" si="61"/>
        <v>508570.93146831659</v>
      </c>
      <c r="J157" s="159">
        <f t="shared" si="61"/>
        <v>509507.25099999999</v>
      </c>
      <c r="K157" s="157">
        <f t="shared" si="61"/>
        <v>536154.86399999994</v>
      </c>
      <c r="L157" s="158">
        <f t="shared" si="61"/>
        <v>0</v>
      </c>
      <c r="M157" s="158">
        <f t="shared" si="61"/>
        <v>0</v>
      </c>
      <c r="N157" s="159">
        <f t="shared" si="61"/>
        <v>0</v>
      </c>
      <c r="O157" s="157">
        <f t="shared" si="61"/>
        <v>0</v>
      </c>
      <c r="P157" s="158">
        <f t="shared" si="61"/>
        <v>0</v>
      </c>
      <c r="Q157" s="158">
        <f t="shared" si="61"/>
        <v>0</v>
      </c>
      <c r="R157" s="159">
        <f t="shared" si="61"/>
        <v>0</v>
      </c>
      <c r="S157" s="50">
        <f t="shared" si="61"/>
        <v>0</v>
      </c>
      <c r="T157" s="50">
        <f t="shared" si="61"/>
        <v>0</v>
      </c>
    </row>
    <row r="158" spans="1:22" x14ac:dyDescent="0.25">
      <c r="C158" s="109"/>
      <c r="F158" s="132"/>
      <c r="G158" s="109"/>
      <c r="J158" s="132"/>
      <c r="K158" s="109"/>
      <c r="N158" s="132"/>
      <c r="O158" s="109"/>
      <c r="R158" s="132"/>
    </row>
    <row r="159" spans="1:22" x14ac:dyDescent="0.25">
      <c r="C159" s="109"/>
      <c r="F159" s="132"/>
      <c r="G159" s="109"/>
      <c r="J159" s="132"/>
      <c r="K159" s="109"/>
      <c r="N159" s="132"/>
      <c r="O159" s="109"/>
      <c r="R159" s="132"/>
    </row>
    <row r="160" spans="1:22" x14ac:dyDescent="0.25">
      <c r="C160" s="109"/>
      <c r="F160" s="132"/>
      <c r="G160" s="109"/>
      <c r="J160" s="132"/>
      <c r="K160" s="109"/>
      <c r="N160" s="132"/>
      <c r="O160" s="109"/>
      <c r="R160" s="132"/>
    </row>
    <row r="161" spans="1:22" s="99" customFormat="1" ht="27.75" x14ac:dyDescent="0.45">
      <c r="A161" s="97" t="s">
        <v>94</v>
      </c>
      <c r="B161" s="98"/>
      <c r="C161" s="160"/>
      <c r="D161" s="98"/>
      <c r="E161" s="98"/>
      <c r="F161" s="161"/>
      <c r="G161" s="160"/>
      <c r="H161" s="98"/>
      <c r="I161" s="98"/>
      <c r="J161" s="161"/>
      <c r="K161" s="160"/>
      <c r="L161" s="98"/>
      <c r="M161" s="98"/>
      <c r="N161" s="161"/>
      <c r="O161" s="160"/>
      <c r="P161" s="98"/>
      <c r="Q161" s="98"/>
      <c r="R161" s="161"/>
      <c r="S161" s="98"/>
      <c r="T161" s="98"/>
      <c r="V161" s="100"/>
    </row>
    <row r="162" spans="1:22" ht="17.25" x14ac:dyDescent="0.4">
      <c r="B162" s="11">
        <v>2010</v>
      </c>
      <c r="C162" s="122">
        <v>2011</v>
      </c>
      <c r="D162" s="11">
        <v>2012</v>
      </c>
      <c r="E162" s="11">
        <v>2013</v>
      </c>
      <c r="F162" s="123">
        <v>2014</v>
      </c>
      <c r="G162" s="122">
        <v>2015</v>
      </c>
      <c r="H162" s="11">
        <v>2016</v>
      </c>
      <c r="I162" s="11">
        <v>2017</v>
      </c>
      <c r="J162" s="123">
        <v>2018</v>
      </c>
      <c r="K162" s="122">
        <v>2019</v>
      </c>
      <c r="L162" s="11">
        <v>2020</v>
      </c>
      <c r="M162" s="11">
        <v>2021</v>
      </c>
      <c r="N162" s="123">
        <v>2022</v>
      </c>
      <c r="O162" s="122">
        <v>2023</v>
      </c>
      <c r="P162" s="11">
        <v>2024</v>
      </c>
      <c r="Q162" s="11">
        <v>2025</v>
      </c>
      <c r="R162" s="123">
        <v>2026</v>
      </c>
      <c r="S162" s="11">
        <v>2027</v>
      </c>
      <c r="T162" s="11">
        <v>2028</v>
      </c>
    </row>
    <row r="163" spans="1:22" x14ac:dyDescent="0.25">
      <c r="C163" s="109"/>
      <c r="F163" s="132"/>
      <c r="G163" s="109"/>
      <c r="J163" s="132"/>
      <c r="K163" s="109"/>
      <c r="N163" s="132"/>
      <c r="O163" s="109"/>
      <c r="R163" s="132"/>
    </row>
    <row r="164" spans="1:22" x14ac:dyDescent="0.25">
      <c r="C164" s="109"/>
      <c r="F164" s="132"/>
      <c r="G164" s="109"/>
      <c r="J164" s="132"/>
      <c r="K164" s="109"/>
      <c r="N164" s="132"/>
      <c r="O164" s="109"/>
      <c r="R164" s="132"/>
    </row>
    <row r="165" spans="1:22" x14ac:dyDescent="0.25">
      <c r="C165" s="109"/>
      <c r="F165" s="132"/>
      <c r="G165" s="109"/>
      <c r="J165" s="132"/>
      <c r="K165" s="109"/>
      <c r="N165" s="132"/>
      <c r="O165" s="109"/>
      <c r="R165" s="132"/>
    </row>
    <row r="166" spans="1:22" x14ac:dyDescent="0.25">
      <c r="C166" s="109"/>
      <c r="F166" s="132"/>
      <c r="G166" s="109"/>
      <c r="J166" s="132"/>
      <c r="K166" s="109"/>
      <c r="N166" s="132"/>
      <c r="O166" s="109"/>
      <c r="R166" s="132"/>
    </row>
    <row r="167" spans="1:22" x14ac:dyDescent="0.25">
      <c r="C167" s="109"/>
      <c r="F167" s="132"/>
      <c r="G167" s="109"/>
      <c r="J167" s="132"/>
      <c r="K167" s="109"/>
      <c r="N167" s="132"/>
      <c r="O167" s="109"/>
      <c r="R167" s="132"/>
    </row>
    <row r="168" spans="1:22" x14ac:dyDescent="0.25">
      <c r="C168" s="109"/>
      <c r="F168" s="132"/>
      <c r="G168" s="109"/>
      <c r="J168" s="132"/>
      <c r="K168" s="109"/>
      <c r="N168" s="132"/>
      <c r="O168" s="109"/>
      <c r="R168" s="132"/>
    </row>
    <row r="169" spans="1:22" x14ac:dyDescent="0.25">
      <c r="C169" s="109"/>
      <c r="F169" s="132"/>
      <c r="G169" s="109"/>
      <c r="J169" s="132"/>
      <c r="K169" s="109"/>
      <c r="N169" s="132"/>
      <c r="O169" s="109"/>
      <c r="R169" s="132"/>
    </row>
    <row r="170" spans="1:22" x14ac:dyDescent="0.25">
      <c r="C170" s="109"/>
      <c r="F170" s="132"/>
      <c r="G170" s="109"/>
      <c r="J170" s="132"/>
      <c r="K170" s="109"/>
      <c r="N170" s="132"/>
      <c r="O170" s="109"/>
      <c r="R170" s="132"/>
    </row>
    <row r="171" spans="1:22" x14ac:dyDescent="0.25">
      <c r="C171" s="109"/>
      <c r="F171" s="132"/>
      <c r="G171" s="109"/>
      <c r="J171" s="132"/>
      <c r="K171" s="109"/>
      <c r="N171" s="132"/>
      <c r="O171" s="109"/>
      <c r="R171" s="132"/>
    </row>
    <row r="172" spans="1:22" x14ac:dyDescent="0.25">
      <c r="C172" s="109"/>
      <c r="F172" s="132"/>
      <c r="G172" s="109"/>
      <c r="J172" s="132"/>
      <c r="K172" s="109"/>
      <c r="N172" s="132"/>
      <c r="O172" s="109"/>
      <c r="R172" s="132"/>
    </row>
    <row r="173" spans="1:22" x14ac:dyDescent="0.25">
      <c r="C173" s="109"/>
      <c r="F173" s="132"/>
      <c r="G173" s="109"/>
      <c r="J173" s="132"/>
      <c r="K173" s="109"/>
      <c r="N173" s="132"/>
      <c r="O173" s="109"/>
      <c r="R173" s="132"/>
    </row>
    <row r="174" spans="1:22" x14ac:dyDescent="0.25">
      <c r="C174" s="109"/>
      <c r="F174" s="132"/>
      <c r="G174" s="109"/>
      <c r="J174" s="132"/>
      <c r="K174" s="109"/>
      <c r="N174" s="132"/>
      <c r="O174" s="109"/>
      <c r="R174" s="132"/>
    </row>
    <row r="175" spans="1:22" x14ac:dyDescent="0.25">
      <c r="C175" s="109"/>
      <c r="F175" s="132"/>
      <c r="G175" s="109"/>
      <c r="J175" s="132"/>
      <c r="K175" s="109"/>
      <c r="N175" s="132"/>
      <c r="O175" s="109"/>
      <c r="R175" s="132"/>
    </row>
    <row r="176" spans="1:22" x14ac:dyDescent="0.25">
      <c r="C176" s="139"/>
      <c r="D176" s="12"/>
      <c r="E176" s="12"/>
      <c r="F176" s="140"/>
      <c r="G176" s="139"/>
      <c r="H176" s="12"/>
      <c r="I176" s="12"/>
      <c r="J176" s="140"/>
      <c r="K176" s="139"/>
      <c r="L176" s="12"/>
      <c r="M176" s="12"/>
      <c r="N176" s="140"/>
      <c r="O176" s="139"/>
      <c r="P176" s="12"/>
      <c r="Q176" s="12"/>
      <c r="R176" s="140"/>
    </row>
  </sheetData>
  <mergeCells count="5">
    <mergeCell ref="B6:C6"/>
    <mergeCell ref="C24:F24"/>
    <mergeCell ref="G24:J24"/>
    <mergeCell ref="K24:N24"/>
    <mergeCell ref="O24:R24"/>
  </mergeCells>
  <conditionalFormatting sqref="V35">
    <cfRule type="cellIs" dxfId="2" priority="1" operator="equal">
      <formula>FALSE</formula>
    </cfRule>
    <cfRule type="cellIs" dxfId="1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AZ1011"/>
  <sheetViews>
    <sheetView tabSelected="1" zoomScale="70" zoomScaleNormal="70" workbookViewId="0">
      <pane xSplit="3" ySplit="10" topLeftCell="D653" activePane="bottomRight" state="frozen"/>
      <selection pane="topRight" activeCell="D1" sqref="D1"/>
      <selection pane="bottomLeft" activeCell="A11" sqref="A11"/>
      <selection pane="bottomRight" activeCell="C7" sqref="C7"/>
    </sheetView>
  </sheetViews>
  <sheetFormatPr defaultColWidth="9.140625" defaultRowHeight="15" x14ac:dyDescent="0.25"/>
  <cols>
    <col min="1" max="1" width="26.7109375" bestFit="1" customWidth="1"/>
    <col min="2" max="2" width="25.85546875" style="74" customWidth="1"/>
    <col min="3" max="3" width="20.5703125" bestFit="1" customWidth="1"/>
    <col min="4" max="4" width="53" bestFit="1" customWidth="1"/>
    <col min="5" max="5" width="15.7109375" bestFit="1" customWidth="1"/>
    <col min="6" max="6" width="20.7109375" bestFit="1" customWidth="1"/>
    <col min="7" max="7" width="17.28515625" bestFit="1" customWidth="1"/>
    <col min="8" max="8" width="17.42578125" bestFit="1" customWidth="1"/>
    <col min="9" max="9" width="34.5703125" bestFit="1" customWidth="1"/>
    <col min="10" max="10" width="17.28515625" bestFit="1" customWidth="1"/>
    <col min="11" max="11" width="17.42578125" bestFit="1" customWidth="1"/>
    <col min="12" max="12" width="34.5703125" bestFit="1" customWidth="1"/>
    <col min="13" max="13" width="13" bestFit="1" customWidth="1"/>
    <col min="14" max="14" width="30.7109375" bestFit="1" customWidth="1"/>
    <col min="15" max="15" width="24.5703125" bestFit="1" customWidth="1"/>
    <col min="16" max="16" width="17.85546875" bestFit="1" customWidth="1"/>
    <col min="17" max="17" width="19.7109375" bestFit="1" customWidth="1"/>
    <col min="18" max="18" width="42.140625" bestFit="1" customWidth="1"/>
    <col min="19" max="19" width="15" bestFit="1" customWidth="1"/>
    <col min="20" max="20" width="15.42578125" bestFit="1" customWidth="1"/>
    <col min="21" max="21" width="128.5703125" bestFit="1" customWidth="1"/>
    <col min="22" max="22" width="53.5703125" bestFit="1" customWidth="1"/>
    <col min="23" max="23" width="15.42578125" bestFit="1" customWidth="1"/>
    <col min="24" max="24" width="15.85546875" bestFit="1" customWidth="1"/>
    <col min="25" max="25" width="97.28515625" bestFit="1" customWidth="1"/>
    <col min="26" max="26" width="18.140625" bestFit="1" customWidth="1"/>
    <col min="27" max="27" width="21" bestFit="1" customWidth="1"/>
    <col min="28" max="28" width="18.7109375" bestFit="1" customWidth="1"/>
    <col min="29" max="29" width="15" bestFit="1" customWidth="1"/>
    <col min="30" max="30" width="33.5703125" bestFit="1" customWidth="1"/>
    <col min="31" max="31" width="23.140625" bestFit="1" customWidth="1"/>
    <col min="32" max="32" width="18.85546875" bestFit="1" customWidth="1"/>
    <col min="33" max="33" width="21.7109375" bestFit="1" customWidth="1"/>
    <col min="34" max="34" width="20.7109375" bestFit="1" customWidth="1"/>
    <col min="35" max="35" width="26.140625" customWidth="1"/>
    <col min="36" max="36" width="15.7109375" bestFit="1" customWidth="1"/>
    <col min="37" max="37" width="20" bestFit="1" customWidth="1"/>
    <col min="38" max="38" width="16.42578125" bestFit="1" customWidth="1"/>
    <col min="39" max="39" width="16.7109375" bestFit="1" customWidth="1"/>
    <col min="40" max="40" width="18.7109375" bestFit="1" customWidth="1"/>
    <col min="41" max="41" width="17.140625" bestFit="1" customWidth="1"/>
    <col min="42" max="42" width="16.7109375" bestFit="1" customWidth="1"/>
    <col min="43" max="43" width="18.7109375" bestFit="1" customWidth="1"/>
    <col min="44" max="44" width="18.140625" bestFit="1" customWidth="1"/>
    <col min="45" max="45" width="16.7109375" bestFit="1" customWidth="1"/>
    <col min="46" max="46" width="22.42578125" bestFit="1" customWidth="1"/>
    <col min="47" max="47" width="19.140625" bestFit="1" customWidth="1"/>
    <col min="48" max="49" width="15" bestFit="1" customWidth="1"/>
    <col min="50" max="50" width="21.5703125" bestFit="1" customWidth="1"/>
    <col min="51" max="51" width="20.7109375" bestFit="1" customWidth="1"/>
    <col min="52" max="52" width="15.42578125" bestFit="1" customWidth="1"/>
  </cols>
  <sheetData>
    <row r="1" spans="1:52" ht="18.75" x14ac:dyDescent="0.3">
      <c r="A1" s="7" t="s">
        <v>95</v>
      </c>
    </row>
    <row r="2" spans="1:52" x14ac:dyDescent="0.25">
      <c r="A2" t="s">
        <v>1</v>
      </c>
    </row>
    <row r="4" spans="1:52" x14ac:dyDescent="0.25">
      <c r="A4" s="56"/>
      <c r="B4" s="75">
        <v>44893</v>
      </c>
      <c r="C4" s="57" t="s">
        <v>96</v>
      </c>
    </row>
    <row r="5" spans="1:52" x14ac:dyDescent="0.25">
      <c r="A5" s="56"/>
      <c r="B5" s="76"/>
      <c r="C5" s="57"/>
      <c r="AD5" s="60"/>
    </row>
    <row r="6" spans="1:52" x14ac:dyDescent="0.25">
      <c r="A6" s="56"/>
      <c r="B6" s="76"/>
      <c r="C6" s="57"/>
      <c r="AU6" s="60"/>
    </row>
    <row r="7" spans="1:52" x14ac:dyDescent="0.25">
      <c r="B7"/>
    </row>
    <row r="8" spans="1:52" x14ac:dyDescent="0.25">
      <c r="A8" s="56"/>
      <c r="B8" s="76"/>
      <c r="C8" s="57"/>
      <c r="AD8" s="80"/>
      <c r="AE8" s="81" t="s">
        <v>97</v>
      </c>
      <c r="AW8" s="92"/>
    </row>
    <row r="9" spans="1:52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O9" t="s">
        <v>111</v>
      </c>
      <c r="P9" t="s">
        <v>112</v>
      </c>
      <c r="Q9" t="s">
        <v>113</v>
      </c>
      <c r="R9" t="s">
        <v>114</v>
      </c>
      <c r="S9" t="s">
        <v>115</v>
      </c>
      <c r="T9" t="s">
        <v>116</v>
      </c>
      <c r="U9" t="s">
        <v>117</v>
      </c>
      <c r="V9" t="s">
        <v>118</v>
      </c>
      <c r="W9" t="s">
        <v>119</v>
      </c>
      <c r="X9" t="s">
        <v>120</v>
      </c>
      <c r="Y9" t="s">
        <v>121</v>
      </c>
      <c r="Z9" t="s">
        <v>122</v>
      </c>
      <c r="AA9" t="s">
        <v>123</v>
      </c>
      <c r="AB9" t="s">
        <v>124</v>
      </c>
      <c r="AC9" s="92" t="s">
        <v>125</v>
      </c>
      <c r="AD9" t="s">
        <v>126</v>
      </c>
      <c r="AE9" t="s">
        <v>127</v>
      </c>
      <c r="AF9" t="s">
        <v>128</v>
      </c>
      <c r="AG9" t="s">
        <v>129</v>
      </c>
      <c r="AH9" t="s">
        <v>130</v>
      </c>
      <c r="AI9" t="s">
        <v>131</v>
      </c>
      <c r="AJ9" t="s">
        <v>132</v>
      </c>
      <c r="AK9" t="s">
        <v>133</v>
      </c>
      <c r="AL9" t="s">
        <v>134</v>
      </c>
      <c r="AM9" t="s">
        <v>135</v>
      </c>
      <c r="AN9" t="s">
        <v>136</v>
      </c>
      <c r="AO9" t="s">
        <v>137</v>
      </c>
      <c r="AP9" t="s">
        <v>138</v>
      </c>
      <c r="AQ9" t="s">
        <v>139</v>
      </c>
      <c r="AR9" t="s">
        <v>140</v>
      </c>
      <c r="AS9" t="s">
        <v>141</v>
      </c>
    </row>
    <row r="10" spans="1:52" s="8" customFormat="1" ht="17.25" x14ac:dyDescent="0.4">
      <c r="A10" s="78" t="s">
        <v>98</v>
      </c>
      <c r="B10" s="78" t="s">
        <v>99</v>
      </c>
      <c r="C10" s="78" t="s">
        <v>100</v>
      </c>
      <c r="D10" s="78" t="s">
        <v>101</v>
      </c>
      <c r="E10" s="78" t="s">
        <v>102</v>
      </c>
      <c r="F10" s="78" t="s">
        <v>103</v>
      </c>
      <c r="G10" s="78" t="s">
        <v>104</v>
      </c>
      <c r="H10" s="78" t="s">
        <v>105</v>
      </c>
      <c r="I10" s="78" t="s">
        <v>106</v>
      </c>
      <c r="J10" s="78" t="s">
        <v>107</v>
      </c>
      <c r="K10" s="78" t="s">
        <v>108</v>
      </c>
      <c r="L10" s="78" t="s">
        <v>109</v>
      </c>
      <c r="M10" s="78" t="s">
        <v>110</v>
      </c>
      <c r="N10" s="78" t="s">
        <v>142</v>
      </c>
      <c r="O10" s="78" t="s">
        <v>111</v>
      </c>
      <c r="P10" s="78" t="s">
        <v>112</v>
      </c>
      <c r="Q10" s="78" t="s">
        <v>113</v>
      </c>
      <c r="R10" s="78" t="s">
        <v>114</v>
      </c>
      <c r="S10" s="78" t="s">
        <v>115</v>
      </c>
      <c r="T10" s="78" t="s">
        <v>116</v>
      </c>
      <c r="U10" s="78" t="s">
        <v>117</v>
      </c>
      <c r="V10" s="78" t="s">
        <v>118</v>
      </c>
      <c r="W10" s="78" t="s">
        <v>119</v>
      </c>
      <c r="X10" s="78" t="s">
        <v>120</v>
      </c>
      <c r="Y10" s="78" t="s">
        <v>121</v>
      </c>
      <c r="Z10" s="78" t="s">
        <v>122</v>
      </c>
      <c r="AA10" s="78" t="s">
        <v>123</v>
      </c>
      <c r="AB10" s="78" t="s">
        <v>124</v>
      </c>
      <c r="AC10" s="78" t="s">
        <v>125</v>
      </c>
      <c r="AD10" s="78" t="s">
        <v>126</v>
      </c>
      <c r="AE10" s="78" t="s">
        <v>127</v>
      </c>
      <c r="AF10" s="78" t="s">
        <v>128</v>
      </c>
      <c r="AG10" s="78" t="s">
        <v>129</v>
      </c>
      <c r="AH10" s="78" t="s">
        <v>130</v>
      </c>
      <c r="AI10" s="78" t="s">
        <v>131</v>
      </c>
      <c r="AJ10" s="78" t="s">
        <v>132</v>
      </c>
      <c r="AK10" s="78" t="s">
        <v>133</v>
      </c>
      <c r="AL10" s="78" t="s">
        <v>134</v>
      </c>
      <c r="AM10" s="78" t="s">
        <v>135</v>
      </c>
      <c r="AN10" s="78" t="s">
        <v>136</v>
      </c>
      <c r="AO10" s="78" t="s">
        <v>137</v>
      </c>
      <c r="AP10" s="78" t="s">
        <v>138</v>
      </c>
      <c r="AQ10" s="78" t="s">
        <v>139</v>
      </c>
      <c r="AR10" s="78" t="s">
        <v>140</v>
      </c>
      <c r="AS10" s="78" t="s">
        <v>141</v>
      </c>
      <c r="AT10" s="93" t="s">
        <v>143</v>
      </c>
      <c r="AU10" s="78" t="s">
        <v>144</v>
      </c>
      <c r="AV10" s="78" t="s">
        <v>145</v>
      </c>
      <c r="AW10" s="78" t="s">
        <v>146</v>
      </c>
      <c r="AX10" s="78" t="s">
        <v>147</v>
      </c>
      <c r="AY10" s="78" t="s">
        <v>148</v>
      </c>
      <c r="AZ10" s="78" t="s">
        <v>149</v>
      </c>
    </row>
    <row r="11" spans="1:52" x14ac:dyDescent="0.25">
      <c r="A11">
        <v>0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>
        <v>3201</v>
      </c>
      <c r="H11">
        <v>3200</v>
      </c>
      <c r="I11" t="s">
        <v>155</v>
      </c>
      <c r="J11">
        <v>3557</v>
      </c>
      <c r="K11">
        <v>3556</v>
      </c>
      <c r="L11" t="s">
        <v>156</v>
      </c>
      <c r="M11">
        <v>3</v>
      </c>
      <c r="N11" t="s">
        <v>9</v>
      </c>
      <c r="O11" t="s">
        <v>9</v>
      </c>
      <c r="P11" t="s">
        <v>157</v>
      </c>
      <c r="Q11" t="s">
        <v>158</v>
      </c>
      <c r="R11" t="s">
        <v>159</v>
      </c>
      <c r="S11">
        <v>2019</v>
      </c>
      <c r="T11">
        <v>0</v>
      </c>
      <c r="U11" t="s">
        <v>160</v>
      </c>
      <c r="V11" t="s">
        <v>161</v>
      </c>
      <c r="W11">
        <v>2020</v>
      </c>
      <c r="X11">
        <v>0</v>
      </c>
      <c r="Y11" t="s">
        <v>162</v>
      </c>
      <c r="Z11">
        <v>2020</v>
      </c>
      <c r="AA11">
        <v>2019</v>
      </c>
      <c r="AB11" s="5">
        <v>0.49516973340199999</v>
      </c>
      <c r="AC11" s="5">
        <v>0.99033946680399998</v>
      </c>
      <c r="AD11" t="s">
        <v>154</v>
      </c>
      <c r="AE11" t="s">
        <v>163</v>
      </c>
      <c r="AF11" t="s">
        <v>154</v>
      </c>
      <c r="AG11" t="s">
        <v>154</v>
      </c>
      <c r="AH11" t="s">
        <v>154</v>
      </c>
      <c r="AI11" t="s">
        <v>154</v>
      </c>
      <c r="AJ11" t="s">
        <v>154</v>
      </c>
      <c r="AK11" t="s">
        <v>154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 s="60">
        <f t="shared" ref="AT11:AT74" si="0">SUM(AM11:AS11)</f>
        <v>1</v>
      </c>
      <c r="AU11" s="95" t="s">
        <v>164</v>
      </c>
      <c r="AV11" s="94" t="s">
        <v>165</v>
      </c>
      <c r="AW11" t="s">
        <v>166</v>
      </c>
      <c r="AX11">
        <v>2</v>
      </c>
      <c r="AY11" t="s">
        <v>167</v>
      </c>
      <c r="AZ11" t="s">
        <v>162</v>
      </c>
    </row>
    <row r="12" spans="1:52" x14ac:dyDescent="0.25">
      <c r="A12">
        <v>1</v>
      </c>
      <c r="B12" t="s">
        <v>150</v>
      </c>
      <c r="C12" t="s">
        <v>151</v>
      </c>
      <c r="D12" t="s">
        <v>152</v>
      </c>
      <c r="E12" t="s">
        <v>153</v>
      </c>
      <c r="F12" t="s">
        <v>154</v>
      </c>
      <c r="G12">
        <v>3159</v>
      </c>
      <c r="H12">
        <v>3158</v>
      </c>
      <c r="I12" t="s">
        <v>156</v>
      </c>
      <c r="J12">
        <v>3001</v>
      </c>
      <c r="K12">
        <v>3000</v>
      </c>
      <c r="L12" t="s">
        <v>168</v>
      </c>
      <c r="M12">
        <v>3</v>
      </c>
      <c r="N12" t="s">
        <v>15</v>
      </c>
      <c r="O12" t="s">
        <v>15</v>
      </c>
      <c r="P12" t="s">
        <v>169</v>
      </c>
      <c r="Q12" t="s">
        <v>158</v>
      </c>
      <c r="R12" t="s">
        <v>159</v>
      </c>
      <c r="S12">
        <v>2019</v>
      </c>
      <c r="T12">
        <v>0</v>
      </c>
      <c r="U12" t="s">
        <v>162</v>
      </c>
      <c r="V12" t="s">
        <v>161</v>
      </c>
      <c r="W12">
        <v>2020</v>
      </c>
      <c r="X12">
        <v>0</v>
      </c>
      <c r="Y12" t="s">
        <v>162</v>
      </c>
      <c r="Z12">
        <v>2020</v>
      </c>
      <c r="AA12">
        <v>2019</v>
      </c>
      <c r="AB12" s="5">
        <v>0.25240305589500001</v>
      </c>
      <c r="AC12" s="5">
        <v>0.50480611179000001</v>
      </c>
      <c r="AD12" t="s">
        <v>154</v>
      </c>
      <c r="AE12" t="s">
        <v>163</v>
      </c>
      <c r="AF12" t="s">
        <v>154</v>
      </c>
      <c r="AG12" t="s">
        <v>154</v>
      </c>
      <c r="AH12" t="s">
        <v>154</v>
      </c>
      <c r="AI12" t="s">
        <v>154</v>
      </c>
      <c r="AJ12" t="s">
        <v>154</v>
      </c>
      <c r="AK12" t="s">
        <v>154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 s="60">
        <f t="shared" si="0"/>
        <v>1</v>
      </c>
      <c r="AU12" s="95">
        <v>44658</v>
      </c>
      <c r="AV12" s="94" t="s">
        <v>165</v>
      </c>
      <c r="AW12" t="s">
        <v>154</v>
      </c>
      <c r="AX12">
        <v>2</v>
      </c>
      <c r="AY12" t="s">
        <v>167</v>
      </c>
      <c r="AZ12" t="s">
        <v>154</v>
      </c>
    </row>
    <row r="13" spans="1:52" x14ac:dyDescent="0.25">
      <c r="A13">
        <v>2</v>
      </c>
      <c r="B13" t="s">
        <v>170</v>
      </c>
      <c r="C13" t="s">
        <v>151</v>
      </c>
      <c r="D13" t="s">
        <v>171</v>
      </c>
      <c r="E13" t="s">
        <v>172</v>
      </c>
      <c r="F13" t="s">
        <v>162</v>
      </c>
      <c r="G13">
        <v>1901</v>
      </c>
      <c r="H13">
        <v>1900</v>
      </c>
      <c r="I13" t="s">
        <v>173</v>
      </c>
      <c r="J13">
        <v>1401</v>
      </c>
      <c r="K13">
        <v>1400</v>
      </c>
      <c r="L13" t="s">
        <v>174</v>
      </c>
      <c r="M13">
        <v>3</v>
      </c>
      <c r="N13" t="s">
        <v>11</v>
      </c>
      <c r="O13" t="s">
        <v>11</v>
      </c>
      <c r="P13" t="s">
        <v>175</v>
      </c>
      <c r="Q13" t="s">
        <v>176</v>
      </c>
      <c r="R13" t="s">
        <v>177</v>
      </c>
      <c r="S13">
        <v>2011</v>
      </c>
      <c r="T13">
        <v>6</v>
      </c>
      <c r="U13" t="s">
        <v>162</v>
      </c>
      <c r="V13" t="s">
        <v>178</v>
      </c>
      <c r="W13">
        <v>2018</v>
      </c>
      <c r="X13">
        <v>7</v>
      </c>
      <c r="Y13" t="s">
        <v>162</v>
      </c>
      <c r="Z13">
        <v>2018</v>
      </c>
      <c r="AA13">
        <v>0</v>
      </c>
      <c r="AB13" s="5">
        <v>0.757320648958</v>
      </c>
      <c r="AC13" s="5">
        <v>1.5146412979199999</v>
      </c>
      <c r="AD13" t="s">
        <v>162</v>
      </c>
      <c r="AE13" t="s">
        <v>163</v>
      </c>
      <c r="AF13" t="s">
        <v>162</v>
      </c>
      <c r="AG13" t="s">
        <v>162</v>
      </c>
      <c r="AH13" t="s">
        <v>162</v>
      </c>
      <c r="AI13" t="s">
        <v>162</v>
      </c>
      <c r="AJ13" t="s">
        <v>162</v>
      </c>
      <c r="AK13" t="s">
        <v>162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 s="60">
        <f t="shared" si="0"/>
        <v>1</v>
      </c>
      <c r="AU13" s="95">
        <v>43322</v>
      </c>
      <c r="AV13" s="94" t="s">
        <v>165</v>
      </c>
      <c r="AW13" t="s">
        <v>162</v>
      </c>
      <c r="AX13">
        <v>2</v>
      </c>
      <c r="AY13" t="s">
        <v>167</v>
      </c>
      <c r="AZ13" t="s">
        <v>162</v>
      </c>
    </row>
    <row r="14" spans="1:52" x14ac:dyDescent="0.25">
      <c r="A14">
        <v>3</v>
      </c>
      <c r="B14" t="s">
        <v>179</v>
      </c>
      <c r="C14" t="s">
        <v>180</v>
      </c>
      <c r="D14" t="s">
        <v>181</v>
      </c>
      <c r="E14" t="s">
        <v>182</v>
      </c>
      <c r="F14" t="s">
        <v>162</v>
      </c>
      <c r="G14">
        <v>8100</v>
      </c>
      <c r="H14">
        <v>8101</v>
      </c>
      <c r="I14" t="s">
        <v>183</v>
      </c>
      <c r="J14">
        <v>8700</v>
      </c>
      <c r="K14">
        <v>8701</v>
      </c>
      <c r="L14" t="s">
        <v>184</v>
      </c>
      <c r="M14">
        <v>2</v>
      </c>
      <c r="N14" t="s">
        <v>9</v>
      </c>
      <c r="O14" t="s">
        <v>9</v>
      </c>
      <c r="P14" t="s">
        <v>175</v>
      </c>
      <c r="Q14" t="s">
        <v>185</v>
      </c>
      <c r="R14" t="s">
        <v>186</v>
      </c>
      <c r="S14">
        <v>2013</v>
      </c>
      <c r="T14">
        <v>10</v>
      </c>
      <c r="U14" t="s">
        <v>123</v>
      </c>
      <c r="V14" t="s">
        <v>162</v>
      </c>
      <c r="W14">
        <v>0</v>
      </c>
      <c r="X14">
        <v>0</v>
      </c>
      <c r="Y14" t="s">
        <v>162</v>
      </c>
      <c r="Z14">
        <v>2013</v>
      </c>
      <c r="AA14">
        <v>2013</v>
      </c>
      <c r="AB14" s="5">
        <v>0.75430900693500003</v>
      </c>
      <c r="AC14" s="5">
        <v>1.5086180138700001</v>
      </c>
      <c r="AD14" t="s">
        <v>162</v>
      </c>
      <c r="AE14" t="s">
        <v>163</v>
      </c>
      <c r="AF14" t="s">
        <v>162</v>
      </c>
      <c r="AG14" t="s">
        <v>162</v>
      </c>
      <c r="AH14" t="s">
        <v>162</v>
      </c>
      <c r="AI14" t="s">
        <v>162</v>
      </c>
      <c r="AJ14" t="s">
        <v>162</v>
      </c>
      <c r="AK14" t="s">
        <v>162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 s="60">
        <f t="shared" si="0"/>
        <v>1</v>
      </c>
      <c r="AU14" s="95" t="s">
        <v>187</v>
      </c>
      <c r="AV14" s="94" t="s">
        <v>165</v>
      </c>
      <c r="AW14" t="s">
        <v>163</v>
      </c>
      <c r="AX14">
        <v>2</v>
      </c>
      <c r="AY14" t="s">
        <v>167</v>
      </c>
      <c r="AZ14" t="s">
        <v>162</v>
      </c>
    </row>
    <row r="15" spans="1:52" x14ac:dyDescent="0.25">
      <c r="A15">
        <v>4</v>
      </c>
      <c r="B15" t="s">
        <v>188</v>
      </c>
      <c r="C15" t="s">
        <v>151</v>
      </c>
      <c r="D15" t="s">
        <v>189</v>
      </c>
      <c r="E15" t="s">
        <v>172</v>
      </c>
      <c r="F15" t="s">
        <v>154</v>
      </c>
      <c r="G15">
        <v>3200</v>
      </c>
      <c r="H15">
        <v>3201</v>
      </c>
      <c r="I15" t="s">
        <v>190</v>
      </c>
      <c r="J15">
        <v>2000</v>
      </c>
      <c r="K15">
        <v>2001</v>
      </c>
      <c r="L15" t="s">
        <v>191</v>
      </c>
      <c r="M15">
        <v>3</v>
      </c>
      <c r="N15" t="s">
        <v>7</v>
      </c>
      <c r="O15" t="s">
        <v>7</v>
      </c>
      <c r="P15" t="s">
        <v>157</v>
      </c>
      <c r="Q15" t="s">
        <v>192</v>
      </c>
      <c r="R15" t="s">
        <v>193</v>
      </c>
      <c r="S15">
        <v>2022</v>
      </c>
      <c r="T15">
        <v>11</v>
      </c>
      <c r="U15" t="s">
        <v>162</v>
      </c>
      <c r="V15" t="s">
        <v>162</v>
      </c>
      <c r="W15">
        <v>0</v>
      </c>
      <c r="X15">
        <v>0</v>
      </c>
      <c r="Y15" t="s">
        <v>162</v>
      </c>
      <c r="Z15">
        <v>2022</v>
      </c>
      <c r="AA15">
        <v>2022</v>
      </c>
      <c r="AB15" s="5">
        <v>1.52276829318</v>
      </c>
      <c r="AC15" s="5">
        <v>3.0455365863599999</v>
      </c>
      <c r="AD15" t="s">
        <v>154</v>
      </c>
      <c r="AE15" t="s">
        <v>163</v>
      </c>
      <c r="AF15" t="s">
        <v>154</v>
      </c>
      <c r="AG15" t="s">
        <v>154</v>
      </c>
      <c r="AH15" t="s">
        <v>163</v>
      </c>
      <c r="AI15" t="s">
        <v>194</v>
      </c>
      <c r="AJ15" t="s">
        <v>154</v>
      </c>
      <c r="AK15" t="s">
        <v>154</v>
      </c>
      <c r="AL15">
        <v>0</v>
      </c>
      <c r="AM15">
        <v>0</v>
      </c>
      <c r="AN15">
        <v>0</v>
      </c>
      <c r="AO15">
        <v>0.5</v>
      </c>
      <c r="AP15">
        <v>0</v>
      </c>
      <c r="AQ15">
        <v>0</v>
      </c>
      <c r="AR15">
        <v>0</v>
      </c>
      <c r="AS15">
        <v>0.5</v>
      </c>
      <c r="AT15" s="60">
        <f t="shared" si="0"/>
        <v>1</v>
      </c>
      <c r="AU15" s="95" t="s">
        <v>195</v>
      </c>
      <c r="AV15" s="94" t="s">
        <v>165</v>
      </c>
      <c r="AW15" t="s">
        <v>166</v>
      </c>
      <c r="AX15">
        <v>1</v>
      </c>
      <c r="AY15" t="s">
        <v>167</v>
      </c>
      <c r="AZ15">
        <v>30</v>
      </c>
    </row>
    <row r="16" spans="1:52" x14ac:dyDescent="0.25">
      <c r="A16">
        <v>5</v>
      </c>
      <c r="B16" t="s">
        <v>196</v>
      </c>
      <c r="C16" t="s">
        <v>180</v>
      </c>
      <c r="D16" t="s">
        <v>197</v>
      </c>
      <c r="E16" t="s">
        <v>172</v>
      </c>
      <c r="F16" t="s">
        <v>180</v>
      </c>
      <c r="G16">
        <v>351</v>
      </c>
      <c r="H16">
        <v>350</v>
      </c>
      <c r="I16" t="s">
        <v>198</v>
      </c>
      <c r="J16">
        <v>151</v>
      </c>
      <c r="K16">
        <v>150</v>
      </c>
      <c r="L16" t="s">
        <v>199</v>
      </c>
      <c r="M16">
        <v>4</v>
      </c>
      <c r="N16" t="s">
        <v>15</v>
      </c>
      <c r="O16" t="s">
        <v>15</v>
      </c>
      <c r="P16" t="s">
        <v>175</v>
      </c>
      <c r="Q16" t="s">
        <v>200</v>
      </c>
      <c r="R16" t="s">
        <v>201</v>
      </c>
      <c r="S16">
        <v>2012</v>
      </c>
      <c r="T16">
        <v>6</v>
      </c>
      <c r="U16" t="s">
        <v>162</v>
      </c>
      <c r="V16" t="s">
        <v>162</v>
      </c>
      <c r="W16">
        <v>0</v>
      </c>
      <c r="X16">
        <v>0</v>
      </c>
      <c r="Y16" t="s">
        <v>162</v>
      </c>
      <c r="Z16">
        <v>2012</v>
      </c>
      <c r="AA16">
        <v>0</v>
      </c>
      <c r="AB16" s="5">
        <v>0.30683475014900002</v>
      </c>
      <c r="AC16" s="5">
        <v>0.30683475014900002</v>
      </c>
      <c r="AD16" t="s">
        <v>162</v>
      </c>
      <c r="AE16" t="s">
        <v>166</v>
      </c>
      <c r="AF16" t="s">
        <v>180</v>
      </c>
      <c r="AG16" t="s">
        <v>163</v>
      </c>
      <c r="AH16" t="s">
        <v>162</v>
      </c>
      <c r="AI16" t="s">
        <v>162</v>
      </c>
      <c r="AJ16" t="s">
        <v>162</v>
      </c>
      <c r="AK16" t="s">
        <v>162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 s="60">
        <f t="shared" si="0"/>
        <v>1</v>
      </c>
      <c r="AU16" s="95">
        <v>43328</v>
      </c>
      <c r="AV16" s="94" t="s">
        <v>165</v>
      </c>
      <c r="AW16" t="s">
        <v>162</v>
      </c>
      <c r="AX16">
        <v>2</v>
      </c>
      <c r="AY16" t="s">
        <v>167</v>
      </c>
      <c r="AZ16" t="s">
        <v>162</v>
      </c>
    </row>
    <row r="17" spans="1:52" x14ac:dyDescent="0.25">
      <c r="A17">
        <v>6</v>
      </c>
      <c r="B17" t="s">
        <v>202</v>
      </c>
      <c r="C17" t="s">
        <v>203</v>
      </c>
      <c r="D17" t="s">
        <v>204</v>
      </c>
      <c r="E17" t="s">
        <v>205</v>
      </c>
      <c r="F17" t="s">
        <v>151</v>
      </c>
      <c r="G17">
        <v>1400</v>
      </c>
      <c r="H17">
        <v>1401</v>
      </c>
      <c r="I17" t="s">
        <v>206</v>
      </c>
      <c r="J17">
        <v>1464</v>
      </c>
      <c r="K17">
        <v>1463</v>
      </c>
      <c r="L17" t="s">
        <v>207</v>
      </c>
      <c r="M17">
        <v>2</v>
      </c>
      <c r="N17" t="s">
        <v>9</v>
      </c>
      <c r="O17" t="s">
        <v>9</v>
      </c>
      <c r="P17" t="s">
        <v>175</v>
      </c>
      <c r="Q17" t="s">
        <v>162</v>
      </c>
      <c r="R17" t="s">
        <v>201</v>
      </c>
      <c r="S17">
        <v>2012</v>
      </c>
      <c r="T17">
        <v>7</v>
      </c>
      <c r="U17" t="s">
        <v>208</v>
      </c>
      <c r="V17" t="s">
        <v>209</v>
      </c>
      <c r="W17">
        <v>2017</v>
      </c>
      <c r="X17">
        <v>6</v>
      </c>
      <c r="Y17" t="s">
        <v>162</v>
      </c>
      <c r="Z17">
        <v>2017</v>
      </c>
      <c r="AA17">
        <v>0</v>
      </c>
      <c r="AB17" s="5">
        <v>0.140520395258</v>
      </c>
      <c r="AC17" s="5">
        <v>0.140520395258</v>
      </c>
      <c r="AD17" t="s">
        <v>162</v>
      </c>
      <c r="AE17" t="s">
        <v>166</v>
      </c>
      <c r="AF17" t="s">
        <v>151</v>
      </c>
      <c r="AG17" t="s">
        <v>163</v>
      </c>
      <c r="AH17" t="s">
        <v>162</v>
      </c>
      <c r="AI17" t="s">
        <v>162</v>
      </c>
      <c r="AJ17" t="s">
        <v>162</v>
      </c>
      <c r="AK17" t="s">
        <v>162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 s="60">
        <f t="shared" si="0"/>
        <v>1</v>
      </c>
      <c r="AU17" s="95">
        <v>43328</v>
      </c>
      <c r="AV17" t="s">
        <v>165</v>
      </c>
      <c r="AW17" t="s">
        <v>163</v>
      </c>
      <c r="AX17">
        <v>2</v>
      </c>
      <c r="AY17" t="s">
        <v>167</v>
      </c>
      <c r="AZ17" t="s">
        <v>162</v>
      </c>
    </row>
    <row r="18" spans="1:52" x14ac:dyDescent="0.25">
      <c r="A18">
        <v>7</v>
      </c>
      <c r="B18" t="s">
        <v>202</v>
      </c>
      <c r="C18" t="s">
        <v>203</v>
      </c>
      <c r="D18" t="s">
        <v>204</v>
      </c>
      <c r="E18" t="s">
        <v>205</v>
      </c>
      <c r="F18" t="s">
        <v>203</v>
      </c>
      <c r="G18">
        <v>1366</v>
      </c>
      <c r="H18">
        <v>1351</v>
      </c>
      <c r="I18" t="s">
        <v>207</v>
      </c>
      <c r="J18">
        <v>1390</v>
      </c>
      <c r="K18">
        <v>1391</v>
      </c>
      <c r="L18" t="s">
        <v>206</v>
      </c>
      <c r="M18">
        <v>2</v>
      </c>
      <c r="N18" t="s">
        <v>7</v>
      </c>
      <c r="O18" t="s">
        <v>7</v>
      </c>
      <c r="P18" t="s">
        <v>157</v>
      </c>
      <c r="Q18" t="s">
        <v>162</v>
      </c>
      <c r="R18" t="s">
        <v>210</v>
      </c>
      <c r="S18">
        <v>2019</v>
      </c>
      <c r="T18">
        <v>5</v>
      </c>
      <c r="U18" t="s">
        <v>211</v>
      </c>
      <c r="V18" t="s">
        <v>162</v>
      </c>
      <c r="W18">
        <v>0</v>
      </c>
      <c r="X18">
        <v>0</v>
      </c>
      <c r="Y18" t="s">
        <v>162</v>
      </c>
      <c r="Z18">
        <v>2019</v>
      </c>
      <c r="AA18">
        <v>2019</v>
      </c>
      <c r="AB18" s="5">
        <v>4.5695079931599998E-2</v>
      </c>
      <c r="AC18" s="5">
        <v>4.5695079931599998E-2</v>
      </c>
      <c r="AD18" t="s">
        <v>162</v>
      </c>
      <c r="AE18" t="s">
        <v>166</v>
      </c>
      <c r="AF18" t="s">
        <v>203</v>
      </c>
      <c r="AG18" t="s">
        <v>163</v>
      </c>
      <c r="AH18" t="s">
        <v>162</v>
      </c>
      <c r="AI18" t="s">
        <v>212</v>
      </c>
      <c r="AJ18" t="s">
        <v>154</v>
      </c>
      <c r="AK18" t="s">
        <v>162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 s="60">
        <f t="shared" si="0"/>
        <v>1</v>
      </c>
      <c r="AU18" s="95" t="s">
        <v>213</v>
      </c>
      <c r="AV18" t="s">
        <v>165</v>
      </c>
      <c r="AW18" t="s">
        <v>154</v>
      </c>
      <c r="AX18">
        <v>1</v>
      </c>
      <c r="AY18" t="s">
        <v>167</v>
      </c>
      <c r="AZ18" t="s">
        <v>162</v>
      </c>
    </row>
    <row r="19" spans="1:52" x14ac:dyDescent="0.25">
      <c r="A19">
        <v>8</v>
      </c>
      <c r="B19" t="s">
        <v>214</v>
      </c>
      <c r="C19" t="s">
        <v>180</v>
      </c>
      <c r="D19" t="s">
        <v>215</v>
      </c>
      <c r="E19" t="s">
        <v>216</v>
      </c>
      <c r="F19" t="s">
        <v>162</v>
      </c>
      <c r="G19">
        <v>898</v>
      </c>
      <c r="H19">
        <v>899</v>
      </c>
      <c r="I19" t="s">
        <v>217</v>
      </c>
      <c r="J19">
        <v>601</v>
      </c>
      <c r="K19">
        <v>600</v>
      </c>
      <c r="L19" t="s">
        <v>218</v>
      </c>
      <c r="M19">
        <v>4</v>
      </c>
      <c r="N19" t="s">
        <v>9</v>
      </c>
      <c r="O19" t="s">
        <v>9</v>
      </c>
      <c r="P19" t="s">
        <v>175</v>
      </c>
      <c r="Q19" t="s">
        <v>219</v>
      </c>
      <c r="R19" t="s">
        <v>201</v>
      </c>
      <c r="S19">
        <v>2012</v>
      </c>
      <c r="T19">
        <v>7</v>
      </c>
      <c r="U19" t="s">
        <v>208</v>
      </c>
      <c r="V19" t="s">
        <v>161</v>
      </c>
      <c r="W19">
        <v>2020</v>
      </c>
      <c r="X19">
        <v>0</v>
      </c>
      <c r="Y19" t="s">
        <v>162</v>
      </c>
      <c r="Z19">
        <v>2020</v>
      </c>
      <c r="AA19">
        <v>0</v>
      </c>
      <c r="AB19" s="5">
        <v>0.26595669479</v>
      </c>
      <c r="AC19" s="5">
        <v>0.53191338958000001</v>
      </c>
      <c r="AD19" t="s">
        <v>162</v>
      </c>
      <c r="AE19" t="s">
        <v>163</v>
      </c>
      <c r="AF19" t="s">
        <v>162</v>
      </c>
      <c r="AG19" t="s">
        <v>162</v>
      </c>
      <c r="AH19" t="s">
        <v>162</v>
      </c>
      <c r="AI19" t="s">
        <v>162</v>
      </c>
      <c r="AJ19" t="s">
        <v>162</v>
      </c>
      <c r="AK19" t="s">
        <v>162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 s="60">
        <f t="shared" si="0"/>
        <v>1</v>
      </c>
      <c r="AU19" s="95" t="s">
        <v>187</v>
      </c>
      <c r="AV19" s="94" t="s">
        <v>165</v>
      </c>
      <c r="AW19" t="s">
        <v>163</v>
      </c>
      <c r="AX19">
        <v>2</v>
      </c>
      <c r="AY19" t="s">
        <v>167</v>
      </c>
      <c r="AZ19" t="s">
        <v>162</v>
      </c>
    </row>
    <row r="20" spans="1:52" x14ac:dyDescent="0.25">
      <c r="A20">
        <v>9</v>
      </c>
      <c r="B20" t="s">
        <v>220</v>
      </c>
      <c r="C20" t="s">
        <v>151</v>
      </c>
      <c r="D20" t="s">
        <v>221</v>
      </c>
      <c r="E20" t="s">
        <v>222</v>
      </c>
      <c r="F20" t="s">
        <v>162</v>
      </c>
      <c r="G20">
        <v>3787</v>
      </c>
      <c r="H20">
        <v>3786</v>
      </c>
      <c r="I20" t="s">
        <v>223</v>
      </c>
      <c r="J20">
        <v>3601</v>
      </c>
      <c r="K20">
        <v>3600</v>
      </c>
      <c r="L20" t="s">
        <v>224</v>
      </c>
      <c r="M20">
        <v>4</v>
      </c>
      <c r="N20" t="s">
        <v>7</v>
      </c>
      <c r="O20" t="s">
        <v>7</v>
      </c>
      <c r="P20" t="s">
        <v>175</v>
      </c>
      <c r="Q20" t="s">
        <v>162</v>
      </c>
      <c r="R20" t="s">
        <v>201</v>
      </c>
      <c r="S20">
        <v>2012</v>
      </c>
      <c r="T20">
        <v>6</v>
      </c>
      <c r="U20" t="s">
        <v>208</v>
      </c>
      <c r="V20" t="s">
        <v>225</v>
      </c>
      <c r="W20">
        <v>2018</v>
      </c>
      <c r="X20">
        <v>5</v>
      </c>
      <c r="Y20" t="s">
        <v>162</v>
      </c>
      <c r="Z20">
        <v>2018</v>
      </c>
      <c r="AA20">
        <v>0</v>
      </c>
      <c r="AB20" s="5">
        <v>0.25049818670399998</v>
      </c>
      <c r="AC20" s="5">
        <v>0.50099637340799996</v>
      </c>
      <c r="AD20" t="s">
        <v>162</v>
      </c>
      <c r="AE20" t="s">
        <v>163</v>
      </c>
      <c r="AF20" t="s">
        <v>154</v>
      </c>
      <c r="AG20" t="s">
        <v>154</v>
      </c>
      <c r="AH20" t="s">
        <v>154</v>
      </c>
      <c r="AI20" t="s">
        <v>226</v>
      </c>
      <c r="AJ20" t="s">
        <v>154</v>
      </c>
      <c r="AK20" t="s">
        <v>166</v>
      </c>
      <c r="AL20">
        <v>2018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 s="60">
        <f t="shared" si="0"/>
        <v>1</v>
      </c>
      <c r="AU20" s="95" t="s">
        <v>227</v>
      </c>
      <c r="AV20" t="s">
        <v>165</v>
      </c>
      <c r="AW20" t="s">
        <v>166</v>
      </c>
      <c r="AX20">
        <v>1</v>
      </c>
      <c r="AY20" t="s">
        <v>167</v>
      </c>
      <c r="AZ20" t="s">
        <v>162</v>
      </c>
    </row>
    <row r="21" spans="1:52" x14ac:dyDescent="0.25">
      <c r="A21">
        <v>10</v>
      </c>
      <c r="B21" t="s">
        <v>228</v>
      </c>
      <c r="C21" t="s">
        <v>163</v>
      </c>
      <c r="D21" t="s">
        <v>229</v>
      </c>
      <c r="E21" t="s">
        <v>216</v>
      </c>
      <c r="F21" t="s">
        <v>162</v>
      </c>
      <c r="G21">
        <v>828</v>
      </c>
      <c r="H21">
        <v>825</v>
      </c>
      <c r="I21" t="s">
        <v>230</v>
      </c>
      <c r="J21">
        <v>874</v>
      </c>
      <c r="K21">
        <v>871</v>
      </c>
      <c r="L21" t="s">
        <v>231</v>
      </c>
      <c r="M21">
        <v>3</v>
      </c>
      <c r="N21" t="s">
        <v>9</v>
      </c>
      <c r="O21" t="s">
        <v>9</v>
      </c>
      <c r="P21" t="s">
        <v>157</v>
      </c>
      <c r="Q21" t="s">
        <v>162</v>
      </c>
      <c r="R21" t="s">
        <v>232</v>
      </c>
      <c r="S21">
        <v>2012</v>
      </c>
      <c r="T21">
        <v>6</v>
      </c>
      <c r="U21" t="s">
        <v>123</v>
      </c>
      <c r="V21" t="s">
        <v>162</v>
      </c>
      <c r="W21">
        <v>0</v>
      </c>
      <c r="X21">
        <v>0</v>
      </c>
      <c r="Y21" t="s">
        <v>162</v>
      </c>
      <c r="Z21">
        <v>2012</v>
      </c>
      <c r="AA21">
        <v>2012</v>
      </c>
      <c r="AB21" s="5">
        <v>9.6969646088500006E-2</v>
      </c>
      <c r="AC21" s="5">
        <v>0.19393929217700001</v>
      </c>
      <c r="AD21" t="s">
        <v>162</v>
      </c>
      <c r="AE21" t="s">
        <v>163</v>
      </c>
      <c r="AF21" t="s">
        <v>162</v>
      </c>
      <c r="AG21" t="s">
        <v>162</v>
      </c>
      <c r="AH21" t="s">
        <v>162</v>
      </c>
      <c r="AI21" t="s">
        <v>162</v>
      </c>
      <c r="AJ21" t="s">
        <v>162</v>
      </c>
      <c r="AK21" t="s">
        <v>162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s="60">
        <f t="shared" si="0"/>
        <v>1</v>
      </c>
      <c r="AU21" s="95">
        <v>43332</v>
      </c>
      <c r="AV21" t="s">
        <v>165</v>
      </c>
      <c r="AW21" t="s">
        <v>163</v>
      </c>
      <c r="AX21">
        <v>2</v>
      </c>
      <c r="AY21" t="s">
        <v>167</v>
      </c>
      <c r="AZ21" t="s">
        <v>162</v>
      </c>
    </row>
    <row r="22" spans="1:52" x14ac:dyDescent="0.25">
      <c r="A22">
        <v>11</v>
      </c>
      <c r="B22" t="s">
        <v>233</v>
      </c>
      <c r="C22" t="s">
        <v>163</v>
      </c>
      <c r="D22" t="s">
        <v>234</v>
      </c>
      <c r="E22" t="s">
        <v>172</v>
      </c>
      <c r="F22" t="s">
        <v>162</v>
      </c>
      <c r="G22">
        <v>2000</v>
      </c>
      <c r="H22">
        <v>2001</v>
      </c>
      <c r="I22" t="s">
        <v>235</v>
      </c>
      <c r="J22">
        <v>2200</v>
      </c>
      <c r="K22">
        <v>2201</v>
      </c>
      <c r="L22" t="s">
        <v>236</v>
      </c>
      <c r="M22">
        <v>2</v>
      </c>
      <c r="N22" t="s">
        <v>11</v>
      </c>
      <c r="O22" t="s">
        <v>11</v>
      </c>
      <c r="P22" t="s">
        <v>175</v>
      </c>
      <c r="Q22" t="s">
        <v>162</v>
      </c>
      <c r="R22" t="s">
        <v>237</v>
      </c>
      <c r="S22">
        <v>2000</v>
      </c>
      <c r="T22">
        <v>7</v>
      </c>
      <c r="U22" t="s">
        <v>162</v>
      </c>
      <c r="V22" t="s">
        <v>238</v>
      </c>
      <c r="W22">
        <v>2018</v>
      </c>
      <c r="X22">
        <v>9</v>
      </c>
      <c r="Y22" t="s">
        <v>123</v>
      </c>
      <c r="Z22">
        <v>2018</v>
      </c>
      <c r="AA22">
        <v>2018</v>
      </c>
      <c r="AB22" s="5">
        <v>0.25112071282800003</v>
      </c>
      <c r="AC22" s="5">
        <v>0.50224142565600005</v>
      </c>
      <c r="AD22" t="s">
        <v>162</v>
      </c>
      <c r="AE22" t="s">
        <v>163</v>
      </c>
      <c r="AF22" t="s">
        <v>162</v>
      </c>
      <c r="AG22" t="s">
        <v>162</v>
      </c>
      <c r="AH22" t="s">
        <v>162</v>
      </c>
      <c r="AI22" t="s">
        <v>162</v>
      </c>
      <c r="AJ22" t="s">
        <v>162</v>
      </c>
      <c r="AK22" t="s">
        <v>162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60">
        <f t="shared" si="0"/>
        <v>1</v>
      </c>
      <c r="AU22" s="95">
        <v>43333</v>
      </c>
      <c r="AV22" s="94" t="s">
        <v>165</v>
      </c>
      <c r="AW22" t="s">
        <v>162</v>
      </c>
      <c r="AX22">
        <v>2</v>
      </c>
      <c r="AY22" t="s">
        <v>167</v>
      </c>
      <c r="AZ22" t="s">
        <v>162</v>
      </c>
    </row>
    <row r="23" spans="1:52" x14ac:dyDescent="0.25">
      <c r="A23">
        <v>12</v>
      </c>
      <c r="B23" t="s">
        <v>233</v>
      </c>
      <c r="C23" t="s">
        <v>163</v>
      </c>
      <c r="D23" t="s">
        <v>234</v>
      </c>
      <c r="E23" t="s">
        <v>172</v>
      </c>
      <c r="F23" t="s">
        <v>162</v>
      </c>
      <c r="G23">
        <v>2800</v>
      </c>
      <c r="H23">
        <v>2801</v>
      </c>
      <c r="I23" t="s">
        <v>239</v>
      </c>
      <c r="J23">
        <v>3000</v>
      </c>
      <c r="K23">
        <v>3001</v>
      </c>
      <c r="L23" t="s">
        <v>240</v>
      </c>
      <c r="M23">
        <v>2</v>
      </c>
      <c r="N23" t="s">
        <v>9</v>
      </c>
      <c r="O23" t="s">
        <v>9</v>
      </c>
      <c r="P23" t="s">
        <v>157</v>
      </c>
      <c r="Q23" t="s">
        <v>241</v>
      </c>
      <c r="R23" t="s">
        <v>242</v>
      </c>
      <c r="S23">
        <v>2012</v>
      </c>
      <c r="T23">
        <v>7</v>
      </c>
      <c r="U23" t="s">
        <v>123</v>
      </c>
      <c r="V23" t="s">
        <v>243</v>
      </c>
      <c r="W23">
        <v>2020</v>
      </c>
      <c r="X23">
        <v>0</v>
      </c>
      <c r="Y23" t="s">
        <v>162</v>
      </c>
      <c r="Z23">
        <v>2020</v>
      </c>
      <c r="AA23">
        <v>2012</v>
      </c>
      <c r="AB23" s="5">
        <v>0.25265117418799998</v>
      </c>
      <c r="AC23" s="5">
        <v>0.50530234837599997</v>
      </c>
      <c r="AD23" t="s">
        <v>162</v>
      </c>
      <c r="AE23" t="s">
        <v>163</v>
      </c>
      <c r="AF23" t="s">
        <v>162</v>
      </c>
      <c r="AG23" t="s">
        <v>162</v>
      </c>
      <c r="AH23" t="s">
        <v>162</v>
      </c>
      <c r="AI23" t="s">
        <v>162</v>
      </c>
      <c r="AJ23" t="s">
        <v>162</v>
      </c>
      <c r="AK23" t="s">
        <v>162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60">
        <f t="shared" si="0"/>
        <v>1</v>
      </c>
      <c r="AU23" s="95" t="s">
        <v>244</v>
      </c>
      <c r="AV23" s="94" t="s">
        <v>165</v>
      </c>
      <c r="AW23" t="s">
        <v>163</v>
      </c>
      <c r="AX23">
        <v>2</v>
      </c>
      <c r="AY23" t="s">
        <v>167</v>
      </c>
      <c r="AZ23" t="s">
        <v>162</v>
      </c>
    </row>
    <row r="24" spans="1:52" x14ac:dyDescent="0.25">
      <c r="A24">
        <v>13</v>
      </c>
      <c r="B24" t="s">
        <v>245</v>
      </c>
      <c r="C24" t="s">
        <v>180</v>
      </c>
      <c r="D24" t="s">
        <v>246</v>
      </c>
      <c r="E24" t="s">
        <v>216</v>
      </c>
      <c r="F24" t="s">
        <v>162</v>
      </c>
      <c r="G24">
        <v>2411</v>
      </c>
      <c r="H24">
        <v>2412</v>
      </c>
      <c r="I24" t="s">
        <v>247</v>
      </c>
      <c r="J24">
        <v>2200</v>
      </c>
      <c r="K24">
        <v>2201</v>
      </c>
      <c r="L24" t="s">
        <v>248</v>
      </c>
      <c r="M24">
        <v>3</v>
      </c>
      <c r="N24" t="s">
        <v>11</v>
      </c>
      <c r="O24" t="s">
        <v>11</v>
      </c>
      <c r="P24" t="s">
        <v>175</v>
      </c>
      <c r="Q24" t="s">
        <v>162</v>
      </c>
      <c r="R24" t="s">
        <v>249</v>
      </c>
      <c r="S24">
        <v>2007</v>
      </c>
      <c r="T24">
        <v>10</v>
      </c>
      <c r="U24" t="s">
        <v>162</v>
      </c>
      <c r="V24" t="s">
        <v>250</v>
      </c>
      <c r="W24">
        <v>2018</v>
      </c>
      <c r="X24">
        <v>9</v>
      </c>
      <c r="Y24" t="s">
        <v>162</v>
      </c>
      <c r="Z24">
        <v>2018</v>
      </c>
      <c r="AA24">
        <v>2012</v>
      </c>
      <c r="AB24" s="5">
        <v>0.27746194657599998</v>
      </c>
      <c r="AC24" s="5">
        <v>0.55492389315199997</v>
      </c>
      <c r="AD24" t="s">
        <v>162</v>
      </c>
      <c r="AE24" t="s">
        <v>163</v>
      </c>
      <c r="AF24" t="s">
        <v>162</v>
      </c>
      <c r="AG24" t="s">
        <v>162</v>
      </c>
      <c r="AH24" t="s">
        <v>162</v>
      </c>
      <c r="AI24" t="s">
        <v>162</v>
      </c>
      <c r="AJ24" t="s">
        <v>162</v>
      </c>
      <c r="AK24" t="s">
        <v>162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 s="60">
        <f t="shared" si="0"/>
        <v>1</v>
      </c>
      <c r="AU24" s="95">
        <v>43335</v>
      </c>
      <c r="AV24" s="94" t="s">
        <v>165</v>
      </c>
      <c r="AW24" t="s">
        <v>162</v>
      </c>
      <c r="AX24">
        <v>2</v>
      </c>
      <c r="AY24" t="s">
        <v>167</v>
      </c>
      <c r="AZ24" t="s">
        <v>162</v>
      </c>
    </row>
    <row r="25" spans="1:52" x14ac:dyDescent="0.25">
      <c r="A25">
        <v>14</v>
      </c>
      <c r="B25" t="s">
        <v>150</v>
      </c>
      <c r="C25" t="s">
        <v>203</v>
      </c>
      <c r="D25" t="s">
        <v>152</v>
      </c>
      <c r="E25" t="s">
        <v>153</v>
      </c>
      <c r="F25" t="s">
        <v>162</v>
      </c>
      <c r="G25">
        <v>500</v>
      </c>
      <c r="H25">
        <v>501</v>
      </c>
      <c r="I25" t="s">
        <v>251</v>
      </c>
      <c r="J25">
        <v>800</v>
      </c>
      <c r="K25">
        <v>801</v>
      </c>
      <c r="L25" t="s">
        <v>252</v>
      </c>
      <c r="M25">
        <v>3</v>
      </c>
      <c r="N25" t="s">
        <v>11</v>
      </c>
      <c r="O25" t="s">
        <v>11</v>
      </c>
      <c r="P25" t="s">
        <v>175</v>
      </c>
      <c r="Q25" t="s">
        <v>162</v>
      </c>
      <c r="R25" t="s">
        <v>253</v>
      </c>
      <c r="S25">
        <v>2003</v>
      </c>
      <c r="T25">
        <v>7</v>
      </c>
      <c r="U25" t="s">
        <v>162</v>
      </c>
      <c r="V25" t="s">
        <v>254</v>
      </c>
      <c r="W25">
        <v>2021</v>
      </c>
      <c r="X25">
        <v>0</v>
      </c>
      <c r="Y25" t="s">
        <v>162</v>
      </c>
      <c r="Z25">
        <v>2021</v>
      </c>
      <c r="AA25">
        <v>2011</v>
      </c>
      <c r="AB25" s="5">
        <v>0.376514794752</v>
      </c>
      <c r="AC25" s="5">
        <v>0.75302958950400001</v>
      </c>
      <c r="AD25" t="s">
        <v>162</v>
      </c>
      <c r="AE25" t="s">
        <v>163</v>
      </c>
      <c r="AF25" t="s">
        <v>154</v>
      </c>
      <c r="AG25" t="s">
        <v>154</v>
      </c>
      <c r="AH25" t="s">
        <v>154</v>
      </c>
      <c r="AI25" t="s">
        <v>154</v>
      </c>
      <c r="AJ25" t="s">
        <v>154</v>
      </c>
      <c r="AK25" t="s">
        <v>154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 s="60">
        <f t="shared" si="0"/>
        <v>1</v>
      </c>
      <c r="AU25" s="95" t="s">
        <v>255</v>
      </c>
      <c r="AV25" s="94" t="s">
        <v>165</v>
      </c>
      <c r="AW25" t="s">
        <v>166</v>
      </c>
      <c r="AX25">
        <v>2</v>
      </c>
      <c r="AY25" t="s">
        <v>167</v>
      </c>
      <c r="AZ25" t="s">
        <v>162</v>
      </c>
    </row>
    <row r="26" spans="1:52" x14ac:dyDescent="0.25">
      <c r="A26">
        <v>15</v>
      </c>
      <c r="B26" t="s">
        <v>256</v>
      </c>
      <c r="C26" t="s">
        <v>151</v>
      </c>
      <c r="D26" t="s">
        <v>257</v>
      </c>
      <c r="E26" t="s">
        <v>222</v>
      </c>
      <c r="F26" t="s">
        <v>203</v>
      </c>
      <c r="G26">
        <v>725</v>
      </c>
      <c r="H26">
        <v>726</v>
      </c>
      <c r="I26" t="s">
        <v>258</v>
      </c>
      <c r="J26">
        <v>723</v>
      </c>
      <c r="K26">
        <v>724</v>
      </c>
      <c r="L26" t="s">
        <v>259</v>
      </c>
      <c r="M26">
        <v>4</v>
      </c>
      <c r="N26" t="s">
        <v>9</v>
      </c>
      <c r="O26" t="s">
        <v>9</v>
      </c>
      <c r="P26" t="s">
        <v>157</v>
      </c>
      <c r="Q26" t="s">
        <v>260</v>
      </c>
      <c r="R26" t="s">
        <v>261</v>
      </c>
      <c r="S26">
        <v>2018</v>
      </c>
      <c r="T26">
        <v>6</v>
      </c>
      <c r="U26" t="s">
        <v>162</v>
      </c>
      <c r="V26" t="s">
        <v>162</v>
      </c>
      <c r="W26">
        <v>0</v>
      </c>
      <c r="X26">
        <v>0</v>
      </c>
      <c r="Y26" t="s">
        <v>162</v>
      </c>
      <c r="Z26">
        <v>2018</v>
      </c>
      <c r="AA26">
        <v>2012</v>
      </c>
      <c r="AB26" s="5">
        <v>5.1135638018499997E-2</v>
      </c>
      <c r="AC26" s="5">
        <v>5.1135638018499997E-2</v>
      </c>
      <c r="AD26" t="s">
        <v>261</v>
      </c>
      <c r="AE26" t="s">
        <v>166</v>
      </c>
      <c r="AF26" t="s">
        <v>203</v>
      </c>
      <c r="AG26" t="s">
        <v>163</v>
      </c>
      <c r="AH26" t="s">
        <v>162</v>
      </c>
      <c r="AI26" t="s">
        <v>162</v>
      </c>
      <c r="AJ26" t="s">
        <v>162</v>
      </c>
      <c r="AK26" t="s">
        <v>162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 s="60">
        <f t="shared" si="0"/>
        <v>1</v>
      </c>
      <c r="AU26" s="95">
        <v>43335</v>
      </c>
      <c r="AV26" s="94" t="s">
        <v>165</v>
      </c>
      <c r="AW26" t="s">
        <v>163</v>
      </c>
      <c r="AX26">
        <v>2</v>
      </c>
      <c r="AY26" t="s">
        <v>167</v>
      </c>
      <c r="AZ26" t="s">
        <v>162</v>
      </c>
    </row>
    <row r="27" spans="1:52" x14ac:dyDescent="0.25">
      <c r="A27">
        <v>16</v>
      </c>
      <c r="B27" t="s">
        <v>262</v>
      </c>
      <c r="C27" t="s">
        <v>203</v>
      </c>
      <c r="D27" t="s">
        <v>263</v>
      </c>
      <c r="E27" t="s">
        <v>222</v>
      </c>
      <c r="F27" t="s">
        <v>162</v>
      </c>
      <c r="G27">
        <v>376</v>
      </c>
      <c r="H27">
        <v>377</v>
      </c>
      <c r="I27" t="s">
        <v>264</v>
      </c>
      <c r="J27">
        <v>530</v>
      </c>
      <c r="K27">
        <v>531</v>
      </c>
      <c r="L27" t="s">
        <v>265</v>
      </c>
      <c r="M27">
        <v>3</v>
      </c>
      <c r="N27" t="s">
        <v>11</v>
      </c>
      <c r="O27" t="s">
        <v>11</v>
      </c>
      <c r="P27" t="s">
        <v>175</v>
      </c>
      <c r="Q27" t="s">
        <v>162</v>
      </c>
      <c r="R27" t="s">
        <v>266</v>
      </c>
      <c r="S27">
        <v>2002</v>
      </c>
      <c r="T27">
        <v>7</v>
      </c>
      <c r="U27" t="s">
        <v>162</v>
      </c>
      <c r="V27" t="s">
        <v>267</v>
      </c>
      <c r="W27">
        <v>2018</v>
      </c>
      <c r="X27">
        <v>8</v>
      </c>
      <c r="Y27" t="s">
        <v>162</v>
      </c>
      <c r="Z27">
        <v>2018</v>
      </c>
      <c r="AA27">
        <v>2009</v>
      </c>
      <c r="AB27" s="5">
        <v>0.210071864203</v>
      </c>
      <c r="AC27" s="5">
        <v>0.42014372840600001</v>
      </c>
      <c r="AD27" t="s">
        <v>162</v>
      </c>
      <c r="AE27" t="s">
        <v>163</v>
      </c>
      <c r="AF27" t="s">
        <v>162</v>
      </c>
      <c r="AG27" t="s">
        <v>162</v>
      </c>
      <c r="AH27" t="s">
        <v>162</v>
      </c>
      <c r="AI27" t="s">
        <v>162</v>
      </c>
      <c r="AJ27" t="s">
        <v>162</v>
      </c>
      <c r="AK27" t="s">
        <v>162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 s="60">
        <f t="shared" si="0"/>
        <v>1</v>
      </c>
      <c r="AU27" s="95">
        <v>43335</v>
      </c>
      <c r="AV27" s="94" t="s">
        <v>165</v>
      </c>
      <c r="AW27" t="s">
        <v>162</v>
      </c>
      <c r="AX27">
        <v>2</v>
      </c>
      <c r="AY27" t="s">
        <v>167</v>
      </c>
      <c r="AZ27" t="s">
        <v>162</v>
      </c>
    </row>
    <row r="28" spans="1:52" x14ac:dyDescent="0.25">
      <c r="A28">
        <v>17</v>
      </c>
      <c r="B28" t="s">
        <v>262</v>
      </c>
      <c r="C28" t="s">
        <v>203</v>
      </c>
      <c r="D28" t="s">
        <v>263</v>
      </c>
      <c r="E28" t="s">
        <v>222</v>
      </c>
      <c r="F28" t="s">
        <v>162</v>
      </c>
      <c r="G28">
        <v>536</v>
      </c>
      <c r="H28">
        <v>537</v>
      </c>
      <c r="I28" t="s">
        <v>265</v>
      </c>
      <c r="J28">
        <v>650</v>
      </c>
      <c r="K28">
        <v>649</v>
      </c>
      <c r="L28" t="s">
        <v>268</v>
      </c>
      <c r="M28">
        <v>3</v>
      </c>
      <c r="N28" t="s">
        <v>11</v>
      </c>
      <c r="O28" t="s">
        <v>11</v>
      </c>
      <c r="P28" t="s">
        <v>175</v>
      </c>
      <c r="Q28" t="s">
        <v>162</v>
      </c>
      <c r="R28" t="s">
        <v>266</v>
      </c>
      <c r="S28">
        <v>2002</v>
      </c>
      <c r="T28">
        <v>7</v>
      </c>
      <c r="U28" t="s">
        <v>162</v>
      </c>
      <c r="V28" t="s">
        <v>269</v>
      </c>
      <c r="W28">
        <v>2017</v>
      </c>
      <c r="X28">
        <v>10</v>
      </c>
      <c r="Y28" t="s">
        <v>123</v>
      </c>
      <c r="Z28">
        <v>2017</v>
      </c>
      <c r="AA28">
        <v>2017</v>
      </c>
      <c r="AB28" s="5">
        <v>0.15975541286</v>
      </c>
      <c r="AC28" s="5">
        <v>0.31951082572</v>
      </c>
      <c r="AD28" t="s">
        <v>162</v>
      </c>
      <c r="AE28" t="s">
        <v>163</v>
      </c>
      <c r="AF28" t="s">
        <v>162</v>
      </c>
      <c r="AG28" t="s">
        <v>162</v>
      </c>
      <c r="AH28" t="s">
        <v>162</v>
      </c>
      <c r="AI28" t="s">
        <v>162</v>
      </c>
      <c r="AJ28" t="s">
        <v>162</v>
      </c>
      <c r="AK28" t="s">
        <v>162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 s="60">
        <f t="shared" si="0"/>
        <v>1</v>
      </c>
      <c r="AU28" s="95">
        <v>43335</v>
      </c>
      <c r="AV28" t="s">
        <v>165</v>
      </c>
      <c r="AW28" t="s">
        <v>162</v>
      </c>
      <c r="AX28">
        <v>2</v>
      </c>
      <c r="AY28" t="s">
        <v>167</v>
      </c>
      <c r="AZ28" t="s">
        <v>162</v>
      </c>
    </row>
    <row r="29" spans="1:52" x14ac:dyDescent="0.25">
      <c r="A29">
        <v>18</v>
      </c>
      <c r="B29" t="s">
        <v>262</v>
      </c>
      <c r="C29" t="s">
        <v>203</v>
      </c>
      <c r="D29" t="s">
        <v>263</v>
      </c>
      <c r="E29" t="s">
        <v>222</v>
      </c>
      <c r="F29" t="s">
        <v>162</v>
      </c>
      <c r="G29">
        <v>700</v>
      </c>
      <c r="H29">
        <v>701</v>
      </c>
      <c r="I29" t="s">
        <v>268</v>
      </c>
      <c r="J29">
        <v>768</v>
      </c>
      <c r="K29">
        <v>773</v>
      </c>
      <c r="L29" t="s">
        <v>252</v>
      </c>
      <c r="M29">
        <v>3</v>
      </c>
      <c r="N29" t="s">
        <v>11</v>
      </c>
      <c r="O29" t="s">
        <v>11</v>
      </c>
      <c r="P29" t="s">
        <v>175</v>
      </c>
      <c r="Q29" t="s">
        <v>162</v>
      </c>
      <c r="R29" t="s">
        <v>266</v>
      </c>
      <c r="S29">
        <v>2002</v>
      </c>
      <c r="T29">
        <v>7</v>
      </c>
      <c r="U29" t="s">
        <v>162</v>
      </c>
      <c r="V29" t="s">
        <v>269</v>
      </c>
      <c r="W29">
        <v>2017</v>
      </c>
      <c r="X29">
        <v>10</v>
      </c>
      <c r="Y29" t="s">
        <v>123</v>
      </c>
      <c r="Z29">
        <v>2017</v>
      </c>
      <c r="AA29">
        <v>2017</v>
      </c>
      <c r="AB29" s="5">
        <v>0.15215760153999999</v>
      </c>
      <c r="AC29" s="5">
        <v>0.30431520307999999</v>
      </c>
      <c r="AD29" t="s">
        <v>162</v>
      </c>
      <c r="AE29" t="s">
        <v>163</v>
      </c>
      <c r="AF29" t="s">
        <v>162</v>
      </c>
      <c r="AG29" t="s">
        <v>162</v>
      </c>
      <c r="AH29" t="s">
        <v>162</v>
      </c>
      <c r="AI29" t="s">
        <v>162</v>
      </c>
      <c r="AJ29" t="s">
        <v>162</v>
      </c>
      <c r="AK29" t="s">
        <v>162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 s="60">
        <f t="shared" si="0"/>
        <v>1</v>
      </c>
      <c r="AU29" s="95">
        <v>43335</v>
      </c>
      <c r="AV29" t="s">
        <v>165</v>
      </c>
      <c r="AW29" t="s">
        <v>162</v>
      </c>
      <c r="AX29">
        <v>2</v>
      </c>
      <c r="AY29" t="s">
        <v>167</v>
      </c>
      <c r="AZ29" t="s">
        <v>162</v>
      </c>
    </row>
    <row r="30" spans="1:52" x14ac:dyDescent="0.25">
      <c r="A30">
        <v>19</v>
      </c>
      <c r="B30" t="s">
        <v>270</v>
      </c>
      <c r="C30" t="s">
        <v>151</v>
      </c>
      <c r="D30" t="s">
        <v>271</v>
      </c>
      <c r="E30" t="s">
        <v>216</v>
      </c>
      <c r="F30" t="s">
        <v>203</v>
      </c>
      <c r="G30">
        <v>1253</v>
      </c>
      <c r="H30">
        <v>1252</v>
      </c>
      <c r="I30" t="s">
        <v>272</v>
      </c>
      <c r="J30">
        <v>1200</v>
      </c>
      <c r="K30">
        <v>1201</v>
      </c>
      <c r="L30" t="s">
        <v>273</v>
      </c>
      <c r="M30">
        <v>4</v>
      </c>
      <c r="N30" t="s">
        <v>13</v>
      </c>
      <c r="O30" t="s">
        <v>15</v>
      </c>
      <c r="P30" t="s">
        <v>175</v>
      </c>
      <c r="Q30" t="s">
        <v>162</v>
      </c>
      <c r="R30" t="s">
        <v>201</v>
      </c>
      <c r="S30">
        <v>2012</v>
      </c>
      <c r="T30">
        <v>7</v>
      </c>
      <c r="U30" t="s">
        <v>274</v>
      </c>
      <c r="V30" t="s">
        <v>162</v>
      </c>
      <c r="W30">
        <v>0</v>
      </c>
      <c r="X30">
        <v>0</v>
      </c>
      <c r="Y30" t="s">
        <v>162</v>
      </c>
      <c r="Z30">
        <v>2012</v>
      </c>
      <c r="AA30">
        <v>0</v>
      </c>
      <c r="AB30" s="5">
        <v>0.25067333191000002</v>
      </c>
      <c r="AC30" s="5">
        <v>0.50134666382000004</v>
      </c>
      <c r="AD30" t="s">
        <v>162</v>
      </c>
      <c r="AE30" t="s">
        <v>163</v>
      </c>
      <c r="AF30" t="s">
        <v>162</v>
      </c>
      <c r="AG30" t="s">
        <v>166</v>
      </c>
      <c r="AH30" t="s">
        <v>162</v>
      </c>
      <c r="AI30" t="s">
        <v>162</v>
      </c>
      <c r="AJ30" t="s">
        <v>162</v>
      </c>
      <c r="AK30" t="s">
        <v>162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 s="60">
        <f t="shared" si="0"/>
        <v>1</v>
      </c>
      <c r="AU30" s="95" t="s">
        <v>244</v>
      </c>
      <c r="AV30" t="s">
        <v>165</v>
      </c>
      <c r="AW30" t="s">
        <v>162</v>
      </c>
      <c r="AX30">
        <v>3</v>
      </c>
      <c r="AY30" t="s">
        <v>275</v>
      </c>
      <c r="AZ30" t="s">
        <v>162</v>
      </c>
    </row>
    <row r="31" spans="1:52" x14ac:dyDescent="0.25">
      <c r="A31">
        <v>20</v>
      </c>
      <c r="B31" t="s">
        <v>233</v>
      </c>
      <c r="C31" t="s">
        <v>180</v>
      </c>
      <c r="D31" t="s">
        <v>234</v>
      </c>
      <c r="E31" t="s">
        <v>172</v>
      </c>
      <c r="F31" t="s">
        <v>162</v>
      </c>
      <c r="G31">
        <v>7401</v>
      </c>
      <c r="H31">
        <v>7400</v>
      </c>
      <c r="I31" t="s">
        <v>276</v>
      </c>
      <c r="J31">
        <v>6901</v>
      </c>
      <c r="K31">
        <v>6900</v>
      </c>
      <c r="L31" t="s">
        <v>277</v>
      </c>
      <c r="M31">
        <v>2</v>
      </c>
      <c r="N31" t="s">
        <v>9</v>
      </c>
      <c r="O31" t="s">
        <v>9</v>
      </c>
      <c r="P31" t="s">
        <v>175</v>
      </c>
      <c r="Q31" t="s">
        <v>278</v>
      </c>
      <c r="R31" t="s">
        <v>232</v>
      </c>
      <c r="S31">
        <v>2012</v>
      </c>
      <c r="T31">
        <v>7</v>
      </c>
      <c r="U31" t="s">
        <v>123</v>
      </c>
      <c r="V31" t="s">
        <v>162</v>
      </c>
      <c r="W31">
        <v>0</v>
      </c>
      <c r="X31">
        <v>0</v>
      </c>
      <c r="Y31" t="s">
        <v>162</v>
      </c>
      <c r="Z31">
        <v>2012</v>
      </c>
      <c r="AA31">
        <v>2012</v>
      </c>
      <c r="AB31" s="5">
        <v>0.62727998969499998</v>
      </c>
      <c r="AC31" s="5">
        <v>1.25455997939</v>
      </c>
      <c r="AD31" t="s">
        <v>162</v>
      </c>
      <c r="AE31" t="s">
        <v>163</v>
      </c>
      <c r="AF31" t="s">
        <v>162</v>
      </c>
      <c r="AG31" t="s">
        <v>162</v>
      </c>
      <c r="AH31" t="s">
        <v>162</v>
      </c>
      <c r="AI31" t="s">
        <v>162</v>
      </c>
      <c r="AJ31" t="s">
        <v>162</v>
      </c>
      <c r="AK31" t="s">
        <v>162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 s="60">
        <f t="shared" si="0"/>
        <v>1</v>
      </c>
      <c r="AU31" s="95" t="s">
        <v>244</v>
      </c>
      <c r="AV31" s="94" t="s">
        <v>165</v>
      </c>
      <c r="AW31" t="s">
        <v>163</v>
      </c>
      <c r="AX31">
        <v>2</v>
      </c>
      <c r="AY31" t="s">
        <v>167</v>
      </c>
      <c r="AZ31" t="s">
        <v>162</v>
      </c>
    </row>
    <row r="32" spans="1:52" x14ac:dyDescent="0.25">
      <c r="A32">
        <v>21</v>
      </c>
      <c r="B32" t="s">
        <v>279</v>
      </c>
      <c r="C32" t="s">
        <v>163</v>
      </c>
      <c r="D32" t="s">
        <v>280</v>
      </c>
      <c r="E32" t="s">
        <v>216</v>
      </c>
      <c r="F32" t="s">
        <v>163</v>
      </c>
      <c r="G32">
        <v>5800</v>
      </c>
      <c r="H32">
        <v>5801</v>
      </c>
      <c r="I32" t="s">
        <v>281</v>
      </c>
      <c r="J32">
        <v>5928</v>
      </c>
      <c r="K32">
        <v>5929</v>
      </c>
      <c r="L32" t="s">
        <v>282</v>
      </c>
      <c r="M32">
        <v>4</v>
      </c>
      <c r="N32" t="s">
        <v>11</v>
      </c>
      <c r="O32" t="s">
        <v>11</v>
      </c>
      <c r="P32" t="s">
        <v>169</v>
      </c>
      <c r="Q32" t="s">
        <v>162</v>
      </c>
      <c r="R32" t="s">
        <v>283</v>
      </c>
      <c r="S32">
        <v>2014</v>
      </c>
      <c r="T32">
        <v>6</v>
      </c>
      <c r="U32" t="s">
        <v>162</v>
      </c>
      <c r="V32" t="s">
        <v>162</v>
      </c>
      <c r="W32">
        <v>0</v>
      </c>
      <c r="X32">
        <v>0</v>
      </c>
      <c r="Y32" t="s">
        <v>162</v>
      </c>
      <c r="Z32">
        <v>2014</v>
      </c>
      <c r="AA32">
        <v>0</v>
      </c>
      <c r="AB32" s="5">
        <v>0.18996178275600001</v>
      </c>
      <c r="AC32" s="5">
        <v>0.18996178275600001</v>
      </c>
      <c r="AD32" t="s">
        <v>162</v>
      </c>
      <c r="AE32" t="s">
        <v>166</v>
      </c>
      <c r="AF32" t="s">
        <v>163</v>
      </c>
      <c r="AG32" t="s">
        <v>163</v>
      </c>
      <c r="AH32" t="s">
        <v>162</v>
      </c>
      <c r="AI32" t="s">
        <v>162</v>
      </c>
      <c r="AJ32" t="s">
        <v>162</v>
      </c>
      <c r="AK32" t="s">
        <v>162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60">
        <f t="shared" si="0"/>
        <v>1</v>
      </c>
      <c r="AU32" s="95">
        <v>43335</v>
      </c>
      <c r="AV32" s="94" t="s">
        <v>165</v>
      </c>
      <c r="AW32" t="s">
        <v>162</v>
      </c>
      <c r="AX32">
        <v>3</v>
      </c>
      <c r="AY32" t="s">
        <v>275</v>
      </c>
      <c r="AZ32">
        <v>20</v>
      </c>
    </row>
    <row r="33" spans="1:52" x14ac:dyDescent="0.25">
      <c r="A33">
        <v>22</v>
      </c>
      <c r="B33" t="s">
        <v>284</v>
      </c>
      <c r="C33" t="s">
        <v>203</v>
      </c>
      <c r="D33" t="s">
        <v>285</v>
      </c>
      <c r="E33" t="s">
        <v>172</v>
      </c>
      <c r="F33" t="s">
        <v>162</v>
      </c>
      <c r="G33">
        <v>3132</v>
      </c>
      <c r="H33">
        <v>3133</v>
      </c>
      <c r="I33" t="s">
        <v>286</v>
      </c>
      <c r="J33">
        <v>3358</v>
      </c>
      <c r="K33">
        <v>3359</v>
      </c>
      <c r="L33" t="s">
        <v>287</v>
      </c>
      <c r="M33">
        <v>3</v>
      </c>
      <c r="N33" t="s">
        <v>11</v>
      </c>
      <c r="O33" t="s">
        <v>11</v>
      </c>
      <c r="P33" t="s">
        <v>175</v>
      </c>
      <c r="Q33" t="s">
        <v>288</v>
      </c>
      <c r="R33" t="s">
        <v>289</v>
      </c>
      <c r="S33">
        <v>2011</v>
      </c>
      <c r="T33">
        <v>6</v>
      </c>
      <c r="U33" t="s">
        <v>123</v>
      </c>
      <c r="V33" t="s">
        <v>162</v>
      </c>
      <c r="W33">
        <v>0</v>
      </c>
      <c r="X33">
        <v>0</v>
      </c>
      <c r="Y33" t="s">
        <v>162</v>
      </c>
      <c r="Z33">
        <v>2011</v>
      </c>
      <c r="AA33">
        <v>2011</v>
      </c>
      <c r="AB33" s="5">
        <v>0.31073507860900001</v>
      </c>
      <c r="AC33" s="5">
        <v>0.62147015721800003</v>
      </c>
      <c r="AD33" t="s">
        <v>162</v>
      </c>
      <c r="AE33" t="s">
        <v>163</v>
      </c>
      <c r="AF33" t="s">
        <v>162</v>
      </c>
      <c r="AG33" t="s">
        <v>162</v>
      </c>
      <c r="AH33" t="s">
        <v>162</v>
      </c>
      <c r="AI33" t="s">
        <v>162</v>
      </c>
      <c r="AJ33" t="s">
        <v>162</v>
      </c>
      <c r="AK33" t="s">
        <v>162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 s="60">
        <f t="shared" si="0"/>
        <v>1</v>
      </c>
      <c r="AU33" s="95">
        <v>43335</v>
      </c>
      <c r="AV33" s="94" t="s">
        <v>165</v>
      </c>
      <c r="AW33" t="s">
        <v>162</v>
      </c>
      <c r="AX33">
        <v>2</v>
      </c>
      <c r="AY33" t="s">
        <v>167</v>
      </c>
      <c r="AZ33" t="s">
        <v>162</v>
      </c>
    </row>
    <row r="34" spans="1:52" x14ac:dyDescent="0.25">
      <c r="A34">
        <v>23</v>
      </c>
      <c r="B34" t="s">
        <v>290</v>
      </c>
      <c r="C34" t="s">
        <v>180</v>
      </c>
      <c r="D34" t="s">
        <v>291</v>
      </c>
      <c r="E34" t="s">
        <v>172</v>
      </c>
      <c r="F34" t="s">
        <v>180</v>
      </c>
      <c r="G34">
        <v>525</v>
      </c>
      <c r="H34">
        <v>524</v>
      </c>
      <c r="I34" t="s">
        <v>292</v>
      </c>
      <c r="J34">
        <v>1</v>
      </c>
      <c r="K34">
        <v>2</v>
      </c>
      <c r="L34" t="s">
        <v>293</v>
      </c>
      <c r="M34">
        <v>4</v>
      </c>
      <c r="N34" t="s">
        <v>7</v>
      </c>
      <c r="O34" t="s">
        <v>7</v>
      </c>
      <c r="P34" t="s">
        <v>175</v>
      </c>
      <c r="Q34" t="s">
        <v>294</v>
      </c>
      <c r="R34" t="s">
        <v>201</v>
      </c>
      <c r="S34">
        <v>2012</v>
      </c>
      <c r="T34">
        <v>11</v>
      </c>
      <c r="U34" t="s">
        <v>208</v>
      </c>
      <c r="V34" t="s">
        <v>162</v>
      </c>
      <c r="W34">
        <v>0</v>
      </c>
      <c r="X34">
        <v>0</v>
      </c>
      <c r="Y34" t="s">
        <v>162</v>
      </c>
      <c r="Z34">
        <v>2012</v>
      </c>
      <c r="AA34">
        <v>0</v>
      </c>
      <c r="AB34" s="5">
        <v>0.51544827688200001</v>
      </c>
      <c r="AC34" s="5">
        <v>0.51544827688200001</v>
      </c>
      <c r="AD34" t="s">
        <v>162</v>
      </c>
      <c r="AE34" t="s">
        <v>166</v>
      </c>
      <c r="AF34" t="s">
        <v>180</v>
      </c>
      <c r="AG34" t="s">
        <v>163</v>
      </c>
      <c r="AH34" t="s">
        <v>163</v>
      </c>
      <c r="AI34" t="s">
        <v>226</v>
      </c>
      <c r="AJ34" t="s">
        <v>154</v>
      </c>
      <c r="AK34" t="s">
        <v>154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 s="60">
        <f t="shared" si="0"/>
        <v>1</v>
      </c>
      <c r="AU34" s="95" t="s">
        <v>213</v>
      </c>
      <c r="AV34" t="s">
        <v>165</v>
      </c>
      <c r="AW34" t="s">
        <v>166</v>
      </c>
      <c r="AX34">
        <v>1</v>
      </c>
      <c r="AY34" t="s">
        <v>167</v>
      </c>
      <c r="AZ34" t="s">
        <v>162</v>
      </c>
    </row>
    <row r="35" spans="1:52" x14ac:dyDescent="0.25">
      <c r="A35">
        <v>24</v>
      </c>
      <c r="B35" t="s">
        <v>295</v>
      </c>
      <c r="C35" t="s">
        <v>163</v>
      </c>
      <c r="D35" t="s">
        <v>296</v>
      </c>
      <c r="E35" t="s">
        <v>172</v>
      </c>
      <c r="F35" t="s">
        <v>162</v>
      </c>
      <c r="G35">
        <v>1000</v>
      </c>
      <c r="H35">
        <v>1001</v>
      </c>
      <c r="I35" t="s">
        <v>297</v>
      </c>
      <c r="J35">
        <v>1556</v>
      </c>
      <c r="K35">
        <v>1557</v>
      </c>
      <c r="L35" t="s">
        <v>298</v>
      </c>
      <c r="M35">
        <v>3</v>
      </c>
      <c r="N35" t="s">
        <v>9</v>
      </c>
      <c r="O35" t="s">
        <v>9</v>
      </c>
      <c r="P35" t="s">
        <v>175</v>
      </c>
      <c r="Q35" t="s">
        <v>299</v>
      </c>
      <c r="R35" t="s">
        <v>232</v>
      </c>
      <c r="S35">
        <v>2012</v>
      </c>
      <c r="T35">
        <v>8</v>
      </c>
      <c r="U35" t="s">
        <v>123</v>
      </c>
      <c r="V35" t="s">
        <v>162</v>
      </c>
      <c r="W35">
        <v>0</v>
      </c>
      <c r="X35">
        <v>0</v>
      </c>
      <c r="Y35" t="s">
        <v>162</v>
      </c>
      <c r="Z35">
        <v>2012</v>
      </c>
      <c r="AA35">
        <v>2012</v>
      </c>
      <c r="AB35" s="5">
        <v>0.73372981846700003</v>
      </c>
      <c r="AC35" s="5">
        <v>1.4674596369299999</v>
      </c>
      <c r="AD35" t="s">
        <v>162</v>
      </c>
      <c r="AE35" t="s">
        <v>163</v>
      </c>
      <c r="AF35" t="s">
        <v>162</v>
      </c>
      <c r="AG35" t="s">
        <v>162</v>
      </c>
      <c r="AH35" t="s">
        <v>162</v>
      </c>
      <c r="AI35" t="s">
        <v>162</v>
      </c>
      <c r="AJ35" t="s">
        <v>162</v>
      </c>
      <c r="AK35" t="s">
        <v>162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 s="60">
        <f t="shared" si="0"/>
        <v>1</v>
      </c>
      <c r="AU35" s="95">
        <v>43336</v>
      </c>
      <c r="AV35" s="94" t="s">
        <v>165</v>
      </c>
      <c r="AW35" t="s">
        <v>163</v>
      </c>
      <c r="AX35">
        <v>2</v>
      </c>
      <c r="AY35" t="s">
        <v>167</v>
      </c>
      <c r="AZ35" t="s">
        <v>162</v>
      </c>
    </row>
    <row r="36" spans="1:52" x14ac:dyDescent="0.25">
      <c r="A36">
        <v>25</v>
      </c>
      <c r="B36" t="s">
        <v>300</v>
      </c>
      <c r="C36" t="s">
        <v>151</v>
      </c>
      <c r="D36" t="s">
        <v>301</v>
      </c>
      <c r="E36" t="s">
        <v>216</v>
      </c>
      <c r="F36" t="s">
        <v>162</v>
      </c>
      <c r="G36">
        <v>1923</v>
      </c>
      <c r="H36">
        <v>1924</v>
      </c>
      <c r="I36" t="s">
        <v>191</v>
      </c>
      <c r="J36">
        <v>1600</v>
      </c>
      <c r="K36">
        <v>1601</v>
      </c>
      <c r="L36" t="s">
        <v>302</v>
      </c>
      <c r="M36">
        <v>4</v>
      </c>
      <c r="N36" t="s">
        <v>13</v>
      </c>
      <c r="O36" t="s">
        <v>15</v>
      </c>
      <c r="P36" t="s">
        <v>175</v>
      </c>
      <c r="Q36" t="s">
        <v>303</v>
      </c>
      <c r="R36" t="s">
        <v>304</v>
      </c>
      <c r="S36">
        <v>2013</v>
      </c>
      <c r="T36">
        <v>10</v>
      </c>
      <c r="U36" t="s">
        <v>162</v>
      </c>
      <c r="V36" t="s">
        <v>162</v>
      </c>
      <c r="W36">
        <v>0</v>
      </c>
      <c r="X36">
        <v>0</v>
      </c>
      <c r="Y36" t="s">
        <v>162</v>
      </c>
      <c r="Z36">
        <v>2013</v>
      </c>
      <c r="AA36">
        <v>0</v>
      </c>
      <c r="AB36" s="5">
        <v>0.50047927507500001</v>
      </c>
      <c r="AC36" s="5">
        <v>1.00095855015</v>
      </c>
      <c r="AD36" t="s">
        <v>305</v>
      </c>
      <c r="AE36" t="s">
        <v>163</v>
      </c>
      <c r="AF36" t="s">
        <v>162</v>
      </c>
      <c r="AG36" t="s">
        <v>162</v>
      </c>
      <c r="AH36" t="s">
        <v>162</v>
      </c>
      <c r="AI36" t="s">
        <v>162</v>
      </c>
      <c r="AJ36" t="s">
        <v>162</v>
      </c>
      <c r="AK36" t="s">
        <v>162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 s="60">
        <f t="shared" si="0"/>
        <v>1</v>
      </c>
      <c r="AU36" s="95">
        <v>43336</v>
      </c>
      <c r="AV36" s="94" t="s">
        <v>165</v>
      </c>
      <c r="AW36" t="s">
        <v>162</v>
      </c>
      <c r="AX36">
        <v>3</v>
      </c>
      <c r="AY36" t="s">
        <v>275</v>
      </c>
      <c r="AZ36" t="s">
        <v>162</v>
      </c>
    </row>
    <row r="37" spans="1:52" x14ac:dyDescent="0.25">
      <c r="A37">
        <v>26</v>
      </c>
      <c r="B37" t="s">
        <v>306</v>
      </c>
      <c r="C37" t="s">
        <v>180</v>
      </c>
      <c r="D37" t="s">
        <v>307</v>
      </c>
      <c r="E37" t="s">
        <v>216</v>
      </c>
      <c r="F37" t="s">
        <v>162</v>
      </c>
      <c r="G37">
        <v>9379</v>
      </c>
      <c r="H37">
        <v>9386</v>
      </c>
      <c r="I37" t="s">
        <v>308</v>
      </c>
      <c r="J37">
        <v>7901</v>
      </c>
      <c r="K37">
        <v>7900</v>
      </c>
      <c r="L37" t="s">
        <v>309</v>
      </c>
      <c r="M37">
        <v>3</v>
      </c>
      <c r="N37" t="s">
        <v>9</v>
      </c>
      <c r="O37" t="s">
        <v>9</v>
      </c>
      <c r="P37" t="s">
        <v>157</v>
      </c>
      <c r="Q37" t="s">
        <v>310</v>
      </c>
      <c r="R37" t="s">
        <v>232</v>
      </c>
      <c r="S37">
        <v>2012</v>
      </c>
      <c r="T37">
        <v>6</v>
      </c>
      <c r="U37" t="s">
        <v>311</v>
      </c>
      <c r="V37" t="s">
        <v>162</v>
      </c>
      <c r="W37">
        <v>0</v>
      </c>
      <c r="X37">
        <v>0</v>
      </c>
      <c r="Y37" t="s">
        <v>162</v>
      </c>
      <c r="Z37">
        <v>2012</v>
      </c>
      <c r="AA37">
        <v>2012</v>
      </c>
      <c r="AB37" s="5">
        <v>2.6692262375100002</v>
      </c>
      <c r="AC37" s="5">
        <v>5.3384524750200004</v>
      </c>
      <c r="AD37" t="s">
        <v>162</v>
      </c>
      <c r="AE37" t="s">
        <v>163</v>
      </c>
      <c r="AF37" t="s">
        <v>162</v>
      </c>
      <c r="AG37" t="s">
        <v>162</v>
      </c>
      <c r="AH37" t="s">
        <v>162</v>
      </c>
      <c r="AI37" t="s">
        <v>162</v>
      </c>
      <c r="AJ37" t="s">
        <v>162</v>
      </c>
      <c r="AK37" t="s">
        <v>162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 s="60">
        <f t="shared" si="0"/>
        <v>1</v>
      </c>
      <c r="AU37" s="95">
        <v>43336</v>
      </c>
      <c r="AV37" s="94" t="s">
        <v>165</v>
      </c>
      <c r="AW37" t="s">
        <v>163</v>
      </c>
      <c r="AX37">
        <v>2</v>
      </c>
      <c r="AY37" t="s">
        <v>167</v>
      </c>
      <c r="AZ37" t="s">
        <v>162</v>
      </c>
    </row>
    <row r="38" spans="1:52" x14ac:dyDescent="0.25">
      <c r="A38">
        <v>27</v>
      </c>
      <c r="B38" t="s">
        <v>196</v>
      </c>
      <c r="C38" t="s">
        <v>163</v>
      </c>
      <c r="D38" t="s">
        <v>197</v>
      </c>
      <c r="E38" t="s">
        <v>172</v>
      </c>
      <c r="F38" t="s">
        <v>162</v>
      </c>
      <c r="G38">
        <v>800</v>
      </c>
      <c r="H38">
        <v>801</v>
      </c>
      <c r="I38" t="s">
        <v>312</v>
      </c>
      <c r="J38">
        <v>1600</v>
      </c>
      <c r="K38">
        <v>1601</v>
      </c>
      <c r="L38" t="s">
        <v>298</v>
      </c>
      <c r="M38">
        <v>4</v>
      </c>
      <c r="N38" t="s">
        <v>9</v>
      </c>
      <c r="O38" t="s">
        <v>9</v>
      </c>
      <c r="P38" t="s">
        <v>169</v>
      </c>
      <c r="Q38" t="s">
        <v>313</v>
      </c>
      <c r="R38" t="s">
        <v>314</v>
      </c>
      <c r="S38">
        <v>2013</v>
      </c>
      <c r="T38">
        <v>7</v>
      </c>
      <c r="U38" t="s">
        <v>123</v>
      </c>
      <c r="V38" t="s">
        <v>243</v>
      </c>
      <c r="W38">
        <v>2020</v>
      </c>
      <c r="X38">
        <v>0</v>
      </c>
      <c r="Y38" t="s">
        <v>162</v>
      </c>
      <c r="Z38">
        <v>2020</v>
      </c>
      <c r="AA38">
        <v>2013</v>
      </c>
      <c r="AB38" s="5">
        <v>1.00563213094</v>
      </c>
      <c r="AC38" s="5">
        <v>2.0112642618800001</v>
      </c>
      <c r="AD38" t="s">
        <v>162</v>
      </c>
      <c r="AE38" t="s">
        <v>163</v>
      </c>
      <c r="AF38" t="s">
        <v>162</v>
      </c>
      <c r="AG38" t="s">
        <v>162</v>
      </c>
      <c r="AH38" t="s">
        <v>162</v>
      </c>
      <c r="AI38" t="s">
        <v>162</v>
      </c>
      <c r="AJ38" t="s">
        <v>162</v>
      </c>
      <c r="AK38" t="s">
        <v>162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 s="60">
        <f t="shared" si="0"/>
        <v>1</v>
      </c>
      <c r="AU38" s="95" t="s">
        <v>244</v>
      </c>
      <c r="AV38" s="94" t="s">
        <v>165</v>
      </c>
      <c r="AW38" t="s">
        <v>163</v>
      </c>
      <c r="AX38">
        <v>2</v>
      </c>
      <c r="AY38" t="s">
        <v>167</v>
      </c>
      <c r="AZ38" t="s">
        <v>162</v>
      </c>
    </row>
    <row r="39" spans="1:52" x14ac:dyDescent="0.25">
      <c r="A39">
        <v>28</v>
      </c>
      <c r="B39" t="s">
        <v>315</v>
      </c>
      <c r="C39" t="s">
        <v>163</v>
      </c>
      <c r="D39" t="s">
        <v>316</v>
      </c>
      <c r="E39" t="s">
        <v>216</v>
      </c>
      <c r="F39" t="s">
        <v>162</v>
      </c>
      <c r="G39">
        <v>5100</v>
      </c>
      <c r="H39">
        <v>5100</v>
      </c>
      <c r="I39" t="s">
        <v>317</v>
      </c>
      <c r="J39">
        <v>6131</v>
      </c>
      <c r="K39">
        <v>6124</v>
      </c>
      <c r="L39" t="s">
        <v>318</v>
      </c>
      <c r="M39">
        <v>3</v>
      </c>
      <c r="N39" t="s">
        <v>9</v>
      </c>
      <c r="O39" t="s">
        <v>9</v>
      </c>
      <c r="P39" t="s">
        <v>157</v>
      </c>
      <c r="Q39" t="s">
        <v>319</v>
      </c>
      <c r="R39" t="s">
        <v>320</v>
      </c>
      <c r="S39">
        <v>2015</v>
      </c>
      <c r="T39">
        <v>7</v>
      </c>
      <c r="U39" t="s">
        <v>123</v>
      </c>
      <c r="V39" t="s">
        <v>162</v>
      </c>
      <c r="W39">
        <v>0</v>
      </c>
      <c r="X39">
        <v>0</v>
      </c>
      <c r="Y39" t="s">
        <v>162</v>
      </c>
      <c r="Z39">
        <v>2015</v>
      </c>
      <c r="AA39">
        <v>2015</v>
      </c>
      <c r="AB39" s="5">
        <v>1.6753158663200001</v>
      </c>
      <c r="AC39" s="5">
        <v>3.3506317326400001</v>
      </c>
      <c r="AD39" t="s">
        <v>162</v>
      </c>
      <c r="AE39" t="s">
        <v>163</v>
      </c>
      <c r="AF39" t="s">
        <v>162</v>
      </c>
      <c r="AG39" t="s">
        <v>162</v>
      </c>
      <c r="AH39" t="s">
        <v>162</v>
      </c>
      <c r="AI39" t="s">
        <v>162</v>
      </c>
      <c r="AJ39" t="s">
        <v>162</v>
      </c>
      <c r="AK39" t="s">
        <v>162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 s="60">
        <f t="shared" si="0"/>
        <v>1</v>
      </c>
      <c r="AU39" s="95">
        <v>43336</v>
      </c>
      <c r="AV39" s="94" t="s">
        <v>165</v>
      </c>
      <c r="AW39" t="s">
        <v>163</v>
      </c>
      <c r="AX39">
        <v>2</v>
      </c>
      <c r="AY39" t="s">
        <v>167</v>
      </c>
      <c r="AZ39" t="s">
        <v>162</v>
      </c>
    </row>
    <row r="40" spans="1:52" x14ac:dyDescent="0.25">
      <c r="A40">
        <v>29</v>
      </c>
      <c r="B40" t="s">
        <v>321</v>
      </c>
      <c r="C40" t="s">
        <v>151</v>
      </c>
      <c r="D40" t="s">
        <v>322</v>
      </c>
      <c r="E40" t="s">
        <v>216</v>
      </c>
      <c r="F40" t="s">
        <v>151</v>
      </c>
      <c r="G40">
        <v>500</v>
      </c>
      <c r="H40">
        <v>501</v>
      </c>
      <c r="I40" t="s">
        <v>323</v>
      </c>
      <c r="J40">
        <v>520</v>
      </c>
      <c r="K40">
        <v>521</v>
      </c>
      <c r="L40" t="s">
        <v>324</v>
      </c>
      <c r="M40">
        <v>3</v>
      </c>
      <c r="N40" t="s">
        <v>9</v>
      </c>
      <c r="O40" t="s">
        <v>9</v>
      </c>
      <c r="P40" t="s">
        <v>169</v>
      </c>
      <c r="Q40" t="s">
        <v>325</v>
      </c>
      <c r="R40" t="s">
        <v>283</v>
      </c>
      <c r="S40">
        <v>2014</v>
      </c>
      <c r="T40">
        <v>9</v>
      </c>
      <c r="U40" t="s">
        <v>162</v>
      </c>
      <c r="V40" t="s">
        <v>243</v>
      </c>
      <c r="W40">
        <v>2020</v>
      </c>
      <c r="X40">
        <v>0</v>
      </c>
      <c r="Y40" t="s">
        <v>162</v>
      </c>
      <c r="Z40">
        <v>2020</v>
      </c>
      <c r="AA40">
        <v>0</v>
      </c>
      <c r="AB40" s="5">
        <v>8.1661266184400005E-2</v>
      </c>
      <c r="AC40" s="5">
        <v>8.1661266184400005E-2</v>
      </c>
      <c r="AD40" t="s">
        <v>162</v>
      </c>
      <c r="AE40" t="s">
        <v>166</v>
      </c>
      <c r="AF40" t="s">
        <v>151</v>
      </c>
      <c r="AG40" t="s">
        <v>163</v>
      </c>
      <c r="AH40" t="s">
        <v>162</v>
      </c>
      <c r="AI40" t="s">
        <v>162</v>
      </c>
      <c r="AJ40" t="s">
        <v>162</v>
      </c>
      <c r="AK40" t="s">
        <v>162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 s="60">
        <f t="shared" si="0"/>
        <v>1</v>
      </c>
      <c r="AU40" s="95" t="s">
        <v>244</v>
      </c>
      <c r="AV40" t="s">
        <v>165</v>
      </c>
      <c r="AW40" t="s">
        <v>163</v>
      </c>
      <c r="AX40">
        <v>2</v>
      </c>
      <c r="AY40" t="s">
        <v>167</v>
      </c>
      <c r="AZ40" t="s">
        <v>162</v>
      </c>
    </row>
    <row r="41" spans="1:52" x14ac:dyDescent="0.25">
      <c r="A41">
        <v>30</v>
      </c>
      <c r="B41" t="s">
        <v>315</v>
      </c>
      <c r="C41" t="s">
        <v>163</v>
      </c>
      <c r="D41" t="s">
        <v>316</v>
      </c>
      <c r="E41" t="s">
        <v>216</v>
      </c>
      <c r="F41" t="s">
        <v>162</v>
      </c>
      <c r="G41">
        <v>1600</v>
      </c>
      <c r="H41">
        <v>1601</v>
      </c>
      <c r="I41" t="s">
        <v>298</v>
      </c>
      <c r="J41">
        <v>1764</v>
      </c>
      <c r="K41">
        <v>1769</v>
      </c>
      <c r="L41" t="s">
        <v>326</v>
      </c>
      <c r="M41">
        <v>3</v>
      </c>
      <c r="N41" t="s">
        <v>11</v>
      </c>
      <c r="O41" t="s">
        <v>327</v>
      </c>
      <c r="P41" t="s">
        <v>157</v>
      </c>
      <c r="Q41" t="s">
        <v>328</v>
      </c>
      <c r="R41" t="s">
        <v>329</v>
      </c>
      <c r="S41">
        <v>2017</v>
      </c>
      <c r="T41">
        <v>9</v>
      </c>
      <c r="U41" t="s">
        <v>330</v>
      </c>
      <c r="V41" t="s">
        <v>162</v>
      </c>
      <c r="W41">
        <v>0</v>
      </c>
      <c r="X41">
        <v>0</v>
      </c>
      <c r="Y41" t="s">
        <v>162</v>
      </c>
      <c r="Z41">
        <v>2017</v>
      </c>
      <c r="AA41">
        <v>2005</v>
      </c>
      <c r="AB41" s="5">
        <v>0.41450980580899999</v>
      </c>
      <c r="AC41" s="5">
        <v>0.82901961161799997</v>
      </c>
      <c r="AD41" t="s">
        <v>162</v>
      </c>
      <c r="AE41" t="s">
        <v>163</v>
      </c>
      <c r="AF41" t="s">
        <v>162</v>
      </c>
      <c r="AG41" t="s">
        <v>162</v>
      </c>
      <c r="AH41" t="s">
        <v>162</v>
      </c>
      <c r="AI41" t="s">
        <v>162</v>
      </c>
      <c r="AJ41" t="s">
        <v>162</v>
      </c>
      <c r="AK41" t="s">
        <v>162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 s="60">
        <f t="shared" si="0"/>
        <v>1</v>
      </c>
      <c r="AU41" s="95">
        <v>43336</v>
      </c>
      <c r="AV41" s="94" t="s">
        <v>165</v>
      </c>
      <c r="AW41" t="s">
        <v>162</v>
      </c>
      <c r="AX41">
        <v>2</v>
      </c>
      <c r="AY41" t="s">
        <v>167</v>
      </c>
      <c r="AZ41">
        <v>20</v>
      </c>
    </row>
    <row r="42" spans="1:52" x14ac:dyDescent="0.25">
      <c r="A42">
        <v>31</v>
      </c>
      <c r="B42" t="s">
        <v>245</v>
      </c>
      <c r="C42" t="s">
        <v>163</v>
      </c>
      <c r="D42" t="s">
        <v>246</v>
      </c>
      <c r="E42" t="s">
        <v>216</v>
      </c>
      <c r="F42" t="s">
        <v>162</v>
      </c>
      <c r="G42">
        <v>3600</v>
      </c>
      <c r="H42">
        <v>3601</v>
      </c>
      <c r="I42" t="s">
        <v>331</v>
      </c>
      <c r="J42">
        <v>4401</v>
      </c>
      <c r="K42">
        <v>4400</v>
      </c>
      <c r="L42" t="s">
        <v>332</v>
      </c>
      <c r="M42">
        <v>3</v>
      </c>
      <c r="N42" t="s">
        <v>15</v>
      </c>
      <c r="O42" t="s">
        <v>15</v>
      </c>
      <c r="P42" t="s">
        <v>175</v>
      </c>
      <c r="Q42" t="s">
        <v>333</v>
      </c>
      <c r="R42" t="s">
        <v>177</v>
      </c>
      <c r="S42">
        <v>2011</v>
      </c>
      <c r="T42">
        <v>9</v>
      </c>
      <c r="U42" t="s">
        <v>162</v>
      </c>
      <c r="V42" t="s">
        <v>162</v>
      </c>
      <c r="W42">
        <v>0</v>
      </c>
      <c r="X42">
        <v>0</v>
      </c>
      <c r="Y42" t="s">
        <v>162</v>
      </c>
      <c r="Z42">
        <v>2011</v>
      </c>
      <c r="AA42">
        <v>0</v>
      </c>
      <c r="AB42" s="5">
        <v>1.0057463845800001</v>
      </c>
      <c r="AC42" s="5">
        <v>2.0114927691600002</v>
      </c>
      <c r="AD42" t="s">
        <v>162</v>
      </c>
      <c r="AE42" t="s">
        <v>163</v>
      </c>
      <c r="AF42" t="s">
        <v>162</v>
      </c>
      <c r="AG42" t="s">
        <v>162</v>
      </c>
      <c r="AH42" t="s">
        <v>162</v>
      </c>
      <c r="AI42" t="s">
        <v>162</v>
      </c>
      <c r="AJ42" t="s">
        <v>162</v>
      </c>
      <c r="AK42" t="s">
        <v>162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 s="60">
        <f t="shared" si="0"/>
        <v>1</v>
      </c>
      <c r="AU42" s="95">
        <v>43335</v>
      </c>
      <c r="AV42" s="94" t="s">
        <v>165</v>
      </c>
      <c r="AW42" t="s">
        <v>162</v>
      </c>
      <c r="AX42">
        <v>2</v>
      </c>
      <c r="AY42" t="s">
        <v>167</v>
      </c>
      <c r="AZ42" t="s">
        <v>162</v>
      </c>
    </row>
    <row r="43" spans="1:52" x14ac:dyDescent="0.25">
      <c r="A43">
        <v>32</v>
      </c>
      <c r="B43" t="s">
        <v>220</v>
      </c>
      <c r="C43" t="s">
        <v>151</v>
      </c>
      <c r="D43" t="s">
        <v>221</v>
      </c>
      <c r="E43" t="s">
        <v>222</v>
      </c>
      <c r="F43" t="s">
        <v>162</v>
      </c>
      <c r="G43">
        <v>2363</v>
      </c>
      <c r="H43">
        <v>2358</v>
      </c>
      <c r="I43" t="s">
        <v>334</v>
      </c>
      <c r="J43">
        <v>2301</v>
      </c>
      <c r="K43">
        <v>2300</v>
      </c>
      <c r="L43" t="s">
        <v>335</v>
      </c>
      <c r="M43">
        <v>4</v>
      </c>
      <c r="N43" t="s">
        <v>9</v>
      </c>
      <c r="O43" t="s">
        <v>9</v>
      </c>
      <c r="P43" t="s">
        <v>175</v>
      </c>
      <c r="Q43" t="s">
        <v>336</v>
      </c>
      <c r="R43" t="s">
        <v>337</v>
      </c>
      <c r="S43">
        <v>2011</v>
      </c>
      <c r="T43">
        <v>10</v>
      </c>
      <c r="U43" t="s">
        <v>338</v>
      </c>
      <c r="V43" t="s">
        <v>162</v>
      </c>
      <c r="W43">
        <v>0</v>
      </c>
      <c r="X43">
        <v>0</v>
      </c>
      <c r="Y43" t="s">
        <v>162</v>
      </c>
      <c r="Z43">
        <v>2011</v>
      </c>
      <c r="AA43">
        <v>2011</v>
      </c>
      <c r="AB43" s="5">
        <v>0.127562443527</v>
      </c>
      <c r="AC43" s="5">
        <v>0.25512488705399999</v>
      </c>
      <c r="AD43" t="s">
        <v>162</v>
      </c>
      <c r="AE43" t="s">
        <v>163</v>
      </c>
      <c r="AF43" t="s">
        <v>162</v>
      </c>
      <c r="AG43" t="s">
        <v>162</v>
      </c>
      <c r="AH43" t="s">
        <v>162</v>
      </c>
      <c r="AI43" t="s">
        <v>162</v>
      </c>
      <c r="AJ43" t="s">
        <v>162</v>
      </c>
      <c r="AK43" t="s">
        <v>162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 s="60">
        <f t="shared" si="0"/>
        <v>1</v>
      </c>
      <c r="AU43" s="95">
        <v>43332</v>
      </c>
      <c r="AV43" t="s">
        <v>165</v>
      </c>
      <c r="AW43" t="s">
        <v>163</v>
      </c>
      <c r="AX43">
        <v>2</v>
      </c>
      <c r="AY43" t="s">
        <v>167</v>
      </c>
      <c r="AZ43" t="s">
        <v>162</v>
      </c>
    </row>
    <row r="44" spans="1:52" x14ac:dyDescent="0.25">
      <c r="A44">
        <v>33</v>
      </c>
      <c r="B44" t="s">
        <v>220</v>
      </c>
      <c r="C44" t="s">
        <v>151</v>
      </c>
      <c r="D44" t="s">
        <v>221</v>
      </c>
      <c r="E44" t="s">
        <v>222</v>
      </c>
      <c r="F44" t="s">
        <v>162</v>
      </c>
      <c r="G44">
        <v>2057</v>
      </c>
      <c r="H44">
        <v>2058</v>
      </c>
      <c r="I44" t="s">
        <v>339</v>
      </c>
      <c r="J44">
        <v>2001</v>
      </c>
      <c r="K44">
        <v>2000</v>
      </c>
      <c r="L44" t="s">
        <v>173</v>
      </c>
      <c r="M44">
        <v>4</v>
      </c>
      <c r="N44" t="s">
        <v>9</v>
      </c>
      <c r="O44" t="s">
        <v>9</v>
      </c>
      <c r="P44" t="s">
        <v>175</v>
      </c>
      <c r="Q44" t="s">
        <v>336</v>
      </c>
      <c r="R44" t="s">
        <v>337</v>
      </c>
      <c r="S44">
        <v>2011</v>
      </c>
      <c r="T44">
        <v>10</v>
      </c>
      <c r="U44" t="s">
        <v>338</v>
      </c>
      <c r="V44" t="s">
        <v>162</v>
      </c>
      <c r="W44">
        <v>0</v>
      </c>
      <c r="X44">
        <v>0</v>
      </c>
      <c r="Y44" t="s">
        <v>162</v>
      </c>
      <c r="Z44">
        <v>2011</v>
      </c>
      <c r="AA44">
        <v>2011</v>
      </c>
      <c r="AB44" s="5">
        <v>0.12753278184299999</v>
      </c>
      <c r="AC44" s="5">
        <v>0.25506556368599997</v>
      </c>
      <c r="AD44" t="s">
        <v>162</v>
      </c>
      <c r="AE44" t="s">
        <v>163</v>
      </c>
      <c r="AF44" t="s">
        <v>162</v>
      </c>
      <c r="AG44" t="s">
        <v>162</v>
      </c>
      <c r="AH44" t="s">
        <v>162</v>
      </c>
      <c r="AI44" t="s">
        <v>162</v>
      </c>
      <c r="AJ44" t="s">
        <v>162</v>
      </c>
      <c r="AK44" t="s">
        <v>162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 s="60">
        <f t="shared" si="0"/>
        <v>1</v>
      </c>
      <c r="AU44" s="95">
        <v>43332</v>
      </c>
      <c r="AV44" t="s">
        <v>165</v>
      </c>
      <c r="AW44" t="s">
        <v>163</v>
      </c>
      <c r="AX44">
        <v>2</v>
      </c>
      <c r="AY44" t="s">
        <v>167</v>
      </c>
      <c r="AZ44" t="s">
        <v>162</v>
      </c>
    </row>
    <row r="45" spans="1:52" x14ac:dyDescent="0.25">
      <c r="A45">
        <v>34</v>
      </c>
      <c r="B45" t="s">
        <v>220</v>
      </c>
      <c r="C45" t="s">
        <v>151</v>
      </c>
      <c r="D45" t="s">
        <v>221</v>
      </c>
      <c r="E45" t="s">
        <v>222</v>
      </c>
      <c r="F45" t="s">
        <v>162</v>
      </c>
      <c r="G45">
        <v>2301</v>
      </c>
      <c r="H45">
        <v>2300</v>
      </c>
      <c r="I45" t="s">
        <v>335</v>
      </c>
      <c r="J45">
        <v>2101</v>
      </c>
      <c r="K45">
        <v>2100</v>
      </c>
      <c r="L45" t="s">
        <v>339</v>
      </c>
      <c r="M45">
        <v>4</v>
      </c>
      <c r="N45" t="s">
        <v>7</v>
      </c>
      <c r="O45" t="s">
        <v>7</v>
      </c>
      <c r="P45" t="s">
        <v>175</v>
      </c>
      <c r="Q45" t="s">
        <v>336</v>
      </c>
      <c r="R45" t="s">
        <v>337</v>
      </c>
      <c r="S45">
        <v>2011</v>
      </c>
      <c r="T45">
        <v>10</v>
      </c>
      <c r="U45" t="s">
        <v>340</v>
      </c>
      <c r="V45" t="s">
        <v>162</v>
      </c>
      <c r="W45">
        <v>0</v>
      </c>
      <c r="X45">
        <v>0</v>
      </c>
      <c r="Y45" t="s">
        <v>162</v>
      </c>
      <c r="Z45">
        <v>2011</v>
      </c>
      <c r="AA45">
        <v>2011</v>
      </c>
      <c r="AB45" s="5">
        <v>0.25262842093900001</v>
      </c>
      <c r="AC45" s="5">
        <v>0.50525684187800002</v>
      </c>
      <c r="AD45" t="s">
        <v>162</v>
      </c>
      <c r="AE45" t="s">
        <v>163</v>
      </c>
      <c r="AF45" t="s">
        <v>162</v>
      </c>
      <c r="AG45" t="s">
        <v>162</v>
      </c>
      <c r="AH45" t="s">
        <v>162</v>
      </c>
      <c r="AI45" t="s">
        <v>226</v>
      </c>
      <c r="AJ45" t="s">
        <v>154</v>
      </c>
      <c r="AK45" t="s">
        <v>162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 s="60">
        <f t="shared" si="0"/>
        <v>1</v>
      </c>
      <c r="AU45" s="95" t="s">
        <v>213</v>
      </c>
      <c r="AV45" t="s">
        <v>165</v>
      </c>
      <c r="AW45" t="s">
        <v>166</v>
      </c>
      <c r="AX45">
        <v>1</v>
      </c>
      <c r="AY45" t="s">
        <v>167</v>
      </c>
      <c r="AZ45" t="s">
        <v>162</v>
      </c>
    </row>
    <row r="46" spans="1:52" x14ac:dyDescent="0.25">
      <c r="A46">
        <v>35</v>
      </c>
      <c r="B46" t="s">
        <v>220</v>
      </c>
      <c r="C46" t="s">
        <v>151</v>
      </c>
      <c r="D46" t="s">
        <v>221</v>
      </c>
      <c r="E46" t="s">
        <v>222</v>
      </c>
      <c r="F46" t="s">
        <v>203</v>
      </c>
      <c r="G46">
        <v>2001</v>
      </c>
      <c r="H46">
        <v>2000</v>
      </c>
      <c r="I46" t="s">
        <v>173</v>
      </c>
      <c r="J46">
        <v>1751</v>
      </c>
      <c r="K46">
        <v>1750</v>
      </c>
      <c r="L46" t="s">
        <v>341</v>
      </c>
      <c r="M46">
        <v>4</v>
      </c>
      <c r="N46" t="s">
        <v>7</v>
      </c>
      <c r="O46" t="s">
        <v>7</v>
      </c>
      <c r="P46" t="s">
        <v>175</v>
      </c>
      <c r="Q46" t="s">
        <v>336</v>
      </c>
      <c r="R46" t="s">
        <v>337</v>
      </c>
      <c r="S46">
        <v>2011</v>
      </c>
      <c r="T46">
        <v>10</v>
      </c>
      <c r="U46" t="s">
        <v>208</v>
      </c>
      <c r="V46" t="s">
        <v>162</v>
      </c>
      <c r="W46">
        <v>0</v>
      </c>
      <c r="X46">
        <v>0</v>
      </c>
      <c r="Y46" t="s">
        <v>162</v>
      </c>
      <c r="Z46">
        <v>2011</v>
      </c>
      <c r="AA46">
        <v>2011</v>
      </c>
      <c r="AB46" s="5">
        <v>0.30168894853700001</v>
      </c>
      <c r="AC46" s="5">
        <v>0.30168894853700001</v>
      </c>
      <c r="AD46" t="s">
        <v>162</v>
      </c>
      <c r="AE46" t="s">
        <v>166</v>
      </c>
      <c r="AF46" t="s">
        <v>203</v>
      </c>
      <c r="AG46" t="s">
        <v>163</v>
      </c>
      <c r="AH46" t="s">
        <v>162</v>
      </c>
      <c r="AI46" t="s">
        <v>226</v>
      </c>
      <c r="AJ46" t="s">
        <v>154</v>
      </c>
      <c r="AK46" t="s">
        <v>162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 s="60">
        <f t="shared" si="0"/>
        <v>1</v>
      </c>
      <c r="AU46" s="95" t="s">
        <v>213</v>
      </c>
      <c r="AV46" s="94" t="s">
        <v>165</v>
      </c>
      <c r="AW46" t="s">
        <v>166</v>
      </c>
      <c r="AX46">
        <v>1</v>
      </c>
      <c r="AY46" t="s">
        <v>167</v>
      </c>
      <c r="AZ46" t="s">
        <v>162</v>
      </c>
    </row>
    <row r="47" spans="1:52" x14ac:dyDescent="0.25">
      <c r="A47">
        <v>36</v>
      </c>
      <c r="B47" t="s">
        <v>214</v>
      </c>
      <c r="C47" t="s">
        <v>180</v>
      </c>
      <c r="D47" t="s">
        <v>215</v>
      </c>
      <c r="E47" t="s">
        <v>216</v>
      </c>
      <c r="F47" t="s">
        <v>162</v>
      </c>
      <c r="G47">
        <v>2143</v>
      </c>
      <c r="H47">
        <v>2142</v>
      </c>
      <c r="I47" t="s">
        <v>342</v>
      </c>
      <c r="J47">
        <v>1801</v>
      </c>
      <c r="K47">
        <v>1800</v>
      </c>
      <c r="L47" t="s">
        <v>343</v>
      </c>
      <c r="M47">
        <v>4</v>
      </c>
      <c r="N47" t="s">
        <v>9</v>
      </c>
      <c r="O47" t="s">
        <v>9</v>
      </c>
      <c r="P47" t="s">
        <v>157</v>
      </c>
      <c r="Q47" t="s">
        <v>344</v>
      </c>
      <c r="R47" t="s">
        <v>337</v>
      </c>
      <c r="S47">
        <v>2012</v>
      </c>
      <c r="T47">
        <v>7</v>
      </c>
      <c r="U47" t="s">
        <v>123</v>
      </c>
      <c r="V47" t="s">
        <v>161</v>
      </c>
      <c r="W47">
        <v>2020</v>
      </c>
      <c r="X47">
        <v>0</v>
      </c>
      <c r="Y47" t="s">
        <v>162</v>
      </c>
      <c r="Z47">
        <v>2020</v>
      </c>
      <c r="AA47">
        <v>2012</v>
      </c>
      <c r="AB47" s="5">
        <v>0.34546322596700002</v>
      </c>
      <c r="AC47" s="5">
        <v>0.69092645193400004</v>
      </c>
      <c r="AD47" t="s">
        <v>162</v>
      </c>
      <c r="AE47" t="s">
        <v>163</v>
      </c>
      <c r="AF47" t="s">
        <v>162</v>
      </c>
      <c r="AG47" t="s">
        <v>162</v>
      </c>
      <c r="AH47" t="s">
        <v>162</v>
      </c>
      <c r="AI47" t="s">
        <v>162</v>
      </c>
      <c r="AJ47" t="s">
        <v>162</v>
      </c>
      <c r="AK47" t="s">
        <v>162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 s="60">
        <f t="shared" si="0"/>
        <v>1</v>
      </c>
      <c r="AU47" s="95" t="s">
        <v>187</v>
      </c>
      <c r="AV47" s="94" t="s">
        <v>165</v>
      </c>
      <c r="AW47" t="s">
        <v>163</v>
      </c>
      <c r="AX47">
        <v>2</v>
      </c>
      <c r="AY47" t="s">
        <v>167</v>
      </c>
      <c r="AZ47" t="s">
        <v>162</v>
      </c>
    </row>
    <row r="48" spans="1:52" x14ac:dyDescent="0.25">
      <c r="A48">
        <v>37</v>
      </c>
      <c r="B48" t="s">
        <v>345</v>
      </c>
      <c r="C48" t="s">
        <v>180</v>
      </c>
      <c r="D48" t="s">
        <v>346</v>
      </c>
      <c r="E48" t="s">
        <v>172</v>
      </c>
      <c r="F48" t="s">
        <v>162</v>
      </c>
      <c r="G48">
        <v>1901</v>
      </c>
      <c r="H48">
        <v>1900</v>
      </c>
      <c r="I48" t="s">
        <v>347</v>
      </c>
      <c r="J48">
        <v>1843</v>
      </c>
      <c r="K48">
        <v>1856</v>
      </c>
      <c r="L48" t="s">
        <v>348</v>
      </c>
      <c r="M48">
        <v>2</v>
      </c>
      <c r="N48" t="s">
        <v>9</v>
      </c>
      <c r="O48" t="s">
        <v>9</v>
      </c>
      <c r="P48" t="s">
        <v>175</v>
      </c>
      <c r="Q48" t="s">
        <v>349</v>
      </c>
      <c r="R48" t="s">
        <v>314</v>
      </c>
      <c r="S48">
        <v>2013</v>
      </c>
      <c r="T48">
        <v>10</v>
      </c>
      <c r="U48" t="s">
        <v>311</v>
      </c>
      <c r="V48" t="s">
        <v>243</v>
      </c>
      <c r="W48">
        <v>2020</v>
      </c>
      <c r="X48">
        <v>0</v>
      </c>
      <c r="Y48" t="s">
        <v>162</v>
      </c>
      <c r="Z48">
        <v>2020</v>
      </c>
      <c r="AA48">
        <v>2013</v>
      </c>
      <c r="AB48" s="5">
        <v>0.16315132243899999</v>
      </c>
      <c r="AC48" s="5">
        <v>0.32630264487799998</v>
      </c>
      <c r="AD48" t="s">
        <v>162</v>
      </c>
      <c r="AE48" t="s">
        <v>163</v>
      </c>
      <c r="AF48" t="s">
        <v>162</v>
      </c>
      <c r="AG48" t="s">
        <v>162</v>
      </c>
      <c r="AH48" t="s">
        <v>162</v>
      </c>
      <c r="AI48" t="s">
        <v>162</v>
      </c>
      <c r="AJ48" t="s">
        <v>162</v>
      </c>
      <c r="AK48" t="s">
        <v>162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 s="60">
        <f t="shared" si="0"/>
        <v>1</v>
      </c>
      <c r="AU48" s="95" t="s">
        <v>350</v>
      </c>
      <c r="AV48" t="s">
        <v>165</v>
      </c>
      <c r="AW48" t="s">
        <v>163</v>
      </c>
      <c r="AX48">
        <v>2</v>
      </c>
      <c r="AY48" t="s">
        <v>167</v>
      </c>
      <c r="AZ48" t="s">
        <v>162</v>
      </c>
    </row>
    <row r="49" spans="1:52" x14ac:dyDescent="0.25">
      <c r="A49">
        <v>38</v>
      </c>
      <c r="B49" t="s">
        <v>351</v>
      </c>
      <c r="C49" t="s">
        <v>180</v>
      </c>
      <c r="D49" t="s">
        <v>352</v>
      </c>
      <c r="E49" t="s">
        <v>182</v>
      </c>
      <c r="F49" t="s">
        <v>154</v>
      </c>
      <c r="G49">
        <v>5519</v>
      </c>
      <c r="H49">
        <v>5520</v>
      </c>
      <c r="I49" t="s">
        <v>353</v>
      </c>
      <c r="J49">
        <v>5501</v>
      </c>
      <c r="K49">
        <v>5500</v>
      </c>
      <c r="L49" t="s">
        <v>207</v>
      </c>
      <c r="M49">
        <v>3</v>
      </c>
      <c r="N49" t="s">
        <v>7</v>
      </c>
      <c r="O49" t="s">
        <v>7</v>
      </c>
      <c r="P49" t="s">
        <v>157</v>
      </c>
      <c r="Q49" t="s">
        <v>162</v>
      </c>
      <c r="R49" t="s">
        <v>354</v>
      </c>
      <c r="S49">
        <v>2022</v>
      </c>
      <c r="T49">
        <v>7</v>
      </c>
      <c r="U49" t="s">
        <v>162</v>
      </c>
      <c r="V49" t="s">
        <v>162</v>
      </c>
      <c r="W49">
        <v>0</v>
      </c>
      <c r="X49">
        <v>0</v>
      </c>
      <c r="Y49" t="s">
        <v>162</v>
      </c>
      <c r="Z49">
        <v>2022</v>
      </c>
      <c r="AA49">
        <v>2022</v>
      </c>
      <c r="AB49" s="5">
        <v>6.7515941811299995E-2</v>
      </c>
      <c r="AC49" s="5">
        <v>0.135031883623</v>
      </c>
      <c r="AD49" t="s">
        <v>154</v>
      </c>
      <c r="AE49" t="s">
        <v>154</v>
      </c>
      <c r="AF49" t="s">
        <v>154</v>
      </c>
      <c r="AG49" t="s">
        <v>154</v>
      </c>
      <c r="AH49" t="s">
        <v>154</v>
      </c>
      <c r="AI49" t="s">
        <v>226</v>
      </c>
      <c r="AJ49" t="s">
        <v>154</v>
      </c>
      <c r="AK49" t="s">
        <v>154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 s="60">
        <f t="shared" si="0"/>
        <v>1</v>
      </c>
      <c r="AU49" s="95" t="s">
        <v>355</v>
      </c>
      <c r="AV49" t="s">
        <v>165</v>
      </c>
      <c r="AW49" t="s">
        <v>166</v>
      </c>
      <c r="AX49">
        <v>2</v>
      </c>
      <c r="AY49" t="s">
        <v>167</v>
      </c>
      <c r="AZ49">
        <v>30</v>
      </c>
    </row>
    <row r="50" spans="1:52" x14ac:dyDescent="0.25">
      <c r="A50">
        <v>39</v>
      </c>
      <c r="B50" t="s">
        <v>356</v>
      </c>
      <c r="C50" t="s">
        <v>180</v>
      </c>
      <c r="D50" t="s">
        <v>357</v>
      </c>
      <c r="E50" t="s">
        <v>216</v>
      </c>
      <c r="F50" t="s">
        <v>162</v>
      </c>
      <c r="G50">
        <v>7559</v>
      </c>
      <c r="H50">
        <v>7559</v>
      </c>
      <c r="I50" t="s">
        <v>358</v>
      </c>
      <c r="J50">
        <v>6901</v>
      </c>
      <c r="K50">
        <v>6900</v>
      </c>
      <c r="L50" t="s">
        <v>277</v>
      </c>
      <c r="M50">
        <v>3</v>
      </c>
      <c r="N50" t="s">
        <v>9</v>
      </c>
      <c r="O50" t="s">
        <v>9</v>
      </c>
      <c r="P50" t="s">
        <v>157</v>
      </c>
      <c r="Q50" t="s">
        <v>162</v>
      </c>
      <c r="R50" t="s">
        <v>359</v>
      </c>
      <c r="S50">
        <v>2018</v>
      </c>
      <c r="T50">
        <v>8</v>
      </c>
      <c r="U50" t="s">
        <v>162</v>
      </c>
      <c r="V50" t="s">
        <v>162</v>
      </c>
      <c r="W50">
        <v>0</v>
      </c>
      <c r="X50">
        <v>0</v>
      </c>
      <c r="Y50" t="s">
        <v>162</v>
      </c>
      <c r="Z50">
        <v>2018</v>
      </c>
      <c r="AA50">
        <v>2011</v>
      </c>
      <c r="AB50" s="5">
        <v>0.93836993143699998</v>
      </c>
      <c r="AC50" s="5">
        <v>1.8767398628700001</v>
      </c>
      <c r="AD50" t="s">
        <v>162</v>
      </c>
      <c r="AE50" t="s">
        <v>163</v>
      </c>
      <c r="AF50" t="s">
        <v>162</v>
      </c>
      <c r="AG50" t="s">
        <v>162</v>
      </c>
      <c r="AH50" t="s">
        <v>162</v>
      </c>
      <c r="AI50" t="s">
        <v>162</v>
      </c>
      <c r="AJ50" t="s">
        <v>162</v>
      </c>
      <c r="AK50" t="s">
        <v>162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 s="60">
        <f t="shared" si="0"/>
        <v>1</v>
      </c>
      <c r="AU50" s="95" t="s">
        <v>360</v>
      </c>
      <c r="AV50" s="94" t="s">
        <v>165</v>
      </c>
      <c r="AW50" t="s">
        <v>163</v>
      </c>
      <c r="AX50">
        <v>2</v>
      </c>
      <c r="AY50" t="s">
        <v>167</v>
      </c>
      <c r="AZ50" t="s">
        <v>162</v>
      </c>
    </row>
    <row r="51" spans="1:52" x14ac:dyDescent="0.25">
      <c r="A51">
        <v>40</v>
      </c>
      <c r="B51" t="s">
        <v>361</v>
      </c>
      <c r="C51" t="s">
        <v>203</v>
      </c>
      <c r="D51" t="s">
        <v>362</v>
      </c>
      <c r="E51" t="s">
        <v>172</v>
      </c>
      <c r="F51" t="s">
        <v>162</v>
      </c>
      <c r="G51">
        <v>2635</v>
      </c>
      <c r="H51">
        <v>2634</v>
      </c>
      <c r="I51" t="s">
        <v>363</v>
      </c>
      <c r="J51">
        <v>3601</v>
      </c>
      <c r="K51">
        <v>3600</v>
      </c>
      <c r="L51" t="s">
        <v>364</v>
      </c>
      <c r="M51">
        <v>3</v>
      </c>
      <c r="N51" t="s">
        <v>11</v>
      </c>
      <c r="O51" t="s">
        <v>11</v>
      </c>
      <c r="P51" t="s">
        <v>175</v>
      </c>
      <c r="Q51" t="s">
        <v>365</v>
      </c>
      <c r="R51" t="s">
        <v>366</v>
      </c>
      <c r="S51">
        <v>2011</v>
      </c>
      <c r="T51">
        <v>7</v>
      </c>
      <c r="U51" t="s">
        <v>367</v>
      </c>
      <c r="V51" t="s">
        <v>161</v>
      </c>
      <c r="W51">
        <v>2020</v>
      </c>
      <c r="X51">
        <v>0</v>
      </c>
      <c r="Y51" t="s">
        <v>162</v>
      </c>
      <c r="Z51">
        <v>2020</v>
      </c>
      <c r="AA51">
        <v>2011</v>
      </c>
      <c r="AB51" s="5">
        <v>1.20696959417</v>
      </c>
      <c r="AC51" s="5">
        <v>2.4139391883400001</v>
      </c>
      <c r="AD51" t="s">
        <v>162</v>
      </c>
      <c r="AE51" t="s">
        <v>163</v>
      </c>
      <c r="AF51" t="s">
        <v>162</v>
      </c>
      <c r="AG51" t="s">
        <v>162</v>
      </c>
      <c r="AH51" t="s">
        <v>162</v>
      </c>
      <c r="AI51" t="s">
        <v>162</v>
      </c>
      <c r="AJ51" t="s">
        <v>162</v>
      </c>
      <c r="AK51" t="s">
        <v>166</v>
      </c>
      <c r="AL51">
        <v>2018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s="60">
        <f t="shared" si="0"/>
        <v>1</v>
      </c>
      <c r="AU51" s="95" t="s">
        <v>187</v>
      </c>
      <c r="AV51" s="94" t="s">
        <v>165</v>
      </c>
      <c r="AW51" t="s">
        <v>162</v>
      </c>
      <c r="AX51">
        <v>2</v>
      </c>
      <c r="AY51" t="s">
        <v>167</v>
      </c>
      <c r="AZ51" t="s">
        <v>162</v>
      </c>
    </row>
    <row r="52" spans="1:52" x14ac:dyDescent="0.25">
      <c r="A52">
        <v>41</v>
      </c>
      <c r="B52" t="s">
        <v>368</v>
      </c>
      <c r="C52" t="s">
        <v>163</v>
      </c>
      <c r="D52" t="s">
        <v>369</v>
      </c>
      <c r="E52" t="s">
        <v>370</v>
      </c>
      <c r="F52" t="s">
        <v>162</v>
      </c>
      <c r="G52">
        <v>6575</v>
      </c>
      <c r="H52">
        <v>6576</v>
      </c>
      <c r="I52" t="s">
        <v>371</v>
      </c>
      <c r="J52">
        <v>6432</v>
      </c>
      <c r="K52">
        <v>6433</v>
      </c>
      <c r="L52" t="s">
        <v>372</v>
      </c>
      <c r="M52">
        <v>3</v>
      </c>
      <c r="N52" t="s">
        <v>15</v>
      </c>
      <c r="O52" t="s">
        <v>15</v>
      </c>
      <c r="P52" t="s">
        <v>175</v>
      </c>
      <c r="Q52" t="s">
        <v>373</v>
      </c>
      <c r="R52" t="s">
        <v>366</v>
      </c>
      <c r="S52">
        <v>2011</v>
      </c>
      <c r="T52">
        <v>8</v>
      </c>
      <c r="U52" t="s">
        <v>123</v>
      </c>
      <c r="V52" t="s">
        <v>162</v>
      </c>
      <c r="W52">
        <v>0</v>
      </c>
      <c r="X52">
        <v>0</v>
      </c>
      <c r="Y52" t="s">
        <v>162</v>
      </c>
      <c r="Z52">
        <v>2011</v>
      </c>
      <c r="AA52">
        <v>2011</v>
      </c>
      <c r="AB52" s="5">
        <v>0.29999789549900002</v>
      </c>
      <c r="AC52" s="5">
        <v>0.59999579099800004</v>
      </c>
      <c r="AD52" t="s">
        <v>162</v>
      </c>
      <c r="AE52" t="s">
        <v>163</v>
      </c>
      <c r="AF52" t="s">
        <v>162</v>
      </c>
      <c r="AG52" t="s">
        <v>162</v>
      </c>
      <c r="AH52" t="s">
        <v>162</v>
      </c>
      <c r="AI52" t="s">
        <v>162</v>
      </c>
      <c r="AJ52" t="s">
        <v>162</v>
      </c>
      <c r="AK52" t="s">
        <v>162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 s="60">
        <f t="shared" si="0"/>
        <v>1</v>
      </c>
      <c r="AU52" s="95">
        <v>43339</v>
      </c>
      <c r="AV52" s="94" t="s">
        <v>165</v>
      </c>
      <c r="AW52" t="s">
        <v>162</v>
      </c>
      <c r="AX52">
        <v>2</v>
      </c>
      <c r="AY52" t="s">
        <v>167</v>
      </c>
      <c r="AZ52" t="s">
        <v>162</v>
      </c>
    </row>
    <row r="53" spans="1:52" x14ac:dyDescent="0.25">
      <c r="A53">
        <v>42</v>
      </c>
      <c r="B53" t="s">
        <v>368</v>
      </c>
      <c r="C53" t="s">
        <v>163</v>
      </c>
      <c r="D53" t="s">
        <v>369</v>
      </c>
      <c r="E53" t="s">
        <v>370</v>
      </c>
      <c r="F53" t="s">
        <v>162</v>
      </c>
      <c r="G53">
        <v>5727</v>
      </c>
      <c r="H53">
        <v>5726</v>
      </c>
      <c r="I53" t="s">
        <v>374</v>
      </c>
      <c r="J53">
        <v>6191</v>
      </c>
      <c r="K53">
        <v>6190</v>
      </c>
      <c r="L53" t="s">
        <v>375</v>
      </c>
      <c r="M53">
        <v>3</v>
      </c>
      <c r="N53" t="s">
        <v>11</v>
      </c>
      <c r="O53" t="s">
        <v>11</v>
      </c>
      <c r="P53" t="s">
        <v>175</v>
      </c>
      <c r="Q53" t="s">
        <v>373</v>
      </c>
      <c r="R53" t="s">
        <v>366</v>
      </c>
      <c r="S53">
        <v>2011</v>
      </c>
      <c r="T53">
        <v>8</v>
      </c>
      <c r="U53" t="s">
        <v>123</v>
      </c>
      <c r="V53" t="s">
        <v>161</v>
      </c>
      <c r="W53">
        <v>2020</v>
      </c>
      <c r="X53">
        <v>0</v>
      </c>
      <c r="Y53" t="s">
        <v>162</v>
      </c>
      <c r="Z53">
        <v>2020</v>
      </c>
      <c r="AA53">
        <v>2011</v>
      </c>
      <c r="AB53" s="5">
        <v>0.94913404032199999</v>
      </c>
      <c r="AC53" s="5">
        <v>1.8982680806400001</v>
      </c>
      <c r="AD53" t="s">
        <v>162</v>
      </c>
      <c r="AE53" t="s">
        <v>163</v>
      </c>
      <c r="AF53" t="s">
        <v>162</v>
      </c>
      <c r="AG53" t="s">
        <v>162</v>
      </c>
      <c r="AH53" t="s">
        <v>162</v>
      </c>
      <c r="AI53" t="s">
        <v>162</v>
      </c>
      <c r="AJ53" t="s">
        <v>162</v>
      </c>
      <c r="AK53" t="s">
        <v>162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 s="60">
        <f t="shared" si="0"/>
        <v>1</v>
      </c>
      <c r="AU53" s="95" t="s">
        <v>187</v>
      </c>
      <c r="AV53" s="94" t="s">
        <v>165</v>
      </c>
      <c r="AW53" t="s">
        <v>162</v>
      </c>
      <c r="AX53">
        <v>2</v>
      </c>
      <c r="AY53" t="s">
        <v>167</v>
      </c>
      <c r="AZ53" t="s">
        <v>162</v>
      </c>
    </row>
    <row r="54" spans="1:52" x14ac:dyDescent="0.25">
      <c r="A54">
        <v>43</v>
      </c>
      <c r="B54" t="s">
        <v>376</v>
      </c>
      <c r="C54" t="s">
        <v>151</v>
      </c>
      <c r="D54" t="s">
        <v>377</v>
      </c>
      <c r="E54" t="s">
        <v>216</v>
      </c>
      <c r="F54" t="s">
        <v>162</v>
      </c>
      <c r="G54">
        <v>2365</v>
      </c>
      <c r="H54">
        <v>2364</v>
      </c>
      <c r="I54" t="s">
        <v>378</v>
      </c>
      <c r="J54">
        <v>1301</v>
      </c>
      <c r="K54">
        <v>1300</v>
      </c>
      <c r="L54" t="s">
        <v>273</v>
      </c>
      <c r="M54">
        <v>2</v>
      </c>
      <c r="N54" t="s">
        <v>15</v>
      </c>
      <c r="O54" t="s">
        <v>15</v>
      </c>
      <c r="P54" t="s">
        <v>175</v>
      </c>
      <c r="Q54" t="s">
        <v>162</v>
      </c>
      <c r="R54" t="s">
        <v>304</v>
      </c>
      <c r="S54">
        <v>2011</v>
      </c>
      <c r="T54">
        <v>9</v>
      </c>
      <c r="U54" t="s">
        <v>162</v>
      </c>
      <c r="V54" t="s">
        <v>238</v>
      </c>
      <c r="W54">
        <v>2017</v>
      </c>
      <c r="X54">
        <v>11</v>
      </c>
      <c r="Y54" t="s">
        <v>123</v>
      </c>
      <c r="Z54">
        <v>2017</v>
      </c>
      <c r="AA54">
        <v>2017</v>
      </c>
      <c r="AB54" s="5">
        <v>1.39168791395</v>
      </c>
      <c r="AC54" s="5">
        <v>2.7833758279</v>
      </c>
      <c r="AD54" t="s">
        <v>162</v>
      </c>
      <c r="AE54" t="s">
        <v>163</v>
      </c>
      <c r="AF54" t="s">
        <v>162</v>
      </c>
      <c r="AG54" t="s">
        <v>162</v>
      </c>
      <c r="AH54" t="s">
        <v>162</v>
      </c>
      <c r="AI54" t="s">
        <v>162</v>
      </c>
      <c r="AJ54" t="s">
        <v>162</v>
      </c>
      <c r="AK54" t="s">
        <v>162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60">
        <f t="shared" si="0"/>
        <v>1</v>
      </c>
      <c r="AU54" s="95">
        <v>43339</v>
      </c>
      <c r="AV54" s="94" t="s">
        <v>165</v>
      </c>
      <c r="AW54" t="s">
        <v>162</v>
      </c>
      <c r="AX54">
        <v>2</v>
      </c>
      <c r="AY54" t="s">
        <v>167</v>
      </c>
      <c r="AZ54" t="s">
        <v>162</v>
      </c>
    </row>
    <row r="55" spans="1:52" x14ac:dyDescent="0.25">
      <c r="A55">
        <v>44</v>
      </c>
      <c r="B55" t="s">
        <v>379</v>
      </c>
      <c r="C55" t="s">
        <v>151</v>
      </c>
      <c r="D55" t="s">
        <v>380</v>
      </c>
      <c r="E55" t="s">
        <v>216</v>
      </c>
      <c r="F55" t="s">
        <v>162</v>
      </c>
      <c r="G55">
        <v>1599</v>
      </c>
      <c r="H55">
        <v>1600</v>
      </c>
      <c r="I55" t="s">
        <v>302</v>
      </c>
      <c r="J55">
        <v>1335</v>
      </c>
      <c r="K55">
        <v>1332</v>
      </c>
      <c r="L55" t="s">
        <v>381</v>
      </c>
      <c r="M55">
        <v>4</v>
      </c>
      <c r="N55" t="s">
        <v>11</v>
      </c>
      <c r="O55" t="s">
        <v>11</v>
      </c>
      <c r="P55" t="s">
        <v>175</v>
      </c>
      <c r="Q55" t="s">
        <v>382</v>
      </c>
      <c r="R55" t="s">
        <v>383</v>
      </c>
      <c r="S55">
        <v>2011</v>
      </c>
      <c r="T55">
        <v>6</v>
      </c>
      <c r="U55" t="s">
        <v>123</v>
      </c>
      <c r="V55" t="s">
        <v>162</v>
      </c>
      <c r="W55">
        <v>0</v>
      </c>
      <c r="X55">
        <v>0</v>
      </c>
      <c r="Y55" t="s">
        <v>162</v>
      </c>
      <c r="Z55">
        <v>2011</v>
      </c>
      <c r="AA55">
        <v>2011</v>
      </c>
      <c r="AB55" s="5">
        <v>0.25736586449299997</v>
      </c>
      <c r="AC55" s="5">
        <v>0.51473172898599995</v>
      </c>
      <c r="AD55" t="s">
        <v>162</v>
      </c>
      <c r="AE55" t="s">
        <v>163</v>
      </c>
      <c r="AF55" t="s">
        <v>162</v>
      </c>
      <c r="AG55" t="s">
        <v>162</v>
      </c>
      <c r="AH55" t="s">
        <v>162</v>
      </c>
      <c r="AI55" t="s">
        <v>162</v>
      </c>
      <c r="AJ55" t="s">
        <v>162</v>
      </c>
      <c r="AK55" t="s">
        <v>162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60">
        <f t="shared" si="0"/>
        <v>1</v>
      </c>
      <c r="AU55" s="95">
        <v>43339</v>
      </c>
      <c r="AV55" s="94" t="s">
        <v>165</v>
      </c>
      <c r="AW55" t="s">
        <v>162</v>
      </c>
      <c r="AX55">
        <v>2</v>
      </c>
      <c r="AY55" t="s">
        <v>167</v>
      </c>
      <c r="AZ55">
        <v>20</v>
      </c>
    </row>
    <row r="56" spans="1:52" x14ac:dyDescent="0.25">
      <c r="A56">
        <v>45</v>
      </c>
      <c r="B56" t="s">
        <v>315</v>
      </c>
      <c r="C56" t="s">
        <v>163</v>
      </c>
      <c r="D56" t="s">
        <v>316</v>
      </c>
      <c r="E56" t="s">
        <v>216</v>
      </c>
      <c r="F56" t="s">
        <v>154</v>
      </c>
      <c r="G56">
        <v>800</v>
      </c>
      <c r="H56">
        <v>801</v>
      </c>
      <c r="I56" t="s">
        <v>312</v>
      </c>
      <c r="J56">
        <v>828</v>
      </c>
      <c r="K56">
        <v>829</v>
      </c>
      <c r="L56" t="s">
        <v>384</v>
      </c>
      <c r="M56">
        <v>3</v>
      </c>
      <c r="N56" t="s">
        <v>7</v>
      </c>
      <c r="O56" t="s">
        <v>7</v>
      </c>
      <c r="P56" t="s">
        <v>157</v>
      </c>
      <c r="Q56" t="s">
        <v>162</v>
      </c>
      <c r="R56" t="s">
        <v>193</v>
      </c>
      <c r="S56">
        <v>2022</v>
      </c>
      <c r="T56">
        <v>11</v>
      </c>
      <c r="U56" t="s">
        <v>162</v>
      </c>
      <c r="V56" t="s">
        <v>162</v>
      </c>
      <c r="W56">
        <v>0</v>
      </c>
      <c r="X56">
        <v>0</v>
      </c>
      <c r="Y56" t="s">
        <v>162</v>
      </c>
      <c r="Z56">
        <v>2022</v>
      </c>
      <c r="AA56">
        <v>2022</v>
      </c>
      <c r="AB56" s="5">
        <v>7.40159013975E-2</v>
      </c>
      <c r="AC56" s="5">
        <v>0.148031802795</v>
      </c>
      <c r="AD56" t="s">
        <v>154</v>
      </c>
      <c r="AE56" t="s">
        <v>163</v>
      </c>
      <c r="AF56" t="s">
        <v>154</v>
      </c>
      <c r="AG56" t="s">
        <v>154</v>
      </c>
      <c r="AH56" t="s">
        <v>154</v>
      </c>
      <c r="AI56" t="s">
        <v>194</v>
      </c>
      <c r="AJ56" t="s">
        <v>154</v>
      </c>
      <c r="AK56" t="s">
        <v>154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s="60">
        <f t="shared" si="0"/>
        <v>1</v>
      </c>
      <c r="AU56" s="95" t="s">
        <v>195</v>
      </c>
      <c r="AV56" t="s">
        <v>165</v>
      </c>
      <c r="AW56" t="s">
        <v>166</v>
      </c>
      <c r="AX56">
        <v>2</v>
      </c>
      <c r="AY56" t="s">
        <v>167</v>
      </c>
      <c r="AZ56">
        <v>30</v>
      </c>
    </row>
    <row r="57" spans="1:52" x14ac:dyDescent="0.25">
      <c r="A57">
        <v>46</v>
      </c>
      <c r="B57" t="s">
        <v>385</v>
      </c>
      <c r="C57" t="s">
        <v>163</v>
      </c>
      <c r="D57" t="s">
        <v>386</v>
      </c>
      <c r="E57" t="s">
        <v>172</v>
      </c>
      <c r="F57" t="s">
        <v>163</v>
      </c>
      <c r="G57">
        <v>2</v>
      </c>
      <c r="H57">
        <v>1</v>
      </c>
      <c r="I57" t="s">
        <v>293</v>
      </c>
      <c r="J57">
        <v>198</v>
      </c>
      <c r="K57">
        <v>199</v>
      </c>
      <c r="L57" t="s">
        <v>387</v>
      </c>
      <c r="M57">
        <v>4</v>
      </c>
      <c r="N57" t="s">
        <v>9</v>
      </c>
      <c r="O57" t="s">
        <v>9</v>
      </c>
      <c r="P57" t="s">
        <v>175</v>
      </c>
      <c r="Q57" t="s">
        <v>162</v>
      </c>
      <c r="R57" t="s">
        <v>388</v>
      </c>
      <c r="S57">
        <v>2012</v>
      </c>
      <c r="T57">
        <v>12</v>
      </c>
      <c r="U57" t="s">
        <v>162</v>
      </c>
      <c r="V57" t="s">
        <v>269</v>
      </c>
      <c r="W57">
        <v>2015</v>
      </c>
      <c r="X57">
        <v>8</v>
      </c>
      <c r="Y57" t="s">
        <v>389</v>
      </c>
      <c r="Z57">
        <v>2015</v>
      </c>
      <c r="AA57">
        <v>2015</v>
      </c>
      <c r="AB57" s="5">
        <v>0.26239611913400002</v>
      </c>
      <c r="AC57" s="5">
        <v>0.26239611913400002</v>
      </c>
      <c r="AD57" t="s">
        <v>162</v>
      </c>
      <c r="AE57" t="s">
        <v>166</v>
      </c>
      <c r="AF57" t="s">
        <v>163</v>
      </c>
      <c r="AG57" t="s">
        <v>163</v>
      </c>
      <c r="AH57" t="s">
        <v>162</v>
      </c>
      <c r="AI57" t="s">
        <v>162</v>
      </c>
      <c r="AJ57" t="s">
        <v>162</v>
      </c>
      <c r="AK57" t="s">
        <v>162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 s="60">
        <f t="shared" si="0"/>
        <v>1</v>
      </c>
      <c r="AU57" s="95">
        <v>43339</v>
      </c>
      <c r="AV57" s="94" t="s">
        <v>165</v>
      </c>
      <c r="AW57" t="s">
        <v>163</v>
      </c>
      <c r="AX57">
        <v>2</v>
      </c>
      <c r="AY57" t="s">
        <v>167</v>
      </c>
      <c r="AZ57" t="s">
        <v>162</v>
      </c>
    </row>
    <row r="58" spans="1:52" x14ac:dyDescent="0.25">
      <c r="A58">
        <v>47</v>
      </c>
      <c r="B58" t="s">
        <v>290</v>
      </c>
      <c r="C58" t="s">
        <v>180</v>
      </c>
      <c r="D58" t="s">
        <v>291</v>
      </c>
      <c r="E58" t="s">
        <v>172</v>
      </c>
      <c r="F58" t="s">
        <v>180</v>
      </c>
      <c r="G58">
        <v>1101</v>
      </c>
      <c r="H58">
        <v>1100</v>
      </c>
      <c r="I58" t="s">
        <v>390</v>
      </c>
      <c r="J58">
        <v>825</v>
      </c>
      <c r="K58">
        <v>824</v>
      </c>
      <c r="L58" t="s">
        <v>391</v>
      </c>
      <c r="M58">
        <v>4</v>
      </c>
      <c r="N58" t="s">
        <v>9</v>
      </c>
      <c r="O58" t="s">
        <v>9</v>
      </c>
      <c r="P58" t="s">
        <v>175</v>
      </c>
      <c r="Q58" t="s">
        <v>162</v>
      </c>
      <c r="R58" t="s">
        <v>201</v>
      </c>
      <c r="S58">
        <v>2012</v>
      </c>
      <c r="T58">
        <v>11</v>
      </c>
      <c r="U58" t="s">
        <v>208</v>
      </c>
      <c r="V58" t="s">
        <v>267</v>
      </c>
      <c r="W58">
        <v>2018</v>
      </c>
      <c r="X58">
        <v>8</v>
      </c>
      <c r="Y58" t="s">
        <v>392</v>
      </c>
      <c r="Z58">
        <v>2018</v>
      </c>
      <c r="AA58">
        <v>2014</v>
      </c>
      <c r="AB58" s="5">
        <v>0.32940641966899997</v>
      </c>
      <c r="AC58" s="5">
        <v>0.32940641966899997</v>
      </c>
      <c r="AD58" t="s">
        <v>162</v>
      </c>
      <c r="AE58" t="s">
        <v>166</v>
      </c>
      <c r="AF58" t="s">
        <v>180</v>
      </c>
      <c r="AG58" t="s">
        <v>163</v>
      </c>
      <c r="AH58" t="s">
        <v>162</v>
      </c>
      <c r="AI58" t="s">
        <v>162</v>
      </c>
      <c r="AJ58" t="s">
        <v>162</v>
      </c>
      <c r="AK58" t="s">
        <v>162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s="60">
        <f t="shared" si="0"/>
        <v>1</v>
      </c>
      <c r="AU58" s="95">
        <v>43336</v>
      </c>
      <c r="AV58" s="94" t="s">
        <v>165</v>
      </c>
      <c r="AW58" t="s">
        <v>163</v>
      </c>
      <c r="AX58">
        <v>2</v>
      </c>
      <c r="AY58" t="s">
        <v>167</v>
      </c>
      <c r="AZ58" t="s">
        <v>162</v>
      </c>
    </row>
    <row r="59" spans="1:52" x14ac:dyDescent="0.25">
      <c r="A59">
        <v>48</v>
      </c>
      <c r="B59" t="s">
        <v>385</v>
      </c>
      <c r="C59" t="s">
        <v>180</v>
      </c>
      <c r="D59" t="s">
        <v>386</v>
      </c>
      <c r="E59" t="s">
        <v>172</v>
      </c>
      <c r="F59" t="s">
        <v>163</v>
      </c>
      <c r="G59">
        <v>301</v>
      </c>
      <c r="H59">
        <v>300</v>
      </c>
      <c r="I59" t="s">
        <v>198</v>
      </c>
      <c r="J59">
        <v>151</v>
      </c>
      <c r="K59">
        <v>150</v>
      </c>
      <c r="L59" t="s">
        <v>393</v>
      </c>
      <c r="M59">
        <v>4</v>
      </c>
      <c r="N59" t="s">
        <v>9</v>
      </c>
      <c r="O59" t="s">
        <v>9</v>
      </c>
      <c r="P59" t="s">
        <v>175</v>
      </c>
      <c r="Q59" t="s">
        <v>394</v>
      </c>
      <c r="R59" t="s">
        <v>388</v>
      </c>
      <c r="S59">
        <v>2012</v>
      </c>
      <c r="T59">
        <v>12</v>
      </c>
      <c r="U59" t="s">
        <v>123</v>
      </c>
      <c r="V59" t="s">
        <v>162</v>
      </c>
      <c r="W59">
        <v>0</v>
      </c>
      <c r="X59">
        <v>0</v>
      </c>
      <c r="Y59" t="s">
        <v>162</v>
      </c>
      <c r="Z59">
        <v>2012</v>
      </c>
      <c r="AA59">
        <v>2012</v>
      </c>
      <c r="AB59" s="5">
        <v>0.263335131793</v>
      </c>
      <c r="AC59" s="5">
        <v>0.263335131793</v>
      </c>
      <c r="AD59" t="s">
        <v>162</v>
      </c>
      <c r="AE59" t="s">
        <v>166</v>
      </c>
      <c r="AF59" t="s">
        <v>163</v>
      </c>
      <c r="AG59" t="s">
        <v>163</v>
      </c>
      <c r="AH59" t="s">
        <v>162</v>
      </c>
      <c r="AI59" t="s">
        <v>162</v>
      </c>
      <c r="AJ59" t="s">
        <v>162</v>
      </c>
      <c r="AK59" t="s">
        <v>162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 s="60">
        <f t="shared" si="0"/>
        <v>1</v>
      </c>
      <c r="AU59" s="95">
        <v>43339</v>
      </c>
      <c r="AV59" s="94" t="s">
        <v>165</v>
      </c>
      <c r="AW59" t="s">
        <v>163</v>
      </c>
      <c r="AX59">
        <v>2</v>
      </c>
      <c r="AY59" t="s">
        <v>167</v>
      </c>
      <c r="AZ59" t="s">
        <v>162</v>
      </c>
    </row>
    <row r="60" spans="1:52" x14ac:dyDescent="0.25">
      <c r="A60">
        <v>49</v>
      </c>
      <c r="B60" t="s">
        <v>395</v>
      </c>
      <c r="C60" t="s">
        <v>180</v>
      </c>
      <c r="D60" t="s">
        <v>396</v>
      </c>
      <c r="E60" t="s">
        <v>182</v>
      </c>
      <c r="F60" t="s">
        <v>162</v>
      </c>
      <c r="G60">
        <v>5475</v>
      </c>
      <c r="H60">
        <v>5476</v>
      </c>
      <c r="I60" t="s">
        <v>397</v>
      </c>
      <c r="J60">
        <v>5101</v>
      </c>
      <c r="K60">
        <v>5100</v>
      </c>
      <c r="L60" t="s">
        <v>398</v>
      </c>
      <c r="M60">
        <v>4</v>
      </c>
      <c r="N60" t="s">
        <v>9</v>
      </c>
      <c r="O60" t="s">
        <v>9</v>
      </c>
      <c r="P60" t="s">
        <v>175</v>
      </c>
      <c r="Q60" t="s">
        <v>399</v>
      </c>
      <c r="R60" t="s">
        <v>201</v>
      </c>
      <c r="S60">
        <v>2012</v>
      </c>
      <c r="T60">
        <v>11</v>
      </c>
      <c r="U60" t="s">
        <v>123</v>
      </c>
      <c r="V60" t="s">
        <v>161</v>
      </c>
      <c r="W60">
        <v>2020</v>
      </c>
      <c r="X60">
        <v>0</v>
      </c>
      <c r="Y60" t="s">
        <v>162</v>
      </c>
      <c r="Z60">
        <v>2020</v>
      </c>
      <c r="AA60">
        <v>2012</v>
      </c>
      <c r="AB60" s="5">
        <v>0.56384894488799997</v>
      </c>
      <c r="AC60" s="5">
        <v>1.1276978897800001</v>
      </c>
      <c r="AD60" t="s">
        <v>162</v>
      </c>
      <c r="AE60" t="s">
        <v>163</v>
      </c>
      <c r="AF60" t="s">
        <v>162</v>
      </c>
      <c r="AG60" t="s">
        <v>162</v>
      </c>
      <c r="AH60" t="s">
        <v>162</v>
      </c>
      <c r="AI60" t="s">
        <v>162</v>
      </c>
      <c r="AJ60" t="s">
        <v>162</v>
      </c>
      <c r="AK60" t="s">
        <v>162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 s="60">
        <f t="shared" si="0"/>
        <v>1</v>
      </c>
      <c r="AU60" s="95" t="s">
        <v>187</v>
      </c>
      <c r="AV60" s="94" t="s">
        <v>165</v>
      </c>
      <c r="AW60" t="s">
        <v>163</v>
      </c>
      <c r="AX60">
        <v>2</v>
      </c>
      <c r="AY60" t="s">
        <v>167</v>
      </c>
      <c r="AZ60" t="s">
        <v>162</v>
      </c>
    </row>
    <row r="61" spans="1:52" x14ac:dyDescent="0.25">
      <c r="A61">
        <v>50</v>
      </c>
      <c r="B61" t="s">
        <v>400</v>
      </c>
      <c r="C61" t="s">
        <v>163</v>
      </c>
      <c r="D61" t="s">
        <v>401</v>
      </c>
      <c r="E61" t="s">
        <v>216</v>
      </c>
      <c r="F61" t="s">
        <v>162</v>
      </c>
      <c r="G61">
        <v>1778</v>
      </c>
      <c r="H61">
        <v>1785</v>
      </c>
      <c r="I61" t="s">
        <v>402</v>
      </c>
      <c r="J61">
        <v>2160</v>
      </c>
      <c r="K61">
        <v>2167</v>
      </c>
      <c r="L61" t="s">
        <v>403</v>
      </c>
      <c r="M61">
        <v>3</v>
      </c>
      <c r="N61" t="s">
        <v>9</v>
      </c>
      <c r="O61" t="s">
        <v>9</v>
      </c>
      <c r="P61" t="s">
        <v>175</v>
      </c>
      <c r="Q61" t="s">
        <v>162</v>
      </c>
      <c r="R61" t="s">
        <v>314</v>
      </c>
      <c r="S61">
        <v>2013</v>
      </c>
      <c r="T61">
        <v>8</v>
      </c>
      <c r="U61" t="s">
        <v>123</v>
      </c>
      <c r="V61" t="s">
        <v>404</v>
      </c>
      <c r="W61">
        <v>2017</v>
      </c>
      <c r="X61">
        <v>10</v>
      </c>
      <c r="Y61" t="s">
        <v>123</v>
      </c>
      <c r="Z61">
        <v>2017</v>
      </c>
      <c r="AA61">
        <v>2013</v>
      </c>
      <c r="AB61" s="5">
        <v>0.714352599102</v>
      </c>
      <c r="AC61" s="5">
        <v>1.4287051982000001</v>
      </c>
      <c r="AD61" t="s">
        <v>162</v>
      </c>
      <c r="AE61" t="s">
        <v>163</v>
      </c>
      <c r="AF61" t="s">
        <v>162</v>
      </c>
      <c r="AG61" t="s">
        <v>162</v>
      </c>
      <c r="AH61" t="s">
        <v>162</v>
      </c>
      <c r="AI61" t="s">
        <v>162</v>
      </c>
      <c r="AJ61" t="s">
        <v>162</v>
      </c>
      <c r="AK61" t="s">
        <v>162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60">
        <f t="shared" si="0"/>
        <v>1</v>
      </c>
      <c r="AU61" s="95">
        <v>43339</v>
      </c>
      <c r="AV61" s="94" t="s">
        <v>165</v>
      </c>
      <c r="AW61" t="s">
        <v>163</v>
      </c>
      <c r="AX61">
        <v>2</v>
      </c>
      <c r="AY61" t="s">
        <v>167</v>
      </c>
      <c r="AZ61" t="s">
        <v>162</v>
      </c>
    </row>
    <row r="62" spans="1:52" x14ac:dyDescent="0.25">
      <c r="A62">
        <v>51</v>
      </c>
      <c r="B62" t="s">
        <v>315</v>
      </c>
      <c r="C62" t="s">
        <v>163</v>
      </c>
      <c r="D62" t="s">
        <v>316</v>
      </c>
      <c r="E62" t="s">
        <v>216</v>
      </c>
      <c r="F62" t="s">
        <v>162</v>
      </c>
      <c r="G62">
        <v>654</v>
      </c>
      <c r="H62">
        <v>649</v>
      </c>
      <c r="I62" t="s">
        <v>405</v>
      </c>
      <c r="J62">
        <v>770</v>
      </c>
      <c r="K62">
        <v>773</v>
      </c>
      <c r="L62" t="s">
        <v>406</v>
      </c>
      <c r="M62">
        <v>3</v>
      </c>
      <c r="N62" t="s">
        <v>7</v>
      </c>
      <c r="O62" t="s">
        <v>7</v>
      </c>
      <c r="P62" t="s">
        <v>157</v>
      </c>
      <c r="Q62" t="s">
        <v>162</v>
      </c>
      <c r="R62" t="s">
        <v>407</v>
      </c>
      <c r="S62">
        <v>2018</v>
      </c>
      <c r="T62">
        <v>8</v>
      </c>
      <c r="U62" t="s">
        <v>194</v>
      </c>
      <c r="V62" t="s">
        <v>162</v>
      </c>
      <c r="W62">
        <v>0</v>
      </c>
      <c r="X62">
        <v>0</v>
      </c>
      <c r="Y62" t="s">
        <v>162</v>
      </c>
      <c r="Z62">
        <v>2018</v>
      </c>
      <c r="AA62">
        <v>2014</v>
      </c>
      <c r="AB62" s="5">
        <v>0.27334476750199999</v>
      </c>
      <c r="AC62" s="5">
        <v>0.54668953500399997</v>
      </c>
      <c r="AD62" t="s">
        <v>162</v>
      </c>
      <c r="AE62" t="s">
        <v>163</v>
      </c>
      <c r="AF62" t="s">
        <v>162</v>
      </c>
      <c r="AG62" t="s">
        <v>162</v>
      </c>
      <c r="AH62" t="s">
        <v>163</v>
      </c>
      <c r="AI62" t="s">
        <v>194</v>
      </c>
      <c r="AJ62" t="s">
        <v>163</v>
      </c>
      <c r="AK62" t="s">
        <v>162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 s="60">
        <f t="shared" si="0"/>
        <v>1</v>
      </c>
      <c r="AU62" s="95" t="s">
        <v>213</v>
      </c>
      <c r="AV62" t="s">
        <v>165</v>
      </c>
      <c r="AW62" t="s">
        <v>166</v>
      </c>
      <c r="AX62">
        <v>1</v>
      </c>
      <c r="AY62" t="s">
        <v>167</v>
      </c>
      <c r="AZ62" t="s">
        <v>162</v>
      </c>
    </row>
    <row r="63" spans="1:52" x14ac:dyDescent="0.25">
      <c r="A63">
        <v>52</v>
      </c>
      <c r="B63" t="s">
        <v>408</v>
      </c>
      <c r="C63" t="s">
        <v>180</v>
      </c>
      <c r="D63" t="s">
        <v>409</v>
      </c>
      <c r="E63" t="s">
        <v>182</v>
      </c>
      <c r="F63" t="s">
        <v>162</v>
      </c>
      <c r="G63">
        <v>1895</v>
      </c>
      <c r="H63">
        <v>1896</v>
      </c>
      <c r="I63" t="s">
        <v>410</v>
      </c>
      <c r="J63">
        <v>1607</v>
      </c>
      <c r="K63">
        <v>1606</v>
      </c>
      <c r="L63" t="s">
        <v>341</v>
      </c>
      <c r="M63">
        <v>4</v>
      </c>
      <c r="N63" t="s">
        <v>7</v>
      </c>
      <c r="O63" t="s">
        <v>7</v>
      </c>
      <c r="P63" t="s">
        <v>175</v>
      </c>
      <c r="Q63" t="s">
        <v>411</v>
      </c>
      <c r="R63" t="s">
        <v>412</v>
      </c>
      <c r="S63">
        <v>2012</v>
      </c>
      <c r="T63">
        <v>12</v>
      </c>
      <c r="U63" t="s">
        <v>208</v>
      </c>
      <c r="V63" t="s">
        <v>267</v>
      </c>
      <c r="W63">
        <v>2018</v>
      </c>
      <c r="X63">
        <v>8</v>
      </c>
      <c r="Y63" t="s">
        <v>162</v>
      </c>
      <c r="Z63">
        <v>2018</v>
      </c>
      <c r="AA63">
        <v>0</v>
      </c>
      <c r="AB63" s="5">
        <v>0.307938757264</v>
      </c>
      <c r="AC63" s="5">
        <v>0.61587751452799999</v>
      </c>
      <c r="AD63" t="s">
        <v>162</v>
      </c>
      <c r="AE63" t="s">
        <v>163</v>
      </c>
      <c r="AF63" t="s">
        <v>162</v>
      </c>
      <c r="AG63" t="s">
        <v>162</v>
      </c>
      <c r="AH63" t="s">
        <v>163</v>
      </c>
      <c r="AI63" t="s">
        <v>226</v>
      </c>
      <c r="AJ63" t="s">
        <v>154</v>
      </c>
      <c r="AK63" t="s">
        <v>154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 s="60">
        <f t="shared" si="0"/>
        <v>1</v>
      </c>
      <c r="AU63" s="95" t="s">
        <v>360</v>
      </c>
      <c r="AV63" t="s">
        <v>165</v>
      </c>
      <c r="AW63" t="s">
        <v>166</v>
      </c>
      <c r="AX63">
        <v>1</v>
      </c>
      <c r="AY63" t="s">
        <v>167</v>
      </c>
      <c r="AZ63" t="s">
        <v>162</v>
      </c>
    </row>
    <row r="64" spans="1:52" x14ac:dyDescent="0.25">
      <c r="A64">
        <v>53</v>
      </c>
      <c r="B64" t="s">
        <v>413</v>
      </c>
      <c r="C64" t="s">
        <v>180</v>
      </c>
      <c r="D64" t="s">
        <v>414</v>
      </c>
      <c r="E64" t="s">
        <v>222</v>
      </c>
      <c r="F64" t="s">
        <v>162</v>
      </c>
      <c r="G64">
        <v>1349</v>
      </c>
      <c r="H64">
        <v>1358</v>
      </c>
      <c r="I64" t="s">
        <v>415</v>
      </c>
      <c r="J64">
        <v>601</v>
      </c>
      <c r="K64">
        <v>600</v>
      </c>
      <c r="L64" t="s">
        <v>292</v>
      </c>
      <c r="M64">
        <v>3</v>
      </c>
      <c r="N64" t="s">
        <v>7</v>
      </c>
      <c r="O64" t="s">
        <v>7</v>
      </c>
      <c r="P64" t="s">
        <v>157</v>
      </c>
      <c r="Q64" t="s">
        <v>162</v>
      </c>
      <c r="R64" t="s">
        <v>416</v>
      </c>
      <c r="S64">
        <v>2021</v>
      </c>
      <c r="T64">
        <v>11</v>
      </c>
      <c r="U64" t="s">
        <v>162</v>
      </c>
      <c r="V64" t="s">
        <v>162</v>
      </c>
      <c r="W64">
        <v>0</v>
      </c>
      <c r="X64">
        <v>0</v>
      </c>
      <c r="Y64" t="s">
        <v>162</v>
      </c>
      <c r="Z64">
        <v>2021</v>
      </c>
      <c r="AA64">
        <v>2015</v>
      </c>
      <c r="AB64" s="5">
        <v>0.72427831118999997</v>
      </c>
      <c r="AC64" s="5">
        <v>1.4485566223799999</v>
      </c>
      <c r="AD64" t="s">
        <v>162</v>
      </c>
      <c r="AE64" t="s">
        <v>163</v>
      </c>
      <c r="AF64" t="s">
        <v>154</v>
      </c>
      <c r="AG64" t="s">
        <v>154</v>
      </c>
      <c r="AH64" t="s">
        <v>154</v>
      </c>
      <c r="AI64" t="s">
        <v>226</v>
      </c>
      <c r="AJ64" t="s">
        <v>154</v>
      </c>
      <c r="AK64" t="s">
        <v>154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 s="60">
        <f t="shared" si="0"/>
        <v>1</v>
      </c>
      <c r="AU64" s="95" t="s">
        <v>417</v>
      </c>
      <c r="AV64" s="94" t="s">
        <v>165</v>
      </c>
      <c r="AW64" t="s">
        <v>166</v>
      </c>
      <c r="AX64">
        <v>2</v>
      </c>
      <c r="AY64" t="s">
        <v>167</v>
      </c>
      <c r="AZ64" t="s">
        <v>162</v>
      </c>
    </row>
    <row r="65" spans="1:52" x14ac:dyDescent="0.25">
      <c r="A65">
        <v>54</v>
      </c>
      <c r="B65" t="s">
        <v>418</v>
      </c>
      <c r="C65" t="s">
        <v>151</v>
      </c>
      <c r="D65" t="s">
        <v>419</v>
      </c>
      <c r="E65" t="s">
        <v>222</v>
      </c>
      <c r="F65" t="s">
        <v>162</v>
      </c>
      <c r="G65">
        <v>3725</v>
      </c>
      <c r="H65">
        <v>3730</v>
      </c>
      <c r="I65" t="s">
        <v>420</v>
      </c>
      <c r="J65">
        <v>3100</v>
      </c>
      <c r="K65">
        <v>3101</v>
      </c>
      <c r="L65" t="s">
        <v>421</v>
      </c>
      <c r="M65">
        <v>3</v>
      </c>
      <c r="N65" t="s">
        <v>7</v>
      </c>
      <c r="O65" t="s">
        <v>7</v>
      </c>
      <c r="P65" t="s">
        <v>157</v>
      </c>
      <c r="Q65" t="s">
        <v>162</v>
      </c>
      <c r="R65" t="s">
        <v>416</v>
      </c>
      <c r="S65">
        <v>2021</v>
      </c>
      <c r="T65">
        <v>11</v>
      </c>
      <c r="U65" t="s">
        <v>162</v>
      </c>
      <c r="V65" t="s">
        <v>422</v>
      </c>
      <c r="W65">
        <v>2015</v>
      </c>
      <c r="X65">
        <v>12</v>
      </c>
      <c r="Y65" t="s">
        <v>162</v>
      </c>
      <c r="Z65">
        <v>2021</v>
      </c>
      <c r="AA65">
        <v>2015</v>
      </c>
      <c r="AB65" s="5">
        <v>0.87530898192499995</v>
      </c>
      <c r="AC65" s="5">
        <v>1.7506179638499999</v>
      </c>
      <c r="AD65" t="s">
        <v>162</v>
      </c>
      <c r="AE65" t="s">
        <v>163</v>
      </c>
      <c r="AF65" t="s">
        <v>154</v>
      </c>
      <c r="AG65" t="s">
        <v>154</v>
      </c>
      <c r="AH65" t="s">
        <v>154</v>
      </c>
      <c r="AI65" t="s">
        <v>226</v>
      </c>
      <c r="AJ65" t="s">
        <v>154</v>
      </c>
      <c r="AK65" t="s">
        <v>154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s="60">
        <f t="shared" si="0"/>
        <v>1</v>
      </c>
      <c r="AU65" s="95" t="s">
        <v>213</v>
      </c>
      <c r="AV65" s="94" t="s">
        <v>165</v>
      </c>
      <c r="AW65" t="s">
        <v>166</v>
      </c>
      <c r="AX65">
        <v>2</v>
      </c>
      <c r="AY65" t="s">
        <v>167</v>
      </c>
      <c r="AZ65" t="s">
        <v>162</v>
      </c>
    </row>
    <row r="66" spans="1:52" x14ac:dyDescent="0.25">
      <c r="A66">
        <v>55</v>
      </c>
      <c r="B66" t="s">
        <v>315</v>
      </c>
      <c r="C66" t="s">
        <v>163</v>
      </c>
      <c r="D66" t="s">
        <v>316</v>
      </c>
      <c r="E66" t="s">
        <v>216</v>
      </c>
      <c r="F66" t="s">
        <v>154</v>
      </c>
      <c r="G66">
        <v>400</v>
      </c>
      <c r="H66">
        <v>401</v>
      </c>
      <c r="I66" t="s">
        <v>423</v>
      </c>
      <c r="J66">
        <v>446</v>
      </c>
      <c r="K66">
        <v>439</v>
      </c>
      <c r="L66" t="s">
        <v>424</v>
      </c>
      <c r="M66">
        <v>3</v>
      </c>
      <c r="N66" t="s">
        <v>7</v>
      </c>
      <c r="O66" t="s">
        <v>7</v>
      </c>
      <c r="P66" t="s">
        <v>157</v>
      </c>
      <c r="Q66" t="s">
        <v>162</v>
      </c>
      <c r="R66" t="s">
        <v>425</v>
      </c>
      <c r="S66">
        <v>0</v>
      </c>
      <c r="T66">
        <v>0</v>
      </c>
      <c r="U66" t="s">
        <v>162</v>
      </c>
      <c r="V66" t="s">
        <v>162</v>
      </c>
      <c r="W66">
        <v>0</v>
      </c>
      <c r="X66">
        <v>0</v>
      </c>
      <c r="Y66" t="s">
        <v>162</v>
      </c>
      <c r="Z66">
        <v>0</v>
      </c>
      <c r="AA66">
        <v>0</v>
      </c>
      <c r="AB66" s="5">
        <v>0.11058282541800001</v>
      </c>
      <c r="AC66" s="5">
        <v>0.22116565083600001</v>
      </c>
      <c r="AD66" t="s">
        <v>154</v>
      </c>
      <c r="AE66" t="s">
        <v>154</v>
      </c>
      <c r="AF66" t="s">
        <v>154</v>
      </c>
      <c r="AG66" t="s">
        <v>154</v>
      </c>
      <c r="AH66" t="s">
        <v>154</v>
      </c>
      <c r="AI66" t="s">
        <v>194</v>
      </c>
      <c r="AJ66" t="s">
        <v>154</v>
      </c>
      <c r="AK66" t="s">
        <v>162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 s="60">
        <f t="shared" si="0"/>
        <v>1</v>
      </c>
      <c r="AU66" s="95" t="s">
        <v>426</v>
      </c>
      <c r="AV66" t="s">
        <v>165</v>
      </c>
      <c r="AW66" t="s">
        <v>166</v>
      </c>
      <c r="AX66">
        <v>1</v>
      </c>
      <c r="AY66" t="s">
        <v>167</v>
      </c>
      <c r="AZ66">
        <v>30</v>
      </c>
    </row>
    <row r="67" spans="1:52" x14ac:dyDescent="0.25">
      <c r="A67">
        <v>56</v>
      </c>
      <c r="B67" t="s">
        <v>427</v>
      </c>
      <c r="C67" t="s">
        <v>151</v>
      </c>
      <c r="D67" t="s">
        <v>428</v>
      </c>
      <c r="E67" t="s">
        <v>216</v>
      </c>
      <c r="F67" t="s">
        <v>162</v>
      </c>
      <c r="G67">
        <v>4001</v>
      </c>
      <c r="H67">
        <v>4000</v>
      </c>
      <c r="I67" t="s">
        <v>429</v>
      </c>
      <c r="J67">
        <v>4401</v>
      </c>
      <c r="K67">
        <v>4400</v>
      </c>
      <c r="L67" t="s">
        <v>430</v>
      </c>
      <c r="M67">
        <v>3</v>
      </c>
      <c r="N67" t="s">
        <v>11</v>
      </c>
      <c r="O67" t="s">
        <v>11</v>
      </c>
      <c r="P67" t="s">
        <v>175</v>
      </c>
      <c r="Q67" t="s">
        <v>162</v>
      </c>
      <c r="R67" t="s">
        <v>431</v>
      </c>
      <c r="S67">
        <v>2002</v>
      </c>
      <c r="T67">
        <v>9</v>
      </c>
      <c r="U67" t="s">
        <v>432</v>
      </c>
      <c r="V67" t="s">
        <v>243</v>
      </c>
      <c r="W67">
        <v>2020</v>
      </c>
      <c r="X67">
        <v>4</v>
      </c>
      <c r="Y67" t="s">
        <v>162</v>
      </c>
      <c r="Z67">
        <v>2020</v>
      </c>
      <c r="AA67">
        <v>2014</v>
      </c>
      <c r="AB67" s="5">
        <v>0.50700302374200001</v>
      </c>
      <c r="AC67" s="5">
        <v>1.0140060474799999</v>
      </c>
      <c r="AD67" t="s">
        <v>162</v>
      </c>
      <c r="AE67" t="s">
        <v>163</v>
      </c>
      <c r="AF67" t="s">
        <v>162</v>
      </c>
      <c r="AG67" t="s">
        <v>162</v>
      </c>
      <c r="AH67" t="s">
        <v>162</v>
      </c>
      <c r="AI67" t="s">
        <v>162</v>
      </c>
      <c r="AJ67" t="s">
        <v>162</v>
      </c>
      <c r="AK67" t="s">
        <v>166</v>
      </c>
      <c r="AL67">
        <v>2018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 s="60">
        <f t="shared" si="0"/>
        <v>1</v>
      </c>
      <c r="AU67" s="95" t="s">
        <v>350</v>
      </c>
      <c r="AV67" s="94" t="s">
        <v>165</v>
      </c>
      <c r="AW67" t="s">
        <v>162</v>
      </c>
      <c r="AX67">
        <v>2</v>
      </c>
      <c r="AY67" t="s">
        <v>167</v>
      </c>
      <c r="AZ67" t="s">
        <v>162</v>
      </c>
    </row>
    <row r="68" spans="1:52" x14ac:dyDescent="0.25">
      <c r="A68">
        <v>57</v>
      </c>
      <c r="B68" t="s">
        <v>228</v>
      </c>
      <c r="C68" t="s">
        <v>163</v>
      </c>
      <c r="D68" t="s">
        <v>229</v>
      </c>
      <c r="E68" t="s">
        <v>216</v>
      </c>
      <c r="F68" t="s">
        <v>162</v>
      </c>
      <c r="G68">
        <v>5486</v>
      </c>
      <c r="H68">
        <v>5487</v>
      </c>
      <c r="I68" t="s">
        <v>433</v>
      </c>
      <c r="J68">
        <v>6150</v>
      </c>
      <c r="K68">
        <v>6151</v>
      </c>
      <c r="L68" t="s">
        <v>434</v>
      </c>
      <c r="M68">
        <v>3</v>
      </c>
      <c r="N68" t="s">
        <v>9</v>
      </c>
      <c r="O68" t="s">
        <v>9</v>
      </c>
      <c r="P68" t="s">
        <v>157</v>
      </c>
      <c r="Q68" t="s">
        <v>162</v>
      </c>
      <c r="R68" t="s">
        <v>283</v>
      </c>
      <c r="S68">
        <v>2015</v>
      </c>
      <c r="T68">
        <v>5</v>
      </c>
      <c r="U68" t="s">
        <v>435</v>
      </c>
      <c r="V68" t="s">
        <v>210</v>
      </c>
      <c r="W68">
        <v>2018</v>
      </c>
      <c r="X68">
        <v>11</v>
      </c>
      <c r="Y68" t="s">
        <v>123</v>
      </c>
      <c r="Z68">
        <v>2018</v>
      </c>
      <c r="AA68">
        <v>2018</v>
      </c>
      <c r="AB68" s="5">
        <v>1.3672488732900001</v>
      </c>
      <c r="AC68" s="5">
        <v>2.7344977465800002</v>
      </c>
      <c r="AD68" t="s">
        <v>162</v>
      </c>
      <c r="AE68" t="s">
        <v>163</v>
      </c>
      <c r="AF68" t="s">
        <v>162</v>
      </c>
      <c r="AG68" t="s">
        <v>162</v>
      </c>
      <c r="AH68" t="s">
        <v>162</v>
      </c>
      <c r="AI68" t="s">
        <v>162</v>
      </c>
      <c r="AJ68" t="s">
        <v>162</v>
      </c>
      <c r="AK68" t="s">
        <v>162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 s="60">
        <f t="shared" si="0"/>
        <v>1</v>
      </c>
      <c r="AU68" s="95">
        <v>43332</v>
      </c>
      <c r="AV68" s="94" t="s">
        <v>165</v>
      </c>
      <c r="AW68" t="s">
        <v>163</v>
      </c>
      <c r="AX68">
        <v>2</v>
      </c>
      <c r="AY68" t="s">
        <v>167</v>
      </c>
      <c r="AZ68" t="s">
        <v>162</v>
      </c>
    </row>
    <row r="69" spans="1:52" x14ac:dyDescent="0.25">
      <c r="A69">
        <v>58</v>
      </c>
      <c r="B69" t="s">
        <v>436</v>
      </c>
      <c r="C69" t="s">
        <v>180</v>
      </c>
      <c r="D69" t="s">
        <v>437</v>
      </c>
      <c r="E69" t="s">
        <v>222</v>
      </c>
      <c r="F69" t="s">
        <v>162</v>
      </c>
      <c r="G69">
        <v>2420</v>
      </c>
      <c r="H69">
        <v>2421</v>
      </c>
      <c r="I69" t="s">
        <v>247</v>
      </c>
      <c r="J69">
        <v>2100</v>
      </c>
      <c r="K69">
        <v>2101</v>
      </c>
      <c r="L69" t="s">
        <v>438</v>
      </c>
      <c r="M69">
        <v>4</v>
      </c>
      <c r="N69" t="s">
        <v>9</v>
      </c>
      <c r="O69" t="s">
        <v>9</v>
      </c>
      <c r="P69" t="s">
        <v>175</v>
      </c>
      <c r="Q69" t="s">
        <v>162</v>
      </c>
      <c r="R69" t="s">
        <v>412</v>
      </c>
      <c r="S69">
        <v>2012</v>
      </c>
      <c r="T69">
        <v>12</v>
      </c>
      <c r="U69" t="s">
        <v>208</v>
      </c>
      <c r="V69" t="s">
        <v>439</v>
      </c>
      <c r="W69">
        <v>2017</v>
      </c>
      <c r="X69">
        <v>4</v>
      </c>
      <c r="Y69" t="s">
        <v>162</v>
      </c>
      <c r="Z69">
        <v>2017</v>
      </c>
      <c r="AA69">
        <v>0</v>
      </c>
      <c r="AB69" s="5">
        <v>0.33615116805099998</v>
      </c>
      <c r="AC69" s="5">
        <v>0.67230233610199996</v>
      </c>
      <c r="AD69" t="s">
        <v>162</v>
      </c>
      <c r="AE69" t="s">
        <v>163</v>
      </c>
      <c r="AF69" t="s">
        <v>162</v>
      </c>
      <c r="AG69" t="s">
        <v>162</v>
      </c>
      <c r="AH69" t="s">
        <v>162</v>
      </c>
      <c r="AI69" t="s">
        <v>162</v>
      </c>
      <c r="AJ69" t="s">
        <v>162</v>
      </c>
      <c r="AK69" t="s">
        <v>162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s="60">
        <f t="shared" si="0"/>
        <v>1</v>
      </c>
      <c r="AU69" s="95">
        <v>43339</v>
      </c>
      <c r="AV69" s="94" t="s">
        <v>165</v>
      </c>
      <c r="AW69" t="s">
        <v>163</v>
      </c>
      <c r="AX69">
        <v>2</v>
      </c>
      <c r="AY69" t="s">
        <v>167</v>
      </c>
      <c r="AZ69" t="s">
        <v>162</v>
      </c>
    </row>
    <row r="70" spans="1:52" x14ac:dyDescent="0.25">
      <c r="A70">
        <v>59</v>
      </c>
      <c r="B70" t="s">
        <v>440</v>
      </c>
      <c r="C70" t="s">
        <v>151</v>
      </c>
      <c r="D70" t="s">
        <v>441</v>
      </c>
      <c r="E70" t="s">
        <v>222</v>
      </c>
      <c r="F70" t="s">
        <v>162</v>
      </c>
      <c r="G70">
        <v>2935</v>
      </c>
      <c r="H70">
        <v>2914</v>
      </c>
      <c r="I70" t="s">
        <v>442</v>
      </c>
      <c r="J70">
        <v>2801</v>
      </c>
      <c r="K70">
        <v>2800</v>
      </c>
      <c r="L70" t="s">
        <v>443</v>
      </c>
      <c r="M70">
        <v>4</v>
      </c>
      <c r="N70" t="s">
        <v>9</v>
      </c>
      <c r="O70" t="s">
        <v>9</v>
      </c>
      <c r="P70" t="s">
        <v>175</v>
      </c>
      <c r="Q70" t="s">
        <v>162</v>
      </c>
      <c r="R70" t="s">
        <v>412</v>
      </c>
      <c r="S70">
        <v>2012</v>
      </c>
      <c r="T70">
        <v>12</v>
      </c>
      <c r="U70" t="s">
        <v>208</v>
      </c>
      <c r="V70" t="s">
        <v>422</v>
      </c>
      <c r="W70">
        <v>2015</v>
      </c>
      <c r="X70">
        <v>11</v>
      </c>
      <c r="Y70" t="s">
        <v>123</v>
      </c>
      <c r="Z70">
        <v>2015</v>
      </c>
      <c r="AA70">
        <v>2015</v>
      </c>
      <c r="AB70" s="5">
        <v>0.18217297741999999</v>
      </c>
      <c r="AC70" s="5">
        <v>0.36434595483999999</v>
      </c>
      <c r="AD70" t="s">
        <v>162</v>
      </c>
      <c r="AE70" t="s">
        <v>163</v>
      </c>
      <c r="AF70" t="s">
        <v>162</v>
      </c>
      <c r="AG70" t="s">
        <v>162</v>
      </c>
      <c r="AH70" t="s">
        <v>162</v>
      </c>
      <c r="AI70" t="s">
        <v>162</v>
      </c>
      <c r="AJ70" t="s">
        <v>162</v>
      </c>
      <c r="AK70" t="s">
        <v>162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s="60">
        <f t="shared" si="0"/>
        <v>1</v>
      </c>
      <c r="AU70" s="95">
        <v>43339</v>
      </c>
      <c r="AV70" t="s">
        <v>165</v>
      </c>
      <c r="AW70" t="s">
        <v>163</v>
      </c>
      <c r="AX70">
        <v>2</v>
      </c>
      <c r="AY70" t="s">
        <v>167</v>
      </c>
      <c r="AZ70" t="s">
        <v>162</v>
      </c>
    </row>
    <row r="71" spans="1:52" x14ac:dyDescent="0.25">
      <c r="A71">
        <v>60</v>
      </c>
      <c r="B71" t="s">
        <v>444</v>
      </c>
      <c r="C71" t="s">
        <v>163</v>
      </c>
      <c r="D71" t="s">
        <v>444</v>
      </c>
      <c r="E71" t="s">
        <v>154</v>
      </c>
      <c r="F71" t="s">
        <v>154</v>
      </c>
      <c r="G71">
        <v>4400</v>
      </c>
      <c r="H71">
        <v>4401</v>
      </c>
      <c r="I71" t="s">
        <v>445</v>
      </c>
      <c r="J71">
        <v>4600</v>
      </c>
      <c r="K71">
        <v>4601</v>
      </c>
      <c r="L71" t="s">
        <v>446</v>
      </c>
      <c r="M71">
        <v>3</v>
      </c>
      <c r="N71" t="s">
        <v>7</v>
      </c>
      <c r="O71" t="s">
        <v>7</v>
      </c>
      <c r="P71" t="s">
        <v>175</v>
      </c>
      <c r="Q71" t="s">
        <v>447</v>
      </c>
      <c r="R71" t="s">
        <v>283</v>
      </c>
      <c r="S71">
        <v>2014</v>
      </c>
      <c r="T71">
        <v>6</v>
      </c>
      <c r="U71" t="s">
        <v>208</v>
      </c>
      <c r="V71" t="s">
        <v>267</v>
      </c>
      <c r="W71">
        <v>2018</v>
      </c>
      <c r="X71">
        <v>8</v>
      </c>
      <c r="Y71" t="s">
        <v>162</v>
      </c>
      <c r="Z71">
        <v>2018</v>
      </c>
      <c r="AA71">
        <v>0</v>
      </c>
      <c r="AB71" s="5">
        <v>0.277600411298</v>
      </c>
      <c r="AC71" s="5">
        <v>0.55520082259600001</v>
      </c>
      <c r="AD71" t="s">
        <v>162</v>
      </c>
      <c r="AE71" t="s">
        <v>163</v>
      </c>
      <c r="AF71" t="s">
        <v>162</v>
      </c>
      <c r="AG71" t="s">
        <v>162</v>
      </c>
      <c r="AH71" t="s">
        <v>163</v>
      </c>
      <c r="AI71" t="s">
        <v>226</v>
      </c>
      <c r="AJ71" t="s">
        <v>154</v>
      </c>
      <c r="AK71" t="s">
        <v>162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60">
        <f t="shared" si="0"/>
        <v>1</v>
      </c>
      <c r="AU71" s="95" t="s">
        <v>213</v>
      </c>
      <c r="AV71" t="s">
        <v>165</v>
      </c>
      <c r="AW71" t="s">
        <v>166</v>
      </c>
      <c r="AX71">
        <v>1</v>
      </c>
      <c r="AY71" t="s">
        <v>167</v>
      </c>
      <c r="AZ71" t="s">
        <v>162</v>
      </c>
    </row>
    <row r="72" spans="1:52" x14ac:dyDescent="0.25">
      <c r="A72">
        <v>61</v>
      </c>
      <c r="B72" t="s">
        <v>448</v>
      </c>
      <c r="C72" t="s">
        <v>180</v>
      </c>
      <c r="D72" t="s">
        <v>449</v>
      </c>
      <c r="E72" t="s">
        <v>182</v>
      </c>
      <c r="F72" t="s">
        <v>162</v>
      </c>
      <c r="G72">
        <v>5033</v>
      </c>
      <c r="H72">
        <v>5032</v>
      </c>
      <c r="I72" t="s">
        <v>398</v>
      </c>
      <c r="J72">
        <v>3859</v>
      </c>
      <c r="K72">
        <v>3858</v>
      </c>
      <c r="L72" t="s">
        <v>450</v>
      </c>
      <c r="M72">
        <v>3</v>
      </c>
      <c r="N72" t="s">
        <v>9</v>
      </c>
      <c r="O72" t="s">
        <v>9</v>
      </c>
      <c r="P72" t="s">
        <v>157</v>
      </c>
      <c r="Q72" t="s">
        <v>162</v>
      </c>
      <c r="R72" t="s">
        <v>451</v>
      </c>
      <c r="S72">
        <v>2012</v>
      </c>
      <c r="T72">
        <v>11</v>
      </c>
      <c r="U72" t="s">
        <v>162</v>
      </c>
      <c r="V72" t="s">
        <v>452</v>
      </c>
      <c r="W72">
        <v>2014</v>
      </c>
      <c r="X72">
        <v>7</v>
      </c>
      <c r="Y72" t="s">
        <v>123</v>
      </c>
      <c r="Z72">
        <v>2014</v>
      </c>
      <c r="AA72">
        <v>2014</v>
      </c>
      <c r="AB72" s="5">
        <v>1.62706685472</v>
      </c>
      <c r="AC72" s="5">
        <v>3.25413370944</v>
      </c>
      <c r="AD72" t="s">
        <v>162</v>
      </c>
      <c r="AE72" t="s">
        <v>163</v>
      </c>
      <c r="AF72" t="s">
        <v>162</v>
      </c>
      <c r="AG72" t="s">
        <v>162</v>
      </c>
      <c r="AH72" t="s">
        <v>162</v>
      </c>
      <c r="AI72" t="s">
        <v>162</v>
      </c>
      <c r="AJ72" t="s">
        <v>162</v>
      </c>
      <c r="AK72" t="s">
        <v>162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s="60">
        <f t="shared" si="0"/>
        <v>1</v>
      </c>
      <c r="AU72" s="95">
        <v>43349</v>
      </c>
      <c r="AV72" s="94" t="s">
        <v>165</v>
      </c>
      <c r="AW72" t="s">
        <v>166</v>
      </c>
      <c r="AX72">
        <v>2</v>
      </c>
      <c r="AY72" t="s">
        <v>167</v>
      </c>
      <c r="AZ72" t="s">
        <v>162</v>
      </c>
    </row>
    <row r="73" spans="1:52" x14ac:dyDescent="0.25">
      <c r="A73">
        <v>62</v>
      </c>
      <c r="B73" t="s">
        <v>453</v>
      </c>
      <c r="C73" t="s">
        <v>163</v>
      </c>
      <c r="D73" t="s">
        <v>454</v>
      </c>
      <c r="E73" t="s">
        <v>216</v>
      </c>
      <c r="F73" t="s">
        <v>162</v>
      </c>
      <c r="G73">
        <v>1601</v>
      </c>
      <c r="H73">
        <v>1600</v>
      </c>
      <c r="I73" t="s">
        <v>298</v>
      </c>
      <c r="J73">
        <v>1960</v>
      </c>
      <c r="K73">
        <v>1961</v>
      </c>
      <c r="L73" t="s">
        <v>235</v>
      </c>
      <c r="M73">
        <v>3</v>
      </c>
      <c r="N73" t="s">
        <v>11</v>
      </c>
      <c r="O73" t="s">
        <v>11</v>
      </c>
      <c r="P73" t="s">
        <v>175</v>
      </c>
      <c r="Q73" t="s">
        <v>162</v>
      </c>
      <c r="R73" t="s">
        <v>266</v>
      </c>
      <c r="S73">
        <v>2002</v>
      </c>
      <c r="T73">
        <v>8</v>
      </c>
      <c r="U73" t="s">
        <v>162</v>
      </c>
      <c r="V73" t="s">
        <v>455</v>
      </c>
      <c r="W73">
        <v>2020</v>
      </c>
      <c r="X73">
        <v>0</v>
      </c>
      <c r="Y73" t="s">
        <v>123</v>
      </c>
      <c r="Z73">
        <v>2020</v>
      </c>
      <c r="AA73">
        <v>2020</v>
      </c>
      <c r="AB73" s="5">
        <v>0.50509349501599998</v>
      </c>
      <c r="AC73" s="5">
        <v>1.01018699003</v>
      </c>
      <c r="AD73" t="s">
        <v>162</v>
      </c>
      <c r="AE73" t="s">
        <v>163</v>
      </c>
      <c r="AF73" t="s">
        <v>162</v>
      </c>
      <c r="AG73" t="s">
        <v>162</v>
      </c>
      <c r="AH73" t="s">
        <v>162</v>
      </c>
      <c r="AI73" t="s">
        <v>162</v>
      </c>
      <c r="AJ73" t="s">
        <v>162</v>
      </c>
      <c r="AK73" t="s">
        <v>162</v>
      </c>
      <c r="AL73">
        <v>0</v>
      </c>
      <c r="AM73">
        <v>0</v>
      </c>
      <c r="AN73">
        <v>0.5</v>
      </c>
      <c r="AO73">
        <v>0.5</v>
      </c>
      <c r="AP73">
        <v>0</v>
      </c>
      <c r="AQ73">
        <v>0</v>
      </c>
      <c r="AR73">
        <v>0</v>
      </c>
      <c r="AS73">
        <v>0</v>
      </c>
      <c r="AT73" s="60">
        <f t="shared" si="0"/>
        <v>1</v>
      </c>
      <c r="AU73" s="95" t="s">
        <v>187</v>
      </c>
      <c r="AV73" s="94" t="s">
        <v>165</v>
      </c>
      <c r="AW73" t="s">
        <v>162</v>
      </c>
      <c r="AX73">
        <v>2</v>
      </c>
      <c r="AY73" t="s">
        <v>167</v>
      </c>
      <c r="AZ73" t="s">
        <v>162</v>
      </c>
    </row>
    <row r="74" spans="1:52" x14ac:dyDescent="0.25">
      <c r="A74">
        <v>63</v>
      </c>
      <c r="B74" t="s">
        <v>306</v>
      </c>
      <c r="C74" t="s">
        <v>180</v>
      </c>
      <c r="D74" t="s">
        <v>307</v>
      </c>
      <c r="E74" t="s">
        <v>216</v>
      </c>
      <c r="F74" t="s">
        <v>162</v>
      </c>
      <c r="G74">
        <v>9484</v>
      </c>
      <c r="H74">
        <v>9483</v>
      </c>
      <c r="I74" t="s">
        <v>456</v>
      </c>
      <c r="J74">
        <v>9388</v>
      </c>
      <c r="K74">
        <v>9389</v>
      </c>
      <c r="L74" t="s">
        <v>308</v>
      </c>
      <c r="M74">
        <v>3</v>
      </c>
      <c r="N74" t="s">
        <v>11</v>
      </c>
      <c r="O74" t="s">
        <v>11</v>
      </c>
      <c r="P74" t="s">
        <v>175</v>
      </c>
      <c r="Q74" t="s">
        <v>162</v>
      </c>
      <c r="R74" t="s">
        <v>457</v>
      </c>
      <c r="S74">
        <v>1996</v>
      </c>
      <c r="T74">
        <v>5</v>
      </c>
      <c r="U74" t="s">
        <v>162</v>
      </c>
      <c r="V74" t="s">
        <v>225</v>
      </c>
      <c r="W74">
        <v>2018</v>
      </c>
      <c r="X74">
        <v>5</v>
      </c>
      <c r="Y74" t="s">
        <v>162</v>
      </c>
      <c r="Z74">
        <v>2018</v>
      </c>
      <c r="AA74">
        <v>2000</v>
      </c>
      <c r="AB74" s="5">
        <v>0.19261416189</v>
      </c>
      <c r="AC74" s="5">
        <v>0.38522832377999999</v>
      </c>
      <c r="AD74" t="s">
        <v>162</v>
      </c>
      <c r="AE74" t="s">
        <v>163</v>
      </c>
      <c r="AF74" t="s">
        <v>162</v>
      </c>
      <c r="AG74" t="s">
        <v>162</v>
      </c>
      <c r="AH74" t="s">
        <v>162</v>
      </c>
      <c r="AI74" t="s">
        <v>162</v>
      </c>
      <c r="AJ74" t="s">
        <v>162</v>
      </c>
      <c r="AK74" t="s">
        <v>166</v>
      </c>
      <c r="AL74">
        <v>2018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 s="60">
        <f t="shared" si="0"/>
        <v>1</v>
      </c>
      <c r="AU74" s="95">
        <v>43336</v>
      </c>
      <c r="AV74" s="94" t="s">
        <v>165</v>
      </c>
      <c r="AW74" t="s">
        <v>162</v>
      </c>
      <c r="AX74">
        <v>2</v>
      </c>
      <c r="AY74" t="s">
        <v>167</v>
      </c>
      <c r="AZ74" t="s">
        <v>162</v>
      </c>
    </row>
    <row r="75" spans="1:52" x14ac:dyDescent="0.25">
      <c r="A75">
        <v>64</v>
      </c>
      <c r="B75" t="s">
        <v>315</v>
      </c>
      <c r="C75" t="s">
        <v>163</v>
      </c>
      <c r="D75" t="s">
        <v>316</v>
      </c>
      <c r="E75" t="s">
        <v>216</v>
      </c>
      <c r="F75" t="s">
        <v>154</v>
      </c>
      <c r="G75">
        <v>1000</v>
      </c>
      <c r="H75">
        <v>1001</v>
      </c>
      <c r="I75" t="s">
        <v>458</v>
      </c>
      <c r="J75">
        <v>1200</v>
      </c>
      <c r="K75">
        <v>1201</v>
      </c>
      <c r="L75" t="s">
        <v>459</v>
      </c>
      <c r="M75">
        <v>3</v>
      </c>
      <c r="N75" t="s">
        <v>7</v>
      </c>
      <c r="O75" t="s">
        <v>7</v>
      </c>
      <c r="P75" t="s">
        <v>157</v>
      </c>
      <c r="Q75" t="s">
        <v>460</v>
      </c>
      <c r="R75" t="s">
        <v>193</v>
      </c>
      <c r="S75">
        <v>2022</v>
      </c>
      <c r="T75">
        <v>11</v>
      </c>
      <c r="U75" t="s">
        <v>162</v>
      </c>
      <c r="V75" t="s">
        <v>162</v>
      </c>
      <c r="W75">
        <v>0</v>
      </c>
      <c r="X75">
        <v>0</v>
      </c>
      <c r="Y75" t="s">
        <v>162</v>
      </c>
      <c r="Z75">
        <v>2022</v>
      </c>
      <c r="AA75">
        <v>2022</v>
      </c>
      <c r="AB75" s="5">
        <v>0.37478701945499998</v>
      </c>
      <c r="AC75" s="5">
        <v>0.74957403890999996</v>
      </c>
      <c r="AD75" t="s">
        <v>154</v>
      </c>
      <c r="AE75" t="s">
        <v>163</v>
      </c>
      <c r="AF75" t="s">
        <v>154</v>
      </c>
      <c r="AG75" t="s">
        <v>154</v>
      </c>
      <c r="AH75" t="s">
        <v>154</v>
      </c>
      <c r="AI75" t="s">
        <v>194</v>
      </c>
      <c r="AJ75" t="s">
        <v>154</v>
      </c>
      <c r="AK75" t="s">
        <v>154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s="60">
        <f t="shared" ref="AT75:AT138" si="1">SUM(AM75:AS75)</f>
        <v>1</v>
      </c>
      <c r="AU75" s="95" t="s">
        <v>195</v>
      </c>
      <c r="AV75" s="94" t="s">
        <v>165</v>
      </c>
      <c r="AW75" t="s">
        <v>166</v>
      </c>
      <c r="AX75">
        <v>2</v>
      </c>
      <c r="AY75" t="s">
        <v>167</v>
      </c>
      <c r="AZ75">
        <v>30</v>
      </c>
    </row>
    <row r="76" spans="1:52" x14ac:dyDescent="0.25">
      <c r="A76">
        <v>65</v>
      </c>
      <c r="B76" t="s">
        <v>233</v>
      </c>
      <c r="C76" t="s">
        <v>180</v>
      </c>
      <c r="D76" t="s">
        <v>234</v>
      </c>
      <c r="E76" t="s">
        <v>172</v>
      </c>
      <c r="F76" t="s">
        <v>162</v>
      </c>
      <c r="G76">
        <v>6900</v>
      </c>
      <c r="H76">
        <v>6901</v>
      </c>
      <c r="I76" t="s">
        <v>277</v>
      </c>
      <c r="J76">
        <v>6700</v>
      </c>
      <c r="K76">
        <v>6701</v>
      </c>
      <c r="L76" t="s">
        <v>461</v>
      </c>
      <c r="M76">
        <v>2</v>
      </c>
      <c r="N76" t="s">
        <v>9</v>
      </c>
      <c r="O76" t="s">
        <v>9</v>
      </c>
      <c r="P76" t="s">
        <v>175</v>
      </c>
      <c r="Q76" t="s">
        <v>462</v>
      </c>
      <c r="R76" t="s">
        <v>463</v>
      </c>
      <c r="S76">
        <v>2014</v>
      </c>
      <c r="T76">
        <v>5</v>
      </c>
      <c r="U76" t="s">
        <v>162</v>
      </c>
      <c r="V76" t="s">
        <v>162</v>
      </c>
      <c r="W76">
        <v>0</v>
      </c>
      <c r="X76">
        <v>0</v>
      </c>
      <c r="Y76" t="s">
        <v>162</v>
      </c>
      <c r="Z76">
        <v>2014</v>
      </c>
      <c r="AA76">
        <v>0</v>
      </c>
      <c r="AB76" s="5">
        <v>0.250911866963</v>
      </c>
      <c r="AC76" s="5">
        <v>0.50182373392599999</v>
      </c>
      <c r="AD76" t="s">
        <v>162</v>
      </c>
      <c r="AE76" t="s">
        <v>163</v>
      </c>
      <c r="AF76" t="s">
        <v>162</v>
      </c>
      <c r="AG76" t="s">
        <v>162</v>
      </c>
      <c r="AH76" t="s">
        <v>162</v>
      </c>
      <c r="AI76" t="s">
        <v>162</v>
      </c>
      <c r="AJ76" t="s">
        <v>162</v>
      </c>
      <c r="AK76" t="s">
        <v>162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s="60">
        <f t="shared" si="1"/>
        <v>1</v>
      </c>
      <c r="AU76" s="95">
        <v>43333</v>
      </c>
      <c r="AV76" s="94" t="s">
        <v>165</v>
      </c>
      <c r="AW76" t="s">
        <v>163</v>
      </c>
      <c r="AX76">
        <v>2</v>
      </c>
      <c r="AY76" t="s">
        <v>167</v>
      </c>
      <c r="AZ76" t="s">
        <v>162</v>
      </c>
    </row>
    <row r="77" spans="1:52" x14ac:dyDescent="0.25">
      <c r="A77">
        <v>66</v>
      </c>
      <c r="B77" t="s">
        <v>464</v>
      </c>
      <c r="C77" t="s">
        <v>151</v>
      </c>
      <c r="D77" t="s">
        <v>465</v>
      </c>
      <c r="E77" t="s">
        <v>216</v>
      </c>
      <c r="F77" t="s">
        <v>203</v>
      </c>
      <c r="G77">
        <v>1101</v>
      </c>
      <c r="H77">
        <v>1100</v>
      </c>
      <c r="I77" t="s">
        <v>466</v>
      </c>
      <c r="J77">
        <v>1039</v>
      </c>
      <c r="K77">
        <v>1038</v>
      </c>
      <c r="L77" t="s">
        <v>467</v>
      </c>
      <c r="M77">
        <v>4</v>
      </c>
      <c r="N77" t="s">
        <v>13</v>
      </c>
      <c r="O77" t="s">
        <v>15</v>
      </c>
      <c r="P77" t="s">
        <v>175</v>
      </c>
      <c r="Q77" t="s">
        <v>162</v>
      </c>
      <c r="R77" t="s">
        <v>439</v>
      </c>
      <c r="S77">
        <v>2017</v>
      </c>
      <c r="T77">
        <v>9</v>
      </c>
      <c r="U77" t="s">
        <v>468</v>
      </c>
      <c r="V77" t="s">
        <v>162</v>
      </c>
      <c r="W77">
        <v>0</v>
      </c>
      <c r="X77">
        <v>0</v>
      </c>
      <c r="Y77" t="s">
        <v>162</v>
      </c>
      <c r="Z77">
        <v>2017</v>
      </c>
      <c r="AA77">
        <v>2011</v>
      </c>
      <c r="AB77" s="5">
        <v>7.2090842686300005E-2</v>
      </c>
      <c r="AC77" s="5">
        <v>0.144181685373</v>
      </c>
      <c r="AD77" t="s">
        <v>162</v>
      </c>
      <c r="AE77" t="s">
        <v>163</v>
      </c>
      <c r="AF77" t="s">
        <v>162</v>
      </c>
      <c r="AG77" t="s">
        <v>166</v>
      </c>
      <c r="AH77" t="s">
        <v>162</v>
      </c>
      <c r="AI77" t="s">
        <v>162</v>
      </c>
      <c r="AJ77" t="s">
        <v>162</v>
      </c>
      <c r="AK77" t="s">
        <v>162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60">
        <f t="shared" si="1"/>
        <v>1</v>
      </c>
      <c r="AU77" s="95">
        <v>43340</v>
      </c>
      <c r="AV77" t="s">
        <v>165</v>
      </c>
      <c r="AW77" t="s">
        <v>162</v>
      </c>
      <c r="AX77">
        <v>3</v>
      </c>
      <c r="AY77" t="s">
        <v>275</v>
      </c>
      <c r="AZ77" t="s">
        <v>162</v>
      </c>
    </row>
    <row r="78" spans="1:52" x14ac:dyDescent="0.25">
      <c r="A78">
        <v>67</v>
      </c>
      <c r="B78" t="s">
        <v>469</v>
      </c>
      <c r="C78" t="s">
        <v>151</v>
      </c>
      <c r="D78" t="s">
        <v>470</v>
      </c>
      <c r="E78" t="s">
        <v>216</v>
      </c>
      <c r="F78" t="s">
        <v>162</v>
      </c>
      <c r="G78">
        <v>1068</v>
      </c>
      <c r="H78">
        <v>1069</v>
      </c>
      <c r="I78" t="s">
        <v>466</v>
      </c>
      <c r="J78">
        <v>753</v>
      </c>
      <c r="K78">
        <v>748</v>
      </c>
      <c r="L78" t="s">
        <v>471</v>
      </c>
      <c r="M78">
        <v>2</v>
      </c>
      <c r="N78" t="s">
        <v>15</v>
      </c>
      <c r="O78" t="s">
        <v>15</v>
      </c>
      <c r="P78" t="s">
        <v>175</v>
      </c>
      <c r="Q78" t="s">
        <v>162</v>
      </c>
      <c r="R78" t="s">
        <v>472</v>
      </c>
      <c r="S78">
        <v>2007</v>
      </c>
      <c r="T78">
        <v>10</v>
      </c>
      <c r="U78" t="s">
        <v>162</v>
      </c>
      <c r="V78" t="s">
        <v>473</v>
      </c>
      <c r="W78">
        <v>2021</v>
      </c>
      <c r="X78">
        <v>6</v>
      </c>
      <c r="Y78" t="s">
        <v>162</v>
      </c>
      <c r="Z78">
        <v>2021</v>
      </c>
      <c r="AA78">
        <v>2021</v>
      </c>
      <c r="AB78" s="5">
        <v>0.41162123546899998</v>
      </c>
      <c r="AC78" s="5">
        <v>0.82324247093799996</v>
      </c>
      <c r="AD78" t="s">
        <v>162</v>
      </c>
      <c r="AE78" t="s">
        <v>163</v>
      </c>
      <c r="AF78" t="s">
        <v>162</v>
      </c>
      <c r="AG78" t="s">
        <v>162</v>
      </c>
      <c r="AH78" t="s">
        <v>162</v>
      </c>
      <c r="AI78" t="s">
        <v>162</v>
      </c>
      <c r="AJ78" t="s">
        <v>162</v>
      </c>
      <c r="AK78" t="s">
        <v>162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60">
        <f t="shared" si="1"/>
        <v>1</v>
      </c>
      <c r="AU78" s="95" t="s">
        <v>474</v>
      </c>
      <c r="AV78" s="94" t="s">
        <v>165</v>
      </c>
      <c r="AW78" t="s">
        <v>163</v>
      </c>
      <c r="AX78">
        <v>2</v>
      </c>
      <c r="AY78" t="s">
        <v>167</v>
      </c>
      <c r="AZ78" t="s">
        <v>162</v>
      </c>
    </row>
    <row r="79" spans="1:52" x14ac:dyDescent="0.25">
      <c r="A79">
        <v>68</v>
      </c>
      <c r="B79" t="s">
        <v>475</v>
      </c>
      <c r="C79" t="s">
        <v>163</v>
      </c>
      <c r="D79" t="s">
        <v>476</v>
      </c>
      <c r="E79" t="s">
        <v>216</v>
      </c>
      <c r="F79" t="s">
        <v>162</v>
      </c>
      <c r="G79">
        <v>4000</v>
      </c>
      <c r="H79">
        <v>4001</v>
      </c>
      <c r="I79" t="s">
        <v>477</v>
      </c>
      <c r="J79">
        <v>4148</v>
      </c>
      <c r="K79">
        <v>4145</v>
      </c>
      <c r="L79" t="s">
        <v>478</v>
      </c>
      <c r="M79">
        <v>3</v>
      </c>
      <c r="N79" t="s">
        <v>15</v>
      </c>
      <c r="O79" t="s">
        <v>15</v>
      </c>
      <c r="P79" t="s">
        <v>175</v>
      </c>
      <c r="Q79" t="s">
        <v>162</v>
      </c>
      <c r="R79" t="s">
        <v>479</v>
      </c>
      <c r="S79">
        <v>2005</v>
      </c>
      <c r="T79">
        <v>5</v>
      </c>
      <c r="U79" t="s">
        <v>123</v>
      </c>
      <c r="V79" t="s">
        <v>404</v>
      </c>
      <c r="W79">
        <v>2017</v>
      </c>
      <c r="X79">
        <v>7</v>
      </c>
      <c r="Y79" t="s">
        <v>162</v>
      </c>
      <c r="Z79">
        <v>2017</v>
      </c>
      <c r="AA79">
        <v>2005</v>
      </c>
      <c r="AB79" s="5">
        <v>0.225529685733</v>
      </c>
      <c r="AC79" s="5">
        <v>0.451059371466</v>
      </c>
      <c r="AD79" t="s">
        <v>162</v>
      </c>
      <c r="AE79" t="s">
        <v>163</v>
      </c>
      <c r="AF79" t="s">
        <v>162</v>
      </c>
      <c r="AG79" t="s">
        <v>162</v>
      </c>
      <c r="AH79" t="s">
        <v>162</v>
      </c>
      <c r="AI79" t="s">
        <v>162</v>
      </c>
      <c r="AJ79" t="s">
        <v>162</v>
      </c>
      <c r="AK79" t="s">
        <v>162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60">
        <f t="shared" si="1"/>
        <v>1</v>
      </c>
      <c r="AU79" s="95">
        <v>43341</v>
      </c>
      <c r="AV79" s="94" t="s">
        <v>165</v>
      </c>
      <c r="AW79" t="s">
        <v>162</v>
      </c>
      <c r="AX79">
        <v>2</v>
      </c>
      <c r="AY79" t="s">
        <v>167</v>
      </c>
      <c r="AZ79" t="s">
        <v>162</v>
      </c>
    </row>
    <row r="80" spans="1:52" x14ac:dyDescent="0.25">
      <c r="A80">
        <v>69</v>
      </c>
      <c r="B80" t="s">
        <v>480</v>
      </c>
      <c r="C80" t="s">
        <v>163</v>
      </c>
      <c r="D80" t="s">
        <v>481</v>
      </c>
      <c r="E80" t="s">
        <v>216</v>
      </c>
      <c r="F80" t="s">
        <v>162</v>
      </c>
      <c r="G80">
        <v>6046</v>
      </c>
      <c r="H80">
        <v>6037</v>
      </c>
      <c r="I80" t="s">
        <v>482</v>
      </c>
      <c r="J80">
        <v>6348</v>
      </c>
      <c r="K80">
        <v>6349</v>
      </c>
      <c r="L80" t="s">
        <v>372</v>
      </c>
      <c r="M80">
        <v>2</v>
      </c>
      <c r="N80" t="s">
        <v>11</v>
      </c>
      <c r="O80" t="s">
        <v>11</v>
      </c>
      <c r="P80" t="s">
        <v>175</v>
      </c>
      <c r="Q80" t="s">
        <v>483</v>
      </c>
      <c r="R80" t="s">
        <v>383</v>
      </c>
      <c r="S80">
        <v>2005</v>
      </c>
      <c r="T80">
        <v>10</v>
      </c>
      <c r="U80" t="s">
        <v>123</v>
      </c>
      <c r="V80" t="s">
        <v>162</v>
      </c>
      <c r="W80">
        <v>0</v>
      </c>
      <c r="X80">
        <v>0</v>
      </c>
      <c r="Y80" t="s">
        <v>162</v>
      </c>
      <c r="Z80">
        <v>2005</v>
      </c>
      <c r="AA80">
        <v>2005</v>
      </c>
      <c r="AB80" s="5">
        <v>0.41429985170700001</v>
      </c>
      <c r="AC80" s="5">
        <v>0.82859970341400002</v>
      </c>
      <c r="AD80" t="s">
        <v>162</v>
      </c>
      <c r="AE80" t="s">
        <v>163</v>
      </c>
      <c r="AF80" t="s">
        <v>162</v>
      </c>
      <c r="AG80" t="s">
        <v>162</v>
      </c>
      <c r="AH80" t="s">
        <v>162</v>
      </c>
      <c r="AI80" t="s">
        <v>162</v>
      </c>
      <c r="AJ80" t="s">
        <v>162</v>
      </c>
      <c r="AK80" t="s">
        <v>162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60">
        <f t="shared" si="1"/>
        <v>1</v>
      </c>
      <c r="AU80" s="95">
        <v>43341</v>
      </c>
      <c r="AV80" s="94" t="s">
        <v>165</v>
      </c>
      <c r="AW80" t="s">
        <v>162</v>
      </c>
      <c r="AX80">
        <v>2</v>
      </c>
      <c r="AY80" t="s">
        <v>167</v>
      </c>
      <c r="AZ80" t="s">
        <v>162</v>
      </c>
    </row>
    <row r="81" spans="1:52" x14ac:dyDescent="0.25">
      <c r="A81">
        <v>70</v>
      </c>
      <c r="B81" t="s">
        <v>484</v>
      </c>
      <c r="C81" t="s">
        <v>151</v>
      </c>
      <c r="D81" t="s">
        <v>485</v>
      </c>
      <c r="E81" t="s">
        <v>172</v>
      </c>
      <c r="F81" t="s">
        <v>162</v>
      </c>
      <c r="G81">
        <v>1959</v>
      </c>
      <c r="H81">
        <v>1958</v>
      </c>
      <c r="I81" t="s">
        <v>191</v>
      </c>
      <c r="J81">
        <v>1601</v>
      </c>
      <c r="K81">
        <v>1600</v>
      </c>
      <c r="L81" t="s">
        <v>302</v>
      </c>
      <c r="M81">
        <v>0</v>
      </c>
      <c r="N81" t="s">
        <v>13</v>
      </c>
      <c r="O81" t="s">
        <v>15</v>
      </c>
      <c r="P81" t="s">
        <v>157</v>
      </c>
      <c r="Q81" t="s">
        <v>162</v>
      </c>
      <c r="R81" t="s">
        <v>486</v>
      </c>
      <c r="S81">
        <v>2019</v>
      </c>
      <c r="T81">
        <v>7</v>
      </c>
      <c r="U81" t="s">
        <v>487</v>
      </c>
      <c r="V81" t="s">
        <v>162</v>
      </c>
      <c r="W81">
        <v>0</v>
      </c>
      <c r="X81">
        <v>0</v>
      </c>
      <c r="Y81" t="s">
        <v>162</v>
      </c>
      <c r="Z81">
        <v>2019</v>
      </c>
      <c r="AA81">
        <v>2002</v>
      </c>
      <c r="AB81" s="5">
        <v>0.50354976568999998</v>
      </c>
      <c r="AC81" s="5">
        <v>1.00709953138</v>
      </c>
      <c r="AD81" t="s">
        <v>162</v>
      </c>
      <c r="AE81" t="s">
        <v>163</v>
      </c>
      <c r="AF81" t="s">
        <v>162</v>
      </c>
      <c r="AG81" t="s">
        <v>162</v>
      </c>
      <c r="AH81" t="s">
        <v>162</v>
      </c>
      <c r="AI81" t="s">
        <v>162</v>
      </c>
      <c r="AJ81" t="s">
        <v>162</v>
      </c>
      <c r="AK81" t="s">
        <v>162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 s="60">
        <f t="shared" si="1"/>
        <v>1</v>
      </c>
      <c r="AU81" s="95">
        <v>43341</v>
      </c>
      <c r="AV81" s="94" t="s">
        <v>165</v>
      </c>
      <c r="AW81" t="s">
        <v>162</v>
      </c>
      <c r="AX81">
        <v>3</v>
      </c>
      <c r="AY81" t="s">
        <v>275</v>
      </c>
      <c r="AZ81" t="s">
        <v>162</v>
      </c>
    </row>
    <row r="82" spans="1:52" x14ac:dyDescent="0.25">
      <c r="A82">
        <v>71</v>
      </c>
      <c r="B82" t="s">
        <v>315</v>
      </c>
      <c r="C82" t="s">
        <v>163</v>
      </c>
      <c r="D82" t="s">
        <v>316</v>
      </c>
      <c r="E82" t="s">
        <v>216</v>
      </c>
      <c r="F82" t="s">
        <v>162</v>
      </c>
      <c r="G82">
        <v>1600</v>
      </c>
      <c r="H82">
        <v>1601</v>
      </c>
      <c r="I82" t="s">
        <v>191</v>
      </c>
      <c r="J82">
        <v>1300</v>
      </c>
      <c r="K82">
        <v>1301</v>
      </c>
      <c r="L82" t="s">
        <v>488</v>
      </c>
      <c r="M82">
        <v>3</v>
      </c>
      <c r="N82" t="s">
        <v>11</v>
      </c>
      <c r="O82" t="s">
        <v>327</v>
      </c>
      <c r="P82" t="s">
        <v>157</v>
      </c>
      <c r="Q82" t="s">
        <v>460</v>
      </c>
      <c r="R82" t="s">
        <v>329</v>
      </c>
      <c r="S82">
        <v>2017</v>
      </c>
      <c r="T82">
        <v>9</v>
      </c>
      <c r="U82" t="s">
        <v>489</v>
      </c>
      <c r="V82" t="s">
        <v>490</v>
      </c>
      <c r="W82">
        <v>2020</v>
      </c>
      <c r="X82">
        <v>0</v>
      </c>
      <c r="Y82" t="s">
        <v>491</v>
      </c>
      <c r="Z82">
        <v>2020</v>
      </c>
      <c r="AA82">
        <v>2020</v>
      </c>
      <c r="AB82" s="5">
        <v>0.51605856450300003</v>
      </c>
      <c r="AC82" s="5">
        <v>1.03211712901</v>
      </c>
      <c r="AD82" t="s">
        <v>162</v>
      </c>
      <c r="AE82" t="s">
        <v>163</v>
      </c>
      <c r="AF82" t="s">
        <v>162</v>
      </c>
      <c r="AG82" t="s">
        <v>162</v>
      </c>
      <c r="AH82" t="s">
        <v>162</v>
      </c>
      <c r="AI82" t="s">
        <v>162</v>
      </c>
      <c r="AJ82" t="s">
        <v>162</v>
      </c>
      <c r="AK82" t="s">
        <v>162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 s="60">
        <f t="shared" si="1"/>
        <v>1</v>
      </c>
      <c r="AU82" s="95" t="s">
        <v>492</v>
      </c>
      <c r="AV82" t="s">
        <v>165</v>
      </c>
      <c r="AW82" t="s">
        <v>162</v>
      </c>
      <c r="AX82">
        <v>2</v>
      </c>
      <c r="AY82" t="s">
        <v>167</v>
      </c>
      <c r="AZ82">
        <v>20</v>
      </c>
    </row>
    <row r="83" spans="1:52" x14ac:dyDescent="0.25">
      <c r="A83">
        <v>72</v>
      </c>
      <c r="B83" t="s">
        <v>233</v>
      </c>
      <c r="C83" t="s">
        <v>163</v>
      </c>
      <c r="D83" t="s">
        <v>234</v>
      </c>
      <c r="E83" t="s">
        <v>172</v>
      </c>
      <c r="F83" t="s">
        <v>162</v>
      </c>
      <c r="G83">
        <v>0</v>
      </c>
      <c r="H83">
        <v>0</v>
      </c>
      <c r="I83" t="s">
        <v>493</v>
      </c>
      <c r="J83">
        <v>1562</v>
      </c>
      <c r="K83">
        <v>1563</v>
      </c>
      <c r="L83" t="s">
        <v>494</v>
      </c>
      <c r="M83">
        <v>2</v>
      </c>
      <c r="N83" t="s">
        <v>9</v>
      </c>
      <c r="O83" t="s">
        <v>9</v>
      </c>
      <c r="P83" t="s">
        <v>157</v>
      </c>
      <c r="Q83" t="s">
        <v>162</v>
      </c>
      <c r="R83" t="s">
        <v>314</v>
      </c>
      <c r="S83">
        <v>2012</v>
      </c>
      <c r="T83">
        <v>10</v>
      </c>
      <c r="U83" t="s">
        <v>495</v>
      </c>
      <c r="V83" t="s">
        <v>162</v>
      </c>
      <c r="W83">
        <v>0</v>
      </c>
      <c r="X83">
        <v>0</v>
      </c>
      <c r="Y83" t="s">
        <v>162</v>
      </c>
      <c r="Z83">
        <v>2012</v>
      </c>
      <c r="AA83">
        <v>2012</v>
      </c>
      <c r="AB83" s="5">
        <v>0.17467122057500001</v>
      </c>
      <c r="AC83" s="5">
        <v>0.34934244115000002</v>
      </c>
      <c r="AD83" t="s">
        <v>154</v>
      </c>
      <c r="AE83" t="s">
        <v>163</v>
      </c>
      <c r="AF83" t="s">
        <v>154</v>
      </c>
      <c r="AG83" t="s">
        <v>154</v>
      </c>
      <c r="AH83" t="s">
        <v>154</v>
      </c>
      <c r="AI83" t="s">
        <v>162</v>
      </c>
      <c r="AJ83" t="s">
        <v>162</v>
      </c>
      <c r="AK83" t="s">
        <v>162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 s="60">
        <f t="shared" si="1"/>
        <v>1</v>
      </c>
      <c r="AU83" s="95" t="s">
        <v>360</v>
      </c>
      <c r="AV83" t="s">
        <v>165</v>
      </c>
      <c r="AW83" t="s">
        <v>166</v>
      </c>
      <c r="AX83">
        <v>2</v>
      </c>
      <c r="AY83" t="s">
        <v>167</v>
      </c>
      <c r="AZ83" t="s">
        <v>162</v>
      </c>
    </row>
    <row r="84" spans="1:52" x14ac:dyDescent="0.25">
      <c r="A84">
        <v>73</v>
      </c>
      <c r="B84" t="s">
        <v>496</v>
      </c>
      <c r="C84" t="s">
        <v>151</v>
      </c>
      <c r="D84" t="s">
        <v>497</v>
      </c>
      <c r="E84" t="s">
        <v>172</v>
      </c>
      <c r="F84" t="s">
        <v>154</v>
      </c>
      <c r="G84">
        <v>631</v>
      </c>
      <c r="H84">
        <v>630</v>
      </c>
      <c r="I84" t="s">
        <v>498</v>
      </c>
      <c r="J84">
        <v>201</v>
      </c>
      <c r="K84">
        <v>200</v>
      </c>
      <c r="L84" t="s">
        <v>499</v>
      </c>
      <c r="M84">
        <v>3</v>
      </c>
      <c r="N84" t="s">
        <v>7</v>
      </c>
      <c r="O84" t="s">
        <v>7</v>
      </c>
      <c r="P84" t="s">
        <v>157</v>
      </c>
      <c r="Q84" t="s">
        <v>162</v>
      </c>
      <c r="R84" t="s">
        <v>500</v>
      </c>
      <c r="S84">
        <v>2022</v>
      </c>
      <c r="T84">
        <v>8</v>
      </c>
      <c r="U84" t="s">
        <v>501</v>
      </c>
      <c r="V84" t="s">
        <v>502</v>
      </c>
      <c r="W84">
        <v>2016</v>
      </c>
      <c r="X84">
        <v>10</v>
      </c>
      <c r="Y84" t="s">
        <v>503</v>
      </c>
      <c r="Z84">
        <v>2016</v>
      </c>
      <c r="AA84">
        <v>2016</v>
      </c>
      <c r="AB84" s="5">
        <v>0.53400563680000002</v>
      </c>
      <c r="AC84" s="5">
        <v>1.0680112736</v>
      </c>
      <c r="AD84" t="s">
        <v>154</v>
      </c>
      <c r="AE84" t="s">
        <v>154</v>
      </c>
      <c r="AF84" t="s">
        <v>154</v>
      </c>
      <c r="AG84" t="s">
        <v>154</v>
      </c>
      <c r="AH84" t="s">
        <v>163</v>
      </c>
      <c r="AI84" t="s">
        <v>504</v>
      </c>
      <c r="AJ84" t="s">
        <v>154</v>
      </c>
      <c r="AK84" t="s">
        <v>166</v>
      </c>
      <c r="AL84">
        <v>2016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 s="60">
        <f t="shared" si="1"/>
        <v>1</v>
      </c>
      <c r="AU84" s="95" t="s">
        <v>213</v>
      </c>
      <c r="AV84" t="s">
        <v>165</v>
      </c>
      <c r="AW84" t="s">
        <v>166</v>
      </c>
      <c r="AX84">
        <v>1</v>
      </c>
      <c r="AY84" t="s">
        <v>167</v>
      </c>
      <c r="AZ84">
        <v>30</v>
      </c>
    </row>
    <row r="85" spans="1:52" x14ac:dyDescent="0.25">
      <c r="A85">
        <v>74</v>
      </c>
      <c r="B85" t="s">
        <v>505</v>
      </c>
      <c r="C85" t="s">
        <v>151</v>
      </c>
      <c r="D85" t="s">
        <v>506</v>
      </c>
      <c r="E85" t="s">
        <v>216</v>
      </c>
      <c r="F85" t="s">
        <v>162</v>
      </c>
      <c r="G85">
        <v>1879</v>
      </c>
      <c r="H85">
        <v>1878</v>
      </c>
      <c r="I85" t="s">
        <v>507</v>
      </c>
      <c r="J85">
        <v>1827</v>
      </c>
      <c r="K85">
        <v>1826</v>
      </c>
      <c r="L85" t="s">
        <v>198</v>
      </c>
      <c r="M85">
        <v>3</v>
      </c>
      <c r="N85" t="s">
        <v>11</v>
      </c>
      <c r="O85" t="s">
        <v>11</v>
      </c>
      <c r="P85" t="s">
        <v>175</v>
      </c>
      <c r="Q85" t="s">
        <v>162</v>
      </c>
      <c r="R85" t="s">
        <v>508</v>
      </c>
      <c r="S85">
        <v>2004</v>
      </c>
      <c r="T85">
        <v>9</v>
      </c>
      <c r="U85" t="s">
        <v>162</v>
      </c>
      <c r="V85" t="s">
        <v>509</v>
      </c>
      <c r="W85">
        <v>2021</v>
      </c>
      <c r="X85">
        <v>0</v>
      </c>
      <c r="Y85" t="s">
        <v>162</v>
      </c>
      <c r="Z85">
        <v>2021</v>
      </c>
      <c r="AA85">
        <v>2013</v>
      </c>
      <c r="AB85" s="5">
        <v>0.111126351996</v>
      </c>
      <c r="AC85" s="5">
        <v>0.22225270399200001</v>
      </c>
      <c r="AD85" t="s">
        <v>154</v>
      </c>
      <c r="AE85" t="s">
        <v>163</v>
      </c>
      <c r="AF85" t="s">
        <v>154</v>
      </c>
      <c r="AG85" t="s">
        <v>154</v>
      </c>
      <c r="AH85" t="s">
        <v>154</v>
      </c>
      <c r="AI85" t="s">
        <v>154</v>
      </c>
      <c r="AJ85" t="s">
        <v>154</v>
      </c>
      <c r="AK85" t="s">
        <v>166</v>
      </c>
      <c r="AL85">
        <v>2013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 s="60">
        <f t="shared" si="1"/>
        <v>1</v>
      </c>
      <c r="AU85" s="95" t="s">
        <v>510</v>
      </c>
      <c r="AV85" s="94" t="s">
        <v>165</v>
      </c>
      <c r="AW85" t="s">
        <v>162</v>
      </c>
      <c r="AX85">
        <v>2</v>
      </c>
      <c r="AY85" t="s">
        <v>167</v>
      </c>
      <c r="AZ85" t="s">
        <v>162</v>
      </c>
    </row>
    <row r="86" spans="1:52" x14ac:dyDescent="0.25">
      <c r="A86">
        <v>75</v>
      </c>
      <c r="B86" t="s">
        <v>505</v>
      </c>
      <c r="C86" t="s">
        <v>151</v>
      </c>
      <c r="D86" t="s">
        <v>506</v>
      </c>
      <c r="E86" t="s">
        <v>216</v>
      </c>
      <c r="F86" t="s">
        <v>162</v>
      </c>
      <c r="G86">
        <v>1831</v>
      </c>
      <c r="H86">
        <v>1820</v>
      </c>
      <c r="I86" t="s">
        <v>198</v>
      </c>
      <c r="J86">
        <v>1631</v>
      </c>
      <c r="K86">
        <v>1630</v>
      </c>
      <c r="L86" t="s">
        <v>393</v>
      </c>
      <c r="M86">
        <v>3</v>
      </c>
      <c r="N86" t="s">
        <v>15</v>
      </c>
      <c r="O86" t="s">
        <v>15</v>
      </c>
      <c r="P86" t="s">
        <v>175</v>
      </c>
      <c r="Q86" t="s">
        <v>162</v>
      </c>
      <c r="R86" t="s">
        <v>508</v>
      </c>
      <c r="S86">
        <v>2004</v>
      </c>
      <c r="T86">
        <v>9</v>
      </c>
      <c r="U86" t="s">
        <v>162</v>
      </c>
      <c r="V86" t="s">
        <v>509</v>
      </c>
      <c r="W86">
        <v>2021</v>
      </c>
      <c r="X86">
        <v>0</v>
      </c>
      <c r="Y86" t="s">
        <v>162</v>
      </c>
      <c r="Z86">
        <v>2021</v>
      </c>
      <c r="AA86">
        <v>2013</v>
      </c>
      <c r="AB86" s="5">
        <v>0.35909493346400001</v>
      </c>
      <c r="AC86" s="5">
        <v>0.71818986692800002</v>
      </c>
      <c r="AD86" t="s">
        <v>154</v>
      </c>
      <c r="AE86" t="s">
        <v>163</v>
      </c>
      <c r="AF86" t="s">
        <v>154</v>
      </c>
      <c r="AG86" t="s">
        <v>154</v>
      </c>
      <c r="AH86" t="s">
        <v>154</v>
      </c>
      <c r="AI86" t="s">
        <v>154</v>
      </c>
      <c r="AJ86" t="s">
        <v>154</v>
      </c>
      <c r="AK86" t="s">
        <v>154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 s="60">
        <f t="shared" si="1"/>
        <v>1</v>
      </c>
      <c r="AU86" s="95" t="s">
        <v>510</v>
      </c>
      <c r="AV86" s="94" t="s">
        <v>165</v>
      </c>
      <c r="AW86" t="s">
        <v>154</v>
      </c>
      <c r="AX86">
        <v>2</v>
      </c>
      <c r="AY86" t="s">
        <v>167</v>
      </c>
      <c r="AZ86" t="s">
        <v>162</v>
      </c>
    </row>
    <row r="87" spans="1:52" x14ac:dyDescent="0.25">
      <c r="A87">
        <v>76</v>
      </c>
      <c r="B87" t="s">
        <v>321</v>
      </c>
      <c r="C87" t="s">
        <v>203</v>
      </c>
      <c r="D87" t="s">
        <v>322</v>
      </c>
      <c r="E87" t="s">
        <v>216</v>
      </c>
      <c r="F87" t="s">
        <v>151</v>
      </c>
      <c r="G87">
        <v>2</v>
      </c>
      <c r="H87">
        <v>1</v>
      </c>
      <c r="I87" t="s">
        <v>324</v>
      </c>
      <c r="J87">
        <v>30</v>
      </c>
      <c r="K87">
        <v>29</v>
      </c>
      <c r="L87" t="s">
        <v>511</v>
      </c>
      <c r="M87">
        <v>3</v>
      </c>
      <c r="N87" t="s">
        <v>11</v>
      </c>
      <c r="O87" t="s">
        <v>11</v>
      </c>
      <c r="P87" t="s">
        <v>169</v>
      </c>
      <c r="Q87" t="s">
        <v>162</v>
      </c>
      <c r="R87" t="s">
        <v>512</v>
      </c>
      <c r="S87">
        <v>2011</v>
      </c>
      <c r="T87">
        <v>10</v>
      </c>
      <c r="U87" t="s">
        <v>162</v>
      </c>
      <c r="V87" t="s">
        <v>243</v>
      </c>
      <c r="W87">
        <v>2020</v>
      </c>
      <c r="X87">
        <v>0</v>
      </c>
      <c r="Y87" t="s">
        <v>162</v>
      </c>
      <c r="Z87">
        <v>2020</v>
      </c>
      <c r="AA87">
        <v>2012</v>
      </c>
      <c r="AB87" s="5">
        <v>6.9720932802700003E-2</v>
      </c>
      <c r="AC87" s="5">
        <v>6.9720932802700003E-2</v>
      </c>
      <c r="AD87" t="s">
        <v>162</v>
      </c>
      <c r="AE87" t="s">
        <v>166</v>
      </c>
      <c r="AF87" t="s">
        <v>151</v>
      </c>
      <c r="AG87" t="s">
        <v>163</v>
      </c>
      <c r="AH87" t="s">
        <v>162</v>
      </c>
      <c r="AI87" t="s">
        <v>162</v>
      </c>
      <c r="AJ87" t="s">
        <v>162</v>
      </c>
      <c r="AK87" t="s">
        <v>162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 s="60">
        <f t="shared" si="1"/>
        <v>1</v>
      </c>
      <c r="AU87" s="95" t="s">
        <v>244</v>
      </c>
      <c r="AV87" s="94" t="s">
        <v>165</v>
      </c>
      <c r="AW87" t="s">
        <v>162</v>
      </c>
      <c r="AX87">
        <v>2</v>
      </c>
      <c r="AY87" t="s">
        <v>167</v>
      </c>
      <c r="AZ87" t="s">
        <v>162</v>
      </c>
    </row>
    <row r="88" spans="1:52" x14ac:dyDescent="0.25">
      <c r="A88">
        <v>77</v>
      </c>
      <c r="B88" t="s">
        <v>196</v>
      </c>
      <c r="C88" t="s">
        <v>163</v>
      </c>
      <c r="D88" t="s">
        <v>197</v>
      </c>
      <c r="E88" t="s">
        <v>172</v>
      </c>
      <c r="F88" t="s">
        <v>180</v>
      </c>
      <c r="G88">
        <v>2</v>
      </c>
      <c r="H88">
        <v>1</v>
      </c>
      <c r="I88" t="s">
        <v>387</v>
      </c>
      <c r="J88">
        <v>242</v>
      </c>
      <c r="K88">
        <v>243</v>
      </c>
      <c r="L88" t="s">
        <v>513</v>
      </c>
      <c r="M88">
        <v>4</v>
      </c>
      <c r="N88" t="s">
        <v>15</v>
      </c>
      <c r="O88" t="s">
        <v>15</v>
      </c>
      <c r="P88" t="s">
        <v>175</v>
      </c>
      <c r="Q88" t="s">
        <v>200</v>
      </c>
      <c r="R88" t="s">
        <v>201</v>
      </c>
      <c r="S88">
        <v>2012</v>
      </c>
      <c r="T88">
        <v>6</v>
      </c>
      <c r="U88" t="s">
        <v>162</v>
      </c>
      <c r="V88" t="s">
        <v>162</v>
      </c>
      <c r="W88">
        <v>0</v>
      </c>
      <c r="X88">
        <v>0</v>
      </c>
      <c r="Y88" t="s">
        <v>162</v>
      </c>
      <c r="Z88">
        <v>2012</v>
      </c>
      <c r="AA88">
        <v>0</v>
      </c>
      <c r="AB88" s="5">
        <v>8.3068951751699996E-2</v>
      </c>
      <c r="AC88" s="5">
        <v>8.3068951751699996E-2</v>
      </c>
      <c r="AD88" t="s">
        <v>162</v>
      </c>
      <c r="AE88" t="s">
        <v>166</v>
      </c>
      <c r="AF88" t="s">
        <v>180</v>
      </c>
      <c r="AG88" t="s">
        <v>163</v>
      </c>
      <c r="AH88" t="s">
        <v>162</v>
      </c>
      <c r="AI88" t="s">
        <v>162</v>
      </c>
      <c r="AJ88" t="s">
        <v>162</v>
      </c>
      <c r="AK88" t="s">
        <v>162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 s="60">
        <f t="shared" si="1"/>
        <v>1</v>
      </c>
      <c r="AU88" s="95">
        <v>43328</v>
      </c>
      <c r="AV88" s="94" t="s">
        <v>165</v>
      </c>
      <c r="AW88" t="s">
        <v>162</v>
      </c>
      <c r="AX88">
        <v>2</v>
      </c>
      <c r="AY88" t="s">
        <v>167</v>
      </c>
      <c r="AZ88" t="s">
        <v>162</v>
      </c>
    </row>
    <row r="89" spans="1:52" x14ac:dyDescent="0.25">
      <c r="A89">
        <v>78</v>
      </c>
      <c r="B89" t="s">
        <v>514</v>
      </c>
      <c r="C89" t="s">
        <v>163</v>
      </c>
      <c r="D89" t="s">
        <v>515</v>
      </c>
      <c r="E89" t="s">
        <v>216</v>
      </c>
      <c r="F89" t="s">
        <v>162</v>
      </c>
      <c r="G89">
        <v>4000</v>
      </c>
      <c r="H89">
        <v>4001</v>
      </c>
      <c r="I89" t="s">
        <v>477</v>
      </c>
      <c r="J89">
        <v>4352</v>
      </c>
      <c r="K89">
        <v>4365</v>
      </c>
      <c r="L89" t="s">
        <v>445</v>
      </c>
      <c r="M89">
        <v>3</v>
      </c>
      <c r="N89" t="s">
        <v>11</v>
      </c>
      <c r="O89" t="s">
        <v>11</v>
      </c>
      <c r="P89" t="s">
        <v>157</v>
      </c>
      <c r="Q89" t="s">
        <v>162</v>
      </c>
      <c r="R89" t="s">
        <v>516</v>
      </c>
      <c r="S89">
        <v>2018</v>
      </c>
      <c r="T89">
        <v>10</v>
      </c>
      <c r="U89" t="s">
        <v>517</v>
      </c>
      <c r="V89" t="s">
        <v>516</v>
      </c>
      <c r="W89">
        <v>2018</v>
      </c>
      <c r="X89">
        <v>10</v>
      </c>
      <c r="Y89" t="s">
        <v>518</v>
      </c>
      <c r="Z89">
        <v>2018</v>
      </c>
      <c r="AA89">
        <v>2016</v>
      </c>
      <c r="AB89" s="5">
        <v>0.56326938809899996</v>
      </c>
      <c r="AC89" s="5">
        <v>1.1265387762000001</v>
      </c>
      <c r="AD89" t="s">
        <v>162</v>
      </c>
      <c r="AE89" t="s">
        <v>163</v>
      </c>
      <c r="AF89" t="s">
        <v>162</v>
      </c>
      <c r="AG89" t="s">
        <v>162</v>
      </c>
      <c r="AH89" t="s">
        <v>162</v>
      </c>
      <c r="AI89" t="s">
        <v>162</v>
      </c>
      <c r="AJ89" t="s">
        <v>162</v>
      </c>
      <c r="AK89" t="s">
        <v>162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60">
        <f t="shared" si="1"/>
        <v>1</v>
      </c>
      <c r="AU89" s="95">
        <v>43370</v>
      </c>
      <c r="AV89" s="94" t="s">
        <v>165</v>
      </c>
      <c r="AW89" t="s">
        <v>162</v>
      </c>
      <c r="AX89">
        <v>2</v>
      </c>
      <c r="AY89" t="s">
        <v>167</v>
      </c>
      <c r="AZ89" t="s">
        <v>162</v>
      </c>
    </row>
    <row r="90" spans="1:52" x14ac:dyDescent="0.25">
      <c r="A90">
        <v>79</v>
      </c>
      <c r="B90" t="s">
        <v>448</v>
      </c>
      <c r="C90" t="s">
        <v>180</v>
      </c>
      <c r="D90" t="s">
        <v>449</v>
      </c>
      <c r="E90" t="s">
        <v>182</v>
      </c>
      <c r="F90" t="s">
        <v>162</v>
      </c>
      <c r="G90">
        <v>5959</v>
      </c>
      <c r="H90">
        <v>5958</v>
      </c>
      <c r="I90" t="s">
        <v>519</v>
      </c>
      <c r="J90">
        <v>5501</v>
      </c>
      <c r="K90">
        <v>5500</v>
      </c>
      <c r="L90" t="s">
        <v>397</v>
      </c>
      <c r="M90">
        <v>3</v>
      </c>
      <c r="N90" t="s">
        <v>11</v>
      </c>
      <c r="O90" t="s">
        <v>11</v>
      </c>
      <c r="P90" t="s">
        <v>175</v>
      </c>
      <c r="Q90" t="s">
        <v>162</v>
      </c>
      <c r="R90" t="s">
        <v>249</v>
      </c>
      <c r="S90">
        <v>2007</v>
      </c>
      <c r="T90">
        <v>10</v>
      </c>
      <c r="U90" t="s">
        <v>520</v>
      </c>
      <c r="V90" t="s">
        <v>502</v>
      </c>
      <c r="W90">
        <v>2017</v>
      </c>
      <c r="X90">
        <v>6</v>
      </c>
      <c r="Y90" t="s">
        <v>123</v>
      </c>
      <c r="Z90">
        <v>2017</v>
      </c>
      <c r="AA90">
        <v>2017</v>
      </c>
      <c r="AB90" s="5">
        <v>0.60663123242899997</v>
      </c>
      <c r="AC90" s="5">
        <v>1.2132624648599999</v>
      </c>
      <c r="AD90" t="s">
        <v>162</v>
      </c>
      <c r="AE90" t="s">
        <v>163</v>
      </c>
      <c r="AF90" t="s">
        <v>162</v>
      </c>
      <c r="AG90" t="s">
        <v>162</v>
      </c>
      <c r="AH90" t="s">
        <v>162</v>
      </c>
      <c r="AI90" t="s">
        <v>162</v>
      </c>
      <c r="AJ90" t="s">
        <v>162</v>
      </c>
      <c r="AK90" t="s">
        <v>162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 s="60">
        <f t="shared" si="1"/>
        <v>1</v>
      </c>
      <c r="AU90" s="95" t="s">
        <v>360</v>
      </c>
      <c r="AV90" t="s">
        <v>165</v>
      </c>
      <c r="AW90" t="s">
        <v>166</v>
      </c>
      <c r="AX90">
        <v>2</v>
      </c>
      <c r="AY90" t="s">
        <v>167</v>
      </c>
      <c r="AZ90" t="s">
        <v>162</v>
      </c>
    </row>
    <row r="91" spans="1:52" x14ac:dyDescent="0.25">
      <c r="A91">
        <v>80</v>
      </c>
      <c r="B91" t="s">
        <v>315</v>
      </c>
      <c r="C91" t="s">
        <v>163</v>
      </c>
      <c r="D91" t="s">
        <v>316</v>
      </c>
      <c r="E91" t="s">
        <v>216</v>
      </c>
      <c r="F91" t="s">
        <v>162</v>
      </c>
      <c r="G91">
        <v>2426</v>
      </c>
      <c r="H91">
        <v>2425</v>
      </c>
      <c r="I91" t="s">
        <v>235</v>
      </c>
      <c r="J91">
        <v>2800</v>
      </c>
      <c r="K91">
        <v>2801</v>
      </c>
      <c r="L91" t="s">
        <v>521</v>
      </c>
      <c r="M91">
        <v>3</v>
      </c>
      <c r="N91" t="s">
        <v>7</v>
      </c>
      <c r="O91" t="s">
        <v>7</v>
      </c>
      <c r="P91" t="s">
        <v>157</v>
      </c>
      <c r="Q91" t="s">
        <v>162</v>
      </c>
      <c r="R91" t="s">
        <v>522</v>
      </c>
      <c r="S91">
        <v>2020</v>
      </c>
      <c r="T91">
        <v>9</v>
      </c>
      <c r="U91" t="s">
        <v>162</v>
      </c>
      <c r="V91" t="s">
        <v>162</v>
      </c>
      <c r="W91">
        <v>0</v>
      </c>
      <c r="X91">
        <v>0</v>
      </c>
      <c r="Y91" t="s">
        <v>162</v>
      </c>
      <c r="Z91">
        <v>2020</v>
      </c>
      <c r="AA91">
        <v>2006</v>
      </c>
      <c r="AB91" s="5">
        <v>0.58244664235599997</v>
      </c>
      <c r="AC91" s="5">
        <v>1.16489328471</v>
      </c>
      <c r="AD91" t="s">
        <v>162</v>
      </c>
      <c r="AE91" t="s">
        <v>163</v>
      </c>
      <c r="AF91" t="s">
        <v>162</v>
      </c>
      <c r="AG91" t="s">
        <v>162</v>
      </c>
      <c r="AH91" t="s">
        <v>162</v>
      </c>
      <c r="AI91" t="s">
        <v>523</v>
      </c>
      <c r="AJ91" t="s">
        <v>163</v>
      </c>
      <c r="AK91" t="s">
        <v>162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 s="60">
        <f t="shared" si="1"/>
        <v>1</v>
      </c>
      <c r="AU91" s="95" t="s">
        <v>227</v>
      </c>
      <c r="AV91" s="94" t="s">
        <v>165</v>
      </c>
      <c r="AW91" t="s">
        <v>166</v>
      </c>
      <c r="AX91">
        <v>1</v>
      </c>
      <c r="AY91" t="s">
        <v>167</v>
      </c>
      <c r="AZ91">
        <v>20</v>
      </c>
    </row>
    <row r="92" spans="1:52" x14ac:dyDescent="0.25">
      <c r="A92">
        <v>81</v>
      </c>
      <c r="B92" t="s">
        <v>315</v>
      </c>
      <c r="C92" t="s">
        <v>163</v>
      </c>
      <c r="D92" t="s">
        <v>316</v>
      </c>
      <c r="E92" t="s">
        <v>216</v>
      </c>
      <c r="F92" t="s">
        <v>162</v>
      </c>
      <c r="G92">
        <v>2300</v>
      </c>
      <c r="H92">
        <v>2301</v>
      </c>
      <c r="I92" t="s">
        <v>521</v>
      </c>
      <c r="J92">
        <v>2500</v>
      </c>
      <c r="K92">
        <v>2501</v>
      </c>
      <c r="L92" t="s">
        <v>524</v>
      </c>
      <c r="M92">
        <v>3</v>
      </c>
      <c r="N92" t="s">
        <v>11</v>
      </c>
      <c r="O92" t="s">
        <v>327</v>
      </c>
      <c r="P92" t="s">
        <v>157</v>
      </c>
      <c r="Q92" t="s">
        <v>162</v>
      </c>
      <c r="R92" t="s">
        <v>525</v>
      </c>
      <c r="S92">
        <v>2019</v>
      </c>
      <c r="T92">
        <v>10</v>
      </c>
      <c r="U92" t="s">
        <v>526</v>
      </c>
      <c r="V92" t="s">
        <v>162</v>
      </c>
      <c r="W92">
        <v>0</v>
      </c>
      <c r="X92">
        <v>0</v>
      </c>
      <c r="Y92" t="s">
        <v>162</v>
      </c>
      <c r="Z92">
        <v>2019</v>
      </c>
      <c r="AA92">
        <v>2006</v>
      </c>
      <c r="AB92" s="5">
        <v>0.33356881190400001</v>
      </c>
      <c r="AC92" s="5">
        <v>0.66713762380800001</v>
      </c>
      <c r="AD92" t="s">
        <v>162</v>
      </c>
      <c r="AE92" t="s">
        <v>163</v>
      </c>
      <c r="AF92" t="s">
        <v>162</v>
      </c>
      <c r="AG92" t="s">
        <v>162</v>
      </c>
      <c r="AH92" t="s">
        <v>162</v>
      </c>
      <c r="AI92" t="s">
        <v>162</v>
      </c>
      <c r="AJ92" t="s">
        <v>162</v>
      </c>
      <c r="AK92" t="s">
        <v>162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 s="60">
        <f t="shared" si="1"/>
        <v>1</v>
      </c>
      <c r="AU92" s="95" t="s">
        <v>244</v>
      </c>
      <c r="AV92" t="s">
        <v>165</v>
      </c>
      <c r="AW92" t="s">
        <v>162</v>
      </c>
      <c r="AX92">
        <v>2</v>
      </c>
      <c r="AY92" t="s">
        <v>167</v>
      </c>
      <c r="AZ92">
        <v>20</v>
      </c>
    </row>
    <row r="93" spans="1:52" x14ac:dyDescent="0.25">
      <c r="A93">
        <v>82</v>
      </c>
      <c r="B93" t="s">
        <v>453</v>
      </c>
      <c r="C93" t="s">
        <v>180</v>
      </c>
      <c r="D93" t="s">
        <v>454</v>
      </c>
      <c r="E93" t="s">
        <v>216</v>
      </c>
      <c r="F93" t="s">
        <v>162</v>
      </c>
      <c r="G93">
        <v>5100</v>
      </c>
      <c r="H93">
        <v>5101</v>
      </c>
      <c r="I93" t="s">
        <v>527</v>
      </c>
      <c r="J93">
        <v>4701</v>
      </c>
      <c r="K93">
        <v>4700</v>
      </c>
      <c r="L93" t="s">
        <v>528</v>
      </c>
      <c r="M93">
        <v>3</v>
      </c>
      <c r="N93" t="s">
        <v>15</v>
      </c>
      <c r="O93" t="s">
        <v>15</v>
      </c>
      <c r="P93" t="s">
        <v>175</v>
      </c>
      <c r="Q93" t="s">
        <v>529</v>
      </c>
      <c r="R93" t="s">
        <v>366</v>
      </c>
      <c r="S93">
        <v>2011</v>
      </c>
      <c r="T93">
        <v>10</v>
      </c>
      <c r="U93" t="s">
        <v>123</v>
      </c>
      <c r="V93" t="s">
        <v>509</v>
      </c>
      <c r="W93">
        <v>2021</v>
      </c>
      <c r="X93">
        <v>0</v>
      </c>
      <c r="Y93" t="s">
        <v>162</v>
      </c>
      <c r="Z93">
        <v>2021</v>
      </c>
      <c r="AA93">
        <v>2011</v>
      </c>
      <c r="AB93" s="5">
        <v>0.502302400559</v>
      </c>
      <c r="AC93" s="5">
        <v>1.0046048011199999</v>
      </c>
      <c r="AD93" t="s">
        <v>154</v>
      </c>
      <c r="AE93" t="s">
        <v>163</v>
      </c>
      <c r="AF93" t="s">
        <v>154</v>
      </c>
      <c r="AG93" t="s">
        <v>154</v>
      </c>
      <c r="AH93" t="s">
        <v>154</v>
      </c>
      <c r="AI93" t="s">
        <v>154</v>
      </c>
      <c r="AJ93" t="s">
        <v>154</v>
      </c>
      <c r="AK93" t="s">
        <v>154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s="60">
        <f t="shared" si="1"/>
        <v>1</v>
      </c>
      <c r="AU93" s="95" t="s">
        <v>530</v>
      </c>
      <c r="AV93" s="94" t="s">
        <v>165</v>
      </c>
      <c r="AW93" t="s">
        <v>154</v>
      </c>
      <c r="AX93">
        <v>2</v>
      </c>
      <c r="AY93" t="s">
        <v>167</v>
      </c>
      <c r="AZ93" t="s">
        <v>162</v>
      </c>
    </row>
    <row r="94" spans="1:52" x14ac:dyDescent="0.25">
      <c r="A94">
        <v>83</v>
      </c>
      <c r="B94" t="s">
        <v>245</v>
      </c>
      <c r="C94" t="s">
        <v>163</v>
      </c>
      <c r="D94" t="s">
        <v>246</v>
      </c>
      <c r="E94" t="s">
        <v>216</v>
      </c>
      <c r="F94" t="s">
        <v>162</v>
      </c>
      <c r="G94">
        <v>3001</v>
      </c>
      <c r="H94">
        <v>3000</v>
      </c>
      <c r="I94" t="s">
        <v>240</v>
      </c>
      <c r="J94">
        <v>3375</v>
      </c>
      <c r="K94">
        <v>3376</v>
      </c>
      <c r="L94" t="s">
        <v>384</v>
      </c>
      <c r="M94">
        <v>3</v>
      </c>
      <c r="N94" t="s">
        <v>15</v>
      </c>
      <c r="O94" t="s">
        <v>15</v>
      </c>
      <c r="P94" t="s">
        <v>175</v>
      </c>
      <c r="Q94" t="s">
        <v>162</v>
      </c>
      <c r="R94" t="s">
        <v>177</v>
      </c>
      <c r="S94">
        <v>2011</v>
      </c>
      <c r="T94">
        <v>9</v>
      </c>
      <c r="U94" t="s">
        <v>162</v>
      </c>
      <c r="V94" t="s">
        <v>162</v>
      </c>
      <c r="W94">
        <v>2020</v>
      </c>
      <c r="X94">
        <v>0</v>
      </c>
      <c r="Y94" t="s">
        <v>123</v>
      </c>
      <c r="Z94">
        <v>2020</v>
      </c>
      <c r="AA94">
        <v>2020</v>
      </c>
      <c r="AB94" s="5">
        <v>0.227553158866</v>
      </c>
      <c r="AC94" s="5">
        <v>0.455106317732</v>
      </c>
      <c r="AD94" t="s">
        <v>162</v>
      </c>
      <c r="AE94" t="s">
        <v>163</v>
      </c>
      <c r="AF94" t="s">
        <v>162</v>
      </c>
      <c r="AG94" t="s">
        <v>162</v>
      </c>
      <c r="AH94" t="s">
        <v>162</v>
      </c>
      <c r="AI94" t="s">
        <v>162</v>
      </c>
      <c r="AJ94" t="s">
        <v>162</v>
      </c>
      <c r="AK94" t="s">
        <v>162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 s="60">
        <f t="shared" si="1"/>
        <v>1</v>
      </c>
      <c r="AU94" s="95" t="s">
        <v>531</v>
      </c>
      <c r="AV94" t="s">
        <v>165</v>
      </c>
      <c r="AW94" t="s">
        <v>162</v>
      </c>
      <c r="AX94">
        <v>2</v>
      </c>
      <c r="AY94" t="s">
        <v>167</v>
      </c>
      <c r="AZ94" t="s">
        <v>162</v>
      </c>
    </row>
    <row r="95" spans="1:52" x14ac:dyDescent="0.25">
      <c r="A95">
        <v>84</v>
      </c>
      <c r="B95" t="s">
        <v>228</v>
      </c>
      <c r="C95" t="s">
        <v>163</v>
      </c>
      <c r="D95" t="s">
        <v>229</v>
      </c>
      <c r="E95" t="s">
        <v>216</v>
      </c>
      <c r="F95" t="s">
        <v>162</v>
      </c>
      <c r="G95">
        <v>1500</v>
      </c>
      <c r="H95">
        <v>1501</v>
      </c>
      <c r="I95" t="s">
        <v>532</v>
      </c>
      <c r="J95">
        <v>1558</v>
      </c>
      <c r="K95">
        <v>1559</v>
      </c>
      <c r="L95" t="s">
        <v>298</v>
      </c>
      <c r="M95">
        <v>3</v>
      </c>
      <c r="N95" t="s">
        <v>9</v>
      </c>
      <c r="O95" t="s">
        <v>9</v>
      </c>
      <c r="P95" t="s">
        <v>157</v>
      </c>
      <c r="Q95" t="s">
        <v>533</v>
      </c>
      <c r="R95" t="s">
        <v>232</v>
      </c>
      <c r="S95">
        <v>2012</v>
      </c>
      <c r="T95">
        <v>6</v>
      </c>
      <c r="U95" t="s">
        <v>123</v>
      </c>
      <c r="V95" t="s">
        <v>162</v>
      </c>
      <c r="W95">
        <v>0</v>
      </c>
      <c r="X95">
        <v>0</v>
      </c>
      <c r="Y95" t="s">
        <v>162</v>
      </c>
      <c r="Z95">
        <v>2012</v>
      </c>
      <c r="AA95">
        <v>2012</v>
      </c>
      <c r="AB95" s="5">
        <v>0.12578884453399999</v>
      </c>
      <c r="AC95" s="5">
        <v>0.25157768906799999</v>
      </c>
      <c r="AD95" t="s">
        <v>162</v>
      </c>
      <c r="AE95" t="s">
        <v>163</v>
      </c>
      <c r="AF95" t="s">
        <v>162</v>
      </c>
      <c r="AG95" t="s">
        <v>162</v>
      </c>
      <c r="AH95" t="s">
        <v>162</v>
      </c>
      <c r="AI95" t="s">
        <v>162</v>
      </c>
      <c r="AJ95" t="s">
        <v>162</v>
      </c>
      <c r="AK95" t="s">
        <v>162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 s="60">
        <f t="shared" si="1"/>
        <v>1</v>
      </c>
      <c r="AU95" s="95">
        <v>43332</v>
      </c>
      <c r="AV95" t="s">
        <v>165</v>
      </c>
      <c r="AW95" t="s">
        <v>163</v>
      </c>
      <c r="AX95">
        <v>2</v>
      </c>
      <c r="AY95" t="s">
        <v>167</v>
      </c>
      <c r="AZ95" t="s">
        <v>162</v>
      </c>
    </row>
    <row r="96" spans="1:52" x14ac:dyDescent="0.25">
      <c r="A96">
        <v>85</v>
      </c>
      <c r="B96" t="s">
        <v>228</v>
      </c>
      <c r="C96" t="s">
        <v>163</v>
      </c>
      <c r="D96" t="s">
        <v>229</v>
      </c>
      <c r="E96" t="s">
        <v>216</v>
      </c>
      <c r="F96" t="s">
        <v>162</v>
      </c>
      <c r="G96">
        <v>2466</v>
      </c>
      <c r="H96">
        <v>2469</v>
      </c>
      <c r="I96" t="s">
        <v>534</v>
      </c>
      <c r="J96">
        <v>2601</v>
      </c>
      <c r="K96">
        <v>2602</v>
      </c>
      <c r="L96" t="s">
        <v>535</v>
      </c>
      <c r="M96">
        <v>3</v>
      </c>
      <c r="N96" t="s">
        <v>11</v>
      </c>
      <c r="O96" t="s">
        <v>11</v>
      </c>
      <c r="P96" t="s">
        <v>169</v>
      </c>
      <c r="Q96" t="s">
        <v>162</v>
      </c>
      <c r="R96" t="s">
        <v>177</v>
      </c>
      <c r="S96">
        <v>2011</v>
      </c>
      <c r="T96">
        <v>6</v>
      </c>
      <c r="U96" t="s">
        <v>536</v>
      </c>
      <c r="V96" t="s">
        <v>162</v>
      </c>
      <c r="W96">
        <v>0</v>
      </c>
      <c r="X96">
        <v>0</v>
      </c>
      <c r="Y96" t="s">
        <v>162</v>
      </c>
      <c r="Z96">
        <v>2011</v>
      </c>
      <c r="AA96">
        <v>0</v>
      </c>
      <c r="AB96" s="5">
        <v>0.226128646781</v>
      </c>
      <c r="AC96" s="5">
        <v>0.45225729356200001</v>
      </c>
      <c r="AD96" t="s">
        <v>154</v>
      </c>
      <c r="AE96" t="s">
        <v>163</v>
      </c>
      <c r="AF96" t="s">
        <v>154</v>
      </c>
      <c r="AG96" t="s">
        <v>154</v>
      </c>
      <c r="AH96" t="s">
        <v>162</v>
      </c>
      <c r="AI96" t="s">
        <v>162</v>
      </c>
      <c r="AJ96" t="s">
        <v>162</v>
      </c>
      <c r="AK96" t="s">
        <v>162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s="60">
        <f t="shared" si="1"/>
        <v>1</v>
      </c>
      <c r="AU96" s="95" t="s">
        <v>360</v>
      </c>
      <c r="AV96" t="s">
        <v>165</v>
      </c>
      <c r="AW96" t="s">
        <v>166</v>
      </c>
      <c r="AX96">
        <v>2</v>
      </c>
      <c r="AY96" t="s">
        <v>167</v>
      </c>
      <c r="AZ96" t="s">
        <v>162</v>
      </c>
    </row>
    <row r="97" spans="1:52" x14ac:dyDescent="0.25">
      <c r="A97">
        <v>86</v>
      </c>
      <c r="B97" t="s">
        <v>480</v>
      </c>
      <c r="C97" t="s">
        <v>163</v>
      </c>
      <c r="D97" t="s">
        <v>481</v>
      </c>
      <c r="E97" t="s">
        <v>216</v>
      </c>
      <c r="F97" t="s">
        <v>154</v>
      </c>
      <c r="G97">
        <v>3050</v>
      </c>
      <c r="H97">
        <v>3051</v>
      </c>
      <c r="I97" t="s">
        <v>537</v>
      </c>
      <c r="J97">
        <v>3546</v>
      </c>
      <c r="K97">
        <v>3555</v>
      </c>
      <c r="L97" t="s">
        <v>384</v>
      </c>
      <c r="M97">
        <v>2</v>
      </c>
      <c r="N97" t="s">
        <v>9</v>
      </c>
      <c r="O97" t="s">
        <v>9</v>
      </c>
      <c r="P97" t="s">
        <v>157</v>
      </c>
      <c r="Q97" t="s">
        <v>538</v>
      </c>
      <c r="R97" t="s">
        <v>162</v>
      </c>
      <c r="S97">
        <v>0</v>
      </c>
      <c r="T97">
        <v>0</v>
      </c>
      <c r="U97" t="s">
        <v>539</v>
      </c>
      <c r="V97" t="s">
        <v>540</v>
      </c>
      <c r="W97">
        <v>2015</v>
      </c>
      <c r="X97">
        <v>11</v>
      </c>
      <c r="Y97" t="s">
        <v>541</v>
      </c>
      <c r="Z97">
        <v>2022</v>
      </c>
      <c r="AA97">
        <v>2015</v>
      </c>
      <c r="AB97" s="5">
        <v>0.58067194714500003</v>
      </c>
      <c r="AC97" s="5">
        <v>1.1613438942900001</v>
      </c>
      <c r="AD97" t="s">
        <v>154</v>
      </c>
      <c r="AE97" t="s">
        <v>163</v>
      </c>
      <c r="AF97" t="s">
        <v>154</v>
      </c>
      <c r="AG97" t="s">
        <v>154</v>
      </c>
      <c r="AH97" t="s">
        <v>154</v>
      </c>
      <c r="AI97" t="s">
        <v>504</v>
      </c>
      <c r="AJ97" t="s">
        <v>154</v>
      </c>
      <c r="AK97" t="s">
        <v>162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s="60">
        <f t="shared" si="1"/>
        <v>1</v>
      </c>
      <c r="AU97" s="95" t="s">
        <v>426</v>
      </c>
      <c r="AV97" t="s">
        <v>165</v>
      </c>
      <c r="AW97" t="s">
        <v>154</v>
      </c>
      <c r="AX97">
        <v>2</v>
      </c>
      <c r="AY97" t="s">
        <v>167</v>
      </c>
      <c r="AZ97">
        <v>30</v>
      </c>
    </row>
    <row r="98" spans="1:52" x14ac:dyDescent="0.25">
      <c r="A98">
        <v>87</v>
      </c>
      <c r="B98" t="s">
        <v>427</v>
      </c>
      <c r="C98" t="s">
        <v>151</v>
      </c>
      <c r="D98" t="s">
        <v>428</v>
      </c>
      <c r="E98" t="s">
        <v>216</v>
      </c>
      <c r="F98" t="s">
        <v>162</v>
      </c>
      <c r="G98">
        <v>6359</v>
      </c>
      <c r="H98">
        <v>6358</v>
      </c>
      <c r="I98" t="s">
        <v>542</v>
      </c>
      <c r="J98">
        <v>5631</v>
      </c>
      <c r="K98">
        <v>5630</v>
      </c>
      <c r="L98" t="s">
        <v>543</v>
      </c>
      <c r="M98">
        <v>3</v>
      </c>
      <c r="N98" t="s">
        <v>11</v>
      </c>
      <c r="O98" t="s">
        <v>327</v>
      </c>
      <c r="P98" t="s">
        <v>157</v>
      </c>
      <c r="Q98" t="s">
        <v>162</v>
      </c>
      <c r="R98" t="s">
        <v>544</v>
      </c>
      <c r="S98">
        <v>2021</v>
      </c>
      <c r="T98">
        <v>10</v>
      </c>
      <c r="U98" t="s">
        <v>545</v>
      </c>
      <c r="V98" t="s">
        <v>162</v>
      </c>
      <c r="W98">
        <v>0</v>
      </c>
      <c r="X98">
        <v>0</v>
      </c>
      <c r="Y98" t="s">
        <v>162</v>
      </c>
      <c r="Z98">
        <v>2021</v>
      </c>
      <c r="AA98">
        <v>0</v>
      </c>
      <c r="AB98" s="5">
        <v>0.93938470483000003</v>
      </c>
      <c r="AC98" s="5">
        <v>1.8787694096600001</v>
      </c>
      <c r="AD98" t="s">
        <v>162</v>
      </c>
      <c r="AE98" t="s">
        <v>163</v>
      </c>
      <c r="AF98" t="s">
        <v>162</v>
      </c>
      <c r="AG98" t="s">
        <v>163</v>
      </c>
      <c r="AH98" t="s">
        <v>162</v>
      </c>
      <c r="AI98" t="s">
        <v>162</v>
      </c>
      <c r="AJ98" t="s">
        <v>162</v>
      </c>
      <c r="AK98" t="s">
        <v>162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 s="60">
        <f t="shared" si="1"/>
        <v>1</v>
      </c>
      <c r="AU98" s="95" t="s">
        <v>546</v>
      </c>
      <c r="AV98" s="94" t="s">
        <v>165</v>
      </c>
      <c r="AW98" t="s">
        <v>163</v>
      </c>
      <c r="AX98">
        <v>2</v>
      </c>
      <c r="AY98" t="s">
        <v>167</v>
      </c>
      <c r="AZ98" t="s">
        <v>162</v>
      </c>
    </row>
    <row r="99" spans="1:52" x14ac:dyDescent="0.25">
      <c r="A99">
        <v>88</v>
      </c>
      <c r="B99" t="s">
        <v>547</v>
      </c>
      <c r="C99" t="s">
        <v>151</v>
      </c>
      <c r="D99" t="s">
        <v>548</v>
      </c>
      <c r="E99" t="s">
        <v>549</v>
      </c>
      <c r="F99" t="s">
        <v>203</v>
      </c>
      <c r="G99">
        <v>2148</v>
      </c>
      <c r="H99">
        <v>2149</v>
      </c>
      <c r="I99" t="s">
        <v>550</v>
      </c>
      <c r="J99">
        <v>2001</v>
      </c>
      <c r="K99">
        <v>2000</v>
      </c>
      <c r="L99" t="s">
        <v>551</v>
      </c>
      <c r="M99">
        <v>4</v>
      </c>
      <c r="N99" t="s">
        <v>11</v>
      </c>
      <c r="O99" t="s">
        <v>11</v>
      </c>
      <c r="P99" t="s">
        <v>175</v>
      </c>
      <c r="Q99" t="s">
        <v>552</v>
      </c>
      <c r="R99" t="s">
        <v>289</v>
      </c>
      <c r="S99">
        <v>2009</v>
      </c>
      <c r="T99">
        <v>7</v>
      </c>
      <c r="U99" t="s">
        <v>123</v>
      </c>
      <c r="V99" t="s">
        <v>162</v>
      </c>
      <c r="W99">
        <v>0</v>
      </c>
      <c r="X99">
        <v>0</v>
      </c>
      <c r="Y99" t="s">
        <v>162</v>
      </c>
      <c r="Z99">
        <v>2009</v>
      </c>
      <c r="AA99">
        <v>2009</v>
      </c>
      <c r="AB99" s="5">
        <v>4.2474914420800002E-2</v>
      </c>
      <c r="AC99" s="5">
        <v>4.2474914420800002E-2</v>
      </c>
      <c r="AD99" t="s">
        <v>162</v>
      </c>
      <c r="AE99" t="s">
        <v>166</v>
      </c>
      <c r="AF99" t="s">
        <v>203</v>
      </c>
      <c r="AG99" t="s">
        <v>163</v>
      </c>
      <c r="AH99" t="s">
        <v>162</v>
      </c>
      <c r="AI99" t="s">
        <v>162</v>
      </c>
      <c r="AJ99" t="s">
        <v>162</v>
      </c>
      <c r="AK99" t="s">
        <v>162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 s="60">
        <f t="shared" si="1"/>
        <v>1</v>
      </c>
      <c r="AU99" s="95">
        <v>43341</v>
      </c>
      <c r="AV99" t="s">
        <v>165</v>
      </c>
      <c r="AW99" t="s">
        <v>162</v>
      </c>
      <c r="AX99">
        <v>3</v>
      </c>
      <c r="AY99" t="s">
        <v>167</v>
      </c>
      <c r="AZ99" t="s">
        <v>162</v>
      </c>
    </row>
    <row r="100" spans="1:52" x14ac:dyDescent="0.25">
      <c r="A100">
        <v>89</v>
      </c>
      <c r="B100" t="s">
        <v>553</v>
      </c>
      <c r="C100" t="s">
        <v>151</v>
      </c>
      <c r="D100" t="s">
        <v>548</v>
      </c>
      <c r="E100" t="s">
        <v>222</v>
      </c>
      <c r="F100" t="s">
        <v>203</v>
      </c>
      <c r="G100">
        <v>3145</v>
      </c>
      <c r="H100">
        <v>3146</v>
      </c>
      <c r="I100" t="s">
        <v>190</v>
      </c>
      <c r="J100">
        <v>3001</v>
      </c>
      <c r="K100">
        <v>3000</v>
      </c>
      <c r="L100" t="s">
        <v>554</v>
      </c>
      <c r="M100">
        <v>4</v>
      </c>
      <c r="N100" t="s">
        <v>11</v>
      </c>
      <c r="O100" t="s">
        <v>11</v>
      </c>
      <c r="P100" t="s">
        <v>175</v>
      </c>
      <c r="Q100" t="s">
        <v>552</v>
      </c>
      <c r="R100" t="s">
        <v>289</v>
      </c>
      <c r="S100">
        <v>2009</v>
      </c>
      <c r="T100">
        <v>7</v>
      </c>
      <c r="U100" t="s">
        <v>123</v>
      </c>
      <c r="V100" t="s">
        <v>162</v>
      </c>
      <c r="W100">
        <v>0</v>
      </c>
      <c r="X100">
        <v>0</v>
      </c>
      <c r="Y100" t="s">
        <v>162</v>
      </c>
      <c r="Z100">
        <v>2009</v>
      </c>
      <c r="AA100">
        <v>2009</v>
      </c>
      <c r="AB100" s="5">
        <v>0.25178964695200001</v>
      </c>
      <c r="AC100" s="5">
        <v>0.25178964695200001</v>
      </c>
      <c r="AD100" t="s">
        <v>162</v>
      </c>
      <c r="AE100" t="s">
        <v>166</v>
      </c>
      <c r="AF100" t="s">
        <v>203</v>
      </c>
      <c r="AG100" t="s">
        <v>163</v>
      </c>
      <c r="AH100" t="s">
        <v>162</v>
      </c>
      <c r="AI100" t="s">
        <v>162</v>
      </c>
      <c r="AJ100" t="s">
        <v>162</v>
      </c>
      <c r="AK100" t="s">
        <v>162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 s="60">
        <f t="shared" si="1"/>
        <v>1</v>
      </c>
      <c r="AU100" s="95">
        <v>43341</v>
      </c>
      <c r="AV100" s="94" t="s">
        <v>165</v>
      </c>
      <c r="AW100" t="s">
        <v>162</v>
      </c>
      <c r="AX100">
        <v>3</v>
      </c>
      <c r="AY100" t="s">
        <v>167</v>
      </c>
      <c r="AZ100" t="s">
        <v>162</v>
      </c>
    </row>
    <row r="101" spans="1:52" x14ac:dyDescent="0.25">
      <c r="A101">
        <v>90</v>
      </c>
      <c r="B101" t="s">
        <v>245</v>
      </c>
      <c r="C101" t="s">
        <v>163</v>
      </c>
      <c r="D101" t="s">
        <v>246</v>
      </c>
      <c r="E101" t="s">
        <v>216</v>
      </c>
      <c r="F101" t="s">
        <v>162</v>
      </c>
      <c r="G101">
        <v>1600</v>
      </c>
      <c r="H101">
        <v>1601</v>
      </c>
      <c r="I101" t="s">
        <v>298</v>
      </c>
      <c r="J101">
        <v>2237</v>
      </c>
      <c r="K101">
        <v>2238</v>
      </c>
      <c r="L101" t="s">
        <v>230</v>
      </c>
      <c r="M101">
        <v>3</v>
      </c>
      <c r="N101" t="s">
        <v>11</v>
      </c>
      <c r="O101" t="s">
        <v>327</v>
      </c>
      <c r="P101" t="s">
        <v>157</v>
      </c>
      <c r="Q101" t="s">
        <v>555</v>
      </c>
      <c r="R101" t="s">
        <v>556</v>
      </c>
      <c r="S101">
        <v>2020</v>
      </c>
      <c r="T101">
        <v>8</v>
      </c>
      <c r="U101" t="s">
        <v>557</v>
      </c>
      <c r="V101" t="s">
        <v>162</v>
      </c>
      <c r="W101">
        <v>0</v>
      </c>
      <c r="X101">
        <v>0</v>
      </c>
      <c r="Y101" t="s">
        <v>162</v>
      </c>
      <c r="Z101">
        <v>2020</v>
      </c>
      <c r="AA101">
        <v>2020</v>
      </c>
      <c r="AB101" s="5">
        <v>0.876007081548</v>
      </c>
      <c r="AC101" s="5">
        <v>1.7520141630999999</v>
      </c>
      <c r="AD101" t="s">
        <v>162</v>
      </c>
      <c r="AE101" t="s">
        <v>163</v>
      </c>
      <c r="AF101" t="s">
        <v>162</v>
      </c>
      <c r="AG101" t="s">
        <v>162</v>
      </c>
      <c r="AH101" t="s">
        <v>162</v>
      </c>
      <c r="AI101" t="s">
        <v>162</v>
      </c>
      <c r="AJ101" t="s">
        <v>162</v>
      </c>
      <c r="AK101" t="s">
        <v>162</v>
      </c>
      <c r="AL101">
        <v>0</v>
      </c>
      <c r="AM101">
        <v>0</v>
      </c>
      <c r="AN101">
        <v>0.75</v>
      </c>
      <c r="AO101">
        <v>0.25</v>
      </c>
      <c r="AP101">
        <v>0</v>
      </c>
      <c r="AQ101">
        <v>0</v>
      </c>
      <c r="AR101">
        <v>0</v>
      </c>
      <c r="AS101">
        <v>0</v>
      </c>
      <c r="AT101" s="60">
        <f t="shared" si="1"/>
        <v>1</v>
      </c>
      <c r="AU101" s="95" t="s">
        <v>531</v>
      </c>
      <c r="AV101" t="s">
        <v>165</v>
      </c>
      <c r="AW101" t="s">
        <v>162</v>
      </c>
      <c r="AX101">
        <v>2</v>
      </c>
      <c r="AY101" t="s">
        <v>167</v>
      </c>
      <c r="AZ101" t="s">
        <v>162</v>
      </c>
    </row>
    <row r="102" spans="1:52" x14ac:dyDescent="0.25">
      <c r="A102">
        <v>91</v>
      </c>
      <c r="B102" t="s">
        <v>558</v>
      </c>
      <c r="C102" t="s">
        <v>203</v>
      </c>
      <c r="D102" t="s">
        <v>559</v>
      </c>
      <c r="E102" t="s">
        <v>172</v>
      </c>
      <c r="F102" t="s">
        <v>162</v>
      </c>
      <c r="G102">
        <v>2700</v>
      </c>
      <c r="H102">
        <v>2701</v>
      </c>
      <c r="I102" t="s">
        <v>560</v>
      </c>
      <c r="J102">
        <v>3126</v>
      </c>
      <c r="K102">
        <v>3127</v>
      </c>
      <c r="L102" t="s">
        <v>308</v>
      </c>
      <c r="M102">
        <v>4</v>
      </c>
      <c r="N102" t="s">
        <v>11</v>
      </c>
      <c r="O102" t="s">
        <v>11</v>
      </c>
      <c r="P102" t="s">
        <v>175</v>
      </c>
      <c r="Q102" t="s">
        <v>561</v>
      </c>
      <c r="R102" t="s">
        <v>562</v>
      </c>
      <c r="S102">
        <v>2012</v>
      </c>
      <c r="T102">
        <v>5</v>
      </c>
      <c r="U102" t="s">
        <v>123</v>
      </c>
      <c r="V102" t="s">
        <v>162</v>
      </c>
      <c r="W102">
        <v>0</v>
      </c>
      <c r="X102">
        <v>0</v>
      </c>
      <c r="Y102" t="s">
        <v>162</v>
      </c>
      <c r="Z102">
        <v>2012</v>
      </c>
      <c r="AA102">
        <v>2012</v>
      </c>
      <c r="AB102" s="5">
        <v>0.56639420812600005</v>
      </c>
      <c r="AC102" s="5">
        <v>1.1327884162499999</v>
      </c>
      <c r="AD102" t="s">
        <v>162</v>
      </c>
      <c r="AE102" t="s">
        <v>163</v>
      </c>
      <c r="AF102" t="s">
        <v>162</v>
      </c>
      <c r="AG102" t="s">
        <v>162</v>
      </c>
      <c r="AH102" t="s">
        <v>162</v>
      </c>
      <c r="AI102" t="s">
        <v>162</v>
      </c>
      <c r="AJ102" t="s">
        <v>162</v>
      </c>
      <c r="AK102" t="s">
        <v>162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 s="60">
        <f t="shared" si="1"/>
        <v>1</v>
      </c>
      <c r="AU102" s="95">
        <v>43342</v>
      </c>
      <c r="AV102" s="94" t="s">
        <v>165</v>
      </c>
      <c r="AW102" t="s">
        <v>162</v>
      </c>
      <c r="AX102">
        <v>3</v>
      </c>
      <c r="AY102" t="s">
        <v>167</v>
      </c>
      <c r="AZ102" t="s">
        <v>162</v>
      </c>
    </row>
    <row r="103" spans="1:52" x14ac:dyDescent="0.25">
      <c r="A103">
        <v>92</v>
      </c>
      <c r="B103" t="s">
        <v>563</v>
      </c>
      <c r="C103" t="s">
        <v>163</v>
      </c>
      <c r="D103" t="s">
        <v>564</v>
      </c>
      <c r="E103" t="s">
        <v>216</v>
      </c>
      <c r="F103" t="s">
        <v>162</v>
      </c>
      <c r="G103">
        <v>3200</v>
      </c>
      <c r="H103">
        <v>3201</v>
      </c>
      <c r="I103" t="s">
        <v>565</v>
      </c>
      <c r="J103">
        <v>3376</v>
      </c>
      <c r="K103">
        <v>3373</v>
      </c>
      <c r="L103" t="s">
        <v>566</v>
      </c>
      <c r="M103">
        <v>4</v>
      </c>
      <c r="N103" t="s">
        <v>7</v>
      </c>
      <c r="O103" t="s">
        <v>7</v>
      </c>
      <c r="P103" t="s">
        <v>157</v>
      </c>
      <c r="Q103" t="s">
        <v>162</v>
      </c>
      <c r="R103" t="s">
        <v>567</v>
      </c>
      <c r="S103">
        <v>2021</v>
      </c>
      <c r="T103">
        <v>7</v>
      </c>
      <c r="U103" t="s">
        <v>162</v>
      </c>
      <c r="V103" t="s">
        <v>162</v>
      </c>
      <c r="W103">
        <v>0</v>
      </c>
      <c r="X103">
        <v>0</v>
      </c>
      <c r="Y103" t="s">
        <v>162</v>
      </c>
      <c r="Z103">
        <v>2021</v>
      </c>
      <c r="AA103">
        <v>2021</v>
      </c>
      <c r="AB103" s="5">
        <v>0.266019240943</v>
      </c>
      <c r="AC103" s="5">
        <v>0.532038481886</v>
      </c>
      <c r="AD103" t="s">
        <v>162</v>
      </c>
      <c r="AE103" t="s">
        <v>163</v>
      </c>
      <c r="AF103" t="s">
        <v>162</v>
      </c>
      <c r="AG103" t="s">
        <v>163</v>
      </c>
      <c r="AH103" t="s">
        <v>162</v>
      </c>
      <c r="AI103" t="s">
        <v>194</v>
      </c>
      <c r="AJ103" t="s">
        <v>154</v>
      </c>
      <c r="AK103" t="s">
        <v>162</v>
      </c>
      <c r="AL103">
        <v>2021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60">
        <f t="shared" si="1"/>
        <v>1</v>
      </c>
      <c r="AU103" s="95" t="s">
        <v>227</v>
      </c>
      <c r="AV103" t="s">
        <v>165</v>
      </c>
      <c r="AW103" t="s">
        <v>166</v>
      </c>
      <c r="AX103">
        <v>3</v>
      </c>
      <c r="AY103" t="s">
        <v>167</v>
      </c>
      <c r="AZ103">
        <v>20</v>
      </c>
    </row>
    <row r="104" spans="1:52" x14ac:dyDescent="0.25">
      <c r="A104">
        <v>93</v>
      </c>
      <c r="B104" t="s">
        <v>568</v>
      </c>
      <c r="C104" t="s">
        <v>180</v>
      </c>
      <c r="D104" t="s">
        <v>569</v>
      </c>
      <c r="E104" t="s">
        <v>216</v>
      </c>
      <c r="F104" t="s">
        <v>162</v>
      </c>
      <c r="G104">
        <v>2295</v>
      </c>
      <c r="H104">
        <v>2284</v>
      </c>
      <c r="I104" t="s">
        <v>570</v>
      </c>
      <c r="J104">
        <v>2201</v>
      </c>
      <c r="K104">
        <v>2200</v>
      </c>
      <c r="L104" t="s">
        <v>248</v>
      </c>
      <c r="M104">
        <v>3</v>
      </c>
      <c r="N104" t="s">
        <v>11</v>
      </c>
      <c r="O104" t="s">
        <v>11</v>
      </c>
      <c r="P104" t="s">
        <v>175</v>
      </c>
      <c r="Q104" t="s">
        <v>162</v>
      </c>
      <c r="R104" t="s">
        <v>249</v>
      </c>
      <c r="S104">
        <v>2007</v>
      </c>
      <c r="T104">
        <v>7</v>
      </c>
      <c r="U104" t="s">
        <v>208</v>
      </c>
      <c r="V104" t="s">
        <v>455</v>
      </c>
      <c r="W104">
        <v>2020</v>
      </c>
      <c r="X104">
        <v>2020</v>
      </c>
      <c r="Y104" t="s">
        <v>123</v>
      </c>
      <c r="Z104">
        <v>2020</v>
      </c>
      <c r="AA104">
        <v>2020</v>
      </c>
      <c r="AB104" s="5">
        <v>0.22560978557700001</v>
      </c>
      <c r="AC104" s="5">
        <v>0.45121957115400002</v>
      </c>
      <c r="AD104" t="s">
        <v>162</v>
      </c>
      <c r="AE104" t="s">
        <v>163</v>
      </c>
      <c r="AF104" t="s">
        <v>162</v>
      </c>
      <c r="AG104" t="s">
        <v>162</v>
      </c>
      <c r="AH104" t="s">
        <v>162</v>
      </c>
      <c r="AI104" t="s">
        <v>162</v>
      </c>
      <c r="AJ104" t="s">
        <v>162</v>
      </c>
      <c r="AK104" t="s">
        <v>166</v>
      </c>
      <c r="AL104">
        <v>2018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 s="60">
        <f t="shared" si="1"/>
        <v>1</v>
      </c>
      <c r="AU104" s="95" t="s">
        <v>187</v>
      </c>
      <c r="AV104" s="94" t="s">
        <v>165</v>
      </c>
      <c r="AW104" t="s">
        <v>162</v>
      </c>
      <c r="AX104">
        <v>2</v>
      </c>
      <c r="AY104" t="s">
        <v>167</v>
      </c>
      <c r="AZ104" t="s">
        <v>162</v>
      </c>
    </row>
    <row r="105" spans="1:52" x14ac:dyDescent="0.25">
      <c r="A105">
        <v>94</v>
      </c>
      <c r="B105" t="s">
        <v>233</v>
      </c>
      <c r="C105" t="s">
        <v>163</v>
      </c>
      <c r="D105" t="s">
        <v>234</v>
      </c>
      <c r="E105" t="s">
        <v>172</v>
      </c>
      <c r="F105" t="s">
        <v>162</v>
      </c>
      <c r="G105">
        <v>3300</v>
      </c>
      <c r="H105">
        <v>3301</v>
      </c>
      <c r="I105" t="s">
        <v>571</v>
      </c>
      <c r="J105">
        <v>3600</v>
      </c>
      <c r="K105">
        <v>3601</v>
      </c>
      <c r="L105" t="s">
        <v>331</v>
      </c>
      <c r="M105">
        <v>2</v>
      </c>
      <c r="N105" t="s">
        <v>11</v>
      </c>
      <c r="O105" t="s">
        <v>11</v>
      </c>
      <c r="P105" t="s">
        <v>169</v>
      </c>
      <c r="Q105" t="s">
        <v>162</v>
      </c>
      <c r="R105" t="s">
        <v>572</v>
      </c>
      <c r="S105">
        <v>2004</v>
      </c>
      <c r="T105">
        <v>7</v>
      </c>
      <c r="U105" t="s">
        <v>162</v>
      </c>
      <c r="V105" t="s">
        <v>243</v>
      </c>
      <c r="W105">
        <v>2020</v>
      </c>
      <c r="X105">
        <v>0</v>
      </c>
      <c r="Y105" t="s">
        <v>162</v>
      </c>
      <c r="Z105">
        <v>2020</v>
      </c>
      <c r="AA105">
        <v>2012</v>
      </c>
      <c r="AB105" s="5">
        <v>0.38106022271700002</v>
      </c>
      <c r="AC105" s="5">
        <v>0.76212044543400004</v>
      </c>
      <c r="AD105" t="s">
        <v>162</v>
      </c>
      <c r="AE105" t="s">
        <v>163</v>
      </c>
      <c r="AF105" t="s">
        <v>162</v>
      </c>
      <c r="AG105" t="s">
        <v>162</v>
      </c>
      <c r="AH105" t="s">
        <v>162</v>
      </c>
      <c r="AI105" t="s">
        <v>162</v>
      </c>
      <c r="AJ105" t="s">
        <v>162</v>
      </c>
      <c r="AK105" t="s">
        <v>162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60">
        <f t="shared" si="1"/>
        <v>1</v>
      </c>
      <c r="AU105" s="95" t="s">
        <v>244</v>
      </c>
      <c r="AV105" s="94" t="s">
        <v>165</v>
      </c>
      <c r="AW105" t="s">
        <v>162</v>
      </c>
      <c r="AX105">
        <v>2</v>
      </c>
      <c r="AY105" t="s">
        <v>167</v>
      </c>
      <c r="AZ105" t="s">
        <v>162</v>
      </c>
    </row>
    <row r="106" spans="1:52" x14ac:dyDescent="0.25">
      <c r="A106">
        <v>95</v>
      </c>
      <c r="B106" t="s">
        <v>573</v>
      </c>
      <c r="C106" t="s">
        <v>151</v>
      </c>
      <c r="D106" t="s">
        <v>574</v>
      </c>
      <c r="E106" t="s">
        <v>153</v>
      </c>
      <c r="F106" t="s">
        <v>162</v>
      </c>
      <c r="G106">
        <v>1559</v>
      </c>
      <c r="H106">
        <v>1558</v>
      </c>
      <c r="I106" t="s">
        <v>575</v>
      </c>
      <c r="J106">
        <v>801</v>
      </c>
      <c r="K106">
        <v>800</v>
      </c>
      <c r="L106" t="s">
        <v>576</v>
      </c>
      <c r="M106">
        <v>2</v>
      </c>
      <c r="N106" t="s">
        <v>11</v>
      </c>
      <c r="O106" t="s">
        <v>11</v>
      </c>
      <c r="P106" t="s">
        <v>169</v>
      </c>
      <c r="Q106" t="s">
        <v>162</v>
      </c>
      <c r="R106" t="s">
        <v>577</v>
      </c>
      <c r="S106">
        <v>2008</v>
      </c>
      <c r="T106">
        <v>8</v>
      </c>
      <c r="U106" t="s">
        <v>162</v>
      </c>
      <c r="V106" t="s">
        <v>161</v>
      </c>
      <c r="W106">
        <v>2020</v>
      </c>
      <c r="X106">
        <v>0</v>
      </c>
      <c r="Y106" t="s">
        <v>162</v>
      </c>
      <c r="Z106">
        <v>2020</v>
      </c>
      <c r="AA106">
        <v>2013</v>
      </c>
      <c r="AB106" s="5">
        <v>1.0044075971499999</v>
      </c>
      <c r="AC106" s="5">
        <v>2.0088151942999999</v>
      </c>
      <c r="AD106" t="s">
        <v>162</v>
      </c>
      <c r="AE106" t="s">
        <v>163</v>
      </c>
      <c r="AF106" t="s">
        <v>162</v>
      </c>
      <c r="AG106" t="s">
        <v>162</v>
      </c>
      <c r="AH106" t="s">
        <v>162</v>
      </c>
      <c r="AI106" t="s">
        <v>162</v>
      </c>
      <c r="AJ106" t="s">
        <v>162</v>
      </c>
      <c r="AK106" t="s">
        <v>162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s="60">
        <f t="shared" si="1"/>
        <v>1</v>
      </c>
      <c r="AU106" s="95" t="s">
        <v>187</v>
      </c>
      <c r="AV106" t="s">
        <v>165</v>
      </c>
      <c r="AW106" t="s">
        <v>162</v>
      </c>
      <c r="AX106">
        <v>2</v>
      </c>
      <c r="AY106" t="s">
        <v>167</v>
      </c>
      <c r="AZ106" t="s">
        <v>162</v>
      </c>
    </row>
    <row r="107" spans="1:52" x14ac:dyDescent="0.25">
      <c r="A107">
        <v>96</v>
      </c>
      <c r="B107" t="s">
        <v>295</v>
      </c>
      <c r="C107" t="s">
        <v>163</v>
      </c>
      <c r="D107" t="s">
        <v>296</v>
      </c>
      <c r="E107" t="s">
        <v>172</v>
      </c>
      <c r="F107" t="s">
        <v>162</v>
      </c>
      <c r="G107">
        <v>2500</v>
      </c>
      <c r="H107">
        <v>2501</v>
      </c>
      <c r="I107" t="s">
        <v>578</v>
      </c>
      <c r="J107">
        <v>2742</v>
      </c>
      <c r="K107">
        <v>2739</v>
      </c>
      <c r="L107" t="s">
        <v>239</v>
      </c>
      <c r="M107">
        <v>3</v>
      </c>
      <c r="N107" t="s">
        <v>11</v>
      </c>
      <c r="O107" t="s">
        <v>11</v>
      </c>
      <c r="P107" t="s">
        <v>175</v>
      </c>
      <c r="Q107" t="s">
        <v>162</v>
      </c>
      <c r="R107" t="s">
        <v>383</v>
      </c>
      <c r="S107">
        <v>2006</v>
      </c>
      <c r="T107">
        <v>6</v>
      </c>
      <c r="U107" t="s">
        <v>579</v>
      </c>
      <c r="V107" t="s">
        <v>238</v>
      </c>
      <c r="W107">
        <v>2018</v>
      </c>
      <c r="X107">
        <v>11</v>
      </c>
      <c r="Y107" t="s">
        <v>580</v>
      </c>
      <c r="Z107">
        <v>2018</v>
      </c>
      <c r="AA107">
        <v>2018</v>
      </c>
      <c r="AB107" s="5">
        <v>0.38418241702700001</v>
      </c>
      <c r="AC107" s="5">
        <v>0.76836483405400002</v>
      </c>
      <c r="AD107" t="s">
        <v>162</v>
      </c>
      <c r="AE107" t="s">
        <v>163</v>
      </c>
      <c r="AF107" t="s">
        <v>162</v>
      </c>
      <c r="AG107" t="s">
        <v>162</v>
      </c>
      <c r="AH107" t="s">
        <v>162</v>
      </c>
      <c r="AI107" t="s">
        <v>162</v>
      </c>
      <c r="AJ107" t="s">
        <v>162</v>
      </c>
      <c r="AK107" t="s">
        <v>162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60">
        <f t="shared" si="1"/>
        <v>1</v>
      </c>
      <c r="AU107" s="95">
        <v>43336</v>
      </c>
      <c r="AV107" s="94" t="s">
        <v>165</v>
      </c>
      <c r="AW107" t="s">
        <v>162</v>
      </c>
      <c r="AX107">
        <v>2</v>
      </c>
      <c r="AY107" t="s">
        <v>167</v>
      </c>
      <c r="AZ107" t="s">
        <v>162</v>
      </c>
    </row>
    <row r="108" spans="1:52" x14ac:dyDescent="0.25">
      <c r="A108">
        <v>97</v>
      </c>
      <c r="B108" t="s">
        <v>581</v>
      </c>
      <c r="C108" t="s">
        <v>151</v>
      </c>
      <c r="D108" t="s">
        <v>582</v>
      </c>
      <c r="E108" t="s">
        <v>172</v>
      </c>
      <c r="F108" t="s">
        <v>203</v>
      </c>
      <c r="G108">
        <v>130</v>
      </c>
      <c r="H108">
        <v>131</v>
      </c>
      <c r="I108" t="s">
        <v>583</v>
      </c>
      <c r="J108">
        <v>46</v>
      </c>
      <c r="K108">
        <v>45</v>
      </c>
      <c r="L108" t="s">
        <v>323</v>
      </c>
      <c r="M108">
        <v>4</v>
      </c>
      <c r="N108" t="s">
        <v>11</v>
      </c>
      <c r="O108" t="s">
        <v>11</v>
      </c>
      <c r="P108" t="s">
        <v>169</v>
      </c>
      <c r="Q108" t="s">
        <v>162</v>
      </c>
      <c r="R108" t="s">
        <v>304</v>
      </c>
      <c r="S108">
        <v>2010</v>
      </c>
      <c r="T108">
        <v>11</v>
      </c>
      <c r="U108" t="s">
        <v>208</v>
      </c>
      <c r="V108" t="s">
        <v>243</v>
      </c>
      <c r="W108">
        <v>2020</v>
      </c>
      <c r="X108">
        <v>0</v>
      </c>
      <c r="Y108" t="s">
        <v>162</v>
      </c>
      <c r="Z108">
        <v>2020</v>
      </c>
      <c r="AA108">
        <v>0</v>
      </c>
      <c r="AB108" s="5">
        <v>0.151168290485</v>
      </c>
      <c r="AC108" s="5">
        <v>0.151168290485</v>
      </c>
      <c r="AD108" t="s">
        <v>162</v>
      </c>
      <c r="AE108" t="s">
        <v>166</v>
      </c>
      <c r="AF108" t="s">
        <v>203</v>
      </c>
      <c r="AG108" t="s">
        <v>163</v>
      </c>
      <c r="AH108" t="s">
        <v>162</v>
      </c>
      <c r="AI108" t="s">
        <v>162</v>
      </c>
      <c r="AJ108" t="s">
        <v>162</v>
      </c>
      <c r="AK108" t="s">
        <v>162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 s="60">
        <f t="shared" si="1"/>
        <v>1</v>
      </c>
      <c r="AU108" s="95" t="s">
        <v>244</v>
      </c>
      <c r="AV108" s="94" t="s">
        <v>165</v>
      </c>
      <c r="AW108" t="s">
        <v>162</v>
      </c>
      <c r="AX108">
        <v>2</v>
      </c>
      <c r="AY108" t="s">
        <v>167</v>
      </c>
      <c r="AZ108" t="s">
        <v>162</v>
      </c>
    </row>
    <row r="109" spans="1:52" x14ac:dyDescent="0.25">
      <c r="A109">
        <v>98</v>
      </c>
      <c r="B109" t="s">
        <v>315</v>
      </c>
      <c r="C109" t="s">
        <v>163</v>
      </c>
      <c r="D109" t="s">
        <v>316</v>
      </c>
      <c r="E109" t="s">
        <v>216</v>
      </c>
      <c r="F109" t="s">
        <v>162</v>
      </c>
      <c r="G109">
        <v>2400</v>
      </c>
      <c r="H109">
        <v>2401</v>
      </c>
      <c r="I109" t="s">
        <v>378</v>
      </c>
      <c r="J109">
        <v>2200</v>
      </c>
      <c r="K109">
        <v>2201</v>
      </c>
      <c r="L109" t="s">
        <v>326</v>
      </c>
      <c r="M109">
        <v>3</v>
      </c>
      <c r="N109" t="s">
        <v>11</v>
      </c>
      <c r="O109" t="s">
        <v>327</v>
      </c>
      <c r="P109" t="s">
        <v>175</v>
      </c>
      <c r="Q109" t="s">
        <v>162</v>
      </c>
      <c r="R109" t="s">
        <v>479</v>
      </c>
      <c r="S109">
        <v>2005</v>
      </c>
      <c r="T109">
        <v>7</v>
      </c>
      <c r="U109" t="s">
        <v>584</v>
      </c>
      <c r="V109" t="s">
        <v>329</v>
      </c>
      <c r="W109">
        <v>2017</v>
      </c>
      <c r="X109">
        <v>9</v>
      </c>
      <c r="Y109" t="s">
        <v>162</v>
      </c>
      <c r="Z109">
        <v>2017</v>
      </c>
      <c r="AA109">
        <v>2005</v>
      </c>
      <c r="AB109" s="5">
        <v>0.33866208017999999</v>
      </c>
      <c r="AC109" s="5">
        <v>0.67732416035999998</v>
      </c>
      <c r="AD109" t="s">
        <v>162</v>
      </c>
      <c r="AE109" t="s">
        <v>163</v>
      </c>
      <c r="AF109" t="s">
        <v>162</v>
      </c>
      <c r="AG109" t="s">
        <v>162</v>
      </c>
      <c r="AH109" t="s">
        <v>162</v>
      </c>
      <c r="AI109" t="s">
        <v>162</v>
      </c>
      <c r="AJ109" t="s">
        <v>162</v>
      </c>
      <c r="AK109" t="s">
        <v>162</v>
      </c>
      <c r="AL109">
        <v>0</v>
      </c>
      <c r="AM109">
        <v>0</v>
      </c>
      <c r="AN109">
        <v>0.9</v>
      </c>
      <c r="AO109">
        <v>0.1</v>
      </c>
      <c r="AP109">
        <v>0</v>
      </c>
      <c r="AQ109">
        <v>0</v>
      </c>
      <c r="AR109">
        <v>0</v>
      </c>
      <c r="AS109">
        <v>0</v>
      </c>
      <c r="AT109" s="60">
        <f t="shared" si="1"/>
        <v>1</v>
      </c>
      <c r="AU109" s="95" t="s">
        <v>585</v>
      </c>
      <c r="AV109" s="94" t="s">
        <v>165</v>
      </c>
      <c r="AW109" t="s">
        <v>162</v>
      </c>
      <c r="AX109">
        <v>2</v>
      </c>
      <c r="AY109" t="s">
        <v>167</v>
      </c>
      <c r="AZ109">
        <v>20</v>
      </c>
    </row>
    <row r="110" spans="1:52" x14ac:dyDescent="0.25">
      <c r="A110">
        <v>99</v>
      </c>
      <c r="B110" t="s">
        <v>233</v>
      </c>
      <c r="C110" t="s">
        <v>180</v>
      </c>
      <c r="D110" t="s">
        <v>234</v>
      </c>
      <c r="E110" t="s">
        <v>172</v>
      </c>
      <c r="F110" t="s">
        <v>162</v>
      </c>
      <c r="G110">
        <v>339</v>
      </c>
      <c r="H110">
        <v>340</v>
      </c>
      <c r="I110" t="s">
        <v>198</v>
      </c>
      <c r="J110">
        <v>101</v>
      </c>
      <c r="K110">
        <v>100</v>
      </c>
      <c r="L110" t="s">
        <v>393</v>
      </c>
      <c r="M110">
        <v>2</v>
      </c>
      <c r="N110" t="s">
        <v>15</v>
      </c>
      <c r="O110" t="s">
        <v>15</v>
      </c>
      <c r="P110" t="s">
        <v>169</v>
      </c>
      <c r="Q110" t="s">
        <v>162</v>
      </c>
      <c r="R110" t="s">
        <v>249</v>
      </c>
      <c r="S110">
        <v>2007</v>
      </c>
      <c r="T110">
        <v>5</v>
      </c>
      <c r="U110" t="s">
        <v>162</v>
      </c>
      <c r="V110" t="s">
        <v>320</v>
      </c>
      <c r="W110">
        <v>2015</v>
      </c>
      <c r="X110">
        <v>4</v>
      </c>
      <c r="Y110" t="s">
        <v>123</v>
      </c>
      <c r="Z110">
        <v>2015</v>
      </c>
      <c r="AA110">
        <v>2015</v>
      </c>
      <c r="AB110" s="5">
        <v>0.26380765021899999</v>
      </c>
      <c r="AC110" s="5">
        <v>0.52761530043799998</v>
      </c>
      <c r="AD110" t="s">
        <v>162</v>
      </c>
      <c r="AE110" t="s">
        <v>163</v>
      </c>
      <c r="AF110" t="s">
        <v>162</v>
      </c>
      <c r="AG110" t="s">
        <v>162</v>
      </c>
      <c r="AH110" t="s">
        <v>162</v>
      </c>
      <c r="AI110" t="s">
        <v>162</v>
      </c>
      <c r="AJ110" t="s">
        <v>162</v>
      </c>
      <c r="AK110" t="s">
        <v>162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 s="60">
        <f t="shared" si="1"/>
        <v>1</v>
      </c>
      <c r="AU110" s="95">
        <v>43333</v>
      </c>
      <c r="AV110" s="94" t="s">
        <v>165</v>
      </c>
      <c r="AW110" t="s">
        <v>162</v>
      </c>
      <c r="AX110">
        <v>2</v>
      </c>
      <c r="AY110" t="s">
        <v>167</v>
      </c>
      <c r="AZ110" t="s">
        <v>162</v>
      </c>
    </row>
    <row r="111" spans="1:52" x14ac:dyDescent="0.25">
      <c r="A111">
        <v>100</v>
      </c>
      <c r="B111" t="s">
        <v>586</v>
      </c>
      <c r="C111" t="s">
        <v>163</v>
      </c>
      <c r="D111" t="s">
        <v>587</v>
      </c>
      <c r="E111" t="s">
        <v>216</v>
      </c>
      <c r="F111" t="s">
        <v>180</v>
      </c>
      <c r="G111">
        <v>4800</v>
      </c>
      <c r="H111">
        <v>4801</v>
      </c>
      <c r="I111" t="s">
        <v>588</v>
      </c>
      <c r="J111">
        <v>4854</v>
      </c>
      <c r="K111">
        <v>4855</v>
      </c>
      <c r="L111" t="s">
        <v>589</v>
      </c>
      <c r="M111">
        <v>4</v>
      </c>
      <c r="N111" t="s">
        <v>15</v>
      </c>
      <c r="O111" t="s">
        <v>15</v>
      </c>
      <c r="P111" t="s">
        <v>175</v>
      </c>
      <c r="Q111" t="s">
        <v>590</v>
      </c>
      <c r="R111" t="s">
        <v>591</v>
      </c>
      <c r="S111">
        <v>2006</v>
      </c>
      <c r="T111">
        <v>5</v>
      </c>
      <c r="U111" t="s">
        <v>162</v>
      </c>
      <c r="V111" t="s">
        <v>162</v>
      </c>
      <c r="W111">
        <v>0</v>
      </c>
      <c r="X111">
        <v>0</v>
      </c>
      <c r="Y111" t="s">
        <v>162</v>
      </c>
      <c r="Z111">
        <v>2006</v>
      </c>
      <c r="AA111">
        <v>0</v>
      </c>
      <c r="AB111" s="5">
        <v>0.13700875070499999</v>
      </c>
      <c r="AC111" s="5">
        <v>0.13700875070499999</v>
      </c>
      <c r="AD111" t="s">
        <v>162</v>
      </c>
      <c r="AE111" t="s">
        <v>166</v>
      </c>
      <c r="AF111" t="s">
        <v>180</v>
      </c>
      <c r="AG111" t="s">
        <v>163</v>
      </c>
      <c r="AH111" t="s">
        <v>162</v>
      </c>
      <c r="AI111" t="s">
        <v>162</v>
      </c>
      <c r="AJ111" t="s">
        <v>162</v>
      </c>
      <c r="AK111" t="s">
        <v>162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60">
        <f t="shared" si="1"/>
        <v>1</v>
      </c>
      <c r="AU111" s="95">
        <v>43342</v>
      </c>
      <c r="AV111" s="94" t="s">
        <v>165</v>
      </c>
      <c r="AW111" t="s">
        <v>162</v>
      </c>
      <c r="AX111">
        <v>3</v>
      </c>
      <c r="AY111" t="s">
        <v>275</v>
      </c>
      <c r="AZ111" t="s">
        <v>162</v>
      </c>
    </row>
    <row r="112" spans="1:52" x14ac:dyDescent="0.25">
      <c r="A112">
        <v>101</v>
      </c>
      <c r="B112" t="s">
        <v>464</v>
      </c>
      <c r="C112" t="s">
        <v>151</v>
      </c>
      <c r="D112" t="s">
        <v>465</v>
      </c>
      <c r="E112" t="s">
        <v>216</v>
      </c>
      <c r="F112" t="s">
        <v>203</v>
      </c>
      <c r="G112">
        <v>1031</v>
      </c>
      <c r="H112">
        <v>1030</v>
      </c>
      <c r="I112" t="s">
        <v>467</v>
      </c>
      <c r="J112">
        <v>1000</v>
      </c>
      <c r="K112">
        <v>1001</v>
      </c>
      <c r="L112" t="s">
        <v>273</v>
      </c>
      <c r="M112">
        <v>4</v>
      </c>
      <c r="N112" t="s">
        <v>13</v>
      </c>
      <c r="O112" t="s">
        <v>15</v>
      </c>
      <c r="P112" t="s">
        <v>169</v>
      </c>
      <c r="Q112" t="s">
        <v>162</v>
      </c>
      <c r="R112" t="s">
        <v>439</v>
      </c>
      <c r="S112">
        <v>2017</v>
      </c>
      <c r="T112">
        <v>9</v>
      </c>
      <c r="U112" t="s">
        <v>468</v>
      </c>
      <c r="V112" t="s">
        <v>162</v>
      </c>
      <c r="W112">
        <v>0</v>
      </c>
      <c r="X112">
        <v>0</v>
      </c>
      <c r="Y112" t="s">
        <v>592</v>
      </c>
      <c r="Z112">
        <v>2017</v>
      </c>
      <c r="AA112">
        <v>2011</v>
      </c>
      <c r="AB112" s="5">
        <v>7.3502191648099999E-2</v>
      </c>
      <c r="AC112" s="5">
        <v>0.14700438329599999</v>
      </c>
      <c r="AD112" t="s">
        <v>162</v>
      </c>
      <c r="AE112" t="s">
        <v>163</v>
      </c>
      <c r="AF112" t="s">
        <v>162</v>
      </c>
      <c r="AG112" t="s">
        <v>166</v>
      </c>
      <c r="AH112" t="s">
        <v>162</v>
      </c>
      <c r="AI112" t="s">
        <v>162</v>
      </c>
      <c r="AJ112" t="s">
        <v>162</v>
      </c>
      <c r="AK112" t="s">
        <v>162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60">
        <f t="shared" si="1"/>
        <v>1</v>
      </c>
      <c r="AU112" s="95">
        <v>43340</v>
      </c>
      <c r="AV112" s="94" t="s">
        <v>165</v>
      </c>
      <c r="AW112" t="s">
        <v>162</v>
      </c>
      <c r="AX112">
        <v>3</v>
      </c>
      <c r="AY112" t="s">
        <v>275</v>
      </c>
      <c r="AZ112" t="s">
        <v>162</v>
      </c>
    </row>
    <row r="113" spans="1:52" x14ac:dyDescent="0.25">
      <c r="A113">
        <v>102</v>
      </c>
      <c r="B113" t="s">
        <v>593</v>
      </c>
      <c r="C113" t="s">
        <v>203</v>
      </c>
      <c r="D113" t="s">
        <v>594</v>
      </c>
      <c r="E113" t="s">
        <v>182</v>
      </c>
      <c r="F113" t="s">
        <v>154</v>
      </c>
      <c r="G113">
        <v>440</v>
      </c>
      <c r="H113">
        <v>441</v>
      </c>
      <c r="I113" t="s">
        <v>397</v>
      </c>
      <c r="J113">
        <v>558</v>
      </c>
      <c r="K113">
        <v>559</v>
      </c>
      <c r="L113" t="s">
        <v>353</v>
      </c>
      <c r="M113">
        <v>3</v>
      </c>
      <c r="N113" t="s">
        <v>7</v>
      </c>
      <c r="O113" t="s">
        <v>7</v>
      </c>
      <c r="P113" t="s">
        <v>157</v>
      </c>
      <c r="Q113" t="s">
        <v>162</v>
      </c>
      <c r="R113" t="s">
        <v>354</v>
      </c>
      <c r="S113">
        <v>2022</v>
      </c>
      <c r="T113">
        <v>7</v>
      </c>
      <c r="U113" t="s">
        <v>162</v>
      </c>
      <c r="V113" t="s">
        <v>162</v>
      </c>
      <c r="W113">
        <v>0</v>
      </c>
      <c r="X113">
        <v>0</v>
      </c>
      <c r="Y113" t="s">
        <v>162</v>
      </c>
      <c r="Z113">
        <v>2022</v>
      </c>
      <c r="AA113">
        <v>2022</v>
      </c>
      <c r="AB113" s="5">
        <v>0.27371829920899998</v>
      </c>
      <c r="AC113" s="5">
        <v>0.54743659841900005</v>
      </c>
      <c r="AD113" t="s">
        <v>154</v>
      </c>
      <c r="AE113" t="s">
        <v>154</v>
      </c>
      <c r="AF113" t="s">
        <v>154</v>
      </c>
      <c r="AG113" t="s">
        <v>154</v>
      </c>
      <c r="AH113" t="s">
        <v>154</v>
      </c>
      <c r="AI113" t="s">
        <v>226</v>
      </c>
      <c r="AJ113" t="s">
        <v>154</v>
      </c>
      <c r="AK113" t="s">
        <v>154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s="60">
        <f t="shared" si="1"/>
        <v>1</v>
      </c>
      <c r="AU113" s="95" t="s">
        <v>355</v>
      </c>
      <c r="AV113" t="s">
        <v>165</v>
      </c>
      <c r="AW113" t="s">
        <v>166</v>
      </c>
      <c r="AX113">
        <v>2</v>
      </c>
      <c r="AY113" t="s">
        <v>167</v>
      </c>
      <c r="AZ113">
        <v>30</v>
      </c>
    </row>
    <row r="114" spans="1:52" x14ac:dyDescent="0.25">
      <c r="A114">
        <v>103</v>
      </c>
      <c r="B114" t="s">
        <v>595</v>
      </c>
      <c r="C114" t="s">
        <v>203</v>
      </c>
      <c r="D114" t="s">
        <v>596</v>
      </c>
      <c r="E114" t="s">
        <v>182</v>
      </c>
      <c r="F114" t="s">
        <v>154</v>
      </c>
      <c r="G114">
        <v>600</v>
      </c>
      <c r="H114">
        <v>601</v>
      </c>
      <c r="I114" t="s">
        <v>597</v>
      </c>
      <c r="J114">
        <v>730</v>
      </c>
      <c r="K114">
        <v>731</v>
      </c>
      <c r="L114" t="s">
        <v>598</v>
      </c>
      <c r="M114">
        <v>3</v>
      </c>
      <c r="N114" t="s">
        <v>7</v>
      </c>
      <c r="O114" t="s">
        <v>7</v>
      </c>
      <c r="P114" t="s">
        <v>157</v>
      </c>
      <c r="Q114" t="s">
        <v>162</v>
      </c>
      <c r="R114" t="s">
        <v>354</v>
      </c>
      <c r="S114">
        <v>2022</v>
      </c>
      <c r="T114">
        <v>7</v>
      </c>
      <c r="U114" t="s">
        <v>162</v>
      </c>
      <c r="V114" t="s">
        <v>162</v>
      </c>
      <c r="W114">
        <v>0</v>
      </c>
      <c r="X114">
        <v>0</v>
      </c>
      <c r="Y114" t="s">
        <v>162</v>
      </c>
      <c r="Z114">
        <v>2022</v>
      </c>
      <c r="AA114">
        <v>2022</v>
      </c>
      <c r="AB114" s="5">
        <v>0.178889641893</v>
      </c>
      <c r="AC114" s="5">
        <v>0.35777928378700002</v>
      </c>
      <c r="AD114" t="s">
        <v>154</v>
      </c>
      <c r="AE114" t="s">
        <v>154</v>
      </c>
      <c r="AF114" t="s">
        <v>154</v>
      </c>
      <c r="AG114" t="s">
        <v>154</v>
      </c>
      <c r="AH114" t="s">
        <v>154</v>
      </c>
      <c r="AI114" t="s">
        <v>226</v>
      </c>
      <c r="AJ114" t="s">
        <v>154</v>
      </c>
      <c r="AK114" t="s">
        <v>154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s="60">
        <f t="shared" si="1"/>
        <v>1</v>
      </c>
      <c r="AU114" s="95" t="s">
        <v>355</v>
      </c>
      <c r="AV114" t="s">
        <v>165</v>
      </c>
      <c r="AW114" t="s">
        <v>166</v>
      </c>
      <c r="AX114">
        <v>2</v>
      </c>
      <c r="AY114" t="s">
        <v>167</v>
      </c>
      <c r="AZ114">
        <v>30</v>
      </c>
    </row>
    <row r="115" spans="1:52" x14ac:dyDescent="0.25">
      <c r="A115">
        <v>104</v>
      </c>
      <c r="B115" t="s">
        <v>599</v>
      </c>
      <c r="C115" t="s">
        <v>151</v>
      </c>
      <c r="D115" t="s">
        <v>600</v>
      </c>
      <c r="E115" t="s">
        <v>216</v>
      </c>
      <c r="F115" t="s">
        <v>162</v>
      </c>
      <c r="G115">
        <v>1901</v>
      </c>
      <c r="H115">
        <v>1900</v>
      </c>
      <c r="I115" t="s">
        <v>191</v>
      </c>
      <c r="J115">
        <v>1971</v>
      </c>
      <c r="K115">
        <v>1970</v>
      </c>
      <c r="L115" t="s">
        <v>601</v>
      </c>
      <c r="M115">
        <v>4</v>
      </c>
      <c r="N115" t="s">
        <v>11</v>
      </c>
      <c r="O115" t="s">
        <v>11</v>
      </c>
      <c r="P115" t="s">
        <v>175</v>
      </c>
      <c r="Q115" t="s">
        <v>162</v>
      </c>
      <c r="R115" t="s">
        <v>304</v>
      </c>
      <c r="S115">
        <v>2007</v>
      </c>
      <c r="T115">
        <v>10</v>
      </c>
      <c r="U115" t="s">
        <v>162</v>
      </c>
      <c r="V115" t="s">
        <v>452</v>
      </c>
      <c r="W115">
        <v>2014</v>
      </c>
      <c r="X115">
        <v>10</v>
      </c>
      <c r="Y115" t="s">
        <v>123</v>
      </c>
      <c r="Z115">
        <v>2014</v>
      </c>
      <c r="AA115">
        <v>2014</v>
      </c>
      <c r="AB115" s="5">
        <v>0.14642486199499999</v>
      </c>
      <c r="AC115" s="5">
        <v>0.29284972398999998</v>
      </c>
      <c r="AD115" t="s">
        <v>162</v>
      </c>
      <c r="AE115" t="s">
        <v>163</v>
      </c>
      <c r="AF115" t="s">
        <v>162</v>
      </c>
      <c r="AG115" t="s">
        <v>162</v>
      </c>
      <c r="AH115" t="s">
        <v>162</v>
      </c>
      <c r="AI115" t="s">
        <v>162</v>
      </c>
      <c r="AJ115" t="s">
        <v>162</v>
      </c>
      <c r="AK115" t="s">
        <v>162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60">
        <f t="shared" si="1"/>
        <v>1</v>
      </c>
      <c r="AU115" s="95">
        <v>43342</v>
      </c>
      <c r="AV115" s="94" t="s">
        <v>165</v>
      </c>
      <c r="AW115" t="s">
        <v>162</v>
      </c>
      <c r="AX115">
        <v>2</v>
      </c>
      <c r="AY115" t="s">
        <v>167</v>
      </c>
      <c r="AZ115" t="s">
        <v>162</v>
      </c>
    </row>
    <row r="116" spans="1:52" x14ac:dyDescent="0.25">
      <c r="A116">
        <v>105</v>
      </c>
      <c r="B116" t="s">
        <v>453</v>
      </c>
      <c r="C116" t="s">
        <v>163</v>
      </c>
      <c r="D116" t="s">
        <v>454</v>
      </c>
      <c r="E116" t="s">
        <v>216</v>
      </c>
      <c r="F116" t="s">
        <v>162</v>
      </c>
      <c r="G116">
        <v>5524</v>
      </c>
      <c r="H116">
        <v>5517</v>
      </c>
      <c r="I116" t="s">
        <v>602</v>
      </c>
      <c r="J116">
        <v>5600</v>
      </c>
      <c r="K116">
        <v>5601</v>
      </c>
      <c r="L116" t="s">
        <v>603</v>
      </c>
      <c r="M116">
        <v>4</v>
      </c>
      <c r="N116" t="s">
        <v>11</v>
      </c>
      <c r="O116" t="s">
        <v>11</v>
      </c>
      <c r="P116" t="s">
        <v>175</v>
      </c>
      <c r="Q116" t="s">
        <v>162</v>
      </c>
      <c r="R116" t="s">
        <v>304</v>
      </c>
      <c r="S116">
        <v>2007</v>
      </c>
      <c r="T116">
        <v>10</v>
      </c>
      <c r="U116" t="s">
        <v>162</v>
      </c>
      <c r="V116" t="s">
        <v>452</v>
      </c>
      <c r="W116">
        <v>2014</v>
      </c>
      <c r="X116">
        <v>10</v>
      </c>
      <c r="Y116" t="s">
        <v>604</v>
      </c>
      <c r="Z116">
        <v>2014</v>
      </c>
      <c r="AA116">
        <v>0</v>
      </c>
      <c r="AB116" s="5">
        <v>8.9455253140700006E-2</v>
      </c>
      <c r="AC116" s="5">
        <v>0.178910506281</v>
      </c>
      <c r="AD116" t="s">
        <v>162</v>
      </c>
      <c r="AE116" t="s">
        <v>163</v>
      </c>
      <c r="AF116" t="s">
        <v>162</v>
      </c>
      <c r="AG116" t="s">
        <v>162</v>
      </c>
      <c r="AH116" t="s">
        <v>162</v>
      </c>
      <c r="AI116" t="s">
        <v>162</v>
      </c>
      <c r="AJ116" t="s">
        <v>162</v>
      </c>
      <c r="AK116" t="s">
        <v>162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60">
        <f t="shared" si="1"/>
        <v>1</v>
      </c>
      <c r="AU116" s="95">
        <v>43340</v>
      </c>
      <c r="AV116" t="s">
        <v>165</v>
      </c>
      <c r="AW116" t="s">
        <v>162</v>
      </c>
      <c r="AX116">
        <v>2</v>
      </c>
      <c r="AY116" t="s">
        <v>167</v>
      </c>
      <c r="AZ116" t="s">
        <v>162</v>
      </c>
    </row>
    <row r="117" spans="1:52" x14ac:dyDescent="0.25">
      <c r="A117">
        <v>106</v>
      </c>
      <c r="B117" t="s">
        <v>170</v>
      </c>
      <c r="C117" t="s">
        <v>151</v>
      </c>
      <c r="D117" t="s">
        <v>171</v>
      </c>
      <c r="E117" t="s">
        <v>172</v>
      </c>
      <c r="F117" t="s">
        <v>162</v>
      </c>
      <c r="G117">
        <v>449</v>
      </c>
      <c r="H117">
        <v>448</v>
      </c>
      <c r="I117" t="s">
        <v>570</v>
      </c>
      <c r="J117">
        <v>123</v>
      </c>
      <c r="K117">
        <v>122</v>
      </c>
      <c r="L117" t="s">
        <v>605</v>
      </c>
      <c r="M117">
        <v>3</v>
      </c>
      <c r="N117" t="s">
        <v>7</v>
      </c>
      <c r="O117" t="s">
        <v>7</v>
      </c>
      <c r="P117" t="s">
        <v>175</v>
      </c>
      <c r="Q117" t="s">
        <v>606</v>
      </c>
      <c r="R117" t="s">
        <v>607</v>
      </c>
      <c r="S117">
        <v>2011</v>
      </c>
      <c r="T117">
        <v>11</v>
      </c>
      <c r="U117" t="s">
        <v>608</v>
      </c>
      <c r="V117" t="s">
        <v>162</v>
      </c>
      <c r="W117">
        <v>0</v>
      </c>
      <c r="X117">
        <v>0</v>
      </c>
      <c r="Y117" t="s">
        <v>162</v>
      </c>
      <c r="Z117">
        <v>2011</v>
      </c>
      <c r="AA117">
        <v>0</v>
      </c>
      <c r="AB117" s="5">
        <v>0.44949399634999998</v>
      </c>
      <c r="AC117" s="5">
        <v>0.89898799269999996</v>
      </c>
      <c r="AD117" t="s">
        <v>162</v>
      </c>
      <c r="AE117" t="s">
        <v>163</v>
      </c>
      <c r="AF117" t="s">
        <v>154</v>
      </c>
      <c r="AG117" t="s">
        <v>154</v>
      </c>
      <c r="AH117" t="s">
        <v>163</v>
      </c>
      <c r="AI117" t="s">
        <v>226</v>
      </c>
      <c r="AJ117" t="s">
        <v>154</v>
      </c>
      <c r="AK117" t="s">
        <v>162</v>
      </c>
      <c r="AL117">
        <v>0</v>
      </c>
      <c r="AM117">
        <v>0</v>
      </c>
      <c r="AN117">
        <v>0</v>
      </c>
      <c r="AO117">
        <v>0</v>
      </c>
      <c r="AP117">
        <v>0.5</v>
      </c>
      <c r="AQ117">
        <v>0</v>
      </c>
      <c r="AR117">
        <v>0</v>
      </c>
      <c r="AS117">
        <v>0.5</v>
      </c>
      <c r="AT117" s="60">
        <f t="shared" si="1"/>
        <v>1</v>
      </c>
      <c r="AU117" s="95" t="s">
        <v>360</v>
      </c>
      <c r="AV117" s="94" t="s">
        <v>165</v>
      </c>
      <c r="AW117" t="s">
        <v>166</v>
      </c>
      <c r="AX117">
        <v>1</v>
      </c>
      <c r="AY117" t="s">
        <v>167</v>
      </c>
      <c r="AZ117" t="s">
        <v>162</v>
      </c>
    </row>
    <row r="118" spans="1:52" x14ac:dyDescent="0.25">
      <c r="A118">
        <v>107</v>
      </c>
      <c r="B118" t="s">
        <v>290</v>
      </c>
      <c r="C118" t="s">
        <v>163</v>
      </c>
      <c r="D118" t="s">
        <v>291</v>
      </c>
      <c r="E118" t="s">
        <v>172</v>
      </c>
      <c r="F118" t="s">
        <v>180</v>
      </c>
      <c r="G118">
        <v>2</v>
      </c>
      <c r="H118">
        <v>1</v>
      </c>
      <c r="I118" t="s">
        <v>293</v>
      </c>
      <c r="J118">
        <v>184</v>
      </c>
      <c r="K118">
        <v>185</v>
      </c>
      <c r="L118" t="s">
        <v>387</v>
      </c>
      <c r="M118">
        <v>4</v>
      </c>
      <c r="N118" t="s">
        <v>7</v>
      </c>
      <c r="O118" t="s">
        <v>7</v>
      </c>
      <c r="P118" t="s">
        <v>175</v>
      </c>
      <c r="Q118" t="s">
        <v>294</v>
      </c>
      <c r="R118" t="s">
        <v>201</v>
      </c>
      <c r="S118">
        <v>2012</v>
      </c>
      <c r="T118">
        <v>11</v>
      </c>
      <c r="U118" t="s">
        <v>208</v>
      </c>
      <c r="V118" t="s">
        <v>162</v>
      </c>
      <c r="W118">
        <v>0</v>
      </c>
      <c r="X118">
        <v>0</v>
      </c>
      <c r="Y118" t="s">
        <v>162</v>
      </c>
      <c r="Z118">
        <v>2012</v>
      </c>
      <c r="AA118">
        <v>0</v>
      </c>
      <c r="AB118" s="5">
        <v>0.267608393996</v>
      </c>
      <c r="AC118" s="5">
        <v>0.267608393996</v>
      </c>
      <c r="AD118" t="s">
        <v>162</v>
      </c>
      <c r="AE118" t="s">
        <v>166</v>
      </c>
      <c r="AF118" t="s">
        <v>180</v>
      </c>
      <c r="AG118" t="s">
        <v>163</v>
      </c>
      <c r="AH118" t="s">
        <v>163</v>
      </c>
      <c r="AI118" t="s">
        <v>226</v>
      </c>
      <c r="AJ118" t="s">
        <v>154</v>
      </c>
      <c r="AK118" t="s">
        <v>154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s="60">
        <f t="shared" si="1"/>
        <v>1</v>
      </c>
      <c r="AU118" s="95" t="s">
        <v>213</v>
      </c>
      <c r="AV118" s="94" t="s">
        <v>165</v>
      </c>
      <c r="AW118" t="s">
        <v>166</v>
      </c>
      <c r="AX118">
        <v>1</v>
      </c>
      <c r="AY118" t="s">
        <v>167</v>
      </c>
      <c r="AZ118" t="s">
        <v>162</v>
      </c>
    </row>
    <row r="119" spans="1:52" x14ac:dyDescent="0.25">
      <c r="A119">
        <v>108</v>
      </c>
      <c r="B119" t="s">
        <v>609</v>
      </c>
      <c r="C119" t="s">
        <v>151</v>
      </c>
      <c r="D119" t="s">
        <v>610</v>
      </c>
      <c r="E119" t="s">
        <v>216</v>
      </c>
      <c r="F119" t="s">
        <v>162</v>
      </c>
      <c r="G119">
        <v>1601</v>
      </c>
      <c r="H119">
        <v>1600</v>
      </c>
      <c r="I119" t="s">
        <v>478</v>
      </c>
      <c r="J119">
        <v>1201</v>
      </c>
      <c r="K119">
        <v>1200</v>
      </c>
      <c r="L119" t="s">
        <v>273</v>
      </c>
      <c r="M119">
        <v>2</v>
      </c>
      <c r="N119" t="s">
        <v>11</v>
      </c>
      <c r="O119" t="s">
        <v>11</v>
      </c>
      <c r="P119" t="s">
        <v>175</v>
      </c>
      <c r="Q119" t="s">
        <v>162</v>
      </c>
      <c r="R119" t="s">
        <v>177</v>
      </c>
      <c r="S119">
        <v>2011</v>
      </c>
      <c r="T119">
        <v>6</v>
      </c>
      <c r="U119" t="s">
        <v>162</v>
      </c>
      <c r="V119" t="s">
        <v>611</v>
      </c>
      <c r="W119">
        <v>2016</v>
      </c>
      <c r="X119">
        <v>10</v>
      </c>
      <c r="Y119" t="s">
        <v>162</v>
      </c>
      <c r="Z119">
        <v>2016</v>
      </c>
      <c r="AA119">
        <v>0</v>
      </c>
      <c r="AB119" s="5">
        <v>0.51724496087399996</v>
      </c>
      <c r="AC119" s="5">
        <v>1.0344899217500001</v>
      </c>
      <c r="AD119" t="s">
        <v>162</v>
      </c>
      <c r="AE119" t="s">
        <v>163</v>
      </c>
      <c r="AF119" t="s">
        <v>162</v>
      </c>
      <c r="AG119" t="s">
        <v>162</v>
      </c>
      <c r="AH119" t="s">
        <v>162</v>
      </c>
      <c r="AI119" t="s">
        <v>162</v>
      </c>
      <c r="AJ119" t="s">
        <v>162</v>
      </c>
      <c r="AK119" t="s">
        <v>162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 s="60">
        <f t="shared" si="1"/>
        <v>1</v>
      </c>
      <c r="AU119" s="95">
        <v>43342</v>
      </c>
      <c r="AV119" t="s">
        <v>165</v>
      </c>
      <c r="AW119" t="s">
        <v>162</v>
      </c>
      <c r="AX119">
        <v>2</v>
      </c>
      <c r="AY119" t="s">
        <v>167</v>
      </c>
      <c r="AZ119" t="s">
        <v>162</v>
      </c>
    </row>
    <row r="120" spans="1:52" x14ac:dyDescent="0.25">
      <c r="A120">
        <v>109</v>
      </c>
      <c r="B120" t="s">
        <v>612</v>
      </c>
      <c r="C120" t="s">
        <v>163</v>
      </c>
      <c r="D120" t="s">
        <v>613</v>
      </c>
      <c r="E120" t="s">
        <v>216</v>
      </c>
      <c r="F120" t="s">
        <v>162</v>
      </c>
      <c r="G120">
        <v>7433</v>
      </c>
      <c r="H120">
        <v>7434</v>
      </c>
      <c r="I120" t="s">
        <v>614</v>
      </c>
      <c r="J120">
        <v>7476</v>
      </c>
      <c r="K120">
        <v>7477</v>
      </c>
      <c r="L120" t="s">
        <v>615</v>
      </c>
      <c r="M120">
        <v>4</v>
      </c>
      <c r="N120" t="s">
        <v>15</v>
      </c>
      <c r="O120" t="s">
        <v>15</v>
      </c>
      <c r="P120" t="s">
        <v>175</v>
      </c>
      <c r="Q120" t="s">
        <v>616</v>
      </c>
      <c r="R120" t="s">
        <v>304</v>
      </c>
      <c r="S120">
        <v>2011</v>
      </c>
      <c r="T120">
        <v>9</v>
      </c>
      <c r="U120" t="s">
        <v>162</v>
      </c>
      <c r="V120" t="s">
        <v>162</v>
      </c>
      <c r="W120">
        <v>0</v>
      </c>
      <c r="X120">
        <v>0</v>
      </c>
      <c r="Y120" t="s">
        <v>162</v>
      </c>
      <c r="Z120">
        <v>2011</v>
      </c>
      <c r="AA120">
        <v>0</v>
      </c>
      <c r="AB120" s="5">
        <v>8.9908380328699994E-2</v>
      </c>
      <c r="AC120" s="5">
        <v>0.179816760657</v>
      </c>
      <c r="AD120" t="s">
        <v>162</v>
      </c>
      <c r="AE120" t="s">
        <v>163</v>
      </c>
      <c r="AF120" t="s">
        <v>162</v>
      </c>
      <c r="AG120" t="s">
        <v>162</v>
      </c>
      <c r="AH120" t="s">
        <v>162</v>
      </c>
      <c r="AI120" t="s">
        <v>162</v>
      </c>
      <c r="AJ120" t="s">
        <v>162</v>
      </c>
      <c r="AK120" t="s">
        <v>162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60">
        <f t="shared" si="1"/>
        <v>1</v>
      </c>
      <c r="AU120" s="95">
        <v>43342</v>
      </c>
      <c r="AV120" s="94" t="s">
        <v>165</v>
      </c>
      <c r="AW120" t="s">
        <v>162</v>
      </c>
      <c r="AX120">
        <v>2</v>
      </c>
      <c r="AY120" t="s">
        <v>167</v>
      </c>
      <c r="AZ120" t="s">
        <v>162</v>
      </c>
    </row>
    <row r="121" spans="1:52" x14ac:dyDescent="0.25">
      <c r="A121">
        <v>110</v>
      </c>
      <c r="B121" t="s">
        <v>617</v>
      </c>
      <c r="C121" t="s">
        <v>203</v>
      </c>
      <c r="D121" t="s">
        <v>204</v>
      </c>
      <c r="E121" t="s">
        <v>172</v>
      </c>
      <c r="F121" t="s">
        <v>162</v>
      </c>
      <c r="G121">
        <v>1600</v>
      </c>
      <c r="H121">
        <v>1601</v>
      </c>
      <c r="I121" t="s">
        <v>618</v>
      </c>
      <c r="J121">
        <v>1666</v>
      </c>
      <c r="K121">
        <v>1667</v>
      </c>
      <c r="L121" t="s">
        <v>619</v>
      </c>
      <c r="M121">
        <v>2</v>
      </c>
      <c r="N121" t="s">
        <v>15</v>
      </c>
      <c r="O121" t="s">
        <v>15</v>
      </c>
      <c r="P121" t="s">
        <v>175</v>
      </c>
      <c r="Q121" t="s">
        <v>162</v>
      </c>
      <c r="R121" t="s">
        <v>249</v>
      </c>
      <c r="S121">
        <v>2007</v>
      </c>
      <c r="T121">
        <v>5</v>
      </c>
      <c r="U121" t="s">
        <v>162</v>
      </c>
      <c r="V121" t="s">
        <v>209</v>
      </c>
      <c r="W121">
        <v>2017</v>
      </c>
      <c r="X121">
        <v>6</v>
      </c>
      <c r="Y121" t="s">
        <v>162</v>
      </c>
      <c r="Z121">
        <v>2017</v>
      </c>
      <c r="AA121">
        <v>0</v>
      </c>
      <c r="AB121" s="5">
        <v>0.185855556979</v>
      </c>
      <c r="AC121" s="5">
        <v>0.37171111395799999</v>
      </c>
      <c r="AD121" t="s">
        <v>162</v>
      </c>
      <c r="AE121" t="s">
        <v>163</v>
      </c>
      <c r="AF121" t="s">
        <v>162</v>
      </c>
      <c r="AG121" t="s">
        <v>162</v>
      </c>
      <c r="AH121" t="s">
        <v>162</v>
      </c>
      <c r="AI121" t="s">
        <v>162</v>
      </c>
      <c r="AJ121" t="s">
        <v>162</v>
      </c>
      <c r="AK121" t="s">
        <v>162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 s="60">
        <f t="shared" si="1"/>
        <v>1</v>
      </c>
      <c r="AU121" s="95">
        <v>43342</v>
      </c>
      <c r="AV121" s="94" t="s">
        <v>165</v>
      </c>
      <c r="AW121" t="s">
        <v>162</v>
      </c>
      <c r="AX121">
        <v>2</v>
      </c>
      <c r="AY121" t="s">
        <v>167</v>
      </c>
      <c r="AZ121" t="s">
        <v>162</v>
      </c>
    </row>
    <row r="122" spans="1:52" x14ac:dyDescent="0.25">
      <c r="A122">
        <v>111</v>
      </c>
      <c r="B122" t="s">
        <v>617</v>
      </c>
      <c r="C122" t="s">
        <v>203</v>
      </c>
      <c r="D122" t="s">
        <v>204</v>
      </c>
      <c r="E122" t="s">
        <v>172</v>
      </c>
      <c r="F122" t="s">
        <v>162</v>
      </c>
      <c r="G122">
        <v>800</v>
      </c>
      <c r="H122">
        <v>801</v>
      </c>
      <c r="I122" t="s">
        <v>252</v>
      </c>
      <c r="J122">
        <v>1390</v>
      </c>
      <c r="K122">
        <v>1391</v>
      </c>
      <c r="L122" t="s">
        <v>206</v>
      </c>
      <c r="M122">
        <v>2</v>
      </c>
      <c r="N122" t="s">
        <v>7</v>
      </c>
      <c r="O122" t="s">
        <v>7</v>
      </c>
      <c r="P122" t="s">
        <v>157</v>
      </c>
      <c r="Q122" t="s">
        <v>162</v>
      </c>
      <c r="R122" t="s">
        <v>210</v>
      </c>
      <c r="S122">
        <v>2019</v>
      </c>
      <c r="T122">
        <v>5</v>
      </c>
      <c r="U122" t="s">
        <v>211</v>
      </c>
      <c r="V122" t="s">
        <v>162</v>
      </c>
      <c r="W122">
        <v>2019</v>
      </c>
      <c r="X122">
        <v>0</v>
      </c>
      <c r="Y122" t="s">
        <v>162</v>
      </c>
      <c r="Z122">
        <v>2019</v>
      </c>
      <c r="AA122">
        <v>2019</v>
      </c>
      <c r="AB122" s="5">
        <v>0.76620199199700001</v>
      </c>
      <c r="AC122" s="5">
        <v>1.5324039839900001</v>
      </c>
      <c r="AD122" t="s">
        <v>162</v>
      </c>
      <c r="AE122" t="s">
        <v>163</v>
      </c>
      <c r="AF122" t="s">
        <v>162</v>
      </c>
      <c r="AG122" t="s">
        <v>162</v>
      </c>
      <c r="AH122" t="s">
        <v>162</v>
      </c>
      <c r="AI122" t="s">
        <v>194</v>
      </c>
      <c r="AJ122" t="s">
        <v>154</v>
      </c>
      <c r="AK122" t="s">
        <v>162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 s="60">
        <f t="shared" si="1"/>
        <v>1</v>
      </c>
      <c r="AU122" s="95" t="s">
        <v>213</v>
      </c>
      <c r="AV122" s="94" t="s">
        <v>165</v>
      </c>
      <c r="AW122" t="s">
        <v>166</v>
      </c>
      <c r="AX122">
        <v>1</v>
      </c>
      <c r="AY122" t="s">
        <v>167</v>
      </c>
      <c r="AZ122" t="s">
        <v>162</v>
      </c>
    </row>
    <row r="123" spans="1:52" x14ac:dyDescent="0.25">
      <c r="A123">
        <v>112</v>
      </c>
      <c r="B123" t="s">
        <v>179</v>
      </c>
      <c r="C123" t="s">
        <v>180</v>
      </c>
      <c r="D123" t="s">
        <v>181</v>
      </c>
      <c r="E123" t="s">
        <v>182</v>
      </c>
      <c r="F123" t="s">
        <v>162</v>
      </c>
      <c r="G123">
        <v>9137</v>
      </c>
      <c r="H123">
        <v>9138</v>
      </c>
      <c r="I123" t="s">
        <v>620</v>
      </c>
      <c r="J123">
        <v>8701</v>
      </c>
      <c r="K123">
        <v>8700</v>
      </c>
      <c r="L123" t="s">
        <v>621</v>
      </c>
      <c r="M123">
        <v>2</v>
      </c>
      <c r="N123" t="s">
        <v>11</v>
      </c>
      <c r="O123" t="s">
        <v>11</v>
      </c>
      <c r="P123" t="s">
        <v>175</v>
      </c>
      <c r="Q123" t="s">
        <v>185</v>
      </c>
      <c r="R123" t="s">
        <v>186</v>
      </c>
      <c r="S123">
        <v>2013</v>
      </c>
      <c r="T123">
        <v>10</v>
      </c>
      <c r="U123" t="s">
        <v>123</v>
      </c>
      <c r="V123" t="s">
        <v>162</v>
      </c>
      <c r="W123">
        <v>0</v>
      </c>
      <c r="X123">
        <v>0</v>
      </c>
      <c r="Y123" t="s">
        <v>162</v>
      </c>
      <c r="Z123">
        <v>2013</v>
      </c>
      <c r="AA123">
        <v>2013</v>
      </c>
      <c r="AB123" s="5">
        <v>0.670522750123</v>
      </c>
      <c r="AC123" s="5">
        <v>1.3410455002499999</v>
      </c>
      <c r="AD123" t="s">
        <v>162</v>
      </c>
      <c r="AE123" t="s">
        <v>163</v>
      </c>
      <c r="AF123" t="s">
        <v>162</v>
      </c>
      <c r="AG123" t="s">
        <v>162</v>
      </c>
      <c r="AH123" t="s">
        <v>162</v>
      </c>
      <c r="AI123" t="s">
        <v>162</v>
      </c>
      <c r="AJ123" t="s">
        <v>162</v>
      </c>
      <c r="AK123" t="s">
        <v>162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 s="60">
        <f t="shared" si="1"/>
        <v>1</v>
      </c>
      <c r="AU123" s="95">
        <v>43328</v>
      </c>
      <c r="AV123" t="s">
        <v>165</v>
      </c>
      <c r="AW123" t="s">
        <v>162</v>
      </c>
      <c r="AX123">
        <v>2</v>
      </c>
      <c r="AY123" t="s">
        <v>167</v>
      </c>
      <c r="AZ123" t="s">
        <v>162</v>
      </c>
    </row>
    <row r="124" spans="1:52" x14ac:dyDescent="0.25">
      <c r="A124">
        <v>113</v>
      </c>
      <c r="B124" t="s">
        <v>622</v>
      </c>
      <c r="C124" t="s">
        <v>180</v>
      </c>
      <c r="D124" t="s">
        <v>623</v>
      </c>
      <c r="E124" t="s">
        <v>222</v>
      </c>
      <c r="F124" t="s">
        <v>163</v>
      </c>
      <c r="G124">
        <v>5059</v>
      </c>
      <c r="H124">
        <v>5060</v>
      </c>
      <c r="I124" t="s">
        <v>624</v>
      </c>
      <c r="J124">
        <v>3941</v>
      </c>
      <c r="K124">
        <v>3940</v>
      </c>
      <c r="L124" t="s">
        <v>625</v>
      </c>
      <c r="M124">
        <v>3</v>
      </c>
      <c r="N124" t="s">
        <v>9</v>
      </c>
      <c r="O124" t="s">
        <v>9</v>
      </c>
      <c r="P124" t="s">
        <v>157</v>
      </c>
      <c r="Q124" t="s">
        <v>162</v>
      </c>
      <c r="R124" t="s">
        <v>359</v>
      </c>
      <c r="S124">
        <v>2018</v>
      </c>
      <c r="T124">
        <v>10</v>
      </c>
      <c r="U124" t="s">
        <v>162</v>
      </c>
      <c r="V124" t="s">
        <v>162</v>
      </c>
      <c r="W124">
        <v>0</v>
      </c>
      <c r="X124">
        <v>0</v>
      </c>
      <c r="Y124" t="s">
        <v>626</v>
      </c>
      <c r="Z124">
        <v>2018</v>
      </c>
      <c r="AA124">
        <v>0</v>
      </c>
      <c r="AB124" s="5">
        <v>1.4402750230900001</v>
      </c>
      <c r="AC124" s="5">
        <v>2.8805500461800002</v>
      </c>
      <c r="AD124" t="s">
        <v>162</v>
      </c>
      <c r="AE124" t="s">
        <v>163</v>
      </c>
      <c r="AF124" t="s">
        <v>162</v>
      </c>
      <c r="AG124" t="s">
        <v>162</v>
      </c>
      <c r="AH124" t="s">
        <v>162</v>
      </c>
      <c r="AI124" t="s">
        <v>162</v>
      </c>
      <c r="AJ124" t="s">
        <v>162</v>
      </c>
      <c r="AK124" t="s">
        <v>162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 s="60">
        <f t="shared" si="1"/>
        <v>1</v>
      </c>
      <c r="AU124" s="95" t="s">
        <v>187</v>
      </c>
      <c r="AV124" s="94" t="s">
        <v>165</v>
      </c>
      <c r="AW124" t="s">
        <v>166</v>
      </c>
      <c r="AX124">
        <v>2</v>
      </c>
      <c r="AY124" t="s">
        <v>167</v>
      </c>
      <c r="AZ124" t="s">
        <v>162</v>
      </c>
    </row>
    <row r="125" spans="1:52" x14ac:dyDescent="0.25">
      <c r="A125">
        <v>114</v>
      </c>
      <c r="B125" t="s">
        <v>170</v>
      </c>
      <c r="C125" t="s">
        <v>151</v>
      </c>
      <c r="D125" t="s">
        <v>171</v>
      </c>
      <c r="E125" t="s">
        <v>172</v>
      </c>
      <c r="F125" t="s">
        <v>162</v>
      </c>
      <c r="G125">
        <v>800</v>
      </c>
      <c r="H125">
        <v>801</v>
      </c>
      <c r="I125" t="s">
        <v>576</v>
      </c>
      <c r="J125">
        <v>601</v>
      </c>
      <c r="K125">
        <v>600</v>
      </c>
      <c r="L125" t="s">
        <v>627</v>
      </c>
      <c r="M125">
        <v>3</v>
      </c>
      <c r="N125" t="s">
        <v>11</v>
      </c>
      <c r="O125" t="s">
        <v>11</v>
      </c>
      <c r="P125" t="s">
        <v>175</v>
      </c>
      <c r="Q125" t="s">
        <v>162</v>
      </c>
      <c r="R125" t="s">
        <v>249</v>
      </c>
      <c r="S125">
        <v>2007</v>
      </c>
      <c r="T125">
        <v>7</v>
      </c>
      <c r="U125" t="s">
        <v>162</v>
      </c>
      <c r="V125" t="s">
        <v>628</v>
      </c>
      <c r="W125">
        <v>2021</v>
      </c>
      <c r="X125">
        <v>7</v>
      </c>
      <c r="Y125" t="s">
        <v>162</v>
      </c>
      <c r="Z125">
        <v>2021</v>
      </c>
      <c r="AA125">
        <v>2021</v>
      </c>
      <c r="AB125" s="5">
        <v>0.24618624795800001</v>
      </c>
      <c r="AC125" s="5">
        <v>0.49237249591600002</v>
      </c>
      <c r="AD125" t="s">
        <v>154</v>
      </c>
      <c r="AE125" t="s">
        <v>163</v>
      </c>
      <c r="AF125" t="s">
        <v>154</v>
      </c>
      <c r="AG125" t="s">
        <v>154</v>
      </c>
      <c r="AH125" t="s">
        <v>154</v>
      </c>
      <c r="AI125" t="s">
        <v>154</v>
      </c>
      <c r="AJ125" t="s">
        <v>154</v>
      </c>
      <c r="AK125" t="s">
        <v>154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 s="60">
        <f t="shared" si="1"/>
        <v>1</v>
      </c>
      <c r="AU125" s="95" t="s">
        <v>530</v>
      </c>
      <c r="AV125" s="94" t="s">
        <v>165</v>
      </c>
      <c r="AW125" t="s">
        <v>162</v>
      </c>
      <c r="AX125">
        <v>2</v>
      </c>
      <c r="AY125" t="s">
        <v>167</v>
      </c>
      <c r="AZ125" t="s">
        <v>162</v>
      </c>
    </row>
    <row r="126" spans="1:52" x14ac:dyDescent="0.25">
      <c r="A126">
        <v>115</v>
      </c>
      <c r="B126" t="s">
        <v>629</v>
      </c>
      <c r="C126" t="s">
        <v>151</v>
      </c>
      <c r="D126" t="s">
        <v>630</v>
      </c>
      <c r="E126" t="s">
        <v>222</v>
      </c>
      <c r="F126" t="s">
        <v>162</v>
      </c>
      <c r="G126">
        <v>3425</v>
      </c>
      <c r="H126">
        <v>3426</v>
      </c>
      <c r="I126" t="s">
        <v>631</v>
      </c>
      <c r="J126">
        <v>3301</v>
      </c>
      <c r="K126">
        <v>3300</v>
      </c>
      <c r="L126" t="s">
        <v>632</v>
      </c>
      <c r="M126">
        <v>4</v>
      </c>
      <c r="N126" t="s">
        <v>9</v>
      </c>
      <c r="O126" t="s">
        <v>9</v>
      </c>
      <c r="P126" t="s">
        <v>157</v>
      </c>
      <c r="Q126" t="s">
        <v>633</v>
      </c>
      <c r="R126" t="s">
        <v>320</v>
      </c>
      <c r="S126">
        <v>2014</v>
      </c>
      <c r="T126">
        <v>11</v>
      </c>
      <c r="U126" t="s">
        <v>123</v>
      </c>
      <c r="V126" t="s">
        <v>162</v>
      </c>
      <c r="W126">
        <v>0</v>
      </c>
      <c r="X126">
        <v>0</v>
      </c>
      <c r="Y126" t="s">
        <v>162</v>
      </c>
      <c r="Z126">
        <v>2014</v>
      </c>
      <c r="AA126">
        <v>2014</v>
      </c>
      <c r="AB126" s="5">
        <v>0.20429704132199999</v>
      </c>
      <c r="AC126" s="5">
        <v>0.40859408264399999</v>
      </c>
      <c r="AD126" t="s">
        <v>162</v>
      </c>
      <c r="AE126" t="s">
        <v>163</v>
      </c>
      <c r="AF126" t="s">
        <v>162</v>
      </c>
      <c r="AG126" t="s">
        <v>162</v>
      </c>
      <c r="AH126" t="s">
        <v>162</v>
      </c>
      <c r="AI126" t="s">
        <v>162</v>
      </c>
      <c r="AJ126" t="s">
        <v>162</v>
      </c>
      <c r="AK126" t="s">
        <v>162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 s="60">
        <f t="shared" si="1"/>
        <v>1</v>
      </c>
      <c r="AU126" s="95">
        <v>43342</v>
      </c>
      <c r="AV126" s="94" t="s">
        <v>165</v>
      </c>
      <c r="AW126" t="s">
        <v>634</v>
      </c>
      <c r="AX126">
        <v>2</v>
      </c>
      <c r="AY126" t="s">
        <v>167</v>
      </c>
      <c r="AZ126" t="s">
        <v>162</v>
      </c>
    </row>
    <row r="127" spans="1:52" x14ac:dyDescent="0.25">
      <c r="A127">
        <v>116</v>
      </c>
      <c r="B127" t="s">
        <v>635</v>
      </c>
      <c r="C127" t="s">
        <v>203</v>
      </c>
      <c r="D127" t="s">
        <v>636</v>
      </c>
      <c r="E127" t="s">
        <v>172</v>
      </c>
      <c r="F127" t="s">
        <v>151</v>
      </c>
      <c r="G127">
        <v>300</v>
      </c>
      <c r="H127">
        <v>301</v>
      </c>
      <c r="I127" t="s">
        <v>637</v>
      </c>
      <c r="J127">
        <v>399</v>
      </c>
      <c r="K127">
        <v>400</v>
      </c>
      <c r="L127" t="s">
        <v>638</v>
      </c>
      <c r="M127">
        <v>4</v>
      </c>
      <c r="N127" t="s">
        <v>11</v>
      </c>
      <c r="O127" t="s">
        <v>11</v>
      </c>
      <c r="P127" t="s">
        <v>175</v>
      </c>
      <c r="Q127" t="s">
        <v>162</v>
      </c>
      <c r="R127" t="s">
        <v>253</v>
      </c>
      <c r="S127">
        <v>2003</v>
      </c>
      <c r="T127">
        <v>7</v>
      </c>
      <c r="U127" t="s">
        <v>162</v>
      </c>
      <c r="V127" t="s">
        <v>404</v>
      </c>
      <c r="W127">
        <v>2017</v>
      </c>
      <c r="X127">
        <v>8</v>
      </c>
      <c r="Y127" t="s">
        <v>162</v>
      </c>
      <c r="Z127">
        <v>2017</v>
      </c>
      <c r="AA127">
        <v>2015</v>
      </c>
      <c r="AB127" s="5">
        <v>0.17174701334299999</v>
      </c>
      <c r="AC127" s="5">
        <v>0.17174701334299999</v>
      </c>
      <c r="AD127" t="s">
        <v>162</v>
      </c>
      <c r="AE127" t="s">
        <v>166</v>
      </c>
      <c r="AF127" t="s">
        <v>151</v>
      </c>
      <c r="AG127" t="s">
        <v>163</v>
      </c>
      <c r="AH127" t="s">
        <v>162</v>
      </c>
      <c r="AI127" t="s">
        <v>162</v>
      </c>
      <c r="AJ127" t="s">
        <v>162</v>
      </c>
      <c r="AK127" t="s">
        <v>162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 s="60">
        <f t="shared" si="1"/>
        <v>1</v>
      </c>
      <c r="AU127" s="95">
        <v>43342</v>
      </c>
      <c r="AV127" s="94" t="s">
        <v>165</v>
      </c>
      <c r="AW127" t="s">
        <v>162</v>
      </c>
      <c r="AX127">
        <v>2</v>
      </c>
      <c r="AY127" t="s">
        <v>167</v>
      </c>
      <c r="AZ127" t="s">
        <v>162</v>
      </c>
    </row>
    <row r="128" spans="1:52" x14ac:dyDescent="0.25">
      <c r="A128">
        <v>117</v>
      </c>
      <c r="B128" t="s">
        <v>573</v>
      </c>
      <c r="C128" t="s">
        <v>203</v>
      </c>
      <c r="D128" t="s">
        <v>574</v>
      </c>
      <c r="E128" t="s">
        <v>153</v>
      </c>
      <c r="F128" t="s">
        <v>162</v>
      </c>
      <c r="G128">
        <v>2</v>
      </c>
      <c r="H128">
        <v>1</v>
      </c>
      <c r="I128" t="s">
        <v>639</v>
      </c>
      <c r="J128">
        <v>34</v>
      </c>
      <c r="K128">
        <v>33</v>
      </c>
      <c r="L128" t="s">
        <v>640</v>
      </c>
      <c r="M128">
        <v>2</v>
      </c>
      <c r="N128" t="s">
        <v>11</v>
      </c>
      <c r="O128" t="s">
        <v>11</v>
      </c>
      <c r="P128" t="s">
        <v>175</v>
      </c>
      <c r="Q128" t="s">
        <v>162</v>
      </c>
      <c r="R128" t="s">
        <v>641</v>
      </c>
      <c r="S128">
        <v>1995</v>
      </c>
      <c r="T128">
        <v>4</v>
      </c>
      <c r="U128" t="s">
        <v>162</v>
      </c>
      <c r="V128" t="s">
        <v>383</v>
      </c>
      <c r="W128">
        <v>2015</v>
      </c>
      <c r="X128">
        <v>11</v>
      </c>
      <c r="Y128" t="s">
        <v>123</v>
      </c>
      <c r="Z128">
        <v>2015</v>
      </c>
      <c r="AA128">
        <v>2015</v>
      </c>
      <c r="AB128" s="5">
        <v>8.1974019283499996E-2</v>
      </c>
      <c r="AC128" s="5">
        <v>0.16394803856699999</v>
      </c>
      <c r="AD128" t="s">
        <v>162</v>
      </c>
      <c r="AE128" t="s">
        <v>163</v>
      </c>
      <c r="AF128" t="s">
        <v>162</v>
      </c>
      <c r="AG128" t="s">
        <v>162</v>
      </c>
      <c r="AH128" t="s">
        <v>162</v>
      </c>
      <c r="AI128" t="s">
        <v>162</v>
      </c>
      <c r="AJ128" t="s">
        <v>162</v>
      </c>
      <c r="AK128" t="s">
        <v>162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 s="60">
        <f t="shared" si="1"/>
        <v>1</v>
      </c>
      <c r="AU128" s="95">
        <v>43342</v>
      </c>
      <c r="AV128" s="94" t="s">
        <v>165</v>
      </c>
      <c r="AW128" t="s">
        <v>162</v>
      </c>
      <c r="AX128">
        <v>2</v>
      </c>
      <c r="AY128" t="s">
        <v>167</v>
      </c>
      <c r="AZ128" t="s">
        <v>162</v>
      </c>
    </row>
    <row r="129" spans="1:52" x14ac:dyDescent="0.25">
      <c r="A129">
        <v>118</v>
      </c>
      <c r="B129" t="s">
        <v>642</v>
      </c>
      <c r="C129" t="s">
        <v>180</v>
      </c>
      <c r="D129" t="s">
        <v>643</v>
      </c>
      <c r="E129" t="s">
        <v>222</v>
      </c>
      <c r="F129" t="s">
        <v>162</v>
      </c>
      <c r="G129">
        <v>298</v>
      </c>
      <c r="H129">
        <v>299</v>
      </c>
      <c r="I129" t="s">
        <v>644</v>
      </c>
      <c r="J129">
        <v>2</v>
      </c>
      <c r="K129">
        <v>1</v>
      </c>
      <c r="L129" t="s">
        <v>645</v>
      </c>
      <c r="M129">
        <v>3</v>
      </c>
      <c r="N129" t="s">
        <v>9</v>
      </c>
      <c r="O129" t="s">
        <v>9</v>
      </c>
      <c r="P129" t="s">
        <v>169</v>
      </c>
      <c r="Q129" t="s">
        <v>162</v>
      </c>
      <c r="R129" t="s">
        <v>463</v>
      </c>
      <c r="S129">
        <v>2014</v>
      </c>
      <c r="T129">
        <v>7</v>
      </c>
      <c r="U129" t="s">
        <v>162</v>
      </c>
      <c r="V129" t="s">
        <v>238</v>
      </c>
      <c r="W129">
        <v>2018</v>
      </c>
      <c r="X129">
        <v>9</v>
      </c>
      <c r="Y129" t="s">
        <v>123</v>
      </c>
      <c r="Z129">
        <v>2018</v>
      </c>
      <c r="AA129">
        <v>2018</v>
      </c>
      <c r="AB129" s="5">
        <v>0.25157677705199999</v>
      </c>
      <c r="AC129" s="5">
        <v>0.50315355410399998</v>
      </c>
      <c r="AD129" t="s">
        <v>162</v>
      </c>
      <c r="AE129" t="s">
        <v>163</v>
      </c>
      <c r="AF129" t="s">
        <v>162</v>
      </c>
      <c r="AG129" t="s">
        <v>162</v>
      </c>
      <c r="AH129" t="s">
        <v>162</v>
      </c>
      <c r="AI129" t="s">
        <v>162</v>
      </c>
      <c r="AJ129" t="s">
        <v>162</v>
      </c>
      <c r="AK129" t="s">
        <v>162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 s="60">
        <f t="shared" si="1"/>
        <v>1</v>
      </c>
      <c r="AU129" s="95">
        <v>43343</v>
      </c>
      <c r="AV129" s="94" t="s">
        <v>165</v>
      </c>
      <c r="AW129" t="s">
        <v>163</v>
      </c>
      <c r="AX129">
        <v>2</v>
      </c>
      <c r="AY129" t="s">
        <v>167</v>
      </c>
      <c r="AZ129" t="s">
        <v>162</v>
      </c>
    </row>
    <row r="130" spans="1:52" x14ac:dyDescent="0.25">
      <c r="A130">
        <v>119</v>
      </c>
      <c r="B130" t="s">
        <v>233</v>
      </c>
      <c r="C130" t="s">
        <v>180</v>
      </c>
      <c r="D130" t="s">
        <v>234</v>
      </c>
      <c r="E130" t="s">
        <v>172</v>
      </c>
      <c r="F130" t="s">
        <v>162</v>
      </c>
      <c r="G130">
        <v>1239</v>
      </c>
      <c r="H130">
        <v>1238</v>
      </c>
      <c r="I130" t="s">
        <v>646</v>
      </c>
      <c r="J130">
        <v>1201</v>
      </c>
      <c r="K130">
        <v>1200</v>
      </c>
      <c r="L130" t="s">
        <v>390</v>
      </c>
      <c r="M130">
        <v>2</v>
      </c>
      <c r="N130" t="s">
        <v>11</v>
      </c>
      <c r="O130" t="s">
        <v>11</v>
      </c>
      <c r="P130" t="s">
        <v>169</v>
      </c>
      <c r="Q130" t="s">
        <v>162</v>
      </c>
      <c r="R130" t="s">
        <v>647</v>
      </c>
      <c r="S130">
        <v>2013</v>
      </c>
      <c r="T130">
        <v>10</v>
      </c>
      <c r="U130" t="s">
        <v>162</v>
      </c>
      <c r="V130" t="s">
        <v>267</v>
      </c>
      <c r="W130">
        <v>2018</v>
      </c>
      <c r="X130">
        <v>8</v>
      </c>
      <c r="Y130" t="s">
        <v>162</v>
      </c>
      <c r="Z130">
        <v>2018</v>
      </c>
      <c r="AA130">
        <v>2015</v>
      </c>
      <c r="AB130" s="5">
        <v>0.16366569616099999</v>
      </c>
      <c r="AC130" s="5">
        <v>0.32733139232199998</v>
      </c>
      <c r="AD130" t="s">
        <v>162</v>
      </c>
      <c r="AE130" t="s">
        <v>163</v>
      </c>
      <c r="AF130" t="s">
        <v>162</v>
      </c>
      <c r="AG130" t="s">
        <v>162</v>
      </c>
      <c r="AH130" t="s">
        <v>162</v>
      </c>
      <c r="AI130" t="s">
        <v>162</v>
      </c>
      <c r="AJ130" t="s">
        <v>162</v>
      </c>
      <c r="AK130" t="s">
        <v>162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 s="60">
        <f t="shared" si="1"/>
        <v>1</v>
      </c>
      <c r="AU130" s="95">
        <v>43333</v>
      </c>
      <c r="AV130" s="94" t="s">
        <v>165</v>
      </c>
      <c r="AW130" t="s">
        <v>162</v>
      </c>
      <c r="AX130">
        <v>2</v>
      </c>
      <c r="AY130" t="s">
        <v>167</v>
      </c>
      <c r="AZ130" t="s">
        <v>162</v>
      </c>
    </row>
    <row r="131" spans="1:52" x14ac:dyDescent="0.25">
      <c r="A131">
        <v>120</v>
      </c>
      <c r="B131" t="s">
        <v>648</v>
      </c>
      <c r="C131" t="s">
        <v>151</v>
      </c>
      <c r="D131" t="s">
        <v>649</v>
      </c>
      <c r="E131" t="s">
        <v>172</v>
      </c>
      <c r="F131" t="s">
        <v>162</v>
      </c>
      <c r="G131">
        <v>2401</v>
      </c>
      <c r="H131">
        <v>2400</v>
      </c>
      <c r="I131" t="s">
        <v>378</v>
      </c>
      <c r="J131">
        <v>2801</v>
      </c>
      <c r="K131">
        <v>2800</v>
      </c>
      <c r="L131" t="s">
        <v>521</v>
      </c>
      <c r="M131">
        <v>3</v>
      </c>
      <c r="N131" t="s">
        <v>9</v>
      </c>
      <c r="O131" t="s">
        <v>9</v>
      </c>
      <c r="P131" t="s">
        <v>175</v>
      </c>
      <c r="Q131" t="s">
        <v>162</v>
      </c>
      <c r="R131" t="s">
        <v>201</v>
      </c>
      <c r="S131">
        <v>2012</v>
      </c>
      <c r="T131">
        <v>5</v>
      </c>
      <c r="U131" t="s">
        <v>162</v>
      </c>
      <c r="V131" t="s">
        <v>243</v>
      </c>
      <c r="W131">
        <v>2020</v>
      </c>
      <c r="X131">
        <v>0</v>
      </c>
      <c r="Y131" t="s">
        <v>162</v>
      </c>
      <c r="Z131">
        <v>2020</v>
      </c>
      <c r="AA131">
        <v>2014</v>
      </c>
      <c r="AB131" s="5">
        <v>0.50803817688499997</v>
      </c>
      <c r="AC131" s="5">
        <v>1.0160763537699999</v>
      </c>
      <c r="AD131" t="s">
        <v>162</v>
      </c>
      <c r="AE131" t="s">
        <v>163</v>
      </c>
      <c r="AF131" t="s">
        <v>162</v>
      </c>
      <c r="AG131" t="s">
        <v>162</v>
      </c>
      <c r="AH131" t="s">
        <v>162</v>
      </c>
      <c r="AI131" t="s">
        <v>162</v>
      </c>
      <c r="AJ131" t="s">
        <v>162</v>
      </c>
      <c r="AK131" t="s">
        <v>162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 s="60">
        <f t="shared" si="1"/>
        <v>1</v>
      </c>
      <c r="AU131" s="95" t="s">
        <v>350</v>
      </c>
      <c r="AV131" s="94" t="s">
        <v>165</v>
      </c>
      <c r="AW131" t="s">
        <v>163</v>
      </c>
      <c r="AX131">
        <v>2</v>
      </c>
      <c r="AY131" t="s">
        <v>167</v>
      </c>
      <c r="AZ131" t="s">
        <v>162</v>
      </c>
    </row>
    <row r="132" spans="1:52" x14ac:dyDescent="0.25">
      <c r="A132">
        <v>121</v>
      </c>
      <c r="B132" t="s">
        <v>650</v>
      </c>
      <c r="C132" t="s">
        <v>163</v>
      </c>
      <c r="D132" t="s">
        <v>651</v>
      </c>
      <c r="E132" t="s">
        <v>216</v>
      </c>
      <c r="F132" t="s">
        <v>162</v>
      </c>
      <c r="G132">
        <v>2400</v>
      </c>
      <c r="H132">
        <v>2401</v>
      </c>
      <c r="I132" t="s">
        <v>652</v>
      </c>
      <c r="J132">
        <v>2784</v>
      </c>
      <c r="K132">
        <v>2785</v>
      </c>
      <c r="L132" t="s">
        <v>653</v>
      </c>
      <c r="M132">
        <v>2</v>
      </c>
      <c r="N132" t="s">
        <v>11</v>
      </c>
      <c r="O132" t="s">
        <v>11</v>
      </c>
      <c r="P132" t="s">
        <v>175</v>
      </c>
      <c r="Q132" t="s">
        <v>654</v>
      </c>
      <c r="R132" t="s">
        <v>366</v>
      </c>
      <c r="S132">
        <v>2011</v>
      </c>
      <c r="T132">
        <v>5</v>
      </c>
      <c r="U132" t="s">
        <v>123</v>
      </c>
      <c r="V132" t="s">
        <v>267</v>
      </c>
      <c r="W132">
        <v>2018</v>
      </c>
      <c r="X132">
        <v>8</v>
      </c>
      <c r="Y132" t="s">
        <v>162</v>
      </c>
      <c r="Z132">
        <v>2018</v>
      </c>
      <c r="AA132">
        <v>2011</v>
      </c>
      <c r="AB132" s="5">
        <v>0.50564745076499995</v>
      </c>
      <c r="AC132" s="5">
        <v>1.0112949015299999</v>
      </c>
      <c r="AD132" t="s">
        <v>162</v>
      </c>
      <c r="AE132" t="s">
        <v>163</v>
      </c>
      <c r="AF132" t="s">
        <v>162</v>
      </c>
      <c r="AG132" t="s">
        <v>162</v>
      </c>
      <c r="AH132" t="s">
        <v>162</v>
      </c>
      <c r="AI132" t="s">
        <v>162</v>
      </c>
      <c r="AJ132" t="s">
        <v>162</v>
      </c>
      <c r="AK132" t="s">
        <v>162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 s="60">
        <f t="shared" si="1"/>
        <v>1</v>
      </c>
      <c r="AU132" s="95">
        <v>43343</v>
      </c>
      <c r="AV132" t="s">
        <v>165</v>
      </c>
      <c r="AW132" t="s">
        <v>162</v>
      </c>
      <c r="AX132">
        <v>2</v>
      </c>
      <c r="AY132" t="s">
        <v>167</v>
      </c>
      <c r="AZ132" t="s">
        <v>162</v>
      </c>
    </row>
    <row r="133" spans="1:52" x14ac:dyDescent="0.25">
      <c r="A133">
        <v>122</v>
      </c>
      <c r="B133" t="s">
        <v>453</v>
      </c>
      <c r="C133" t="s">
        <v>163</v>
      </c>
      <c r="D133" t="s">
        <v>454</v>
      </c>
      <c r="E133" t="s">
        <v>216</v>
      </c>
      <c r="F133" t="s">
        <v>162</v>
      </c>
      <c r="G133">
        <v>100</v>
      </c>
      <c r="H133">
        <v>101</v>
      </c>
      <c r="I133" t="s">
        <v>655</v>
      </c>
      <c r="J133">
        <v>158</v>
      </c>
      <c r="K133">
        <v>159</v>
      </c>
      <c r="L133" t="s">
        <v>387</v>
      </c>
      <c r="M133">
        <v>3</v>
      </c>
      <c r="N133" t="s">
        <v>11</v>
      </c>
      <c r="O133" t="s">
        <v>11</v>
      </c>
      <c r="P133" t="s">
        <v>175</v>
      </c>
      <c r="Q133" t="s">
        <v>656</v>
      </c>
      <c r="R133" t="s">
        <v>314</v>
      </c>
      <c r="S133">
        <v>2012</v>
      </c>
      <c r="T133">
        <v>10</v>
      </c>
      <c r="U133" t="s">
        <v>123</v>
      </c>
      <c r="V133" t="s">
        <v>162</v>
      </c>
      <c r="W133">
        <v>0</v>
      </c>
      <c r="X133">
        <v>0</v>
      </c>
      <c r="Y133" t="s">
        <v>162</v>
      </c>
      <c r="Z133">
        <v>2012</v>
      </c>
      <c r="AA133">
        <v>2012</v>
      </c>
      <c r="AB133" s="5">
        <v>0.12670910580899999</v>
      </c>
      <c r="AC133" s="5">
        <v>0.25341821161799999</v>
      </c>
      <c r="AD133" t="s">
        <v>162</v>
      </c>
      <c r="AE133" t="s">
        <v>163</v>
      </c>
      <c r="AF133" t="s">
        <v>162</v>
      </c>
      <c r="AG133" t="s">
        <v>162</v>
      </c>
      <c r="AH133" t="s">
        <v>162</v>
      </c>
      <c r="AI133" t="s">
        <v>162</v>
      </c>
      <c r="AJ133" t="s">
        <v>162</v>
      </c>
      <c r="AK133" t="s">
        <v>162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 s="60">
        <f t="shared" si="1"/>
        <v>1</v>
      </c>
      <c r="AU133" s="95">
        <v>43340</v>
      </c>
      <c r="AV133" s="94" t="s">
        <v>165</v>
      </c>
      <c r="AW133" t="s">
        <v>162</v>
      </c>
      <c r="AX133">
        <v>2</v>
      </c>
      <c r="AY133" t="s">
        <v>167</v>
      </c>
      <c r="AZ133" t="s">
        <v>162</v>
      </c>
    </row>
    <row r="134" spans="1:52" x14ac:dyDescent="0.25">
      <c r="A134">
        <v>123</v>
      </c>
      <c r="B134" t="s">
        <v>448</v>
      </c>
      <c r="C134" t="s">
        <v>180</v>
      </c>
      <c r="D134" t="s">
        <v>449</v>
      </c>
      <c r="E134" t="s">
        <v>182</v>
      </c>
      <c r="F134" t="s">
        <v>162</v>
      </c>
      <c r="G134">
        <v>5500</v>
      </c>
      <c r="H134">
        <v>5501</v>
      </c>
      <c r="I134" t="s">
        <v>397</v>
      </c>
      <c r="J134">
        <v>5100</v>
      </c>
      <c r="K134">
        <v>5101</v>
      </c>
      <c r="L134" t="s">
        <v>398</v>
      </c>
      <c r="M134">
        <v>3</v>
      </c>
      <c r="N134" t="s">
        <v>11</v>
      </c>
      <c r="O134" t="s">
        <v>11</v>
      </c>
      <c r="P134" t="s">
        <v>175</v>
      </c>
      <c r="Q134" t="s">
        <v>162</v>
      </c>
      <c r="R134" t="s">
        <v>479</v>
      </c>
      <c r="S134">
        <v>2005</v>
      </c>
      <c r="T134">
        <v>6</v>
      </c>
      <c r="U134" t="s">
        <v>520</v>
      </c>
      <c r="V134" t="s">
        <v>502</v>
      </c>
      <c r="W134">
        <v>2017</v>
      </c>
      <c r="X134">
        <v>6</v>
      </c>
      <c r="Y134" t="s">
        <v>123</v>
      </c>
      <c r="Z134">
        <v>2017</v>
      </c>
      <c r="AA134">
        <v>2017</v>
      </c>
      <c r="AB134" s="5">
        <v>0.52548656313099995</v>
      </c>
      <c r="AC134" s="5">
        <v>1.0509731262599999</v>
      </c>
      <c r="AD134" t="s">
        <v>162</v>
      </c>
      <c r="AE134" t="s">
        <v>163</v>
      </c>
      <c r="AF134" t="s">
        <v>162</v>
      </c>
      <c r="AG134" t="s">
        <v>162</v>
      </c>
      <c r="AH134" t="s">
        <v>162</v>
      </c>
      <c r="AI134" t="s">
        <v>162</v>
      </c>
      <c r="AJ134" t="s">
        <v>162</v>
      </c>
      <c r="AK134" t="s">
        <v>162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 s="60">
        <f t="shared" si="1"/>
        <v>1</v>
      </c>
      <c r="AU134" s="95" t="s">
        <v>360</v>
      </c>
      <c r="AV134" s="94" t="s">
        <v>165</v>
      </c>
      <c r="AW134" t="s">
        <v>166</v>
      </c>
      <c r="AX134">
        <v>2</v>
      </c>
      <c r="AY134" t="s">
        <v>167</v>
      </c>
      <c r="AZ134" t="s">
        <v>162</v>
      </c>
    </row>
    <row r="135" spans="1:52" x14ac:dyDescent="0.25">
      <c r="A135">
        <v>124</v>
      </c>
      <c r="B135" t="s">
        <v>245</v>
      </c>
      <c r="C135" t="s">
        <v>180</v>
      </c>
      <c r="D135" t="s">
        <v>246</v>
      </c>
      <c r="E135" t="s">
        <v>216</v>
      </c>
      <c r="F135" t="s">
        <v>162</v>
      </c>
      <c r="G135">
        <v>2133</v>
      </c>
      <c r="H135">
        <v>2132</v>
      </c>
      <c r="I135" t="s">
        <v>248</v>
      </c>
      <c r="J135">
        <v>1907</v>
      </c>
      <c r="K135">
        <v>1906</v>
      </c>
      <c r="L135" t="s">
        <v>410</v>
      </c>
      <c r="M135">
        <v>3</v>
      </c>
      <c r="N135" t="s">
        <v>11</v>
      </c>
      <c r="O135" t="s">
        <v>11</v>
      </c>
      <c r="P135" t="s">
        <v>175</v>
      </c>
      <c r="Q135" t="s">
        <v>657</v>
      </c>
      <c r="R135" t="s">
        <v>249</v>
      </c>
      <c r="S135">
        <v>2007</v>
      </c>
      <c r="T135">
        <v>10</v>
      </c>
      <c r="U135" t="s">
        <v>162</v>
      </c>
      <c r="V135" t="s">
        <v>162</v>
      </c>
      <c r="W135">
        <v>0</v>
      </c>
      <c r="X135">
        <v>0</v>
      </c>
      <c r="Y135" t="s">
        <v>162</v>
      </c>
      <c r="Z135">
        <v>2007</v>
      </c>
      <c r="AA135">
        <v>0</v>
      </c>
      <c r="AB135" s="5">
        <v>0.25198553747699998</v>
      </c>
      <c r="AC135" s="5">
        <v>0.50397107495399995</v>
      </c>
      <c r="AD135" t="s">
        <v>162</v>
      </c>
      <c r="AE135" t="s">
        <v>163</v>
      </c>
      <c r="AF135" t="s">
        <v>162</v>
      </c>
      <c r="AG135" t="s">
        <v>162</v>
      </c>
      <c r="AH135" t="s">
        <v>162</v>
      </c>
      <c r="AI135" t="s">
        <v>162</v>
      </c>
      <c r="AJ135" t="s">
        <v>162</v>
      </c>
      <c r="AK135" t="s">
        <v>162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s="60">
        <f t="shared" si="1"/>
        <v>1</v>
      </c>
      <c r="AU135" s="95">
        <v>43335</v>
      </c>
      <c r="AV135" t="s">
        <v>165</v>
      </c>
      <c r="AW135" t="s">
        <v>162</v>
      </c>
      <c r="AX135">
        <v>2</v>
      </c>
      <c r="AY135" t="s">
        <v>167</v>
      </c>
      <c r="AZ135" t="s">
        <v>162</v>
      </c>
    </row>
    <row r="136" spans="1:52" x14ac:dyDescent="0.25">
      <c r="A136">
        <v>125</v>
      </c>
      <c r="B136" t="s">
        <v>617</v>
      </c>
      <c r="C136" t="s">
        <v>203</v>
      </c>
      <c r="D136" t="s">
        <v>204</v>
      </c>
      <c r="E136" t="s">
        <v>172</v>
      </c>
      <c r="F136" t="s">
        <v>162</v>
      </c>
      <c r="G136">
        <v>1700</v>
      </c>
      <c r="H136">
        <v>1701</v>
      </c>
      <c r="I136" t="s">
        <v>619</v>
      </c>
      <c r="J136">
        <v>1776</v>
      </c>
      <c r="K136">
        <v>1777</v>
      </c>
      <c r="L136" t="s">
        <v>658</v>
      </c>
      <c r="M136">
        <v>2</v>
      </c>
      <c r="N136" t="s">
        <v>15</v>
      </c>
      <c r="O136" t="s">
        <v>15</v>
      </c>
      <c r="P136" t="s">
        <v>175</v>
      </c>
      <c r="Q136" t="s">
        <v>162</v>
      </c>
      <c r="R136" t="s">
        <v>659</v>
      </c>
      <c r="S136">
        <v>2005</v>
      </c>
      <c r="T136">
        <v>8</v>
      </c>
      <c r="U136" t="s">
        <v>162</v>
      </c>
      <c r="V136" t="s">
        <v>209</v>
      </c>
      <c r="W136">
        <v>2017</v>
      </c>
      <c r="X136">
        <v>6</v>
      </c>
      <c r="Y136" t="s">
        <v>162</v>
      </c>
      <c r="Z136">
        <v>2017</v>
      </c>
      <c r="AA136">
        <v>2005</v>
      </c>
      <c r="AB136" s="5">
        <v>0.15889196410199999</v>
      </c>
      <c r="AC136" s="5">
        <v>0.31778392820399998</v>
      </c>
      <c r="AD136" t="s">
        <v>162</v>
      </c>
      <c r="AE136" t="s">
        <v>163</v>
      </c>
      <c r="AF136" t="s">
        <v>162</v>
      </c>
      <c r="AG136" t="s">
        <v>162</v>
      </c>
      <c r="AH136" t="s">
        <v>162</v>
      </c>
      <c r="AI136" t="s">
        <v>162</v>
      </c>
      <c r="AJ136" t="s">
        <v>162</v>
      </c>
      <c r="AK136" t="s">
        <v>162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 s="60">
        <f t="shared" si="1"/>
        <v>1</v>
      </c>
      <c r="AU136" s="95">
        <v>43342</v>
      </c>
      <c r="AV136" t="s">
        <v>165</v>
      </c>
      <c r="AW136" t="s">
        <v>162</v>
      </c>
      <c r="AX136">
        <v>2</v>
      </c>
      <c r="AY136" t="s">
        <v>167</v>
      </c>
      <c r="AZ136" t="s">
        <v>162</v>
      </c>
    </row>
    <row r="137" spans="1:52" x14ac:dyDescent="0.25">
      <c r="A137">
        <v>126</v>
      </c>
      <c r="B137" t="s">
        <v>660</v>
      </c>
      <c r="C137" t="s">
        <v>203</v>
      </c>
      <c r="D137" t="s">
        <v>661</v>
      </c>
      <c r="E137" t="s">
        <v>172</v>
      </c>
      <c r="F137" t="s">
        <v>162</v>
      </c>
      <c r="G137">
        <v>501</v>
      </c>
      <c r="H137">
        <v>500</v>
      </c>
      <c r="I137" t="s">
        <v>252</v>
      </c>
      <c r="J137">
        <v>601</v>
      </c>
      <c r="K137">
        <v>600</v>
      </c>
      <c r="L137" t="s">
        <v>662</v>
      </c>
      <c r="M137">
        <v>2</v>
      </c>
      <c r="N137" t="s">
        <v>7</v>
      </c>
      <c r="O137" t="s">
        <v>7</v>
      </c>
      <c r="P137" t="s">
        <v>175</v>
      </c>
      <c r="Q137" t="s">
        <v>663</v>
      </c>
      <c r="R137" t="s">
        <v>664</v>
      </c>
      <c r="S137">
        <v>2012</v>
      </c>
      <c r="T137">
        <v>10</v>
      </c>
      <c r="U137" t="s">
        <v>208</v>
      </c>
      <c r="V137" t="s">
        <v>162</v>
      </c>
      <c r="W137">
        <v>0</v>
      </c>
      <c r="X137">
        <v>0</v>
      </c>
      <c r="Y137" t="s">
        <v>162</v>
      </c>
      <c r="Z137">
        <v>2012</v>
      </c>
      <c r="AA137">
        <v>0</v>
      </c>
      <c r="AB137" s="5">
        <v>0.18751153483800001</v>
      </c>
      <c r="AC137" s="5">
        <v>0.37502306967600002</v>
      </c>
      <c r="AD137" t="s">
        <v>154</v>
      </c>
      <c r="AE137" t="s">
        <v>163</v>
      </c>
      <c r="AF137" t="s">
        <v>154</v>
      </c>
      <c r="AG137" t="s">
        <v>154</v>
      </c>
      <c r="AH137" t="s">
        <v>154</v>
      </c>
      <c r="AI137" t="s">
        <v>226</v>
      </c>
      <c r="AJ137" t="s">
        <v>154</v>
      </c>
      <c r="AK137" t="s">
        <v>162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 s="60">
        <f t="shared" si="1"/>
        <v>1</v>
      </c>
      <c r="AU137" s="95" t="s">
        <v>360</v>
      </c>
      <c r="AV137" s="94" t="s">
        <v>165</v>
      </c>
      <c r="AW137" t="s">
        <v>166</v>
      </c>
      <c r="AX137">
        <v>1</v>
      </c>
      <c r="AY137" t="s">
        <v>167</v>
      </c>
      <c r="AZ137" t="s">
        <v>162</v>
      </c>
    </row>
    <row r="138" spans="1:52" x14ac:dyDescent="0.25">
      <c r="A138">
        <v>127</v>
      </c>
      <c r="B138" t="s">
        <v>665</v>
      </c>
      <c r="C138" t="s">
        <v>203</v>
      </c>
      <c r="D138" t="s">
        <v>666</v>
      </c>
      <c r="E138" t="s">
        <v>172</v>
      </c>
      <c r="F138" t="s">
        <v>162</v>
      </c>
      <c r="G138">
        <v>2</v>
      </c>
      <c r="H138">
        <v>1</v>
      </c>
      <c r="I138" t="s">
        <v>639</v>
      </c>
      <c r="J138">
        <v>79</v>
      </c>
      <c r="K138">
        <v>80</v>
      </c>
      <c r="L138" t="s">
        <v>667</v>
      </c>
      <c r="M138">
        <v>4</v>
      </c>
      <c r="N138" t="s">
        <v>15</v>
      </c>
      <c r="O138" t="s">
        <v>15</v>
      </c>
      <c r="P138" t="s">
        <v>175</v>
      </c>
      <c r="Q138" t="s">
        <v>162</v>
      </c>
      <c r="R138" t="s">
        <v>249</v>
      </c>
      <c r="S138">
        <v>2007</v>
      </c>
      <c r="T138">
        <v>7</v>
      </c>
      <c r="U138" t="s">
        <v>162</v>
      </c>
      <c r="V138" t="s">
        <v>540</v>
      </c>
      <c r="W138">
        <v>2014</v>
      </c>
      <c r="X138">
        <v>6</v>
      </c>
      <c r="Y138" t="s">
        <v>123</v>
      </c>
      <c r="Z138">
        <v>2014</v>
      </c>
      <c r="AA138">
        <v>2014</v>
      </c>
      <c r="AB138" s="5">
        <v>0.16367943229000001</v>
      </c>
      <c r="AC138" s="5">
        <v>0.32735886458000002</v>
      </c>
      <c r="AD138" t="s">
        <v>162</v>
      </c>
      <c r="AE138" t="s">
        <v>163</v>
      </c>
      <c r="AF138" t="s">
        <v>162</v>
      </c>
      <c r="AG138" t="s">
        <v>162</v>
      </c>
      <c r="AH138" t="s">
        <v>162</v>
      </c>
      <c r="AI138" t="s">
        <v>162</v>
      </c>
      <c r="AJ138" t="s">
        <v>162</v>
      </c>
      <c r="AK138" t="s">
        <v>162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 s="60">
        <f t="shared" si="1"/>
        <v>1</v>
      </c>
      <c r="AU138" s="95">
        <v>43343</v>
      </c>
      <c r="AV138" s="94" t="s">
        <v>165</v>
      </c>
      <c r="AW138" t="s">
        <v>162</v>
      </c>
      <c r="AX138">
        <v>3</v>
      </c>
      <c r="AY138" t="s">
        <v>167</v>
      </c>
      <c r="AZ138" t="s">
        <v>162</v>
      </c>
    </row>
    <row r="139" spans="1:52" x14ac:dyDescent="0.25">
      <c r="A139">
        <v>128</v>
      </c>
      <c r="B139" t="s">
        <v>480</v>
      </c>
      <c r="C139" t="s">
        <v>163</v>
      </c>
      <c r="D139" t="s">
        <v>481</v>
      </c>
      <c r="E139" t="s">
        <v>216</v>
      </c>
      <c r="F139" t="s">
        <v>154</v>
      </c>
      <c r="G139">
        <v>3600</v>
      </c>
      <c r="H139">
        <v>3601</v>
      </c>
      <c r="I139" t="s">
        <v>384</v>
      </c>
      <c r="J139">
        <v>4800</v>
      </c>
      <c r="K139">
        <v>4801</v>
      </c>
      <c r="L139" t="s">
        <v>588</v>
      </c>
      <c r="M139">
        <v>2</v>
      </c>
      <c r="N139" t="s">
        <v>11</v>
      </c>
      <c r="O139" t="s">
        <v>327</v>
      </c>
      <c r="P139" t="s">
        <v>157</v>
      </c>
      <c r="Q139" t="s">
        <v>668</v>
      </c>
      <c r="R139" t="s">
        <v>669</v>
      </c>
      <c r="S139">
        <v>2022</v>
      </c>
      <c r="T139">
        <v>11</v>
      </c>
      <c r="U139" t="s">
        <v>162</v>
      </c>
      <c r="V139" t="s">
        <v>162</v>
      </c>
      <c r="W139">
        <v>0</v>
      </c>
      <c r="X139">
        <v>0</v>
      </c>
      <c r="Y139" t="s">
        <v>162</v>
      </c>
      <c r="Z139">
        <v>2022</v>
      </c>
      <c r="AA139">
        <v>2005</v>
      </c>
      <c r="AB139" s="5">
        <v>1.5557331405499999</v>
      </c>
      <c r="AC139" s="5">
        <v>3.1114660000000001</v>
      </c>
      <c r="AD139" t="s">
        <v>154</v>
      </c>
      <c r="AE139" t="s">
        <v>154</v>
      </c>
      <c r="AF139" t="s">
        <v>154</v>
      </c>
      <c r="AG139" t="s">
        <v>154</v>
      </c>
      <c r="AH139" t="s">
        <v>154</v>
      </c>
      <c r="AI139" t="s">
        <v>154</v>
      </c>
      <c r="AJ139" t="s">
        <v>154</v>
      </c>
      <c r="AK139" t="s">
        <v>154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 s="60">
        <f t="shared" ref="AT139:AT202" si="2">SUM(AM139:AS139)</f>
        <v>1</v>
      </c>
      <c r="AU139" s="95" t="s">
        <v>426</v>
      </c>
      <c r="AV139" s="94" t="s">
        <v>165</v>
      </c>
      <c r="AW139" t="s">
        <v>154</v>
      </c>
      <c r="AX139">
        <v>2</v>
      </c>
      <c r="AY139" t="s">
        <v>167</v>
      </c>
      <c r="AZ139">
        <v>30</v>
      </c>
    </row>
    <row r="140" spans="1:52" x14ac:dyDescent="0.25">
      <c r="A140">
        <v>129</v>
      </c>
      <c r="B140" t="s">
        <v>469</v>
      </c>
      <c r="C140" t="s">
        <v>151</v>
      </c>
      <c r="D140" t="s">
        <v>470</v>
      </c>
      <c r="E140" t="s">
        <v>216</v>
      </c>
      <c r="F140" t="s">
        <v>162</v>
      </c>
      <c r="G140">
        <v>2800</v>
      </c>
      <c r="H140">
        <v>2801</v>
      </c>
      <c r="I140" t="s">
        <v>521</v>
      </c>
      <c r="J140">
        <v>2401</v>
      </c>
      <c r="K140">
        <v>2400</v>
      </c>
      <c r="L140" t="s">
        <v>378</v>
      </c>
      <c r="M140">
        <v>2</v>
      </c>
      <c r="N140" t="s">
        <v>11</v>
      </c>
      <c r="O140" t="s">
        <v>11</v>
      </c>
      <c r="P140" t="s">
        <v>169</v>
      </c>
      <c r="Q140" t="s">
        <v>162</v>
      </c>
      <c r="R140" t="s">
        <v>266</v>
      </c>
      <c r="S140">
        <v>2002</v>
      </c>
      <c r="T140">
        <v>6</v>
      </c>
      <c r="U140" t="s">
        <v>162</v>
      </c>
      <c r="V140" t="s">
        <v>243</v>
      </c>
      <c r="W140">
        <v>2020</v>
      </c>
      <c r="X140">
        <v>0</v>
      </c>
      <c r="Y140" t="s">
        <v>162</v>
      </c>
      <c r="Z140">
        <v>2020</v>
      </c>
      <c r="AA140">
        <v>2006</v>
      </c>
      <c r="AB140" s="5">
        <v>0.50487894271599998</v>
      </c>
      <c r="AC140" s="5">
        <v>1.00975788543</v>
      </c>
      <c r="AD140" t="s">
        <v>162</v>
      </c>
      <c r="AE140" t="s">
        <v>163</v>
      </c>
      <c r="AF140" t="s">
        <v>162</v>
      </c>
      <c r="AG140" t="s">
        <v>162</v>
      </c>
      <c r="AH140" t="s">
        <v>162</v>
      </c>
      <c r="AI140" t="s">
        <v>162</v>
      </c>
      <c r="AJ140" t="s">
        <v>162</v>
      </c>
      <c r="AK140" t="s">
        <v>162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60">
        <f t="shared" si="2"/>
        <v>1</v>
      </c>
      <c r="AU140" s="95" t="s">
        <v>244</v>
      </c>
      <c r="AV140" t="s">
        <v>165</v>
      </c>
      <c r="AW140" t="s">
        <v>162</v>
      </c>
      <c r="AX140">
        <v>2</v>
      </c>
      <c r="AY140" t="s">
        <v>167</v>
      </c>
      <c r="AZ140" t="s">
        <v>162</v>
      </c>
    </row>
    <row r="141" spans="1:52" x14ac:dyDescent="0.25">
      <c r="A141">
        <v>130</v>
      </c>
      <c r="B141" t="s">
        <v>670</v>
      </c>
      <c r="C141" t="s">
        <v>151</v>
      </c>
      <c r="D141" t="s">
        <v>671</v>
      </c>
      <c r="E141" t="s">
        <v>182</v>
      </c>
      <c r="F141" t="s">
        <v>203</v>
      </c>
      <c r="G141">
        <v>3434</v>
      </c>
      <c r="H141">
        <v>3435</v>
      </c>
      <c r="I141" t="s">
        <v>655</v>
      </c>
      <c r="J141">
        <v>3400</v>
      </c>
      <c r="K141">
        <v>3401</v>
      </c>
      <c r="L141" t="s">
        <v>672</v>
      </c>
      <c r="M141">
        <v>4</v>
      </c>
      <c r="N141" t="s">
        <v>11</v>
      </c>
      <c r="O141" t="s">
        <v>11</v>
      </c>
      <c r="P141" t="s">
        <v>175</v>
      </c>
      <c r="Q141" t="s">
        <v>162</v>
      </c>
      <c r="R141" t="s">
        <v>673</v>
      </c>
      <c r="S141">
        <v>2003</v>
      </c>
      <c r="T141">
        <v>10</v>
      </c>
      <c r="U141" t="s">
        <v>162</v>
      </c>
      <c r="V141" t="s">
        <v>422</v>
      </c>
      <c r="W141">
        <v>2015</v>
      </c>
      <c r="X141">
        <v>12</v>
      </c>
      <c r="Y141" t="s">
        <v>123</v>
      </c>
      <c r="Z141">
        <v>2015</v>
      </c>
      <c r="AA141">
        <v>2015</v>
      </c>
      <c r="AB141" s="5">
        <v>7.9153990015600001E-2</v>
      </c>
      <c r="AC141" s="5">
        <v>7.9153990015600001E-2</v>
      </c>
      <c r="AD141" t="s">
        <v>162</v>
      </c>
      <c r="AE141" t="s">
        <v>166</v>
      </c>
      <c r="AF141" t="s">
        <v>203</v>
      </c>
      <c r="AG141" t="s">
        <v>163</v>
      </c>
      <c r="AH141" t="s">
        <v>162</v>
      </c>
      <c r="AI141" t="s">
        <v>162</v>
      </c>
      <c r="AJ141" t="s">
        <v>162</v>
      </c>
      <c r="AK141" t="s">
        <v>162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 s="60">
        <f t="shared" si="2"/>
        <v>1</v>
      </c>
      <c r="AU141" s="95">
        <v>43343</v>
      </c>
      <c r="AV141" s="94" t="s">
        <v>165</v>
      </c>
      <c r="AW141" t="s">
        <v>162</v>
      </c>
      <c r="AX141">
        <v>2</v>
      </c>
      <c r="AY141" t="s">
        <v>167</v>
      </c>
      <c r="AZ141" t="s">
        <v>162</v>
      </c>
    </row>
    <row r="142" spans="1:52" x14ac:dyDescent="0.25">
      <c r="A142">
        <v>131</v>
      </c>
      <c r="B142" t="s">
        <v>674</v>
      </c>
      <c r="C142" t="s">
        <v>151</v>
      </c>
      <c r="D142" t="s">
        <v>675</v>
      </c>
      <c r="E142" t="s">
        <v>172</v>
      </c>
      <c r="F142" t="s">
        <v>162</v>
      </c>
      <c r="G142">
        <v>2358</v>
      </c>
      <c r="H142">
        <v>2359</v>
      </c>
      <c r="I142" t="s">
        <v>334</v>
      </c>
      <c r="J142">
        <v>2166</v>
      </c>
      <c r="K142">
        <v>2167</v>
      </c>
      <c r="L142" t="s">
        <v>676</v>
      </c>
      <c r="M142">
        <v>4</v>
      </c>
      <c r="N142" t="s">
        <v>11</v>
      </c>
      <c r="O142" t="s">
        <v>11</v>
      </c>
      <c r="P142" t="s">
        <v>175</v>
      </c>
      <c r="Q142" t="s">
        <v>677</v>
      </c>
      <c r="R142" t="s">
        <v>383</v>
      </c>
      <c r="S142">
        <v>2007</v>
      </c>
      <c r="T142">
        <v>8</v>
      </c>
      <c r="U142" t="s">
        <v>123</v>
      </c>
      <c r="V142" t="s">
        <v>250</v>
      </c>
      <c r="W142">
        <v>2018</v>
      </c>
      <c r="X142">
        <v>9</v>
      </c>
      <c r="Y142" t="s">
        <v>162</v>
      </c>
      <c r="Z142">
        <v>2018</v>
      </c>
      <c r="AA142">
        <v>2007</v>
      </c>
      <c r="AB142" s="5">
        <v>0.27011431662099999</v>
      </c>
      <c r="AC142" s="5">
        <v>0.54022863324199999</v>
      </c>
      <c r="AD142" t="s">
        <v>162</v>
      </c>
      <c r="AE142" t="s">
        <v>163</v>
      </c>
      <c r="AF142" t="s">
        <v>162</v>
      </c>
      <c r="AG142" t="s">
        <v>162</v>
      </c>
      <c r="AH142" t="s">
        <v>162</v>
      </c>
      <c r="AI142" t="s">
        <v>162</v>
      </c>
      <c r="AJ142" t="s">
        <v>162</v>
      </c>
      <c r="AK142" t="s">
        <v>162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 s="60">
        <f t="shared" si="2"/>
        <v>1</v>
      </c>
      <c r="AU142" s="95">
        <v>43343</v>
      </c>
      <c r="AV142" t="s">
        <v>165</v>
      </c>
      <c r="AW142" t="s">
        <v>162</v>
      </c>
      <c r="AX142">
        <v>2</v>
      </c>
      <c r="AY142" t="s">
        <v>167</v>
      </c>
      <c r="AZ142" t="s">
        <v>162</v>
      </c>
    </row>
    <row r="143" spans="1:52" x14ac:dyDescent="0.25">
      <c r="A143">
        <v>132</v>
      </c>
      <c r="B143" t="s">
        <v>262</v>
      </c>
      <c r="C143" t="s">
        <v>203</v>
      </c>
      <c r="D143" t="s">
        <v>263</v>
      </c>
      <c r="E143" t="s">
        <v>222</v>
      </c>
      <c r="F143" t="s">
        <v>162</v>
      </c>
      <c r="G143">
        <v>844</v>
      </c>
      <c r="H143">
        <v>845</v>
      </c>
      <c r="I143" t="s">
        <v>252</v>
      </c>
      <c r="J143">
        <v>864</v>
      </c>
      <c r="K143">
        <v>863</v>
      </c>
      <c r="L143" t="s">
        <v>678</v>
      </c>
      <c r="M143">
        <v>3</v>
      </c>
      <c r="N143" t="s">
        <v>11</v>
      </c>
      <c r="O143" t="s">
        <v>11</v>
      </c>
      <c r="P143" t="s">
        <v>157</v>
      </c>
      <c r="Q143" t="s">
        <v>679</v>
      </c>
      <c r="R143" t="s">
        <v>502</v>
      </c>
      <c r="S143">
        <v>2016</v>
      </c>
      <c r="T143">
        <v>11</v>
      </c>
      <c r="U143" t="s">
        <v>123</v>
      </c>
      <c r="V143" t="s">
        <v>162</v>
      </c>
      <c r="W143">
        <v>0</v>
      </c>
      <c r="X143">
        <v>0</v>
      </c>
      <c r="Y143" t="s">
        <v>162</v>
      </c>
      <c r="Z143">
        <v>2016</v>
      </c>
      <c r="AA143">
        <v>2016</v>
      </c>
      <c r="AB143" s="5">
        <v>0.179532340703</v>
      </c>
      <c r="AC143" s="5">
        <v>0.35906468140600001</v>
      </c>
      <c r="AD143" t="s">
        <v>162</v>
      </c>
      <c r="AE143" t="s">
        <v>163</v>
      </c>
      <c r="AF143" t="s">
        <v>162</v>
      </c>
      <c r="AG143" t="s">
        <v>162</v>
      </c>
      <c r="AH143" t="s">
        <v>162</v>
      </c>
      <c r="AI143" t="s">
        <v>162</v>
      </c>
      <c r="AJ143" t="s">
        <v>162</v>
      </c>
      <c r="AK143" t="s">
        <v>162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 s="60">
        <f t="shared" si="2"/>
        <v>1</v>
      </c>
      <c r="AU143" s="95">
        <v>43335</v>
      </c>
      <c r="AV143" s="94" t="s">
        <v>165</v>
      </c>
      <c r="AW143" t="s">
        <v>162</v>
      </c>
      <c r="AX143">
        <v>2</v>
      </c>
      <c r="AY143" t="s">
        <v>167</v>
      </c>
      <c r="AZ143" t="s">
        <v>162</v>
      </c>
    </row>
    <row r="144" spans="1:52" x14ac:dyDescent="0.25">
      <c r="A144">
        <v>133</v>
      </c>
      <c r="B144" t="s">
        <v>256</v>
      </c>
      <c r="C144" t="s">
        <v>151</v>
      </c>
      <c r="D144" t="s">
        <v>257</v>
      </c>
      <c r="E144" t="s">
        <v>222</v>
      </c>
      <c r="F144" t="s">
        <v>162</v>
      </c>
      <c r="G144">
        <v>4359</v>
      </c>
      <c r="H144">
        <v>4358</v>
      </c>
      <c r="I144" t="s">
        <v>430</v>
      </c>
      <c r="J144">
        <v>3801</v>
      </c>
      <c r="K144">
        <v>3800</v>
      </c>
      <c r="L144" t="s">
        <v>680</v>
      </c>
      <c r="M144">
        <v>4</v>
      </c>
      <c r="N144" t="s">
        <v>9</v>
      </c>
      <c r="O144" t="s">
        <v>9</v>
      </c>
      <c r="P144" t="s">
        <v>157</v>
      </c>
      <c r="Q144" t="s">
        <v>162</v>
      </c>
      <c r="R144" t="s">
        <v>407</v>
      </c>
      <c r="S144">
        <v>2018</v>
      </c>
      <c r="T144">
        <v>9</v>
      </c>
      <c r="U144" t="s">
        <v>162</v>
      </c>
      <c r="V144" t="s">
        <v>162</v>
      </c>
      <c r="W144">
        <v>0</v>
      </c>
      <c r="X144">
        <v>0</v>
      </c>
      <c r="Y144" t="s">
        <v>162</v>
      </c>
      <c r="Z144">
        <v>2018</v>
      </c>
      <c r="AA144">
        <v>0</v>
      </c>
      <c r="AB144" s="5">
        <v>0.75899875689899998</v>
      </c>
      <c r="AC144" s="5">
        <v>1.5179975137999999</v>
      </c>
      <c r="AD144" t="s">
        <v>162</v>
      </c>
      <c r="AE144" t="s">
        <v>163</v>
      </c>
      <c r="AF144" t="s">
        <v>162</v>
      </c>
      <c r="AG144" t="s">
        <v>162</v>
      </c>
      <c r="AH144" t="s">
        <v>162</v>
      </c>
      <c r="AI144" t="s">
        <v>162</v>
      </c>
      <c r="AJ144" t="s">
        <v>162</v>
      </c>
      <c r="AK144" t="s">
        <v>162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s="60">
        <f t="shared" si="2"/>
        <v>1</v>
      </c>
      <c r="AU144" s="95">
        <v>43335</v>
      </c>
      <c r="AV144" s="94" t="s">
        <v>165</v>
      </c>
      <c r="AW144" t="s">
        <v>163</v>
      </c>
      <c r="AX144">
        <v>2</v>
      </c>
      <c r="AY144" t="s">
        <v>167</v>
      </c>
      <c r="AZ144" t="s">
        <v>162</v>
      </c>
    </row>
    <row r="145" spans="1:52" x14ac:dyDescent="0.25">
      <c r="A145">
        <v>134</v>
      </c>
      <c r="B145" t="s">
        <v>681</v>
      </c>
      <c r="C145" t="s">
        <v>151</v>
      </c>
      <c r="D145" t="s">
        <v>682</v>
      </c>
      <c r="E145" t="s">
        <v>216</v>
      </c>
      <c r="F145" t="s">
        <v>162</v>
      </c>
      <c r="G145">
        <v>1061</v>
      </c>
      <c r="H145">
        <v>1064</v>
      </c>
      <c r="I145" t="s">
        <v>683</v>
      </c>
      <c r="J145">
        <v>801</v>
      </c>
      <c r="K145">
        <v>800</v>
      </c>
      <c r="L145" t="s">
        <v>684</v>
      </c>
      <c r="M145">
        <v>4</v>
      </c>
      <c r="N145" t="s">
        <v>15</v>
      </c>
      <c r="O145" t="s">
        <v>15</v>
      </c>
      <c r="P145" t="s">
        <v>175</v>
      </c>
      <c r="Q145" t="s">
        <v>162</v>
      </c>
      <c r="R145" t="s">
        <v>479</v>
      </c>
      <c r="S145">
        <v>2005</v>
      </c>
      <c r="T145">
        <v>9</v>
      </c>
      <c r="U145" t="s">
        <v>162</v>
      </c>
      <c r="V145" t="s">
        <v>685</v>
      </c>
      <c r="W145">
        <v>2018</v>
      </c>
      <c r="X145">
        <v>12</v>
      </c>
      <c r="Y145" t="s">
        <v>162</v>
      </c>
      <c r="Z145">
        <v>2018</v>
      </c>
      <c r="AA145">
        <v>2018</v>
      </c>
      <c r="AB145" s="5">
        <v>0.38409050529599997</v>
      </c>
      <c r="AC145" s="5">
        <v>0.76818101059199995</v>
      </c>
      <c r="AD145" t="s">
        <v>162</v>
      </c>
      <c r="AE145" t="s">
        <v>163</v>
      </c>
      <c r="AF145" t="s">
        <v>162</v>
      </c>
      <c r="AG145" t="s">
        <v>162</v>
      </c>
      <c r="AH145" t="s">
        <v>162</v>
      </c>
      <c r="AI145" t="s">
        <v>162</v>
      </c>
      <c r="AJ145" t="s">
        <v>162</v>
      </c>
      <c r="AK145" t="s">
        <v>162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60">
        <f t="shared" si="2"/>
        <v>1</v>
      </c>
      <c r="AU145" s="95">
        <v>43343</v>
      </c>
      <c r="AV145" t="s">
        <v>165</v>
      </c>
      <c r="AW145" t="s">
        <v>162</v>
      </c>
      <c r="AX145">
        <v>2</v>
      </c>
      <c r="AY145" t="s">
        <v>167</v>
      </c>
      <c r="AZ145" t="s">
        <v>162</v>
      </c>
    </row>
    <row r="146" spans="1:52" x14ac:dyDescent="0.25">
      <c r="A146">
        <v>135</v>
      </c>
      <c r="B146" t="s">
        <v>681</v>
      </c>
      <c r="C146" t="s">
        <v>151</v>
      </c>
      <c r="D146" t="s">
        <v>682</v>
      </c>
      <c r="E146" t="s">
        <v>216</v>
      </c>
      <c r="F146" t="s">
        <v>162</v>
      </c>
      <c r="G146">
        <v>1777</v>
      </c>
      <c r="H146">
        <v>1776</v>
      </c>
      <c r="I146" t="s">
        <v>686</v>
      </c>
      <c r="J146">
        <v>1301</v>
      </c>
      <c r="K146">
        <v>1300</v>
      </c>
      <c r="L146" t="s">
        <v>687</v>
      </c>
      <c r="M146">
        <v>4</v>
      </c>
      <c r="N146" t="s">
        <v>15</v>
      </c>
      <c r="O146" t="s">
        <v>15</v>
      </c>
      <c r="P146" t="s">
        <v>175</v>
      </c>
      <c r="Q146" t="s">
        <v>688</v>
      </c>
      <c r="R146" t="s">
        <v>249</v>
      </c>
      <c r="S146">
        <v>2007</v>
      </c>
      <c r="T146">
        <v>5</v>
      </c>
      <c r="U146" t="s">
        <v>162</v>
      </c>
      <c r="V146" t="s">
        <v>685</v>
      </c>
      <c r="W146">
        <v>2018</v>
      </c>
      <c r="X146">
        <v>12</v>
      </c>
      <c r="Y146" t="s">
        <v>162</v>
      </c>
      <c r="Z146">
        <v>2018</v>
      </c>
      <c r="AA146">
        <v>2018</v>
      </c>
      <c r="AB146" s="5">
        <v>0.61290450409300001</v>
      </c>
      <c r="AC146" s="5">
        <v>1.2258090081899999</v>
      </c>
      <c r="AD146" t="s">
        <v>162</v>
      </c>
      <c r="AE146" t="s">
        <v>163</v>
      </c>
      <c r="AF146" t="s">
        <v>162</v>
      </c>
      <c r="AG146" t="s">
        <v>162</v>
      </c>
      <c r="AH146" t="s">
        <v>162</v>
      </c>
      <c r="AI146" t="s">
        <v>162</v>
      </c>
      <c r="AJ146" t="s">
        <v>162</v>
      </c>
      <c r="AK146" t="s">
        <v>162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s="60">
        <f t="shared" si="2"/>
        <v>1</v>
      </c>
      <c r="AU146" s="95">
        <v>43343</v>
      </c>
      <c r="AV146" t="s">
        <v>165</v>
      </c>
      <c r="AW146" t="s">
        <v>162</v>
      </c>
      <c r="AX146">
        <v>2</v>
      </c>
      <c r="AY146" t="s">
        <v>167</v>
      </c>
      <c r="AZ146" t="s">
        <v>162</v>
      </c>
    </row>
    <row r="147" spans="1:52" x14ac:dyDescent="0.25">
      <c r="A147">
        <v>136</v>
      </c>
      <c r="B147" t="s">
        <v>689</v>
      </c>
      <c r="C147" t="s">
        <v>151</v>
      </c>
      <c r="D147" t="s">
        <v>690</v>
      </c>
      <c r="E147" t="s">
        <v>216</v>
      </c>
      <c r="F147" t="s">
        <v>162</v>
      </c>
      <c r="G147">
        <v>1458</v>
      </c>
      <c r="H147">
        <v>1459</v>
      </c>
      <c r="I147" t="s">
        <v>691</v>
      </c>
      <c r="J147">
        <v>1200</v>
      </c>
      <c r="K147">
        <v>1201</v>
      </c>
      <c r="L147" t="s">
        <v>692</v>
      </c>
      <c r="M147">
        <v>2</v>
      </c>
      <c r="N147" t="s">
        <v>11</v>
      </c>
      <c r="O147" t="s">
        <v>11</v>
      </c>
      <c r="P147" t="s">
        <v>175</v>
      </c>
      <c r="Q147" t="s">
        <v>162</v>
      </c>
      <c r="R147" t="s">
        <v>508</v>
      </c>
      <c r="S147">
        <v>2004</v>
      </c>
      <c r="T147">
        <v>9</v>
      </c>
      <c r="U147" t="s">
        <v>162</v>
      </c>
      <c r="V147" t="s">
        <v>383</v>
      </c>
      <c r="W147">
        <v>2016</v>
      </c>
      <c r="X147">
        <v>11</v>
      </c>
      <c r="Y147" t="s">
        <v>123</v>
      </c>
      <c r="Z147">
        <v>2016</v>
      </c>
      <c r="AA147">
        <v>2016</v>
      </c>
      <c r="AB147" s="5">
        <v>0.37711009650499999</v>
      </c>
      <c r="AC147" s="5">
        <v>0.75422019300999998</v>
      </c>
      <c r="AD147" t="s">
        <v>162</v>
      </c>
      <c r="AE147" t="s">
        <v>163</v>
      </c>
      <c r="AF147" t="s">
        <v>162</v>
      </c>
      <c r="AG147" t="s">
        <v>162</v>
      </c>
      <c r="AH147" t="s">
        <v>162</v>
      </c>
      <c r="AI147" t="s">
        <v>162</v>
      </c>
      <c r="AJ147" t="s">
        <v>162</v>
      </c>
      <c r="AK147" t="s">
        <v>162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s="60">
        <f t="shared" si="2"/>
        <v>1</v>
      </c>
      <c r="AU147" s="95">
        <v>43343</v>
      </c>
      <c r="AV147" s="94" t="s">
        <v>165</v>
      </c>
      <c r="AW147" t="s">
        <v>162</v>
      </c>
      <c r="AX147">
        <v>2</v>
      </c>
      <c r="AY147" t="s">
        <v>167</v>
      </c>
      <c r="AZ147" t="s">
        <v>162</v>
      </c>
    </row>
    <row r="148" spans="1:52" x14ac:dyDescent="0.25">
      <c r="A148">
        <v>137</v>
      </c>
      <c r="B148" t="s">
        <v>581</v>
      </c>
      <c r="C148" t="s">
        <v>203</v>
      </c>
      <c r="D148" t="s">
        <v>582</v>
      </c>
      <c r="E148" t="s">
        <v>172</v>
      </c>
      <c r="F148" t="s">
        <v>203</v>
      </c>
      <c r="G148">
        <v>2</v>
      </c>
      <c r="H148">
        <v>1</v>
      </c>
      <c r="I148" t="s">
        <v>324</v>
      </c>
      <c r="J148">
        <v>358</v>
      </c>
      <c r="K148">
        <v>359</v>
      </c>
      <c r="L148" t="s">
        <v>693</v>
      </c>
      <c r="M148">
        <v>4</v>
      </c>
      <c r="N148" t="s">
        <v>11</v>
      </c>
      <c r="O148" t="s">
        <v>11</v>
      </c>
      <c r="P148" t="s">
        <v>169</v>
      </c>
      <c r="Q148" t="s">
        <v>162</v>
      </c>
      <c r="R148" t="s">
        <v>304</v>
      </c>
      <c r="S148">
        <v>2010</v>
      </c>
      <c r="T148">
        <v>11</v>
      </c>
      <c r="U148" t="s">
        <v>162</v>
      </c>
      <c r="V148" t="s">
        <v>243</v>
      </c>
      <c r="W148">
        <v>2020</v>
      </c>
      <c r="X148">
        <v>0</v>
      </c>
      <c r="Y148" t="s">
        <v>162</v>
      </c>
      <c r="Z148">
        <v>2020</v>
      </c>
      <c r="AA148">
        <v>2014</v>
      </c>
      <c r="AB148" s="5">
        <v>0.53581943989299996</v>
      </c>
      <c r="AC148" s="5">
        <v>0.53581943989299996</v>
      </c>
      <c r="AD148" t="s">
        <v>162</v>
      </c>
      <c r="AE148" t="s">
        <v>166</v>
      </c>
      <c r="AF148" t="s">
        <v>203</v>
      </c>
      <c r="AG148" t="s">
        <v>163</v>
      </c>
      <c r="AH148" t="s">
        <v>162</v>
      </c>
      <c r="AI148" t="s">
        <v>162</v>
      </c>
      <c r="AJ148" t="s">
        <v>162</v>
      </c>
      <c r="AK148" t="s">
        <v>162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 s="60">
        <f t="shared" si="2"/>
        <v>1</v>
      </c>
      <c r="AU148" s="95" t="s">
        <v>244</v>
      </c>
      <c r="AV148" s="94" t="s">
        <v>165</v>
      </c>
      <c r="AW148" t="s">
        <v>162</v>
      </c>
      <c r="AX148">
        <v>2</v>
      </c>
      <c r="AY148" t="s">
        <v>167</v>
      </c>
      <c r="AZ148" t="s">
        <v>162</v>
      </c>
    </row>
    <row r="149" spans="1:52" x14ac:dyDescent="0.25">
      <c r="A149">
        <v>138</v>
      </c>
      <c r="B149" t="s">
        <v>284</v>
      </c>
      <c r="C149" t="s">
        <v>151</v>
      </c>
      <c r="D149" t="s">
        <v>285</v>
      </c>
      <c r="E149" t="s">
        <v>172</v>
      </c>
      <c r="F149" t="s">
        <v>162</v>
      </c>
      <c r="G149">
        <v>448</v>
      </c>
      <c r="H149">
        <v>449</v>
      </c>
      <c r="I149" t="s">
        <v>265</v>
      </c>
      <c r="J149">
        <v>200</v>
      </c>
      <c r="K149">
        <v>201</v>
      </c>
      <c r="L149" t="s">
        <v>694</v>
      </c>
      <c r="M149">
        <v>3</v>
      </c>
      <c r="N149" t="s">
        <v>9</v>
      </c>
      <c r="O149" t="s">
        <v>9</v>
      </c>
      <c r="P149" t="s">
        <v>157</v>
      </c>
      <c r="Q149" t="s">
        <v>695</v>
      </c>
      <c r="R149" t="s">
        <v>422</v>
      </c>
      <c r="S149">
        <v>2015</v>
      </c>
      <c r="T149">
        <v>11</v>
      </c>
      <c r="U149" t="s">
        <v>123</v>
      </c>
      <c r="V149" t="s">
        <v>162</v>
      </c>
      <c r="W149">
        <v>0</v>
      </c>
      <c r="X149">
        <v>0</v>
      </c>
      <c r="Y149" t="s">
        <v>162</v>
      </c>
      <c r="Z149">
        <v>2015</v>
      </c>
      <c r="AA149">
        <v>2015</v>
      </c>
      <c r="AB149" s="5">
        <v>0.36412387314700001</v>
      </c>
      <c r="AC149" s="5">
        <v>0.72824774629400002</v>
      </c>
      <c r="AD149" t="s">
        <v>162</v>
      </c>
      <c r="AE149" t="s">
        <v>163</v>
      </c>
      <c r="AF149" t="s">
        <v>162</v>
      </c>
      <c r="AG149" t="s">
        <v>162</v>
      </c>
      <c r="AH149" t="s">
        <v>162</v>
      </c>
      <c r="AI149" t="s">
        <v>162</v>
      </c>
      <c r="AJ149" t="s">
        <v>162</v>
      </c>
      <c r="AK149" t="s">
        <v>162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 s="60">
        <f t="shared" si="2"/>
        <v>1</v>
      </c>
      <c r="AU149" s="95">
        <v>43335</v>
      </c>
      <c r="AV149" t="s">
        <v>165</v>
      </c>
      <c r="AW149" t="s">
        <v>163</v>
      </c>
      <c r="AX149">
        <v>2</v>
      </c>
      <c r="AY149" t="s">
        <v>167</v>
      </c>
      <c r="AZ149" t="s">
        <v>162</v>
      </c>
    </row>
    <row r="150" spans="1:52" x14ac:dyDescent="0.25">
      <c r="A150">
        <v>139</v>
      </c>
      <c r="B150" t="s">
        <v>315</v>
      </c>
      <c r="C150" t="s">
        <v>163</v>
      </c>
      <c r="D150" t="s">
        <v>316</v>
      </c>
      <c r="E150" t="s">
        <v>216</v>
      </c>
      <c r="F150" t="s">
        <v>162</v>
      </c>
      <c r="G150">
        <v>784</v>
      </c>
      <c r="H150">
        <v>787</v>
      </c>
      <c r="I150" t="s">
        <v>406</v>
      </c>
      <c r="J150">
        <v>796</v>
      </c>
      <c r="K150">
        <v>799</v>
      </c>
      <c r="L150" t="s">
        <v>312</v>
      </c>
      <c r="M150">
        <v>3</v>
      </c>
      <c r="N150" t="s">
        <v>11</v>
      </c>
      <c r="O150" t="s">
        <v>11</v>
      </c>
      <c r="P150" t="s">
        <v>169</v>
      </c>
      <c r="Q150" t="s">
        <v>162</v>
      </c>
      <c r="R150" t="s">
        <v>647</v>
      </c>
      <c r="S150">
        <v>2013</v>
      </c>
      <c r="T150">
        <v>6</v>
      </c>
      <c r="U150" t="s">
        <v>696</v>
      </c>
      <c r="V150" t="s">
        <v>162</v>
      </c>
      <c r="W150">
        <v>0</v>
      </c>
      <c r="X150">
        <v>0</v>
      </c>
      <c r="Y150" t="s">
        <v>162</v>
      </c>
      <c r="Z150">
        <v>2013</v>
      </c>
      <c r="AA150">
        <v>2002</v>
      </c>
      <c r="AB150" s="5">
        <v>3.6167018409200002E-2</v>
      </c>
      <c r="AC150" s="5">
        <v>7.2334036818400005E-2</v>
      </c>
      <c r="AD150" t="s">
        <v>162</v>
      </c>
      <c r="AE150" t="s">
        <v>163</v>
      </c>
      <c r="AF150" t="s">
        <v>162</v>
      </c>
      <c r="AG150" t="s">
        <v>162</v>
      </c>
      <c r="AH150" t="s">
        <v>162</v>
      </c>
      <c r="AI150" t="s">
        <v>162</v>
      </c>
      <c r="AJ150" t="s">
        <v>162</v>
      </c>
      <c r="AK150" t="s">
        <v>162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s="60">
        <f t="shared" si="2"/>
        <v>1</v>
      </c>
      <c r="AU150" s="95">
        <v>43336</v>
      </c>
      <c r="AV150" s="94" t="s">
        <v>165</v>
      </c>
      <c r="AW150" t="s">
        <v>162</v>
      </c>
      <c r="AX150">
        <v>2</v>
      </c>
      <c r="AY150" t="s">
        <v>167</v>
      </c>
      <c r="AZ150" t="s">
        <v>162</v>
      </c>
    </row>
    <row r="151" spans="1:52" x14ac:dyDescent="0.25">
      <c r="A151">
        <v>140</v>
      </c>
      <c r="B151" t="s">
        <v>315</v>
      </c>
      <c r="C151" t="s">
        <v>163</v>
      </c>
      <c r="D151" t="s">
        <v>316</v>
      </c>
      <c r="E151" t="s">
        <v>216</v>
      </c>
      <c r="F151" t="s">
        <v>162</v>
      </c>
      <c r="G151">
        <v>548</v>
      </c>
      <c r="H151">
        <v>545</v>
      </c>
      <c r="I151" t="s">
        <v>697</v>
      </c>
      <c r="J151">
        <v>638</v>
      </c>
      <c r="K151">
        <v>639</v>
      </c>
      <c r="L151" t="s">
        <v>405</v>
      </c>
      <c r="M151">
        <v>3</v>
      </c>
      <c r="N151" t="s">
        <v>7</v>
      </c>
      <c r="O151" t="s">
        <v>7</v>
      </c>
      <c r="P151" t="s">
        <v>157</v>
      </c>
      <c r="Q151" t="s">
        <v>162</v>
      </c>
      <c r="R151" t="s">
        <v>407</v>
      </c>
      <c r="S151">
        <v>2018</v>
      </c>
      <c r="T151">
        <v>8</v>
      </c>
      <c r="U151" t="s">
        <v>194</v>
      </c>
      <c r="V151" t="s">
        <v>162</v>
      </c>
      <c r="W151">
        <v>0</v>
      </c>
      <c r="X151">
        <v>0</v>
      </c>
      <c r="Y151" t="s">
        <v>162</v>
      </c>
      <c r="Z151">
        <v>2018</v>
      </c>
      <c r="AA151">
        <v>0</v>
      </c>
      <c r="AB151" s="5">
        <v>0.117557975111</v>
      </c>
      <c r="AC151" s="5">
        <v>0.23511595022199999</v>
      </c>
      <c r="AD151" t="s">
        <v>162</v>
      </c>
      <c r="AE151" t="s">
        <v>163</v>
      </c>
      <c r="AF151" t="s">
        <v>162</v>
      </c>
      <c r="AG151" t="s">
        <v>162</v>
      </c>
      <c r="AH151" t="s">
        <v>163</v>
      </c>
      <c r="AI151" t="s">
        <v>194</v>
      </c>
      <c r="AJ151" t="s">
        <v>166</v>
      </c>
      <c r="AK151" t="s">
        <v>162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 s="60">
        <f t="shared" si="2"/>
        <v>1</v>
      </c>
      <c r="AU151" s="95" t="s">
        <v>227</v>
      </c>
      <c r="AV151" t="s">
        <v>165</v>
      </c>
      <c r="AW151" t="s">
        <v>166</v>
      </c>
      <c r="AX151">
        <v>1</v>
      </c>
      <c r="AY151" t="s">
        <v>167</v>
      </c>
      <c r="AZ151" t="s">
        <v>162</v>
      </c>
    </row>
    <row r="152" spans="1:52" x14ac:dyDescent="0.25">
      <c r="A152">
        <v>141</v>
      </c>
      <c r="B152" t="s">
        <v>698</v>
      </c>
      <c r="C152" t="s">
        <v>163</v>
      </c>
      <c r="D152" t="s">
        <v>699</v>
      </c>
      <c r="E152" t="s">
        <v>216</v>
      </c>
      <c r="F152" t="s">
        <v>162</v>
      </c>
      <c r="G152">
        <v>4000</v>
      </c>
      <c r="H152">
        <v>4001</v>
      </c>
      <c r="I152" t="s">
        <v>477</v>
      </c>
      <c r="J152">
        <v>4558</v>
      </c>
      <c r="K152">
        <v>4559</v>
      </c>
      <c r="L152" t="s">
        <v>446</v>
      </c>
      <c r="M152">
        <v>2</v>
      </c>
      <c r="N152" t="s">
        <v>15</v>
      </c>
      <c r="O152" t="s">
        <v>15</v>
      </c>
      <c r="P152" t="s">
        <v>175</v>
      </c>
      <c r="Q152" t="s">
        <v>162</v>
      </c>
      <c r="R152" t="s">
        <v>249</v>
      </c>
      <c r="S152">
        <v>2007</v>
      </c>
      <c r="T152">
        <v>5</v>
      </c>
      <c r="U152" t="s">
        <v>162</v>
      </c>
      <c r="V152" t="s">
        <v>289</v>
      </c>
      <c r="W152">
        <v>2013</v>
      </c>
      <c r="X152">
        <v>11</v>
      </c>
      <c r="Y152" t="s">
        <v>123</v>
      </c>
      <c r="Z152">
        <v>2013</v>
      </c>
      <c r="AA152">
        <v>2013</v>
      </c>
      <c r="AB152" s="5">
        <v>0.75431891986999999</v>
      </c>
      <c r="AC152" s="5">
        <v>1.50863783974</v>
      </c>
      <c r="AD152" t="s">
        <v>162</v>
      </c>
      <c r="AE152" t="s">
        <v>163</v>
      </c>
      <c r="AF152" t="s">
        <v>162</v>
      </c>
      <c r="AG152" t="s">
        <v>162</v>
      </c>
      <c r="AH152" t="s">
        <v>162</v>
      </c>
      <c r="AI152" t="s">
        <v>162</v>
      </c>
      <c r="AJ152" t="s">
        <v>162</v>
      </c>
      <c r="AK152" t="s">
        <v>162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60">
        <f t="shared" si="2"/>
        <v>1</v>
      </c>
      <c r="AU152" s="95">
        <v>43343</v>
      </c>
      <c r="AV152" s="94" t="s">
        <v>165</v>
      </c>
      <c r="AW152" t="s">
        <v>162</v>
      </c>
      <c r="AX152">
        <v>2</v>
      </c>
      <c r="AY152" t="s">
        <v>167</v>
      </c>
      <c r="AZ152" t="s">
        <v>162</v>
      </c>
    </row>
    <row r="153" spans="1:52" x14ac:dyDescent="0.25">
      <c r="A153">
        <v>142</v>
      </c>
      <c r="B153" t="s">
        <v>444</v>
      </c>
      <c r="C153" t="s">
        <v>163</v>
      </c>
      <c r="D153" t="s">
        <v>444</v>
      </c>
      <c r="E153" t="s">
        <v>162</v>
      </c>
      <c r="F153" t="s">
        <v>162</v>
      </c>
      <c r="G153">
        <v>3800</v>
      </c>
      <c r="H153">
        <v>3801</v>
      </c>
      <c r="I153" t="s">
        <v>700</v>
      </c>
      <c r="J153">
        <v>3910</v>
      </c>
      <c r="K153">
        <v>3911</v>
      </c>
      <c r="L153" t="s">
        <v>684</v>
      </c>
      <c r="M153">
        <v>2</v>
      </c>
      <c r="N153" t="s">
        <v>9</v>
      </c>
      <c r="O153" t="s">
        <v>9</v>
      </c>
      <c r="P153" t="s">
        <v>157</v>
      </c>
      <c r="Q153" t="s">
        <v>701</v>
      </c>
      <c r="R153" t="s">
        <v>502</v>
      </c>
      <c r="S153">
        <v>2017</v>
      </c>
      <c r="T153">
        <v>6</v>
      </c>
      <c r="U153" t="s">
        <v>123</v>
      </c>
      <c r="V153" t="s">
        <v>162</v>
      </c>
      <c r="W153">
        <v>0</v>
      </c>
      <c r="X153">
        <v>0</v>
      </c>
      <c r="Y153" t="s">
        <v>162</v>
      </c>
      <c r="Z153">
        <v>2017</v>
      </c>
      <c r="AA153">
        <v>2017</v>
      </c>
      <c r="AB153" s="5">
        <v>0.13775287452099999</v>
      </c>
      <c r="AC153" s="5">
        <v>0.27550574904199998</v>
      </c>
      <c r="AD153" t="s">
        <v>162</v>
      </c>
      <c r="AE153" t="s">
        <v>163</v>
      </c>
      <c r="AF153" t="s">
        <v>162</v>
      </c>
      <c r="AG153" t="s">
        <v>162</v>
      </c>
      <c r="AH153" t="s">
        <v>162</v>
      </c>
      <c r="AI153" t="s">
        <v>162</v>
      </c>
      <c r="AJ153" t="s">
        <v>162</v>
      </c>
      <c r="AK153" t="s">
        <v>162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 s="60">
        <f t="shared" si="2"/>
        <v>1</v>
      </c>
      <c r="AU153" s="95">
        <v>43339</v>
      </c>
      <c r="AV153" s="94" t="s">
        <v>165</v>
      </c>
      <c r="AW153" t="s">
        <v>163</v>
      </c>
      <c r="AX153">
        <v>2</v>
      </c>
      <c r="AY153" t="s">
        <v>167</v>
      </c>
      <c r="AZ153" t="s">
        <v>162</v>
      </c>
    </row>
    <row r="154" spans="1:52" x14ac:dyDescent="0.25">
      <c r="A154">
        <v>143</v>
      </c>
      <c r="B154" t="s">
        <v>514</v>
      </c>
      <c r="C154" t="s">
        <v>163</v>
      </c>
      <c r="D154" t="s">
        <v>515</v>
      </c>
      <c r="E154" t="s">
        <v>216</v>
      </c>
      <c r="F154" t="s">
        <v>162</v>
      </c>
      <c r="G154">
        <v>2400</v>
      </c>
      <c r="H154">
        <v>2401</v>
      </c>
      <c r="I154" t="s">
        <v>652</v>
      </c>
      <c r="J154">
        <v>2784</v>
      </c>
      <c r="K154">
        <v>2785</v>
      </c>
      <c r="L154" t="s">
        <v>239</v>
      </c>
      <c r="M154">
        <v>2</v>
      </c>
      <c r="N154" t="s">
        <v>11</v>
      </c>
      <c r="O154" t="s">
        <v>11</v>
      </c>
      <c r="P154" t="s">
        <v>169</v>
      </c>
      <c r="Q154" t="s">
        <v>162</v>
      </c>
      <c r="R154" t="s">
        <v>508</v>
      </c>
      <c r="S154">
        <v>2004</v>
      </c>
      <c r="T154">
        <v>9</v>
      </c>
      <c r="U154" t="s">
        <v>162</v>
      </c>
      <c r="V154" t="s">
        <v>267</v>
      </c>
      <c r="W154">
        <v>2018</v>
      </c>
      <c r="X154">
        <v>8</v>
      </c>
      <c r="Y154" t="s">
        <v>162</v>
      </c>
      <c r="Z154">
        <v>2018</v>
      </c>
      <c r="AA154">
        <v>2014</v>
      </c>
      <c r="AB154" s="5">
        <v>0.70940160317400003</v>
      </c>
      <c r="AC154" s="5">
        <v>1.41880320635</v>
      </c>
      <c r="AD154" t="s">
        <v>162</v>
      </c>
      <c r="AE154" t="s">
        <v>163</v>
      </c>
      <c r="AF154" t="s">
        <v>162</v>
      </c>
      <c r="AG154" t="s">
        <v>162</v>
      </c>
      <c r="AH154" t="s">
        <v>162</v>
      </c>
      <c r="AI154" t="s">
        <v>162</v>
      </c>
      <c r="AJ154" t="s">
        <v>162</v>
      </c>
      <c r="AK154" t="s">
        <v>162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60">
        <f t="shared" si="2"/>
        <v>1</v>
      </c>
      <c r="AU154" s="95">
        <v>43341</v>
      </c>
      <c r="AV154" t="s">
        <v>165</v>
      </c>
      <c r="AW154" t="s">
        <v>162</v>
      </c>
      <c r="AX154">
        <v>2</v>
      </c>
      <c r="AY154" t="s">
        <v>167</v>
      </c>
      <c r="AZ154" t="s">
        <v>162</v>
      </c>
    </row>
    <row r="155" spans="1:52" x14ac:dyDescent="0.25">
      <c r="A155">
        <v>144</v>
      </c>
      <c r="B155" t="s">
        <v>453</v>
      </c>
      <c r="C155" t="s">
        <v>163</v>
      </c>
      <c r="D155" t="s">
        <v>454</v>
      </c>
      <c r="E155" t="s">
        <v>216</v>
      </c>
      <c r="F155" t="s">
        <v>162</v>
      </c>
      <c r="G155">
        <v>3200</v>
      </c>
      <c r="H155">
        <v>3201</v>
      </c>
      <c r="I155" t="s">
        <v>565</v>
      </c>
      <c r="J155">
        <v>3458</v>
      </c>
      <c r="K155">
        <v>3459</v>
      </c>
      <c r="L155" t="s">
        <v>702</v>
      </c>
      <c r="M155">
        <v>3</v>
      </c>
      <c r="N155" t="s">
        <v>15</v>
      </c>
      <c r="O155" t="s">
        <v>15</v>
      </c>
      <c r="P155" t="s">
        <v>175</v>
      </c>
      <c r="Q155" t="s">
        <v>162</v>
      </c>
      <c r="R155" t="s">
        <v>249</v>
      </c>
      <c r="S155">
        <v>2007</v>
      </c>
      <c r="T155">
        <v>6</v>
      </c>
      <c r="U155" t="s">
        <v>162</v>
      </c>
      <c r="V155" t="s">
        <v>540</v>
      </c>
      <c r="W155">
        <v>2009</v>
      </c>
      <c r="X155">
        <v>6</v>
      </c>
      <c r="Y155" t="s">
        <v>123</v>
      </c>
      <c r="Z155">
        <v>2009</v>
      </c>
      <c r="AA155">
        <v>2009</v>
      </c>
      <c r="AB155" s="5">
        <v>0.37801205862199999</v>
      </c>
      <c r="AC155" s="5">
        <v>0.75602411724399998</v>
      </c>
      <c r="AD155" t="s">
        <v>162</v>
      </c>
      <c r="AE155" t="s">
        <v>163</v>
      </c>
      <c r="AF155" t="s">
        <v>162</v>
      </c>
      <c r="AG155" t="s">
        <v>162</v>
      </c>
      <c r="AH155" t="s">
        <v>162</v>
      </c>
      <c r="AI155" t="s">
        <v>162</v>
      </c>
      <c r="AJ155" t="s">
        <v>162</v>
      </c>
      <c r="AK155" t="s">
        <v>162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60">
        <f t="shared" si="2"/>
        <v>1</v>
      </c>
      <c r="AU155" s="95">
        <v>43340</v>
      </c>
      <c r="AV155" t="s">
        <v>165</v>
      </c>
      <c r="AW155" t="s">
        <v>162</v>
      </c>
      <c r="AX155">
        <v>2</v>
      </c>
      <c r="AY155" t="s">
        <v>167</v>
      </c>
      <c r="AZ155" t="s">
        <v>162</v>
      </c>
    </row>
    <row r="156" spans="1:52" x14ac:dyDescent="0.25">
      <c r="A156">
        <v>145</v>
      </c>
      <c r="B156" t="s">
        <v>629</v>
      </c>
      <c r="C156" t="s">
        <v>151</v>
      </c>
      <c r="D156" t="s">
        <v>630</v>
      </c>
      <c r="E156" t="s">
        <v>222</v>
      </c>
      <c r="F156" t="s">
        <v>162</v>
      </c>
      <c r="G156">
        <v>1357</v>
      </c>
      <c r="H156">
        <v>1356</v>
      </c>
      <c r="I156" t="s">
        <v>703</v>
      </c>
      <c r="J156">
        <v>1328</v>
      </c>
      <c r="K156">
        <v>1321</v>
      </c>
      <c r="L156" t="s">
        <v>230</v>
      </c>
      <c r="M156">
        <v>4</v>
      </c>
      <c r="N156" t="s">
        <v>15</v>
      </c>
      <c r="O156" t="s">
        <v>15</v>
      </c>
      <c r="P156" t="s">
        <v>157</v>
      </c>
      <c r="Q156" t="s">
        <v>704</v>
      </c>
      <c r="R156" t="s">
        <v>705</v>
      </c>
      <c r="S156">
        <v>2015</v>
      </c>
      <c r="T156">
        <v>8</v>
      </c>
      <c r="U156" t="s">
        <v>706</v>
      </c>
      <c r="V156" t="s">
        <v>210</v>
      </c>
      <c r="W156">
        <v>2018</v>
      </c>
      <c r="X156">
        <v>11</v>
      </c>
      <c r="Y156" t="s">
        <v>580</v>
      </c>
      <c r="Z156">
        <v>2018</v>
      </c>
      <c r="AA156">
        <v>2018</v>
      </c>
      <c r="AB156" s="5">
        <v>7.9677738298200004E-2</v>
      </c>
      <c r="AC156" s="5">
        <v>0.159355476596</v>
      </c>
      <c r="AD156" t="s">
        <v>162</v>
      </c>
      <c r="AE156" t="s">
        <v>163</v>
      </c>
      <c r="AF156" t="s">
        <v>162</v>
      </c>
      <c r="AG156" t="s">
        <v>162</v>
      </c>
      <c r="AH156" t="s">
        <v>162</v>
      </c>
      <c r="AI156" t="s">
        <v>162</v>
      </c>
      <c r="AJ156" t="s">
        <v>162</v>
      </c>
      <c r="AK156" t="s">
        <v>162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 s="60">
        <f t="shared" si="2"/>
        <v>1</v>
      </c>
      <c r="AU156" s="95">
        <v>43342</v>
      </c>
      <c r="AV156" s="94" t="s">
        <v>165</v>
      </c>
      <c r="AW156" t="s">
        <v>162</v>
      </c>
      <c r="AX156">
        <v>2</v>
      </c>
      <c r="AY156" t="s">
        <v>167</v>
      </c>
      <c r="AZ156" t="s">
        <v>162</v>
      </c>
    </row>
    <row r="157" spans="1:52" x14ac:dyDescent="0.25">
      <c r="A157">
        <v>146</v>
      </c>
      <c r="B157" t="s">
        <v>681</v>
      </c>
      <c r="C157" t="s">
        <v>151</v>
      </c>
      <c r="D157" t="s">
        <v>682</v>
      </c>
      <c r="E157" t="s">
        <v>216</v>
      </c>
      <c r="F157" t="s">
        <v>162</v>
      </c>
      <c r="G157">
        <v>2251</v>
      </c>
      <c r="H157">
        <v>2252</v>
      </c>
      <c r="I157" t="s">
        <v>482</v>
      </c>
      <c r="J157">
        <v>2201</v>
      </c>
      <c r="K157">
        <v>2200</v>
      </c>
      <c r="L157" t="s">
        <v>326</v>
      </c>
      <c r="M157">
        <v>4</v>
      </c>
      <c r="N157" t="s">
        <v>15</v>
      </c>
      <c r="O157" t="s">
        <v>15</v>
      </c>
      <c r="P157" t="s">
        <v>175</v>
      </c>
      <c r="Q157" t="s">
        <v>162</v>
      </c>
      <c r="R157" t="s">
        <v>577</v>
      </c>
      <c r="S157">
        <v>2008</v>
      </c>
      <c r="T157">
        <v>9</v>
      </c>
      <c r="U157" t="s">
        <v>162</v>
      </c>
      <c r="V157" t="s">
        <v>439</v>
      </c>
      <c r="W157">
        <v>2014</v>
      </c>
      <c r="X157">
        <v>6</v>
      </c>
      <c r="Y157" t="s">
        <v>123</v>
      </c>
      <c r="Z157">
        <v>2014</v>
      </c>
      <c r="AA157">
        <v>2014</v>
      </c>
      <c r="AB157" s="5">
        <v>0.113564836487</v>
      </c>
      <c r="AC157" s="5">
        <v>0.227129672974</v>
      </c>
      <c r="AD157" t="s">
        <v>162</v>
      </c>
      <c r="AE157" t="s">
        <v>163</v>
      </c>
      <c r="AF157" t="s">
        <v>162</v>
      </c>
      <c r="AG157" t="s">
        <v>162</v>
      </c>
      <c r="AH157" t="s">
        <v>162</v>
      </c>
      <c r="AI157" t="s">
        <v>162</v>
      </c>
      <c r="AJ157" t="s">
        <v>162</v>
      </c>
      <c r="AK157" t="s">
        <v>162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s="60">
        <f t="shared" si="2"/>
        <v>1</v>
      </c>
      <c r="AU157" s="95">
        <v>43343</v>
      </c>
      <c r="AV157" s="94" t="s">
        <v>165</v>
      </c>
      <c r="AW157" t="s">
        <v>162</v>
      </c>
      <c r="AX157">
        <v>2</v>
      </c>
      <c r="AY157" t="s">
        <v>167</v>
      </c>
      <c r="AZ157" t="s">
        <v>162</v>
      </c>
    </row>
    <row r="158" spans="1:52" x14ac:dyDescent="0.25">
      <c r="A158">
        <v>147</v>
      </c>
      <c r="B158" t="s">
        <v>484</v>
      </c>
      <c r="C158" t="s">
        <v>151</v>
      </c>
      <c r="D158" t="s">
        <v>485</v>
      </c>
      <c r="E158" t="s">
        <v>172</v>
      </c>
      <c r="F158" t="s">
        <v>162</v>
      </c>
      <c r="G158">
        <v>1550</v>
      </c>
      <c r="H158">
        <v>1551</v>
      </c>
      <c r="I158" t="s">
        <v>302</v>
      </c>
      <c r="J158">
        <v>1525</v>
      </c>
      <c r="K158">
        <v>1526</v>
      </c>
      <c r="L158" t="s">
        <v>384</v>
      </c>
      <c r="M158">
        <v>3</v>
      </c>
      <c r="N158" t="s">
        <v>11</v>
      </c>
      <c r="O158" t="s">
        <v>11</v>
      </c>
      <c r="P158" t="s">
        <v>175</v>
      </c>
      <c r="Q158" t="s">
        <v>707</v>
      </c>
      <c r="R158" t="s">
        <v>431</v>
      </c>
      <c r="S158">
        <v>2002</v>
      </c>
      <c r="T158">
        <v>8</v>
      </c>
      <c r="U158" t="s">
        <v>123</v>
      </c>
      <c r="V158" t="s">
        <v>161</v>
      </c>
      <c r="W158">
        <v>2020</v>
      </c>
      <c r="X158">
        <v>0</v>
      </c>
      <c r="Y158" t="s">
        <v>162</v>
      </c>
      <c r="Z158">
        <v>2020</v>
      </c>
      <c r="AA158">
        <v>2002</v>
      </c>
      <c r="AB158" s="5">
        <v>7.6079644831000007E-2</v>
      </c>
      <c r="AC158" s="5">
        <v>0.15215928966200001</v>
      </c>
      <c r="AD158" t="s">
        <v>162</v>
      </c>
      <c r="AE158" t="s">
        <v>163</v>
      </c>
      <c r="AF158" t="s">
        <v>162</v>
      </c>
      <c r="AG158" t="s">
        <v>162</v>
      </c>
      <c r="AH158" t="s">
        <v>162</v>
      </c>
      <c r="AI158" t="s">
        <v>162</v>
      </c>
      <c r="AJ158" t="s">
        <v>162</v>
      </c>
      <c r="AK158" t="s">
        <v>162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 s="60">
        <f t="shared" si="2"/>
        <v>1</v>
      </c>
      <c r="AU158" s="95" t="s">
        <v>187</v>
      </c>
      <c r="AV158" s="94" t="s">
        <v>165</v>
      </c>
      <c r="AW158" t="s">
        <v>162</v>
      </c>
      <c r="AX158">
        <v>2</v>
      </c>
      <c r="AY158" t="s">
        <v>167</v>
      </c>
      <c r="AZ158" t="s">
        <v>162</v>
      </c>
    </row>
    <row r="159" spans="1:52" x14ac:dyDescent="0.25">
      <c r="A159">
        <v>148</v>
      </c>
      <c r="B159" t="s">
        <v>648</v>
      </c>
      <c r="C159" t="s">
        <v>151</v>
      </c>
      <c r="D159" t="s">
        <v>649</v>
      </c>
      <c r="E159" t="s">
        <v>172</v>
      </c>
      <c r="F159" t="s">
        <v>162</v>
      </c>
      <c r="G159">
        <v>1959</v>
      </c>
      <c r="H159">
        <v>1958</v>
      </c>
      <c r="I159" t="s">
        <v>191</v>
      </c>
      <c r="J159">
        <v>1535</v>
      </c>
      <c r="K159">
        <v>1546</v>
      </c>
      <c r="L159" t="s">
        <v>708</v>
      </c>
      <c r="M159">
        <v>3</v>
      </c>
      <c r="N159" t="s">
        <v>9</v>
      </c>
      <c r="O159" t="s">
        <v>9</v>
      </c>
      <c r="P159" t="s">
        <v>157</v>
      </c>
      <c r="Q159" t="s">
        <v>709</v>
      </c>
      <c r="R159" t="s">
        <v>463</v>
      </c>
      <c r="S159">
        <v>2015</v>
      </c>
      <c r="T159">
        <v>6</v>
      </c>
      <c r="U159" t="s">
        <v>162</v>
      </c>
      <c r="V159" t="s">
        <v>162</v>
      </c>
      <c r="W159">
        <v>0</v>
      </c>
      <c r="X159">
        <v>0</v>
      </c>
      <c r="Y159" t="s">
        <v>162</v>
      </c>
      <c r="Z159">
        <v>2015</v>
      </c>
      <c r="AA159">
        <v>0</v>
      </c>
      <c r="AB159" s="5">
        <v>0.44027712568799998</v>
      </c>
      <c r="AC159" s="5">
        <v>0.88055425137599996</v>
      </c>
      <c r="AD159" t="s">
        <v>162</v>
      </c>
      <c r="AE159" t="s">
        <v>163</v>
      </c>
      <c r="AF159" t="s">
        <v>162</v>
      </c>
      <c r="AG159" t="s">
        <v>162</v>
      </c>
      <c r="AH159" t="s">
        <v>162</v>
      </c>
      <c r="AI159" t="s">
        <v>162</v>
      </c>
      <c r="AJ159" t="s">
        <v>162</v>
      </c>
      <c r="AK159" t="s">
        <v>162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 s="60">
        <f t="shared" si="2"/>
        <v>1</v>
      </c>
      <c r="AU159" s="95">
        <v>43343</v>
      </c>
      <c r="AV159" s="94" t="s">
        <v>165</v>
      </c>
      <c r="AW159" t="s">
        <v>163</v>
      </c>
      <c r="AX159">
        <v>2</v>
      </c>
      <c r="AY159" t="s">
        <v>167</v>
      </c>
      <c r="AZ159" t="s">
        <v>162</v>
      </c>
    </row>
    <row r="160" spans="1:52" x14ac:dyDescent="0.25">
      <c r="A160">
        <v>149</v>
      </c>
      <c r="B160" t="s">
        <v>315</v>
      </c>
      <c r="C160" t="s">
        <v>163</v>
      </c>
      <c r="D160" t="s">
        <v>316</v>
      </c>
      <c r="E160" t="s">
        <v>216</v>
      </c>
      <c r="F160" t="s">
        <v>154</v>
      </c>
      <c r="G160">
        <v>456</v>
      </c>
      <c r="H160">
        <v>455</v>
      </c>
      <c r="I160" t="s">
        <v>710</v>
      </c>
      <c r="J160">
        <v>546</v>
      </c>
      <c r="K160">
        <v>535</v>
      </c>
      <c r="L160" t="s">
        <v>697</v>
      </c>
      <c r="M160">
        <v>3</v>
      </c>
      <c r="N160" t="s">
        <v>7</v>
      </c>
      <c r="O160" t="s">
        <v>7</v>
      </c>
      <c r="P160" t="s">
        <v>157</v>
      </c>
      <c r="Q160" t="s">
        <v>162</v>
      </c>
      <c r="R160" t="s">
        <v>193</v>
      </c>
      <c r="S160">
        <v>2022</v>
      </c>
      <c r="T160">
        <v>11</v>
      </c>
      <c r="U160" t="s">
        <v>162</v>
      </c>
      <c r="V160" t="s">
        <v>162</v>
      </c>
      <c r="W160">
        <v>0</v>
      </c>
      <c r="X160">
        <v>0</v>
      </c>
      <c r="Y160" t="s">
        <v>162</v>
      </c>
      <c r="Z160">
        <v>2022</v>
      </c>
      <c r="AA160">
        <v>2022</v>
      </c>
      <c r="AB160" s="5">
        <v>0.222835321359</v>
      </c>
      <c r="AC160" s="5">
        <v>0.445670642718</v>
      </c>
      <c r="AD160" t="s">
        <v>154</v>
      </c>
      <c r="AE160" t="s">
        <v>163</v>
      </c>
      <c r="AF160" t="s">
        <v>154</v>
      </c>
      <c r="AG160" t="s">
        <v>154</v>
      </c>
      <c r="AH160" t="s">
        <v>154</v>
      </c>
      <c r="AI160" t="s">
        <v>194</v>
      </c>
      <c r="AJ160" t="s">
        <v>154</v>
      </c>
      <c r="AK160" t="s">
        <v>162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 s="60">
        <f t="shared" si="2"/>
        <v>1</v>
      </c>
      <c r="AU160" s="95" t="s">
        <v>195</v>
      </c>
      <c r="AV160" t="s">
        <v>165</v>
      </c>
      <c r="AW160" t="s">
        <v>166</v>
      </c>
      <c r="AX160">
        <v>2</v>
      </c>
      <c r="AY160" t="s">
        <v>167</v>
      </c>
      <c r="AZ160">
        <v>30</v>
      </c>
    </row>
    <row r="161" spans="1:52" x14ac:dyDescent="0.25">
      <c r="A161">
        <v>150</v>
      </c>
      <c r="B161" t="s">
        <v>514</v>
      </c>
      <c r="C161" t="s">
        <v>163</v>
      </c>
      <c r="D161" t="s">
        <v>515</v>
      </c>
      <c r="E161" t="s">
        <v>216</v>
      </c>
      <c r="F161" t="s">
        <v>162</v>
      </c>
      <c r="G161">
        <v>2000</v>
      </c>
      <c r="H161">
        <v>2001</v>
      </c>
      <c r="I161" t="s">
        <v>235</v>
      </c>
      <c r="J161">
        <v>2076</v>
      </c>
      <c r="K161">
        <v>2077</v>
      </c>
      <c r="L161" t="s">
        <v>711</v>
      </c>
      <c r="M161">
        <v>3</v>
      </c>
      <c r="N161" t="s">
        <v>9</v>
      </c>
      <c r="O161" t="s">
        <v>9</v>
      </c>
      <c r="P161" t="s">
        <v>157</v>
      </c>
      <c r="Q161" t="s">
        <v>712</v>
      </c>
      <c r="R161" t="s">
        <v>320</v>
      </c>
      <c r="S161">
        <v>2015</v>
      </c>
      <c r="T161">
        <v>5</v>
      </c>
      <c r="U161" t="s">
        <v>123</v>
      </c>
      <c r="V161" t="s">
        <v>162</v>
      </c>
      <c r="W161">
        <v>0</v>
      </c>
      <c r="X161">
        <v>0</v>
      </c>
      <c r="Y161" t="s">
        <v>162</v>
      </c>
      <c r="Z161">
        <v>2015</v>
      </c>
      <c r="AA161">
        <v>2015</v>
      </c>
      <c r="AB161" s="5">
        <v>0.17798738585000001</v>
      </c>
      <c r="AC161" s="5">
        <v>0.35597477170000003</v>
      </c>
      <c r="AD161" t="s">
        <v>162</v>
      </c>
      <c r="AE161" t="s">
        <v>163</v>
      </c>
      <c r="AF161" t="s">
        <v>162</v>
      </c>
      <c r="AG161" t="s">
        <v>162</v>
      </c>
      <c r="AH161" t="s">
        <v>162</v>
      </c>
      <c r="AI161" t="s">
        <v>162</v>
      </c>
      <c r="AJ161" t="s">
        <v>162</v>
      </c>
      <c r="AK161" t="s">
        <v>162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60">
        <f t="shared" si="2"/>
        <v>1</v>
      </c>
      <c r="AU161" s="95">
        <v>43341</v>
      </c>
      <c r="AV161" t="s">
        <v>165</v>
      </c>
      <c r="AW161" t="s">
        <v>163</v>
      </c>
      <c r="AX161">
        <v>2</v>
      </c>
      <c r="AY161" t="s">
        <v>167</v>
      </c>
      <c r="AZ161" t="s">
        <v>162</v>
      </c>
    </row>
    <row r="162" spans="1:52" x14ac:dyDescent="0.25">
      <c r="A162">
        <v>151</v>
      </c>
      <c r="B162" t="s">
        <v>453</v>
      </c>
      <c r="C162" t="s">
        <v>180</v>
      </c>
      <c r="D162" t="s">
        <v>454</v>
      </c>
      <c r="E162" t="s">
        <v>216</v>
      </c>
      <c r="F162" t="s">
        <v>162</v>
      </c>
      <c r="G162">
        <v>1136</v>
      </c>
      <c r="H162">
        <v>1137</v>
      </c>
      <c r="I162" t="s">
        <v>390</v>
      </c>
      <c r="J162">
        <v>500</v>
      </c>
      <c r="K162">
        <v>501</v>
      </c>
      <c r="L162" t="s">
        <v>507</v>
      </c>
      <c r="M162">
        <v>3</v>
      </c>
      <c r="N162" t="s">
        <v>11</v>
      </c>
      <c r="O162" t="s">
        <v>11</v>
      </c>
      <c r="P162" t="s">
        <v>175</v>
      </c>
      <c r="Q162" t="s">
        <v>162</v>
      </c>
      <c r="R162" t="s">
        <v>713</v>
      </c>
      <c r="S162">
        <v>2001</v>
      </c>
      <c r="T162">
        <v>9</v>
      </c>
      <c r="U162" t="s">
        <v>162</v>
      </c>
      <c r="V162" t="s">
        <v>611</v>
      </c>
      <c r="W162">
        <v>2016</v>
      </c>
      <c r="X162">
        <v>6</v>
      </c>
      <c r="Y162" t="s">
        <v>162</v>
      </c>
      <c r="Z162">
        <v>2016</v>
      </c>
      <c r="AA162">
        <v>2001</v>
      </c>
      <c r="AB162" s="5">
        <v>0.57068595816699996</v>
      </c>
      <c r="AC162" s="5">
        <v>1.14137191633</v>
      </c>
      <c r="AD162" t="s">
        <v>162</v>
      </c>
      <c r="AE162" t="s">
        <v>163</v>
      </c>
      <c r="AF162" t="s">
        <v>162</v>
      </c>
      <c r="AG162" t="s">
        <v>162</v>
      </c>
      <c r="AH162" t="s">
        <v>162</v>
      </c>
      <c r="AI162" t="s">
        <v>162</v>
      </c>
      <c r="AJ162" t="s">
        <v>162</v>
      </c>
      <c r="AK162" t="s">
        <v>162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 s="60">
        <f t="shared" si="2"/>
        <v>1</v>
      </c>
      <c r="AU162" s="95">
        <v>43340</v>
      </c>
      <c r="AV162" s="94" t="s">
        <v>165</v>
      </c>
      <c r="AW162" t="s">
        <v>162</v>
      </c>
      <c r="AX162">
        <v>2</v>
      </c>
      <c r="AY162" t="s">
        <v>167</v>
      </c>
      <c r="AZ162" t="s">
        <v>162</v>
      </c>
    </row>
    <row r="163" spans="1:52" x14ac:dyDescent="0.25">
      <c r="A163">
        <v>152</v>
      </c>
      <c r="B163" t="s">
        <v>453</v>
      </c>
      <c r="C163" t="s">
        <v>163</v>
      </c>
      <c r="D163" t="s">
        <v>454</v>
      </c>
      <c r="E163" t="s">
        <v>216</v>
      </c>
      <c r="F163" t="s">
        <v>162</v>
      </c>
      <c r="G163">
        <v>2300</v>
      </c>
      <c r="H163">
        <v>2301</v>
      </c>
      <c r="I163" t="s">
        <v>714</v>
      </c>
      <c r="J163">
        <v>2347</v>
      </c>
      <c r="K163">
        <v>2375</v>
      </c>
      <c r="L163" t="s">
        <v>652</v>
      </c>
      <c r="M163">
        <v>3</v>
      </c>
      <c r="N163" t="s">
        <v>15</v>
      </c>
      <c r="O163" t="s">
        <v>15</v>
      </c>
      <c r="P163" t="s">
        <v>175</v>
      </c>
      <c r="Q163" t="s">
        <v>715</v>
      </c>
      <c r="R163" t="s">
        <v>249</v>
      </c>
      <c r="S163">
        <v>2007</v>
      </c>
      <c r="T163">
        <v>6</v>
      </c>
      <c r="U163" t="s">
        <v>162</v>
      </c>
      <c r="V163" t="s">
        <v>455</v>
      </c>
      <c r="W163">
        <v>2020</v>
      </c>
      <c r="X163">
        <v>0</v>
      </c>
      <c r="Y163" t="s">
        <v>123</v>
      </c>
      <c r="Z163">
        <v>2020</v>
      </c>
      <c r="AA163">
        <v>2020</v>
      </c>
      <c r="AB163" s="5">
        <v>8.56327051192E-2</v>
      </c>
      <c r="AC163" s="5">
        <v>0.17126541023799999</v>
      </c>
      <c r="AD163" t="s">
        <v>162</v>
      </c>
      <c r="AE163" t="s">
        <v>163</v>
      </c>
      <c r="AF163" t="s">
        <v>162</v>
      </c>
      <c r="AG163" t="s">
        <v>162</v>
      </c>
      <c r="AH163" t="s">
        <v>162</v>
      </c>
      <c r="AI163" t="s">
        <v>162</v>
      </c>
      <c r="AJ163" t="s">
        <v>162</v>
      </c>
      <c r="AK163" t="s">
        <v>162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 s="60">
        <f t="shared" si="2"/>
        <v>1</v>
      </c>
      <c r="AU163" s="95" t="s">
        <v>187</v>
      </c>
      <c r="AV163" s="94" t="s">
        <v>165</v>
      </c>
      <c r="AW163" t="s">
        <v>162</v>
      </c>
      <c r="AX163">
        <v>2</v>
      </c>
      <c r="AY163" t="s">
        <v>167</v>
      </c>
      <c r="AZ163" t="s">
        <v>162</v>
      </c>
    </row>
    <row r="164" spans="1:52" x14ac:dyDescent="0.25">
      <c r="A164">
        <v>153</v>
      </c>
      <c r="B164" t="s">
        <v>245</v>
      </c>
      <c r="C164" t="s">
        <v>180</v>
      </c>
      <c r="D164" t="s">
        <v>246</v>
      </c>
      <c r="E164" t="s">
        <v>222</v>
      </c>
      <c r="F164" t="s">
        <v>162</v>
      </c>
      <c r="G164">
        <v>1658</v>
      </c>
      <c r="H164">
        <v>1659</v>
      </c>
      <c r="I164" t="s">
        <v>716</v>
      </c>
      <c r="J164">
        <v>1200</v>
      </c>
      <c r="K164">
        <v>1201</v>
      </c>
      <c r="L164" t="s">
        <v>390</v>
      </c>
      <c r="M164">
        <v>3</v>
      </c>
      <c r="N164" t="s">
        <v>11</v>
      </c>
      <c r="O164" t="s">
        <v>11</v>
      </c>
      <c r="P164" t="s">
        <v>175</v>
      </c>
      <c r="Q164" t="s">
        <v>162</v>
      </c>
      <c r="R164" t="s">
        <v>249</v>
      </c>
      <c r="S164">
        <v>2007</v>
      </c>
      <c r="T164">
        <v>10</v>
      </c>
      <c r="U164" t="s">
        <v>162</v>
      </c>
      <c r="V164" t="s">
        <v>452</v>
      </c>
      <c r="W164">
        <v>2014</v>
      </c>
      <c r="X164">
        <v>6</v>
      </c>
      <c r="Y164" t="s">
        <v>162</v>
      </c>
      <c r="Z164">
        <v>2014</v>
      </c>
      <c r="AA164">
        <v>2014</v>
      </c>
      <c r="AB164" s="5">
        <v>0.62975666217199999</v>
      </c>
      <c r="AC164" s="5">
        <v>1.2595133243400001</v>
      </c>
      <c r="AD164" t="s">
        <v>162</v>
      </c>
      <c r="AE164" t="s">
        <v>163</v>
      </c>
      <c r="AF164" t="s">
        <v>162</v>
      </c>
      <c r="AG164" t="s">
        <v>162</v>
      </c>
      <c r="AH164" t="s">
        <v>162</v>
      </c>
      <c r="AI164" t="s">
        <v>162</v>
      </c>
      <c r="AJ164" t="s">
        <v>162</v>
      </c>
      <c r="AK164" t="s">
        <v>162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s="60">
        <f t="shared" si="2"/>
        <v>1</v>
      </c>
      <c r="AU164" s="95">
        <v>43335</v>
      </c>
      <c r="AV164" s="94" t="s">
        <v>165</v>
      </c>
      <c r="AW164" t="s">
        <v>162</v>
      </c>
      <c r="AX164">
        <v>2</v>
      </c>
      <c r="AY164" t="s">
        <v>167</v>
      </c>
      <c r="AZ164" t="s">
        <v>162</v>
      </c>
    </row>
    <row r="165" spans="1:52" x14ac:dyDescent="0.25">
      <c r="A165">
        <v>154</v>
      </c>
      <c r="B165" t="s">
        <v>674</v>
      </c>
      <c r="C165" t="s">
        <v>151</v>
      </c>
      <c r="D165" t="s">
        <v>675</v>
      </c>
      <c r="E165" t="s">
        <v>172</v>
      </c>
      <c r="F165" t="s">
        <v>162</v>
      </c>
      <c r="G165">
        <v>1601</v>
      </c>
      <c r="H165">
        <v>1600</v>
      </c>
      <c r="I165" t="s">
        <v>575</v>
      </c>
      <c r="J165">
        <v>2001</v>
      </c>
      <c r="K165">
        <v>2000</v>
      </c>
      <c r="L165" t="s">
        <v>173</v>
      </c>
      <c r="M165">
        <v>4</v>
      </c>
      <c r="N165" t="s">
        <v>11</v>
      </c>
      <c r="O165" t="s">
        <v>11</v>
      </c>
      <c r="P165" t="s">
        <v>175</v>
      </c>
      <c r="Q165" t="s">
        <v>162</v>
      </c>
      <c r="R165" t="s">
        <v>253</v>
      </c>
      <c r="S165">
        <v>2003</v>
      </c>
      <c r="T165">
        <v>6</v>
      </c>
      <c r="U165" t="s">
        <v>162</v>
      </c>
      <c r="V165" t="s">
        <v>243</v>
      </c>
      <c r="W165">
        <v>2020</v>
      </c>
      <c r="X165">
        <v>0</v>
      </c>
      <c r="Y165" t="s">
        <v>162</v>
      </c>
      <c r="Z165">
        <v>2020</v>
      </c>
      <c r="AA165">
        <v>2006</v>
      </c>
      <c r="AB165" s="5">
        <v>0.50862482777999996</v>
      </c>
      <c r="AC165" s="5">
        <v>1.0172496555599999</v>
      </c>
      <c r="AD165" t="s">
        <v>162</v>
      </c>
      <c r="AE165" t="s">
        <v>163</v>
      </c>
      <c r="AF165" t="s">
        <v>162</v>
      </c>
      <c r="AG165" t="s">
        <v>162</v>
      </c>
      <c r="AH165" t="s">
        <v>162</v>
      </c>
      <c r="AI165" t="s">
        <v>162</v>
      </c>
      <c r="AJ165" t="s">
        <v>162</v>
      </c>
      <c r="AK165" t="s">
        <v>162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 s="60">
        <f t="shared" si="2"/>
        <v>1</v>
      </c>
      <c r="AU165" s="95" t="s">
        <v>350</v>
      </c>
      <c r="AV165" s="94" t="s">
        <v>165</v>
      </c>
      <c r="AW165" t="s">
        <v>162</v>
      </c>
      <c r="AX165">
        <v>2</v>
      </c>
      <c r="AY165" t="s">
        <v>167</v>
      </c>
      <c r="AZ165" t="s">
        <v>162</v>
      </c>
    </row>
    <row r="166" spans="1:52" x14ac:dyDescent="0.25">
      <c r="A166">
        <v>155</v>
      </c>
      <c r="B166" t="s">
        <v>514</v>
      </c>
      <c r="C166" t="s">
        <v>163</v>
      </c>
      <c r="D166" t="s">
        <v>515</v>
      </c>
      <c r="E166" t="s">
        <v>216</v>
      </c>
      <c r="F166" t="s">
        <v>162</v>
      </c>
      <c r="G166">
        <v>3200</v>
      </c>
      <c r="H166">
        <v>3201</v>
      </c>
      <c r="I166" t="s">
        <v>565</v>
      </c>
      <c r="J166">
        <v>4000</v>
      </c>
      <c r="K166">
        <v>4001</v>
      </c>
      <c r="L166" t="s">
        <v>477</v>
      </c>
      <c r="M166">
        <v>3</v>
      </c>
      <c r="N166" t="s">
        <v>11</v>
      </c>
      <c r="O166" t="s">
        <v>11</v>
      </c>
      <c r="P166" t="s">
        <v>157</v>
      </c>
      <c r="Q166" t="s">
        <v>162</v>
      </c>
      <c r="R166" t="s">
        <v>516</v>
      </c>
      <c r="S166">
        <v>2018</v>
      </c>
      <c r="T166">
        <v>10</v>
      </c>
      <c r="U166" t="s">
        <v>517</v>
      </c>
      <c r="V166" t="s">
        <v>516</v>
      </c>
      <c r="W166">
        <v>2018</v>
      </c>
      <c r="X166">
        <v>10</v>
      </c>
      <c r="Y166" t="s">
        <v>162</v>
      </c>
      <c r="Z166">
        <v>2018</v>
      </c>
      <c r="AA166">
        <v>0</v>
      </c>
      <c r="AB166" s="5">
        <v>1.1242804067600001</v>
      </c>
      <c r="AC166" s="5">
        <v>2.2485608135200001</v>
      </c>
      <c r="AD166" t="s">
        <v>162</v>
      </c>
      <c r="AE166" t="s">
        <v>163</v>
      </c>
      <c r="AF166" t="s">
        <v>162</v>
      </c>
      <c r="AG166" t="s">
        <v>162</v>
      </c>
      <c r="AH166" t="s">
        <v>162</v>
      </c>
      <c r="AI166" t="s">
        <v>162</v>
      </c>
      <c r="AJ166" t="s">
        <v>162</v>
      </c>
      <c r="AK166" t="s">
        <v>162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 s="60">
        <f t="shared" si="2"/>
        <v>1</v>
      </c>
      <c r="AU166" s="95">
        <v>43370</v>
      </c>
      <c r="AV166" s="94" t="s">
        <v>165</v>
      </c>
      <c r="AW166" t="s">
        <v>162</v>
      </c>
      <c r="AX166">
        <v>2</v>
      </c>
      <c r="AY166" t="s">
        <v>167</v>
      </c>
      <c r="AZ166" t="s">
        <v>162</v>
      </c>
    </row>
    <row r="167" spans="1:52" x14ac:dyDescent="0.25">
      <c r="A167">
        <v>156</v>
      </c>
      <c r="B167" t="s">
        <v>484</v>
      </c>
      <c r="C167" t="s">
        <v>151</v>
      </c>
      <c r="D167" t="s">
        <v>485</v>
      </c>
      <c r="E167" t="s">
        <v>172</v>
      </c>
      <c r="F167" t="s">
        <v>162</v>
      </c>
      <c r="G167">
        <v>1374</v>
      </c>
      <c r="H167">
        <v>1377</v>
      </c>
      <c r="I167" t="s">
        <v>403</v>
      </c>
      <c r="J167">
        <v>1300</v>
      </c>
      <c r="K167">
        <v>1301</v>
      </c>
      <c r="L167" t="s">
        <v>717</v>
      </c>
      <c r="M167">
        <v>3</v>
      </c>
      <c r="N167" t="s">
        <v>11</v>
      </c>
      <c r="O167" t="s">
        <v>11</v>
      </c>
      <c r="P167" t="s">
        <v>175</v>
      </c>
      <c r="Q167" t="s">
        <v>162</v>
      </c>
      <c r="R167" t="s">
        <v>479</v>
      </c>
      <c r="S167">
        <v>2005</v>
      </c>
      <c r="T167">
        <v>8</v>
      </c>
      <c r="U167" t="s">
        <v>718</v>
      </c>
      <c r="V167" t="s">
        <v>161</v>
      </c>
      <c r="W167">
        <v>2020</v>
      </c>
      <c r="X167">
        <v>0</v>
      </c>
      <c r="Y167" t="s">
        <v>162</v>
      </c>
      <c r="Z167">
        <v>2020</v>
      </c>
      <c r="AA167">
        <v>2005</v>
      </c>
      <c r="AB167" s="5">
        <v>0.15040853210999999</v>
      </c>
      <c r="AC167" s="5">
        <v>0.30081706421999999</v>
      </c>
      <c r="AD167" t="s">
        <v>162</v>
      </c>
      <c r="AE167" t="s">
        <v>163</v>
      </c>
      <c r="AF167" t="s">
        <v>162</v>
      </c>
      <c r="AG167" t="s">
        <v>162</v>
      </c>
      <c r="AH167" t="s">
        <v>162</v>
      </c>
      <c r="AI167" t="s">
        <v>162</v>
      </c>
      <c r="AJ167" t="s">
        <v>162</v>
      </c>
      <c r="AK167" t="s">
        <v>162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60">
        <f t="shared" si="2"/>
        <v>1</v>
      </c>
      <c r="AU167" s="95" t="s">
        <v>187</v>
      </c>
      <c r="AV167" t="s">
        <v>165</v>
      </c>
      <c r="AW167" t="s">
        <v>162</v>
      </c>
      <c r="AX167">
        <v>2</v>
      </c>
      <c r="AY167" t="s">
        <v>167</v>
      </c>
      <c r="AZ167" t="s">
        <v>162</v>
      </c>
    </row>
    <row r="168" spans="1:52" x14ac:dyDescent="0.25">
      <c r="A168">
        <v>157</v>
      </c>
      <c r="B168" t="s">
        <v>719</v>
      </c>
      <c r="C168" t="s">
        <v>180</v>
      </c>
      <c r="D168" t="s">
        <v>720</v>
      </c>
      <c r="E168" t="s">
        <v>172</v>
      </c>
      <c r="F168" t="s">
        <v>180</v>
      </c>
      <c r="G168">
        <v>922</v>
      </c>
      <c r="H168">
        <v>923</v>
      </c>
      <c r="I168" t="s">
        <v>721</v>
      </c>
      <c r="J168">
        <v>600</v>
      </c>
      <c r="K168">
        <v>601</v>
      </c>
      <c r="L168" t="s">
        <v>292</v>
      </c>
      <c r="M168">
        <v>4</v>
      </c>
      <c r="N168" t="s">
        <v>9</v>
      </c>
      <c r="O168" t="s">
        <v>9</v>
      </c>
      <c r="P168" t="s">
        <v>157</v>
      </c>
      <c r="Q168" t="s">
        <v>162</v>
      </c>
      <c r="R168" t="s">
        <v>261</v>
      </c>
      <c r="S168">
        <v>2018</v>
      </c>
      <c r="T168">
        <v>5</v>
      </c>
      <c r="U168" t="s">
        <v>162</v>
      </c>
      <c r="V168" t="s">
        <v>562</v>
      </c>
      <c r="W168">
        <v>2012</v>
      </c>
      <c r="X168">
        <v>11</v>
      </c>
      <c r="Y168" t="s">
        <v>123</v>
      </c>
      <c r="Z168">
        <v>2012</v>
      </c>
      <c r="AA168">
        <v>2012</v>
      </c>
      <c r="AB168" s="5">
        <v>0.32112561693199998</v>
      </c>
      <c r="AC168" s="5">
        <v>0.32112561693199998</v>
      </c>
      <c r="AD168" t="s">
        <v>162</v>
      </c>
      <c r="AE168" t="s">
        <v>166</v>
      </c>
      <c r="AF168" t="s">
        <v>180</v>
      </c>
      <c r="AG168" t="s">
        <v>163</v>
      </c>
      <c r="AH168" t="s">
        <v>162</v>
      </c>
      <c r="AI168" t="s">
        <v>162</v>
      </c>
      <c r="AJ168" t="s">
        <v>162</v>
      </c>
      <c r="AK168" t="s">
        <v>162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s="60">
        <f t="shared" si="2"/>
        <v>1</v>
      </c>
      <c r="AU168" s="95">
        <v>43343</v>
      </c>
      <c r="AV168" t="s">
        <v>165</v>
      </c>
      <c r="AW168" t="s">
        <v>163</v>
      </c>
      <c r="AX168">
        <v>2</v>
      </c>
      <c r="AY168" t="s">
        <v>167</v>
      </c>
      <c r="AZ168" t="s">
        <v>162</v>
      </c>
    </row>
    <row r="169" spans="1:52" x14ac:dyDescent="0.25">
      <c r="A169">
        <v>158</v>
      </c>
      <c r="B169" t="s">
        <v>722</v>
      </c>
      <c r="C169" t="s">
        <v>180</v>
      </c>
      <c r="D169" t="s">
        <v>246</v>
      </c>
      <c r="E169" t="s">
        <v>222</v>
      </c>
      <c r="F169" t="s">
        <v>162</v>
      </c>
      <c r="G169">
        <v>3055</v>
      </c>
      <c r="H169">
        <v>3054</v>
      </c>
      <c r="I169" t="s">
        <v>723</v>
      </c>
      <c r="J169">
        <v>2600</v>
      </c>
      <c r="K169">
        <v>2601</v>
      </c>
      <c r="L169" t="s">
        <v>724</v>
      </c>
      <c r="M169">
        <v>4</v>
      </c>
      <c r="N169" t="s">
        <v>9</v>
      </c>
      <c r="O169" t="s">
        <v>9</v>
      </c>
      <c r="P169" t="s">
        <v>157</v>
      </c>
      <c r="Q169" t="s">
        <v>725</v>
      </c>
      <c r="R169" t="s">
        <v>463</v>
      </c>
      <c r="S169">
        <v>2014</v>
      </c>
      <c r="T169">
        <v>10</v>
      </c>
      <c r="U169" t="s">
        <v>162</v>
      </c>
      <c r="V169" t="s">
        <v>161</v>
      </c>
      <c r="W169">
        <v>2020</v>
      </c>
      <c r="X169">
        <v>0</v>
      </c>
      <c r="Y169" t="s">
        <v>162</v>
      </c>
      <c r="Z169">
        <v>2020</v>
      </c>
      <c r="AA169">
        <v>0</v>
      </c>
      <c r="AB169" s="5">
        <v>0.456637316362</v>
      </c>
      <c r="AC169" s="5">
        <v>0.913274632724</v>
      </c>
      <c r="AD169" t="s">
        <v>162</v>
      </c>
      <c r="AE169" t="s">
        <v>163</v>
      </c>
      <c r="AF169" t="s">
        <v>162</v>
      </c>
      <c r="AG169" t="s">
        <v>162</v>
      </c>
      <c r="AH169" t="s">
        <v>162</v>
      </c>
      <c r="AI169" t="s">
        <v>162</v>
      </c>
      <c r="AJ169" t="s">
        <v>162</v>
      </c>
      <c r="AK169" t="s">
        <v>162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 s="60">
        <f t="shared" si="2"/>
        <v>1</v>
      </c>
      <c r="AU169" s="95" t="s">
        <v>187</v>
      </c>
      <c r="AV169" s="94" t="s">
        <v>165</v>
      </c>
      <c r="AW169" t="s">
        <v>163</v>
      </c>
      <c r="AX169">
        <v>2</v>
      </c>
      <c r="AY169" t="s">
        <v>167</v>
      </c>
      <c r="AZ169" t="s">
        <v>162</v>
      </c>
    </row>
    <row r="170" spans="1:52" x14ac:dyDescent="0.25">
      <c r="A170">
        <v>159</v>
      </c>
      <c r="B170" t="s">
        <v>150</v>
      </c>
      <c r="C170" t="s">
        <v>151</v>
      </c>
      <c r="D170" t="s">
        <v>152</v>
      </c>
      <c r="E170" t="s">
        <v>153</v>
      </c>
      <c r="F170" t="s">
        <v>154</v>
      </c>
      <c r="G170">
        <v>2959</v>
      </c>
      <c r="H170">
        <v>2958</v>
      </c>
      <c r="I170" t="s">
        <v>168</v>
      </c>
      <c r="J170">
        <v>2801</v>
      </c>
      <c r="K170">
        <v>2800</v>
      </c>
      <c r="L170" t="s">
        <v>443</v>
      </c>
      <c r="M170">
        <v>3</v>
      </c>
      <c r="N170" t="s">
        <v>9</v>
      </c>
      <c r="O170" t="s">
        <v>9</v>
      </c>
      <c r="P170" t="s">
        <v>157</v>
      </c>
      <c r="Q170" t="s">
        <v>158</v>
      </c>
      <c r="R170" t="s">
        <v>159</v>
      </c>
      <c r="S170">
        <v>2019</v>
      </c>
      <c r="T170">
        <v>0</v>
      </c>
      <c r="U170" t="s">
        <v>160</v>
      </c>
      <c r="V170" t="s">
        <v>161</v>
      </c>
      <c r="W170">
        <v>2020</v>
      </c>
      <c r="X170">
        <v>0</v>
      </c>
      <c r="Y170" t="s">
        <v>162</v>
      </c>
      <c r="Z170">
        <v>2020</v>
      </c>
      <c r="AA170">
        <v>2019</v>
      </c>
      <c r="AB170" s="5">
        <v>0.25204050324600002</v>
      </c>
      <c r="AC170" s="5">
        <v>0.50408100649200005</v>
      </c>
      <c r="AD170" t="s">
        <v>154</v>
      </c>
      <c r="AE170" t="s">
        <v>163</v>
      </c>
      <c r="AF170" t="s">
        <v>154</v>
      </c>
      <c r="AG170" t="s">
        <v>154</v>
      </c>
      <c r="AH170" t="s">
        <v>154</v>
      </c>
      <c r="AI170" t="s">
        <v>154</v>
      </c>
      <c r="AJ170" t="s">
        <v>154</v>
      </c>
      <c r="AK170" t="s">
        <v>154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 s="60">
        <f t="shared" si="2"/>
        <v>1</v>
      </c>
      <c r="AU170" s="95">
        <v>44658</v>
      </c>
      <c r="AV170" t="s">
        <v>165</v>
      </c>
      <c r="AW170" t="s">
        <v>166</v>
      </c>
      <c r="AX170">
        <v>2</v>
      </c>
      <c r="AY170" t="s">
        <v>167</v>
      </c>
      <c r="AZ170" t="s">
        <v>154</v>
      </c>
    </row>
    <row r="171" spans="1:52" x14ac:dyDescent="0.25">
      <c r="A171">
        <v>160</v>
      </c>
      <c r="B171" t="s">
        <v>719</v>
      </c>
      <c r="C171" t="s">
        <v>163</v>
      </c>
      <c r="D171" t="s">
        <v>720</v>
      </c>
      <c r="E171" t="s">
        <v>172</v>
      </c>
      <c r="F171" t="s">
        <v>180</v>
      </c>
      <c r="G171">
        <v>2</v>
      </c>
      <c r="H171">
        <v>1</v>
      </c>
      <c r="I171" t="s">
        <v>293</v>
      </c>
      <c r="J171">
        <v>136</v>
      </c>
      <c r="K171">
        <v>137</v>
      </c>
      <c r="L171" t="s">
        <v>726</v>
      </c>
      <c r="M171">
        <v>4</v>
      </c>
      <c r="N171" t="s">
        <v>7</v>
      </c>
      <c r="O171" t="s">
        <v>7</v>
      </c>
      <c r="P171" t="s">
        <v>157</v>
      </c>
      <c r="Q171" t="s">
        <v>162</v>
      </c>
      <c r="R171" t="s">
        <v>261</v>
      </c>
      <c r="S171">
        <v>2015</v>
      </c>
      <c r="T171">
        <v>10</v>
      </c>
      <c r="U171" t="s">
        <v>727</v>
      </c>
      <c r="V171" t="s">
        <v>162</v>
      </c>
      <c r="W171">
        <v>0</v>
      </c>
      <c r="X171">
        <v>0</v>
      </c>
      <c r="Y171" t="s">
        <v>162</v>
      </c>
      <c r="Z171">
        <v>2015</v>
      </c>
      <c r="AA171">
        <v>2015</v>
      </c>
      <c r="AB171" s="5">
        <v>0.17787169543299999</v>
      </c>
      <c r="AC171" s="5">
        <v>0.35574339086599999</v>
      </c>
      <c r="AD171" t="s">
        <v>261</v>
      </c>
      <c r="AE171" t="s">
        <v>163</v>
      </c>
      <c r="AF171" t="s">
        <v>154</v>
      </c>
      <c r="AG171" t="s">
        <v>154</v>
      </c>
      <c r="AH171" t="s">
        <v>166</v>
      </c>
      <c r="AI171" t="s">
        <v>226</v>
      </c>
      <c r="AJ171" t="s">
        <v>154</v>
      </c>
      <c r="AK171" t="s">
        <v>162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 s="60">
        <f t="shared" si="2"/>
        <v>1</v>
      </c>
      <c r="AU171" s="95" t="s">
        <v>213</v>
      </c>
      <c r="AV171" s="94" t="s">
        <v>165</v>
      </c>
      <c r="AW171" t="s">
        <v>166</v>
      </c>
      <c r="AX171">
        <v>1</v>
      </c>
      <c r="AY171" t="s">
        <v>167</v>
      </c>
      <c r="AZ171" t="s">
        <v>162</v>
      </c>
    </row>
    <row r="172" spans="1:52" x14ac:dyDescent="0.25">
      <c r="A172">
        <v>161</v>
      </c>
      <c r="B172" t="s">
        <v>279</v>
      </c>
      <c r="C172" t="s">
        <v>163</v>
      </c>
      <c r="D172" t="s">
        <v>280</v>
      </c>
      <c r="E172" t="s">
        <v>216</v>
      </c>
      <c r="F172" t="s">
        <v>163</v>
      </c>
      <c r="G172">
        <v>5936</v>
      </c>
      <c r="H172">
        <v>5937</v>
      </c>
      <c r="I172" t="s">
        <v>282</v>
      </c>
      <c r="J172">
        <v>6176</v>
      </c>
      <c r="K172">
        <v>6177</v>
      </c>
      <c r="L172" t="s">
        <v>728</v>
      </c>
      <c r="M172">
        <v>4</v>
      </c>
      <c r="N172" t="s">
        <v>11</v>
      </c>
      <c r="O172" t="s">
        <v>11</v>
      </c>
      <c r="P172" t="s">
        <v>169</v>
      </c>
      <c r="Q172" t="s">
        <v>162</v>
      </c>
      <c r="R172" t="s">
        <v>253</v>
      </c>
      <c r="S172">
        <v>2003</v>
      </c>
      <c r="T172">
        <v>6</v>
      </c>
      <c r="U172" t="s">
        <v>162</v>
      </c>
      <c r="V172" t="s">
        <v>162</v>
      </c>
      <c r="W172">
        <v>0</v>
      </c>
      <c r="X172">
        <v>0</v>
      </c>
      <c r="Y172" t="s">
        <v>162</v>
      </c>
      <c r="Z172">
        <v>2014</v>
      </c>
      <c r="AA172">
        <v>2012</v>
      </c>
      <c r="AB172" s="5">
        <v>0.31133739307800001</v>
      </c>
      <c r="AC172" s="5">
        <v>0.31133739307800001</v>
      </c>
      <c r="AD172" t="s">
        <v>162</v>
      </c>
      <c r="AE172" t="s">
        <v>166</v>
      </c>
      <c r="AF172" t="s">
        <v>163</v>
      </c>
      <c r="AG172" t="s">
        <v>163</v>
      </c>
      <c r="AH172" t="s">
        <v>162</v>
      </c>
      <c r="AI172" t="s">
        <v>162</v>
      </c>
      <c r="AJ172" t="s">
        <v>162</v>
      </c>
      <c r="AK172" t="s">
        <v>162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60">
        <f t="shared" si="2"/>
        <v>1</v>
      </c>
      <c r="AU172" s="95">
        <v>43335</v>
      </c>
      <c r="AV172" t="s">
        <v>165</v>
      </c>
      <c r="AW172" t="s">
        <v>162</v>
      </c>
      <c r="AX172">
        <v>3</v>
      </c>
      <c r="AY172" t="s">
        <v>275</v>
      </c>
      <c r="AZ172">
        <v>20</v>
      </c>
    </row>
    <row r="173" spans="1:52" x14ac:dyDescent="0.25">
      <c r="A173">
        <v>162</v>
      </c>
      <c r="B173" t="s">
        <v>729</v>
      </c>
      <c r="C173" t="s">
        <v>151</v>
      </c>
      <c r="D173" t="s">
        <v>661</v>
      </c>
      <c r="E173" t="s">
        <v>172</v>
      </c>
      <c r="F173" t="s">
        <v>162</v>
      </c>
      <c r="G173">
        <v>2740</v>
      </c>
      <c r="H173">
        <v>2741</v>
      </c>
      <c r="I173" t="s">
        <v>730</v>
      </c>
      <c r="J173">
        <v>2538</v>
      </c>
      <c r="K173">
        <v>2539</v>
      </c>
      <c r="L173" t="s">
        <v>731</v>
      </c>
      <c r="M173">
        <v>4</v>
      </c>
      <c r="N173" t="s">
        <v>11</v>
      </c>
      <c r="O173" t="s">
        <v>11</v>
      </c>
      <c r="P173" t="s">
        <v>175</v>
      </c>
      <c r="Q173" t="s">
        <v>162</v>
      </c>
      <c r="R173" t="s">
        <v>253</v>
      </c>
      <c r="S173">
        <v>2002</v>
      </c>
      <c r="T173">
        <v>6</v>
      </c>
      <c r="U173" t="s">
        <v>162</v>
      </c>
      <c r="V173" t="s">
        <v>422</v>
      </c>
      <c r="W173">
        <v>2015</v>
      </c>
      <c r="X173">
        <v>1</v>
      </c>
      <c r="Y173" t="s">
        <v>123</v>
      </c>
      <c r="Z173">
        <v>2015</v>
      </c>
      <c r="AA173">
        <v>2015</v>
      </c>
      <c r="AB173" s="5">
        <v>0.23722424396399999</v>
      </c>
      <c r="AC173" s="5">
        <v>0.47444848792799998</v>
      </c>
      <c r="AD173" t="s">
        <v>162</v>
      </c>
      <c r="AE173" t="s">
        <v>163</v>
      </c>
      <c r="AF173" t="s">
        <v>162</v>
      </c>
      <c r="AG173" t="s">
        <v>162</v>
      </c>
      <c r="AH173" t="s">
        <v>162</v>
      </c>
      <c r="AI173" t="s">
        <v>162</v>
      </c>
      <c r="AJ173" t="s">
        <v>162</v>
      </c>
      <c r="AK173" t="s">
        <v>162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 s="60">
        <f t="shared" si="2"/>
        <v>1</v>
      </c>
      <c r="AU173" s="95">
        <v>43347</v>
      </c>
      <c r="AV173" t="s">
        <v>165</v>
      </c>
      <c r="AW173" t="s">
        <v>162</v>
      </c>
      <c r="AX173">
        <v>2</v>
      </c>
      <c r="AY173" t="s">
        <v>167</v>
      </c>
      <c r="AZ173" t="s">
        <v>162</v>
      </c>
    </row>
    <row r="174" spans="1:52" x14ac:dyDescent="0.25">
      <c r="A174">
        <v>163</v>
      </c>
      <c r="B174" t="s">
        <v>284</v>
      </c>
      <c r="C174" t="s">
        <v>203</v>
      </c>
      <c r="D174" t="s">
        <v>285</v>
      </c>
      <c r="E174" t="s">
        <v>172</v>
      </c>
      <c r="F174" t="s">
        <v>162</v>
      </c>
      <c r="G174">
        <v>44</v>
      </c>
      <c r="H174">
        <v>43</v>
      </c>
      <c r="I174" t="s">
        <v>640</v>
      </c>
      <c r="J174">
        <v>380</v>
      </c>
      <c r="K174">
        <v>379</v>
      </c>
      <c r="L174" t="s">
        <v>264</v>
      </c>
      <c r="M174">
        <v>3</v>
      </c>
      <c r="N174" t="s">
        <v>11</v>
      </c>
      <c r="O174" t="s">
        <v>11</v>
      </c>
      <c r="P174" t="s">
        <v>175</v>
      </c>
      <c r="Q174" t="s">
        <v>162</v>
      </c>
      <c r="R174" t="s">
        <v>266</v>
      </c>
      <c r="S174">
        <v>2002</v>
      </c>
      <c r="T174">
        <v>6</v>
      </c>
      <c r="U174" t="s">
        <v>162</v>
      </c>
      <c r="V174" t="s">
        <v>243</v>
      </c>
      <c r="W174">
        <v>2020</v>
      </c>
      <c r="X174">
        <v>0</v>
      </c>
      <c r="Y174" t="s">
        <v>162</v>
      </c>
      <c r="Z174">
        <v>2020</v>
      </c>
      <c r="AA174">
        <v>2013</v>
      </c>
      <c r="AB174" s="5">
        <v>0.416430629838</v>
      </c>
      <c r="AC174" s="5">
        <v>0.832861259676</v>
      </c>
      <c r="AD174" t="s">
        <v>162</v>
      </c>
      <c r="AE174" t="s">
        <v>163</v>
      </c>
      <c r="AF174" t="s">
        <v>162</v>
      </c>
      <c r="AG174" t="s">
        <v>162</v>
      </c>
      <c r="AH174" t="s">
        <v>162</v>
      </c>
      <c r="AI174" t="s">
        <v>162</v>
      </c>
      <c r="AJ174" t="s">
        <v>162</v>
      </c>
      <c r="AK174" t="s">
        <v>162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 s="60">
        <f t="shared" si="2"/>
        <v>1</v>
      </c>
      <c r="AU174" s="95" t="s">
        <v>350</v>
      </c>
      <c r="AV174" s="94" t="s">
        <v>165</v>
      </c>
      <c r="AW174" t="s">
        <v>162</v>
      </c>
      <c r="AX174">
        <v>2</v>
      </c>
      <c r="AY174" t="s">
        <v>167</v>
      </c>
      <c r="AZ174" t="s">
        <v>162</v>
      </c>
    </row>
    <row r="175" spans="1:52" x14ac:dyDescent="0.25">
      <c r="A175">
        <v>164</v>
      </c>
      <c r="B175" t="s">
        <v>214</v>
      </c>
      <c r="C175" t="s">
        <v>180</v>
      </c>
      <c r="D175" t="s">
        <v>215</v>
      </c>
      <c r="E175" t="s">
        <v>216</v>
      </c>
      <c r="F175" t="s">
        <v>162</v>
      </c>
      <c r="G175">
        <v>1738</v>
      </c>
      <c r="H175">
        <v>1739</v>
      </c>
      <c r="I175" t="s">
        <v>343</v>
      </c>
      <c r="J175">
        <v>1200</v>
      </c>
      <c r="K175">
        <v>1201</v>
      </c>
      <c r="L175" t="s">
        <v>732</v>
      </c>
      <c r="M175">
        <v>4</v>
      </c>
      <c r="N175" t="s">
        <v>9</v>
      </c>
      <c r="O175" t="s">
        <v>9</v>
      </c>
      <c r="P175" t="s">
        <v>157</v>
      </c>
      <c r="Q175" t="s">
        <v>162</v>
      </c>
      <c r="R175" t="s">
        <v>337</v>
      </c>
      <c r="S175">
        <v>2011</v>
      </c>
      <c r="T175">
        <v>11</v>
      </c>
      <c r="U175" t="s">
        <v>123</v>
      </c>
      <c r="V175" t="s">
        <v>161</v>
      </c>
      <c r="W175">
        <v>2020</v>
      </c>
      <c r="X175">
        <v>0</v>
      </c>
      <c r="Y175" t="s">
        <v>162</v>
      </c>
      <c r="Z175">
        <v>2020</v>
      </c>
      <c r="AA175">
        <v>2011</v>
      </c>
      <c r="AB175" s="5">
        <v>0.66106776016199997</v>
      </c>
      <c r="AC175" s="5">
        <v>1.32213552032</v>
      </c>
      <c r="AD175" t="s">
        <v>162</v>
      </c>
      <c r="AE175" t="s">
        <v>163</v>
      </c>
      <c r="AF175" t="s">
        <v>162</v>
      </c>
      <c r="AG175" t="s">
        <v>162</v>
      </c>
      <c r="AH175" t="s">
        <v>162</v>
      </c>
      <c r="AI175" t="s">
        <v>162</v>
      </c>
      <c r="AJ175" t="s">
        <v>162</v>
      </c>
      <c r="AK175" t="s">
        <v>162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 s="60">
        <f t="shared" si="2"/>
        <v>1</v>
      </c>
      <c r="AU175" s="95" t="s">
        <v>187</v>
      </c>
      <c r="AV175" t="s">
        <v>165</v>
      </c>
      <c r="AW175" t="s">
        <v>163</v>
      </c>
      <c r="AX175">
        <v>2</v>
      </c>
      <c r="AY175" t="s">
        <v>167</v>
      </c>
      <c r="AZ175" t="s">
        <v>162</v>
      </c>
    </row>
    <row r="176" spans="1:52" x14ac:dyDescent="0.25">
      <c r="A176">
        <v>165</v>
      </c>
      <c r="B176" t="s">
        <v>453</v>
      </c>
      <c r="C176" t="s">
        <v>163</v>
      </c>
      <c r="D176" t="s">
        <v>454</v>
      </c>
      <c r="E176" t="s">
        <v>216</v>
      </c>
      <c r="F176" t="s">
        <v>162</v>
      </c>
      <c r="G176">
        <v>2551</v>
      </c>
      <c r="H176">
        <v>2550</v>
      </c>
      <c r="I176" t="s">
        <v>733</v>
      </c>
      <c r="J176">
        <v>2790</v>
      </c>
      <c r="K176">
        <v>2791</v>
      </c>
      <c r="L176" t="s">
        <v>239</v>
      </c>
      <c r="M176">
        <v>3</v>
      </c>
      <c r="N176" t="s">
        <v>7</v>
      </c>
      <c r="O176" t="s">
        <v>7</v>
      </c>
      <c r="P176" t="s">
        <v>157</v>
      </c>
      <c r="Q176" t="s">
        <v>162</v>
      </c>
      <c r="R176" t="s">
        <v>734</v>
      </c>
      <c r="S176">
        <v>2021</v>
      </c>
      <c r="T176">
        <v>5</v>
      </c>
      <c r="U176" t="s">
        <v>162</v>
      </c>
      <c r="V176" t="s">
        <v>162</v>
      </c>
      <c r="W176">
        <v>0</v>
      </c>
      <c r="X176">
        <v>0</v>
      </c>
      <c r="Y176" t="s">
        <v>162</v>
      </c>
      <c r="Z176">
        <v>2021</v>
      </c>
      <c r="AA176">
        <v>0</v>
      </c>
      <c r="AB176" s="5">
        <v>0.29111364424899999</v>
      </c>
      <c r="AC176" s="5">
        <v>0.58222728849799998</v>
      </c>
      <c r="AD176" t="s">
        <v>154</v>
      </c>
      <c r="AE176" t="s">
        <v>163</v>
      </c>
      <c r="AF176" t="s">
        <v>154</v>
      </c>
      <c r="AG176" t="s">
        <v>163</v>
      </c>
      <c r="AH176" t="s">
        <v>166</v>
      </c>
      <c r="AI176" t="s">
        <v>226</v>
      </c>
      <c r="AJ176" t="s">
        <v>166</v>
      </c>
      <c r="AK176" t="s">
        <v>166</v>
      </c>
      <c r="AL176">
        <v>2015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 s="60">
        <f t="shared" si="2"/>
        <v>1</v>
      </c>
      <c r="AU176" s="95" t="s">
        <v>360</v>
      </c>
      <c r="AV176" t="s">
        <v>165</v>
      </c>
      <c r="AW176" t="s">
        <v>166</v>
      </c>
      <c r="AX176">
        <v>2</v>
      </c>
      <c r="AY176" t="s">
        <v>167</v>
      </c>
      <c r="AZ176" t="s">
        <v>162</v>
      </c>
    </row>
    <row r="177" spans="1:52" x14ac:dyDescent="0.25">
      <c r="A177">
        <v>166</v>
      </c>
      <c r="B177" t="s">
        <v>315</v>
      </c>
      <c r="C177" t="s">
        <v>163</v>
      </c>
      <c r="D177" t="s">
        <v>316</v>
      </c>
      <c r="E177" t="s">
        <v>216</v>
      </c>
      <c r="F177" t="s">
        <v>163</v>
      </c>
      <c r="G177">
        <v>200</v>
      </c>
      <c r="H177">
        <v>201</v>
      </c>
      <c r="I177" t="s">
        <v>387</v>
      </c>
      <c r="J177">
        <v>236</v>
      </c>
      <c r="K177">
        <v>237</v>
      </c>
      <c r="L177" t="s">
        <v>735</v>
      </c>
      <c r="M177">
        <v>4</v>
      </c>
      <c r="N177" t="s">
        <v>9</v>
      </c>
      <c r="O177" t="s">
        <v>9</v>
      </c>
      <c r="P177" t="s">
        <v>157</v>
      </c>
      <c r="Q177" t="s">
        <v>736</v>
      </c>
      <c r="R177" t="s">
        <v>289</v>
      </c>
      <c r="S177">
        <v>2017</v>
      </c>
      <c r="T177">
        <v>5</v>
      </c>
      <c r="U177" t="s">
        <v>123</v>
      </c>
      <c r="V177" t="s">
        <v>162</v>
      </c>
      <c r="W177">
        <v>0</v>
      </c>
      <c r="X177">
        <v>0</v>
      </c>
      <c r="Y177" t="s">
        <v>162</v>
      </c>
      <c r="Z177">
        <v>2017</v>
      </c>
      <c r="AA177">
        <v>2017</v>
      </c>
      <c r="AB177" s="5">
        <v>0.10755415356299999</v>
      </c>
      <c r="AC177" s="5">
        <v>0.10755415356299999</v>
      </c>
      <c r="AD177" t="s">
        <v>162</v>
      </c>
      <c r="AE177" t="s">
        <v>166</v>
      </c>
      <c r="AF177" t="s">
        <v>737</v>
      </c>
      <c r="AG177" t="s">
        <v>163</v>
      </c>
      <c r="AH177" t="s">
        <v>162</v>
      </c>
      <c r="AI177" t="s">
        <v>162</v>
      </c>
      <c r="AJ177" t="s">
        <v>162</v>
      </c>
      <c r="AK177" t="s">
        <v>162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 s="60">
        <f t="shared" si="2"/>
        <v>1</v>
      </c>
      <c r="AU177" s="95">
        <v>43336</v>
      </c>
      <c r="AV177" t="s">
        <v>165</v>
      </c>
      <c r="AW177" t="s">
        <v>163</v>
      </c>
      <c r="AX177">
        <v>2</v>
      </c>
      <c r="AY177" t="s">
        <v>167</v>
      </c>
      <c r="AZ177" t="s">
        <v>162</v>
      </c>
    </row>
    <row r="178" spans="1:52" x14ac:dyDescent="0.25">
      <c r="A178">
        <v>167</v>
      </c>
      <c r="B178" t="s">
        <v>738</v>
      </c>
      <c r="C178" t="s">
        <v>151</v>
      </c>
      <c r="D178" t="s">
        <v>739</v>
      </c>
      <c r="E178" t="s">
        <v>216</v>
      </c>
      <c r="F178" t="s">
        <v>162</v>
      </c>
      <c r="G178">
        <v>758</v>
      </c>
      <c r="H178">
        <v>759</v>
      </c>
      <c r="I178" t="s">
        <v>258</v>
      </c>
      <c r="J178">
        <v>300</v>
      </c>
      <c r="K178">
        <v>301</v>
      </c>
      <c r="L178" t="s">
        <v>478</v>
      </c>
      <c r="M178">
        <v>3</v>
      </c>
      <c r="N178" t="s">
        <v>11</v>
      </c>
      <c r="O178" t="s">
        <v>11</v>
      </c>
      <c r="P178" t="s">
        <v>175</v>
      </c>
      <c r="Q178" t="s">
        <v>162</v>
      </c>
      <c r="R178" t="s">
        <v>740</v>
      </c>
      <c r="S178">
        <v>2001</v>
      </c>
      <c r="T178">
        <v>6</v>
      </c>
      <c r="U178" t="s">
        <v>162</v>
      </c>
      <c r="V178" t="s">
        <v>250</v>
      </c>
      <c r="W178">
        <v>2018</v>
      </c>
      <c r="X178">
        <v>9</v>
      </c>
      <c r="Y178" t="s">
        <v>162</v>
      </c>
      <c r="Z178">
        <v>2018</v>
      </c>
      <c r="AA178">
        <v>2001</v>
      </c>
      <c r="AB178" s="5">
        <v>0.64036894456799998</v>
      </c>
      <c r="AC178" s="5">
        <v>1.2807378891400001</v>
      </c>
      <c r="AD178" t="s">
        <v>162</v>
      </c>
      <c r="AE178" t="s">
        <v>163</v>
      </c>
      <c r="AF178" t="s">
        <v>162</v>
      </c>
      <c r="AG178" t="s">
        <v>162</v>
      </c>
      <c r="AH178" t="s">
        <v>162</v>
      </c>
      <c r="AI178" t="s">
        <v>162</v>
      </c>
      <c r="AJ178" t="s">
        <v>162</v>
      </c>
      <c r="AK178" t="s">
        <v>162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60">
        <f t="shared" si="2"/>
        <v>1</v>
      </c>
      <c r="AU178" s="95">
        <v>43347</v>
      </c>
      <c r="AV178" s="94" t="s">
        <v>165</v>
      </c>
      <c r="AW178" t="s">
        <v>162</v>
      </c>
      <c r="AX178">
        <v>2</v>
      </c>
      <c r="AY178" t="s">
        <v>167</v>
      </c>
      <c r="AZ178" t="s">
        <v>162</v>
      </c>
    </row>
    <row r="179" spans="1:52" x14ac:dyDescent="0.25">
      <c r="A179">
        <v>168</v>
      </c>
      <c r="B179" t="s">
        <v>741</v>
      </c>
      <c r="C179" t="s">
        <v>180</v>
      </c>
      <c r="D179" t="s">
        <v>742</v>
      </c>
      <c r="E179" t="s">
        <v>216</v>
      </c>
      <c r="F179" t="s">
        <v>162</v>
      </c>
      <c r="G179">
        <v>3300</v>
      </c>
      <c r="H179">
        <v>3301</v>
      </c>
      <c r="I179" t="s">
        <v>743</v>
      </c>
      <c r="J179">
        <v>3046</v>
      </c>
      <c r="K179">
        <v>3047</v>
      </c>
      <c r="L179" t="s">
        <v>731</v>
      </c>
      <c r="M179">
        <v>2</v>
      </c>
      <c r="N179" t="s">
        <v>11</v>
      </c>
      <c r="O179" t="s">
        <v>11</v>
      </c>
      <c r="P179" t="s">
        <v>175</v>
      </c>
      <c r="Q179" t="s">
        <v>744</v>
      </c>
      <c r="R179" t="s">
        <v>508</v>
      </c>
      <c r="S179">
        <v>2004</v>
      </c>
      <c r="T179">
        <v>10</v>
      </c>
      <c r="U179" t="s">
        <v>162</v>
      </c>
      <c r="V179" t="s">
        <v>161</v>
      </c>
      <c r="W179">
        <v>2020</v>
      </c>
      <c r="X179">
        <v>0</v>
      </c>
      <c r="Y179" t="s">
        <v>162</v>
      </c>
      <c r="Z179">
        <v>2020</v>
      </c>
      <c r="AA179">
        <v>0</v>
      </c>
      <c r="AB179" s="5">
        <v>0.38072476476900002</v>
      </c>
      <c r="AC179" s="5">
        <v>0.76144952953800005</v>
      </c>
      <c r="AD179" t="s">
        <v>162</v>
      </c>
      <c r="AE179" t="s">
        <v>163</v>
      </c>
      <c r="AF179" t="s">
        <v>162</v>
      </c>
      <c r="AG179" t="s">
        <v>162</v>
      </c>
      <c r="AH179" t="s">
        <v>162</v>
      </c>
      <c r="AI179" t="s">
        <v>162</v>
      </c>
      <c r="AJ179" t="s">
        <v>162</v>
      </c>
      <c r="AK179" t="s">
        <v>162</v>
      </c>
      <c r="AL179">
        <v>0</v>
      </c>
      <c r="AM179">
        <v>0</v>
      </c>
      <c r="AN179">
        <v>0</v>
      </c>
      <c r="AO179">
        <v>0.67</v>
      </c>
      <c r="AP179">
        <v>0</v>
      </c>
      <c r="AQ179">
        <v>0.33</v>
      </c>
      <c r="AR179">
        <v>0</v>
      </c>
      <c r="AS179">
        <v>0</v>
      </c>
      <c r="AT179" s="60">
        <f t="shared" si="2"/>
        <v>1</v>
      </c>
      <c r="AU179" s="95" t="s">
        <v>187</v>
      </c>
      <c r="AV179" s="94" t="s">
        <v>165</v>
      </c>
      <c r="AW179" t="s">
        <v>162</v>
      </c>
      <c r="AX179">
        <v>2</v>
      </c>
      <c r="AY179" t="s">
        <v>167</v>
      </c>
      <c r="AZ179" t="s">
        <v>162</v>
      </c>
    </row>
    <row r="180" spans="1:52" x14ac:dyDescent="0.25">
      <c r="A180">
        <v>169</v>
      </c>
      <c r="B180" t="s">
        <v>745</v>
      </c>
      <c r="C180" t="s">
        <v>180</v>
      </c>
      <c r="D180" t="s">
        <v>746</v>
      </c>
      <c r="E180" t="s">
        <v>216</v>
      </c>
      <c r="F180" t="s">
        <v>162</v>
      </c>
      <c r="G180">
        <v>1400</v>
      </c>
      <c r="H180">
        <v>1405</v>
      </c>
      <c r="I180" t="s">
        <v>747</v>
      </c>
      <c r="J180">
        <v>1200</v>
      </c>
      <c r="K180">
        <v>1201</v>
      </c>
      <c r="L180" t="s">
        <v>390</v>
      </c>
      <c r="M180">
        <v>4</v>
      </c>
      <c r="N180" t="s">
        <v>9</v>
      </c>
      <c r="O180" t="s">
        <v>9</v>
      </c>
      <c r="P180" t="s">
        <v>157</v>
      </c>
      <c r="Q180" t="s">
        <v>748</v>
      </c>
      <c r="R180" t="s">
        <v>611</v>
      </c>
      <c r="S180">
        <v>2016</v>
      </c>
      <c r="T180">
        <v>10</v>
      </c>
      <c r="U180" t="s">
        <v>162</v>
      </c>
      <c r="V180" t="s">
        <v>162</v>
      </c>
      <c r="W180">
        <v>0</v>
      </c>
      <c r="X180">
        <v>0</v>
      </c>
      <c r="Y180" t="s">
        <v>162</v>
      </c>
      <c r="Z180">
        <v>2016</v>
      </c>
      <c r="AA180">
        <v>2005</v>
      </c>
      <c r="AB180" s="5">
        <v>0.31225812406499998</v>
      </c>
      <c r="AC180" s="5">
        <v>0.62451624812999995</v>
      </c>
      <c r="AD180" t="s">
        <v>162</v>
      </c>
      <c r="AE180" t="s">
        <v>163</v>
      </c>
      <c r="AF180" t="s">
        <v>162</v>
      </c>
      <c r="AG180" t="s">
        <v>162</v>
      </c>
      <c r="AH180" t="s">
        <v>162</v>
      </c>
      <c r="AI180" t="s">
        <v>162</v>
      </c>
      <c r="AJ180" t="s">
        <v>162</v>
      </c>
      <c r="AK180" t="s">
        <v>162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 s="60">
        <f t="shared" si="2"/>
        <v>1</v>
      </c>
      <c r="AU180" s="95">
        <v>43347</v>
      </c>
      <c r="AV180" t="s">
        <v>165</v>
      </c>
      <c r="AW180" t="s">
        <v>163</v>
      </c>
      <c r="AX180">
        <v>2</v>
      </c>
      <c r="AY180" t="s">
        <v>167</v>
      </c>
      <c r="AZ180" t="s">
        <v>162</v>
      </c>
    </row>
    <row r="181" spans="1:52" x14ac:dyDescent="0.25">
      <c r="A181">
        <v>170</v>
      </c>
      <c r="B181" t="s">
        <v>233</v>
      </c>
      <c r="C181" t="s">
        <v>180</v>
      </c>
      <c r="D181" t="s">
        <v>234</v>
      </c>
      <c r="E181" t="s">
        <v>172</v>
      </c>
      <c r="F181" t="s">
        <v>162</v>
      </c>
      <c r="G181">
        <v>1156</v>
      </c>
      <c r="H181">
        <v>1157</v>
      </c>
      <c r="I181" t="s">
        <v>390</v>
      </c>
      <c r="J181">
        <v>600</v>
      </c>
      <c r="K181">
        <v>601</v>
      </c>
      <c r="L181" t="s">
        <v>292</v>
      </c>
      <c r="M181">
        <v>2</v>
      </c>
      <c r="N181" t="s">
        <v>9</v>
      </c>
      <c r="O181" t="s">
        <v>9</v>
      </c>
      <c r="P181" t="s">
        <v>157</v>
      </c>
      <c r="Q181" t="s">
        <v>162</v>
      </c>
      <c r="R181" t="s">
        <v>647</v>
      </c>
      <c r="S181">
        <v>2013</v>
      </c>
      <c r="T181">
        <v>10</v>
      </c>
      <c r="U181" t="s">
        <v>162</v>
      </c>
      <c r="V181" t="s">
        <v>238</v>
      </c>
      <c r="W181">
        <v>2018</v>
      </c>
      <c r="X181">
        <v>9</v>
      </c>
      <c r="Y181" t="s">
        <v>580</v>
      </c>
      <c r="Z181">
        <v>2018</v>
      </c>
      <c r="AA181">
        <v>2018</v>
      </c>
      <c r="AB181" s="5">
        <v>0.496099448695</v>
      </c>
      <c r="AC181" s="5">
        <v>0.99219889739</v>
      </c>
      <c r="AD181" t="s">
        <v>162</v>
      </c>
      <c r="AE181" t="s">
        <v>163</v>
      </c>
      <c r="AF181" t="s">
        <v>162</v>
      </c>
      <c r="AG181" t="s">
        <v>162</v>
      </c>
      <c r="AH181" t="s">
        <v>162</v>
      </c>
      <c r="AI181" t="s">
        <v>162</v>
      </c>
      <c r="AJ181" t="s">
        <v>162</v>
      </c>
      <c r="AK181" t="s">
        <v>162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 s="60">
        <f t="shared" si="2"/>
        <v>1</v>
      </c>
      <c r="AU181" s="95">
        <v>43333</v>
      </c>
      <c r="AV181" s="94" t="s">
        <v>165</v>
      </c>
      <c r="AW181" t="s">
        <v>166</v>
      </c>
      <c r="AX181">
        <v>2</v>
      </c>
      <c r="AY181" t="s">
        <v>167</v>
      </c>
      <c r="AZ181" t="s">
        <v>162</v>
      </c>
    </row>
    <row r="182" spans="1:52" x14ac:dyDescent="0.25">
      <c r="A182">
        <v>171</v>
      </c>
      <c r="B182" t="s">
        <v>356</v>
      </c>
      <c r="C182" t="s">
        <v>180</v>
      </c>
      <c r="D182" t="s">
        <v>357</v>
      </c>
      <c r="E182" t="s">
        <v>216</v>
      </c>
      <c r="F182" t="s">
        <v>154</v>
      </c>
      <c r="G182">
        <v>10259</v>
      </c>
      <c r="H182">
        <v>10258</v>
      </c>
      <c r="I182" t="s">
        <v>749</v>
      </c>
      <c r="J182">
        <v>8900</v>
      </c>
      <c r="K182">
        <v>8901</v>
      </c>
      <c r="L182" t="s">
        <v>750</v>
      </c>
      <c r="M182">
        <v>3</v>
      </c>
      <c r="N182" t="s">
        <v>7</v>
      </c>
      <c r="O182" t="s">
        <v>7</v>
      </c>
      <c r="P182" t="s">
        <v>157</v>
      </c>
      <c r="Q182" t="s">
        <v>751</v>
      </c>
      <c r="R182" t="s">
        <v>314</v>
      </c>
      <c r="S182">
        <v>2013</v>
      </c>
      <c r="T182">
        <v>9</v>
      </c>
      <c r="U182" t="s">
        <v>208</v>
      </c>
      <c r="V182" t="s">
        <v>162</v>
      </c>
      <c r="W182">
        <v>0</v>
      </c>
      <c r="X182">
        <v>0</v>
      </c>
      <c r="Y182" t="s">
        <v>162</v>
      </c>
      <c r="Z182">
        <v>2013</v>
      </c>
      <c r="AA182">
        <v>2013</v>
      </c>
      <c r="AB182" s="5">
        <v>1.8433247917</v>
      </c>
      <c r="AC182" s="5">
        <v>3.6866495833999999</v>
      </c>
      <c r="AD182" t="s">
        <v>154</v>
      </c>
      <c r="AE182" t="s">
        <v>154</v>
      </c>
      <c r="AF182" t="s">
        <v>154</v>
      </c>
      <c r="AG182" t="s">
        <v>154</v>
      </c>
      <c r="AH182" t="s">
        <v>154</v>
      </c>
      <c r="AI182" t="s">
        <v>226</v>
      </c>
      <c r="AJ182" t="s">
        <v>154</v>
      </c>
      <c r="AK182" t="s">
        <v>154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 s="60">
        <f t="shared" si="2"/>
        <v>1</v>
      </c>
      <c r="AU182" s="95" t="s">
        <v>360</v>
      </c>
      <c r="AV182" s="94" t="s">
        <v>165</v>
      </c>
      <c r="AW182" t="s">
        <v>166</v>
      </c>
      <c r="AX182">
        <v>1</v>
      </c>
      <c r="AY182" t="s">
        <v>167</v>
      </c>
      <c r="AZ182" t="s">
        <v>162</v>
      </c>
    </row>
    <row r="183" spans="1:52" x14ac:dyDescent="0.25">
      <c r="A183">
        <v>172</v>
      </c>
      <c r="B183" t="s">
        <v>295</v>
      </c>
      <c r="C183" t="s">
        <v>163</v>
      </c>
      <c r="D183" t="s">
        <v>296</v>
      </c>
      <c r="E183" t="s">
        <v>172</v>
      </c>
      <c r="F183" t="s">
        <v>162</v>
      </c>
      <c r="G183">
        <v>2300</v>
      </c>
      <c r="H183">
        <v>2301</v>
      </c>
      <c r="I183" t="s">
        <v>752</v>
      </c>
      <c r="J183">
        <v>2472</v>
      </c>
      <c r="K183">
        <v>2483</v>
      </c>
      <c r="L183" t="s">
        <v>578</v>
      </c>
      <c r="M183">
        <v>3</v>
      </c>
      <c r="N183" t="s">
        <v>11</v>
      </c>
      <c r="O183" t="s">
        <v>11</v>
      </c>
      <c r="P183" t="s">
        <v>175</v>
      </c>
      <c r="Q183" t="s">
        <v>162</v>
      </c>
      <c r="R183" t="s">
        <v>383</v>
      </c>
      <c r="S183">
        <v>2004</v>
      </c>
      <c r="T183">
        <v>8</v>
      </c>
      <c r="U183" t="s">
        <v>753</v>
      </c>
      <c r="V183" t="s">
        <v>238</v>
      </c>
      <c r="W183">
        <v>2018</v>
      </c>
      <c r="X183">
        <v>11</v>
      </c>
      <c r="Y183" t="s">
        <v>580</v>
      </c>
      <c r="Z183">
        <v>2018</v>
      </c>
      <c r="AA183">
        <v>2018</v>
      </c>
      <c r="AB183" s="5">
        <v>0.30611801010200002</v>
      </c>
      <c r="AC183" s="5">
        <v>0.61223602020400003</v>
      </c>
      <c r="AD183" t="s">
        <v>162</v>
      </c>
      <c r="AE183" t="s">
        <v>163</v>
      </c>
      <c r="AF183" t="s">
        <v>162</v>
      </c>
      <c r="AG183" t="s">
        <v>162</v>
      </c>
      <c r="AH183" t="s">
        <v>162</v>
      </c>
      <c r="AI183" t="s">
        <v>162</v>
      </c>
      <c r="AJ183" t="s">
        <v>162</v>
      </c>
      <c r="AK183" t="s">
        <v>162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 s="60">
        <f t="shared" si="2"/>
        <v>1</v>
      </c>
      <c r="AU183" s="95">
        <v>43336</v>
      </c>
      <c r="AV183" t="s">
        <v>165</v>
      </c>
      <c r="AW183" t="s">
        <v>162</v>
      </c>
      <c r="AX183">
        <v>2</v>
      </c>
      <c r="AY183" t="s">
        <v>167</v>
      </c>
      <c r="AZ183" t="s">
        <v>162</v>
      </c>
    </row>
    <row r="184" spans="1:52" x14ac:dyDescent="0.25">
      <c r="A184">
        <v>173</v>
      </c>
      <c r="B184" t="s">
        <v>754</v>
      </c>
      <c r="C184" t="s">
        <v>180</v>
      </c>
      <c r="D184" t="s">
        <v>755</v>
      </c>
      <c r="E184" t="s">
        <v>182</v>
      </c>
      <c r="F184" t="s">
        <v>162</v>
      </c>
      <c r="G184">
        <v>8059</v>
      </c>
      <c r="H184">
        <v>8058</v>
      </c>
      <c r="I184" t="s">
        <v>183</v>
      </c>
      <c r="J184">
        <v>7959</v>
      </c>
      <c r="K184">
        <v>7958</v>
      </c>
      <c r="L184" t="s">
        <v>309</v>
      </c>
      <c r="M184">
        <v>4</v>
      </c>
      <c r="N184" t="s">
        <v>11</v>
      </c>
      <c r="O184" t="s">
        <v>11</v>
      </c>
      <c r="P184" t="s">
        <v>157</v>
      </c>
      <c r="Q184" t="s">
        <v>756</v>
      </c>
      <c r="R184" t="s">
        <v>253</v>
      </c>
      <c r="S184">
        <v>2004</v>
      </c>
      <c r="T184">
        <v>9</v>
      </c>
      <c r="U184" t="s">
        <v>162</v>
      </c>
      <c r="V184" t="s">
        <v>209</v>
      </c>
      <c r="W184">
        <v>2011</v>
      </c>
      <c r="X184">
        <v>10</v>
      </c>
      <c r="Y184" t="s">
        <v>162</v>
      </c>
      <c r="Z184">
        <v>2011</v>
      </c>
      <c r="AA184">
        <v>0</v>
      </c>
      <c r="AB184" s="5">
        <v>0.25141213158600001</v>
      </c>
      <c r="AC184" s="5">
        <v>0.50282426317200002</v>
      </c>
      <c r="AD184" t="s">
        <v>162</v>
      </c>
      <c r="AE184" t="s">
        <v>163</v>
      </c>
      <c r="AF184" t="s">
        <v>162</v>
      </c>
      <c r="AG184" t="s">
        <v>162</v>
      </c>
      <c r="AH184" t="s">
        <v>162</v>
      </c>
      <c r="AI184" t="s">
        <v>162</v>
      </c>
      <c r="AJ184" t="s">
        <v>162</v>
      </c>
      <c r="AK184" t="s">
        <v>162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 s="60">
        <f t="shared" si="2"/>
        <v>1</v>
      </c>
      <c r="AU184" s="95">
        <v>43347</v>
      </c>
      <c r="AV184" t="s">
        <v>165</v>
      </c>
      <c r="AW184" t="s">
        <v>162</v>
      </c>
      <c r="AX184">
        <v>3</v>
      </c>
      <c r="AY184" t="s">
        <v>167</v>
      </c>
      <c r="AZ184" t="s">
        <v>162</v>
      </c>
    </row>
    <row r="185" spans="1:52" x14ac:dyDescent="0.25">
      <c r="A185">
        <v>174</v>
      </c>
      <c r="B185" t="s">
        <v>757</v>
      </c>
      <c r="C185" t="s">
        <v>151</v>
      </c>
      <c r="D185" t="s">
        <v>758</v>
      </c>
      <c r="E185" t="s">
        <v>222</v>
      </c>
      <c r="F185" t="s">
        <v>154</v>
      </c>
      <c r="G185">
        <v>2359</v>
      </c>
      <c r="H185">
        <v>2358</v>
      </c>
      <c r="I185" t="s">
        <v>759</v>
      </c>
      <c r="J185">
        <v>2301</v>
      </c>
      <c r="K185">
        <v>2300</v>
      </c>
      <c r="L185" t="s">
        <v>384</v>
      </c>
      <c r="M185">
        <v>3</v>
      </c>
      <c r="N185" t="s">
        <v>7</v>
      </c>
      <c r="O185" t="s">
        <v>760</v>
      </c>
      <c r="P185" t="s">
        <v>157</v>
      </c>
      <c r="Q185" t="s">
        <v>162</v>
      </c>
      <c r="R185" t="s">
        <v>500</v>
      </c>
      <c r="S185">
        <v>2022</v>
      </c>
      <c r="T185">
        <v>9</v>
      </c>
      <c r="U185" t="s">
        <v>761</v>
      </c>
      <c r="V185" t="s">
        <v>162</v>
      </c>
      <c r="W185">
        <v>0</v>
      </c>
      <c r="X185">
        <v>0</v>
      </c>
      <c r="Y185" t="s">
        <v>162</v>
      </c>
      <c r="Z185">
        <v>2021</v>
      </c>
      <c r="AA185">
        <v>2014</v>
      </c>
      <c r="AB185" s="5">
        <v>0.12545981004199999</v>
      </c>
      <c r="AC185" s="5">
        <v>0.25091962008399998</v>
      </c>
      <c r="AD185" t="s">
        <v>154</v>
      </c>
      <c r="AE185" t="s">
        <v>163</v>
      </c>
      <c r="AF185" t="s">
        <v>154</v>
      </c>
      <c r="AG185" t="s">
        <v>163</v>
      </c>
      <c r="AH185" t="s">
        <v>162</v>
      </c>
      <c r="AI185" t="s">
        <v>504</v>
      </c>
      <c r="AJ185" t="s">
        <v>163</v>
      </c>
      <c r="AK185" t="s">
        <v>162</v>
      </c>
      <c r="AL185">
        <v>2022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 s="60">
        <f t="shared" si="2"/>
        <v>1</v>
      </c>
      <c r="AU185" s="95" t="s">
        <v>213</v>
      </c>
      <c r="AV185" s="94" t="s">
        <v>165</v>
      </c>
      <c r="AW185" t="s">
        <v>166</v>
      </c>
      <c r="AX185">
        <v>2</v>
      </c>
      <c r="AY185" t="s">
        <v>167</v>
      </c>
      <c r="AZ185" t="s">
        <v>162</v>
      </c>
    </row>
    <row r="186" spans="1:52" x14ac:dyDescent="0.25">
      <c r="A186">
        <v>175</v>
      </c>
      <c r="B186" t="s">
        <v>762</v>
      </c>
      <c r="C186" t="s">
        <v>151</v>
      </c>
      <c r="D186" t="s">
        <v>763</v>
      </c>
      <c r="E186" t="s">
        <v>172</v>
      </c>
      <c r="F186" t="s">
        <v>162</v>
      </c>
      <c r="G186">
        <v>541</v>
      </c>
      <c r="H186">
        <v>540</v>
      </c>
      <c r="I186" t="s">
        <v>764</v>
      </c>
      <c r="J186">
        <v>571</v>
      </c>
      <c r="K186">
        <v>571</v>
      </c>
      <c r="L186" t="s">
        <v>765</v>
      </c>
      <c r="M186">
        <v>4</v>
      </c>
      <c r="N186" t="s">
        <v>11</v>
      </c>
      <c r="O186" t="s">
        <v>11</v>
      </c>
      <c r="P186" t="s">
        <v>175</v>
      </c>
      <c r="Q186" t="s">
        <v>162</v>
      </c>
      <c r="R186" t="s">
        <v>508</v>
      </c>
      <c r="S186">
        <v>2003</v>
      </c>
      <c r="T186">
        <v>8</v>
      </c>
      <c r="U186" t="s">
        <v>162</v>
      </c>
      <c r="V186" t="s">
        <v>404</v>
      </c>
      <c r="W186">
        <v>2017</v>
      </c>
      <c r="X186">
        <v>9</v>
      </c>
      <c r="Y186" t="s">
        <v>162</v>
      </c>
      <c r="Z186">
        <v>2017</v>
      </c>
      <c r="AA186">
        <v>2016</v>
      </c>
      <c r="AB186" s="5">
        <v>7.58228719547E-2</v>
      </c>
      <c r="AC186" s="5">
        <v>0.15164574390900001</v>
      </c>
      <c r="AD186" t="s">
        <v>162</v>
      </c>
      <c r="AE186" t="s">
        <v>163</v>
      </c>
      <c r="AF186" t="s">
        <v>162</v>
      </c>
      <c r="AG186" t="s">
        <v>162</v>
      </c>
      <c r="AH186" t="s">
        <v>162</v>
      </c>
      <c r="AI186" t="s">
        <v>162</v>
      </c>
      <c r="AJ186" t="s">
        <v>162</v>
      </c>
      <c r="AK186" t="s">
        <v>162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 s="60">
        <f t="shared" si="2"/>
        <v>1</v>
      </c>
      <c r="AU186" s="95">
        <v>43347</v>
      </c>
      <c r="AV186" s="94" t="s">
        <v>165</v>
      </c>
      <c r="AW186" t="s">
        <v>162</v>
      </c>
      <c r="AX186">
        <v>2</v>
      </c>
      <c r="AY186" t="s">
        <v>167</v>
      </c>
      <c r="AZ186" t="s">
        <v>162</v>
      </c>
    </row>
    <row r="187" spans="1:52" x14ac:dyDescent="0.25">
      <c r="A187">
        <v>176</v>
      </c>
      <c r="B187" t="s">
        <v>766</v>
      </c>
      <c r="C187" t="s">
        <v>180</v>
      </c>
      <c r="D187" t="s">
        <v>767</v>
      </c>
      <c r="E187" t="s">
        <v>216</v>
      </c>
      <c r="F187" t="s">
        <v>162</v>
      </c>
      <c r="G187">
        <v>3701</v>
      </c>
      <c r="H187">
        <v>3700</v>
      </c>
      <c r="I187" t="s">
        <v>768</v>
      </c>
      <c r="J187">
        <v>3501</v>
      </c>
      <c r="K187">
        <v>3500</v>
      </c>
      <c r="L187" t="s">
        <v>769</v>
      </c>
      <c r="M187">
        <v>2</v>
      </c>
      <c r="N187" t="s">
        <v>11</v>
      </c>
      <c r="O187" t="s">
        <v>11</v>
      </c>
      <c r="P187" t="s">
        <v>175</v>
      </c>
      <c r="Q187" t="s">
        <v>162</v>
      </c>
      <c r="R187" t="s">
        <v>740</v>
      </c>
      <c r="S187">
        <v>2000</v>
      </c>
      <c r="T187">
        <v>9</v>
      </c>
      <c r="U187" t="s">
        <v>162</v>
      </c>
      <c r="V187" t="s">
        <v>267</v>
      </c>
      <c r="W187">
        <v>2018</v>
      </c>
      <c r="X187">
        <v>7</v>
      </c>
      <c r="Y187" t="s">
        <v>123</v>
      </c>
      <c r="Z187">
        <v>2018</v>
      </c>
      <c r="AA187">
        <v>2018</v>
      </c>
      <c r="AB187" s="5">
        <v>0.32344566408100001</v>
      </c>
      <c r="AC187" s="5">
        <v>0.64689132816200001</v>
      </c>
      <c r="AD187" t="s">
        <v>162</v>
      </c>
      <c r="AE187" t="s">
        <v>163</v>
      </c>
      <c r="AF187" t="s">
        <v>162</v>
      </c>
      <c r="AG187" t="s">
        <v>162</v>
      </c>
      <c r="AH187" t="s">
        <v>162</v>
      </c>
      <c r="AI187" t="s">
        <v>162</v>
      </c>
      <c r="AJ187" t="s">
        <v>162</v>
      </c>
      <c r="AK187" t="s">
        <v>162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 s="60">
        <f t="shared" si="2"/>
        <v>1</v>
      </c>
      <c r="AU187" s="95">
        <v>43347</v>
      </c>
      <c r="AV187" t="s">
        <v>165</v>
      </c>
      <c r="AW187" t="s">
        <v>162</v>
      </c>
      <c r="AX187">
        <v>2</v>
      </c>
      <c r="AY187" t="s">
        <v>167</v>
      </c>
      <c r="AZ187" t="s">
        <v>162</v>
      </c>
    </row>
    <row r="188" spans="1:52" x14ac:dyDescent="0.25">
      <c r="A188">
        <v>177</v>
      </c>
      <c r="B188" t="s">
        <v>233</v>
      </c>
      <c r="C188" t="s">
        <v>180</v>
      </c>
      <c r="D188" t="s">
        <v>234</v>
      </c>
      <c r="E188" t="s">
        <v>172</v>
      </c>
      <c r="F188" t="s">
        <v>162</v>
      </c>
      <c r="G188">
        <v>3868</v>
      </c>
      <c r="H188">
        <v>3859</v>
      </c>
      <c r="I188" t="s">
        <v>770</v>
      </c>
      <c r="J188">
        <v>3312</v>
      </c>
      <c r="K188">
        <v>3301</v>
      </c>
      <c r="L188" t="s">
        <v>771</v>
      </c>
      <c r="M188">
        <v>2</v>
      </c>
      <c r="N188" t="s">
        <v>11</v>
      </c>
      <c r="O188" t="s">
        <v>11</v>
      </c>
      <c r="P188" t="s">
        <v>175</v>
      </c>
      <c r="Q188" t="s">
        <v>162</v>
      </c>
      <c r="R188" t="s">
        <v>772</v>
      </c>
      <c r="S188">
        <v>2003</v>
      </c>
      <c r="T188">
        <v>9</v>
      </c>
      <c r="U188" t="s">
        <v>162</v>
      </c>
      <c r="V188" t="s">
        <v>422</v>
      </c>
      <c r="W188">
        <v>2016</v>
      </c>
      <c r="X188">
        <v>6</v>
      </c>
      <c r="Y188" t="s">
        <v>123</v>
      </c>
      <c r="Z188">
        <v>2016</v>
      </c>
      <c r="AA188">
        <v>2016</v>
      </c>
      <c r="AB188" s="5">
        <v>0.75518284214099995</v>
      </c>
      <c r="AC188" s="5">
        <v>1.51036568428</v>
      </c>
      <c r="AD188" t="s">
        <v>162</v>
      </c>
      <c r="AE188" t="s">
        <v>163</v>
      </c>
      <c r="AF188" t="s">
        <v>162</v>
      </c>
      <c r="AG188" t="s">
        <v>162</v>
      </c>
      <c r="AH188" t="s">
        <v>162</v>
      </c>
      <c r="AI188" t="s">
        <v>162</v>
      </c>
      <c r="AJ188" t="s">
        <v>162</v>
      </c>
      <c r="AK188" t="s">
        <v>162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 s="60">
        <f t="shared" si="2"/>
        <v>1</v>
      </c>
      <c r="AU188" s="95">
        <v>43349</v>
      </c>
      <c r="AV188" s="94" t="s">
        <v>165</v>
      </c>
      <c r="AW188" t="s">
        <v>162</v>
      </c>
      <c r="AX188">
        <v>2</v>
      </c>
      <c r="AY188" t="s">
        <v>167</v>
      </c>
      <c r="AZ188" t="s">
        <v>162</v>
      </c>
    </row>
    <row r="189" spans="1:52" x14ac:dyDescent="0.25">
      <c r="A189">
        <v>178</v>
      </c>
      <c r="B189" t="s">
        <v>505</v>
      </c>
      <c r="C189" t="s">
        <v>163</v>
      </c>
      <c r="D189" t="s">
        <v>506</v>
      </c>
      <c r="E189" t="s">
        <v>216</v>
      </c>
      <c r="F189" t="s">
        <v>162</v>
      </c>
      <c r="G189">
        <v>2</v>
      </c>
      <c r="H189">
        <v>1</v>
      </c>
      <c r="I189" t="s">
        <v>293</v>
      </c>
      <c r="J189">
        <v>186</v>
      </c>
      <c r="K189">
        <v>189</v>
      </c>
      <c r="L189" t="s">
        <v>387</v>
      </c>
      <c r="M189">
        <v>3</v>
      </c>
      <c r="N189" t="s">
        <v>11</v>
      </c>
      <c r="O189" t="s">
        <v>11</v>
      </c>
      <c r="P189" t="s">
        <v>175</v>
      </c>
      <c r="Q189" t="s">
        <v>162</v>
      </c>
      <c r="R189" t="s">
        <v>508</v>
      </c>
      <c r="S189">
        <v>2004</v>
      </c>
      <c r="T189">
        <v>9</v>
      </c>
      <c r="U189" t="s">
        <v>162</v>
      </c>
      <c r="V189" t="s">
        <v>509</v>
      </c>
      <c r="W189">
        <v>2021</v>
      </c>
      <c r="X189">
        <v>0</v>
      </c>
      <c r="Y189" t="s">
        <v>162</v>
      </c>
      <c r="Z189">
        <v>2021</v>
      </c>
      <c r="AA189">
        <v>2009</v>
      </c>
      <c r="AB189" s="5">
        <v>0.32651318195899998</v>
      </c>
      <c r="AC189" s="5">
        <v>0.65302636391799995</v>
      </c>
      <c r="AD189" t="s">
        <v>162</v>
      </c>
      <c r="AE189" t="s">
        <v>163</v>
      </c>
      <c r="AF189" t="s">
        <v>162</v>
      </c>
      <c r="AG189" t="s">
        <v>162</v>
      </c>
      <c r="AH189" t="s">
        <v>162</v>
      </c>
      <c r="AI189" t="s">
        <v>162</v>
      </c>
      <c r="AJ189" t="s">
        <v>162</v>
      </c>
      <c r="AK189" t="s">
        <v>162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 s="60">
        <f t="shared" si="2"/>
        <v>1</v>
      </c>
      <c r="AU189" s="95" t="s">
        <v>510</v>
      </c>
      <c r="AV189" s="94" t="s">
        <v>165</v>
      </c>
      <c r="AW189" t="s">
        <v>154</v>
      </c>
      <c r="AX189">
        <v>2</v>
      </c>
      <c r="AY189" t="s">
        <v>167</v>
      </c>
      <c r="AZ189" t="s">
        <v>162</v>
      </c>
    </row>
    <row r="190" spans="1:52" x14ac:dyDescent="0.25">
      <c r="A190">
        <v>179</v>
      </c>
      <c r="B190" t="s">
        <v>773</v>
      </c>
      <c r="C190" t="s">
        <v>151</v>
      </c>
      <c r="D190" t="s">
        <v>774</v>
      </c>
      <c r="E190" t="s">
        <v>172</v>
      </c>
      <c r="F190" t="s">
        <v>162</v>
      </c>
      <c r="G190">
        <v>2138</v>
      </c>
      <c r="H190">
        <v>2135</v>
      </c>
      <c r="I190" t="s">
        <v>775</v>
      </c>
      <c r="J190">
        <v>1700</v>
      </c>
      <c r="K190">
        <v>1655</v>
      </c>
      <c r="L190" t="s">
        <v>488</v>
      </c>
      <c r="M190">
        <v>3</v>
      </c>
      <c r="N190" t="s">
        <v>11</v>
      </c>
      <c r="O190" t="s">
        <v>11</v>
      </c>
      <c r="P190" t="s">
        <v>175</v>
      </c>
      <c r="Q190" t="s">
        <v>162</v>
      </c>
      <c r="R190" t="s">
        <v>776</v>
      </c>
      <c r="S190">
        <v>2003</v>
      </c>
      <c r="T190">
        <v>10</v>
      </c>
      <c r="U190" t="s">
        <v>162</v>
      </c>
      <c r="V190" t="s">
        <v>225</v>
      </c>
      <c r="W190">
        <v>2018</v>
      </c>
      <c r="X190">
        <v>7</v>
      </c>
      <c r="Y190" t="s">
        <v>777</v>
      </c>
      <c r="Z190">
        <v>2018</v>
      </c>
      <c r="AA190">
        <v>2014</v>
      </c>
      <c r="AB190" s="5">
        <v>0.59424880571399996</v>
      </c>
      <c r="AC190" s="5">
        <v>1.1884976114300001</v>
      </c>
      <c r="AD190" t="s">
        <v>162</v>
      </c>
      <c r="AE190" t="s">
        <v>163</v>
      </c>
      <c r="AF190" t="s">
        <v>162</v>
      </c>
      <c r="AG190" t="s">
        <v>162</v>
      </c>
      <c r="AH190" t="s">
        <v>162</v>
      </c>
      <c r="AI190" t="s">
        <v>162</v>
      </c>
      <c r="AJ190" t="s">
        <v>162</v>
      </c>
      <c r="AK190" t="s">
        <v>162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s="60">
        <f t="shared" si="2"/>
        <v>1</v>
      </c>
      <c r="AU190" s="95">
        <v>43347</v>
      </c>
      <c r="AV190" t="s">
        <v>165</v>
      </c>
      <c r="AW190" t="s">
        <v>162</v>
      </c>
      <c r="AX190">
        <v>2</v>
      </c>
      <c r="AY190" t="s">
        <v>167</v>
      </c>
      <c r="AZ190" t="s">
        <v>162</v>
      </c>
    </row>
    <row r="191" spans="1:52" x14ac:dyDescent="0.25">
      <c r="A191">
        <v>180</v>
      </c>
      <c r="B191" t="s">
        <v>599</v>
      </c>
      <c r="C191" t="s">
        <v>151</v>
      </c>
      <c r="D191" t="s">
        <v>600</v>
      </c>
      <c r="E191" t="s">
        <v>216</v>
      </c>
      <c r="F191" t="s">
        <v>162</v>
      </c>
      <c r="G191">
        <v>3226</v>
      </c>
      <c r="H191">
        <v>3225</v>
      </c>
      <c r="I191" t="s">
        <v>778</v>
      </c>
      <c r="J191">
        <v>2530</v>
      </c>
      <c r="K191">
        <v>2531</v>
      </c>
      <c r="L191" t="s">
        <v>779</v>
      </c>
      <c r="M191">
        <v>2</v>
      </c>
      <c r="N191" t="s">
        <v>11</v>
      </c>
      <c r="O191" t="s">
        <v>11</v>
      </c>
      <c r="P191" t="s">
        <v>175</v>
      </c>
      <c r="Q191" t="s">
        <v>780</v>
      </c>
      <c r="R191" t="s">
        <v>266</v>
      </c>
      <c r="S191">
        <v>2002</v>
      </c>
      <c r="T191">
        <v>7</v>
      </c>
      <c r="U191" t="s">
        <v>162</v>
      </c>
      <c r="V191" t="s">
        <v>243</v>
      </c>
      <c r="W191">
        <v>2020</v>
      </c>
      <c r="X191">
        <v>0</v>
      </c>
      <c r="Y191" t="s">
        <v>162</v>
      </c>
      <c r="Z191">
        <v>2020</v>
      </c>
      <c r="AA191">
        <v>0</v>
      </c>
      <c r="AB191" s="5">
        <v>0.61673272874700003</v>
      </c>
      <c r="AC191" s="5">
        <v>1.2334654574899999</v>
      </c>
      <c r="AD191" t="s">
        <v>162</v>
      </c>
      <c r="AE191" t="s">
        <v>163</v>
      </c>
      <c r="AF191" t="s">
        <v>162</v>
      </c>
      <c r="AG191" t="s">
        <v>162</v>
      </c>
      <c r="AH191" t="s">
        <v>162</v>
      </c>
      <c r="AI191" t="s">
        <v>162</v>
      </c>
      <c r="AJ191" t="s">
        <v>162</v>
      </c>
      <c r="AK191" t="s">
        <v>162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s="60">
        <f t="shared" si="2"/>
        <v>1</v>
      </c>
      <c r="AU191" s="95" t="s">
        <v>244</v>
      </c>
      <c r="AV191" t="s">
        <v>165</v>
      </c>
      <c r="AW191" t="s">
        <v>162</v>
      </c>
      <c r="AX191">
        <v>2</v>
      </c>
      <c r="AY191" t="s">
        <v>167</v>
      </c>
      <c r="AZ191" t="s">
        <v>162</v>
      </c>
    </row>
    <row r="192" spans="1:52" x14ac:dyDescent="0.25">
      <c r="A192">
        <v>181</v>
      </c>
      <c r="B192" t="s">
        <v>448</v>
      </c>
      <c r="C192" t="s">
        <v>180</v>
      </c>
      <c r="D192" t="s">
        <v>449</v>
      </c>
      <c r="E192" t="s">
        <v>182</v>
      </c>
      <c r="F192" t="s">
        <v>154</v>
      </c>
      <c r="G192">
        <v>6600</v>
      </c>
      <c r="H192">
        <v>6601</v>
      </c>
      <c r="I192" t="s">
        <v>781</v>
      </c>
      <c r="J192">
        <v>6300</v>
      </c>
      <c r="K192">
        <v>6301</v>
      </c>
      <c r="L192" t="s">
        <v>782</v>
      </c>
      <c r="M192">
        <v>3</v>
      </c>
      <c r="N192" t="s">
        <v>9</v>
      </c>
      <c r="O192" t="s">
        <v>9</v>
      </c>
      <c r="P192" t="s">
        <v>157</v>
      </c>
      <c r="Q192" t="s">
        <v>162</v>
      </c>
      <c r="R192" t="s">
        <v>502</v>
      </c>
      <c r="S192">
        <v>2017</v>
      </c>
      <c r="T192">
        <v>6</v>
      </c>
      <c r="U192" t="s">
        <v>783</v>
      </c>
      <c r="V192" t="s">
        <v>162</v>
      </c>
      <c r="W192">
        <v>0</v>
      </c>
      <c r="X192">
        <v>0</v>
      </c>
      <c r="Y192" t="s">
        <v>162</v>
      </c>
      <c r="Z192">
        <v>2017</v>
      </c>
      <c r="AA192">
        <v>2017</v>
      </c>
      <c r="AB192" s="5">
        <v>0.37643088495100002</v>
      </c>
      <c r="AC192" s="5">
        <v>0.75286176990200004</v>
      </c>
      <c r="AD192" t="s">
        <v>154</v>
      </c>
      <c r="AE192" t="s">
        <v>163</v>
      </c>
      <c r="AF192" t="s">
        <v>154</v>
      </c>
      <c r="AG192" t="s">
        <v>154</v>
      </c>
      <c r="AH192" t="s">
        <v>154</v>
      </c>
      <c r="AI192" t="s">
        <v>154</v>
      </c>
      <c r="AJ192" t="s">
        <v>154</v>
      </c>
      <c r="AK192" t="s">
        <v>162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 s="60">
        <f t="shared" si="2"/>
        <v>1</v>
      </c>
      <c r="AU192" s="95" t="s">
        <v>360</v>
      </c>
      <c r="AV192" s="94" t="s">
        <v>165</v>
      </c>
      <c r="AW192" t="s">
        <v>166</v>
      </c>
      <c r="AX192">
        <v>2</v>
      </c>
      <c r="AY192" t="s">
        <v>167</v>
      </c>
      <c r="AZ192" t="s">
        <v>162</v>
      </c>
    </row>
    <row r="193" spans="1:52" x14ac:dyDescent="0.25">
      <c r="A193">
        <v>182</v>
      </c>
      <c r="B193" t="s">
        <v>480</v>
      </c>
      <c r="C193" t="s">
        <v>163</v>
      </c>
      <c r="D193" t="s">
        <v>481</v>
      </c>
      <c r="E193" t="s">
        <v>216</v>
      </c>
      <c r="F193" t="s">
        <v>162</v>
      </c>
      <c r="G193">
        <v>5200</v>
      </c>
      <c r="H193">
        <v>5201</v>
      </c>
      <c r="I193" t="s">
        <v>784</v>
      </c>
      <c r="J193">
        <v>5600</v>
      </c>
      <c r="K193">
        <v>5601</v>
      </c>
      <c r="L193" t="s">
        <v>603</v>
      </c>
      <c r="M193">
        <v>2</v>
      </c>
      <c r="N193" t="s">
        <v>11</v>
      </c>
      <c r="O193" t="s">
        <v>11</v>
      </c>
      <c r="P193" t="s">
        <v>175</v>
      </c>
      <c r="Q193" t="s">
        <v>162</v>
      </c>
      <c r="R193" t="s">
        <v>473</v>
      </c>
      <c r="S193">
        <v>2021</v>
      </c>
      <c r="T193">
        <v>10</v>
      </c>
      <c r="U193" t="s">
        <v>162</v>
      </c>
      <c r="V193" t="s">
        <v>162</v>
      </c>
      <c r="W193">
        <v>0</v>
      </c>
      <c r="X193">
        <v>0</v>
      </c>
      <c r="Y193" t="s">
        <v>162</v>
      </c>
      <c r="Z193">
        <v>2021</v>
      </c>
      <c r="AA193">
        <v>2021</v>
      </c>
      <c r="AB193" s="5">
        <v>0.50533064341099998</v>
      </c>
      <c r="AC193" s="5">
        <v>1.01066128682</v>
      </c>
      <c r="AD193" t="s">
        <v>162</v>
      </c>
      <c r="AE193" t="s">
        <v>163</v>
      </c>
      <c r="AF193" t="s">
        <v>162</v>
      </c>
      <c r="AG193" t="s">
        <v>163</v>
      </c>
      <c r="AH193" t="s">
        <v>162</v>
      </c>
      <c r="AI193" t="s">
        <v>162</v>
      </c>
      <c r="AJ193" t="s">
        <v>162</v>
      </c>
      <c r="AK193" t="s">
        <v>162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 s="60">
        <f t="shared" si="2"/>
        <v>1</v>
      </c>
      <c r="AU193" s="95" t="s">
        <v>546</v>
      </c>
      <c r="AV193" s="94" t="s">
        <v>165</v>
      </c>
      <c r="AW193" t="s">
        <v>163</v>
      </c>
      <c r="AX193">
        <v>2</v>
      </c>
      <c r="AY193" t="s">
        <v>167</v>
      </c>
      <c r="AZ193" t="s">
        <v>162</v>
      </c>
    </row>
    <row r="194" spans="1:52" x14ac:dyDescent="0.25">
      <c r="A194">
        <v>183</v>
      </c>
      <c r="B194" t="s">
        <v>785</v>
      </c>
      <c r="C194" t="s">
        <v>180</v>
      </c>
      <c r="D194" t="s">
        <v>786</v>
      </c>
      <c r="E194" t="s">
        <v>216</v>
      </c>
      <c r="F194" t="s">
        <v>162</v>
      </c>
      <c r="G194">
        <v>8406</v>
      </c>
      <c r="H194">
        <v>8403</v>
      </c>
      <c r="I194" t="s">
        <v>787</v>
      </c>
      <c r="J194">
        <v>8300</v>
      </c>
      <c r="K194">
        <v>8301</v>
      </c>
      <c r="L194" t="s">
        <v>788</v>
      </c>
      <c r="M194">
        <v>3</v>
      </c>
      <c r="N194" t="s">
        <v>9</v>
      </c>
      <c r="O194" t="s">
        <v>9</v>
      </c>
      <c r="P194" t="s">
        <v>157</v>
      </c>
      <c r="Q194" t="s">
        <v>162</v>
      </c>
      <c r="R194" t="s">
        <v>238</v>
      </c>
      <c r="S194">
        <v>2018</v>
      </c>
      <c r="T194">
        <v>8</v>
      </c>
      <c r="U194" t="s">
        <v>123</v>
      </c>
      <c r="V194" t="s">
        <v>162</v>
      </c>
      <c r="W194">
        <v>0</v>
      </c>
      <c r="X194">
        <v>0</v>
      </c>
      <c r="Y194" t="s">
        <v>162</v>
      </c>
      <c r="Z194">
        <v>2018</v>
      </c>
      <c r="AA194">
        <v>2018</v>
      </c>
      <c r="AB194" s="5">
        <v>0.20300550391200001</v>
      </c>
      <c r="AC194" s="5">
        <v>0.40601100782400001</v>
      </c>
      <c r="AD194" t="s">
        <v>162</v>
      </c>
      <c r="AE194" t="s">
        <v>163</v>
      </c>
      <c r="AF194" t="s">
        <v>162</v>
      </c>
      <c r="AG194" t="s">
        <v>162</v>
      </c>
      <c r="AH194" t="s">
        <v>162</v>
      </c>
      <c r="AI194" t="s">
        <v>162</v>
      </c>
      <c r="AJ194" t="s">
        <v>162</v>
      </c>
      <c r="AK194" t="s">
        <v>162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 s="60">
        <f t="shared" si="2"/>
        <v>1</v>
      </c>
      <c r="AU194" s="95">
        <v>43347</v>
      </c>
      <c r="AV194" s="94" t="s">
        <v>165</v>
      </c>
      <c r="AW194" t="s">
        <v>789</v>
      </c>
      <c r="AX194">
        <v>3</v>
      </c>
      <c r="AY194" t="s">
        <v>167</v>
      </c>
      <c r="AZ194" t="s">
        <v>162</v>
      </c>
    </row>
    <row r="195" spans="1:52" x14ac:dyDescent="0.25">
      <c r="A195">
        <v>184</v>
      </c>
      <c r="B195" t="s">
        <v>568</v>
      </c>
      <c r="C195" t="s">
        <v>180</v>
      </c>
      <c r="D195" t="s">
        <v>569</v>
      </c>
      <c r="E195" t="s">
        <v>216</v>
      </c>
      <c r="F195" t="s">
        <v>162</v>
      </c>
      <c r="G195">
        <v>2499</v>
      </c>
      <c r="H195">
        <v>2498</v>
      </c>
      <c r="I195" t="s">
        <v>790</v>
      </c>
      <c r="J195">
        <v>2297</v>
      </c>
      <c r="K195">
        <v>2298</v>
      </c>
      <c r="L195" t="s">
        <v>570</v>
      </c>
      <c r="M195">
        <v>3</v>
      </c>
      <c r="N195" t="s">
        <v>11</v>
      </c>
      <c r="O195" t="s">
        <v>11</v>
      </c>
      <c r="P195" t="s">
        <v>175</v>
      </c>
      <c r="Q195" t="s">
        <v>162</v>
      </c>
      <c r="R195" t="s">
        <v>253</v>
      </c>
      <c r="S195">
        <v>2004</v>
      </c>
      <c r="T195">
        <v>9</v>
      </c>
      <c r="U195" t="s">
        <v>162</v>
      </c>
      <c r="V195" t="s">
        <v>455</v>
      </c>
      <c r="W195">
        <v>2020</v>
      </c>
      <c r="X195">
        <v>2020</v>
      </c>
      <c r="Y195" t="s">
        <v>123</v>
      </c>
      <c r="Z195">
        <v>2020</v>
      </c>
      <c r="AA195">
        <v>2020</v>
      </c>
      <c r="AB195" s="5">
        <v>0.49677990175600001</v>
      </c>
      <c r="AC195" s="5">
        <v>0.99355980351200002</v>
      </c>
      <c r="AD195" t="s">
        <v>162</v>
      </c>
      <c r="AE195" t="s">
        <v>163</v>
      </c>
      <c r="AF195" t="s">
        <v>162</v>
      </c>
      <c r="AG195" t="s">
        <v>162</v>
      </c>
      <c r="AH195" t="s">
        <v>162</v>
      </c>
      <c r="AI195" t="s">
        <v>162</v>
      </c>
      <c r="AJ195" t="s">
        <v>162</v>
      </c>
      <c r="AK195" t="s">
        <v>162</v>
      </c>
      <c r="AL195">
        <v>0</v>
      </c>
      <c r="AM195">
        <v>0</v>
      </c>
      <c r="AN195">
        <v>0</v>
      </c>
      <c r="AO195">
        <v>0</v>
      </c>
      <c r="AP195">
        <v>0.5</v>
      </c>
      <c r="AQ195">
        <v>0.5</v>
      </c>
      <c r="AR195">
        <v>0</v>
      </c>
      <c r="AS195">
        <v>0</v>
      </c>
      <c r="AT195" s="60">
        <f t="shared" si="2"/>
        <v>1</v>
      </c>
      <c r="AU195" s="95" t="s">
        <v>187</v>
      </c>
      <c r="AV195" s="94" t="s">
        <v>165</v>
      </c>
      <c r="AW195" t="s">
        <v>162</v>
      </c>
      <c r="AX195">
        <v>2</v>
      </c>
      <c r="AY195" t="s">
        <v>167</v>
      </c>
      <c r="AZ195" t="s">
        <v>162</v>
      </c>
    </row>
    <row r="196" spans="1:52" x14ac:dyDescent="0.25">
      <c r="A196">
        <v>185</v>
      </c>
      <c r="B196" t="s">
        <v>791</v>
      </c>
      <c r="C196" t="s">
        <v>180</v>
      </c>
      <c r="D196" t="s">
        <v>643</v>
      </c>
      <c r="E196" t="s">
        <v>216</v>
      </c>
      <c r="F196" t="s">
        <v>162</v>
      </c>
      <c r="G196">
        <v>1201</v>
      </c>
      <c r="H196">
        <v>1200</v>
      </c>
      <c r="I196" t="s">
        <v>248</v>
      </c>
      <c r="J196">
        <v>3500</v>
      </c>
      <c r="K196">
        <v>3501</v>
      </c>
      <c r="L196" t="s">
        <v>390</v>
      </c>
      <c r="M196">
        <v>3</v>
      </c>
      <c r="N196" t="s">
        <v>11</v>
      </c>
      <c r="O196" t="s">
        <v>11</v>
      </c>
      <c r="P196" t="s">
        <v>175</v>
      </c>
      <c r="Q196" t="s">
        <v>162</v>
      </c>
      <c r="R196" t="s">
        <v>253</v>
      </c>
      <c r="S196">
        <v>2003</v>
      </c>
      <c r="T196">
        <v>9</v>
      </c>
      <c r="U196" t="s">
        <v>162</v>
      </c>
      <c r="V196" t="s">
        <v>502</v>
      </c>
      <c r="W196">
        <v>2016</v>
      </c>
      <c r="X196">
        <v>10</v>
      </c>
      <c r="Y196" t="s">
        <v>123</v>
      </c>
      <c r="Z196">
        <v>2016</v>
      </c>
      <c r="AA196">
        <v>2016</v>
      </c>
      <c r="AB196" s="5">
        <v>1.0097078723499999</v>
      </c>
      <c r="AC196" s="5">
        <v>2.0194157446999998</v>
      </c>
      <c r="AD196" t="s">
        <v>162</v>
      </c>
      <c r="AE196" t="s">
        <v>163</v>
      </c>
      <c r="AF196" t="s">
        <v>162</v>
      </c>
      <c r="AG196" t="s">
        <v>162</v>
      </c>
      <c r="AH196" t="s">
        <v>162</v>
      </c>
      <c r="AI196" t="s">
        <v>162</v>
      </c>
      <c r="AJ196" t="s">
        <v>162</v>
      </c>
      <c r="AK196" t="s">
        <v>162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s="60">
        <f t="shared" si="2"/>
        <v>1</v>
      </c>
      <c r="AU196" s="95">
        <v>43343</v>
      </c>
      <c r="AV196" s="94" t="s">
        <v>165</v>
      </c>
      <c r="AW196" t="s">
        <v>162</v>
      </c>
      <c r="AX196">
        <v>2</v>
      </c>
      <c r="AY196" t="s">
        <v>167</v>
      </c>
      <c r="AZ196" t="s">
        <v>162</v>
      </c>
    </row>
    <row r="197" spans="1:52" x14ac:dyDescent="0.25">
      <c r="A197">
        <v>186</v>
      </c>
      <c r="B197" t="s">
        <v>315</v>
      </c>
      <c r="C197" t="s">
        <v>163</v>
      </c>
      <c r="D197" t="s">
        <v>316</v>
      </c>
      <c r="E197" t="s">
        <v>216</v>
      </c>
      <c r="F197" t="s">
        <v>162</v>
      </c>
      <c r="G197">
        <v>6134</v>
      </c>
      <c r="H197">
        <v>6133</v>
      </c>
      <c r="I197" t="s">
        <v>318</v>
      </c>
      <c r="J197">
        <v>6362</v>
      </c>
      <c r="K197">
        <v>6377</v>
      </c>
      <c r="L197" t="s">
        <v>374</v>
      </c>
      <c r="M197">
        <v>3</v>
      </c>
      <c r="N197" t="s">
        <v>9</v>
      </c>
      <c r="O197" t="s">
        <v>9</v>
      </c>
      <c r="P197" t="s">
        <v>157</v>
      </c>
      <c r="Q197" t="s">
        <v>162</v>
      </c>
      <c r="R197" t="s">
        <v>673</v>
      </c>
      <c r="S197">
        <v>2017</v>
      </c>
      <c r="T197">
        <v>7</v>
      </c>
      <c r="U197" t="s">
        <v>123</v>
      </c>
      <c r="V197" t="s">
        <v>162</v>
      </c>
      <c r="W197">
        <v>0</v>
      </c>
      <c r="X197">
        <v>0</v>
      </c>
      <c r="Y197" t="s">
        <v>162</v>
      </c>
      <c r="Z197">
        <v>2017</v>
      </c>
      <c r="AA197">
        <v>2017</v>
      </c>
      <c r="AB197" s="5">
        <v>0.33025996314200001</v>
      </c>
      <c r="AC197" s="5">
        <v>0.66051992628400003</v>
      </c>
      <c r="AD197" t="s">
        <v>162</v>
      </c>
      <c r="AE197" t="s">
        <v>163</v>
      </c>
      <c r="AF197" t="s">
        <v>162</v>
      </c>
      <c r="AG197" t="s">
        <v>162</v>
      </c>
      <c r="AH197" t="s">
        <v>162</v>
      </c>
      <c r="AI197" t="s">
        <v>162</v>
      </c>
      <c r="AJ197" t="s">
        <v>162</v>
      </c>
      <c r="AK197" t="s">
        <v>162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s="60">
        <f t="shared" si="2"/>
        <v>1</v>
      </c>
      <c r="AU197" s="95">
        <v>43336</v>
      </c>
      <c r="AV197" t="s">
        <v>165</v>
      </c>
      <c r="AW197" t="s">
        <v>163</v>
      </c>
      <c r="AX197">
        <v>2</v>
      </c>
      <c r="AY197" t="s">
        <v>167</v>
      </c>
      <c r="AZ197" t="s">
        <v>162</v>
      </c>
    </row>
    <row r="198" spans="1:52" x14ac:dyDescent="0.25">
      <c r="A198">
        <v>187</v>
      </c>
      <c r="B198" t="s">
        <v>284</v>
      </c>
      <c r="C198" t="s">
        <v>203</v>
      </c>
      <c r="D198" t="s">
        <v>285</v>
      </c>
      <c r="E198" t="s">
        <v>172</v>
      </c>
      <c r="F198" t="s">
        <v>162</v>
      </c>
      <c r="G198">
        <v>2726</v>
      </c>
      <c r="H198">
        <v>2727</v>
      </c>
      <c r="I198" t="s">
        <v>792</v>
      </c>
      <c r="J198">
        <v>2926</v>
      </c>
      <c r="K198">
        <v>2927</v>
      </c>
      <c r="L198" t="s">
        <v>793</v>
      </c>
      <c r="M198">
        <v>3</v>
      </c>
      <c r="N198" t="s">
        <v>11</v>
      </c>
      <c r="O198" t="s">
        <v>11</v>
      </c>
      <c r="P198" t="s">
        <v>175</v>
      </c>
      <c r="Q198" t="s">
        <v>162</v>
      </c>
      <c r="R198" t="s">
        <v>253</v>
      </c>
      <c r="S198">
        <v>2004</v>
      </c>
      <c r="T198">
        <v>9</v>
      </c>
      <c r="U198" t="s">
        <v>162</v>
      </c>
      <c r="V198" t="s">
        <v>238</v>
      </c>
      <c r="W198">
        <v>2018</v>
      </c>
      <c r="X198">
        <v>7</v>
      </c>
      <c r="Y198" t="s">
        <v>123</v>
      </c>
      <c r="Z198">
        <v>2018</v>
      </c>
      <c r="AA198">
        <v>2018</v>
      </c>
      <c r="AB198" s="5">
        <v>0.31386015675200002</v>
      </c>
      <c r="AC198" s="5">
        <v>0.62772031350400004</v>
      </c>
      <c r="AD198" t="s">
        <v>162</v>
      </c>
      <c r="AE198" t="s">
        <v>163</v>
      </c>
      <c r="AF198" t="s">
        <v>162</v>
      </c>
      <c r="AG198" t="s">
        <v>162</v>
      </c>
      <c r="AH198" t="s">
        <v>162</v>
      </c>
      <c r="AI198" t="s">
        <v>162</v>
      </c>
      <c r="AJ198" t="s">
        <v>162</v>
      </c>
      <c r="AK198" t="s">
        <v>162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 s="60">
        <f t="shared" si="2"/>
        <v>1</v>
      </c>
      <c r="AU198" s="95">
        <v>43336</v>
      </c>
      <c r="AV198" t="s">
        <v>165</v>
      </c>
      <c r="AW198" t="s">
        <v>162</v>
      </c>
      <c r="AX198">
        <v>2</v>
      </c>
      <c r="AY198" t="s">
        <v>167</v>
      </c>
      <c r="AZ198" t="s">
        <v>162</v>
      </c>
    </row>
    <row r="199" spans="1:52" x14ac:dyDescent="0.25">
      <c r="A199">
        <v>188</v>
      </c>
      <c r="B199" t="s">
        <v>284</v>
      </c>
      <c r="C199" t="s">
        <v>203</v>
      </c>
      <c r="D199" t="s">
        <v>285</v>
      </c>
      <c r="E199" t="s">
        <v>172</v>
      </c>
      <c r="F199" t="s">
        <v>162</v>
      </c>
      <c r="G199">
        <v>832</v>
      </c>
      <c r="H199">
        <v>833</v>
      </c>
      <c r="I199" t="s">
        <v>794</v>
      </c>
      <c r="J199">
        <v>1160</v>
      </c>
      <c r="K199">
        <v>1161</v>
      </c>
      <c r="L199" t="s">
        <v>795</v>
      </c>
      <c r="M199">
        <v>3</v>
      </c>
      <c r="N199" t="s">
        <v>11</v>
      </c>
      <c r="O199" t="s">
        <v>11</v>
      </c>
      <c r="P199" t="s">
        <v>175</v>
      </c>
      <c r="Q199" t="s">
        <v>162</v>
      </c>
      <c r="R199" t="s">
        <v>253</v>
      </c>
      <c r="S199">
        <v>2003</v>
      </c>
      <c r="T199">
        <v>6</v>
      </c>
      <c r="U199" t="s">
        <v>162</v>
      </c>
      <c r="V199" t="s">
        <v>422</v>
      </c>
      <c r="W199">
        <v>2016</v>
      </c>
      <c r="X199">
        <v>5</v>
      </c>
      <c r="Y199" t="s">
        <v>123</v>
      </c>
      <c r="Z199">
        <v>2016</v>
      </c>
      <c r="AA199">
        <v>2016</v>
      </c>
      <c r="AB199" s="5">
        <v>0.43826020224899997</v>
      </c>
      <c r="AC199" s="5">
        <v>0.87652040449799995</v>
      </c>
      <c r="AD199" t="s">
        <v>162</v>
      </c>
      <c r="AE199" t="s">
        <v>163</v>
      </c>
      <c r="AF199" t="s">
        <v>162</v>
      </c>
      <c r="AG199" t="s">
        <v>162</v>
      </c>
      <c r="AH199" t="s">
        <v>162</v>
      </c>
      <c r="AI199" t="s">
        <v>162</v>
      </c>
      <c r="AJ199" t="s">
        <v>162</v>
      </c>
      <c r="AK199" t="s">
        <v>162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 s="60">
        <f t="shared" si="2"/>
        <v>1</v>
      </c>
      <c r="AU199" s="95">
        <v>43336</v>
      </c>
      <c r="AV199" s="94" t="s">
        <v>165</v>
      </c>
      <c r="AW199" t="s">
        <v>162</v>
      </c>
      <c r="AX199">
        <v>2</v>
      </c>
      <c r="AY199" t="s">
        <v>167</v>
      </c>
      <c r="AZ199" t="s">
        <v>162</v>
      </c>
    </row>
    <row r="200" spans="1:52" x14ac:dyDescent="0.25">
      <c r="A200">
        <v>189</v>
      </c>
      <c r="B200" t="s">
        <v>796</v>
      </c>
      <c r="C200" t="s">
        <v>203</v>
      </c>
      <c r="D200" t="s">
        <v>797</v>
      </c>
      <c r="E200" t="s">
        <v>172</v>
      </c>
      <c r="F200" t="s">
        <v>162</v>
      </c>
      <c r="G200">
        <v>3351</v>
      </c>
      <c r="H200">
        <v>3350</v>
      </c>
      <c r="I200" t="s">
        <v>798</v>
      </c>
      <c r="J200">
        <v>3430</v>
      </c>
      <c r="K200">
        <v>3431</v>
      </c>
      <c r="L200" t="s">
        <v>799</v>
      </c>
      <c r="M200">
        <v>2</v>
      </c>
      <c r="N200" t="s">
        <v>11</v>
      </c>
      <c r="O200" t="s">
        <v>11</v>
      </c>
      <c r="P200" t="s">
        <v>175</v>
      </c>
      <c r="Q200" t="s">
        <v>162</v>
      </c>
      <c r="R200" t="s">
        <v>457</v>
      </c>
      <c r="S200">
        <v>1996</v>
      </c>
      <c r="T200">
        <v>5</v>
      </c>
      <c r="U200" t="s">
        <v>162</v>
      </c>
      <c r="V200" t="s">
        <v>225</v>
      </c>
      <c r="W200">
        <v>2018</v>
      </c>
      <c r="X200">
        <v>5</v>
      </c>
      <c r="Y200" t="s">
        <v>162</v>
      </c>
      <c r="Z200">
        <v>2018</v>
      </c>
      <c r="AA200">
        <v>2006</v>
      </c>
      <c r="AB200" s="5">
        <v>0.14215834334800001</v>
      </c>
      <c r="AC200" s="5">
        <v>0.28431668669600002</v>
      </c>
      <c r="AD200" t="s">
        <v>162</v>
      </c>
      <c r="AE200" t="s">
        <v>163</v>
      </c>
      <c r="AF200" t="s">
        <v>162</v>
      </c>
      <c r="AG200" t="s">
        <v>162</v>
      </c>
      <c r="AH200" t="s">
        <v>162</v>
      </c>
      <c r="AI200" t="s">
        <v>162</v>
      </c>
      <c r="AJ200" t="s">
        <v>162</v>
      </c>
      <c r="AK200" t="s">
        <v>162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 s="60">
        <f t="shared" si="2"/>
        <v>1</v>
      </c>
      <c r="AU200" s="95">
        <v>43347</v>
      </c>
      <c r="AV200" t="s">
        <v>165</v>
      </c>
      <c r="AW200" t="s">
        <v>162</v>
      </c>
      <c r="AX200">
        <v>2</v>
      </c>
      <c r="AY200" t="s">
        <v>167</v>
      </c>
      <c r="AZ200" t="s">
        <v>162</v>
      </c>
    </row>
    <row r="201" spans="1:52" x14ac:dyDescent="0.25">
      <c r="A201">
        <v>190</v>
      </c>
      <c r="B201" t="s">
        <v>453</v>
      </c>
      <c r="C201" t="s">
        <v>180</v>
      </c>
      <c r="D201" t="s">
        <v>454</v>
      </c>
      <c r="E201" t="s">
        <v>216</v>
      </c>
      <c r="F201" t="s">
        <v>162</v>
      </c>
      <c r="G201">
        <v>6259</v>
      </c>
      <c r="H201">
        <v>6258</v>
      </c>
      <c r="I201" t="s">
        <v>800</v>
      </c>
      <c r="J201">
        <v>5500</v>
      </c>
      <c r="K201">
        <v>5501</v>
      </c>
      <c r="L201" t="s">
        <v>801</v>
      </c>
      <c r="M201">
        <v>3</v>
      </c>
      <c r="N201" t="s">
        <v>11</v>
      </c>
      <c r="O201" t="s">
        <v>11</v>
      </c>
      <c r="P201" t="s">
        <v>175</v>
      </c>
      <c r="Q201" t="s">
        <v>162</v>
      </c>
      <c r="R201" t="s">
        <v>177</v>
      </c>
      <c r="S201">
        <v>2011</v>
      </c>
      <c r="T201">
        <v>7</v>
      </c>
      <c r="U201" t="s">
        <v>162</v>
      </c>
      <c r="V201" t="s">
        <v>267</v>
      </c>
      <c r="W201">
        <v>2018</v>
      </c>
      <c r="X201">
        <v>8</v>
      </c>
      <c r="Y201" t="s">
        <v>162</v>
      </c>
      <c r="Z201">
        <v>2018</v>
      </c>
      <c r="AA201">
        <v>2012</v>
      </c>
      <c r="AB201" s="5">
        <v>0.98298273552799997</v>
      </c>
      <c r="AC201" s="5">
        <v>1.9659654710600001</v>
      </c>
      <c r="AD201" t="s">
        <v>162</v>
      </c>
      <c r="AE201" t="s">
        <v>163</v>
      </c>
      <c r="AF201" t="s">
        <v>162</v>
      </c>
      <c r="AG201" t="s">
        <v>162</v>
      </c>
      <c r="AH201" t="s">
        <v>162</v>
      </c>
      <c r="AI201" t="s">
        <v>162</v>
      </c>
      <c r="AJ201" t="s">
        <v>162</v>
      </c>
      <c r="AK201" t="s">
        <v>162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 s="60">
        <f t="shared" si="2"/>
        <v>1</v>
      </c>
      <c r="AU201" s="95">
        <v>43340</v>
      </c>
      <c r="AV201" s="94" t="s">
        <v>165</v>
      </c>
      <c r="AW201" t="s">
        <v>162</v>
      </c>
      <c r="AX201">
        <v>2</v>
      </c>
      <c r="AY201" t="s">
        <v>167</v>
      </c>
      <c r="AZ201" t="s">
        <v>162</v>
      </c>
    </row>
    <row r="202" spans="1:52" x14ac:dyDescent="0.25">
      <c r="A202">
        <v>191</v>
      </c>
      <c r="B202" t="s">
        <v>802</v>
      </c>
      <c r="C202" t="s">
        <v>163</v>
      </c>
      <c r="D202" t="s">
        <v>803</v>
      </c>
      <c r="E202" t="s">
        <v>172</v>
      </c>
      <c r="F202" t="s">
        <v>163</v>
      </c>
      <c r="G202">
        <v>400</v>
      </c>
      <c r="H202">
        <v>401</v>
      </c>
      <c r="I202" t="s">
        <v>423</v>
      </c>
      <c r="J202">
        <v>726</v>
      </c>
      <c r="K202">
        <v>725</v>
      </c>
      <c r="L202" t="s">
        <v>804</v>
      </c>
      <c r="M202">
        <v>4</v>
      </c>
      <c r="N202" t="s">
        <v>9</v>
      </c>
      <c r="O202" t="s">
        <v>9</v>
      </c>
      <c r="P202" t="s">
        <v>157</v>
      </c>
      <c r="Q202" t="s">
        <v>805</v>
      </c>
      <c r="R202" t="s">
        <v>238</v>
      </c>
      <c r="S202">
        <v>2017</v>
      </c>
      <c r="T202">
        <v>11</v>
      </c>
      <c r="U202" t="s">
        <v>123</v>
      </c>
      <c r="V202" t="s">
        <v>162</v>
      </c>
      <c r="W202">
        <v>0</v>
      </c>
      <c r="X202">
        <v>0</v>
      </c>
      <c r="Y202" t="s">
        <v>162</v>
      </c>
      <c r="Z202">
        <v>2017</v>
      </c>
      <c r="AA202">
        <v>2017</v>
      </c>
      <c r="AB202" s="5">
        <v>0.44349021103899999</v>
      </c>
      <c r="AC202" s="5">
        <v>0.44349021103899999</v>
      </c>
      <c r="AD202" t="s">
        <v>162</v>
      </c>
      <c r="AE202" t="s">
        <v>166</v>
      </c>
      <c r="AF202" t="s">
        <v>163</v>
      </c>
      <c r="AG202" t="s">
        <v>163</v>
      </c>
      <c r="AH202" t="s">
        <v>162</v>
      </c>
      <c r="AI202" t="s">
        <v>162</v>
      </c>
      <c r="AJ202" t="s">
        <v>162</v>
      </c>
      <c r="AK202" t="s">
        <v>162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 s="60">
        <f t="shared" si="2"/>
        <v>1</v>
      </c>
      <c r="AU202" s="95" t="s">
        <v>244</v>
      </c>
      <c r="AV202" s="94" t="s">
        <v>165</v>
      </c>
      <c r="AW202" t="s">
        <v>163</v>
      </c>
      <c r="AX202">
        <v>2</v>
      </c>
      <c r="AY202" t="s">
        <v>167</v>
      </c>
      <c r="AZ202" t="s">
        <v>162</v>
      </c>
    </row>
    <row r="203" spans="1:52" x14ac:dyDescent="0.25">
      <c r="A203">
        <v>192</v>
      </c>
      <c r="B203" t="s">
        <v>791</v>
      </c>
      <c r="C203" t="s">
        <v>180</v>
      </c>
      <c r="D203" t="s">
        <v>643</v>
      </c>
      <c r="E203" t="s">
        <v>216</v>
      </c>
      <c r="F203" t="s">
        <v>162</v>
      </c>
      <c r="G203">
        <v>1159</v>
      </c>
      <c r="H203">
        <v>1158</v>
      </c>
      <c r="I203" t="s">
        <v>390</v>
      </c>
      <c r="J203">
        <v>801</v>
      </c>
      <c r="K203">
        <v>800</v>
      </c>
      <c r="L203" t="s">
        <v>391</v>
      </c>
      <c r="M203">
        <v>3</v>
      </c>
      <c r="N203" t="s">
        <v>15</v>
      </c>
      <c r="O203" t="s">
        <v>15</v>
      </c>
      <c r="P203" t="s">
        <v>175</v>
      </c>
      <c r="Q203" t="s">
        <v>162</v>
      </c>
      <c r="R203" t="s">
        <v>659</v>
      </c>
      <c r="S203">
        <v>2005</v>
      </c>
      <c r="T203">
        <v>11</v>
      </c>
      <c r="U203" t="s">
        <v>162</v>
      </c>
      <c r="V203" t="s">
        <v>238</v>
      </c>
      <c r="W203">
        <v>2018</v>
      </c>
      <c r="X203">
        <v>9</v>
      </c>
      <c r="Y203" t="s">
        <v>806</v>
      </c>
      <c r="Z203">
        <v>2018</v>
      </c>
      <c r="AA203">
        <v>2018</v>
      </c>
      <c r="AB203" s="5">
        <v>0.31408196078099998</v>
      </c>
      <c r="AC203" s="5">
        <v>0.62816392156199996</v>
      </c>
      <c r="AD203" t="s">
        <v>162</v>
      </c>
      <c r="AE203" t="s">
        <v>163</v>
      </c>
      <c r="AF203" t="s">
        <v>162</v>
      </c>
      <c r="AG203" t="s">
        <v>162</v>
      </c>
      <c r="AH203" t="s">
        <v>162</v>
      </c>
      <c r="AI203" t="s">
        <v>162</v>
      </c>
      <c r="AJ203" t="s">
        <v>162</v>
      </c>
      <c r="AK203" t="s">
        <v>162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 s="60">
        <f t="shared" ref="AT203:AT266" si="3">SUM(AM203:AS203)</f>
        <v>1</v>
      </c>
      <c r="AU203" s="95">
        <v>43343</v>
      </c>
      <c r="AV203" t="s">
        <v>165</v>
      </c>
      <c r="AW203" t="s">
        <v>162</v>
      </c>
      <c r="AX203">
        <v>2</v>
      </c>
      <c r="AY203" t="s">
        <v>167</v>
      </c>
      <c r="AZ203" t="s">
        <v>162</v>
      </c>
    </row>
    <row r="204" spans="1:52" x14ac:dyDescent="0.25">
      <c r="A204">
        <v>193</v>
      </c>
      <c r="B204" t="s">
        <v>295</v>
      </c>
      <c r="C204" t="s">
        <v>163</v>
      </c>
      <c r="D204" t="s">
        <v>296</v>
      </c>
      <c r="E204" t="s">
        <v>172</v>
      </c>
      <c r="F204" t="s">
        <v>162</v>
      </c>
      <c r="G204">
        <v>3600</v>
      </c>
      <c r="H204">
        <v>3601</v>
      </c>
      <c r="I204" t="s">
        <v>331</v>
      </c>
      <c r="J204">
        <v>4358</v>
      </c>
      <c r="K204">
        <v>4359</v>
      </c>
      <c r="L204" t="s">
        <v>445</v>
      </c>
      <c r="M204">
        <v>3</v>
      </c>
      <c r="N204" t="s">
        <v>15</v>
      </c>
      <c r="O204" t="s">
        <v>15</v>
      </c>
      <c r="P204" t="s">
        <v>175</v>
      </c>
      <c r="Q204" t="s">
        <v>807</v>
      </c>
      <c r="R204" t="s">
        <v>659</v>
      </c>
      <c r="S204">
        <v>2006</v>
      </c>
      <c r="T204">
        <v>4</v>
      </c>
      <c r="U204" t="s">
        <v>123</v>
      </c>
      <c r="V204" t="s">
        <v>162</v>
      </c>
      <c r="W204">
        <v>0</v>
      </c>
      <c r="X204">
        <v>0</v>
      </c>
      <c r="Y204" t="s">
        <v>162</v>
      </c>
      <c r="Z204">
        <v>2006</v>
      </c>
      <c r="AA204">
        <v>2006</v>
      </c>
      <c r="AB204" s="5">
        <v>1.1135220854500001</v>
      </c>
      <c r="AC204" s="5">
        <v>2.2270441709000002</v>
      </c>
      <c r="AD204" t="s">
        <v>162</v>
      </c>
      <c r="AE204" t="s">
        <v>163</v>
      </c>
      <c r="AF204" t="s">
        <v>162</v>
      </c>
      <c r="AG204" t="s">
        <v>162</v>
      </c>
      <c r="AH204" t="s">
        <v>162</v>
      </c>
      <c r="AI204" t="s">
        <v>162</v>
      </c>
      <c r="AJ204" t="s">
        <v>162</v>
      </c>
      <c r="AK204" t="s">
        <v>162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s="60">
        <f t="shared" si="3"/>
        <v>1</v>
      </c>
      <c r="AU204" s="95">
        <v>43336</v>
      </c>
      <c r="AV204" t="s">
        <v>165</v>
      </c>
      <c r="AW204" t="s">
        <v>162</v>
      </c>
      <c r="AX204">
        <v>2</v>
      </c>
      <c r="AY204" t="s">
        <v>167</v>
      </c>
      <c r="AZ204" t="s">
        <v>162</v>
      </c>
    </row>
    <row r="205" spans="1:52" x14ac:dyDescent="0.25">
      <c r="A205">
        <v>194</v>
      </c>
      <c r="B205" t="s">
        <v>808</v>
      </c>
      <c r="C205" t="s">
        <v>151</v>
      </c>
      <c r="D205" t="s">
        <v>809</v>
      </c>
      <c r="E205" t="s">
        <v>216</v>
      </c>
      <c r="F205" t="s">
        <v>162</v>
      </c>
      <c r="G205">
        <v>3731</v>
      </c>
      <c r="H205">
        <v>3730</v>
      </c>
      <c r="I205" t="s">
        <v>810</v>
      </c>
      <c r="J205">
        <v>3401</v>
      </c>
      <c r="K205">
        <v>3400</v>
      </c>
      <c r="L205" t="s">
        <v>811</v>
      </c>
      <c r="M205">
        <v>4</v>
      </c>
      <c r="N205" t="s">
        <v>11</v>
      </c>
      <c r="O205" t="s">
        <v>11</v>
      </c>
      <c r="P205" t="s">
        <v>157</v>
      </c>
      <c r="Q205" t="s">
        <v>812</v>
      </c>
      <c r="R205" t="s">
        <v>813</v>
      </c>
      <c r="S205">
        <v>2020</v>
      </c>
      <c r="T205">
        <v>8</v>
      </c>
      <c r="U205" t="s">
        <v>517</v>
      </c>
      <c r="V205" t="s">
        <v>162</v>
      </c>
      <c r="W205">
        <v>2020</v>
      </c>
      <c r="X205">
        <v>8</v>
      </c>
      <c r="Y205" t="s">
        <v>814</v>
      </c>
      <c r="Z205">
        <v>2020</v>
      </c>
      <c r="AA205">
        <v>2015</v>
      </c>
      <c r="AB205" s="5">
        <v>0.50446480585800002</v>
      </c>
      <c r="AC205" s="5">
        <v>1.00892961172</v>
      </c>
      <c r="AD205" t="s">
        <v>162</v>
      </c>
      <c r="AE205" t="s">
        <v>163</v>
      </c>
      <c r="AF205" t="s">
        <v>162</v>
      </c>
      <c r="AG205" t="s">
        <v>162</v>
      </c>
      <c r="AH205" t="s">
        <v>162</v>
      </c>
      <c r="AI205" t="s">
        <v>162</v>
      </c>
      <c r="AJ205" t="s">
        <v>162</v>
      </c>
      <c r="AK205" t="s">
        <v>162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 s="60">
        <f t="shared" si="3"/>
        <v>1</v>
      </c>
      <c r="AU205" s="95" t="s">
        <v>815</v>
      </c>
      <c r="AV205" t="s">
        <v>165</v>
      </c>
      <c r="AW205" t="s">
        <v>162</v>
      </c>
      <c r="AX205">
        <v>2</v>
      </c>
      <c r="AY205" t="s">
        <v>167</v>
      </c>
      <c r="AZ205" t="s">
        <v>162</v>
      </c>
    </row>
    <row r="206" spans="1:52" x14ac:dyDescent="0.25">
      <c r="A206">
        <v>195</v>
      </c>
      <c r="B206" t="s">
        <v>469</v>
      </c>
      <c r="C206" t="s">
        <v>151</v>
      </c>
      <c r="D206" t="s">
        <v>470</v>
      </c>
      <c r="E206" t="s">
        <v>182</v>
      </c>
      <c r="F206" t="s">
        <v>162</v>
      </c>
      <c r="G206">
        <v>1474</v>
      </c>
      <c r="H206">
        <v>1475</v>
      </c>
      <c r="I206" t="s">
        <v>478</v>
      </c>
      <c r="J206">
        <v>1201</v>
      </c>
      <c r="K206">
        <v>1200</v>
      </c>
      <c r="L206" t="s">
        <v>683</v>
      </c>
      <c r="M206">
        <v>2</v>
      </c>
      <c r="N206" t="s">
        <v>11</v>
      </c>
      <c r="O206" t="s">
        <v>11</v>
      </c>
      <c r="P206" t="s">
        <v>175</v>
      </c>
      <c r="Q206" t="s">
        <v>162</v>
      </c>
      <c r="R206" t="s">
        <v>366</v>
      </c>
      <c r="S206">
        <v>2011</v>
      </c>
      <c r="T206">
        <v>6</v>
      </c>
      <c r="U206" t="s">
        <v>162</v>
      </c>
      <c r="V206" t="s">
        <v>269</v>
      </c>
      <c r="W206">
        <v>2017</v>
      </c>
      <c r="X206">
        <v>11</v>
      </c>
      <c r="Y206" t="s">
        <v>123</v>
      </c>
      <c r="Z206">
        <v>2017</v>
      </c>
      <c r="AA206">
        <v>2017</v>
      </c>
      <c r="AB206" s="5">
        <v>0.40320313343199998</v>
      </c>
      <c r="AC206" s="5">
        <v>0.80640626686399997</v>
      </c>
      <c r="AD206" t="s">
        <v>162</v>
      </c>
      <c r="AE206" t="s">
        <v>163</v>
      </c>
      <c r="AF206" t="s">
        <v>162</v>
      </c>
      <c r="AG206" t="s">
        <v>162</v>
      </c>
      <c r="AH206" t="s">
        <v>162</v>
      </c>
      <c r="AI206" t="s">
        <v>162</v>
      </c>
      <c r="AJ206" t="s">
        <v>162</v>
      </c>
      <c r="AK206" t="s">
        <v>162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60">
        <f t="shared" si="3"/>
        <v>1</v>
      </c>
      <c r="AU206" s="95">
        <v>43340</v>
      </c>
      <c r="AV206" s="94" t="s">
        <v>165</v>
      </c>
      <c r="AW206" t="s">
        <v>162</v>
      </c>
      <c r="AX206">
        <v>2</v>
      </c>
      <c r="AY206" t="s">
        <v>167</v>
      </c>
      <c r="AZ206" t="s">
        <v>162</v>
      </c>
    </row>
    <row r="207" spans="1:52" x14ac:dyDescent="0.25">
      <c r="A207">
        <v>196</v>
      </c>
      <c r="B207" t="s">
        <v>469</v>
      </c>
      <c r="C207" t="s">
        <v>151</v>
      </c>
      <c r="D207" t="s">
        <v>470</v>
      </c>
      <c r="E207" t="s">
        <v>182</v>
      </c>
      <c r="F207" t="s">
        <v>162</v>
      </c>
      <c r="G207">
        <v>2000</v>
      </c>
      <c r="H207">
        <v>2001</v>
      </c>
      <c r="I207" t="s">
        <v>191</v>
      </c>
      <c r="J207">
        <v>1600</v>
      </c>
      <c r="K207">
        <v>1601</v>
      </c>
      <c r="L207" t="s">
        <v>302</v>
      </c>
      <c r="M207">
        <v>2</v>
      </c>
      <c r="N207" t="s">
        <v>11</v>
      </c>
      <c r="O207" t="s">
        <v>11</v>
      </c>
      <c r="P207" t="s">
        <v>175</v>
      </c>
      <c r="Q207" t="s">
        <v>162</v>
      </c>
      <c r="R207" t="s">
        <v>816</v>
      </c>
      <c r="S207">
        <v>2006</v>
      </c>
      <c r="T207">
        <v>10</v>
      </c>
      <c r="U207" t="s">
        <v>162</v>
      </c>
      <c r="V207" t="s">
        <v>383</v>
      </c>
      <c r="W207">
        <v>2014</v>
      </c>
      <c r="X207">
        <v>10</v>
      </c>
      <c r="Y207" t="s">
        <v>123</v>
      </c>
      <c r="Z207">
        <v>2014</v>
      </c>
      <c r="AA207">
        <v>2014</v>
      </c>
      <c r="AB207" s="5">
        <v>0.50209460203800005</v>
      </c>
      <c r="AC207" s="5">
        <v>1.00418920408</v>
      </c>
      <c r="AD207" t="s">
        <v>162</v>
      </c>
      <c r="AE207" t="s">
        <v>163</v>
      </c>
      <c r="AF207" t="s">
        <v>162</v>
      </c>
      <c r="AG207" t="s">
        <v>162</v>
      </c>
      <c r="AH207" t="s">
        <v>162</v>
      </c>
      <c r="AI207" t="s">
        <v>162</v>
      </c>
      <c r="AJ207" t="s">
        <v>162</v>
      </c>
      <c r="AK207" t="s">
        <v>162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60">
        <f t="shared" si="3"/>
        <v>1</v>
      </c>
      <c r="AU207" s="95" t="s">
        <v>244</v>
      </c>
      <c r="AV207" s="94" t="s">
        <v>165</v>
      </c>
      <c r="AW207" t="s">
        <v>162</v>
      </c>
      <c r="AX207">
        <v>2</v>
      </c>
      <c r="AY207" t="s">
        <v>167</v>
      </c>
      <c r="AZ207" t="s">
        <v>162</v>
      </c>
    </row>
    <row r="208" spans="1:52" x14ac:dyDescent="0.25">
      <c r="A208">
        <v>197</v>
      </c>
      <c r="B208" t="s">
        <v>469</v>
      </c>
      <c r="C208" t="s">
        <v>151</v>
      </c>
      <c r="D208" t="s">
        <v>470</v>
      </c>
      <c r="E208" t="s">
        <v>216</v>
      </c>
      <c r="F208" t="s">
        <v>162</v>
      </c>
      <c r="G208">
        <v>3600</v>
      </c>
      <c r="H208">
        <v>3601</v>
      </c>
      <c r="I208" t="s">
        <v>817</v>
      </c>
      <c r="J208">
        <v>2900</v>
      </c>
      <c r="K208">
        <v>2901</v>
      </c>
      <c r="L208" t="s">
        <v>733</v>
      </c>
      <c r="M208">
        <v>2</v>
      </c>
      <c r="N208" t="s">
        <v>15</v>
      </c>
      <c r="O208" t="s">
        <v>15</v>
      </c>
      <c r="P208" t="s">
        <v>169</v>
      </c>
      <c r="Q208" t="s">
        <v>162</v>
      </c>
      <c r="R208" t="s">
        <v>816</v>
      </c>
      <c r="S208">
        <v>2006</v>
      </c>
      <c r="T208">
        <v>10</v>
      </c>
      <c r="U208" t="s">
        <v>162</v>
      </c>
      <c r="V208" t="s">
        <v>243</v>
      </c>
      <c r="W208">
        <v>2020</v>
      </c>
      <c r="X208">
        <v>0</v>
      </c>
      <c r="Y208" t="s">
        <v>162</v>
      </c>
      <c r="Z208">
        <v>2020</v>
      </c>
      <c r="AA208">
        <v>2006</v>
      </c>
      <c r="AB208" s="5">
        <v>0.83944716954300003</v>
      </c>
      <c r="AC208" s="5">
        <v>1.67889433909</v>
      </c>
      <c r="AD208" t="s">
        <v>162</v>
      </c>
      <c r="AE208" t="s">
        <v>163</v>
      </c>
      <c r="AF208" t="s">
        <v>162</v>
      </c>
      <c r="AG208" t="s">
        <v>162</v>
      </c>
      <c r="AH208" t="s">
        <v>162</v>
      </c>
      <c r="AI208" t="s">
        <v>162</v>
      </c>
      <c r="AJ208" t="s">
        <v>162</v>
      </c>
      <c r="AK208" t="s">
        <v>162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 s="60">
        <f t="shared" si="3"/>
        <v>1</v>
      </c>
      <c r="AU208" s="95" t="s">
        <v>244</v>
      </c>
      <c r="AV208" t="s">
        <v>165</v>
      </c>
      <c r="AW208" t="s">
        <v>162</v>
      </c>
      <c r="AX208">
        <v>2</v>
      </c>
      <c r="AY208" t="s">
        <v>167</v>
      </c>
      <c r="AZ208" t="s">
        <v>162</v>
      </c>
    </row>
    <row r="209" spans="1:52" x14ac:dyDescent="0.25">
      <c r="A209">
        <v>198</v>
      </c>
      <c r="B209" t="s">
        <v>284</v>
      </c>
      <c r="C209" t="s">
        <v>203</v>
      </c>
      <c r="D209" t="s">
        <v>285</v>
      </c>
      <c r="E209" t="s">
        <v>172</v>
      </c>
      <c r="F209" t="s">
        <v>162</v>
      </c>
      <c r="G209">
        <v>1200</v>
      </c>
      <c r="H209">
        <v>1201</v>
      </c>
      <c r="I209" t="s">
        <v>795</v>
      </c>
      <c r="J209">
        <v>1358</v>
      </c>
      <c r="K209">
        <v>1359</v>
      </c>
      <c r="L209" t="s">
        <v>206</v>
      </c>
      <c r="M209">
        <v>3</v>
      </c>
      <c r="N209" t="s">
        <v>11</v>
      </c>
      <c r="O209" t="s">
        <v>11</v>
      </c>
      <c r="P209" t="s">
        <v>175</v>
      </c>
      <c r="Q209" t="s">
        <v>162</v>
      </c>
      <c r="R209" t="s">
        <v>479</v>
      </c>
      <c r="S209">
        <v>2005</v>
      </c>
      <c r="T209">
        <v>7</v>
      </c>
      <c r="U209" t="s">
        <v>162</v>
      </c>
      <c r="V209" t="s">
        <v>422</v>
      </c>
      <c r="W209">
        <v>2016</v>
      </c>
      <c r="X209">
        <v>5</v>
      </c>
      <c r="Y209" t="s">
        <v>123</v>
      </c>
      <c r="Z209">
        <v>2016</v>
      </c>
      <c r="AA209">
        <v>2016</v>
      </c>
      <c r="AB209" s="5">
        <v>0.251324096735</v>
      </c>
      <c r="AC209" s="5">
        <v>0.50264819347</v>
      </c>
      <c r="AD209" t="s">
        <v>162</v>
      </c>
      <c r="AE209" t="s">
        <v>163</v>
      </c>
      <c r="AF209" t="s">
        <v>162</v>
      </c>
      <c r="AG209" t="s">
        <v>162</v>
      </c>
      <c r="AH209" t="s">
        <v>162</v>
      </c>
      <c r="AI209" t="s">
        <v>162</v>
      </c>
      <c r="AJ209" t="s">
        <v>162</v>
      </c>
      <c r="AK209" t="s">
        <v>162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 s="60">
        <f t="shared" si="3"/>
        <v>1</v>
      </c>
      <c r="AU209" s="95">
        <v>43336</v>
      </c>
      <c r="AV209" s="94" t="s">
        <v>165</v>
      </c>
      <c r="AW209" t="s">
        <v>162</v>
      </c>
      <c r="AX209">
        <v>2</v>
      </c>
      <c r="AY209" t="s">
        <v>167</v>
      </c>
      <c r="AZ209" t="s">
        <v>162</v>
      </c>
    </row>
    <row r="210" spans="1:52" x14ac:dyDescent="0.25">
      <c r="A210">
        <v>199</v>
      </c>
      <c r="B210" t="s">
        <v>284</v>
      </c>
      <c r="C210" t="s">
        <v>203</v>
      </c>
      <c r="D210" t="s">
        <v>285</v>
      </c>
      <c r="E210" t="s">
        <v>172</v>
      </c>
      <c r="F210" t="s">
        <v>162</v>
      </c>
      <c r="G210">
        <v>1600</v>
      </c>
      <c r="H210">
        <v>1601</v>
      </c>
      <c r="I210" t="s">
        <v>818</v>
      </c>
      <c r="J210">
        <v>1840</v>
      </c>
      <c r="K210">
        <v>1851</v>
      </c>
      <c r="L210" t="s">
        <v>819</v>
      </c>
      <c r="M210">
        <v>3</v>
      </c>
      <c r="N210" t="s">
        <v>15</v>
      </c>
      <c r="O210" t="s">
        <v>15</v>
      </c>
      <c r="P210" t="s">
        <v>169</v>
      </c>
      <c r="Q210" t="s">
        <v>162</v>
      </c>
      <c r="R210" t="s">
        <v>238</v>
      </c>
      <c r="S210">
        <v>2018</v>
      </c>
      <c r="T210">
        <v>8</v>
      </c>
      <c r="U210" t="s">
        <v>123</v>
      </c>
      <c r="V210" t="s">
        <v>162</v>
      </c>
      <c r="W210">
        <v>2020</v>
      </c>
      <c r="X210">
        <v>0</v>
      </c>
      <c r="Y210" t="s">
        <v>162</v>
      </c>
      <c r="Z210">
        <v>2020</v>
      </c>
      <c r="AA210">
        <v>2020</v>
      </c>
      <c r="AB210" s="5">
        <v>0.34490450238300002</v>
      </c>
      <c r="AC210" s="5">
        <v>0.68980900476600004</v>
      </c>
      <c r="AD210" t="s">
        <v>162</v>
      </c>
      <c r="AE210" t="s">
        <v>163</v>
      </c>
      <c r="AF210" t="s">
        <v>162</v>
      </c>
      <c r="AG210" t="s">
        <v>162</v>
      </c>
      <c r="AH210" t="s">
        <v>162</v>
      </c>
      <c r="AI210" t="s">
        <v>162</v>
      </c>
      <c r="AJ210" t="s">
        <v>162</v>
      </c>
      <c r="AK210" t="s">
        <v>162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 s="60">
        <f t="shared" si="3"/>
        <v>1</v>
      </c>
      <c r="AU210" s="95" t="s">
        <v>531</v>
      </c>
      <c r="AV210" t="s">
        <v>165</v>
      </c>
      <c r="AW210" t="s">
        <v>162</v>
      </c>
      <c r="AX210">
        <v>2</v>
      </c>
      <c r="AY210" t="s">
        <v>167</v>
      </c>
      <c r="AZ210" t="s">
        <v>162</v>
      </c>
    </row>
    <row r="211" spans="1:52" x14ac:dyDescent="0.25">
      <c r="A211">
        <v>200</v>
      </c>
      <c r="B211" t="s">
        <v>295</v>
      </c>
      <c r="C211" t="s">
        <v>163</v>
      </c>
      <c r="D211" t="s">
        <v>296</v>
      </c>
      <c r="E211" t="s">
        <v>172</v>
      </c>
      <c r="F211" t="s">
        <v>162</v>
      </c>
      <c r="G211">
        <v>4400</v>
      </c>
      <c r="H211">
        <v>4401</v>
      </c>
      <c r="I211" t="s">
        <v>446</v>
      </c>
      <c r="J211">
        <v>4758</v>
      </c>
      <c r="K211">
        <v>4759</v>
      </c>
      <c r="L211" t="s">
        <v>588</v>
      </c>
      <c r="M211">
        <v>3</v>
      </c>
      <c r="N211" t="s">
        <v>15</v>
      </c>
      <c r="O211" t="s">
        <v>15</v>
      </c>
      <c r="P211" t="s">
        <v>175</v>
      </c>
      <c r="Q211" t="s">
        <v>162</v>
      </c>
      <c r="R211" t="s">
        <v>383</v>
      </c>
      <c r="S211">
        <v>2011</v>
      </c>
      <c r="T211">
        <v>6</v>
      </c>
      <c r="U211" t="s">
        <v>162</v>
      </c>
      <c r="V211" t="s">
        <v>269</v>
      </c>
      <c r="W211">
        <v>2017</v>
      </c>
      <c r="X211">
        <v>10</v>
      </c>
      <c r="Y211" t="s">
        <v>123</v>
      </c>
      <c r="Z211">
        <v>2017</v>
      </c>
      <c r="AA211">
        <v>2017</v>
      </c>
      <c r="AB211" s="5">
        <v>0.25357383944799999</v>
      </c>
      <c r="AC211" s="5">
        <v>0.50714767889599999</v>
      </c>
      <c r="AD211" t="s">
        <v>162</v>
      </c>
      <c r="AE211" t="s">
        <v>163</v>
      </c>
      <c r="AF211" t="s">
        <v>162</v>
      </c>
      <c r="AG211" t="s">
        <v>162</v>
      </c>
      <c r="AH211" t="s">
        <v>162</v>
      </c>
      <c r="AI211" t="s">
        <v>162</v>
      </c>
      <c r="AJ211" t="s">
        <v>162</v>
      </c>
      <c r="AK211" t="s">
        <v>162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60">
        <f t="shared" si="3"/>
        <v>1</v>
      </c>
      <c r="AU211" s="95">
        <v>43336</v>
      </c>
      <c r="AV211" s="94" t="s">
        <v>165</v>
      </c>
      <c r="AW211" t="s">
        <v>162</v>
      </c>
      <c r="AX211">
        <v>2</v>
      </c>
      <c r="AY211" t="s">
        <v>167</v>
      </c>
      <c r="AZ211">
        <v>20</v>
      </c>
    </row>
    <row r="212" spans="1:52" x14ac:dyDescent="0.25">
      <c r="A212">
        <v>201</v>
      </c>
      <c r="B212" t="s">
        <v>361</v>
      </c>
      <c r="C212" t="s">
        <v>203</v>
      </c>
      <c r="D212" t="s">
        <v>362</v>
      </c>
      <c r="E212" t="s">
        <v>172</v>
      </c>
      <c r="F212" t="s">
        <v>162</v>
      </c>
      <c r="G212">
        <v>3700</v>
      </c>
      <c r="H212">
        <v>3701</v>
      </c>
      <c r="I212" t="s">
        <v>820</v>
      </c>
      <c r="J212">
        <v>3800</v>
      </c>
      <c r="K212">
        <v>3801</v>
      </c>
      <c r="L212" t="s">
        <v>821</v>
      </c>
      <c r="M212">
        <v>4</v>
      </c>
      <c r="N212" t="s">
        <v>11</v>
      </c>
      <c r="O212" t="s">
        <v>11</v>
      </c>
      <c r="P212" t="s">
        <v>175</v>
      </c>
      <c r="Q212" t="s">
        <v>822</v>
      </c>
      <c r="R212" t="s">
        <v>383</v>
      </c>
      <c r="S212">
        <v>2011</v>
      </c>
      <c r="T212">
        <v>6</v>
      </c>
      <c r="U212" t="s">
        <v>123</v>
      </c>
      <c r="V212" t="s">
        <v>162</v>
      </c>
      <c r="W212">
        <v>0</v>
      </c>
      <c r="X212">
        <v>0</v>
      </c>
      <c r="Y212" t="s">
        <v>162</v>
      </c>
      <c r="Z212">
        <v>2011</v>
      </c>
      <c r="AA212">
        <v>2011</v>
      </c>
      <c r="AB212" s="5">
        <v>0.12699490404300001</v>
      </c>
      <c r="AC212" s="5">
        <v>0.25398980808600002</v>
      </c>
      <c r="AD212" t="s">
        <v>162</v>
      </c>
      <c r="AE212" t="s">
        <v>163</v>
      </c>
      <c r="AF212" t="s">
        <v>162</v>
      </c>
      <c r="AG212" t="s">
        <v>162</v>
      </c>
      <c r="AH212" t="s">
        <v>162</v>
      </c>
      <c r="AI212" t="s">
        <v>162</v>
      </c>
      <c r="AJ212" t="s">
        <v>162</v>
      </c>
      <c r="AK212" t="s">
        <v>162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 s="60">
        <f t="shared" si="3"/>
        <v>1</v>
      </c>
      <c r="AU212" s="95">
        <v>43339</v>
      </c>
      <c r="AV212" s="94" t="s">
        <v>165</v>
      </c>
      <c r="AW212" t="s">
        <v>162</v>
      </c>
      <c r="AX212">
        <v>3</v>
      </c>
      <c r="AY212" t="s">
        <v>275</v>
      </c>
      <c r="AZ212" t="s">
        <v>162</v>
      </c>
    </row>
    <row r="213" spans="1:52" x14ac:dyDescent="0.25">
      <c r="A213">
        <v>202</v>
      </c>
      <c r="B213" t="s">
        <v>256</v>
      </c>
      <c r="C213" t="s">
        <v>151</v>
      </c>
      <c r="D213" t="s">
        <v>257</v>
      </c>
      <c r="E213" t="s">
        <v>222</v>
      </c>
      <c r="F213" t="s">
        <v>203</v>
      </c>
      <c r="G213">
        <v>719</v>
      </c>
      <c r="H213">
        <v>720</v>
      </c>
      <c r="I213" t="s">
        <v>259</v>
      </c>
      <c r="J213">
        <v>661</v>
      </c>
      <c r="K213">
        <v>662</v>
      </c>
      <c r="L213" t="s">
        <v>498</v>
      </c>
      <c r="M213">
        <v>4</v>
      </c>
      <c r="N213" t="s">
        <v>9</v>
      </c>
      <c r="O213" t="s">
        <v>9</v>
      </c>
      <c r="P213" t="s">
        <v>157</v>
      </c>
      <c r="Q213" t="s">
        <v>260</v>
      </c>
      <c r="R213" t="s">
        <v>261</v>
      </c>
      <c r="S213">
        <v>2018</v>
      </c>
      <c r="T213">
        <v>6</v>
      </c>
      <c r="U213" t="s">
        <v>162</v>
      </c>
      <c r="V213" t="s">
        <v>162</v>
      </c>
      <c r="W213">
        <v>0</v>
      </c>
      <c r="X213">
        <v>0</v>
      </c>
      <c r="Y213" t="s">
        <v>162</v>
      </c>
      <c r="Z213">
        <v>2018</v>
      </c>
      <c r="AA213">
        <v>0</v>
      </c>
      <c r="AB213" s="5">
        <v>0.115896006033</v>
      </c>
      <c r="AC213" s="5">
        <v>0.115896006033</v>
      </c>
      <c r="AD213" t="s">
        <v>162</v>
      </c>
      <c r="AE213" t="s">
        <v>166</v>
      </c>
      <c r="AF213" t="s">
        <v>203</v>
      </c>
      <c r="AG213" t="s">
        <v>163</v>
      </c>
      <c r="AH213" t="s">
        <v>162</v>
      </c>
      <c r="AI213" t="s">
        <v>162</v>
      </c>
      <c r="AJ213" t="s">
        <v>162</v>
      </c>
      <c r="AK213" t="s">
        <v>162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 s="60">
        <f t="shared" si="3"/>
        <v>1</v>
      </c>
      <c r="AU213" s="95">
        <v>43335</v>
      </c>
      <c r="AV213" s="94" t="s">
        <v>165</v>
      </c>
      <c r="AW213" t="s">
        <v>163</v>
      </c>
      <c r="AX213">
        <v>2</v>
      </c>
      <c r="AY213" t="s">
        <v>167</v>
      </c>
      <c r="AZ213" t="s">
        <v>162</v>
      </c>
    </row>
    <row r="214" spans="1:52" x14ac:dyDescent="0.25">
      <c r="A214">
        <v>203</v>
      </c>
      <c r="B214" t="s">
        <v>681</v>
      </c>
      <c r="C214" t="s">
        <v>151</v>
      </c>
      <c r="D214" t="s">
        <v>682</v>
      </c>
      <c r="E214" t="s">
        <v>216</v>
      </c>
      <c r="F214" t="s">
        <v>162</v>
      </c>
      <c r="G214">
        <v>2050</v>
      </c>
      <c r="H214">
        <v>2051</v>
      </c>
      <c r="I214" t="s">
        <v>823</v>
      </c>
      <c r="J214">
        <v>1901</v>
      </c>
      <c r="K214">
        <v>1900</v>
      </c>
      <c r="L214" t="s">
        <v>686</v>
      </c>
      <c r="M214">
        <v>4</v>
      </c>
      <c r="N214" t="s">
        <v>15</v>
      </c>
      <c r="O214" t="s">
        <v>15</v>
      </c>
      <c r="P214" t="s">
        <v>175</v>
      </c>
      <c r="Q214" t="s">
        <v>824</v>
      </c>
      <c r="R214" t="s">
        <v>577</v>
      </c>
      <c r="S214">
        <v>2008</v>
      </c>
      <c r="T214">
        <v>9</v>
      </c>
      <c r="U214" t="s">
        <v>162</v>
      </c>
      <c r="V214" t="s">
        <v>685</v>
      </c>
      <c r="W214">
        <v>2018</v>
      </c>
      <c r="X214">
        <v>12</v>
      </c>
      <c r="Y214" t="s">
        <v>162</v>
      </c>
      <c r="Z214">
        <v>2018</v>
      </c>
      <c r="AA214">
        <v>2018</v>
      </c>
      <c r="AB214" s="5">
        <v>0.32822479124199999</v>
      </c>
      <c r="AC214" s="5">
        <v>0.65644958248399998</v>
      </c>
      <c r="AD214" t="s">
        <v>162</v>
      </c>
      <c r="AE214" t="s">
        <v>163</v>
      </c>
      <c r="AF214" t="s">
        <v>162</v>
      </c>
      <c r="AG214" t="s">
        <v>162</v>
      </c>
      <c r="AH214" t="s">
        <v>162</v>
      </c>
      <c r="AI214" t="s">
        <v>162</v>
      </c>
      <c r="AJ214" t="s">
        <v>162</v>
      </c>
      <c r="AK214" t="s">
        <v>162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 s="60">
        <f t="shared" si="3"/>
        <v>1</v>
      </c>
      <c r="AU214" s="95">
        <v>43343</v>
      </c>
      <c r="AV214" t="s">
        <v>165</v>
      </c>
      <c r="AW214" t="s">
        <v>162</v>
      </c>
      <c r="AX214">
        <v>2</v>
      </c>
      <c r="AY214" t="s">
        <v>167</v>
      </c>
      <c r="AZ214" t="s">
        <v>162</v>
      </c>
    </row>
    <row r="215" spans="1:52" x14ac:dyDescent="0.25">
      <c r="A215">
        <v>204</v>
      </c>
      <c r="B215" t="s">
        <v>284</v>
      </c>
      <c r="C215" t="s">
        <v>203</v>
      </c>
      <c r="D215" t="s">
        <v>285</v>
      </c>
      <c r="E215" t="s">
        <v>172</v>
      </c>
      <c r="F215" t="s">
        <v>162</v>
      </c>
      <c r="G215">
        <v>400</v>
      </c>
      <c r="H215">
        <v>401</v>
      </c>
      <c r="I215" t="s">
        <v>264</v>
      </c>
      <c r="J215">
        <v>456</v>
      </c>
      <c r="K215">
        <v>436</v>
      </c>
      <c r="L215" t="s">
        <v>251</v>
      </c>
      <c r="M215">
        <v>3</v>
      </c>
      <c r="N215" t="s">
        <v>15</v>
      </c>
      <c r="O215" t="s">
        <v>15</v>
      </c>
      <c r="P215" t="s">
        <v>175</v>
      </c>
      <c r="Q215" t="s">
        <v>162</v>
      </c>
      <c r="R215" t="s">
        <v>249</v>
      </c>
      <c r="S215">
        <v>2007</v>
      </c>
      <c r="T215">
        <v>5</v>
      </c>
      <c r="U215" t="s">
        <v>162</v>
      </c>
      <c r="V215" t="s">
        <v>243</v>
      </c>
      <c r="W215">
        <v>2020</v>
      </c>
      <c r="X215">
        <v>0</v>
      </c>
      <c r="Y215" t="s">
        <v>162</v>
      </c>
      <c r="Z215">
        <v>2020</v>
      </c>
      <c r="AA215">
        <v>0</v>
      </c>
      <c r="AB215" s="5">
        <v>0.126376045416</v>
      </c>
      <c r="AC215" s="5">
        <v>0.25275209083200001</v>
      </c>
      <c r="AD215" t="s">
        <v>162</v>
      </c>
      <c r="AE215" t="s">
        <v>163</v>
      </c>
      <c r="AF215" t="s">
        <v>162</v>
      </c>
      <c r="AG215" t="s">
        <v>162</v>
      </c>
      <c r="AH215" t="s">
        <v>162</v>
      </c>
      <c r="AI215" t="s">
        <v>162</v>
      </c>
      <c r="AJ215" t="s">
        <v>162</v>
      </c>
      <c r="AK215" t="s">
        <v>162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 s="60">
        <f t="shared" si="3"/>
        <v>1</v>
      </c>
      <c r="AU215" s="95" t="s">
        <v>350</v>
      </c>
      <c r="AV215" s="94" t="s">
        <v>165</v>
      </c>
      <c r="AW215" t="s">
        <v>162</v>
      </c>
      <c r="AX215">
        <v>2</v>
      </c>
      <c r="AY215" t="s">
        <v>167</v>
      </c>
      <c r="AZ215" t="s">
        <v>162</v>
      </c>
    </row>
    <row r="216" spans="1:52" x14ac:dyDescent="0.25">
      <c r="A216">
        <v>205</v>
      </c>
      <c r="B216" t="s">
        <v>284</v>
      </c>
      <c r="C216" t="s">
        <v>203</v>
      </c>
      <c r="D216" t="s">
        <v>285</v>
      </c>
      <c r="E216" t="s">
        <v>172</v>
      </c>
      <c r="F216" t="s">
        <v>162</v>
      </c>
      <c r="G216">
        <v>600</v>
      </c>
      <c r="H216">
        <v>601</v>
      </c>
      <c r="I216" t="s">
        <v>825</v>
      </c>
      <c r="J216">
        <v>826</v>
      </c>
      <c r="K216">
        <v>827</v>
      </c>
      <c r="L216" t="s">
        <v>794</v>
      </c>
      <c r="M216">
        <v>3</v>
      </c>
      <c r="N216" t="s">
        <v>15</v>
      </c>
      <c r="O216" t="s">
        <v>15</v>
      </c>
      <c r="P216" t="s">
        <v>175</v>
      </c>
      <c r="Q216" t="s">
        <v>162</v>
      </c>
      <c r="R216" t="s">
        <v>479</v>
      </c>
      <c r="S216">
        <v>2005</v>
      </c>
      <c r="T216">
        <v>7</v>
      </c>
      <c r="U216" t="s">
        <v>162</v>
      </c>
      <c r="V216" t="s">
        <v>422</v>
      </c>
      <c r="W216">
        <v>2016</v>
      </c>
      <c r="X216">
        <v>5</v>
      </c>
      <c r="Y216" t="s">
        <v>123</v>
      </c>
      <c r="Z216">
        <v>2016</v>
      </c>
      <c r="AA216">
        <v>2016</v>
      </c>
      <c r="AB216" s="5">
        <v>0.31455251323</v>
      </c>
      <c r="AC216" s="5">
        <v>0.62910502645999999</v>
      </c>
      <c r="AD216" t="s">
        <v>162</v>
      </c>
      <c r="AE216" t="s">
        <v>163</v>
      </c>
      <c r="AF216" t="s">
        <v>162</v>
      </c>
      <c r="AG216" t="s">
        <v>162</v>
      </c>
      <c r="AH216" t="s">
        <v>162</v>
      </c>
      <c r="AI216" t="s">
        <v>162</v>
      </c>
      <c r="AJ216" t="s">
        <v>162</v>
      </c>
      <c r="AK216" t="s">
        <v>162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s="60">
        <f t="shared" si="3"/>
        <v>1</v>
      </c>
      <c r="AU216" s="95">
        <v>43336</v>
      </c>
      <c r="AV216" s="94" t="s">
        <v>165</v>
      </c>
      <c r="AW216" t="s">
        <v>162</v>
      </c>
      <c r="AX216">
        <v>2</v>
      </c>
      <c r="AY216" t="s">
        <v>167</v>
      </c>
      <c r="AZ216" t="s">
        <v>162</v>
      </c>
    </row>
    <row r="217" spans="1:52" x14ac:dyDescent="0.25">
      <c r="A217">
        <v>206</v>
      </c>
      <c r="B217" t="s">
        <v>284</v>
      </c>
      <c r="C217" t="s">
        <v>203</v>
      </c>
      <c r="D217" t="s">
        <v>285</v>
      </c>
      <c r="E217" t="s">
        <v>172</v>
      </c>
      <c r="F217" t="s">
        <v>162</v>
      </c>
      <c r="G217">
        <v>3032</v>
      </c>
      <c r="H217">
        <v>3033</v>
      </c>
      <c r="I217" t="s">
        <v>826</v>
      </c>
      <c r="J217">
        <v>3126</v>
      </c>
      <c r="K217">
        <v>3127</v>
      </c>
      <c r="L217" t="s">
        <v>286</v>
      </c>
      <c r="M217">
        <v>3</v>
      </c>
      <c r="N217" t="s">
        <v>11</v>
      </c>
      <c r="O217" t="s">
        <v>11</v>
      </c>
      <c r="P217" t="s">
        <v>175</v>
      </c>
      <c r="Q217" t="s">
        <v>162</v>
      </c>
      <c r="R217" t="s">
        <v>249</v>
      </c>
      <c r="S217">
        <v>2007</v>
      </c>
      <c r="T217">
        <v>7</v>
      </c>
      <c r="U217" t="s">
        <v>162</v>
      </c>
      <c r="V217" t="s">
        <v>289</v>
      </c>
      <c r="W217">
        <v>2011</v>
      </c>
      <c r="X217">
        <v>6</v>
      </c>
      <c r="Y217" t="s">
        <v>123</v>
      </c>
      <c r="Z217">
        <v>2011</v>
      </c>
      <c r="AA217">
        <v>2011</v>
      </c>
      <c r="AB217" s="5">
        <v>0.124726075629</v>
      </c>
      <c r="AC217" s="5">
        <v>0.24945215125799999</v>
      </c>
      <c r="AD217" t="s">
        <v>162</v>
      </c>
      <c r="AE217" t="s">
        <v>163</v>
      </c>
      <c r="AF217" t="s">
        <v>162</v>
      </c>
      <c r="AG217" t="s">
        <v>162</v>
      </c>
      <c r="AH217" t="s">
        <v>162</v>
      </c>
      <c r="AI217" t="s">
        <v>162</v>
      </c>
      <c r="AJ217" t="s">
        <v>162</v>
      </c>
      <c r="AK217" t="s">
        <v>162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 s="60">
        <f t="shared" si="3"/>
        <v>1</v>
      </c>
      <c r="AU217" s="95">
        <v>43336</v>
      </c>
      <c r="AV217" s="94" t="s">
        <v>165</v>
      </c>
      <c r="AW217" t="s">
        <v>162</v>
      </c>
      <c r="AX217">
        <v>2</v>
      </c>
      <c r="AY217" t="s">
        <v>167</v>
      </c>
      <c r="AZ217" t="s">
        <v>162</v>
      </c>
    </row>
    <row r="218" spans="1:52" x14ac:dyDescent="0.25">
      <c r="A218">
        <v>207</v>
      </c>
      <c r="B218" t="s">
        <v>674</v>
      </c>
      <c r="C218" t="s">
        <v>151</v>
      </c>
      <c r="D218" t="s">
        <v>675</v>
      </c>
      <c r="E218" t="s">
        <v>172</v>
      </c>
      <c r="F218" t="s">
        <v>162</v>
      </c>
      <c r="G218">
        <v>1079</v>
      </c>
      <c r="H218">
        <v>1078</v>
      </c>
      <c r="I218" t="s">
        <v>827</v>
      </c>
      <c r="J218">
        <v>1001</v>
      </c>
      <c r="K218">
        <v>1000</v>
      </c>
      <c r="L218" t="s">
        <v>828</v>
      </c>
      <c r="M218">
        <v>4</v>
      </c>
      <c r="N218" t="s">
        <v>11</v>
      </c>
      <c r="O218" t="s">
        <v>11</v>
      </c>
      <c r="P218" t="s">
        <v>175</v>
      </c>
      <c r="Q218" t="s">
        <v>162</v>
      </c>
      <c r="R218" t="s">
        <v>508</v>
      </c>
      <c r="S218">
        <v>2004</v>
      </c>
      <c r="T218">
        <v>10</v>
      </c>
      <c r="U218" t="s">
        <v>162</v>
      </c>
      <c r="V218" t="s">
        <v>243</v>
      </c>
      <c r="W218">
        <v>2020</v>
      </c>
      <c r="X218">
        <v>0</v>
      </c>
      <c r="Y218" t="s">
        <v>162</v>
      </c>
      <c r="Z218">
        <v>2020</v>
      </c>
      <c r="AA218">
        <v>2017</v>
      </c>
      <c r="AB218" s="5">
        <v>0.15995021970500001</v>
      </c>
      <c r="AC218" s="5">
        <v>0.31990043941000001</v>
      </c>
      <c r="AD218" t="s">
        <v>162</v>
      </c>
      <c r="AE218" t="s">
        <v>163</v>
      </c>
      <c r="AF218" t="s">
        <v>162</v>
      </c>
      <c r="AG218" t="s">
        <v>162</v>
      </c>
      <c r="AH218" t="s">
        <v>162</v>
      </c>
      <c r="AI218" t="s">
        <v>162</v>
      </c>
      <c r="AJ218" t="s">
        <v>162</v>
      </c>
      <c r="AK218" t="s">
        <v>162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 s="60">
        <f t="shared" si="3"/>
        <v>1</v>
      </c>
      <c r="AU218" s="95" t="s">
        <v>350</v>
      </c>
      <c r="AV218" t="s">
        <v>165</v>
      </c>
      <c r="AW218" t="s">
        <v>162</v>
      </c>
      <c r="AX218">
        <v>2</v>
      </c>
      <c r="AY218" t="s">
        <v>167</v>
      </c>
      <c r="AZ218" t="s">
        <v>162</v>
      </c>
    </row>
    <row r="219" spans="1:52" x14ac:dyDescent="0.25">
      <c r="A219">
        <v>208</v>
      </c>
      <c r="B219" t="s">
        <v>453</v>
      </c>
      <c r="C219" t="s">
        <v>163</v>
      </c>
      <c r="D219" t="s">
        <v>454</v>
      </c>
      <c r="E219" t="s">
        <v>216</v>
      </c>
      <c r="F219" t="s">
        <v>162</v>
      </c>
      <c r="G219">
        <v>2200</v>
      </c>
      <c r="H219">
        <v>2201</v>
      </c>
      <c r="I219" t="s">
        <v>236</v>
      </c>
      <c r="J219">
        <v>2238</v>
      </c>
      <c r="K219">
        <v>2239</v>
      </c>
      <c r="L219" t="s">
        <v>714</v>
      </c>
      <c r="M219">
        <v>3</v>
      </c>
      <c r="N219" t="s">
        <v>11</v>
      </c>
      <c r="O219" t="s">
        <v>11</v>
      </c>
      <c r="P219" t="s">
        <v>175</v>
      </c>
      <c r="Q219" t="s">
        <v>715</v>
      </c>
      <c r="R219" t="s">
        <v>249</v>
      </c>
      <c r="S219">
        <v>2007</v>
      </c>
      <c r="T219">
        <v>6</v>
      </c>
      <c r="U219" t="s">
        <v>162</v>
      </c>
      <c r="V219" t="s">
        <v>455</v>
      </c>
      <c r="W219">
        <v>2020</v>
      </c>
      <c r="X219">
        <v>0</v>
      </c>
      <c r="Y219" t="s">
        <v>123</v>
      </c>
      <c r="Z219">
        <v>2020</v>
      </c>
      <c r="AA219">
        <v>2020</v>
      </c>
      <c r="AB219" s="5">
        <v>8.6603734511399993E-2</v>
      </c>
      <c r="AC219" s="5">
        <v>0.17320746902299999</v>
      </c>
      <c r="AD219" t="s">
        <v>162</v>
      </c>
      <c r="AE219" t="s">
        <v>163</v>
      </c>
      <c r="AF219" t="s">
        <v>162</v>
      </c>
      <c r="AG219" t="s">
        <v>162</v>
      </c>
      <c r="AH219" t="s">
        <v>162</v>
      </c>
      <c r="AI219" t="s">
        <v>162</v>
      </c>
      <c r="AJ219" t="s">
        <v>162</v>
      </c>
      <c r="AK219" t="s">
        <v>162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 s="60">
        <f t="shared" si="3"/>
        <v>1</v>
      </c>
      <c r="AU219" s="95" t="s">
        <v>187</v>
      </c>
      <c r="AV219" s="94" t="s">
        <v>165</v>
      </c>
      <c r="AW219" t="s">
        <v>162</v>
      </c>
      <c r="AX219">
        <v>2</v>
      </c>
      <c r="AY219" t="s">
        <v>167</v>
      </c>
      <c r="AZ219" t="s">
        <v>162</v>
      </c>
    </row>
    <row r="220" spans="1:52" x14ac:dyDescent="0.25">
      <c r="A220">
        <v>209</v>
      </c>
      <c r="B220" t="s">
        <v>256</v>
      </c>
      <c r="C220" t="s">
        <v>151</v>
      </c>
      <c r="D220" t="s">
        <v>257</v>
      </c>
      <c r="E220" t="s">
        <v>222</v>
      </c>
      <c r="F220" t="s">
        <v>151</v>
      </c>
      <c r="G220">
        <v>1501</v>
      </c>
      <c r="H220">
        <v>1500</v>
      </c>
      <c r="I220" t="s">
        <v>302</v>
      </c>
      <c r="J220">
        <v>1553</v>
      </c>
      <c r="K220">
        <v>1554</v>
      </c>
      <c r="L220" t="s">
        <v>406</v>
      </c>
      <c r="M220">
        <v>4</v>
      </c>
      <c r="N220" t="s">
        <v>11</v>
      </c>
      <c r="O220" t="s">
        <v>11</v>
      </c>
      <c r="P220" t="s">
        <v>175</v>
      </c>
      <c r="Q220" t="s">
        <v>162</v>
      </c>
      <c r="R220" t="s">
        <v>249</v>
      </c>
      <c r="S220">
        <v>2007</v>
      </c>
      <c r="T220">
        <v>10</v>
      </c>
      <c r="U220" t="s">
        <v>162</v>
      </c>
      <c r="V220" t="s">
        <v>673</v>
      </c>
      <c r="W220">
        <v>2015</v>
      </c>
      <c r="X220">
        <v>9</v>
      </c>
      <c r="Y220" t="s">
        <v>123</v>
      </c>
      <c r="Z220">
        <v>2015</v>
      </c>
      <c r="AA220">
        <v>2015</v>
      </c>
      <c r="AB220" s="5">
        <v>0.22054234679699999</v>
      </c>
      <c r="AC220" s="5">
        <v>0.22054234679699999</v>
      </c>
      <c r="AD220" t="s">
        <v>154</v>
      </c>
      <c r="AE220" t="s">
        <v>166</v>
      </c>
      <c r="AF220" t="s">
        <v>151</v>
      </c>
      <c r="AG220" t="s">
        <v>163</v>
      </c>
      <c r="AH220" t="s">
        <v>162</v>
      </c>
      <c r="AI220" t="s">
        <v>162</v>
      </c>
      <c r="AJ220" t="s">
        <v>162</v>
      </c>
      <c r="AK220" t="s">
        <v>162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 s="60">
        <f t="shared" si="3"/>
        <v>1</v>
      </c>
      <c r="AU220" s="95" t="s">
        <v>360</v>
      </c>
      <c r="AV220" s="94" t="s">
        <v>165</v>
      </c>
      <c r="AW220" t="s">
        <v>166</v>
      </c>
      <c r="AX220">
        <v>2</v>
      </c>
      <c r="AY220" t="s">
        <v>167</v>
      </c>
      <c r="AZ220" t="s">
        <v>162</v>
      </c>
    </row>
    <row r="221" spans="1:52" x14ac:dyDescent="0.25">
      <c r="A221">
        <v>210</v>
      </c>
      <c r="B221" t="s">
        <v>629</v>
      </c>
      <c r="C221" t="s">
        <v>151</v>
      </c>
      <c r="D221" t="s">
        <v>630</v>
      </c>
      <c r="E221" t="s">
        <v>222</v>
      </c>
      <c r="F221" t="s">
        <v>162</v>
      </c>
      <c r="G221">
        <v>3233</v>
      </c>
      <c r="H221">
        <v>3252</v>
      </c>
      <c r="I221" t="s">
        <v>632</v>
      </c>
      <c r="J221">
        <v>2801</v>
      </c>
      <c r="K221">
        <v>2800</v>
      </c>
      <c r="L221" t="s">
        <v>521</v>
      </c>
      <c r="M221">
        <v>4</v>
      </c>
      <c r="N221" t="s">
        <v>9</v>
      </c>
      <c r="O221" t="s">
        <v>9</v>
      </c>
      <c r="P221" t="s">
        <v>157</v>
      </c>
      <c r="Q221" t="s">
        <v>633</v>
      </c>
      <c r="R221" t="s">
        <v>463</v>
      </c>
      <c r="S221">
        <v>2014</v>
      </c>
      <c r="T221">
        <v>7</v>
      </c>
      <c r="U221" t="s">
        <v>162</v>
      </c>
      <c r="V221" t="s">
        <v>210</v>
      </c>
      <c r="W221">
        <v>2018</v>
      </c>
      <c r="X221">
        <v>11</v>
      </c>
      <c r="Y221" t="s">
        <v>580</v>
      </c>
      <c r="Z221">
        <v>2018</v>
      </c>
      <c r="AA221">
        <v>2018</v>
      </c>
      <c r="AB221" s="5">
        <v>0.61994135502600001</v>
      </c>
      <c r="AC221" s="5">
        <v>1.2398827100500001</v>
      </c>
      <c r="AD221" t="s">
        <v>162</v>
      </c>
      <c r="AE221" t="s">
        <v>163</v>
      </c>
      <c r="AF221" t="s">
        <v>162</v>
      </c>
      <c r="AG221" t="s">
        <v>162</v>
      </c>
      <c r="AH221" t="s">
        <v>162</v>
      </c>
      <c r="AI221" t="s">
        <v>162</v>
      </c>
      <c r="AJ221" t="s">
        <v>162</v>
      </c>
      <c r="AK221" t="s">
        <v>162</v>
      </c>
      <c r="AL221">
        <v>0</v>
      </c>
      <c r="AM221">
        <v>0</v>
      </c>
      <c r="AN221">
        <v>0</v>
      </c>
      <c r="AO221">
        <v>0.5</v>
      </c>
      <c r="AP221">
        <v>0</v>
      </c>
      <c r="AQ221">
        <v>0</v>
      </c>
      <c r="AR221">
        <v>0</v>
      </c>
      <c r="AS221">
        <v>0.5</v>
      </c>
      <c r="AT221" s="60">
        <f t="shared" si="3"/>
        <v>1</v>
      </c>
      <c r="AU221" s="95">
        <v>43342</v>
      </c>
      <c r="AV221" s="94" t="s">
        <v>165</v>
      </c>
      <c r="AW221" t="s">
        <v>163</v>
      </c>
      <c r="AX221">
        <v>2</v>
      </c>
      <c r="AY221" t="s">
        <v>167</v>
      </c>
      <c r="AZ221" t="s">
        <v>162</v>
      </c>
    </row>
    <row r="222" spans="1:52" x14ac:dyDescent="0.25">
      <c r="A222">
        <v>211</v>
      </c>
      <c r="B222" t="s">
        <v>233</v>
      </c>
      <c r="C222" t="s">
        <v>180</v>
      </c>
      <c r="D222" t="s">
        <v>234</v>
      </c>
      <c r="E222" t="s">
        <v>172</v>
      </c>
      <c r="F222" t="s">
        <v>162</v>
      </c>
      <c r="G222">
        <v>6500</v>
      </c>
      <c r="H222">
        <v>6504</v>
      </c>
      <c r="I222" t="s">
        <v>829</v>
      </c>
      <c r="J222">
        <v>6142</v>
      </c>
      <c r="K222">
        <v>6141</v>
      </c>
      <c r="L222" t="s">
        <v>830</v>
      </c>
      <c r="M222">
        <v>2</v>
      </c>
      <c r="N222" t="s">
        <v>11</v>
      </c>
      <c r="O222" t="s">
        <v>11</v>
      </c>
      <c r="P222" t="s">
        <v>175</v>
      </c>
      <c r="Q222" t="s">
        <v>162</v>
      </c>
      <c r="R222" t="s">
        <v>831</v>
      </c>
      <c r="S222">
        <v>2007</v>
      </c>
      <c r="T222">
        <v>5</v>
      </c>
      <c r="U222" t="s">
        <v>123</v>
      </c>
      <c r="V222" t="s">
        <v>611</v>
      </c>
      <c r="W222">
        <v>2016</v>
      </c>
      <c r="X222">
        <v>7</v>
      </c>
      <c r="Y222" t="s">
        <v>162</v>
      </c>
      <c r="Z222">
        <v>2016</v>
      </c>
      <c r="AA222">
        <v>2007</v>
      </c>
      <c r="AB222" s="5">
        <v>0.41612421422500001</v>
      </c>
      <c r="AC222" s="5">
        <v>0.83224842845000002</v>
      </c>
      <c r="AD222" t="s">
        <v>162</v>
      </c>
      <c r="AE222" t="s">
        <v>163</v>
      </c>
      <c r="AF222" t="s">
        <v>162</v>
      </c>
      <c r="AG222" t="s">
        <v>162</v>
      </c>
      <c r="AH222" t="s">
        <v>162</v>
      </c>
      <c r="AI222" t="s">
        <v>162</v>
      </c>
      <c r="AJ222" t="s">
        <v>162</v>
      </c>
      <c r="AK222" t="s">
        <v>162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 s="60">
        <f t="shared" si="3"/>
        <v>1</v>
      </c>
      <c r="AU222" s="95" t="s">
        <v>360</v>
      </c>
      <c r="AV222" s="94" t="s">
        <v>165</v>
      </c>
      <c r="AW222" t="s">
        <v>166</v>
      </c>
      <c r="AX222">
        <v>2</v>
      </c>
      <c r="AY222" t="s">
        <v>167</v>
      </c>
      <c r="AZ222" t="s">
        <v>162</v>
      </c>
    </row>
    <row r="223" spans="1:52" x14ac:dyDescent="0.25">
      <c r="A223">
        <v>212</v>
      </c>
      <c r="B223" t="s">
        <v>599</v>
      </c>
      <c r="C223" t="s">
        <v>151</v>
      </c>
      <c r="D223" t="s">
        <v>600</v>
      </c>
      <c r="E223" t="s">
        <v>216</v>
      </c>
      <c r="F223" t="s">
        <v>162</v>
      </c>
      <c r="G223">
        <v>3428</v>
      </c>
      <c r="H223">
        <v>3429</v>
      </c>
      <c r="I223" t="s">
        <v>832</v>
      </c>
      <c r="J223">
        <v>3200</v>
      </c>
      <c r="K223">
        <v>3201</v>
      </c>
      <c r="L223" t="s">
        <v>190</v>
      </c>
      <c r="M223">
        <v>2</v>
      </c>
      <c r="N223" t="s">
        <v>15</v>
      </c>
      <c r="O223" t="s">
        <v>15</v>
      </c>
      <c r="P223" t="s">
        <v>175</v>
      </c>
      <c r="Q223" t="s">
        <v>162</v>
      </c>
      <c r="R223" t="s">
        <v>383</v>
      </c>
      <c r="S223">
        <v>2009</v>
      </c>
      <c r="T223">
        <v>7</v>
      </c>
      <c r="U223" t="s">
        <v>162</v>
      </c>
      <c r="V223" t="s">
        <v>540</v>
      </c>
      <c r="W223">
        <v>2015</v>
      </c>
      <c r="X223">
        <v>10</v>
      </c>
      <c r="Y223" t="s">
        <v>123</v>
      </c>
      <c r="Z223">
        <v>2015</v>
      </c>
      <c r="AA223">
        <v>2015</v>
      </c>
      <c r="AB223" s="5">
        <v>0.31365695651999997</v>
      </c>
      <c r="AC223" s="5">
        <v>0.62731391303999995</v>
      </c>
      <c r="AD223" t="s">
        <v>162</v>
      </c>
      <c r="AE223" t="s">
        <v>163</v>
      </c>
      <c r="AF223" t="s">
        <v>162</v>
      </c>
      <c r="AG223" t="s">
        <v>162</v>
      </c>
      <c r="AH223" t="s">
        <v>162</v>
      </c>
      <c r="AI223" t="s">
        <v>162</v>
      </c>
      <c r="AJ223" t="s">
        <v>162</v>
      </c>
      <c r="AK223" t="s">
        <v>162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 s="60">
        <f t="shared" si="3"/>
        <v>1</v>
      </c>
      <c r="AU223" s="95">
        <v>43342</v>
      </c>
      <c r="AV223" s="94" t="s">
        <v>165</v>
      </c>
      <c r="AW223" t="s">
        <v>162</v>
      </c>
      <c r="AX223">
        <v>2</v>
      </c>
      <c r="AY223" t="s">
        <v>167</v>
      </c>
      <c r="AZ223" t="s">
        <v>162</v>
      </c>
    </row>
    <row r="224" spans="1:52" x14ac:dyDescent="0.25">
      <c r="A224">
        <v>213</v>
      </c>
      <c r="B224" t="s">
        <v>427</v>
      </c>
      <c r="C224" t="s">
        <v>151</v>
      </c>
      <c r="D224" t="s">
        <v>428</v>
      </c>
      <c r="E224" t="s">
        <v>216</v>
      </c>
      <c r="F224" t="s">
        <v>162</v>
      </c>
      <c r="G224">
        <v>4801</v>
      </c>
      <c r="H224">
        <v>4800</v>
      </c>
      <c r="I224" t="s">
        <v>833</v>
      </c>
      <c r="J224">
        <v>5201</v>
      </c>
      <c r="K224">
        <v>5200</v>
      </c>
      <c r="L224" t="s">
        <v>834</v>
      </c>
      <c r="M224">
        <v>3</v>
      </c>
      <c r="N224" t="s">
        <v>11</v>
      </c>
      <c r="O224" t="s">
        <v>11</v>
      </c>
      <c r="P224" t="s">
        <v>175</v>
      </c>
      <c r="Q224" t="s">
        <v>162</v>
      </c>
      <c r="R224" t="s">
        <v>431</v>
      </c>
      <c r="S224">
        <v>2002</v>
      </c>
      <c r="T224">
        <v>9</v>
      </c>
      <c r="U224" t="s">
        <v>162</v>
      </c>
      <c r="V224" t="s">
        <v>243</v>
      </c>
      <c r="W224">
        <v>2020</v>
      </c>
      <c r="X224">
        <v>4</v>
      </c>
      <c r="Y224" t="s">
        <v>162</v>
      </c>
      <c r="Z224">
        <v>2020</v>
      </c>
      <c r="AA224">
        <v>2014</v>
      </c>
      <c r="AB224" s="5">
        <v>0.506461739543</v>
      </c>
      <c r="AC224" s="5">
        <v>1.0129234790899999</v>
      </c>
      <c r="AD224" t="s">
        <v>162</v>
      </c>
      <c r="AE224" t="s">
        <v>163</v>
      </c>
      <c r="AF224" t="s">
        <v>162</v>
      </c>
      <c r="AG224" t="s">
        <v>162</v>
      </c>
      <c r="AH224" t="s">
        <v>162</v>
      </c>
      <c r="AI224" t="s">
        <v>162</v>
      </c>
      <c r="AJ224" t="s">
        <v>162</v>
      </c>
      <c r="AK224" t="s">
        <v>162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s="60">
        <f t="shared" si="3"/>
        <v>1</v>
      </c>
      <c r="AU224" s="95" t="s">
        <v>350</v>
      </c>
      <c r="AV224" t="s">
        <v>165</v>
      </c>
      <c r="AW224" t="s">
        <v>162</v>
      </c>
      <c r="AX224">
        <v>2</v>
      </c>
      <c r="AY224" t="s">
        <v>167</v>
      </c>
      <c r="AZ224" t="s">
        <v>162</v>
      </c>
    </row>
    <row r="225" spans="1:52" x14ac:dyDescent="0.25">
      <c r="A225">
        <v>214</v>
      </c>
      <c r="B225" t="s">
        <v>835</v>
      </c>
      <c r="C225" t="s">
        <v>180</v>
      </c>
      <c r="D225" t="s">
        <v>836</v>
      </c>
      <c r="E225" t="s">
        <v>216</v>
      </c>
      <c r="F225" t="s">
        <v>162</v>
      </c>
      <c r="G225">
        <v>5758</v>
      </c>
      <c r="H225">
        <v>5759</v>
      </c>
      <c r="I225" t="s">
        <v>837</v>
      </c>
      <c r="J225">
        <v>5500</v>
      </c>
      <c r="K225">
        <v>5501</v>
      </c>
      <c r="L225" t="s">
        <v>801</v>
      </c>
      <c r="M225">
        <v>3</v>
      </c>
      <c r="N225" t="s">
        <v>11</v>
      </c>
      <c r="O225" t="s">
        <v>11</v>
      </c>
      <c r="P225" t="s">
        <v>175</v>
      </c>
      <c r="Q225" t="s">
        <v>838</v>
      </c>
      <c r="R225" t="s">
        <v>839</v>
      </c>
      <c r="S225">
        <v>2009</v>
      </c>
      <c r="T225">
        <v>11</v>
      </c>
      <c r="U225" t="s">
        <v>123</v>
      </c>
      <c r="V225" t="s">
        <v>267</v>
      </c>
      <c r="W225">
        <v>2018</v>
      </c>
      <c r="X225">
        <v>8</v>
      </c>
      <c r="Y225" t="s">
        <v>162</v>
      </c>
      <c r="Z225">
        <v>2018</v>
      </c>
      <c r="AA225">
        <v>2009</v>
      </c>
      <c r="AB225" s="5">
        <v>0.35173267566600003</v>
      </c>
      <c r="AC225" s="5">
        <v>0.70346535133200006</v>
      </c>
      <c r="AD225" t="s">
        <v>162</v>
      </c>
      <c r="AE225" t="s">
        <v>163</v>
      </c>
      <c r="AF225" t="s">
        <v>162</v>
      </c>
      <c r="AG225" t="s">
        <v>162</v>
      </c>
      <c r="AH225" t="s">
        <v>162</v>
      </c>
      <c r="AI225" t="s">
        <v>162</v>
      </c>
      <c r="AJ225" t="s">
        <v>162</v>
      </c>
      <c r="AK225" t="s">
        <v>162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 s="60">
        <f t="shared" si="3"/>
        <v>1</v>
      </c>
      <c r="AU225" s="95">
        <v>43347</v>
      </c>
      <c r="AV225" s="94" t="s">
        <v>165</v>
      </c>
      <c r="AW225" t="s">
        <v>162</v>
      </c>
      <c r="AX225">
        <v>2</v>
      </c>
      <c r="AY225" t="s">
        <v>167</v>
      </c>
      <c r="AZ225" t="s">
        <v>162</v>
      </c>
    </row>
    <row r="226" spans="1:52" x14ac:dyDescent="0.25">
      <c r="A226">
        <v>215</v>
      </c>
      <c r="B226" t="s">
        <v>245</v>
      </c>
      <c r="C226" t="s">
        <v>163</v>
      </c>
      <c r="D226" t="s">
        <v>246</v>
      </c>
      <c r="E226" t="s">
        <v>216</v>
      </c>
      <c r="F226" t="s">
        <v>154</v>
      </c>
      <c r="G226">
        <v>3401</v>
      </c>
      <c r="H226">
        <v>3400</v>
      </c>
      <c r="I226" t="s">
        <v>566</v>
      </c>
      <c r="J226">
        <v>3565</v>
      </c>
      <c r="K226">
        <v>3564</v>
      </c>
      <c r="L226" t="s">
        <v>331</v>
      </c>
      <c r="M226">
        <v>3</v>
      </c>
      <c r="N226" t="s">
        <v>11</v>
      </c>
      <c r="O226" t="s">
        <v>11</v>
      </c>
      <c r="P226" t="s">
        <v>175</v>
      </c>
      <c r="Q226" t="s">
        <v>162</v>
      </c>
      <c r="R226" t="s">
        <v>177</v>
      </c>
      <c r="S226">
        <v>2011</v>
      </c>
      <c r="T226">
        <v>9</v>
      </c>
      <c r="U226" t="s">
        <v>840</v>
      </c>
      <c r="V226" t="s">
        <v>314</v>
      </c>
      <c r="W226">
        <v>2020</v>
      </c>
      <c r="X226">
        <v>0</v>
      </c>
      <c r="Y226" t="s">
        <v>841</v>
      </c>
      <c r="Z226">
        <v>2013</v>
      </c>
      <c r="AA226">
        <v>2013</v>
      </c>
      <c r="AB226" s="5">
        <v>0.26869601168200002</v>
      </c>
      <c r="AC226" s="5">
        <v>0.53739202336400005</v>
      </c>
      <c r="AD226" t="s">
        <v>154</v>
      </c>
      <c r="AE226" t="s">
        <v>163</v>
      </c>
      <c r="AF226" t="s">
        <v>154</v>
      </c>
      <c r="AG226" t="s">
        <v>154</v>
      </c>
      <c r="AH226" t="s">
        <v>154</v>
      </c>
      <c r="AI226" t="s">
        <v>154</v>
      </c>
      <c r="AJ226" t="s">
        <v>154</v>
      </c>
      <c r="AK226" t="s">
        <v>154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 s="60">
        <f t="shared" si="3"/>
        <v>1</v>
      </c>
      <c r="AU226" s="95" t="s">
        <v>842</v>
      </c>
      <c r="AV226" s="94" t="s">
        <v>165</v>
      </c>
      <c r="AW226" t="s">
        <v>166</v>
      </c>
      <c r="AX226">
        <v>2</v>
      </c>
      <c r="AY226" t="s">
        <v>167</v>
      </c>
      <c r="AZ226">
        <v>30</v>
      </c>
    </row>
    <row r="227" spans="1:52" x14ac:dyDescent="0.25">
      <c r="A227">
        <v>216</v>
      </c>
      <c r="B227" t="s">
        <v>295</v>
      </c>
      <c r="C227" t="s">
        <v>163</v>
      </c>
      <c r="D227" t="s">
        <v>296</v>
      </c>
      <c r="E227" t="s">
        <v>172</v>
      </c>
      <c r="F227" t="s">
        <v>162</v>
      </c>
      <c r="G227">
        <v>5200</v>
      </c>
      <c r="H227">
        <v>5201</v>
      </c>
      <c r="I227" t="s">
        <v>784</v>
      </c>
      <c r="J227">
        <v>5600</v>
      </c>
      <c r="K227">
        <v>5601</v>
      </c>
      <c r="L227" t="s">
        <v>603</v>
      </c>
      <c r="M227">
        <v>3</v>
      </c>
      <c r="N227" t="s">
        <v>11</v>
      </c>
      <c r="O227" t="s">
        <v>327</v>
      </c>
      <c r="P227" t="s">
        <v>157</v>
      </c>
      <c r="Q227" t="s">
        <v>162</v>
      </c>
      <c r="R227" t="s">
        <v>843</v>
      </c>
      <c r="S227">
        <v>2019</v>
      </c>
      <c r="T227">
        <v>8</v>
      </c>
      <c r="U227" t="s">
        <v>517</v>
      </c>
      <c r="V227" t="s">
        <v>628</v>
      </c>
      <c r="W227">
        <v>2021</v>
      </c>
      <c r="X227">
        <v>10</v>
      </c>
      <c r="Y227" t="s">
        <v>162</v>
      </c>
      <c r="Z227">
        <v>2021</v>
      </c>
      <c r="AA227">
        <v>2021</v>
      </c>
      <c r="AB227" s="5">
        <v>0.50667015405799998</v>
      </c>
      <c r="AC227" s="5">
        <v>1.0133403081200001</v>
      </c>
      <c r="AD227" t="s">
        <v>162</v>
      </c>
      <c r="AE227" t="s">
        <v>163</v>
      </c>
      <c r="AF227" t="s">
        <v>162</v>
      </c>
      <c r="AG227" t="s">
        <v>162</v>
      </c>
      <c r="AH227" t="s">
        <v>162</v>
      </c>
      <c r="AI227" t="s">
        <v>162</v>
      </c>
      <c r="AJ227" t="s">
        <v>162</v>
      </c>
      <c r="AK227" t="s">
        <v>162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 s="60">
        <f t="shared" si="3"/>
        <v>1</v>
      </c>
      <c r="AU227" s="95" t="s">
        <v>530</v>
      </c>
      <c r="AV227" s="94" t="s">
        <v>165</v>
      </c>
      <c r="AW227" t="s">
        <v>154</v>
      </c>
      <c r="AX227">
        <v>2</v>
      </c>
      <c r="AY227" t="s">
        <v>167</v>
      </c>
      <c r="AZ227">
        <v>20</v>
      </c>
    </row>
    <row r="228" spans="1:52" x14ac:dyDescent="0.25">
      <c r="A228">
        <v>217</v>
      </c>
      <c r="B228" t="s">
        <v>844</v>
      </c>
      <c r="C228" t="s">
        <v>151</v>
      </c>
      <c r="D228" t="s">
        <v>845</v>
      </c>
      <c r="E228" t="s">
        <v>172</v>
      </c>
      <c r="F228" t="s">
        <v>162</v>
      </c>
      <c r="G228">
        <v>6358</v>
      </c>
      <c r="H228">
        <v>6359</v>
      </c>
      <c r="I228" t="s">
        <v>374</v>
      </c>
      <c r="J228">
        <v>6000</v>
      </c>
      <c r="K228">
        <v>6001</v>
      </c>
      <c r="L228" t="s">
        <v>846</v>
      </c>
      <c r="M228">
        <v>3</v>
      </c>
      <c r="N228" t="s">
        <v>15</v>
      </c>
      <c r="O228" t="s">
        <v>15</v>
      </c>
      <c r="P228" t="s">
        <v>175</v>
      </c>
      <c r="Q228" t="s">
        <v>847</v>
      </c>
      <c r="R228" t="s">
        <v>249</v>
      </c>
      <c r="S228">
        <v>2007</v>
      </c>
      <c r="T228">
        <v>10</v>
      </c>
      <c r="U228" t="s">
        <v>162</v>
      </c>
      <c r="V228" t="s">
        <v>455</v>
      </c>
      <c r="W228">
        <v>2020</v>
      </c>
      <c r="X228">
        <v>0</v>
      </c>
      <c r="Y228" t="s">
        <v>123</v>
      </c>
      <c r="Z228">
        <v>2020</v>
      </c>
      <c r="AA228">
        <v>2020</v>
      </c>
      <c r="AB228" s="5">
        <v>0.50376093049100001</v>
      </c>
      <c r="AC228" s="5">
        <v>1.0075218609800001</v>
      </c>
      <c r="AD228" t="s">
        <v>162</v>
      </c>
      <c r="AE228" t="s">
        <v>163</v>
      </c>
      <c r="AF228" t="s">
        <v>162</v>
      </c>
      <c r="AG228" t="s">
        <v>162</v>
      </c>
      <c r="AH228" t="s">
        <v>162</v>
      </c>
      <c r="AI228" t="s">
        <v>162</v>
      </c>
      <c r="AJ228" t="s">
        <v>162</v>
      </c>
      <c r="AK228" t="s">
        <v>162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s="60">
        <f t="shared" si="3"/>
        <v>1</v>
      </c>
      <c r="AU228" s="95" t="s">
        <v>187</v>
      </c>
      <c r="AV228" s="94" t="s">
        <v>165</v>
      </c>
      <c r="AW228" t="s">
        <v>162</v>
      </c>
      <c r="AX228">
        <v>2</v>
      </c>
      <c r="AY228" t="s">
        <v>167</v>
      </c>
      <c r="AZ228" t="s">
        <v>162</v>
      </c>
    </row>
    <row r="229" spans="1:52" x14ac:dyDescent="0.25">
      <c r="A229">
        <v>218</v>
      </c>
      <c r="B229" t="s">
        <v>573</v>
      </c>
      <c r="C229" t="s">
        <v>151</v>
      </c>
      <c r="D229" t="s">
        <v>574</v>
      </c>
      <c r="E229" t="s">
        <v>153</v>
      </c>
      <c r="F229" t="s">
        <v>162</v>
      </c>
      <c r="G229">
        <v>259</v>
      </c>
      <c r="H229">
        <v>258</v>
      </c>
      <c r="I229" t="s">
        <v>848</v>
      </c>
      <c r="J229">
        <v>1</v>
      </c>
      <c r="K229">
        <v>2</v>
      </c>
      <c r="L229" t="s">
        <v>639</v>
      </c>
      <c r="M229">
        <v>2</v>
      </c>
      <c r="N229" t="s">
        <v>11</v>
      </c>
      <c r="O229" t="s">
        <v>11</v>
      </c>
      <c r="P229" t="s">
        <v>175</v>
      </c>
      <c r="Q229" t="s">
        <v>162</v>
      </c>
      <c r="R229" t="s">
        <v>641</v>
      </c>
      <c r="S229">
        <v>1995</v>
      </c>
      <c r="T229">
        <v>4</v>
      </c>
      <c r="U229" t="s">
        <v>162</v>
      </c>
      <c r="V229" t="s">
        <v>161</v>
      </c>
      <c r="W229">
        <v>2020</v>
      </c>
      <c r="X229">
        <v>0</v>
      </c>
      <c r="Y229" t="s">
        <v>162</v>
      </c>
      <c r="Z229">
        <v>2020</v>
      </c>
      <c r="AA229">
        <v>0</v>
      </c>
      <c r="AB229" s="5">
        <v>0.37746149352800001</v>
      </c>
      <c r="AC229" s="5">
        <v>0.75492298705600003</v>
      </c>
      <c r="AD229" t="s">
        <v>162</v>
      </c>
      <c r="AE229" t="s">
        <v>163</v>
      </c>
      <c r="AF229" t="s">
        <v>162</v>
      </c>
      <c r="AG229" t="s">
        <v>162</v>
      </c>
      <c r="AH229" t="s">
        <v>162</v>
      </c>
      <c r="AI229" t="s">
        <v>162</v>
      </c>
      <c r="AJ229" t="s">
        <v>162</v>
      </c>
      <c r="AK229" t="s">
        <v>166</v>
      </c>
      <c r="AL229">
        <v>2015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 s="60">
        <f t="shared" si="3"/>
        <v>1</v>
      </c>
      <c r="AU229" s="95" t="s">
        <v>187</v>
      </c>
      <c r="AV229" s="94" t="s">
        <v>165</v>
      </c>
      <c r="AW229" t="s">
        <v>162</v>
      </c>
      <c r="AX229">
        <v>2</v>
      </c>
      <c r="AY229" t="s">
        <v>167</v>
      </c>
      <c r="AZ229" t="s">
        <v>162</v>
      </c>
    </row>
    <row r="230" spans="1:52" x14ac:dyDescent="0.25">
      <c r="A230">
        <v>219</v>
      </c>
      <c r="B230" t="s">
        <v>505</v>
      </c>
      <c r="C230" t="s">
        <v>151</v>
      </c>
      <c r="D230" t="s">
        <v>506</v>
      </c>
      <c r="E230" t="s">
        <v>216</v>
      </c>
      <c r="F230" t="s">
        <v>154</v>
      </c>
      <c r="G230">
        <v>2161</v>
      </c>
      <c r="H230">
        <v>2170</v>
      </c>
      <c r="I230" t="s">
        <v>721</v>
      </c>
      <c r="J230">
        <v>1885</v>
      </c>
      <c r="K230">
        <v>1886</v>
      </c>
      <c r="L230" t="s">
        <v>507</v>
      </c>
      <c r="M230">
        <v>3</v>
      </c>
      <c r="N230" t="s">
        <v>15</v>
      </c>
      <c r="O230" t="s">
        <v>15</v>
      </c>
      <c r="P230" t="s">
        <v>175</v>
      </c>
      <c r="Q230" t="s">
        <v>162</v>
      </c>
      <c r="R230" t="s">
        <v>508</v>
      </c>
      <c r="S230">
        <v>2004</v>
      </c>
      <c r="T230">
        <v>9</v>
      </c>
      <c r="U230" t="s">
        <v>162</v>
      </c>
      <c r="V230" t="s">
        <v>509</v>
      </c>
      <c r="W230">
        <v>2021</v>
      </c>
      <c r="X230">
        <v>0</v>
      </c>
      <c r="Y230" t="s">
        <v>162</v>
      </c>
      <c r="Z230">
        <v>2021</v>
      </c>
      <c r="AA230">
        <v>2013</v>
      </c>
      <c r="AB230" s="5">
        <v>0.55729830627099997</v>
      </c>
      <c r="AC230" s="5">
        <v>1.11459661254</v>
      </c>
      <c r="AD230" t="s">
        <v>154</v>
      </c>
      <c r="AE230" t="s">
        <v>163</v>
      </c>
      <c r="AF230" t="s">
        <v>154</v>
      </c>
      <c r="AG230" t="s">
        <v>154</v>
      </c>
      <c r="AH230" t="s">
        <v>154</v>
      </c>
      <c r="AI230" t="s">
        <v>154</v>
      </c>
      <c r="AJ230" t="s">
        <v>154</v>
      </c>
      <c r="AK230" t="s">
        <v>154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 s="60">
        <f t="shared" si="3"/>
        <v>1</v>
      </c>
      <c r="AU230" s="95" t="s">
        <v>510</v>
      </c>
      <c r="AV230" s="94" t="s">
        <v>165</v>
      </c>
      <c r="AW230" t="s">
        <v>154</v>
      </c>
      <c r="AX230">
        <v>2</v>
      </c>
      <c r="AY230" t="s">
        <v>167</v>
      </c>
      <c r="AZ230" t="s">
        <v>162</v>
      </c>
    </row>
    <row r="231" spans="1:52" x14ac:dyDescent="0.25">
      <c r="A231">
        <v>220</v>
      </c>
      <c r="B231" t="s">
        <v>719</v>
      </c>
      <c r="C231" t="s">
        <v>163</v>
      </c>
      <c r="D231" t="s">
        <v>720</v>
      </c>
      <c r="E231" t="s">
        <v>172</v>
      </c>
      <c r="F231" t="s">
        <v>162</v>
      </c>
      <c r="G231">
        <v>300</v>
      </c>
      <c r="H231">
        <v>301</v>
      </c>
      <c r="I231" t="s">
        <v>735</v>
      </c>
      <c r="J231">
        <v>338</v>
      </c>
      <c r="K231">
        <v>339</v>
      </c>
      <c r="L231" t="s">
        <v>849</v>
      </c>
      <c r="M231">
        <v>4</v>
      </c>
      <c r="N231" t="s">
        <v>11</v>
      </c>
      <c r="O231" t="s">
        <v>11</v>
      </c>
      <c r="P231" t="s">
        <v>175</v>
      </c>
      <c r="Q231" t="s">
        <v>162</v>
      </c>
      <c r="R231" t="s">
        <v>772</v>
      </c>
      <c r="S231">
        <v>2003</v>
      </c>
      <c r="T231">
        <v>11</v>
      </c>
      <c r="U231" t="s">
        <v>162</v>
      </c>
      <c r="V231" t="s">
        <v>540</v>
      </c>
      <c r="W231">
        <v>2009</v>
      </c>
      <c r="X231">
        <v>7</v>
      </c>
      <c r="Y231" t="s">
        <v>123</v>
      </c>
      <c r="Z231">
        <v>2009</v>
      </c>
      <c r="AA231">
        <v>2009</v>
      </c>
      <c r="AB231" s="5">
        <v>8.1763311406299999E-2</v>
      </c>
      <c r="AC231" s="5">
        <v>0.16352662281300001</v>
      </c>
      <c r="AD231" t="s">
        <v>162</v>
      </c>
      <c r="AE231" t="s">
        <v>163</v>
      </c>
      <c r="AF231" t="s">
        <v>162</v>
      </c>
      <c r="AG231" t="s">
        <v>162</v>
      </c>
      <c r="AH231" t="s">
        <v>162</v>
      </c>
      <c r="AI231" t="s">
        <v>162</v>
      </c>
      <c r="AJ231" t="s">
        <v>162</v>
      </c>
      <c r="AK231" t="s">
        <v>162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 s="60">
        <f t="shared" si="3"/>
        <v>1</v>
      </c>
      <c r="AU231" s="95">
        <v>43343</v>
      </c>
      <c r="AV231" s="94" t="s">
        <v>165</v>
      </c>
      <c r="AW231" t="s">
        <v>162</v>
      </c>
      <c r="AX231">
        <v>2</v>
      </c>
      <c r="AY231" t="s">
        <v>167</v>
      </c>
      <c r="AZ231" t="s">
        <v>162</v>
      </c>
    </row>
    <row r="232" spans="1:52" x14ac:dyDescent="0.25">
      <c r="A232">
        <v>221</v>
      </c>
      <c r="B232" t="s">
        <v>453</v>
      </c>
      <c r="C232" t="s">
        <v>163</v>
      </c>
      <c r="D232" t="s">
        <v>454</v>
      </c>
      <c r="E232" t="s">
        <v>216</v>
      </c>
      <c r="F232" t="s">
        <v>162</v>
      </c>
      <c r="G232">
        <v>2000</v>
      </c>
      <c r="H232">
        <v>2001</v>
      </c>
      <c r="I232" t="s">
        <v>850</v>
      </c>
      <c r="J232">
        <v>2160</v>
      </c>
      <c r="K232">
        <v>2159</v>
      </c>
      <c r="L232" t="s">
        <v>236</v>
      </c>
      <c r="M232">
        <v>3</v>
      </c>
      <c r="N232" t="s">
        <v>11</v>
      </c>
      <c r="O232" t="s">
        <v>11</v>
      </c>
      <c r="P232" t="s">
        <v>175</v>
      </c>
      <c r="Q232" t="s">
        <v>162</v>
      </c>
      <c r="R232" t="s">
        <v>266</v>
      </c>
      <c r="S232">
        <v>2002</v>
      </c>
      <c r="T232">
        <v>8</v>
      </c>
      <c r="U232" t="s">
        <v>162</v>
      </c>
      <c r="V232" t="s">
        <v>455</v>
      </c>
      <c r="W232">
        <v>2020</v>
      </c>
      <c r="X232">
        <v>0</v>
      </c>
      <c r="Y232" t="s">
        <v>123</v>
      </c>
      <c r="Z232">
        <v>2020</v>
      </c>
      <c r="AA232">
        <v>2020</v>
      </c>
      <c r="AB232" s="5">
        <v>0.25135935612299998</v>
      </c>
      <c r="AC232" s="5">
        <v>0.50271871224599995</v>
      </c>
      <c r="AD232" t="s">
        <v>162</v>
      </c>
      <c r="AE232" t="s">
        <v>163</v>
      </c>
      <c r="AF232" t="s">
        <v>162</v>
      </c>
      <c r="AG232" t="s">
        <v>162</v>
      </c>
      <c r="AH232" t="s">
        <v>162</v>
      </c>
      <c r="AI232" t="s">
        <v>162</v>
      </c>
      <c r="AJ232" t="s">
        <v>162</v>
      </c>
      <c r="AK232" t="s">
        <v>162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s="60">
        <f t="shared" si="3"/>
        <v>1</v>
      </c>
      <c r="AU232" s="95" t="s">
        <v>187</v>
      </c>
      <c r="AV232" t="s">
        <v>165</v>
      </c>
      <c r="AW232" t="s">
        <v>162</v>
      </c>
      <c r="AX232">
        <v>2</v>
      </c>
      <c r="AY232" t="s">
        <v>167</v>
      </c>
      <c r="AZ232" t="s">
        <v>162</v>
      </c>
    </row>
    <row r="233" spans="1:52" x14ac:dyDescent="0.25">
      <c r="A233">
        <v>222</v>
      </c>
      <c r="B233" t="s">
        <v>757</v>
      </c>
      <c r="C233" t="s">
        <v>151</v>
      </c>
      <c r="D233" t="s">
        <v>758</v>
      </c>
      <c r="E233" t="s">
        <v>222</v>
      </c>
      <c r="F233" t="s">
        <v>154</v>
      </c>
      <c r="G233">
        <v>2383</v>
      </c>
      <c r="H233">
        <v>2382</v>
      </c>
      <c r="I233" t="s">
        <v>378</v>
      </c>
      <c r="J233">
        <v>2364</v>
      </c>
      <c r="K233">
        <v>2365</v>
      </c>
      <c r="L233" t="s">
        <v>759</v>
      </c>
      <c r="M233">
        <v>3</v>
      </c>
      <c r="N233" t="s">
        <v>7</v>
      </c>
      <c r="O233" t="s">
        <v>760</v>
      </c>
      <c r="P233" t="s">
        <v>157</v>
      </c>
      <c r="Q233" t="s">
        <v>162</v>
      </c>
      <c r="R233" t="s">
        <v>500</v>
      </c>
      <c r="S233">
        <v>2022</v>
      </c>
      <c r="T233">
        <v>9</v>
      </c>
      <c r="U233" t="s">
        <v>761</v>
      </c>
      <c r="V233" t="s">
        <v>162</v>
      </c>
      <c r="W233">
        <v>0</v>
      </c>
      <c r="X233">
        <v>0</v>
      </c>
      <c r="Y233" t="s">
        <v>162</v>
      </c>
      <c r="Z233">
        <v>2021</v>
      </c>
      <c r="AA233">
        <v>2014</v>
      </c>
      <c r="AB233" s="5">
        <v>5.2932962433199997E-2</v>
      </c>
      <c r="AC233" s="5">
        <v>0.10586592486599999</v>
      </c>
      <c r="AD233" t="s">
        <v>154</v>
      </c>
      <c r="AE233" t="s">
        <v>163</v>
      </c>
      <c r="AF233" t="s">
        <v>154</v>
      </c>
      <c r="AG233" t="s">
        <v>163</v>
      </c>
      <c r="AH233" t="s">
        <v>162</v>
      </c>
      <c r="AI233" t="s">
        <v>504</v>
      </c>
      <c r="AJ233" t="s">
        <v>163</v>
      </c>
      <c r="AK233" t="s">
        <v>162</v>
      </c>
      <c r="AL233">
        <v>2022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 s="60">
        <f t="shared" si="3"/>
        <v>1</v>
      </c>
      <c r="AU233" s="95" t="s">
        <v>213</v>
      </c>
      <c r="AV233" t="s">
        <v>165</v>
      </c>
      <c r="AW233" t="s">
        <v>166</v>
      </c>
      <c r="AX233">
        <v>2</v>
      </c>
      <c r="AY233" t="s">
        <v>167</v>
      </c>
      <c r="AZ233" t="s">
        <v>162</v>
      </c>
    </row>
    <row r="234" spans="1:52" x14ac:dyDescent="0.25">
      <c r="A234">
        <v>223</v>
      </c>
      <c r="B234" t="s">
        <v>315</v>
      </c>
      <c r="C234" t="s">
        <v>163</v>
      </c>
      <c r="D234" t="s">
        <v>316</v>
      </c>
      <c r="E234" t="s">
        <v>216</v>
      </c>
      <c r="F234" t="s">
        <v>162</v>
      </c>
      <c r="G234">
        <v>5000</v>
      </c>
      <c r="H234">
        <v>5001</v>
      </c>
      <c r="I234" t="s">
        <v>851</v>
      </c>
      <c r="J234">
        <v>5075</v>
      </c>
      <c r="K234">
        <v>5074</v>
      </c>
      <c r="L234" t="s">
        <v>852</v>
      </c>
      <c r="M234">
        <v>3</v>
      </c>
      <c r="N234" t="s">
        <v>15</v>
      </c>
      <c r="O234" t="s">
        <v>15</v>
      </c>
      <c r="P234" t="s">
        <v>175</v>
      </c>
      <c r="Q234" t="s">
        <v>162</v>
      </c>
      <c r="R234" t="s">
        <v>177</v>
      </c>
      <c r="S234">
        <v>2011</v>
      </c>
      <c r="T234">
        <v>7</v>
      </c>
      <c r="U234" t="s">
        <v>853</v>
      </c>
      <c r="V234" t="s">
        <v>320</v>
      </c>
      <c r="W234">
        <v>2015</v>
      </c>
      <c r="X234">
        <v>7</v>
      </c>
      <c r="Y234" t="s">
        <v>123</v>
      </c>
      <c r="Z234">
        <v>2015</v>
      </c>
      <c r="AA234">
        <v>2015</v>
      </c>
      <c r="AB234" s="5">
        <v>0.103421304164</v>
      </c>
      <c r="AC234" s="5">
        <v>0.206842608328</v>
      </c>
      <c r="AD234" t="s">
        <v>162</v>
      </c>
      <c r="AE234" t="s">
        <v>163</v>
      </c>
      <c r="AF234" t="s">
        <v>162</v>
      </c>
      <c r="AG234" t="s">
        <v>162</v>
      </c>
      <c r="AH234" t="s">
        <v>162</v>
      </c>
      <c r="AI234" t="s">
        <v>162</v>
      </c>
      <c r="AJ234" t="s">
        <v>162</v>
      </c>
      <c r="AK234" t="s">
        <v>166</v>
      </c>
      <c r="AL234">
        <v>2017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 s="60">
        <f t="shared" si="3"/>
        <v>1</v>
      </c>
      <c r="AU234" s="95">
        <v>43347</v>
      </c>
      <c r="AV234" s="94" t="s">
        <v>165</v>
      </c>
      <c r="AW234" t="s">
        <v>162</v>
      </c>
      <c r="AX234">
        <v>2</v>
      </c>
      <c r="AY234" t="s">
        <v>167</v>
      </c>
      <c r="AZ234" t="s">
        <v>162</v>
      </c>
    </row>
    <row r="235" spans="1:52" x14ac:dyDescent="0.25">
      <c r="A235">
        <v>224</v>
      </c>
      <c r="B235" t="s">
        <v>802</v>
      </c>
      <c r="C235" t="s">
        <v>163</v>
      </c>
      <c r="D235" t="s">
        <v>803</v>
      </c>
      <c r="E235" t="s">
        <v>172</v>
      </c>
      <c r="F235" t="s">
        <v>163</v>
      </c>
      <c r="G235">
        <v>801</v>
      </c>
      <c r="H235">
        <v>800</v>
      </c>
      <c r="I235" t="s">
        <v>312</v>
      </c>
      <c r="J235">
        <v>932</v>
      </c>
      <c r="K235">
        <v>933</v>
      </c>
      <c r="L235" t="s">
        <v>854</v>
      </c>
      <c r="M235">
        <v>4</v>
      </c>
      <c r="N235" t="s">
        <v>11</v>
      </c>
      <c r="O235" t="s">
        <v>11</v>
      </c>
      <c r="P235" t="s">
        <v>169</v>
      </c>
      <c r="Q235" t="s">
        <v>855</v>
      </c>
      <c r="R235" t="s">
        <v>314</v>
      </c>
      <c r="S235">
        <v>2013</v>
      </c>
      <c r="T235">
        <v>6</v>
      </c>
      <c r="U235" t="s">
        <v>123</v>
      </c>
      <c r="V235" t="s">
        <v>243</v>
      </c>
      <c r="W235">
        <v>2020</v>
      </c>
      <c r="X235">
        <v>0</v>
      </c>
      <c r="Y235" t="s">
        <v>162</v>
      </c>
      <c r="Z235">
        <v>2020</v>
      </c>
      <c r="AA235">
        <v>2013</v>
      </c>
      <c r="AB235" s="5">
        <v>0.22479011369599999</v>
      </c>
      <c r="AC235" s="5">
        <v>0.22479011369599999</v>
      </c>
      <c r="AD235" t="s">
        <v>162</v>
      </c>
      <c r="AE235" t="s">
        <v>166</v>
      </c>
      <c r="AF235" t="s">
        <v>163</v>
      </c>
      <c r="AG235" t="s">
        <v>163</v>
      </c>
      <c r="AH235" t="s">
        <v>162</v>
      </c>
      <c r="AI235" t="s">
        <v>162</v>
      </c>
      <c r="AJ235" t="s">
        <v>162</v>
      </c>
      <c r="AK235" t="s">
        <v>162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 s="60">
        <f t="shared" si="3"/>
        <v>1</v>
      </c>
      <c r="AU235" s="95" t="s">
        <v>244</v>
      </c>
      <c r="AV235" s="94" t="s">
        <v>165</v>
      </c>
      <c r="AW235" t="s">
        <v>162</v>
      </c>
      <c r="AX235">
        <v>2</v>
      </c>
      <c r="AY235" t="s">
        <v>167</v>
      </c>
      <c r="AZ235" t="s">
        <v>162</v>
      </c>
    </row>
    <row r="236" spans="1:52" x14ac:dyDescent="0.25">
      <c r="A236">
        <v>225</v>
      </c>
      <c r="B236" t="s">
        <v>856</v>
      </c>
      <c r="C236" t="s">
        <v>151</v>
      </c>
      <c r="D236" t="s">
        <v>857</v>
      </c>
      <c r="E236" t="s">
        <v>172</v>
      </c>
      <c r="F236" t="s">
        <v>162</v>
      </c>
      <c r="G236">
        <v>6758</v>
      </c>
      <c r="H236">
        <v>6759</v>
      </c>
      <c r="I236" t="s">
        <v>858</v>
      </c>
      <c r="J236">
        <v>6400</v>
      </c>
      <c r="K236">
        <v>6401</v>
      </c>
      <c r="L236" t="s">
        <v>859</v>
      </c>
      <c r="M236">
        <v>2</v>
      </c>
      <c r="N236" t="s">
        <v>15</v>
      </c>
      <c r="O236" t="s">
        <v>15</v>
      </c>
      <c r="P236" t="s">
        <v>175</v>
      </c>
      <c r="Q236" t="s">
        <v>162</v>
      </c>
      <c r="R236" t="s">
        <v>839</v>
      </c>
      <c r="S236">
        <v>2010</v>
      </c>
      <c r="T236">
        <v>4</v>
      </c>
      <c r="U236" t="s">
        <v>123</v>
      </c>
      <c r="V236" t="s">
        <v>162</v>
      </c>
      <c r="W236">
        <v>0</v>
      </c>
      <c r="X236">
        <v>0</v>
      </c>
      <c r="Y236" t="s">
        <v>162</v>
      </c>
      <c r="Z236">
        <v>2010</v>
      </c>
      <c r="AA236">
        <v>2010</v>
      </c>
      <c r="AB236" s="5">
        <v>0.50329631673099995</v>
      </c>
      <c r="AC236" s="5">
        <v>1.0065926334599999</v>
      </c>
      <c r="AD236" t="s">
        <v>162</v>
      </c>
      <c r="AE236" t="s">
        <v>163</v>
      </c>
      <c r="AF236" t="s">
        <v>162</v>
      </c>
      <c r="AG236" t="s">
        <v>162</v>
      </c>
      <c r="AH236" t="s">
        <v>162</v>
      </c>
      <c r="AI236" t="s">
        <v>162</v>
      </c>
      <c r="AJ236" t="s">
        <v>162</v>
      </c>
      <c r="AK236" t="s">
        <v>162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 s="60">
        <f t="shared" si="3"/>
        <v>1</v>
      </c>
      <c r="AU236" s="95">
        <v>43347</v>
      </c>
      <c r="AV236" s="94" t="s">
        <v>165</v>
      </c>
      <c r="AW236" t="s">
        <v>162</v>
      </c>
      <c r="AX236">
        <v>2</v>
      </c>
      <c r="AY236" t="s">
        <v>167</v>
      </c>
      <c r="AZ236" t="s">
        <v>162</v>
      </c>
    </row>
    <row r="237" spans="1:52" x14ac:dyDescent="0.25">
      <c r="A237">
        <v>226</v>
      </c>
      <c r="B237" t="s">
        <v>650</v>
      </c>
      <c r="C237" t="s">
        <v>163</v>
      </c>
      <c r="D237" t="s">
        <v>651</v>
      </c>
      <c r="E237" t="s">
        <v>216</v>
      </c>
      <c r="F237" t="s">
        <v>162</v>
      </c>
      <c r="G237">
        <v>1860</v>
      </c>
      <c r="H237">
        <v>1861</v>
      </c>
      <c r="I237" t="s">
        <v>860</v>
      </c>
      <c r="J237">
        <v>2358</v>
      </c>
      <c r="K237">
        <v>2359</v>
      </c>
      <c r="L237" t="s">
        <v>652</v>
      </c>
      <c r="M237">
        <v>2</v>
      </c>
      <c r="N237" t="s">
        <v>15</v>
      </c>
      <c r="O237" t="s">
        <v>15</v>
      </c>
      <c r="P237" t="s">
        <v>175</v>
      </c>
      <c r="Q237" t="s">
        <v>861</v>
      </c>
      <c r="R237" t="s">
        <v>839</v>
      </c>
      <c r="S237">
        <v>2010</v>
      </c>
      <c r="T237">
        <v>4</v>
      </c>
      <c r="U237" t="s">
        <v>123</v>
      </c>
      <c r="V237" t="s">
        <v>267</v>
      </c>
      <c r="W237">
        <v>2018</v>
      </c>
      <c r="X237">
        <v>8</v>
      </c>
      <c r="Y237" t="s">
        <v>162</v>
      </c>
      <c r="Z237">
        <v>2018</v>
      </c>
      <c r="AA237">
        <v>2010</v>
      </c>
      <c r="AB237" s="5">
        <v>0.627252311703</v>
      </c>
      <c r="AC237" s="5">
        <v>1.2545046234099999</v>
      </c>
      <c r="AD237" t="s">
        <v>162</v>
      </c>
      <c r="AE237" t="s">
        <v>163</v>
      </c>
      <c r="AF237" t="s">
        <v>162</v>
      </c>
      <c r="AG237" t="s">
        <v>162</v>
      </c>
      <c r="AH237" t="s">
        <v>162</v>
      </c>
      <c r="AI237" t="s">
        <v>162</v>
      </c>
      <c r="AJ237" t="s">
        <v>162</v>
      </c>
      <c r="AK237" t="s">
        <v>162</v>
      </c>
      <c r="AL237">
        <v>0</v>
      </c>
      <c r="AM237">
        <v>0</v>
      </c>
      <c r="AN237">
        <v>0.75</v>
      </c>
      <c r="AO237">
        <v>0.25</v>
      </c>
      <c r="AP237">
        <v>0</v>
      </c>
      <c r="AQ237">
        <v>0</v>
      </c>
      <c r="AR237">
        <v>0</v>
      </c>
      <c r="AS237">
        <v>0</v>
      </c>
      <c r="AT237" s="60">
        <f t="shared" si="3"/>
        <v>1</v>
      </c>
      <c r="AU237" s="95">
        <v>43343</v>
      </c>
      <c r="AV237" s="94" t="s">
        <v>165</v>
      </c>
      <c r="AW237" t="s">
        <v>162</v>
      </c>
      <c r="AX237">
        <v>2</v>
      </c>
      <c r="AY237" t="s">
        <v>167</v>
      </c>
      <c r="AZ237" t="s">
        <v>162</v>
      </c>
    </row>
    <row r="238" spans="1:52" x14ac:dyDescent="0.25">
      <c r="A238">
        <v>227</v>
      </c>
      <c r="B238" t="s">
        <v>650</v>
      </c>
      <c r="C238" t="s">
        <v>163</v>
      </c>
      <c r="D238" t="s">
        <v>651</v>
      </c>
      <c r="E238" t="s">
        <v>216</v>
      </c>
      <c r="F238" t="s">
        <v>162</v>
      </c>
      <c r="G238">
        <v>2800</v>
      </c>
      <c r="H238">
        <v>2801</v>
      </c>
      <c r="I238" t="s">
        <v>653</v>
      </c>
      <c r="J238">
        <v>3362</v>
      </c>
      <c r="K238">
        <v>3359</v>
      </c>
      <c r="L238" t="s">
        <v>566</v>
      </c>
      <c r="M238">
        <v>2</v>
      </c>
      <c r="N238" t="s">
        <v>15</v>
      </c>
      <c r="O238" t="s">
        <v>15</v>
      </c>
      <c r="P238" t="s">
        <v>175</v>
      </c>
      <c r="Q238" t="s">
        <v>862</v>
      </c>
      <c r="R238" t="s">
        <v>839</v>
      </c>
      <c r="S238">
        <v>2010</v>
      </c>
      <c r="T238">
        <v>4</v>
      </c>
      <c r="U238" t="s">
        <v>123</v>
      </c>
      <c r="V238" t="s">
        <v>267</v>
      </c>
      <c r="W238">
        <v>2018</v>
      </c>
      <c r="X238">
        <v>8</v>
      </c>
      <c r="Y238" t="s">
        <v>162</v>
      </c>
      <c r="Z238">
        <v>2018</v>
      </c>
      <c r="AA238">
        <v>2010</v>
      </c>
      <c r="AB238" s="5">
        <v>0.75958184096500003</v>
      </c>
      <c r="AC238" s="5">
        <v>1.5191636819300001</v>
      </c>
      <c r="AD238" t="s">
        <v>162</v>
      </c>
      <c r="AE238" t="s">
        <v>163</v>
      </c>
      <c r="AF238" t="s">
        <v>162</v>
      </c>
      <c r="AG238" t="s">
        <v>162</v>
      </c>
      <c r="AH238" t="s">
        <v>162</v>
      </c>
      <c r="AI238" t="s">
        <v>162</v>
      </c>
      <c r="AJ238" t="s">
        <v>162</v>
      </c>
      <c r="AK238" t="s">
        <v>162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s="60">
        <f t="shared" si="3"/>
        <v>1</v>
      </c>
      <c r="AU238" s="95">
        <v>43343</v>
      </c>
      <c r="AV238" s="94" t="s">
        <v>165</v>
      </c>
      <c r="AW238" t="s">
        <v>162</v>
      </c>
      <c r="AX238">
        <v>2</v>
      </c>
      <c r="AY238" t="s">
        <v>167</v>
      </c>
      <c r="AZ238" t="s">
        <v>162</v>
      </c>
    </row>
    <row r="239" spans="1:52" x14ac:dyDescent="0.25">
      <c r="A239">
        <v>228</v>
      </c>
      <c r="B239" t="s">
        <v>484</v>
      </c>
      <c r="C239" t="s">
        <v>151</v>
      </c>
      <c r="D239" t="s">
        <v>485</v>
      </c>
      <c r="E239" t="s">
        <v>172</v>
      </c>
      <c r="F239" t="s">
        <v>162</v>
      </c>
      <c r="G239">
        <v>1246</v>
      </c>
      <c r="H239">
        <v>1245</v>
      </c>
      <c r="I239" t="s">
        <v>717</v>
      </c>
      <c r="J239">
        <v>1204</v>
      </c>
      <c r="K239">
        <v>1201</v>
      </c>
      <c r="L239" t="s">
        <v>692</v>
      </c>
      <c r="M239">
        <v>3</v>
      </c>
      <c r="N239" t="s">
        <v>11</v>
      </c>
      <c r="O239" t="s">
        <v>11</v>
      </c>
      <c r="P239" t="s">
        <v>175</v>
      </c>
      <c r="Q239" t="s">
        <v>162</v>
      </c>
      <c r="R239" t="s">
        <v>479</v>
      </c>
      <c r="S239">
        <v>2005</v>
      </c>
      <c r="T239">
        <v>8</v>
      </c>
      <c r="U239" t="s">
        <v>123</v>
      </c>
      <c r="V239" t="s">
        <v>161</v>
      </c>
      <c r="W239">
        <v>2020</v>
      </c>
      <c r="X239">
        <v>0</v>
      </c>
      <c r="Y239" t="s">
        <v>162</v>
      </c>
      <c r="Z239">
        <v>2020</v>
      </c>
      <c r="AA239">
        <v>2005</v>
      </c>
      <c r="AB239" s="5">
        <v>9.7059249851599999E-2</v>
      </c>
      <c r="AC239" s="5">
        <v>0.19411849970299999</v>
      </c>
      <c r="AD239" t="s">
        <v>162</v>
      </c>
      <c r="AE239" t="s">
        <v>163</v>
      </c>
      <c r="AF239" t="s">
        <v>162</v>
      </c>
      <c r="AG239" t="s">
        <v>162</v>
      </c>
      <c r="AH239" t="s">
        <v>162</v>
      </c>
      <c r="AI239" t="s">
        <v>162</v>
      </c>
      <c r="AJ239" t="s">
        <v>162</v>
      </c>
      <c r="AK239" t="s">
        <v>162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s="60">
        <f t="shared" si="3"/>
        <v>1</v>
      </c>
      <c r="AU239" s="95" t="s">
        <v>187</v>
      </c>
      <c r="AV239" s="94" t="s">
        <v>165</v>
      </c>
      <c r="AW239" t="s">
        <v>162</v>
      </c>
      <c r="AX239">
        <v>2</v>
      </c>
      <c r="AY239" t="s">
        <v>167</v>
      </c>
      <c r="AZ239" t="s">
        <v>162</v>
      </c>
    </row>
    <row r="240" spans="1:52" x14ac:dyDescent="0.25">
      <c r="A240">
        <v>229</v>
      </c>
      <c r="B240" t="s">
        <v>345</v>
      </c>
      <c r="C240" t="s">
        <v>180</v>
      </c>
      <c r="D240" t="s">
        <v>346</v>
      </c>
      <c r="E240" t="s">
        <v>172</v>
      </c>
      <c r="F240" t="s">
        <v>162</v>
      </c>
      <c r="G240">
        <v>0</v>
      </c>
      <c r="H240">
        <v>0</v>
      </c>
      <c r="I240" t="s">
        <v>640</v>
      </c>
      <c r="J240">
        <v>9500</v>
      </c>
      <c r="K240">
        <v>9501</v>
      </c>
      <c r="L240" t="s">
        <v>456</v>
      </c>
      <c r="M240">
        <v>2</v>
      </c>
      <c r="N240" t="s">
        <v>9</v>
      </c>
      <c r="O240" t="s">
        <v>9</v>
      </c>
      <c r="P240" t="s">
        <v>157</v>
      </c>
      <c r="Q240" t="s">
        <v>162</v>
      </c>
      <c r="R240" t="s">
        <v>863</v>
      </c>
      <c r="S240">
        <v>2021</v>
      </c>
      <c r="T240">
        <v>7</v>
      </c>
      <c r="U240" t="s">
        <v>162</v>
      </c>
      <c r="V240" t="s">
        <v>162</v>
      </c>
      <c r="W240">
        <v>0</v>
      </c>
      <c r="X240">
        <v>0</v>
      </c>
      <c r="Y240" t="s">
        <v>162</v>
      </c>
      <c r="Z240">
        <v>2021</v>
      </c>
      <c r="AA240">
        <v>2021</v>
      </c>
      <c r="AB240" s="5">
        <v>0.33383482802999997</v>
      </c>
      <c r="AC240" s="5">
        <v>0.66766965605999995</v>
      </c>
      <c r="AD240" t="s">
        <v>162</v>
      </c>
      <c r="AE240" t="s">
        <v>163</v>
      </c>
      <c r="AF240" t="s">
        <v>162</v>
      </c>
      <c r="AG240" t="s">
        <v>163</v>
      </c>
      <c r="AH240" t="s">
        <v>162</v>
      </c>
      <c r="AI240" t="s">
        <v>162</v>
      </c>
      <c r="AJ240" t="s">
        <v>162</v>
      </c>
      <c r="AK240" t="s">
        <v>162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 s="60">
        <f t="shared" si="3"/>
        <v>1</v>
      </c>
      <c r="AU240" s="95" t="s">
        <v>546</v>
      </c>
      <c r="AV240" s="94" t="s">
        <v>165</v>
      </c>
      <c r="AW240" t="s">
        <v>163</v>
      </c>
      <c r="AX240">
        <v>2</v>
      </c>
      <c r="AY240" t="s">
        <v>167</v>
      </c>
      <c r="AZ240" t="s">
        <v>162</v>
      </c>
    </row>
    <row r="241" spans="1:52" x14ac:dyDescent="0.25">
      <c r="A241">
        <v>230</v>
      </c>
      <c r="B241" t="s">
        <v>835</v>
      </c>
      <c r="C241" t="s">
        <v>180</v>
      </c>
      <c r="D241" t="s">
        <v>836</v>
      </c>
      <c r="E241" t="s">
        <v>216</v>
      </c>
      <c r="F241" t="s">
        <v>162</v>
      </c>
      <c r="G241">
        <v>5858</v>
      </c>
      <c r="H241">
        <v>5859</v>
      </c>
      <c r="I241" t="s">
        <v>864</v>
      </c>
      <c r="J241">
        <v>5800</v>
      </c>
      <c r="K241">
        <v>5801</v>
      </c>
      <c r="L241" t="s">
        <v>837</v>
      </c>
      <c r="M241">
        <v>3</v>
      </c>
      <c r="N241" t="s">
        <v>15</v>
      </c>
      <c r="O241" t="s">
        <v>15</v>
      </c>
      <c r="P241" t="s">
        <v>175</v>
      </c>
      <c r="Q241" t="s">
        <v>838</v>
      </c>
      <c r="R241" t="s">
        <v>839</v>
      </c>
      <c r="S241">
        <v>2009</v>
      </c>
      <c r="T241">
        <v>11</v>
      </c>
      <c r="U241" t="s">
        <v>123</v>
      </c>
      <c r="V241" t="s">
        <v>267</v>
      </c>
      <c r="W241">
        <v>2018</v>
      </c>
      <c r="X241">
        <v>8</v>
      </c>
      <c r="Y241" t="s">
        <v>162</v>
      </c>
      <c r="Z241">
        <v>2018</v>
      </c>
      <c r="AA241">
        <v>2009</v>
      </c>
      <c r="AB241" s="5">
        <v>0.12567956905700001</v>
      </c>
      <c r="AC241" s="5">
        <v>0.25135913811400001</v>
      </c>
      <c r="AD241" t="s">
        <v>162</v>
      </c>
      <c r="AE241" t="s">
        <v>163</v>
      </c>
      <c r="AF241" t="s">
        <v>162</v>
      </c>
      <c r="AG241" t="s">
        <v>162</v>
      </c>
      <c r="AH241" t="s">
        <v>162</v>
      </c>
      <c r="AI241" t="s">
        <v>162</v>
      </c>
      <c r="AJ241" t="s">
        <v>162</v>
      </c>
      <c r="AK241" t="s">
        <v>162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 s="60">
        <f t="shared" si="3"/>
        <v>1</v>
      </c>
      <c r="AU241" s="95">
        <v>43347</v>
      </c>
      <c r="AV241" s="94" t="s">
        <v>165</v>
      </c>
      <c r="AW241" t="s">
        <v>162</v>
      </c>
      <c r="AX241">
        <v>2</v>
      </c>
      <c r="AY241" t="s">
        <v>167</v>
      </c>
      <c r="AZ241" t="s">
        <v>162</v>
      </c>
    </row>
    <row r="242" spans="1:52" x14ac:dyDescent="0.25">
      <c r="A242">
        <v>231</v>
      </c>
      <c r="B242" t="s">
        <v>650</v>
      </c>
      <c r="C242" t="s">
        <v>163</v>
      </c>
      <c r="D242" t="s">
        <v>651</v>
      </c>
      <c r="E242" t="s">
        <v>216</v>
      </c>
      <c r="F242" t="s">
        <v>162</v>
      </c>
      <c r="G242">
        <v>3800</v>
      </c>
      <c r="H242">
        <v>3801</v>
      </c>
      <c r="I242" t="s">
        <v>700</v>
      </c>
      <c r="J242">
        <v>3960</v>
      </c>
      <c r="K242">
        <v>3961</v>
      </c>
      <c r="L242" t="s">
        <v>477</v>
      </c>
      <c r="M242">
        <v>2</v>
      </c>
      <c r="N242" t="s">
        <v>15</v>
      </c>
      <c r="O242" t="s">
        <v>15</v>
      </c>
      <c r="P242" t="s">
        <v>175</v>
      </c>
      <c r="Q242" t="s">
        <v>862</v>
      </c>
      <c r="R242" t="s">
        <v>839</v>
      </c>
      <c r="S242">
        <v>2010</v>
      </c>
      <c r="T242">
        <v>4</v>
      </c>
      <c r="U242" t="s">
        <v>123</v>
      </c>
      <c r="V242" t="s">
        <v>267</v>
      </c>
      <c r="W242">
        <v>2018</v>
      </c>
      <c r="X242">
        <v>8</v>
      </c>
      <c r="Y242" t="s">
        <v>162</v>
      </c>
      <c r="Z242">
        <v>2018</v>
      </c>
      <c r="AA242">
        <v>2010</v>
      </c>
      <c r="AB242" s="5">
        <v>0.250190433065</v>
      </c>
      <c r="AC242" s="5">
        <v>0.50038086612999999</v>
      </c>
      <c r="AD242" t="s">
        <v>162</v>
      </c>
      <c r="AE242" t="s">
        <v>163</v>
      </c>
      <c r="AF242" t="s">
        <v>162</v>
      </c>
      <c r="AG242" t="s">
        <v>162</v>
      </c>
      <c r="AH242" t="s">
        <v>162</v>
      </c>
      <c r="AI242" t="s">
        <v>162</v>
      </c>
      <c r="AJ242" t="s">
        <v>162</v>
      </c>
      <c r="AK242" t="s">
        <v>162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s="60">
        <f t="shared" si="3"/>
        <v>1</v>
      </c>
      <c r="AU242" s="95">
        <v>43343</v>
      </c>
      <c r="AV242" s="94" t="s">
        <v>165</v>
      </c>
      <c r="AW242" t="s">
        <v>162</v>
      </c>
      <c r="AX242">
        <v>2</v>
      </c>
      <c r="AY242" t="s">
        <v>167</v>
      </c>
      <c r="AZ242" t="s">
        <v>162</v>
      </c>
    </row>
    <row r="243" spans="1:52" x14ac:dyDescent="0.25">
      <c r="A243">
        <v>232</v>
      </c>
      <c r="B243" t="s">
        <v>650</v>
      </c>
      <c r="C243" t="s">
        <v>163</v>
      </c>
      <c r="D243" t="s">
        <v>651</v>
      </c>
      <c r="E243" t="s">
        <v>216</v>
      </c>
      <c r="F243" t="s">
        <v>162</v>
      </c>
      <c r="G243">
        <v>3600</v>
      </c>
      <c r="H243">
        <v>3601</v>
      </c>
      <c r="I243" t="s">
        <v>331</v>
      </c>
      <c r="J243">
        <v>3758</v>
      </c>
      <c r="K243">
        <v>3759</v>
      </c>
      <c r="L243" t="s">
        <v>700</v>
      </c>
      <c r="M243">
        <v>2</v>
      </c>
      <c r="N243" t="s">
        <v>11</v>
      </c>
      <c r="O243" t="s">
        <v>11</v>
      </c>
      <c r="P243" t="s">
        <v>175</v>
      </c>
      <c r="Q243" t="s">
        <v>862</v>
      </c>
      <c r="R243" t="s">
        <v>839</v>
      </c>
      <c r="S243">
        <v>2010</v>
      </c>
      <c r="T243">
        <v>4</v>
      </c>
      <c r="U243" t="s">
        <v>123</v>
      </c>
      <c r="V243" t="s">
        <v>161</v>
      </c>
      <c r="W243">
        <v>2020</v>
      </c>
      <c r="X243">
        <v>0</v>
      </c>
      <c r="Y243" t="s">
        <v>162</v>
      </c>
      <c r="Z243">
        <v>2020</v>
      </c>
      <c r="AA243">
        <v>2010</v>
      </c>
      <c r="AB243" s="5">
        <v>0.250776292186</v>
      </c>
      <c r="AC243" s="5">
        <v>0.50155258437200001</v>
      </c>
      <c r="AD243" t="s">
        <v>162</v>
      </c>
      <c r="AE243" t="s">
        <v>163</v>
      </c>
      <c r="AF243" t="s">
        <v>162</v>
      </c>
      <c r="AG243" t="s">
        <v>162</v>
      </c>
      <c r="AH243" t="s">
        <v>162</v>
      </c>
      <c r="AI243" t="s">
        <v>162</v>
      </c>
      <c r="AJ243" t="s">
        <v>162</v>
      </c>
      <c r="AK243" t="s">
        <v>162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 s="60">
        <f t="shared" si="3"/>
        <v>1</v>
      </c>
      <c r="AU243" s="95" t="s">
        <v>187</v>
      </c>
      <c r="AV243" s="94" t="s">
        <v>165</v>
      </c>
      <c r="AW243" t="s">
        <v>162</v>
      </c>
      <c r="AX243">
        <v>2</v>
      </c>
      <c r="AY243" t="s">
        <v>167</v>
      </c>
      <c r="AZ243" t="s">
        <v>162</v>
      </c>
    </row>
    <row r="244" spans="1:52" x14ac:dyDescent="0.25">
      <c r="A244">
        <v>233</v>
      </c>
      <c r="B244" t="s">
        <v>719</v>
      </c>
      <c r="C244" t="s">
        <v>163</v>
      </c>
      <c r="D244" t="s">
        <v>720</v>
      </c>
      <c r="E244" t="s">
        <v>172</v>
      </c>
      <c r="F244" t="s">
        <v>180</v>
      </c>
      <c r="G244">
        <v>340</v>
      </c>
      <c r="H244">
        <v>341</v>
      </c>
      <c r="I244" t="s">
        <v>849</v>
      </c>
      <c r="J244">
        <v>374</v>
      </c>
      <c r="K244">
        <v>375</v>
      </c>
      <c r="L244" t="s">
        <v>423</v>
      </c>
      <c r="M244">
        <v>4</v>
      </c>
      <c r="N244" t="s">
        <v>11</v>
      </c>
      <c r="O244" t="s">
        <v>11</v>
      </c>
      <c r="P244" t="s">
        <v>175</v>
      </c>
      <c r="Q244" t="s">
        <v>162</v>
      </c>
      <c r="R244" t="s">
        <v>772</v>
      </c>
      <c r="S244">
        <v>2003</v>
      </c>
      <c r="T244">
        <v>11</v>
      </c>
      <c r="U244" t="s">
        <v>162</v>
      </c>
      <c r="V244" t="s">
        <v>865</v>
      </c>
      <c r="W244">
        <v>2010</v>
      </c>
      <c r="X244">
        <v>5</v>
      </c>
      <c r="Y244" t="s">
        <v>123</v>
      </c>
      <c r="Z244">
        <v>2010</v>
      </c>
      <c r="AA244">
        <v>2010</v>
      </c>
      <c r="AB244" s="5">
        <v>7.31159088028E-2</v>
      </c>
      <c r="AC244" s="5">
        <v>0.14623181760599999</v>
      </c>
      <c r="AD244" t="s">
        <v>162</v>
      </c>
      <c r="AE244" t="s">
        <v>163</v>
      </c>
      <c r="AF244" t="s">
        <v>162</v>
      </c>
      <c r="AG244" t="s">
        <v>162</v>
      </c>
      <c r="AH244" t="s">
        <v>162</v>
      </c>
      <c r="AI244" t="s">
        <v>162</v>
      </c>
      <c r="AJ244" t="s">
        <v>162</v>
      </c>
      <c r="AK244" t="s">
        <v>162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 s="60">
        <f t="shared" si="3"/>
        <v>1</v>
      </c>
      <c r="AU244" s="95">
        <v>43343</v>
      </c>
      <c r="AV244" s="94" t="s">
        <v>165</v>
      </c>
      <c r="AW244" t="s">
        <v>162</v>
      </c>
      <c r="AX244">
        <v>2</v>
      </c>
      <c r="AY244" t="s">
        <v>167</v>
      </c>
      <c r="AZ244" t="s">
        <v>162</v>
      </c>
    </row>
    <row r="245" spans="1:52" x14ac:dyDescent="0.25">
      <c r="A245">
        <v>234</v>
      </c>
      <c r="B245" t="s">
        <v>196</v>
      </c>
      <c r="C245" t="s">
        <v>163</v>
      </c>
      <c r="D245" t="s">
        <v>197</v>
      </c>
      <c r="E245" t="s">
        <v>172</v>
      </c>
      <c r="F245" t="s">
        <v>180</v>
      </c>
      <c r="G245">
        <v>650</v>
      </c>
      <c r="H245">
        <v>651</v>
      </c>
      <c r="I245" t="s">
        <v>866</v>
      </c>
      <c r="J245">
        <v>800</v>
      </c>
      <c r="K245">
        <v>801</v>
      </c>
      <c r="L245" t="s">
        <v>312</v>
      </c>
      <c r="M245">
        <v>4</v>
      </c>
      <c r="N245" t="s">
        <v>9</v>
      </c>
      <c r="O245" t="s">
        <v>9</v>
      </c>
      <c r="P245" t="s">
        <v>157</v>
      </c>
      <c r="Q245" t="s">
        <v>313</v>
      </c>
      <c r="R245" t="s">
        <v>201</v>
      </c>
      <c r="S245">
        <v>2012</v>
      </c>
      <c r="T245">
        <v>6</v>
      </c>
      <c r="U245" t="s">
        <v>867</v>
      </c>
      <c r="V245" t="s">
        <v>162</v>
      </c>
      <c r="W245">
        <v>0</v>
      </c>
      <c r="X245">
        <v>0</v>
      </c>
      <c r="Y245" t="s">
        <v>162</v>
      </c>
      <c r="Z245">
        <v>2012</v>
      </c>
      <c r="AA245">
        <v>1997</v>
      </c>
      <c r="AB245" s="5">
        <v>0.179947636445</v>
      </c>
      <c r="AC245" s="5">
        <v>0.35989527289000001</v>
      </c>
      <c r="AD245" t="s">
        <v>868</v>
      </c>
      <c r="AE245" t="s">
        <v>163</v>
      </c>
      <c r="AF245" t="s">
        <v>154</v>
      </c>
      <c r="AG245" t="s">
        <v>154</v>
      </c>
      <c r="AH245" t="s">
        <v>162</v>
      </c>
      <c r="AI245" t="s">
        <v>162</v>
      </c>
      <c r="AJ245" t="s">
        <v>162</v>
      </c>
      <c r="AK245" t="s">
        <v>162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 s="60">
        <f t="shared" si="3"/>
        <v>1</v>
      </c>
      <c r="AU245" s="95" t="s">
        <v>360</v>
      </c>
      <c r="AV245" s="94" t="s">
        <v>165</v>
      </c>
      <c r="AW245" t="s">
        <v>163</v>
      </c>
      <c r="AX245">
        <v>2</v>
      </c>
      <c r="AY245" t="s">
        <v>167</v>
      </c>
      <c r="AZ245" t="s">
        <v>162</v>
      </c>
    </row>
    <row r="246" spans="1:52" x14ac:dyDescent="0.25">
      <c r="A246">
        <v>235</v>
      </c>
      <c r="B246" t="s">
        <v>869</v>
      </c>
      <c r="C246" t="s">
        <v>163</v>
      </c>
      <c r="D246" t="s">
        <v>870</v>
      </c>
      <c r="E246" t="s">
        <v>172</v>
      </c>
      <c r="F246" t="s">
        <v>163</v>
      </c>
      <c r="G246">
        <v>300</v>
      </c>
      <c r="H246">
        <v>301</v>
      </c>
      <c r="I246" t="s">
        <v>513</v>
      </c>
      <c r="J246">
        <v>420</v>
      </c>
      <c r="K246">
        <v>421</v>
      </c>
      <c r="L246" t="s">
        <v>710</v>
      </c>
      <c r="M246">
        <v>4</v>
      </c>
      <c r="N246" t="s">
        <v>11</v>
      </c>
      <c r="O246" t="s">
        <v>11</v>
      </c>
      <c r="P246" t="s">
        <v>175</v>
      </c>
      <c r="Q246" t="s">
        <v>162</v>
      </c>
      <c r="R246" t="s">
        <v>304</v>
      </c>
      <c r="S246">
        <v>2010</v>
      </c>
      <c r="T246">
        <v>8</v>
      </c>
      <c r="U246" t="s">
        <v>871</v>
      </c>
      <c r="V246" t="s">
        <v>404</v>
      </c>
      <c r="W246">
        <v>2017</v>
      </c>
      <c r="X246">
        <v>7</v>
      </c>
      <c r="Y246" t="s">
        <v>162</v>
      </c>
      <c r="Z246">
        <v>2017</v>
      </c>
      <c r="AA246">
        <v>0</v>
      </c>
      <c r="AB246" s="5">
        <v>0.235734336584</v>
      </c>
      <c r="AC246" s="5">
        <v>0.235734336584</v>
      </c>
      <c r="AD246" t="s">
        <v>162</v>
      </c>
      <c r="AE246" t="s">
        <v>166</v>
      </c>
      <c r="AF246" t="s">
        <v>163</v>
      </c>
      <c r="AG246" t="s">
        <v>163</v>
      </c>
      <c r="AH246" t="s">
        <v>162</v>
      </c>
      <c r="AI246" t="s">
        <v>162</v>
      </c>
      <c r="AJ246" t="s">
        <v>162</v>
      </c>
      <c r="AK246" t="s">
        <v>166</v>
      </c>
      <c r="AL246">
        <v>2017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 s="60">
        <f t="shared" si="3"/>
        <v>1</v>
      </c>
      <c r="AU246" s="95">
        <v>43347</v>
      </c>
      <c r="AV246" s="94" t="s">
        <v>165</v>
      </c>
      <c r="AW246" t="s">
        <v>162</v>
      </c>
      <c r="AX246">
        <v>2</v>
      </c>
      <c r="AY246" t="s">
        <v>167</v>
      </c>
      <c r="AZ246" t="s">
        <v>162</v>
      </c>
    </row>
    <row r="247" spans="1:52" x14ac:dyDescent="0.25">
      <c r="A247">
        <v>236</v>
      </c>
      <c r="B247" t="s">
        <v>444</v>
      </c>
      <c r="C247" t="s">
        <v>163</v>
      </c>
      <c r="D247" t="s">
        <v>444</v>
      </c>
      <c r="E247" t="s">
        <v>162</v>
      </c>
      <c r="F247" t="s">
        <v>162</v>
      </c>
      <c r="G247">
        <v>4700</v>
      </c>
      <c r="H247">
        <v>4851</v>
      </c>
      <c r="I247" t="s">
        <v>872</v>
      </c>
      <c r="J247">
        <v>5200</v>
      </c>
      <c r="K247">
        <v>5201</v>
      </c>
      <c r="L247" t="s">
        <v>784</v>
      </c>
      <c r="M247">
        <v>3</v>
      </c>
      <c r="N247" t="s">
        <v>9</v>
      </c>
      <c r="O247" t="s">
        <v>9</v>
      </c>
      <c r="P247" t="s">
        <v>175</v>
      </c>
      <c r="Q247" t="s">
        <v>447</v>
      </c>
      <c r="R247" t="s">
        <v>283</v>
      </c>
      <c r="S247">
        <v>2014</v>
      </c>
      <c r="T247">
        <v>6</v>
      </c>
      <c r="U247" t="s">
        <v>873</v>
      </c>
      <c r="V247" t="s">
        <v>455</v>
      </c>
      <c r="W247">
        <v>2020</v>
      </c>
      <c r="X247">
        <v>0</v>
      </c>
      <c r="Y247" t="s">
        <v>123</v>
      </c>
      <c r="Z247">
        <v>2020</v>
      </c>
      <c r="AA247">
        <v>2020</v>
      </c>
      <c r="AB247" s="5">
        <v>0.419845836699</v>
      </c>
      <c r="AC247" s="5">
        <v>0.83969167339799999</v>
      </c>
      <c r="AD247" t="s">
        <v>162</v>
      </c>
      <c r="AE247" t="s">
        <v>163</v>
      </c>
      <c r="AF247" t="s">
        <v>162</v>
      </c>
      <c r="AG247" t="s">
        <v>162</v>
      </c>
      <c r="AH247" t="s">
        <v>162</v>
      </c>
      <c r="AI247" t="s">
        <v>162</v>
      </c>
      <c r="AJ247" t="s">
        <v>162</v>
      </c>
      <c r="AK247" t="s">
        <v>162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 s="60">
        <f t="shared" si="3"/>
        <v>1</v>
      </c>
      <c r="AU247" s="95" t="s">
        <v>187</v>
      </c>
      <c r="AV247" s="94" t="s">
        <v>165</v>
      </c>
      <c r="AW247" t="s">
        <v>163</v>
      </c>
      <c r="AX247">
        <v>2</v>
      </c>
      <c r="AY247" t="s">
        <v>167</v>
      </c>
      <c r="AZ247" t="s">
        <v>162</v>
      </c>
    </row>
    <row r="248" spans="1:52" x14ac:dyDescent="0.25">
      <c r="A248">
        <v>237</v>
      </c>
      <c r="B248" t="s">
        <v>233</v>
      </c>
      <c r="C248" t="s">
        <v>163</v>
      </c>
      <c r="D248" t="s">
        <v>234</v>
      </c>
      <c r="E248" t="s">
        <v>172</v>
      </c>
      <c r="F248" t="s">
        <v>162</v>
      </c>
      <c r="G248">
        <v>3600</v>
      </c>
      <c r="H248">
        <v>3601</v>
      </c>
      <c r="I248" t="s">
        <v>331</v>
      </c>
      <c r="J248">
        <v>3700</v>
      </c>
      <c r="K248">
        <v>3701</v>
      </c>
      <c r="L248" t="s">
        <v>874</v>
      </c>
      <c r="M248">
        <v>2</v>
      </c>
      <c r="N248" t="s">
        <v>11</v>
      </c>
      <c r="O248" t="s">
        <v>11</v>
      </c>
      <c r="P248" t="s">
        <v>169</v>
      </c>
      <c r="Q248" t="s">
        <v>162</v>
      </c>
      <c r="R248" t="s">
        <v>572</v>
      </c>
      <c r="S248">
        <v>2004</v>
      </c>
      <c r="T248">
        <v>7</v>
      </c>
      <c r="U248" t="s">
        <v>162</v>
      </c>
      <c r="V248" t="s">
        <v>243</v>
      </c>
      <c r="W248">
        <v>2020</v>
      </c>
      <c r="X248">
        <v>0</v>
      </c>
      <c r="Y248" t="s">
        <v>162</v>
      </c>
      <c r="Z248">
        <v>2020</v>
      </c>
      <c r="AA248">
        <v>2010</v>
      </c>
      <c r="AB248" s="5">
        <v>0.124163052737</v>
      </c>
      <c r="AC248" s="5">
        <v>0.248326105474</v>
      </c>
      <c r="AD248" t="s">
        <v>162</v>
      </c>
      <c r="AE248" t="s">
        <v>163</v>
      </c>
      <c r="AF248" t="s">
        <v>162</v>
      </c>
      <c r="AG248" t="s">
        <v>162</v>
      </c>
      <c r="AH248" t="s">
        <v>162</v>
      </c>
      <c r="AI248" t="s">
        <v>162</v>
      </c>
      <c r="AJ248" t="s">
        <v>162</v>
      </c>
      <c r="AK248" t="s">
        <v>162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 s="60">
        <f t="shared" si="3"/>
        <v>1</v>
      </c>
      <c r="AU248" s="95" t="s">
        <v>244</v>
      </c>
      <c r="AV248" t="s">
        <v>165</v>
      </c>
      <c r="AW248" t="s">
        <v>162</v>
      </c>
      <c r="AX248">
        <v>2</v>
      </c>
      <c r="AY248" t="s">
        <v>167</v>
      </c>
      <c r="AZ248" t="s">
        <v>162</v>
      </c>
    </row>
    <row r="249" spans="1:52" x14ac:dyDescent="0.25">
      <c r="A249">
        <v>238</v>
      </c>
      <c r="B249" t="s">
        <v>875</v>
      </c>
      <c r="C249" t="s">
        <v>180</v>
      </c>
      <c r="D249" t="s">
        <v>876</v>
      </c>
      <c r="E249" t="s">
        <v>216</v>
      </c>
      <c r="F249" t="s">
        <v>162</v>
      </c>
      <c r="G249">
        <v>9231</v>
      </c>
      <c r="H249">
        <v>9232</v>
      </c>
      <c r="I249" t="s">
        <v>877</v>
      </c>
      <c r="J249">
        <v>9459</v>
      </c>
      <c r="K249">
        <v>9458</v>
      </c>
      <c r="L249" t="s">
        <v>456</v>
      </c>
      <c r="M249">
        <v>3</v>
      </c>
      <c r="N249" t="s">
        <v>11</v>
      </c>
      <c r="O249" t="s">
        <v>11</v>
      </c>
      <c r="P249" t="s">
        <v>175</v>
      </c>
      <c r="Q249" t="s">
        <v>878</v>
      </c>
      <c r="R249" t="s">
        <v>366</v>
      </c>
      <c r="S249">
        <v>2010</v>
      </c>
      <c r="T249">
        <v>12</v>
      </c>
      <c r="U249" t="s">
        <v>123</v>
      </c>
      <c r="V249" t="s">
        <v>162</v>
      </c>
      <c r="W249">
        <v>0</v>
      </c>
      <c r="X249">
        <v>0</v>
      </c>
      <c r="Y249" t="s">
        <v>162</v>
      </c>
      <c r="Z249">
        <v>2010</v>
      </c>
      <c r="AA249">
        <v>2010</v>
      </c>
      <c r="AB249" s="5">
        <v>0.38071054246899999</v>
      </c>
      <c r="AC249" s="5">
        <v>0.76142108493799998</v>
      </c>
      <c r="AD249" t="s">
        <v>162</v>
      </c>
      <c r="AE249" t="s">
        <v>163</v>
      </c>
      <c r="AF249" t="s">
        <v>162</v>
      </c>
      <c r="AG249" t="s">
        <v>162</v>
      </c>
      <c r="AH249" t="s">
        <v>162</v>
      </c>
      <c r="AI249" t="s">
        <v>162</v>
      </c>
      <c r="AJ249" t="s">
        <v>162</v>
      </c>
      <c r="AK249" t="s">
        <v>162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 s="60">
        <f t="shared" si="3"/>
        <v>1</v>
      </c>
      <c r="AU249" s="95">
        <v>43347</v>
      </c>
      <c r="AV249" s="94" t="s">
        <v>165</v>
      </c>
      <c r="AW249" t="s">
        <v>162</v>
      </c>
      <c r="AX249">
        <v>2</v>
      </c>
      <c r="AY249" t="s">
        <v>167</v>
      </c>
      <c r="AZ249" t="s">
        <v>162</v>
      </c>
    </row>
    <row r="250" spans="1:52" x14ac:dyDescent="0.25">
      <c r="A250">
        <v>239</v>
      </c>
      <c r="B250" t="s">
        <v>875</v>
      </c>
      <c r="C250" t="s">
        <v>180</v>
      </c>
      <c r="D250" t="s">
        <v>876</v>
      </c>
      <c r="E250" t="s">
        <v>216</v>
      </c>
      <c r="F250" t="s">
        <v>162</v>
      </c>
      <c r="G250">
        <v>9201</v>
      </c>
      <c r="H250">
        <v>9200</v>
      </c>
      <c r="I250" t="s">
        <v>879</v>
      </c>
      <c r="J250">
        <v>9229</v>
      </c>
      <c r="K250">
        <v>9230</v>
      </c>
      <c r="L250" t="s">
        <v>877</v>
      </c>
      <c r="M250">
        <v>3</v>
      </c>
      <c r="N250" t="s">
        <v>15</v>
      </c>
      <c r="O250" t="s">
        <v>15</v>
      </c>
      <c r="P250" t="s">
        <v>175</v>
      </c>
      <c r="Q250" t="s">
        <v>878</v>
      </c>
      <c r="R250" t="s">
        <v>366</v>
      </c>
      <c r="S250">
        <v>2010</v>
      </c>
      <c r="T250">
        <v>12</v>
      </c>
      <c r="U250" t="s">
        <v>123</v>
      </c>
      <c r="V250" t="s">
        <v>162</v>
      </c>
      <c r="W250">
        <v>0</v>
      </c>
      <c r="X250">
        <v>0</v>
      </c>
      <c r="Y250" t="s">
        <v>162</v>
      </c>
      <c r="Z250">
        <v>2010</v>
      </c>
      <c r="AA250">
        <v>2010</v>
      </c>
      <c r="AB250" s="5">
        <v>0.13949305534699999</v>
      </c>
      <c r="AC250" s="5">
        <v>0.27898611069399998</v>
      </c>
      <c r="AD250" t="s">
        <v>162</v>
      </c>
      <c r="AE250" t="s">
        <v>163</v>
      </c>
      <c r="AF250" t="s">
        <v>162</v>
      </c>
      <c r="AG250" t="s">
        <v>162</v>
      </c>
      <c r="AH250" t="s">
        <v>162</v>
      </c>
      <c r="AI250" t="s">
        <v>162</v>
      </c>
      <c r="AJ250" t="s">
        <v>162</v>
      </c>
      <c r="AK250" t="s">
        <v>162</v>
      </c>
      <c r="AL250">
        <v>0</v>
      </c>
      <c r="AM250">
        <v>0</v>
      </c>
      <c r="AN250">
        <v>0</v>
      </c>
      <c r="AO250">
        <v>0</v>
      </c>
      <c r="AP250">
        <v>0.8</v>
      </c>
      <c r="AQ250">
        <v>0</v>
      </c>
      <c r="AR250">
        <v>0.2</v>
      </c>
      <c r="AS250">
        <v>0</v>
      </c>
      <c r="AT250" s="60">
        <f t="shared" si="3"/>
        <v>1</v>
      </c>
      <c r="AU250" s="95">
        <v>43347</v>
      </c>
      <c r="AV250" s="94" t="s">
        <v>165</v>
      </c>
      <c r="AW250" t="s">
        <v>162</v>
      </c>
      <c r="AX250">
        <v>2</v>
      </c>
      <c r="AY250" t="s">
        <v>167</v>
      </c>
      <c r="AZ250" t="s">
        <v>162</v>
      </c>
    </row>
    <row r="251" spans="1:52" x14ac:dyDescent="0.25">
      <c r="A251">
        <v>240</v>
      </c>
      <c r="B251" t="s">
        <v>880</v>
      </c>
      <c r="C251" t="s">
        <v>163</v>
      </c>
      <c r="D251" t="s">
        <v>881</v>
      </c>
      <c r="E251" t="s">
        <v>216</v>
      </c>
      <c r="F251" t="s">
        <v>162</v>
      </c>
      <c r="G251">
        <v>7400</v>
      </c>
      <c r="H251">
        <v>7401</v>
      </c>
      <c r="I251" t="s">
        <v>478</v>
      </c>
      <c r="J251">
        <v>7666</v>
      </c>
      <c r="K251">
        <v>7669</v>
      </c>
      <c r="L251" t="s">
        <v>882</v>
      </c>
      <c r="M251">
        <v>3</v>
      </c>
      <c r="N251" t="s">
        <v>15</v>
      </c>
      <c r="O251" t="s">
        <v>15</v>
      </c>
      <c r="P251" t="s">
        <v>175</v>
      </c>
      <c r="Q251" t="s">
        <v>162</v>
      </c>
      <c r="R251" t="s">
        <v>304</v>
      </c>
      <c r="S251">
        <v>2011</v>
      </c>
      <c r="T251">
        <v>9</v>
      </c>
      <c r="U251" t="s">
        <v>162</v>
      </c>
      <c r="V251" t="s">
        <v>162</v>
      </c>
      <c r="W251">
        <v>0</v>
      </c>
      <c r="X251">
        <v>0</v>
      </c>
      <c r="Y251" t="s">
        <v>162</v>
      </c>
      <c r="Z251">
        <v>2011</v>
      </c>
      <c r="AA251">
        <v>0</v>
      </c>
      <c r="AB251" s="5">
        <v>0.61949052764099999</v>
      </c>
      <c r="AC251" s="5">
        <v>1.23898105528</v>
      </c>
      <c r="AD251" t="s">
        <v>162</v>
      </c>
      <c r="AE251" t="s">
        <v>163</v>
      </c>
      <c r="AF251" t="s">
        <v>162</v>
      </c>
      <c r="AG251" t="s">
        <v>162</v>
      </c>
      <c r="AH251" t="s">
        <v>162</v>
      </c>
      <c r="AI251" t="s">
        <v>162</v>
      </c>
      <c r="AJ251" t="s">
        <v>162</v>
      </c>
      <c r="AK251" t="s">
        <v>162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 s="60">
        <f t="shared" si="3"/>
        <v>1</v>
      </c>
      <c r="AU251" s="95">
        <v>43347</v>
      </c>
      <c r="AV251" s="94" t="s">
        <v>165</v>
      </c>
      <c r="AW251" t="s">
        <v>162</v>
      </c>
      <c r="AX251">
        <v>2</v>
      </c>
      <c r="AY251" t="s">
        <v>167</v>
      </c>
      <c r="AZ251" t="s">
        <v>162</v>
      </c>
    </row>
    <row r="252" spans="1:52" x14ac:dyDescent="0.25">
      <c r="A252">
        <v>241</v>
      </c>
      <c r="B252" t="s">
        <v>883</v>
      </c>
      <c r="C252" t="s">
        <v>151</v>
      </c>
      <c r="D252" t="s">
        <v>386</v>
      </c>
      <c r="E252" t="s">
        <v>222</v>
      </c>
      <c r="F252" t="s">
        <v>162</v>
      </c>
      <c r="G252">
        <v>3558</v>
      </c>
      <c r="H252">
        <v>3563</v>
      </c>
      <c r="I252" t="s">
        <v>817</v>
      </c>
      <c r="J252">
        <v>3001</v>
      </c>
      <c r="K252">
        <v>3000</v>
      </c>
      <c r="L252" t="s">
        <v>884</v>
      </c>
      <c r="M252">
        <v>3</v>
      </c>
      <c r="N252" t="s">
        <v>7</v>
      </c>
      <c r="O252" t="s">
        <v>7</v>
      </c>
      <c r="P252" t="s">
        <v>157</v>
      </c>
      <c r="Q252" t="s">
        <v>885</v>
      </c>
      <c r="R252" t="s">
        <v>201</v>
      </c>
      <c r="S252">
        <v>2012</v>
      </c>
      <c r="T252">
        <v>6</v>
      </c>
      <c r="U252" t="s">
        <v>886</v>
      </c>
      <c r="V252" t="s">
        <v>887</v>
      </c>
      <c r="W252">
        <v>2016</v>
      </c>
      <c r="X252">
        <v>8</v>
      </c>
      <c r="Y252" t="s">
        <v>123</v>
      </c>
      <c r="Z252">
        <v>2016</v>
      </c>
      <c r="AA252">
        <v>2016</v>
      </c>
      <c r="AB252" s="5">
        <v>0.75613164060299998</v>
      </c>
      <c r="AC252" s="5">
        <v>1.5122632812100001</v>
      </c>
      <c r="AD252" t="s">
        <v>162</v>
      </c>
      <c r="AE252" t="s">
        <v>163</v>
      </c>
      <c r="AF252" t="s">
        <v>162</v>
      </c>
      <c r="AG252" t="s">
        <v>162</v>
      </c>
      <c r="AH252" t="s">
        <v>163</v>
      </c>
      <c r="AI252" t="s">
        <v>212</v>
      </c>
      <c r="AJ252" t="s">
        <v>154</v>
      </c>
      <c r="AK252" t="s">
        <v>166</v>
      </c>
      <c r="AL252">
        <v>2016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 s="60">
        <f t="shared" si="3"/>
        <v>1</v>
      </c>
      <c r="AU252" s="95" t="s">
        <v>213</v>
      </c>
      <c r="AV252" s="94" t="s">
        <v>165</v>
      </c>
      <c r="AW252" t="s">
        <v>166</v>
      </c>
      <c r="AX252">
        <v>1</v>
      </c>
      <c r="AY252" t="s">
        <v>167</v>
      </c>
      <c r="AZ252" t="s">
        <v>162</v>
      </c>
    </row>
    <row r="253" spans="1:52" x14ac:dyDescent="0.25">
      <c r="A253">
        <v>242</v>
      </c>
      <c r="B253" t="s">
        <v>791</v>
      </c>
      <c r="C253" t="s">
        <v>180</v>
      </c>
      <c r="D253" t="s">
        <v>643</v>
      </c>
      <c r="E253" t="s">
        <v>216</v>
      </c>
      <c r="F253" t="s">
        <v>162</v>
      </c>
      <c r="G253">
        <v>2558</v>
      </c>
      <c r="H253">
        <v>2559</v>
      </c>
      <c r="I253" t="s">
        <v>724</v>
      </c>
      <c r="J253">
        <v>2500</v>
      </c>
      <c r="K253">
        <v>2501</v>
      </c>
      <c r="L253" t="s">
        <v>888</v>
      </c>
      <c r="M253">
        <v>3</v>
      </c>
      <c r="N253" t="s">
        <v>11</v>
      </c>
      <c r="O253" t="s">
        <v>11</v>
      </c>
      <c r="P253" t="s">
        <v>175</v>
      </c>
      <c r="Q253" t="s">
        <v>162</v>
      </c>
      <c r="R253" t="s">
        <v>177</v>
      </c>
      <c r="S253">
        <v>2011</v>
      </c>
      <c r="T253">
        <v>5</v>
      </c>
      <c r="U253" t="s">
        <v>162</v>
      </c>
      <c r="V253" t="s">
        <v>238</v>
      </c>
      <c r="W253">
        <v>2018</v>
      </c>
      <c r="X253">
        <v>7</v>
      </c>
      <c r="Y253" t="s">
        <v>123</v>
      </c>
      <c r="Z253">
        <v>2018</v>
      </c>
      <c r="AA253">
        <v>2018</v>
      </c>
      <c r="AB253" s="5">
        <v>0.25341737214799998</v>
      </c>
      <c r="AC253" s="5">
        <v>0.50683474429599995</v>
      </c>
      <c r="AD253" t="s">
        <v>162</v>
      </c>
      <c r="AE253" t="s">
        <v>163</v>
      </c>
      <c r="AF253" t="s">
        <v>162</v>
      </c>
      <c r="AG253" t="s">
        <v>162</v>
      </c>
      <c r="AH253" t="s">
        <v>162</v>
      </c>
      <c r="AI253" t="s">
        <v>162</v>
      </c>
      <c r="AJ253" t="s">
        <v>162</v>
      </c>
      <c r="AK253" t="s">
        <v>162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 s="60">
        <f t="shared" si="3"/>
        <v>1</v>
      </c>
      <c r="AU253" s="95">
        <v>43343</v>
      </c>
      <c r="AV253" s="94" t="s">
        <v>165</v>
      </c>
      <c r="AW253" t="s">
        <v>162</v>
      </c>
      <c r="AX253">
        <v>2</v>
      </c>
      <c r="AY253" t="s">
        <v>167</v>
      </c>
      <c r="AZ253" t="s">
        <v>162</v>
      </c>
    </row>
    <row r="254" spans="1:52" x14ac:dyDescent="0.25">
      <c r="A254">
        <v>243</v>
      </c>
      <c r="B254" t="s">
        <v>295</v>
      </c>
      <c r="C254" t="s">
        <v>163</v>
      </c>
      <c r="D254" t="s">
        <v>296</v>
      </c>
      <c r="E254" t="s">
        <v>172</v>
      </c>
      <c r="F254" t="s">
        <v>162</v>
      </c>
      <c r="G254">
        <v>2800</v>
      </c>
      <c r="H254">
        <v>2801</v>
      </c>
      <c r="I254" t="s">
        <v>239</v>
      </c>
      <c r="J254">
        <v>3556</v>
      </c>
      <c r="K254">
        <v>3555</v>
      </c>
      <c r="L254" t="s">
        <v>331</v>
      </c>
      <c r="M254">
        <v>3</v>
      </c>
      <c r="N254" t="s">
        <v>9</v>
      </c>
      <c r="O254" t="s">
        <v>9</v>
      </c>
      <c r="P254" t="s">
        <v>157</v>
      </c>
      <c r="Q254" t="s">
        <v>889</v>
      </c>
      <c r="R254" t="s">
        <v>314</v>
      </c>
      <c r="S254">
        <v>2012</v>
      </c>
      <c r="T254">
        <v>10</v>
      </c>
      <c r="U254" t="s">
        <v>162</v>
      </c>
      <c r="V254" t="s">
        <v>162</v>
      </c>
      <c r="W254">
        <v>0</v>
      </c>
      <c r="X254">
        <v>0</v>
      </c>
      <c r="Y254" t="s">
        <v>162</v>
      </c>
      <c r="Z254">
        <v>2012</v>
      </c>
      <c r="AA254">
        <v>2012</v>
      </c>
      <c r="AB254" s="5">
        <v>1.1610218882800001</v>
      </c>
      <c r="AC254" s="5">
        <v>2.3220437765600002</v>
      </c>
      <c r="AD254" t="s">
        <v>162</v>
      </c>
      <c r="AE254" t="s">
        <v>163</v>
      </c>
      <c r="AF254" t="s">
        <v>162</v>
      </c>
      <c r="AG254" t="s">
        <v>162</v>
      </c>
      <c r="AH254" t="s">
        <v>162</v>
      </c>
      <c r="AI254" t="s">
        <v>162</v>
      </c>
      <c r="AJ254" t="s">
        <v>162</v>
      </c>
      <c r="AK254" t="s">
        <v>162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 s="60">
        <f t="shared" si="3"/>
        <v>1</v>
      </c>
      <c r="AU254" s="95">
        <v>43336</v>
      </c>
      <c r="AV254" s="94" t="s">
        <v>165</v>
      </c>
      <c r="AW254" t="s">
        <v>163</v>
      </c>
      <c r="AX254">
        <v>2</v>
      </c>
      <c r="AY254" t="s">
        <v>167</v>
      </c>
      <c r="AZ254" t="s">
        <v>162</v>
      </c>
    </row>
    <row r="255" spans="1:52" x14ac:dyDescent="0.25">
      <c r="A255">
        <v>244</v>
      </c>
      <c r="B255" t="s">
        <v>629</v>
      </c>
      <c r="C255" t="s">
        <v>151</v>
      </c>
      <c r="D255" t="s">
        <v>630</v>
      </c>
      <c r="E255" t="s">
        <v>222</v>
      </c>
      <c r="F255" t="s">
        <v>162</v>
      </c>
      <c r="G255">
        <v>2759</v>
      </c>
      <c r="H255">
        <v>2758</v>
      </c>
      <c r="I255" t="s">
        <v>521</v>
      </c>
      <c r="J255">
        <v>2401</v>
      </c>
      <c r="K255">
        <v>2400</v>
      </c>
      <c r="L255" t="s">
        <v>378</v>
      </c>
      <c r="M255">
        <v>4</v>
      </c>
      <c r="N255" t="s">
        <v>9</v>
      </c>
      <c r="O255" t="s">
        <v>9</v>
      </c>
      <c r="P255" t="s">
        <v>157</v>
      </c>
      <c r="Q255" t="s">
        <v>633</v>
      </c>
      <c r="R255" t="s">
        <v>463</v>
      </c>
      <c r="S255">
        <v>2014</v>
      </c>
      <c r="T255">
        <v>7</v>
      </c>
      <c r="U255" t="s">
        <v>162</v>
      </c>
      <c r="V255" t="s">
        <v>210</v>
      </c>
      <c r="W255">
        <v>2018</v>
      </c>
      <c r="X255">
        <v>11</v>
      </c>
      <c r="Y255" t="s">
        <v>580</v>
      </c>
      <c r="Z255">
        <v>2018</v>
      </c>
      <c r="AA255">
        <v>2018</v>
      </c>
      <c r="AB255" s="5">
        <v>0.50817017072299997</v>
      </c>
      <c r="AC255" s="5">
        <v>1.0163403414500001</v>
      </c>
      <c r="AD255" t="s">
        <v>162</v>
      </c>
      <c r="AE255" t="s">
        <v>163</v>
      </c>
      <c r="AF255" t="s">
        <v>162</v>
      </c>
      <c r="AG255" t="s">
        <v>162</v>
      </c>
      <c r="AH255" t="s">
        <v>162</v>
      </c>
      <c r="AI255" t="s">
        <v>162</v>
      </c>
      <c r="AJ255" t="s">
        <v>162</v>
      </c>
      <c r="AK255" t="s">
        <v>162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 s="60">
        <f t="shared" si="3"/>
        <v>1</v>
      </c>
      <c r="AU255" s="95">
        <v>43342</v>
      </c>
      <c r="AV255" s="94" t="s">
        <v>165</v>
      </c>
      <c r="AW255" t="s">
        <v>163</v>
      </c>
      <c r="AX255">
        <v>2</v>
      </c>
      <c r="AY255" t="s">
        <v>167</v>
      </c>
      <c r="AZ255" t="s">
        <v>162</v>
      </c>
    </row>
    <row r="256" spans="1:52" x14ac:dyDescent="0.25">
      <c r="A256">
        <v>245</v>
      </c>
      <c r="B256" t="s">
        <v>245</v>
      </c>
      <c r="C256" t="s">
        <v>163</v>
      </c>
      <c r="D256" t="s">
        <v>246</v>
      </c>
      <c r="E256" t="s">
        <v>216</v>
      </c>
      <c r="F256" t="s">
        <v>162</v>
      </c>
      <c r="G256">
        <v>800</v>
      </c>
      <c r="H256">
        <v>801</v>
      </c>
      <c r="I256" t="s">
        <v>312</v>
      </c>
      <c r="J256">
        <v>974</v>
      </c>
      <c r="K256">
        <v>975</v>
      </c>
      <c r="L256" t="s">
        <v>890</v>
      </c>
      <c r="M256">
        <v>3</v>
      </c>
      <c r="N256" t="s">
        <v>11</v>
      </c>
      <c r="O256" t="s">
        <v>11</v>
      </c>
      <c r="P256" t="s">
        <v>175</v>
      </c>
      <c r="Q256" t="s">
        <v>162</v>
      </c>
      <c r="R256" t="s">
        <v>891</v>
      </c>
      <c r="S256">
        <v>2001</v>
      </c>
      <c r="T256">
        <v>9</v>
      </c>
      <c r="U256" t="s">
        <v>162</v>
      </c>
      <c r="V256" t="s">
        <v>320</v>
      </c>
      <c r="W256">
        <v>2015</v>
      </c>
      <c r="X256">
        <v>10</v>
      </c>
      <c r="Y256" t="s">
        <v>123</v>
      </c>
      <c r="Z256">
        <v>2015</v>
      </c>
      <c r="AA256">
        <v>2015</v>
      </c>
      <c r="AB256" s="5">
        <v>0.25054827741300001</v>
      </c>
      <c r="AC256" s="5">
        <v>0.50109655482600002</v>
      </c>
      <c r="AD256" t="s">
        <v>162</v>
      </c>
      <c r="AE256" t="s">
        <v>163</v>
      </c>
      <c r="AF256" t="s">
        <v>162</v>
      </c>
      <c r="AG256" t="s">
        <v>162</v>
      </c>
      <c r="AH256" t="s">
        <v>162</v>
      </c>
      <c r="AI256" t="s">
        <v>162</v>
      </c>
      <c r="AJ256" t="s">
        <v>162</v>
      </c>
      <c r="AK256" t="s">
        <v>162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 s="60">
        <f t="shared" si="3"/>
        <v>1</v>
      </c>
      <c r="AU256" s="95">
        <v>43335</v>
      </c>
      <c r="AV256" s="94" t="s">
        <v>165</v>
      </c>
      <c r="AW256" t="s">
        <v>162</v>
      </c>
      <c r="AX256">
        <v>2</v>
      </c>
      <c r="AY256" t="s">
        <v>167</v>
      </c>
      <c r="AZ256" t="s">
        <v>162</v>
      </c>
    </row>
    <row r="257" spans="1:52" x14ac:dyDescent="0.25">
      <c r="A257">
        <v>246</v>
      </c>
      <c r="B257" t="s">
        <v>228</v>
      </c>
      <c r="C257" t="s">
        <v>163</v>
      </c>
      <c r="D257" t="s">
        <v>229</v>
      </c>
      <c r="E257" t="s">
        <v>216</v>
      </c>
      <c r="F257" t="s">
        <v>162</v>
      </c>
      <c r="G257">
        <v>900</v>
      </c>
      <c r="H257">
        <v>901</v>
      </c>
      <c r="I257" t="s">
        <v>892</v>
      </c>
      <c r="J257">
        <v>1470</v>
      </c>
      <c r="K257">
        <v>1471</v>
      </c>
      <c r="L257" t="s">
        <v>532</v>
      </c>
      <c r="M257">
        <v>3</v>
      </c>
      <c r="N257" t="s">
        <v>7</v>
      </c>
      <c r="O257" t="s">
        <v>7</v>
      </c>
      <c r="P257" t="s">
        <v>157</v>
      </c>
      <c r="Q257" t="s">
        <v>162</v>
      </c>
      <c r="R257" t="s">
        <v>407</v>
      </c>
      <c r="S257">
        <v>2018</v>
      </c>
      <c r="T257">
        <v>9</v>
      </c>
      <c r="U257" t="s">
        <v>162</v>
      </c>
      <c r="V257" t="s">
        <v>162</v>
      </c>
      <c r="W257">
        <v>0</v>
      </c>
      <c r="X257">
        <v>0</v>
      </c>
      <c r="Y257" t="s">
        <v>162</v>
      </c>
      <c r="Z257">
        <v>2018</v>
      </c>
      <c r="AA257">
        <v>2012</v>
      </c>
      <c r="AB257" s="5">
        <v>0.794692033076</v>
      </c>
      <c r="AC257" s="5">
        <v>1.5893840661500001</v>
      </c>
      <c r="AD257" t="s">
        <v>154</v>
      </c>
      <c r="AE257" t="s">
        <v>163</v>
      </c>
      <c r="AF257" t="s">
        <v>154</v>
      </c>
      <c r="AG257" t="s">
        <v>154</v>
      </c>
      <c r="AH257" t="s">
        <v>163</v>
      </c>
      <c r="AI257" t="s">
        <v>194</v>
      </c>
      <c r="AJ257" t="s">
        <v>154</v>
      </c>
      <c r="AK257" t="s">
        <v>162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 s="60">
        <f t="shared" si="3"/>
        <v>1</v>
      </c>
      <c r="AU257" s="95" t="s">
        <v>213</v>
      </c>
      <c r="AV257" s="94" t="s">
        <v>165</v>
      </c>
      <c r="AW257" t="s">
        <v>166</v>
      </c>
      <c r="AX257">
        <v>1</v>
      </c>
      <c r="AY257" t="s">
        <v>167</v>
      </c>
      <c r="AZ257" t="s">
        <v>162</v>
      </c>
    </row>
    <row r="258" spans="1:52" x14ac:dyDescent="0.25">
      <c r="A258">
        <v>247</v>
      </c>
      <c r="B258" t="s">
        <v>233</v>
      </c>
      <c r="C258" t="s">
        <v>180</v>
      </c>
      <c r="D258" t="s">
        <v>234</v>
      </c>
      <c r="E258" t="s">
        <v>172</v>
      </c>
      <c r="F258" t="s">
        <v>162</v>
      </c>
      <c r="G258">
        <v>601</v>
      </c>
      <c r="H258">
        <v>600</v>
      </c>
      <c r="I258" t="s">
        <v>292</v>
      </c>
      <c r="J258">
        <v>401</v>
      </c>
      <c r="K258">
        <v>400</v>
      </c>
      <c r="L258" t="s">
        <v>198</v>
      </c>
      <c r="M258">
        <v>2</v>
      </c>
      <c r="N258" t="s">
        <v>11</v>
      </c>
      <c r="O258" t="s">
        <v>11</v>
      </c>
      <c r="P258" t="s">
        <v>169</v>
      </c>
      <c r="Q258" t="s">
        <v>162</v>
      </c>
      <c r="R258" t="s">
        <v>647</v>
      </c>
      <c r="S258">
        <v>2013</v>
      </c>
      <c r="T258">
        <v>10</v>
      </c>
      <c r="U258" t="s">
        <v>162</v>
      </c>
      <c r="V258" t="s">
        <v>893</v>
      </c>
      <c r="W258">
        <v>2016</v>
      </c>
      <c r="X258">
        <v>5</v>
      </c>
      <c r="Y258" t="s">
        <v>123</v>
      </c>
      <c r="Z258">
        <v>2016</v>
      </c>
      <c r="AA258">
        <v>2016</v>
      </c>
      <c r="AB258" s="5">
        <v>0.161026327228</v>
      </c>
      <c r="AC258" s="5">
        <v>0.32205265445600001</v>
      </c>
      <c r="AD258" t="s">
        <v>162</v>
      </c>
      <c r="AE258" t="s">
        <v>163</v>
      </c>
      <c r="AF258" t="s">
        <v>162</v>
      </c>
      <c r="AG258" t="s">
        <v>162</v>
      </c>
      <c r="AH258" t="s">
        <v>162</v>
      </c>
      <c r="AI258" t="s">
        <v>162</v>
      </c>
      <c r="AJ258" t="s">
        <v>162</v>
      </c>
      <c r="AK258" t="s">
        <v>166</v>
      </c>
      <c r="AL258">
        <v>2016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 s="60">
        <f t="shared" si="3"/>
        <v>1</v>
      </c>
      <c r="AU258" s="95">
        <v>43333</v>
      </c>
      <c r="AV258" s="94" t="s">
        <v>165</v>
      </c>
      <c r="AW258" t="s">
        <v>162</v>
      </c>
      <c r="AX258">
        <v>2</v>
      </c>
      <c r="AY258" t="s">
        <v>167</v>
      </c>
      <c r="AZ258" t="s">
        <v>162</v>
      </c>
    </row>
    <row r="259" spans="1:52" x14ac:dyDescent="0.25">
      <c r="A259">
        <v>248</v>
      </c>
      <c r="B259" t="s">
        <v>894</v>
      </c>
      <c r="C259" t="s">
        <v>180</v>
      </c>
      <c r="D259" t="s">
        <v>895</v>
      </c>
      <c r="E259" t="s">
        <v>896</v>
      </c>
      <c r="F259" t="s">
        <v>162</v>
      </c>
      <c r="G259">
        <v>9862</v>
      </c>
      <c r="H259">
        <v>9863</v>
      </c>
      <c r="I259" t="s">
        <v>897</v>
      </c>
      <c r="J259">
        <v>9500</v>
      </c>
      <c r="K259">
        <v>9501</v>
      </c>
      <c r="L259" t="s">
        <v>620</v>
      </c>
      <c r="M259">
        <v>4</v>
      </c>
      <c r="N259" t="s">
        <v>11</v>
      </c>
      <c r="O259" t="s">
        <v>11</v>
      </c>
      <c r="P259" t="s">
        <v>175</v>
      </c>
      <c r="Q259" t="s">
        <v>898</v>
      </c>
      <c r="R259" t="s">
        <v>177</v>
      </c>
      <c r="S259">
        <v>2011</v>
      </c>
      <c r="T259">
        <v>5</v>
      </c>
      <c r="U259" t="s">
        <v>162</v>
      </c>
      <c r="V259" t="s">
        <v>161</v>
      </c>
      <c r="W259">
        <v>2020</v>
      </c>
      <c r="X259">
        <v>0</v>
      </c>
      <c r="Y259" t="s">
        <v>162</v>
      </c>
      <c r="Z259">
        <v>2020</v>
      </c>
      <c r="AA259">
        <v>0</v>
      </c>
      <c r="AB259" s="5">
        <v>0.493391647998</v>
      </c>
      <c r="AC259" s="5">
        <v>0.98678329599600001</v>
      </c>
      <c r="AD259" t="s">
        <v>162</v>
      </c>
      <c r="AE259" t="s">
        <v>163</v>
      </c>
      <c r="AF259" t="s">
        <v>162</v>
      </c>
      <c r="AG259" t="s">
        <v>162</v>
      </c>
      <c r="AH259" t="s">
        <v>162</v>
      </c>
      <c r="AI259" t="s">
        <v>162</v>
      </c>
      <c r="AJ259" t="s">
        <v>162</v>
      </c>
      <c r="AK259" t="s">
        <v>162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 s="60">
        <f t="shared" si="3"/>
        <v>1</v>
      </c>
      <c r="AU259" s="95" t="s">
        <v>187</v>
      </c>
      <c r="AV259" s="94" t="s">
        <v>165</v>
      </c>
      <c r="AW259" t="s">
        <v>162</v>
      </c>
      <c r="AX259">
        <v>3</v>
      </c>
      <c r="AY259" t="s">
        <v>167</v>
      </c>
      <c r="AZ259" t="s">
        <v>162</v>
      </c>
    </row>
    <row r="260" spans="1:52" x14ac:dyDescent="0.25">
      <c r="A260">
        <v>249</v>
      </c>
      <c r="B260" t="s">
        <v>202</v>
      </c>
      <c r="C260" t="s">
        <v>203</v>
      </c>
      <c r="D260" t="s">
        <v>204</v>
      </c>
      <c r="E260" t="s">
        <v>205</v>
      </c>
      <c r="F260" t="s">
        <v>203</v>
      </c>
      <c r="G260">
        <v>1400</v>
      </c>
      <c r="H260">
        <v>1401</v>
      </c>
      <c r="I260" t="s">
        <v>206</v>
      </c>
      <c r="J260">
        <v>1466</v>
      </c>
      <c r="K260">
        <v>1467</v>
      </c>
      <c r="L260" t="s">
        <v>207</v>
      </c>
      <c r="M260">
        <v>2</v>
      </c>
      <c r="N260" t="s">
        <v>9</v>
      </c>
      <c r="O260" t="s">
        <v>9</v>
      </c>
      <c r="P260" t="s">
        <v>175</v>
      </c>
      <c r="Q260" t="s">
        <v>162</v>
      </c>
      <c r="R260" t="s">
        <v>201</v>
      </c>
      <c r="S260">
        <v>2012</v>
      </c>
      <c r="T260">
        <v>7</v>
      </c>
      <c r="U260" t="s">
        <v>162</v>
      </c>
      <c r="V260" t="s">
        <v>209</v>
      </c>
      <c r="W260">
        <v>2017</v>
      </c>
      <c r="X260">
        <v>6</v>
      </c>
      <c r="Y260" t="s">
        <v>162</v>
      </c>
      <c r="Z260">
        <v>2017</v>
      </c>
      <c r="AA260">
        <v>0</v>
      </c>
      <c r="AB260" s="5">
        <v>0.14469620682500001</v>
      </c>
      <c r="AC260" s="5">
        <v>0.14469620682500001</v>
      </c>
      <c r="AD260" t="s">
        <v>162</v>
      </c>
      <c r="AE260" t="s">
        <v>166</v>
      </c>
      <c r="AF260" t="s">
        <v>203</v>
      </c>
      <c r="AG260" t="s">
        <v>163</v>
      </c>
      <c r="AH260" t="s">
        <v>162</v>
      </c>
      <c r="AI260" t="s">
        <v>162</v>
      </c>
      <c r="AJ260" t="s">
        <v>162</v>
      </c>
      <c r="AK260" t="s">
        <v>162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 s="60">
        <f t="shared" si="3"/>
        <v>1</v>
      </c>
      <c r="AU260" s="95">
        <v>43328</v>
      </c>
      <c r="AV260" s="94" t="s">
        <v>165</v>
      </c>
      <c r="AW260" t="s">
        <v>163</v>
      </c>
      <c r="AX260">
        <v>2</v>
      </c>
      <c r="AY260" t="s">
        <v>167</v>
      </c>
      <c r="AZ260" t="s">
        <v>162</v>
      </c>
    </row>
    <row r="261" spans="1:52" x14ac:dyDescent="0.25">
      <c r="A261">
        <v>250</v>
      </c>
      <c r="B261" t="s">
        <v>345</v>
      </c>
      <c r="C261" t="s">
        <v>180</v>
      </c>
      <c r="D261" t="s">
        <v>346</v>
      </c>
      <c r="E261" t="s">
        <v>172</v>
      </c>
      <c r="F261" t="s">
        <v>162</v>
      </c>
      <c r="G261">
        <v>10233</v>
      </c>
      <c r="H261">
        <v>10230</v>
      </c>
      <c r="I261" t="s">
        <v>749</v>
      </c>
      <c r="J261">
        <v>9925</v>
      </c>
      <c r="K261">
        <v>9930</v>
      </c>
      <c r="L261" t="s">
        <v>899</v>
      </c>
      <c r="M261">
        <v>2</v>
      </c>
      <c r="N261" t="s">
        <v>15</v>
      </c>
      <c r="O261" t="s">
        <v>15</v>
      </c>
      <c r="P261" t="s">
        <v>175</v>
      </c>
      <c r="Q261" t="s">
        <v>900</v>
      </c>
      <c r="R261" t="s">
        <v>177</v>
      </c>
      <c r="S261">
        <v>2011</v>
      </c>
      <c r="T261">
        <v>5</v>
      </c>
      <c r="U261" t="s">
        <v>162</v>
      </c>
      <c r="V261" t="s">
        <v>162</v>
      </c>
      <c r="W261">
        <v>2021</v>
      </c>
      <c r="X261">
        <v>0</v>
      </c>
      <c r="Y261" t="s">
        <v>162</v>
      </c>
      <c r="Z261">
        <v>2021</v>
      </c>
      <c r="AA261">
        <v>0</v>
      </c>
      <c r="AB261" s="5">
        <v>0.49532335218500001</v>
      </c>
      <c r="AC261" s="5">
        <v>0.99064670437000002</v>
      </c>
      <c r="AD261" t="s">
        <v>162</v>
      </c>
      <c r="AE261" t="s">
        <v>163</v>
      </c>
      <c r="AF261" t="s">
        <v>162</v>
      </c>
      <c r="AG261" t="s">
        <v>162</v>
      </c>
      <c r="AH261" t="s">
        <v>162</v>
      </c>
      <c r="AI261" t="s">
        <v>162</v>
      </c>
      <c r="AJ261" t="s">
        <v>162</v>
      </c>
      <c r="AK261" t="s">
        <v>162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 s="60">
        <f t="shared" si="3"/>
        <v>1</v>
      </c>
      <c r="AU261" s="95" t="s">
        <v>255</v>
      </c>
      <c r="AV261" s="94" t="s">
        <v>165</v>
      </c>
      <c r="AW261" t="s">
        <v>154</v>
      </c>
      <c r="AX261">
        <v>2</v>
      </c>
      <c r="AY261" t="s">
        <v>167</v>
      </c>
      <c r="AZ261" t="s">
        <v>162</v>
      </c>
    </row>
    <row r="262" spans="1:52" x14ac:dyDescent="0.25">
      <c r="A262">
        <v>251</v>
      </c>
      <c r="B262" t="s">
        <v>469</v>
      </c>
      <c r="C262" t="s">
        <v>151</v>
      </c>
      <c r="D262" t="s">
        <v>470</v>
      </c>
      <c r="E262" t="s">
        <v>216</v>
      </c>
      <c r="F262" t="s">
        <v>162</v>
      </c>
      <c r="G262">
        <v>4730</v>
      </c>
      <c r="H262">
        <v>4733</v>
      </c>
      <c r="I262" t="s">
        <v>901</v>
      </c>
      <c r="J262">
        <v>4790</v>
      </c>
      <c r="K262">
        <v>4789</v>
      </c>
      <c r="L262" t="s">
        <v>230</v>
      </c>
      <c r="M262">
        <v>2</v>
      </c>
      <c r="N262" t="s">
        <v>9</v>
      </c>
      <c r="O262" t="s">
        <v>9</v>
      </c>
      <c r="P262" t="s">
        <v>157</v>
      </c>
      <c r="Q262" t="s">
        <v>902</v>
      </c>
      <c r="R262" t="s">
        <v>705</v>
      </c>
      <c r="S262">
        <v>2015</v>
      </c>
      <c r="T262">
        <v>7</v>
      </c>
      <c r="U262" t="s">
        <v>162</v>
      </c>
      <c r="V262" t="s">
        <v>455</v>
      </c>
      <c r="W262">
        <v>2020</v>
      </c>
      <c r="X262">
        <v>0</v>
      </c>
      <c r="Y262" t="s">
        <v>123</v>
      </c>
      <c r="Z262">
        <v>2020</v>
      </c>
      <c r="AA262">
        <v>2020</v>
      </c>
      <c r="AB262" s="5">
        <v>0.35264886940599999</v>
      </c>
      <c r="AC262" s="5">
        <v>0.70529773881199997</v>
      </c>
      <c r="AD262" t="s">
        <v>162</v>
      </c>
      <c r="AE262" t="s">
        <v>163</v>
      </c>
      <c r="AF262" t="s">
        <v>162</v>
      </c>
      <c r="AG262" t="s">
        <v>162</v>
      </c>
      <c r="AH262" t="s">
        <v>162</v>
      </c>
      <c r="AI262" t="s">
        <v>162</v>
      </c>
      <c r="AJ262" t="s">
        <v>162</v>
      </c>
      <c r="AK262" t="s">
        <v>162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s="60">
        <f t="shared" si="3"/>
        <v>1</v>
      </c>
      <c r="AU262" s="95" t="s">
        <v>187</v>
      </c>
      <c r="AV262" t="s">
        <v>165</v>
      </c>
      <c r="AW262" t="s">
        <v>163</v>
      </c>
      <c r="AX262">
        <v>2</v>
      </c>
      <c r="AY262" t="s">
        <v>167</v>
      </c>
      <c r="AZ262" t="s">
        <v>162</v>
      </c>
    </row>
    <row r="263" spans="1:52" x14ac:dyDescent="0.25">
      <c r="A263">
        <v>252</v>
      </c>
      <c r="B263" t="s">
        <v>345</v>
      </c>
      <c r="C263" t="s">
        <v>180</v>
      </c>
      <c r="D263" t="s">
        <v>346</v>
      </c>
      <c r="E263" t="s">
        <v>172</v>
      </c>
      <c r="F263" t="s">
        <v>162</v>
      </c>
      <c r="G263">
        <v>9851</v>
      </c>
      <c r="H263">
        <v>9850</v>
      </c>
      <c r="I263" t="s">
        <v>897</v>
      </c>
      <c r="J263">
        <v>9815</v>
      </c>
      <c r="K263">
        <v>9814</v>
      </c>
      <c r="L263" t="s">
        <v>903</v>
      </c>
      <c r="M263">
        <v>2</v>
      </c>
      <c r="N263" t="s">
        <v>11</v>
      </c>
      <c r="O263" t="s">
        <v>11</v>
      </c>
      <c r="P263" t="s">
        <v>175</v>
      </c>
      <c r="Q263" t="s">
        <v>900</v>
      </c>
      <c r="R263" t="s">
        <v>177</v>
      </c>
      <c r="S263">
        <v>2011</v>
      </c>
      <c r="T263">
        <v>5</v>
      </c>
      <c r="U263" t="s">
        <v>162</v>
      </c>
      <c r="V263" t="s">
        <v>162</v>
      </c>
      <c r="W263">
        <v>0</v>
      </c>
      <c r="X263">
        <v>0</v>
      </c>
      <c r="Y263" t="s">
        <v>162</v>
      </c>
      <c r="Z263">
        <v>2011</v>
      </c>
      <c r="AA263">
        <v>0</v>
      </c>
      <c r="AB263" s="5">
        <v>0.11880822290900001</v>
      </c>
      <c r="AC263" s="5">
        <v>0.23761644581800001</v>
      </c>
      <c r="AD263" t="s">
        <v>162</v>
      </c>
      <c r="AE263" t="s">
        <v>163</v>
      </c>
      <c r="AF263" t="s">
        <v>162</v>
      </c>
      <c r="AG263" t="s">
        <v>162</v>
      </c>
      <c r="AH263" t="s">
        <v>162</v>
      </c>
      <c r="AI263" t="s">
        <v>162</v>
      </c>
      <c r="AJ263" t="s">
        <v>162</v>
      </c>
      <c r="AK263" t="s">
        <v>166</v>
      </c>
      <c r="AL263">
        <v>2011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 s="60">
        <f t="shared" si="3"/>
        <v>1</v>
      </c>
      <c r="AU263" s="95">
        <v>43339</v>
      </c>
      <c r="AV263" s="94" t="s">
        <v>165</v>
      </c>
      <c r="AW263" t="s">
        <v>162</v>
      </c>
      <c r="AX263">
        <v>2</v>
      </c>
      <c r="AY263" t="s">
        <v>167</v>
      </c>
      <c r="AZ263" t="s">
        <v>162</v>
      </c>
    </row>
    <row r="264" spans="1:52" x14ac:dyDescent="0.25">
      <c r="A264">
        <v>253</v>
      </c>
      <c r="B264" t="s">
        <v>738</v>
      </c>
      <c r="C264" t="s">
        <v>151</v>
      </c>
      <c r="D264" t="s">
        <v>739</v>
      </c>
      <c r="E264" t="s">
        <v>216</v>
      </c>
      <c r="F264" t="s">
        <v>162</v>
      </c>
      <c r="G264">
        <v>1170</v>
      </c>
      <c r="H264">
        <v>1171</v>
      </c>
      <c r="I264" t="s">
        <v>692</v>
      </c>
      <c r="J264">
        <v>1000</v>
      </c>
      <c r="K264">
        <v>1001</v>
      </c>
      <c r="L264" t="s">
        <v>904</v>
      </c>
      <c r="M264">
        <v>3</v>
      </c>
      <c r="N264" t="s">
        <v>11</v>
      </c>
      <c r="O264" t="s">
        <v>11</v>
      </c>
      <c r="P264" t="s">
        <v>175</v>
      </c>
      <c r="Q264" t="s">
        <v>162</v>
      </c>
      <c r="R264" t="s">
        <v>740</v>
      </c>
      <c r="S264">
        <v>2001</v>
      </c>
      <c r="T264">
        <v>6</v>
      </c>
      <c r="U264" t="s">
        <v>123</v>
      </c>
      <c r="V264" t="s">
        <v>250</v>
      </c>
      <c r="W264">
        <v>2018</v>
      </c>
      <c r="X264">
        <v>9</v>
      </c>
      <c r="Y264" t="s">
        <v>162</v>
      </c>
      <c r="Z264">
        <v>2018</v>
      </c>
      <c r="AA264">
        <v>2001</v>
      </c>
      <c r="AB264" s="5">
        <v>0.25014028265499999</v>
      </c>
      <c r="AC264" s="5">
        <v>0.50028056530999998</v>
      </c>
      <c r="AD264" t="s">
        <v>162</v>
      </c>
      <c r="AE264" t="s">
        <v>163</v>
      </c>
      <c r="AF264" t="s">
        <v>162</v>
      </c>
      <c r="AG264" t="s">
        <v>162</v>
      </c>
      <c r="AH264" t="s">
        <v>162</v>
      </c>
      <c r="AI264" t="s">
        <v>162</v>
      </c>
      <c r="AJ264" t="s">
        <v>162</v>
      </c>
      <c r="AK264" t="s">
        <v>162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 s="60">
        <f t="shared" si="3"/>
        <v>1</v>
      </c>
      <c r="AU264" s="95">
        <v>43347</v>
      </c>
      <c r="AV264" s="94" t="s">
        <v>165</v>
      </c>
      <c r="AW264" t="s">
        <v>162</v>
      </c>
      <c r="AX264">
        <v>2</v>
      </c>
      <c r="AY264" t="s">
        <v>167</v>
      </c>
      <c r="AZ264" t="s">
        <v>162</v>
      </c>
    </row>
    <row r="265" spans="1:52" x14ac:dyDescent="0.25">
      <c r="A265">
        <v>254</v>
      </c>
      <c r="B265" t="s">
        <v>738</v>
      </c>
      <c r="C265" t="s">
        <v>151</v>
      </c>
      <c r="D265" t="s">
        <v>739</v>
      </c>
      <c r="E265" t="s">
        <v>216</v>
      </c>
      <c r="F265" t="s">
        <v>162</v>
      </c>
      <c r="G265">
        <v>958</v>
      </c>
      <c r="H265">
        <v>959</v>
      </c>
      <c r="I265" t="s">
        <v>904</v>
      </c>
      <c r="J265">
        <v>800</v>
      </c>
      <c r="K265">
        <v>801</v>
      </c>
      <c r="L265" t="s">
        <v>258</v>
      </c>
      <c r="M265">
        <v>3</v>
      </c>
      <c r="N265" t="s">
        <v>11</v>
      </c>
      <c r="O265" t="s">
        <v>11</v>
      </c>
      <c r="P265" t="s">
        <v>175</v>
      </c>
      <c r="Q265" t="s">
        <v>162</v>
      </c>
      <c r="R265" t="s">
        <v>740</v>
      </c>
      <c r="S265">
        <v>2001</v>
      </c>
      <c r="T265">
        <v>6</v>
      </c>
      <c r="U265" t="s">
        <v>162</v>
      </c>
      <c r="V265" t="s">
        <v>250</v>
      </c>
      <c r="W265">
        <v>2018</v>
      </c>
      <c r="X265">
        <v>9</v>
      </c>
      <c r="Y265" t="s">
        <v>162</v>
      </c>
      <c r="Z265">
        <v>2018</v>
      </c>
      <c r="AA265">
        <v>2009</v>
      </c>
      <c r="AB265" s="5">
        <v>0.25050322097</v>
      </c>
      <c r="AC265" s="5">
        <v>0.50100644193999999</v>
      </c>
      <c r="AD265" t="s">
        <v>162</v>
      </c>
      <c r="AE265" t="s">
        <v>163</v>
      </c>
      <c r="AF265" t="s">
        <v>162</v>
      </c>
      <c r="AG265" t="s">
        <v>162</v>
      </c>
      <c r="AH265" t="s">
        <v>162</v>
      </c>
      <c r="AI265" t="s">
        <v>162</v>
      </c>
      <c r="AJ265" t="s">
        <v>162</v>
      </c>
      <c r="AK265" t="s">
        <v>162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 s="60">
        <f t="shared" si="3"/>
        <v>1</v>
      </c>
      <c r="AU265" s="95">
        <v>43347</v>
      </c>
      <c r="AV265" t="s">
        <v>165</v>
      </c>
      <c r="AW265" t="s">
        <v>162</v>
      </c>
      <c r="AX265">
        <v>2</v>
      </c>
      <c r="AY265" t="s">
        <v>167</v>
      </c>
      <c r="AZ265" t="s">
        <v>162</v>
      </c>
    </row>
    <row r="266" spans="1:52" x14ac:dyDescent="0.25">
      <c r="A266">
        <v>255</v>
      </c>
      <c r="B266" t="s">
        <v>453</v>
      </c>
      <c r="C266" t="s">
        <v>163</v>
      </c>
      <c r="D266" t="s">
        <v>454</v>
      </c>
      <c r="E266" t="s">
        <v>216</v>
      </c>
      <c r="F266" t="s">
        <v>162</v>
      </c>
      <c r="G266">
        <v>2400</v>
      </c>
      <c r="H266">
        <v>2401</v>
      </c>
      <c r="I266" t="s">
        <v>384</v>
      </c>
      <c r="J266">
        <v>2550</v>
      </c>
      <c r="K266">
        <v>2551</v>
      </c>
      <c r="L266" t="s">
        <v>733</v>
      </c>
      <c r="M266">
        <v>3</v>
      </c>
      <c r="N266" t="s">
        <v>7</v>
      </c>
      <c r="O266" t="s">
        <v>7</v>
      </c>
      <c r="P266" t="s">
        <v>157</v>
      </c>
      <c r="Q266" t="s">
        <v>162</v>
      </c>
      <c r="R266" t="s">
        <v>734</v>
      </c>
      <c r="S266">
        <v>2021</v>
      </c>
      <c r="T266">
        <v>5</v>
      </c>
      <c r="U266" t="s">
        <v>905</v>
      </c>
      <c r="V266" t="s">
        <v>162</v>
      </c>
      <c r="W266">
        <v>0</v>
      </c>
      <c r="X266">
        <v>0</v>
      </c>
      <c r="Y266" t="s">
        <v>162</v>
      </c>
      <c r="Z266">
        <v>2021</v>
      </c>
      <c r="AA266">
        <v>0</v>
      </c>
      <c r="AB266" s="5">
        <v>0.158867260402</v>
      </c>
      <c r="AC266" s="5">
        <v>0.317734520804</v>
      </c>
      <c r="AD266" t="s">
        <v>154</v>
      </c>
      <c r="AE266" t="s">
        <v>163</v>
      </c>
      <c r="AF266" t="s">
        <v>154</v>
      </c>
      <c r="AG266" t="s">
        <v>163</v>
      </c>
      <c r="AH266" t="s">
        <v>166</v>
      </c>
      <c r="AI266" t="s">
        <v>226</v>
      </c>
      <c r="AJ266" t="s">
        <v>166</v>
      </c>
      <c r="AK266" t="s">
        <v>166</v>
      </c>
      <c r="AL266">
        <v>2015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 s="60">
        <f t="shared" si="3"/>
        <v>1</v>
      </c>
      <c r="AU266" s="95" t="s">
        <v>360</v>
      </c>
      <c r="AV266" s="94" t="s">
        <v>165</v>
      </c>
      <c r="AW266" t="s">
        <v>166</v>
      </c>
      <c r="AX266">
        <v>2</v>
      </c>
      <c r="AY266" t="s">
        <v>167</v>
      </c>
      <c r="AZ266" t="s">
        <v>162</v>
      </c>
    </row>
    <row r="267" spans="1:52" x14ac:dyDescent="0.25">
      <c r="A267">
        <v>256</v>
      </c>
      <c r="B267" t="s">
        <v>233</v>
      </c>
      <c r="C267" t="s">
        <v>163</v>
      </c>
      <c r="D267" t="s">
        <v>234</v>
      </c>
      <c r="E267" t="s">
        <v>172</v>
      </c>
      <c r="F267" t="s">
        <v>162</v>
      </c>
      <c r="G267">
        <v>1601</v>
      </c>
      <c r="H267">
        <v>1600</v>
      </c>
      <c r="I267" t="s">
        <v>298</v>
      </c>
      <c r="J267">
        <v>2001</v>
      </c>
      <c r="K267">
        <v>2000</v>
      </c>
      <c r="L267" t="s">
        <v>235</v>
      </c>
      <c r="M267">
        <v>2</v>
      </c>
      <c r="N267" t="s">
        <v>11</v>
      </c>
      <c r="O267" t="s">
        <v>11</v>
      </c>
      <c r="P267" t="s">
        <v>175</v>
      </c>
      <c r="Q267" t="s">
        <v>162</v>
      </c>
      <c r="R267" t="s">
        <v>237</v>
      </c>
      <c r="S267">
        <v>2000</v>
      </c>
      <c r="T267">
        <v>7</v>
      </c>
      <c r="U267" t="s">
        <v>162</v>
      </c>
      <c r="V267" t="s">
        <v>238</v>
      </c>
      <c r="W267">
        <v>2018</v>
      </c>
      <c r="X267">
        <v>9</v>
      </c>
      <c r="Y267" t="s">
        <v>123</v>
      </c>
      <c r="Z267">
        <v>2018</v>
      </c>
      <c r="AA267">
        <v>2018</v>
      </c>
      <c r="AB267" s="5">
        <v>0.50125286347200004</v>
      </c>
      <c r="AC267" s="5">
        <v>1.00250572694</v>
      </c>
      <c r="AD267" t="s">
        <v>162</v>
      </c>
      <c r="AE267" t="s">
        <v>163</v>
      </c>
      <c r="AF267" t="s">
        <v>162</v>
      </c>
      <c r="AG267" t="s">
        <v>162</v>
      </c>
      <c r="AH267" t="s">
        <v>162</v>
      </c>
      <c r="AI267" t="s">
        <v>162</v>
      </c>
      <c r="AJ267" t="s">
        <v>162</v>
      </c>
      <c r="AK267" t="s">
        <v>162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 s="60">
        <f t="shared" ref="AT267:AT330" si="4">SUM(AM267:AS267)</f>
        <v>1</v>
      </c>
      <c r="AU267" s="95">
        <v>43333</v>
      </c>
      <c r="AV267" t="s">
        <v>165</v>
      </c>
      <c r="AW267" t="s">
        <v>162</v>
      </c>
      <c r="AX267">
        <v>2</v>
      </c>
      <c r="AY267" t="s">
        <v>167</v>
      </c>
      <c r="AZ267" t="s">
        <v>162</v>
      </c>
    </row>
    <row r="268" spans="1:52" x14ac:dyDescent="0.25">
      <c r="A268">
        <v>257</v>
      </c>
      <c r="B268" t="s">
        <v>648</v>
      </c>
      <c r="C268" t="s">
        <v>151</v>
      </c>
      <c r="D268" t="s">
        <v>649</v>
      </c>
      <c r="E268" t="s">
        <v>172</v>
      </c>
      <c r="F268" t="s">
        <v>162</v>
      </c>
      <c r="G268">
        <v>435</v>
      </c>
      <c r="H268">
        <v>428</v>
      </c>
      <c r="I268" t="s">
        <v>494</v>
      </c>
      <c r="J268">
        <v>341</v>
      </c>
      <c r="K268">
        <v>336</v>
      </c>
      <c r="L268" t="s">
        <v>906</v>
      </c>
      <c r="M268">
        <v>3</v>
      </c>
      <c r="N268" t="s">
        <v>7</v>
      </c>
      <c r="O268" t="s">
        <v>7</v>
      </c>
      <c r="P268" t="s">
        <v>175</v>
      </c>
      <c r="Q268" t="s">
        <v>907</v>
      </c>
      <c r="R268" t="s">
        <v>908</v>
      </c>
      <c r="S268">
        <v>2015</v>
      </c>
      <c r="T268">
        <v>8</v>
      </c>
      <c r="U268" t="s">
        <v>162</v>
      </c>
      <c r="V268" t="s">
        <v>162</v>
      </c>
      <c r="W268">
        <v>0</v>
      </c>
      <c r="X268">
        <v>0</v>
      </c>
      <c r="Y268" t="s">
        <v>162</v>
      </c>
      <c r="Z268">
        <v>2015</v>
      </c>
      <c r="AA268">
        <v>0</v>
      </c>
      <c r="AB268" s="5">
        <v>0.113334829557</v>
      </c>
      <c r="AC268" s="5">
        <v>0.226669659114</v>
      </c>
      <c r="AD268" t="s">
        <v>162</v>
      </c>
      <c r="AE268" t="s">
        <v>163</v>
      </c>
      <c r="AF268" t="s">
        <v>162</v>
      </c>
      <c r="AG268" t="s">
        <v>162</v>
      </c>
      <c r="AH268" t="s">
        <v>163</v>
      </c>
      <c r="AI268" t="s">
        <v>194</v>
      </c>
      <c r="AJ268" t="s">
        <v>154</v>
      </c>
      <c r="AK268" t="s">
        <v>154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 s="60">
        <f t="shared" si="4"/>
        <v>1</v>
      </c>
      <c r="AU268" s="95" t="s">
        <v>227</v>
      </c>
      <c r="AV268" s="94" t="s">
        <v>165</v>
      </c>
      <c r="AW268" t="s">
        <v>166</v>
      </c>
      <c r="AX268">
        <v>1</v>
      </c>
      <c r="AY268" t="s">
        <v>167</v>
      </c>
      <c r="AZ268" t="s">
        <v>162</v>
      </c>
    </row>
    <row r="269" spans="1:52" x14ac:dyDescent="0.25">
      <c r="A269">
        <v>258</v>
      </c>
      <c r="B269" t="s">
        <v>233</v>
      </c>
      <c r="C269" t="s">
        <v>180</v>
      </c>
      <c r="D269" t="s">
        <v>234</v>
      </c>
      <c r="E269" t="s">
        <v>172</v>
      </c>
      <c r="F269" t="s">
        <v>162</v>
      </c>
      <c r="G269">
        <v>5900</v>
      </c>
      <c r="H269">
        <v>5901</v>
      </c>
      <c r="I269" t="s">
        <v>801</v>
      </c>
      <c r="J269">
        <v>4100</v>
      </c>
      <c r="K269">
        <v>4101</v>
      </c>
      <c r="L269" t="s">
        <v>909</v>
      </c>
      <c r="M269">
        <v>2</v>
      </c>
      <c r="N269" t="s">
        <v>9</v>
      </c>
      <c r="O269" t="s">
        <v>9</v>
      </c>
      <c r="P269" t="s">
        <v>175</v>
      </c>
      <c r="Q269" t="s">
        <v>910</v>
      </c>
      <c r="R269" t="s">
        <v>314</v>
      </c>
      <c r="S269">
        <v>2013</v>
      </c>
      <c r="T269">
        <v>9</v>
      </c>
      <c r="U269" t="s">
        <v>162</v>
      </c>
      <c r="V269" t="s">
        <v>162</v>
      </c>
      <c r="W269">
        <v>0</v>
      </c>
      <c r="X269">
        <v>0</v>
      </c>
      <c r="Y269" t="s">
        <v>162</v>
      </c>
      <c r="Z269">
        <v>2013</v>
      </c>
      <c r="AA269">
        <v>2013</v>
      </c>
      <c r="AB269" s="5">
        <v>1.79366880401</v>
      </c>
      <c r="AC269" s="5">
        <v>3.5873376080199999</v>
      </c>
      <c r="AD269" t="s">
        <v>162</v>
      </c>
      <c r="AE269" t="s">
        <v>163</v>
      </c>
      <c r="AF269" t="s">
        <v>162</v>
      </c>
      <c r="AG269" t="s">
        <v>162</v>
      </c>
      <c r="AH269" t="s">
        <v>162</v>
      </c>
      <c r="AI269" t="s">
        <v>162</v>
      </c>
      <c r="AJ269" t="s">
        <v>162</v>
      </c>
      <c r="AK269" t="s">
        <v>162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 s="60">
        <f t="shared" si="4"/>
        <v>1</v>
      </c>
      <c r="AU269" s="95">
        <v>43333</v>
      </c>
      <c r="AV269" t="s">
        <v>165</v>
      </c>
      <c r="AW269" t="s">
        <v>163</v>
      </c>
      <c r="AX269">
        <v>2</v>
      </c>
      <c r="AY269" t="s">
        <v>167</v>
      </c>
      <c r="AZ269" t="s">
        <v>162</v>
      </c>
    </row>
    <row r="270" spans="1:52" x14ac:dyDescent="0.25">
      <c r="A270">
        <v>259</v>
      </c>
      <c r="B270" t="s">
        <v>911</v>
      </c>
      <c r="C270" t="s">
        <v>180</v>
      </c>
      <c r="D270" t="s">
        <v>912</v>
      </c>
      <c r="E270" t="s">
        <v>172</v>
      </c>
      <c r="F270" t="s">
        <v>162</v>
      </c>
      <c r="G270">
        <v>1001</v>
      </c>
      <c r="H270">
        <v>1000</v>
      </c>
      <c r="I270" t="s">
        <v>721</v>
      </c>
      <c r="J270">
        <v>601</v>
      </c>
      <c r="K270">
        <v>600</v>
      </c>
      <c r="L270" t="s">
        <v>292</v>
      </c>
      <c r="M270">
        <v>3</v>
      </c>
      <c r="N270" t="s">
        <v>7</v>
      </c>
      <c r="O270" t="s">
        <v>7</v>
      </c>
      <c r="P270" t="s">
        <v>157</v>
      </c>
      <c r="Q270" t="s">
        <v>913</v>
      </c>
      <c r="R270" t="s">
        <v>647</v>
      </c>
      <c r="S270">
        <v>2013</v>
      </c>
      <c r="T270">
        <v>10</v>
      </c>
      <c r="U270" t="s">
        <v>162</v>
      </c>
      <c r="V270" t="s">
        <v>267</v>
      </c>
      <c r="W270">
        <v>2018</v>
      </c>
      <c r="X270">
        <v>7</v>
      </c>
      <c r="Y270" t="s">
        <v>162</v>
      </c>
      <c r="Z270">
        <v>2018</v>
      </c>
      <c r="AA270">
        <v>2013</v>
      </c>
      <c r="AB270" s="5">
        <v>0.321585012078</v>
      </c>
      <c r="AC270" s="5">
        <v>0.643170024156</v>
      </c>
      <c r="AD270" t="s">
        <v>162</v>
      </c>
      <c r="AE270" t="s">
        <v>163</v>
      </c>
      <c r="AF270" t="s">
        <v>162</v>
      </c>
      <c r="AG270" t="s">
        <v>162</v>
      </c>
      <c r="AH270" t="s">
        <v>163</v>
      </c>
      <c r="AI270" t="s">
        <v>226</v>
      </c>
      <c r="AJ270" t="s">
        <v>154</v>
      </c>
      <c r="AK270" t="s">
        <v>162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 s="60">
        <f t="shared" si="4"/>
        <v>1</v>
      </c>
      <c r="AU270" s="95" t="s">
        <v>213</v>
      </c>
      <c r="AV270" t="s">
        <v>165</v>
      </c>
      <c r="AW270" t="s">
        <v>166</v>
      </c>
      <c r="AX270">
        <v>1</v>
      </c>
      <c r="AY270" t="s">
        <v>167</v>
      </c>
      <c r="AZ270" t="s">
        <v>162</v>
      </c>
    </row>
    <row r="271" spans="1:52" x14ac:dyDescent="0.25">
      <c r="A271">
        <v>260</v>
      </c>
      <c r="B271" t="s">
        <v>719</v>
      </c>
      <c r="C271" t="s">
        <v>180</v>
      </c>
      <c r="D271" t="s">
        <v>720</v>
      </c>
      <c r="E271" t="s">
        <v>172</v>
      </c>
      <c r="F271" t="s">
        <v>180</v>
      </c>
      <c r="G271">
        <v>239</v>
      </c>
      <c r="H271">
        <v>238</v>
      </c>
      <c r="I271" t="s">
        <v>914</v>
      </c>
      <c r="J271">
        <v>1</v>
      </c>
      <c r="K271">
        <v>2</v>
      </c>
      <c r="L271" t="s">
        <v>293</v>
      </c>
      <c r="M271">
        <v>4</v>
      </c>
      <c r="N271" t="s">
        <v>7</v>
      </c>
      <c r="O271" t="s">
        <v>7</v>
      </c>
      <c r="P271" t="s">
        <v>157</v>
      </c>
      <c r="Q271" t="s">
        <v>915</v>
      </c>
      <c r="R271" t="s">
        <v>261</v>
      </c>
      <c r="S271">
        <v>2015</v>
      </c>
      <c r="T271">
        <v>10</v>
      </c>
      <c r="U271" t="s">
        <v>916</v>
      </c>
      <c r="V271" t="s">
        <v>162</v>
      </c>
      <c r="W271">
        <v>0</v>
      </c>
      <c r="X271">
        <v>0</v>
      </c>
      <c r="Y271" t="s">
        <v>162</v>
      </c>
      <c r="Z271">
        <v>2015</v>
      </c>
      <c r="AA271">
        <v>2015</v>
      </c>
      <c r="AB271" s="5">
        <v>0.17732166771800001</v>
      </c>
      <c r="AC271" s="5">
        <v>0.35464333543600002</v>
      </c>
      <c r="AD271" t="s">
        <v>261</v>
      </c>
      <c r="AE271" t="s">
        <v>163</v>
      </c>
      <c r="AF271" t="s">
        <v>154</v>
      </c>
      <c r="AG271" t="s">
        <v>154</v>
      </c>
      <c r="AH271" t="s">
        <v>166</v>
      </c>
      <c r="AI271" t="s">
        <v>226</v>
      </c>
      <c r="AJ271" t="s">
        <v>154</v>
      </c>
      <c r="AK271" t="s">
        <v>162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 s="60">
        <f t="shared" si="4"/>
        <v>1</v>
      </c>
      <c r="AU271" s="95" t="s">
        <v>213</v>
      </c>
      <c r="AV271" s="94" t="s">
        <v>165</v>
      </c>
      <c r="AW271" t="s">
        <v>166</v>
      </c>
      <c r="AX271">
        <v>1</v>
      </c>
      <c r="AY271" t="s">
        <v>167</v>
      </c>
      <c r="AZ271" t="s">
        <v>162</v>
      </c>
    </row>
    <row r="272" spans="1:52" x14ac:dyDescent="0.25">
      <c r="A272">
        <v>261</v>
      </c>
      <c r="B272" t="s">
        <v>573</v>
      </c>
      <c r="C272" t="s">
        <v>151</v>
      </c>
      <c r="D272" t="s">
        <v>574</v>
      </c>
      <c r="E272" t="s">
        <v>153</v>
      </c>
      <c r="F272" t="s">
        <v>162</v>
      </c>
      <c r="G272">
        <v>2631</v>
      </c>
      <c r="H272">
        <v>2630</v>
      </c>
      <c r="I272" t="s">
        <v>917</v>
      </c>
      <c r="J272">
        <v>2501</v>
      </c>
      <c r="K272">
        <v>2500</v>
      </c>
      <c r="L272" t="s">
        <v>918</v>
      </c>
      <c r="M272">
        <v>2</v>
      </c>
      <c r="N272" t="s">
        <v>11</v>
      </c>
      <c r="O272" t="s">
        <v>11</v>
      </c>
      <c r="P272" t="s">
        <v>175</v>
      </c>
      <c r="Q272" t="s">
        <v>162</v>
      </c>
      <c r="R272" t="s">
        <v>457</v>
      </c>
      <c r="S272">
        <v>1996</v>
      </c>
      <c r="T272">
        <v>8</v>
      </c>
      <c r="U272" t="s">
        <v>919</v>
      </c>
      <c r="V272" t="s">
        <v>225</v>
      </c>
      <c r="W272">
        <v>2018</v>
      </c>
      <c r="X272">
        <v>5</v>
      </c>
      <c r="Y272" t="s">
        <v>162</v>
      </c>
      <c r="Z272">
        <v>2018</v>
      </c>
      <c r="AA272">
        <v>2016</v>
      </c>
      <c r="AB272" s="5">
        <v>0.19157966061199999</v>
      </c>
      <c r="AC272" s="5">
        <v>0.38315932122399998</v>
      </c>
      <c r="AD272" t="s">
        <v>162</v>
      </c>
      <c r="AE272" t="s">
        <v>163</v>
      </c>
      <c r="AF272" t="s">
        <v>162</v>
      </c>
      <c r="AG272" t="s">
        <v>162</v>
      </c>
      <c r="AH272" t="s">
        <v>162</v>
      </c>
      <c r="AI272" t="s">
        <v>162</v>
      </c>
      <c r="AJ272" t="s">
        <v>162</v>
      </c>
      <c r="AK272" t="s">
        <v>166</v>
      </c>
      <c r="AL272">
        <v>2018</v>
      </c>
      <c r="AM272">
        <v>0</v>
      </c>
      <c r="AN272">
        <v>0</v>
      </c>
      <c r="AO272">
        <v>0.4</v>
      </c>
      <c r="AP272">
        <v>0</v>
      </c>
      <c r="AQ272">
        <v>0</v>
      </c>
      <c r="AR272">
        <v>0</v>
      </c>
      <c r="AS272">
        <v>0.6</v>
      </c>
      <c r="AT272" s="60">
        <f t="shared" si="4"/>
        <v>1</v>
      </c>
      <c r="AU272" s="95">
        <v>43342</v>
      </c>
      <c r="AV272" s="94" t="s">
        <v>165</v>
      </c>
      <c r="AW272" t="s">
        <v>162</v>
      </c>
      <c r="AX272">
        <v>2</v>
      </c>
      <c r="AY272" t="s">
        <v>167</v>
      </c>
      <c r="AZ272" t="s">
        <v>162</v>
      </c>
    </row>
    <row r="273" spans="1:52" x14ac:dyDescent="0.25">
      <c r="A273">
        <v>262</v>
      </c>
      <c r="B273" t="s">
        <v>233</v>
      </c>
      <c r="C273" t="s">
        <v>163</v>
      </c>
      <c r="D273" t="s">
        <v>234</v>
      </c>
      <c r="E273" t="s">
        <v>172</v>
      </c>
      <c r="F273" t="s">
        <v>162</v>
      </c>
      <c r="G273">
        <v>3000</v>
      </c>
      <c r="H273">
        <v>3001</v>
      </c>
      <c r="I273" t="s">
        <v>240</v>
      </c>
      <c r="J273">
        <v>3114</v>
      </c>
      <c r="K273">
        <v>3115</v>
      </c>
      <c r="L273" t="s">
        <v>920</v>
      </c>
      <c r="M273">
        <v>2</v>
      </c>
      <c r="N273" t="s">
        <v>11</v>
      </c>
      <c r="O273" t="s">
        <v>15</v>
      </c>
      <c r="P273" t="s">
        <v>169</v>
      </c>
      <c r="Q273" t="s">
        <v>162</v>
      </c>
      <c r="R273" t="s">
        <v>572</v>
      </c>
      <c r="S273">
        <v>2004</v>
      </c>
      <c r="T273">
        <v>7</v>
      </c>
      <c r="U273" t="s">
        <v>162</v>
      </c>
      <c r="V273" t="s">
        <v>243</v>
      </c>
      <c r="W273">
        <v>2020</v>
      </c>
      <c r="X273">
        <v>0</v>
      </c>
      <c r="Y273" t="s">
        <v>162</v>
      </c>
      <c r="Z273">
        <v>2020</v>
      </c>
      <c r="AA273">
        <v>2012</v>
      </c>
      <c r="AB273" s="5">
        <v>0.12326908701100001</v>
      </c>
      <c r="AC273" s="5">
        <v>0.24653817402100001</v>
      </c>
      <c r="AD273" t="s">
        <v>162</v>
      </c>
      <c r="AE273" t="s">
        <v>163</v>
      </c>
      <c r="AF273" t="s">
        <v>162</v>
      </c>
      <c r="AG273" t="s">
        <v>162</v>
      </c>
      <c r="AH273" t="s">
        <v>162</v>
      </c>
      <c r="AI273" t="s">
        <v>162</v>
      </c>
      <c r="AJ273" t="s">
        <v>162</v>
      </c>
      <c r="AK273" t="s">
        <v>162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 s="60">
        <f t="shared" si="4"/>
        <v>1</v>
      </c>
      <c r="AU273" s="95" t="s">
        <v>842</v>
      </c>
      <c r="AV273" s="94" t="s">
        <v>165</v>
      </c>
      <c r="AW273" t="s">
        <v>162</v>
      </c>
      <c r="AX273">
        <v>2</v>
      </c>
      <c r="AY273" t="s">
        <v>167</v>
      </c>
      <c r="AZ273" t="s">
        <v>162</v>
      </c>
    </row>
    <row r="274" spans="1:52" x14ac:dyDescent="0.25">
      <c r="A274">
        <v>263</v>
      </c>
      <c r="B274" t="s">
        <v>660</v>
      </c>
      <c r="C274" t="s">
        <v>151</v>
      </c>
      <c r="D274" t="s">
        <v>661</v>
      </c>
      <c r="E274" t="s">
        <v>172</v>
      </c>
      <c r="F274" t="s">
        <v>162</v>
      </c>
      <c r="G274">
        <v>131</v>
      </c>
      <c r="H274">
        <v>130</v>
      </c>
      <c r="I274" t="s">
        <v>921</v>
      </c>
      <c r="J274">
        <v>1</v>
      </c>
      <c r="K274">
        <v>2</v>
      </c>
      <c r="L274" t="s">
        <v>639</v>
      </c>
      <c r="M274">
        <v>2</v>
      </c>
      <c r="N274" t="s">
        <v>7</v>
      </c>
      <c r="O274" t="s">
        <v>7</v>
      </c>
      <c r="P274" t="s">
        <v>157</v>
      </c>
      <c r="Q274" t="s">
        <v>663</v>
      </c>
      <c r="R274" t="s">
        <v>422</v>
      </c>
      <c r="S274">
        <v>2015</v>
      </c>
      <c r="T274">
        <v>10</v>
      </c>
      <c r="U274" t="s">
        <v>123</v>
      </c>
      <c r="V274" t="s">
        <v>162</v>
      </c>
      <c r="W274">
        <v>0</v>
      </c>
      <c r="X274">
        <v>0</v>
      </c>
      <c r="Y274" t="s">
        <v>162</v>
      </c>
      <c r="Z274">
        <v>2015</v>
      </c>
      <c r="AA274">
        <v>2015</v>
      </c>
      <c r="AB274" s="5">
        <v>0.17773140328699999</v>
      </c>
      <c r="AC274" s="5">
        <v>0.35546280657399998</v>
      </c>
      <c r="AD274" t="s">
        <v>154</v>
      </c>
      <c r="AE274" t="s">
        <v>163</v>
      </c>
      <c r="AF274" t="s">
        <v>154</v>
      </c>
      <c r="AG274" t="s">
        <v>154</v>
      </c>
      <c r="AH274" t="s">
        <v>163</v>
      </c>
      <c r="AI274" t="s">
        <v>194</v>
      </c>
      <c r="AJ274" t="s">
        <v>154</v>
      </c>
      <c r="AK274" t="s">
        <v>162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 s="60">
        <f t="shared" si="4"/>
        <v>1</v>
      </c>
      <c r="AU274" s="95" t="s">
        <v>227</v>
      </c>
      <c r="AV274" s="94" t="s">
        <v>165</v>
      </c>
      <c r="AW274" t="s">
        <v>166</v>
      </c>
      <c r="AX274">
        <v>1</v>
      </c>
      <c r="AY274" t="s">
        <v>167</v>
      </c>
      <c r="AZ274" t="s">
        <v>162</v>
      </c>
    </row>
    <row r="275" spans="1:52" x14ac:dyDescent="0.25">
      <c r="A275">
        <v>264</v>
      </c>
      <c r="B275" t="s">
        <v>505</v>
      </c>
      <c r="C275" t="s">
        <v>163</v>
      </c>
      <c r="D275" t="s">
        <v>506</v>
      </c>
      <c r="E275" t="s">
        <v>216</v>
      </c>
      <c r="F275" t="s">
        <v>162</v>
      </c>
      <c r="G275">
        <v>200</v>
      </c>
      <c r="H275">
        <v>201</v>
      </c>
      <c r="I275" t="s">
        <v>387</v>
      </c>
      <c r="J275">
        <v>234</v>
      </c>
      <c r="K275">
        <v>235</v>
      </c>
      <c r="L275" t="s">
        <v>735</v>
      </c>
      <c r="M275">
        <v>3</v>
      </c>
      <c r="N275" t="s">
        <v>11</v>
      </c>
      <c r="O275" t="s">
        <v>11</v>
      </c>
      <c r="P275" t="s">
        <v>175</v>
      </c>
      <c r="Q275" t="s">
        <v>922</v>
      </c>
      <c r="R275" t="s">
        <v>923</v>
      </c>
      <c r="S275">
        <v>2012</v>
      </c>
      <c r="T275">
        <v>3</v>
      </c>
      <c r="U275" t="s">
        <v>123</v>
      </c>
      <c r="V275" t="s">
        <v>162</v>
      </c>
      <c r="W275">
        <v>0</v>
      </c>
      <c r="X275">
        <v>0</v>
      </c>
      <c r="Y275" t="s">
        <v>162</v>
      </c>
      <c r="Z275">
        <v>2012</v>
      </c>
      <c r="AA275">
        <v>2012</v>
      </c>
      <c r="AB275" s="5">
        <v>8.7835007792299996E-2</v>
      </c>
      <c r="AC275" s="5">
        <v>0.17567001558500001</v>
      </c>
      <c r="AD275" t="s">
        <v>162</v>
      </c>
      <c r="AE275" t="s">
        <v>163</v>
      </c>
      <c r="AF275" t="s">
        <v>162</v>
      </c>
      <c r="AG275" t="s">
        <v>162</v>
      </c>
      <c r="AH275" t="s">
        <v>162</v>
      </c>
      <c r="AI275" t="s">
        <v>162</v>
      </c>
      <c r="AJ275" t="s">
        <v>162</v>
      </c>
      <c r="AK275" t="s">
        <v>162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 s="60">
        <f t="shared" si="4"/>
        <v>1</v>
      </c>
      <c r="AU275" s="95">
        <v>43341</v>
      </c>
      <c r="AV275" s="94" t="s">
        <v>165</v>
      </c>
      <c r="AW275" t="s">
        <v>162</v>
      </c>
      <c r="AX275">
        <v>2</v>
      </c>
      <c r="AY275" t="s">
        <v>167</v>
      </c>
      <c r="AZ275" t="s">
        <v>162</v>
      </c>
    </row>
    <row r="276" spans="1:52" x14ac:dyDescent="0.25">
      <c r="A276">
        <v>265</v>
      </c>
      <c r="B276" t="s">
        <v>924</v>
      </c>
      <c r="C276" t="s">
        <v>180</v>
      </c>
      <c r="D276" t="s">
        <v>925</v>
      </c>
      <c r="E276" t="s">
        <v>172</v>
      </c>
      <c r="F276" t="s">
        <v>154</v>
      </c>
      <c r="G276">
        <v>2631</v>
      </c>
      <c r="H276">
        <v>2630</v>
      </c>
      <c r="I276" t="s">
        <v>926</v>
      </c>
      <c r="J276">
        <v>2201</v>
      </c>
      <c r="K276">
        <v>2200</v>
      </c>
      <c r="L276" t="s">
        <v>248</v>
      </c>
      <c r="M276">
        <v>4</v>
      </c>
      <c r="N276" t="s">
        <v>7</v>
      </c>
      <c r="O276" t="s">
        <v>7</v>
      </c>
      <c r="P276" t="s">
        <v>157</v>
      </c>
      <c r="Q276" t="s">
        <v>158</v>
      </c>
      <c r="R276" t="s">
        <v>359</v>
      </c>
      <c r="S276">
        <v>2017</v>
      </c>
      <c r="T276">
        <v>9</v>
      </c>
      <c r="U276" t="s">
        <v>162</v>
      </c>
      <c r="V276" t="s">
        <v>162</v>
      </c>
      <c r="W276">
        <v>0</v>
      </c>
      <c r="X276">
        <v>0</v>
      </c>
      <c r="Y276" t="s">
        <v>162</v>
      </c>
      <c r="Z276">
        <v>2017</v>
      </c>
      <c r="AA276">
        <v>0</v>
      </c>
      <c r="AB276" s="5">
        <v>0.54415874789200003</v>
      </c>
      <c r="AC276" s="5">
        <v>1.0883174957799999</v>
      </c>
      <c r="AD276" t="s">
        <v>162</v>
      </c>
      <c r="AE276" t="s">
        <v>163</v>
      </c>
      <c r="AF276" t="s">
        <v>162</v>
      </c>
      <c r="AG276" t="s">
        <v>162</v>
      </c>
      <c r="AH276" t="s">
        <v>162</v>
      </c>
      <c r="AI276" t="s">
        <v>226</v>
      </c>
      <c r="AJ276" t="s">
        <v>162</v>
      </c>
      <c r="AK276" t="s">
        <v>162</v>
      </c>
      <c r="AL276">
        <v>0</v>
      </c>
      <c r="AM276">
        <v>0</v>
      </c>
      <c r="AN276">
        <v>0</v>
      </c>
      <c r="AO276">
        <v>0.8</v>
      </c>
      <c r="AP276">
        <v>0</v>
      </c>
      <c r="AQ276">
        <v>0.2</v>
      </c>
      <c r="AR276">
        <v>0</v>
      </c>
      <c r="AS276">
        <v>0</v>
      </c>
      <c r="AT276" s="60">
        <f t="shared" si="4"/>
        <v>1</v>
      </c>
      <c r="AU276" s="95" t="s">
        <v>360</v>
      </c>
      <c r="AV276" s="94" t="s">
        <v>165</v>
      </c>
      <c r="AW276" t="s">
        <v>166</v>
      </c>
      <c r="AX276">
        <v>1</v>
      </c>
      <c r="AY276" t="s">
        <v>167</v>
      </c>
      <c r="AZ276" t="s">
        <v>162</v>
      </c>
    </row>
    <row r="277" spans="1:52" x14ac:dyDescent="0.25">
      <c r="A277">
        <v>266</v>
      </c>
      <c r="B277" t="s">
        <v>568</v>
      </c>
      <c r="C277" t="s">
        <v>180</v>
      </c>
      <c r="D277" t="s">
        <v>569</v>
      </c>
      <c r="E277" t="s">
        <v>216</v>
      </c>
      <c r="F277" t="s">
        <v>162</v>
      </c>
      <c r="G277">
        <v>2765</v>
      </c>
      <c r="H277">
        <v>2764</v>
      </c>
      <c r="I277" t="s">
        <v>927</v>
      </c>
      <c r="J277">
        <v>2503</v>
      </c>
      <c r="K277">
        <v>2500</v>
      </c>
      <c r="L277" t="s">
        <v>576</v>
      </c>
      <c r="M277">
        <v>3</v>
      </c>
      <c r="N277" t="s">
        <v>11</v>
      </c>
      <c r="O277" t="s">
        <v>11</v>
      </c>
      <c r="P277" t="s">
        <v>175</v>
      </c>
      <c r="Q277" t="s">
        <v>162</v>
      </c>
      <c r="R277" t="s">
        <v>253</v>
      </c>
      <c r="S277">
        <v>2004</v>
      </c>
      <c r="T277">
        <v>9</v>
      </c>
      <c r="U277" t="s">
        <v>162</v>
      </c>
      <c r="V277" t="s">
        <v>455</v>
      </c>
      <c r="W277">
        <v>2020</v>
      </c>
      <c r="X277">
        <v>2020</v>
      </c>
      <c r="Y277" t="s">
        <v>123</v>
      </c>
      <c r="Z277">
        <v>2020</v>
      </c>
      <c r="AA277">
        <v>2020</v>
      </c>
      <c r="AB277" s="5">
        <v>0.469921047072</v>
      </c>
      <c r="AC277" s="5">
        <v>0.939842094144</v>
      </c>
      <c r="AD277" t="s">
        <v>162</v>
      </c>
      <c r="AE277" t="s">
        <v>163</v>
      </c>
      <c r="AF277" t="s">
        <v>162</v>
      </c>
      <c r="AG277" t="s">
        <v>162</v>
      </c>
      <c r="AH277" t="s">
        <v>162</v>
      </c>
      <c r="AI277" t="s">
        <v>162</v>
      </c>
      <c r="AJ277" t="s">
        <v>162</v>
      </c>
      <c r="AK277" t="s">
        <v>162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 s="60">
        <f t="shared" si="4"/>
        <v>1</v>
      </c>
      <c r="AU277" s="95" t="s">
        <v>187</v>
      </c>
      <c r="AV277" s="94" t="s">
        <v>165</v>
      </c>
      <c r="AW277" t="s">
        <v>162</v>
      </c>
      <c r="AX277">
        <v>2</v>
      </c>
      <c r="AY277" t="s">
        <v>167</v>
      </c>
      <c r="AZ277" t="s">
        <v>162</v>
      </c>
    </row>
    <row r="278" spans="1:52" x14ac:dyDescent="0.25">
      <c r="A278">
        <v>267</v>
      </c>
      <c r="B278" t="s">
        <v>802</v>
      </c>
      <c r="C278" t="s">
        <v>180</v>
      </c>
      <c r="D278" t="s">
        <v>803</v>
      </c>
      <c r="E278" t="s">
        <v>172</v>
      </c>
      <c r="F278" t="s">
        <v>163</v>
      </c>
      <c r="G278">
        <v>551</v>
      </c>
      <c r="H278">
        <v>550</v>
      </c>
      <c r="I278" t="s">
        <v>292</v>
      </c>
      <c r="J278">
        <v>1</v>
      </c>
      <c r="K278">
        <v>2</v>
      </c>
      <c r="L278" t="s">
        <v>293</v>
      </c>
      <c r="M278">
        <v>4</v>
      </c>
      <c r="N278" t="s">
        <v>7</v>
      </c>
      <c r="O278" t="s">
        <v>7</v>
      </c>
      <c r="P278" t="s">
        <v>157</v>
      </c>
      <c r="Q278" t="s">
        <v>162</v>
      </c>
      <c r="R278" t="s">
        <v>407</v>
      </c>
      <c r="S278">
        <v>2018</v>
      </c>
      <c r="T278">
        <v>10</v>
      </c>
      <c r="U278" t="s">
        <v>928</v>
      </c>
      <c r="V278" t="s">
        <v>455</v>
      </c>
      <c r="W278">
        <v>2020</v>
      </c>
      <c r="X278">
        <v>2020</v>
      </c>
      <c r="Y278" t="s">
        <v>123</v>
      </c>
      <c r="Z278">
        <v>2020</v>
      </c>
      <c r="AA278">
        <v>2020</v>
      </c>
      <c r="AB278" s="5">
        <v>0.51490258412400003</v>
      </c>
      <c r="AC278" s="5">
        <v>1.02980516825</v>
      </c>
      <c r="AD278" t="s">
        <v>154</v>
      </c>
      <c r="AE278" t="s">
        <v>163</v>
      </c>
      <c r="AF278" t="s">
        <v>154</v>
      </c>
      <c r="AG278" t="s">
        <v>154</v>
      </c>
      <c r="AH278" t="s">
        <v>166</v>
      </c>
      <c r="AI278" t="s">
        <v>194</v>
      </c>
      <c r="AJ278" t="s">
        <v>154</v>
      </c>
      <c r="AK278" t="s">
        <v>162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 s="60">
        <f t="shared" si="4"/>
        <v>1</v>
      </c>
      <c r="AU278" s="95" t="s">
        <v>213</v>
      </c>
      <c r="AV278" s="94" t="s">
        <v>165</v>
      </c>
      <c r="AW278" t="s">
        <v>166</v>
      </c>
      <c r="AX278">
        <v>1</v>
      </c>
      <c r="AY278" t="s">
        <v>167</v>
      </c>
      <c r="AZ278" t="s">
        <v>162</v>
      </c>
    </row>
    <row r="279" spans="1:52" x14ac:dyDescent="0.25">
      <c r="A279">
        <v>268</v>
      </c>
      <c r="B279" t="s">
        <v>802</v>
      </c>
      <c r="C279" t="s">
        <v>163</v>
      </c>
      <c r="D279" t="s">
        <v>803</v>
      </c>
      <c r="E279" t="s">
        <v>172</v>
      </c>
      <c r="F279" t="s">
        <v>163</v>
      </c>
      <c r="G279">
        <v>2</v>
      </c>
      <c r="H279">
        <v>1</v>
      </c>
      <c r="I279" t="s">
        <v>293</v>
      </c>
      <c r="J279">
        <v>240</v>
      </c>
      <c r="K279">
        <v>241</v>
      </c>
      <c r="L279" t="s">
        <v>513</v>
      </c>
      <c r="M279">
        <v>4</v>
      </c>
      <c r="N279" t="s">
        <v>7</v>
      </c>
      <c r="O279" t="s">
        <v>7</v>
      </c>
      <c r="P279" t="s">
        <v>157</v>
      </c>
      <c r="Q279" t="s">
        <v>162</v>
      </c>
      <c r="R279" t="s">
        <v>407</v>
      </c>
      <c r="S279">
        <v>2018</v>
      </c>
      <c r="T279">
        <v>10</v>
      </c>
      <c r="U279" t="s">
        <v>928</v>
      </c>
      <c r="V279" t="s">
        <v>455</v>
      </c>
      <c r="W279">
        <v>2020</v>
      </c>
      <c r="X279">
        <v>0</v>
      </c>
      <c r="Y279" t="s">
        <v>929</v>
      </c>
      <c r="Z279">
        <v>2020</v>
      </c>
      <c r="AA279">
        <v>2016</v>
      </c>
      <c r="AB279" s="5">
        <v>0.33088717712400001</v>
      </c>
      <c r="AC279" s="5">
        <v>0.66177435424800002</v>
      </c>
      <c r="AD279" t="s">
        <v>154</v>
      </c>
      <c r="AE279" t="s">
        <v>163</v>
      </c>
      <c r="AF279" t="s">
        <v>154</v>
      </c>
      <c r="AG279" t="s">
        <v>154</v>
      </c>
      <c r="AH279" t="s">
        <v>166</v>
      </c>
      <c r="AI279" t="s">
        <v>194</v>
      </c>
      <c r="AJ279" t="s">
        <v>154</v>
      </c>
      <c r="AK279" t="s">
        <v>162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 s="60">
        <f t="shared" si="4"/>
        <v>1</v>
      </c>
      <c r="AU279" s="95" t="s">
        <v>213</v>
      </c>
      <c r="AV279" s="94" t="s">
        <v>165</v>
      </c>
      <c r="AW279" t="s">
        <v>166</v>
      </c>
      <c r="AX279">
        <v>1</v>
      </c>
      <c r="AY279" t="s">
        <v>167</v>
      </c>
      <c r="AZ279" t="s">
        <v>162</v>
      </c>
    </row>
    <row r="280" spans="1:52" x14ac:dyDescent="0.25">
      <c r="A280">
        <v>269</v>
      </c>
      <c r="B280" t="s">
        <v>745</v>
      </c>
      <c r="C280" t="s">
        <v>180</v>
      </c>
      <c r="D280" t="s">
        <v>746</v>
      </c>
      <c r="E280" t="s">
        <v>216</v>
      </c>
      <c r="F280" t="s">
        <v>162</v>
      </c>
      <c r="G280">
        <v>2353</v>
      </c>
      <c r="H280">
        <v>2352</v>
      </c>
      <c r="I280" t="s">
        <v>930</v>
      </c>
      <c r="J280">
        <v>2201</v>
      </c>
      <c r="K280">
        <v>2200</v>
      </c>
      <c r="L280" t="s">
        <v>575</v>
      </c>
      <c r="M280">
        <v>3</v>
      </c>
      <c r="N280" t="s">
        <v>11</v>
      </c>
      <c r="O280" t="s">
        <v>11</v>
      </c>
      <c r="P280" t="s">
        <v>175</v>
      </c>
      <c r="Q280" t="s">
        <v>931</v>
      </c>
      <c r="R280" t="s">
        <v>383</v>
      </c>
      <c r="S280">
        <v>2012</v>
      </c>
      <c r="T280">
        <v>9</v>
      </c>
      <c r="U280" t="s">
        <v>123</v>
      </c>
      <c r="V280" t="s">
        <v>161</v>
      </c>
      <c r="W280">
        <v>2020</v>
      </c>
      <c r="X280">
        <v>0</v>
      </c>
      <c r="Y280" t="s">
        <v>162</v>
      </c>
      <c r="Z280">
        <v>2020</v>
      </c>
      <c r="AA280">
        <v>2012</v>
      </c>
      <c r="AB280" s="5">
        <v>0.42609394253799998</v>
      </c>
      <c r="AC280" s="5">
        <v>0.85218788507599996</v>
      </c>
      <c r="AD280" t="s">
        <v>162</v>
      </c>
      <c r="AE280" t="s">
        <v>163</v>
      </c>
      <c r="AF280" t="s">
        <v>162</v>
      </c>
      <c r="AG280" t="s">
        <v>162</v>
      </c>
      <c r="AH280" t="s">
        <v>162</v>
      </c>
      <c r="AI280" t="s">
        <v>162</v>
      </c>
      <c r="AJ280" t="s">
        <v>162</v>
      </c>
      <c r="AK280" t="s">
        <v>162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 s="60">
        <f t="shared" si="4"/>
        <v>1</v>
      </c>
      <c r="AU280" s="95" t="s">
        <v>187</v>
      </c>
      <c r="AV280" s="94" t="s">
        <v>165</v>
      </c>
      <c r="AW280" t="s">
        <v>162</v>
      </c>
      <c r="AX280">
        <v>2</v>
      </c>
      <c r="AY280" t="s">
        <v>167</v>
      </c>
      <c r="AZ280" t="s">
        <v>162</v>
      </c>
    </row>
    <row r="281" spans="1:52" x14ac:dyDescent="0.25">
      <c r="A281">
        <v>270</v>
      </c>
      <c r="B281" t="s">
        <v>496</v>
      </c>
      <c r="C281" t="s">
        <v>151</v>
      </c>
      <c r="D281" t="s">
        <v>497</v>
      </c>
      <c r="E281" t="s">
        <v>172</v>
      </c>
      <c r="F281" t="s">
        <v>154</v>
      </c>
      <c r="G281">
        <v>201</v>
      </c>
      <c r="H281">
        <v>200</v>
      </c>
      <c r="I281" t="s">
        <v>499</v>
      </c>
      <c r="J281">
        <v>37</v>
      </c>
      <c r="K281">
        <v>36</v>
      </c>
      <c r="L281" t="s">
        <v>323</v>
      </c>
      <c r="M281">
        <v>3</v>
      </c>
      <c r="N281" t="s">
        <v>11</v>
      </c>
      <c r="O281" t="s">
        <v>11</v>
      </c>
      <c r="P281" t="s">
        <v>157</v>
      </c>
      <c r="Q281" t="s">
        <v>162</v>
      </c>
      <c r="R281" t="s">
        <v>354</v>
      </c>
      <c r="S281">
        <v>2022</v>
      </c>
      <c r="T281">
        <v>7</v>
      </c>
      <c r="U281" t="s">
        <v>932</v>
      </c>
      <c r="V281" t="s">
        <v>162</v>
      </c>
      <c r="W281">
        <v>0</v>
      </c>
      <c r="X281">
        <v>0</v>
      </c>
      <c r="Y281" t="s">
        <v>162</v>
      </c>
      <c r="Z281">
        <v>2022</v>
      </c>
      <c r="AA281">
        <v>0</v>
      </c>
      <c r="AB281" s="5">
        <v>0.227978511025</v>
      </c>
      <c r="AC281" s="5">
        <v>0.45595702204999999</v>
      </c>
      <c r="AD281" t="s">
        <v>162</v>
      </c>
      <c r="AE281" t="s">
        <v>154</v>
      </c>
      <c r="AF281" t="s">
        <v>154</v>
      </c>
      <c r="AG281" t="s">
        <v>154</v>
      </c>
      <c r="AH281" t="s">
        <v>154</v>
      </c>
      <c r="AI281" t="s">
        <v>154</v>
      </c>
      <c r="AJ281" t="s">
        <v>154</v>
      </c>
      <c r="AK281" t="s">
        <v>154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 s="60">
        <f t="shared" si="4"/>
        <v>1</v>
      </c>
      <c r="AU281" s="95" t="s">
        <v>355</v>
      </c>
      <c r="AV281" s="94" t="s">
        <v>165</v>
      </c>
      <c r="AW281" t="s">
        <v>154</v>
      </c>
      <c r="AX281">
        <v>2</v>
      </c>
      <c r="AY281" t="s">
        <v>167</v>
      </c>
      <c r="AZ281">
        <v>30</v>
      </c>
    </row>
    <row r="282" spans="1:52" x14ac:dyDescent="0.25">
      <c r="A282">
        <v>271</v>
      </c>
      <c r="B282" t="s">
        <v>233</v>
      </c>
      <c r="C282" t="s">
        <v>163</v>
      </c>
      <c r="D282" t="s">
        <v>234</v>
      </c>
      <c r="E282" t="s">
        <v>172</v>
      </c>
      <c r="F282" t="s">
        <v>162</v>
      </c>
      <c r="G282">
        <v>2600</v>
      </c>
      <c r="H282">
        <v>2601</v>
      </c>
      <c r="I282" t="s">
        <v>933</v>
      </c>
      <c r="J282">
        <v>2800</v>
      </c>
      <c r="K282">
        <v>2801</v>
      </c>
      <c r="L282" t="s">
        <v>239</v>
      </c>
      <c r="M282">
        <v>2</v>
      </c>
      <c r="N282" t="s">
        <v>9</v>
      </c>
      <c r="O282" t="s">
        <v>9</v>
      </c>
      <c r="P282" t="s">
        <v>169</v>
      </c>
      <c r="Q282" t="s">
        <v>934</v>
      </c>
      <c r="R282" t="s">
        <v>463</v>
      </c>
      <c r="S282">
        <v>2013</v>
      </c>
      <c r="T282">
        <v>11</v>
      </c>
      <c r="U282" t="s">
        <v>162</v>
      </c>
      <c r="V282" t="s">
        <v>243</v>
      </c>
      <c r="W282">
        <v>2020</v>
      </c>
      <c r="X282">
        <v>0</v>
      </c>
      <c r="Y282" t="s">
        <v>162</v>
      </c>
      <c r="Z282">
        <v>2020</v>
      </c>
      <c r="AA282">
        <v>2003</v>
      </c>
      <c r="AB282" s="5">
        <v>0.25105867430599998</v>
      </c>
      <c r="AC282" s="5">
        <v>0.50211734861199997</v>
      </c>
      <c r="AD282" t="s">
        <v>162</v>
      </c>
      <c r="AE282" t="s">
        <v>163</v>
      </c>
      <c r="AF282" t="s">
        <v>162</v>
      </c>
      <c r="AG282" t="s">
        <v>162</v>
      </c>
      <c r="AH282" t="s">
        <v>162</v>
      </c>
      <c r="AI282" t="s">
        <v>162</v>
      </c>
      <c r="AJ282" t="s">
        <v>162</v>
      </c>
      <c r="AK282" t="s">
        <v>162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 s="60">
        <f t="shared" si="4"/>
        <v>1</v>
      </c>
      <c r="AU282" s="95" t="s">
        <v>244</v>
      </c>
      <c r="AV282" s="94" t="s">
        <v>165</v>
      </c>
      <c r="AW282" t="s">
        <v>163</v>
      </c>
      <c r="AX282">
        <v>2</v>
      </c>
      <c r="AY282" t="s">
        <v>167</v>
      </c>
      <c r="AZ282" t="s">
        <v>162</v>
      </c>
    </row>
    <row r="283" spans="1:52" x14ac:dyDescent="0.25">
      <c r="A283">
        <v>272</v>
      </c>
      <c r="B283" t="s">
        <v>835</v>
      </c>
      <c r="C283" t="s">
        <v>180</v>
      </c>
      <c r="D283" t="s">
        <v>836</v>
      </c>
      <c r="E283" t="s">
        <v>216</v>
      </c>
      <c r="F283" t="s">
        <v>162</v>
      </c>
      <c r="G283">
        <v>5100</v>
      </c>
      <c r="H283">
        <v>5101</v>
      </c>
      <c r="I283" t="s">
        <v>527</v>
      </c>
      <c r="J283">
        <v>4700</v>
      </c>
      <c r="K283">
        <v>4701</v>
      </c>
      <c r="L283" t="s">
        <v>528</v>
      </c>
      <c r="M283">
        <v>3</v>
      </c>
      <c r="N283" t="s">
        <v>9</v>
      </c>
      <c r="O283" t="s">
        <v>9</v>
      </c>
      <c r="P283" t="s">
        <v>175</v>
      </c>
      <c r="Q283" t="s">
        <v>935</v>
      </c>
      <c r="R283" t="s">
        <v>463</v>
      </c>
      <c r="S283">
        <v>2014</v>
      </c>
      <c r="T283">
        <v>5</v>
      </c>
      <c r="U283" t="s">
        <v>162</v>
      </c>
      <c r="V283" t="s">
        <v>210</v>
      </c>
      <c r="W283">
        <v>2018</v>
      </c>
      <c r="X283">
        <v>10</v>
      </c>
      <c r="Y283" t="s">
        <v>123</v>
      </c>
      <c r="Z283">
        <v>2018</v>
      </c>
      <c r="AA283">
        <v>2018</v>
      </c>
      <c r="AB283" s="5">
        <v>0.50267502529600006</v>
      </c>
      <c r="AC283" s="5">
        <v>1.0053500505899999</v>
      </c>
      <c r="AD283" t="s">
        <v>162</v>
      </c>
      <c r="AE283" t="s">
        <v>163</v>
      </c>
      <c r="AF283" t="s">
        <v>162</v>
      </c>
      <c r="AG283" t="s">
        <v>162</v>
      </c>
      <c r="AH283" t="s">
        <v>162</v>
      </c>
      <c r="AI283" t="s">
        <v>162</v>
      </c>
      <c r="AJ283" t="s">
        <v>162</v>
      </c>
      <c r="AK283" t="s">
        <v>162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>
        <v>0</v>
      </c>
      <c r="AT283" s="60">
        <f t="shared" si="4"/>
        <v>1</v>
      </c>
      <c r="AU283" s="95">
        <v>43347</v>
      </c>
      <c r="AV283" t="s">
        <v>165</v>
      </c>
      <c r="AW283" t="s">
        <v>163</v>
      </c>
      <c r="AX283">
        <v>2</v>
      </c>
      <c r="AY283" t="s">
        <v>167</v>
      </c>
      <c r="AZ283" t="s">
        <v>162</v>
      </c>
    </row>
    <row r="284" spans="1:52" x14ac:dyDescent="0.25">
      <c r="A284">
        <v>273</v>
      </c>
      <c r="B284" t="s">
        <v>220</v>
      </c>
      <c r="C284" t="s">
        <v>151</v>
      </c>
      <c r="D284" t="s">
        <v>221</v>
      </c>
      <c r="E284" t="s">
        <v>222</v>
      </c>
      <c r="F284" t="s">
        <v>162</v>
      </c>
      <c r="G284">
        <v>3555</v>
      </c>
      <c r="H284">
        <v>3554</v>
      </c>
      <c r="I284" t="s">
        <v>224</v>
      </c>
      <c r="J284">
        <v>2401</v>
      </c>
      <c r="K284">
        <v>2400</v>
      </c>
      <c r="L284" t="s">
        <v>334</v>
      </c>
      <c r="M284">
        <v>4</v>
      </c>
      <c r="N284" t="s">
        <v>9</v>
      </c>
      <c r="O284" t="s">
        <v>9</v>
      </c>
      <c r="P284" t="s">
        <v>175</v>
      </c>
      <c r="Q284" t="s">
        <v>936</v>
      </c>
      <c r="R284" t="s">
        <v>705</v>
      </c>
      <c r="S284">
        <v>2015</v>
      </c>
      <c r="T284">
        <v>8</v>
      </c>
      <c r="U284" t="s">
        <v>937</v>
      </c>
      <c r="V284" t="s">
        <v>269</v>
      </c>
      <c r="W284">
        <v>2016</v>
      </c>
      <c r="X284">
        <v>9</v>
      </c>
      <c r="Y284" t="s">
        <v>938</v>
      </c>
      <c r="Z284">
        <v>2015</v>
      </c>
      <c r="AA284">
        <v>2016</v>
      </c>
      <c r="AB284" s="5">
        <v>1.51823644618</v>
      </c>
      <c r="AC284" s="5">
        <v>3.03647289236</v>
      </c>
      <c r="AD284" t="s">
        <v>162</v>
      </c>
      <c r="AE284" t="s">
        <v>163</v>
      </c>
      <c r="AF284" t="s">
        <v>162</v>
      </c>
      <c r="AG284" t="s">
        <v>162</v>
      </c>
      <c r="AH284" t="s">
        <v>162</v>
      </c>
      <c r="AI284" t="s">
        <v>162</v>
      </c>
      <c r="AJ284" t="s">
        <v>162</v>
      </c>
      <c r="AK284" t="s">
        <v>162</v>
      </c>
      <c r="AL284">
        <v>0</v>
      </c>
      <c r="AM284">
        <v>0</v>
      </c>
      <c r="AN284">
        <v>0</v>
      </c>
      <c r="AO284">
        <v>0.85</v>
      </c>
      <c r="AP284">
        <v>0</v>
      </c>
      <c r="AQ284">
        <v>0</v>
      </c>
      <c r="AR284">
        <v>0</v>
      </c>
      <c r="AS284">
        <v>0.15</v>
      </c>
      <c r="AT284" s="60">
        <f t="shared" si="4"/>
        <v>1</v>
      </c>
      <c r="AU284" s="95">
        <v>43332</v>
      </c>
      <c r="AV284" s="94" t="s">
        <v>165</v>
      </c>
      <c r="AW284" t="s">
        <v>163</v>
      </c>
      <c r="AX284">
        <v>2</v>
      </c>
      <c r="AY284" t="s">
        <v>167</v>
      </c>
      <c r="AZ284" t="s">
        <v>162</v>
      </c>
    </row>
    <row r="285" spans="1:52" x14ac:dyDescent="0.25">
      <c r="A285">
        <v>274</v>
      </c>
      <c r="B285" t="s">
        <v>629</v>
      </c>
      <c r="C285" t="s">
        <v>151</v>
      </c>
      <c r="D285" t="s">
        <v>630</v>
      </c>
      <c r="E285" t="s">
        <v>222</v>
      </c>
      <c r="F285" t="s">
        <v>162</v>
      </c>
      <c r="G285">
        <v>2359</v>
      </c>
      <c r="H285">
        <v>2358</v>
      </c>
      <c r="I285" t="s">
        <v>378</v>
      </c>
      <c r="J285">
        <v>2001</v>
      </c>
      <c r="K285">
        <v>2000</v>
      </c>
      <c r="L285" t="s">
        <v>191</v>
      </c>
      <c r="M285">
        <v>4</v>
      </c>
      <c r="N285" t="s">
        <v>9</v>
      </c>
      <c r="O285" t="s">
        <v>9</v>
      </c>
      <c r="P285" t="s">
        <v>157</v>
      </c>
      <c r="Q285" t="s">
        <v>633</v>
      </c>
      <c r="R285" t="s">
        <v>463</v>
      </c>
      <c r="S285">
        <v>2014</v>
      </c>
      <c r="T285">
        <v>7</v>
      </c>
      <c r="U285" t="s">
        <v>162</v>
      </c>
      <c r="V285" t="s">
        <v>210</v>
      </c>
      <c r="W285">
        <v>2018</v>
      </c>
      <c r="X285">
        <v>11</v>
      </c>
      <c r="Y285" t="s">
        <v>580</v>
      </c>
      <c r="Z285">
        <v>2018</v>
      </c>
      <c r="AA285">
        <v>2018</v>
      </c>
      <c r="AB285" s="5">
        <v>0.50446990634</v>
      </c>
      <c r="AC285" s="5">
        <v>1.00893981268</v>
      </c>
      <c r="AD285" t="s">
        <v>162</v>
      </c>
      <c r="AE285" t="s">
        <v>163</v>
      </c>
      <c r="AF285" t="s">
        <v>162</v>
      </c>
      <c r="AG285" t="s">
        <v>162</v>
      </c>
      <c r="AH285" t="s">
        <v>162</v>
      </c>
      <c r="AI285" t="s">
        <v>162</v>
      </c>
      <c r="AJ285" t="s">
        <v>162</v>
      </c>
      <c r="AK285" t="s">
        <v>162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 s="60">
        <f t="shared" si="4"/>
        <v>1</v>
      </c>
      <c r="AU285" s="95">
        <v>43342</v>
      </c>
      <c r="AV285" t="s">
        <v>165</v>
      </c>
      <c r="AW285" t="s">
        <v>163</v>
      </c>
      <c r="AX285">
        <v>2</v>
      </c>
      <c r="AY285" t="s">
        <v>167</v>
      </c>
      <c r="AZ285" t="s">
        <v>162</v>
      </c>
    </row>
    <row r="286" spans="1:52" x14ac:dyDescent="0.25">
      <c r="A286">
        <v>275</v>
      </c>
      <c r="B286" t="s">
        <v>629</v>
      </c>
      <c r="C286" t="s">
        <v>151</v>
      </c>
      <c r="D286" t="s">
        <v>630</v>
      </c>
      <c r="E286" t="s">
        <v>222</v>
      </c>
      <c r="F286" t="s">
        <v>162</v>
      </c>
      <c r="G286">
        <v>1959</v>
      </c>
      <c r="H286">
        <v>1958</v>
      </c>
      <c r="I286" t="s">
        <v>191</v>
      </c>
      <c r="J286">
        <v>1833</v>
      </c>
      <c r="K286">
        <v>1832</v>
      </c>
      <c r="L286" t="s">
        <v>939</v>
      </c>
      <c r="M286">
        <v>4</v>
      </c>
      <c r="N286" t="s">
        <v>9</v>
      </c>
      <c r="O286" t="s">
        <v>9</v>
      </c>
      <c r="P286" t="s">
        <v>157</v>
      </c>
      <c r="Q286" t="s">
        <v>940</v>
      </c>
      <c r="R286" t="s">
        <v>463</v>
      </c>
      <c r="S286">
        <v>2014</v>
      </c>
      <c r="T286">
        <v>7</v>
      </c>
      <c r="U286" t="s">
        <v>162</v>
      </c>
      <c r="V286" t="s">
        <v>210</v>
      </c>
      <c r="W286">
        <v>2018</v>
      </c>
      <c r="X286">
        <v>11</v>
      </c>
      <c r="Y286" t="s">
        <v>580</v>
      </c>
      <c r="Z286">
        <v>2018</v>
      </c>
      <c r="AA286">
        <v>2018</v>
      </c>
      <c r="AB286" s="5">
        <v>0.18908716545099999</v>
      </c>
      <c r="AC286" s="5">
        <v>0.37817433090199998</v>
      </c>
      <c r="AD286" t="s">
        <v>162</v>
      </c>
      <c r="AE286" t="s">
        <v>163</v>
      </c>
      <c r="AF286" t="s">
        <v>162</v>
      </c>
      <c r="AG286" t="s">
        <v>162</v>
      </c>
      <c r="AH286" t="s">
        <v>162</v>
      </c>
      <c r="AI286" t="s">
        <v>162</v>
      </c>
      <c r="AJ286" t="s">
        <v>162</v>
      </c>
      <c r="AK286" t="s">
        <v>162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 s="60">
        <f t="shared" si="4"/>
        <v>1</v>
      </c>
      <c r="AU286" s="95">
        <v>43342</v>
      </c>
      <c r="AV286" t="s">
        <v>165</v>
      </c>
      <c r="AW286" t="s">
        <v>163</v>
      </c>
      <c r="AX286">
        <v>2</v>
      </c>
      <c r="AY286" t="s">
        <v>167</v>
      </c>
      <c r="AZ286" t="s">
        <v>162</v>
      </c>
    </row>
    <row r="287" spans="1:52" x14ac:dyDescent="0.25">
      <c r="A287">
        <v>276</v>
      </c>
      <c r="B287" t="s">
        <v>228</v>
      </c>
      <c r="C287" t="s">
        <v>163</v>
      </c>
      <c r="D287" t="s">
        <v>229</v>
      </c>
      <c r="E287" t="s">
        <v>216</v>
      </c>
      <c r="F287" t="s">
        <v>162</v>
      </c>
      <c r="G287">
        <v>3560</v>
      </c>
      <c r="H287">
        <v>3561</v>
      </c>
      <c r="I287" t="s">
        <v>190</v>
      </c>
      <c r="J287">
        <v>4686</v>
      </c>
      <c r="K287">
        <v>4683</v>
      </c>
      <c r="L287" t="s">
        <v>811</v>
      </c>
      <c r="M287">
        <v>3</v>
      </c>
      <c r="N287" t="s">
        <v>9</v>
      </c>
      <c r="O287" t="s">
        <v>9</v>
      </c>
      <c r="P287" t="s">
        <v>157</v>
      </c>
      <c r="Q287" t="s">
        <v>533</v>
      </c>
      <c r="R287" t="s">
        <v>941</v>
      </c>
      <c r="S287">
        <v>2014</v>
      </c>
      <c r="T287">
        <v>12</v>
      </c>
      <c r="U287" t="s">
        <v>942</v>
      </c>
      <c r="V287" t="s">
        <v>162</v>
      </c>
      <c r="W287">
        <v>0</v>
      </c>
      <c r="X287">
        <v>0</v>
      </c>
      <c r="Y287" t="s">
        <v>162</v>
      </c>
      <c r="Z287">
        <v>2014</v>
      </c>
      <c r="AA287">
        <v>1999</v>
      </c>
      <c r="AB287" s="5">
        <v>0.34858375625100002</v>
      </c>
      <c r="AC287" s="5">
        <v>0.69716751250200004</v>
      </c>
      <c r="AD287" t="s">
        <v>162</v>
      </c>
      <c r="AE287" t="s">
        <v>163</v>
      </c>
      <c r="AF287" t="s">
        <v>162</v>
      </c>
      <c r="AG287" t="s">
        <v>162</v>
      </c>
      <c r="AH287" t="s">
        <v>162</v>
      </c>
      <c r="AI287" t="s">
        <v>162</v>
      </c>
      <c r="AJ287" t="s">
        <v>162</v>
      </c>
      <c r="AK287" t="s">
        <v>162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 s="60">
        <f t="shared" si="4"/>
        <v>1</v>
      </c>
      <c r="AU287" s="95">
        <v>43332</v>
      </c>
      <c r="AV287" s="94" t="s">
        <v>165</v>
      </c>
      <c r="AW287" t="s">
        <v>163</v>
      </c>
      <c r="AX287">
        <v>2</v>
      </c>
      <c r="AY287" t="s">
        <v>167</v>
      </c>
      <c r="AZ287" t="s">
        <v>162</v>
      </c>
    </row>
    <row r="288" spans="1:52" x14ac:dyDescent="0.25">
      <c r="A288">
        <v>277</v>
      </c>
      <c r="B288" t="s">
        <v>757</v>
      </c>
      <c r="C288" t="s">
        <v>151</v>
      </c>
      <c r="D288" t="s">
        <v>758</v>
      </c>
      <c r="E288" t="s">
        <v>222</v>
      </c>
      <c r="F288" t="s">
        <v>154</v>
      </c>
      <c r="G288">
        <v>2383</v>
      </c>
      <c r="H288">
        <v>2382</v>
      </c>
      <c r="I288" t="s">
        <v>384</v>
      </c>
      <c r="J288">
        <v>2217</v>
      </c>
      <c r="K288">
        <v>2222</v>
      </c>
      <c r="L288" t="s">
        <v>653</v>
      </c>
      <c r="M288">
        <v>3</v>
      </c>
      <c r="N288" t="s">
        <v>7</v>
      </c>
      <c r="O288" t="s">
        <v>760</v>
      </c>
      <c r="P288" t="s">
        <v>157</v>
      </c>
      <c r="Q288" t="s">
        <v>162</v>
      </c>
      <c r="R288" t="s">
        <v>500</v>
      </c>
      <c r="S288">
        <v>2022</v>
      </c>
      <c r="T288">
        <v>9</v>
      </c>
      <c r="U288" t="s">
        <v>761</v>
      </c>
      <c r="V288" t="s">
        <v>162</v>
      </c>
      <c r="W288">
        <v>0</v>
      </c>
      <c r="X288">
        <v>0</v>
      </c>
      <c r="Y288" t="s">
        <v>162</v>
      </c>
      <c r="Z288">
        <v>2021</v>
      </c>
      <c r="AA288">
        <v>2014</v>
      </c>
      <c r="AB288" s="5">
        <v>0.14556824953299999</v>
      </c>
      <c r="AC288" s="5">
        <v>0.29113649906599998</v>
      </c>
      <c r="AD288" t="s">
        <v>154</v>
      </c>
      <c r="AE288" t="s">
        <v>163</v>
      </c>
      <c r="AF288" t="s">
        <v>154</v>
      </c>
      <c r="AG288" t="s">
        <v>163</v>
      </c>
      <c r="AH288" t="s">
        <v>162</v>
      </c>
      <c r="AI288" t="s">
        <v>504</v>
      </c>
      <c r="AJ288" t="s">
        <v>163</v>
      </c>
      <c r="AK288" t="s">
        <v>162</v>
      </c>
      <c r="AL288">
        <v>2022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 s="60">
        <f t="shared" si="4"/>
        <v>1</v>
      </c>
      <c r="AU288" s="95" t="s">
        <v>213</v>
      </c>
      <c r="AV288" s="94" t="s">
        <v>165</v>
      </c>
      <c r="AW288" t="s">
        <v>166</v>
      </c>
      <c r="AX288">
        <v>2</v>
      </c>
      <c r="AY288" t="s">
        <v>167</v>
      </c>
      <c r="AZ288" t="s">
        <v>162</v>
      </c>
    </row>
    <row r="289" spans="1:52" x14ac:dyDescent="0.25">
      <c r="A289">
        <v>278</v>
      </c>
      <c r="B289" t="s">
        <v>368</v>
      </c>
      <c r="C289" t="s">
        <v>163</v>
      </c>
      <c r="D289" t="s">
        <v>369</v>
      </c>
      <c r="E289" t="s">
        <v>370</v>
      </c>
      <c r="F289" t="s">
        <v>162</v>
      </c>
      <c r="G289">
        <v>6400</v>
      </c>
      <c r="H289">
        <v>6401</v>
      </c>
      <c r="I289" t="s">
        <v>374</v>
      </c>
      <c r="J289">
        <v>5100</v>
      </c>
      <c r="K289">
        <v>5101</v>
      </c>
      <c r="L289" t="s">
        <v>230</v>
      </c>
      <c r="M289">
        <v>3</v>
      </c>
      <c r="N289" t="s">
        <v>9</v>
      </c>
      <c r="O289" t="s">
        <v>9</v>
      </c>
      <c r="P289" t="s">
        <v>175</v>
      </c>
      <c r="Q289" t="s">
        <v>943</v>
      </c>
      <c r="R289" t="s">
        <v>705</v>
      </c>
      <c r="S289">
        <v>2015</v>
      </c>
      <c r="T289">
        <v>8</v>
      </c>
      <c r="U289" t="s">
        <v>162</v>
      </c>
      <c r="V289" t="s">
        <v>162</v>
      </c>
      <c r="W289">
        <v>0</v>
      </c>
      <c r="X289">
        <v>0</v>
      </c>
      <c r="Y289" t="s">
        <v>162</v>
      </c>
      <c r="Z289">
        <v>2015</v>
      </c>
      <c r="AA289">
        <v>0</v>
      </c>
      <c r="AB289" s="5">
        <v>1.38259954279</v>
      </c>
      <c r="AC289" s="5">
        <v>2.7651990855799999</v>
      </c>
      <c r="AD289" t="s">
        <v>162</v>
      </c>
      <c r="AE289" t="s">
        <v>163</v>
      </c>
      <c r="AF289" t="s">
        <v>162</v>
      </c>
      <c r="AG289" t="s">
        <v>162</v>
      </c>
      <c r="AH289" t="s">
        <v>162</v>
      </c>
      <c r="AI289" t="s">
        <v>162</v>
      </c>
      <c r="AJ289" t="s">
        <v>162</v>
      </c>
      <c r="AK289" t="s">
        <v>162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 s="60">
        <f t="shared" si="4"/>
        <v>1</v>
      </c>
      <c r="AU289" s="95">
        <v>43339</v>
      </c>
      <c r="AV289" s="94" t="s">
        <v>165</v>
      </c>
      <c r="AW289" t="s">
        <v>163</v>
      </c>
      <c r="AX289">
        <v>2</v>
      </c>
      <c r="AY289" t="s">
        <v>167</v>
      </c>
      <c r="AZ289" t="s">
        <v>162</v>
      </c>
    </row>
    <row r="290" spans="1:52" x14ac:dyDescent="0.25">
      <c r="A290">
        <v>279</v>
      </c>
      <c r="B290" t="s">
        <v>924</v>
      </c>
      <c r="C290" t="s">
        <v>180</v>
      </c>
      <c r="D290" t="s">
        <v>925</v>
      </c>
      <c r="E290" t="s">
        <v>172</v>
      </c>
      <c r="F290" t="s">
        <v>162</v>
      </c>
      <c r="G290">
        <v>800</v>
      </c>
      <c r="H290">
        <v>801</v>
      </c>
      <c r="I290" t="s">
        <v>391</v>
      </c>
      <c r="J290">
        <v>600</v>
      </c>
      <c r="K290">
        <v>601</v>
      </c>
      <c r="L290" t="s">
        <v>292</v>
      </c>
      <c r="M290">
        <v>4</v>
      </c>
      <c r="N290" t="s">
        <v>15</v>
      </c>
      <c r="O290" t="s">
        <v>15</v>
      </c>
      <c r="P290" t="s">
        <v>175</v>
      </c>
      <c r="Q290" t="s">
        <v>944</v>
      </c>
      <c r="R290" t="s">
        <v>359</v>
      </c>
      <c r="S290">
        <v>2017</v>
      </c>
      <c r="T290">
        <v>9</v>
      </c>
      <c r="U290" t="s">
        <v>162</v>
      </c>
      <c r="V290" t="s">
        <v>162</v>
      </c>
      <c r="W290">
        <v>0</v>
      </c>
      <c r="X290">
        <v>0</v>
      </c>
      <c r="Y290" t="s">
        <v>162</v>
      </c>
      <c r="Z290">
        <v>2017</v>
      </c>
      <c r="AA290">
        <v>0</v>
      </c>
      <c r="AB290" s="5">
        <v>0.172156637822</v>
      </c>
      <c r="AC290" s="5">
        <v>0.34431327564399999</v>
      </c>
      <c r="AD290" t="s">
        <v>162</v>
      </c>
      <c r="AE290" t="s">
        <v>163</v>
      </c>
      <c r="AF290" t="s">
        <v>162</v>
      </c>
      <c r="AG290" t="s">
        <v>162</v>
      </c>
      <c r="AH290" t="s">
        <v>162</v>
      </c>
      <c r="AI290" t="s">
        <v>162</v>
      </c>
      <c r="AJ290" t="s">
        <v>162</v>
      </c>
      <c r="AK290" t="s">
        <v>162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 s="60">
        <f t="shared" si="4"/>
        <v>1</v>
      </c>
      <c r="AU290" s="95">
        <v>43347</v>
      </c>
      <c r="AV290" s="94" t="s">
        <v>165</v>
      </c>
      <c r="AW290" t="s">
        <v>162</v>
      </c>
      <c r="AX290">
        <v>2</v>
      </c>
      <c r="AY290" t="s">
        <v>167</v>
      </c>
      <c r="AZ290" t="s">
        <v>162</v>
      </c>
    </row>
    <row r="291" spans="1:52" x14ac:dyDescent="0.25">
      <c r="A291">
        <v>280</v>
      </c>
      <c r="B291" t="s">
        <v>945</v>
      </c>
      <c r="C291" t="s">
        <v>151</v>
      </c>
      <c r="D291" t="s">
        <v>946</v>
      </c>
      <c r="E291" t="s">
        <v>172</v>
      </c>
      <c r="F291" t="s">
        <v>154</v>
      </c>
      <c r="G291">
        <v>2001</v>
      </c>
      <c r="H291">
        <v>2000</v>
      </c>
      <c r="I291" t="s">
        <v>173</v>
      </c>
      <c r="J291">
        <v>1600</v>
      </c>
      <c r="K291">
        <v>1601</v>
      </c>
      <c r="L291" t="s">
        <v>575</v>
      </c>
      <c r="M291">
        <v>4</v>
      </c>
      <c r="N291" t="s">
        <v>7</v>
      </c>
      <c r="O291" t="s">
        <v>7</v>
      </c>
      <c r="P291" t="s">
        <v>175</v>
      </c>
      <c r="Q291" t="s">
        <v>947</v>
      </c>
      <c r="R291" t="s">
        <v>359</v>
      </c>
      <c r="S291">
        <v>2017</v>
      </c>
      <c r="T291">
        <v>9</v>
      </c>
      <c r="U291" t="s">
        <v>162</v>
      </c>
      <c r="V291" t="s">
        <v>162</v>
      </c>
      <c r="W291">
        <v>0</v>
      </c>
      <c r="X291">
        <v>0</v>
      </c>
      <c r="Y291" t="s">
        <v>162</v>
      </c>
      <c r="Z291">
        <v>2017</v>
      </c>
      <c r="AA291">
        <v>0</v>
      </c>
      <c r="AB291" s="5">
        <v>0.50838607178399997</v>
      </c>
      <c r="AC291" s="5">
        <v>1.0167721435699999</v>
      </c>
      <c r="AD291" t="s">
        <v>162</v>
      </c>
      <c r="AE291" t="s">
        <v>163</v>
      </c>
      <c r="AF291" t="s">
        <v>154</v>
      </c>
      <c r="AG291" t="s">
        <v>154</v>
      </c>
      <c r="AH291" t="s">
        <v>162</v>
      </c>
      <c r="AI291" t="s">
        <v>226</v>
      </c>
      <c r="AJ291" t="s">
        <v>154</v>
      </c>
      <c r="AK291" t="s">
        <v>162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 s="60">
        <f t="shared" si="4"/>
        <v>1</v>
      </c>
      <c r="AU291" s="95" t="s">
        <v>360</v>
      </c>
      <c r="AV291" t="s">
        <v>165</v>
      </c>
      <c r="AW291" t="s">
        <v>166</v>
      </c>
      <c r="AX291">
        <v>1</v>
      </c>
      <c r="AY291" t="s">
        <v>167</v>
      </c>
      <c r="AZ291" t="s">
        <v>162</v>
      </c>
    </row>
    <row r="292" spans="1:52" x14ac:dyDescent="0.25">
      <c r="A292">
        <v>281</v>
      </c>
      <c r="B292" t="s">
        <v>228</v>
      </c>
      <c r="C292" t="s">
        <v>163</v>
      </c>
      <c r="D292" t="s">
        <v>229</v>
      </c>
      <c r="E292" t="s">
        <v>216</v>
      </c>
      <c r="F292" t="s">
        <v>162</v>
      </c>
      <c r="G292">
        <v>1600</v>
      </c>
      <c r="H292">
        <v>1601</v>
      </c>
      <c r="I292" t="s">
        <v>298</v>
      </c>
      <c r="J292">
        <v>2200</v>
      </c>
      <c r="K292">
        <v>2201</v>
      </c>
      <c r="L292" t="s">
        <v>236</v>
      </c>
      <c r="M292">
        <v>3</v>
      </c>
      <c r="N292" t="s">
        <v>9</v>
      </c>
      <c r="O292" t="s">
        <v>9</v>
      </c>
      <c r="P292" t="s">
        <v>157</v>
      </c>
      <c r="Q292" t="s">
        <v>533</v>
      </c>
      <c r="R292" t="s">
        <v>422</v>
      </c>
      <c r="S292">
        <v>2015</v>
      </c>
      <c r="T292">
        <v>12</v>
      </c>
      <c r="U292" t="s">
        <v>123</v>
      </c>
      <c r="V292" t="s">
        <v>162</v>
      </c>
      <c r="W292">
        <v>0</v>
      </c>
      <c r="X292">
        <v>0</v>
      </c>
      <c r="Y292" t="s">
        <v>162</v>
      </c>
      <c r="Z292">
        <v>2015</v>
      </c>
      <c r="AA292">
        <v>2015</v>
      </c>
      <c r="AB292" s="5">
        <v>0.91966442249799996</v>
      </c>
      <c r="AC292" s="5">
        <v>1.839328845</v>
      </c>
      <c r="AD292" t="s">
        <v>162</v>
      </c>
      <c r="AE292" t="s">
        <v>163</v>
      </c>
      <c r="AF292" t="s">
        <v>162</v>
      </c>
      <c r="AG292" t="s">
        <v>162</v>
      </c>
      <c r="AH292" t="s">
        <v>162</v>
      </c>
      <c r="AI292" t="s">
        <v>162</v>
      </c>
      <c r="AJ292" t="s">
        <v>162</v>
      </c>
      <c r="AK292" t="s">
        <v>162</v>
      </c>
      <c r="AL292">
        <v>0</v>
      </c>
      <c r="AM292">
        <v>0</v>
      </c>
      <c r="AN292">
        <v>0.6</v>
      </c>
      <c r="AO292">
        <v>0</v>
      </c>
      <c r="AP292">
        <v>0</v>
      </c>
      <c r="AQ292">
        <v>0</v>
      </c>
      <c r="AR292">
        <v>0</v>
      </c>
      <c r="AS292">
        <v>0.4</v>
      </c>
      <c r="AT292" s="60">
        <f t="shared" si="4"/>
        <v>1</v>
      </c>
      <c r="AU292" s="95" t="s">
        <v>360</v>
      </c>
      <c r="AV292" s="94" t="s">
        <v>165</v>
      </c>
      <c r="AW292" t="s">
        <v>166</v>
      </c>
      <c r="AX292">
        <v>2</v>
      </c>
      <c r="AY292" t="s">
        <v>167</v>
      </c>
      <c r="AZ292" t="s">
        <v>162</v>
      </c>
    </row>
    <row r="293" spans="1:52" x14ac:dyDescent="0.25">
      <c r="A293">
        <v>282</v>
      </c>
      <c r="B293" t="s">
        <v>948</v>
      </c>
      <c r="C293" t="s">
        <v>151</v>
      </c>
      <c r="D293" t="s">
        <v>949</v>
      </c>
      <c r="E293" t="s">
        <v>172</v>
      </c>
      <c r="F293" t="s">
        <v>162</v>
      </c>
      <c r="G293">
        <v>1361</v>
      </c>
      <c r="H293">
        <v>1360</v>
      </c>
      <c r="I293" t="s">
        <v>174</v>
      </c>
      <c r="J293">
        <v>801</v>
      </c>
      <c r="K293">
        <v>800</v>
      </c>
      <c r="L293" t="s">
        <v>576</v>
      </c>
      <c r="M293">
        <v>3</v>
      </c>
      <c r="N293" t="s">
        <v>7</v>
      </c>
      <c r="O293" t="s">
        <v>7</v>
      </c>
      <c r="P293" t="s">
        <v>157</v>
      </c>
      <c r="Q293" t="s">
        <v>162</v>
      </c>
      <c r="R293" t="s">
        <v>950</v>
      </c>
      <c r="S293">
        <v>2019</v>
      </c>
      <c r="T293">
        <v>8</v>
      </c>
      <c r="U293" t="s">
        <v>951</v>
      </c>
      <c r="V293" t="s">
        <v>162</v>
      </c>
      <c r="W293">
        <v>0</v>
      </c>
      <c r="X293">
        <v>0</v>
      </c>
      <c r="Y293" t="s">
        <v>162</v>
      </c>
      <c r="Z293">
        <v>2017</v>
      </c>
      <c r="AA293">
        <v>2017</v>
      </c>
      <c r="AB293" s="5">
        <v>0.75678023577499998</v>
      </c>
      <c r="AC293" s="5">
        <v>1.51356047155</v>
      </c>
      <c r="AD293" t="s">
        <v>162</v>
      </c>
      <c r="AE293" t="s">
        <v>163</v>
      </c>
      <c r="AF293" t="s">
        <v>162</v>
      </c>
      <c r="AG293" t="s">
        <v>162</v>
      </c>
      <c r="AH293" t="s">
        <v>162</v>
      </c>
      <c r="AI293" t="s">
        <v>226</v>
      </c>
      <c r="AJ293" t="s">
        <v>162</v>
      </c>
      <c r="AK293" t="s">
        <v>162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 s="60">
        <f t="shared" si="4"/>
        <v>1</v>
      </c>
      <c r="AU293" s="95" t="s">
        <v>360</v>
      </c>
      <c r="AV293" t="s">
        <v>165</v>
      </c>
      <c r="AW293" t="s">
        <v>166</v>
      </c>
      <c r="AX293">
        <v>1</v>
      </c>
      <c r="AY293" t="s">
        <v>167</v>
      </c>
      <c r="AZ293" t="s">
        <v>162</v>
      </c>
    </row>
    <row r="294" spans="1:52" x14ac:dyDescent="0.25">
      <c r="A294">
        <v>283</v>
      </c>
      <c r="B294" t="s">
        <v>345</v>
      </c>
      <c r="C294" t="s">
        <v>180</v>
      </c>
      <c r="D294" t="s">
        <v>346</v>
      </c>
      <c r="E294" t="s">
        <v>172</v>
      </c>
      <c r="F294" t="s">
        <v>154</v>
      </c>
      <c r="G294">
        <v>2529</v>
      </c>
      <c r="H294">
        <v>2528</v>
      </c>
      <c r="I294" t="s">
        <v>952</v>
      </c>
      <c r="J294">
        <v>2039</v>
      </c>
      <c r="K294">
        <v>2038</v>
      </c>
      <c r="L294" t="s">
        <v>347</v>
      </c>
      <c r="M294">
        <v>2</v>
      </c>
      <c r="N294" t="s">
        <v>7</v>
      </c>
      <c r="O294" t="s">
        <v>7</v>
      </c>
      <c r="P294" t="s">
        <v>175</v>
      </c>
      <c r="Q294" t="s">
        <v>349</v>
      </c>
      <c r="R294" t="s">
        <v>314</v>
      </c>
      <c r="S294">
        <v>2013</v>
      </c>
      <c r="T294">
        <v>10</v>
      </c>
      <c r="U294" t="s">
        <v>953</v>
      </c>
      <c r="V294" t="s">
        <v>243</v>
      </c>
      <c r="W294">
        <v>2020</v>
      </c>
      <c r="X294">
        <v>0</v>
      </c>
      <c r="Y294" t="s">
        <v>162</v>
      </c>
      <c r="Z294">
        <v>2020</v>
      </c>
      <c r="AA294">
        <v>2013</v>
      </c>
      <c r="AB294" s="5">
        <v>0.76414143761800002</v>
      </c>
      <c r="AC294" s="5">
        <v>1.5282828752399999</v>
      </c>
      <c r="AD294" t="s">
        <v>154</v>
      </c>
      <c r="AE294" t="s">
        <v>163</v>
      </c>
      <c r="AF294" t="s">
        <v>154</v>
      </c>
      <c r="AG294" t="s">
        <v>154</v>
      </c>
      <c r="AH294" t="s">
        <v>163</v>
      </c>
      <c r="AI294" t="s">
        <v>226</v>
      </c>
      <c r="AJ294" t="s">
        <v>154</v>
      </c>
      <c r="AK294" t="s">
        <v>166</v>
      </c>
      <c r="AL294">
        <v>2017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 s="60">
        <f t="shared" si="4"/>
        <v>1</v>
      </c>
      <c r="AU294" s="95" t="s">
        <v>213</v>
      </c>
      <c r="AV294" s="94" t="s">
        <v>165</v>
      </c>
      <c r="AW294" t="s">
        <v>166</v>
      </c>
      <c r="AX294">
        <v>1</v>
      </c>
      <c r="AY294" t="s">
        <v>167</v>
      </c>
      <c r="AZ294" t="s">
        <v>162</v>
      </c>
    </row>
    <row r="295" spans="1:52" x14ac:dyDescent="0.25">
      <c r="A295">
        <v>284</v>
      </c>
      <c r="B295" t="s">
        <v>754</v>
      </c>
      <c r="C295" t="s">
        <v>180</v>
      </c>
      <c r="D295" t="s">
        <v>755</v>
      </c>
      <c r="E295" t="s">
        <v>182</v>
      </c>
      <c r="F295" t="s">
        <v>162</v>
      </c>
      <c r="G295">
        <v>7101</v>
      </c>
      <c r="H295">
        <v>7100</v>
      </c>
      <c r="I295" t="s">
        <v>954</v>
      </c>
      <c r="J295">
        <v>7901</v>
      </c>
      <c r="K295">
        <v>7900</v>
      </c>
      <c r="L295" t="s">
        <v>309</v>
      </c>
      <c r="M295">
        <v>4</v>
      </c>
      <c r="N295" t="s">
        <v>9</v>
      </c>
      <c r="O295" t="s">
        <v>9</v>
      </c>
      <c r="P295" t="s">
        <v>157</v>
      </c>
      <c r="Q295" t="s">
        <v>756</v>
      </c>
      <c r="R295" t="s">
        <v>314</v>
      </c>
      <c r="S295">
        <v>2013</v>
      </c>
      <c r="T295">
        <v>9</v>
      </c>
      <c r="U295" t="s">
        <v>123</v>
      </c>
      <c r="V295" t="s">
        <v>243</v>
      </c>
      <c r="W295">
        <v>2020</v>
      </c>
      <c r="X295">
        <v>0</v>
      </c>
      <c r="Y295" t="s">
        <v>162</v>
      </c>
      <c r="Z295">
        <v>2020</v>
      </c>
      <c r="AA295">
        <v>2013</v>
      </c>
      <c r="AB295" s="5">
        <v>1.2455802117400001</v>
      </c>
      <c r="AC295" s="5">
        <v>2.4911604234800002</v>
      </c>
      <c r="AD295" t="s">
        <v>162</v>
      </c>
      <c r="AE295" t="s">
        <v>163</v>
      </c>
      <c r="AF295" t="s">
        <v>162</v>
      </c>
      <c r="AG295" t="s">
        <v>162</v>
      </c>
      <c r="AH295" t="s">
        <v>162</v>
      </c>
      <c r="AI295" t="s">
        <v>162</v>
      </c>
      <c r="AJ295" t="s">
        <v>162</v>
      </c>
      <c r="AK295" t="s">
        <v>162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 s="60">
        <f t="shared" si="4"/>
        <v>1</v>
      </c>
      <c r="AU295" s="95" t="s">
        <v>350</v>
      </c>
      <c r="AV295" s="94" t="s">
        <v>165</v>
      </c>
      <c r="AW295" t="s">
        <v>166</v>
      </c>
      <c r="AX295">
        <v>2</v>
      </c>
      <c r="AY295" t="s">
        <v>167</v>
      </c>
      <c r="AZ295" t="s">
        <v>162</v>
      </c>
    </row>
    <row r="296" spans="1:52" x14ac:dyDescent="0.25">
      <c r="A296">
        <v>285</v>
      </c>
      <c r="B296" t="s">
        <v>480</v>
      </c>
      <c r="C296" t="s">
        <v>163</v>
      </c>
      <c r="D296" t="s">
        <v>481</v>
      </c>
      <c r="E296" t="s">
        <v>216</v>
      </c>
      <c r="F296" t="s">
        <v>162</v>
      </c>
      <c r="G296">
        <v>1701</v>
      </c>
      <c r="H296">
        <v>1700</v>
      </c>
      <c r="I296" t="s">
        <v>955</v>
      </c>
      <c r="J296">
        <v>1825</v>
      </c>
      <c r="K296">
        <v>1826</v>
      </c>
      <c r="L296" t="s">
        <v>956</v>
      </c>
      <c r="M296">
        <v>2</v>
      </c>
      <c r="N296" t="s">
        <v>9</v>
      </c>
      <c r="O296" t="s">
        <v>9</v>
      </c>
      <c r="P296" t="s">
        <v>157</v>
      </c>
      <c r="Q296" t="s">
        <v>162</v>
      </c>
      <c r="R296" t="s">
        <v>647</v>
      </c>
      <c r="S296">
        <v>2013</v>
      </c>
      <c r="T296">
        <v>9</v>
      </c>
      <c r="U296" t="s">
        <v>162</v>
      </c>
      <c r="V296" t="s">
        <v>267</v>
      </c>
      <c r="W296">
        <v>2018</v>
      </c>
      <c r="X296">
        <v>8</v>
      </c>
      <c r="Y296" t="s">
        <v>957</v>
      </c>
      <c r="Z296">
        <v>2018</v>
      </c>
      <c r="AA296">
        <v>2014</v>
      </c>
      <c r="AB296" s="5">
        <v>0.188749355339</v>
      </c>
      <c r="AC296" s="5">
        <v>0.377498710678</v>
      </c>
      <c r="AD296" t="s">
        <v>162</v>
      </c>
      <c r="AE296" t="s">
        <v>163</v>
      </c>
      <c r="AF296" t="s">
        <v>162</v>
      </c>
      <c r="AG296" t="s">
        <v>162</v>
      </c>
      <c r="AH296" t="s">
        <v>162</v>
      </c>
      <c r="AI296" t="s">
        <v>162</v>
      </c>
      <c r="AJ296" t="s">
        <v>162</v>
      </c>
      <c r="AK296" t="s">
        <v>166</v>
      </c>
      <c r="AL296">
        <v>2017</v>
      </c>
      <c r="AM296">
        <v>0</v>
      </c>
      <c r="AN296">
        <v>0.75</v>
      </c>
      <c r="AO296">
        <v>0.25</v>
      </c>
      <c r="AP296">
        <v>0</v>
      </c>
      <c r="AQ296">
        <v>0</v>
      </c>
      <c r="AR296">
        <v>0</v>
      </c>
      <c r="AS296">
        <v>0</v>
      </c>
      <c r="AT296" s="60">
        <f t="shared" si="4"/>
        <v>1</v>
      </c>
      <c r="AU296" s="95">
        <v>43341</v>
      </c>
      <c r="AV296" t="s">
        <v>165</v>
      </c>
      <c r="AW296" t="s">
        <v>163</v>
      </c>
      <c r="AX296">
        <v>2</v>
      </c>
      <c r="AY296" t="s">
        <v>167</v>
      </c>
      <c r="AZ296" t="s">
        <v>162</v>
      </c>
    </row>
    <row r="297" spans="1:52" x14ac:dyDescent="0.25">
      <c r="A297">
        <v>286</v>
      </c>
      <c r="B297" t="s">
        <v>262</v>
      </c>
      <c r="C297" t="s">
        <v>203</v>
      </c>
      <c r="D297" t="s">
        <v>263</v>
      </c>
      <c r="E297" t="s">
        <v>222</v>
      </c>
      <c r="F297" t="s">
        <v>162</v>
      </c>
      <c r="G297">
        <v>900</v>
      </c>
      <c r="H297">
        <v>901</v>
      </c>
      <c r="I297" t="s">
        <v>618</v>
      </c>
      <c r="J297">
        <v>1058</v>
      </c>
      <c r="K297">
        <v>1059</v>
      </c>
      <c r="L297" t="s">
        <v>958</v>
      </c>
      <c r="M297">
        <v>2</v>
      </c>
      <c r="N297" t="s">
        <v>9</v>
      </c>
      <c r="O297" t="s">
        <v>9</v>
      </c>
      <c r="P297" t="s">
        <v>157</v>
      </c>
      <c r="Q297" t="s">
        <v>679</v>
      </c>
      <c r="R297" t="s">
        <v>959</v>
      </c>
      <c r="S297">
        <v>2014</v>
      </c>
      <c r="T297">
        <v>6</v>
      </c>
      <c r="U297" t="s">
        <v>311</v>
      </c>
      <c r="V297" t="s">
        <v>243</v>
      </c>
      <c r="W297">
        <v>2020</v>
      </c>
      <c r="X297">
        <v>0</v>
      </c>
      <c r="Y297" t="s">
        <v>162</v>
      </c>
      <c r="Z297">
        <v>2020</v>
      </c>
      <c r="AA297">
        <v>2014</v>
      </c>
      <c r="AB297" s="5">
        <v>0.217941860751</v>
      </c>
      <c r="AC297" s="5">
        <v>0.435883721502</v>
      </c>
      <c r="AD297" t="s">
        <v>162</v>
      </c>
      <c r="AE297" t="s">
        <v>163</v>
      </c>
      <c r="AF297" t="s">
        <v>162</v>
      </c>
      <c r="AG297" t="s">
        <v>162</v>
      </c>
      <c r="AH297" t="s">
        <v>162</v>
      </c>
      <c r="AI297" t="s">
        <v>162</v>
      </c>
      <c r="AJ297" t="s">
        <v>162</v>
      </c>
      <c r="AK297" t="s">
        <v>162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 s="60">
        <f t="shared" si="4"/>
        <v>1</v>
      </c>
      <c r="AU297" s="95" t="s">
        <v>350</v>
      </c>
      <c r="AV297" t="s">
        <v>165</v>
      </c>
      <c r="AW297" t="s">
        <v>166</v>
      </c>
      <c r="AX297">
        <v>2</v>
      </c>
      <c r="AY297" t="s">
        <v>167</v>
      </c>
      <c r="AZ297" t="s">
        <v>162</v>
      </c>
    </row>
    <row r="298" spans="1:52" x14ac:dyDescent="0.25">
      <c r="A298">
        <v>287</v>
      </c>
      <c r="B298" t="s">
        <v>220</v>
      </c>
      <c r="C298" t="s">
        <v>151</v>
      </c>
      <c r="D298" t="s">
        <v>221</v>
      </c>
      <c r="E298" t="s">
        <v>222</v>
      </c>
      <c r="F298" t="s">
        <v>203</v>
      </c>
      <c r="G298">
        <v>800</v>
      </c>
      <c r="H298">
        <v>801</v>
      </c>
      <c r="I298" t="s">
        <v>576</v>
      </c>
      <c r="J298">
        <v>600</v>
      </c>
      <c r="K298">
        <v>601</v>
      </c>
      <c r="L298" t="s">
        <v>627</v>
      </c>
      <c r="M298">
        <v>4</v>
      </c>
      <c r="N298" t="s">
        <v>9</v>
      </c>
      <c r="O298" t="s">
        <v>9</v>
      </c>
      <c r="P298" t="s">
        <v>175</v>
      </c>
      <c r="Q298" t="s">
        <v>960</v>
      </c>
      <c r="R298" t="s">
        <v>705</v>
      </c>
      <c r="S298">
        <v>2017</v>
      </c>
      <c r="T298">
        <v>5</v>
      </c>
      <c r="U298" t="s">
        <v>961</v>
      </c>
      <c r="V298" t="s">
        <v>162</v>
      </c>
      <c r="W298">
        <v>0</v>
      </c>
      <c r="X298">
        <v>0</v>
      </c>
      <c r="Y298" t="s">
        <v>162</v>
      </c>
      <c r="Z298">
        <v>2017</v>
      </c>
      <c r="AA298">
        <v>0</v>
      </c>
      <c r="AB298" s="5">
        <v>0.242770854116</v>
      </c>
      <c r="AC298" s="5">
        <v>0.242770854116</v>
      </c>
      <c r="AD298" t="s">
        <v>162</v>
      </c>
      <c r="AE298" t="s">
        <v>166</v>
      </c>
      <c r="AF298" t="s">
        <v>203</v>
      </c>
      <c r="AG298" t="s">
        <v>163</v>
      </c>
      <c r="AH298" t="s">
        <v>162</v>
      </c>
      <c r="AI298" t="s">
        <v>162</v>
      </c>
      <c r="AJ298" t="s">
        <v>162</v>
      </c>
      <c r="AK298" t="s">
        <v>166</v>
      </c>
      <c r="AL298">
        <v>2017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 s="60">
        <f t="shared" si="4"/>
        <v>1</v>
      </c>
      <c r="AU298" s="95">
        <v>43363</v>
      </c>
      <c r="AV298" s="94" t="s">
        <v>165</v>
      </c>
      <c r="AW298" t="s">
        <v>163</v>
      </c>
      <c r="AX298">
        <v>2</v>
      </c>
      <c r="AY298" t="s">
        <v>167</v>
      </c>
      <c r="AZ298" t="s">
        <v>162</v>
      </c>
    </row>
    <row r="299" spans="1:52" x14ac:dyDescent="0.25">
      <c r="A299">
        <v>288</v>
      </c>
      <c r="B299" t="s">
        <v>648</v>
      </c>
      <c r="C299" t="s">
        <v>151</v>
      </c>
      <c r="D299" t="s">
        <v>649</v>
      </c>
      <c r="E299" t="s">
        <v>172</v>
      </c>
      <c r="F299" t="s">
        <v>162</v>
      </c>
      <c r="G299">
        <v>2401</v>
      </c>
      <c r="H299">
        <v>2400</v>
      </c>
      <c r="I299" t="s">
        <v>378</v>
      </c>
      <c r="J299">
        <v>2000</v>
      </c>
      <c r="K299">
        <v>2001</v>
      </c>
      <c r="L299" t="s">
        <v>962</v>
      </c>
      <c r="M299">
        <v>3</v>
      </c>
      <c r="N299" t="s">
        <v>9</v>
      </c>
      <c r="O299" t="s">
        <v>9</v>
      </c>
      <c r="P299" t="s">
        <v>157</v>
      </c>
      <c r="Q299" t="s">
        <v>709</v>
      </c>
      <c r="R299" t="s">
        <v>320</v>
      </c>
      <c r="S299">
        <v>2014</v>
      </c>
      <c r="T299">
        <v>1</v>
      </c>
      <c r="U299" t="s">
        <v>123</v>
      </c>
      <c r="V299" t="s">
        <v>162</v>
      </c>
      <c r="W299">
        <v>0</v>
      </c>
      <c r="X299">
        <v>0</v>
      </c>
      <c r="Y299" t="s">
        <v>162</v>
      </c>
      <c r="Z299">
        <v>2014</v>
      </c>
      <c r="AA299">
        <v>2014</v>
      </c>
      <c r="AB299" s="5">
        <v>0.50382999982599996</v>
      </c>
      <c r="AC299" s="5">
        <v>1.00765999965</v>
      </c>
      <c r="AD299" t="s">
        <v>162</v>
      </c>
      <c r="AE299" t="s">
        <v>163</v>
      </c>
      <c r="AF299" t="s">
        <v>162</v>
      </c>
      <c r="AG299" t="s">
        <v>162</v>
      </c>
      <c r="AH299" t="s">
        <v>162</v>
      </c>
      <c r="AI299" t="s">
        <v>162</v>
      </c>
      <c r="AJ299" t="s">
        <v>162</v>
      </c>
      <c r="AK299" t="s">
        <v>162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 s="60">
        <f t="shared" si="4"/>
        <v>1</v>
      </c>
      <c r="AU299" s="95">
        <v>43343</v>
      </c>
      <c r="AV299" s="94" t="s">
        <v>165</v>
      </c>
      <c r="AW299" t="s">
        <v>163</v>
      </c>
      <c r="AX299">
        <v>2</v>
      </c>
      <c r="AY299" t="s">
        <v>167</v>
      </c>
      <c r="AZ299" t="s">
        <v>162</v>
      </c>
    </row>
    <row r="300" spans="1:52" x14ac:dyDescent="0.25">
      <c r="A300">
        <v>289</v>
      </c>
      <c r="B300" t="s">
        <v>963</v>
      </c>
      <c r="C300" t="s">
        <v>180</v>
      </c>
      <c r="D300" t="s">
        <v>964</v>
      </c>
      <c r="E300" t="s">
        <v>216</v>
      </c>
      <c r="F300" t="s">
        <v>162</v>
      </c>
      <c r="G300">
        <v>8682</v>
      </c>
      <c r="H300">
        <v>8681</v>
      </c>
      <c r="I300" t="s">
        <v>265</v>
      </c>
      <c r="J300">
        <v>8500</v>
      </c>
      <c r="K300">
        <v>8561</v>
      </c>
      <c r="L300" t="s">
        <v>576</v>
      </c>
      <c r="M300">
        <v>4</v>
      </c>
      <c r="N300" t="s">
        <v>9</v>
      </c>
      <c r="O300" t="s">
        <v>9</v>
      </c>
      <c r="P300" t="s">
        <v>175</v>
      </c>
      <c r="Q300" t="s">
        <v>965</v>
      </c>
      <c r="R300" t="s">
        <v>320</v>
      </c>
      <c r="S300">
        <v>2014</v>
      </c>
      <c r="T300">
        <v>12</v>
      </c>
      <c r="U300" t="s">
        <v>311</v>
      </c>
      <c r="V300" t="s">
        <v>162</v>
      </c>
      <c r="W300">
        <v>0</v>
      </c>
      <c r="X300">
        <v>0</v>
      </c>
      <c r="Y300" t="s">
        <v>162</v>
      </c>
      <c r="Z300">
        <v>2014</v>
      </c>
      <c r="AA300">
        <v>2014</v>
      </c>
      <c r="AB300" s="5">
        <v>0.22464119541200001</v>
      </c>
      <c r="AC300" s="5">
        <v>0.44928239082400001</v>
      </c>
      <c r="AD300" t="s">
        <v>162</v>
      </c>
      <c r="AE300" t="s">
        <v>163</v>
      </c>
      <c r="AF300" t="s">
        <v>162</v>
      </c>
      <c r="AG300" t="s">
        <v>162</v>
      </c>
      <c r="AH300" t="s">
        <v>162</v>
      </c>
      <c r="AI300" t="s">
        <v>162</v>
      </c>
      <c r="AJ300" t="s">
        <v>162</v>
      </c>
      <c r="AK300" t="s">
        <v>162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 s="60">
        <f t="shared" si="4"/>
        <v>1</v>
      </c>
      <c r="AU300" s="95">
        <v>43347</v>
      </c>
      <c r="AV300" s="94" t="s">
        <v>165</v>
      </c>
      <c r="AW300" t="s">
        <v>163</v>
      </c>
      <c r="AX300">
        <v>2</v>
      </c>
      <c r="AY300" t="s">
        <v>167</v>
      </c>
      <c r="AZ300" t="s">
        <v>162</v>
      </c>
    </row>
    <row r="301" spans="1:52" x14ac:dyDescent="0.25">
      <c r="A301">
        <v>290</v>
      </c>
      <c r="B301" t="s">
        <v>228</v>
      </c>
      <c r="C301" t="s">
        <v>163</v>
      </c>
      <c r="D301" t="s">
        <v>229</v>
      </c>
      <c r="E301" t="s">
        <v>216</v>
      </c>
      <c r="F301" t="s">
        <v>162</v>
      </c>
      <c r="G301">
        <v>5000</v>
      </c>
      <c r="H301">
        <v>5001</v>
      </c>
      <c r="I301" t="s">
        <v>833</v>
      </c>
      <c r="J301">
        <v>3600</v>
      </c>
      <c r="K301">
        <v>3601</v>
      </c>
      <c r="L301" t="s">
        <v>817</v>
      </c>
      <c r="M301">
        <v>3</v>
      </c>
      <c r="N301" t="s">
        <v>9</v>
      </c>
      <c r="O301" t="s">
        <v>9</v>
      </c>
      <c r="P301" t="s">
        <v>157</v>
      </c>
      <c r="Q301" t="s">
        <v>533</v>
      </c>
      <c r="R301" t="s">
        <v>941</v>
      </c>
      <c r="S301">
        <v>2014</v>
      </c>
      <c r="T301">
        <v>12</v>
      </c>
      <c r="U301" t="s">
        <v>966</v>
      </c>
      <c r="V301" t="s">
        <v>455</v>
      </c>
      <c r="W301">
        <v>2020</v>
      </c>
      <c r="X301">
        <v>0</v>
      </c>
      <c r="Y301" t="s">
        <v>123</v>
      </c>
      <c r="Z301">
        <v>2020</v>
      </c>
      <c r="AA301">
        <v>2020</v>
      </c>
      <c r="AB301" s="5">
        <v>2.0839778718800002</v>
      </c>
      <c r="AC301" s="5">
        <v>4.1679557437600003</v>
      </c>
      <c r="AD301" t="s">
        <v>162</v>
      </c>
      <c r="AE301" t="s">
        <v>163</v>
      </c>
      <c r="AF301" t="s">
        <v>162</v>
      </c>
      <c r="AG301" t="s">
        <v>162</v>
      </c>
      <c r="AH301" t="s">
        <v>162</v>
      </c>
      <c r="AI301" t="s">
        <v>162</v>
      </c>
      <c r="AJ301" t="s">
        <v>162</v>
      </c>
      <c r="AK301" t="s">
        <v>166</v>
      </c>
      <c r="AL301">
        <v>2015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s="60">
        <f t="shared" si="4"/>
        <v>1</v>
      </c>
      <c r="AU301" s="95" t="s">
        <v>187</v>
      </c>
      <c r="AV301" t="s">
        <v>165</v>
      </c>
      <c r="AW301" t="s">
        <v>163</v>
      </c>
      <c r="AX301">
        <v>2</v>
      </c>
      <c r="AY301" t="s">
        <v>167</v>
      </c>
      <c r="AZ301" t="s">
        <v>162</v>
      </c>
    </row>
    <row r="302" spans="1:52" x14ac:dyDescent="0.25">
      <c r="A302">
        <v>291</v>
      </c>
      <c r="B302" t="s">
        <v>306</v>
      </c>
      <c r="C302" t="s">
        <v>180</v>
      </c>
      <c r="D302" t="s">
        <v>307</v>
      </c>
      <c r="E302" t="s">
        <v>216</v>
      </c>
      <c r="F302" t="s">
        <v>162</v>
      </c>
      <c r="G302">
        <v>7100</v>
      </c>
      <c r="H302">
        <v>7101</v>
      </c>
      <c r="I302" t="s">
        <v>309</v>
      </c>
      <c r="J302">
        <v>6700</v>
      </c>
      <c r="K302">
        <v>6701</v>
      </c>
      <c r="L302" t="s">
        <v>967</v>
      </c>
      <c r="M302">
        <v>3</v>
      </c>
      <c r="N302" t="s">
        <v>9</v>
      </c>
      <c r="O302" t="s">
        <v>9</v>
      </c>
      <c r="P302" t="s">
        <v>157</v>
      </c>
      <c r="Q302" t="s">
        <v>162</v>
      </c>
      <c r="R302" t="s">
        <v>705</v>
      </c>
      <c r="S302">
        <v>2015</v>
      </c>
      <c r="T302">
        <v>9</v>
      </c>
      <c r="U302" t="s">
        <v>208</v>
      </c>
      <c r="V302" t="s">
        <v>238</v>
      </c>
      <c r="W302">
        <v>2018</v>
      </c>
      <c r="X302">
        <v>8</v>
      </c>
      <c r="Y302" t="s">
        <v>123</v>
      </c>
      <c r="Z302">
        <v>2018</v>
      </c>
      <c r="AA302">
        <v>2018</v>
      </c>
      <c r="AB302" s="5">
        <v>2.1372029918000002</v>
      </c>
      <c r="AC302" s="5">
        <v>4.2744059836000003</v>
      </c>
      <c r="AD302" t="s">
        <v>162</v>
      </c>
      <c r="AE302" t="s">
        <v>163</v>
      </c>
      <c r="AF302" t="s">
        <v>162</v>
      </c>
      <c r="AG302" t="s">
        <v>162</v>
      </c>
      <c r="AH302" t="s">
        <v>162</v>
      </c>
      <c r="AI302" t="s">
        <v>162</v>
      </c>
      <c r="AJ302" t="s">
        <v>162</v>
      </c>
      <c r="AK302" t="s">
        <v>162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 s="60">
        <f t="shared" si="4"/>
        <v>1</v>
      </c>
      <c r="AU302" s="95">
        <v>43349</v>
      </c>
      <c r="AV302" s="94" t="s">
        <v>165</v>
      </c>
      <c r="AW302" t="s">
        <v>163</v>
      </c>
      <c r="AX302">
        <v>2</v>
      </c>
      <c r="AY302" t="s">
        <v>167</v>
      </c>
      <c r="AZ302" t="s">
        <v>162</v>
      </c>
    </row>
    <row r="303" spans="1:52" x14ac:dyDescent="0.25">
      <c r="A303">
        <v>292</v>
      </c>
      <c r="B303" t="s">
        <v>315</v>
      </c>
      <c r="C303" t="s">
        <v>163</v>
      </c>
      <c r="D303" t="s">
        <v>316</v>
      </c>
      <c r="E303" t="s">
        <v>216</v>
      </c>
      <c r="F303" t="s">
        <v>162</v>
      </c>
      <c r="G303">
        <v>900</v>
      </c>
      <c r="H303">
        <v>901</v>
      </c>
      <c r="I303" t="s">
        <v>968</v>
      </c>
      <c r="J303">
        <v>1000</v>
      </c>
      <c r="K303">
        <v>1001</v>
      </c>
      <c r="L303" t="s">
        <v>458</v>
      </c>
      <c r="M303">
        <v>3</v>
      </c>
      <c r="N303" t="s">
        <v>7</v>
      </c>
      <c r="O303" t="s">
        <v>7</v>
      </c>
      <c r="P303" t="s">
        <v>169</v>
      </c>
      <c r="Q303" t="s">
        <v>162</v>
      </c>
      <c r="R303" t="s">
        <v>705</v>
      </c>
      <c r="S303">
        <v>2015</v>
      </c>
      <c r="T303">
        <v>8</v>
      </c>
      <c r="U303" t="s">
        <v>162</v>
      </c>
      <c r="V303" t="s">
        <v>243</v>
      </c>
      <c r="W303">
        <v>2020</v>
      </c>
      <c r="X303">
        <v>0</v>
      </c>
      <c r="Y303" t="s">
        <v>162</v>
      </c>
      <c r="Z303">
        <v>2020</v>
      </c>
      <c r="AA303">
        <v>0</v>
      </c>
      <c r="AB303" s="5">
        <v>0.16431674749799999</v>
      </c>
      <c r="AC303" s="5">
        <v>0.32863349499599998</v>
      </c>
      <c r="AD303" t="s">
        <v>162</v>
      </c>
      <c r="AE303" t="s">
        <v>163</v>
      </c>
      <c r="AF303" t="s">
        <v>162</v>
      </c>
      <c r="AG303" t="s">
        <v>162</v>
      </c>
      <c r="AH303" t="s">
        <v>163</v>
      </c>
      <c r="AI303" t="s">
        <v>226</v>
      </c>
      <c r="AJ303" t="s">
        <v>166</v>
      </c>
      <c r="AK303" t="s">
        <v>166</v>
      </c>
      <c r="AL303">
        <v>2017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 s="60">
        <f t="shared" si="4"/>
        <v>1</v>
      </c>
      <c r="AU303" s="95" t="s">
        <v>244</v>
      </c>
      <c r="AV303" t="s">
        <v>165</v>
      </c>
      <c r="AW303" t="s">
        <v>166</v>
      </c>
      <c r="AX303">
        <v>1</v>
      </c>
      <c r="AY303" t="s">
        <v>167</v>
      </c>
      <c r="AZ303" t="s">
        <v>162</v>
      </c>
    </row>
    <row r="304" spans="1:52" x14ac:dyDescent="0.25">
      <c r="A304">
        <v>293</v>
      </c>
      <c r="B304" t="s">
        <v>766</v>
      </c>
      <c r="C304" t="s">
        <v>180</v>
      </c>
      <c r="D304" t="s">
        <v>767</v>
      </c>
      <c r="E304" t="s">
        <v>216</v>
      </c>
      <c r="F304" t="s">
        <v>162</v>
      </c>
      <c r="G304">
        <v>11258</v>
      </c>
      <c r="H304">
        <v>11259</v>
      </c>
      <c r="I304" t="s">
        <v>969</v>
      </c>
      <c r="J304">
        <v>9500</v>
      </c>
      <c r="K304">
        <v>9501</v>
      </c>
      <c r="L304" t="s">
        <v>456</v>
      </c>
      <c r="M304">
        <v>2</v>
      </c>
      <c r="N304" t="s">
        <v>9</v>
      </c>
      <c r="O304" t="s">
        <v>9</v>
      </c>
      <c r="P304" t="s">
        <v>175</v>
      </c>
      <c r="Q304" t="s">
        <v>970</v>
      </c>
      <c r="R304" t="s">
        <v>359</v>
      </c>
      <c r="S304">
        <v>2017</v>
      </c>
      <c r="T304">
        <v>9</v>
      </c>
      <c r="U304" t="s">
        <v>162</v>
      </c>
      <c r="V304" t="s">
        <v>162</v>
      </c>
      <c r="W304">
        <v>0</v>
      </c>
      <c r="X304">
        <v>0</v>
      </c>
      <c r="Y304" t="s">
        <v>162</v>
      </c>
      <c r="Z304">
        <v>2017</v>
      </c>
      <c r="AA304">
        <v>0</v>
      </c>
      <c r="AB304" s="5">
        <v>2.3036748145399999</v>
      </c>
      <c r="AC304" s="5">
        <v>4.6073496290799998</v>
      </c>
      <c r="AD304" t="s">
        <v>162</v>
      </c>
      <c r="AE304" t="s">
        <v>163</v>
      </c>
      <c r="AF304" t="s">
        <v>162</v>
      </c>
      <c r="AG304" t="s">
        <v>162</v>
      </c>
      <c r="AH304" t="s">
        <v>162</v>
      </c>
      <c r="AI304" t="s">
        <v>162</v>
      </c>
      <c r="AJ304" t="s">
        <v>162</v>
      </c>
      <c r="AK304" t="s">
        <v>162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 s="60">
        <f t="shared" si="4"/>
        <v>1</v>
      </c>
      <c r="AU304" s="95">
        <v>43347</v>
      </c>
      <c r="AV304" s="94" t="s">
        <v>165</v>
      </c>
      <c r="AW304" t="s">
        <v>971</v>
      </c>
      <c r="AX304">
        <v>2</v>
      </c>
      <c r="AY304" t="s">
        <v>167</v>
      </c>
      <c r="AZ304" t="s">
        <v>162</v>
      </c>
    </row>
    <row r="305" spans="1:52" x14ac:dyDescent="0.25">
      <c r="A305">
        <v>294</v>
      </c>
      <c r="B305" t="s">
        <v>660</v>
      </c>
      <c r="C305" t="s">
        <v>151</v>
      </c>
      <c r="D305" t="s">
        <v>661</v>
      </c>
      <c r="E305" t="s">
        <v>172</v>
      </c>
      <c r="F305" t="s">
        <v>162</v>
      </c>
      <c r="G305">
        <v>2531</v>
      </c>
      <c r="H305">
        <v>2532</v>
      </c>
      <c r="I305" t="s">
        <v>723</v>
      </c>
      <c r="J305">
        <v>2401</v>
      </c>
      <c r="K305">
        <v>2400</v>
      </c>
      <c r="L305" t="s">
        <v>334</v>
      </c>
      <c r="M305">
        <v>2</v>
      </c>
      <c r="N305" t="s">
        <v>11</v>
      </c>
      <c r="O305" t="s">
        <v>11</v>
      </c>
      <c r="P305" t="s">
        <v>175</v>
      </c>
      <c r="Q305" t="s">
        <v>162</v>
      </c>
      <c r="R305" t="s">
        <v>253</v>
      </c>
      <c r="S305">
        <v>2002</v>
      </c>
      <c r="T305">
        <v>6</v>
      </c>
      <c r="U305" t="s">
        <v>162</v>
      </c>
      <c r="V305" t="s">
        <v>267</v>
      </c>
      <c r="W305">
        <v>2018</v>
      </c>
      <c r="X305">
        <v>6</v>
      </c>
      <c r="Y305" t="s">
        <v>162</v>
      </c>
      <c r="Z305">
        <v>2018</v>
      </c>
      <c r="AA305">
        <v>0</v>
      </c>
      <c r="AB305" s="5">
        <v>0.24064014770100001</v>
      </c>
      <c r="AC305" s="5">
        <v>0.48128029540200001</v>
      </c>
      <c r="AD305" t="s">
        <v>162</v>
      </c>
      <c r="AE305" t="s">
        <v>163</v>
      </c>
      <c r="AF305" t="s">
        <v>162</v>
      </c>
      <c r="AG305" t="s">
        <v>162</v>
      </c>
      <c r="AH305" t="s">
        <v>162</v>
      </c>
      <c r="AI305" t="s">
        <v>162</v>
      </c>
      <c r="AJ305" t="s">
        <v>162</v>
      </c>
      <c r="AK305" t="s">
        <v>162</v>
      </c>
      <c r="AL305">
        <v>0</v>
      </c>
      <c r="AM305">
        <v>0</v>
      </c>
      <c r="AN305">
        <v>0</v>
      </c>
      <c r="AO305">
        <v>0.4</v>
      </c>
      <c r="AP305">
        <v>0</v>
      </c>
      <c r="AQ305">
        <v>0</v>
      </c>
      <c r="AR305">
        <v>0</v>
      </c>
      <c r="AS305">
        <v>0.6</v>
      </c>
      <c r="AT305" s="60">
        <f t="shared" si="4"/>
        <v>1</v>
      </c>
      <c r="AU305" s="95">
        <v>43343</v>
      </c>
      <c r="AV305" t="s">
        <v>165</v>
      </c>
      <c r="AW305" t="s">
        <v>162</v>
      </c>
      <c r="AX305">
        <v>2</v>
      </c>
      <c r="AY305" t="s">
        <v>167</v>
      </c>
      <c r="AZ305" t="s">
        <v>162</v>
      </c>
    </row>
    <row r="306" spans="1:52" x14ac:dyDescent="0.25">
      <c r="A306">
        <v>295</v>
      </c>
      <c r="B306" t="s">
        <v>356</v>
      </c>
      <c r="C306" t="s">
        <v>180</v>
      </c>
      <c r="D306" t="s">
        <v>357</v>
      </c>
      <c r="E306" t="s">
        <v>216</v>
      </c>
      <c r="F306" t="s">
        <v>162</v>
      </c>
      <c r="G306">
        <v>8401</v>
      </c>
      <c r="H306">
        <v>8400</v>
      </c>
      <c r="I306" t="s">
        <v>576</v>
      </c>
      <c r="J306">
        <v>8463</v>
      </c>
      <c r="K306">
        <v>8462</v>
      </c>
      <c r="L306" t="s">
        <v>972</v>
      </c>
      <c r="M306">
        <v>3</v>
      </c>
      <c r="N306" t="s">
        <v>9</v>
      </c>
      <c r="O306" t="s">
        <v>9</v>
      </c>
      <c r="P306" t="s">
        <v>175</v>
      </c>
      <c r="Q306" t="s">
        <v>751</v>
      </c>
      <c r="R306" t="s">
        <v>314</v>
      </c>
      <c r="S306">
        <v>2013</v>
      </c>
      <c r="T306">
        <v>9</v>
      </c>
      <c r="U306" t="s">
        <v>123</v>
      </c>
      <c r="V306" t="s">
        <v>267</v>
      </c>
      <c r="W306">
        <v>2018</v>
      </c>
      <c r="X306">
        <v>8</v>
      </c>
      <c r="Y306" t="s">
        <v>162</v>
      </c>
      <c r="Z306">
        <v>2018</v>
      </c>
      <c r="AA306">
        <v>2013</v>
      </c>
      <c r="AB306" s="5">
        <v>0.30268575591000002</v>
      </c>
      <c r="AC306" s="5">
        <v>0.60537151182000004</v>
      </c>
      <c r="AD306" t="s">
        <v>162</v>
      </c>
      <c r="AE306" t="s">
        <v>163</v>
      </c>
      <c r="AF306" t="s">
        <v>162</v>
      </c>
      <c r="AG306" t="s">
        <v>162</v>
      </c>
      <c r="AH306" t="s">
        <v>162</v>
      </c>
      <c r="AI306" t="s">
        <v>162</v>
      </c>
      <c r="AJ306" t="s">
        <v>162</v>
      </c>
      <c r="AK306" t="s">
        <v>162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 s="60">
        <f t="shared" si="4"/>
        <v>1</v>
      </c>
      <c r="AU306" s="95">
        <v>43339</v>
      </c>
      <c r="AV306" s="94" t="s">
        <v>165</v>
      </c>
      <c r="AW306" t="s">
        <v>163</v>
      </c>
      <c r="AX306">
        <v>2</v>
      </c>
      <c r="AY306" t="s">
        <v>167</v>
      </c>
      <c r="AZ306" t="s">
        <v>162</v>
      </c>
    </row>
    <row r="307" spans="1:52" x14ac:dyDescent="0.25">
      <c r="A307">
        <v>296</v>
      </c>
      <c r="B307" t="s">
        <v>745</v>
      </c>
      <c r="C307" t="s">
        <v>180</v>
      </c>
      <c r="D307" t="s">
        <v>746</v>
      </c>
      <c r="E307" t="s">
        <v>216</v>
      </c>
      <c r="F307" t="s">
        <v>162</v>
      </c>
      <c r="G307">
        <v>1668</v>
      </c>
      <c r="H307">
        <v>1673</v>
      </c>
      <c r="I307" t="s">
        <v>348</v>
      </c>
      <c r="J307">
        <v>1417</v>
      </c>
      <c r="K307">
        <v>1400</v>
      </c>
      <c r="L307" t="s">
        <v>747</v>
      </c>
      <c r="M307">
        <v>4</v>
      </c>
      <c r="N307" t="s">
        <v>9</v>
      </c>
      <c r="O307" t="s">
        <v>9</v>
      </c>
      <c r="P307" t="s">
        <v>157</v>
      </c>
      <c r="Q307" t="s">
        <v>748</v>
      </c>
      <c r="R307" t="s">
        <v>422</v>
      </c>
      <c r="S307">
        <v>2015</v>
      </c>
      <c r="T307">
        <v>12</v>
      </c>
      <c r="U307" t="s">
        <v>123</v>
      </c>
      <c r="V307" t="s">
        <v>162</v>
      </c>
      <c r="W307">
        <v>0</v>
      </c>
      <c r="X307">
        <v>0</v>
      </c>
      <c r="Y307" t="s">
        <v>162</v>
      </c>
      <c r="Z307">
        <v>2015</v>
      </c>
      <c r="AA307">
        <v>2015</v>
      </c>
      <c r="AB307" s="5">
        <v>0.438890603469</v>
      </c>
      <c r="AC307" s="5">
        <v>0.87778120693799999</v>
      </c>
      <c r="AD307" t="s">
        <v>162</v>
      </c>
      <c r="AE307" t="s">
        <v>163</v>
      </c>
      <c r="AF307" t="s">
        <v>162</v>
      </c>
      <c r="AG307" t="s">
        <v>162</v>
      </c>
      <c r="AH307" t="s">
        <v>162</v>
      </c>
      <c r="AI307" t="s">
        <v>162</v>
      </c>
      <c r="AJ307" t="s">
        <v>162</v>
      </c>
      <c r="AK307" t="s">
        <v>162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 s="60">
        <f t="shared" si="4"/>
        <v>1</v>
      </c>
      <c r="AU307" s="95">
        <v>43347</v>
      </c>
      <c r="AV307" s="94" t="s">
        <v>165</v>
      </c>
      <c r="AW307" t="s">
        <v>163</v>
      </c>
      <c r="AX307">
        <v>2</v>
      </c>
      <c r="AY307" t="s">
        <v>167</v>
      </c>
      <c r="AZ307" t="s">
        <v>162</v>
      </c>
    </row>
    <row r="308" spans="1:52" x14ac:dyDescent="0.25">
      <c r="A308">
        <v>297</v>
      </c>
      <c r="B308" t="s">
        <v>973</v>
      </c>
      <c r="C308" t="s">
        <v>180</v>
      </c>
      <c r="D308" t="s">
        <v>974</v>
      </c>
      <c r="E308" t="s">
        <v>216</v>
      </c>
      <c r="F308" t="s">
        <v>154</v>
      </c>
      <c r="G308">
        <v>10700</v>
      </c>
      <c r="H308">
        <v>10701</v>
      </c>
      <c r="I308" t="s">
        <v>975</v>
      </c>
      <c r="J308">
        <v>10300</v>
      </c>
      <c r="K308">
        <v>10301</v>
      </c>
      <c r="L308" t="s">
        <v>976</v>
      </c>
      <c r="M308">
        <v>4</v>
      </c>
      <c r="N308" t="s">
        <v>7</v>
      </c>
      <c r="O308" t="s">
        <v>7</v>
      </c>
      <c r="P308" t="s">
        <v>157</v>
      </c>
      <c r="Q308" t="s">
        <v>162</v>
      </c>
      <c r="R308" t="s">
        <v>544</v>
      </c>
      <c r="S308">
        <v>2021</v>
      </c>
      <c r="T308">
        <v>8</v>
      </c>
      <c r="U308" t="s">
        <v>162</v>
      </c>
      <c r="V308" t="s">
        <v>162</v>
      </c>
      <c r="W308">
        <v>0</v>
      </c>
      <c r="X308">
        <v>0</v>
      </c>
      <c r="Y308" t="s">
        <v>162</v>
      </c>
      <c r="Z308">
        <v>2021</v>
      </c>
      <c r="AA308">
        <v>2013</v>
      </c>
      <c r="AB308" s="5">
        <v>0.46882879644800002</v>
      </c>
      <c r="AC308" s="5">
        <v>0.93765759289600004</v>
      </c>
      <c r="AD308" t="s">
        <v>162</v>
      </c>
      <c r="AE308" t="s">
        <v>154</v>
      </c>
      <c r="AF308" t="s">
        <v>154</v>
      </c>
      <c r="AG308" t="s">
        <v>154</v>
      </c>
      <c r="AH308" t="s">
        <v>154</v>
      </c>
      <c r="AI308" t="s">
        <v>226</v>
      </c>
      <c r="AJ308" t="s">
        <v>154</v>
      </c>
      <c r="AK308" t="s">
        <v>162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 s="60">
        <f t="shared" si="4"/>
        <v>1</v>
      </c>
      <c r="AU308" s="95" t="s">
        <v>474</v>
      </c>
      <c r="AV308" s="94" t="s">
        <v>165</v>
      </c>
      <c r="AW308" t="s">
        <v>166</v>
      </c>
      <c r="AX308">
        <v>2</v>
      </c>
      <c r="AY308" t="s">
        <v>167</v>
      </c>
      <c r="AZ308" t="s">
        <v>162</v>
      </c>
    </row>
    <row r="309" spans="1:52" x14ac:dyDescent="0.25">
      <c r="A309">
        <v>298</v>
      </c>
      <c r="B309" t="s">
        <v>977</v>
      </c>
      <c r="C309" t="s">
        <v>203</v>
      </c>
      <c r="D309" t="s">
        <v>661</v>
      </c>
      <c r="E309" t="s">
        <v>182</v>
      </c>
      <c r="F309" t="s">
        <v>162</v>
      </c>
      <c r="G309">
        <v>600</v>
      </c>
      <c r="H309">
        <v>601</v>
      </c>
      <c r="I309" t="s">
        <v>662</v>
      </c>
      <c r="J309">
        <v>798</v>
      </c>
      <c r="K309">
        <v>799</v>
      </c>
      <c r="L309" t="s">
        <v>978</v>
      </c>
      <c r="M309">
        <v>2</v>
      </c>
      <c r="N309" t="s">
        <v>7</v>
      </c>
      <c r="O309" t="s">
        <v>7</v>
      </c>
      <c r="P309" t="s">
        <v>175</v>
      </c>
      <c r="Q309" t="s">
        <v>162</v>
      </c>
      <c r="R309" t="s">
        <v>201</v>
      </c>
      <c r="S309">
        <v>2012</v>
      </c>
      <c r="T309">
        <v>10</v>
      </c>
      <c r="U309" t="s">
        <v>979</v>
      </c>
      <c r="V309" t="s">
        <v>404</v>
      </c>
      <c r="W309">
        <v>2017</v>
      </c>
      <c r="X309">
        <v>9</v>
      </c>
      <c r="Y309" t="s">
        <v>162</v>
      </c>
      <c r="Z309">
        <v>2017</v>
      </c>
      <c r="AA309">
        <v>0</v>
      </c>
      <c r="AB309" s="5">
        <v>0.11227912769499999</v>
      </c>
      <c r="AC309" s="5">
        <v>0.22455825538999999</v>
      </c>
      <c r="AD309" t="s">
        <v>154</v>
      </c>
      <c r="AE309" t="s">
        <v>163</v>
      </c>
      <c r="AF309" t="s">
        <v>154</v>
      </c>
      <c r="AG309" t="s">
        <v>154</v>
      </c>
      <c r="AH309" t="s">
        <v>154</v>
      </c>
      <c r="AI309" t="s">
        <v>212</v>
      </c>
      <c r="AJ309" t="s">
        <v>154</v>
      </c>
      <c r="AK309" t="s">
        <v>166</v>
      </c>
      <c r="AL309">
        <v>2017</v>
      </c>
      <c r="AM309">
        <v>0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0</v>
      </c>
      <c r="AT309" s="60">
        <f t="shared" si="4"/>
        <v>1</v>
      </c>
      <c r="AU309" s="95" t="s">
        <v>360</v>
      </c>
      <c r="AV309" s="94" t="s">
        <v>165</v>
      </c>
      <c r="AW309" t="s">
        <v>166</v>
      </c>
      <c r="AX309">
        <v>1</v>
      </c>
      <c r="AY309" t="s">
        <v>167</v>
      </c>
      <c r="AZ309" t="s">
        <v>162</v>
      </c>
    </row>
    <row r="310" spans="1:52" x14ac:dyDescent="0.25">
      <c r="A310">
        <v>299</v>
      </c>
      <c r="B310" t="s">
        <v>980</v>
      </c>
      <c r="C310" t="s">
        <v>203</v>
      </c>
      <c r="D310" t="s">
        <v>666</v>
      </c>
      <c r="E310" t="s">
        <v>222</v>
      </c>
      <c r="F310" t="s">
        <v>162</v>
      </c>
      <c r="G310">
        <v>100</v>
      </c>
      <c r="H310">
        <v>101</v>
      </c>
      <c r="I310" t="s">
        <v>667</v>
      </c>
      <c r="J310">
        <v>346</v>
      </c>
      <c r="K310">
        <v>347</v>
      </c>
      <c r="L310" t="s">
        <v>981</v>
      </c>
      <c r="M310">
        <v>4</v>
      </c>
      <c r="N310" t="s">
        <v>15</v>
      </c>
      <c r="O310" t="s">
        <v>15</v>
      </c>
      <c r="P310" t="s">
        <v>175</v>
      </c>
      <c r="Q310" t="s">
        <v>162</v>
      </c>
      <c r="R310" t="s">
        <v>249</v>
      </c>
      <c r="S310">
        <v>2007</v>
      </c>
      <c r="T310">
        <v>7</v>
      </c>
      <c r="U310" t="s">
        <v>162</v>
      </c>
      <c r="V310" t="s">
        <v>540</v>
      </c>
      <c r="W310">
        <v>2014</v>
      </c>
      <c r="X310">
        <v>6</v>
      </c>
      <c r="Y310" t="s">
        <v>123</v>
      </c>
      <c r="Z310">
        <v>2014</v>
      </c>
      <c r="AA310">
        <v>2014</v>
      </c>
      <c r="AB310" s="5">
        <v>0.30666602472999999</v>
      </c>
      <c r="AC310" s="5">
        <v>0.61333204945999997</v>
      </c>
      <c r="AD310" t="s">
        <v>162</v>
      </c>
      <c r="AE310" t="s">
        <v>163</v>
      </c>
      <c r="AF310" t="s">
        <v>162</v>
      </c>
      <c r="AG310" t="s">
        <v>162</v>
      </c>
      <c r="AH310" t="s">
        <v>162</v>
      </c>
      <c r="AI310" t="s">
        <v>162</v>
      </c>
      <c r="AJ310" t="s">
        <v>162</v>
      </c>
      <c r="AK310" t="s">
        <v>162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 s="60">
        <f t="shared" si="4"/>
        <v>1</v>
      </c>
      <c r="AU310" s="95">
        <v>43343</v>
      </c>
      <c r="AV310" t="s">
        <v>165</v>
      </c>
      <c r="AW310" t="s">
        <v>162</v>
      </c>
      <c r="AX310">
        <v>3</v>
      </c>
      <c r="AY310" t="s">
        <v>167</v>
      </c>
      <c r="AZ310" t="s">
        <v>162</v>
      </c>
    </row>
    <row r="311" spans="1:52" x14ac:dyDescent="0.25">
      <c r="A311">
        <v>300</v>
      </c>
      <c r="B311" t="s">
        <v>612</v>
      </c>
      <c r="C311" t="s">
        <v>163</v>
      </c>
      <c r="D311" t="s">
        <v>613</v>
      </c>
      <c r="E311" t="s">
        <v>222</v>
      </c>
      <c r="F311" t="s">
        <v>162</v>
      </c>
      <c r="G311">
        <v>6800</v>
      </c>
      <c r="H311">
        <v>6801</v>
      </c>
      <c r="I311" t="s">
        <v>982</v>
      </c>
      <c r="J311">
        <v>7429</v>
      </c>
      <c r="K311">
        <v>7430</v>
      </c>
      <c r="L311" t="s">
        <v>614</v>
      </c>
      <c r="M311">
        <v>4</v>
      </c>
      <c r="N311" t="s">
        <v>15</v>
      </c>
      <c r="O311" t="s">
        <v>15</v>
      </c>
      <c r="P311" t="s">
        <v>175</v>
      </c>
      <c r="Q311" t="s">
        <v>162</v>
      </c>
      <c r="R311" t="s">
        <v>304</v>
      </c>
      <c r="S311">
        <v>2011</v>
      </c>
      <c r="T311">
        <v>9</v>
      </c>
      <c r="U311" t="s">
        <v>162</v>
      </c>
      <c r="V311" t="s">
        <v>269</v>
      </c>
      <c r="W311">
        <v>2014</v>
      </c>
      <c r="X311">
        <v>5</v>
      </c>
      <c r="Y311" t="s">
        <v>123</v>
      </c>
      <c r="Z311">
        <v>2014</v>
      </c>
      <c r="AA311">
        <v>2014</v>
      </c>
      <c r="AB311" s="5">
        <v>0.80572599229599995</v>
      </c>
      <c r="AC311" s="5">
        <v>1.6114519845899999</v>
      </c>
      <c r="AD311" t="s">
        <v>162</v>
      </c>
      <c r="AE311" t="s">
        <v>163</v>
      </c>
      <c r="AF311" t="s">
        <v>162</v>
      </c>
      <c r="AG311" t="s">
        <v>162</v>
      </c>
      <c r="AH311" t="s">
        <v>162</v>
      </c>
      <c r="AI311" t="s">
        <v>162</v>
      </c>
      <c r="AJ311" t="s">
        <v>162</v>
      </c>
      <c r="AK311" t="s">
        <v>162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 s="60">
        <f t="shared" si="4"/>
        <v>1</v>
      </c>
      <c r="AU311" s="95">
        <v>43726</v>
      </c>
      <c r="AV311" t="s">
        <v>165</v>
      </c>
      <c r="AW311" t="s">
        <v>162</v>
      </c>
      <c r="AX311">
        <v>2</v>
      </c>
      <c r="AY311" t="s">
        <v>167</v>
      </c>
      <c r="AZ311" t="s">
        <v>162</v>
      </c>
    </row>
    <row r="312" spans="1:52" x14ac:dyDescent="0.25">
      <c r="A312">
        <v>301</v>
      </c>
      <c r="B312" t="s">
        <v>791</v>
      </c>
      <c r="C312" t="s">
        <v>180</v>
      </c>
      <c r="D312" t="s">
        <v>643</v>
      </c>
      <c r="E312" t="s">
        <v>216</v>
      </c>
      <c r="F312" t="s">
        <v>162</v>
      </c>
      <c r="G312">
        <v>429</v>
      </c>
      <c r="H312">
        <v>434</v>
      </c>
      <c r="I312" t="s">
        <v>507</v>
      </c>
      <c r="J312">
        <v>355</v>
      </c>
      <c r="K312">
        <v>400</v>
      </c>
      <c r="L312" t="s">
        <v>983</v>
      </c>
      <c r="M312">
        <v>3</v>
      </c>
      <c r="N312" t="s">
        <v>11</v>
      </c>
      <c r="O312" t="s">
        <v>11</v>
      </c>
      <c r="P312" t="s">
        <v>175</v>
      </c>
      <c r="Q312" t="s">
        <v>162</v>
      </c>
      <c r="R312" t="s">
        <v>740</v>
      </c>
      <c r="S312">
        <v>2000</v>
      </c>
      <c r="T312">
        <v>7</v>
      </c>
      <c r="U312" t="s">
        <v>162</v>
      </c>
      <c r="V312" t="s">
        <v>238</v>
      </c>
      <c r="W312">
        <v>2018</v>
      </c>
      <c r="X312">
        <v>9</v>
      </c>
      <c r="Y312" t="s">
        <v>123</v>
      </c>
      <c r="Z312">
        <v>2018</v>
      </c>
      <c r="AA312">
        <v>2018</v>
      </c>
      <c r="AB312" s="5">
        <v>8.2210171313500002E-2</v>
      </c>
      <c r="AC312" s="5">
        <v>0.164420342627</v>
      </c>
      <c r="AD312" t="s">
        <v>162</v>
      </c>
      <c r="AE312" t="s">
        <v>163</v>
      </c>
      <c r="AF312" t="s">
        <v>162</v>
      </c>
      <c r="AG312" t="s">
        <v>162</v>
      </c>
      <c r="AH312" t="s">
        <v>162</v>
      </c>
      <c r="AI312" t="s">
        <v>162</v>
      </c>
      <c r="AJ312" t="s">
        <v>162</v>
      </c>
      <c r="AK312" t="s">
        <v>162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s="60">
        <f t="shared" si="4"/>
        <v>1</v>
      </c>
      <c r="AU312" s="95">
        <v>43343</v>
      </c>
      <c r="AV312" s="94" t="s">
        <v>165</v>
      </c>
      <c r="AW312" t="s">
        <v>162</v>
      </c>
      <c r="AX312">
        <v>2</v>
      </c>
      <c r="AY312" t="s">
        <v>167</v>
      </c>
      <c r="AZ312" t="s">
        <v>162</v>
      </c>
    </row>
    <row r="313" spans="1:52" x14ac:dyDescent="0.25">
      <c r="A313">
        <v>302</v>
      </c>
      <c r="B313" t="s">
        <v>984</v>
      </c>
      <c r="C313" t="s">
        <v>180</v>
      </c>
      <c r="D313" t="s">
        <v>414</v>
      </c>
      <c r="E313" t="s">
        <v>985</v>
      </c>
      <c r="F313" t="s">
        <v>162</v>
      </c>
      <c r="G313">
        <v>1349</v>
      </c>
      <c r="H313">
        <v>1358</v>
      </c>
      <c r="I313" t="s">
        <v>415</v>
      </c>
      <c r="J313">
        <v>1346</v>
      </c>
      <c r="K313">
        <v>1347</v>
      </c>
      <c r="L313" t="s">
        <v>986</v>
      </c>
      <c r="M313">
        <v>3</v>
      </c>
      <c r="N313" t="s">
        <v>7</v>
      </c>
      <c r="O313" t="s">
        <v>7</v>
      </c>
      <c r="P313" t="s">
        <v>157</v>
      </c>
      <c r="Q313" t="s">
        <v>162</v>
      </c>
      <c r="R313" t="s">
        <v>416</v>
      </c>
      <c r="S313">
        <v>2021</v>
      </c>
      <c r="T313">
        <v>11</v>
      </c>
      <c r="U313" t="s">
        <v>162</v>
      </c>
      <c r="V313" t="s">
        <v>987</v>
      </c>
      <c r="W313">
        <v>2015</v>
      </c>
      <c r="X313">
        <v>11</v>
      </c>
      <c r="Y313" t="s">
        <v>162</v>
      </c>
      <c r="Z313">
        <v>2021</v>
      </c>
      <c r="AA313">
        <v>2015</v>
      </c>
      <c r="AB313" s="5">
        <v>7.7743956283599994E-2</v>
      </c>
      <c r="AC313" s="5">
        <v>0.15548791256700001</v>
      </c>
      <c r="AD313" t="s">
        <v>162</v>
      </c>
      <c r="AE313" t="s">
        <v>163</v>
      </c>
      <c r="AF313" t="s">
        <v>154</v>
      </c>
      <c r="AG313" t="s">
        <v>154</v>
      </c>
      <c r="AH313" t="s">
        <v>154</v>
      </c>
      <c r="AI313" t="s">
        <v>226</v>
      </c>
      <c r="AJ313" t="s">
        <v>154</v>
      </c>
      <c r="AK313" t="s">
        <v>154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 s="60">
        <f t="shared" si="4"/>
        <v>1</v>
      </c>
      <c r="AU313" s="95" t="s">
        <v>417</v>
      </c>
      <c r="AV313" t="s">
        <v>165</v>
      </c>
      <c r="AW313" t="s">
        <v>166</v>
      </c>
      <c r="AX313">
        <v>2</v>
      </c>
      <c r="AY313" t="s">
        <v>167</v>
      </c>
      <c r="AZ313" t="s">
        <v>162</v>
      </c>
    </row>
    <row r="314" spans="1:52" x14ac:dyDescent="0.25">
      <c r="A314">
        <v>303</v>
      </c>
      <c r="B314" t="s">
        <v>400</v>
      </c>
      <c r="C314" t="s">
        <v>163</v>
      </c>
      <c r="D314" t="s">
        <v>401</v>
      </c>
      <c r="E314" t="s">
        <v>216</v>
      </c>
      <c r="F314" t="s">
        <v>154</v>
      </c>
      <c r="G314">
        <v>1200</v>
      </c>
      <c r="H314">
        <v>1201</v>
      </c>
      <c r="I314" t="s">
        <v>459</v>
      </c>
      <c r="J314">
        <v>1598</v>
      </c>
      <c r="K314">
        <v>1599</v>
      </c>
      <c r="L314" t="s">
        <v>258</v>
      </c>
      <c r="M314">
        <v>3</v>
      </c>
      <c r="N314" t="s">
        <v>7</v>
      </c>
      <c r="O314" t="s">
        <v>7</v>
      </c>
      <c r="P314" t="s">
        <v>175</v>
      </c>
      <c r="Q314" t="s">
        <v>988</v>
      </c>
      <c r="R314" t="s">
        <v>908</v>
      </c>
      <c r="S314">
        <v>2015</v>
      </c>
      <c r="T314">
        <v>8</v>
      </c>
      <c r="U314" t="s">
        <v>989</v>
      </c>
      <c r="V314" t="s">
        <v>628</v>
      </c>
      <c r="W314">
        <v>2021</v>
      </c>
      <c r="X314">
        <v>6</v>
      </c>
      <c r="Y314" t="s">
        <v>162</v>
      </c>
      <c r="Z314">
        <v>2021</v>
      </c>
      <c r="AA314">
        <v>2021</v>
      </c>
      <c r="AB314" s="5">
        <v>0.61839771211500005</v>
      </c>
      <c r="AC314" s="5">
        <v>1.2367954242300001</v>
      </c>
      <c r="AD314" t="s">
        <v>154</v>
      </c>
      <c r="AE314" t="s">
        <v>163</v>
      </c>
      <c r="AF314" t="s">
        <v>154</v>
      </c>
      <c r="AG314" t="s">
        <v>154</v>
      </c>
      <c r="AH314" t="s">
        <v>163</v>
      </c>
      <c r="AI314" t="s">
        <v>194</v>
      </c>
      <c r="AJ314" t="s">
        <v>154</v>
      </c>
      <c r="AK314" t="s">
        <v>162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 s="60">
        <f t="shared" si="4"/>
        <v>1</v>
      </c>
      <c r="AU314" s="95" t="s">
        <v>213</v>
      </c>
      <c r="AV314" s="94" t="s">
        <v>165</v>
      </c>
      <c r="AW314" t="s">
        <v>166</v>
      </c>
      <c r="AX314">
        <v>1</v>
      </c>
      <c r="AY314" t="s">
        <v>167</v>
      </c>
      <c r="AZ314">
        <v>30</v>
      </c>
    </row>
    <row r="315" spans="1:52" x14ac:dyDescent="0.25">
      <c r="A315">
        <v>304</v>
      </c>
      <c r="B315" t="s">
        <v>738</v>
      </c>
      <c r="C315" t="s">
        <v>151</v>
      </c>
      <c r="D315" t="s">
        <v>739</v>
      </c>
      <c r="E315" t="s">
        <v>216</v>
      </c>
      <c r="F315" t="s">
        <v>162</v>
      </c>
      <c r="G315">
        <v>2001</v>
      </c>
      <c r="H315">
        <v>2000</v>
      </c>
      <c r="I315" t="s">
        <v>191</v>
      </c>
      <c r="J315">
        <v>2401</v>
      </c>
      <c r="K315">
        <v>2400</v>
      </c>
      <c r="L315" t="s">
        <v>378</v>
      </c>
      <c r="M315">
        <v>3</v>
      </c>
      <c r="N315" t="s">
        <v>9</v>
      </c>
      <c r="O315" t="s">
        <v>9</v>
      </c>
      <c r="P315" t="s">
        <v>157</v>
      </c>
      <c r="Q315" t="s">
        <v>990</v>
      </c>
      <c r="R315" t="s">
        <v>320</v>
      </c>
      <c r="S315">
        <v>2014</v>
      </c>
      <c r="T315">
        <v>10</v>
      </c>
      <c r="U315" t="s">
        <v>123</v>
      </c>
      <c r="V315" t="s">
        <v>243</v>
      </c>
      <c r="W315">
        <v>2020</v>
      </c>
      <c r="X315">
        <v>0</v>
      </c>
      <c r="Y315" t="s">
        <v>162</v>
      </c>
      <c r="Z315">
        <v>2020</v>
      </c>
      <c r="AA315">
        <v>2014</v>
      </c>
      <c r="AB315" s="5">
        <v>0.50475034218500003</v>
      </c>
      <c r="AC315" s="5">
        <v>1.0095006843700001</v>
      </c>
      <c r="AD315" t="s">
        <v>162</v>
      </c>
      <c r="AE315" t="s">
        <v>163</v>
      </c>
      <c r="AF315" t="s">
        <v>162</v>
      </c>
      <c r="AG315" t="s">
        <v>162</v>
      </c>
      <c r="AH315" t="s">
        <v>162</v>
      </c>
      <c r="AI315" t="s">
        <v>162</v>
      </c>
      <c r="AJ315" t="s">
        <v>162</v>
      </c>
      <c r="AK315" t="s">
        <v>162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 s="60">
        <f t="shared" si="4"/>
        <v>1</v>
      </c>
      <c r="AU315" s="95" t="s">
        <v>350</v>
      </c>
      <c r="AV315" s="94" t="s">
        <v>165</v>
      </c>
      <c r="AW315" t="s">
        <v>163</v>
      </c>
      <c r="AX315">
        <v>2</v>
      </c>
      <c r="AY315" t="s">
        <v>167</v>
      </c>
      <c r="AZ315" t="s">
        <v>162</v>
      </c>
    </row>
    <row r="316" spans="1:52" x14ac:dyDescent="0.25">
      <c r="A316">
        <v>305</v>
      </c>
      <c r="B316" t="s">
        <v>356</v>
      </c>
      <c r="C316" t="s">
        <v>180</v>
      </c>
      <c r="D316" t="s">
        <v>357</v>
      </c>
      <c r="E316" t="s">
        <v>216</v>
      </c>
      <c r="F316" t="s">
        <v>162</v>
      </c>
      <c r="G316">
        <v>10301</v>
      </c>
      <c r="H316">
        <v>10300</v>
      </c>
      <c r="I316" t="s">
        <v>749</v>
      </c>
      <c r="J316">
        <v>10501</v>
      </c>
      <c r="K316">
        <v>10500</v>
      </c>
      <c r="L316" t="s">
        <v>991</v>
      </c>
      <c r="M316">
        <v>3</v>
      </c>
      <c r="N316" t="s">
        <v>9</v>
      </c>
      <c r="O316" t="s">
        <v>9</v>
      </c>
      <c r="P316" t="s">
        <v>157</v>
      </c>
      <c r="Q316" t="s">
        <v>992</v>
      </c>
      <c r="R316" t="s">
        <v>993</v>
      </c>
      <c r="S316">
        <v>2015</v>
      </c>
      <c r="T316">
        <v>5</v>
      </c>
      <c r="U316" t="s">
        <v>162</v>
      </c>
      <c r="V316" t="s">
        <v>243</v>
      </c>
      <c r="W316">
        <v>2020</v>
      </c>
      <c r="X316">
        <v>0</v>
      </c>
      <c r="Y316" t="s">
        <v>162</v>
      </c>
      <c r="Z316">
        <v>2020</v>
      </c>
      <c r="AA316">
        <v>2003</v>
      </c>
      <c r="AB316" s="5">
        <v>0.26219472779899999</v>
      </c>
      <c r="AC316" s="5">
        <v>0.52438945559799999</v>
      </c>
      <c r="AD316" t="s">
        <v>162</v>
      </c>
      <c r="AE316" t="s">
        <v>163</v>
      </c>
      <c r="AF316" t="s">
        <v>162</v>
      </c>
      <c r="AG316" t="s">
        <v>162</v>
      </c>
      <c r="AH316" t="s">
        <v>162</v>
      </c>
      <c r="AI316" t="s">
        <v>162</v>
      </c>
      <c r="AJ316" t="s">
        <v>162</v>
      </c>
      <c r="AK316" t="s">
        <v>162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s="60">
        <f t="shared" si="4"/>
        <v>1</v>
      </c>
      <c r="AU316" s="95" t="s">
        <v>350</v>
      </c>
      <c r="AV316" s="94" t="s">
        <v>165</v>
      </c>
      <c r="AW316" t="s">
        <v>166</v>
      </c>
      <c r="AX316">
        <v>2</v>
      </c>
      <c r="AY316" t="s">
        <v>167</v>
      </c>
      <c r="AZ316" t="s">
        <v>162</v>
      </c>
    </row>
    <row r="317" spans="1:52" x14ac:dyDescent="0.25">
      <c r="A317">
        <v>306</v>
      </c>
      <c r="B317" t="s">
        <v>994</v>
      </c>
      <c r="C317" t="s">
        <v>163</v>
      </c>
      <c r="D317" t="s">
        <v>995</v>
      </c>
      <c r="E317" t="s">
        <v>172</v>
      </c>
      <c r="F317" t="s">
        <v>162</v>
      </c>
      <c r="G317">
        <v>1000</v>
      </c>
      <c r="H317">
        <v>1001</v>
      </c>
      <c r="I317" t="s">
        <v>890</v>
      </c>
      <c r="J317">
        <v>1398</v>
      </c>
      <c r="K317">
        <v>1399</v>
      </c>
      <c r="L317" t="s">
        <v>230</v>
      </c>
      <c r="M317">
        <v>4</v>
      </c>
      <c r="N317" t="s">
        <v>13</v>
      </c>
      <c r="O317" t="s">
        <v>15</v>
      </c>
      <c r="P317" t="s">
        <v>175</v>
      </c>
      <c r="Q317" t="s">
        <v>996</v>
      </c>
      <c r="R317" t="s">
        <v>304</v>
      </c>
      <c r="S317">
        <v>2014</v>
      </c>
      <c r="T317">
        <v>6</v>
      </c>
      <c r="U317" t="s">
        <v>997</v>
      </c>
      <c r="V317" t="s">
        <v>161</v>
      </c>
      <c r="W317">
        <v>2020</v>
      </c>
      <c r="X317">
        <v>0</v>
      </c>
      <c r="Y317" t="s">
        <v>162</v>
      </c>
      <c r="Z317">
        <v>2020</v>
      </c>
      <c r="AA317">
        <v>0</v>
      </c>
      <c r="AB317" s="5">
        <v>0.58105661982500001</v>
      </c>
      <c r="AC317" s="5">
        <v>1.16211323965</v>
      </c>
      <c r="AD317" t="s">
        <v>998</v>
      </c>
      <c r="AE317" t="s">
        <v>163</v>
      </c>
      <c r="AF317" t="s">
        <v>162</v>
      </c>
      <c r="AG317" t="s">
        <v>162</v>
      </c>
      <c r="AH317" t="s">
        <v>162</v>
      </c>
      <c r="AI317" t="s">
        <v>162</v>
      </c>
      <c r="AJ317" t="s">
        <v>162</v>
      </c>
      <c r="AK317" t="s">
        <v>162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 s="60">
        <f t="shared" si="4"/>
        <v>1</v>
      </c>
      <c r="AU317" s="95" t="s">
        <v>187</v>
      </c>
      <c r="AV317" t="s">
        <v>165</v>
      </c>
      <c r="AW317" t="s">
        <v>162</v>
      </c>
      <c r="AX317">
        <v>3</v>
      </c>
      <c r="AY317" t="s">
        <v>275</v>
      </c>
      <c r="AZ317" t="s">
        <v>162</v>
      </c>
    </row>
    <row r="318" spans="1:52" x14ac:dyDescent="0.25">
      <c r="A318">
        <v>307</v>
      </c>
      <c r="B318" t="s">
        <v>233</v>
      </c>
      <c r="C318" t="s">
        <v>180</v>
      </c>
      <c r="D318" t="s">
        <v>234</v>
      </c>
      <c r="E318" t="s">
        <v>172</v>
      </c>
      <c r="F318" t="s">
        <v>162</v>
      </c>
      <c r="G318">
        <v>3059</v>
      </c>
      <c r="H318">
        <v>3058</v>
      </c>
      <c r="I318" t="s">
        <v>731</v>
      </c>
      <c r="J318">
        <v>2601</v>
      </c>
      <c r="K318">
        <v>2600</v>
      </c>
      <c r="L318" t="s">
        <v>724</v>
      </c>
      <c r="M318">
        <v>2</v>
      </c>
      <c r="N318" t="s">
        <v>9</v>
      </c>
      <c r="O318" t="s">
        <v>9</v>
      </c>
      <c r="P318" t="s">
        <v>157</v>
      </c>
      <c r="Q318" t="s">
        <v>162</v>
      </c>
      <c r="R318" t="s">
        <v>463</v>
      </c>
      <c r="S318">
        <v>2014</v>
      </c>
      <c r="T318">
        <v>5</v>
      </c>
      <c r="U318" t="s">
        <v>162</v>
      </c>
      <c r="V318" t="s">
        <v>422</v>
      </c>
      <c r="W318">
        <v>2016</v>
      </c>
      <c r="X318">
        <v>6</v>
      </c>
      <c r="Y318" t="s">
        <v>123</v>
      </c>
      <c r="Z318">
        <v>2016</v>
      </c>
      <c r="AA318">
        <v>2016</v>
      </c>
      <c r="AB318" s="5">
        <v>0.50265244784300001</v>
      </c>
      <c r="AC318" s="5">
        <v>1.0053048956899999</v>
      </c>
      <c r="AD318" t="s">
        <v>162</v>
      </c>
      <c r="AE318" t="s">
        <v>163</v>
      </c>
      <c r="AF318" t="s">
        <v>162</v>
      </c>
      <c r="AG318" t="s">
        <v>162</v>
      </c>
      <c r="AH318" t="s">
        <v>162</v>
      </c>
      <c r="AI318" t="s">
        <v>162</v>
      </c>
      <c r="AJ318" t="s">
        <v>162</v>
      </c>
      <c r="AK318" t="s">
        <v>162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 s="60">
        <f t="shared" si="4"/>
        <v>1</v>
      </c>
      <c r="AU318" s="95">
        <v>43333</v>
      </c>
      <c r="AV318" s="94" t="s">
        <v>165</v>
      </c>
      <c r="AW318" t="s">
        <v>163</v>
      </c>
      <c r="AX318">
        <v>2</v>
      </c>
      <c r="AY318" t="s">
        <v>167</v>
      </c>
      <c r="AZ318" t="s">
        <v>162</v>
      </c>
    </row>
    <row r="319" spans="1:52" x14ac:dyDescent="0.25">
      <c r="A319">
        <v>308</v>
      </c>
      <c r="B319" t="s">
        <v>233</v>
      </c>
      <c r="C319" t="s">
        <v>180</v>
      </c>
      <c r="D319" t="s">
        <v>234</v>
      </c>
      <c r="E319" t="s">
        <v>172</v>
      </c>
      <c r="F319" t="s">
        <v>162</v>
      </c>
      <c r="G319">
        <v>5858</v>
      </c>
      <c r="H319">
        <v>5859</v>
      </c>
      <c r="I319" t="s">
        <v>864</v>
      </c>
      <c r="J319">
        <v>5464</v>
      </c>
      <c r="K319">
        <v>5465</v>
      </c>
      <c r="L319" t="s">
        <v>801</v>
      </c>
      <c r="M319">
        <v>2</v>
      </c>
      <c r="N319" t="s">
        <v>9</v>
      </c>
      <c r="O319" t="s">
        <v>9</v>
      </c>
      <c r="P319" t="s">
        <v>157</v>
      </c>
      <c r="Q319" t="s">
        <v>999</v>
      </c>
      <c r="R319" t="s">
        <v>463</v>
      </c>
      <c r="S319">
        <v>2014</v>
      </c>
      <c r="T319">
        <v>5</v>
      </c>
      <c r="U319" t="s">
        <v>162</v>
      </c>
      <c r="V319" t="s">
        <v>162</v>
      </c>
      <c r="W319">
        <v>0</v>
      </c>
      <c r="X319">
        <v>0</v>
      </c>
      <c r="Y319" t="s">
        <v>162</v>
      </c>
      <c r="Z319">
        <v>2014</v>
      </c>
      <c r="AA319">
        <v>2011</v>
      </c>
      <c r="AB319" s="5">
        <v>0.50230836374700005</v>
      </c>
      <c r="AC319" s="5">
        <v>1.00461672749</v>
      </c>
      <c r="AD319" t="s">
        <v>162</v>
      </c>
      <c r="AE319" t="s">
        <v>163</v>
      </c>
      <c r="AF319" t="s">
        <v>162</v>
      </c>
      <c r="AG319" t="s">
        <v>162</v>
      </c>
      <c r="AH319" t="s">
        <v>162</v>
      </c>
      <c r="AI319" t="s">
        <v>162</v>
      </c>
      <c r="AJ319" t="s">
        <v>162</v>
      </c>
      <c r="AK319" t="s">
        <v>162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 s="60">
        <f t="shared" si="4"/>
        <v>1</v>
      </c>
      <c r="AU319" s="95">
        <v>43333</v>
      </c>
      <c r="AV319" s="94" t="s">
        <v>165</v>
      </c>
      <c r="AW319" t="s">
        <v>163</v>
      </c>
      <c r="AX319">
        <v>2</v>
      </c>
      <c r="AY319" t="s">
        <v>167</v>
      </c>
      <c r="AZ319" t="s">
        <v>162</v>
      </c>
    </row>
    <row r="320" spans="1:52" x14ac:dyDescent="0.25">
      <c r="A320">
        <v>309</v>
      </c>
      <c r="B320" t="s">
        <v>952</v>
      </c>
      <c r="C320" t="s">
        <v>151</v>
      </c>
      <c r="D320" t="s">
        <v>1000</v>
      </c>
      <c r="E320" t="s">
        <v>172</v>
      </c>
      <c r="F320" t="s">
        <v>162</v>
      </c>
      <c r="G320">
        <v>4381</v>
      </c>
      <c r="H320">
        <v>4378</v>
      </c>
      <c r="I320" t="s">
        <v>1001</v>
      </c>
      <c r="J320">
        <v>4001</v>
      </c>
      <c r="K320">
        <v>4000</v>
      </c>
      <c r="L320" t="s">
        <v>1002</v>
      </c>
      <c r="M320">
        <v>3</v>
      </c>
      <c r="N320" t="s">
        <v>9</v>
      </c>
      <c r="O320" t="s">
        <v>9</v>
      </c>
      <c r="P320" t="s">
        <v>157</v>
      </c>
      <c r="Q320" t="s">
        <v>1003</v>
      </c>
      <c r="R320" t="s">
        <v>463</v>
      </c>
      <c r="S320">
        <v>2014</v>
      </c>
      <c r="T320">
        <v>5</v>
      </c>
      <c r="U320" t="s">
        <v>162</v>
      </c>
      <c r="V320" t="s">
        <v>161</v>
      </c>
      <c r="W320">
        <v>2020</v>
      </c>
      <c r="X320">
        <v>0</v>
      </c>
      <c r="Y320" t="s">
        <v>162</v>
      </c>
      <c r="Z320">
        <v>2020</v>
      </c>
      <c r="AA320">
        <v>2010</v>
      </c>
      <c r="AB320" s="5">
        <v>0.50212131637099999</v>
      </c>
      <c r="AC320" s="5">
        <v>1.00424263274</v>
      </c>
      <c r="AD320" t="s">
        <v>162</v>
      </c>
      <c r="AE320" t="s">
        <v>163</v>
      </c>
      <c r="AF320" t="s">
        <v>162</v>
      </c>
      <c r="AG320" t="s">
        <v>162</v>
      </c>
      <c r="AH320" t="s">
        <v>162</v>
      </c>
      <c r="AI320" t="s">
        <v>162</v>
      </c>
      <c r="AJ320" t="s">
        <v>162</v>
      </c>
      <c r="AK320" t="s">
        <v>162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s="60">
        <f t="shared" si="4"/>
        <v>1</v>
      </c>
      <c r="AU320" s="95" t="s">
        <v>187</v>
      </c>
      <c r="AV320" s="94" t="s">
        <v>165</v>
      </c>
      <c r="AW320" t="s">
        <v>163</v>
      </c>
      <c r="AX320">
        <v>2</v>
      </c>
      <c r="AY320" t="s">
        <v>167</v>
      </c>
      <c r="AZ320" t="s">
        <v>162</v>
      </c>
    </row>
    <row r="321" spans="1:52" x14ac:dyDescent="0.25">
      <c r="A321">
        <v>310</v>
      </c>
      <c r="B321" t="s">
        <v>629</v>
      </c>
      <c r="C321" t="s">
        <v>151</v>
      </c>
      <c r="D321" t="s">
        <v>630</v>
      </c>
      <c r="E321" t="s">
        <v>222</v>
      </c>
      <c r="F321" t="s">
        <v>162</v>
      </c>
      <c r="G321">
        <v>1827</v>
      </c>
      <c r="H321">
        <v>1826</v>
      </c>
      <c r="I321" t="s">
        <v>939</v>
      </c>
      <c r="J321">
        <v>1601</v>
      </c>
      <c r="K321">
        <v>1600</v>
      </c>
      <c r="L321" t="s">
        <v>302</v>
      </c>
      <c r="M321">
        <v>4</v>
      </c>
      <c r="N321" t="s">
        <v>9</v>
      </c>
      <c r="O321" t="s">
        <v>9</v>
      </c>
      <c r="P321" t="s">
        <v>157</v>
      </c>
      <c r="Q321" t="s">
        <v>1004</v>
      </c>
      <c r="R321" t="s">
        <v>463</v>
      </c>
      <c r="S321">
        <v>2014</v>
      </c>
      <c r="T321">
        <v>7</v>
      </c>
      <c r="U321" t="s">
        <v>162</v>
      </c>
      <c r="V321" t="s">
        <v>210</v>
      </c>
      <c r="W321">
        <v>2018</v>
      </c>
      <c r="X321">
        <v>11</v>
      </c>
      <c r="Y321" t="s">
        <v>580</v>
      </c>
      <c r="Z321">
        <v>2018</v>
      </c>
      <c r="AA321">
        <v>2018</v>
      </c>
      <c r="AB321" s="5">
        <v>0.31443954555699999</v>
      </c>
      <c r="AC321" s="5">
        <v>0.62887909111399998</v>
      </c>
      <c r="AD321" t="s">
        <v>162</v>
      </c>
      <c r="AE321" t="s">
        <v>163</v>
      </c>
      <c r="AF321" t="s">
        <v>162</v>
      </c>
      <c r="AG321" t="s">
        <v>162</v>
      </c>
      <c r="AH321" t="s">
        <v>162</v>
      </c>
      <c r="AI321" t="s">
        <v>162</v>
      </c>
      <c r="AJ321" t="s">
        <v>162</v>
      </c>
      <c r="AK321" t="s">
        <v>162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 s="60">
        <f t="shared" si="4"/>
        <v>1</v>
      </c>
      <c r="AU321" s="95">
        <v>43342</v>
      </c>
      <c r="AV321" s="94" t="s">
        <v>165</v>
      </c>
      <c r="AW321" t="s">
        <v>163</v>
      </c>
      <c r="AX321">
        <v>2</v>
      </c>
      <c r="AY321" t="s">
        <v>167</v>
      </c>
      <c r="AZ321" t="s">
        <v>162</v>
      </c>
    </row>
    <row r="322" spans="1:52" x14ac:dyDescent="0.25">
      <c r="A322">
        <v>311</v>
      </c>
      <c r="B322" t="s">
        <v>599</v>
      </c>
      <c r="C322" t="s">
        <v>151</v>
      </c>
      <c r="D322" t="s">
        <v>600</v>
      </c>
      <c r="E322" t="s">
        <v>216</v>
      </c>
      <c r="F322" t="s">
        <v>162</v>
      </c>
      <c r="G322">
        <v>999</v>
      </c>
      <c r="H322">
        <v>998</v>
      </c>
      <c r="I322" t="s">
        <v>273</v>
      </c>
      <c r="J322">
        <v>901</v>
      </c>
      <c r="K322">
        <v>900</v>
      </c>
      <c r="L322" t="s">
        <v>1005</v>
      </c>
      <c r="M322">
        <v>2</v>
      </c>
      <c r="N322" t="s">
        <v>9</v>
      </c>
      <c r="O322" t="s">
        <v>9</v>
      </c>
      <c r="P322" t="s">
        <v>175</v>
      </c>
      <c r="Q322" t="s">
        <v>1006</v>
      </c>
      <c r="R322" t="s">
        <v>304</v>
      </c>
      <c r="S322">
        <v>2014</v>
      </c>
      <c r="T322">
        <v>6</v>
      </c>
      <c r="U322" t="s">
        <v>162</v>
      </c>
      <c r="V322" t="s">
        <v>162</v>
      </c>
      <c r="W322">
        <v>0</v>
      </c>
      <c r="X322">
        <v>0</v>
      </c>
      <c r="Y322" t="s">
        <v>162</v>
      </c>
      <c r="Z322">
        <v>2014</v>
      </c>
      <c r="AA322">
        <v>0</v>
      </c>
      <c r="AB322" s="5">
        <v>0.15502161610699999</v>
      </c>
      <c r="AC322" s="5">
        <v>0.31004323221399999</v>
      </c>
      <c r="AD322" t="s">
        <v>162</v>
      </c>
      <c r="AE322" t="s">
        <v>163</v>
      </c>
      <c r="AF322" t="s">
        <v>162</v>
      </c>
      <c r="AG322" t="s">
        <v>162</v>
      </c>
      <c r="AH322" t="s">
        <v>162</v>
      </c>
      <c r="AI322" t="s">
        <v>162</v>
      </c>
      <c r="AJ322" t="s">
        <v>162</v>
      </c>
      <c r="AK322" t="s">
        <v>162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 s="60">
        <f t="shared" si="4"/>
        <v>1</v>
      </c>
      <c r="AU322" s="95">
        <v>43342</v>
      </c>
      <c r="AV322" t="s">
        <v>165</v>
      </c>
      <c r="AW322" t="s">
        <v>1007</v>
      </c>
      <c r="AX322">
        <v>2</v>
      </c>
      <c r="AY322" t="s">
        <v>167</v>
      </c>
      <c r="AZ322" t="s">
        <v>162</v>
      </c>
    </row>
    <row r="323" spans="1:52" x14ac:dyDescent="0.25">
      <c r="A323">
        <v>312</v>
      </c>
      <c r="B323" t="s">
        <v>911</v>
      </c>
      <c r="C323" t="s">
        <v>180</v>
      </c>
      <c r="D323" t="s">
        <v>912</v>
      </c>
      <c r="E323" t="s">
        <v>172</v>
      </c>
      <c r="F323" t="s">
        <v>162</v>
      </c>
      <c r="G323">
        <v>539</v>
      </c>
      <c r="H323">
        <v>538</v>
      </c>
      <c r="I323" t="s">
        <v>292</v>
      </c>
      <c r="J323">
        <v>401</v>
      </c>
      <c r="K323">
        <v>400</v>
      </c>
      <c r="L323" t="s">
        <v>198</v>
      </c>
      <c r="M323">
        <v>4</v>
      </c>
      <c r="N323" t="s">
        <v>11</v>
      </c>
      <c r="O323" t="s">
        <v>11</v>
      </c>
      <c r="P323" t="s">
        <v>169</v>
      </c>
      <c r="Q323" t="s">
        <v>162</v>
      </c>
      <c r="R323" t="s">
        <v>1008</v>
      </c>
      <c r="S323">
        <v>1999</v>
      </c>
      <c r="T323">
        <v>5</v>
      </c>
      <c r="U323" t="s">
        <v>1009</v>
      </c>
      <c r="V323" t="s">
        <v>225</v>
      </c>
      <c r="W323">
        <v>2018</v>
      </c>
      <c r="X323">
        <v>5</v>
      </c>
      <c r="Y323" t="s">
        <v>162</v>
      </c>
      <c r="Z323">
        <v>2018</v>
      </c>
      <c r="AA323">
        <v>0</v>
      </c>
      <c r="AB323" s="5">
        <v>0.16440382193600001</v>
      </c>
      <c r="AC323" s="5">
        <v>0.16440382193600001</v>
      </c>
      <c r="AD323" t="s">
        <v>162</v>
      </c>
      <c r="AE323" t="s">
        <v>166</v>
      </c>
      <c r="AF323" t="s">
        <v>163</v>
      </c>
      <c r="AG323" t="s">
        <v>163</v>
      </c>
      <c r="AH323" t="s">
        <v>162</v>
      </c>
      <c r="AI323" t="s">
        <v>162</v>
      </c>
      <c r="AJ323" t="s">
        <v>162</v>
      </c>
      <c r="AK323" t="s">
        <v>166</v>
      </c>
      <c r="AL323">
        <v>2018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 s="60">
        <f t="shared" si="4"/>
        <v>1</v>
      </c>
      <c r="AU323" s="95">
        <v>43347</v>
      </c>
      <c r="AV323" s="94" t="s">
        <v>165</v>
      </c>
      <c r="AW323" t="s">
        <v>162</v>
      </c>
      <c r="AX323">
        <v>2</v>
      </c>
      <c r="AY323" t="s">
        <v>167</v>
      </c>
      <c r="AZ323" t="s">
        <v>162</v>
      </c>
    </row>
    <row r="324" spans="1:52" x14ac:dyDescent="0.25">
      <c r="A324">
        <v>313</v>
      </c>
      <c r="B324" t="s">
        <v>245</v>
      </c>
      <c r="C324" t="s">
        <v>180</v>
      </c>
      <c r="D324" t="s">
        <v>246</v>
      </c>
      <c r="E324" t="s">
        <v>216</v>
      </c>
      <c r="F324" t="s">
        <v>162</v>
      </c>
      <c r="G324">
        <v>1801</v>
      </c>
      <c r="H324">
        <v>1800</v>
      </c>
      <c r="I324" t="s">
        <v>410</v>
      </c>
      <c r="J324">
        <v>1859</v>
      </c>
      <c r="K324">
        <v>1860</v>
      </c>
      <c r="L324" t="s">
        <v>716</v>
      </c>
      <c r="M324">
        <v>3</v>
      </c>
      <c r="N324" t="s">
        <v>11</v>
      </c>
      <c r="O324" t="s">
        <v>11</v>
      </c>
      <c r="P324" t="s">
        <v>175</v>
      </c>
      <c r="Q324" t="s">
        <v>162</v>
      </c>
      <c r="R324" t="s">
        <v>249</v>
      </c>
      <c r="S324">
        <v>2007</v>
      </c>
      <c r="T324">
        <v>10</v>
      </c>
      <c r="U324" t="s">
        <v>162</v>
      </c>
      <c r="V324" t="s">
        <v>452</v>
      </c>
      <c r="W324">
        <v>2014</v>
      </c>
      <c r="X324">
        <v>6</v>
      </c>
      <c r="Y324" t="s">
        <v>123</v>
      </c>
      <c r="Z324">
        <v>2014</v>
      </c>
      <c r="AA324">
        <v>2014</v>
      </c>
      <c r="AB324" s="5">
        <v>0.126798684627</v>
      </c>
      <c r="AC324" s="5">
        <v>0.253597369254</v>
      </c>
      <c r="AD324" t="s">
        <v>162</v>
      </c>
      <c r="AE324" t="s">
        <v>163</v>
      </c>
      <c r="AF324" t="s">
        <v>162</v>
      </c>
      <c r="AG324" t="s">
        <v>162</v>
      </c>
      <c r="AH324" t="s">
        <v>162</v>
      </c>
      <c r="AI324" t="s">
        <v>162</v>
      </c>
      <c r="AJ324" t="s">
        <v>162</v>
      </c>
      <c r="AK324" t="s">
        <v>162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 s="60">
        <f t="shared" si="4"/>
        <v>1</v>
      </c>
      <c r="AU324" s="95">
        <v>43335</v>
      </c>
      <c r="AV324" s="94" t="s">
        <v>165</v>
      </c>
      <c r="AW324" t="s">
        <v>162</v>
      </c>
      <c r="AX324">
        <v>2</v>
      </c>
      <c r="AY324" t="s">
        <v>167</v>
      </c>
      <c r="AZ324" t="s">
        <v>162</v>
      </c>
    </row>
    <row r="325" spans="1:52" x14ac:dyDescent="0.25">
      <c r="A325">
        <v>314</v>
      </c>
      <c r="B325" t="s">
        <v>279</v>
      </c>
      <c r="C325" t="s">
        <v>163</v>
      </c>
      <c r="D325" t="s">
        <v>280</v>
      </c>
      <c r="E325" t="s">
        <v>216</v>
      </c>
      <c r="F325" t="s">
        <v>163</v>
      </c>
      <c r="G325">
        <v>6200</v>
      </c>
      <c r="H325">
        <v>6201</v>
      </c>
      <c r="I325" t="s">
        <v>728</v>
      </c>
      <c r="J325">
        <v>6258</v>
      </c>
      <c r="K325">
        <v>6259</v>
      </c>
      <c r="L325" t="s">
        <v>1010</v>
      </c>
      <c r="M325">
        <v>4</v>
      </c>
      <c r="N325" t="s">
        <v>11</v>
      </c>
      <c r="O325" t="s">
        <v>11</v>
      </c>
      <c r="P325" t="s">
        <v>169</v>
      </c>
      <c r="Q325" t="s">
        <v>162</v>
      </c>
      <c r="R325" t="s">
        <v>283</v>
      </c>
      <c r="S325">
        <v>2014</v>
      </c>
      <c r="T325">
        <v>6</v>
      </c>
      <c r="U325" t="s">
        <v>162</v>
      </c>
      <c r="V325" t="s">
        <v>162</v>
      </c>
      <c r="W325">
        <v>0</v>
      </c>
      <c r="X325">
        <v>0</v>
      </c>
      <c r="Y325" t="s">
        <v>162</v>
      </c>
      <c r="Z325">
        <v>2014</v>
      </c>
      <c r="AA325">
        <v>2006</v>
      </c>
      <c r="AB325" s="5">
        <v>0.12536811216300001</v>
      </c>
      <c r="AC325" s="5">
        <v>0.12536811216300001</v>
      </c>
      <c r="AD325" t="s">
        <v>162</v>
      </c>
      <c r="AE325" t="s">
        <v>166</v>
      </c>
      <c r="AF325" t="s">
        <v>163</v>
      </c>
      <c r="AG325" t="s">
        <v>163</v>
      </c>
      <c r="AH325" t="s">
        <v>162</v>
      </c>
      <c r="AI325" t="s">
        <v>162</v>
      </c>
      <c r="AJ325" t="s">
        <v>162</v>
      </c>
      <c r="AK325" t="s">
        <v>162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 s="60">
        <f t="shared" si="4"/>
        <v>1</v>
      </c>
      <c r="AU325" s="95">
        <v>43335</v>
      </c>
      <c r="AV325" s="94" t="s">
        <v>165</v>
      </c>
      <c r="AW325" t="s">
        <v>162</v>
      </c>
      <c r="AX325">
        <v>3</v>
      </c>
      <c r="AY325" t="s">
        <v>275</v>
      </c>
      <c r="AZ325">
        <v>20</v>
      </c>
    </row>
    <row r="326" spans="1:52" x14ac:dyDescent="0.25">
      <c r="A326">
        <v>315</v>
      </c>
      <c r="B326" t="s">
        <v>448</v>
      </c>
      <c r="C326" t="s">
        <v>180</v>
      </c>
      <c r="D326" t="s">
        <v>449</v>
      </c>
      <c r="E326" t="s">
        <v>182</v>
      </c>
      <c r="F326" t="s">
        <v>180</v>
      </c>
      <c r="G326">
        <v>3601</v>
      </c>
      <c r="H326">
        <v>3600</v>
      </c>
      <c r="I326" t="s">
        <v>1011</v>
      </c>
      <c r="J326">
        <v>2601</v>
      </c>
      <c r="K326">
        <v>2600</v>
      </c>
      <c r="L326" t="s">
        <v>1012</v>
      </c>
      <c r="M326">
        <v>3</v>
      </c>
      <c r="N326" t="s">
        <v>9</v>
      </c>
      <c r="O326" t="s">
        <v>9</v>
      </c>
      <c r="P326" t="s">
        <v>157</v>
      </c>
      <c r="Q326" t="s">
        <v>162</v>
      </c>
      <c r="R326" t="s">
        <v>451</v>
      </c>
      <c r="S326">
        <v>2012</v>
      </c>
      <c r="T326">
        <v>11</v>
      </c>
      <c r="U326" t="s">
        <v>162</v>
      </c>
      <c r="V326" t="s">
        <v>422</v>
      </c>
      <c r="W326">
        <v>2016</v>
      </c>
      <c r="X326">
        <v>7</v>
      </c>
      <c r="Y326" t="s">
        <v>123</v>
      </c>
      <c r="Z326">
        <v>2016</v>
      </c>
      <c r="AA326">
        <v>2016</v>
      </c>
      <c r="AB326" s="5">
        <v>1.2611340398399999</v>
      </c>
      <c r="AC326" s="5">
        <v>1.2611340398399999</v>
      </c>
      <c r="AD326" t="s">
        <v>162</v>
      </c>
      <c r="AE326" t="s">
        <v>166</v>
      </c>
      <c r="AF326" t="s">
        <v>180</v>
      </c>
      <c r="AG326" t="s">
        <v>163</v>
      </c>
      <c r="AH326" t="s">
        <v>162</v>
      </c>
      <c r="AI326" t="s">
        <v>162</v>
      </c>
      <c r="AJ326" t="s">
        <v>162</v>
      </c>
      <c r="AK326" t="s">
        <v>162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 s="60">
        <f t="shared" si="4"/>
        <v>1</v>
      </c>
      <c r="AU326" s="95">
        <v>43339</v>
      </c>
      <c r="AV326" s="94" t="s">
        <v>165</v>
      </c>
      <c r="AW326" t="s">
        <v>163</v>
      </c>
      <c r="AX326">
        <v>2</v>
      </c>
      <c r="AY326" t="s">
        <v>167</v>
      </c>
      <c r="AZ326" t="s">
        <v>162</v>
      </c>
    </row>
    <row r="327" spans="1:52" x14ac:dyDescent="0.25">
      <c r="A327">
        <v>316</v>
      </c>
      <c r="B327" t="s">
        <v>448</v>
      </c>
      <c r="C327" t="s">
        <v>180</v>
      </c>
      <c r="D327" t="s">
        <v>449</v>
      </c>
      <c r="E327" t="s">
        <v>182</v>
      </c>
      <c r="F327" t="s">
        <v>162</v>
      </c>
      <c r="G327">
        <v>2601</v>
      </c>
      <c r="H327">
        <v>2600</v>
      </c>
      <c r="I327" t="s">
        <v>450</v>
      </c>
      <c r="J327">
        <v>5059</v>
      </c>
      <c r="K327">
        <v>5058</v>
      </c>
      <c r="L327" t="s">
        <v>1011</v>
      </c>
      <c r="M327">
        <v>3</v>
      </c>
      <c r="N327" t="s">
        <v>9</v>
      </c>
      <c r="O327" t="s">
        <v>9</v>
      </c>
      <c r="P327" t="s">
        <v>157</v>
      </c>
      <c r="Q327" t="s">
        <v>162</v>
      </c>
      <c r="R327" t="s">
        <v>451</v>
      </c>
      <c r="S327">
        <v>2012</v>
      </c>
      <c r="T327">
        <v>11</v>
      </c>
      <c r="U327" t="s">
        <v>162</v>
      </c>
      <c r="V327" t="s">
        <v>959</v>
      </c>
      <c r="W327">
        <v>2014</v>
      </c>
      <c r="X327">
        <v>7</v>
      </c>
      <c r="Y327" t="s">
        <v>123</v>
      </c>
      <c r="Z327">
        <v>2014</v>
      </c>
      <c r="AA327">
        <v>2014</v>
      </c>
      <c r="AB327" s="5">
        <v>0.12597364496999999</v>
      </c>
      <c r="AC327" s="5">
        <v>0.25194728993999999</v>
      </c>
      <c r="AD327" t="s">
        <v>162</v>
      </c>
      <c r="AE327" t="s">
        <v>163</v>
      </c>
      <c r="AF327" t="s">
        <v>162</v>
      </c>
      <c r="AG327" t="s">
        <v>162</v>
      </c>
      <c r="AH327" t="s">
        <v>162</v>
      </c>
      <c r="AI327" t="s">
        <v>162</v>
      </c>
      <c r="AJ327" t="s">
        <v>162</v>
      </c>
      <c r="AK327" t="s">
        <v>162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 s="60">
        <f t="shared" si="4"/>
        <v>1</v>
      </c>
      <c r="AU327" s="95">
        <v>43339</v>
      </c>
      <c r="AV327" t="s">
        <v>165</v>
      </c>
      <c r="AW327" t="s">
        <v>166</v>
      </c>
      <c r="AX327">
        <v>2</v>
      </c>
      <c r="AY327" t="s">
        <v>167</v>
      </c>
      <c r="AZ327" t="s">
        <v>162</v>
      </c>
    </row>
    <row r="328" spans="1:52" x14ac:dyDescent="0.25">
      <c r="A328">
        <v>317</v>
      </c>
      <c r="B328" t="s">
        <v>1013</v>
      </c>
      <c r="C328" t="s">
        <v>180</v>
      </c>
      <c r="D328" t="s">
        <v>1014</v>
      </c>
      <c r="E328" t="s">
        <v>216</v>
      </c>
      <c r="F328" t="s">
        <v>162</v>
      </c>
      <c r="G328">
        <v>8701</v>
      </c>
      <c r="H328">
        <v>8700</v>
      </c>
      <c r="I328" t="s">
        <v>879</v>
      </c>
      <c r="J328">
        <v>9203</v>
      </c>
      <c r="K328">
        <v>9202</v>
      </c>
      <c r="L328" t="s">
        <v>1015</v>
      </c>
      <c r="M328">
        <v>4</v>
      </c>
      <c r="N328" t="s">
        <v>15</v>
      </c>
      <c r="O328" t="s">
        <v>15</v>
      </c>
      <c r="P328" t="s">
        <v>175</v>
      </c>
      <c r="Q328" t="s">
        <v>1016</v>
      </c>
      <c r="R328" t="s">
        <v>186</v>
      </c>
      <c r="S328">
        <v>2013</v>
      </c>
      <c r="T328">
        <v>10</v>
      </c>
      <c r="U328" t="s">
        <v>123</v>
      </c>
      <c r="V328" t="s">
        <v>162</v>
      </c>
      <c r="W328">
        <v>0</v>
      </c>
      <c r="X328">
        <v>0</v>
      </c>
      <c r="Y328" t="s">
        <v>162</v>
      </c>
      <c r="Z328">
        <v>2013</v>
      </c>
      <c r="AA328">
        <v>2013</v>
      </c>
      <c r="AB328" s="5">
        <v>0.112784112523</v>
      </c>
      <c r="AC328" s="5">
        <v>0.22556822504599999</v>
      </c>
      <c r="AD328" t="s">
        <v>162</v>
      </c>
      <c r="AE328" t="s">
        <v>163</v>
      </c>
      <c r="AF328" t="s">
        <v>162</v>
      </c>
      <c r="AG328" t="s">
        <v>162</v>
      </c>
      <c r="AH328" t="s">
        <v>162</v>
      </c>
      <c r="AI328" t="s">
        <v>162</v>
      </c>
      <c r="AJ328" t="s">
        <v>162</v>
      </c>
      <c r="AK328" t="s">
        <v>162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 s="60">
        <f t="shared" si="4"/>
        <v>1</v>
      </c>
      <c r="AU328" s="95">
        <v>43347</v>
      </c>
      <c r="AV328" s="94" t="s">
        <v>165</v>
      </c>
      <c r="AW328" t="s">
        <v>162</v>
      </c>
      <c r="AX328">
        <v>3</v>
      </c>
      <c r="AY328" t="s">
        <v>167</v>
      </c>
      <c r="AZ328" t="s">
        <v>162</v>
      </c>
    </row>
    <row r="329" spans="1:52" x14ac:dyDescent="0.25">
      <c r="A329">
        <v>318</v>
      </c>
      <c r="B329" t="s">
        <v>256</v>
      </c>
      <c r="C329" t="s">
        <v>151</v>
      </c>
      <c r="D329" t="s">
        <v>257</v>
      </c>
      <c r="E329" t="s">
        <v>222</v>
      </c>
      <c r="F329" t="s">
        <v>203</v>
      </c>
      <c r="G329">
        <v>1439</v>
      </c>
      <c r="H329">
        <v>1434</v>
      </c>
      <c r="I329" t="s">
        <v>1017</v>
      </c>
      <c r="J329">
        <v>901</v>
      </c>
      <c r="K329">
        <v>900</v>
      </c>
      <c r="L329" t="s">
        <v>1018</v>
      </c>
      <c r="M329">
        <v>4</v>
      </c>
      <c r="N329" t="s">
        <v>9</v>
      </c>
      <c r="O329" t="s">
        <v>9</v>
      </c>
      <c r="P329" t="s">
        <v>157</v>
      </c>
      <c r="Q329" t="s">
        <v>1019</v>
      </c>
      <c r="R329" t="s">
        <v>320</v>
      </c>
      <c r="S329">
        <v>2014</v>
      </c>
      <c r="T329">
        <v>10</v>
      </c>
      <c r="U329" t="s">
        <v>604</v>
      </c>
      <c r="V329" t="s">
        <v>162</v>
      </c>
      <c r="W329">
        <v>0</v>
      </c>
      <c r="X329">
        <v>0</v>
      </c>
      <c r="Y329" t="s">
        <v>162</v>
      </c>
      <c r="Z329">
        <v>2014</v>
      </c>
      <c r="AA329">
        <v>2012</v>
      </c>
      <c r="AB329" s="5">
        <v>0.77073263690500005</v>
      </c>
      <c r="AC329" s="5">
        <v>0.77073263690500005</v>
      </c>
      <c r="AD329" t="s">
        <v>162</v>
      </c>
      <c r="AE329" t="s">
        <v>166</v>
      </c>
      <c r="AF329" t="s">
        <v>203</v>
      </c>
      <c r="AG329" t="s">
        <v>163</v>
      </c>
      <c r="AH329" t="s">
        <v>162</v>
      </c>
      <c r="AI329" t="s">
        <v>162</v>
      </c>
      <c r="AJ329" t="s">
        <v>162</v>
      </c>
      <c r="AK329" t="s">
        <v>162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s="60">
        <f t="shared" si="4"/>
        <v>1</v>
      </c>
      <c r="AU329" s="95">
        <v>43335</v>
      </c>
      <c r="AV329" t="s">
        <v>165</v>
      </c>
      <c r="AW329" t="s">
        <v>163</v>
      </c>
      <c r="AX329">
        <v>2</v>
      </c>
      <c r="AY329" t="s">
        <v>167</v>
      </c>
      <c r="AZ329" t="s">
        <v>162</v>
      </c>
    </row>
    <row r="330" spans="1:52" x14ac:dyDescent="0.25">
      <c r="A330">
        <v>319</v>
      </c>
      <c r="B330" t="s">
        <v>689</v>
      </c>
      <c r="C330" t="s">
        <v>151</v>
      </c>
      <c r="D330" t="s">
        <v>690</v>
      </c>
      <c r="E330" t="s">
        <v>216</v>
      </c>
      <c r="F330" t="s">
        <v>162</v>
      </c>
      <c r="G330">
        <v>1159</v>
      </c>
      <c r="H330">
        <v>1158</v>
      </c>
      <c r="I330" t="s">
        <v>692</v>
      </c>
      <c r="J330">
        <v>801</v>
      </c>
      <c r="K330">
        <v>800</v>
      </c>
      <c r="L330" t="s">
        <v>1020</v>
      </c>
      <c r="M330">
        <v>2</v>
      </c>
      <c r="N330" t="s">
        <v>9</v>
      </c>
      <c r="O330" t="s">
        <v>9</v>
      </c>
      <c r="P330" t="s">
        <v>157</v>
      </c>
      <c r="Q330" t="s">
        <v>162</v>
      </c>
      <c r="R330" t="s">
        <v>993</v>
      </c>
      <c r="S330">
        <v>2014</v>
      </c>
      <c r="T330">
        <v>11</v>
      </c>
      <c r="U330" t="s">
        <v>1021</v>
      </c>
      <c r="V330" t="s">
        <v>209</v>
      </c>
      <c r="W330">
        <v>2017</v>
      </c>
      <c r="X330">
        <v>6</v>
      </c>
      <c r="Y330" t="s">
        <v>162</v>
      </c>
      <c r="Z330">
        <v>2017</v>
      </c>
      <c r="AA330">
        <v>0</v>
      </c>
      <c r="AB330" s="5">
        <v>0.49967389460799999</v>
      </c>
      <c r="AC330" s="5">
        <v>0.99934778921599998</v>
      </c>
      <c r="AD330" t="s">
        <v>162</v>
      </c>
      <c r="AE330" t="s">
        <v>163</v>
      </c>
      <c r="AF330" t="s">
        <v>162</v>
      </c>
      <c r="AG330" t="s">
        <v>162</v>
      </c>
      <c r="AH330" t="s">
        <v>162</v>
      </c>
      <c r="AI330" t="s">
        <v>162</v>
      </c>
      <c r="AJ330" t="s">
        <v>162</v>
      </c>
      <c r="AK330" t="s">
        <v>166</v>
      </c>
      <c r="AL330">
        <v>2017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 s="60">
        <f t="shared" si="4"/>
        <v>1</v>
      </c>
      <c r="AU330" s="95">
        <v>43343</v>
      </c>
      <c r="AV330" t="s">
        <v>165</v>
      </c>
      <c r="AW330" t="s">
        <v>163</v>
      </c>
      <c r="AX330">
        <v>2</v>
      </c>
      <c r="AY330" t="s">
        <v>167</v>
      </c>
      <c r="AZ330" t="s">
        <v>162</v>
      </c>
    </row>
    <row r="331" spans="1:52" x14ac:dyDescent="0.25">
      <c r="A331">
        <v>320</v>
      </c>
      <c r="B331" t="s">
        <v>1022</v>
      </c>
      <c r="C331" t="s">
        <v>163</v>
      </c>
      <c r="D331" t="s">
        <v>1023</v>
      </c>
      <c r="E331" t="s">
        <v>172</v>
      </c>
      <c r="F331" t="s">
        <v>162</v>
      </c>
      <c r="G331">
        <v>632</v>
      </c>
      <c r="H331">
        <v>633</v>
      </c>
      <c r="I331" t="s">
        <v>405</v>
      </c>
      <c r="J331">
        <v>958</v>
      </c>
      <c r="K331">
        <v>959</v>
      </c>
      <c r="L331" t="s">
        <v>890</v>
      </c>
      <c r="M331">
        <v>4</v>
      </c>
      <c r="N331" t="s">
        <v>9</v>
      </c>
      <c r="O331" t="s">
        <v>9</v>
      </c>
      <c r="P331" t="s">
        <v>175</v>
      </c>
      <c r="Q331" t="s">
        <v>1024</v>
      </c>
      <c r="R331" t="s">
        <v>283</v>
      </c>
      <c r="S331">
        <v>2014</v>
      </c>
      <c r="T331">
        <v>7</v>
      </c>
      <c r="U331" t="s">
        <v>162</v>
      </c>
      <c r="V331" t="s">
        <v>162</v>
      </c>
      <c r="W331">
        <v>0</v>
      </c>
      <c r="X331">
        <v>0</v>
      </c>
      <c r="Y331" t="s">
        <v>162</v>
      </c>
      <c r="Z331">
        <v>2014</v>
      </c>
      <c r="AA331">
        <v>0</v>
      </c>
      <c r="AB331" s="5">
        <v>0.43971801226899998</v>
      </c>
      <c r="AC331" s="5">
        <v>0.87943602453799996</v>
      </c>
      <c r="AD331" t="s">
        <v>162</v>
      </c>
      <c r="AE331" t="s">
        <v>163</v>
      </c>
      <c r="AF331" t="s">
        <v>162</v>
      </c>
      <c r="AG331" t="s">
        <v>162</v>
      </c>
      <c r="AH331" t="s">
        <v>162</v>
      </c>
      <c r="AI331" t="s">
        <v>162</v>
      </c>
      <c r="AJ331" t="s">
        <v>162</v>
      </c>
      <c r="AK331" t="s">
        <v>162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 s="60">
        <f t="shared" ref="AT331:AT394" si="5">SUM(AM331:AS331)</f>
        <v>1</v>
      </c>
      <c r="AU331" s="95">
        <v>43347</v>
      </c>
      <c r="AV331" s="94" t="s">
        <v>165</v>
      </c>
      <c r="AW331" t="s">
        <v>163</v>
      </c>
      <c r="AX331">
        <v>2</v>
      </c>
      <c r="AY331" t="s">
        <v>167</v>
      </c>
      <c r="AZ331" t="s">
        <v>162</v>
      </c>
    </row>
    <row r="332" spans="1:52" x14ac:dyDescent="0.25">
      <c r="A332">
        <v>321</v>
      </c>
      <c r="B332" t="s">
        <v>150</v>
      </c>
      <c r="C332" t="s">
        <v>151</v>
      </c>
      <c r="D332" t="s">
        <v>152</v>
      </c>
      <c r="E332" t="s">
        <v>153</v>
      </c>
      <c r="F332" t="s">
        <v>162</v>
      </c>
      <c r="G332">
        <v>2757</v>
      </c>
      <c r="H332">
        <v>2756</v>
      </c>
      <c r="I332" t="s">
        <v>443</v>
      </c>
      <c r="J332">
        <v>2401</v>
      </c>
      <c r="K332">
        <v>2400</v>
      </c>
      <c r="L332" t="s">
        <v>334</v>
      </c>
      <c r="M332">
        <v>3</v>
      </c>
      <c r="N332" t="s">
        <v>9</v>
      </c>
      <c r="O332" t="s">
        <v>9</v>
      </c>
      <c r="P332" t="s">
        <v>157</v>
      </c>
      <c r="Q332" t="s">
        <v>1025</v>
      </c>
      <c r="R332" t="s">
        <v>959</v>
      </c>
      <c r="S332">
        <v>2014</v>
      </c>
      <c r="T332">
        <v>8</v>
      </c>
      <c r="U332" t="s">
        <v>123</v>
      </c>
      <c r="V332" t="s">
        <v>161</v>
      </c>
      <c r="W332">
        <v>2020</v>
      </c>
      <c r="X332">
        <v>0</v>
      </c>
      <c r="Y332" t="s">
        <v>162</v>
      </c>
      <c r="Z332">
        <v>2020</v>
      </c>
      <c r="AA332">
        <v>2014</v>
      </c>
      <c r="AB332" s="5">
        <v>0.50445987410399995</v>
      </c>
      <c r="AC332" s="5">
        <v>1.0089197482100001</v>
      </c>
      <c r="AD332" t="s">
        <v>162</v>
      </c>
      <c r="AE332" t="s">
        <v>163</v>
      </c>
      <c r="AF332" t="s">
        <v>162</v>
      </c>
      <c r="AG332" t="s">
        <v>162</v>
      </c>
      <c r="AH332" t="s">
        <v>162</v>
      </c>
      <c r="AI332" t="s">
        <v>162</v>
      </c>
      <c r="AJ332" t="s">
        <v>162</v>
      </c>
      <c r="AK332" t="s">
        <v>162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 s="60">
        <f t="shared" si="5"/>
        <v>1</v>
      </c>
      <c r="AU332" s="95" t="s">
        <v>187</v>
      </c>
      <c r="AV332" t="s">
        <v>165</v>
      </c>
      <c r="AW332" t="s">
        <v>166</v>
      </c>
      <c r="AX332">
        <v>2</v>
      </c>
      <c r="AY332" t="s">
        <v>167</v>
      </c>
      <c r="AZ332" t="s">
        <v>162</v>
      </c>
    </row>
    <row r="333" spans="1:52" x14ac:dyDescent="0.25">
      <c r="A333">
        <v>322</v>
      </c>
      <c r="B333" t="s">
        <v>321</v>
      </c>
      <c r="C333" t="s">
        <v>151</v>
      </c>
      <c r="D333" t="s">
        <v>322</v>
      </c>
      <c r="E333" t="s">
        <v>216</v>
      </c>
      <c r="F333" t="s">
        <v>151</v>
      </c>
      <c r="G333">
        <v>171</v>
      </c>
      <c r="H333">
        <v>170</v>
      </c>
      <c r="I333" t="s">
        <v>499</v>
      </c>
      <c r="J333">
        <v>1</v>
      </c>
      <c r="K333">
        <v>2</v>
      </c>
      <c r="L333" t="s">
        <v>323</v>
      </c>
      <c r="M333">
        <v>3</v>
      </c>
      <c r="N333" t="s">
        <v>9</v>
      </c>
      <c r="O333" t="s">
        <v>9</v>
      </c>
      <c r="P333" t="s">
        <v>169</v>
      </c>
      <c r="Q333" t="s">
        <v>1026</v>
      </c>
      <c r="R333" t="s">
        <v>283</v>
      </c>
      <c r="S333">
        <v>2014</v>
      </c>
      <c r="T333">
        <v>9</v>
      </c>
      <c r="U333" t="s">
        <v>1027</v>
      </c>
      <c r="V333" t="s">
        <v>243</v>
      </c>
      <c r="W333">
        <v>2020</v>
      </c>
      <c r="X333">
        <v>0</v>
      </c>
      <c r="Y333" t="s">
        <v>162</v>
      </c>
      <c r="Z333">
        <v>2020</v>
      </c>
      <c r="AA333">
        <v>2013</v>
      </c>
      <c r="AB333" s="5">
        <v>0.22778781942000001</v>
      </c>
      <c r="AC333" s="5">
        <v>0.22778781942000001</v>
      </c>
      <c r="AD333" t="s">
        <v>162</v>
      </c>
      <c r="AE333" t="s">
        <v>166</v>
      </c>
      <c r="AF333" t="s">
        <v>151</v>
      </c>
      <c r="AG333" t="s">
        <v>163</v>
      </c>
      <c r="AH333" t="s">
        <v>162</v>
      </c>
      <c r="AI333" t="s">
        <v>162</v>
      </c>
      <c r="AJ333" t="s">
        <v>162</v>
      </c>
      <c r="AK333" t="s">
        <v>162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 s="60">
        <f t="shared" si="5"/>
        <v>1</v>
      </c>
      <c r="AU333" s="95" t="s">
        <v>244</v>
      </c>
      <c r="AV333" s="94" t="s">
        <v>165</v>
      </c>
      <c r="AW333" t="s">
        <v>163</v>
      </c>
      <c r="AX333">
        <v>2</v>
      </c>
      <c r="AY333" t="s">
        <v>167</v>
      </c>
      <c r="AZ333" t="s">
        <v>162</v>
      </c>
    </row>
    <row r="334" spans="1:52" x14ac:dyDescent="0.25">
      <c r="A334">
        <v>323</v>
      </c>
      <c r="B334" t="s">
        <v>948</v>
      </c>
      <c r="C334" t="s">
        <v>203</v>
      </c>
      <c r="D334" t="s">
        <v>949</v>
      </c>
      <c r="E334" t="s">
        <v>172</v>
      </c>
      <c r="F334" t="s">
        <v>162</v>
      </c>
      <c r="G334">
        <v>2</v>
      </c>
      <c r="H334">
        <v>1</v>
      </c>
      <c r="I334" t="s">
        <v>639</v>
      </c>
      <c r="J334">
        <v>48</v>
      </c>
      <c r="K334">
        <v>49</v>
      </c>
      <c r="L334" t="s">
        <v>640</v>
      </c>
      <c r="M334">
        <v>4</v>
      </c>
      <c r="N334" t="s">
        <v>7</v>
      </c>
      <c r="O334" t="s">
        <v>7</v>
      </c>
      <c r="P334" t="s">
        <v>157</v>
      </c>
      <c r="Q334" t="s">
        <v>162</v>
      </c>
      <c r="R334" t="s">
        <v>407</v>
      </c>
      <c r="S334">
        <v>2019</v>
      </c>
      <c r="T334">
        <v>6</v>
      </c>
      <c r="U334" t="s">
        <v>928</v>
      </c>
      <c r="V334" t="s">
        <v>320</v>
      </c>
      <c r="W334">
        <v>2015</v>
      </c>
      <c r="X334">
        <v>10</v>
      </c>
      <c r="Y334" t="s">
        <v>123</v>
      </c>
      <c r="Z334">
        <v>2019</v>
      </c>
      <c r="AA334">
        <v>2019</v>
      </c>
      <c r="AB334" s="5">
        <v>9.5649116340499996E-2</v>
      </c>
      <c r="AC334" s="5">
        <v>0.19129823268099999</v>
      </c>
      <c r="AD334" t="s">
        <v>162</v>
      </c>
      <c r="AE334" t="s">
        <v>163</v>
      </c>
      <c r="AF334" t="s">
        <v>162</v>
      </c>
      <c r="AG334" t="s">
        <v>162</v>
      </c>
      <c r="AH334" t="s">
        <v>162</v>
      </c>
      <c r="AI334" t="s">
        <v>194</v>
      </c>
      <c r="AJ334" t="s">
        <v>154</v>
      </c>
      <c r="AK334" t="s">
        <v>162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 s="60">
        <f t="shared" si="5"/>
        <v>1</v>
      </c>
      <c r="AU334" s="95" t="s">
        <v>227</v>
      </c>
      <c r="AV334" s="94" t="s">
        <v>165</v>
      </c>
      <c r="AW334" t="s">
        <v>166</v>
      </c>
      <c r="AX334">
        <v>1</v>
      </c>
      <c r="AY334" t="s">
        <v>167</v>
      </c>
      <c r="AZ334" t="s">
        <v>162</v>
      </c>
    </row>
    <row r="335" spans="1:52" x14ac:dyDescent="0.25">
      <c r="A335">
        <v>324</v>
      </c>
      <c r="B335" t="s">
        <v>948</v>
      </c>
      <c r="C335" t="s">
        <v>151</v>
      </c>
      <c r="D335" t="s">
        <v>949</v>
      </c>
      <c r="E335" t="s">
        <v>172</v>
      </c>
      <c r="F335" t="s">
        <v>162</v>
      </c>
      <c r="G335">
        <v>630</v>
      </c>
      <c r="H335">
        <v>631</v>
      </c>
      <c r="I335" t="s">
        <v>1028</v>
      </c>
      <c r="J335">
        <v>176</v>
      </c>
      <c r="K335">
        <v>177</v>
      </c>
      <c r="L335" t="s">
        <v>1029</v>
      </c>
      <c r="M335">
        <v>3</v>
      </c>
      <c r="N335" t="s">
        <v>7</v>
      </c>
      <c r="O335" t="s">
        <v>7</v>
      </c>
      <c r="P335" t="s">
        <v>157</v>
      </c>
      <c r="Q335" t="s">
        <v>162</v>
      </c>
      <c r="R335" t="s">
        <v>407</v>
      </c>
      <c r="S335">
        <v>2019</v>
      </c>
      <c r="T335">
        <v>6</v>
      </c>
      <c r="U335" t="s">
        <v>928</v>
      </c>
      <c r="V335" t="s">
        <v>162</v>
      </c>
      <c r="W335">
        <v>0</v>
      </c>
      <c r="X335">
        <v>0</v>
      </c>
      <c r="Y335" t="s">
        <v>162</v>
      </c>
      <c r="Z335">
        <v>2019</v>
      </c>
      <c r="AA335">
        <v>0</v>
      </c>
      <c r="AB335" s="5">
        <v>0.45410451067300001</v>
      </c>
      <c r="AC335" s="5">
        <v>0.90820902134600001</v>
      </c>
      <c r="AD335" t="s">
        <v>162</v>
      </c>
      <c r="AE335" t="s">
        <v>163</v>
      </c>
      <c r="AF335" t="s">
        <v>162</v>
      </c>
      <c r="AG335" t="s">
        <v>162</v>
      </c>
      <c r="AH335" t="s">
        <v>162</v>
      </c>
      <c r="AI335" t="s">
        <v>194</v>
      </c>
      <c r="AJ335" t="s">
        <v>154</v>
      </c>
      <c r="AK335" t="s">
        <v>162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 s="60">
        <f t="shared" si="5"/>
        <v>1</v>
      </c>
      <c r="AU335" s="95" t="s">
        <v>227</v>
      </c>
      <c r="AV335" s="94" t="s">
        <v>165</v>
      </c>
      <c r="AW335" t="s">
        <v>166</v>
      </c>
      <c r="AX335">
        <v>1</v>
      </c>
      <c r="AY335" t="s">
        <v>167</v>
      </c>
      <c r="AZ335" t="s">
        <v>162</v>
      </c>
    </row>
    <row r="336" spans="1:52" x14ac:dyDescent="0.25">
      <c r="A336">
        <v>325</v>
      </c>
      <c r="B336" t="s">
        <v>245</v>
      </c>
      <c r="C336" t="s">
        <v>180</v>
      </c>
      <c r="D336" t="s">
        <v>246</v>
      </c>
      <c r="E336" t="s">
        <v>216</v>
      </c>
      <c r="F336" t="s">
        <v>162</v>
      </c>
      <c r="G336">
        <v>1157</v>
      </c>
      <c r="H336">
        <v>1156</v>
      </c>
      <c r="I336" t="s">
        <v>390</v>
      </c>
      <c r="J336">
        <v>501</v>
      </c>
      <c r="K336">
        <v>500</v>
      </c>
      <c r="L336" t="s">
        <v>507</v>
      </c>
      <c r="M336">
        <v>3</v>
      </c>
      <c r="N336" t="s">
        <v>15</v>
      </c>
      <c r="O336" t="s">
        <v>15</v>
      </c>
      <c r="P336" t="s">
        <v>175</v>
      </c>
      <c r="Q336" t="s">
        <v>1030</v>
      </c>
      <c r="R336" t="s">
        <v>452</v>
      </c>
      <c r="S336">
        <v>2014</v>
      </c>
      <c r="T336">
        <v>6</v>
      </c>
      <c r="U336" t="s">
        <v>162</v>
      </c>
      <c r="V336" t="s">
        <v>162</v>
      </c>
      <c r="W336">
        <v>0</v>
      </c>
      <c r="X336">
        <v>0</v>
      </c>
      <c r="Y336" t="s">
        <v>162</v>
      </c>
      <c r="Z336">
        <v>2014</v>
      </c>
      <c r="AA336">
        <v>2014</v>
      </c>
      <c r="AB336" s="5">
        <v>0.57892216758699999</v>
      </c>
      <c r="AC336" s="5">
        <v>1.1578443351700001</v>
      </c>
      <c r="AD336" t="s">
        <v>162</v>
      </c>
      <c r="AE336" t="s">
        <v>163</v>
      </c>
      <c r="AF336" t="s">
        <v>162</v>
      </c>
      <c r="AG336" t="s">
        <v>162</v>
      </c>
      <c r="AH336" t="s">
        <v>162</v>
      </c>
      <c r="AI336" t="s">
        <v>162</v>
      </c>
      <c r="AJ336" t="s">
        <v>162</v>
      </c>
      <c r="AK336" t="s">
        <v>162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s="60">
        <f t="shared" si="5"/>
        <v>1</v>
      </c>
      <c r="AU336" s="95">
        <v>43335</v>
      </c>
      <c r="AV336" s="94" t="s">
        <v>165</v>
      </c>
      <c r="AW336" t="s">
        <v>162</v>
      </c>
      <c r="AX336">
        <v>2</v>
      </c>
      <c r="AY336" t="s">
        <v>167</v>
      </c>
      <c r="AZ336" t="s">
        <v>162</v>
      </c>
    </row>
    <row r="337" spans="1:52" x14ac:dyDescent="0.25">
      <c r="A337">
        <v>326</v>
      </c>
      <c r="B337" t="s">
        <v>245</v>
      </c>
      <c r="C337" t="s">
        <v>180</v>
      </c>
      <c r="D337" t="s">
        <v>246</v>
      </c>
      <c r="E337" t="s">
        <v>216</v>
      </c>
      <c r="F337" t="s">
        <v>162</v>
      </c>
      <c r="G337">
        <v>345</v>
      </c>
      <c r="H337">
        <v>344</v>
      </c>
      <c r="I337" t="s">
        <v>198</v>
      </c>
      <c r="J337">
        <v>35</v>
      </c>
      <c r="K337">
        <v>34</v>
      </c>
      <c r="L337" t="s">
        <v>293</v>
      </c>
      <c r="M337">
        <v>3</v>
      </c>
      <c r="N337" t="s">
        <v>15</v>
      </c>
      <c r="O337" t="s">
        <v>15</v>
      </c>
      <c r="P337" t="s">
        <v>175</v>
      </c>
      <c r="Q337" t="s">
        <v>1030</v>
      </c>
      <c r="R337" t="s">
        <v>452</v>
      </c>
      <c r="S337">
        <v>2014</v>
      </c>
      <c r="T337">
        <v>6</v>
      </c>
      <c r="U337" t="s">
        <v>123</v>
      </c>
      <c r="V337" t="s">
        <v>162</v>
      </c>
      <c r="W337">
        <v>0</v>
      </c>
      <c r="X337">
        <v>0</v>
      </c>
      <c r="Y337" t="s">
        <v>162</v>
      </c>
      <c r="Z337">
        <v>2014</v>
      </c>
      <c r="AA337">
        <v>2014</v>
      </c>
      <c r="AB337" s="5">
        <v>0.351764561172</v>
      </c>
      <c r="AC337" s="5">
        <v>0.703529122344</v>
      </c>
      <c r="AD337" t="s">
        <v>162</v>
      </c>
      <c r="AE337" t="s">
        <v>163</v>
      </c>
      <c r="AF337" t="s">
        <v>162</v>
      </c>
      <c r="AG337" t="s">
        <v>162</v>
      </c>
      <c r="AH337" t="s">
        <v>162</v>
      </c>
      <c r="AI337" t="s">
        <v>162</v>
      </c>
      <c r="AJ337" t="s">
        <v>162</v>
      </c>
      <c r="AK337" t="s">
        <v>162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s="60">
        <f t="shared" si="5"/>
        <v>1</v>
      </c>
      <c r="AU337" s="95">
        <v>43335</v>
      </c>
      <c r="AV337" s="94" t="s">
        <v>165</v>
      </c>
      <c r="AW337" t="s">
        <v>162</v>
      </c>
      <c r="AX337">
        <v>2</v>
      </c>
      <c r="AY337" t="s">
        <v>167</v>
      </c>
      <c r="AZ337" t="s">
        <v>162</v>
      </c>
    </row>
    <row r="338" spans="1:52" x14ac:dyDescent="0.25">
      <c r="A338">
        <v>327</v>
      </c>
      <c r="B338" t="s">
        <v>1031</v>
      </c>
      <c r="C338" t="s">
        <v>203</v>
      </c>
      <c r="D338" t="s">
        <v>1032</v>
      </c>
      <c r="E338" t="s">
        <v>172</v>
      </c>
      <c r="F338" t="s">
        <v>162</v>
      </c>
      <c r="G338">
        <v>801</v>
      </c>
      <c r="H338">
        <v>800</v>
      </c>
      <c r="I338" t="s">
        <v>252</v>
      </c>
      <c r="J338">
        <v>1601</v>
      </c>
      <c r="K338">
        <v>1600</v>
      </c>
      <c r="L338" t="s">
        <v>818</v>
      </c>
      <c r="M338">
        <v>3</v>
      </c>
      <c r="N338" t="s">
        <v>9</v>
      </c>
      <c r="O338" t="s">
        <v>9</v>
      </c>
      <c r="P338" t="s">
        <v>157</v>
      </c>
      <c r="Q338" t="s">
        <v>1033</v>
      </c>
      <c r="R338" t="s">
        <v>959</v>
      </c>
      <c r="S338">
        <v>2014</v>
      </c>
      <c r="T338">
        <v>8</v>
      </c>
      <c r="U338" t="s">
        <v>123</v>
      </c>
      <c r="V338" t="s">
        <v>162</v>
      </c>
      <c r="W338">
        <v>0</v>
      </c>
      <c r="X338">
        <v>0</v>
      </c>
      <c r="Y338" t="s">
        <v>162</v>
      </c>
      <c r="Z338">
        <v>2014</v>
      </c>
      <c r="AA338">
        <v>2014</v>
      </c>
      <c r="AB338" s="5">
        <v>0.99533850050700001</v>
      </c>
      <c r="AC338" s="5">
        <v>1.9906770010099999</v>
      </c>
      <c r="AD338" t="s">
        <v>162</v>
      </c>
      <c r="AE338" t="s">
        <v>163</v>
      </c>
      <c r="AF338" t="s">
        <v>162</v>
      </c>
      <c r="AG338" t="s">
        <v>162</v>
      </c>
      <c r="AH338" t="s">
        <v>162</v>
      </c>
      <c r="AI338" t="s">
        <v>162</v>
      </c>
      <c r="AJ338" t="s">
        <v>162</v>
      </c>
      <c r="AK338" t="s">
        <v>162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 s="60">
        <f t="shared" si="5"/>
        <v>1</v>
      </c>
      <c r="AU338" s="95">
        <v>43347</v>
      </c>
      <c r="AV338" s="94" t="s">
        <v>165</v>
      </c>
      <c r="AW338" t="s">
        <v>163</v>
      </c>
      <c r="AX338">
        <v>2</v>
      </c>
      <c r="AY338" t="s">
        <v>167</v>
      </c>
      <c r="AZ338" t="s">
        <v>162</v>
      </c>
    </row>
    <row r="339" spans="1:52" x14ac:dyDescent="0.25">
      <c r="A339">
        <v>328</v>
      </c>
      <c r="B339" t="s">
        <v>150</v>
      </c>
      <c r="C339" t="s">
        <v>203</v>
      </c>
      <c r="D339" t="s">
        <v>152</v>
      </c>
      <c r="E339" t="s">
        <v>153</v>
      </c>
      <c r="F339" t="s">
        <v>162</v>
      </c>
      <c r="G339">
        <v>800</v>
      </c>
      <c r="H339">
        <v>801</v>
      </c>
      <c r="I339" t="s">
        <v>252</v>
      </c>
      <c r="J339">
        <v>1562</v>
      </c>
      <c r="K339">
        <v>1563</v>
      </c>
      <c r="L339" t="s">
        <v>818</v>
      </c>
      <c r="M339">
        <v>3</v>
      </c>
      <c r="N339" t="s">
        <v>9</v>
      </c>
      <c r="O339" t="s">
        <v>9</v>
      </c>
      <c r="P339" t="s">
        <v>157</v>
      </c>
      <c r="Q339" t="s">
        <v>1034</v>
      </c>
      <c r="R339" t="s">
        <v>283</v>
      </c>
      <c r="S339">
        <v>2014</v>
      </c>
      <c r="T339">
        <v>8</v>
      </c>
      <c r="U339" t="s">
        <v>162</v>
      </c>
      <c r="V339" t="s">
        <v>162</v>
      </c>
      <c r="W339">
        <v>0</v>
      </c>
      <c r="X339">
        <v>0</v>
      </c>
      <c r="Y339" t="s">
        <v>162</v>
      </c>
      <c r="Z339">
        <v>2014</v>
      </c>
      <c r="AA339">
        <v>0</v>
      </c>
      <c r="AB339" s="5">
        <v>1.0085710725399999</v>
      </c>
      <c r="AC339" s="5">
        <v>2.0171421450799998</v>
      </c>
      <c r="AD339" t="s">
        <v>162</v>
      </c>
      <c r="AE339" t="s">
        <v>163</v>
      </c>
      <c r="AF339" t="s">
        <v>162</v>
      </c>
      <c r="AG339" t="s">
        <v>162</v>
      </c>
      <c r="AH339" t="s">
        <v>162</v>
      </c>
      <c r="AI339" t="s">
        <v>162</v>
      </c>
      <c r="AJ339" t="s">
        <v>162</v>
      </c>
      <c r="AK339" t="s">
        <v>162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 s="60">
        <f t="shared" si="5"/>
        <v>1</v>
      </c>
      <c r="AU339" s="95">
        <v>43320</v>
      </c>
      <c r="AV339" s="94" t="s">
        <v>165</v>
      </c>
      <c r="AW339" t="s">
        <v>166</v>
      </c>
      <c r="AX339">
        <v>2</v>
      </c>
      <c r="AY339" t="s">
        <v>167</v>
      </c>
      <c r="AZ339" t="s">
        <v>162</v>
      </c>
    </row>
    <row r="340" spans="1:52" x14ac:dyDescent="0.25">
      <c r="A340">
        <v>329</v>
      </c>
      <c r="B340" t="s">
        <v>245</v>
      </c>
      <c r="C340" t="s">
        <v>180</v>
      </c>
      <c r="D340" t="s">
        <v>246</v>
      </c>
      <c r="E340" t="s">
        <v>216</v>
      </c>
      <c r="F340" t="s">
        <v>162</v>
      </c>
      <c r="G340">
        <v>443</v>
      </c>
      <c r="H340">
        <v>442</v>
      </c>
      <c r="I340" t="s">
        <v>507</v>
      </c>
      <c r="J340">
        <v>401</v>
      </c>
      <c r="K340">
        <v>400</v>
      </c>
      <c r="L340" t="s">
        <v>198</v>
      </c>
      <c r="M340">
        <v>3</v>
      </c>
      <c r="N340" t="s">
        <v>9</v>
      </c>
      <c r="O340" t="s">
        <v>9</v>
      </c>
      <c r="P340" t="s">
        <v>175</v>
      </c>
      <c r="Q340" t="s">
        <v>162</v>
      </c>
      <c r="R340" t="s">
        <v>452</v>
      </c>
      <c r="S340">
        <v>2014</v>
      </c>
      <c r="T340">
        <v>6</v>
      </c>
      <c r="U340" t="s">
        <v>123</v>
      </c>
      <c r="V340" t="s">
        <v>225</v>
      </c>
      <c r="W340">
        <v>2018</v>
      </c>
      <c r="X340">
        <v>5</v>
      </c>
      <c r="Y340" t="s">
        <v>162</v>
      </c>
      <c r="Z340">
        <v>2018</v>
      </c>
      <c r="AA340">
        <v>2014</v>
      </c>
      <c r="AB340" s="5">
        <v>7.4820676382699999E-2</v>
      </c>
      <c r="AC340" s="5">
        <v>0.14964135276500001</v>
      </c>
      <c r="AD340" t="s">
        <v>162</v>
      </c>
      <c r="AE340" t="s">
        <v>163</v>
      </c>
      <c r="AF340" t="s">
        <v>162</v>
      </c>
      <c r="AG340" t="s">
        <v>162</v>
      </c>
      <c r="AH340" t="s">
        <v>162</v>
      </c>
      <c r="AI340" t="s">
        <v>162</v>
      </c>
      <c r="AJ340" t="s">
        <v>162</v>
      </c>
      <c r="AK340" t="s">
        <v>166</v>
      </c>
      <c r="AL340">
        <v>2017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s="60">
        <f t="shared" si="5"/>
        <v>1</v>
      </c>
      <c r="AU340" s="95">
        <v>43335</v>
      </c>
      <c r="AV340" t="s">
        <v>165</v>
      </c>
      <c r="AW340" t="s">
        <v>166</v>
      </c>
      <c r="AX340">
        <v>2</v>
      </c>
      <c r="AY340" t="s">
        <v>167</v>
      </c>
      <c r="AZ340" t="s">
        <v>162</v>
      </c>
    </row>
    <row r="341" spans="1:52" x14ac:dyDescent="0.25">
      <c r="A341">
        <v>330</v>
      </c>
      <c r="B341" t="s">
        <v>284</v>
      </c>
      <c r="C341" t="s">
        <v>203</v>
      </c>
      <c r="D341" t="s">
        <v>285</v>
      </c>
      <c r="E341" t="s">
        <v>172</v>
      </c>
      <c r="F341" t="s">
        <v>162</v>
      </c>
      <c r="G341">
        <v>2132</v>
      </c>
      <c r="H341">
        <v>2133</v>
      </c>
      <c r="I341" t="s">
        <v>1035</v>
      </c>
      <c r="J341">
        <v>2332</v>
      </c>
      <c r="K341">
        <v>2333</v>
      </c>
      <c r="L341" t="s">
        <v>1036</v>
      </c>
      <c r="M341">
        <v>3</v>
      </c>
      <c r="N341" t="s">
        <v>11</v>
      </c>
      <c r="O341" t="s">
        <v>11</v>
      </c>
      <c r="P341" t="s">
        <v>175</v>
      </c>
      <c r="Q341" t="s">
        <v>162</v>
      </c>
      <c r="R341" t="s">
        <v>253</v>
      </c>
      <c r="S341">
        <v>2003</v>
      </c>
      <c r="T341">
        <v>6</v>
      </c>
      <c r="U341" t="s">
        <v>162</v>
      </c>
      <c r="V341" t="s">
        <v>238</v>
      </c>
      <c r="W341">
        <v>2018</v>
      </c>
      <c r="X341">
        <v>7</v>
      </c>
      <c r="Y341" t="s">
        <v>123</v>
      </c>
      <c r="Z341">
        <v>2018</v>
      </c>
      <c r="AA341">
        <v>2018</v>
      </c>
      <c r="AB341" s="5">
        <v>0.31418396353599998</v>
      </c>
      <c r="AC341" s="5">
        <v>0.62836792707199995</v>
      </c>
      <c r="AD341" t="s">
        <v>162</v>
      </c>
      <c r="AE341" t="s">
        <v>163</v>
      </c>
      <c r="AF341" t="s">
        <v>162</v>
      </c>
      <c r="AG341" t="s">
        <v>162</v>
      </c>
      <c r="AH341" t="s">
        <v>162</v>
      </c>
      <c r="AI341" t="s">
        <v>162</v>
      </c>
      <c r="AJ341" t="s">
        <v>162</v>
      </c>
      <c r="AK341" t="s">
        <v>162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 s="60">
        <f t="shared" si="5"/>
        <v>1</v>
      </c>
      <c r="AU341" s="95">
        <v>43336</v>
      </c>
      <c r="AV341" s="94" t="s">
        <v>165</v>
      </c>
      <c r="AW341" t="s">
        <v>162</v>
      </c>
      <c r="AX341">
        <v>2</v>
      </c>
      <c r="AY341" t="s">
        <v>167</v>
      </c>
      <c r="AZ341" t="s">
        <v>162</v>
      </c>
    </row>
    <row r="342" spans="1:52" x14ac:dyDescent="0.25">
      <c r="A342">
        <v>331</v>
      </c>
      <c r="B342" t="s">
        <v>911</v>
      </c>
      <c r="C342" t="s">
        <v>163</v>
      </c>
      <c r="D342" t="s">
        <v>912</v>
      </c>
      <c r="E342" t="s">
        <v>172</v>
      </c>
      <c r="F342" t="s">
        <v>163</v>
      </c>
      <c r="G342">
        <v>147</v>
      </c>
      <c r="H342">
        <v>146</v>
      </c>
      <c r="I342" t="s">
        <v>726</v>
      </c>
      <c r="J342">
        <v>183</v>
      </c>
      <c r="K342">
        <v>182</v>
      </c>
      <c r="L342" t="s">
        <v>387</v>
      </c>
      <c r="M342">
        <v>4</v>
      </c>
      <c r="N342" t="s">
        <v>11</v>
      </c>
      <c r="O342" t="s">
        <v>11</v>
      </c>
      <c r="P342" t="s">
        <v>169</v>
      </c>
      <c r="Q342" t="s">
        <v>162</v>
      </c>
      <c r="R342" t="s">
        <v>1008</v>
      </c>
      <c r="S342">
        <v>1999</v>
      </c>
      <c r="T342">
        <v>5</v>
      </c>
      <c r="U342" t="s">
        <v>162</v>
      </c>
      <c r="V342" t="s">
        <v>269</v>
      </c>
      <c r="W342">
        <v>2017</v>
      </c>
      <c r="X342">
        <v>9</v>
      </c>
      <c r="Y342" t="s">
        <v>123</v>
      </c>
      <c r="Z342">
        <v>2017</v>
      </c>
      <c r="AA342">
        <v>2017</v>
      </c>
      <c r="AB342" s="5">
        <v>8.8325829461700006E-2</v>
      </c>
      <c r="AC342" s="5">
        <v>8.8325829461700006E-2</v>
      </c>
      <c r="AD342" t="s">
        <v>162</v>
      </c>
      <c r="AE342" t="s">
        <v>166</v>
      </c>
      <c r="AF342" t="s">
        <v>163</v>
      </c>
      <c r="AG342" t="s">
        <v>163</v>
      </c>
      <c r="AH342" t="s">
        <v>162</v>
      </c>
      <c r="AI342" t="s">
        <v>162</v>
      </c>
      <c r="AJ342" t="s">
        <v>162</v>
      </c>
      <c r="AK342" t="s">
        <v>162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 s="60">
        <f t="shared" si="5"/>
        <v>1</v>
      </c>
      <c r="AU342" s="95">
        <v>43347</v>
      </c>
      <c r="AV342" t="s">
        <v>165</v>
      </c>
      <c r="AW342" t="s">
        <v>162</v>
      </c>
      <c r="AX342">
        <v>2</v>
      </c>
      <c r="AY342" t="s">
        <v>167</v>
      </c>
      <c r="AZ342" t="s">
        <v>162</v>
      </c>
    </row>
    <row r="343" spans="1:52" x14ac:dyDescent="0.25">
      <c r="A343">
        <v>332</v>
      </c>
      <c r="B343" t="s">
        <v>295</v>
      </c>
      <c r="C343" t="s">
        <v>163</v>
      </c>
      <c r="D343" t="s">
        <v>296</v>
      </c>
      <c r="E343" t="s">
        <v>172</v>
      </c>
      <c r="F343" t="s">
        <v>162</v>
      </c>
      <c r="G343">
        <v>4400</v>
      </c>
      <c r="H343">
        <v>4401</v>
      </c>
      <c r="I343" t="s">
        <v>445</v>
      </c>
      <c r="J343">
        <v>4898</v>
      </c>
      <c r="K343">
        <v>4899</v>
      </c>
      <c r="L343" t="s">
        <v>446</v>
      </c>
      <c r="M343">
        <v>3</v>
      </c>
      <c r="N343" t="s">
        <v>15</v>
      </c>
      <c r="O343" t="s">
        <v>15</v>
      </c>
      <c r="P343" t="s">
        <v>175</v>
      </c>
      <c r="Q343" t="s">
        <v>162</v>
      </c>
      <c r="R343" t="s">
        <v>249</v>
      </c>
      <c r="S343">
        <v>2007</v>
      </c>
      <c r="T343">
        <v>6</v>
      </c>
      <c r="U343" t="s">
        <v>162</v>
      </c>
      <c r="V343" t="s">
        <v>269</v>
      </c>
      <c r="W343">
        <v>2017</v>
      </c>
      <c r="X343">
        <v>10</v>
      </c>
      <c r="Y343" t="s">
        <v>123</v>
      </c>
      <c r="Z343">
        <v>2017</v>
      </c>
      <c r="AA343">
        <v>2017</v>
      </c>
      <c r="AB343" s="5">
        <v>0.25419420696299999</v>
      </c>
      <c r="AC343" s="5">
        <v>0.50838841392599998</v>
      </c>
      <c r="AD343" t="s">
        <v>162</v>
      </c>
      <c r="AE343" t="s">
        <v>163</v>
      </c>
      <c r="AF343" t="s">
        <v>162</v>
      </c>
      <c r="AG343" t="s">
        <v>162</v>
      </c>
      <c r="AH343" t="s">
        <v>162</v>
      </c>
      <c r="AI343" t="s">
        <v>162</v>
      </c>
      <c r="AJ343" t="s">
        <v>162</v>
      </c>
      <c r="AK343" t="s">
        <v>162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 s="60">
        <f t="shared" si="5"/>
        <v>1</v>
      </c>
      <c r="AU343" s="95">
        <v>43336</v>
      </c>
      <c r="AV343" s="94" t="s">
        <v>165</v>
      </c>
      <c r="AW343" t="s">
        <v>162</v>
      </c>
      <c r="AX343">
        <v>2</v>
      </c>
      <c r="AY343" t="s">
        <v>167</v>
      </c>
      <c r="AZ343" t="s">
        <v>162</v>
      </c>
    </row>
    <row r="344" spans="1:52" x14ac:dyDescent="0.25">
      <c r="A344">
        <v>333</v>
      </c>
      <c r="B344" t="s">
        <v>766</v>
      </c>
      <c r="C344" t="s">
        <v>180</v>
      </c>
      <c r="D344" t="s">
        <v>767</v>
      </c>
      <c r="E344" t="s">
        <v>216</v>
      </c>
      <c r="F344" t="s">
        <v>162</v>
      </c>
      <c r="G344">
        <v>3875</v>
      </c>
      <c r="H344">
        <v>3874</v>
      </c>
      <c r="I344" t="s">
        <v>678</v>
      </c>
      <c r="J344">
        <v>3731</v>
      </c>
      <c r="K344">
        <v>3730</v>
      </c>
      <c r="L344" t="s">
        <v>768</v>
      </c>
      <c r="M344">
        <v>2</v>
      </c>
      <c r="N344" t="s">
        <v>11</v>
      </c>
      <c r="O344" t="s">
        <v>11</v>
      </c>
      <c r="P344" t="s">
        <v>175</v>
      </c>
      <c r="Q344" t="s">
        <v>162</v>
      </c>
      <c r="R344" t="s">
        <v>740</v>
      </c>
      <c r="S344">
        <v>2000</v>
      </c>
      <c r="T344">
        <v>9</v>
      </c>
      <c r="U344" t="s">
        <v>162</v>
      </c>
      <c r="V344" t="s">
        <v>267</v>
      </c>
      <c r="W344">
        <v>2018</v>
      </c>
      <c r="X344">
        <v>7</v>
      </c>
      <c r="Y344" t="s">
        <v>162</v>
      </c>
      <c r="Z344">
        <v>2018</v>
      </c>
      <c r="AA344">
        <v>2006</v>
      </c>
      <c r="AB344" s="5">
        <v>0.211722962786</v>
      </c>
      <c r="AC344" s="5">
        <v>0.423445925572</v>
      </c>
      <c r="AD344" t="s">
        <v>162</v>
      </c>
      <c r="AE344" t="s">
        <v>163</v>
      </c>
      <c r="AF344" t="s">
        <v>162</v>
      </c>
      <c r="AG344" t="s">
        <v>162</v>
      </c>
      <c r="AH344" t="s">
        <v>162</v>
      </c>
      <c r="AI344" t="s">
        <v>162</v>
      </c>
      <c r="AJ344" t="s">
        <v>162</v>
      </c>
      <c r="AK344" t="s">
        <v>162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 s="60">
        <f t="shared" si="5"/>
        <v>1</v>
      </c>
      <c r="AU344" s="95">
        <v>43347</v>
      </c>
      <c r="AV344" t="s">
        <v>165</v>
      </c>
      <c r="AW344" t="s">
        <v>162</v>
      </c>
      <c r="AX344">
        <v>2</v>
      </c>
      <c r="AY344" t="s">
        <v>167</v>
      </c>
      <c r="AZ344" t="s">
        <v>162</v>
      </c>
    </row>
    <row r="345" spans="1:52" x14ac:dyDescent="0.25">
      <c r="A345">
        <v>334</v>
      </c>
      <c r="B345" t="s">
        <v>573</v>
      </c>
      <c r="C345" t="s">
        <v>151</v>
      </c>
      <c r="D345" t="s">
        <v>574</v>
      </c>
      <c r="E345" t="s">
        <v>153</v>
      </c>
      <c r="F345" t="s">
        <v>162</v>
      </c>
      <c r="G345">
        <v>443</v>
      </c>
      <c r="H345">
        <v>442</v>
      </c>
      <c r="I345" t="s">
        <v>570</v>
      </c>
      <c r="J345">
        <v>300</v>
      </c>
      <c r="K345">
        <v>301</v>
      </c>
      <c r="L345" t="s">
        <v>848</v>
      </c>
      <c r="M345">
        <v>2</v>
      </c>
      <c r="N345" t="s">
        <v>11</v>
      </c>
      <c r="O345" t="s">
        <v>11</v>
      </c>
      <c r="P345" t="s">
        <v>175</v>
      </c>
      <c r="Q345" t="s">
        <v>162</v>
      </c>
      <c r="R345" t="s">
        <v>457</v>
      </c>
      <c r="S345">
        <v>1996</v>
      </c>
      <c r="T345">
        <v>8</v>
      </c>
      <c r="U345" t="s">
        <v>162</v>
      </c>
      <c r="V345" t="s">
        <v>161</v>
      </c>
      <c r="W345">
        <v>2020</v>
      </c>
      <c r="X345">
        <v>0</v>
      </c>
      <c r="Y345" t="s">
        <v>162</v>
      </c>
      <c r="Z345">
        <v>2020</v>
      </c>
      <c r="AA345">
        <v>0</v>
      </c>
      <c r="AB345" s="5">
        <v>0.23136689497599999</v>
      </c>
      <c r="AC345" s="5">
        <v>0.46273378995199999</v>
      </c>
      <c r="AD345" t="s">
        <v>162</v>
      </c>
      <c r="AE345" t="s">
        <v>163</v>
      </c>
      <c r="AF345" t="s">
        <v>162</v>
      </c>
      <c r="AG345" t="s">
        <v>162</v>
      </c>
      <c r="AH345" t="s">
        <v>162</v>
      </c>
      <c r="AI345" t="s">
        <v>162</v>
      </c>
      <c r="AJ345" t="s">
        <v>162</v>
      </c>
      <c r="AK345" t="s">
        <v>166</v>
      </c>
      <c r="AL345">
        <v>2015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 s="60">
        <f t="shared" si="5"/>
        <v>1</v>
      </c>
      <c r="AU345" s="95" t="s">
        <v>187</v>
      </c>
      <c r="AV345" s="94" t="s">
        <v>165</v>
      </c>
      <c r="AW345" t="s">
        <v>162</v>
      </c>
      <c r="AX345">
        <v>2</v>
      </c>
      <c r="AY345" t="s">
        <v>167</v>
      </c>
      <c r="AZ345" t="s">
        <v>162</v>
      </c>
    </row>
    <row r="346" spans="1:52" x14ac:dyDescent="0.25">
      <c r="A346">
        <v>335</v>
      </c>
      <c r="B346" t="s">
        <v>1037</v>
      </c>
      <c r="C346" t="s">
        <v>151</v>
      </c>
      <c r="D346" t="s">
        <v>1038</v>
      </c>
      <c r="E346" t="s">
        <v>172</v>
      </c>
      <c r="F346" t="s">
        <v>154</v>
      </c>
      <c r="G346">
        <v>2449</v>
      </c>
      <c r="H346">
        <v>2448</v>
      </c>
      <c r="I346" t="s">
        <v>1039</v>
      </c>
      <c r="J346">
        <v>2401</v>
      </c>
      <c r="K346">
        <v>2400</v>
      </c>
      <c r="L346" t="s">
        <v>378</v>
      </c>
      <c r="M346">
        <v>4</v>
      </c>
      <c r="N346" t="s">
        <v>7</v>
      </c>
      <c r="O346" t="s">
        <v>7</v>
      </c>
      <c r="P346" t="s">
        <v>157</v>
      </c>
      <c r="Q346" t="s">
        <v>162</v>
      </c>
      <c r="R346" t="s">
        <v>567</v>
      </c>
      <c r="S346">
        <v>2021</v>
      </c>
      <c r="T346">
        <v>7</v>
      </c>
      <c r="U346" t="s">
        <v>162</v>
      </c>
      <c r="V346" t="s">
        <v>162</v>
      </c>
      <c r="W346">
        <v>0</v>
      </c>
      <c r="X346">
        <v>0</v>
      </c>
      <c r="Y346" t="s">
        <v>162</v>
      </c>
      <c r="Z346">
        <v>2021</v>
      </c>
      <c r="AA346">
        <v>2021</v>
      </c>
      <c r="AB346" s="5">
        <v>0.103847205219</v>
      </c>
      <c r="AC346" s="5">
        <v>0.20769441043799999</v>
      </c>
      <c r="AD346" t="s">
        <v>162</v>
      </c>
      <c r="AE346" t="s">
        <v>163</v>
      </c>
      <c r="AF346" t="s">
        <v>162</v>
      </c>
      <c r="AG346" t="s">
        <v>163</v>
      </c>
      <c r="AH346" t="s">
        <v>162</v>
      </c>
      <c r="AI346" t="s">
        <v>226</v>
      </c>
      <c r="AJ346" t="s">
        <v>163</v>
      </c>
      <c r="AK346" t="s">
        <v>162</v>
      </c>
      <c r="AL346">
        <v>2021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s="60">
        <f t="shared" si="5"/>
        <v>1</v>
      </c>
      <c r="AU346" s="95" t="s">
        <v>360</v>
      </c>
      <c r="AV346" s="94" t="s">
        <v>165</v>
      </c>
      <c r="AW346" t="s">
        <v>166</v>
      </c>
      <c r="AX346">
        <v>3</v>
      </c>
      <c r="AY346" t="s">
        <v>167</v>
      </c>
      <c r="AZ346">
        <v>20</v>
      </c>
    </row>
    <row r="347" spans="1:52" x14ac:dyDescent="0.25">
      <c r="A347">
        <v>336</v>
      </c>
      <c r="B347" t="s">
        <v>1037</v>
      </c>
      <c r="C347" t="s">
        <v>151</v>
      </c>
      <c r="D347" t="s">
        <v>1038</v>
      </c>
      <c r="E347" t="s">
        <v>172</v>
      </c>
      <c r="F347" t="s">
        <v>162</v>
      </c>
      <c r="G347">
        <v>2033</v>
      </c>
      <c r="H347">
        <v>2032</v>
      </c>
      <c r="I347" t="s">
        <v>1040</v>
      </c>
      <c r="J347">
        <v>2001</v>
      </c>
      <c r="K347">
        <v>2000</v>
      </c>
      <c r="L347" t="s">
        <v>191</v>
      </c>
      <c r="M347">
        <v>4</v>
      </c>
      <c r="N347" t="s">
        <v>9</v>
      </c>
      <c r="O347" t="s">
        <v>9</v>
      </c>
      <c r="P347" t="s">
        <v>175</v>
      </c>
      <c r="Q347" t="s">
        <v>1041</v>
      </c>
      <c r="R347" t="s">
        <v>201</v>
      </c>
      <c r="S347">
        <v>2012</v>
      </c>
      <c r="T347">
        <v>5</v>
      </c>
      <c r="U347" t="s">
        <v>162</v>
      </c>
      <c r="V347" t="s">
        <v>161</v>
      </c>
      <c r="W347">
        <v>2020</v>
      </c>
      <c r="X347">
        <v>0</v>
      </c>
      <c r="Y347" t="s">
        <v>162</v>
      </c>
      <c r="Z347">
        <v>2020</v>
      </c>
      <c r="AA347">
        <v>0</v>
      </c>
      <c r="AB347" s="5">
        <v>0.124928603097</v>
      </c>
      <c r="AC347" s="5">
        <v>0.24985720619400001</v>
      </c>
      <c r="AD347" t="s">
        <v>162</v>
      </c>
      <c r="AE347" t="s">
        <v>163</v>
      </c>
      <c r="AF347" t="s">
        <v>162</v>
      </c>
      <c r="AG347" t="s">
        <v>162</v>
      </c>
      <c r="AH347" t="s">
        <v>162</v>
      </c>
      <c r="AI347" t="s">
        <v>162</v>
      </c>
      <c r="AJ347" t="s">
        <v>162</v>
      </c>
      <c r="AK347" t="s">
        <v>162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 s="60">
        <f t="shared" si="5"/>
        <v>1</v>
      </c>
      <c r="AU347" s="95" t="s">
        <v>187</v>
      </c>
      <c r="AV347" s="94" t="s">
        <v>165</v>
      </c>
      <c r="AW347" t="s">
        <v>163</v>
      </c>
      <c r="AX347">
        <v>3</v>
      </c>
      <c r="AY347" t="s">
        <v>167</v>
      </c>
      <c r="AZ347" t="s">
        <v>162</v>
      </c>
    </row>
    <row r="348" spans="1:52" x14ac:dyDescent="0.25">
      <c r="A348">
        <v>337</v>
      </c>
      <c r="B348" t="s">
        <v>1037</v>
      </c>
      <c r="C348" t="s">
        <v>151</v>
      </c>
      <c r="D348" t="s">
        <v>1038</v>
      </c>
      <c r="E348" t="s">
        <v>172</v>
      </c>
      <c r="F348" t="s">
        <v>162</v>
      </c>
      <c r="G348">
        <v>2101</v>
      </c>
      <c r="H348">
        <v>2100</v>
      </c>
      <c r="I348" t="s">
        <v>1042</v>
      </c>
      <c r="J348">
        <v>2127</v>
      </c>
      <c r="K348">
        <v>2126</v>
      </c>
      <c r="L348" t="s">
        <v>1040</v>
      </c>
      <c r="M348">
        <v>4</v>
      </c>
      <c r="N348" t="s">
        <v>9</v>
      </c>
      <c r="O348" t="s">
        <v>9</v>
      </c>
      <c r="P348" t="s">
        <v>175</v>
      </c>
      <c r="Q348" t="s">
        <v>162</v>
      </c>
      <c r="R348" t="s">
        <v>201</v>
      </c>
      <c r="S348">
        <v>2012</v>
      </c>
      <c r="T348">
        <v>5</v>
      </c>
      <c r="U348" t="s">
        <v>162</v>
      </c>
      <c r="V348" t="s">
        <v>161</v>
      </c>
      <c r="W348">
        <v>2020</v>
      </c>
      <c r="X348">
        <v>0</v>
      </c>
      <c r="Y348" t="s">
        <v>162</v>
      </c>
      <c r="Z348">
        <v>2020</v>
      </c>
      <c r="AA348">
        <v>2013</v>
      </c>
      <c r="AB348" s="5">
        <v>6.25026037551E-2</v>
      </c>
      <c r="AC348" s="5">
        <v>0.12500520750999999</v>
      </c>
      <c r="AD348" t="s">
        <v>162</v>
      </c>
      <c r="AE348" t="s">
        <v>163</v>
      </c>
      <c r="AF348" t="s">
        <v>162</v>
      </c>
      <c r="AG348" t="s">
        <v>162</v>
      </c>
      <c r="AH348" t="s">
        <v>162</v>
      </c>
      <c r="AI348" t="s">
        <v>162</v>
      </c>
      <c r="AJ348" t="s">
        <v>162</v>
      </c>
      <c r="AK348" t="s">
        <v>162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60">
        <f t="shared" si="5"/>
        <v>1</v>
      </c>
      <c r="AU348" s="95" t="s">
        <v>187</v>
      </c>
      <c r="AV348" t="s">
        <v>165</v>
      </c>
      <c r="AW348" t="s">
        <v>163</v>
      </c>
      <c r="AX348">
        <v>3</v>
      </c>
      <c r="AY348" t="s">
        <v>167</v>
      </c>
      <c r="AZ348" t="s">
        <v>162</v>
      </c>
    </row>
    <row r="349" spans="1:52" x14ac:dyDescent="0.25">
      <c r="A349">
        <v>338</v>
      </c>
      <c r="B349" t="s">
        <v>629</v>
      </c>
      <c r="C349" t="s">
        <v>151</v>
      </c>
      <c r="D349" t="s">
        <v>630</v>
      </c>
      <c r="E349" t="s">
        <v>222</v>
      </c>
      <c r="F349" t="s">
        <v>162</v>
      </c>
      <c r="G349">
        <v>1559</v>
      </c>
      <c r="H349">
        <v>1558</v>
      </c>
      <c r="I349" t="s">
        <v>302</v>
      </c>
      <c r="J349">
        <v>1401</v>
      </c>
      <c r="K349">
        <v>1400</v>
      </c>
      <c r="L349" t="s">
        <v>703</v>
      </c>
      <c r="M349">
        <v>4</v>
      </c>
      <c r="N349" t="s">
        <v>9</v>
      </c>
      <c r="O349" t="s">
        <v>9</v>
      </c>
      <c r="P349" t="s">
        <v>157</v>
      </c>
      <c r="Q349" t="s">
        <v>1004</v>
      </c>
      <c r="R349" t="s">
        <v>463</v>
      </c>
      <c r="S349">
        <v>2014</v>
      </c>
      <c r="T349">
        <v>7</v>
      </c>
      <c r="U349" t="s">
        <v>162</v>
      </c>
      <c r="V349" t="s">
        <v>210</v>
      </c>
      <c r="W349">
        <v>2018</v>
      </c>
      <c r="X349">
        <v>11</v>
      </c>
      <c r="Y349" t="s">
        <v>580</v>
      </c>
      <c r="Z349">
        <v>2018</v>
      </c>
      <c r="AA349">
        <v>2018</v>
      </c>
      <c r="AB349" s="5">
        <v>0.25213959532199998</v>
      </c>
      <c r="AC349" s="5">
        <v>0.50427919064399995</v>
      </c>
      <c r="AD349" t="s">
        <v>162</v>
      </c>
      <c r="AE349" t="s">
        <v>163</v>
      </c>
      <c r="AF349" t="s">
        <v>162</v>
      </c>
      <c r="AG349" t="s">
        <v>162</v>
      </c>
      <c r="AH349" t="s">
        <v>162</v>
      </c>
      <c r="AI349" t="s">
        <v>162</v>
      </c>
      <c r="AJ349" t="s">
        <v>162</v>
      </c>
      <c r="AK349" t="s">
        <v>162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 s="60">
        <f t="shared" si="5"/>
        <v>1</v>
      </c>
      <c r="AU349" s="95">
        <v>43342</v>
      </c>
      <c r="AV349" s="94" t="s">
        <v>165</v>
      </c>
      <c r="AW349" t="s">
        <v>163</v>
      </c>
      <c r="AX349">
        <v>2</v>
      </c>
      <c r="AY349" t="s">
        <v>167</v>
      </c>
      <c r="AZ349" t="s">
        <v>162</v>
      </c>
    </row>
    <row r="350" spans="1:52" x14ac:dyDescent="0.25">
      <c r="A350">
        <v>339</v>
      </c>
      <c r="B350" t="s">
        <v>911</v>
      </c>
      <c r="C350" t="s">
        <v>180</v>
      </c>
      <c r="D350" t="s">
        <v>912</v>
      </c>
      <c r="E350" t="s">
        <v>172</v>
      </c>
      <c r="F350" t="s">
        <v>162</v>
      </c>
      <c r="G350">
        <v>1637</v>
      </c>
      <c r="H350">
        <v>1640</v>
      </c>
      <c r="I350" t="s">
        <v>1043</v>
      </c>
      <c r="J350">
        <v>1401</v>
      </c>
      <c r="K350">
        <v>1400</v>
      </c>
      <c r="L350" t="s">
        <v>1044</v>
      </c>
      <c r="M350">
        <v>3</v>
      </c>
      <c r="N350" t="s">
        <v>11</v>
      </c>
      <c r="O350" t="s">
        <v>11</v>
      </c>
      <c r="P350" t="s">
        <v>175</v>
      </c>
      <c r="Q350" t="s">
        <v>162</v>
      </c>
      <c r="R350" t="s">
        <v>1045</v>
      </c>
      <c r="S350">
        <v>2007</v>
      </c>
      <c r="T350">
        <v>4</v>
      </c>
      <c r="U350" t="s">
        <v>1046</v>
      </c>
      <c r="V350" t="s">
        <v>673</v>
      </c>
      <c r="W350">
        <v>2013</v>
      </c>
      <c r="X350">
        <v>10</v>
      </c>
      <c r="Y350" t="s">
        <v>123</v>
      </c>
      <c r="Z350">
        <v>2013</v>
      </c>
      <c r="AA350">
        <v>2013</v>
      </c>
      <c r="AB350" s="5">
        <v>0.33259536641199999</v>
      </c>
      <c r="AC350" s="5">
        <v>0.66519073282399999</v>
      </c>
      <c r="AD350" t="s">
        <v>162</v>
      </c>
      <c r="AE350" t="s">
        <v>163</v>
      </c>
      <c r="AF350" t="s">
        <v>162</v>
      </c>
      <c r="AG350" t="s">
        <v>162</v>
      </c>
      <c r="AH350" t="s">
        <v>162</v>
      </c>
      <c r="AI350" t="s">
        <v>162</v>
      </c>
      <c r="AJ350" t="s">
        <v>162</v>
      </c>
      <c r="AK350" t="s">
        <v>166</v>
      </c>
      <c r="AL350">
        <v>2018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 s="60">
        <f t="shared" si="5"/>
        <v>1</v>
      </c>
      <c r="AU350" s="95">
        <v>43347</v>
      </c>
      <c r="AV350" t="s">
        <v>165</v>
      </c>
      <c r="AW350" t="s">
        <v>162</v>
      </c>
      <c r="AX350">
        <v>2</v>
      </c>
      <c r="AY350" t="s">
        <v>167</v>
      </c>
      <c r="AZ350" t="s">
        <v>162</v>
      </c>
    </row>
    <row r="351" spans="1:52" x14ac:dyDescent="0.25">
      <c r="A351">
        <v>340</v>
      </c>
      <c r="B351" t="s">
        <v>856</v>
      </c>
      <c r="C351" t="s">
        <v>151</v>
      </c>
      <c r="D351" t="s">
        <v>857</v>
      </c>
      <c r="E351" t="s">
        <v>172</v>
      </c>
      <c r="F351" t="s">
        <v>162</v>
      </c>
      <c r="G351">
        <v>3573</v>
      </c>
      <c r="H351">
        <v>3572</v>
      </c>
      <c r="I351" t="s">
        <v>155</v>
      </c>
      <c r="J351">
        <v>2401</v>
      </c>
      <c r="K351">
        <v>2400</v>
      </c>
      <c r="L351" t="s">
        <v>334</v>
      </c>
      <c r="M351">
        <v>2</v>
      </c>
      <c r="N351" t="s">
        <v>9</v>
      </c>
      <c r="O351" t="s">
        <v>9</v>
      </c>
      <c r="P351" t="s">
        <v>175</v>
      </c>
      <c r="Q351" t="s">
        <v>1047</v>
      </c>
      <c r="R351" t="s">
        <v>959</v>
      </c>
      <c r="S351">
        <v>2014</v>
      </c>
      <c r="T351">
        <v>9</v>
      </c>
      <c r="U351" t="s">
        <v>208</v>
      </c>
      <c r="V351" t="s">
        <v>162</v>
      </c>
      <c r="W351">
        <v>0</v>
      </c>
      <c r="X351">
        <v>0</v>
      </c>
      <c r="Y351" t="s">
        <v>162</v>
      </c>
      <c r="Z351">
        <v>2014</v>
      </c>
      <c r="AA351">
        <v>2014</v>
      </c>
      <c r="AB351" s="5">
        <v>1.5264088974400001</v>
      </c>
      <c r="AC351" s="5">
        <v>3.0528177948800002</v>
      </c>
      <c r="AD351" t="s">
        <v>162</v>
      </c>
      <c r="AE351" t="s">
        <v>163</v>
      </c>
      <c r="AF351" t="s">
        <v>162</v>
      </c>
      <c r="AG351" t="s">
        <v>162</v>
      </c>
      <c r="AH351" t="s">
        <v>162</v>
      </c>
      <c r="AI351" t="s">
        <v>162</v>
      </c>
      <c r="AJ351" t="s">
        <v>162</v>
      </c>
      <c r="AK351" t="s">
        <v>162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 s="60">
        <f t="shared" si="5"/>
        <v>1</v>
      </c>
      <c r="AU351" s="95">
        <v>43347</v>
      </c>
      <c r="AV351" s="94" t="s">
        <v>165</v>
      </c>
      <c r="AW351" t="s">
        <v>163</v>
      </c>
      <c r="AX351">
        <v>2</v>
      </c>
      <c r="AY351" t="s">
        <v>167</v>
      </c>
      <c r="AZ351" t="s">
        <v>162</v>
      </c>
    </row>
    <row r="352" spans="1:52" x14ac:dyDescent="0.25">
      <c r="A352">
        <v>341</v>
      </c>
      <c r="B352" t="s">
        <v>480</v>
      </c>
      <c r="C352" t="s">
        <v>163</v>
      </c>
      <c r="D352" t="s">
        <v>481</v>
      </c>
      <c r="E352" t="s">
        <v>216</v>
      </c>
      <c r="F352" t="s">
        <v>154</v>
      </c>
      <c r="G352">
        <v>2600</v>
      </c>
      <c r="H352">
        <v>2601</v>
      </c>
      <c r="I352" t="s">
        <v>230</v>
      </c>
      <c r="J352">
        <v>3050</v>
      </c>
      <c r="K352">
        <v>3051</v>
      </c>
      <c r="L352" t="s">
        <v>537</v>
      </c>
      <c r="M352">
        <v>2</v>
      </c>
      <c r="N352" t="s">
        <v>9</v>
      </c>
      <c r="O352" t="s">
        <v>9</v>
      </c>
      <c r="P352" t="s">
        <v>157</v>
      </c>
      <c r="Q352" t="s">
        <v>538</v>
      </c>
      <c r="R352" t="s">
        <v>162</v>
      </c>
      <c r="S352">
        <v>0</v>
      </c>
      <c r="T352">
        <v>0</v>
      </c>
      <c r="U352" t="s">
        <v>539</v>
      </c>
      <c r="V352" t="s">
        <v>540</v>
      </c>
      <c r="W352">
        <v>2017</v>
      </c>
      <c r="X352">
        <v>7</v>
      </c>
      <c r="Y352" t="s">
        <v>123</v>
      </c>
      <c r="Z352">
        <v>2022</v>
      </c>
      <c r="AA352">
        <v>2017</v>
      </c>
      <c r="AB352" s="5">
        <v>0.37860685860400001</v>
      </c>
      <c r="AC352" s="5">
        <v>0.75721400000000005</v>
      </c>
      <c r="AD352" t="s">
        <v>154</v>
      </c>
      <c r="AE352" t="s">
        <v>163</v>
      </c>
      <c r="AF352" t="s">
        <v>154</v>
      </c>
      <c r="AG352" t="s">
        <v>154</v>
      </c>
      <c r="AH352" t="s">
        <v>154</v>
      </c>
      <c r="AI352" t="s">
        <v>504</v>
      </c>
      <c r="AJ352" t="s">
        <v>154</v>
      </c>
      <c r="AK352" t="s">
        <v>162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 s="60">
        <f t="shared" si="5"/>
        <v>1</v>
      </c>
      <c r="AU352" s="95" t="s">
        <v>426</v>
      </c>
      <c r="AV352" s="94" t="s">
        <v>165</v>
      </c>
      <c r="AW352" t="s">
        <v>154</v>
      </c>
      <c r="AX352">
        <v>2</v>
      </c>
      <c r="AY352" t="s">
        <v>167</v>
      </c>
      <c r="AZ352">
        <v>30</v>
      </c>
    </row>
    <row r="353" spans="1:52" x14ac:dyDescent="0.25">
      <c r="A353">
        <v>342</v>
      </c>
      <c r="B353" t="s">
        <v>1048</v>
      </c>
      <c r="C353" t="s">
        <v>151</v>
      </c>
      <c r="D353" t="s">
        <v>671</v>
      </c>
      <c r="E353" t="s">
        <v>222</v>
      </c>
      <c r="F353" t="s">
        <v>203</v>
      </c>
      <c r="G353">
        <v>1800</v>
      </c>
      <c r="H353">
        <v>1801</v>
      </c>
      <c r="I353" t="s">
        <v>1049</v>
      </c>
      <c r="J353">
        <v>1529</v>
      </c>
      <c r="K353">
        <v>1528</v>
      </c>
      <c r="L353" t="s">
        <v>406</v>
      </c>
      <c r="M353">
        <v>4</v>
      </c>
      <c r="N353" t="s">
        <v>9</v>
      </c>
      <c r="O353" t="s">
        <v>9</v>
      </c>
      <c r="P353" t="s">
        <v>157</v>
      </c>
      <c r="Q353" t="s">
        <v>1050</v>
      </c>
      <c r="R353" t="s">
        <v>320</v>
      </c>
      <c r="S353">
        <v>2014</v>
      </c>
      <c r="T353">
        <v>10</v>
      </c>
      <c r="U353" t="s">
        <v>162</v>
      </c>
      <c r="V353" t="s">
        <v>162</v>
      </c>
      <c r="W353">
        <v>0</v>
      </c>
      <c r="X353">
        <v>0</v>
      </c>
      <c r="Y353" t="s">
        <v>162</v>
      </c>
      <c r="Z353">
        <v>2014</v>
      </c>
      <c r="AA353">
        <v>2011</v>
      </c>
      <c r="AB353" s="5">
        <v>0.37184080452200002</v>
      </c>
      <c r="AC353" s="5">
        <v>0.37184080452200002</v>
      </c>
      <c r="AD353" t="s">
        <v>154</v>
      </c>
      <c r="AE353" t="s">
        <v>166</v>
      </c>
      <c r="AF353" t="s">
        <v>203</v>
      </c>
      <c r="AG353" t="s">
        <v>163</v>
      </c>
      <c r="AH353" t="s">
        <v>162</v>
      </c>
      <c r="AI353" t="s">
        <v>162</v>
      </c>
      <c r="AJ353" t="s">
        <v>162</v>
      </c>
      <c r="AK353" t="s">
        <v>162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 s="60">
        <f t="shared" si="5"/>
        <v>1</v>
      </c>
      <c r="AU353" s="95" t="s">
        <v>360</v>
      </c>
      <c r="AV353" s="94" t="s">
        <v>165</v>
      </c>
      <c r="AW353" t="s">
        <v>163</v>
      </c>
      <c r="AX353">
        <v>2</v>
      </c>
      <c r="AY353" t="s">
        <v>167</v>
      </c>
      <c r="AZ353" t="s">
        <v>162</v>
      </c>
    </row>
    <row r="354" spans="1:52" x14ac:dyDescent="0.25">
      <c r="A354">
        <v>343</v>
      </c>
      <c r="B354" t="s">
        <v>1051</v>
      </c>
      <c r="C354" t="s">
        <v>180</v>
      </c>
      <c r="D354" t="s">
        <v>594</v>
      </c>
      <c r="E354" t="s">
        <v>172</v>
      </c>
      <c r="F354" t="s">
        <v>162</v>
      </c>
      <c r="G354">
        <v>539</v>
      </c>
      <c r="H354">
        <v>532</v>
      </c>
      <c r="I354" t="s">
        <v>292</v>
      </c>
      <c r="J354">
        <v>417</v>
      </c>
      <c r="K354">
        <v>416</v>
      </c>
      <c r="L354" t="s">
        <v>198</v>
      </c>
      <c r="M354">
        <v>4</v>
      </c>
      <c r="N354" t="s">
        <v>9</v>
      </c>
      <c r="O354" t="s">
        <v>9</v>
      </c>
      <c r="P354" t="s">
        <v>175</v>
      </c>
      <c r="Q354" t="s">
        <v>1052</v>
      </c>
      <c r="R354" t="s">
        <v>1053</v>
      </c>
      <c r="S354">
        <v>2014</v>
      </c>
      <c r="T354">
        <v>10</v>
      </c>
      <c r="U354" t="s">
        <v>1054</v>
      </c>
      <c r="V354" t="s">
        <v>162</v>
      </c>
      <c r="W354">
        <v>0</v>
      </c>
      <c r="X354">
        <v>0</v>
      </c>
      <c r="Y354" t="s">
        <v>162</v>
      </c>
      <c r="Z354">
        <v>2014</v>
      </c>
      <c r="AA354">
        <v>2014</v>
      </c>
      <c r="AB354" s="5">
        <v>0.15413427324599999</v>
      </c>
      <c r="AC354" s="5">
        <v>0.30826854649199997</v>
      </c>
      <c r="AD354" t="s">
        <v>162</v>
      </c>
      <c r="AE354" t="s">
        <v>163</v>
      </c>
      <c r="AF354" t="s">
        <v>162</v>
      </c>
      <c r="AG354" t="s">
        <v>162</v>
      </c>
      <c r="AH354" t="s">
        <v>162</v>
      </c>
      <c r="AI354" t="s">
        <v>162</v>
      </c>
      <c r="AJ354" t="s">
        <v>162</v>
      </c>
      <c r="AK354" t="s">
        <v>166</v>
      </c>
      <c r="AL354">
        <v>2015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 s="60">
        <f t="shared" si="5"/>
        <v>1</v>
      </c>
      <c r="AU354" s="95">
        <v>43342</v>
      </c>
      <c r="AV354" s="94" t="s">
        <v>165</v>
      </c>
      <c r="AW354" t="s">
        <v>166</v>
      </c>
      <c r="AX354">
        <v>2</v>
      </c>
      <c r="AY354" t="s">
        <v>167</v>
      </c>
      <c r="AZ354" t="s">
        <v>162</v>
      </c>
    </row>
    <row r="355" spans="1:52" x14ac:dyDescent="0.25">
      <c r="A355">
        <v>344</v>
      </c>
      <c r="B355" t="s">
        <v>1055</v>
      </c>
      <c r="C355" t="s">
        <v>151</v>
      </c>
      <c r="D355" t="s">
        <v>1056</v>
      </c>
      <c r="E355" t="s">
        <v>172</v>
      </c>
      <c r="F355" t="s">
        <v>162</v>
      </c>
      <c r="G355">
        <v>801</v>
      </c>
      <c r="H355">
        <v>800</v>
      </c>
      <c r="I355" t="s">
        <v>258</v>
      </c>
      <c r="J355">
        <v>1301</v>
      </c>
      <c r="K355">
        <v>1300</v>
      </c>
      <c r="L355" t="s">
        <v>406</v>
      </c>
      <c r="M355">
        <v>4</v>
      </c>
      <c r="N355" t="s">
        <v>9</v>
      </c>
      <c r="O355" t="s">
        <v>9</v>
      </c>
      <c r="P355" t="s">
        <v>175</v>
      </c>
      <c r="Q355" t="s">
        <v>1057</v>
      </c>
      <c r="R355" t="s">
        <v>463</v>
      </c>
      <c r="S355">
        <v>2014</v>
      </c>
      <c r="T355">
        <v>10</v>
      </c>
      <c r="U355" t="s">
        <v>162</v>
      </c>
      <c r="V355" t="s">
        <v>243</v>
      </c>
      <c r="W355">
        <v>2020</v>
      </c>
      <c r="X355">
        <v>0</v>
      </c>
      <c r="Y355" t="s">
        <v>162</v>
      </c>
      <c r="Z355">
        <v>2020</v>
      </c>
      <c r="AA355">
        <v>0</v>
      </c>
      <c r="AB355" s="5">
        <v>0.63886034112400003</v>
      </c>
      <c r="AC355" s="5">
        <v>1.27772068225</v>
      </c>
      <c r="AD355" t="s">
        <v>162</v>
      </c>
      <c r="AE355" t="s">
        <v>163</v>
      </c>
      <c r="AF355" t="s">
        <v>162</v>
      </c>
      <c r="AG355" t="s">
        <v>162</v>
      </c>
      <c r="AH355" t="s">
        <v>162</v>
      </c>
      <c r="AI355" t="s">
        <v>162</v>
      </c>
      <c r="AJ355" t="s">
        <v>162</v>
      </c>
      <c r="AK355" t="s">
        <v>162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 s="60">
        <f t="shared" si="5"/>
        <v>1</v>
      </c>
      <c r="AU355" s="95" t="s">
        <v>350</v>
      </c>
      <c r="AV355" s="94" t="s">
        <v>165</v>
      </c>
      <c r="AW355" t="s">
        <v>163</v>
      </c>
      <c r="AX355">
        <v>2</v>
      </c>
      <c r="AY355" t="s">
        <v>167</v>
      </c>
      <c r="AZ355" t="s">
        <v>162</v>
      </c>
    </row>
    <row r="356" spans="1:52" x14ac:dyDescent="0.25">
      <c r="A356">
        <v>345</v>
      </c>
      <c r="B356" t="s">
        <v>228</v>
      </c>
      <c r="C356" t="s">
        <v>163</v>
      </c>
      <c r="D356" t="s">
        <v>229</v>
      </c>
      <c r="E356" t="s">
        <v>216</v>
      </c>
      <c r="F356" t="s">
        <v>162</v>
      </c>
      <c r="G356">
        <v>2201</v>
      </c>
      <c r="H356">
        <v>2200</v>
      </c>
      <c r="I356" t="s">
        <v>236</v>
      </c>
      <c r="J356">
        <v>2297</v>
      </c>
      <c r="K356">
        <v>2296</v>
      </c>
      <c r="L356" t="s">
        <v>1058</v>
      </c>
      <c r="M356">
        <v>3</v>
      </c>
      <c r="N356" t="s">
        <v>9</v>
      </c>
      <c r="O356" t="s">
        <v>9</v>
      </c>
      <c r="P356" t="s">
        <v>157</v>
      </c>
      <c r="Q356" t="s">
        <v>533</v>
      </c>
      <c r="R356" t="s">
        <v>283</v>
      </c>
      <c r="S356">
        <v>2014</v>
      </c>
      <c r="T356">
        <v>10</v>
      </c>
      <c r="U356" t="s">
        <v>162</v>
      </c>
      <c r="V356" t="s">
        <v>162</v>
      </c>
      <c r="W356">
        <v>0</v>
      </c>
      <c r="X356">
        <v>0</v>
      </c>
      <c r="Y356" t="s">
        <v>162</v>
      </c>
      <c r="Z356">
        <v>2014</v>
      </c>
      <c r="AA356">
        <v>2002</v>
      </c>
      <c r="AB356" s="5">
        <v>0.18813388686900001</v>
      </c>
      <c r="AC356" s="5">
        <v>0.37626777373800002</v>
      </c>
      <c r="AD356" t="s">
        <v>162</v>
      </c>
      <c r="AE356" t="s">
        <v>163</v>
      </c>
      <c r="AF356" t="s">
        <v>162</v>
      </c>
      <c r="AG356" t="s">
        <v>162</v>
      </c>
      <c r="AH356" t="s">
        <v>162</v>
      </c>
      <c r="AI356" t="s">
        <v>162</v>
      </c>
      <c r="AJ356" t="s">
        <v>162</v>
      </c>
      <c r="AK356" t="s">
        <v>162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 s="60">
        <f t="shared" si="5"/>
        <v>1</v>
      </c>
      <c r="AU356" s="95">
        <v>43333</v>
      </c>
      <c r="AV356" s="94" t="s">
        <v>165</v>
      </c>
      <c r="AW356" t="s">
        <v>163</v>
      </c>
      <c r="AX356">
        <v>2</v>
      </c>
      <c r="AY356" t="s">
        <v>167</v>
      </c>
      <c r="AZ356" t="s">
        <v>162</v>
      </c>
    </row>
    <row r="357" spans="1:52" x14ac:dyDescent="0.25">
      <c r="A357">
        <v>346</v>
      </c>
      <c r="B357" t="s">
        <v>1059</v>
      </c>
      <c r="C357" t="s">
        <v>151</v>
      </c>
      <c r="D357" t="s">
        <v>1060</v>
      </c>
      <c r="E357" t="s">
        <v>153</v>
      </c>
      <c r="F357" t="s">
        <v>154</v>
      </c>
      <c r="G357">
        <v>2400</v>
      </c>
      <c r="H357">
        <v>2401</v>
      </c>
      <c r="I357" t="s">
        <v>334</v>
      </c>
      <c r="J357">
        <v>2000</v>
      </c>
      <c r="K357">
        <v>2001</v>
      </c>
      <c r="L357" t="s">
        <v>173</v>
      </c>
      <c r="M357">
        <v>2</v>
      </c>
      <c r="N357" t="s">
        <v>9</v>
      </c>
      <c r="O357" t="s">
        <v>9</v>
      </c>
      <c r="P357" t="s">
        <v>175</v>
      </c>
      <c r="Q357" t="s">
        <v>1061</v>
      </c>
      <c r="R357" t="s">
        <v>959</v>
      </c>
      <c r="S357">
        <v>2014</v>
      </c>
      <c r="T357">
        <v>10</v>
      </c>
      <c r="U357" t="s">
        <v>208</v>
      </c>
      <c r="V357" t="s">
        <v>162</v>
      </c>
      <c r="W357">
        <v>0</v>
      </c>
      <c r="X357">
        <v>0</v>
      </c>
      <c r="Y357" t="s">
        <v>162</v>
      </c>
      <c r="Z357">
        <v>2014</v>
      </c>
      <c r="AA357">
        <v>2014</v>
      </c>
      <c r="AB357" s="5">
        <v>0.50547010044200003</v>
      </c>
      <c r="AC357" s="5">
        <v>1.0109402008799999</v>
      </c>
      <c r="AD357" t="s">
        <v>154</v>
      </c>
      <c r="AE357" t="s">
        <v>163</v>
      </c>
      <c r="AF357" t="s">
        <v>154</v>
      </c>
      <c r="AG357" t="s">
        <v>154</v>
      </c>
      <c r="AH357" t="s">
        <v>154</v>
      </c>
      <c r="AI357" t="s">
        <v>154</v>
      </c>
      <c r="AJ357" t="s">
        <v>154</v>
      </c>
      <c r="AK357" t="s">
        <v>162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 s="60">
        <f t="shared" si="5"/>
        <v>1</v>
      </c>
      <c r="AU357" s="95" t="s">
        <v>360</v>
      </c>
      <c r="AV357" s="94" t="s">
        <v>165</v>
      </c>
      <c r="AW357" t="s">
        <v>163</v>
      </c>
      <c r="AX357">
        <v>2</v>
      </c>
      <c r="AY357" t="s">
        <v>167</v>
      </c>
      <c r="AZ357" t="s">
        <v>162</v>
      </c>
    </row>
    <row r="358" spans="1:52" x14ac:dyDescent="0.25">
      <c r="A358">
        <v>347</v>
      </c>
      <c r="B358" t="s">
        <v>1062</v>
      </c>
      <c r="C358" t="s">
        <v>151</v>
      </c>
      <c r="D358" t="s">
        <v>1063</v>
      </c>
      <c r="E358" t="s">
        <v>222</v>
      </c>
      <c r="F358" t="s">
        <v>162</v>
      </c>
      <c r="G358">
        <v>2001</v>
      </c>
      <c r="H358">
        <v>2000</v>
      </c>
      <c r="I358" t="s">
        <v>775</v>
      </c>
      <c r="J358">
        <v>2201</v>
      </c>
      <c r="K358">
        <v>2200</v>
      </c>
      <c r="L358" t="s">
        <v>1064</v>
      </c>
      <c r="M358">
        <v>3</v>
      </c>
      <c r="N358" t="s">
        <v>9</v>
      </c>
      <c r="O358" t="s">
        <v>9</v>
      </c>
      <c r="P358" t="s">
        <v>157</v>
      </c>
      <c r="Q358" t="s">
        <v>1065</v>
      </c>
      <c r="R358" t="s">
        <v>611</v>
      </c>
      <c r="S358">
        <v>2016</v>
      </c>
      <c r="T358">
        <v>10</v>
      </c>
      <c r="U358" t="s">
        <v>162</v>
      </c>
      <c r="V358" t="s">
        <v>243</v>
      </c>
      <c r="W358">
        <v>2020</v>
      </c>
      <c r="X358">
        <v>0</v>
      </c>
      <c r="Y358" t="s">
        <v>162</v>
      </c>
      <c r="Z358">
        <v>2020</v>
      </c>
      <c r="AA358">
        <v>0</v>
      </c>
      <c r="AB358" s="5">
        <v>0.295408328793</v>
      </c>
      <c r="AC358" s="5">
        <v>0.59081665758599999</v>
      </c>
      <c r="AD358" t="s">
        <v>162</v>
      </c>
      <c r="AE358" t="s">
        <v>163</v>
      </c>
      <c r="AF358" t="s">
        <v>162</v>
      </c>
      <c r="AG358" t="s">
        <v>162</v>
      </c>
      <c r="AH358" t="s">
        <v>162</v>
      </c>
      <c r="AI358" t="s">
        <v>162</v>
      </c>
      <c r="AJ358" t="s">
        <v>162</v>
      </c>
      <c r="AK358" t="s">
        <v>162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 s="60">
        <f t="shared" si="5"/>
        <v>1</v>
      </c>
      <c r="AU358" s="95" t="s">
        <v>350</v>
      </c>
      <c r="AV358" s="94" t="s">
        <v>165</v>
      </c>
      <c r="AW358" t="s">
        <v>1066</v>
      </c>
      <c r="AX358">
        <v>2</v>
      </c>
      <c r="AY358" t="s">
        <v>167</v>
      </c>
      <c r="AZ358" t="s">
        <v>162</v>
      </c>
    </row>
    <row r="359" spans="1:52" x14ac:dyDescent="0.25">
      <c r="A359">
        <v>348</v>
      </c>
      <c r="B359" t="s">
        <v>188</v>
      </c>
      <c r="C359" t="s">
        <v>151</v>
      </c>
      <c r="D359" t="s">
        <v>189</v>
      </c>
      <c r="E359" t="s">
        <v>172</v>
      </c>
      <c r="F359" t="s">
        <v>162</v>
      </c>
      <c r="G359">
        <v>5969</v>
      </c>
      <c r="H359">
        <v>5968</v>
      </c>
      <c r="I359" t="s">
        <v>1067</v>
      </c>
      <c r="J359">
        <v>5631</v>
      </c>
      <c r="K359">
        <v>5630</v>
      </c>
      <c r="L359" t="s">
        <v>543</v>
      </c>
      <c r="M359">
        <v>3</v>
      </c>
      <c r="N359" t="s">
        <v>9</v>
      </c>
      <c r="O359" t="s">
        <v>9</v>
      </c>
      <c r="P359" t="s">
        <v>175</v>
      </c>
      <c r="Q359" t="s">
        <v>1068</v>
      </c>
      <c r="R359" t="s">
        <v>959</v>
      </c>
      <c r="S359">
        <v>2014</v>
      </c>
      <c r="T359">
        <v>10</v>
      </c>
      <c r="U359" t="s">
        <v>123</v>
      </c>
      <c r="V359" t="s">
        <v>162</v>
      </c>
      <c r="W359">
        <v>0</v>
      </c>
      <c r="X359">
        <v>0</v>
      </c>
      <c r="Y359" t="s">
        <v>162</v>
      </c>
      <c r="Z359">
        <v>2014</v>
      </c>
      <c r="AA359">
        <v>2014</v>
      </c>
      <c r="AB359" s="5">
        <v>0.43888565758600001</v>
      </c>
      <c r="AC359" s="5">
        <v>0.87777131517200002</v>
      </c>
      <c r="AD359" t="s">
        <v>162</v>
      </c>
      <c r="AE359" t="s">
        <v>163</v>
      </c>
      <c r="AF359" t="s">
        <v>162</v>
      </c>
      <c r="AG359" t="s">
        <v>162</v>
      </c>
      <c r="AH359" t="s">
        <v>162</v>
      </c>
      <c r="AI359" t="s">
        <v>162</v>
      </c>
      <c r="AJ359" t="s">
        <v>162</v>
      </c>
      <c r="AK359" t="s">
        <v>162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s="60">
        <f t="shared" si="5"/>
        <v>1</v>
      </c>
      <c r="AU359" s="95">
        <v>43328</v>
      </c>
      <c r="AV359" s="94" t="s">
        <v>165</v>
      </c>
      <c r="AW359" t="s">
        <v>163</v>
      </c>
      <c r="AX359">
        <v>2</v>
      </c>
      <c r="AY359" t="s">
        <v>167</v>
      </c>
      <c r="AZ359" t="s">
        <v>162</v>
      </c>
    </row>
    <row r="360" spans="1:52" x14ac:dyDescent="0.25">
      <c r="A360">
        <v>349</v>
      </c>
      <c r="B360" t="s">
        <v>188</v>
      </c>
      <c r="C360" t="s">
        <v>151</v>
      </c>
      <c r="D360" t="s">
        <v>189</v>
      </c>
      <c r="E360" t="s">
        <v>172</v>
      </c>
      <c r="F360" t="s">
        <v>162</v>
      </c>
      <c r="G360">
        <v>5629</v>
      </c>
      <c r="H360">
        <v>5628</v>
      </c>
      <c r="I360" t="s">
        <v>543</v>
      </c>
      <c r="J360">
        <v>5501</v>
      </c>
      <c r="K360">
        <v>5500</v>
      </c>
      <c r="L360" t="s">
        <v>1069</v>
      </c>
      <c r="M360">
        <v>3</v>
      </c>
      <c r="N360" t="s">
        <v>15</v>
      </c>
      <c r="O360" t="s">
        <v>15</v>
      </c>
      <c r="P360" t="s">
        <v>175</v>
      </c>
      <c r="Q360" t="s">
        <v>1068</v>
      </c>
      <c r="R360" t="s">
        <v>959</v>
      </c>
      <c r="S360">
        <v>2014</v>
      </c>
      <c r="T360">
        <v>10</v>
      </c>
      <c r="U360" t="s">
        <v>123</v>
      </c>
      <c r="V360" t="s">
        <v>162</v>
      </c>
      <c r="W360">
        <v>0</v>
      </c>
      <c r="X360">
        <v>0</v>
      </c>
      <c r="Y360" t="s">
        <v>162</v>
      </c>
      <c r="Z360">
        <v>2014</v>
      </c>
      <c r="AA360">
        <v>2014</v>
      </c>
      <c r="AB360" s="5">
        <v>0.160948029218</v>
      </c>
      <c r="AC360" s="5">
        <v>0.321896058436</v>
      </c>
      <c r="AD360" t="s">
        <v>162</v>
      </c>
      <c r="AE360" t="s">
        <v>163</v>
      </c>
      <c r="AF360" t="s">
        <v>162</v>
      </c>
      <c r="AG360" t="s">
        <v>162</v>
      </c>
      <c r="AH360" t="s">
        <v>162</v>
      </c>
      <c r="AI360" t="s">
        <v>162</v>
      </c>
      <c r="AJ360" t="s">
        <v>162</v>
      </c>
      <c r="AK360" t="s">
        <v>162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 s="60">
        <f t="shared" si="5"/>
        <v>1</v>
      </c>
      <c r="AU360" s="95">
        <v>43328</v>
      </c>
      <c r="AV360" s="94" t="s">
        <v>165</v>
      </c>
      <c r="AW360" t="s">
        <v>162</v>
      </c>
      <c r="AX360">
        <v>2</v>
      </c>
      <c r="AY360" t="s">
        <v>167</v>
      </c>
      <c r="AZ360" t="s">
        <v>162</v>
      </c>
    </row>
    <row r="361" spans="1:52" x14ac:dyDescent="0.25">
      <c r="A361">
        <v>350</v>
      </c>
      <c r="B361" t="s">
        <v>448</v>
      </c>
      <c r="C361" t="s">
        <v>180</v>
      </c>
      <c r="D361" t="s">
        <v>449</v>
      </c>
      <c r="E361" t="s">
        <v>182</v>
      </c>
      <c r="F361" t="s">
        <v>162</v>
      </c>
      <c r="G361">
        <v>6300</v>
      </c>
      <c r="H361">
        <v>6301</v>
      </c>
      <c r="I361" t="s">
        <v>782</v>
      </c>
      <c r="J361">
        <v>6000</v>
      </c>
      <c r="K361">
        <v>6001</v>
      </c>
      <c r="L361" t="s">
        <v>519</v>
      </c>
      <c r="M361">
        <v>3</v>
      </c>
      <c r="N361" t="s">
        <v>15</v>
      </c>
      <c r="O361" t="s">
        <v>15</v>
      </c>
      <c r="P361" t="s">
        <v>169</v>
      </c>
      <c r="Q361" t="s">
        <v>1070</v>
      </c>
      <c r="R361" t="s">
        <v>502</v>
      </c>
      <c r="S361">
        <v>2017</v>
      </c>
      <c r="T361">
        <v>6</v>
      </c>
      <c r="U361" t="s">
        <v>123</v>
      </c>
      <c r="V361" t="s">
        <v>243</v>
      </c>
      <c r="W361">
        <v>2020</v>
      </c>
      <c r="X361">
        <v>0</v>
      </c>
      <c r="Y361" t="s">
        <v>162</v>
      </c>
      <c r="Z361">
        <v>2020</v>
      </c>
      <c r="AA361">
        <v>2017</v>
      </c>
      <c r="AB361" s="5">
        <v>0.37688207978299998</v>
      </c>
      <c r="AC361" s="5">
        <v>0.75376415956599996</v>
      </c>
      <c r="AD361" t="s">
        <v>162</v>
      </c>
      <c r="AE361" t="s">
        <v>163</v>
      </c>
      <c r="AF361" t="s">
        <v>162</v>
      </c>
      <c r="AG361" t="s">
        <v>162</v>
      </c>
      <c r="AH361" t="s">
        <v>162</v>
      </c>
      <c r="AI361" t="s">
        <v>162</v>
      </c>
      <c r="AJ361" t="s">
        <v>162</v>
      </c>
      <c r="AK361" t="s">
        <v>162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 s="60">
        <f t="shared" si="5"/>
        <v>1</v>
      </c>
      <c r="AU361" s="95" t="s">
        <v>244</v>
      </c>
      <c r="AV361" s="94" t="s">
        <v>165</v>
      </c>
      <c r="AW361" t="s">
        <v>162</v>
      </c>
      <c r="AX361">
        <v>2</v>
      </c>
      <c r="AY361" t="s">
        <v>167</v>
      </c>
      <c r="AZ361" t="s">
        <v>162</v>
      </c>
    </row>
    <row r="362" spans="1:52" x14ac:dyDescent="0.25">
      <c r="A362">
        <v>351</v>
      </c>
      <c r="B362" t="s">
        <v>1071</v>
      </c>
      <c r="C362" t="s">
        <v>180</v>
      </c>
      <c r="D362" t="s">
        <v>1072</v>
      </c>
      <c r="E362" t="s">
        <v>216</v>
      </c>
      <c r="F362" t="s">
        <v>162</v>
      </c>
      <c r="G362">
        <v>13501</v>
      </c>
      <c r="H362">
        <v>13500</v>
      </c>
      <c r="I362" t="s">
        <v>1073</v>
      </c>
      <c r="J362">
        <v>13059</v>
      </c>
      <c r="K362">
        <v>13058</v>
      </c>
      <c r="L362" t="s">
        <v>1074</v>
      </c>
      <c r="M362">
        <v>4</v>
      </c>
      <c r="N362" t="s">
        <v>9</v>
      </c>
      <c r="O362" t="s">
        <v>9</v>
      </c>
      <c r="P362" t="s">
        <v>175</v>
      </c>
      <c r="Q362" t="s">
        <v>1075</v>
      </c>
      <c r="R362" t="s">
        <v>502</v>
      </c>
      <c r="S362">
        <v>2017</v>
      </c>
      <c r="T362">
        <v>5</v>
      </c>
      <c r="U362" t="s">
        <v>123</v>
      </c>
      <c r="V362" t="s">
        <v>162</v>
      </c>
      <c r="W362">
        <v>0</v>
      </c>
      <c r="X362">
        <v>0</v>
      </c>
      <c r="Y362" t="s">
        <v>162</v>
      </c>
      <c r="Z362">
        <v>2017</v>
      </c>
      <c r="AA362">
        <v>2017</v>
      </c>
      <c r="AB362" s="5">
        <v>0.66893695333299996</v>
      </c>
      <c r="AC362" s="5">
        <v>1.3378739066700001</v>
      </c>
      <c r="AD362" t="s">
        <v>162</v>
      </c>
      <c r="AE362" t="s">
        <v>163</v>
      </c>
      <c r="AF362" t="s">
        <v>162</v>
      </c>
      <c r="AG362" t="s">
        <v>162</v>
      </c>
      <c r="AH362" t="s">
        <v>162</v>
      </c>
      <c r="AI362" t="s">
        <v>162</v>
      </c>
      <c r="AJ362" t="s">
        <v>162</v>
      </c>
      <c r="AK362" t="s">
        <v>162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s="60">
        <f t="shared" si="5"/>
        <v>1</v>
      </c>
      <c r="AU362" s="95">
        <v>43347</v>
      </c>
      <c r="AV362" s="94" t="s">
        <v>165</v>
      </c>
      <c r="AW362" t="s">
        <v>163</v>
      </c>
      <c r="AX362">
        <v>3</v>
      </c>
      <c r="AY362" t="s">
        <v>167</v>
      </c>
      <c r="AZ362" t="s">
        <v>162</v>
      </c>
    </row>
    <row r="363" spans="1:52" x14ac:dyDescent="0.25">
      <c r="A363">
        <v>352</v>
      </c>
      <c r="B363" t="s">
        <v>480</v>
      </c>
      <c r="C363" t="s">
        <v>163</v>
      </c>
      <c r="D363" t="s">
        <v>481</v>
      </c>
      <c r="E363" t="s">
        <v>216</v>
      </c>
      <c r="F363" t="s">
        <v>162</v>
      </c>
      <c r="G363">
        <v>6800</v>
      </c>
      <c r="H363">
        <v>6801</v>
      </c>
      <c r="I363" t="s">
        <v>982</v>
      </c>
      <c r="J363">
        <v>7158</v>
      </c>
      <c r="K363">
        <v>7159</v>
      </c>
      <c r="L363" t="s">
        <v>1076</v>
      </c>
      <c r="M363">
        <v>2</v>
      </c>
      <c r="N363" t="s">
        <v>9</v>
      </c>
      <c r="O363" t="s">
        <v>9</v>
      </c>
      <c r="P363" t="s">
        <v>175</v>
      </c>
      <c r="Q363" t="s">
        <v>1077</v>
      </c>
      <c r="R363" t="s">
        <v>502</v>
      </c>
      <c r="S363">
        <v>2016</v>
      </c>
      <c r="T363">
        <v>9</v>
      </c>
      <c r="U363" t="s">
        <v>123</v>
      </c>
      <c r="V363" t="s">
        <v>162</v>
      </c>
      <c r="W363">
        <v>0</v>
      </c>
      <c r="X363">
        <v>0</v>
      </c>
      <c r="Y363" t="s">
        <v>162</v>
      </c>
      <c r="Z363">
        <v>2016</v>
      </c>
      <c r="AA363">
        <v>2016</v>
      </c>
      <c r="AB363" s="5">
        <v>0.49748513436699998</v>
      </c>
      <c r="AC363" s="5">
        <v>0.99497026873399996</v>
      </c>
      <c r="AD363" t="s">
        <v>162</v>
      </c>
      <c r="AE363" t="s">
        <v>163</v>
      </c>
      <c r="AF363" t="s">
        <v>162</v>
      </c>
      <c r="AG363" t="s">
        <v>162</v>
      </c>
      <c r="AH363" t="s">
        <v>162</v>
      </c>
      <c r="AI363" t="s">
        <v>162</v>
      </c>
      <c r="AJ363" t="s">
        <v>162</v>
      </c>
      <c r="AK363" t="s">
        <v>162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 s="60">
        <f t="shared" si="5"/>
        <v>1</v>
      </c>
      <c r="AU363" s="95">
        <v>43341</v>
      </c>
      <c r="AV363" s="94" t="s">
        <v>165</v>
      </c>
      <c r="AW363" t="s">
        <v>163</v>
      </c>
      <c r="AX363">
        <v>2</v>
      </c>
      <c r="AY363" t="s">
        <v>167</v>
      </c>
      <c r="AZ363" t="s">
        <v>162</v>
      </c>
    </row>
    <row r="364" spans="1:52" x14ac:dyDescent="0.25">
      <c r="A364">
        <v>353</v>
      </c>
      <c r="B364" t="s">
        <v>635</v>
      </c>
      <c r="C364" t="s">
        <v>151</v>
      </c>
      <c r="D364" t="s">
        <v>636</v>
      </c>
      <c r="E364" t="s">
        <v>172</v>
      </c>
      <c r="F364" t="s">
        <v>151</v>
      </c>
      <c r="G364">
        <v>201</v>
      </c>
      <c r="H364">
        <v>200</v>
      </c>
      <c r="I364" t="s">
        <v>499</v>
      </c>
      <c r="J364">
        <v>98</v>
      </c>
      <c r="K364">
        <v>99</v>
      </c>
      <c r="L364" t="s">
        <v>1078</v>
      </c>
      <c r="M364">
        <v>4</v>
      </c>
      <c r="N364" t="s">
        <v>7</v>
      </c>
      <c r="O364" t="s">
        <v>7</v>
      </c>
      <c r="P364" t="s">
        <v>175</v>
      </c>
      <c r="Q364" t="s">
        <v>1079</v>
      </c>
      <c r="R364" t="s">
        <v>261</v>
      </c>
      <c r="S364">
        <v>2016</v>
      </c>
      <c r="T364">
        <v>11</v>
      </c>
      <c r="U364" t="s">
        <v>162</v>
      </c>
      <c r="V364" t="s">
        <v>162</v>
      </c>
      <c r="W364">
        <v>0</v>
      </c>
      <c r="X364">
        <v>0</v>
      </c>
      <c r="Y364" t="s">
        <v>162</v>
      </c>
      <c r="Z364">
        <v>2016</v>
      </c>
      <c r="AA364">
        <v>0</v>
      </c>
      <c r="AB364" s="5">
        <v>0.48719865235900001</v>
      </c>
      <c r="AC364" s="5">
        <v>0.48719865235900001</v>
      </c>
      <c r="AD364" t="s">
        <v>261</v>
      </c>
      <c r="AE364" t="s">
        <v>166</v>
      </c>
      <c r="AF364" t="s">
        <v>151</v>
      </c>
      <c r="AG364" t="s">
        <v>163</v>
      </c>
      <c r="AH364" t="s">
        <v>163</v>
      </c>
      <c r="AI364" t="s">
        <v>226</v>
      </c>
      <c r="AJ364" t="s">
        <v>154</v>
      </c>
      <c r="AK364" t="s">
        <v>166</v>
      </c>
      <c r="AL364">
        <v>2017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 s="60">
        <f t="shared" si="5"/>
        <v>1</v>
      </c>
      <c r="AU364" s="95" t="s">
        <v>213</v>
      </c>
      <c r="AV364" s="94" t="s">
        <v>165</v>
      </c>
      <c r="AW364" t="s">
        <v>166</v>
      </c>
      <c r="AX364">
        <v>1</v>
      </c>
      <c r="AY364" t="s">
        <v>167</v>
      </c>
      <c r="AZ364" t="s">
        <v>162</v>
      </c>
    </row>
    <row r="365" spans="1:52" x14ac:dyDescent="0.25">
      <c r="A365">
        <v>354</v>
      </c>
      <c r="B365" t="s">
        <v>1080</v>
      </c>
      <c r="C365" t="s">
        <v>151</v>
      </c>
      <c r="D365" t="s">
        <v>257</v>
      </c>
      <c r="E365" t="s">
        <v>172</v>
      </c>
      <c r="F365" t="s">
        <v>203</v>
      </c>
      <c r="G365">
        <v>357</v>
      </c>
      <c r="H365">
        <v>356</v>
      </c>
      <c r="I365" t="s">
        <v>1081</v>
      </c>
      <c r="J365">
        <v>100</v>
      </c>
      <c r="K365">
        <v>101</v>
      </c>
      <c r="L365" t="s">
        <v>1078</v>
      </c>
      <c r="M365">
        <v>4</v>
      </c>
      <c r="N365" t="s">
        <v>7</v>
      </c>
      <c r="O365" t="s">
        <v>7</v>
      </c>
      <c r="P365" t="s">
        <v>175</v>
      </c>
      <c r="Q365" t="s">
        <v>992</v>
      </c>
      <c r="R365" t="s">
        <v>261</v>
      </c>
      <c r="S365">
        <v>2015</v>
      </c>
      <c r="T365">
        <v>12</v>
      </c>
      <c r="U365" t="s">
        <v>311</v>
      </c>
      <c r="V365" t="s">
        <v>162</v>
      </c>
      <c r="W365">
        <v>0</v>
      </c>
      <c r="X365">
        <v>0</v>
      </c>
      <c r="Y365" t="s">
        <v>162</v>
      </c>
      <c r="Z365">
        <v>2015</v>
      </c>
      <c r="AA365">
        <v>2015</v>
      </c>
      <c r="AB365" s="5">
        <v>0.65226364447399998</v>
      </c>
      <c r="AC365" s="5">
        <v>0.65226364447399998</v>
      </c>
      <c r="AD365" t="s">
        <v>261</v>
      </c>
      <c r="AE365" t="s">
        <v>166</v>
      </c>
      <c r="AF365" t="s">
        <v>203</v>
      </c>
      <c r="AG365" t="s">
        <v>163</v>
      </c>
      <c r="AH365" t="s">
        <v>163</v>
      </c>
      <c r="AI365" t="s">
        <v>226</v>
      </c>
      <c r="AJ365" t="s">
        <v>154</v>
      </c>
      <c r="AK365" t="s">
        <v>162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 s="60">
        <f t="shared" si="5"/>
        <v>1</v>
      </c>
      <c r="AU365" s="95" t="s">
        <v>213</v>
      </c>
      <c r="AV365" s="94" t="s">
        <v>165</v>
      </c>
      <c r="AW365" t="s">
        <v>166</v>
      </c>
      <c r="AX365">
        <v>1</v>
      </c>
      <c r="AY365" t="s">
        <v>167</v>
      </c>
      <c r="AZ365" t="s">
        <v>162</v>
      </c>
    </row>
    <row r="366" spans="1:52" x14ac:dyDescent="0.25">
      <c r="A366">
        <v>355</v>
      </c>
      <c r="B366" t="s">
        <v>924</v>
      </c>
      <c r="C366" t="s">
        <v>180</v>
      </c>
      <c r="D366" t="s">
        <v>925</v>
      </c>
      <c r="E366" t="s">
        <v>172</v>
      </c>
      <c r="F366" t="s">
        <v>162</v>
      </c>
      <c r="G366">
        <v>2200</v>
      </c>
      <c r="H366">
        <v>2201</v>
      </c>
      <c r="I366" t="s">
        <v>248</v>
      </c>
      <c r="J366">
        <v>1800</v>
      </c>
      <c r="K366">
        <v>1801</v>
      </c>
      <c r="L366" t="s">
        <v>348</v>
      </c>
      <c r="M366">
        <v>4</v>
      </c>
      <c r="N366" t="s">
        <v>15</v>
      </c>
      <c r="O366" t="s">
        <v>15</v>
      </c>
      <c r="P366" t="s">
        <v>175</v>
      </c>
      <c r="Q366" t="s">
        <v>1082</v>
      </c>
      <c r="R366" t="s">
        <v>987</v>
      </c>
      <c r="S366">
        <v>2015</v>
      </c>
      <c r="T366">
        <v>12</v>
      </c>
      <c r="U366" t="s">
        <v>123</v>
      </c>
      <c r="V366" t="s">
        <v>162</v>
      </c>
      <c r="W366">
        <v>0</v>
      </c>
      <c r="X366">
        <v>0</v>
      </c>
      <c r="Y366" t="s">
        <v>162</v>
      </c>
      <c r="Z366">
        <v>2015</v>
      </c>
      <c r="AA366">
        <v>2015</v>
      </c>
      <c r="AB366" s="5">
        <v>0.37673320021099999</v>
      </c>
      <c r="AC366" s="5">
        <v>0.75346640042199997</v>
      </c>
      <c r="AD366" t="s">
        <v>162</v>
      </c>
      <c r="AE366" t="s">
        <v>163</v>
      </c>
      <c r="AF366" t="s">
        <v>162</v>
      </c>
      <c r="AG366" t="s">
        <v>162</v>
      </c>
      <c r="AH366" t="s">
        <v>162</v>
      </c>
      <c r="AI366" t="s">
        <v>162</v>
      </c>
      <c r="AJ366" t="s">
        <v>162</v>
      </c>
      <c r="AK366" t="s">
        <v>162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 s="60">
        <f t="shared" si="5"/>
        <v>1</v>
      </c>
      <c r="AU366" s="95">
        <v>43347</v>
      </c>
      <c r="AV366" t="s">
        <v>165</v>
      </c>
      <c r="AW366" t="s">
        <v>162</v>
      </c>
      <c r="AX366">
        <v>2</v>
      </c>
      <c r="AY366" t="s">
        <v>167</v>
      </c>
      <c r="AZ366" t="s">
        <v>162</v>
      </c>
    </row>
    <row r="367" spans="1:52" x14ac:dyDescent="0.25">
      <c r="A367">
        <v>356</v>
      </c>
      <c r="B367" t="s">
        <v>170</v>
      </c>
      <c r="C367" t="s">
        <v>203</v>
      </c>
      <c r="D367" t="s">
        <v>171</v>
      </c>
      <c r="E367" t="s">
        <v>172</v>
      </c>
      <c r="F367" t="s">
        <v>162</v>
      </c>
      <c r="G367">
        <v>200</v>
      </c>
      <c r="H367">
        <v>201</v>
      </c>
      <c r="I367" t="s">
        <v>1083</v>
      </c>
      <c r="J367">
        <v>350</v>
      </c>
      <c r="K367">
        <v>351</v>
      </c>
      <c r="L367" t="s">
        <v>1084</v>
      </c>
      <c r="M367">
        <v>3</v>
      </c>
      <c r="N367" t="s">
        <v>15</v>
      </c>
      <c r="O367" t="s">
        <v>15</v>
      </c>
      <c r="P367" t="s">
        <v>175</v>
      </c>
      <c r="Q367" t="s">
        <v>1085</v>
      </c>
      <c r="R367" t="s">
        <v>283</v>
      </c>
      <c r="S367">
        <v>2014</v>
      </c>
      <c r="T367">
        <v>10</v>
      </c>
      <c r="U367" t="s">
        <v>162</v>
      </c>
      <c r="V367" t="s">
        <v>162</v>
      </c>
      <c r="W367">
        <v>0</v>
      </c>
      <c r="X367">
        <v>0</v>
      </c>
      <c r="Y367" t="s">
        <v>162</v>
      </c>
      <c r="Z367">
        <v>2014</v>
      </c>
      <c r="AA367">
        <v>0</v>
      </c>
      <c r="AB367" s="5">
        <v>0.141197533958</v>
      </c>
      <c r="AC367" s="5">
        <v>0.282395067916</v>
      </c>
      <c r="AD367" t="s">
        <v>162</v>
      </c>
      <c r="AE367" t="s">
        <v>163</v>
      </c>
      <c r="AF367" t="s">
        <v>162</v>
      </c>
      <c r="AG367" t="s">
        <v>162</v>
      </c>
      <c r="AH367" t="s">
        <v>162</v>
      </c>
      <c r="AI367" t="s">
        <v>162</v>
      </c>
      <c r="AJ367" t="s">
        <v>162</v>
      </c>
      <c r="AK367" t="s">
        <v>162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 s="60">
        <f t="shared" si="5"/>
        <v>1</v>
      </c>
      <c r="AU367" s="95">
        <v>43328</v>
      </c>
      <c r="AV367" t="s">
        <v>165</v>
      </c>
      <c r="AW367" t="s">
        <v>162</v>
      </c>
      <c r="AX367">
        <v>2</v>
      </c>
      <c r="AY367" t="s">
        <v>275</v>
      </c>
      <c r="AZ367" t="s">
        <v>162</v>
      </c>
    </row>
    <row r="368" spans="1:52" x14ac:dyDescent="0.25">
      <c r="A368">
        <v>357</v>
      </c>
      <c r="B368" t="s">
        <v>1086</v>
      </c>
      <c r="C368" t="s">
        <v>180</v>
      </c>
      <c r="D368" t="s">
        <v>1087</v>
      </c>
      <c r="E368" t="s">
        <v>216</v>
      </c>
      <c r="F368" t="s">
        <v>162</v>
      </c>
      <c r="G368">
        <v>2000</v>
      </c>
      <c r="H368">
        <v>2001</v>
      </c>
      <c r="I368" t="s">
        <v>1088</v>
      </c>
      <c r="J368">
        <v>1800</v>
      </c>
      <c r="K368">
        <v>1801</v>
      </c>
      <c r="L368" t="s">
        <v>343</v>
      </c>
      <c r="M368">
        <v>3</v>
      </c>
      <c r="N368" t="s">
        <v>15</v>
      </c>
      <c r="O368" t="s">
        <v>15</v>
      </c>
      <c r="P368" t="s">
        <v>175</v>
      </c>
      <c r="Q368" t="s">
        <v>1089</v>
      </c>
      <c r="R368" t="s">
        <v>283</v>
      </c>
      <c r="S368">
        <v>2014</v>
      </c>
      <c r="T368">
        <v>8</v>
      </c>
      <c r="U368" t="s">
        <v>1090</v>
      </c>
      <c r="V368" t="s">
        <v>162</v>
      </c>
      <c r="W368">
        <v>0</v>
      </c>
      <c r="X368">
        <v>0</v>
      </c>
      <c r="Y368" t="s">
        <v>162</v>
      </c>
      <c r="Z368">
        <v>2014</v>
      </c>
      <c r="AA368">
        <v>0</v>
      </c>
      <c r="AB368" s="5">
        <v>0.163368787317</v>
      </c>
      <c r="AC368" s="5">
        <v>0.32673757463399999</v>
      </c>
      <c r="AD368" t="s">
        <v>162</v>
      </c>
      <c r="AE368" t="s">
        <v>163</v>
      </c>
      <c r="AF368" t="s">
        <v>162</v>
      </c>
      <c r="AG368" t="s">
        <v>162</v>
      </c>
      <c r="AH368" t="s">
        <v>162</v>
      </c>
      <c r="AI368" t="s">
        <v>162</v>
      </c>
      <c r="AJ368" t="s">
        <v>162</v>
      </c>
      <c r="AK368" t="s">
        <v>162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 s="60">
        <f t="shared" si="5"/>
        <v>1</v>
      </c>
      <c r="AU368" s="95">
        <v>43348</v>
      </c>
      <c r="AV368" s="94" t="s">
        <v>165</v>
      </c>
      <c r="AW368" t="s">
        <v>162</v>
      </c>
      <c r="AX368">
        <v>2</v>
      </c>
      <c r="AY368" t="s">
        <v>275</v>
      </c>
      <c r="AZ368" t="s">
        <v>162</v>
      </c>
    </row>
    <row r="369" spans="1:52" x14ac:dyDescent="0.25">
      <c r="A369">
        <v>358</v>
      </c>
      <c r="B369" t="s">
        <v>150</v>
      </c>
      <c r="C369" t="s">
        <v>151</v>
      </c>
      <c r="D369" t="s">
        <v>152</v>
      </c>
      <c r="E369" t="s">
        <v>153</v>
      </c>
      <c r="F369" t="s">
        <v>162</v>
      </c>
      <c r="G369">
        <v>2359</v>
      </c>
      <c r="H369">
        <v>2358</v>
      </c>
      <c r="I369" t="s">
        <v>334</v>
      </c>
      <c r="J369">
        <v>2001</v>
      </c>
      <c r="K369">
        <v>2000</v>
      </c>
      <c r="L369" t="s">
        <v>173</v>
      </c>
      <c r="M369">
        <v>3</v>
      </c>
      <c r="N369" t="s">
        <v>11</v>
      </c>
      <c r="O369" t="s">
        <v>11</v>
      </c>
      <c r="P369" t="s">
        <v>175</v>
      </c>
      <c r="Q369" t="s">
        <v>162</v>
      </c>
      <c r="R369" t="s">
        <v>253</v>
      </c>
      <c r="S369">
        <v>2003</v>
      </c>
      <c r="T369">
        <v>7</v>
      </c>
      <c r="U369" t="s">
        <v>162</v>
      </c>
      <c r="V369" t="s">
        <v>959</v>
      </c>
      <c r="W369">
        <v>2014</v>
      </c>
      <c r="X369">
        <v>8</v>
      </c>
      <c r="Y369" t="s">
        <v>123</v>
      </c>
      <c r="Z369">
        <v>2014</v>
      </c>
      <c r="AA369">
        <v>2014</v>
      </c>
      <c r="AB369" s="5">
        <v>0.50282295563000001</v>
      </c>
      <c r="AC369" s="5">
        <v>1.00564591126</v>
      </c>
      <c r="AD369" t="s">
        <v>162</v>
      </c>
      <c r="AE369" t="s">
        <v>163</v>
      </c>
      <c r="AF369" t="s">
        <v>162</v>
      </c>
      <c r="AG369" t="s">
        <v>162</v>
      </c>
      <c r="AH369" t="s">
        <v>162</v>
      </c>
      <c r="AI369" t="s">
        <v>162</v>
      </c>
      <c r="AJ369" t="s">
        <v>162</v>
      </c>
      <c r="AK369" t="s">
        <v>162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 s="60">
        <f t="shared" si="5"/>
        <v>1</v>
      </c>
      <c r="AU369" s="95">
        <v>43320</v>
      </c>
      <c r="AV369" s="94" t="s">
        <v>165</v>
      </c>
      <c r="AW369" t="s">
        <v>162</v>
      </c>
      <c r="AX369">
        <v>2</v>
      </c>
      <c r="AY369" t="s">
        <v>167</v>
      </c>
      <c r="AZ369" t="s">
        <v>162</v>
      </c>
    </row>
    <row r="370" spans="1:52" x14ac:dyDescent="0.25">
      <c r="A370">
        <v>359</v>
      </c>
      <c r="B370" t="s">
        <v>754</v>
      </c>
      <c r="C370" t="s">
        <v>180</v>
      </c>
      <c r="D370" t="s">
        <v>755</v>
      </c>
      <c r="E370" t="s">
        <v>182</v>
      </c>
      <c r="F370" t="s">
        <v>162</v>
      </c>
      <c r="G370">
        <v>8201</v>
      </c>
      <c r="H370">
        <v>8200</v>
      </c>
      <c r="I370" t="s">
        <v>788</v>
      </c>
      <c r="J370">
        <v>8101</v>
      </c>
      <c r="K370">
        <v>8100</v>
      </c>
      <c r="L370" t="s">
        <v>183</v>
      </c>
      <c r="M370">
        <v>4</v>
      </c>
      <c r="N370" t="s">
        <v>11</v>
      </c>
      <c r="O370" t="s">
        <v>11</v>
      </c>
      <c r="P370" t="s">
        <v>175</v>
      </c>
      <c r="Q370" t="s">
        <v>162</v>
      </c>
      <c r="R370" t="s">
        <v>253</v>
      </c>
      <c r="S370">
        <v>2004</v>
      </c>
      <c r="T370">
        <v>9</v>
      </c>
      <c r="U370" t="s">
        <v>162</v>
      </c>
      <c r="V370" t="s">
        <v>289</v>
      </c>
      <c r="W370">
        <v>2017</v>
      </c>
      <c r="X370">
        <v>6</v>
      </c>
      <c r="Y370" t="s">
        <v>123</v>
      </c>
      <c r="Z370">
        <v>2017</v>
      </c>
      <c r="AA370">
        <v>2017</v>
      </c>
      <c r="AB370" s="5">
        <v>0.25101030999500001</v>
      </c>
      <c r="AC370" s="5">
        <v>0.50202061999000003</v>
      </c>
      <c r="AD370" t="s">
        <v>162</v>
      </c>
      <c r="AE370" t="s">
        <v>163</v>
      </c>
      <c r="AF370" t="s">
        <v>162</v>
      </c>
      <c r="AG370" t="s">
        <v>162</v>
      </c>
      <c r="AH370" t="s">
        <v>162</v>
      </c>
      <c r="AI370" t="s">
        <v>162</v>
      </c>
      <c r="AJ370" t="s">
        <v>162</v>
      </c>
      <c r="AK370" t="s">
        <v>162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 s="60">
        <f t="shared" si="5"/>
        <v>1</v>
      </c>
      <c r="AU370" s="95">
        <v>43347</v>
      </c>
      <c r="AV370" s="94" t="s">
        <v>165</v>
      </c>
      <c r="AW370" t="s">
        <v>162</v>
      </c>
      <c r="AX370">
        <v>3</v>
      </c>
      <c r="AY370" t="s">
        <v>167</v>
      </c>
      <c r="AZ370" t="s">
        <v>162</v>
      </c>
    </row>
    <row r="371" spans="1:52" x14ac:dyDescent="0.25">
      <c r="A371">
        <v>360</v>
      </c>
      <c r="B371" t="s">
        <v>256</v>
      </c>
      <c r="C371" t="s">
        <v>151</v>
      </c>
      <c r="D371" t="s">
        <v>257</v>
      </c>
      <c r="E371" t="s">
        <v>222</v>
      </c>
      <c r="F371" t="s">
        <v>162</v>
      </c>
      <c r="G371">
        <v>5201</v>
      </c>
      <c r="H371">
        <v>5200</v>
      </c>
      <c r="I371" t="s">
        <v>834</v>
      </c>
      <c r="J371">
        <v>4801</v>
      </c>
      <c r="K371">
        <v>4800</v>
      </c>
      <c r="L371" t="s">
        <v>833</v>
      </c>
      <c r="M371">
        <v>4</v>
      </c>
      <c r="N371" t="s">
        <v>9</v>
      </c>
      <c r="O371" t="s">
        <v>9</v>
      </c>
      <c r="P371" t="s">
        <v>157</v>
      </c>
      <c r="Q371" t="s">
        <v>1091</v>
      </c>
      <c r="R371" t="s">
        <v>959</v>
      </c>
      <c r="S371">
        <v>2014</v>
      </c>
      <c r="T371">
        <v>10</v>
      </c>
      <c r="U371" t="s">
        <v>123</v>
      </c>
      <c r="V371" t="s">
        <v>509</v>
      </c>
      <c r="W371">
        <v>2021</v>
      </c>
      <c r="X371">
        <v>0</v>
      </c>
      <c r="Y371" t="s">
        <v>162</v>
      </c>
      <c r="Z371">
        <v>2021</v>
      </c>
      <c r="AA371">
        <v>2014</v>
      </c>
      <c r="AB371" s="5">
        <v>0.52244264994</v>
      </c>
      <c r="AC371" s="5">
        <v>1.04488529988</v>
      </c>
      <c r="AD371" t="s">
        <v>154</v>
      </c>
      <c r="AE371" t="s">
        <v>163</v>
      </c>
      <c r="AF371" t="s">
        <v>154</v>
      </c>
      <c r="AG371" t="s">
        <v>154</v>
      </c>
      <c r="AH371" t="s">
        <v>154</v>
      </c>
      <c r="AI371" t="s">
        <v>154</v>
      </c>
      <c r="AJ371" t="s">
        <v>154</v>
      </c>
      <c r="AK371" t="s">
        <v>154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 s="60">
        <f t="shared" si="5"/>
        <v>1</v>
      </c>
      <c r="AU371" s="95" t="s">
        <v>530</v>
      </c>
      <c r="AV371" s="94" t="s">
        <v>165</v>
      </c>
      <c r="AW371" t="s">
        <v>163</v>
      </c>
      <c r="AX371">
        <v>2</v>
      </c>
      <c r="AY371" t="s">
        <v>167</v>
      </c>
      <c r="AZ371" t="s">
        <v>162</v>
      </c>
    </row>
    <row r="372" spans="1:52" x14ac:dyDescent="0.25">
      <c r="A372">
        <v>361</v>
      </c>
      <c r="B372" t="s">
        <v>480</v>
      </c>
      <c r="C372" t="s">
        <v>163</v>
      </c>
      <c r="D372" t="s">
        <v>481</v>
      </c>
      <c r="E372" t="s">
        <v>216</v>
      </c>
      <c r="F372" t="s">
        <v>162</v>
      </c>
      <c r="G372">
        <v>2000</v>
      </c>
      <c r="H372">
        <v>2001</v>
      </c>
      <c r="I372" t="s">
        <v>235</v>
      </c>
      <c r="J372">
        <v>2142</v>
      </c>
      <c r="K372">
        <v>2143</v>
      </c>
      <c r="L372" t="s">
        <v>1092</v>
      </c>
      <c r="M372">
        <v>2</v>
      </c>
      <c r="N372" t="s">
        <v>9</v>
      </c>
      <c r="O372" t="s">
        <v>9</v>
      </c>
      <c r="P372" t="s">
        <v>157</v>
      </c>
      <c r="Q372" t="s">
        <v>1093</v>
      </c>
      <c r="R372" t="s">
        <v>647</v>
      </c>
      <c r="S372">
        <v>2013</v>
      </c>
      <c r="T372">
        <v>9</v>
      </c>
      <c r="U372" t="s">
        <v>162</v>
      </c>
      <c r="V372" t="s">
        <v>267</v>
      </c>
      <c r="W372">
        <v>2018</v>
      </c>
      <c r="X372">
        <v>8</v>
      </c>
      <c r="Y372" t="s">
        <v>162</v>
      </c>
      <c r="Z372">
        <v>2018</v>
      </c>
      <c r="AA372">
        <v>0</v>
      </c>
      <c r="AB372" s="5">
        <v>0.22514384308099999</v>
      </c>
      <c r="AC372" s="5">
        <v>0.45028768616199999</v>
      </c>
      <c r="AD372" t="s">
        <v>162</v>
      </c>
      <c r="AE372" t="s">
        <v>163</v>
      </c>
      <c r="AF372" t="s">
        <v>162</v>
      </c>
      <c r="AG372" t="s">
        <v>162</v>
      </c>
      <c r="AH372" t="s">
        <v>162</v>
      </c>
      <c r="AI372" t="s">
        <v>162</v>
      </c>
      <c r="AJ372" t="s">
        <v>162</v>
      </c>
      <c r="AK372" t="s">
        <v>162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s="60">
        <f t="shared" si="5"/>
        <v>1</v>
      </c>
      <c r="AU372" s="95">
        <v>43341</v>
      </c>
      <c r="AV372" s="94" t="s">
        <v>165</v>
      </c>
      <c r="AW372" t="s">
        <v>163</v>
      </c>
      <c r="AX372">
        <v>2</v>
      </c>
      <c r="AY372" t="s">
        <v>167</v>
      </c>
      <c r="AZ372" t="s">
        <v>162</v>
      </c>
    </row>
    <row r="373" spans="1:52" x14ac:dyDescent="0.25">
      <c r="A373">
        <v>362</v>
      </c>
      <c r="B373" t="s">
        <v>475</v>
      </c>
      <c r="C373" t="s">
        <v>163</v>
      </c>
      <c r="D373" t="s">
        <v>476</v>
      </c>
      <c r="E373" t="s">
        <v>216</v>
      </c>
      <c r="F373" t="s">
        <v>162</v>
      </c>
      <c r="G373">
        <v>2136</v>
      </c>
      <c r="H373">
        <v>2127</v>
      </c>
      <c r="I373" t="s">
        <v>494</v>
      </c>
      <c r="J373">
        <v>2158</v>
      </c>
      <c r="K373">
        <v>2155</v>
      </c>
      <c r="L373" t="s">
        <v>236</v>
      </c>
      <c r="M373">
        <v>3</v>
      </c>
      <c r="N373" t="s">
        <v>11</v>
      </c>
      <c r="O373" t="s">
        <v>11</v>
      </c>
      <c r="P373" t="s">
        <v>175</v>
      </c>
      <c r="Q373" t="s">
        <v>162</v>
      </c>
      <c r="R373" t="s">
        <v>266</v>
      </c>
      <c r="S373">
        <v>2002</v>
      </c>
      <c r="T373">
        <v>8</v>
      </c>
      <c r="U373" t="s">
        <v>162</v>
      </c>
      <c r="V373" t="s">
        <v>404</v>
      </c>
      <c r="W373">
        <v>2017</v>
      </c>
      <c r="X373">
        <v>7</v>
      </c>
      <c r="Y373" t="s">
        <v>162</v>
      </c>
      <c r="Z373">
        <v>2017</v>
      </c>
      <c r="AA373">
        <v>0</v>
      </c>
      <c r="AB373" s="5">
        <v>6.0704165147999999E-2</v>
      </c>
      <c r="AC373" s="5">
        <v>0.121408330296</v>
      </c>
      <c r="AD373" t="s">
        <v>162</v>
      </c>
      <c r="AE373" t="s">
        <v>163</v>
      </c>
      <c r="AF373" t="s">
        <v>162</v>
      </c>
      <c r="AG373" t="s">
        <v>162</v>
      </c>
      <c r="AH373" t="s">
        <v>162</v>
      </c>
      <c r="AI373" t="s">
        <v>162</v>
      </c>
      <c r="AJ373" t="s">
        <v>162</v>
      </c>
      <c r="AK373" t="s">
        <v>162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 s="60">
        <f t="shared" si="5"/>
        <v>1</v>
      </c>
      <c r="AU373" s="95">
        <v>43341</v>
      </c>
      <c r="AV373" s="94" t="s">
        <v>165</v>
      </c>
      <c r="AW373" t="s">
        <v>162</v>
      </c>
      <c r="AX373">
        <v>2</v>
      </c>
      <c r="AY373" t="s">
        <v>167</v>
      </c>
      <c r="AZ373" t="s">
        <v>162</v>
      </c>
    </row>
    <row r="374" spans="1:52" x14ac:dyDescent="0.25">
      <c r="A374">
        <v>363</v>
      </c>
      <c r="B374" t="s">
        <v>475</v>
      </c>
      <c r="C374" t="s">
        <v>163</v>
      </c>
      <c r="D374" t="s">
        <v>476</v>
      </c>
      <c r="E374" t="s">
        <v>216</v>
      </c>
      <c r="F374" t="s">
        <v>162</v>
      </c>
      <c r="G374">
        <v>2200</v>
      </c>
      <c r="H374">
        <v>2201</v>
      </c>
      <c r="I374" t="s">
        <v>236</v>
      </c>
      <c r="J374">
        <v>2358</v>
      </c>
      <c r="K374">
        <v>2359</v>
      </c>
      <c r="L374" t="s">
        <v>652</v>
      </c>
      <c r="M374">
        <v>3</v>
      </c>
      <c r="N374" t="s">
        <v>11</v>
      </c>
      <c r="O374" t="s">
        <v>11</v>
      </c>
      <c r="P374" t="s">
        <v>175</v>
      </c>
      <c r="Q374" t="s">
        <v>162</v>
      </c>
      <c r="R374" t="s">
        <v>266</v>
      </c>
      <c r="S374">
        <v>2002</v>
      </c>
      <c r="T374">
        <v>8</v>
      </c>
      <c r="U374" t="s">
        <v>162</v>
      </c>
      <c r="V374" t="s">
        <v>404</v>
      </c>
      <c r="W374">
        <v>2017</v>
      </c>
      <c r="X374">
        <v>7</v>
      </c>
      <c r="Y374" t="s">
        <v>162</v>
      </c>
      <c r="Z374">
        <v>2017</v>
      </c>
      <c r="AA374">
        <v>2014</v>
      </c>
      <c r="AB374" s="5">
        <v>0.24838468918500001</v>
      </c>
      <c r="AC374" s="5">
        <v>0.49676937837000001</v>
      </c>
      <c r="AD374" t="s">
        <v>162</v>
      </c>
      <c r="AE374" t="s">
        <v>163</v>
      </c>
      <c r="AF374" t="s">
        <v>162</v>
      </c>
      <c r="AG374" t="s">
        <v>162</v>
      </c>
      <c r="AH374" t="s">
        <v>162</v>
      </c>
      <c r="AI374" t="s">
        <v>162</v>
      </c>
      <c r="AJ374" t="s">
        <v>162</v>
      </c>
      <c r="AK374" t="s">
        <v>162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s="60">
        <f t="shared" si="5"/>
        <v>1</v>
      </c>
      <c r="AU374" s="95">
        <v>43341</v>
      </c>
      <c r="AV374" s="94" t="s">
        <v>165</v>
      </c>
      <c r="AW374" t="s">
        <v>162</v>
      </c>
      <c r="AX374">
        <v>2</v>
      </c>
      <c r="AY374" t="s">
        <v>167</v>
      </c>
      <c r="AZ374" t="s">
        <v>162</v>
      </c>
    </row>
    <row r="375" spans="1:52" x14ac:dyDescent="0.25">
      <c r="A375">
        <v>364</v>
      </c>
      <c r="B375" t="s">
        <v>1037</v>
      </c>
      <c r="C375" t="s">
        <v>151</v>
      </c>
      <c r="D375" t="s">
        <v>1038</v>
      </c>
      <c r="E375" t="s">
        <v>172</v>
      </c>
      <c r="F375" t="s">
        <v>162</v>
      </c>
      <c r="G375">
        <v>2133</v>
      </c>
      <c r="H375">
        <v>2132</v>
      </c>
      <c r="I375" t="s">
        <v>326</v>
      </c>
      <c r="J375">
        <v>2159</v>
      </c>
      <c r="K375">
        <v>2158</v>
      </c>
      <c r="L375" t="s">
        <v>1042</v>
      </c>
      <c r="M375">
        <v>4</v>
      </c>
      <c r="N375" t="s">
        <v>9</v>
      </c>
      <c r="O375" t="s">
        <v>9</v>
      </c>
      <c r="P375" t="s">
        <v>175</v>
      </c>
      <c r="Q375" t="s">
        <v>162</v>
      </c>
      <c r="R375" t="s">
        <v>201</v>
      </c>
      <c r="S375">
        <v>2012</v>
      </c>
      <c r="T375">
        <v>5</v>
      </c>
      <c r="U375" t="s">
        <v>162</v>
      </c>
      <c r="V375" t="s">
        <v>161</v>
      </c>
      <c r="W375">
        <v>2020</v>
      </c>
      <c r="X375">
        <v>0</v>
      </c>
      <c r="Y375" t="s">
        <v>162</v>
      </c>
      <c r="Z375">
        <v>2020</v>
      </c>
      <c r="AA375">
        <v>2014</v>
      </c>
      <c r="AB375" s="5">
        <v>6.2400663383600001E-2</v>
      </c>
      <c r="AC375" s="5">
        <v>0.124801326767</v>
      </c>
      <c r="AD375" t="s">
        <v>162</v>
      </c>
      <c r="AE375" t="s">
        <v>163</v>
      </c>
      <c r="AF375" t="s">
        <v>162</v>
      </c>
      <c r="AG375" t="s">
        <v>162</v>
      </c>
      <c r="AH375" t="s">
        <v>162</v>
      </c>
      <c r="AI375" t="s">
        <v>162</v>
      </c>
      <c r="AJ375" t="s">
        <v>162</v>
      </c>
      <c r="AK375" t="s">
        <v>162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 s="60">
        <f t="shared" si="5"/>
        <v>1</v>
      </c>
      <c r="AU375" s="95" t="s">
        <v>187</v>
      </c>
      <c r="AV375" s="94" t="s">
        <v>165</v>
      </c>
      <c r="AW375" t="s">
        <v>163</v>
      </c>
      <c r="AX375">
        <v>3</v>
      </c>
      <c r="AY375" t="s">
        <v>167</v>
      </c>
      <c r="AZ375" t="s">
        <v>162</v>
      </c>
    </row>
    <row r="376" spans="1:52" x14ac:dyDescent="0.25">
      <c r="A376">
        <v>365</v>
      </c>
      <c r="B376" t="s">
        <v>188</v>
      </c>
      <c r="C376" t="s">
        <v>151</v>
      </c>
      <c r="D376" t="s">
        <v>189</v>
      </c>
      <c r="E376" t="s">
        <v>172</v>
      </c>
      <c r="F376" t="s">
        <v>162</v>
      </c>
      <c r="G376">
        <v>3601</v>
      </c>
      <c r="H376">
        <v>3600</v>
      </c>
      <c r="I376" t="s">
        <v>1094</v>
      </c>
      <c r="J376">
        <v>3265</v>
      </c>
      <c r="K376">
        <v>3264</v>
      </c>
      <c r="L376" t="s">
        <v>190</v>
      </c>
      <c r="M376">
        <v>3</v>
      </c>
      <c r="N376" t="s">
        <v>7</v>
      </c>
      <c r="O376" t="s">
        <v>7</v>
      </c>
      <c r="P376" t="s">
        <v>157</v>
      </c>
      <c r="Q376" t="s">
        <v>162</v>
      </c>
      <c r="R376" t="s">
        <v>500</v>
      </c>
      <c r="S376">
        <v>2022</v>
      </c>
      <c r="T376">
        <v>10</v>
      </c>
      <c r="U376" t="s">
        <v>162</v>
      </c>
      <c r="V376" t="s">
        <v>452</v>
      </c>
      <c r="W376">
        <v>2014</v>
      </c>
      <c r="X376">
        <v>9</v>
      </c>
      <c r="Y376" t="s">
        <v>123</v>
      </c>
      <c r="Z376">
        <v>2014</v>
      </c>
      <c r="AA376">
        <v>2014</v>
      </c>
      <c r="AB376" s="5">
        <v>0.54863843524300004</v>
      </c>
      <c r="AC376" s="5">
        <v>1.09727687049</v>
      </c>
      <c r="AD376" t="s">
        <v>154</v>
      </c>
      <c r="AE376" t="s">
        <v>163</v>
      </c>
      <c r="AF376" t="s">
        <v>154</v>
      </c>
      <c r="AG376" t="s">
        <v>154</v>
      </c>
      <c r="AH376" t="s">
        <v>162</v>
      </c>
      <c r="AI376" t="s">
        <v>504</v>
      </c>
      <c r="AJ376" t="s">
        <v>154</v>
      </c>
      <c r="AK376" t="s">
        <v>162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 s="60">
        <f t="shared" si="5"/>
        <v>1</v>
      </c>
      <c r="AU376" s="95" t="s">
        <v>213</v>
      </c>
      <c r="AV376" t="s">
        <v>165</v>
      </c>
      <c r="AW376" t="s">
        <v>166</v>
      </c>
      <c r="AX376">
        <v>1</v>
      </c>
      <c r="AY376" t="s">
        <v>167</v>
      </c>
      <c r="AZ376" t="s">
        <v>162</v>
      </c>
    </row>
    <row r="377" spans="1:52" x14ac:dyDescent="0.25">
      <c r="A377">
        <v>366</v>
      </c>
      <c r="B377" t="s">
        <v>290</v>
      </c>
      <c r="C377" t="s">
        <v>180</v>
      </c>
      <c r="D377" t="s">
        <v>291</v>
      </c>
      <c r="E377" t="s">
        <v>172</v>
      </c>
      <c r="F377" t="s">
        <v>180</v>
      </c>
      <c r="G377">
        <v>701</v>
      </c>
      <c r="H377">
        <v>700</v>
      </c>
      <c r="I377" t="s">
        <v>391</v>
      </c>
      <c r="J377">
        <v>629</v>
      </c>
      <c r="K377">
        <v>624</v>
      </c>
      <c r="L377" t="s">
        <v>292</v>
      </c>
      <c r="M377">
        <v>4</v>
      </c>
      <c r="N377" t="s">
        <v>9</v>
      </c>
      <c r="O377" t="s">
        <v>9</v>
      </c>
      <c r="P377" t="s">
        <v>175</v>
      </c>
      <c r="Q377" t="s">
        <v>162</v>
      </c>
      <c r="R377" t="s">
        <v>201</v>
      </c>
      <c r="S377">
        <v>2012</v>
      </c>
      <c r="T377">
        <v>11</v>
      </c>
      <c r="U377" t="s">
        <v>162</v>
      </c>
      <c r="V377" t="s">
        <v>267</v>
      </c>
      <c r="W377">
        <v>2018</v>
      </c>
      <c r="X377">
        <v>8</v>
      </c>
      <c r="Y377" t="s">
        <v>123</v>
      </c>
      <c r="Z377">
        <v>2018</v>
      </c>
      <c r="AA377">
        <v>2014</v>
      </c>
      <c r="AB377" s="5">
        <v>0.16453227116899999</v>
      </c>
      <c r="AC377" s="5">
        <v>0.16453227116899999</v>
      </c>
      <c r="AD377" t="s">
        <v>162</v>
      </c>
      <c r="AE377" t="s">
        <v>166</v>
      </c>
      <c r="AF377" t="s">
        <v>180</v>
      </c>
      <c r="AG377" t="s">
        <v>163</v>
      </c>
      <c r="AH377" t="s">
        <v>162</v>
      </c>
      <c r="AI377" t="s">
        <v>162</v>
      </c>
      <c r="AJ377" t="s">
        <v>162</v>
      </c>
      <c r="AK377" t="s">
        <v>162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 s="60">
        <f t="shared" si="5"/>
        <v>1</v>
      </c>
      <c r="AU377" s="95">
        <v>43336</v>
      </c>
      <c r="AV377" t="s">
        <v>165</v>
      </c>
      <c r="AW377" t="s">
        <v>163</v>
      </c>
      <c r="AX377">
        <v>2</v>
      </c>
      <c r="AY377" t="s">
        <v>167</v>
      </c>
      <c r="AZ377" t="s">
        <v>162</v>
      </c>
    </row>
    <row r="378" spans="1:52" x14ac:dyDescent="0.25">
      <c r="A378">
        <v>367</v>
      </c>
      <c r="B378" t="s">
        <v>170</v>
      </c>
      <c r="C378" t="s">
        <v>151</v>
      </c>
      <c r="D378" t="s">
        <v>171</v>
      </c>
      <c r="E378" t="s">
        <v>172</v>
      </c>
      <c r="F378" t="s">
        <v>162</v>
      </c>
      <c r="G378">
        <v>113</v>
      </c>
      <c r="H378">
        <v>112</v>
      </c>
      <c r="I378" t="s">
        <v>605</v>
      </c>
      <c r="J378">
        <v>1</v>
      </c>
      <c r="K378">
        <v>2</v>
      </c>
      <c r="L378" t="s">
        <v>639</v>
      </c>
      <c r="M378">
        <v>3</v>
      </c>
      <c r="N378" t="s">
        <v>9</v>
      </c>
      <c r="O378" t="s">
        <v>9</v>
      </c>
      <c r="P378" t="s">
        <v>157</v>
      </c>
      <c r="Q378" t="s">
        <v>162</v>
      </c>
      <c r="R378" t="s">
        <v>607</v>
      </c>
      <c r="S378">
        <v>2011</v>
      </c>
      <c r="T378">
        <v>11</v>
      </c>
      <c r="U378" t="s">
        <v>162</v>
      </c>
      <c r="V378" t="s">
        <v>404</v>
      </c>
      <c r="W378">
        <v>2017</v>
      </c>
      <c r="X378">
        <v>6</v>
      </c>
      <c r="Y378" t="s">
        <v>162</v>
      </c>
      <c r="Z378">
        <v>2017</v>
      </c>
      <c r="AA378">
        <v>2014</v>
      </c>
      <c r="AB378" s="5">
        <v>0.15636066574999999</v>
      </c>
      <c r="AC378" s="5">
        <v>0.31272133149999998</v>
      </c>
      <c r="AD378" t="s">
        <v>162</v>
      </c>
      <c r="AE378" t="s">
        <v>163</v>
      </c>
      <c r="AF378" t="s">
        <v>162</v>
      </c>
      <c r="AG378" t="s">
        <v>162</v>
      </c>
      <c r="AH378" t="s">
        <v>162</v>
      </c>
      <c r="AI378" t="s">
        <v>162</v>
      </c>
      <c r="AJ378" t="s">
        <v>162</v>
      </c>
      <c r="AK378" t="s">
        <v>162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 s="60">
        <f t="shared" si="5"/>
        <v>1</v>
      </c>
      <c r="AU378" s="95">
        <v>43328</v>
      </c>
      <c r="AV378" t="s">
        <v>165</v>
      </c>
      <c r="AW378" t="s">
        <v>163</v>
      </c>
      <c r="AX378">
        <v>2</v>
      </c>
      <c r="AY378" t="s">
        <v>167</v>
      </c>
      <c r="AZ378" t="s">
        <v>162</v>
      </c>
    </row>
    <row r="379" spans="1:52" x14ac:dyDescent="0.25">
      <c r="A379">
        <v>368</v>
      </c>
      <c r="B379" t="s">
        <v>233</v>
      </c>
      <c r="C379" t="s">
        <v>180</v>
      </c>
      <c r="D379" t="s">
        <v>234</v>
      </c>
      <c r="E379" t="s">
        <v>172</v>
      </c>
      <c r="F379" t="s">
        <v>162</v>
      </c>
      <c r="G379">
        <v>8300</v>
      </c>
      <c r="H379">
        <v>8301</v>
      </c>
      <c r="I379" t="s">
        <v>1095</v>
      </c>
      <c r="J379">
        <v>7500</v>
      </c>
      <c r="K379">
        <v>7501</v>
      </c>
      <c r="L379" t="s">
        <v>1096</v>
      </c>
      <c r="M379">
        <v>2</v>
      </c>
      <c r="N379" t="s">
        <v>9</v>
      </c>
      <c r="O379" t="s">
        <v>9</v>
      </c>
      <c r="P379" t="s">
        <v>169</v>
      </c>
      <c r="Q379" t="s">
        <v>1097</v>
      </c>
      <c r="R379" t="s">
        <v>463</v>
      </c>
      <c r="S379">
        <v>2014</v>
      </c>
      <c r="T379">
        <v>6</v>
      </c>
      <c r="U379" t="s">
        <v>162</v>
      </c>
      <c r="V379" t="s">
        <v>243</v>
      </c>
      <c r="W379">
        <v>2020</v>
      </c>
      <c r="X379">
        <v>0</v>
      </c>
      <c r="Y379" t="s">
        <v>162</v>
      </c>
      <c r="Z379">
        <v>2020</v>
      </c>
      <c r="AA379">
        <v>0</v>
      </c>
      <c r="AB379" s="5">
        <v>1.03695033986</v>
      </c>
      <c r="AC379" s="5">
        <v>2.0739006797199999</v>
      </c>
      <c r="AD379" t="s">
        <v>162</v>
      </c>
      <c r="AE379" t="s">
        <v>163</v>
      </c>
      <c r="AF379" t="s">
        <v>162</v>
      </c>
      <c r="AG379" t="s">
        <v>162</v>
      </c>
      <c r="AH379" t="s">
        <v>162</v>
      </c>
      <c r="AI379" t="s">
        <v>162</v>
      </c>
      <c r="AJ379" t="s">
        <v>162</v>
      </c>
      <c r="AK379" t="s">
        <v>162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 s="60">
        <f t="shared" si="5"/>
        <v>1</v>
      </c>
      <c r="AU379" s="95" t="s">
        <v>244</v>
      </c>
      <c r="AV379" t="s">
        <v>165</v>
      </c>
      <c r="AW379" t="s">
        <v>163</v>
      </c>
      <c r="AX379">
        <v>2</v>
      </c>
      <c r="AY379" t="s">
        <v>167</v>
      </c>
      <c r="AZ379" t="s">
        <v>162</v>
      </c>
    </row>
    <row r="380" spans="1:52" x14ac:dyDescent="0.25">
      <c r="A380">
        <v>369</v>
      </c>
      <c r="B380" t="s">
        <v>228</v>
      </c>
      <c r="C380" t="s">
        <v>163</v>
      </c>
      <c r="D380" t="s">
        <v>229</v>
      </c>
      <c r="E380" t="s">
        <v>216</v>
      </c>
      <c r="F380" t="s">
        <v>162</v>
      </c>
      <c r="G380">
        <v>5200</v>
      </c>
      <c r="H380">
        <v>5201</v>
      </c>
      <c r="I380" t="s">
        <v>784</v>
      </c>
      <c r="J380">
        <v>5486</v>
      </c>
      <c r="K380">
        <v>5487</v>
      </c>
      <c r="L380" t="s">
        <v>433</v>
      </c>
      <c r="M380">
        <v>3</v>
      </c>
      <c r="N380" t="s">
        <v>9</v>
      </c>
      <c r="O380" t="s">
        <v>9</v>
      </c>
      <c r="P380" t="s">
        <v>157</v>
      </c>
      <c r="Q380" t="s">
        <v>533</v>
      </c>
      <c r="R380" t="s">
        <v>941</v>
      </c>
      <c r="S380">
        <v>2014</v>
      </c>
      <c r="T380">
        <v>12</v>
      </c>
      <c r="U380" t="s">
        <v>162</v>
      </c>
      <c r="V380" t="s">
        <v>210</v>
      </c>
      <c r="W380">
        <v>2018</v>
      </c>
      <c r="X380">
        <v>11</v>
      </c>
      <c r="Y380" t="s">
        <v>123</v>
      </c>
      <c r="Z380">
        <v>2018</v>
      </c>
      <c r="AA380">
        <v>2018</v>
      </c>
      <c r="AB380" s="5">
        <v>0.62767936339300001</v>
      </c>
      <c r="AC380" s="5">
        <v>1.2553587267899999</v>
      </c>
      <c r="AD380" t="s">
        <v>162</v>
      </c>
      <c r="AE380" t="s">
        <v>163</v>
      </c>
      <c r="AF380" t="s">
        <v>162</v>
      </c>
      <c r="AG380" t="s">
        <v>162</v>
      </c>
      <c r="AH380" t="s">
        <v>162</v>
      </c>
      <c r="AI380" t="s">
        <v>162</v>
      </c>
      <c r="AJ380" t="s">
        <v>162</v>
      </c>
      <c r="AK380" t="s">
        <v>162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 s="60">
        <f t="shared" si="5"/>
        <v>1</v>
      </c>
      <c r="AU380" s="95">
        <v>43333</v>
      </c>
      <c r="AV380" t="s">
        <v>165</v>
      </c>
      <c r="AW380" t="s">
        <v>163</v>
      </c>
      <c r="AX380">
        <v>2</v>
      </c>
      <c r="AY380" t="s">
        <v>167</v>
      </c>
      <c r="AZ380" t="s">
        <v>162</v>
      </c>
    </row>
    <row r="381" spans="1:52" x14ac:dyDescent="0.25">
      <c r="A381">
        <v>370</v>
      </c>
      <c r="B381" t="s">
        <v>345</v>
      </c>
      <c r="C381" t="s">
        <v>180</v>
      </c>
      <c r="D381" t="s">
        <v>346</v>
      </c>
      <c r="E381" t="s">
        <v>172</v>
      </c>
      <c r="F381" t="s">
        <v>163</v>
      </c>
      <c r="G381">
        <v>7458</v>
      </c>
      <c r="H381">
        <v>7459</v>
      </c>
      <c r="I381" t="s">
        <v>1031</v>
      </c>
      <c r="J381">
        <v>7000</v>
      </c>
      <c r="K381">
        <v>7001</v>
      </c>
      <c r="L381" t="s">
        <v>1098</v>
      </c>
      <c r="M381">
        <v>2</v>
      </c>
      <c r="N381" t="s">
        <v>15</v>
      </c>
      <c r="O381" t="s">
        <v>15</v>
      </c>
      <c r="P381" t="s">
        <v>175</v>
      </c>
      <c r="Q381" t="s">
        <v>1099</v>
      </c>
      <c r="R381" t="s">
        <v>320</v>
      </c>
      <c r="S381">
        <v>2015</v>
      </c>
      <c r="T381">
        <v>7</v>
      </c>
      <c r="U381" t="s">
        <v>123</v>
      </c>
      <c r="V381" t="s">
        <v>162</v>
      </c>
      <c r="W381">
        <v>0</v>
      </c>
      <c r="X381">
        <v>0</v>
      </c>
      <c r="Y381" t="s">
        <v>162</v>
      </c>
      <c r="Z381">
        <v>2015</v>
      </c>
      <c r="AA381">
        <v>2015</v>
      </c>
      <c r="AB381" s="5">
        <v>0.63173699447800002</v>
      </c>
      <c r="AC381" s="5">
        <v>0.63173699447800002</v>
      </c>
      <c r="AD381" t="s">
        <v>162</v>
      </c>
      <c r="AE381" t="s">
        <v>166</v>
      </c>
      <c r="AF381" t="s">
        <v>163</v>
      </c>
      <c r="AG381" t="s">
        <v>163</v>
      </c>
      <c r="AH381" t="s">
        <v>162</v>
      </c>
      <c r="AI381" t="s">
        <v>162</v>
      </c>
      <c r="AJ381" t="s">
        <v>162</v>
      </c>
      <c r="AK381" t="s">
        <v>162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 s="60">
        <f t="shared" si="5"/>
        <v>1</v>
      </c>
      <c r="AU381" s="95">
        <v>43339</v>
      </c>
      <c r="AV381" s="94" t="s">
        <v>165</v>
      </c>
      <c r="AW381" t="s">
        <v>162</v>
      </c>
      <c r="AX381">
        <v>2</v>
      </c>
      <c r="AY381" t="s">
        <v>167</v>
      </c>
      <c r="AZ381" t="s">
        <v>162</v>
      </c>
    </row>
    <row r="382" spans="1:52" x14ac:dyDescent="0.25">
      <c r="A382">
        <v>371</v>
      </c>
      <c r="B382" t="s">
        <v>228</v>
      </c>
      <c r="C382" t="s">
        <v>163</v>
      </c>
      <c r="D382" t="s">
        <v>229</v>
      </c>
      <c r="E382" t="s">
        <v>216</v>
      </c>
      <c r="F382" t="s">
        <v>162</v>
      </c>
      <c r="G382">
        <v>3734</v>
      </c>
      <c r="H382">
        <v>3741</v>
      </c>
      <c r="I382" t="s">
        <v>811</v>
      </c>
      <c r="J382">
        <v>3832</v>
      </c>
      <c r="K382">
        <v>3833</v>
      </c>
      <c r="L382" t="s">
        <v>1100</v>
      </c>
      <c r="M382">
        <v>3</v>
      </c>
      <c r="N382" t="s">
        <v>9</v>
      </c>
      <c r="O382" t="s">
        <v>9</v>
      </c>
      <c r="P382" t="s">
        <v>157</v>
      </c>
      <c r="Q382" t="s">
        <v>533</v>
      </c>
      <c r="R382" t="s">
        <v>941</v>
      </c>
      <c r="S382">
        <v>2014</v>
      </c>
      <c r="T382">
        <v>12</v>
      </c>
      <c r="U382" t="s">
        <v>162</v>
      </c>
      <c r="V382" t="s">
        <v>162</v>
      </c>
      <c r="W382">
        <v>0</v>
      </c>
      <c r="X382">
        <v>0</v>
      </c>
      <c r="Y382" t="s">
        <v>162</v>
      </c>
      <c r="Z382">
        <v>2014</v>
      </c>
      <c r="AA382">
        <v>1999</v>
      </c>
      <c r="AB382" s="5">
        <v>0.17460495210999999</v>
      </c>
      <c r="AC382" s="5">
        <v>0.34920990421999998</v>
      </c>
      <c r="AD382" t="s">
        <v>162</v>
      </c>
      <c r="AE382" t="s">
        <v>163</v>
      </c>
      <c r="AF382" t="s">
        <v>162</v>
      </c>
      <c r="AG382" t="s">
        <v>162</v>
      </c>
      <c r="AH382" t="s">
        <v>162</v>
      </c>
      <c r="AI382" t="s">
        <v>162</v>
      </c>
      <c r="AJ382" t="s">
        <v>162</v>
      </c>
      <c r="AK382" t="s">
        <v>162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s="60">
        <f t="shared" si="5"/>
        <v>1</v>
      </c>
      <c r="AU382" s="95">
        <v>43333</v>
      </c>
      <c r="AV382" t="s">
        <v>165</v>
      </c>
      <c r="AW382" t="s">
        <v>163</v>
      </c>
      <c r="AX382">
        <v>2</v>
      </c>
      <c r="AY382" t="s">
        <v>167</v>
      </c>
      <c r="AZ382" t="s">
        <v>162</v>
      </c>
    </row>
    <row r="383" spans="1:52" x14ac:dyDescent="0.25">
      <c r="A383">
        <v>372</v>
      </c>
      <c r="B383" t="s">
        <v>994</v>
      </c>
      <c r="C383" t="s">
        <v>163</v>
      </c>
      <c r="D383" t="s">
        <v>995</v>
      </c>
      <c r="E383" t="s">
        <v>172</v>
      </c>
      <c r="F383" t="s">
        <v>162</v>
      </c>
      <c r="G383">
        <v>301</v>
      </c>
      <c r="H383">
        <v>300</v>
      </c>
      <c r="I383" t="s">
        <v>710</v>
      </c>
      <c r="J383">
        <v>958</v>
      </c>
      <c r="K383">
        <v>959</v>
      </c>
      <c r="L383" t="s">
        <v>890</v>
      </c>
      <c r="M383">
        <v>4</v>
      </c>
      <c r="N383" t="s">
        <v>13</v>
      </c>
      <c r="O383" t="s">
        <v>15</v>
      </c>
      <c r="P383" t="s">
        <v>175</v>
      </c>
      <c r="Q383" t="s">
        <v>1101</v>
      </c>
      <c r="R383" t="s">
        <v>304</v>
      </c>
      <c r="S383">
        <v>2016</v>
      </c>
      <c r="T383">
        <v>8</v>
      </c>
      <c r="U383" t="s">
        <v>162</v>
      </c>
      <c r="V383" t="s">
        <v>161</v>
      </c>
      <c r="W383">
        <v>2020</v>
      </c>
      <c r="X383">
        <v>0</v>
      </c>
      <c r="Y383" t="s">
        <v>162</v>
      </c>
      <c r="Z383">
        <v>2020</v>
      </c>
      <c r="AA383">
        <v>0</v>
      </c>
      <c r="AB383" s="5">
        <v>0.67840120605700005</v>
      </c>
      <c r="AC383" s="5">
        <v>1.35680241211</v>
      </c>
      <c r="AD383" t="s">
        <v>998</v>
      </c>
      <c r="AE383" t="s">
        <v>163</v>
      </c>
      <c r="AF383" t="s">
        <v>162</v>
      </c>
      <c r="AG383" t="s">
        <v>162</v>
      </c>
      <c r="AH383" t="s">
        <v>162</v>
      </c>
      <c r="AI383" t="s">
        <v>162</v>
      </c>
      <c r="AJ383" t="s">
        <v>162</v>
      </c>
      <c r="AK383" t="s">
        <v>162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 s="60">
        <f t="shared" si="5"/>
        <v>1</v>
      </c>
      <c r="AU383" s="95" t="s">
        <v>187</v>
      </c>
      <c r="AV383" t="s">
        <v>165</v>
      </c>
      <c r="AW383" t="s">
        <v>162</v>
      </c>
      <c r="AX383">
        <v>3</v>
      </c>
      <c r="AY383" t="s">
        <v>275</v>
      </c>
      <c r="AZ383" t="s">
        <v>162</v>
      </c>
    </row>
    <row r="384" spans="1:52" x14ac:dyDescent="0.25">
      <c r="A384">
        <v>373</v>
      </c>
      <c r="B384" t="s">
        <v>1102</v>
      </c>
      <c r="C384" t="s">
        <v>163</v>
      </c>
      <c r="D384" t="s">
        <v>1103</v>
      </c>
      <c r="E384" t="s">
        <v>216</v>
      </c>
      <c r="F384" t="s">
        <v>163</v>
      </c>
      <c r="G384">
        <v>5200</v>
      </c>
      <c r="H384">
        <v>5201</v>
      </c>
      <c r="I384" t="s">
        <v>784</v>
      </c>
      <c r="J384">
        <v>5738</v>
      </c>
      <c r="K384">
        <v>5739</v>
      </c>
      <c r="L384" t="s">
        <v>1104</v>
      </c>
      <c r="M384">
        <v>4</v>
      </c>
      <c r="N384" t="s">
        <v>13</v>
      </c>
      <c r="O384" t="s">
        <v>15</v>
      </c>
      <c r="P384" t="s">
        <v>169</v>
      </c>
      <c r="Q384" t="s">
        <v>1105</v>
      </c>
      <c r="R384" t="s">
        <v>304</v>
      </c>
      <c r="S384">
        <v>2017</v>
      </c>
      <c r="T384">
        <v>5</v>
      </c>
      <c r="U384" t="s">
        <v>1106</v>
      </c>
      <c r="V384" t="s">
        <v>243</v>
      </c>
      <c r="W384">
        <v>2020</v>
      </c>
      <c r="X384">
        <v>0</v>
      </c>
      <c r="Y384" t="s">
        <v>1107</v>
      </c>
      <c r="Z384">
        <v>2020</v>
      </c>
      <c r="AA384">
        <v>0</v>
      </c>
      <c r="AB384" s="5">
        <v>0.71959867904599994</v>
      </c>
      <c r="AC384" s="5">
        <v>1.4391973580899999</v>
      </c>
      <c r="AD384" t="s">
        <v>1108</v>
      </c>
      <c r="AE384" t="s">
        <v>163</v>
      </c>
      <c r="AF384" t="s">
        <v>162</v>
      </c>
      <c r="AG384" t="s">
        <v>166</v>
      </c>
      <c r="AH384" t="s">
        <v>162</v>
      </c>
      <c r="AI384" t="s">
        <v>162</v>
      </c>
      <c r="AJ384" t="s">
        <v>162</v>
      </c>
      <c r="AK384" t="s">
        <v>162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60">
        <f t="shared" si="5"/>
        <v>1</v>
      </c>
      <c r="AU384" s="95" t="s">
        <v>244</v>
      </c>
      <c r="AV384" s="94" t="s">
        <v>165</v>
      </c>
      <c r="AW384" t="s">
        <v>162</v>
      </c>
      <c r="AX384">
        <v>3</v>
      </c>
      <c r="AY384" t="s">
        <v>275</v>
      </c>
      <c r="AZ384">
        <v>20</v>
      </c>
    </row>
    <row r="385" spans="1:52" x14ac:dyDescent="0.25">
      <c r="A385">
        <v>374</v>
      </c>
      <c r="B385" t="s">
        <v>1109</v>
      </c>
      <c r="C385" t="s">
        <v>151</v>
      </c>
      <c r="D385" t="s">
        <v>1110</v>
      </c>
      <c r="E385" t="s">
        <v>216</v>
      </c>
      <c r="F385" t="s">
        <v>162</v>
      </c>
      <c r="G385">
        <v>1201</v>
      </c>
      <c r="H385">
        <v>1200</v>
      </c>
      <c r="I385" t="s">
        <v>1111</v>
      </c>
      <c r="J385">
        <v>1359</v>
      </c>
      <c r="K385">
        <v>1358</v>
      </c>
      <c r="L385" t="s">
        <v>683</v>
      </c>
      <c r="M385">
        <v>4</v>
      </c>
      <c r="N385" t="s">
        <v>13</v>
      </c>
      <c r="O385" t="s">
        <v>15</v>
      </c>
      <c r="P385" t="s">
        <v>175</v>
      </c>
      <c r="Q385" t="s">
        <v>1112</v>
      </c>
      <c r="R385" t="s">
        <v>304</v>
      </c>
      <c r="S385">
        <v>2017</v>
      </c>
      <c r="T385">
        <v>5</v>
      </c>
      <c r="U385" t="s">
        <v>162</v>
      </c>
      <c r="V385" t="s">
        <v>162</v>
      </c>
      <c r="W385">
        <v>0</v>
      </c>
      <c r="X385">
        <v>0</v>
      </c>
      <c r="Y385" t="s">
        <v>162</v>
      </c>
      <c r="Z385">
        <v>2017</v>
      </c>
      <c r="AA385">
        <v>0</v>
      </c>
      <c r="AB385" s="5">
        <v>0.251468511354</v>
      </c>
      <c r="AC385" s="5">
        <v>0.502937022708</v>
      </c>
      <c r="AD385" t="s">
        <v>1108</v>
      </c>
      <c r="AE385" t="s">
        <v>163</v>
      </c>
      <c r="AF385" t="s">
        <v>162</v>
      </c>
      <c r="AG385" t="s">
        <v>162</v>
      </c>
      <c r="AH385" t="s">
        <v>162</v>
      </c>
      <c r="AI385" t="s">
        <v>162</v>
      </c>
      <c r="AJ385" t="s">
        <v>162</v>
      </c>
      <c r="AK385" t="s">
        <v>162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 s="60">
        <f t="shared" si="5"/>
        <v>1</v>
      </c>
      <c r="AU385" s="95">
        <v>43348</v>
      </c>
      <c r="AV385" s="94" t="s">
        <v>165</v>
      </c>
      <c r="AW385" t="s">
        <v>162</v>
      </c>
      <c r="AX385">
        <v>3</v>
      </c>
      <c r="AY385" t="s">
        <v>275</v>
      </c>
      <c r="AZ385" t="s">
        <v>154</v>
      </c>
    </row>
    <row r="386" spans="1:52" x14ac:dyDescent="0.25">
      <c r="A386">
        <v>375</v>
      </c>
      <c r="B386" t="s">
        <v>453</v>
      </c>
      <c r="C386" t="s">
        <v>180</v>
      </c>
      <c r="D386" t="s">
        <v>454</v>
      </c>
      <c r="E386" t="s">
        <v>216</v>
      </c>
      <c r="F386" t="s">
        <v>162</v>
      </c>
      <c r="G386">
        <v>5500</v>
      </c>
      <c r="H386">
        <v>5501</v>
      </c>
      <c r="I386" t="s">
        <v>801</v>
      </c>
      <c r="J386">
        <v>5100</v>
      </c>
      <c r="K386">
        <v>5101</v>
      </c>
      <c r="L386" t="s">
        <v>527</v>
      </c>
      <c r="M386">
        <v>3</v>
      </c>
      <c r="N386" t="s">
        <v>9</v>
      </c>
      <c r="O386" t="s">
        <v>9</v>
      </c>
      <c r="P386" t="s">
        <v>157</v>
      </c>
      <c r="Q386" t="s">
        <v>1113</v>
      </c>
      <c r="R386" t="s">
        <v>283</v>
      </c>
      <c r="S386">
        <v>2015</v>
      </c>
      <c r="T386">
        <v>6</v>
      </c>
      <c r="U386" t="s">
        <v>162</v>
      </c>
      <c r="V386" t="s">
        <v>509</v>
      </c>
      <c r="W386">
        <v>2021</v>
      </c>
      <c r="X386">
        <v>0</v>
      </c>
      <c r="Y386" t="s">
        <v>162</v>
      </c>
      <c r="Z386">
        <v>2021</v>
      </c>
      <c r="AA386">
        <v>2012</v>
      </c>
      <c r="AB386" s="5">
        <v>0.53004317323500005</v>
      </c>
      <c r="AC386" s="5">
        <v>1.0600863464700001</v>
      </c>
      <c r="AD386" t="s">
        <v>154</v>
      </c>
      <c r="AE386" t="s">
        <v>163</v>
      </c>
      <c r="AF386" t="s">
        <v>154</v>
      </c>
      <c r="AG386" t="s">
        <v>154</v>
      </c>
      <c r="AH386" t="s">
        <v>154</v>
      </c>
      <c r="AI386" t="s">
        <v>154</v>
      </c>
      <c r="AJ386" t="s">
        <v>154</v>
      </c>
      <c r="AK386" t="s">
        <v>154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 s="60">
        <f t="shared" si="5"/>
        <v>1</v>
      </c>
      <c r="AU386" s="95" t="s">
        <v>530</v>
      </c>
      <c r="AV386" s="94" t="s">
        <v>165</v>
      </c>
      <c r="AW386" t="s">
        <v>163</v>
      </c>
      <c r="AX386">
        <v>2</v>
      </c>
      <c r="AY386" t="s">
        <v>167</v>
      </c>
      <c r="AZ386" t="s">
        <v>162</v>
      </c>
    </row>
    <row r="387" spans="1:52" x14ac:dyDescent="0.25">
      <c r="A387">
        <v>376</v>
      </c>
      <c r="B387" t="s">
        <v>245</v>
      </c>
      <c r="C387" t="s">
        <v>163</v>
      </c>
      <c r="D387" t="s">
        <v>246</v>
      </c>
      <c r="E387" t="s">
        <v>216</v>
      </c>
      <c r="F387" t="s">
        <v>162</v>
      </c>
      <c r="G387">
        <v>1000</v>
      </c>
      <c r="H387">
        <v>1001</v>
      </c>
      <c r="I387" t="s">
        <v>459</v>
      </c>
      <c r="J387">
        <v>1600</v>
      </c>
      <c r="K387">
        <v>1601</v>
      </c>
      <c r="L387" t="s">
        <v>298</v>
      </c>
      <c r="M387">
        <v>3</v>
      </c>
      <c r="N387" t="s">
        <v>9</v>
      </c>
      <c r="O387" t="s">
        <v>9</v>
      </c>
      <c r="P387" t="s">
        <v>157</v>
      </c>
      <c r="Q387" t="s">
        <v>1114</v>
      </c>
      <c r="R387" t="s">
        <v>320</v>
      </c>
      <c r="S387">
        <v>2015</v>
      </c>
      <c r="T387">
        <v>10</v>
      </c>
      <c r="U387" t="s">
        <v>123</v>
      </c>
      <c r="V387" t="s">
        <v>162</v>
      </c>
      <c r="W387">
        <v>0</v>
      </c>
      <c r="X387">
        <v>0</v>
      </c>
      <c r="Y387" t="s">
        <v>162</v>
      </c>
      <c r="Z387">
        <v>2015</v>
      </c>
      <c r="AA387">
        <v>2015</v>
      </c>
      <c r="AB387" s="5">
        <v>0.50336495670000003</v>
      </c>
      <c r="AC387" s="5">
        <v>1.0067299134000001</v>
      </c>
      <c r="AD387" t="s">
        <v>162</v>
      </c>
      <c r="AE387" t="s">
        <v>163</v>
      </c>
      <c r="AF387" t="s">
        <v>162</v>
      </c>
      <c r="AG387" t="s">
        <v>162</v>
      </c>
      <c r="AH387" t="s">
        <v>162</v>
      </c>
      <c r="AI387" t="s">
        <v>162</v>
      </c>
      <c r="AJ387" t="s">
        <v>162</v>
      </c>
      <c r="AK387" t="s">
        <v>162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 s="60">
        <f t="shared" si="5"/>
        <v>1</v>
      </c>
      <c r="AU387" s="95">
        <v>43335</v>
      </c>
      <c r="AV387" s="94" t="s">
        <v>165</v>
      </c>
      <c r="AW387" t="s">
        <v>163</v>
      </c>
      <c r="AX387">
        <v>2</v>
      </c>
      <c r="AY387" t="s">
        <v>167</v>
      </c>
      <c r="AZ387" t="s">
        <v>162</v>
      </c>
    </row>
    <row r="388" spans="1:52" x14ac:dyDescent="0.25">
      <c r="A388">
        <v>377</v>
      </c>
      <c r="B388" t="s">
        <v>408</v>
      </c>
      <c r="C388" t="s">
        <v>180</v>
      </c>
      <c r="D388" t="s">
        <v>409</v>
      </c>
      <c r="E388" t="s">
        <v>182</v>
      </c>
      <c r="F388" t="s">
        <v>162</v>
      </c>
      <c r="G388">
        <v>1358</v>
      </c>
      <c r="H388">
        <v>1359</v>
      </c>
      <c r="I388" t="s">
        <v>1115</v>
      </c>
      <c r="J388">
        <v>1200</v>
      </c>
      <c r="K388">
        <v>1201</v>
      </c>
      <c r="L388" t="s">
        <v>390</v>
      </c>
      <c r="M388">
        <v>4</v>
      </c>
      <c r="N388" t="s">
        <v>11</v>
      </c>
      <c r="O388" t="s">
        <v>11</v>
      </c>
      <c r="P388" t="s">
        <v>175</v>
      </c>
      <c r="Q388" t="s">
        <v>1116</v>
      </c>
      <c r="R388" t="s">
        <v>1117</v>
      </c>
      <c r="S388">
        <v>2014</v>
      </c>
      <c r="T388">
        <v>10</v>
      </c>
      <c r="U388" t="s">
        <v>1118</v>
      </c>
      <c r="V388" t="s">
        <v>1119</v>
      </c>
      <c r="W388">
        <v>2018</v>
      </c>
      <c r="X388">
        <v>11</v>
      </c>
      <c r="Y388" t="s">
        <v>162</v>
      </c>
      <c r="Z388">
        <v>2014</v>
      </c>
      <c r="AA388">
        <v>0</v>
      </c>
      <c r="AB388" s="5">
        <v>0.28572702809700001</v>
      </c>
      <c r="AC388" s="5">
        <v>0.57145405619400003</v>
      </c>
      <c r="AD388" t="s">
        <v>162</v>
      </c>
      <c r="AE388" t="s">
        <v>163</v>
      </c>
      <c r="AF388" t="s">
        <v>162</v>
      </c>
      <c r="AG388" t="s">
        <v>162</v>
      </c>
      <c r="AH388" t="s">
        <v>162</v>
      </c>
      <c r="AI388" t="s">
        <v>162</v>
      </c>
      <c r="AJ388" t="s">
        <v>162</v>
      </c>
      <c r="AK388" t="s">
        <v>162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 s="60">
        <f t="shared" si="5"/>
        <v>1</v>
      </c>
      <c r="AU388" s="95">
        <v>43339</v>
      </c>
      <c r="AV388" s="94" t="s">
        <v>165</v>
      </c>
      <c r="AW388" t="s">
        <v>162</v>
      </c>
      <c r="AX388">
        <v>2</v>
      </c>
      <c r="AY388" t="s">
        <v>167</v>
      </c>
      <c r="AZ388" t="s">
        <v>162</v>
      </c>
    </row>
    <row r="389" spans="1:52" x14ac:dyDescent="0.25">
      <c r="A389">
        <v>378</v>
      </c>
      <c r="B389" t="s">
        <v>1120</v>
      </c>
      <c r="C389" t="s">
        <v>151</v>
      </c>
      <c r="D389" t="s">
        <v>1121</v>
      </c>
      <c r="E389" t="s">
        <v>172</v>
      </c>
      <c r="F389" t="s">
        <v>162</v>
      </c>
      <c r="G389">
        <v>1359</v>
      </c>
      <c r="H389">
        <v>1358</v>
      </c>
      <c r="I389" t="s">
        <v>1122</v>
      </c>
      <c r="J389">
        <v>1230</v>
      </c>
      <c r="K389">
        <v>1231</v>
      </c>
      <c r="L389" t="s">
        <v>1123</v>
      </c>
      <c r="M389">
        <v>4</v>
      </c>
      <c r="N389" t="s">
        <v>15</v>
      </c>
      <c r="O389" t="s">
        <v>15</v>
      </c>
      <c r="P389" t="s">
        <v>175</v>
      </c>
      <c r="Q389" t="s">
        <v>1124</v>
      </c>
      <c r="R389" t="s">
        <v>993</v>
      </c>
      <c r="S389">
        <v>2015</v>
      </c>
      <c r="T389">
        <v>5</v>
      </c>
      <c r="U389" t="s">
        <v>162</v>
      </c>
      <c r="V389" t="s">
        <v>162</v>
      </c>
      <c r="W389">
        <v>0</v>
      </c>
      <c r="X389">
        <v>0</v>
      </c>
      <c r="Y389" t="s">
        <v>162</v>
      </c>
      <c r="Z389">
        <v>2015</v>
      </c>
      <c r="AA389">
        <v>0</v>
      </c>
      <c r="AB389" s="5">
        <v>0.150149894758</v>
      </c>
      <c r="AC389" s="5">
        <v>0.300299789516</v>
      </c>
      <c r="AD389" t="s">
        <v>162</v>
      </c>
      <c r="AE389" t="s">
        <v>163</v>
      </c>
      <c r="AF389" t="s">
        <v>162</v>
      </c>
      <c r="AG389" t="s">
        <v>162</v>
      </c>
      <c r="AH389" t="s">
        <v>162</v>
      </c>
      <c r="AI389" t="s">
        <v>162</v>
      </c>
      <c r="AJ389" t="s">
        <v>162</v>
      </c>
      <c r="AK389" t="s">
        <v>162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 s="60">
        <f t="shared" si="5"/>
        <v>1</v>
      </c>
      <c r="AU389" s="95">
        <v>43348</v>
      </c>
      <c r="AV389" t="s">
        <v>165</v>
      </c>
      <c r="AW389" t="s">
        <v>162</v>
      </c>
      <c r="AX389">
        <v>3</v>
      </c>
      <c r="AY389" t="s">
        <v>275</v>
      </c>
      <c r="AZ389" t="s">
        <v>162</v>
      </c>
    </row>
    <row r="390" spans="1:52" x14ac:dyDescent="0.25">
      <c r="A390">
        <v>379</v>
      </c>
      <c r="B390" t="s">
        <v>228</v>
      </c>
      <c r="C390" t="s">
        <v>163</v>
      </c>
      <c r="D390" t="s">
        <v>229</v>
      </c>
      <c r="E390" t="s">
        <v>216</v>
      </c>
      <c r="F390" t="s">
        <v>162</v>
      </c>
      <c r="G390">
        <v>2800</v>
      </c>
      <c r="H390">
        <v>2801</v>
      </c>
      <c r="I390" t="s">
        <v>378</v>
      </c>
      <c r="J390">
        <v>3546</v>
      </c>
      <c r="K390">
        <v>3555</v>
      </c>
      <c r="L390" t="s">
        <v>190</v>
      </c>
      <c r="M390">
        <v>3</v>
      </c>
      <c r="N390" t="s">
        <v>9</v>
      </c>
      <c r="O390" t="s">
        <v>9</v>
      </c>
      <c r="P390" t="s">
        <v>157</v>
      </c>
      <c r="Q390" t="s">
        <v>162</v>
      </c>
      <c r="R390" t="s">
        <v>283</v>
      </c>
      <c r="S390">
        <v>2015</v>
      </c>
      <c r="T390">
        <v>5</v>
      </c>
      <c r="U390" t="s">
        <v>162</v>
      </c>
      <c r="V390" t="s">
        <v>502</v>
      </c>
      <c r="W390">
        <v>2017</v>
      </c>
      <c r="X390">
        <v>5</v>
      </c>
      <c r="Y390" t="s">
        <v>123</v>
      </c>
      <c r="Z390">
        <v>2017</v>
      </c>
      <c r="AA390">
        <v>2017</v>
      </c>
      <c r="AB390" s="5">
        <v>1.3974577699699999</v>
      </c>
      <c r="AC390" s="5">
        <v>2.7949155399399999</v>
      </c>
      <c r="AD390" t="s">
        <v>162</v>
      </c>
      <c r="AE390" t="s">
        <v>163</v>
      </c>
      <c r="AF390" t="s">
        <v>162</v>
      </c>
      <c r="AG390" t="s">
        <v>162</v>
      </c>
      <c r="AH390" t="s">
        <v>162</v>
      </c>
      <c r="AI390" t="s">
        <v>162</v>
      </c>
      <c r="AJ390" t="s">
        <v>162</v>
      </c>
      <c r="AK390" t="s">
        <v>162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s="60">
        <f t="shared" si="5"/>
        <v>1</v>
      </c>
      <c r="AU390" s="95">
        <v>43349</v>
      </c>
      <c r="AV390" s="94" t="s">
        <v>165</v>
      </c>
      <c r="AW390" t="s">
        <v>163</v>
      </c>
      <c r="AX390">
        <v>2</v>
      </c>
      <c r="AY390" t="s">
        <v>167</v>
      </c>
      <c r="AZ390" t="s">
        <v>162</v>
      </c>
    </row>
    <row r="391" spans="1:52" x14ac:dyDescent="0.25">
      <c r="A391">
        <v>380</v>
      </c>
      <c r="B391" t="s">
        <v>262</v>
      </c>
      <c r="C391" t="s">
        <v>203</v>
      </c>
      <c r="D391" t="s">
        <v>263</v>
      </c>
      <c r="E391" t="s">
        <v>222</v>
      </c>
      <c r="F391" t="s">
        <v>162</v>
      </c>
      <c r="G391">
        <v>866</v>
      </c>
      <c r="H391">
        <v>865</v>
      </c>
      <c r="I391" t="s">
        <v>678</v>
      </c>
      <c r="J391">
        <v>882</v>
      </c>
      <c r="K391">
        <v>881</v>
      </c>
      <c r="L391" t="s">
        <v>618</v>
      </c>
      <c r="M391">
        <v>2</v>
      </c>
      <c r="N391" t="s">
        <v>9</v>
      </c>
      <c r="O391" t="s">
        <v>9</v>
      </c>
      <c r="P391" t="s">
        <v>157</v>
      </c>
      <c r="Q391" t="s">
        <v>679</v>
      </c>
      <c r="R391" t="s">
        <v>959</v>
      </c>
      <c r="S391">
        <v>2014</v>
      </c>
      <c r="T391">
        <v>6</v>
      </c>
      <c r="U391" t="s">
        <v>162</v>
      </c>
      <c r="V391" t="s">
        <v>502</v>
      </c>
      <c r="W391">
        <v>2016</v>
      </c>
      <c r="X391">
        <v>11</v>
      </c>
      <c r="Y391" t="s">
        <v>123</v>
      </c>
      <c r="Z391">
        <v>2016</v>
      </c>
      <c r="AA391">
        <v>2016</v>
      </c>
      <c r="AB391" s="5">
        <v>4.72479096763E-2</v>
      </c>
      <c r="AC391" s="5">
        <v>9.44958193526E-2</v>
      </c>
      <c r="AD391" t="s">
        <v>162</v>
      </c>
      <c r="AE391" t="s">
        <v>163</v>
      </c>
      <c r="AF391" t="s">
        <v>162</v>
      </c>
      <c r="AG391" t="s">
        <v>162</v>
      </c>
      <c r="AH391" t="s">
        <v>162</v>
      </c>
      <c r="AI391" t="s">
        <v>162</v>
      </c>
      <c r="AJ391" t="s">
        <v>162</v>
      </c>
      <c r="AK391" t="s">
        <v>162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 s="60">
        <f t="shared" si="5"/>
        <v>1</v>
      </c>
      <c r="AU391" s="95">
        <v>43335</v>
      </c>
      <c r="AV391" s="94" t="s">
        <v>165</v>
      </c>
      <c r="AW391" t="s">
        <v>166</v>
      </c>
      <c r="AX391">
        <v>2</v>
      </c>
      <c r="AY391" t="s">
        <v>167</v>
      </c>
      <c r="AZ391" t="s">
        <v>162</v>
      </c>
    </row>
    <row r="392" spans="1:52" x14ac:dyDescent="0.25">
      <c r="A392">
        <v>381</v>
      </c>
      <c r="B392" t="s">
        <v>228</v>
      </c>
      <c r="C392" t="s">
        <v>163</v>
      </c>
      <c r="D392" t="s">
        <v>229</v>
      </c>
      <c r="E392" t="s">
        <v>216</v>
      </c>
      <c r="F392" t="s">
        <v>162</v>
      </c>
      <c r="G392">
        <v>2601</v>
      </c>
      <c r="H392">
        <v>2602</v>
      </c>
      <c r="I392" t="s">
        <v>535</v>
      </c>
      <c r="J392">
        <v>2701</v>
      </c>
      <c r="K392">
        <v>2700</v>
      </c>
      <c r="L392" t="s">
        <v>1125</v>
      </c>
      <c r="M392">
        <v>3</v>
      </c>
      <c r="N392" t="s">
        <v>9</v>
      </c>
      <c r="O392" t="s">
        <v>9</v>
      </c>
      <c r="P392" t="s">
        <v>157</v>
      </c>
      <c r="Q392" t="s">
        <v>533</v>
      </c>
      <c r="R392" t="s">
        <v>283</v>
      </c>
      <c r="S392">
        <v>2015</v>
      </c>
      <c r="T392">
        <v>5</v>
      </c>
      <c r="U392" t="s">
        <v>162</v>
      </c>
      <c r="V392" t="s">
        <v>162</v>
      </c>
      <c r="W392">
        <v>0</v>
      </c>
      <c r="X392">
        <v>0</v>
      </c>
      <c r="Y392" t="s">
        <v>162</v>
      </c>
      <c r="Z392">
        <v>2015</v>
      </c>
      <c r="AA392">
        <v>0</v>
      </c>
      <c r="AB392" s="5">
        <v>0.19920263546899999</v>
      </c>
      <c r="AC392" s="5">
        <v>0.39840527093799999</v>
      </c>
      <c r="AD392" t="s">
        <v>162</v>
      </c>
      <c r="AE392" t="s">
        <v>163</v>
      </c>
      <c r="AF392" t="s">
        <v>162</v>
      </c>
      <c r="AG392" t="s">
        <v>162</v>
      </c>
      <c r="AH392" t="s">
        <v>162</v>
      </c>
      <c r="AI392" t="s">
        <v>162</v>
      </c>
      <c r="AJ392" t="s">
        <v>162</v>
      </c>
      <c r="AK392" t="s">
        <v>162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 s="60">
        <f t="shared" si="5"/>
        <v>1</v>
      </c>
      <c r="AU392" s="95">
        <v>43333</v>
      </c>
      <c r="AV392" s="94" t="s">
        <v>165</v>
      </c>
      <c r="AW392" t="s">
        <v>163</v>
      </c>
      <c r="AX392">
        <v>2</v>
      </c>
      <c r="AY392" t="s">
        <v>167</v>
      </c>
      <c r="AZ392" t="s">
        <v>162</v>
      </c>
    </row>
    <row r="393" spans="1:52" x14ac:dyDescent="0.25">
      <c r="A393">
        <v>382</v>
      </c>
      <c r="B393" t="s">
        <v>635</v>
      </c>
      <c r="C393" t="s">
        <v>203</v>
      </c>
      <c r="D393" t="s">
        <v>636</v>
      </c>
      <c r="E393" t="s">
        <v>172</v>
      </c>
      <c r="F393" t="s">
        <v>203</v>
      </c>
      <c r="G393">
        <v>301</v>
      </c>
      <c r="H393">
        <v>300</v>
      </c>
      <c r="I393" t="s">
        <v>637</v>
      </c>
      <c r="J393">
        <v>399</v>
      </c>
      <c r="K393">
        <v>400</v>
      </c>
      <c r="L393" t="s">
        <v>638</v>
      </c>
      <c r="M393">
        <v>4</v>
      </c>
      <c r="N393" t="s">
        <v>11</v>
      </c>
      <c r="O393" t="s">
        <v>11</v>
      </c>
      <c r="P393" t="s">
        <v>175</v>
      </c>
      <c r="Q393" t="s">
        <v>162</v>
      </c>
      <c r="R393" t="s">
        <v>253</v>
      </c>
      <c r="S393">
        <v>2003</v>
      </c>
      <c r="T393">
        <v>7</v>
      </c>
      <c r="U393" t="s">
        <v>162</v>
      </c>
      <c r="V393" t="s">
        <v>404</v>
      </c>
      <c r="W393">
        <v>2017</v>
      </c>
      <c r="X393">
        <v>8</v>
      </c>
      <c r="Y393" t="s">
        <v>162</v>
      </c>
      <c r="Z393">
        <v>2017</v>
      </c>
      <c r="AA393">
        <v>0</v>
      </c>
      <c r="AB393" s="5">
        <v>0.175429208654</v>
      </c>
      <c r="AC393" s="5">
        <v>0.175429208654</v>
      </c>
      <c r="AD393" t="s">
        <v>162</v>
      </c>
      <c r="AE393" t="s">
        <v>166</v>
      </c>
      <c r="AF393" t="s">
        <v>203</v>
      </c>
      <c r="AG393" t="s">
        <v>163</v>
      </c>
      <c r="AH393" t="s">
        <v>162</v>
      </c>
      <c r="AI393" t="s">
        <v>162</v>
      </c>
      <c r="AJ393" t="s">
        <v>162</v>
      </c>
      <c r="AK393" t="s">
        <v>162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 s="60">
        <f t="shared" si="5"/>
        <v>1</v>
      </c>
      <c r="AU393" s="95">
        <v>43342</v>
      </c>
      <c r="AV393" s="94" t="s">
        <v>165</v>
      </c>
      <c r="AW393" t="s">
        <v>162</v>
      </c>
      <c r="AX393">
        <v>2</v>
      </c>
      <c r="AY393" t="s">
        <v>167</v>
      </c>
      <c r="AZ393" t="s">
        <v>162</v>
      </c>
    </row>
    <row r="394" spans="1:52" x14ac:dyDescent="0.25">
      <c r="A394">
        <v>383</v>
      </c>
      <c r="B394" t="s">
        <v>356</v>
      </c>
      <c r="C394" t="s">
        <v>180</v>
      </c>
      <c r="D394" t="s">
        <v>357</v>
      </c>
      <c r="E394" t="s">
        <v>216</v>
      </c>
      <c r="F394" t="s">
        <v>162</v>
      </c>
      <c r="G394">
        <v>7900</v>
      </c>
      <c r="H394">
        <v>7901</v>
      </c>
      <c r="I394" t="s">
        <v>1126</v>
      </c>
      <c r="J394">
        <v>7600</v>
      </c>
      <c r="K394">
        <v>7601</v>
      </c>
      <c r="L394" t="s">
        <v>358</v>
      </c>
      <c r="M394">
        <v>3</v>
      </c>
      <c r="N394" t="s">
        <v>9</v>
      </c>
      <c r="O394" t="s">
        <v>9</v>
      </c>
      <c r="P394" t="s">
        <v>175</v>
      </c>
      <c r="Q394" t="s">
        <v>1127</v>
      </c>
      <c r="R394" t="s">
        <v>320</v>
      </c>
      <c r="S394">
        <v>2015</v>
      </c>
      <c r="T394">
        <v>6</v>
      </c>
      <c r="U394" t="s">
        <v>123</v>
      </c>
      <c r="V394" t="s">
        <v>162</v>
      </c>
      <c r="W394">
        <v>0</v>
      </c>
      <c r="X394">
        <v>0</v>
      </c>
      <c r="Y394" t="s">
        <v>162</v>
      </c>
      <c r="Z394">
        <v>2015</v>
      </c>
      <c r="AA394">
        <v>2015</v>
      </c>
      <c r="AB394" s="5">
        <v>0.394514819149</v>
      </c>
      <c r="AC394" s="5">
        <v>0.78902963829799999</v>
      </c>
      <c r="AD394" t="s">
        <v>162</v>
      </c>
      <c r="AE394" t="s">
        <v>163</v>
      </c>
      <c r="AF394" t="s">
        <v>162</v>
      </c>
      <c r="AG394" t="s">
        <v>162</v>
      </c>
      <c r="AH394" t="s">
        <v>162</v>
      </c>
      <c r="AI394" t="s">
        <v>162</v>
      </c>
      <c r="AJ394" t="s">
        <v>162</v>
      </c>
      <c r="AK394" t="s">
        <v>162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 s="60">
        <f t="shared" si="5"/>
        <v>1</v>
      </c>
      <c r="AU394" s="95" t="s">
        <v>360</v>
      </c>
      <c r="AV394" s="94" t="s">
        <v>165</v>
      </c>
      <c r="AW394" t="s">
        <v>166</v>
      </c>
      <c r="AX394">
        <v>2</v>
      </c>
      <c r="AY394" t="s">
        <v>167</v>
      </c>
      <c r="AZ394" t="s">
        <v>162</v>
      </c>
    </row>
    <row r="395" spans="1:52" x14ac:dyDescent="0.25">
      <c r="A395">
        <v>384</v>
      </c>
      <c r="B395" t="s">
        <v>648</v>
      </c>
      <c r="C395" t="s">
        <v>151</v>
      </c>
      <c r="D395" t="s">
        <v>649</v>
      </c>
      <c r="E395" t="s">
        <v>172</v>
      </c>
      <c r="F395" t="s">
        <v>162</v>
      </c>
      <c r="G395">
        <v>1601</v>
      </c>
      <c r="H395">
        <v>1600</v>
      </c>
      <c r="I395" t="s">
        <v>708</v>
      </c>
      <c r="J395">
        <v>1535</v>
      </c>
      <c r="K395">
        <v>1546</v>
      </c>
      <c r="L395" t="s">
        <v>230</v>
      </c>
      <c r="M395">
        <v>3</v>
      </c>
      <c r="N395" t="s">
        <v>11</v>
      </c>
      <c r="O395" t="s">
        <v>11</v>
      </c>
      <c r="P395" t="s">
        <v>169</v>
      </c>
      <c r="Q395" t="s">
        <v>162</v>
      </c>
      <c r="R395" t="s">
        <v>463</v>
      </c>
      <c r="S395">
        <v>2015</v>
      </c>
      <c r="T395">
        <v>6</v>
      </c>
      <c r="U395" t="s">
        <v>162</v>
      </c>
      <c r="V395" t="s">
        <v>162</v>
      </c>
      <c r="W395">
        <v>0</v>
      </c>
      <c r="X395">
        <v>0</v>
      </c>
      <c r="Y395" t="s">
        <v>162</v>
      </c>
      <c r="Z395">
        <v>2012</v>
      </c>
      <c r="AA395">
        <v>0</v>
      </c>
      <c r="AB395" s="5">
        <v>0.115279147158</v>
      </c>
      <c r="AC395" s="5">
        <v>0.230558294316</v>
      </c>
      <c r="AD395" t="s">
        <v>162</v>
      </c>
      <c r="AE395" t="s">
        <v>163</v>
      </c>
      <c r="AF395" t="s">
        <v>162</v>
      </c>
      <c r="AG395" t="s">
        <v>162</v>
      </c>
      <c r="AH395" t="s">
        <v>162</v>
      </c>
      <c r="AI395" t="s">
        <v>162</v>
      </c>
      <c r="AJ395" t="s">
        <v>162</v>
      </c>
      <c r="AK395" t="s">
        <v>162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 s="60">
        <f t="shared" ref="AT395:AT458" si="6">SUM(AM395:AS395)</f>
        <v>1</v>
      </c>
      <c r="AU395" s="95">
        <v>43343</v>
      </c>
      <c r="AV395" t="s">
        <v>165</v>
      </c>
      <c r="AW395" t="s">
        <v>162</v>
      </c>
      <c r="AX395">
        <v>2</v>
      </c>
      <c r="AY395" t="s">
        <v>167</v>
      </c>
      <c r="AZ395" t="s">
        <v>162</v>
      </c>
    </row>
    <row r="396" spans="1:52" x14ac:dyDescent="0.25">
      <c r="A396">
        <v>385</v>
      </c>
      <c r="B396" t="s">
        <v>573</v>
      </c>
      <c r="C396" t="s">
        <v>203</v>
      </c>
      <c r="D396" t="s">
        <v>574</v>
      </c>
      <c r="E396" t="s">
        <v>153</v>
      </c>
      <c r="F396" t="s">
        <v>162</v>
      </c>
      <c r="G396">
        <v>44</v>
      </c>
      <c r="H396">
        <v>45</v>
      </c>
      <c r="I396" t="s">
        <v>640</v>
      </c>
      <c r="J396">
        <v>158</v>
      </c>
      <c r="K396">
        <v>159</v>
      </c>
      <c r="L396" t="s">
        <v>1083</v>
      </c>
      <c r="M396">
        <v>2</v>
      </c>
      <c r="N396" t="s">
        <v>7</v>
      </c>
      <c r="O396" t="s">
        <v>7</v>
      </c>
      <c r="P396" t="s">
        <v>175</v>
      </c>
      <c r="Q396" t="s">
        <v>1128</v>
      </c>
      <c r="R396" t="s">
        <v>383</v>
      </c>
      <c r="S396">
        <v>2015</v>
      </c>
      <c r="T396">
        <v>11</v>
      </c>
      <c r="U396" t="s">
        <v>1129</v>
      </c>
      <c r="V396" t="s">
        <v>162</v>
      </c>
      <c r="W396">
        <v>0</v>
      </c>
      <c r="X396">
        <v>0</v>
      </c>
      <c r="Y396" t="s">
        <v>162</v>
      </c>
      <c r="Z396">
        <v>2015</v>
      </c>
      <c r="AA396">
        <v>2015</v>
      </c>
      <c r="AB396" s="5">
        <v>0.16894480169500001</v>
      </c>
      <c r="AC396" s="5">
        <v>0.33788960339000002</v>
      </c>
      <c r="AD396" t="s">
        <v>162</v>
      </c>
      <c r="AE396" t="s">
        <v>163</v>
      </c>
      <c r="AF396" t="s">
        <v>162</v>
      </c>
      <c r="AG396" t="s">
        <v>162</v>
      </c>
      <c r="AH396" t="s">
        <v>166</v>
      </c>
      <c r="AI396" t="s">
        <v>1130</v>
      </c>
      <c r="AJ396" t="s">
        <v>162</v>
      </c>
      <c r="AK396" t="s">
        <v>162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 s="60">
        <f t="shared" si="6"/>
        <v>1</v>
      </c>
      <c r="AU396" s="95" t="s">
        <v>227</v>
      </c>
      <c r="AV396" s="94" t="s">
        <v>165</v>
      </c>
      <c r="AW396" t="s">
        <v>154</v>
      </c>
      <c r="AX396">
        <v>1</v>
      </c>
      <c r="AY396" t="s">
        <v>167</v>
      </c>
      <c r="AZ396" t="s">
        <v>162</v>
      </c>
    </row>
    <row r="397" spans="1:52" x14ac:dyDescent="0.25">
      <c r="A397">
        <v>386</v>
      </c>
      <c r="B397" t="s">
        <v>356</v>
      </c>
      <c r="C397" t="s">
        <v>180</v>
      </c>
      <c r="D397" t="s">
        <v>357</v>
      </c>
      <c r="E397" t="s">
        <v>216</v>
      </c>
      <c r="F397" t="s">
        <v>162</v>
      </c>
      <c r="G397">
        <v>8355</v>
      </c>
      <c r="H397">
        <v>8338</v>
      </c>
      <c r="I397" t="s">
        <v>1131</v>
      </c>
      <c r="J397">
        <v>7931</v>
      </c>
      <c r="K397">
        <v>7928</v>
      </c>
      <c r="L397" t="s">
        <v>1126</v>
      </c>
      <c r="M397">
        <v>3</v>
      </c>
      <c r="N397" t="s">
        <v>9</v>
      </c>
      <c r="O397" t="s">
        <v>9</v>
      </c>
      <c r="P397" t="s">
        <v>175</v>
      </c>
      <c r="Q397" t="s">
        <v>1127</v>
      </c>
      <c r="R397" t="s">
        <v>320</v>
      </c>
      <c r="S397">
        <v>2015</v>
      </c>
      <c r="T397">
        <v>7</v>
      </c>
      <c r="U397" t="s">
        <v>1132</v>
      </c>
      <c r="V397" t="s">
        <v>162</v>
      </c>
      <c r="W397">
        <v>0</v>
      </c>
      <c r="X397">
        <v>0</v>
      </c>
      <c r="Y397" t="s">
        <v>162</v>
      </c>
      <c r="Z397">
        <v>2015</v>
      </c>
      <c r="AA397">
        <v>2015</v>
      </c>
      <c r="AB397" s="5">
        <v>0.66977696102899997</v>
      </c>
      <c r="AC397" s="5">
        <v>1.3395539220599999</v>
      </c>
      <c r="AD397" t="s">
        <v>162</v>
      </c>
      <c r="AE397" t="s">
        <v>163</v>
      </c>
      <c r="AF397" t="s">
        <v>162</v>
      </c>
      <c r="AG397" t="s">
        <v>162</v>
      </c>
      <c r="AH397" t="s">
        <v>162</v>
      </c>
      <c r="AI397" t="s">
        <v>162</v>
      </c>
      <c r="AJ397" t="s">
        <v>162</v>
      </c>
      <c r="AK397" t="s">
        <v>162</v>
      </c>
      <c r="AL397">
        <v>0</v>
      </c>
      <c r="AM397">
        <v>0</v>
      </c>
      <c r="AN397">
        <v>0</v>
      </c>
      <c r="AO397">
        <v>0</v>
      </c>
      <c r="AP397">
        <v>0.8</v>
      </c>
      <c r="AQ397">
        <v>0</v>
      </c>
      <c r="AR397">
        <v>0.2</v>
      </c>
      <c r="AS397">
        <v>0</v>
      </c>
      <c r="AT397" s="60">
        <f t="shared" si="6"/>
        <v>1</v>
      </c>
      <c r="AU397" s="95">
        <v>43339</v>
      </c>
      <c r="AV397" t="s">
        <v>165</v>
      </c>
      <c r="AW397" t="s">
        <v>166</v>
      </c>
      <c r="AX397">
        <v>2</v>
      </c>
      <c r="AY397" t="s">
        <v>167</v>
      </c>
      <c r="AZ397" t="s">
        <v>162</v>
      </c>
    </row>
    <row r="398" spans="1:52" x14ac:dyDescent="0.25">
      <c r="A398">
        <v>387</v>
      </c>
      <c r="B398" t="s">
        <v>315</v>
      </c>
      <c r="C398" t="s">
        <v>163</v>
      </c>
      <c r="D398" t="s">
        <v>316</v>
      </c>
      <c r="E398" t="s">
        <v>216</v>
      </c>
      <c r="F398" t="s">
        <v>162</v>
      </c>
      <c r="G398">
        <v>4800</v>
      </c>
      <c r="H398">
        <v>4801</v>
      </c>
      <c r="I398" t="s">
        <v>588</v>
      </c>
      <c r="J398">
        <v>4992</v>
      </c>
      <c r="K398">
        <v>4993</v>
      </c>
      <c r="L398" t="s">
        <v>851</v>
      </c>
      <c r="M398">
        <v>3</v>
      </c>
      <c r="N398" t="s">
        <v>15</v>
      </c>
      <c r="O398" t="s">
        <v>15</v>
      </c>
      <c r="P398" t="s">
        <v>175</v>
      </c>
      <c r="Q398" t="s">
        <v>1133</v>
      </c>
      <c r="R398" t="s">
        <v>359</v>
      </c>
      <c r="S398">
        <v>2017</v>
      </c>
      <c r="T398">
        <v>8</v>
      </c>
      <c r="U398" t="s">
        <v>1134</v>
      </c>
      <c r="V398" t="s">
        <v>162</v>
      </c>
      <c r="W398">
        <v>0</v>
      </c>
      <c r="X398">
        <v>0</v>
      </c>
      <c r="Y398" t="s">
        <v>162</v>
      </c>
      <c r="Z398">
        <v>2017</v>
      </c>
      <c r="AA398">
        <v>0</v>
      </c>
      <c r="AB398" s="5">
        <v>0.32284259511899999</v>
      </c>
      <c r="AC398" s="5">
        <v>0.64568519023799997</v>
      </c>
      <c r="AD398" t="s">
        <v>162</v>
      </c>
      <c r="AE398" t="s">
        <v>163</v>
      </c>
      <c r="AF398" t="s">
        <v>162</v>
      </c>
      <c r="AG398" t="s">
        <v>162</v>
      </c>
      <c r="AH398" t="s">
        <v>162</v>
      </c>
      <c r="AI398" t="s">
        <v>162</v>
      </c>
      <c r="AJ398" t="s">
        <v>162</v>
      </c>
      <c r="AK398" t="s">
        <v>166</v>
      </c>
      <c r="AL398">
        <v>2017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s="60">
        <f t="shared" si="6"/>
        <v>1</v>
      </c>
      <c r="AU398" s="95">
        <v>43347</v>
      </c>
      <c r="AV398" s="94" t="s">
        <v>165</v>
      </c>
      <c r="AW398" t="s">
        <v>162</v>
      </c>
      <c r="AX398">
        <v>2</v>
      </c>
      <c r="AY398" t="s">
        <v>167</v>
      </c>
      <c r="AZ398" t="s">
        <v>162</v>
      </c>
    </row>
    <row r="399" spans="1:52" x14ac:dyDescent="0.25">
      <c r="A399">
        <v>388</v>
      </c>
      <c r="B399" t="s">
        <v>345</v>
      </c>
      <c r="C399" t="s">
        <v>180</v>
      </c>
      <c r="D399" t="s">
        <v>346</v>
      </c>
      <c r="E399" t="s">
        <v>172</v>
      </c>
      <c r="F399" t="s">
        <v>163</v>
      </c>
      <c r="G399">
        <v>6958</v>
      </c>
      <c r="H399">
        <v>6959</v>
      </c>
      <c r="I399" t="s">
        <v>1098</v>
      </c>
      <c r="J399">
        <v>6900</v>
      </c>
      <c r="K399">
        <v>6901</v>
      </c>
      <c r="L399" t="s">
        <v>1135</v>
      </c>
      <c r="M399">
        <v>2</v>
      </c>
      <c r="N399" t="s">
        <v>9</v>
      </c>
      <c r="O399" t="s">
        <v>9</v>
      </c>
      <c r="P399" t="s">
        <v>175</v>
      </c>
      <c r="Q399" t="s">
        <v>1099</v>
      </c>
      <c r="R399" t="s">
        <v>320</v>
      </c>
      <c r="S399">
        <v>2015</v>
      </c>
      <c r="T399">
        <v>7</v>
      </c>
      <c r="U399" t="s">
        <v>123</v>
      </c>
      <c r="V399" t="s">
        <v>162</v>
      </c>
      <c r="W399">
        <v>0</v>
      </c>
      <c r="X399">
        <v>0</v>
      </c>
      <c r="Y399" t="s">
        <v>162</v>
      </c>
      <c r="Z399">
        <v>2015</v>
      </c>
      <c r="AA399">
        <v>2015</v>
      </c>
      <c r="AB399" s="5">
        <v>0.12845955061700001</v>
      </c>
      <c r="AC399" s="5">
        <v>0.12845955061700001</v>
      </c>
      <c r="AD399" t="s">
        <v>162</v>
      </c>
      <c r="AE399" t="s">
        <v>166</v>
      </c>
      <c r="AF399" t="s">
        <v>163</v>
      </c>
      <c r="AG399" t="s">
        <v>163</v>
      </c>
      <c r="AH399" t="s">
        <v>162</v>
      </c>
      <c r="AI399" t="s">
        <v>162</v>
      </c>
      <c r="AJ399" t="s">
        <v>162</v>
      </c>
      <c r="AK399" t="s">
        <v>162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 s="60">
        <f t="shared" si="6"/>
        <v>1</v>
      </c>
      <c r="AU399" s="95">
        <v>43339</v>
      </c>
      <c r="AV399" s="94" t="s">
        <v>165</v>
      </c>
      <c r="AW399" t="s">
        <v>163</v>
      </c>
      <c r="AX399">
        <v>2</v>
      </c>
      <c r="AY399" t="s">
        <v>167</v>
      </c>
      <c r="AZ399" t="s">
        <v>162</v>
      </c>
    </row>
    <row r="400" spans="1:52" x14ac:dyDescent="0.25">
      <c r="A400">
        <v>389</v>
      </c>
      <c r="B400" t="s">
        <v>345</v>
      </c>
      <c r="C400" t="s">
        <v>180</v>
      </c>
      <c r="D400" t="s">
        <v>346</v>
      </c>
      <c r="E400" t="s">
        <v>172</v>
      </c>
      <c r="F400" t="s">
        <v>163</v>
      </c>
      <c r="G400">
        <v>7858</v>
      </c>
      <c r="H400">
        <v>7859</v>
      </c>
      <c r="I400" t="s">
        <v>1136</v>
      </c>
      <c r="J400">
        <v>7500</v>
      </c>
      <c r="K400">
        <v>7501</v>
      </c>
      <c r="L400" t="s">
        <v>1031</v>
      </c>
      <c r="M400">
        <v>2</v>
      </c>
      <c r="N400" t="s">
        <v>9</v>
      </c>
      <c r="O400" t="s">
        <v>9</v>
      </c>
      <c r="P400" t="s">
        <v>175</v>
      </c>
      <c r="Q400" t="s">
        <v>1099</v>
      </c>
      <c r="R400" t="s">
        <v>320</v>
      </c>
      <c r="S400">
        <v>2015</v>
      </c>
      <c r="T400">
        <v>7</v>
      </c>
      <c r="U400" t="s">
        <v>123</v>
      </c>
      <c r="V400" t="s">
        <v>162</v>
      </c>
      <c r="W400">
        <v>0</v>
      </c>
      <c r="X400">
        <v>0</v>
      </c>
      <c r="Y400" t="s">
        <v>162</v>
      </c>
      <c r="Z400">
        <v>2015</v>
      </c>
      <c r="AA400">
        <v>2015</v>
      </c>
      <c r="AB400" s="5">
        <v>0.49868886117299999</v>
      </c>
      <c r="AC400" s="5">
        <v>0.49868886117299999</v>
      </c>
      <c r="AD400" t="s">
        <v>162</v>
      </c>
      <c r="AE400" t="s">
        <v>166</v>
      </c>
      <c r="AF400" t="s">
        <v>163</v>
      </c>
      <c r="AG400" t="s">
        <v>163</v>
      </c>
      <c r="AH400" t="s">
        <v>162</v>
      </c>
      <c r="AI400" t="s">
        <v>162</v>
      </c>
      <c r="AJ400" t="s">
        <v>162</v>
      </c>
      <c r="AK400" t="s">
        <v>162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 s="60">
        <f t="shared" si="6"/>
        <v>1</v>
      </c>
      <c r="AU400" s="95">
        <v>43339</v>
      </c>
      <c r="AV400" s="94" t="s">
        <v>165</v>
      </c>
      <c r="AW400" t="s">
        <v>163</v>
      </c>
      <c r="AX400">
        <v>2</v>
      </c>
      <c r="AY400" t="s">
        <v>167</v>
      </c>
      <c r="AZ400" t="s">
        <v>162</v>
      </c>
    </row>
    <row r="401" spans="1:52" x14ac:dyDescent="0.25">
      <c r="A401">
        <v>390</v>
      </c>
      <c r="B401" t="s">
        <v>1137</v>
      </c>
      <c r="C401" t="s">
        <v>180</v>
      </c>
      <c r="D401" t="s">
        <v>1138</v>
      </c>
      <c r="E401" t="s">
        <v>216</v>
      </c>
      <c r="F401" t="s">
        <v>154</v>
      </c>
      <c r="G401">
        <v>11100</v>
      </c>
      <c r="H401">
        <v>11101</v>
      </c>
      <c r="I401" t="s">
        <v>1139</v>
      </c>
      <c r="J401">
        <v>10700</v>
      </c>
      <c r="K401">
        <v>10701</v>
      </c>
      <c r="L401" t="s">
        <v>795</v>
      </c>
      <c r="M401">
        <v>4</v>
      </c>
      <c r="N401" t="s">
        <v>7</v>
      </c>
      <c r="O401" t="s">
        <v>7</v>
      </c>
      <c r="P401" t="s">
        <v>157</v>
      </c>
      <c r="Q401" t="s">
        <v>162</v>
      </c>
      <c r="R401" t="s">
        <v>544</v>
      </c>
      <c r="S401">
        <v>2021</v>
      </c>
      <c r="T401">
        <v>8</v>
      </c>
      <c r="U401" t="s">
        <v>162</v>
      </c>
      <c r="V401" t="s">
        <v>162</v>
      </c>
      <c r="W401">
        <v>0</v>
      </c>
      <c r="X401">
        <v>0</v>
      </c>
      <c r="Y401" t="s">
        <v>162</v>
      </c>
      <c r="Z401">
        <v>2021</v>
      </c>
      <c r="AA401">
        <v>2013</v>
      </c>
      <c r="AB401" s="5">
        <v>0.73967379922599996</v>
      </c>
      <c r="AC401" s="5">
        <v>1.47934759845</v>
      </c>
      <c r="AD401" t="s">
        <v>162</v>
      </c>
      <c r="AE401" t="s">
        <v>163</v>
      </c>
      <c r="AF401" t="s">
        <v>162</v>
      </c>
      <c r="AG401" t="s">
        <v>163</v>
      </c>
      <c r="AH401" t="s">
        <v>162</v>
      </c>
      <c r="AI401" t="s">
        <v>226</v>
      </c>
      <c r="AJ401" t="s">
        <v>163</v>
      </c>
      <c r="AK401" t="s">
        <v>162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 s="60">
        <f t="shared" si="6"/>
        <v>1</v>
      </c>
      <c r="AU401" s="95" t="s">
        <v>474</v>
      </c>
      <c r="AV401" s="94" t="s">
        <v>165</v>
      </c>
      <c r="AW401" t="s">
        <v>166</v>
      </c>
      <c r="AX401">
        <v>2</v>
      </c>
      <c r="AY401" t="s">
        <v>167</v>
      </c>
      <c r="AZ401" t="s">
        <v>162</v>
      </c>
    </row>
    <row r="402" spans="1:52" x14ac:dyDescent="0.25">
      <c r="A402">
        <v>391</v>
      </c>
      <c r="B402" t="s">
        <v>245</v>
      </c>
      <c r="C402" t="s">
        <v>163</v>
      </c>
      <c r="D402" t="s">
        <v>246</v>
      </c>
      <c r="E402" t="s">
        <v>216</v>
      </c>
      <c r="F402" t="s">
        <v>162</v>
      </c>
      <c r="G402">
        <v>1133</v>
      </c>
      <c r="H402">
        <v>1132</v>
      </c>
      <c r="I402" t="s">
        <v>1140</v>
      </c>
      <c r="J402">
        <v>1558</v>
      </c>
      <c r="K402">
        <v>1559</v>
      </c>
      <c r="L402" t="s">
        <v>459</v>
      </c>
      <c r="M402">
        <v>3</v>
      </c>
      <c r="N402" t="s">
        <v>9</v>
      </c>
      <c r="O402" t="s">
        <v>9</v>
      </c>
      <c r="P402" t="s">
        <v>157</v>
      </c>
      <c r="Q402" t="s">
        <v>1114</v>
      </c>
      <c r="R402" t="s">
        <v>320</v>
      </c>
      <c r="S402">
        <v>2015</v>
      </c>
      <c r="T402">
        <v>10</v>
      </c>
      <c r="U402" t="s">
        <v>123</v>
      </c>
      <c r="V402" t="s">
        <v>162</v>
      </c>
      <c r="W402">
        <v>0</v>
      </c>
      <c r="X402">
        <v>0</v>
      </c>
      <c r="Y402" t="s">
        <v>162</v>
      </c>
      <c r="Z402">
        <v>2015</v>
      </c>
      <c r="AA402">
        <v>2015</v>
      </c>
      <c r="AB402" s="5">
        <v>6.43253575661E-2</v>
      </c>
      <c r="AC402" s="5">
        <v>0.12865071513199999</v>
      </c>
      <c r="AD402" t="s">
        <v>162</v>
      </c>
      <c r="AE402" t="s">
        <v>163</v>
      </c>
      <c r="AF402" t="s">
        <v>162</v>
      </c>
      <c r="AG402" t="s">
        <v>162</v>
      </c>
      <c r="AH402" t="s">
        <v>162</v>
      </c>
      <c r="AI402" t="s">
        <v>162</v>
      </c>
      <c r="AJ402" t="s">
        <v>162</v>
      </c>
      <c r="AK402" t="s">
        <v>162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 s="60">
        <f t="shared" si="6"/>
        <v>1</v>
      </c>
      <c r="AU402" s="95">
        <v>43335</v>
      </c>
      <c r="AV402" s="94" t="s">
        <v>165</v>
      </c>
      <c r="AW402" t="s">
        <v>163</v>
      </c>
      <c r="AX402">
        <v>2</v>
      </c>
      <c r="AY402" t="s">
        <v>167</v>
      </c>
      <c r="AZ402" t="s">
        <v>162</v>
      </c>
    </row>
    <row r="403" spans="1:52" x14ac:dyDescent="0.25">
      <c r="A403">
        <v>392</v>
      </c>
      <c r="B403" t="s">
        <v>400</v>
      </c>
      <c r="C403" t="s">
        <v>163</v>
      </c>
      <c r="D403" t="s">
        <v>401</v>
      </c>
      <c r="E403" t="s">
        <v>216</v>
      </c>
      <c r="F403" t="s">
        <v>162</v>
      </c>
      <c r="G403">
        <v>1200</v>
      </c>
      <c r="H403">
        <v>1201</v>
      </c>
      <c r="I403" t="s">
        <v>258</v>
      </c>
      <c r="J403">
        <v>1598</v>
      </c>
      <c r="K403">
        <v>1599</v>
      </c>
      <c r="L403" t="s">
        <v>298</v>
      </c>
      <c r="M403">
        <v>3</v>
      </c>
      <c r="N403" t="s">
        <v>15</v>
      </c>
      <c r="O403" t="s">
        <v>15</v>
      </c>
      <c r="P403" t="s">
        <v>175</v>
      </c>
      <c r="Q403" t="s">
        <v>988</v>
      </c>
      <c r="R403" t="s">
        <v>908</v>
      </c>
      <c r="S403">
        <v>2015</v>
      </c>
      <c r="T403">
        <v>8</v>
      </c>
      <c r="U403" t="s">
        <v>162</v>
      </c>
      <c r="V403" t="s">
        <v>162</v>
      </c>
      <c r="W403">
        <v>0</v>
      </c>
      <c r="X403">
        <v>0</v>
      </c>
      <c r="Y403" t="s">
        <v>162</v>
      </c>
      <c r="Z403">
        <v>2015</v>
      </c>
      <c r="AA403">
        <v>0</v>
      </c>
      <c r="AB403" s="5">
        <v>8.9391651858999999E-2</v>
      </c>
      <c r="AC403" s="5">
        <v>0.178783303718</v>
      </c>
      <c r="AD403" t="s">
        <v>162</v>
      </c>
      <c r="AE403" t="s">
        <v>163</v>
      </c>
      <c r="AF403" t="s">
        <v>162</v>
      </c>
      <c r="AG403" t="s">
        <v>162</v>
      </c>
      <c r="AH403" t="s">
        <v>162</v>
      </c>
      <c r="AI403" t="s">
        <v>162</v>
      </c>
      <c r="AJ403" t="s">
        <v>162</v>
      </c>
      <c r="AK403" t="s">
        <v>162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 s="60">
        <f t="shared" si="6"/>
        <v>1</v>
      </c>
      <c r="AU403" s="95">
        <v>43339</v>
      </c>
      <c r="AV403" t="s">
        <v>165</v>
      </c>
      <c r="AW403" t="s">
        <v>162</v>
      </c>
      <c r="AX403">
        <v>2</v>
      </c>
      <c r="AY403" t="s">
        <v>167</v>
      </c>
      <c r="AZ403" t="s">
        <v>162</v>
      </c>
    </row>
    <row r="404" spans="1:52" x14ac:dyDescent="0.25">
      <c r="A404">
        <v>393</v>
      </c>
      <c r="B404" t="s">
        <v>698</v>
      </c>
      <c r="C404" t="s">
        <v>163</v>
      </c>
      <c r="D404" t="s">
        <v>699</v>
      </c>
      <c r="E404" t="s">
        <v>216</v>
      </c>
      <c r="F404" t="s">
        <v>163</v>
      </c>
      <c r="G404">
        <v>3900</v>
      </c>
      <c r="H404">
        <v>3901</v>
      </c>
      <c r="I404" t="s">
        <v>683</v>
      </c>
      <c r="J404">
        <v>4000</v>
      </c>
      <c r="K404">
        <v>4001</v>
      </c>
      <c r="L404" t="s">
        <v>477</v>
      </c>
      <c r="M404">
        <v>2</v>
      </c>
      <c r="N404" t="s">
        <v>7</v>
      </c>
      <c r="O404" t="s">
        <v>7</v>
      </c>
      <c r="P404" t="s">
        <v>157</v>
      </c>
      <c r="Q404" t="s">
        <v>1141</v>
      </c>
      <c r="R404" t="s">
        <v>249</v>
      </c>
      <c r="S404">
        <v>2015</v>
      </c>
      <c r="T404">
        <v>12</v>
      </c>
      <c r="U404" t="s">
        <v>1009</v>
      </c>
      <c r="V404" t="s">
        <v>162</v>
      </c>
      <c r="W404">
        <v>0</v>
      </c>
      <c r="X404">
        <v>0</v>
      </c>
      <c r="Y404" t="s">
        <v>162</v>
      </c>
      <c r="Z404">
        <v>2015</v>
      </c>
      <c r="AA404">
        <v>2015</v>
      </c>
      <c r="AB404" s="5">
        <v>9.4427889308699997E-2</v>
      </c>
      <c r="AC404" s="5">
        <v>0.18885577861700001</v>
      </c>
      <c r="AD404" t="s">
        <v>162</v>
      </c>
      <c r="AE404" t="s">
        <v>163</v>
      </c>
      <c r="AF404" t="s">
        <v>162</v>
      </c>
      <c r="AG404" t="s">
        <v>166</v>
      </c>
      <c r="AH404" t="s">
        <v>163</v>
      </c>
      <c r="AI404" t="s">
        <v>194</v>
      </c>
      <c r="AJ404" t="s">
        <v>154</v>
      </c>
      <c r="AK404" t="s">
        <v>162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 s="60">
        <f t="shared" si="6"/>
        <v>1</v>
      </c>
      <c r="AU404" s="95" t="s">
        <v>213</v>
      </c>
      <c r="AV404" t="s">
        <v>165</v>
      </c>
      <c r="AW404" t="s">
        <v>166</v>
      </c>
      <c r="AX404">
        <v>1</v>
      </c>
      <c r="AY404" t="s">
        <v>167</v>
      </c>
      <c r="AZ404" t="s">
        <v>162</v>
      </c>
    </row>
    <row r="405" spans="1:52" x14ac:dyDescent="0.25">
      <c r="A405">
        <v>394</v>
      </c>
      <c r="B405" t="s">
        <v>245</v>
      </c>
      <c r="C405" t="s">
        <v>163</v>
      </c>
      <c r="D405" t="s">
        <v>246</v>
      </c>
      <c r="E405" t="s">
        <v>216</v>
      </c>
      <c r="F405" t="s">
        <v>162</v>
      </c>
      <c r="G405">
        <v>1000</v>
      </c>
      <c r="H405">
        <v>1001</v>
      </c>
      <c r="I405" t="s">
        <v>890</v>
      </c>
      <c r="J405">
        <v>1133</v>
      </c>
      <c r="K405">
        <v>1132</v>
      </c>
      <c r="L405" t="s">
        <v>1140</v>
      </c>
      <c r="M405">
        <v>3</v>
      </c>
      <c r="N405" t="s">
        <v>9</v>
      </c>
      <c r="O405" t="s">
        <v>9</v>
      </c>
      <c r="P405" t="s">
        <v>157</v>
      </c>
      <c r="Q405" t="s">
        <v>1114</v>
      </c>
      <c r="R405" t="s">
        <v>320</v>
      </c>
      <c r="S405">
        <v>2015</v>
      </c>
      <c r="T405">
        <v>10</v>
      </c>
      <c r="U405" t="s">
        <v>123</v>
      </c>
      <c r="V405" t="s">
        <v>162</v>
      </c>
      <c r="W405">
        <v>0</v>
      </c>
      <c r="X405">
        <v>0</v>
      </c>
      <c r="Y405" t="s">
        <v>162</v>
      </c>
      <c r="Z405">
        <v>2015</v>
      </c>
      <c r="AA405">
        <v>2015</v>
      </c>
      <c r="AB405" s="5">
        <v>0.18709770118800001</v>
      </c>
      <c r="AC405" s="5">
        <v>0.37419540237600002</v>
      </c>
      <c r="AD405" t="s">
        <v>162</v>
      </c>
      <c r="AE405" t="s">
        <v>163</v>
      </c>
      <c r="AF405" t="s">
        <v>162</v>
      </c>
      <c r="AG405" t="s">
        <v>162</v>
      </c>
      <c r="AH405" t="s">
        <v>162</v>
      </c>
      <c r="AI405" t="s">
        <v>162</v>
      </c>
      <c r="AJ405" t="s">
        <v>162</v>
      </c>
      <c r="AK405" t="s">
        <v>162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 s="60">
        <f t="shared" si="6"/>
        <v>1</v>
      </c>
      <c r="AU405" s="95">
        <v>43335</v>
      </c>
      <c r="AV405" t="s">
        <v>165</v>
      </c>
      <c r="AW405" t="s">
        <v>163</v>
      </c>
      <c r="AX405">
        <v>2</v>
      </c>
      <c r="AY405" t="s">
        <v>167</v>
      </c>
      <c r="AZ405" t="s">
        <v>162</v>
      </c>
    </row>
    <row r="406" spans="1:52" x14ac:dyDescent="0.25">
      <c r="A406">
        <v>395</v>
      </c>
      <c r="B406" t="s">
        <v>719</v>
      </c>
      <c r="C406" t="s">
        <v>163</v>
      </c>
      <c r="D406" t="s">
        <v>720</v>
      </c>
      <c r="E406" t="s">
        <v>172</v>
      </c>
      <c r="F406" t="s">
        <v>180</v>
      </c>
      <c r="G406">
        <v>146</v>
      </c>
      <c r="H406">
        <v>147</v>
      </c>
      <c r="I406" t="s">
        <v>726</v>
      </c>
      <c r="J406">
        <v>230</v>
      </c>
      <c r="K406">
        <v>233</v>
      </c>
      <c r="L406" t="s">
        <v>735</v>
      </c>
      <c r="M406">
        <v>4</v>
      </c>
      <c r="N406" t="s">
        <v>7</v>
      </c>
      <c r="O406" t="s">
        <v>7</v>
      </c>
      <c r="P406" t="s">
        <v>157</v>
      </c>
      <c r="Q406" t="s">
        <v>1142</v>
      </c>
      <c r="R406" t="s">
        <v>993</v>
      </c>
      <c r="S406">
        <v>2015</v>
      </c>
      <c r="T406">
        <v>12</v>
      </c>
      <c r="U406" t="s">
        <v>162</v>
      </c>
      <c r="V406" t="s">
        <v>289</v>
      </c>
      <c r="W406">
        <v>2016</v>
      </c>
      <c r="X406">
        <v>10</v>
      </c>
      <c r="Y406" t="s">
        <v>123</v>
      </c>
      <c r="Z406">
        <v>2016</v>
      </c>
      <c r="AA406">
        <v>2016</v>
      </c>
      <c r="AB406" s="5">
        <v>0.16417720555500001</v>
      </c>
      <c r="AC406" s="5">
        <v>0.32835441111000002</v>
      </c>
      <c r="AD406" t="s">
        <v>261</v>
      </c>
      <c r="AE406" t="s">
        <v>163</v>
      </c>
      <c r="AF406" t="s">
        <v>154</v>
      </c>
      <c r="AG406" t="s">
        <v>154</v>
      </c>
      <c r="AH406" t="s">
        <v>166</v>
      </c>
      <c r="AI406" t="s">
        <v>226</v>
      </c>
      <c r="AJ406" t="s">
        <v>154</v>
      </c>
      <c r="AK406" t="s">
        <v>162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 s="60">
        <f t="shared" si="6"/>
        <v>1</v>
      </c>
      <c r="AU406" s="95" t="s">
        <v>213</v>
      </c>
      <c r="AV406" s="94" t="s">
        <v>165</v>
      </c>
      <c r="AW406" t="s">
        <v>166</v>
      </c>
      <c r="AX406">
        <v>1</v>
      </c>
      <c r="AY406" t="s">
        <v>167</v>
      </c>
      <c r="AZ406" t="s">
        <v>162</v>
      </c>
    </row>
    <row r="407" spans="1:52" x14ac:dyDescent="0.25">
      <c r="A407">
        <v>396</v>
      </c>
      <c r="B407" t="s">
        <v>408</v>
      </c>
      <c r="C407" t="s">
        <v>180</v>
      </c>
      <c r="D407" t="s">
        <v>409</v>
      </c>
      <c r="E407" t="s">
        <v>182</v>
      </c>
      <c r="F407" t="s">
        <v>162</v>
      </c>
      <c r="G407">
        <v>1605</v>
      </c>
      <c r="H407">
        <v>1604</v>
      </c>
      <c r="I407" t="s">
        <v>341</v>
      </c>
      <c r="J407">
        <v>1401</v>
      </c>
      <c r="K407">
        <v>1400</v>
      </c>
      <c r="L407" t="s">
        <v>415</v>
      </c>
      <c r="M407">
        <v>4</v>
      </c>
      <c r="N407" t="s">
        <v>7</v>
      </c>
      <c r="O407" t="s">
        <v>7</v>
      </c>
      <c r="P407" t="s">
        <v>175</v>
      </c>
      <c r="Q407" t="s">
        <v>162</v>
      </c>
      <c r="R407" t="s">
        <v>412</v>
      </c>
      <c r="S407">
        <v>2012</v>
      </c>
      <c r="T407">
        <v>12</v>
      </c>
      <c r="U407" t="s">
        <v>1143</v>
      </c>
      <c r="V407" t="s">
        <v>1119</v>
      </c>
      <c r="W407">
        <v>2018</v>
      </c>
      <c r="X407">
        <v>11</v>
      </c>
      <c r="Y407" t="s">
        <v>162</v>
      </c>
      <c r="Z407">
        <v>2014</v>
      </c>
      <c r="AA407">
        <v>2014</v>
      </c>
      <c r="AB407" s="5">
        <v>0.27129778025000001</v>
      </c>
      <c r="AC407" s="5">
        <v>0.54259556050000002</v>
      </c>
      <c r="AD407" t="s">
        <v>162</v>
      </c>
      <c r="AE407" t="s">
        <v>163</v>
      </c>
      <c r="AF407" t="s">
        <v>162</v>
      </c>
      <c r="AG407" t="s">
        <v>162</v>
      </c>
      <c r="AH407" t="s">
        <v>163</v>
      </c>
      <c r="AI407" t="s">
        <v>194</v>
      </c>
      <c r="AJ407" t="s">
        <v>154</v>
      </c>
      <c r="AK407" t="s">
        <v>162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0</v>
      </c>
      <c r="AT407" s="60">
        <f t="shared" si="6"/>
        <v>1</v>
      </c>
      <c r="AU407" s="95" t="s">
        <v>360</v>
      </c>
      <c r="AV407" s="94" t="s">
        <v>165</v>
      </c>
      <c r="AW407" t="s">
        <v>166</v>
      </c>
      <c r="AX407">
        <v>1</v>
      </c>
      <c r="AY407" t="s">
        <v>167</v>
      </c>
      <c r="AZ407" t="s">
        <v>162</v>
      </c>
    </row>
    <row r="408" spans="1:52" x14ac:dyDescent="0.25">
      <c r="A408">
        <v>397</v>
      </c>
      <c r="B408" t="s">
        <v>196</v>
      </c>
      <c r="C408" t="s">
        <v>163</v>
      </c>
      <c r="D408" t="s">
        <v>197</v>
      </c>
      <c r="E408" t="s">
        <v>172</v>
      </c>
      <c r="F408" t="s">
        <v>180</v>
      </c>
      <c r="G408">
        <v>326</v>
      </c>
      <c r="H408">
        <v>325</v>
      </c>
      <c r="I408" t="s">
        <v>1144</v>
      </c>
      <c r="J408">
        <v>526</v>
      </c>
      <c r="K408">
        <v>525</v>
      </c>
      <c r="L408" t="s">
        <v>632</v>
      </c>
      <c r="M408">
        <v>4</v>
      </c>
      <c r="N408" t="s">
        <v>9</v>
      </c>
      <c r="O408" t="s">
        <v>9</v>
      </c>
      <c r="P408" t="s">
        <v>157</v>
      </c>
      <c r="Q408" t="s">
        <v>162</v>
      </c>
      <c r="R408" t="s">
        <v>201</v>
      </c>
      <c r="S408">
        <v>2012</v>
      </c>
      <c r="T408">
        <v>6</v>
      </c>
      <c r="U408" t="s">
        <v>1145</v>
      </c>
      <c r="V408" t="s">
        <v>320</v>
      </c>
      <c r="W408">
        <v>2015</v>
      </c>
      <c r="X408">
        <v>5</v>
      </c>
      <c r="Y408" t="s">
        <v>123</v>
      </c>
      <c r="Z408">
        <v>2015</v>
      </c>
      <c r="AA408">
        <v>2015</v>
      </c>
      <c r="AB408" s="5">
        <v>0.24099933162000001</v>
      </c>
      <c r="AC408" s="5">
        <v>0.24099933162000001</v>
      </c>
      <c r="AD408" t="s">
        <v>868</v>
      </c>
      <c r="AE408" t="s">
        <v>166</v>
      </c>
      <c r="AF408" t="s">
        <v>180</v>
      </c>
      <c r="AG408" t="s">
        <v>163</v>
      </c>
      <c r="AH408" t="s">
        <v>162</v>
      </c>
      <c r="AI408" t="s">
        <v>162</v>
      </c>
      <c r="AJ408" t="s">
        <v>162</v>
      </c>
      <c r="AK408" t="s">
        <v>166</v>
      </c>
      <c r="AL408">
        <v>2013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 s="60">
        <f t="shared" si="6"/>
        <v>1</v>
      </c>
      <c r="AU408" s="95" t="s">
        <v>244</v>
      </c>
      <c r="AV408" s="94" t="s">
        <v>165</v>
      </c>
      <c r="AW408" t="s">
        <v>163</v>
      </c>
      <c r="AX408">
        <v>2</v>
      </c>
      <c r="AY408" t="s">
        <v>167</v>
      </c>
      <c r="AZ408" t="s">
        <v>162</v>
      </c>
    </row>
    <row r="409" spans="1:52" x14ac:dyDescent="0.25">
      <c r="A409">
        <v>398</v>
      </c>
      <c r="B409" t="s">
        <v>170</v>
      </c>
      <c r="C409" t="s">
        <v>151</v>
      </c>
      <c r="D409" t="s">
        <v>171</v>
      </c>
      <c r="E409" t="s">
        <v>172</v>
      </c>
      <c r="F409" t="s">
        <v>162</v>
      </c>
      <c r="G409">
        <v>2401</v>
      </c>
      <c r="H409">
        <v>2400</v>
      </c>
      <c r="I409" t="s">
        <v>334</v>
      </c>
      <c r="J409">
        <v>2259</v>
      </c>
      <c r="K409">
        <v>2258</v>
      </c>
      <c r="L409" t="s">
        <v>1146</v>
      </c>
      <c r="M409">
        <v>3</v>
      </c>
      <c r="N409" t="s">
        <v>11</v>
      </c>
      <c r="O409" t="s">
        <v>11</v>
      </c>
      <c r="P409" t="s">
        <v>175</v>
      </c>
      <c r="Q409" t="s">
        <v>176</v>
      </c>
      <c r="R409" t="s">
        <v>177</v>
      </c>
      <c r="S409">
        <v>2011</v>
      </c>
      <c r="T409">
        <v>6</v>
      </c>
      <c r="U409" t="s">
        <v>162</v>
      </c>
      <c r="V409" t="s">
        <v>267</v>
      </c>
      <c r="W409">
        <v>2018</v>
      </c>
      <c r="X409">
        <v>7</v>
      </c>
      <c r="Y409" t="s">
        <v>162</v>
      </c>
      <c r="Z409">
        <v>2018</v>
      </c>
      <c r="AA409">
        <v>0</v>
      </c>
      <c r="AB409" s="5">
        <v>0.25525719259000001</v>
      </c>
      <c r="AC409" s="5">
        <v>0.51051438518000003</v>
      </c>
      <c r="AD409" t="s">
        <v>162</v>
      </c>
      <c r="AE409" t="s">
        <v>163</v>
      </c>
      <c r="AF409" t="s">
        <v>162</v>
      </c>
      <c r="AG409" t="s">
        <v>162</v>
      </c>
      <c r="AH409" t="s">
        <v>162</v>
      </c>
      <c r="AI409" t="s">
        <v>162</v>
      </c>
      <c r="AJ409" t="s">
        <v>162</v>
      </c>
      <c r="AK409" t="s">
        <v>162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 s="60">
        <f t="shared" si="6"/>
        <v>1</v>
      </c>
      <c r="AU409" s="95">
        <v>43328</v>
      </c>
      <c r="AV409" s="94" t="s">
        <v>165</v>
      </c>
      <c r="AW409" t="s">
        <v>162</v>
      </c>
      <c r="AX409">
        <v>2</v>
      </c>
      <c r="AY409" t="s">
        <v>167</v>
      </c>
      <c r="AZ409" t="s">
        <v>162</v>
      </c>
    </row>
    <row r="410" spans="1:52" x14ac:dyDescent="0.25">
      <c r="A410">
        <v>399</v>
      </c>
      <c r="B410" t="s">
        <v>170</v>
      </c>
      <c r="C410" t="s">
        <v>151</v>
      </c>
      <c r="D410" t="s">
        <v>171</v>
      </c>
      <c r="E410" t="s">
        <v>172</v>
      </c>
      <c r="F410" t="s">
        <v>162</v>
      </c>
      <c r="G410">
        <v>2131</v>
      </c>
      <c r="H410">
        <v>2132</v>
      </c>
      <c r="I410" t="s">
        <v>1146</v>
      </c>
      <c r="J410">
        <v>2059</v>
      </c>
      <c r="K410">
        <v>2058</v>
      </c>
      <c r="L410" t="s">
        <v>173</v>
      </c>
      <c r="M410">
        <v>3</v>
      </c>
      <c r="N410" t="s">
        <v>11</v>
      </c>
      <c r="O410" t="s">
        <v>11</v>
      </c>
      <c r="P410" t="s">
        <v>175</v>
      </c>
      <c r="Q410" t="s">
        <v>162</v>
      </c>
      <c r="R410" t="s">
        <v>177</v>
      </c>
      <c r="S410">
        <v>2011</v>
      </c>
      <c r="T410">
        <v>6</v>
      </c>
      <c r="U410" t="s">
        <v>162</v>
      </c>
      <c r="V410" t="s">
        <v>267</v>
      </c>
      <c r="W410">
        <v>2018</v>
      </c>
      <c r="X410">
        <v>7</v>
      </c>
      <c r="Y410" t="s">
        <v>123</v>
      </c>
      <c r="Z410">
        <v>2018</v>
      </c>
      <c r="AA410">
        <v>2015</v>
      </c>
      <c r="AB410" s="5">
        <v>0.25320075217799998</v>
      </c>
      <c r="AC410" s="5">
        <v>0.50640150435599995</v>
      </c>
      <c r="AD410" t="s">
        <v>162</v>
      </c>
      <c r="AE410" t="s">
        <v>163</v>
      </c>
      <c r="AF410" t="s">
        <v>162</v>
      </c>
      <c r="AG410" t="s">
        <v>162</v>
      </c>
      <c r="AH410" t="s">
        <v>162</v>
      </c>
      <c r="AI410" t="s">
        <v>162</v>
      </c>
      <c r="AJ410" t="s">
        <v>162</v>
      </c>
      <c r="AK410" t="s">
        <v>162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 s="60">
        <f t="shared" si="6"/>
        <v>1</v>
      </c>
      <c r="AU410" s="95">
        <v>43328</v>
      </c>
      <c r="AV410" s="94" t="s">
        <v>165</v>
      </c>
      <c r="AW410" t="s">
        <v>162</v>
      </c>
      <c r="AX410">
        <v>2</v>
      </c>
      <c r="AY410" t="s">
        <v>167</v>
      </c>
      <c r="AZ410" t="s">
        <v>162</v>
      </c>
    </row>
    <row r="411" spans="1:52" x14ac:dyDescent="0.25">
      <c r="A411">
        <v>400</v>
      </c>
      <c r="B411" t="s">
        <v>948</v>
      </c>
      <c r="C411" t="s">
        <v>151</v>
      </c>
      <c r="D411" t="s">
        <v>949</v>
      </c>
      <c r="E411" t="s">
        <v>172</v>
      </c>
      <c r="F411" t="s">
        <v>162</v>
      </c>
      <c r="G411">
        <v>169</v>
      </c>
      <c r="H411">
        <v>168</v>
      </c>
      <c r="I411" t="s">
        <v>1029</v>
      </c>
      <c r="J411">
        <v>2</v>
      </c>
      <c r="K411">
        <v>1</v>
      </c>
      <c r="L411" t="s">
        <v>639</v>
      </c>
      <c r="M411">
        <v>3</v>
      </c>
      <c r="N411" t="s">
        <v>7</v>
      </c>
      <c r="O411" t="s">
        <v>7</v>
      </c>
      <c r="P411" t="s">
        <v>157</v>
      </c>
      <c r="Q411" t="s">
        <v>162</v>
      </c>
      <c r="R411" t="s">
        <v>407</v>
      </c>
      <c r="S411">
        <v>2019</v>
      </c>
      <c r="T411">
        <v>7</v>
      </c>
      <c r="U411" t="s">
        <v>928</v>
      </c>
      <c r="V411" t="s">
        <v>320</v>
      </c>
      <c r="W411">
        <v>2015</v>
      </c>
      <c r="X411">
        <v>10</v>
      </c>
      <c r="Y411" t="s">
        <v>123</v>
      </c>
      <c r="Z411">
        <v>2019</v>
      </c>
      <c r="AA411">
        <v>2019</v>
      </c>
      <c r="AB411" s="5">
        <v>0.28090743606399998</v>
      </c>
      <c r="AC411" s="5">
        <v>0.56181487212799996</v>
      </c>
      <c r="AD411" t="s">
        <v>162</v>
      </c>
      <c r="AE411" t="s">
        <v>163</v>
      </c>
      <c r="AF411" t="s">
        <v>162</v>
      </c>
      <c r="AG411" t="s">
        <v>162</v>
      </c>
      <c r="AH411" t="s">
        <v>162</v>
      </c>
      <c r="AI411" t="s">
        <v>194</v>
      </c>
      <c r="AJ411" t="s">
        <v>154</v>
      </c>
      <c r="AK411" t="s">
        <v>162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 s="60">
        <f t="shared" si="6"/>
        <v>1</v>
      </c>
      <c r="AU411" s="95" t="s">
        <v>227</v>
      </c>
      <c r="AV411" t="s">
        <v>165</v>
      </c>
      <c r="AW411" t="s">
        <v>166</v>
      </c>
      <c r="AX411">
        <v>1</v>
      </c>
      <c r="AY411" t="s">
        <v>167</v>
      </c>
      <c r="AZ411" t="s">
        <v>162</v>
      </c>
    </row>
    <row r="412" spans="1:52" x14ac:dyDescent="0.25">
      <c r="A412">
        <v>401</v>
      </c>
      <c r="B412" t="s">
        <v>300</v>
      </c>
      <c r="C412" t="s">
        <v>151</v>
      </c>
      <c r="D412" t="s">
        <v>301</v>
      </c>
      <c r="E412" t="s">
        <v>216</v>
      </c>
      <c r="F412" t="s">
        <v>151</v>
      </c>
      <c r="G412">
        <v>2001</v>
      </c>
      <c r="H412">
        <v>2000</v>
      </c>
      <c r="I412" t="s">
        <v>482</v>
      </c>
      <c r="J412">
        <v>2057</v>
      </c>
      <c r="K412">
        <v>2060</v>
      </c>
      <c r="L412" t="s">
        <v>191</v>
      </c>
      <c r="M412">
        <v>4</v>
      </c>
      <c r="N412" t="s">
        <v>13</v>
      </c>
      <c r="O412" t="s">
        <v>15</v>
      </c>
      <c r="P412" t="s">
        <v>175</v>
      </c>
      <c r="Q412" t="s">
        <v>162</v>
      </c>
      <c r="R412" t="s">
        <v>304</v>
      </c>
      <c r="S412">
        <v>2013</v>
      </c>
      <c r="T412">
        <v>10</v>
      </c>
      <c r="U412" t="s">
        <v>1147</v>
      </c>
      <c r="V412" t="s">
        <v>540</v>
      </c>
      <c r="W412">
        <v>2015</v>
      </c>
      <c r="X412">
        <v>6</v>
      </c>
      <c r="Y412" t="s">
        <v>123</v>
      </c>
      <c r="Z412">
        <v>2015</v>
      </c>
      <c r="AA412">
        <v>2015</v>
      </c>
      <c r="AB412" s="5">
        <v>0.12496357493599999</v>
      </c>
      <c r="AC412" s="5">
        <v>0.24992714987199999</v>
      </c>
      <c r="AD412" t="s">
        <v>305</v>
      </c>
      <c r="AE412" t="s">
        <v>163</v>
      </c>
      <c r="AF412" t="s">
        <v>162</v>
      </c>
      <c r="AG412" t="s">
        <v>166</v>
      </c>
      <c r="AH412" t="s">
        <v>162</v>
      </c>
      <c r="AI412" t="s">
        <v>162</v>
      </c>
      <c r="AJ412" t="s">
        <v>162</v>
      </c>
      <c r="AK412" t="s">
        <v>162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 s="60">
        <f t="shared" si="6"/>
        <v>1</v>
      </c>
      <c r="AU412" s="95">
        <v>43336</v>
      </c>
      <c r="AV412" s="94" t="s">
        <v>165</v>
      </c>
      <c r="AW412" t="s">
        <v>162</v>
      </c>
      <c r="AX412">
        <v>3</v>
      </c>
      <c r="AY412" t="s">
        <v>275</v>
      </c>
      <c r="AZ412" t="s">
        <v>162</v>
      </c>
    </row>
    <row r="413" spans="1:52" x14ac:dyDescent="0.25">
      <c r="A413">
        <v>402</v>
      </c>
      <c r="B413" t="s">
        <v>385</v>
      </c>
      <c r="C413" t="s">
        <v>180</v>
      </c>
      <c r="D413" t="s">
        <v>386</v>
      </c>
      <c r="E413" t="s">
        <v>172</v>
      </c>
      <c r="F413" t="s">
        <v>163</v>
      </c>
      <c r="G413">
        <v>19</v>
      </c>
      <c r="H413">
        <v>20</v>
      </c>
      <c r="I413" t="s">
        <v>393</v>
      </c>
      <c r="J413">
        <v>17</v>
      </c>
      <c r="K413">
        <v>18</v>
      </c>
      <c r="L413" t="s">
        <v>293</v>
      </c>
      <c r="M413">
        <v>4</v>
      </c>
      <c r="N413" t="s">
        <v>9</v>
      </c>
      <c r="O413" t="s">
        <v>9</v>
      </c>
      <c r="P413" t="s">
        <v>175</v>
      </c>
      <c r="Q413" t="s">
        <v>162</v>
      </c>
      <c r="R413" t="s">
        <v>388</v>
      </c>
      <c r="S413">
        <v>2012</v>
      </c>
      <c r="T413">
        <v>12</v>
      </c>
      <c r="U413" t="s">
        <v>162</v>
      </c>
      <c r="V413" t="s">
        <v>269</v>
      </c>
      <c r="W413">
        <v>2015</v>
      </c>
      <c r="X413">
        <v>8</v>
      </c>
      <c r="Y413" t="s">
        <v>123</v>
      </c>
      <c r="Z413">
        <v>2015</v>
      </c>
      <c r="AA413">
        <v>2015</v>
      </c>
      <c r="AB413" s="5">
        <v>8.9254993255100001E-2</v>
      </c>
      <c r="AC413" s="5">
        <v>8.9254993255100001E-2</v>
      </c>
      <c r="AD413" t="s">
        <v>162</v>
      </c>
      <c r="AE413" t="s">
        <v>166</v>
      </c>
      <c r="AF413" t="s">
        <v>163</v>
      </c>
      <c r="AG413" t="s">
        <v>163</v>
      </c>
      <c r="AH413" t="s">
        <v>162</v>
      </c>
      <c r="AI413" t="s">
        <v>162</v>
      </c>
      <c r="AJ413" t="s">
        <v>162</v>
      </c>
      <c r="AK413" t="s">
        <v>162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 s="60">
        <f t="shared" si="6"/>
        <v>1</v>
      </c>
      <c r="AU413" s="95">
        <v>43339</v>
      </c>
      <c r="AV413" t="s">
        <v>165</v>
      </c>
      <c r="AW413" t="s">
        <v>163</v>
      </c>
      <c r="AX413">
        <v>2</v>
      </c>
      <c r="AY413" t="s">
        <v>167</v>
      </c>
      <c r="AZ413" t="s">
        <v>162</v>
      </c>
    </row>
    <row r="414" spans="1:52" x14ac:dyDescent="0.25">
      <c r="A414">
        <v>403</v>
      </c>
      <c r="B414" t="s">
        <v>385</v>
      </c>
      <c r="C414" t="s">
        <v>163</v>
      </c>
      <c r="D414" t="s">
        <v>386</v>
      </c>
      <c r="E414" t="s">
        <v>172</v>
      </c>
      <c r="F414" t="s">
        <v>163</v>
      </c>
      <c r="G414">
        <v>200</v>
      </c>
      <c r="H414">
        <v>201</v>
      </c>
      <c r="I414" t="s">
        <v>387</v>
      </c>
      <c r="J414">
        <v>244</v>
      </c>
      <c r="K414">
        <v>245</v>
      </c>
      <c r="L414" t="s">
        <v>1148</v>
      </c>
      <c r="M414">
        <v>4</v>
      </c>
      <c r="N414" t="s">
        <v>9</v>
      </c>
      <c r="O414" t="s">
        <v>9</v>
      </c>
      <c r="P414" t="s">
        <v>175</v>
      </c>
      <c r="Q414" t="s">
        <v>162</v>
      </c>
      <c r="R414" t="s">
        <v>388</v>
      </c>
      <c r="S414">
        <v>2012</v>
      </c>
      <c r="T414">
        <v>12</v>
      </c>
      <c r="U414" t="s">
        <v>162</v>
      </c>
      <c r="V414" t="s">
        <v>404</v>
      </c>
      <c r="W414">
        <v>2017</v>
      </c>
      <c r="X414">
        <v>8</v>
      </c>
      <c r="Y414" t="s">
        <v>162</v>
      </c>
      <c r="Z414">
        <v>2017</v>
      </c>
      <c r="AA414">
        <v>2015</v>
      </c>
      <c r="AB414" s="5">
        <v>7.7375769861999996E-2</v>
      </c>
      <c r="AC414" s="5">
        <v>7.7375769861999996E-2</v>
      </c>
      <c r="AD414" t="s">
        <v>162</v>
      </c>
      <c r="AE414" t="s">
        <v>166</v>
      </c>
      <c r="AF414" t="s">
        <v>163</v>
      </c>
      <c r="AG414" t="s">
        <v>163</v>
      </c>
      <c r="AH414" t="s">
        <v>162</v>
      </c>
      <c r="AI414" t="s">
        <v>162</v>
      </c>
      <c r="AJ414" t="s">
        <v>162</v>
      </c>
      <c r="AK414" t="s">
        <v>162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 s="60">
        <f t="shared" si="6"/>
        <v>1</v>
      </c>
      <c r="AU414" s="95">
        <v>43339</v>
      </c>
      <c r="AV414" s="94" t="s">
        <v>165</v>
      </c>
      <c r="AW414" t="s">
        <v>163</v>
      </c>
      <c r="AX414">
        <v>2</v>
      </c>
      <c r="AY414" t="s">
        <v>167</v>
      </c>
      <c r="AZ414" t="s">
        <v>162</v>
      </c>
    </row>
    <row r="415" spans="1:52" x14ac:dyDescent="0.25">
      <c r="A415">
        <v>404</v>
      </c>
      <c r="B415" t="s">
        <v>196</v>
      </c>
      <c r="C415" t="s">
        <v>180</v>
      </c>
      <c r="D415" t="s">
        <v>197</v>
      </c>
      <c r="E415" t="s">
        <v>172</v>
      </c>
      <c r="F415" t="s">
        <v>180</v>
      </c>
      <c r="G415">
        <v>19</v>
      </c>
      <c r="H415">
        <v>20</v>
      </c>
      <c r="I415" t="s">
        <v>199</v>
      </c>
      <c r="J415">
        <v>201</v>
      </c>
      <c r="K415">
        <v>200</v>
      </c>
      <c r="L415" t="s">
        <v>387</v>
      </c>
      <c r="M415">
        <v>4</v>
      </c>
      <c r="N415" t="s">
        <v>15</v>
      </c>
      <c r="O415" t="s">
        <v>15</v>
      </c>
      <c r="P415" t="s">
        <v>175</v>
      </c>
      <c r="Q415" t="s">
        <v>162</v>
      </c>
      <c r="R415" t="s">
        <v>201</v>
      </c>
      <c r="S415">
        <v>2012</v>
      </c>
      <c r="T415">
        <v>6</v>
      </c>
      <c r="U415" t="s">
        <v>1149</v>
      </c>
      <c r="V415" t="s">
        <v>269</v>
      </c>
      <c r="W415">
        <v>2015</v>
      </c>
      <c r="X415">
        <v>8</v>
      </c>
      <c r="Y415" t="s">
        <v>123</v>
      </c>
      <c r="Z415">
        <v>2015</v>
      </c>
      <c r="AA415">
        <v>2015</v>
      </c>
      <c r="AB415" s="5">
        <v>0.30644623346799998</v>
      </c>
      <c r="AC415" s="5">
        <v>0.30644623346799998</v>
      </c>
      <c r="AD415" t="s">
        <v>162</v>
      </c>
      <c r="AE415" t="s">
        <v>166</v>
      </c>
      <c r="AF415" t="s">
        <v>180</v>
      </c>
      <c r="AG415" t="s">
        <v>163</v>
      </c>
      <c r="AH415" t="s">
        <v>162</v>
      </c>
      <c r="AI415" t="s">
        <v>162</v>
      </c>
      <c r="AJ415" t="s">
        <v>162</v>
      </c>
      <c r="AK415" t="s">
        <v>162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 s="60">
        <f t="shared" si="6"/>
        <v>1</v>
      </c>
      <c r="AU415" s="95">
        <v>43328</v>
      </c>
      <c r="AV415" s="94" t="s">
        <v>165</v>
      </c>
      <c r="AW415" t="s">
        <v>162</v>
      </c>
      <c r="AX415">
        <v>2</v>
      </c>
      <c r="AY415" t="s">
        <v>167</v>
      </c>
      <c r="AZ415" t="s">
        <v>162</v>
      </c>
    </row>
    <row r="416" spans="1:52" x14ac:dyDescent="0.25">
      <c r="A416">
        <v>405</v>
      </c>
      <c r="B416" t="s">
        <v>573</v>
      </c>
      <c r="C416" t="s">
        <v>151</v>
      </c>
      <c r="D416" t="s">
        <v>574</v>
      </c>
      <c r="E416" t="s">
        <v>153</v>
      </c>
      <c r="F416" t="s">
        <v>162</v>
      </c>
      <c r="G416">
        <v>743</v>
      </c>
      <c r="H416">
        <v>742</v>
      </c>
      <c r="I416" t="s">
        <v>576</v>
      </c>
      <c r="J416">
        <v>501</v>
      </c>
      <c r="K416">
        <v>500</v>
      </c>
      <c r="L416" t="s">
        <v>570</v>
      </c>
      <c r="M416">
        <v>2</v>
      </c>
      <c r="N416" t="s">
        <v>11</v>
      </c>
      <c r="O416" t="s">
        <v>11</v>
      </c>
      <c r="P416" t="s">
        <v>169</v>
      </c>
      <c r="Q416" t="s">
        <v>162</v>
      </c>
      <c r="R416" t="s">
        <v>577</v>
      </c>
      <c r="S416">
        <v>2008</v>
      </c>
      <c r="T416">
        <v>8</v>
      </c>
      <c r="U416" t="s">
        <v>1150</v>
      </c>
      <c r="V416" t="s">
        <v>161</v>
      </c>
      <c r="W416">
        <v>2020</v>
      </c>
      <c r="X416">
        <v>0</v>
      </c>
      <c r="Y416" t="s">
        <v>162</v>
      </c>
      <c r="Z416">
        <v>2020</v>
      </c>
      <c r="AA416">
        <v>2015</v>
      </c>
      <c r="AB416" s="5">
        <v>0.39731580829000002</v>
      </c>
      <c r="AC416" s="5">
        <v>0.79463161658000003</v>
      </c>
      <c r="AD416" t="s">
        <v>162</v>
      </c>
      <c r="AE416" t="s">
        <v>163</v>
      </c>
      <c r="AF416" t="s">
        <v>162</v>
      </c>
      <c r="AG416" t="s">
        <v>162</v>
      </c>
      <c r="AH416" t="s">
        <v>162</v>
      </c>
      <c r="AI416" t="s">
        <v>162</v>
      </c>
      <c r="AJ416" t="s">
        <v>162</v>
      </c>
      <c r="AK416" t="s">
        <v>166</v>
      </c>
      <c r="AL416">
        <v>2017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 s="60">
        <f t="shared" si="6"/>
        <v>1</v>
      </c>
      <c r="AU416" s="95" t="s">
        <v>187</v>
      </c>
      <c r="AV416" s="94" t="s">
        <v>165</v>
      </c>
      <c r="AW416" t="s">
        <v>162</v>
      </c>
      <c r="AX416">
        <v>2</v>
      </c>
      <c r="AY416" t="s">
        <v>167</v>
      </c>
      <c r="AZ416" t="s">
        <v>162</v>
      </c>
    </row>
    <row r="417" spans="1:52" x14ac:dyDescent="0.25">
      <c r="A417">
        <v>406</v>
      </c>
      <c r="B417" t="s">
        <v>808</v>
      </c>
      <c r="C417" t="s">
        <v>151</v>
      </c>
      <c r="D417" t="s">
        <v>809</v>
      </c>
      <c r="E417" t="s">
        <v>216</v>
      </c>
      <c r="F417" t="s">
        <v>162</v>
      </c>
      <c r="G417">
        <v>3329</v>
      </c>
      <c r="H417">
        <v>3328</v>
      </c>
      <c r="I417" t="s">
        <v>811</v>
      </c>
      <c r="J417">
        <v>3201</v>
      </c>
      <c r="K417">
        <v>3200</v>
      </c>
      <c r="L417" t="s">
        <v>190</v>
      </c>
      <c r="M417">
        <v>4</v>
      </c>
      <c r="N417" t="s">
        <v>11</v>
      </c>
      <c r="O417" t="s">
        <v>11</v>
      </c>
      <c r="P417" t="s">
        <v>157</v>
      </c>
      <c r="Q417" t="s">
        <v>812</v>
      </c>
      <c r="R417" t="s">
        <v>813</v>
      </c>
      <c r="S417">
        <v>2020</v>
      </c>
      <c r="T417">
        <v>8</v>
      </c>
      <c r="U417" t="s">
        <v>517</v>
      </c>
      <c r="V417" t="s">
        <v>162</v>
      </c>
      <c r="W417">
        <v>2020</v>
      </c>
      <c r="X417">
        <v>8</v>
      </c>
      <c r="Y417" t="s">
        <v>162</v>
      </c>
      <c r="Z417">
        <v>2020</v>
      </c>
      <c r="AA417">
        <v>2006</v>
      </c>
      <c r="AB417" s="5">
        <v>0.22201218953599999</v>
      </c>
      <c r="AC417" s="5">
        <v>0.44402437907199999</v>
      </c>
      <c r="AD417" t="s">
        <v>162</v>
      </c>
      <c r="AE417" t="s">
        <v>163</v>
      </c>
      <c r="AF417" t="s">
        <v>162</v>
      </c>
      <c r="AG417" t="s">
        <v>162</v>
      </c>
      <c r="AH417" t="s">
        <v>162</v>
      </c>
      <c r="AI417" t="s">
        <v>162</v>
      </c>
      <c r="AJ417" t="s">
        <v>162</v>
      </c>
      <c r="AK417" t="s">
        <v>162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 s="60">
        <f t="shared" si="6"/>
        <v>1</v>
      </c>
      <c r="AU417" s="95" t="s">
        <v>815</v>
      </c>
      <c r="AV417" t="s">
        <v>165</v>
      </c>
      <c r="AW417" t="s">
        <v>162</v>
      </c>
      <c r="AX417">
        <v>2</v>
      </c>
      <c r="AY417" t="s">
        <v>167</v>
      </c>
      <c r="AZ417" t="s">
        <v>162</v>
      </c>
    </row>
    <row r="418" spans="1:52" x14ac:dyDescent="0.25">
      <c r="A418">
        <v>407</v>
      </c>
      <c r="B418" t="s">
        <v>808</v>
      </c>
      <c r="C418" t="s">
        <v>151</v>
      </c>
      <c r="D418" t="s">
        <v>809</v>
      </c>
      <c r="E418" t="s">
        <v>216</v>
      </c>
      <c r="F418" t="s">
        <v>162</v>
      </c>
      <c r="G418">
        <v>3951</v>
      </c>
      <c r="H418">
        <v>3946</v>
      </c>
      <c r="I418" t="s">
        <v>429</v>
      </c>
      <c r="J418">
        <v>3801</v>
      </c>
      <c r="K418">
        <v>3800</v>
      </c>
      <c r="L418" t="s">
        <v>810</v>
      </c>
      <c r="M418">
        <v>4</v>
      </c>
      <c r="N418" t="s">
        <v>11</v>
      </c>
      <c r="O418" t="s">
        <v>11</v>
      </c>
      <c r="P418" t="s">
        <v>157</v>
      </c>
      <c r="Q418" t="s">
        <v>812</v>
      </c>
      <c r="R418" t="s">
        <v>813</v>
      </c>
      <c r="S418">
        <v>2020</v>
      </c>
      <c r="T418">
        <v>8</v>
      </c>
      <c r="U418" t="s">
        <v>517</v>
      </c>
      <c r="V418" t="s">
        <v>162</v>
      </c>
      <c r="W418">
        <v>2020</v>
      </c>
      <c r="X418">
        <v>8</v>
      </c>
      <c r="Y418" t="s">
        <v>162</v>
      </c>
      <c r="Z418">
        <v>2020</v>
      </c>
      <c r="AA418">
        <v>2006</v>
      </c>
      <c r="AB418" s="5">
        <v>0.25197424262700002</v>
      </c>
      <c r="AC418" s="5">
        <v>0.50394848525400004</v>
      </c>
      <c r="AD418" t="s">
        <v>162</v>
      </c>
      <c r="AE418" t="s">
        <v>163</v>
      </c>
      <c r="AF418" t="s">
        <v>162</v>
      </c>
      <c r="AG418" t="s">
        <v>162</v>
      </c>
      <c r="AH418" t="s">
        <v>162</v>
      </c>
      <c r="AI418" t="s">
        <v>162</v>
      </c>
      <c r="AJ418" t="s">
        <v>162</v>
      </c>
      <c r="AK418" t="s">
        <v>162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 s="60">
        <f t="shared" si="6"/>
        <v>1</v>
      </c>
      <c r="AU418" s="95" t="s">
        <v>815</v>
      </c>
      <c r="AV418" s="94" t="s">
        <v>165</v>
      </c>
      <c r="AW418" t="s">
        <v>162</v>
      </c>
      <c r="AX418">
        <v>2</v>
      </c>
      <c r="AY418" t="s">
        <v>167</v>
      </c>
      <c r="AZ418" t="s">
        <v>162</v>
      </c>
    </row>
    <row r="419" spans="1:52" x14ac:dyDescent="0.25">
      <c r="A419">
        <v>408</v>
      </c>
      <c r="B419" t="s">
        <v>1151</v>
      </c>
      <c r="C419" t="s">
        <v>151</v>
      </c>
      <c r="D419" t="s">
        <v>1152</v>
      </c>
      <c r="E419" t="s">
        <v>172</v>
      </c>
      <c r="F419" t="s">
        <v>162</v>
      </c>
      <c r="G419">
        <v>2958</v>
      </c>
      <c r="H419">
        <v>2959</v>
      </c>
      <c r="I419" t="s">
        <v>168</v>
      </c>
      <c r="J419">
        <v>2400</v>
      </c>
      <c r="K419">
        <v>2401</v>
      </c>
      <c r="L419" t="s">
        <v>334</v>
      </c>
      <c r="M419">
        <v>3</v>
      </c>
      <c r="N419" t="s">
        <v>15</v>
      </c>
      <c r="O419" t="s">
        <v>15</v>
      </c>
      <c r="P419" t="s">
        <v>175</v>
      </c>
      <c r="Q419" t="s">
        <v>1153</v>
      </c>
      <c r="R419" t="s">
        <v>249</v>
      </c>
      <c r="S419">
        <v>2007</v>
      </c>
      <c r="T419">
        <v>10</v>
      </c>
      <c r="U419" t="s">
        <v>162</v>
      </c>
      <c r="V419" t="s">
        <v>455</v>
      </c>
      <c r="W419">
        <v>2020</v>
      </c>
      <c r="X419">
        <v>0</v>
      </c>
      <c r="Y419" t="s">
        <v>162</v>
      </c>
      <c r="Z419">
        <v>2020</v>
      </c>
      <c r="AA419">
        <v>2020</v>
      </c>
      <c r="AB419" s="5">
        <v>0.75656292478499998</v>
      </c>
      <c r="AC419" s="5">
        <v>1.51312584957</v>
      </c>
      <c r="AD419" t="s">
        <v>162</v>
      </c>
      <c r="AE419" t="s">
        <v>163</v>
      </c>
      <c r="AF419" t="s">
        <v>162</v>
      </c>
      <c r="AG419" t="s">
        <v>162</v>
      </c>
      <c r="AH419" t="s">
        <v>162</v>
      </c>
      <c r="AI419" t="s">
        <v>162</v>
      </c>
      <c r="AJ419" t="s">
        <v>162</v>
      </c>
      <c r="AK419" t="s">
        <v>162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 s="60">
        <f t="shared" si="6"/>
        <v>1</v>
      </c>
      <c r="AU419" s="95" t="s">
        <v>187</v>
      </c>
      <c r="AV419" s="94" t="s">
        <v>165</v>
      </c>
      <c r="AW419" t="s">
        <v>162</v>
      </c>
      <c r="AX419">
        <v>2</v>
      </c>
      <c r="AY419" t="s">
        <v>167</v>
      </c>
      <c r="AZ419" t="s">
        <v>162</v>
      </c>
    </row>
    <row r="420" spans="1:52" x14ac:dyDescent="0.25">
      <c r="A420">
        <v>409</v>
      </c>
      <c r="B420" t="s">
        <v>514</v>
      </c>
      <c r="C420" t="s">
        <v>163</v>
      </c>
      <c r="D420" t="s">
        <v>515</v>
      </c>
      <c r="E420" t="s">
        <v>216</v>
      </c>
      <c r="F420" t="s">
        <v>162</v>
      </c>
      <c r="G420">
        <v>1814</v>
      </c>
      <c r="H420">
        <v>1815</v>
      </c>
      <c r="I420" t="s">
        <v>499</v>
      </c>
      <c r="J420">
        <v>1806</v>
      </c>
      <c r="K420">
        <v>1977</v>
      </c>
      <c r="L420" t="s">
        <v>235</v>
      </c>
      <c r="M420">
        <v>3</v>
      </c>
      <c r="N420" t="s">
        <v>15</v>
      </c>
      <c r="O420" t="s">
        <v>15</v>
      </c>
      <c r="P420" t="s">
        <v>175</v>
      </c>
      <c r="Q420" t="s">
        <v>1154</v>
      </c>
      <c r="R420" t="s">
        <v>508</v>
      </c>
      <c r="S420">
        <v>2004</v>
      </c>
      <c r="T420">
        <v>9</v>
      </c>
      <c r="U420" t="s">
        <v>162</v>
      </c>
      <c r="V420" t="s">
        <v>320</v>
      </c>
      <c r="W420">
        <v>2015</v>
      </c>
      <c r="X420">
        <v>5</v>
      </c>
      <c r="Y420" t="s">
        <v>123</v>
      </c>
      <c r="Z420">
        <v>2015</v>
      </c>
      <c r="AA420">
        <v>2015</v>
      </c>
      <c r="AB420" s="5">
        <v>0.28589577291599999</v>
      </c>
      <c r="AC420" s="5">
        <v>0.57179154583199998</v>
      </c>
      <c r="AD420" t="s">
        <v>162</v>
      </c>
      <c r="AE420" t="s">
        <v>163</v>
      </c>
      <c r="AF420" t="s">
        <v>162</v>
      </c>
      <c r="AG420" t="s">
        <v>162</v>
      </c>
      <c r="AH420" t="s">
        <v>162</v>
      </c>
      <c r="AI420" t="s">
        <v>162</v>
      </c>
      <c r="AJ420" t="s">
        <v>162</v>
      </c>
      <c r="AK420" t="s">
        <v>162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 s="60">
        <f t="shared" si="6"/>
        <v>1</v>
      </c>
      <c r="AU420" s="95">
        <v>43341</v>
      </c>
      <c r="AV420" s="94" t="s">
        <v>165</v>
      </c>
      <c r="AW420" t="s">
        <v>162</v>
      </c>
      <c r="AX420">
        <v>2</v>
      </c>
      <c r="AY420" t="s">
        <v>167</v>
      </c>
      <c r="AZ420" t="s">
        <v>162</v>
      </c>
    </row>
    <row r="421" spans="1:52" x14ac:dyDescent="0.25">
      <c r="A421">
        <v>410</v>
      </c>
      <c r="B421" t="s">
        <v>514</v>
      </c>
      <c r="C421" t="s">
        <v>163</v>
      </c>
      <c r="D421" t="s">
        <v>515</v>
      </c>
      <c r="E421" t="s">
        <v>216</v>
      </c>
      <c r="F421" t="s">
        <v>162</v>
      </c>
      <c r="G421">
        <v>2100</v>
      </c>
      <c r="H421">
        <v>2101</v>
      </c>
      <c r="I421" t="s">
        <v>711</v>
      </c>
      <c r="J421">
        <v>2176</v>
      </c>
      <c r="K421">
        <v>2177</v>
      </c>
      <c r="L421" t="s">
        <v>236</v>
      </c>
      <c r="M421">
        <v>3</v>
      </c>
      <c r="N421" t="s">
        <v>15</v>
      </c>
      <c r="O421" t="s">
        <v>15</v>
      </c>
      <c r="P421" t="s">
        <v>175</v>
      </c>
      <c r="Q421" t="s">
        <v>162</v>
      </c>
      <c r="R421" t="s">
        <v>508</v>
      </c>
      <c r="S421">
        <v>2004</v>
      </c>
      <c r="T421">
        <v>9</v>
      </c>
      <c r="U421" t="s">
        <v>162</v>
      </c>
      <c r="V421" t="s">
        <v>320</v>
      </c>
      <c r="W421">
        <v>2015</v>
      </c>
      <c r="X421">
        <v>5</v>
      </c>
      <c r="Y421" t="s">
        <v>123</v>
      </c>
      <c r="Z421">
        <v>2015</v>
      </c>
      <c r="AA421">
        <v>2015</v>
      </c>
      <c r="AB421" s="5">
        <v>0.17730896861199999</v>
      </c>
      <c r="AC421" s="5">
        <v>0.35461793722399998</v>
      </c>
      <c r="AD421" t="s">
        <v>162</v>
      </c>
      <c r="AE421" t="s">
        <v>163</v>
      </c>
      <c r="AF421" t="s">
        <v>162</v>
      </c>
      <c r="AG421" t="s">
        <v>162</v>
      </c>
      <c r="AH421" t="s">
        <v>162</v>
      </c>
      <c r="AI421" t="s">
        <v>162</v>
      </c>
      <c r="AJ421" t="s">
        <v>162</v>
      </c>
      <c r="AK421" t="s">
        <v>162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s="60">
        <f t="shared" si="6"/>
        <v>1</v>
      </c>
      <c r="AU421" s="95">
        <v>43341</v>
      </c>
      <c r="AV421" t="s">
        <v>165</v>
      </c>
      <c r="AW421" t="s">
        <v>162</v>
      </c>
      <c r="AX421">
        <v>2</v>
      </c>
      <c r="AY421" t="s">
        <v>167</v>
      </c>
      <c r="AZ421" t="s">
        <v>162</v>
      </c>
    </row>
    <row r="422" spans="1:52" x14ac:dyDescent="0.25">
      <c r="A422">
        <v>411</v>
      </c>
      <c r="B422" t="s">
        <v>1155</v>
      </c>
      <c r="C422" t="s">
        <v>163</v>
      </c>
      <c r="D422" t="s">
        <v>1156</v>
      </c>
      <c r="E422" t="s">
        <v>182</v>
      </c>
      <c r="F422" t="s">
        <v>162</v>
      </c>
      <c r="G422">
        <v>2</v>
      </c>
      <c r="H422">
        <v>1</v>
      </c>
      <c r="I422" t="s">
        <v>293</v>
      </c>
      <c r="J422">
        <v>172</v>
      </c>
      <c r="K422">
        <v>173</v>
      </c>
      <c r="L422" t="s">
        <v>387</v>
      </c>
      <c r="M422">
        <v>3</v>
      </c>
      <c r="N422" t="s">
        <v>9</v>
      </c>
      <c r="O422" t="s">
        <v>9</v>
      </c>
      <c r="P422" t="s">
        <v>157</v>
      </c>
      <c r="Q422" t="s">
        <v>162</v>
      </c>
      <c r="R422" t="s">
        <v>463</v>
      </c>
      <c r="S422">
        <v>2014</v>
      </c>
      <c r="T422">
        <v>7</v>
      </c>
      <c r="U422" t="s">
        <v>162</v>
      </c>
      <c r="V422" t="s">
        <v>238</v>
      </c>
      <c r="W422">
        <v>2018</v>
      </c>
      <c r="X422">
        <v>9</v>
      </c>
      <c r="Y422" t="s">
        <v>123</v>
      </c>
      <c r="Z422">
        <v>2018</v>
      </c>
      <c r="AA422">
        <v>2018</v>
      </c>
      <c r="AB422" s="5">
        <v>0.319795647367</v>
      </c>
      <c r="AC422" s="5">
        <v>0.639591294734</v>
      </c>
      <c r="AD422" t="s">
        <v>162</v>
      </c>
      <c r="AE422" t="s">
        <v>163</v>
      </c>
      <c r="AF422" t="s">
        <v>162</v>
      </c>
      <c r="AG422" t="s">
        <v>162</v>
      </c>
      <c r="AH422" t="s">
        <v>162</v>
      </c>
      <c r="AI422" t="s">
        <v>162</v>
      </c>
      <c r="AJ422" t="s">
        <v>162</v>
      </c>
      <c r="AK422" t="s">
        <v>162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 s="60">
        <f t="shared" si="6"/>
        <v>1</v>
      </c>
      <c r="AU422" s="95">
        <v>43348</v>
      </c>
      <c r="AV422" s="94" t="s">
        <v>165</v>
      </c>
      <c r="AW422" t="s">
        <v>163</v>
      </c>
      <c r="AX422">
        <v>2</v>
      </c>
      <c r="AY422" t="s">
        <v>167</v>
      </c>
      <c r="AZ422" t="s">
        <v>162</v>
      </c>
    </row>
    <row r="423" spans="1:52" x14ac:dyDescent="0.25">
      <c r="A423">
        <v>412</v>
      </c>
      <c r="B423" t="s">
        <v>1155</v>
      </c>
      <c r="C423" t="s">
        <v>163</v>
      </c>
      <c r="D423" t="s">
        <v>1156</v>
      </c>
      <c r="E423" t="s">
        <v>182</v>
      </c>
      <c r="F423" t="s">
        <v>162</v>
      </c>
      <c r="G423">
        <v>200</v>
      </c>
      <c r="H423">
        <v>201</v>
      </c>
      <c r="I423" t="s">
        <v>387</v>
      </c>
      <c r="J423">
        <v>0</v>
      </c>
      <c r="K423">
        <v>0</v>
      </c>
      <c r="L423" t="s">
        <v>1157</v>
      </c>
      <c r="M423">
        <v>3</v>
      </c>
      <c r="N423" t="s">
        <v>9</v>
      </c>
      <c r="O423" t="s">
        <v>9</v>
      </c>
      <c r="P423" t="s">
        <v>175</v>
      </c>
      <c r="Q423" t="s">
        <v>1158</v>
      </c>
      <c r="R423" t="s">
        <v>177</v>
      </c>
      <c r="S423">
        <v>2011</v>
      </c>
      <c r="T423">
        <v>5</v>
      </c>
      <c r="U423" t="s">
        <v>162</v>
      </c>
      <c r="V423" t="s">
        <v>162</v>
      </c>
      <c r="W423">
        <v>0</v>
      </c>
      <c r="X423">
        <v>0</v>
      </c>
      <c r="Y423" t="s">
        <v>162</v>
      </c>
      <c r="Z423">
        <v>2011</v>
      </c>
      <c r="AA423">
        <v>0</v>
      </c>
      <c r="AB423" s="5">
        <v>0.21879825405600001</v>
      </c>
      <c r="AC423" s="5">
        <v>0.43759650811200002</v>
      </c>
      <c r="AD423" t="s">
        <v>154</v>
      </c>
      <c r="AE423" t="s">
        <v>163</v>
      </c>
      <c r="AF423" t="s">
        <v>154</v>
      </c>
      <c r="AG423" t="s">
        <v>154</v>
      </c>
      <c r="AH423" t="s">
        <v>154</v>
      </c>
      <c r="AI423" t="s">
        <v>162</v>
      </c>
      <c r="AJ423" t="s">
        <v>162</v>
      </c>
      <c r="AK423" t="s">
        <v>162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 s="60">
        <f t="shared" si="6"/>
        <v>1</v>
      </c>
      <c r="AU423" s="95" t="s">
        <v>360</v>
      </c>
      <c r="AV423" s="94" t="s">
        <v>165</v>
      </c>
      <c r="AW423" t="s">
        <v>163</v>
      </c>
      <c r="AX423">
        <v>2</v>
      </c>
      <c r="AY423" t="s">
        <v>167</v>
      </c>
      <c r="AZ423" t="s">
        <v>162</v>
      </c>
    </row>
    <row r="424" spans="1:52" x14ac:dyDescent="0.25">
      <c r="A424">
        <v>413</v>
      </c>
      <c r="B424" t="s">
        <v>233</v>
      </c>
      <c r="C424" t="s">
        <v>180</v>
      </c>
      <c r="D424" t="s">
        <v>234</v>
      </c>
      <c r="E424" t="s">
        <v>172</v>
      </c>
      <c r="F424" t="s">
        <v>162</v>
      </c>
      <c r="G424">
        <v>3300</v>
      </c>
      <c r="H424">
        <v>3249</v>
      </c>
      <c r="I424" t="s">
        <v>771</v>
      </c>
      <c r="J424">
        <v>3100</v>
      </c>
      <c r="K424">
        <v>3101</v>
      </c>
      <c r="L424" t="s">
        <v>731</v>
      </c>
      <c r="M424">
        <v>2</v>
      </c>
      <c r="N424" t="s">
        <v>11</v>
      </c>
      <c r="O424" t="s">
        <v>11</v>
      </c>
      <c r="P424" t="s">
        <v>175</v>
      </c>
      <c r="Q424" t="s">
        <v>162</v>
      </c>
      <c r="R424" t="s">
        <v>772</v>
      </c>
      <c r="S424">
        <v>2003</v>
      </c>
      <c r="T424">
        <v>9</v>
      </c>
      <c r="U424" t="s">
        <v>162</v>
      </c>
      <c r="V424" t="s">
        <v>540</v>
      </c>
      <c r="W424">
        <v>2015</v>
      </c>
      <c r="X424">
        <v>6</v>
      </c>
      <c r="Y424" t="s">
        <v>123</v>
      </c>
      <c r="Z424">
        <v>2015</v>
      </c>
      <c r="AA424">
        <v>2015</v>
      </c>
      <c r="AB424" s="5">
        <v>0.25170583083300002</v>
      </c>
      <c r="AC424" s="5">
        <v>0.50341166166600004</v>
      </c>
      <c r="AD424" t="s">
        <v>162</v>
      </c>
      <c r="AE424" t="s">
        <v>163</v>
      </c>
      <c r="AF424" t="s">
        <v>162</v>
      </c>
      <c r="AG424" t="s">
        <v>162</v>
      </c>
      <c r="AH424" t="s">
        <v>162</v>
      </c>
      <c r="AI424" t="s">
        <v>162</v>
      </c>
      <c r="AJ424" t="s">
        <v>162</v>
      </c>
      <c r="AK424" t="s">
        <v>162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 s="60">
        <f t="shared" si="6"/>
        <v>1</v>
      </c>
      <c r="AU424" s="95">
        <v>43333</v>
      </c>
      <c r="AV424" t="s">
        <v>165</v>
      </c>
      <c r="AW424" t="s">
        <v>162</v>
      </c>
      <c r="AX424">
        <v>2</v>
      </c>
      <c r="AY424" t="s">
        <v>167</v>
      </c>
      <c r="AZ424" t="s">
        <v>162</v>
      </c>
    </row>
    <row r="425" spans="1:52" x14ac:dyDescent="0.25">
      <c r="A425">
        <v>414</v>
      </c>
      <c r="B425" t="s">
        <v>233</v>
      </c>
      <c r="C425" t="s">
        <v>180</v>
      </c>
      <c r="D425" t="s">
        <v>234</v>
      </c>
      <c r="E425" t="s">
        <v>172</v>
      </c>
      <c r="F425" t="s">
        <v>162</v>
      </c>
      <c r="G425">
        <v>1421</v>
      </c>
      <c r="H425">
        <v>1420</v>
      </c>
      <c r="I425" t="s">
        <v>1159</v>
      </c>
      <c r="J425">
        <v>1245</v>
      </c>
      <c r="K425">
        <v>1244</v>
      </c>
      <c r="L425" t="s">
        <v>646</v>
      </c>
      <c r="M425">
        <v>2</v>
      </c>
      <c r="N425" t="s">
        <v>11</v>
      </c>
      <c r="O425" t="s">
        <v>11</v>
      </c>
      <c r="P425" t="s">
        <v>169</v>
      </c>
      <c r="Q425" t="s">
        <v>162</v>
      </c>
      <c r="R425" t="s">
        <v>647</v>
      </c>
      <c r="S425">
        <v>2013</v>
      </c>
      <c r="T425">
        <v>10</v>
      </c>
      <c r="U425" t="s">
        <v>162</v>
      </c>
      <c r="V425" t="s">
        <v>267</v>
      </c>
      <c r="W425">
        <v>2018</v>
      </c>
      <c r="X425">
        <v>8</v>
      </c>
      <c r="Y425" t="s">
        <v>162</v>
      </c>
      <c r="Z425">
        <v>2018</v>
      </c>
      <c r="AA425">
        <v>2015</v>
      </c>
      <c r="AB425" s="5">
        <v>0.168206609097</v>
      </c>
      <c r="AC425" s="5">
        <v>0.336413218194</v>
      </c>
      <c r="AD425" t="s">
        <v>162</v>
      </c>
      <c r="AE425" t="s">
        <v>163</v>
      </c>
      <c r="AF425" t="s">
        <v>162</v>
      </c>
      <c r="AG425" t="s">
        <v>162</v>
      </c>
      <c r="AH425" t="s">
        <v>162</v>
      </c>
      <c r="AI425" t="s">
        <v>162</v>
      </c>
      <c r="AJ425" t="s">
        <v>162</v>
      </c>
      <c r="AK425" t="s">
        <v>162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 s="60">
        <f t="shared" si="6"/>
        <v>1</v>
      </c>
      <c r="AU425" s="95">
        <v>43333</v>
      </c>
      <c r="AV425" t="s">
        <v>165</v>
      </c>
      <c r="AW425" t="s">
        <v>162</v>
      </c>
      <c r="AX425">
        <v>2</v>
      </c>
      <c r="AY425" t="s">
        <v>167</v>
      </c>
      <c r="AZ425" t="s">
        <v>162</v>
      </c>
    </row>
    <row r="426" spans="1:52" x14ac:dyDescent="0.25">
      <c r="A426">
        <v>415</v>
      </c>
      <c r="B426" t="s">
        <v>719</v>
      </c>
      <c r="C426" t="s">
        <v>180</v>
      </c>
      <c r="D426" t="s">
        <v>720</v>
      </c>
      <c r="E426" t="s">
        <v>172</v>
      </c>
      <c r="F426" t="s">
        <v>180</v>
      </c>
      <c r="G426">
        <v>301</v>
      </c>
      <c r="H426">
        <v>300</v>
      </c>
      <c r="I426" t="s">
        <v>198</v>
      </c>
      <c r="J426">
        <v>339</v>
      </c>
      <c r="K426">
        <v>338</v>
      </c>
      <c r="L426" t="s">
        <v>644</v>
      </c>
      <c r="M426">
        <v>4</v>
      </c>
      <c r="N426" t="s">
        <v>7</v>
      </c>
      <c r="O426" t="s">
        <v>7</v>
      </c>
      <c r="P426" t="s">
        <v>157</v>
      </c>
      <c r="Q426" t="s">
        <v>915</v>
      </c>
      <c r="R426" t="s">
        <v>261</v>
      </c>
      <c r="S426">
        <v>2016</v>
      </c>
      <c r="T426">
        <v>11</v>
      </c>
      <c r="U426" t="s">
        <v>123</v>
      </c>
      <c r="V426" t="s">
        <v>162</v>
      </c>
      <c r="W426">
        <v>0</v>
      </c>
      <c r="X426">
        <v>0</v>
      </c>
      <c r="Y426" t="s">
        <v>162</v>
      </c>
      <c r="Z426">
        <v>2016</v>
      </c>
      <c r="AA426">
        <v>2016</v>
      </c>
      <c r="AB426" s="5">
        <v>8.8080647404299994E-2</v>
      </c>
      <c r="AC426" s="5">
        <v>0.176161294809</v>
      </c>
      <c r="AD426" t="s">
        <v>261</v>
      </c>
      <c r="AE426" t="s">
        <v>163</v>
      </c>
      <c r="AF426" t="s">
        <v>154</v>
      </c>
      <c r="AG426" t="s">
        <v>154</v>
      </c>
      <c r="AH426" t="s">
        <v>166</v>
      </c>
      <c r="AI426" t="s">
        <v>194</v>
      </c>
      <c r="AJ426" t="s">
        <v>154</v>
      </c>
      <c r="AK426" t="s">
        <v>162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 s="60">
        <f t="shared" si="6"/>
        <v>1</v>
      </c>
      <c r="AU426" s="95" t="s">
        <v>227</v>
      </c>
      <c r="AV426" s="94" t="s">
        <v>165</v>
      </c>
      <c r="AW426" t="s">
        <v>166</v>
      </c>
      <c r="AX426">
        <v>1</v>
      </c>
      <c r="AY426" t="s">
        <v>167</v>
      </c>
      <c r="AZ426" t="s">
        <v>162</v>
      </c>
    </row>
    <row r="427" spans="1:52" x14ac:dyDescent="0.25">
      <c r="A427">
        <v>416</v>
      </c>
      <c r="B427" t="s">
        <v>379</v>
      </c>
      <c r="C427" t="s">
        <v>151</v>
      </c>
      <c r="D427" t="s">
        <v>380</v>
      </c>
      <c r="E427" t="s">
        <v>216</v>
      </c>
      <c r="F427" t="s">
        <v>162</v>
      </c>
      <c r="G427">
        <v>1329</v>
      </c>
      <c r="H427">
        <v>1330</v>
      </c>
      <c r="I427" t="s">
        <v>381</v>
      </c>
      <c r="J427">
        <v>1201</v>
      </c>
      <c r="K427">
        <v>1200</v>
      </c>
      <c r="L427" t="s">
        <v>273</v>
      </c>
      <c r="M427">
        <v>4</v>
      </c>
      <c r="N427" t="s">
        <v>11</v>
      </c>
      <c r="O427" t="s">
        <v>11</v>
      </c>
      <c r="P427" t="s">
        <v>175</v>
      </c>
      <c r="Q427" t="s">
        <v>162</v>
      </c>
      <c r="R427" t="s">
        <v>383</v>
      </c>
      <c r="S427">
        <v>2011</v>
      </c>
      <c r="T427">
        <v>6</v>
      </c>
      <c r="U427" t="s">
        <v>162</v>
      </c>
      <c r="V427" t="s">
        <v>289</v>
      </c>
      <c r="W427">
        <v>2015</v>
      </c>
      <c r="X427">
        <v>12</v>
      </c>
      <c r="Y427" t="s">
        <v>123</v>
      </c>
      <c r="Z427">
        <v>2015</v>
      </c>
      <c r="AA427">
        <v>2015</v>
      </c>
      <c r="AB427" s="5">
        <v>0.172169023448</v>
      </c>
      <c r="AC427" s="5">
        <v>0.34433804689600001</v>
      </c>
      <c r="AD427" t="s">
        <v>162</v>
      </c>
      <c r="AE427" t="s">
        <v>163</v>
      </c>
      <c r="AF427" t="s">
        <v>162</v>
      </c>
      <c r="AG427" t="s">
        <v>162</v>
      </c>
      <c r="AH427" t="s">
        <v>162</v>
      </c>
      <c r="AI427" t="s">
        <v>162</v>
      </c>
      <c r="AJ427" t="s">
        <v>162</v>
      </c>
      <c r="AK427" t="s">
        <v>162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 s="60">
        <f t="shared" si="6"/>
        <v>1</v>
      </c>
      <c r="AU427" s="95">
        <v>43339</v>
      </c>
      <c r="AV427" s="94" t="s">
        <v>165</v>
      </c>
      <c r="AW427" t="s">
        <v>162</v>
      </c>
      <c r="AX427">
        <v>2</v>
      </c>
      <c r="AY427" t="s">
        <v>167</v>
      </c>
      <c r="AZ427" t="s">
        <v>162</v>
      </c>
    </row>
    <row r="428" spans="1:52" x14ac:dyDescent="0.25">
      <c r="A428">
        <v>417</v>
      </c>
      <c r="B428" t="s">
        <v>660</v>
      </c>
      <c r="C428" t="s">
        <v>151</v>
      </c>
      <c r="D428" t="s">
        <v>661</v>
      </c>
      <c r="E428" t="s">
        <v>172</v>
      </c>
      <c r="F428" t="s">
        <v>162</v>
      </c>
      <c r="G428">
        <v>198</v>
      </c>
      <c r="H428">
        <v>199</v>
      </c>
      <c r="I428" t="s">
        <v>694</v>
      </c>
      <c r="J428">
        <v>133</v>
      </c>
      <c r="K428">
        <v>132</v>
      </c>
      <c r="L428" t="s">
        <v>921</v>
      </c>
      <c r="M428">
        <v>2</v>
      </c>
      <c r="N428" t="s">
        <v>7</v>
      </c>
      <c r="O428" t="s">
        <v>7</v>
      </c>
      <c r="P428" t="s">
        <v>175</v>
      </c>
      <c r="Q428" t="s">
        <v>162</v>
      </c>
      <c r="R428" t="s">
        <v>201</v>
      </c>
      <c r="S428">
        <v>2012</v>
      </c>
      <c r="T428">
        <v>10</v>
      </c>
      <c r="U428" t="s">
        <v>979</v>
      </c>
      <c r="V428" t="s">
        <v>404</v>
      </c>
      <c r="W428">
        <v>2017</v>
      </c>
      <c r="X428">
        <v>7</v>
      </c>
      <c r="Y428" t="s">
        <v>162</v>
      </c>
      <c r="Z428">
        <v>2017</v>
      </c>
      <c r="AA428">
        <v>0</v>
      </c>
      <c r="AB428" s="5">
        <v>8.5252331319300004E-2</v>
      </c>
      <c r="AC428" s="5">
        <v>0.17050466263899999</v>
      </c>
      <c r="AD428" t="s">
        <v>154</v>
      </c>
      <c r="AE428" t="s">
        <v>163</v>
      </c>
      <c r="AF428" t="s">
        <v>162</v>
      </c>
      <c r="AG428" t="s">
        <v>162</v>
      </c>
      <c r="AH428" t="s">
        <v>162</v>
      </c>
      <c r="AI428" t="s">
        <v>226</v>
      </c>
      <c r="AJ428" t="s">
        <v>154</v>
      </c>
      <c r="AK428" t="s">
        <v>166</v>
      </c>
      <c r="AL428">
        <v>2017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 s="60">
        <f t="shared" si="6"/>
        <v>1</v>
      </c>
      <c r="AU428" s="95">
        <v>43343</v>
      </c>
      <c r="AV428" s="94" t="s">
        <v>165</v>
      </c>
      <c r="AW428" t="s">
        <v>166</v>
      </c>
      <c r="AX428">
        <v>1</v>
      </c>
      <c r="AY428" t="s">
        <v>167</v>
      </c>
      <c r="AZ428" t="s">
        <v>162</v>
      </c>
    </row>
    <row r="429" spans="1:52" x14ac:dyDescent="0.25">
      <c r="A429">
        <v>418</v>
      </c>
      <c r="B429" t="s">
        <v>660</v>
      </c>
      <c r="C429" t="s">
        <v>203</v>
      </c>
      <c r="D429" t="s">
        <v>661</v>
      </c>
      <c r="E429" t="s">
        <v>172</v>
      </c>
      <c r="F429" t="s">
        <v>162</v>
      </c>
      <c r="G429">
        <v>100</v>
      </c>
      <c r="H429">
        <v>101</v>
      </c>
      <c r="I429" t="s">
        <v>667</v>
      </c>
      <c r="J429">
        <v>300</v>
      </c>
      <c r="K429">
        <v>301</v>
      </c>
      <c r="L429" t="s">
        <v>1160</v>
      </c>
      <c r="M429">
        <v>2</v>
      </c>
      <c r="N429" t="s">
        <v>7</v>
      </c>
      <c r="O429" t="s">
        <v>7</v>
      </c>
      <c r="P429" t="s">
        <v>175</v>
      </c>
      <c r="Q429" t="s">
        <v>162</v>
      </c>
      <c r="R429" t="s">
        <v>664</v>
      </c>
      <c r="S429">
        <v>2012</v>
      </c>
      <c r="T429">
        <v>10</v>
      </c>
      <c r="U429" t="s">
        <v>1161</v>
      </c>
      <c r="V429" t="s">
        <v>422</v>
      </c>
      <c r="W429">
        <v>2015</v>
      </c>
      <c r="X429">
        <v>10</v>
      </c>
      <c r="Y429" t="s">
        <v>123</v>
      </c>
      <c r="Z429">
        <v>2015</v>
      </c>
      <c r="AA429">
        <v>2015</v>
      </c>
      <c r="AB429" s="5">
        <v>0.20443335671999999</v>
      </c>
      <c r="AC429" s="5">
        <v>0.40886671343999997</v>
      </c>
      <c r="AD429" t="s">
        <v>154</v>
      </c>
      <c r="AE429" t="s">
        <v>163</v>
      </c>
      <c r="AF429" t="s">
        <v>154</v>
      </c>
      <c r="AG429" t="s">
        <v>154</v>
      </c>
      <c r="AH429" t="s">
        <v>163</v>
      </c>
      <c r="AI429" t="s">
        <v>226</v>
      </c>
      <c r="AJ429" t="s">
        <v>154</v>
      </c>
      <c r="AK429" t="s">
        <v>162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 s="60">
        <f t="shared" si="6"/>
        <v>1</v>
      </c>
      <c r="AU429" s="95" t="s">
        <v>213</v>
      </c>
      <c r="AV429" s="94" t="s">
        <v>165</v>
      </c>
      <c r="AW429" t="s">
        <v>166</v>
      </c>
      <c r="AX429">
        <v>1</v>
      </c>
      <c r="AY429" t="s">
        <v>167</v>
      </c>
      <c r="AZ429" t="s">
        <v>162</v>
      </c>
    </row>
    <row r="430" spans="1:52" x14ac:dyDescent="0.25">
      <c r="A430">
        <v>419</v>
      </c>
      <c r="B430" t="s">
        <v>674</v>
      </c>
      <c r="C430" t="s">
        <v>151</v>
      </c>
      <c r="D430" t="s">
        <v>675</v>
      </c>
      <c r="E430" t="s">
        <v>172</v>
      </c>
      <c r="F430" t="s">
        <v>162</v>
      </c>
      <c r="G430">
        <v>1268</v>
      </c>
      <c r="H430">
        <v>1259</v>
      </c>
      <c r="I430" t="s">
        <v>927</v>
      </c>
      <c r="J430">
        <v>1200</v>
      </c>
      <c r="K430">
        <v>1201</v>
      </c>
      <c r="L430" t="s">
        <v>747</v>
      </c>
      <c r="M430">
        <v>4</v>
      </c>
      <c r="N430" t="s">
        <v>11</v>
      </c>
      <c r="O430" t="s">
        <v>11</v>
      </c>
      <c r="P430" t="s">
        <v>175</v>
      </c>
      <c r="Q430" t="s">
        <v>162</v>
      </c>
      <c r="R430" t="s">
        <v>508</v>
      </c>
      <c r="S430">
        <v>2004</v>
      </c>
      <c r="T430">
        <v>10</v>
      </c>
      <c r="U430" t="s">
        <v>162</v>
      </c>
      <c r="V430" t="s">
        <v>243</v>
      </c>
      <c r="W430">
        <v>2020</v>
      </c>
      <c r="X430">
        <v>0</v>
      </c>
      <c r="Y430" t="s">
        <v>162</v>
      </c>
      <c r="Z430">
        <v>2020</v>
      </c>
      <c r="AA430">
        <v>2015</v>
      </c>
      <c r="AB430" s="5">
        <v>0.125881613236</v>
      </c>
      <c r="AC430" s="5">
        <v>0.251763226472</v>
      </c>
      <c r="AD430" t="s">
        <v>162</v>
      </c>
      <c r="AE430" t="s">
        <v>163</v>
      </c>
      <c r="AF430" t="s">
        <v>162</v>
      </c>
      <c r="AG430" t="s">
        <v>162</v>
      </c>
      <c r="AH430" t="s">
        <v>162</v>
      </c>
      <c r="AI430" t="s">
        <v>162</v>
      </c>
      <c r="AJ430" t="s">
        <v>162</v>
      </c>
      <c r="AK430" t="s">
        <v>162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 s="60">
        <f t="shared" si="6"/>
        <v>1</v>
      </c>
      <c r="AU430" s="95" t="s">
        <v>350</v>
      </c>
      <c r="AV430" t="s">
        <v>165</v>
      </c>
      <c r="AW430" t="s">
        <v>162</v>
      </c>
      <c r="AX430">
        <v>2</v>
      </c>
      <c r="AY430" t="s">
        <v>167</v>
      </c>
      <c r="AZ430" t="s">
        <v>162</v>
      </c>
    </row>
    <row r="431" spans="1:52" x14ac:dyDescent="0.25">
      <c r="A431">
        <v>420</v>
      </c>
      <c r="B431" t="s">
        <v>256</v>
      </c>
      <c r="C431" t="s">
        <v>151</v>
      </c>
      <c r="D431" t="s">
        <v>257</v>
      </c>
      <c r="E431" t="s">
        <v>222</v>
      </c>
      <c r="F431" t="s">
        <v>151</v>
      </c>
      <c r="G431">
        <v>3359</v>
      </c>
      <c r="H431">
        <v>3358</v>
      </c>
      <c r="I431" t="s">
        <v>672</v>
      </c>
      <c r="J431">
        <v>3059</v>
      </c>
      <c r="K431">
        <v>3058</v>
      </c>
      <c r="L431" t="s">
        <v>1162</v>
      </c>
      <c r="M431">
        <v>4</v>
      </c>
      <c r="N431" t="s">
        <v>9</v>
      </c>
      <c r="O431" t="s">
        <v>9</v>
      </c>
      <c r="P431" t="s">
        <v>157</v>
      </c>
      <c r="Q431" t="s">
        <v>1091</v>
      </c>
      <c r="R431" t="s">
        <v>452</v>
      </c>
      <c r="S431">
        <v>2014</v>
      </c>
      <c r="T431">
        <v>12</v>
      </c>
      <c r="U431" t="s">
        <v>162</v>
      </c>
      <c r="V431" t="s">
        <v>422</v>
      </c>
      <c r="W431">
        <v>2015</v>
      </c>
      <c r="X431">
        <v>12</v>
      </c>
      <c r="Y431" t="s">
        <v>123</v>
      </c>
      <c r="Z431">
        <v>2015</v>
      </c>
      <c r="AA431">
        <v>2015</v>
      </c>
      <c r="AB431" s="5">
        <v>0.97125015263400005</v>
      </c>
      <c r="AC431" s="5">
        <v>0.97125015263400005</v>
      </c>
      <c r="AD431" t="s">
        <v>162</v>
      </c>
      <c r="AE431" t="s">
        <v>166</v>
      </c>
      <c r="AF431" t="s">
        <v>151</v>
      </c>
      <c r="AG431" t="s">
        <v>163</v>
      </c>
      <c r="AH431" t="s">
        <v>162</v>
      </c>
      <c r="AI431" t="s">
        <v>162</v>
      </c>
      <c r="AJ431" t="s">
        <v>162</v>
      </c>
      <c r="AK431" t="s">
        <v>162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 s="60">
        <f t="shared" si="6"/>
        <v>1</v>
      </c>
      <c r="AU431" s="95">
        <v>43350</v>
      </c>
      <c r="AV431" s="94" t="s">
        <v>165</v>
      </c>
      <c r="AW431" t="s">
        <v>163</v>
      </c>
      <c r="AX431">
        <v>2</v>
      </c>
      <c r="AY431" t="s">
        <v>167</v>
      </c>
      <c r="AZ431" t="s">
        <v>162</v>
      </c>
    </row>
    <row r="432" spans="1:52" x14ac:dyDescent="0.25">
      <c r="A432">
        <v>421</v>
      </c>
      <c r="B432" t="s">
        <v>256</v>
      </c>
      <c r="C432" t="s">
        <v>151</v>
      </c>
      <c r="D432" t="s">
        <v>257</v>
      </c>
      <c r="E432" t="s">
        <v>222</v>
      </c>
      <c r="F432" t="s">
        <v>162</v>
      </c>
      <c r="G432">
        <v>3763</v>
      </c>
      <c r="H432">
        <v>3762</v>
      </c>
      <c r="I432" t="s">
        <v>680</v>
      </c>
      <c r="J432">
        <v>3401</v>
      </c>
      <c r="K432">
        <v>3400</v>
      </c>
      <c r="L432" t="s">
        <v>672</v>
      </c>
      <c r="M432">
        <v>4</v>
      </c>
      <c r="N432" t="s">
        <v>11</v>
      </c>
      <c r="O432" t="s">
        <v>11</v>
      </c>
      <c r="P432" t="s">
        <v>175</v>
      </c>
      <c r="Q432" t="s">
        <v>162</v>
      </c>
      <c r="R432" t="s">
        <v>673</v>
      </c>
      <c r="S432">
        <v>2003</v>
      </c>
      <c r="T432">
        <v>10</v>
      </c>
      <c r="U432" t="s">
        <v>162</v>
      </c>
      <c r="V432" t="s">
        <v>422</v>
      </c>
      <c r="W432">
        <v>2015</v>
      </c>
      <c r="X432">
        <v>12</v>
      </c>
      <c r="Y432" t="s">
        <v>123</v>
      </c>
      <c r="Z432">
        <v>2015</v>
      </c>
      <c r="AA432">
        <v>2015</v>
      </c>
      <c r="AB432" s="5">
        <v>0.55526951260199997</v>
      </c>
      <c r="AC432" s="5">
        <v>1.1105390252</v>
      </c>
      <c r="AD432" t="s">
        <v>162</v>
      </c>
      <c r="AE432" t="s">
        <v>163</v>
      </c>
      <c r="AF432" t="s">
        <v>162</v>
      </c>
      <c r="AG432" t="s">
        <v>162</v>
      </c>
      <c r="AH432" t="s">
        <v>162</v>
      </c>
      <c r="AI432" t="s">
        <v>162</v>
      </c>
      <c r="AJ432" t="s">
        <v>162</v>
      </c>
      <c r="AK432" t="s">
        <v>162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 s="60">
        <f t="shared" si="6"/>
        <v>1</v>
      </c>
      <c r="AU432" s="95">
        <v>43335</v>
      </c>
      <c r="AV432" t="s">
        <v>165</v>
      </c>
      <c r="AW432" t="s">
        <v>162</v>
      </c>
      <c r="AX432">
        <v>2</v>
      </c>
      <c r="AY432" t="s">
        <v>167</v>
      </c>
      <c r="AZ432" t="s">
        <v>162</v>
      </c>
    </row>
    <row r="433" spans="1:52" x14ac:dyDescent="0.25">
      <c r="A433">
        <v>422</v>
      </c>
      <c r="B433" t="s">
        <v>453</v>
      </c>
      <c r="C433" t="s">
        <v>180</v>
      </c>
      <c r="D433" t="s">
        <v>454</v>
      </c>
      <c r="E433" t="s">
        <v>216</v>
      </c>
      <c r="F433" t="s">
        <v>162</v>
      </c>
      <c r="G433">
        <v>1700</v>
      </c>
      <c r="H433">
        <v>1701</v>
      </c>
      <c r="I433" t="s">
        <v>1043</v>
      </c>
      <c r="J433">
        <v>1400</v>
      </c>
      <c r="K433">
        <v>1401</v>
      </c>
      <c r="L433" t="s">
        <v>1044</v>
      </c>
      <c r="M433">
        <v>3</v>
      </c>
      <c r="N433" t="s">
        <v>9</v>
      </c>
      <c r="O433" t="s">
        <v>9</v>
      </c>
      <c r="P433" t="s">
        <v>175</v>
      </c>
      <c r="Q433" t="s">
        <v>1163</v>
      </c>
      <c r="R433" t="s">
        <v>987</v>
      </c>
      <c r="S433">
        <v>2015</v>
      </c>
      <c r="T433">
        <v>11</v>
      </c>
      <c r="U433" t="s">
        <v>123</v>
      </c>
      <c r="V433" t="s">
        <v>162</v>
      </c>
      <c r="W433">
        <v>0</v>
      </c>
      <c r="X433">
        <v>0</v>
      </c>
      <c r="Y433" t="s">
        <v>162</v>
      </c>
      <c r="Z433">
        <v>2021</v>
      </c>
      <c r="AA433">
        <v>2015</v>
      </c>
      <c r="AB433" s="5">
        <v>0.31446424669299999</v>
      </c>
      <c r="AC433" s="5">
        <v>0.62892849338599999</v>
      </c>
      <c r="AD433" t="s">
        <v>162</v>
      </c>
      <c r="AE433" t="s">
        <v>163</v>
      </c>
      <c r="AF433" t="s">
        <v>162</v>
      </c>
      <c r="AG433" t="s">
        <v>162</v>
      </c>
      <c r="AH433" t="s">
        <v>162</v>
      </c>
      <c r="AI433" t="s">
        <v>162</v>
      </c>
      <c r="AJ433" t="s">
        <v>162</v>
      </c>
      <c r="AK433" t="s">
        <v>162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 s="60">
        <f t="shared" si="6"/>
        <v>1</v>
      </c>
      <c r="AU433" s="95" t="s">
        <v>530</v>
      </c>
      <c r="AV433" s="94" t="s">
        <v>165</v>
      </c>
      <c r="AW433" t="s">
        <v>166</v>
      </c>
      <c r="AX433">
        <v>2</v>
      </c>
      <c r="AY433" t="s">
        <v>167</v>
      </c>
      <c r="AZ433" t="s">
        <v>162</v>
      </c>
    </row>
    <row r="434" spans="1:52" x14ac:dyDescent="0.25">
      <c r="A434">
        <v>423</v>
      </c>
      <c r="B434" t="s">
        <v>256</v>
      </c>
      <c r="C434" t="s">
        <v>151</v>
      </c>
      <c r="D434" t="s">
        <v>257</v>
      </c>
      <c r="E434" t="s">
        <v>222</v>
      </c>
      <c r="F434" t="s">
        <v>162</v>
      </c>
      <c r="G434">
        <v>4759</v>
      </c>
      <c r="H434">
        <v>4758</v>
      </c>
      <c r="I434" t="s">
        <v>833</v>
      </c>
      <c r="J434">
        <v>4701</v>
      </c>
      <c r="K434">
        <v>4700</v>
      </c>
      <c r="L434" t="s">
        <v>1164</v>
      </c>
      <c r="M434">
        <v>4</v>
      </c>
      <c r="N434" t="s">
        <v>9</v>
      </c>
      <c r="O434" t="s">
        <v>9</v>
      </c>
      <c r="P434" t="s">
        <v>157</v>
      </c>
      <c r="Q434" t="s">
        <v>162</v>
      </c>
      <c r="R434" t="s">
        <v>407</v>
      </c>
      <c r="S434">
        <v>2018</v>
      </c>
      <c r="T434">
        <v>9</v>
      </c>
      <c r="U434" t="s">
        <v>162</v>
      </c>
      <c r="V434" t="s">
        <v>162</v>
      </c>
      <c r="W434">
        <v>0</v>
      </c>
      <c r="X434">
        <v>0</v>
      </c>
      <c r="Y434" t="s">
        <v>162</v>
      </c>
      <c r="Z434">
        <v>2018</v>
      </c>
      <c r="AA434">
        <v>2003</v>
      </c>
      <c r="AB434" s="5">
        <v>0.12726493366700001</v>
      </c>
      <c r="AC434" s="5">
        <v>0.25452986733400002</v>
      </c>
      <c r="AD434" t="s">
        <v>162</v>
      </c>
      <c r="AE434" t="s">
        <v>163</v>
      </c>
      <c r="AF434" t="s">
        <v>162</v>
      </c>
      <c r="AG434" t="s">
        <v>162</v>
      </c>
      <c r="AH434" t="s">
        <v>162</v>
      </c>
      <c r="AI434" t="s">
        <v>162</v>
      </c>
      <c r="AJ434" t="s">
        <v>162</v>
      </c>
      <c r="AK434" t="s">
        <v>162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 s="60">
        <f t="shared" si="6"/>
        <v>1</v>
      </c>
      <c r="AU434" s="95">
        <v>43335</v>
      </c>
      <c r="AV434" t="s">
        <v>165</v>
      </c>
      <c r="AW434" t="s">
        <v>163</v>
      </c>
      <c r="AX434">
        <v>2</v>
      </c>
      <c r="AY434" t="s">
        <v>167</v>
      </c>
      <c r="AZ434" t="s">
        <v>162</v>
      </c>
    </row>
    <row r="435" spans="1:52" x14ac:dyDescent="0.25">
      <c r="A435">
        <v>424</v>
      </c>
      <c r="B435" t="s">
        <v>256</v>
      </c>
      <c r="C435" t="s">
        <v>151</v>
      </c>
      <c r="D435" t="s">
        <v>257</v>
      </c>
      <c r="E435" t="s">
        <v>222</v>
      </c>
      <c r="F435" t="s">
        <v>162</v>
      </c>
      <c r="G435">
        <v>4667</v>
      </c>
      <c r="H435">
        <v>4666</v>
      </c>
      <c r="I435" t="s">
        <v>1164</v>
      </c>
      <c r="J435">
        <v>4401</v>
      </c>
      <c r="K435">
        <v>4400</v>
      </c>
      <c r="L435" t="s">
        <v>430</v>
      </c>
      <c r="M435">
        <v>4</v>
      </c>
      <c r="N435" t="s">
        <v>9</v>
      </c>
      <c r="O435" t="s">
        <v>9</v>
      </c>
      <c r="P435" t="s">
        <v>157</v>
      </c>
      <c r="Q435" t="s">
        <v>162</v>
      </c>
      <c r="R435" t="s">
        <v>407</v>
      </c>
      <c r="S435">
        <v>2018</v>
      </c>
      <c r="T435">
        <v>9</v>
      </c>
      <c r="U435" t="s">
        <v>162</v>
      </c>
      <c r="V435" t="s">
        <v>162</v>
      </c>
      <c r="W435">
        <v>0</v>
      </c>
      <c r="X435">
        <v>0</v>
      </c>
      <c r="Y435" t="s">
        <v>162</v>
      </c>
      <c r="Z435">
        <v>2018</v>
      </c>
      <c r="AA435">
        <v>2015</v>
      </c>
      <c r="AB435" s="5">
        <v>0.37951285657400002</v>
      </c>
      <c r="AC435" s="5">
        <v>0.75902571314800005</v>
      </c>
      <c r="AD435" t="s">
        <v>162</v>
      </c>
      <c r="AE435" t="s">
        <v>163</v>
      </c>
      <c r="AF435" t="s">
        <v>162</v>
      </c>
      <c r="AG435" t="s">
        <v>162</v>
      </c>
      <c r="AH435" t="s">
        <v>162</v>
      </c>
      <c r="AI435" t="s">
        <v>162</v>
      </c>
      <c r="AJ435" t="s">
        <v>162</v>
      </c>
      <c r="AK435" t="s">
        <v>162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 s="60">
        <f t="shared" si="6"/>
        <v>1</v>
      </c>
      <c r="AU435" s="95">
        <v>43335</v>
      </c>
      <c r="AV435" t="s">
        <v>165</v>
      </c>
      <c r="AW435" t="s">
        <v>163</v>
      </c>
      <c r="AX435">
        <v>2</v>
      </c>
      <c r="AY435" t="s">
        <v>167</v>
      </c>
      <c r="AZ435" t="s">
        <v>162</v>
      </c>
    </row>
    <row r="436" spans="1:52" x14ac:dyDescent="0.25">
      <c r="A436">
        <v>425</v>
      </c>
      <c r="B436" t="s">
        <v>284</v>
      </c>
      <c r="C436" t="s">
        <v>203</v>
      </c>
      <c r="D436" t="s">
        <v>285</v>
      </c>
      <c r="E436" t="s">
        <v>172</v>
      </c>
      <c r="F436" t="s">
        <v>162</v>
      </c>
      <c r="G436">
        <v>1400</v>
      </c>
      <c r="H436">
        <v>1401</v>
      </c>
      <c r="I436" t="s">
        <v>206</v>
      </c>
      <c r="J436">
        <v>8301</v>
      </c>
      <c r="K436">
        <v>0</v>
      </c>
      <c r="L436" t="s">
        <v>818</v>
      </c>
      <c r="M436">
        <v>3</v>
      </c>
      <c r="N436" t="s">
        <v>15</v>
      </c>
      <c r="O436" t="s">
        <v>15</v>
      </c>
      <c r="P436" t="s">
        <v>175</v>
      </c>
      <c r="Q436" t="s">
        <v>162</v>
      </c>
      <c r="R436" t="s">
        <v>479</v>
      </c>
      <c r="S436">
        <v>2005</v>
      </c>
      <c r="T436">
        <v>7</v>
      </c>
      <c r="U436" t="s">
        <v>162</v>
      </c>
      <c r="V436" t="s">
        <v>422</v>
      </c>
      <c r="W436">
        <v>2016</v>
      </c>
      <c r="X436">
        <v>5</v>
      </c>
      <c r="Y436" t="s">
        <v>123</v>
      </c>
      <c r="Z436">
        <v>2016</v>
      </c>
      <c r="AA436">
        <v>2016</v>
      </c>
      <c r="AB436" s="5">
        <v>0.26245481782800001</v>
      </c>
      <c r="AC436" s="5">
        <v>0.52490963565600002</v>
      </c>
      <c r="AD436" t="s">
        <v>162</v>
      </c>
      <c r="AE436" t="s">
        <v>163</v>
      </c>
      <c r="AF436" t="s">
        <v>162</v>
      </c>
      <c r="AG436" t="s">
        <v>162</v>
      </c>
      <c r="AH436" t="s">
        <v>162</v>
      </c>
      <c r="AI436" t="s">
        <v>162</v>
      </c>
      <c r="AJ436" t="s">
        <v>162</v>
      </c>
      <c r="AK436" t="s">
        <v>162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 s="60">
        <f t="shared" si="6"/>
        <v>1</v>
      </c>
      <c r="AU436" s="95">
        <v>43336</v>
      </c>
      <c r="AV436" s="94" t="s">
        <v>165</v>
      </c>
      <c r="AW436" t="s">
        <v>162</v>
      </c>
      <c r="AX436">
        <v>2</v>
      </c>
      <c r="AY436" t="s">
        <v>167</v>
      </c>
      <c r="AZ436" t="s">
        <v>162</v>
      </c>
    </row>
    <row r="437" spans="1:52" x14ac:dyDescent="0.25">
      <c r="A437">
        <v>426</v>
      </c>
      <c r="B437" t="s">
        <v>453</v>
      </c>
      <c r="C437" t="s">
        <v>163</v>
      </c>
      <c r="D437" t="s">
        <v>454</v>
      </c>
      <c r="E437" t="s">
        <v>216</v>
      </c>
      <c r="F437" t="s">
        <v>162</v>
      </c>
      <c r="G437">
        <v>4000</v>
      </c>
      <c r="H437">
        <v>4001</v>
      </c>
      <c r="I437" t="s">
        <v>477</v>
      </c>
      <c r="J437">
        <v>4358</v>
      </c>
      <c r="K437">
        <v>4359</v>
      </c>
      <c r="L437" t="s">
        <v>445</v>
      </c>
      <c r="M437">
        <v>3</v>
      </c>
      <c r="N437" t="s">
        <v>11</v>
      </c>
      <c r="O437" t="s">
        <v>11</v>
      </c>
      <c r="P437" t="s">
        <v>175</v>
      </c>
      <c r="Q437" t="s">
        <v>162</v>
      </c>
      <c r="R437" t="s">
        <v>1165</v>
      </c>
      <c r="S437">
        <v>2000</v>
      </c>
      <c r="T437">
        <v>10</v>
      </c>
      <c r="U437" t="s">
        <v>162</v>
      </c>
      <c r="V437" t="s">
        <v>540</v>
      </c>
      <c r="W437">
        <v>2015</v>
      </c>
      <c r="X437">
        <v>10</v>
      </c>
      <c r="Y437" t="s">
        <v>1166</v>
      </c>
      <c r="Z437">
        <v>2004</v>
      </c>
      <c r="AA437">
        <v>2015</v>
      </c>
      <c r="AB437" s="5">
        <v>0.50403640822200002</v>
      </c>
      <c r="AC437" s="5">
        <v>1.0080728164399999</v>
      </c>
      <c r="AD437" t="s">
        <v>162</v>
      </c>
      <c r="AE437" t="s">
        <v>163</v>
      </c>
      <c r="AF437" t="s">
        <v>162</v>
      </c>
      <c r="AG437" t="s">
        <v>162</v>
      </c>
      <c r="AH437" t="s">
        <v>162</v>
      </c>
      <c r="AI437" t="s">
        <v>162</v>
      </c>
      <c r="AJ437" t="s">
        <v>162</v>
      </c>
      <c r="AK437" t="s">
        <v>162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 s="60">
        <f t="shared" si="6"/>
        <v>1</v>
      </c>
      <c r="AU437" s="95">
        <v>43340</v>
      </c>
      <c r="AV437" s="94" t="s">
        <v>165</v>
      </c>
      <c r="AW437" t="s">
        <v>162</v>
      </c>
      <c r="AX437">
        <v>2</v>
      </c>
      <c r="AY437" t="s">
        <v>167</v>
      </c>
      <c r="AZ437" t="s">
        <v>162</v>
      </c>
    </row>
    <row r="438" spans="1:52" x14ac:dyDescent="0.25">
      <c r="A438">
        <v>427</v>
      </c>
      <c r="B438" t="s">
        <v>284</v>
      </c>
      <c r="C438" t="s">
        <v>203</v>
      </c>
      <c r="D438" t="s">
        <v>285</v>
      </c>
      <c r="E438" t="s">
        <v>172</v>
      </c>
      <c r="F438" t="s">
        <v>162</v>
      </c>
      <c r="G438">
        <v>2428</v>
      </c>
      <c r="H438">
        <v>2425</v>
      </c>
      <c r="I438" t="s">
        <v>1036</v>
      </c>
      <c r="J438">
        <v>2632</v>
      </c>
      <c r="K438">
        <v>2633</v>
      </c>
      <c r="L438" t="s">
        <v>792</v>
      </c>
      <c r="M438">
        <v>3</v>
      </c>
      <c r="N438" t="s">
        <v>11</v>
      </c>
      <c r="O438" t="s">
        <v>11</v>
      </c>
      <c r="P438" t="s">
        <v>175</v>
      </c>
      <c r="Q438" t="s">
        <v>162</v>
      </c>
      <c r="R438" t="s">
        <v>253</v>
      </c>
      <c r="S438">
        <v>2004</v>
      </c>
      <c r="T438">
        <v>9</v>
      </c>
      <c r="U438" t="s">
        <v>162</v>
      </c>
      <c r="V438" t="s">
        <v>238</v>
      </c>
      <c r="W438">
        <v>2018</v>
      </c>
      <c r="X438">
        <v>7</v>
      </c>
      <c r="Y438" t="s">
        <v>123</v>
      </c>
      <c r="Z438">
        <v>2018</v>
      </c>
      <c r="AA438">
        <v>2018</v>
      </c>
      <c r="AB438" s="5">
        <v>0.37703508145999998</v>
      </c>
      <c r="AC438" s="5">
        <v>0.75407016291999995</v>
      </c>
      <c r="AD438" t="s">
        <v>162</v>
      </c>
      <c r="AE438" t="s">
        <v>163</v>
      </c>
      <c r="AF438" t="s">
        <v>162</v>
      </c>
      <c r="AG438" t="s">
        <v>162</v>
      </c>
      <c r="AH438" t="s">
        <v>162</v>
      </c>
      <c r="AI438" t="s">
        <v>162</v>
      </c>
      <c r="AJ438" t="s">
        <v>162</v>
      </c>
      <c r="AK438" t="s">
        <v>162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 s="60">
        <f t="shared" si="6"/>
        <v>1</v>
      </c>
      <c r="AU438" s="95">
        <v>43336</v>
      </c>
      <c r="AV438" s="94" t="s">
        <v>165</v>
      </c>
      <c r="AW438" t="s">
        <v>162</v>
      </c>
      <c r="AX438">
        <v>2</v>
      </c>
      <c r="AY438" t="s">
        <v>167</v>
      </c>
      <c r="AZ438" t="s">
        <v>162</v>
      </c>
    </row>
    <row r="439" spans="1:52" x14ac:dyDescent="0.25">
      <c r="A439">
        <v>428</v>
      </c>
      <c r="B439" t="s">
        <v>284</v>
      </c>
      <c r="C439" t="s">
        <v>203</v>
      </c>
      <c r="D439" t="s">
        <v>285</v>
      </c>
      <c r="E439" t="s">
        <v>172</v>
      </c>
      <c r="F439" t="s">
        <v>162</v>
      </c>
      <c r="G439">
        <v>2958</v>
      </c>
      <c r="H439">
        <v>2959</v>
      </c>
      <c r="I439" t="s">
        <v>793</v>
      </c>
      <c r="J439">
        <v>3026</v>
      </c>
      <c r="K439">
        <v>3027</v>
      </c>
      <c r="L439" t="s">
        <v>826</v>
      </c>
      <c r="M439">
        <v>3</v>
      </c>
      <c r="N439" t="s">
        <v>11</v>
      </c>
      <c r="O439" t="s">
        <v>11</v>
      </c>
      <c r="P439" t="s">
        <v>175</v>
      </c>
      <c r="Q439" t="s">
        <v>162</v>
      </c>
      <c r="R439" t="s">
        <v>253</v>
      </c>
      <c r="S439">
        <v>2004</v>
      </c>
      <c r="T439">
        <v>9</v>
      </c>
      <c r="U439" t="s">
        <v>162</v>
      </c>
      <c r="V439" t="s">
        <v>238</v>
      </c>
      <c r="W439">
        <v>2018</v>
      </c>
      <c r="X439">
        <v>7</v>
      </c>
      <c r="Y439" t="s">
        <v>123</v>
      </c>
      <c r="Z439">
        <v>2018</v>
      </c>
      <c r="AA439">
        <v>2018</v>
      </c>
      <c r="AB439" s="5">
        <v>0.12595597788400001</v>
      </c>
      <c r="AC439" s="5">
        <v>0.25191195576800002</v>
      </c>
      <c r="AD439" t="s">
        <v>162</v>
      </c>
      <c r="AE439" t="s">
        <v>163</v>
      </c>
      <c r="AF439" t="s">
        <v>162</v>
      </c>
      <c r="AG439" t="s">
        <v>162</v>
      </c>
      <c r="AH439" t="s">
        <v>162</v>
      </c>
      <c r="AI439" t="s">
        <v>162</v>
      </c>
      <c r="AJ439" t="s">
        <v>162</v>
      </c>
      <c r="AK439" t="s">
        <v>162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 s="60">
        <f t="shared" si="6"/>
        <v>1</v>
      </c>
      <c r="AU439" s="95">
        <v>43336</v>
      </c>
      <c r="AV439" t="s">
        <v>165</v>
      </c>
      <c r="AW439" t="s">
        <v>162</v>
      </c>
      <c r="AX439">
        <v>2</v>
      </c>
      <c r="AY439" t="s">
        <v>167</v>
      </c>
      <c r="AZ439" t="s">
        <v>162</v>
      </c>
    </row>
    <row r="440" spans="1:52" x14ac:dyDescent="0.25">
      <c r="A440">
        <v>429</v>
      </c>
      <c r="B440" t="s">
        <v>665</v>
      </c>
      <c r="C440" t="s">
        <v>151</v>
      </c>
      <c r="D440" t="s">
        <v>666</v>
      </c>
      <c r="E440" t="s">
        <v>172</v>
      </c>
      <c r="F440" t="s">
        <v>162</v>
      </c>
      <c r="G440">
        <v>347</v>
      </c>
      <c r="H440">
        <v>332</v>
      </c>
      <c r="I440" t="s">
        <v>1167</v>
      </c>
      <c r="J440">
        <v>1</v>
      </c>
      <c r="K440">
        <v>2</v>
      </c>
      <c r="L440" t="s">
        <v>639</v>
      </c>
      <c r="M440">
        <v>4</v>
      </c>
      <c r="N440" t="s">
        <v>15</v>
      </c>
      <c r="O440" t="s">
        <v>15</v>
      </c>
      <c r="P440" t="s">
        <v>175</v>
      </c>
      <c r="Q440" t="s">
        <v>162</v>
      </c>
      <c r="R440" t="s">
        <v>249</v>
      </c>
      <c r="S440">
        <v>2007</v>
      </c>
      <c r="T440">
        <v>7</v>
      </c>
      <c r="U440" t="s">
        <v>1168</v>
      </c>
      <c r="V440" t="s">
        <v>225</v>
      </c>
      <c r="W440">
        <v>2018</v>
      </c>
      <c r="X440">
        <v>5</v>
      </c>
      <c r="Y440" t="s">
        <v>1169</v>
      </c>
      <c r="Z440">
        <v>2018</v>
      </c>
      <c r="AA440">
        <v>0</v>
      </c>
      <c r="AB440" s="5">
        <v>0.32503986228699999</v>
      </c>
      <c r="AC440" s="5">
        <v>0.65007972457399998</v>
      </c>
      <c r="AD440" t="s">
        <v>162</v>
      </c>
      <c r="AE440" t="s">
        <v>163</v>
      </c>
      <c r="AF440" t="s">
        <v>162</v>
      </c>
      <c r="AG440" t="s">
        <v>162</v>
      </c>
      <c r="AH440" t="s">
        <v>162</v>
      </c>
      <c r="AI440" t="s">
        <v>162</v>
      </c>
      <c r="AJ440" t="s">
        <v>162</v>
      </c>
      <c r="AK440" t="s">
        <v>166</v>
      </c>
      <c r="AL440">
        <v>2018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 s="60">
        <f t="shared" si="6"/>
        <v>1</v>
      </c>
      <c r="AU440" s="95">
        <v>43343</v>
      </c>
      <c r="AV440" s="94" t="s">
        <v>165</v>
      </c>
      <c r="AW440" t="s">
        <v>162</v>
      </c>
      <c r="AX440">
        <v>3</v>
      </c>
      <c r="AY440" t="s">
        <v>167</v>
      </c>
      <c r="AZ440" t="s">
        <v>162</v>
      </c>
    </row>
    <row r="441" spans="1:52" x14ac:dyDescent="0.25">
      <c r="A441">
        <v>430</v>
      </c>
      <c r="B441" t="s">
        <v>284</v>
      </c>
      <c r="C441" t="s">
        <v>203</v>
      </c>
      <c r="D441" t="s">
        <v>285</v>
      </c>
      <c r="E441" t="s">
        <v>172</v>
      </c>
      <c r="F441" t="s">
        <v>162</v>
      </c>
      <c r="G441">
        <v>500</v>
      </c>
      <c r="H441">
        <v>501</v>
      </c>
      <c r="I441" t="s">
        <v>251</v>
      </c>
      <c r="J441">
        <v>558</v>
      </c>
      <c r="K441">
        <v>559</v>
      </c>
      <c r="L441" t="s">
        <v>825</v>
      </c>
      <c r="M441">
        <v>3</v>
      </c>
      <c r="N441" t="s">
        <v>15</v>
      </c>
      <c r="O441" t="s">
        <v>15</v>
      </c>
      <c r="P441" t="s">
        <v>175</v>
      </c>
      <c r="Q441" t="s">
        <v>162</v>
      </c>
      <c r="R441" t="s">
        <v>249</v>
      </c>
      <c r="S441">
        <v>2007</v>
      </c>
      <c r="T441">
        <v>5</v>
      </c>
      <c r="U441" t="s">
        <v>162</v>
      </c>
      <c r="V441" t="s">
        <v>422</v>
      </c>
      <c r="W441">
        <v>2016</v>
      </c>
      <c r="X441">
        <v>5</v>
      </c>
      <c r="Y441" t="s">
        <v>123</v>
      </c>
      <c r="Z441">
        <v>2016</v>
      </c>
      <c r="AA441">
        <v>2016</v>
      </c>
      <c r="AB441" s="5">
        <v>0.12543611763500001</v>
      </c>
      <c r="AC441" s="5">
        <v>0.25087223527000002</v>
      </c>
      <c r="AD441" t="s">
        <v>162</v>
      </c>
      <c r="AE441" t="s">
        <v>163</v>
      </c>
      <c r="AF441" t="s">
        <v>162</v>
      </c>
      <c r="AG441" t="s">
        <v>162</v>
      </c>
      <c r="AH441" t="s">
        <v>162</v>
      </c>
      <c r="AI441" t="s">
        <v>162</v>
      </c>
      <c r="AJ441" t="s">
        <v>162</v>
      </c>
      <c r="AK441" t="s">
        <v>162</v>
      </c>
      <c r="AL441">
        <v>0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 s="60">
        <f t="shared" si="6"/>
        <v>1</v>
      </c>
      <c r="AU441" s="95">
        <v>43336</v>
      </c>
      <c r="AV441" s="94" t="s">
        <v>165</v>
      </c>
      <c r="AW441" t="s">
        <v>162</v>
      </c>
      <c r="AX441">
        <v>2</v>
      </c>
      <c r="AY441" t="s">
        <v>167</v>
      </c>
      <c r="AZ441" t="s">
        <v>162</v>
      </c>
    </row>
    <row r="442" spans="1:52" x14ac:dyDescent="0.25">
      <c r="A442">
        <v>431</v>
      </c>
      <c r="B442" t="s">
        <v>681</v>
      </c>
      <c r="C442" t="s">
        <v>151</v>
      </c>
      <c r="D442" t="s">
        <v>682</v>
      </c>
      <c r="E442" t="s">
        <v>216</v>
      </c>
      <c r="F442" t="s">
        <v>162</v>
      </c>
      <c r="G442">
        <v>2181</v>
      </c>
      <c r="H442">
        <v>2180</v>
      </c>
      <c r="I442" t="s">
        <v>326</v>
      </c>
      <c r="J442">
        <v>2143</v>
      </c>
      <c r="K442">
        <v>2142</v>
      </c>
      <c r="L442" t="s">
        <v>1042</v>
      </c>
      <c r="M442">
        <v>4</v>
      </c>
      <c r="N442" t="s">
        <v>15</v>
      </c>
      <c r="O442" t="s">
        <v>15</v>
      </c>
      <c r="P442" t="s">
        <v>169</v>
      </c>
      <c r="Q442" t="s">
        <v>162</v>
      </c>
      <c r="R442" t="s">
        <v>577</v>
      </c>
      <c r="S442">
        <v>2008</v>
      </c>
      <c r="T442">
        <v>9</v>
      </c>
      <c r="U442" t="s">
        <v>162</v>
      </c>
      <c r="V442" t="s">
        <v>540</v>
      </c>
      <c r="W442">
        <v>2015</v>
      </c>
      <c r="X442">
        <v>10</v>
      </c>
      <c r="Y442" t="s">
        <v>123</v>
      </c>
      <c r="Z442">
        <v>2015</v>
      </c>
      <c r="AA442">
        <v>2015</v>
      </c>
      <c r="AB442" s="5">
        <v>8.3766818713100002E-2</v>
      </c>
      <c r="AC442" s="5">
        <v>0.167533637426</v>
      </c>
      <c r="AD442" t="s">
        <v>162</v>
      </c>
      <c r="AE442" t="s">
        <v>163</v>
      </c>
      <c r="AF442" t="s">
        <v>162</v>
      </c>
      <c r="AG442" t="s">
        <v>162</v>
      </c>
      <c r="AH442" t="s">
        <v>162</v>
      </c>
      <c r="AI442" t="s">
        <v>162</v>
      </c>
      <c r="AJ442" t="s">
        <v>162</v>
      </c>
      <c r="AK442" t="s">
        <v>162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 s="60">
        <f t="shared" si="6"/>
        <v>1</v>
      </c>
      <c r="AU442" s="95">
        <v>43343</v>
      </c>
      <c r="AV442" s="94" t="s">
        <v>165</v>
      </c>
      <c r="AW442" t="s">
        <v>162</v>
      </c>
      <c r="AX442">
        <v>2</v>
      </c>
      <c r="AY442" t="s">
        <v>167</v>
      </c>
      <c r="AZ442" t="s">
        <v>162</v>
      </c>
    </row>
    <row r="443" spans="1:52" x14ac:dyDescent="0.25">
      <c r="A443">
        <v>432</v>
      </c>
      <c r="B443" t="s">
        <v>635</v>
      </c>
      <c r="C443" t="s">
        <v>203</v>
      </c>
      <c r="D443" t="s">
        <v>636</v>
      </c>
      <c r="E443" t="s">
        <v>172</v>
      </c>
      <c r="F443" t="s">
        <v>151</v>
      </c>
      <c r="G443">
        <v>200</v>
      </c>
      <c r="H443">
        <v>201</v>
      </c>
      <c r="I443" t="s">
        <v>1170</v>
      </c>
      <c r="J443">
        <v>248</v>
      </c>
      <c r="K443">
        <v>249</v>
      </c>
      <c r="L443" t="s">
        <v>637</v>
      </c>
      <c r="M443">
        <v>4</v>
      </c>
      <c r="N443" t="s">
        <v>11</v>
      </c>
      <c r="O443" t="s">
        <v>11</v>
      </c>
      <c r="P443" t="s">
        <v>169</v>
      </c>
      <c r="Q443" t="s">
        <v>162</v>
      </c>
      <c r="R443" t="s">
        <v>253</v>
      </c>
      <c r="S443">
        <v>2003</v>
      </c>
      <c r="T443">
        <v>7</v>
      </c>
      <c r="U443" t="s">
        <v>162</v>
      </c>
      <c r="V443" t="s">
        <v>289</v>
      </c>
      <c r="W443">
        <v>2015</v>
      </c>
      <c r="X443">
        <v>11</v>
      </c>
      <c r="Y443" t="s">
        <v>123</v>
      </c>
      <c r="Z443">
        <v>2015</v>
      </c>
      <c r="AA443">
        <v>2015</v>
      </c>
      <c r="AB443" s="5">
        <v>8.4741322169999994E-2</v>
      </c>
      <c r="AC443" s="5">
        <v>8.4741322169999994E-2</v>
      </c>
      <c r="AD443" t="s">
        <v>162</v>
      </c>
      <c r="AE443" t="s">
        <v>166</v>
      </c>
      <c r="AF443" t="s">
        <v>151</v>
      </c>
      <c r="AG443" t="s">
        <v>163</v>
      </c>
      <c r="AH443" t="s">
        <v>162</v>
      </c>
      <c r="AI443" t="s">
        <v>162</v>
      </c>
      <c r="AJ443" t="s">
        <v>162</v>
      </c>
      <c r="AK443" t="s">
        <v>162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 s="60">
        <f t="shared" si="6"/>
        <v>1</v>
      </c>
      <c r="AU443" s="95">
        <v>43362</v>
      </c>
      <c r="AV443" s="94" t="s">
        <v>165</v>
      </c>
      <c r="AW443" t="s">
        <v>162</v>
      </c>
      <c r="AX443">
        <v>2</v>
      </c>
      <c r="AY443" t="s">
        <v>167</v>
      </c>
      <c r="AZ443" t="s">
        <v>162</v>
      </c>
    </row>
    <row r="444" spans="1:52" x14ac:dyDescent="0.25">
      <c r="A444">
        <v>433</v>
      </c>
      <c r="B444" t="s">
        <v>635</v>
      </c>
      <c r="C444" t="s">
        <v>203</v>
      </c>
      <c r="D444" t="s">
        <v>636</v>
      </c>
      <c r="E444" t="s">
        <v>172</v>
      </c>
      <c r="F444" t="s">
        <v>151</v>
      </c>
      <c r="G444">
        <v>120</v>
      </c>
      <c r="H444">
        <v>121</v>
      </c>
      <c r="I444" t="s">
        <v>1171</v>
      </c>
      <c r="J444">
        <v>200</v>
      </c>
      <c r="K444">
        <v>201</v>
      </c>
      <c r="L444" t="s">
        <v>1170</v>
      </c>
      <c r="M444">
        <v>4</v>
      </c>
      <c r="N444" t="s">
        <v>9</v>
      </c>
      <c r="O444" t="s">
        <v>9</v>
      </c>
      <c r="P444" t="s">
        <v>169</v>
      </c>
      <c r="Q444" t="s">
        <v>162</v>
      </c>
      <c r="R444" t="s">
        <v>439</v>
      </c>
      <c r="S444">
        <v>2010</v>
      </c>
      <c r="T444">
        <v>0</v>
      </c>
      <c r="U444" t="s">
        <v>162</v>
      </c>
      <c r="V444" t="s">
        <v>162</v>
      </c>
      <c r="W444">
        <v>0</v>
      </c>
      <c r="X444">
        <v>0</v>
      </c>
      <c r="Y444" t="s">
        <v>162</v>
      </c>
      <c r="Z444">
        <v>2003</v>
      </c>
      <c r="AA444">
        <v>0</v>
      </c>
      <c r="AB444" s="5">
        <v>6.9766721446999996E-2</v>
      </c>
      <c r="AC444" s="5">
        <v>6.9766721446999996E-2</v>
      </c>
      <c r="AD444" t="s">
        <v>162</v>
      </c>
      <c r="AE444" t="s">
        <v>166</v>
      </c>
      <c r="AF444" t="s">
        <v>151</v>
      </c>
      <c r="AG444" t="s">
        <v>163</v>
      </c>
      <c r="AH444" t="s">
        <v>162</v>
      </c>
      <c r="AI444" t="s">
        <v>162</v>
      </c>
      <c r="AJ444" t="s">
        <v>162</v>
      </c>
      <c r="AK444" t="s">
        <v>162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 s="60">
        <f t="shared" si="6"/>
        <v>1</v>
      </c>
      <c r="AU444" s="95">
        <v>43362</v>
      </c>
      <c r="AV444" s="94" t="s">
        <v>165</v>
      </c>
      <c r="AW444" t="s">
        <v>163</v>
      </c>
      <c r="AX444">
        <v>2</v>
      </c>
      <c r="AY444" t="s">
        <v>167</v>
      </c>
      <c r="AZ444" t="s">
        <v>162</v>
      </c>
    </row>
    <row r="445" spans="1:52" x14ac:dyDescent="0.25">
      <c r="A445">
        <v>434</v>
      </c>
      <c r="B445" t="s">
        <v>635</v>
      </c>
      <c r="C445" t="s">
        <v>203</v>
      </c>
      <c r="D445" t="s">
        <v>636</v>
      </c>
      <c r="E445" t="s">
        <v>172</v>
      </c>
      <c r="F445" t="s">
        <v>203</v>
      </c>
      <c r="G445">
        <v>120</v>
      </c>
      <c r="H445">
        <v>121</v>
      </c>
      <c r="I445" t="s">
        <v>1171</v>
      </c>
      <c r="J445">
        <v>248</v>
      </c>
      <c r="K445">
        <v>249</v>
      </c>
      <c r="L445" t="s">
        <v>637</v>
      </c>
      <c r="M445">
        <v>4</v>
      </c>
      <c r="N445" t="s">
        <v>9</v>
      </c>
      <c r="O445" t="s">
        <v>9</v>
      </c>
      <c r="P445" t="s">
        <v>169</v>
      </c>
      <c r="Q445" t="s">
        <v>162</v>
      </c>
      <c r="R445" t="s">
        <v>253</v>
      </c>
      <c r="S445">
        <v>2003</v>
      </c>
      <c r="T445">
        <v>7</v>
      </c>
      <c r="U445" t="s">
        <v>162</v>
      </c>
      <c r="V445" t="s">
        <v>162</v>
      </c>
      <c r="W445">
        <v>0</v>
      </c>
      <c r="X445">
        <v>0</v>
      </c>
      <c r="Y445" t="s">
        <v>162</v>
      </c>
      <c r="Z445">
        <v>2003</v>
      </c>
      <c r="AA445">
        <v>0</v>
      </c>
      <c r="AB445" s="5">
        <v>0.15584183197900001</v>
      </c>
      <c r="AC445" s="5">
        <v>0.15584183197900001</v>
      </c>
      <c r="AD445" t="s">
        <v>162</v>
      </c>
      <c r="AE445" t="s">
        <v>166</v>
      </c>
      <c r="AF445" t="s">
        <v>203</v>
      </c>
      <c r="AG445" t="s">
        <v>163</v>
      </c>
      <c r="AH445" t="s">
        <v>162</v>
      </c>
      <c r="AI445" t="s">
        <v>162</v>
      </c>
      <c r="AJ445" t="s">
        <v>162</v>
      </c>
      <c r="AK445" t="s">
        <v>162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 s="60">
        <f t="shared" si="6"/>
        <v>1</v>
      </c>
      <c r="AU445" s="95" t="s">
        <v>1172</v>
      </c>
      <c r="AV445" s="94" t="s">
        <v>162</v>
      </c>
      <c r="AW445" t="s">
        <v>163</v>
      </c>
      <c r="AX445">
        <v>2</v>
      </c>
      <c r="AY445" t="s">
        <v>167</v>
      </c>
      <c r="AZ445" t="s">
        <v>162</v>
      </c>
    </row>
    <row r="446" spans="1:52" x14ac:dyDescent="0.25">
      <c r="A446">
        <v>435</v>
      </c>
      <c r="B446" t="s">
        <v>635</v>
      </c>
      <c r="C446" t="s">
        <v>203</v>
      </c>
      <c r="D446" t="s">
        <v>636</v>
      </c>
      <c r="E446" t="s">
        <v>172</v>
      </c>
      <c r="F446" t="s">
        <v>162</v>
      </c>
      <c r="G446">
        <v>100</v>
      </c>
      <c r="H446">
        <v>101</v>
      </c>
      <c r="I446" t="s">
        <v>1078</v>
      </c>
      <c r="J446">
        <v>118</v>
      </c>
      <c r="K446">
        <v>117</v>
      </c>
      <c r="L446" t="s">
        <v>1171</v>
      </c>
      <c r="M446">
        <v>4</v>
      </c>
      <c r="N446" t="s">
        <v>9</v>
      </c>
      <c r="O446" t="s">
        <v>9</v>
      </c>
      <c r="P446" t="s">
        <v>169</v>
      </c>
      <c r="Q446" t="s">
        <v>162</v>
      </c>
      <c r="R446" t="s">
        <v>253</v>
      </c>
      <c r="S446">
        <v>2003</v>
      </c>
      <c r="T446">
        <v>7</v>
      </c>
      <c r="U446" t="s">
        <v>162</v>
      </c>
      <c r="V446" t="s">
        <v>162</v>
      </c>
      <c r="W446">
        <v>0</v>
      </c>
      <c r="X446">
        <v>0</v>
      </c>
      <c r="Y446" t="s">
        <v>162</v>
      </c>
      <c r="Z446">
        <v>2003</v>
      </c>
      <c r="AA446">
        <v>0</v>
      </c>
      <c r="AB446" s="5">
        <v>4.2554637837499999E-2</v>
      </c>
      <c r="AC446" s="5">
        <v>8.5109275674999998E-2</v>
      </c>
      <c r="AD446" t="s">
        <v>162</v>
      </c>
      <c r="AE446" t="s">
        <v>163</v>
      </c>
      <c r="AF446" t="s">
        <v>162</v>
      </c>
      <c r="AG446" t="s">
        <v>162</v>
      </c>
      <c r="AH446" t="s">
        <v>162</v>
      </c>
      <c r="AI446" t="s">
        <v>162</v>
      </c>
      <c r="AJ446" t="s">
        <v>162</v>
      </c>
      <c r="AK446" t="s">
        <v>162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 s="60">
        <f t="shared" si="6"/>
        <v>1</v>
      </c>
      <c r="AU446" s="95" t="s">
        <v>1172</v>
      </c>
      <c r="AV446" t="s">
        <v>162</v>
      </c>
      <c r="AW446" t="s">
        <v>163</v>
      </c>
      <c r="AX446">
        <v>2</v>
      </c>
      <c r="AY446" t="s">
        <v>167</v>
      </c>
      <c r="AZ446" t="s">
        <v>162</v>
      </c>
    </row>
    <row r="447" spans="1:52" x14ac:dyDescent="0.25">
      <c r="A447">
        <v>436</v>
      </c>
      <c r="B447" t="s">
        <v>1173</v>
      </c>
      <c r="C447" t="s">
        <v>203</v>
      </c>
      <c r="D447" t="s">
        <v>1174</v>
      </c>
      <c r="E447" t="s">
        <v>172</v>
      </c>
      <c r="F447" t="s">
        <v>162</v>
      </c>
      <c r="G447">
        <v>200</v>
      </c>
      <c r="H447">
        <v>201</v>
      </c>
      <c r="I447" t="s">
        <v>1083</v>
      </c>
      <c r="J447">
        <v>358</v>
      </c>
      <c r="K447">
        <v>359</v>
      </c>
      <c r="L447" t="s">
        <v>264</v>
      </c>
      <c r="M447">
        <v>3</v>
      </c>
      <c r="N447" t="s">
        <v>11</v>
      </c>
      <c r="O447" t="s">
        <v>11</v>
      </c>
      <c r="P447" t="s">
        <v>175</v>
      </c>
      <c r="Q447" t="s">
        <v>1175</v>
      </c>
      <c r="R447" t="s">
        <v>320</v>
      </c>
      <c r="S447">
        <v>2015</v>
      </c>
      <c r="T447">
        <v>7</v>
      </c>
      <c r="U447" t="s">
        <v>123</v>
      </c>
      <c r="V447" t="s">
        <v>162</v>
      </c>
      <c r="W447">
        <v>0</v>
      </c>
      <c r="X447">
        <v>0</v>
      </c>
      <c r="Y447" t="s">
        <v>162</v>
      </c>
      <c r="Z447">
        <v>2015</v>
      </c>
      <c r="AA447">
        <v>2015</v>
      </c>
      <c r="AB447" s="5">
        <v>0.247639517488</v>
      </c>
      <c r="AC447" s="5">
        <v>0.49527903497600001</v>
      </c>
      <c r="AD447" t="s">
        <v>162</v>
      </c>
      <c r="AE447" t="s">
        <v>163</v>
      </c>
      <c r="AF447" t="s">
        <v>162</v>
      </c>
      <c r="AG447" t="s">
        <v>162</v>
      </c>
      <c r="AH447" t="s">
        <v>162</v>
      </c>
      <c r="AI447" t="s">
        <v>162</v>
      </c>
      <c r="AJ447" t="s">
        <v>162</v>
      </c>
      <c r="AK447" t="s">
        <v>162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 s="60">
        <f t="shared" si="6"/>
        <v>1</v>
      </c>
      <c r="AU447" s="95">
        <v>43348</v>
      </c>
      <c r="AV447" s="94" t="s">
        <v>165</v>
      </c>
      <c r="AW447" t="s">
        <v>162</v>
      </c>
      <c r="AX447">
        <v>2</v>
      </c>
      <c r="AY447" t="s">
        <v>167</v>
      </c>
      <c r="AZ447" t="s">
        <v>162</v>
      </c>
    </row>
    <row r="448" spans="1:52" x14ac:dyDescent="0.25">
      <c r="A448">
        <v>437</v>
      </c>
      <c r="B448" t="s">
        <v>573</v>
      </c>
      <c r="C448" t="s">
        <v>151</v>
      </c>
      <c r="D448" t="s">
        <v>574</v>
      </c>
      <c r="E448" t="s">
        <v>153</v>
      </c>
      <c r="F448" t="s">
        <v>162</v>
      </c>
      <c r="G448">
        <v>3333</v>
      </c>
      <c r="H448">
        <v>3330</v>
      </c>
      <c r="I448" t="s">
        <v>1176</v>
      </c>
      <c r="J448">
        <v>3225</v>
      </c>
      <c r="K448">
        <v>3228</v>
      </c>
      <c r="L448" t="s">
        <v>156</v>
      </c>
      <c r="M448">
        <v>2</v>
      </c>
      <c r="N448" t="s">
        <v>11</v>
      </c>
      <c r="O448" t="s">
        <v>11</v>
      </c>
      <c r="P448" t="s">
        <v>175</v>
      </c>
      <c r="Q448" t="s">
        <v>1177</v>
      </c>
      <c r="R448" t="s">
        <v>383</v>
      </c>
      <c r="S448">
        <v>2015</v>
      </c>
      <c r="T448">
        <v>5</v>
      </c>
      <c r="U448" t="s">
        <v>123</v>
      </c>
      <c r="V448" t="s">
        <v>162</v>
      </c>
      <c r="W448">
        <v>0</v>
      </c>
      <c r="X448">
        <v>0</v>
      </c>
      <c r="Y448" t="s">
        <v>162</v>
      </c>
      <c r="Z448">
        <v>2015</v>
      </c>
      <c r="AA448">
        <v>2015</v>
      </c>
      <c r="AB448" s="5">
        <v>0.25145383001900001</v>
      </c>
      <c r="AC448" s="5">
        <v>0.50290766003800003</v>
      </c>
      <c r="AD448" t="s">
        <v>162</v>
      </c>
      <c r="AE448" t="s">
        <v>163</v>
      </c>
      <c r="AF448" t="s">
        <v>162</v>
      </c>
      <c r="AG448" t="s">
        <v>162</v>
      </c>
      <c r="AH448" t="s">
        <v>162</v>
      </c>
      <c r="AI448" t="s">
        <v>162</v>
      </c>
      <c r="AJ448" t="s">
        <v>162</v>
      </c>
      <c r="AK448" t="s">
        <v>162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 s="60">
        <f t="shared" si="6"/>
        <v>1</v>
      </c>
      <c r="AU448" s="95">
        <v>43342</v>
      </c>
      <c r="AV448" t="s">
        <v>165</v>
      </c>
      <c r="AW448" t="s">
        <v>162</v>
      </c>
      <c r="AX448">
        <v>2</v>
      </c>
      <c r="AY448" t="s">
        <v>167</v>
      </c>
      <c r="AZ448" t="s">
        <v>162</v>
      </c>
    </row>
    <row r="449" spans="1:52" x14ac:dyDescent="0.25">
      <c r="A449">
        <v>438</v>
      </c>
      <c r="B449" t="s">
        <v>1173</v>
      </c>
      <c r="C449" t="s">
        <v>203</v>
      </c>
      <c r="D449" t="s">
        <v>1174</v>
      </c>
      <c r="E449" t="s">
        <v>172</v>
      </c>
      <c r="F449" t="s">
        <v>162</v>
      </c>
      <c r="G449">
        <v>2</v>
      </c>
      <c r="H449">
        <v>1</v>
      </c>
      <c r="I449" t="s">
        <v>639</v>
      </c>
      <c r="J449">
        <v>200</v>
      </c>
      <c r="K449">
        <v>201</v>
      </c>
      <c r="L449" t="s">
        <v>1083</v>
      </c>
      <c r="M449">
        <v>3</v>
      </c>
      <c r="N449" t="s">
        <v>15</v>
      </c>
      <c r="O449" t="s">
        <v>15</v>
      </c>
      <c r="P449" t="s">
        <v>175</v>
      </c>
      <c r="Q449" t="s">
        <v>1175</v>
      </c>
      <c r="R449" t="s">
        <v>320</v>
      </c>
      <c r="S449">
        <v>2015</v>
      </c>
      <c r="T449">
        <v>7</v>
      </c>
      <c r="U449" t="s">
        <v>123</v>
      </c>
      <c r="V449" t="s">
        <v>162</v>
      </c>
      <c r="W449">
        <v>0</v>
      </c>
      <c r="X449">
        <v>0</v>
      </c>
      <c r="Y449" t="s">
        <v>162</v>
      </c>
      <c r="Z449">
        <v>2015</v>
      </c>
      <c r="AA449">
        <v>2015</v>
      </c>
      <c r="AB449" s="5">
        <v>0.25198153056900002</v>
      </c>
      <c r="AC449" s="5">
        <v>0.50396306113800005</v>
      </c>
      <c r="AD449" t="s">
        <v>162</v>
      </c>
      <c r="AE449" t="s">
        <v>163</v>
      </c>
      <c r="AF449" t="s">
        <v>162</v>
      </c>
      <c r="AG449" t="s">
        <v>162</v>
      </c>
      <c r="AH449" t="s">
        <v>162</v>
      </c>
      <c r="AI449" t="s">
        <v>162</v>
      </c>
      <c r="AJ449" t="s">
        <v>162</v>
      </c>
      <c r="AK449" t="s">
        <v>162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 s="60">
        <f t="shared" si="6"/>
        <v>1</v>
      </c>
      <c r="AU449" s="95" t="s">
        <v>244</v>
      </c>
      <c r="AV449" s="94" t="s">
        <v>165</v>
      </c>
      <c r="AW449" t="s">
        <v>162</v>
      </c>
      <c r="AX449">
        <v>2</v>
      </c>
      <c r="AY449" t="s">
        <v>167</v>
      </c>
      <c r="AZ449" t="s">
        <v>162</v>
      </c>
    </row>
    <row r="450" spans="1:52" x14ac:dyDescent="0.25">
      <c r="A450">
        <v>439</v>
      </c>
      <c r="B450" t="s">
        <v>245</v>
      </c>
      <c r="C450" t="s">
        <v>163</v>
      </c>
      <c r="D450" t="s">
        <v>246</v>
      </c>
      <c r="E450" t="s">
        <v>216</v>
      </c>
      <c r="F450" t="s">
        <v>162</v>
      </c>
      <c r="G450">
        <v>100</v>
      </c>
      <c r="H450">
        <v>101</v>
      </c>
      <c r="I450" t="s">
        <v>293</v>
      </c>
      <c r="J450">
        <v>138</v>
      </c>
      <c r="K450">
        <v>141</v>
      </c>
      <c r="L450" t="s">
        <v>387</v>
      </c>
      <c r="M450">
        <v>3</v>
      </c>
      <c r="N450" t="s">
        <v>15</v>
      </c>
      <c r="O450" t="s">
        <v>15</v>
      </c>
      <c r="P450" t="s">
        <v>175</v>
      </c>
      <c r="Q450" t="s">
        <v>1178</v>
      </c>
      <c r="R450" t="s">
        <v>987</v>
      </c>
      <c r="S450">
        <v>2015</v>
      </c>
      <c r="T450">
        <v>10</v>
      </c>
      <c r="U450" t="s">
        <v>123</v>
      </c>
      <c r="V450" t="s">
        <v>162</v>
      </c>
      <c r="W450">
        <v>0</v>
      </c>
      <c r="X450">
        <v>0</v>
      </c>
      <c r="Y450" t="s">
        <v>162</v>
      </c>
      <c r="Z450">
        <v>2015</v>
      </c>
      <c r="AA450">
        <v>2015</v>
      </c>
      <c r="AB450" s="5">
        <v>0.21869196463400001</v>
      </c>
      <c r="AC450" s="5">
        <v>0.43738392926800002</v>
      </c>
      <c r="AD450" t="s">
        <v>162</v>
      </c>
      <c r="AE450" t="s">
        <v>163</v>
      </c>
      <c r="AF450" t="s">
        <v>162</v>
      </c>
      <c r="AG450" t="s">
        <v>162</v>
      </c>
      <c r="AH450" t="s">
        <v>162</v>
      </c>
      <c r="AI450" t="s">
        <v>162</v>
      </c>
      <c r="AJ450" t="s">
        <v>162</v>
      </c>
      <c r="AK450" t="s">
        <v>162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s="60">
        <f t="shared" si="6"/>
        <v>1</v>
      </c>
      <c r="AU450" s="95">
        <v>43335</v>
      </c>
      <c r="AV450" s="94" t="s">
        <v>165</v>
      </c>
      <c r="AW450" t="s">
        <v>162</v>
      </c>
      <c r="AX450">
        <v>2</v>
      </c>
      <c r="AY450" t="s">
        <v>167</v>
      </c>
      <c r="AZ450" t="s">
        <v>162</v>
      </c>
    </row>
    <row r="451" spans="1:52" x14ac:dyDescent="0.25">
      <c r="A451">
        <v>440</v>
      </c>
      <c r="B451" t="s">
        <v>245</v>
      </c>
      <c r="C451" t="s">
        <v>163</v>
      </c>
      <c r="D451" t="s">
        <v>246</v>
      </c>
      <c r="E451" t="s">
        <v>216</v>
      </c>
      <c r="F451" t="s">
        <v>162</v>
      </c>
      <c r="G451">
        <v>7200</v>
      </c>
      <c r="H451">
        <v>7201</v>
      </c>
      <c r="I451" t="s">
        <v>1076</v>
      </c>
      <c r="J451">
        <v>7558</v>
      </c>
      <c r="K451">
        <v>7559</v>
      </c>
      <c r="L451" t="s">
        <v>1179</v>
      </c>
      <c r="M451">
        <v>3</v>
      </c>
      <c r="N451" t="s">
        <v>15</v>
      </c>
      <c r="O451" t="s">
        <v>15</v>
      </c>
      <c r="P451" t="s">
        <v>175</v>
      </c>
      <c r="Q451" t="s">
        <v>1180</v>
      </c>
      <c r="R451" t="s">
        <v>422</v>
      </c>
      <c r="S451">
        <v>2015</v>
      </c>
      <c r="T451">
        <v>11</v>
      </c>
      <c r="U451" t="s">
        <v>123</v>
      </c>
      <c r="V451" t="s">
        <v>162</v>
      </c>
      <c r="W451">
        <v>0</v>
      </c>
      <c r="X451">
        <v>0</v>
      </c>
      <c r="Y451" t="s">
        <v>162</v>
      </c>
      <c r="Z451">
        <v>2015</v>
      </c>
      <c r="AA451">
        <v>2015</v>
      </c>
      <c r="AB451" s="5">
        <v>0.501021253035</v>
      </c>
      <c r="AC451" s="5">
        <v>1.00204250607</v>
      </c>
      <c r="AD451" t="s">
        <v>162</v>
      </c>
      <c r="AE451" t="s">
        <v>163</v>
      </c>
      <c r="AF451" t="s">
        <v>162</v>
      </c>
      <c r="AG451" t="s">
        <v>162</v>
      </c>
      <c r="AH451" t="s">
        <v>162</v>
      </c>
      <c r="AI451" t="s">
        <v>162</v>
      </c>
      <c r="AJ451" t="s">
        <v>162</v>
      </c>
      <c r="AK451" t="s">
        <v>162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 s="60">
        <f t="shared" si="6"/>
        <v>1</v>
      </c>
      <c r="AU451" s="95">
        <v>43335</v>
      </c>
      <c r="AV451" t="s">
        <v>165</v>
      </c>
      <c r="AW451" t="s">
        <v>162</v>
      </c>
      <c r="AX451">
        <v>2</v>
      </c>
      <c r="AY451" t="s">
        <v>167</v>
      </c>
      <c r="AZ451" t="s">
        <v>162</v>
      </c>
    </row>
    <row r="452" spans="1:52" x14ac:dyDescent="0.25">
      <c r="A452">
        <v>441</v>
      </c>
      <c r="B452" t="s">
        <v>573</v>
      </c>
      <c r="C452" t="s">
        <v>151</v>
      </c>
      <c r="D452" t="s">
        <v>574</v>
      </c>
      <c r="E452" t="s">
        <v>153</v>
      </c>
      <c r="F452" t="s">
        <v>162</v>
      </c>
      <c r="G452">
        <v>3135</v>
      </c>
      <c r="H452">
        <v>3134</v>
      </c>
      <c r="I452" t="s">
        <v>156</v>
      </c>
      <c r="J452">
        <v>3127</v>
      </c>
      <c r="K452">
        <v>3126</v>
      </c>
      <c r="L452" t="s">
        <v>421</v>
      </c>
      <c r="M452">
        <v>2</v>
      </c>
      <c r="N452" t="s">
        <v>15</v>
      </c>
      <c r="O452" t="s">
        <v>15</v>
      </c>
      <c r="P452" t="s">
        <v>175</v>
      </c>
      <c r="Q452" t="s">
        <v>1177</v>
      </c>
      <c r="R452" t="s">
        <v>383</v>
      </c>
      <c r="S452">
        <v>2015</v>
      </c>
      <c r="T452">
        <v>5</v>
      </c>
      <c r="U452" t="s">
        <v>123</v>
      </c>
      <c r="V452" t="s">
        <v>162</v>
      </c>
      <c r="W452">
        <v>0</v>
      </c>
      <c r="X452">
        <v>0</v>
      </c>
      <c r="Y452" t="s">
        <v>162</v>
      </c>
      <c r="Z452">
        <v>2015</v>
      </c>
      <c r="AA452">
        <v>2015</v>
      </c>
      <c r="AB452" s="5">
        <v>0.12743349701500001</v>
      </c>
      <c r="AC452" s="5">
        <v>0.25486699403000002</v>
      </c>
      <c r="AD452" t="s">
        <v>162</v>
      </c>
      <c r="AE452" t="s">
        <v>163</v>
      </c>
      <c r="AF452" t="s">
        <v>162</v>
      </c>
      <c r="AG452" t="s">
        <v>162</v>
      </c>
      <c r="AH452" t="s">
        <v>162</v>
      </c>
      <c r="AI452" t="s">
        <v>162</v>
      </c>
      <c r="AJ452" t="s">
        <v>162</v>
      </c>
      <c r="AK452" t="s">
        <v>162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s="60">
        <f t="shared" si="6"/>
        <v>1</v>
      </c>
      <c r="AU452" s="95">
        <v>43342</v>
      </c>
      <c r="AV452" t="s">
        <v>165</v>
      </c>
      <c r="AW452" t="s">
        <v>162</v>
      </c>
      <c r="AX452">
        <v>2</v>
      </c>
      <c r="AY452" t="s">
        <v>167</v>
      </c>
      <c r="AZ452" t="s">
        <v>162</v>
      </c>
    </row>
    <row r="453" spans="1:52" x14ac:dyDescent="0.25">
      <c r="A453">
        <v>442</v>
      </c>
      <c r="B453" t="s">
        <v>484</v>
      </c>
      <c r="C453" t="s">
        <v>151</v>
      </c>
      <c r="D453" t="s">
        <v>485</v>
      </c>
      <c r="E453" t="s">
        <v>172</v>
      </c>
      <c r="F453" t="s">
        <v>162</v>
      </c>
      <c r="G453">
        <v>1429</v>
      </c>
      <c r="H453">
        <v>1430</v>
      </c>
      <c r="I453" t="s">
        <v>733</v>
      </c>
      <c r="J453">
        <v>1379</v>
      </c>
      <c r="K453">
        <v>1380</v>
      </c>
      <c r="L453" t="s">
        <v>403</v>
      </c>
      <c r="M453">
        <v>3</v>
      </c>
      <c r="N453" t="s">
        <v>11</v>
      </c>
      <c r="O453" t="s">
        <v>11</v>
      </c>
      <c r="P453" t="s">
        <v>175</v>
      </c>
      <c r="Q453" t="s">
        <v>162</v>
      </c>
      <c r="R453" t="s">
        <v>479</v>
      </c>
      <c r="S453">
        <v>2005</v>
      </c>
      <c r="T453">
        <v>8</v>
      </c>
      <c r="U453" t="s">
        <v>162</v>
      </c>
      <c r="V453" t="s">
        <v>161</v>
      </c>
      <c r="W453">
        <v>2020</v>
      </c>
      <c r="X453">
        <v>0</v>
      </c>
      <c r="Y453" t="s">
        <v>162</v>
      </c>
      <c r="Z453">
        <v>2020</v>
      </c>
      <c r="AA453">
        <v>2015</v>
      </c>
      <c r="AB453" s="5">
        <v>6.2892115673699997E-2</v>
      </c>
      <c r="AC453" s="5">
        <v>0.12578423134700001</v>
      </c>
      <c r="AD453" t="s">
        <v>162</v>
      </c>
      <c r="AE453" t="s">
        <v>163</v>
      </c>
      <c r="AF453" t="s">
        <v>162</v>
      </c>
      <c r="AG453" t="s">
        <v>162</v>
      </c>
      <c r="AH453" t="s">
        <v>162</v>
      </c>
      <c r="AI453" t="s">
        <v>162</v>
      </c>
      <c r="AJ453" t="s">
        <v>162</v>
      </c>
      <c r="AK453" t="s">
        <v>162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 s="60">
        <f t="shared" si="6"/>
        <v>1</v>
      </c>
      <c r="AU453" s="95" t="s">
        <v>187</v>
      </c>
      <c r="AV453" s="94" t="s">
        <v>165</v>
      </c>
      <c r="AW453" t="s">
        <v>162</v>
      </c>
      <c r="AX453">
        <v>2</v>
      </c>
      <c r="AY453" t="s">
        <v>167</v>
      </c>
      <c r="AZ453" t="s">
        <v>162</v>
      </c>
    </row>
    <row r="454" spans="1:52" x14ac:dyDescent="0.25">
      <c r="A454">
        <v>443</v>
      </c>
      <c r="B454" t="s">
        <v>484</v>
      </c>
      <c r="C454" t="s">
        <v>151</v>
      </c>
      <c r="D454" t="s">
        <v>485</v>
      </c>
      <c r="E454" t="s">
        <v>172</v>
      </c>
      <c r="F454" t="s">
        <v>162</v>
      </c>
      <c r="G454">
        <v>1463</v>
      </c>
      <c r="H454">
        <v>1456</v>
      </c>
      <c r="I454" t="s">
        <v>1181</v>
      </c>
      <c r="J454">
        <v>1431</v>
      </c>
      <c r="K454">
        <v>1432</v>
      </c>
      <c r="L454" t="s">
        <v>733</v>
      </c>
      <c r="M454">
        <v>3</v>
      </c>
      <c r="N454" t="s">
        <v>11</v>
      </c>
      <c r="O454" t="s">
        <v>11</v>
      </c>
      <c r="P454" t="s">
        <v>175</v>
      </c>
      <c r="Q454" t="s">
        <v>162</v>
      </c>
      <c r="R454" t="s">
        <v>431</v>
      </c>
      <c r="S454">
        <v>2002</v>
      </c>
      <c r="T454">
        <v>8</v>
      </c>
      <c r="U454" t="s">
        <v>162</v>
      </c>
      <c r="V454" t="s">
        <v>161</v>
      </c>
      <c r="W454">
        <v>2020</v>
      </c>
      <c r="X454">
        <v>0</v>
      </c>
      <c r="Y454" t="s">
        <v>162</v>
      </c>
      <c r="Z454">
        <v>2020</v>
      </c>
      <c r="AA454">
        <v>2015</v>
      </c>
      <c r="AB454" s="5">
        <v>5.8220867557100001E-2</v>
      </c>
      <c r="AC454" s="5">
        <v>0.11644173511399999</v>
      </c>
      <c r="AD454" t="s">
        <v>162</v>
      </c>
      <c r="AE454" t="s">
        <v>163</v>
      </c>
      <c r="AF454" t="s">
        <v>162</v>
      </c>
      <c r="AG454" t="s">
        <v>162</v>
      </c>
      <c r="AH454" t="s">
        <v>162</v>
      </c>
      <c r="AI454" t="s">
        <v>162</v>
      </c>
      <c r="AJ454" t="s">
        <v>162</v>
      </c>
      <c r="AK454" t="s">
        <v>162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 s="60">
        <f t="shared" si="6"/>
        <v>1</v>
      </c>
      <c r="AU454" s="95" t="s">
        <v>187</v>
      </c>
      <c r="AV454" t="s">
        <v>165</v>
      </c>
      <c r="AW454" t="s">
        <v>162</v>
      </c>
      <c r="AX454">
        <v>2</v>
      </c>
      <c r="AY454" t="s">
        <v>167</v>
      </c>
      <c r="AZ454" t="s">
        <v>162</v>
      </c>
    </row>
    <row r="455" spans="1:52" x14ac:dyDescent="0.25">
      <c r="A455">
        <v>444</v>
      </c>
      <c r="B455" t="s">
        <v>170</v>
      </c>
      <c r="C455" t="s">
        <v>151</v>
      </c>
      <c r="D455" t="s">
        <v>171</v>
      </c>
      <c r="E455" t="s">
        <v>172</v>
      </c>
      <c r="F455" t="s">
        <v>162</v>
      </c>
      <c r="G455">
        <v>1174</v>
      </c>
      <c r="H455">
        <v>1179</v>
      </c>
      <c r="I455" t="s">
        <v>747</v>
      </c>
      <c r="J455">
        <v>800</v>
      </c>
      <c r="K455">
        <v>801</v>
      </c>
      <c r="L455" t="s">
        <v>576</v>
      </c>
      <c r="M455">
        <v>3</v>
      </c>
      <c r="N455" t="s">
        <v>11</v>
      </c>
      <c r="O455" t="s">
        <v>11</v>
      </c>
      <c r="P455" t="s">
        <v>175</v>
      </c>
      <c r="Q455" t="s">
        <v>162</v>
      </c>
      <c r="R455" t="s">
        <v>249</v>
      </c>
      <c r="S455">
        <v>2007</v>
      </c>
      <c r="T455">
        <v>7</v>
      </c>
      <c r="U455" t="s">
        <v>162</v>
      </c>
      <c r="V455" t="s">
        <v>611</v>
      </c>
      <c r="W455">
        <v>2016</v>
      </c>
      <c r="X455">
        <v>6</v>
      </c>
      <c r="Y455" t="s">
        <v>162</v>
      </c>
      <c r="Z455">
        <v>2016</v>
      </c>
      <c r="AA455">
        <v>0</v>
      </c>
      <c r="AB455" s="5">
        <v>0.50472726040000004</v>
      </c>
      <c r="AC455" s="5">
        <v>1.0094545208000001</v>
      </c>
      <c r="AD455" t="s">
        <v>162</v>
      </c>
      <c r="AE455" t="s">
        <v>163</v>
      </c>
      <c r="AF455" t="s">
        <v>162</v>
      </c>
      <c r="AG455" t="s">
        <v>162</v>
      </c>
      <c r="AH455" t="s">
        <v>162</v>
      </c>
      <c r="AI455" t="s">
        <v>162</v>
      </c>
      <c r="AJ455" t="s">
        <v>162</v>
      </c>
      <c r="AK455" t="s">
        <v>162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 s="60">
        <f t="shared" si="6"/>
        <v>1</v>
      </c>
      <c r="AU455" s="95">
        <v>43328</v>
      </c>
      <c r="AV455" t="s">
        <v>165</v>
      </c>
      <c r="AW455" t="s">
        <v>162</v>
      </c>
      <c r="AX455">
        <v>2</v>
      </c>
      <c r="AY455" t="s">
        <v>167</v>
      </c>
      <c r="AZ455" t="s">
        <v>162</v>
      </c>
    </row>
    <row r="456" spans="1:52" x14ac:dyDescent="0.25">
      <c r="A456">
        <v>445</v>
      </c>
      <c r="B456" t="s">
        <v>170</v>
      </c>
      <c r="C456" t="s">
        <v>151</v>
      </c>
      <c r="D456" t="s">
        <v>171</v>
      </c>
      <c r="E456" t="s">
        <v>172</v>
      </c>
      <c r="F456" t="s">
        <v>162</v>
      </c>
      <c r="G456">
        <v>1258</v>
      </c>
      <c r="H456">
        <v>1259</v>
      </c>
      <c r="I456" t="s">
        <v>927</v>
      </c>
      <c r="J456">
        <v>1200</v>
      </c>
      <c r="K456">
        <v>1201</v>
      </c>
      <c r="L456" t="s">
        <v>747</v>
      </c>
      <c r="M456">
        <v>3</v>
      </c>
      <c r="N456" t="s">
        <v>11</v>
      </c>
      <c r="O456" t="s">
        <v>11</v>
      </c>
      <c r="P456" t="s">
        <v>175</v>
      </c>
      <c r="Q456" t="s">
        <v>162</v>
      </c>
      <c r="R456" t="s">
        <v>249</v>
      </c>
      <c r="S456">
        <v>2007</v>
      </c>
      <c r="T456">
        <v>7</v>
      </c>
      <c r="U456" t="s">
        <v>162</v>
      </c>
      <c r="V456" t="s">
        <v>267</v>
      </c>
      <c r="W456">
        <v>2018</v>
      </c>
      <c r="X456">
        <v>7</v>
      </c>
      <c r="Y456" t="s">
        <v>162</v>
      </c>
      <c r="Z456">
        <v>2018</v>
      </c>
      <c r="AA456">
        <v>2015</v>
      </c>
      <c r="AB456" s="5">
        <v>0.12621546394200001</v>
      </c>
      <c r="AC456" s="5">
        <v>0.25243092788400001</v>
      </c>
      <c r="AD456" t="s">
        <v>162</v>
      </c>
      <c r="AE456" t="s">
        <v>163</v>
      </c>
      <c r="AF456" t="s">
        <v>162</v>
      </c>
      <c r="AG456" t="s">
        <v>162</v>
      </c>
      <c r="AH456" t="s">
        <v>162</v>
      </c>
      <c r="AI456" t="s">
        <v>162</v>
      </c>
      <c r="AJ456" t="s">
        <v>162</v>
      </c>
      <c r="AK456" t="s">
        <v>162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 s="60">
        <f t="shared" si="6"/>
        <v>1</v>
      </c>
      <c r="AU456" s="95">
        <v>43328</v>
      </c>
      <c r="AV456" t="s">
        <v>165</v>
      </c>
      <c r="AW456" t="s">
        <v>162</v>
      </c>
      <c r="AX456">
        <v>2</v>
      </c>
      <c r="AY456" t="s">
        <v>167</v>
      </c>
      <c r="AZ456" t="s">
        <v>162</v>
      </c>
    </row>
    <row r="457" spans="1:52" x14ac:dyDescent="0.25">
      <c r="A457">
        <v>446</v>
      </c>
      <c r="B457" t="s">
        <v>170</v>
      </c>
      <c r="C457" t="s">
        <v>151</v>
      </c>
      <c r="D457" t="s">
        <v>171</v>
      </c>
      <c r="E457" t="s">
        <v>172</v>
      </c>
      <c r="F457" t="s">
        <v>162</v>
      </c>
      <c r="G457">
        <v>1358</v>
      </c>
      <c r="H457">
        <v>1359</v>
      </c>
      <c r="I457" t="s">
        <v>174</v>
      </c>
      <c r="J457">
        <v>1300</v>
      </c>
      <c r="K457">
        <v>1301</v>
      </c>
      <c r="L457" t="s">
        <v>927</v>
      </c>
      <c r="M457">
        <v>3</v>
      </c>
      <c r="N457" t="s">
        <v>11</v>
      </c>
      <c r="O457" t="s">
        <v>11</v>
      </c>
      <c r="P457" t="s">
        <v>175</v>
      </c>
      <c r="Q457" t="s">
        <v>1182</v>
      </c>
      <c r="R457" t="s">
        <v>249</v>
      </c>
      <c r="S457">
        <v>2007</v>
      </c>
      <c r="T457">
        <v>7</v>
      </c>
      <c r="U457" t="s">
        <v>162</v>
      </c>
      <c r="V457" t="s">
        <v>178</v>
      </c>
      <c r="W457">
        <v>2018</v>
      </c>
      <c r="X457">
        <v>7</v>
      </c>
      <c r="Y457" t="s">
        <v>162</v>
      </c>
      <c r="Z457">
        <v>2018</v>
      </c>
      <c r="AA457">
        <v>0</v>
      </c>
      <c r="AB457" s="5">
        <v>0.12617139684500001</v>
      </c>
      <c r="AC457" s="5">
        <v>0.25234279369000001</v>
      </c>
      <c r="AD457" t="s">
        <v>162</v>
      </c>
      <c r="AE457" t="s">
        <v>163</v>
      </c>
      <c r="AF457" t="s">
        <v>162</v>
      </c>
      <c r="AG457" t="s">
        <v>162</v>
      </c>
      <c r="AH457" t="s">
        <v>162</v>
      </c>
      <c r="AI457" t="s">
        <v>162</v>
      </c>
      <c r="AJ457" t="s">
        <v>162</v>
      </c>
      <c r="AK457" t="s">
        <v>162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 s="60">
        <f t="shared" si="6"/>
        <v>1</v>
      </c>
      <c r="AU457" s="95">
        <v>43328</v>
      </c>
      <c r="AV457" s="94" t="s">
        <v>165</v>
      </c>
      <c r="AW457" t="s">
        <v>162</v>
      </c>
      <c r="AX457">
        <v>2</v>
      </c>
      <c r="AY457" t="s">
        <v>167</v>
      </c>
      <c r="AZ457" t="s">
        <v>162</v>
      </c>
    </row>
    <row r="458" spans="1:52" x14ac:dyDescent="0.25">
      <c r="A458">
        <v>447</v>
      </c>
      <c r="B458" t="s">
        <v>1183</v>
      </c>
      <c r="C458" t="s">
        <v>163</v>
      </c>
      <c r="D458" t="s">
        <v>1184</v>
      </c>
      <c r="E458" t="s">
        <v>172</v>
      </c>
      <c r="F458" t="s">
        <v>163</v>
      </c>
      <c r="G458">
        <v>200</v>
      </c>
      <c r="H458">
        <v>201</v>
      </c>
      <c r="I458" t="s">
        <v>387</v>
      </c>
      <c r="J458">
        <v>230</v>
      </c>
      <c r="K458">
        <v>231</v>
      </c>
      <c r="L458" t="s">
        <v>735</v>
      </c>
      <c r="M458">
        <v>4</v>
      </c>
      <c r="N458" t="s">
        <v>11</v>
      </c>
      <c r="O458" t="s">
        <v>11</v>
      </c>
      <c r="P458" t="s">
        <v>175</v>
      </c>
      <c r="Q458" t="s">
        <v>162</v>
      </c>
      <c r="R458" t="s">
        <v>1185</v>
      </c>
      <c r="S458">
        <v>2007</v>
      </c>
      <c r="T458">
        <v>7</v>
      </c>
      <c r="U458" t="s">
        <v>162</v>
      </c>
      <c r="V458" t="s">
        <v>289</v>
      </c>
      <c r="W458">
        <v>2015</v>
      </c>
      <c r="X458">
        <v>10</v>
      </c>
      <c r="Y458" t="s">
        <v>123</v>
      </c>
      <c r="Z458">
        <v>2015</v>
      </c>
      <c r="AA458">
        <v>2015</v>
      </c>
      <c r="AB458" s="5">
        <v>7.6371903810800001E-2</v>
      </c>
      <c r="AC458" s="5">
        <v>7.6371903810800001E-2</v>
      </c>
      <c r="AD458" t="s">
        <v>162</v>
      </c>
      <c r="AE458" t="s">
        <v>166</v>
      </c>
      <c r="AF458" t="s">
        <v>163</v>
      </c>
      <c r="AG458" t="s">
        <v>163</v>
      </c>
      <c r="AH458" t="s">
        <v>162</v>
      </c>
      <c r="AI458" t="s">
        <v>162</v>
      </c>
      <c r="AJ458" t="s">
        <v>162</v>
      </c>
      <c r="AK458" t="s">
        <v>162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 s="60">
        <f t="shared" si="6"/>
        <v>1</v>
      </c>
      <c r="AU458" s="95">
        <v>43348</v>
      </c>
      <c r="AV458" s="94" t="s">
        <v>165</v>
      </c>
      <c r="AW458" t="s">
        <v>162</v>
      </c>
      <c r="AX458">
        <v>2</v>
      </c>
      <c r="AY458" t="s">
        <v>167</v>
      </c>
      <c r="AZ458" t="s">
        <v>162</v>
      </c>
    </row>
    <row r="459" spans="1:52" x14ac:dyDescent="0.25">
      <c r="A459">
        <v>448</v>
      </c>
      <c r="B459" t="s">
        <v>1151</v>
      </c>
      <c r="C459" t="s">
        <v>151</v>
      </c>
      <c r="D459" t="s">
        <v>1152</v>
      </c>
      <c r="E459" t="s">
        <v>172</v>
      </c>
      <c r="F459" t="s">
        <v>162</v>
      </c>
      <c r="G459">
        <v>4533</v>
      </c>
      <c r="H459">
        <v>4532</v>
      </c>
      <c r="I459" t="s">
        <v>1186</v>
      </c>
      <c r="J459">
        <v>4025</v>
      </c>
      <c r="K459">
        <v>4028</v>
      </c>
      <c r="L459" t="s">
        <v>1002</v>
      </c>
      <c r="M459">
        <v>3</v>
      </c>
      <c r="N459" t="s">
        <v>15</v>
      </c>
      <c r="O459" t="s">
        <v>15</v>
      </c>
      <c r="P459" t="s">
        <v>175</v>
      </c>
      <c r="Q459" t="s">
        <v>162</v>
      </c>
      <c r="R459" t="s">
        <v>249</v>
      </c>
      <c r="S459">
        <v>2007</v>
      </c>
      <c r="T459">
        <v>10</v>
      </c>
      <c r="U459" t="s">
        <v>162</v>
      </c>
      <c r="V459" t="s">
        <v>320</v>
      </c>
      <c r="W459">
        <v>2015</v>
      </c>
      <c r="X459">
        <v>5</v>
      </c>
      <c r="Y459" t="s">
        <v>123</v>
      </c>
      <c r="Z459">
        <v>2015</v>
      </c>
      <c r="AA459">
        <v>2015</v>
      </c>
      <c r="AB459" s="5">
        <v>0.75741144752400003</v>
      </c>
      <c r="AC459" s="5">
        <v>1.51482289505</v>
      </c>
      <c r="AD459" t="s">
        <v>162</v>
      </c>
      <c r="AE459" t="s">
        <v>163</v>
      </c>
      <c r="AF459" t="s">
        <v>162</v>
      </c>
      <c r="AG459" t="s">
        <v>162</v>
      </c>
      <c r="AH459" t="s">
        <v>162</v>
      </c>
      <c r="AI459" t="s">
        <v>162</v>
      </c>
      <c r="AJ459" t="s">
        <v>162</v>
      </c>
      <c r="AK459" t="s">
        <v>162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 s="60">
        <f t="shared" ref="AT459:AT522" si="7">SUM(AM459:AS459)</f>
        <v>1</v>
      </c>
      <c r="AU459" s="95">
        <v>43348</v>
      </c>
      <c r="AV459" t="s">
        <v>165</v>
      </c>
      <c r="AW459" t="s">
        <v>162</v>
      </c>
      <c r="AX459">
        <v>2</v>
      </c>
      <c r="AY459" t="s">
        <v>167</v>
      </c>
      <c r="AZ459" t="s">
        <v>162</v>
      </c>
    </row>
    <row r="460" spans="1:52" x14ac:dyDescent="0.25">
      <c r="A460">
        <v>449</v>
      </c>
      <c r="B460" t="s">
        <v>1151</v>
      </c>
      <c r="C460" t="s">
        <v>151</v>
      </c>
      <c r="D460" t="s">
        <v>1152</v>
      </c>
      <c r="E460" t="s">
        <v>172</v>
      </c>
      <c r="F460" t="s">
        <v>162</v>
      </c>
      <c r="G460">
        <v>3901</v>
      </c>
      <c r="H460">
        <v>3900</v>
      </c>
      <c r="I460" t="s">
        <v>1002</v>
      </c>
      <c r="J460">
        <v>3025</v>
      </c>
      <c r="K460">
        <v>3024</v>
      </c>
      <c r="L460" t="s">
        <v>168</v>
      </c>
      <c r="M460">
        <v>3</v>
      </c>
      <c r="N460" t="s">
        <v>15</v>
      </c>
      <c r="O460" t="s">
        <v>15</v>
      </c>
      <c r="P460" t="s">
        <v>175</v>
      </c>
      <c r="Q460" t="s">
        <v>162</v>
      </c>
      <c r="R460" t="s">
        <v>249</v>
      </c>
      <c r="S460">
        <v>2007</v>
      </c>
      <c r="T460">
        <v>10</v>
      </c>
      <c r="U460" t="s">
        <v>162</v>
      </c>
      <c r="V460" t="s">
        <v>452</v>
      </c>
      <c r="W460">
        <v>2015</v>
      </c>
      <c r="X460">
        <v>5</v>
      </c>
      <c r="Y460" t="s">
        <v>123</v>
      </c>
      <c r="Z460">
        <v>2015</v>
      </c>
      <c r="AA460">
        <v>2015</v>
      </c>
      <c r="AB460" s="5">
        <v>1.26528370359</v>
      </c>
      <c r="AC460" s="5">
        <v>2.53056740718</v>
      </c>
      <c r="AD460" t="s">
        <v>162</v>
      </c>
      <c r="AE460" t="s">
        <v>163</v>
      </c>
      <c r="AF460" t="s">
        <v>162</v>
      </c>
      <c r="AG460" t="s">
        <v>162</v>
      </c>
      <c r="AH460" t="s">
        <v>162</v>
      </c>
      <c r="AI460" t="s">
        <v>162</v>
      </c>
      <c r="AJ460" t="s">
        <v>162</v>
      </c>
      <c r="AK460" t="s">
        <v>162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 s="60">
        <f t="shared" si="7"/>
        <v>1</v>
      </c>
      <c r="AU460" s="95">
        <v>43348</v>
      </c>
      <c r="AV460" s="94" t="s">
        <v>165</v>
      </c>
      <c r="AW460" t="s">
        <v>162</v>
      </c>
      <c r="AX460">
        <v>2</v>
      </c>
      <c r="AY460" t="s">
        <v>167</v>
      </c>
      <c r="AZ460" t="s">
        <v>162</v>
      </c>
    </row>
    <row r="461" spans="1:52" x14ac:dyDescent="0.25">
      <c r="A461">
        <v>450</v>
      </c>
      <c r="B461" t="s">
        <v>514</v>
      </c>
      <c r="C461" t="s">
        <v>163</v>
      </c>
      <c r="D461" t="s">
        <v>515</v>
      </c>
      <c r="E461" t="s">
        <v>216</v>
      </c>
      <c r="F461" t="s">
        <v>162</v>
      </c>
      <c r="G461">
        <v>2200</v>
      </c>
      <c r="H461">
        <v>2201</v>
      </c>
      <c r="I461" t="s">
        <v>1187</v>
      </c>
      <c r="J461">
        <v>2398</v>
      </c>
      <c r="K461">
        <v>2399</v>
      </c>
      <c r="L461" t="s">
        <v>652</v>
      </c>
      <c r="M461">
        <v>3</v>
      </c>
      <c r="N461" t="s">
        <v>11</v>
      </c>
      <c r="O461" t="s">
        <v>11</v>
      </c>
      <c r="P461" t="s">
        <v>169</v>
      </c>
      <c r="Q461" t="s">
        <v>162</v>
      </c>
      <c r="R461" t="s">
        <v>508</v>
      </c>
      <c r="S461">
        <v>2004</v>
      </c>
      <c r="T461">
        <v>9</v>
      </c>
      <c r="U461" t="s">
        <v>162</v>
      </c>
      <c r="V461" t="s">
        <v>209</v>
      </c>
      <c r="W461">
        <v>2011</v>
      </c>
      <c r="X461">
        <v>10</v>
      </c>
      <c r="Y461" t="s">
        <v>162</v>
      </c>
      <c r="Z461">
        <v>2011</v>
      </c>
      <c r="AA461">
        <v>0</v>
      </c>
      <c r="AB461" s="5">
        <v>0.355393169264</v>
      </c>
      <c r="AC461" s="5">
        <v>0.71078633852799999</v>
      </c>
      <c r="AD461" t="s">
        <v>162</v>
      </c>
      <c r="AE461" t="s">
        <v>163</v>
      </c>
      <c r="AF461" t="s">
        <v>162</v>
      </c>
      <c r="AG461" t="s">
        <v>162</v>
      </c>
      <c r="AH461" t="s">
        <v>162</v>
      </c>
      <c r="AI461" t="s">
        <v>162</v>
      </c>
      <c r="AJ461" t="s">
        <v>162</v>
      </c>
      <c r="AK461" t="s">
        <v>162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 s="60">
        <f t="shared" si="7"/>
        <v>1</v>
      </c>
      <c r="AU461" s="95">
        <v>43341</v>
      </c>
      <c r="AV461" s="94" t="s">
        <v>165</v>
      </c>
      <c r="AW461" t="s">
        <v>162</v>
      </c>
      <c r="AX461">
        <v>2</v>
      </c>
      <c r="AY461" t="s">
        <v>167</v>
      </c>
      <c r="AZ461" t="s">
        <v>162</v>
      </c>
    </row>
    <row r="462" spans="1:52" x14ac:dyDescent="0.25">
      <c r="A462">
        <v>451</v>
      </c>
      <c r="B462" t="s">
        <v>642</v>
      </c>
      <c r="C462" t="s">
        <v>180</v>
      </c>
      <c r="D462" t="s">
        <v>643</v>
      </c>
      <c r="E462" t="s">
        <v>222</v>
      </c>
      <c r="F462" t="s">
        <v>162</v>
      </c>
      <c r="G462">
        <v>343</v>
      </c>
      <c r="H462">
        <v>344</v>
      </c>
      <c r="I462" t="s">
        <v>983</v>
      </c>
      <c r="J462">
        <v>300</v>
      </c>
      <c r="K462">
        <v>301</v>
      </c>
      <c r="L462" t="s">
        <v>644</v>
      </c>
      <c r="M462">
        <v>3</v>
      </c>
      <c r="N462" t="s">
        <v>9</v>
      </c>
      <c r="O462" t="s">
        <v>9</v>
      </c>
      <c r="P462" t="s">
        <v>175</v>
      </c>
      <c r="Q462" t="s">
        <v>162</v>
      </c>
      <c r="R462" t="s">
        <v>740</v>
      </c>
      <c r="S462">
        <v>2000</v>
      </c>
      <c r="T462">
        <v>7</v>
      </c>
      <c r="U462" t="s">
        <v>162</v>
      </c>
      <c r="V462" t="s">
        <v>238</v>
      </c>
      <c r="W462">
        <v>2018</v>
      </c>
      <c r="X462">
        <v>9</v>
      </c>
      <c r="Y462" t="s">
        <v>123</v>
      </c>
      <c r="Z462">
        <v>2018</v>
      </c>
      <c r="AA462">
        <v>2018</v>
      </c>
      <c r="AB462" s="5">
        <v>0.10581142572799999</v>
      </c>
      <c r="AC462" s="5">
        <v>0.21162285145599999</v>
      </c>
      <c r="AD462" t="s">
        <v>162</v>
      </c>
      <c r="AE462" t="s">
        <v>163</v>
      </c>
      <c r="AF462" t="s">
        <v>162</v>
      </c>
      <c r="AG462" t="s">
        <v>162</v>
      </c>
      <c r="AH462" t="s">
        <v>162</v>
      </c>
      <c r="AI462" t="s">
        <v>162</v>
      </c>
      <c r="AJ462" t="s">
        <v>162</v>
      </c>
      <c r="AK462" t="s">
        <v>162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s="60">
        <f t="shared" si="7"/>
        <v>1</v>
      </c>
      <c r="AU462" s="95">
        <v>43343</v>
      </c>
      <c r="AV462" s="94" t="s">
        <v>165</v>
      </c>
      <c r="AW462" t="s">
        <v>163</v>
      </c>
      <c r="AX462">
        <v>2</v>
      </c>
      <c r="AY462" t="s">
        <v>167</v>
      </c>
      <c r="AZ462" t="s">
        <v>162</v>
      </c>
    </row>
    <row r="463" spans="1:52" x14ac:dyDescent="0.25">
      <c r="A463">
        <v>452</v>
      </c>
      <c r="B463" t="s">
        <v>453</v>
      </c>
      <c r="C463" t="s">
        <v>163</v>
      </c>
      <c r="D463" t="s">
        <v>454</v>
      </c>
      <c r="E463" t="s">
        <v>216</v>
      </c>
      <c r="F463" t="s">
        <v>162</v>
      </c>
      <c r="G463">
        <v>3600</v>
      </c>
      <c r="H463">
        <v>3601</v>
      </c>
      <c r="I463" t="s">
        <v>331</v>
      </c>
      <c r="J463">
        <v>3958</v>
      </c>
      <c r="K463">
        <v>3949</v>
      </c>
      <c r="L463" t="s">
        <v>477</v>
      </c>
      <c r="M463">
        <v>3</v>
      </c>
      <c r="N463" t="s">
        <v>15</v>
      </c>
      <c r="O463" t="s">
        <v>15</v>
      </c>
      <c r="P463" t="s">
        <v>175</v>
      </c>
      <c r="Q463" t="s">
        <v>1188</v>
      </c>
      <c r="R463" t="s">
        <v>249</v>
      </c>
      <c r="S463">
        <v>2007</v>
      </c>
      <c r="T463">
        <v>6</v>
      </c>
      <c r="U463" t="s">
        <v>1189</v>
      </c>
      <c r="V463" t="s">
        <v>502</v>
      </c>
      <c r="W463">
        <v>2016</v>
      </c>
      <c r="X463">
        <v>9</v>
      </c>
      <c r="Y463" t="s">
        <v>123</v>
      </c>
      <c r="Z463">
        <v>2016</v>
      </c>
      <c r="AA463">
        <v>2016</v>
      </c>
      <c r="AB463" s="5">
        <v>0.503433646776</v>
      </c>
      <c r="AC463" s="5">
        <v>1.00686729355</v>
      </c>
      <c r="AD463" t="s">
        <v>162</v>
      </c>
      <c r="AE463" t="s">
        <v>163</v>
      </c>
      <c r="AF463" t="s">
        <v>162</v>
      </c>
      <c r="AG463" t="s">
        <v>162</v>
      </c>
      <c r="AH463" t="s">
        <v>162</v>
      </c>
      <c r="AI463" t="s">
        <v>162</v>
      </c>
      <c r="AJ463" t="s">
        <v>162</v>
      </c>
      <c r="AK463" t="s">
        <v>162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 s="60">
        <f t="shared" si="7"/>
        <v>1</v>
      </c>
      <c r="AU463" s="95">
        <v>43340</v>
      </c>
      <c r="AV463" t="s">
        <v>165</v>
      </c>
      <c r="AW463" t="s">
        <v>162</v>
      </c>
      <c r="AX463">
        <v>2</v>
      </c>
      <c r="AY463" t="s">
        <v>167</v>
      </c>
      <c r="AZ463" t="s">
        <v>162</v>
      </c>
    </row>
    <row r="464" spans="1:52" x14ac:dyDescent="0.25">
      <c r="A464">
        <v>453</v>
      </c>
      <c r="B464" t="s">
        <v>674</v>
      </c>
      <c r="C464" t="s">
        <v>151</v>
      </c>
      <c r="D464" t="s">
        <v>675</v>
      </c>
      <c r="E464" t="s">
        <v>172</v>
      </c>
      <c r="F464" t="s">
        <v>162</v>
      </c>
      <c r="G464">
        <v>1598</v>
      </c>
      <c r="H464">
        <v>1599</v>
      </c>
      <c r="I464" t="s">
        <v>575</v>
      </c>
      <c r="J464">
        <v>1300</v>
      </c>
      <c r="K464">
        <v>1301</v>
      </c>
      <c r="L464" t="s">
        <v>927</v>
      </c>
      <c r="M464">
        <v>4</v>
      </c>
      <c r="N464" t="s">
        <v>11</v>
      </c>
      <c r="O464" t="s">
        <v>11</v>
      </c>
      <c r="P464" t="s">
        <v>175</v>
      </c>
      <c r="Q464" t="s">
        <v>162</v>
      </c>
      <c r="R464" t="s">
        <v>508</v>
      </c>
      <c r="S464">
        <v>2004</v>
      </c>
      <c r="T464">
        <v>10</v>
      </c>
      <c r="U464" t="s">
        <v>162</v>
      </c>
      <c r="V464" t="s">
        <v>243</v>
      </c>
      <c r="W464">
        <v>2020</v>
      </c>
      <c r="X464">
        <v>0</v>
      </c>
      <c r="Y464" t="s">
        <v>162</v>
      </c>
      <c r="Z464">
        <v>2020</v>
      </c>
      <c r="AA464">
        <v>2006</v>
      </c>
      <c r="AB464" s="5">
        <v>0.37485513662300002</v>
      </c>
      <c r="AC464" s="5">
        <v>0.74971027324600004</v>
      </c>
      <c r="AD464" t="s">
        <v>162</v>
      </c>
      <c r="AE464" t="s">
        <v>163</v>
      </c>
      <c r="AF464" t="s">
        <v>162</v>
      </c>
      <c r="AG464" t="s">
        <v>162</v>
      </c>
      <c r="AH464" t="s">
        <v>162</v>
      </c>
      <c r="AI464" t="s">
        <v>162</v>
      </c>
      <c r="AJ464" t="s">
        <v>162</v>
      </c>
      <c r="AK464" t="s">
        <v>162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 s="60">
        <f t="shared" si="7"/>
        <v>1</v>
      </c>
      <c r="AU464" s="95" t="s">
        <v>350</v>
      </c>
      <c r="AV464" s="94" t="s">
        <v>165</v>
      </c>
      <c r="AW464" t="s">
        <v>162</v>
      </c>
      <c r="AX464">
        <v>2</v>
      </c>
      <c r="AY464" t="s">
        <v>167</v>
      </c>
      <c r="AZ464" t="s">
        <v>162</v>
      </c>
    </row>
    <row r="465" spans="1:52" x14ac:dyDescent="0.25">
      <c r="A465">
        <v>454</v>
      </c>
      <c r="B465" t="s">
        <v>1190</v>
      </c>
      <c r="C465" t="s">
        <v>151</v>
      </c>
      <c r="D465" t="s">
        <v>1191</v>
      </c>
      <c r="E465" t="s">
        <v>172</v>
      </c>
      <c r="F465" t="s">
        <v>162</v>
      </c>
      <c r="G465">
        <v>701</v>
      </c>
      <c r="H465">
        <v>700</v>
      </c>
      <c r="I465" t="s">
        <v>1192</v>
      </c>
      <c r="J465">
        <v>223</v>
      </c>
      <c r="K465">
        <v>220</v>
      </c>
      <c r="L465" t="s">
        <v>694</v>
      </c>
      <c r="M465">
        <v>4</v>
      </c>
      <c r="N465" t="s">
        <v>11</v>
      </c>
      <c r="O465" t="s">
        <v>11</v>
      </c>
      <c r="P465" t="s">
        <v>175</v>
      </c>
      <c r="Q465" t="s">
        <v>1193</v>
      </c>
      <c r="R465" t="s">
        <v>502</v>
      </c>
      <c r="S465">
        <v>2017</v>
      </c>
      <c r="T465">
        <v>5</v>
      </c>
      <c r="U465" t="s">
        <v>123</v>
      </c>
      <c r="V465" t="s">
        <v>162</v>
      </c>
      <c r="W465">
        <v>0</v>
      </c>
      <c r="X465">
        <v>0</v>
      </c>
      <c r="Y465" t="s">
        <v>162</v>
      </c>
      <c r="Z465">
        <v>2017</v>
      </c>
      <c r="AA465">
        <v>2017</v>
      </c>
      <c r="AB465" s="5">
        <v>0.68757371190000005</v>
      </c>
      <c r="AC465" s="5">
        <v>1.3751474238000001</v>
      </c>
      <c r="AD465" t="s">
        <v>162</v>
      </c>
      <c r="AE465" t="s">
        <v>163</v>
      </c>
      <c r="AF465" t="s">
        <v>162</v>
      </c>
      <c r="AG465" t="s">
        <v>162</v>
      </c>
      <c r="AH465" t="s">
        <v>162</v>
      </c>
      <c r="AI465" t="s">
        <v>162</v>
      </c>
      <c r="AJ465" t="s">
        <v>162</v>
      </c>
      <c r="AK465" t="s">
        <v>162</v>
      </c>
      <c r="AL465">
        <v>0</v>
      </c>
      <c r="AM465">
        <v>0</v>
      </c>
      <c r="AN465">
        <v>0</v>
      </c>
      <c r="AO465">
        <v>0</v>
      </c>
      <c r="AP465">
        <v>0.35</v>
      </c>
      <c r="AQ465">
        <v>0.65</v>
      </c>
      <c r="AR465">
        <v>0</v>
      </c>
      <c r="AS465">
        <v>0</v>
      </c>
      <c r="AT465" s="60">
        <f t="shared" si="7"/>
        <v>1</v>
      </c>
      <c r="AU465" s="95">
        <v>43348</v>
      </c>
      <c r="AV465" s="94" t="s">
        <v>165</v>
      </c>
      <c r="AW465" t="s">
        <v>162</v>
      </c>
      <c r="AX465">
        <v>3</v>
      </c>
      <c r="AY465" t="s">
        <v>167</v>
      </c>
      <c r="AZ465" t="s">
        <v>162</v>
      </c>
    </row>
    <row r="466" spans="1:52" x14ac:dyDescent="0.25">
      <c r="A466">
        <v>455</v>
      </c>
      <c r="B466" t="s">
        <v>233</v>
      </c>
      <c r="C466" t="s">
        <v>180</v>
      </c>
      <c r="D466" t="s">
        <v>234</v>
      </c>
      <c r="E466" t="s">
        <v>172</v>
      </c>
      <c r="F466" t="s">
        <v>162</v>
      </c>
      <c r="G466">
        <v>4049</v>
      </c>
      <c r="H466">
        <v>4050</v>
      </c>
      <c r="I466" t="s">
        <v>909</v>
      </c>
      <c r="J466">
        <v>3901</v>
      </c>
      <c r="K466">
        <v>3900</v>
      </c>
      <c r="L466" t="s">
        <v>770</v>
      </c>
      <c r="M466">
        <v>2</v>
      </c>
      <c r="N466" t="s">
        <v>9</v>
      </c>
      <c r="O466" t="s">
        <v>9</v>
      </c>
      <c r="P466" t="s">
        <v>175</v>
      </c>
      <c r="Q466" t="s">
        <v>1194</v>
      </c>
      <c r="R466" t="s">
        <v>422</v>
      </c>
      <c r="S466">
        <v>2016</v>
      </c>
      <c r="T466">
        <v>6</v>
      </c>
      <c r="U466" t="s">
        <v>123</v>
      </c>
      <c r="V466" t="s">
        <v>162</v>
      </c>
      <c r="W466">
        <v>0</v>
      </c>
      <c r="X466">
        <v>0</v>
      </c>
      <c r="Y466" t="s">
        <v>162</v>
      </c>
      <c r="Z466">
        <v>2016</v>
      </c>
      <c r="AA466">
        <v>2016</v>
      </c>
      <c r="AB466" s="5">
        <v>0.21907100334900001</v>
      </c>
      <c r="AC466" s="5">
        <v>0.43814200669800002</v>
      </c>
      <c r="AD466" t="s">
        <v>162</v>
      </c>
      <c r="AE466" t="s">
        <v>163</v>
      </c>
      <c r="AF466" t="s">
        <v>162</v>
      </c>
      <c r="AG466" t="s">
        <v>162</v>
      </c>
      <c r="AH466" t="s">
        <v>162</v>
      </c>
      <c r="AI466" t="s">
        <v>162</v>
      </c>
      <c r="AJ466" t="s">
        <v>162</v>
      </c>
      <c r="AK466" t="s">
        <v>162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 s="60">
        <f t="shared" si="7"/>
        <v>1</v>
      </c>
      <c r="AU466" s="95">
        <v>43333</v>
      </c>
      <c r="AV466" t="s">
        <v>165</v>
      </c>
      <c r="AW466" t="s">
        <v>166</v>
      </c>
      <c r="AX466">
        <v>2</v>
      </c>
      <c r="AY466" t="s">
        <v>167</v>
      </c>
      <c r="AZ466" t="s">
        <v>162</v>
      </c>
    </row>
    <row r="467" spans="1:52" x14ac:dyDescent="0.25">
      <c r="A467">
        <v>456</v>
      </c>
      <c r="B467" t="s">
        <v>480</v>
      </c>
      <c r="C467" t="s">
        <v>163</v>
      </c>
      <c r="D467" t="s">
        <v>481</v>
      </c>
      <c r="E467" t="s">
        <v>216</v>
      </c>
      <c r="F467" t="s">
        <v>162</v>
      </c>
      <c r="G467">
        <v>6400</v>
      </c>
      <c r="H467">
        <v>6401</v>
      </c>
      <c r="I467" t="s">
        <v>372</v>
      </c>
      <c r="J467">
        <v>6758</v>
      </c>
      <c r="K467">
        <v>6759</v>
      </c>
      <c r="L467" t="s">
        <v>982</v>
      </c>
      <c r="M467">
        <v>2</v>
      </c>
      <c r="N467" t="s">
        <v>11</v>
      </c>
      <c r="O467" t="s">
        <v>11</v>
      </c>
      <c r="P467" t="s">
        <v>175</v>
      </c>
      <c r="Q467" t="s">
        <v>1077</v>
      </c>
      <c r="R467" t="s">
        <v>502</v>
      </c>
      <c r="S467">
        <v>2016</v>
      </c>
      <c r="T467">
        <v>9</v>
      </c>
      <c r="U467" t="s">
        <v>123</v>
      </c>
      <c r="V467" t="s">
        <v>162</v>
      </c>
      <c r="W467">
        <v>0</v>
      </c>
      <c r="X467">
        <v>0</v>
      </c>
      <c r="Y467" t="s">
        <v>162</v>
      </c>
      <c r="Z467">
        <v>2016</v>
      </c>
      <c r="AA467">
        <v>2016</v>
      </c>
      <c r="AB467" s="5">
        <v>0.50171075830599998</v>
      </c>
      <c r="AC467" s="5">
        <v>1.00342151661</v>
      </c>
      <c r="AD467" t="s">
        <v>162</v>
      </c>
      <c r="AE467" t="s">
        <v>163</v>
      </c>
      <c r="AF467" t="s">
        <v>162</v>
      </c>
      <c r="AG467" t="s">
        <v>162</v>
      </c>
      <c r="AH467" t="s">
        <v>162</v>
      </c>
      <c r="AI467" t="s">
        <v>162</v>
      </c>
      <c r="AJ467" t="s">
        <v>162</v>
      </c>
      <c r="AK467" t="s">
        <v>162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 s="60">
        <f t="shared" si="7"/>
        <v>1</v>
      </c>
      <c r="AU467" s="95">
        <v>43341</v>
      </c>
      <c r="AV467" t="s">
        <v>165</v>
      </c>
      <c r="AW467" t="s">
        <v>162</v>
      </c>
      <c r="AX467">
        <v>2</v>
      </c>
      <c r="AY467" t="s">
        <v>167</v>
      </c>
      <c r="AZ467" t="s">
        <v>162</v>
      </c>
    </row>
    <row r="468" spans="1:52" x14ac:dyDescent="0.25">
      <c r="A468">
        <v>457</v>
      </c>
      <c r="B468" t="s">
        <v>948</v>
      </c>
      <c r="C468" t="s">
        <v>151</v>
      </c>
      <c r="D468" t="s">
        <v>949</v>
      </c>
      <c r="E468" t="s">
        <v>172</v>
      </c>
      <c r="F468" t="s">
        <v>162</v>
      </c>
      <c r="G468">
        <v>779</v>
      </c>
      <c r="H468">
        <v>778</v>
      </c>
      <c r="I468" t="s">
        <v>576</v>
      </c>
      <c r="J468">
        <v>700</v>
      </c>
      <c r="K468">
        <v>701</v>
      </c>
      <c r="L468" t="s">
        <v>1028</v>
      </c>
      <c r="M468">
        <v>3</v>
      </c>
      <c r="N468" t="s">
        <v>9</v>
      </c>
      <c r="O468" t="s">
        <v>9</v>
      </c>
      <c r="P468" t="s">
        <v>175</v>
      </c>
      <c r="Q468" t="s">
        <v>1195</v>
      </c>
      <c r="R468" t="s">
        <v>893</v>
      </c>
      <c r="S468">
        <v>2016</v>
      </c>
      <c r="T468">
        <v>4</v>
      </c>
      <c r="U468" t="s">
        <v>311</v>
      </c>
      <c r="V468" t="s">
        <v>162</v>
      </c>
      <c r="W468">
        <v>0</v>
      </c>
      <c r="X468">
        <v>0</v>
      </c>
      <c r="Y468" t="s">
        <v>162</v>
      </c>
      <c r="Z468">
        <v>2016</v>
      </c>
      <c r="AA468">
        <v>2016</v>
      </c>
      <c r="AB468" s="5">
        <v>0.167160162689</v>
      </c>
      <c r="AC468" s="5">
        <v>0.33432032537799999</v>
      </c>
      <c r="AD468" t="s">
        <v>162</v>
      </c>
      <c r="AE468" t="s">
        <v>163</v>
      </c>
      <c r="AF468" t="s">
        <v>162</v>
      </c>
      <c r="AG468" t="s">
        <v>162</v>
      </c>
      <c r="AH468" t="s">
        <v>162</v>
      </c>
      <c r="AI468" t="s">
        <v>162</v>
      </c>
      <c r="AJ468" t="s">
        <v>162</v>
      </c>
      <c r="AK468" t="s">
        <v>166</v>
      </c>
      <c r="AL468">
        <v>2016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 s="60">
        <f t="shared" si="7"/>
        <v>1</v>
      </c>
      <c r="AU468" s="95">
        <v>43347</v>
      </c>
      <c r="AV468" s="94" t="s">
        <v>165</v>
      </c>
      <c r="AW468" t="s">
        <v>166</v>
      </c>
      <c r="AX468">
        <v>2</v>
      </c>
      <c r="AY468" t="s">
        <v>167</v>
      </c>
      <c r="AZ468" t="s">
        <v>162</v>
      </c>
    </row>
    <row r="469" spans="1:52" x14ac:dyDescent="0.25">
      <c r="A469">
        <v>458</v>
      </c>
      <c r="B469" t="s">
        <v>745</v>
      </c>
      <c r="C469" t="s">
        <v>180</v>
      </c>
      <c r="D469" t="s">
        <v>746</v>
      </c>
      <c r="E469" t="s">
        <v>216</v>
      </c>
      <c r="F469" t="s">
        <v>162</v>
      </c>
      <c r="G469">
        <v>2599</v>
      </c>
      <c r="H469">
        <v>2598</v>
      </c>
      <c r="I469" t="s">
        <v>334</v>
      </c>
      <c r="J469">
        <v>2355</v>
      </c>
      <c r="K469">
        <v>2354</v>
      </c>
      <c r="L469" t="s">
        <v>930</v>
      </c>
      <c r="M469">
        <v>3</v>
      </c>
      <c r="N469" t="s">
        <v>11</v>
      </c>
      <c r="O469" t="s">
        <v>11</v>
      </c>
      <c r="P469" t="s">
        <v>175</v>
      </c>
      <c r="Q469" t="s">
        <v>1196</v>
      </c>
      <c r="R469" t="s">
        <v>383</v>
      </c>
      <c r="S469">
        <v>2016</v>
      </c>
      <c r="T469">
        <v>10</v>
      </c>
      <c r="U469" t="s">
        <v>123</v>
      </c>
      <c r="V469" t="s">
        <v>161</v>
      </c>
      <c r="W469">
        <v>2020</v>
      </c>
      <c r="X469">
        <v>0</v>
      </c>
      <c r="Y469" t="s">
        <v>162</v>
      </c>
      <c r="Z469">
        <v>2020</v>
      </c>
      <c r="AA469">
        <v>2016</v>
      </c>
      <c r="AB469" s="5">
        <v>0.70275527378500002</v>
      </c>
      <c r="AC469" s="5">
        <v>1.40551054757</v>
      </c>
      <c r="AD469" t="s">
        <v>162</v>
      </c>
      <c r="AE469" t="s">
        <v>163</v>
      </c>
      <c r="AF469" t="s">
        <v>162</v>
      </c>
      <c r="AG469" t="s">
        <v>162</v>
      </c>
      <c r="AH469" t="s">
        <v>162</v>
      </c>
      <c r="AI469" t="s">
        <v>162</v>
      </c>
      <c r="AJ469" t="s">
        <v>162</v>
      </c>
      <c r="AK469" t="s">
        <v>162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 s="60">
        <f t="shared" si="7"/>
        <v>1</v>
      </c>
      <c r="AU469" s="95" t="s">
        <v>187</v>
      </c>
      <c r="AV469" t="s">
        <v>165</v>
      </c>
      <c r="AW469" t="s">
        <v>162</v>
      </c>
      <c r="AX469">
        <v>2</v>
      </c>
      <c r="AY469" t="s">
        <v>167</v>
      </c>
      <c r="AZ469" t="s">
        <v>162</v>
      </c>
    </row>
    <row r="470" spans="1:52" x14ac:dyDescent="0.25">
      <c r="A470">
        <v>459</v>
      </c>
      <c r="B470" t="s">
        <v>689</v>
      </c>
      <c r="C470" t="s">
        <v>151</v>
      </c>
      <c r="D470" t="s">
        <v>690</v>
      </c>
      <c r="E470" t="s">
        <v>216</v>
      </c>
      <c r="F470" t="s">
        <v>162</v>
      </c>
      <c r="G470">
        <v>1559</v>
      </c>
      <c r="H470">
        <v>1558</v>
      </c>
      <c r="I470" t="s">
        <v>302</v>
      </c>
      <c r="J470">
        <v>1501</v>
      </c>
      <c r="K470">
        <v>1500</v>
      </c>
      <c r="L470" t="s">
        <v>691</v>
      </c>
      <c r="M470">
        <v>2</v>
      </c>
      <c r="N470" t="s">
        <v>11</v>
      </c>
      <c r="O470" t="s">
        <v>11</v>
      </c>
      <c r="P470" t="s">
        <v>175</v>
      </c>
      <c r="Q470" t="s">
        <v>1197</v>
      </c>
      <c r="R470" t="s">
        <v>383</v>
      </c>
      <c r="S470">
        <v>2016</v>
      </c>
      <c r="T470">
        <v>11</v>
      </c>
      <c r="U470" t="s">
        <v>123</v>
      </c>
      <c r="V470" t="s">
        <v>162</v>
      </c>
      <c r="W470">
        <v>0</v>
      </c>
      <c r="X470">
        <v>0</v>
      </c>
      <c r="Y470" t="s">
        <v>162</v>
      </c>
      <c r="Z470">
        <v>2016</v>
      </c>
      <c r="AA470">
        <v>2016</v>
      </c>
      <c r="AB470" s="5">
        <v>0.122548683746</v>
      </c>
      <c r="AC470" s="5">
        <v>0.24509736749200001</v>
      </c>
      <c r="AD470" t="s">
        <v>162</v>
      </c>
      <c r="AE470" t="s">
        <v>163</v>
      </c>
      <c r="AF470" t="s">
        <v>162</v>
      </c>
      <c r="AG470" t="s">
        <v>162</v>
      </c>
      <c r="AH470" t="s">
        <v>162</v>
      </c>
      <c r="AI470" t="s">
        <v>162</v>
      </c>
      <c r="AJ470" t="s">
        <v>162</v>
      </c>
      <c r="AK470" t="s">
        <v>162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 s="60">
        <f t="shared" si="7"/>
        <v>1</v>
      </c>
      <c r="AU470" s="95">
        <v>43343</v>
      </c>
      <c r="AV470" s="94" t="s">
        <v>165</v>
      </c>
      <c r="AW470" t="s">
        <v>162</v>
      </c>
      <c r="AX470">
        <v>2</v>
      </c>
      <c r="AY470" t="s">
        <v>167</v>
      </c>
      <c r="AZ470" t="s">
        <v>162</v>
      </c>
    </row>
    <row r="471" spans="1:52" x14ac:dyDescent="0.25">
      <c r="A471">
        <v>460</v>
      </c>
      <c r="B471" t="s">
        <v>791</v>
      </c>
      <c r="C471" t="s">
        <v>180</v>
      </c>
      <c r="D471" t="s">
        <v>643</v>
      </c>
      <c r="E471" t="s">
        <v>216</v>
      </c>
      <c r="F471" t="s">
        <v>162</v>
      </c>
      <c r="G471">
        <v>2458</v>
      </c>
      <c r="H471">
        <v>2459</v>
      </c>
      <c r="I471" t="s">
        <v>888</v>
      </c>
      <c r="J471">
        <v>2200</v>
      </c>
      <c r="K471">
        <v>2201</v>
      </c>
      <c r="L471" t="s">
        <v>248</v>
      </c>
      <c r="M471">
        <v>3</v>
      </c>
      <c r="N471" t="s">
        <v>11</v>
      </c>
      <c r="O471" t="s">
        <v>11</v>
      </c>
      <c r="P471" t="s">
        <v>175</v>
      </c>
      <c r="Q471" t="s">
        <v>162</v>
      </c>
      <c r="R471" t="s">
        <v>253</v>
      </c>
      <c r="S471">
        <v>2003</v>
      </c>
      <c r="T471">
        <v>9</v>
      </c>
      <c r="U471" t="s">
        <v>162</v>
      </c>
      <c r="V471" t="s">
        <v>238</v>
      </c>
      <c r="W471">
        <v>2018</v>
      </c>
      <c r="X471">
        <v>7</v>
      </c>
      <c r="Y471" t="s">
        <v>123</v>
      </c>
      <c r="Z471">
        <v>2018</v>
      </c>
      <c r="AA471">
        <v>2018</v>
      </c>
      <c r="AB471" s="5">
        <v>0.37572347802099998</v>
      </c>
      <c r="AC471" s="5">
        <v>0.75144695604199996</v>
      </c>
      <c r="AD471" t="s">
        <v>162</v>
      </c>
      <c r="AE471" t="s">
        <v>163</v>
      </c>
      <c r="AF471" t="s">
        <v>162</v>
      </c>
      <c r="AG471" t="s">
        <v>162</v>
      </c>
      <c r="AH471" t="s">
        <v>162</v>
      </c>
      <c r="AI471" t="s">
        <v>162</v>
      </c>
      <c r="AJ471" t="s">
        <v>162</v>
      </c>
      <c r="AK471" t="s">
        <v>162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 s="60">
        <f t="shared" si="7"/>
        <v>1</v>
      </c>
      <c r="AU471" s="95">
        <v>43343</v>
      </c>
      <c r="AV471" s="94" t="s">
        <v>165</v>
      </c>
      <c r="AW471" t="s">
        <v>162</v>
      </c>
      <c r="AX471">
        <v>2</v>
      </c>
      <c r="AY471" t="s">
        <v>167</v>
      </c>
      <c r="AZ471" t="s">
        <v>162</v>
      </c>
    </row>
    <row r="472" spans="1:52" x14ac:dyDescent="0.25">
      <c r="A472">
        <v>461</v>
      </c>
      <c r="B472" t="s">
        <v>295</v>
      </c>
      <c r="C472" t="s">
        <v>163</v>
      </c>
      <c r="D472" t="s">
        <v>296</v>
      </c>
      <c r="E472" t="s">
        <v>172</v>
      </c>
      <c r="F472" t="s">
        <v>162</v>
      </c>
      <c r="G472">
        <v>4801</v>
      </c>
      <c r="H472">
        <v>4800</v>
      </c>
      <c r="I472" t="s">
        <v>588</v>
      </c>
      <c r="J472">
        <v>4898</v>
      </c>
      <c r="K472">
        <v>4899</v>
      </c>
      <c r="L472" t="s">
        <v>1198</v>
      </c>
      <c r="M472">
        <v>3</v>
      </c>
      <c r="N472" t="s">
        <v>11</v>
      </c>
      <c r="O472" t="s">
        <v>327</v>
      </c>
      <c r="P472" t="s">
        <v>157</v>
      </c>
      <c r="Q472" t="s">
        <v>162</v>
      </c>
      <c r="R472" t="s">
        <v>843</v>
      </c>
      <c r="S472">
        <v>2019</v>
      </c>
      <c r="T472">
        <v>8</v>
      </c>
      <c r="U472" t="s">
        <v>517</v>
      </c>
      <c r="V472" t="s">
        <v>628</v>
      </c>
      <c r="W472">
        <v>2021</v>
      </c>
      <c r="X472">
        <v>10</v>
      </c>
      <c r="Y472" t="s">
        <v>162</v>
      </c>
      <c r="Z472">
        <v>2021</v>
      </c>
      <c r="AA472">
        <v>2021</v>
      </c>
      <c r="AB472" s="5">
        <v>0.20603343053299999</v>
      </c>
      <c r="AC472" s="5">
        <v>0.41206686106599999</v>
      </c>
      <c r="AD472" t="s">
        <v>162</v>
      </c>
      <c r="AE472" t="s">
        <v>163</v>
      </c>
      <c r="AF472" t="s">
        <v>162</v>
      </c>
      <c r="AG472" t="s">
        <v>162</v>
      </c>
      <c r="AH472" t="s">
        <v>162</v>
      </c>
      <c r="AI472" t="s">
        <v>162</v>
      </c>
      <c r="AJ472" t="s">
        <v>162</v>
      </c>
      <c r="AK472" t="s">
        <v>162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 s="60">
        <f t="shared" si="7"/>
        <v>1</v>
      </c>
      <c r="AU472" s="95" t="s">
        <v>530</v>
      </c>
      <c r="AV472" s="94" t="s">
        <v>165</v>
      </c>
      <c r="AW472" t="s">
        <v>154</v>
      </c>
      <c r="AX472">
        <v>2</v>
      </c>
      <c r="AY472" t="s">
        <v>167</v>
      </c>
      <c r="AZ472">
        <v>20</v>
      </c>
    </row>
    <row r="473" spans="1:52" x14ac:dyDescent="0.25">
      <c r="A473">
        <v>462</v>
      </c>
      <c r="B473" t="s">
        <v>453</v>
      </c>
      <c r="C473" t="s">
        <v>163</v>
      </c>
      <c r="D473" t="s">
        <v>454</v>
      </c>
      <c r="E473" t="s">
        <v>216</v>
      </c>
      <c r="F473" t="s">
        <v>162</v>
      </c>
      <c r="G473">
        <v>1501</v>
      </c>
      <c r="H473">
        <v>1500</v>
      </c>
      <c r="I473" t="s">
        <v>532</v>
      </c>
      <c r="J473">
        <v>1600</v>
      </c>
      <c r="K473">
        <v>1601</v>
      </c>
      <c r="L473" t="s">
        <v>298</v>
      </c>
      <c r="M473">
        <v>3</v>
      </c>
      <c r="N473" t="s">
        <v>11</v>
      </c>
      <c r="O473" t="s">
        <v>11</v>
      </c>
      <c r="P473" t="s">
        <v>175</v>
      </c>
      <c r="Q473" t="s">
        <v>1199</v>
      </c>
      <c r="R473" t="s">
        <v>266</v>
      </c>
      <c r="S473">
        <v>2002</v>
      </c>
      <c r="T473">
        <v>8</v>
      </c>
      <c r="U473" t="s">
        <v>162</v>
      </c>
      <c r="V473" t="s">
        <v>455</v>
      </c>
      <c r="W473">
        <v>2020</v>
      </c>
      <c r="X473">
        <v>0</v>
      </c>
      <c r="Y473" t="s">
        <v>123</v>
      </c>
      <c r="Z473">
        <v>2020</v>
      </c>
      <c r="AA473">
        <v>2020</v>
      </c>
      <c r="AB473" s="5">
        <v>0.15457171710500001</v>
      </c>
      <c r="AC473" s="5">
        <v>0.30914343421000001</v>
      </c>
      <c r="AD473" t="s">
        <v>162</v>
      </c>
      <c r="AE473" t="s">
        <v>163</v>
      </c>
      <c r="AF473" t="s">
        <v>162</v>
      </c>
      <c r="AG473" t="s">
        <v>162</v>
      </c>
      <c r="AH473" t="s">
        <v>162</v>
      </c>
      <c r="AI473" t="s">
        <v>162</v>
      </c>
      <c r="AJ473" t="s">
        <v>162</v>
      </c>
      <c r="AK473" t="s">
        <v>162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 s="60">
        <f t="shared" si="7"/>
        <v>1</v>
      </c>
      <c r="AU473" s="95" t="s">
        <v>187</v>
      </c>
      <c r="AV473" s="94" t="s">
        <v>165</v>
      </c>
      <c r="AW473" t="s">
        <v>162</v>
      </c>
      <c r="AX473">
        <v>2</v>
      </c>
      <c r="AY473" t="s">
        <v>167</v>
      </c>
      <c r="AZ473" t="s">
        <v>162</v>
      </c>
    </row>
    <row r="474" spans="1:52" x14ac:dyDescent="0.25">
      <c r="A474">
        <v>463</v>
      </c>
      <c r="B474" t="s">
        <v>802</v>
      </c>
      <c r="C474" t="s">
        <v>163</v>
      </c>
      <c r="D474" t="s">
        <v>803</v>
      </c>
      <c r="E474" t="s">
        <v>172</v>
      </c>
      <c r="F474" t="s">
        <v>163</v>
      </c>
      <c r="G474">
        <v>240</v>
      </c>
      <c r="H474">
        <v>241</v>
      </c>
      <c r="I474" t="s">
        <v>513</v>
      </c>
      <c r="J474">
        <v>358</v>
      </c>
      <c r="K474">
        <v>359</v>
      </c>
      <c r="L474" t="s">
        <v>423</v>
      </c>
      <c r="M474">
        <v>4</v>
      </c>
      <c r="N474" t="s">
        <v>7</v>
      </c>
      <c r="O474" t="s">
        <v>7</v>
      </c>
      <c r="P474" t="s">
        <v>157</v>
      </c>
      <c r="Q474" t="s">
        <v>162</v>
      </c>
      <c r="R474" t="s">
        <v>407</v>
      </c>
      <c r="S474">
        <v>2018</v>
      </c>
      <c r="T474">
        <v>10</v>
      </c>
      <c r="U474" t="s">
        <v>928</v>
      </c>
      <c r="V474" t="s">
        <v>455</v>
      </c>
      <c r="W474">
        <v>2020</v>
      </c>
      <c r="X474">
        <v>0</v>
      </c>
      <c r="Y474" t="s">
        <v>929</v>
      </c>
      <c r="Z474">
        <v>2020</v>
      </c>
      <c r="AA474">
        <v>2017</v>
      </c>
      <c r="AB474" s="5">
        <v>0.168543581385</v>
      </c>
      <c r="AC474" s="5">
        <v>0.33708716277</v>
      </c>
      <c r="AD474" t="s">
        <v>154</v>
      </c>
      <c r="AE474" t="s">
        <v>163</v>
      </c>
      <c r="AF474" t="s">
        <v>154</v>
      </c>
      <c r="AG474" t="s">
        <v>154</v>
      </c>
      <c r="AH474" t="s">
        <v>166</v>
      </c>
      <c r="AI474" t="s">
        <v>226</v>
      </c>
      <c r="AJ474" t="s">
        <v>154</v>
      </c>
      <c r="AK474" t="s">
        <v>166</v>
      </c>
      <c r="AL474">
        <v>2013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 s="60">
        <f t="shared" si="7"/>
        <v>1</v>
      </c>
      <c r="AU474" s="95" t="s">
        <v>227</v>
      </c>
      <c r="AV474" s="94" t="s">
        <v>165</v>
      </c>
      <c r="AW474" t="s">
        <v>166</v>
      </c>
      <c r="AX474">
        <v>1</v>
      </c>
      <c r="AY474" t="s">
        <v>167</v>
      </c>
      <c r="AZ474" t="s">
        <v>162</v>
      </c>
    </row>
    <row r="475" spans="1:52" x14ac:dyDescent="0.25">
      <c r="A475">
        <v>464</v>
      </c>
      <c r="B475" t="s">
        <v>650</v>
      </c>
      <c r="C475" t="s">
        <v>163</v>
      </c>
      <c r="D475" t="s">
        <v>651</v>
      </c>
      <c r="E475" t="s">
        <v>216</v>
      </c>
      <c r="F475" t="s">
        <v>162</v>
      </c>
      <c r="G475">
        <v>3428</v>
      </c>
      <c r="H475">
        <v>3429</v>
      </c>
      <c r="I475" t="s">
        <v>566</v>
      </c>
      <c r="J475">
        <v>3558</v>
      </c>
      <c r="K475">
        <v>3559</v>
      </c>
      <c r="L475" t="s">
        <v>331</v>
      </c>
      <c r="M475">
        <v>2</v>
      </c>
      <c r="N475" t="s">
        <v>15</v>
      </c>
      <c r="O475" t="s">
        <v>15</v>
      </c>
      <c r="P475" t="s">
        <v>175</v>
      </c>
      <c r="Q475" t="s">
        <v>162</v>
      </c>
      <c r="R475" t="s">
        <v>839</v>
      </c>
      <c r="S475">
        <v>2010</v>
      </c>
      <c r="T475">
        <v>4</v>
      </c>
      <c r="U475" t="s">
        <v>162</v>
      </c>
      <c r="V475" t="s">
        <v>269</v>
      </c>
      <c r="W475">
        <v>2016</v>
      </c>
      <c r="X475">
        <v>4</v>
      </c>
      <c r="Y475" t="s">
        <v>123</v>
      </c>
      <c r="Z475">
        <v>2016</v>
      </c>
      <c r="AA475">
        <v>2016</v>
      </c>
      <c r="AB475" s="5">
        <v>0.25358144956400003</v>
      </c>
      <c r="AC475" s="5">
        <v>0.50716289912800006</v>
      </c>
      <c r="AD475" t="s">
        <v>162</v>
      </c>
      <c r="AE475" t="s">
        <v>163</v>
      </c>
      <c r="AF475" t="s">
        <v>162</v>
      </c>
      <c r="AG475" t="s">
        <v>162</v>
      </c>
      <c r="AH475" t="s">
        <v>162</v>
      </c>
      <c r="AI475" t="s">
        <v>162</v>
      </c>
      <c r="AJ475" t="s">
        <v>162</v>
      </c>
      <c r="AK475" t="s">
        <v>162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 s="60">
        <f t="shared" si="7"/>
        <v>1</v>
      </c>
      <c r="AU475" s="95">
        <v>43343</v>
      </c>
      <c r="AV475" s="94" t="s">
        <v>165</v>
      </c>
      <c r="AW475" t="s">
        <v>162</v>
      </c>
      <c r="AX475">
        <v>2</v>
      </c>
      <c r="AY475" t="s">
        <v>167</v>
      </c>
      <c r="AZ475" t="s">
        <v>162</v>
      </c>
    </row>
    <row r="476" spans="1:52" x14ac:dyDescent="0.25">
      <c r="A476">
        <v>465</v>
      </c>
      <c r="B476" t="s">
        <v>1200</v>
      </c>
      <c r="C476" t="s">
        <v>163</v>
      </c>
      <c r="D476" t="s">
        <v>1201</v>
      </c>
      <c r="E476" t="s">
        <v>216</v>
      </c>
      <c r="F476" t="s">
        <v>162</v>
      </c>
      <c r="G476">
        <v>4000</v>
      </c>
      <c r="H476">
        <v>4001</v>
      </c>
      <c r="I476" t="s">
        <v>477</v>
      </c>
      <c r="J476">
        <v>4258</v>
      </c>
      <c r="K476">
        <v>4259</v>
      </c>
      <c r="L476" t="s">
        <v>1202</v>
      </c>
      <c r="M476">
        <v>3</v>
      </c>
      <c r="N476" t="s">
        <v>9</v>
      </c>
      <c r="O476" t="s">
        <v>9</v>
      </c>
      <c r="P476" t="s">
        <v>175</v>
      </c>
      <c r="Q476" t="s">
        <v>1203</v>
      </c>
      <c r="R476" t="s">
        <v>713</v>
      </c>
      <c r="S476">
        <v>2016</v>
      </c>
      <c r="T476">
        <v>11</v>
      </c>
      <c r="U476" t="s">
        <v>123</v>
      </c>
      <c r="V476" t="s">
        <v>162</v>
      </c>
      <c r="W476">
        <v>0</v>
      </c>
      <c r="X476">
        <v>0</v>
      </c>
      <c r="Y476" t="s">
        <v>162</v>
      </c>
      <c r="Z476">
        <v>2016</v>
      </c>
      <c r="AA476">
        <v>2016</v>
      </c>
      <c r="AB476" s="5">
        <v>0.40280067548800003</v>
      </c>
      <c r="AC476" s="5">
        <v>0.80560135097600005</v>
      </c>
      <c r="AD476" t="s">
        <v>162</v>
      </c>
      <c r="AE476" t="s">
        <v>163</v>
      </c>
      <c r="AF476" t="s">
        <v>162</v>
      </c>
      <c r="AG476" t="s">
        <v>162</v>
      </c>
      <c r="AH476" t="s">
        <v>162</v>
      </c>
      <c r="AI476" t="s">
        <v>162</v>
      </c>
      <c r="AJ476" t="s">
        <v>162</v>
      </c>
      <c r="AK476" t="s">
        <v>162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 s="60">
        <f t="shared" si="7"/>
        <v>1</v>
      </c>
      <c r="AU476" s="95">
        <v>43348</v>
      </c>
      <c r="AV476" t="s">
        <v>165</v>
      </c>
      <c r="AW476" t="s">
        <v>166</v>
      </c>
      <c r="AX476">
        <v>2</v>
      </c>
      <c r="AY476" t="s">
        <v>167</v>
      </c>
      <c r="AZ476" t="s">
        <v>162</v>
      </c>
    </row>
    <row r="477" spans="1:52" x14ac:dyDescent="0.25">
      <c r="A477">
        <v>466</v>
      </c>
      <c r="B477" t="s">
        <v>1062</v>
      </c>
      <c r="C477" t="s">
        <v>151</v>
      </c>
      <c r="D477" t="s">
        <v>1063</v>
      </c>
      <c r="E477" t="s">
        <v>222</v>
      </c>
      <c r="F477" t="s">
        <v>162</v>
      </c>
      <c r="G477">
        <v>2201</v>
      </c>
      <c r="H477">
        <v>2200</v>
      </c>
      <c r="I477" t="s">
        <v>1064</v>
      </c>
      <c r="J477">
        <v>3201</v>
      </c>
      <c r="K477">
        <v>3200</v>
      </c>
      <c r="L477" t="s">
        <v>190</v>
      </c>
      <c r="M477">
        <v>3</v>
      </c>
      <c r="N477" t="s">
        <v>11</v>
      </c>
      <c r="O477" t="s">
        <v>11</v>
      </c>
      <c r="P477" t="s">
        <v>175</v>
      </c>
      <c r="Q477" t="s">
        <v>162</v>
      </c>
      <c r="R477" t="s">
        <v>266</v>
      </c>
      <c r="S477">
        <v>2002</v>
      </c>
      <c r="T477">
        <v>7</v>
      </c>
      <c r="U477" t="s">
        <v>162</v>
      </c>
      <c r="V477" t="s">
        <v>243</v>
      </c>
      <c r="W477">
        <v>2020</v>
      </c>
      <c r="X477">
        <v>0</v>
      </c>
      <c r="Y477" t="s">
        <v>1204</v>
      </c>
      <c r="Z477">
        <v>2020</v>
      </c>
      <c r="AA477">
        <v>2008</v>
      </c>
      <c r="AB477" s="5">
        <v>1.2070029847799999</v>
      </c>
      <c r="AC477" s="5">
        <v>2.4140059695599998</v>
      </c>
      <c r="AD477" t="s">
        <v>162</v>
      </c>
      <c r="AE477" t="s">
        <v>163</v>
      </c>
      <c r="AF477" t="s">
        <v>162</v>
      </c>
      <c r="AG477" t="s">
        <v>162</v>
      </c>
      <c r="AH477" t="s">
        <v>162</v>
      </c>
      <c r="AI477" t="s">
        <v>162</v>
      </c>
      <c r="AJ477" t="s">
        <v>162</v>
      </c>
      <c r="AK477" t="s">
        <v>162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 s="60">
        <f t="shared" si="7"/>
        <v>1</v>
      </c>
      <c r="AU477" s="95" t="s">
        <v>350</v>
      </c>
      <c r="AV477" t="s">
        <v>165</v>
      </c>
      <c r="AW477" t="s">
        <v>162</v>
      </c>
      <c r="AX477">
        <v>2</v>
      </c>
      <c r="AY477" t="s">
        <v>167</v>
      </c>
      <c r="AZ477" t="s">
        <v>162</v>
      </c>
    </row>
    <row r="478" spans="1:52" x14ac:dyDescent="0.25">
      <c r="A478">
        <v>467</v>
      </c>
      <c r="B478" t="s">
        <v>315</v>
      </c>
      <c r="C478" t="s">
        <v>163</v>
      </c>
      <c r="D478" t="s">
        <v>316</v>
      </c>
      <c r="E478" t="s">
        <v>216</v>
      </c>
      <c r="F478" t="s">
        <v>162</v>
      </c>
      <c r="G478">
        <v>4000</v>
      </c>
      <c r="H478">
        <v>4001</v>
      </c>
      <c r="I478" t="s">
        <v>477</v>
      </c>
      <c r="J478">
        <v>4790</v>
      </c>
      <c r="K478">
        <v>4789</v>
      </c>
      <c r="L478" t="s">
        <v>588</v>
      </c>
      <c r="M478">
        <v>3</v>
      </c>
      <c r="N478" t="s">
        <v>15</v>
      </c>
      <c r="O478" t="s">
        <v>15</v>
      </c>
      <c r="P478" t="s">
        <v>175</v>
      </c>
      <c r="Q478" t="s">
        <v>1205</v>
      </c>
      <c r="R478" t="s">
        <v>304</v>
      </c>
      <c r="S478">
        <v>2017</v>
      </c>
      <c r="T478">
        <v>6</v>
      </c>
      <c r="U478" t="s">
        <v>1189</v>
      </c>
      <c r="V478" t="s">
        <v>162</v>
      </c>
      <c r="W478">
        <v>0</v>
      </c>
      <c r="X478">
        <v>0</v>
      </c>
      <c r="Y478" t="s">
        <v>162</v>
      </c>
      <c r="Z478">
        <v>2017</v>
      </c>
      <c r="AA478">
        <v>0</v>
      </c>
      <c r="AB478" s="5">
        <v>1.2203754230599999</v>
      </c>
      <c r="AC478" s="5">
        <v>2.4407508461199998</v>
      </c>
      <c r="AD478" t="s">
        <v>162</v>
      </c>
      <c r="AE478" t="s">
        <v>163</v>
      </c>
      <c r="AF478" t="s">
        <v>162</v>
      </c>
      <c r="AG478" t="s">
        <v>162</v>
      </c>
      <c r="AH478" t="s">
        <v>162</v>
      </c>
      <c r="AI478" t="s">
        <v>162</v>
      </c>
      <c r="AJ478" t="s">
        <v>162</v>
      </c>
      <c r="AK478" t="s">
        <v>162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 s="60">
        <f t="shared" si="7"/>
        <v>1</v>
      </c>
      <c r="AU478" s="95">
        <v>43347</v>
      </c>
      <c r="AV478" t="s">
        <v>165</v>
      </c>
      <c r="AW478" t="s">
        <v>162</v>
      </c>
      <c r="AX478">
        <v>2</v>
      </c>
      <c r="AY478" t="s">
        <v>167</v>
      </c>
      <c r="AZ478" t="s">
        <v>162</v>
      </c>
    </row>
    <row r="479" spans="1:52" x14ac:dyDescent="0.25">
      <c r="A479">
        <v>468</v>
      </c>
      <c r="B479" t="s">
        <v>1206</v>
      </c>
      <c r="C479" t="s">
        <v>151</v>
      </c>
      <c r="D479" t="s">
        <v>1207</v>
      </c>
      <c r="E479" t="s">
        <v>172</v>
      </c>
      <c r="F479" t="s">
        <v>162</v>
      </c>
      <c r="G479">
        <v>4900</v>
      </c>
      <c r="H479">
        <v>4901</v>
      </c>
      <c r="I479" t="s">
        <v>273</v>
      </c>
      <c r="J479">
        <v>4956</v>
      </c>
      <c r="K479">
        <v>4957</v>
      </c>
      <c r="L479" t="s">
        <v>471</v>
      </c>
      <c r="M479">
        <v>4</v>
      </c>
      <c r="N479" t="s">
        <v>11</v>
      </c>
      <c r="O479" t="s">
        <v>1208</v>
      </c>
      <c r="P479" t="s">
        <v>175</v>
      </c>
      <c r="Q479" t="s">
        <v>1075</v>
      </c>
      <c r="R479" t="s">
        <v>304</v>
      </c>
      <c r="S479">
        <v>2017</v>
      </c>
      <c r="T479">
        <v>9</v>
      </c>
      <c r="U479" t="s">
        <v>162</v>
      </c>
      <c r="V479" t="s">
        <v>162</v>
      </c>
      <c r="W479">
        <v>0</v>
      </c>
      <c r="X479">
        <v>0</v>
      </c>
      <c r="Y479" t="s">
        <v>162</v>
      </c>
      <c r="Z479">
        <v>2017</v>
      </c>
      <c r="AA479">
        <v>0</v>
      </c>
      <c r="AB479" s="5">
        <v>0.20189596816800001</v>
      </c>
      <c r="AC479" s="5">
        <v>0.40379193633600002</v>
      </c>
      <c r="AD479" t="s">
        <v>162</v>
      </c>
      <c r="AE479" t="s">
        <v>163</v>
      </c>
      <c r="AF479" t="s">
        <v>162</v>
      </c>
      <c r="AG479" t="s">
        <v>162</v>
      </c>
      <c r="AH479" t="s">
        <v>162</v>
      </c>
      <c r="AI479" t="s">
        <v>162</v>
      </c>
      <c r="AJ479" t="s">
        <v>162</v>
      </c>
      <c r="AK479" t="s">
        <v>162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 s="60">
        <f t="shared" si="7"/>
        <v>1</v>
      </c>
      <c r="AU479" s="95">
        <v>43348</v>
      </c>
      <c r="AV479" s="94" t="s">
        <v>165</v>
      </c>
      <c r="AW479" t="s">
        <v>162</v>
      </c>
      <c r="AX479">
        <v>3</v>
      </c>
      <c r="AY479" t="s">
        <v>275</v>
      </c>
      <c r="AZ479">
        <v>20</v>
      </c>
    </row>
    <row r="480" spans="1:52" x14ac:dyDescent="0.25">
      <c r="A480">
        <v>469</v>
      </c>
      <c r="B480" t="s">
        <v>279</v>
      </c>
      <c r="C480" t="s">
        <v>163</v>
      </c>
      <c r="D480" t="s">
        <v>280</v>
      </c>
      <c r="E480" t="s">
        <v>216</v>
      </c>
      <c r="F480" t="s">
        <v>163</v>
      </c>
      <c r="G480">
        <v>6250</v>
      </c>
      <c r="H480">
        <v>6251</v>
      </c>
      <c r="I480" t="s">
        <v>1010</v>
      </c>
      <c r="J480">
        <v>6340</v>
      </c>
      <c r="K480">
        <v>6341</v>
      </c>
      <c r="L480" t="s">
        <v>1209</v>
      </c>
      <c r="M480">
        <v>4</v>
      </c>
      <c r="N480" t="s">
        <v>11</v>
      </c>
      <c r="O480" t="s">
        <v>11</v>
      </c>
      <c r="P480" t="s">
        <v>175</v>
      </c>
      <c r="Q480" t="s">
        <v>162</v>
      </c>
      <c r="R480" t="s">
        <v>253</v>
      </c>
      <c r="S480">
        <v>2003</v>
      </c>
      <c r="T480">
        <v>6</v>
      </c>
      <c r="U480" t="s">
        <v>1210</v>
      </c>
      <c r="V480" t="s">
        <v>1211</v>
      </c>
      <c r="W480">
        <v>2014</v>
      </c>
      <c r="X480">
        <v>4</v>
      </c>
      <c r="Y480" t="s">
        <v>123</v>
      </c>
      <c r="Z480">
        <v>2014</v>
      </c>
      <c r="AA480">
        <v>2014</v>
      </c>
      <c r="AB480" s="5">
        <v>0.12557957123399999</v>
      </c>
      <c r="AC480" s="5">
        <v>0.25115914246799997</v>
      </c>
      <c r="AD480" t="s">
        <v>162</v>
      </c>
      <c r="AE480" t="s">
        <v>163</v>
      </c>
      <c r="AF480" t="s">
        <v>162</v>
      </c>
      <c r="AG480" t="s">
        <v>162</v>
      </c>
      <c r="AH480" t="s">
        <v>162</v>
      </c>
      <c r="AI480" t="s">
        <v>162</v>
      </c>
      <c r="AJ480" t="s">
        <v>162</v>
      </c>
      <c r="AK480" t="s">
        <v>162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 s="60">
        <f t="shared" si="7"/>
        <v>1</v>
      </c>
      <c r="AU480" s="95">
        <v>43335</v>
      </c>
      <c r="AV480" s="94" t="s">
        <v>165</v>
      </c>
      <c r="AW480" t="s">
        <v>162</v>
      </c>
      <c r="AX480">
        <v>3</v>
      </c>
      <c r="AY480" t="s">
        <v>275</v>
      </c>
      <c r="AZ480">
        <v>20</v>
      </c>
    </row>
    <row r="481" spans="1:52" x14ac:dyDescent="0.25">
      <c r="A481">
        <v>470</v>
      </c>
      <c r="B481" t="s">
        <v>453</v>
      </c>
      <c r="C481" t="s">
        <v>180</v>
      </c>
      <c r="D481" t="s">
        <v>454</v>
      </c>
      <c r="E481" t="s">
        <v>216</v>
      </c>
      <c r="F481" t="s">
        <v>162</v>
      </c>
      <c r="G481">
        <v>1800</v>
      </c>
      <c r="H481">
        <v>1801</v>
      </c>
      <c r="I481" t="s">
        <v>348</v>
      </c>
      <c r="J481">
        <v>1700</v>
      </c>
      <c r="K481">
        <v>1701</v>
      </c>
      <c r="L481" t="s">
        <v>1043</v>
      </c>
      <c r="M481">
        <v>3</v>
      </c>
      <c r="N481" t="s">
        <v>11</v>
      </c>
      <c r="O481" t="s">
        <v>11</v>
      </c>
      <c r="P481" t="s">
        <v>175</v>
      </c>
      <c r="Q481" t="s">
        <v>1163</v>
      </c>
      <c r="R481" t="s">
        <v>987</v>
      </c>
      <c r="S481">
        <v>2015</v>
      </c>
      <c r="T481">
        <v>11</v>
      </c>
      <c r="U481" t="s">
        <v>123</v>
      </c>
      <c r="V481" t="s">
        <v>162</v>
      </c>
      <c r="W481">
        <v>0</v>
      </c>
      <c r="X481">
        <v>0</v>
      </c>
      <c r="Y481" t="s">
        <v>162</v>
      </c>
      <c r="Z481">
        <v>2021</v>
      </c>
      <c r="AA481">
        <v>2015</v>
      </c>
      <c r="AB481" s="5">
        <v>6.2762358643800004E-2</v>
      </c>
      <c r="AC481" s="5">
        <v>0.12552471728799999</v>
      </c>
      <c r="AD481" t="s">
        <v>162</v>
      </c>
      <c r="AE481" t="s">
        <v>163</v>
      </c>
      <c r="AF481" t="s">
        <v>162</v>
      </c>
      <c r="AG481" t="s">
        <v>162</v>
      </c>
      <c r="AH481" t="s">
        <v>162</v>
      </c>
      <c r="AI481" t="s">
        <v>162</v>
      </c>
      <c r="AJ481" t="s">
        <v>162</v>
      </c>
      <c r="AK481" t="s">
        <v>162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 s="60">
        <f t="shared" si="7"/>
        <v>1</v>
      </c>
      <c r="AU481" s="95" t="s">
        <v>530</v>
      </c>
      <c r="AV481" s="94" t="s">
        <v>165</v>
      </c>
      <c r="AW481" t="s">
        <v>154</v>
      </c>
      <c r="AX481">
        <v>2</v>
      </c>
      <c r="AY481" t="s">
        <v>167</v>
      </c>
      <c r="AZ481" t="s">
        <v>162</v>
      </c>
    </row>
    <row r="482" spans="1:52" x14ac:dyDescent="0.25">
      <c r="A482">
        <v>471</v>
      </c>
      <c r="B482" t="s">
        <v>1212</v>
      </c>
      <c r="C482" t="s">
        <v>203</v>
      </c>
      <c r="D482" t="s">
        <v>1213</v>
      </c>
      <c r="E482" t="s">
        <v>172</v>
      </c>
      <c r="F482" t="s">
        <v>162</v>
      </c>
      <c r="G482">
        <v>7101</v>
      </c>
      <c r="H482">
        <v>7100</v>
      </c>
      <c r="I482" t="s">
        <v>639</v>
      </c>
      <c r="J482">
        <v>628</v>
      </c>
      <c r="K482">
        <v>627</v>
      </c>
      <c r="L482" t="s">
        <v>1214</v>
      </c>
      <c r="M482">
        <v>2</v>
      </c>
      <c r="N482" t="s">
        <v>11</v>
      </c>
      <c r="O482" t="s">
        <v>11</v>
      </c>
      <c r="P482" t="s">
        <v>169</v>
      </c>
      <c r="Q482" t="s">
        <v>162</v>
      </c>
      <c r="R482" t="s">
        <v>508</v>
      </c>
      <c r="S482">
        <v>2003</v>
      </c>
      <c r="T482">
        <v>9</v>
      </c>
      <c r="U482" t="s">
        <v>162</v>
      </c>
      <c r="V482" t="s">
        <v>404</v>
      </c>
      <c r="W482">
        <v>2017</v>
      </c>
      <c r="X482">
        <v>6</v>
      </c>
      <c r="Y482" t="s">
        <v>162</v>
      </c>
      <c r="Z482">
        <v>2017</v>
      </c>
      <c r="AA482">
        <v>2001</v>
      </c>
      <c r="AB482" s="5">
        <v>0.81071082589200005</v>
      </c>
      <c r="AC482" s="5">
        <v>1.62142165178</v>
      </c>
      <c r="AD482" t="s">
        <v>162</v>
      </c>
      <c r="AE482" t="s">
        <v>163</v>
      </c>
      <c r="AF482" t="s">
        <v>162</v>
      </c>
      <c r="AG482" t="s">
        <v>162</v>
      </c>
      <c r="AH482" t="s">
        <v>162</v>
      </c>
      <c r="AI482" t="s">
        <v>162</v>
      </c>
      <c r="AJ482" t="s">
        <v>162</v>
      </c>
      <c r="AK482" t="s">
        <v>162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 s="60">
        <f t="shared" si="7"/>
        <v>1</v>
      </c>
      <c r="AU482" s="95">
        <v>43348</v>
      </c>
      <c r="AV482" s="94" t="s">
        <v>165</v>
      </c>
      <c r="AW482" t="s">
        <v>162</v>
      </c>
      <c r="AX482">
        <v>2</v>
      </c>
      <c r="AY482" t="s">
        <v>167</v>
      </c>
      <c r="AZ482" t="s">
        <v>162</v>
      </c>
    </row>
    <row r="483" spans="1:52" x14ac:dyDescent="0.25">
      <c r="A483">
        <v>472</v>
      </c>
      <c r="B483" t="s">
        <v>1212</v>
      </c>
      <c r="C483" t="s">
        <v>203</v>
      </c>
      <c r="D483" t="s">
        <v>1213</v>
      </c>
      <c r="E483" t="s">
        <v>172</v>
      </c>
      <c r="F483" t="s">
        <v>162</v>
      </c>
      <c r="G483">
        <v>7101</v>
      </c>
      <c r="H483">
        <v>7100</v>
      </c>
      <c r="I483" t="s">
        <v>268</v>
      </c>
      <c r="J483">
        <v>7167</v>
      </c>
      <c r="K483">
        <v>7168</v>
      </c>
      <c r="L483" t="s">
        <v>1215</v>
      </c>
      <c r="M483">
        <v>2</v>
      </c>
      <c r="N483" t="s">
        <v>11</v>
      </c>
      <c r="O483" t="s">
        <v>11</v>
      </c>
      <c r="P483" t="s">
        <v>169</v>
      </c>
      <c r="Q483" t="s">
        <v>162</v>
      </c>
      <c r="R483" t="s">
        <v>508</v>
      </c>
      <c r="S483">
        <v>2003</v>
      </c>
      <c r="T483">
        <v>9</v>
      </c>
      <c r="U483" t="s">
        <v>162</v>
      </c>
      <c r="V483" t="s">
        <v>1216</v>
      </c>
      <c r="W483">
        <v>2012</v>
      </c>
      <c r="X483">
        <v>8</v>
      </c>
      <c r="Y483" t="s">
        <v>123</v>
      </c>
      <c r="Z483">
        <v>2012</v>
      </c>
      <c r="AA483">
        <v>2012</v>
      </c>
      <c r="AB483" s="5">
        <v>0.15624067281000001</v>
      </c>
      <c r="AC483" s="5">
        <v>0.31248134562000002</v>
      </c>
      <c r="AD483" t="s">
        <v>162</v>
      </c>
      <c r="AE483" t="s">
        <v>163</v>
      </c>
      <c r="AF483" t="s">
        <v>162</v>
      </c>
      <c r="AG483" t="s">
        <v>162</v>
      </c>
      <c r="AH483" t="s">
        <v>162</v>
      </c>
      <c r="AI483" t="s">
        <v>162</v>
      </c>
      <c r="AJ483" t="s">
        <v>162</v>
      </c>
      <c r="AK483" t="s">
        <v>162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 s="60">
        <f t="shared" si="7"/>
        <v>1</v>
      </c>
      <c r="AU483" s="95">
        <v>43348</v>
      </c>
      <c r="AV483" s="94" t="s">
        <v>165</v>
      </c>
      <c r="AW483" t="s">
        <v>162</v>
      </c>
      <c r="AX483">
        <v>2</v>
      </c>
      <c r="AY483" t="s">
        <v>167</v>
      </c>
      <c r="AZ483" t="s">
        <v>162</v>
      </c>
    </row>
    <row r="484" spans="1:52" x14ac:dyDescent="0.25">
      <c r="A484">
        <v>473</v>
      </c>
      <c r="B484" t="s">
        <v>170</v>
      </c>
      <c r="C484" t="s">
        <v>151</v>
      </c>
      <c r="D484" t="s">
        <v>171</v>
      </c>
      <c r="E484" t="s">
        <v>172</v>
      </c>
      <c r="F484" t="s">
        <v>162</v>
      </c>
      <c r="G484">
        <v>551</v>
      </c>
      <c r="H484">
        <v>552</v>
      </c>
      <c r="I484" t="s">
        <v>627</v>
      </c>
      <c r="J484">
        <v>573</v>
      </c>
      <c r="K484">
        <v>572</v>
      </c>
      <c r="L484" t="s">
        <v>1217</v>
      </c>
      <c r="M484">
        <v>3</v>
      </c>
      <c r="N484" t="s">
        <v>11</v>
      </c>
      <c r="O484" t="s">
        <v>11</v>
      </c>
      <c r="P484" t="s">
        <v>169</v>
      </c>
      <c r="Q484" t="s">
        <v>162</v>
      </c>
      <c r="R484" t="s">
        <v>607</v>
      </c>
      <c r="S484">
        <v>2011</v>
      </c>
      <c r="T484">
        <v>11</v>
      </c>
      <c r="U484" t="s">
        <v>162</v>
      </c>
      <c r="V484" t="s">
        <v>628</v>
      </c>
      <c r="W484">
        <v>2021</v>
      </c>
      <c r="X484">
        <v>7</v>
      </c>
      <c r="Y484" t="s">
        <v>162</v>
      </c>
      <c r="Z484">
        <v>2021</v>
      </c>
      <c r="AA484">
        <v>2021</v>
      </c>
      <c r="AB484" s="5">
        <v>5.1319402047099998E-2</v>
      </c>
      <c r="AC484" s="5">
        <v>0.102638804094</v>
      </c>
      <c r="AD484" t="s">
        <v>154</v>
      </c>
      <c r="AE484" t="s">
        <v>163</v>
      </c>
      <c r="AF484" t="s">
        <v>154</v>
      </c>
      <c r="AG484" t="s">
        <v>154</v>
      </c>
      <c r="AH484" t="s">
        <v>154</v>
      </c>
      <c r="AI484" t="s">
        <v>154</v>
      </c>
      <c r="AJ484" t="s">
        <v>154</v>
      </c>
      <c r="AK484" t="s">
        <v>154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 s="60">
        <f t="shared" si="7"/>
        <v>1</v>
      </c>
      <c r="AU484" s="95" t="s">
        <v>530</v>
      </c>
      <c r="AV484" s="94" t="s">
        <v>165</v>
      </c>
      <c r="AW484" t="s">
        <v>162</v>
      </c>
      <c r="AX484">
        <v>2</v>
      </c>
      <c r="AY484" t="s">
        <v>167</v>
      </c>
      <c r="AZ484" t="s">
        <v>162</v>
      </c>
    </row>
    <row r="485" spans="1:52" x14ac:dyDescent="0.25">
      <c r="A485">
        <v>474</v>
      </c>
      <c r="B485" t="s">
        <v>170</v>
      </c>
      <c r="C485" t="s">
        <v>151</v>
      </c>
      <c r="D485" t="s">
        <v>171</v>
      </c>
      <c r="E485" t="s">
        <v>172</v>
      </c>
      <c r="F485" t="s">
        <v>162</v>
      </c>
      <c r="G485">
        <v>449</v>
      </c>
      <c r="H485">
        <v>446</v>
      </c>
      <c r="I485" t="s">
        <v>1217</v>
      </c>
      <c r="J485">
        <v>501</v>
      </c>
      <c r="K485">
        <v>500</v>
      </c>
      <c r="L485" t="s">
        <v>570</v>
      </c>
      <c r="M485">
        <v>3</v>
      </c>
      <c r="N485" t="s">
        <v>11</v>
      </c>
      <c r="O485" t="s">
        <v>11</v>
      </c>
      <c r="P485" t="s">
        <v>175</v>
      </c>
      <c r="Q485" t="s">
        <v>162</v>
      </c>
      <c r="R485" t="s">
        <v>607</v>
      </c>
      <c r="S485">
        <v>2011</v>
      </c>
      <c r="T485">
        <v>11</v>
      </c>
      <c r="U485" t="s">
        <v>162</v>
      </c>
      <c r="V485" t="s">
        <v>628</v>
      </c>
      <c r="W485">
        <v>2021</v>
      </c>
      <c r="X485">
        <v>7</v>
      </c>
      <c r="Y485" t="s">
        <v>162</v>
      </c>
      <c r="Z485">
        <v>2021</v>
      </c>
      <c r="AA485">
        <v>2021</v>
      </c>
      <c r="AB485" s="5">
        <v>9.9778035708899995E-2</v>
      </c>
      <c r="AC485" s="5">
        <v>0.199556071418</v>
      </c>
      <c r="AD485" t="s">
        <v>154</v>
      </c>
      <c r="AE485" t="s">
        <v>163</v>
      </c>
      <c r="AF485" t="s">
        <v>154</v>
      </c>
      <c r="AG485" t="s">
        <v>154</v>
      </c>
      <c r="AH485" t="s">
        <v>154</v>
      </c>
      <c r="AI485" t="s">
        <v>154</v>
      </c>
      <c r="AJ485" t="s">
        <v>154</v>
      </c>
      <c r="AK485" t="s">
        <v>154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 s="60">
        <f t="shared" si="7"/>
        <v>1</v>
      </c>
      <c r="AU485" s="95" t="s">
        <v>530</v>
      </c>
      <c r="AV485" t="s">
        <v>165</v>
      </c>
      <c r="AW485" t="s">
        <v>162</v>
      </c>
      <c r="AX485">
        <v>2</v>
      </c>
      <c r="AY485" t="s">
        <v>167</v>
      </c>
      <c r="AZ485" t="s">
        <v>162</v>
      </c>
    </row>
    <row r="486" spans="1:52" x14ac:dyDescent="0.25">
      <c r="A486">
        <v>475</v>
      </c>
      <c r="B486" t="s">
        <v>170</v>
      </c>
      <c r="C486" t="s">
        <v>203</v>
      </c>
      <c r="D486" t="s">
        <v>171</v>
      </c>
      <c r="E486" t="s">
        <v>172</v>
      </c>
      <c r="F486" t="s">
        <v>162</v>
      </c>
      <c r="G486">
        <v>100</v>
      </c>
      <c r="H486">
        <v>101</v>
      </c>
      <c r="I486" t="s">
        <v>667</v>
      </c>
      <c r="J486">
        <v>134</v>
      </c>
      <c r="K486">
        <v>135</v>
      </c>
      <c r="L486" t="s">
        <v>1083</v>
      </c>
      <c r="M486">
        <v>3</v>
      </c>
      <c r="N486" t="s">
        <v>9</v>
      </c>
      <c r="O486" t="s">
        <v>9</v>
      </c>
      <c r="P486" t="s">
        <v>157</v>
      </c>
      <c r="Q486" t="s">
        <v>1218</v>
      </c>
      <c r="R486" t="s">
        <v>404</v>
      </c>
      <c r="S486">
        <v>2017</v>
      </c>
      <c r="T486">
        <v>6</v>
      </c>
      <c r="U486" t="s">
        <v>1219</v>
      </c>
      <c r="V486" t="s">
        <v>162</v>
      </c>
      <c r="W486">
        <v>0</v>
      </c>
      <c r="X486">
        <v>0</v>
      </c>
      <c r="Y486" t="s">
        <v>162</v>
      </c>
      <c r="Z486">
        <v>2017</v>
      </c>
      <c r="AA486">
        <v>2015</v>
      </c>
      <c r="AB486" s="5">
        <v>8.2627757246099998E-2</v>
      </c>
      <c r="AC486" s="5">
        <v>0.16525551449199999</v>
      </c>
      <c r="AD486" t="s">
        <v>162</v>
      </c>
      <c r="AE486" t="s">
        <v>163</v>
      </c>
      <c r="AF486" t="s">
        <v>162</v>
      </c>
      <c r="AG486" t="s">
        <v>162</v>
      </c>
      <c r="AH486" t="s">
        <v>162</v>
      </c>
      <c r="AI486" t="s">
        <v>162</v>
      </c>
      <c r="AJ486" t="s">
        <v>162</v>
      </c>
      <c r="AK486" t="s">
        <v>162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 s="60">
        <f t="shared" si="7"/>
        <v>1</v>
      </c>
      <c r="AU486" s="95">
        <v>43328</v>
      </c>
      <c r="AV486" s="94" t="s">
        <v>165</v>
      </c>
      <c r="AW486" t="s">
        <v>163</v>
      </c>
      <c r="AX486">
        <v>2</v>
      </c>
      <c r="AY486" t="s">
        <v>167</v>
      </c>
      <c r="AZ486" t="s">
        <v>162</v>
      </c>
    </row>
    <row r="487" spans="1:52" x14ac:dyDescent="0.25">
      <c r="A487">
        <v>476</v>
      </c>
      <c r="B487" t="s">
        <v>453</v>
      </c>
      <c r="C487" t="s">
        <v>180</v>
      </c>
      <c r="D487" t="s">
        <v>454</v>
      </c>
      <c r="E487" t="s">
        <v>216</v>
      </c>
      <c r="F487" t="s">
        <v>162</v>
      </c>
      <c r="G487">
        <v>7600</v>
      </c>
      <c r="H487">
        <v>7601</v>
      </c>
      <c r="I487" t="s">
        <v>358</v>
      </c>
      <c r="J487">
        <v>7100</v>
      </c>
      <c r="K487">
        <v>7101</v>
      </c>
      <c r="L487" t="s">
        <v>1220</v>
      </c>
      <c r="M487">
        <v>3</v>
      </c>
      <c r="N487" t="s">
        <v>9</v>
      </c>
      <c r="O487" t="s">
        <v>9</v>
      </c>
      <c r="P487" t="s">
        <v>175</v>
      </c>
      <c r="Q487" t="s">
        <v>1221</v>
      </c>
      <c r="R487" t="s">
        <v>463</v>
      </c>
      <c r="S487">
        <v>2014</v>
      </c>
      <c r="T487">
        <v>9</v>
      </c>
      <c r="U487" t="s">
        <v>162</v>
      </c>
      <c r="V487" t="s">
        <v>628</v>
      </c>
      <c r="W487">
        <v>2021</v>
      </c>
      <c r="X487">
        <v>6</v>
      </c>
      <c r="Y487" t="s">
        <v>162</v>
      </c>
      <c r="Z487">
        <v>2021</v>
      </c>
      <c r="AA487">
        <v>2021</v>
      </c>
      <c r="AB487" s="5">
        <v>0.62913098259900002</v>
      </c>
      <c r="AC487" s="5">
        <v>1.2582619652</v>
      </c>
      <c r="AD487" t="s">
        <v>162</v>
      </c>
      <c r="AE487" t="s">
        <v>163</v>
      </c>
      <c r="AF487" t="s">
        <v>162</v>
      </c>
      <c r="AG487" t="s">
        <v>162</v>
      </c>
      <c r="AH487" t="s">
        <v>162</v>
      </c>
      <c r="AI487" t="s">
        <v>162</v>
      </c>
      <c r="AJ487" t="s">
        <v>162</v>
      </c>
      <c r="AK487" t="s">
        <v>162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0.75</v>
      </c>
      <c r="AR487">
        <v>0.25</v>
      </c>
      <c r="AS487">
        <v>0</v>
      </c>
      <c r="AT487" s="60">
        <f t="shared" si="7"/>
        <v>1</v>
      </c>
      <c r="AU487" s="95" t="s">
        <v>530</v>
      </c>
      <c r="AV487" s="94" t="s">
        <v>165</v>
      </c>
      <c r="AW487" t="s">
        <v>163</v>
      </c>
      <c r="AX487">
        <v>2</v>
      </c>
      <c r="AY487" t="s">
        <v>167</v>
      </c>
      <c r="AZ487" t="s">
        <v>162</v>
      </c>
    </row>
    <row r="488" spans="1:52" x14ac:dyDescent="0.25">
      <c r="A488">
        <v>477</v>
      </c>
      <c r="B488" t="s">
        <v>453</v>
      </c>
      <c r="C488" t="s">
        <v>180</v>
      </c>
      <c r="D488" t="s">
        <v>454</v>
      </c>
      <c r="E488" t="s">
        <v>216</v>
      </c>
      <c r="F488" t="s">
        <v>162</v>
      </c>
      <c r="G488">
        <v>6900</v>
      </c>
      <c r="H488">
        <v>6901</v>
      </c>
      <c r="I488" t="s">
        <v>277</v>
      </c>
      <c r="J488">
        <v>6300</v>
      </c>
      <c r="K488">
        <v>6301</v>
      </c>
      <c r="L488" t="s">
        <v>800</v>
      </c>
      <c r="M488">
        <v>3</v>
      </c>
      <c r="N488" t="s">
        <v>9</v>
      </c>
      <c r="O488" t="s">
        <v>9</v>
      </c>
      <c r="P488" t="s">
        <v>157</v>
      </c>
      <c r="Q488" t="s">
        <v>1222</v>
      </c>
      <c r="R488" t="s">
        <v>463</v>
      </c>
      <c r="S488">
        <v>2014</v>
      </c>
      <c r="T488">
        <v>9</v>
      </c>
      <c r="U488" t="s">
        <v>162</v>
      </c>
      <c r="V488" t="s">
        <v>267</v>
      </c>
      <c r="W488">
        <v>2018</v>
      </c>
      <c r="X488">
        <v>8</v>
      </c>
      <c r="Y488" t="s">
        <v>162</v>
      </c>
      <c r="Z488">
        <v>2018</v>
      </c>
      <c r="AA488">
        <v>2002</v>
      </c>
      <c r="AB488" s="5">
        <v>0.813339014902</v>
      </c>
      <c r="AC488" s="5">
        <v>1.6266780298000001</v>
      </c>
      <c r="AD488" t="s">
        <v>162</v>
      </c>
      <c r="AE488" t="s">
        <v>163</v>
      </c>
      <c r="AF488" t="s">
        <v>162</v>
      </c>
      <c r="AG488" t="s">
        <v>162</v>
      </c>
      <c r="AH488" t="s">
        <v>162</v>
      </c>
      <c r="AI488" t="s">
        <v>162</v>
      </c>
      <c r="AJ488" t="s">
        <v>162</v>
      </c>
      <c r="AK488" t="s">
        <v>162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 s="60">
        <f t="shared" si="7"/>
        <v>1</v>
      </c>
      <c r="AU488" s="95">
        <v>43340</v>
      </c>
      <c r="AV488" s="94" t="s">
        <v>165</v>
      </c>
      <c r="AW488" t="s">
        <v>163</v>
      </c>
      <c r="AX488">
        <v>2</v>
      </c>
      <c r="AY488" t="s">
        <v>167</v>
      </c>
      <c r="AZ488" t="s">
        <v>162</v>
      </c>
    </row>
    <row r="489" spans="1:52" x14ac:dyDescent="0.25">
      <c r="A489">
        <v>478</v>
      </c>
      <c r="B489" t="s">
        <v>453</v>
      </c>
      <c r="C489" t="s">
        <v>163</v>
      </c>
      <c r="D489" t="s">
        <v>454</v>
      </c>
      <c r="E489" t="s">
        <v>216</v>
      </c>
      <c r="F489" t="s">
        <v>162</v>
      </c>
      <c r="G489">
        <v>1941</v>
      </c>
      <c r="H489">
        <v>1940</v>
      </c>
      <c r="I489" t="s">
        <v>445</v>
      </c>
      <c r="J489">
        <v>4958</v>
      </c>
      <c r="K489">
        <v>4959</v>
      </c>
      <c r="L489" t="s">
        <v>1223</v>
      </c>
      <c r="M489">
        <v>3</v>
      </c>
      <c r="N489" t="s">
        <v>11</v>
      </c>
      <c r="O489" t="s">
        <v>11</v>
      </c>
      <c r="P489" t="s">
        <v>175</v>
      </c>
      <c r="Q489" t="s">
        <v>162</v>
      </c>
      <c r="R489" t="s">
        <v>1165</v>
      </c>
      <c r="S489">
        <v>2000</v>
      </c>
      <c r="T489">
        <v>10</v>
      </c>
      <c r="U489" t="s">
        <v>162</v>
      </c>
      <c r="V489" t="s">
        <v>269</v>
      </c>
      <c r="W489">
        <v>2017</v>
      </c>
      <c r="X489">
        <v>10</v>
      </c>
      <c r="Y489" t="s">
        <v>123</v>
      </c>
      <c r="Z489">
        <v>2017</v>
      </c>
      <c r="AA489">
        <v>2017</v>
      </c>
      <c r="AB489" s="5">
        <v>0.75523290199600002</v>
      </c>
      <c r="AC489" s="5">
        <v>1.5104658039900001</v>
      </c>
      <c r="AD489" t="s">
        <v>162</v>
      </c>
      <c r="AE489" t="s">
        <v>163</v>
      </c>
      <c r="AF489" t="s">
        <v>162</v>
      </c>
      <c r="AG489" t="s">
        <v>162</v>
      </c>
      <c r="AH489" t="s">
        <v>162</v>
      </c>
      <c r="AI489" t="s">
        <v>162</v>
      </c>
      <c r="AJ489" t="s">
        <v>162</v>
      </c>
      <c r="AK489" t="s">
        <v>162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 s="60">
        <f t="shared" si="7"/>
        <v>1</v>
      </c>
      <c r="AU489" s="95">
        <v>43340</v>
      </c>
      <c r="AV489" t="s">
        <v>165</v>
      </c>
      <c r="AW489" t="s">
        <v>162</v>
      </c>
      <c r="AX489">
        <v>2</v>
      </c>
      <c r="AY489" t="s">
        <v>167</v>
      </c>
      <c r="AZ489" t="s">
        <v>162</v>
      </c>
    </row>
    <row r="490" spans="1:52" x14ac:dyDescent="0.25">
      <c r="A490">
        <v>479</v>
      </c>
      <c r="B490" t="s">
        <v>453</v>
      </c>
      <c r="C490" t="s">
        <v>163</v>
      </c>
      <c r="D490" t="s">
        <v>454</v>
      </c>
      <c r="E490" t="s">
        <v>216</v>
      </c>
      <c r="F490" t="s">
        <v>162</v>
      </c>
      <c r="G490">
        <v>1939</v>
      </c>
      <c r="H490">
        <v>1938</v>
      </c>
      <c r="I490" t="s">
        <v>784</v>
      </c>
      <c r="J490">
        <v>1973</v>
      </c>
      <c r="K490">
        <v>1974</v>
      </c>
      <c r="L490" t="s">
        <v>1224</v>
      </c>
      <c r="M490">
        <v>4</v>
      </c>
      <c r="N490" t="s">
        <v>11</v>
      </c>
      <c r="O490" t="s">
        <v>11</v>
      </c>
      <c r="P490" t="s">
        <v>175</v>
      </c>
      <c r="Q490" t="s">
        <v>162</v>
      </c>
      <c r="R490" t="s">
        <v>1165</v>
      </c>
      <c r="S490">
        <v>2000</v>
      </c>
      <c r="T490">
        <v>10</v>
      </c>
      <c r="U490" t="s">
        <v>162</v>
      </c>
      <c r="V490" t="s">
        <v>891</v>
      </c>
      <c r="W490">
        <v>2001</v>
      </c>
      <c r="X490">
        <v>9</v>
      </c>
      <c r="Y490" t="s">
        <v>123</v>
      </c>
      <c r="Z490">
        <v>2001</v>
      </c>
      <c r="AA490">
        <v>2001</v>
      </c>
      <c r="AB490" s="5">
        <v>0.25108817677099998</v>
      </c>
      <c r="AC490" s="5">
        <v>0.50217635354199996</v>
      </c>
      <c r="AD490" t="s">
        <v>162</v>
      </c>
      <c r="AE490" t="s">
        <v>163</v>
      </c>
      <c r="AF490" t="s">
        <v>162</v>
      </c>
      <c r="AG490" t="s">
        <v>162</v>
      </c>
      <c r="AH490" t="s">
        <v>162</v>
      </c>
      <c r="AI490" t="s">
        <v>162</v>
      </c>
      <c r="AJ490" t="s">
        <v>162</v>
      </c>
      <c r="AK490" t="s">
        <v>162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 s="60">
        <f t="shared" si="7"/>
        <v>1</v>
      </c>
      <c r="AU490" s="95">
        <v>43340</v>
      </c>
      <c r="AV490" s="94" t="s">
        <v>165</v>
      </c>
      <c r="AW490" t="s">
        <v>162</v>
      </c>
      <c r="AX490">
        <v>2</v>
      </c>
      <c r="AY490" t="s">
        <v>167</v>
      </c>
      <c r="AZ490" t="s">
        <v>162</v>
      </c>
    </row>
    <row r="491" spans="1:52" x14ac:dyDescent="0.25">
      <c r="A491">
        <v>480</v>
      </c>
      <c r="B491" t="s">
        <v>453</v>
      </c>
      <c r="C491" t="s">
        <v>163</v>
      </c>
      <c r="D491" t="s">
        <v>454</v>
      </c>
      <c r="E491" t="s">
        <v>216</v>
      </c>
      <c r="F491" t="s">
        <v>162</v>
      </c>
      <c r="G491">
        <v>1901</v>
      </c>
      <c r="H491">
        <v>1900</v>
      </c>
      <c r="I491" t="s">
        <v>387</v>
      </c>
      <c r="J491">
        <v>1959</v>
      </c>
      <c r="K491">
        <v>1958</v>
      </c>
      <c r="L491" t="s">
        <v>632</v>
      </c>
      <c r="M491">
        <v>3</v>
      </c>
      <c r="N491" t="s">
        <v>11</v>
      </c>
      <c r="O491" t="s">
        <v>11</v>
      </c>
      <c r="P491" t="s">
        <v>175</v>
      </c>
      <c r="Q491" t="s">
        <v>162</v>
      </c>
      <c r="R491" t="s">
        <v>891</v>
      </c>
      <c r="S491">
        <v>2001</v>
      </c>
      <c r="T491">
        <v>9</v>
      </c>
      <c r="U491" t="s">
        <v>162</v>
      </c>
      <c r="V491" t="s">
        <v>314</v>
      </c>
      <c r="W491">
        <v>2012</v>
      </c>
      <c r="X491">
        <v>10</v>
      </c>
      <c r="Y491" t="s">
        <v>123</v>
      </c>
      <c r="Z491">
        <v>2012</v>
      </c>
      <c r="AA491">
        <v>2012</v>
      </c>
      <c r="AB491" s="5">
        <v>0.40325475315499998</v>
      </c>
      <c r="AC491" s="5">
        <v>0.80650950630999996</v>
      </c>
      <c r="AD491" t="s">
        <v>162</v>
      </c>
      <c r="AE491" t="s">
        <v>163</v>
      </c>
      <c r="AF491" t="s">
        <v>162</v>
      </c>
      <c r="AG491" t="s">
        <v>162</v>
      </c>
      <c r="AH491" t="s">
        <v>162</v>
      </c>
      <c r="AI491" t="s">
        <v>162</v>
      </c>
      <c r="AJ491" t="s">
        <v>162</v>
      </c>
      <c r="AK491" t="s">
        <v>162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 s="60">
        <f t="shared" si="7"/>
        <v>1</v>
      </c>
      <c r="AU491" s="95">
        <v>43340</v>
      </c>
      <c r="AV491" s="94" t="s">
        <v>165</v>
      </c>
      <c r="AW491" t="s">
        <v>162</v>
      </c>
      <c r="AX491">
        <v>2</v>
      </c>
      <c r="AY491" t="s">
        <v>167</v>
      </c>
      <c r="AZ491" t="s">
        <v>162</v>
      </c>
    </row>
    <row r="492" spans="1:52" x14ac:dyDescent="0.25">
      <c r="A492">
        <v>481</v>
      </c>
      <c r="B492" t="s">
        <v>453</v>
      </c>
      <c r="C492" t="s">
        <v>163</v>
      </c>
      <c r="D492" t="s">
        <v>454</v>
      </c>
      <c r="E492" t="s">
        <v>216</v>
      </c>
      <c r="F492" t="s">
        <v>162</v>
      </c>
      <c r="G492">
        <v>1200</v>
      </c>
      <c r="H492">
        <v>1201</v>
      </c>
      <c r="I492" t="s">
        <v>459</v>
      </c>
      <c r="J492">
        <v>500</v>
      </c>
      <c r="K492">
        <v>501</v>
      </c>
      <c r="L492" t="s">
        <v>632</v>
      </c>
      <c r="M492">
        <v>3</v>
      </c>
      <c r="N492" t="s">
        <v>11</v>
      </c>
      <c r="O492" t="s">
        <v>11</v>
      </c>
      <c r="P492" t="s">
        <v>175</v>
      </c>
      <c r="Q492" t="s">
        <v>162</v>
      </c>
      <c r="R492" t="s">
        <v>266</v>
      </c>
      <c r="S492">
        <v>2002</v>
      </c>
      <c r="T492">
        <v>8</v>
      </c>
      <c r="U492" t="s">
        <v>162</v>
      </c>
      <c r="V492" t="s">
        <v>314</v>
      </c>
      <c r="W492">
        <v>2012</v>
      </c>
      <c r="X492">
        <v>10</v>
      </c>
      <c r="Y492" t="s">
        <v>123</v>
      </c>
      <c r="Z492">
        <v>2012</v>
      </c>
      <c r="AA492">
        <v>2012</v>
      </c>
      <c r="AB492" s="5">
        <v>0.85374267799000003</v>
      </c>
      <c r="AC492" s="5">
        <v>1.7074853559800001</v>
      </c>
      <c r="AD492" t="s">
        <v>162</v>
      </c>
      <c r="AE492" t="s">
        <v>163</v>
      </c>
      <c r="AF492" t="s">
        <v>162</v>
      </c>
      <c r="AG492" t="s">
        <v>162</v>
      </c>
      <c r="AH492" t="s">
        <v>162</v>
      </c>
      <c r="AI492" t="s">
        <v>162</v>
      </c>
      <c r="AJ492" t="s">
        <v>162</v>
      </c>
      <c r="AK492" t="s">
        <v>162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</v>
      </c>
      <c r="AT492" s="60">
        <f t="shared" si="7"/>
        <v>1</v>
      </c>
      <c r="AU492" s="95" t="s">
        <v>187</v>
      </c>
      <c r="AV492" t="s">
        <v>165</v>
      </c>
      <c r="AW492" t="s">
        <v>162</v>
      </c>
      <c r="AX492">
        <v>2</v>
      </c>
      <c r="AY492" t="s">
        <v>167</v>
      </c>
      <c r="AZ492" t="s">
        <v>162</v>
      </c>
    </row>
    <row r="493" spans="1:52" x14ac:dyDescent="0.25">
      <c r="A493">
        <v>482</v>
      </c>
      <c r="B493" t="s">
        <v>427</v>
      </c>
      <c r="C493" t="s">
        <v>151</v>
      </c>
      <c r="D493" t="s">
        <v>428</v>
      </c>
      <c r="E493" t="s">
        <v>216</v>
      </c>
      <c r="F493" t="s">
        <v>162</v>
      </c>
      <c r="G493">
        <v>2700</v>
      </c>
      <c r="H493">
        <v>2701</v>
      </c>
      <c r="I493" t="s">
        <v>817</v>
      </c>
      <c r="J493">
        <v>2758</v>
      </c>
      <c r="K493">
        <v>2759</v>
      </c>
      <c r="L493" t="s">
        <v>811</v>
      </c>
      <c r="M493">
        <v>3</v>
      </c>
      <c r="N493" t="s">
        <v>11</v>
      </c>
      <c r="O493" t="s">
        <v>11</v>
      </c>
      <c r="P493" t="s">
        <v>175</v>
      </c>
      <c r="Q493" t="s">
        <v>162</v>
      </c>
      <c r="R493" t="s">
        <v>673</v>
      </c>
      <c r="S493">
        <v>2002</v>
      </c>
      <c r="T493">
        <v>9</v>
      </c>
      <c r="U493" t="s">
        <v>162</v>
      </c>
      <c r="V493" t="s">
        <v>225</v>
      </c>
      <c r="W493">
        <v>2018</v>
      </c>
      <c r="X493">
        <v>5</v>
      </c>
      <c r="Y493" t="s">
        <v>162</v>
      </c>
      <c r="Z493">
        <v>2018</v>
      </c>
      <c r="AA493">
        <v>2002</v>
      </c>
      <c r="AB493" s="5">
        <v>0.25475608307399999</v>
      </c>
      <c r="AC493" s="5">
        <v>0.50951216614799999</v>
      </c>
      <c r="AD493" t="s">
        <v>162</v>
      </c>
      <c r="AE493" t="s">
        <v>163</v>
      </c>
      <c r="AF493" t="s">
        <v>162</v>
      </c>
      <c r="AG493" t="s">
        <v>162</v>
      </c>
      <c r="AH493" t="s">
        <v>162</v>
      </c>
      <c r="AI493" t="s">
        <v>162</v>
      </c>
      <c r="AJ493" t="s">
        <v>162</v>
      </c>
      <c r="AK493" t="s">
        <v>162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s="60">
        <f t="shared" si="7"/>
        <v>1</v>
      </c>
      <c r="AU493" s="95">
        <v>43339</v>
      </c>
      <c r="AV493" s="94" t="s">
        <v>165</v>
      </c>
      <c r="AW493" t="s">
        <v>162</v>
      </c>
      <c r="AX493">
        <v>2</v>
      </c>
      <c r="AY493" t="s">
        <v>167</v>
      </c>
      <c r="AZ493" t="s">
        <v>162</v>
      </c>
    </row>
    <row r="494" spans="1:52" x14ac:dyDescent="0.25">
      <c r="A494">
        <v>483</v>
      </c>
      <c r="B494" t="s">
        <v>233</v>
      </c>
      <c r="C494" t="s">
        <v>163</v>
      </c>
      <c r="D494" t="s">
        <v>234</v>
      </c>
      <c r="E494" t="s">
        <v>172</v>
      </c>
      <c r="F494" t="s">
        <v>162</v>
      </c>
      <c r="G494">
        <v>717</v>
      </c>
      <c r="H494">
        <v>716</v>
      </c>
      <c r="I494" t="s">
        <v>387</v>
      </c>
      <c r="J494">
        <v>741</v>
      </c>
      <c r="K494">
        <v>740</v>
      </c>
      <c r="L494" t="s">
        <v>1225</v>
      </c>
      <c r="M494">
        <v>2</v>
      </c>
      <c r="N494" t="s">
        <v>15</v>
      </c>
      <c r="O494" t="s">
        <v>15</v>
      </c>
      <c r="P494" t="s">
        <v>157</v>
      </c>
      <c r="Q494" t="s">
        <v>162</v>
      </c>
      <c r="R494" t="s">
        <v>162</v>
      </c>
      <c r="S494">
        <v>1999</v>
      </c>
      <c r="T494">
        <v>10</v>
      </c>
      <c r="U494" t="s">
        <v>162</v>
      </c>
      <c r="V494" t="s">
        <v>452</v>
      </c>
      <c r="W494">
        <v>2014</v>
      </c>
      <c r="X494">
        <v>12</v>
      </c>
      <c r="Y494" t="s">
        <v>162</v>
      </c>
      <c r="Z494">
        <v>2014</v>
      </c>
      <c r="AA494">
        <v>2014</v>
      </c>
      <c r="AB494" s="5">
        <v>7.8195727223699996E-2</v>
      </c>
      <c r="AC494" s="5">
        <v>0.15639145444700001</v>
      </c>
      <c r="AD494" t="s">
        <v>162</v>
      </c>
      <c r="AE494" t="s">
        <v>163</v>
      </c>
      <c r="AF494" t="s">
        <v>162</v>
      </c>
      <c r="AG494" t="s">
        <v>162</v>
      </c>
      <c r="AH494" t="s">
        <v>162</v>
      </c>
      <c r="AI494" t="s">
        <v>162</v>
      </c>
      <c r="AJ494" t="s">
        <v>162</v>
      </c>
      <c r="AK494" t="s">
        <v>162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</v>
      </c>
      <c r="AT494" s="60">
        <f t="shared" si="7"/>
        <v>1</v>
      </c>
      <c r="AU494" s="95" t="s">
        <v>546</v>
      </c>
      <c r="AV494" s="94" t="s">
        <v>165</v>
      </c>
      <c r="AW494" t="s">
        <v>163</v>
      </c>
      <c r="AX494">
        <v>2</v>
      </c>
      <c r="AY494" t="s">
        <v>167</v>
      </c>
      <c r="AZ494" t="s">
        <v>162</v>
      </c>
    </row>
    <row r="495" spans="1:52" x14ac:dyDescent="0.25">
      <c r="A495">
        <v>484</v>
      </c>
      <c r="B495" t="s">
        <v>233</v>
      </c>
      <c r="C495" t="s">
        <v>163</v>
      </c>
      <c r="D495" t="s">
        <v>234</v>
      </c>
      <c r="E495" t="s">
        <v>172</v>
      </c>
      <c r="F495" t="s">
        <v>162</v>
      </c>
      <c r="G495">
        <v>431</v>
      </c>
      <c r="H495">
        <v>430</v>
      </c>
      <c r="I495" t="s">
        <v>710</v>
      </c>
      <c r="J495">
        <v>741</v>
      </c>
      <c r="K495">
        <v>740</v>
      </c>
      <c r="L495" t="s">
        <v>1226</v>
      </c>
      <c r="M495">
        <v>2</v>
      </c>
      <c r="N495" t="s">
        <v>9</v>
      </c>
      <c r="O495" t="s">
        <v>9</v>
      </c>
      <c r="P495" t="s">
        <v>157</v>
      </c>
      <c r="Q495" t="s">
        <v>1227</v>
      </c>
      <c r="R495" t="s">
        <v>452</v>
      </c>
      <c r="S495">
        <v>2014</v>
      </c>
      <c r="T495">
        <v>12</v>
      </c>
      <c r="U495" t="s">
        <v>1228</v>
      </c>
      <c r="V495" t="s">
        <v>267</v>
      </c>
      <c r="W495">
        <v>2018</v>
      </c>
      <c r="X495">
        <v>8</v>
      </c>
      <c r="Y495" t="s">
        <v>162</v>
      </c>
      <c r="Z495">
        <v>2018</v>
      </c>
      <c r="AA495">
        <v>2014</v>
      </c>
      <c r="AB495" s="5">
        <v>0.22747684370599999</v>
      </c>
      <c r="AC495" s="5">
        <v>0.45495368741199999</v>
      </c>
      <c r="AD495" t="s">
        <v>162</v>
      </c>
      <c r="AE495" t="s">
        <v>163</v>
      </c>
      <c r="AF495" t="s">
        <v>162</v>
      </c>
      <c r="AG495" t="s">
        <v>162</v>
      </c>
      <c r="AH495" t="s">
        <v>162</v>
      </c>
      <c r="AI495" t="s">
        <v>162</v>
      </c>
      <c r="AJ495" t="s">
        <v>162</v>
      </c>
      <c r="AK495" t="s">
        <v>166</v>
      </c>
      <c r="AL495">
        <v>2017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 s="60">
        <f t="shared" si="7"/>
        <v>1</v>
      </c>
      <c r="AU495" s="95">
        <v>43334</v>
      </c>
      <c r="AV495" t="s">
        <v>165</v>
      </c>
      <c r="AW495" t="s">
        <v>163</v>
      </c>
      <c r="AX495">
        <v>2</v>
      </c>
      <c r="AY495" t="s">
        <v>167</v>
      </c>
      <c r="AZ495" t="s">
        <v>162</v>
      </c>
    </row>
    <row r="496" spans="1:52" x14ac:dyDescent="0.25">
      <c r="A496">
        <v>485</v>
      </c>
      <c r="B496" t="s">
        <v>321</v>
      </c>
      <c r="C496" t="s">
        <v>203</v>
      </c>
      <c r="D496" t="s">
        <v>322</v>
      </c>
      <c r="E496" t="s">
        <v>216</v>
      </c>
      <c r="F496" t="s">
        <v>151</v>
      </c>
      <c r="G496">
        <v>500</v>
      </c>
      <c r="H496">
        <v>501</v>
      </c>
      <c r="I496" t="s">
        <v>511</v>
      </c>
      <c r="J496">
        <v>520</v>
      </c>
      <c r="K496">
        <v>521</v>
      </c>
      <c r="L496" t="s">
        <v>693</v>
      </c>
      <c r="M496">
        <v>3</v>
      </c>
      <c r="N496" t="s">
        <v>11</v>
      </c>
      <c r="O496" t="s">
        <v>11</v>
      </c>
      <c r="P496" t="s">
        <v>169</v>
      </c>
      <c r="Q496" t="s">
        <v>162</v>
      </c>
      <c r="R496" t="s">
        <v>304</v>
      </c>
      <c r="S496">
        <v>2010</v>
      </c>
      <c r="T496">
        <v>11</v>
      </c>
      <c r="U496" t="s">
        <v>162</v>
      </c>
      <c r="V496" t="s">
        <v>243</v>
      </c>
      <c r="W496">
        <v>2020</v>
      </c>
      <c r="X496">
        <v>0</v>
      </c>
      <c r="Y496" t="s">
        <v>162</v>
      </c>
      <c r="Z496">
        <v>2020</v>
      </c>
      <c r="AA496">
        <v>2012</v>
      </c>
      <c r="AB496" s="5">
        <v>0.46563726592600002</v>
      </c>
      <c r="AC496" s="5">
        <v>0.46563726592600002</v>
      </c>
      <c r="AD496" t="s">
        <v>162</v>
      </c>
      <c r="AE496" t="s">
        <v>166</v>
      </c>
      <c r="AF496" t="s">
        <v>151</v>
      </c>
      <c r="AG496" t="s">
        <v>163</v>
      </c>
      <c r="AH496" t="s">
        <v>162</v>
      </c>
      <c r="AI496" t="s">
        <v>162</v>
      </c>
      <c r="AJ496" t="s">
        <v>162</v>
      </c>
      <c r="AK496" t="s">
        <v>162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 s="60">
        <f t="shared" si="7"/>
        <v>1</v>
      </c>
      <c r="AU496" s="95" t="s">
        <v>244</v>
      </c>
      <c r="AV496" s="94" t="s">
        <v>165</v>
      </c>
      <c r="AW496" t="s">
        <v>162</v>
      </c>
      <c r="AX496">
        <v>2</v>
      </c>
      <c r="AY496" t="s">
        <v>167</v>
      </c>
      <c r="AZ496" t="s">
        <v>162</v>
      </c>
    </row>
    <row r="497" spans="1:52" x14ac:dyDescent="0.25">
      <c r="A497">
        <v>486</v>
      </c>
      <c r="B497" t="s">
        <v>321</v>
      </c>
      <c r="C497" t="s">
        <v>203</v>
      </c>
      <c r="D497" t="s">
        <v>322</v>
      </c>
      <c r="E497" t="s">
        <v>216</v>
      </c>
      <c r="F497" t="s">
        <v>151</v>
      </c>
      <c r="G497">
        <v>500</v>
      </c>
      <c r="H497">
        <v>501</v>
      </c>
      <c r="I497" t="s">
        <v>693</v>
      </c>
      <c r="J497">
        <v>520</v>
      </c>
      <c r="K497">
        <v>521</v>
      </c>
      <c r="L497" t="s">
        <v>1229</v>
      </c>
      <c r="M497">
        <v>3</v>
      </c>
      <c r="N497" t="s">
        <v>11</v>
      </c>
      <c r="O497" t="s">
        <v>11</v>
      </c>
      <c r="P497" t="s">
        <v>169</v>
      </c>
      <c r="Q497" t="s">
        <v>162</v>
      </c>
      <c r="R497" t="s">
        <v>304</v>
      </c>
      <c r="S497">
        <v>2010</v>
      </c>
      <c r="T497">
        <v>11</v>
      </c>
      <c r="U497" t="s">
        <v>162</v>
      </c>
      <c r="V497" t="s">
        <v>243</v>
      </c>
      <c r="W497">
        <v>2020</v>
      </c>
      <c r="X497">
        <v>0</v>
      </c>
      <c r="Y497" t="s">
        <v>162</v>
      </c>
      <c r="Z497">
        <v>2020</v>
      </c>
      <c r="AA497">
        <v>2013</v>
      </c>
      <c r="AB497" s="5">
        <v>0.17933287853900001</v>
      </c>
      <c r="AC497" s="5">
        <v>0.17933287853900001</v>
      </c>
      <c r="AD497" t="s">
        <v>162</v>
      </c>
      <c r="AE497" t="s">
        <v>166</v>
      </c>
      <c r="AF497" t="s">
        <v>151</v>
      </c>
      <c r="AG497" t="s">
        <v>163</v>
      </c>
      <c r="AH497" t="s">
        <v>162</v>
      </c>
      <c r="AI497" t="s">
        <v>162</v>
      </c>
      <c r="AJ497" t="s">
        <v>162</v>
      </c>
      <c r="AK497" t="s">
        <v>162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 s="60">
        <f t="shared" si="7"/>
        <v>1</v>
      </c>
      <c r="AU497" s="95" t="s">
        <v>244</v>
      </c>
      <c r="AV497" s="94" t="s">
        <v>165</v>
      </c>
      <c r="AW497" t="s">
        <v>162</v>
      </c>
      <c r="AX497">
        <v>2</v>
      </c>
      <c r="AY497" t="s">
        <v>167</v>
      </c>
      <c r="AZ497" t="s">
        <v>162</v>
      </c>
    </row>
    <row r="498" spans="1:52" x14ac:dyDescent="0.25">
      <c r="A498">
        <v>487</v>
      </c>
      <c r="B498" t="s">
        <v>233</v>
      </c>
      <c r="C498" t="s">
        <v>180</v>
      </c>
      <c r="D498" t="s">
        <v>234</v>
      </c>
      <c r="E498" t="s">
        <v>172</v>
      </c>
      <c r="F498" t="s">
        <v>162</v>
      </c>
      <c r="G498">
        <v>753</v>
      </c>
      <c r="H498">
        <v>758</v>
      </c>
      <c r="I498" t="s">
        <v>724</v>
      </c>
      <c r="J498">
        <v>2499</v>
      </c>
      <c r="K498">
        <v>2498</v>
      </c>
      <c r="L498" t="s">
        <v>1230</v>
      </c>
      <c r="M498">
        <v>2</v>
      </c>
      <c r="N498" t="s">
        <v>7</v>
      </c>
      <c r="O498" t="s">
        <v>7</v>
      </c>
      <c r="P498" t="s">
        <v>157</v>
      </c>
      <c r="Q498" t="s">
        <v>1231</v>
      </c>
      <c r="R498" t="s">
        <v>647</v>
      </c>
      <c r="S498">
        <v>2013</v>
      </c>
      <c r="T498">
        <v>10</v>
      </c>
      <c r="U498" t="s">
        <v>162</v>
      </c>
      <c r="V498" t="s">
        <v>422</v>
      </c>
      <c r="W498">
        <v>2016</v>
      </c>
      <c r="X498">
        <v>6</v>
      </c>
      <c r="Y498" t="s">
        <v>123</v>
      </c>
      <c r="Z498">
        <v>2016</v>
      </c>
      <c r="AA498">
        <v>2016</v>
      </c>
      <c r="AB498" s="5">
        <v>0.129134286573</v>
      </c>
      <c r="AC498" s="5">
        <v>0.25826857314599999</v>
      </c>
      <c r="AD498" t="s">
        <v>154</v>
      </c>
      <c r="AE498" t="s">
        <v>163</v>
      </c>
      <c r="AF498" t="s">
        <v>154</v>
      </c>
      <c r="AG498" t="s">
        <v>154</v>
      </c>
      <c r="AH498" t="s">
        <v>162</v>
      </c>
      <c r="AI498" t="s">
        <v>226</v>
      </c>
      <c r="AJ498" t="s">
        <v>154</v>
      </c>
      <c r="AK498" t="s">
        <v>162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 s="60">
        <f t="shared" si="7"/>
        <v>1</v>
      </c>
      <c r="AU498" s="95" t="s">
        <v>360</v>
      </c>
      <c r="AV498" s="94" t="s">
        <v>165</v>
      </c>
      <c r="AW498" t="s">
        <v>166</v>
      </c>
      <c r="AX498">
        <v>1</v>
      </c>
      <c r="AY498" t="s">
        <v>167</v>
      </c>
      <c r="AZ498" t="s">
        <v>162</v>
      </c>
    </row>
    <row r="499" spans="1:52" x14ac:dyDescent="0.25">
      <c r="A499">
        <v>488</v>
      </c>
      <c r="B499" t="s">
        <v>233</v>
      </c>
      <c r="C499" t="s">
        <v>180</v>
      </c>
      <c r="D499" t="s">
        <v>234</v>
      </c>
      <c r="E499" t="s">
        <v>172</v>
      </c>
      <c r="F499" t="s">
        <v>162</v>
      </c>
      <c r="G499">
        <v>2475</v>
      </c>
      <c r="H499">
        <v>2476</v>
      </c>
      <c r="I499" t="s">
        <v>1230</v>
      </c>
      <c r="J499">
        <v>2373</v>
      </c>
      <c r="K499">
        <v>2372</v>
      </c>
      <c r="L499" t="s">
        <v>1232</v>
      </c>
      <c r="M499">
        <v>2</v>
      </c>
      <c r="N499" t="s">
        <v>7</v>
      </c>
      <c r="O499" t="s">
        <v>7</v>
      </c>
      <c r="P499" t="s">
        <v>175</v>
      </c>
      <c r="Q499" t="s">
        <v>1233</v>
      </c>
      <c r="R499" t="s">
        <v>647</v>
      </c>
      <c r="S499">
        <v>2013</v>
      </c>
      <c r="T499">
        <v>10</v>
      </c>
      <c r="U499" t="s">
        <v>1234</v>
      </c>
      <c r="V499" t="s">
        <v>455</v>
      </c>
      <c r="W499">
        <v>2020</v>
      </c>
      <c r="X499">
        <v>0</v>
      </c>
      <c r="Y499" t="s">
        <v>123</v>
      </c>
      <c r="Z499">
        <v>2020</v>
      </c>
      <c r="AA499">
        <v>2020</v>
      </c>
      <c r="AB499" s="5">
        <v>0.213800214702</v>
      </c>
      <c r="AC499" s="5">
        <v>0.427600429404</v>
      </c>
      <c r="AD499" t="s">
        <v>162</v>
      </c>
      <c r="AE499" t="s">
        <v>163</v>
      </c>
      <c r="AF499" t="s">
        <v>162</v>
      </c>
      <c r="AG499" t="s">
        <v>162</v>
      </c>
      <c r="AH499" t="s">
        <v>162</v>
      </c>
      <c r="AI499" t="s">
        <v>226</v>
      </c>
      <c r="AJ499" t="s">
        <v>154</v>
      </c>
      <c r="AK499" t="s">
        <v>166</v>
      </c>
      <c r="AL499">
        <v>2013</v>
      </c>
      <c r="AM499">
        <v>0</v>
      </c>
      <c r="AN499">
        <v>0</v>
      </c>
      <c r="AO499">
        <v>0</v>
      </c>
      <c r="AP499">
        <v>0</v>
      </c>
      <c r="AQ499">
        <v>0.67</v>
      </c>
      <c r="AR499">
        <v>0</v>
      </c>
      <c r="AS499">
        <v>0.33</v>
      </c>
      <c r="AT499" s="60">
        <f t="shared" si="7"/>
        <v>1</v>
      </c>
      <c r="AU499" s="95" t="s">
        <v>360</v>
      </c>
      <c r="AV499" s="94" t="s">
        <v>165</v>
      </c>
      <c r="AW499" t="s">
        <v>166</v>
      </c>
      <c r="AX499">
        <v>1</v>
      </c>
      <c r="AY499" t="s">
        <v>167</v>
      </c>
      <c r="AZ499" t="s">
        <v>162</v>
      </c>
    </row>
    <row r="500" spans="1:52" x14ac:dyDescent="0.25">
      <c r="A500">
        <v>489</v>
      </c>
      <c r="B500" t="s">
        <v>233</v>
      </c>
      <c r="C500" t="s">
        <v>180</v>
      </c>
      <c r="D500" t="s">
        <v>234</v>
      </c>
      <c r="E500" t="s">
        <v>172</v>
      </c>
      <c r="F500" t="s">
        <v>162</v>
      </c>
      <c r="G500">
        <v>2200</v>
      </c>
      <c r="H500">
        <v>2201</v>
      </c>
      <c r="I500" t="s">
        <v>248</v>
      </c>
      <c r="J500">
        <v>2350</v>
      </c>
      <c r="K500">
        <v>2351</v>
      </c>
      <c r="L500" t="s">
        <v>1235</v>
      </c>
      <c r="M500">
        <v>2</v>
      </c>
      <c r="N500" t="s">
        <v>11</v>
      </c>
      <c r="O500" t="s">
        <v>11</v>
      </c>
      <c r="P500" t="s">
        <v>169</v>
      </c>
      <c r="Q500" t="s">
        <v>162</v>
      </c>
      <c r="R500" t="s">
        <v>647</v>
      </c>
      <c r="S500">
        <v>2013</v>
      </c>
      <c r="T500">
        <v>10</v>
      </c>
      <c r="U500" t="s">
        <v>162</v>
      </c>
      <c r="V500" t="s">
        <v>455</v>
      </c>
      <c r="W500">
        <v>2020</v>
      </c>
      <c r="X500">
        <v>0</v>
      </c>
      <c r="Y500" t="s">
        <v>123</v>
      </c>
      <c r="Z500">
        <v>2020</v>
      </c>
      <c r="AA500">
        <v>2020</v>
      </c>
      <c r="AB500" s="5">
        <v>0.16242020344700001</v>
      </c>
      <c r="AC500" s="5">
        <v>0.32484040689400001</v>
      </c>
      <c r="AD500" t="s">
        <v>162</v>
      </c>
      <c r="AE500" t="s">
        <v>163</v>
      </c>
      <c r="AF500" t="s">
        <v>162</v>
      </c>
      <c r="AG500" t="s">
        <v>162</v>
      </c>
      <c r="AH500" t="s">
        <v>162</v>
      </c>
      <c r="AI500" t="s">
        <v>162</v>
      </c>
      <c r="AJ500" t="s">
        <v>162</v>
      </c>
      <c r="AK500" t="s">
        <v>162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 s="60">
        <f t="shared" si="7"/>
        <v>1</v>
      </c>
      <c r="AU500" s="95" t="s">
        <v>187</v>
      </c>
      <c r="AV500" s="94" t="s">
        <v>165</v>
      </c>
      <c r="AW500" t="s">
        <v>162</v>
      </c>
      <c r="AX500">
        <v>2</v>
      </c>
      <c r="AY500" t="s">
        <v>167</v>
      </c>
      <c r="AZ500" t="s">
        <v>162</v>
      </c>
    </row>
    <row r="501" spans="1:52" x14ac:dyDescent="0.25">
      <c r="A501">
        <v>490</v>
      </c>
      <c r="B501" t="s">
        <v>233</v>
      </c>
      <c r="C501" t="s">
        <v>180</v>
      </c>
      <c r="D501" t="s">
        <v>234</v>
      </c>
      <c r="E501" t="s">
        <v>172</v>
      </c>
      <c r="F501" t="s">
        <v>162</v>
      </c>
      <c r="G501">
        <v>1600</v>
      </c>
      <c r="H501">
        <v>1601</v>
      </c>
      <c r="I501" t="s">
        <v>1044</v>
      </c>
      <c r="J501">
        <v>2200</v>
      </c>
      <c r="K501">
        <v>2201</v>
      </c>
      <c r="L501" t="s">
        <v>248</v>
      </c>
      <c r="M501">
        <v>2</v>
      </c>
      <c r="N501" t="s">
        <v>11</v>
      </c>
      <c r="O501" t="s">
        <v>11</v>
      </c>
      <c r="P501" t="s">
        <v>157</v>
      </c>
      <c r="Q501" t="s">
        <v>1236</v>
      </c>
      <c r="R501" t="s">
        <v>647</v>
      </c>
      <c r="S501">
        <v>2013</v>
      </c>
      <c r="T501">
        <v>10</v>
      </c>
      <c r="U501" t="s">
        <v>1237</v>
      </c>
      <c r="V501" t="s">
        <v>455</v>
      </c>
      <c r="W501">
        <v>2020</v>
      </c>
      <c r="X501">
        <v>0</v>
      </c>
      <c r="Y501" t="s">
        <v>123</v>
      </c>
      <c r="Z501">
        <v>2020</v>
      </c>
      <c r="AA501">
        <v>2020</v>
      </c>
      <c r="AB501" s="5">
        <v>0.50151727669900004</v>
      </c>
      <c r="AC501" s="5">
        <v>1.0030345534</v>
      </c>
      <c r="AD501" t="s">
        <v>162</v>
      </c>
      <c r="AE501" t="s">
        <v>163</v>
      </c>
      <c r="AF501" t="s">
        <v>162</v>
      </c>
      <c r="AG501" t="s">
        <v>162</v>
      </c>
      <c r="AH501" t="s">
        <v>162</v>
      </c>
      <c r="AI501" t="s">
        <v>162</v>
      </c>
      <c r="AJ501" t="s">
        <v>162</v>
      </c>
      <c r="AK501" t="s">
        <v>166</v>
      </c>
      <c r="AL501">
        <v>2013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 s="60">
        <f t="shared" si="7"/>
        <v>1</v>
      </c>
      <c r="AU501" s="95" t="s">
        <v>187</v>
      </c>
      <c r="AV501" s="94" t="s">
        <v>165</v>
      </c>
      <c r="AW501" t="s">
        <v>162</v>
      </c>
      <c r="AX501">
        <v>2</v>
      </c>
      <c r="AY501" t="s">
        <v>167</v>
      </c>
      <c r="AZ501" t="s">
        <v>162</v>
      </c>
    </row>
    <row r="502" spans="1:52" x14ac:dyDescent="0.25">
      <c r="A502">
        <v>491</v>
      </c>
      <c r="B502" t="s">
        <v>220</v>
      </c>
      <c r="C502" t="s">
        <v>151</v>
      </c>
      <c r="D502" t="s">
        <v>221</v>
      </c>
      <c r="E502" t="s">
        <v>222</v>
      </c>
      <c r="F502" t="s">
        <v>203</v>
      </c>
      <c r="G502">
        <v>1757</v>
      </c>
      <c r="H502">
        <v>1760</v>
      </c>
      <c r="I502" t="s">
        <v>341</v>
      </c>
      <c r="J502">
        <v>1601</v>
      </c>
      <c r="K502">
        <v>1600</v>
      </c>
      <c r="L502" t="s">
        <v>575</v>
      </c>
      <c r="M502">
        <v>4</v>
      </c>
      <c r="N502" t="s">
        <v>9</v>
      </c>
      <c r="O502" t="s">
        <v>9</v>
      </c>
      <c r="P502" t="s">
        <v>175</v>
      </c>
      <c r="Q502" t="s">
        <v>1238</v>
      </c>
      <c r="R502" t="s">
        <v>201</v>
      </c>
      <c r="S502">
        <v>2012</v>
      </c>
      <c r="T502">
        <v>12</v>
      </c>
      <c r="U502" t="s">
        <v>208</v>
      </c>
      <c r="V502" t="s">
        <v>162</v>
      </c>
      <c r="W502">
        <v>0</v>
      </c>
      <c r="X502">
        <v>0</v>
      </c>
      <c r="Y502" t="s">
        <v>162</v>
      </c>
      <c r="Z502">
        <v>2012</v>
      </c>
      <c r="AA502">
        <v>0</v>
      </c>
      <c r="AB502" s="5">
        <v>0.206699267238</v>
      </c>
      <c r="AC502" s="5">
        <v>0.206699267238</v>
      </c>
      <c r="AD502" t="s">
        <v>162</v>
      </c>
      <c r="AE502" t="s">
        <v>166</v>
      </c>
      <c r="AF502" t="s">
        <v>203</v>
      </c>
      <c r="AG502" t="s">
        <v>163</v>
      </c>
      <c r="AH502" t="s">
        <v>162</v>
      </c>
      <c r="AI502" t="s">
        <v>162</v>
      </c>
      <c r="AJ502" t="s">
        <v>162</v>
      </c>
      <c r="AK502" t="s">
        <v>162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 s="60">
        <f t="shared" si="7"/>
        <v>1</v>
      </c>
      <c r="AU502" s="95" t="s">
        <v>244</v>
      </c>
      <c r="AV502" s="94" t="s">
        <v>165</v>
      </c>
      <c r="AW502" t="s">
        <v>163</v>
      </c>
      <c r="AX502">
        <v>2</v>
      </c>
      <c r="AY502" t="s">
        <v>167</v>
      </c>
      <c r="AZ502" t="s">
        <v>162</v>
      </c>
    </row>
    <row r="503" spans="1:52" x14ac:dyDescent="0.25">
      <c r="A503">
        <v>492</v>
      </c>
      <c r="B503" t="s">
        <v>220</v>
      </c>
      <c r="C503" t="s">
        <v>151</v>
      </c>
      <c r="D503" t="s">
        <v>221</v>
      </c>
      <c r="E503" t="s">
        <v>222</v>
      </c>
      <c r="F503" t="s">
        <v>203</v>
      </c>
      <c r="G503">
        <v>1501</v>
      </c>
      <c r="H503">
        <v>1500</v>
      </c>
      <c r="I503" t="s">
        <v>1239</v>
      </c>
      <c r="J503">
        <v>801</v>
      </c>
      <c r="K503">
        <v>800</v>
      </c>
      <c r="L503" t="s">
        <v>576</v>
      </c>
      <c r="M503">
        <v>4</v>
      </c>
      <c r="N503" t="s">
        <v>9</v>
      </c>
      <c r="O503" t="s">
        <v>9</v>
      </c>
      <c r="P503" t="s">
        <v>169</v>
      </c>
      <c r="Q503" t="s">
        <v>162</v>
      </c>
      <c r="R503" t="s">
        <v>201</v>
      </c>
      <c r="S503">
        <v>2012</v>
      </c>
      <c r="T503">
        <v>12</v>
      </c>
      <c r="U503" t="s">
        <v>162</v>
      </c>
      <c r="V503" t="s">
        <v>243</v>
      </c>
      <c r="W503">
        <v>2020</v>
      </c>
      <c r="X503">
        <v>0</v>
      </c>
      <c r="Y503" t="s">
        <v>1240</v>
      </c>
      <c r="Z503">
        <v>2020</v>
      </c>
      <c r="AA503">
        <v>2015</v>
      </c>
      <c r="AB503" s="5">
        <v>0.88121641565999997</v>
      </c>
      <c r="AC503" s="5">
        <v>0.88121641565999997</v>
      </c>
      <c r="AD503" t="s">
        <v>162</v>
      </c>
      <c r="AE503" t="s">
        <v>166</v>
      </c>
      <c r="AF503" t="s">
        <v>203</v>
      </c>
      <c r="AG503" t="s">
        <v>163</v>
      </c>
      <c r="AH503" t="s">
        <v>162</v>
      </c>
      <c r="AI503" t="s">
        <v>162</v>
      </c>
      <c r="AJ503" t="s">
        <v>162</v>
      </c>
      <c r="AK503" t="s">
        <v>162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 s="60">
        <f t="shared" si="7"/>
        <v>1</v>
      </c>
      <c r="AU503" s="95" t="s">
        <v>244</v>
      </c>
      <c r="AV503" s="94" t="s">
        <v>165</v>
      </c>
      <c r="AW503" t="s">
        <v>163</v>
      </c>
      <c r="AX503">
        <v>2</v>
      </c>
      <c r="AY503" t="s">
        <v>167</v>
      </c>
      <c r="AZ503" t="s">
        <v>162</v>
      </c>
    </row>
    <row r="504" spans="1:52" x14ac:dyDescent="0.25">
      <c r="A504">
        <v>493</v>
      </c>
      <c r="B504" t="s">
        <v>188</v>
      </c>
      <c r="C504" t="s">
        <v>151</v>
      </c>
      <c r="D504" t="s">
        <v>189</v>
      </c>
      <c r="E504" t="s">
        <v>172</v>
      </c>
      <c r="F504" t="s">
        <v>162</v>
      </c>
      <c r="G504">
        <v>300</v>
      </c>
      <c r="H504">
        <v>301</v>
      </c>
      <c r="I504" t="s">
        <v>1069</v>
      </c>
      <c r="J504">
        <v>348</v>
      </c>
      <c r="K504">
        <v>347</v>
      </c>
      <c r="L504" t="s">
        <v>834</v>
      </c>
      <c r="M504">
        <v>3</v>
      </c>
      <c r="N504" t="s">
        <v>7</v>
      </c>
      <c r="O504" t="s">
        <v>7</v>
      </c>
      <c r="P504" t="s">
        <v>175</v>
      </c>
      <c r="Q504" t="s">
        <v>1068</v>
      </c>
      <c r="R504" t="s">
        <v>959</v>
      </c>
      <c r="S504">
        <v>2014</v>
      </c>
      <c r="T504">
        <v>10</v>
      </c>
      <c r="U504" t="s">
        <v>1241</v>
      </c>
      <c r="V504" t="s">
        <v>162</v>
      </c>
      <c r="W504">
        <v>0</v>
      </c>
      <c r="X504">
        <v>0</v>
      </c>
      <c r="Y504" t="s">
        <v>162</v>
      </c>
      <c r="Z504">
        <v>2014</v>
      </c>
      <c r="AA504">
        <v>2014</v>
      </c>
      <c r="AB504" s="5">
        <v>0.410724000348</v>
      </c>
      <c r="AC504" s="5">
        <v>0.82144800069599999</v>
      </c>
      <c r="AD504" t="s">
        <v>154</v>
      </c>
      <c r="AE504" t="s">
        <v>163</v>
      </c>
      <c r="AF504" t="s">
        <v>154</v>
      </c>
      <c r="AG504" t="s">
        <v>154</v>
      </c>
      <c r="AH504" t="s">
        <v>162</v>
      </c>
      <c r="AI504" t="s">
        <v>212</v>
      </c>
      <c r="AJ504" t="s">
        <v>154</v>
      </c>
      <c r="AK504" t="s">
        <v>162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 s="60">
        <f t="shared" si="7"/>
        <v>1</v>
      </c>
      <c r="AU504" s="95" t="s">
        <v>213</v>
      </c>
      <c r="AV504" t="s">
        <v>165</v>
      </c>
      <c r="AW504" t="s">
        <v>166</v>
      </c>
      <c r="AX504">
        <v>1</v>
      </c>
      <c r="AY504" t="s">
        <v>167</v>
      </c>
      <c r="AZ504" t="s">
        <v>162</v>
      </c>
    </row>
    <row r="505" spans="1:52" x14ac:dyDescent="0.25">
      <c r="A505">
        <v>494</v>
      </c>
      <c r="B505" t="s">
        <v>188</v>
      </c>
      <c r="C505" t="s">
        <v>151</v>
      </c>
      <c r="D505" t="s">
        <v>189</v>
      </c>
      <c r="E505" t="s">
        <v>172</v>
      </c>
      <c r="F505" t="s">
        <v>162</v>
      </c>
      <c r="G505">
        <v>300</v>
      </c>
      <c r="H505">
        <v>301</v>
      </c>
      <c r="I505" t="s">
        <v>834</v>
      </c>
      <c r="J505">
        <v>0</v>
      </c>
      <c r="K505">
        <v>0</v>
      </c>
      <c r="L505" t="s">
        <v>429</v>
      </c>
      <c r="M505">
        <v>3</v>
      </c>
      <c r="N505" t="s">
        <v>7</v>
      </c>
      <c r="O505" t="s">
        <v>7</v>
      </c>
      <c r="P505" t="s">
        <v>175</v>
      </c>
      <c r="Q505" t="s">
        <v>1242</v>
      </c>
      <c r="R505" t="s">
        <v>452</v>
      </c>
      <c r="S505">
        <v>2014</v>
      </c>
      <c r="T505">
        <v>9</v>
      </c>
      <c r="U505" t="s">
        <v>1243</v>
      </c>
      <c r="V505" t="s">
        <v>162</v>
      </c>
      <c r="W505">
        <v>0</v>
      </c>
      <c r="X505">
        <v>0</v>
      </c>
      <c r="Y505" t="s">
        <v>162</v>
      </c>
      <c r="Z505">
        <v>2014</v>
      </c>
      <c r="AA505">
        <v>2014</v>
      </c>
      <c r="AB505" s="5">
        <v>1.5269479421200001</v>
      </c>
      <c r="AC505" s="5">
        <v>3.0538958842300001</v>
      </c>
      <c r="AD505" t="s">
        <v>154</v>
      </c>
      <c r="AE505" t="s">
        <v>163</v>
      </c>
      <c r="AF505" t="s">
        <v>154</v>
      </c>
      <c r="AG505" t="s">
        <v>154</v>
      </c>
      <c r="AH505" t="s">
        <v>162</v>
      </c>
      <c r="AI505" t="s">
        <v>226</v>
      </c>
      <c r="AJ505" t="s">
        <v>154</v>
      </c>
      <c r="AK505" t="s">
        <v>162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s="60">
        <f t="shared" si="7"/>
        <v>1</v>
      </c>
      <c r="AU505" s="95" t="s">
        <v>213</v>
      </c>
      <c r="AV505" s="94" t="s">
        <v>165</v>
      </c>
      <c r="AW505" t="s">
        <v>166</v>
      </c>
      <c r="AX505">
        <v>1</v>
      </c>
      <c r="AY505" t="s">
        <v>167</v>
      </c>
      <c r="AZ505" t="s">
        <v>162</v>
      </c>
    </row>
    <row r="506" spans="1:52" x14ac:dyDescent="0.25">
      <c r="A506">
        <v>495</v>
      </c>
      <c r="B506" t="s">
        <v>469</v>
      </c>
      <c r="C506" t="s">
        <v>151</v>
      </c>
      <c r="D506" t="s">
        <v>470</v>
      </c>
      <c r="E506" t="s">
        <v>216</v>
      </c>
      <c r="F506" t="s">
        <v>162</v>
      </c>
      <c r="G506">
        <v>4450</v>
      </c>
      <c r="H506">
        <v>4451</v>
      </c>
      <c r="I506" t="s">
        <v>1244</v>
      </c>
      <c r="J506">
        <v>3600</v>
      </c>
      <c r="K506">
        <v>3601</v>
      </c>
      <c r="L506" t="s">
        <v>817</v>
      </c>
      <c r="M506">
        <v>2</v>
      </c>
      <c r="N506" t="s">
        <v>9</v>
      </c>
      <c r="O506" t="s">
        <v>9</v>
      </c>
      <c r="P506" t="s">
        <v>157</v>
      </c>
      <c r="Q506" t="s">
        <v>1245</v>
      </c>
      <c r="R506" t="s">
        <v>705</v>
      </c>
      <c r="S506">
        <v>2015</v>
      </c>
      <c r="T506">
        <v>7</v>
      </c>
      <c r="U506" t="s">
        <v>1246</v>
      </c>
      <c r="V506" t="s">
        <v>162</v>
      </c>
      <c r="W506">
        <v>0</v>
      </c>
      <c r="X506">
        <v>0</v>
      </c>
      <c r="Y506" t="s">
        <v>162</v>
      </c>
      <c r="Z506">
        <v>2015</v>
      </c>
      <c r="AA506">
        <v>2007</v>
      </c>
      <c r="AB506" s="5">
        <v>1.1223661945200001</v>
      </c>
      <c r="AC506" s="5">
        <v>2.2447323890400002</v>
      </c>
      <c r="AD506" t="s">
        <v>162</v>
      </c>
      <c r="AE506" t="s">
        <v>163</v>
      </c>
      <c r="AF506" t="s">
        <v>162</v>
      </c>
      <c r="AG506" t="s">
        <v>162</v>
      </c>
      <c r="AH506" t="s">
        <v>162</v>
      </c>
      <c r="AI506" t="s">
        <v>162</v>
      </c>
      <c r="AJ506" t="s">
        <v>162</v>
      </c>
      <c r="AK506" t="s">
        <v>166</v>
      </c>
      <c r="AL506">
        <v>2015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 s="60">
        <f t="shared" si="7"/>
        <v>1</v>
      </c>
      <c r="AU506" s="95" t="s">
        <v>187</v>
      </c>
      <c r="AV506" t="s">
        <v>165</v>
      </c>
      <c r="AW506" t="s">
        <v>163</v>
      </c>
      <c r="AX506">
        <v>2</v>
      </c>
      <c r="AY506" t="s">
        <v>167</v>
      </c>
      <c r="AZ506" t="s">
        <v>162</v>
      </c>
    </row>
    <row r="507" spans="1:52" x14ac:dyDescent="0.25">
      <c r="A507">
        <v>496</v>
      </c>
      <c r="B507" t="s">
        <v>150</v>
      </c>
      <c r="C507" t="s">
        <v>151</v>
      </c>
      <c r="D507" t="s">
        <v>152</v>
      </c>
      <c r="E507" t="s">
        <v>153</v>
      </c>
      <c r="F507" t="s">
        <v>162</v>
      </c>
      <c r="G507">
        <v>6701</v>
      </c>
      <c r="H507">
        <v>6700</v>
      </c>
      <c r="I507" t="s">
        <v>173</v>
      </c>
      <c r="J507">
        <v>6759</v>
      </c>
      <c r="K507">
        <v>6758</v>
      </c>
      <c r="L507" t="s">
        <v>575</v>
      </c>
      <c r="M507">
        <v>3</v>
      </c>
      <c r="N507" t="s">
        <v>11</v>
      </c>
      <c r="O507" t="s">
        <v>11</v>
      </c>
      <c r="P507" t="s">
        <v>175</v>
      </c>
      <c r="Q507" t="s">
        <v>162</v>
      </c>
      <c r="R507" t="s">
        <v>253</v>
      </c>
      <c r="S507">
        <v>2003</v>
      </c>
      <c r="T507">
        <v>7</v>
      </c>
      <c r="U507" t="s">
        <v>162</v>
      </c>
      <c r="V507" t="s">
        <v>540</v>
      </c>
      <c r="W507">
        <v>2015</v>
      </c>
      <c r="X507">
        <v>11</v>
      </c>
      <c r="Y507" t="s">
        <v>123</v>
      </c>
      <c r="Z507">
        <v>2015</v>
      </c>
      <c r="AA507">
        <v>2015</v>
      </c>
      <c r="AB507" s="5">
        <v>0.50079402704800002</v>
      </c>
      <c r="AC507" s="5">
        <v>1.0015880541</v>
      </c>
      <c r="AD507" t="s">
        <v>162</v>
      </c>
      <c r="AE507" t="s">
        <v>163</v>
      </c>
      <c r="AF507" t="s">
        <v>162</v>
      </c>
      <c r="AG507" t="s">
        <v>162</v>
      </c>
      <c r="AH507" t="s">
        <v>162</v>
      </c>
      <c r="AI507" t="s">
        <v>162</v>
      </c>
      <c r="AJ507" t="s">
        <v>162</v>
      </c>
      <c r="AK507" t="s">
        <v>162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 s="60">
        <f t="shared" si="7"/>
        <v>1</v>
      </c>
      <c r="AU507" s="95">
        <v>43320</v>
      </c>
      <c r="AV507" t="s">
        <v>165</v>
      </c>
      <c r="AW507" t="s">
        <v>162</v>
      </c>
      <c r="AX507">
        <v>2</v>
      </c>
      <c r="AY507" t="s">
        <v>167</v>
      </c>
      <c r="AZ507" t="s">
        <v>162</v>
      </c>
    </row>
    <row r="508" spans="1:52" x14ac:dyDescent="0.25">
      <c r="A508">
        <v>497</v>
      </c>
      <c r="B508" t="s">
        <v>1059</v>
      </c>
      <c r="C508" t="s">
        <v>203</v>
      </c>
      <c r="D508" t="s">
        <v>1060</v>
      </c>
      <c r="E508" t="s">
        <v>153</v>
      </c>
      <c r="F508" t="s">
        <v>162</v>
      </c>
      <c r="G508">
        <v>3901</v>
      </c>
      <c r="H508">
        <v>3900</v>
      </c>
      <c r="I508" t="s">
        <v>1247</v>
      </c>
      <c r="J508">
        <v>3937</v>
      </c>
      <c r="K508">
        <v>3936</v>
      </c>
      <c r="L508" t="s">
        <v>252</v>
      </c>
      <c r="M508">
        <v>2</v>
      </c>
      <c r="N508" t="s">
        <v>9</v>
      </c>
      <c r="O508" t="s">
        <v>9</v>
      </c>
      <c r="P508" t="s">
        <v>175</v>
      </c>
      <c r="Q508" t="s">
        <v>162</v>
      </c>
      <c r="R508" t="s">
        <v>1248</v>
      </c>
      <c r="S508">
        <v>2014</v>
      </c>
      <c r="T508">
        <v>9</v>
      </c>
      <c r="U508" t="s">
        <v>162</v>
      </c>
      <c r="V508" t="s">
        <v>502</v>
      </c>
      <c r="W508">
        <v>2016</v>
      </c>
      <c r="X508">
        <v>11</v>
      </c>
      <c r="Y508" t="s">
        <v>123</v>
      </c>
      <c r="Z508">
        <v>2016</v>
      </c>
      <c r="AA508">
        <v>2016</v>
      </c>
      <c r="AB508" s="5">
        <v>0.52273480333599998</v>
      </c>
      <c r="AC508" s="5">
        <v>1.04546960667</v>
      </c>
      <c r="AD508" t="s">
        <v>162</v>
      </c>
      <c r="AE508" t="s">
        <v>163</v>
      </c>
      <c r="AF508" t="s">
        <v>162</v>
      </c>
      <c r="AG508" t="s">
        <v>162</v>
      </c>
      <c r="AH508" t="s">
        <v>162</v>
      </c>
      <c r="AI508" t="s">
        <v>162</v>
      </c>
      <c r="AJ508" t="s">
        <v>162</v>
      </c>
      <c r="AK508" t="s">
        <v>162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 s="60">
        <f t="shared" si="7"/>
        <v>1</v>
      </c>
      <c r="AU508" s="95">
        <v>43348</v>
      </c>
      <c r="AV508" t="s">
        <v>165</v>
      </c>
      <c r="AW508" t="s">
        <v>163</v>
      </c>
      <c r="AX508">
        <v>2</v>
      </c>
      <c r="AY508" t="s">
        <v>167</v>
      </c>
      <c r="AZ508" t="s">
        <v>162</v>
      </c>
    </row>
    <row r="509" spans="1:52" x14ac:dyDescent="0.25">
      <c r="A509">
        <v>498</v>
      </c>
      <c r="B509" t="s">
        <v>1059</v>
      </c>
      <c r="C509" t="s">
        <v>203</v>
      </c>
      <c r="D509" t="s">
        <v>1060</v>
      </c>
      <c r="E509" t="s">
        <v>153</v>
      </c>
      <c r="F509" t="s">
        <v>162</v>
      </c>
      <c r="G509">
        <v>3901</v>
      </c>
      <c r="H509">
        <v>3900</v>
      </c>
      <c r="I509" t="s">
        <v>252</v>
      </c>
      <c r="J509">
        <v>882</v>
      </c>
      <c r="K509">
        <v>881</v>
      </c>
      <c r="L509" t="s">
        <v>625</v>
      </c>
      <c r="M509">
        <v>2</v>
      </c>
      <c r="N509" t="s">
        <v>9</v>
      </c>
      <c r="O509" t="s">
        <v>9</v>
      </c>
      <c r="P509" t="s">
        <v>175</v>
      </c>
      <c r="Q509" t="s">
        <v>1249</v>
      </c>
      <c r="R509" t="s">
        <v>1248</v>
      </c>
      <c r="S509">
        <v>2014</v>
      </c>
      <c r="T509">
        <v>9</v>
      </c>
      <c r="U509" t="s">
        <v>162</v>
      </c>
      <c r="V509" t="s">
        <v>162</v>
      </c>
      <c r="W509">
        <v>0</v>
      </c>
      <c r="X509">
        <v>0</v>
      </c>
      <c r="Y509" t="s">
        <v>162</v>
      </c>
      <c r="Z509">
        <v>2014</v>
      </c>
      <c r="AA509">
        <v>0</v>
      </c>
      <c r="AB509" s="5">
        <v>0.13553345726499999</v>
      </c>
      <c r="AC509" s="5">
        <v>0.27106691452999998</v>
      </c>
      <c r="AD509" t="s">
        <v>162</v>
      </c>
      <c r="AE509" t="s">
        <v>163</v>
      </c>
      <c r="AF509" t="s">
        <v>162</v>
      </c>
      <c r="AG509" t="s">
        <v>162</v>
      </c>
      <c r="AH509" t="s">
        <v>162</v>
      </c>
      <c r="AI509" t="s">
        <v>162</v>
      </c>
      <c r="AJ509" t="s">
        <v>162</v>
      </c>
      <c r="AK509" t="s">
        <v>162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 s="60">
        <f t="shared" si="7"/>
        <v>1</v>
      </c>
      <c r="AU509" s="95">
        <v>43354</v>
      </c>
      <c r="AV509" t="s">
        <v>165</v>
      </c>
      <c r="AW509" t="s">
        <v>166</v>
      </c>
      <c r="AX509">
        <v>2</v>
      </c>
      <c r="AY509" t="s">
        <v>167</v>
      </c>
      <c r="AZ509" t="s">
        <v>162</v>
      </c>
    </row>
    <row r="510" spans="1:52" x14ac:dyDescent="0.25">
      <c r="A510">
        <v>499</v>
      </c>
      <c r="B510" t="s">
        <v>475</v>
      </c>
      <c r="C510" t="s">
        <v>163</v>
      </c>
      <c r="D510" t="s">
        <v>476</v>
      </c>
      <c r="E510" t="s">
        <v>216</v>
      </c>
      <c r="F510" t="s">
        <v>162</v>
      </c>
      <c r="G510">
        <v>3000</v>
      </c>
      <c r="H510">
        <v>3001</v>
      </c>
      <c r="I510" t="s">
        <v>240</v>
      </c>
      <c r="J510">
        <v>2400</v>
      </c>
      <c r="K510">
        <v>2401</v>
      </c>
      <c r="L510" t="s">
        <v>652</v>
      </c>
      <c r="M510">
        <v>3</v>
      </c>
      <c r="N510" t="s">
        <v>11</v>
      </c>
      <c r="O510" t="s">
        <v>11</v>
      </c>
      <c r="P510" t="s">
        <v>175</v>
      </c>
      <c r="Q510" t="s">
        <v>162</v>
      </c>
      <c r="R510" t="s">
        <v>266</v>
      </c>
      <c r="S510">
        <v>2002</v>
      </c>
      <c r="T510">
        <v>8</v>
      </c>
      <c r="U510" t="s">
        <v>162</v>
      </c>
      <c r="V510" t="s">
        <v>404</v>
      </c>
      <c r="W510">
        <v>2017</v>
      </c>
      <c r="X510">
        <v>7</v>
      </c>
      <c r="Y510" t="s">
        <v>162</v>
      </c>
      <c r="Z510">
        <v>2017</v>
      </c>
      <c r="AA510">
        <v>0</v>
      </c>
      <c r="AB510" s="5">
        <v>0.75222563108899998</v>
      </c>
      <c r="AC510" s="5">
        <v>1.5044512621799999</v>
      </c>
      <c r="AD510" t="s">
        <v>162</v>
      </c>
      <c r="AE510" t="s">
        <v>163</v>
      </c>
      <c r="AF510" t="s">
        <v>162</v>
      </c>
      <c r="AG510" t="s">
        <v>162</v>
      </c>
      <c r="AH510" t="s">
        <v>162</v>
      </c>
      <c r="AI510" t="s">
        <v>162</v>
      </c>
      <c r="AJ510" t="s">
        <v>162</v>
      </c>
      <c r="AK510" t="s">
        <v>162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 s="60">
        <f t="shared" si="7"/>
        <v>1</v>
      </c>
      <c r="AU510" s="95" t="s">
        <v>1250</v>
      </c>
      <c r="AV510" t="s">
        <v>165</v>
      </c>
      <c r="AW510" t="s">
        <v>162</v>
      </c>
      <c r="AX510">
        <v>2</v>
      </c>
      <c r="AY510" t="s">
        <v>167</v>
      </c>
      <c r="AZ510" t="s">
        <v>162</v>
      </c>
    </row>
    <row r="511" spans="1:52" x14ac:dyDescent="0.25">
      <c r="A511">
        <v>500</v>
      </c>
      <c r="B511" t="s">
        <v>475</v>
      </c>
      <c r="C511" t="s">
        <v>163</v>
      </c>
      <c r="D511" t="s">
        <v>476</v>
      </c>
      <c r="E511" t="s">
        <v>216</v>
      </c>
      <c r="F511" t="s">
        <v>162</v>
      </c>
      <c r="G511">
        <v>1305</v>
      </c>
      <c r="H511">
        <v>1304</v>
      </c>
      <c r="I511" t="s">
        <v>565</v>
      </c>
      <c r="J511">
        <v>1347</v>
      </c>
      <c r="K511">
        <v>1346</v>
      </c>
      <c r="L511" t="s">
        <v>477</v>
      </c>
      <c r="M511">
        <v>3</v>
      </c>
      <c r="N511" t="s">
        <v>11</v>
      </c>
      <c r="O511" t="s">
        <v>11</v>
      </c>
      <c r="P511" t="s">
        <v>175</v>
      </c>
      <c r="Q511" t="s">
        <v>162</v>
      </c>
      <c r="R511" t="s">
        <v>479</v>
      </c>
      <c r="S511">
        <v>2005</v>
      </c>
      <c r="T511">
        <v>5</v>
      </c>
      <c r="U511" t="s">
        <v>162</v>
      </c>
      <c r="V511" t="s">
        <v>1251</v>
      </c>
      <c r="W511">
        <v>2017</v>
      </c>
      <c r="X511">
        <v>8</v>
      </c>
      <c r="Y511" t="s">
        <v>123</v>
      </c>
      <c r="Z511">
        <v>2017</v>
      </c>
      <c r="AA511">
        <v>2017</v>
      </c>
      <c r="AB511" s="5">
        <v>1.0071799424700001</v>
      </c>
      <c r="AC511" s="5">
        <v>2.0143598849400002</v>
      </c>
      <c r="AD511" t="s">
        <v>162</v>
      </c>
      <c r="AE511" t="s">
        <v>163</v>
      </c>
      <c r="AF511" t="s">
        <v>162</v>
      </c>
      <c r="AG511" t="s">
        <v>162</v>
      </c>
      <c r="AH511" t="s">
        <v>162</v>
      </c>
      <c r="AI511" t="s">
        <v>162</v>
      </c>
      <c r="AJ511" t="s">
        <v>162</v>
      </c>
      <c r="AK511" t="s">
        <v>162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 s="60">
        <f t="shared" si="7"/>
        <v>1</v>
      </c>
      <c r="AU511" s="95">
        <v>43341</v>
      </c>
      <c r="AV511" t="s">
        <v>165</v>
      </c>
      <c r="AW511" t="s">
        <v>162</v>
      </c>
      <c r="AX511">
        <v>2</v>
      </c>
      <c r="AY511" t="s">
        <v>167</v>
      </c>
      <c r="AZ511" t="s">
        <v>162</v>
      </c>
    </row>
    <row r="512" spans="1:52" x14ac:dyDescent="0.25">
      <c r="A512">
        <v>501</v>
      </c>
      <c r="B512" t="s">
        <v>1252</v>
      </c>
      <c r="C512" t="s">
        <v>163</v>
      </c>
      <c r="D512" t="s">
        <v>1253</v>
      </c>
      <c r="E512" t="s">
        <v>216</v>
      </c>
      <c r="F512" t="s">
        <v>180</v>
      </c>
      <c r="G512">
        <v>1037</v>
      </c>
      <c r="H512">
        <v>1036</v>
      </c>
      <c r="I512" t="s">
        <v>281</v>
      </c>
      <c r="J512">
        <v>1069</v>
      </c>
      <c r="K512">
        <v>1068</v>
      </c>
      <c r="L512" t="s">
        <v>728</v>
      </c>
      <c r="M512">
        <v>4</v>
      </c>
      <c r="N512" t="s">
        <v>11</v>
      </c>
      <c r="O512" t="s">
        <v>11</v>
      </c>
      <c r="P512" t="s">
        <v>169</v>
      </c>
      <c r="Q512" t="s">
        <v>162</v>
      </c>
      <c r="R512" t="s">
        <v>283</v>
      </c>
      <c r="S512">
        <v>2014</v>
      </c>
      <c r="T512">
        <v>6</v>
      </c>
      <c r="U512" t="s">
        <v>162</v>
      </c>
      <c r="V512" t="s">
        <v>162</v>
      </c>
      <c r="W512">
        <v>0</v>
      </c>
      <c r="X512">
        <v>0</v>
      </c>
      <c r="Y512" t="s">
        <v>162</v>
      </c>
      <c r="Z512">
        <v>2014</v>
      </c>
      <c r="AA512">
        <v>0</v>
      </c>
      <c r="AB512" s="5">
        <v>0.50180731574899995</v>
      </c>
      <c r="AC512" s="5">
        <v>0.50180731574899995</v>
      </c>
      <c r="AD512" t="s">
        <v>162</v>
      </c>
      <c r="AE512" t="s">
        <v>166</v>
      </c>
      <c r="AF512" t="s">
        <v>180</v>
      </c>
      <c r="AG512" t="s">
        <v>163</v>
      </c>
      <c r="AH512" t="s">
        <v>162</v>
      </c>
      <c r="AI512" t="s">
        <v>162</v>
      </c>
      <c r="AJ512" t="s">
        <v>162</v>
      </c>
      <c r="AK512" t="s">
        <v>162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 s="60">
        <f t="shared" si="7"/>
        <v>1</v>
      </c>
      <c r="AU512" s="95">
        <v>43348</v>
      </c>
      <c r="AV512" s="94" t="s">
        <v>165</v>
      </c>
      <c r="AW512" t="s">
        <v>162</v>
      </c>
      <c r="AX512">
        <v>3</v>
      </c>
      <c r="AY512" t="s">
        <v>275</v>
      </c>
      <c r="AZ512">
        <v>20</v>
      </c>
    </row>
    <row r="513" spans="1:52" x14ac:dyDescent="0.25">
      <c r="A513">
        <v>502</v>
      </c>
      <c r="B513" t="s">
        <v>1252</v>
      </c>
      <c r="C513" t="s">
        <v>163</v>
      </c>
      <c r="D513" t="s">
        <v>1253</v>
      </c>
      <c r="E513" t="s">
        <v>216</v>
      </c>
      <c r="F513" t="s">
        <v>180</v>
      </c>
      <c r="G513">
        <v>1037</v>
      </c>
      <c r="H513">
        <v>1036</v>
      </c>
      <c r="I513" t="s">
        <v>728</v>
      </c>
      <c r="J513">
        <v>1069</v>
      </c>
      <c r="K513">
        <v>1062</v>
      </c>
      <c r="L513" t="s">
        <v>1209</v>
      </c>
      <c r="M513">
        <v>4</v>
      </c>
      <c r="N513" t="s">
        <v>11</v>
      </c>
      <c r="O513" t="s">
        <v>11</v>
      </c>
      <c r="P513" t="s">
        <v>169</v>
      </c>
      <c r="Q513" t="s">
        <v>162</v>
      </c>
      <c r="R513" t="s">
        <v>283</v>
      </c>
      <c r="S513">
        <v>2014</v>
      </c>
      <c r="T513">
        <v>6</v>
      </c>
      <c r="U513" t="s">
        <v>162</v>
      </c>
      <c r="V513" t="s">
        <v>162</v>
      </c>
      <c r="W513">
        <v>0</v>
      </c>
      <c r="X513">
        <v>0</v>
      </c>
      <c r="Y513" t="s">
        <v>162</v>
      </c>
      <c r="Z513">
        <v>2014</v>
      </c>
      <c r="AA513">
        <v>0</v>
      </c>
      <c r="AB513" s="5">
        <v>0.25266166109499999</v>
      </c>
      <c r="AC513" s="5">
        <v>0.25266166109499999</v>
      </c>
      <c r="AD513" t="s">
        <v>162</v>
      </c>
      <c r="AE513" t="s">
        <v>166</v>
      </c>
      <c r="AF513" t="s">
        <v>180</v>
      </c>
      <c r="AG513" t="s">
        <v>163</v>
      </c>
      <c r="AH513" t="s">
        <v>162</v>
      </c>
      <c r="AI513" t="s">
        <v>162</v>
      </c>
      <c r="AJ513" t="s">
        <v>162</v>
      </c>
      <c r="AK513" t="s">
        <v>162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 s="60">
        <f t="shared" si="7"/>
        <v>1</v>
      </c>
      <c r="AU513" s="95">
        <v>43348</v>
      </c>
      <c r="AV513" s="94" t="s">
        <v>165</v>
      </c>
      <c r="AW513" t="s">
        <v>162</v>
      </c>
      <c r="AX513">
        <v>3</v>
      </c>
      <c r="AY513" t="s">
        <v>275</v>
      </c>
      <c r="AZ513">
        <v>20</v>
      </c>
    </row>
    <row r="514" spans="1:52" x14ac:dyDescent="0.25">
      <c r="A514">
        <v>503</v>
      </c>
      <c r="B514" t="s">
        <v>1037</v>
      </c>
      <c r="C514" t="s">
        <v>151</v>
      </c>
      <c r="D514" t="s">
        <v>1038</v>
      </c>
      <c r="E514" t="s">
        <v>172</v>
      </c>
      <c r="F514" t="s">
        <v>162</v>
      </c>
      <c r="G514">
        <v>3458</v>
      </c>
      <c r="H514">
        <v>3459</v>
      </c>
      <c r="I514" t="s">
        <v>378</v>
      </c>
      <c r="J514">
        <v>2201</v>
      </c>
      <c r="K514">
        <v>2200</v>
      </c>
      <c r="L514" t="s">
        <v>326</v>
      </c>
      <c r="M514">
        <v>4</v>
      </c>
      <c r="N514" t="s">
        <v>9</v>
      </c>
      <c r="O514" t="s">
        <v>9</v>
      </c>
      <c r="P514" t="s">
        <v>175</v>
      </c>
      <c r="Q514" t="s">
        <v>162</v>
      </c>
      <c r="R514" t="s">
        <v>201</v>
      </c>
      <c r="S514">
        <v>2012</v>
      </c>
      <c r="T514">
        <v>5</v>
      </c>
      <c r="U514" t="s">
        <v>162</v>
      </c>
      <c r="V514" t="s">
        <v>540</v>
      </c>
      <c r="W514">
        <v>2016</v>
      </c>
      <c r="X514">
        <v>6</v>
      </c>
      <c r="Y514" t="s">
        <v>123</v>
      </c>
      <c r="Z514">
        <v>2016</v>
      </c>
      <c r="AA514">
        <v>2016</v>
      </c>
      <c r="AB514" s="5">
        <v>0.25008309477500001</v>
      </c>
      <c r="AC514" s="5">
        <v>0.50016618955000003</v>
      </c>
      <c r="AD514" t="s">
        <v>162</v>
      </c>
      <c r="AE514" t="s">
        <v>163</v>
      </c>
      <c r="AF514" t="s">
        <v>162</v>
      </c>
      <c r="AG514" t="s">
        <v>162</v>
      </c>
      <c r="AH514" t="s">
        <v>162</v>
      </c>
      <c r="AI514" t="s">
        <v>162</v>
      </c>
      <c r="AJ514" t="s">
        <v>162</v>
      </c>
      <c r="AK514" t="s">
        <v>162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 s="60">
        <f t="shared" si="7"/>
        <v>1</v>
      </c>
      <c r="AU514" s="95">
        <v>43347</v>
      </c>
      <c r="AV514" s="94" t="s">
        <v>165</v>
      </c>
      <c r="AW514" t="s">
        <v>163</v>
      </c>
      <c r="AX514">
        <v>3</v>
      </c>
      <c r="AY514" t="s">
        <v>167</v>
      </c>
      <c r="AZ514" t="s">
        <v>162</v>
      </c>
    </row>
    <row r="515" spans="1:52" x14ac:dyDescent="0.25">
      <c r="A515">
        <v>504</v>
      </c>
      <c r="B515" t="s">
        <v>453</v>
      </c>
      <c r="C515" t="s">
        <v>180</v>
      </c>
      <c r="D515" t="s">
        <v>454</v>
      </c>
      <c r="E515" t="s">
        <v>216</v>
      </c>
      <c r="F515" t="s">
        <v>162</v>
      </c>
      <c r="G515">
        <v>1935</v>
      </c>
      <c r="H515">
        <v>1932</v>
      </c>
      <c r="I515" t="s">
        <v>1254</v>
      </c>
      <c r="J515">
        <v>1959</v>
      </c>
      <c r="K515">
        <v>1958</v>
      </c>
      <c r="L515" t="s">
        <v>1095</v>
      </c>
      <c r="M515">
        <v>3</v>
      </c>
      <c r="N515" t="s">
        <v>9</v>
      </c>
      <c r="O515" t="s">
        <v>9</v>
      </c>
      <c r="P515" t="s">
        <v>157</v>
      </c>
      <c r="Q515" t="s">
        <v>162</v>
      </c>
      <c r="R515" t="s">
        <v>463</v>
      </c>
      <c r="S515">
        <v>2014</v>
      </c>
      <c r="T515">
        <v>9</v>
      </c>
      <c r="U515" t="s">
        <v>162</v>
      </c>
      <c r="V515" t="s">
        <v>238</v>
      </c>
      <c r="W515">
        <v>2017</v>
      </c>
      <c r="X515">
        <v>11</v>
      </c>
      <c r="Y515" t="s">
        <v>123</v>
      </c>
      <c r="Z515">
        <v>2017</v>
      </c>
      <c r="AA515">
        <v>2017</v>
      </c>
      <c r="AB515" s="5">
        <v>0.50314785260499995</v>
      </c>
      <c r="AC515" s="5">
        <v>1.0062957052099999</v>
      </c>
      <c r="AD515" t="s">
        <v>162</v>
      </c>
      <c r="AE515" t="s">
        <v>163</v>
      </c>
      <c r="AF515" t="s">
        <v>162</v>
      </c>
      <c r="AG515" t="s">
        <v>162</v>
      </c>
      <c r="AH515" t="s">
        <v>162</v>
      </c>
      <c r="AI515" t="s">
        <v>162</v>
      </c>
      <c r="AJ515" t="s">
        <v>162</v>
      </c>
      <c r="AK515" t="s">
        <v>162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 s="60">
        <f t="shared" si="7"/>
        <v>1</v>
      </c>
      <c r="AU515" s="95">
        <v>43340</v>
      </c>
      <c r="AV515" s="94" t="s">
        <v>165</v>
      </c>
      <c r="AW515" t="s">
        <v>163</v>
      </c>
      <c r="AX515">
        <v>2</v>
      </c>
      <c r="AY515" t="s">
        <v>167</v>
      </c>
      <c r="AZ515" t="s">
        <v>162</v>
      </c>
    </row>
    <row r="516" spans="1:52" x14ac:dyDescent="0.25">
      <c r="A516">
        <v>505</v>
      </c>
      <c r="B516" t="s">
        <v>427</v>
      </c>
      <c r="C516" t="s">
        <v>151</v>
      </c>
      <c r="D516" t="s">
        <v>428</v>
      </c>
      <c r="E516" t="s">
        <v>216</v>
      </c>
      <c r="F516" t="s">
        <v>162</v>
      </c>
      <c r="G516">
        <v>3601</v>
      </c>
      <c r="H516">
        <v>3600</v>
      </c>
      <c r="I516" t="s">
        <v>817</v>
      </c>
      <c r="J516">
        <v>4001</v>
      </c>
      <c r="K516">
        <v>4000</v>
      </c>
      <c r="L516" t="s">
        <v>1255</v>
      </c>
      <c r="M516">
        <v>3</v>
      </c>
      <c r="N516" t="s">
        <v>11</v>
      </c>
      <c r="O516" t="s">
        <v>11</v>
      </c>
      <c r="P516" t="s">
        <v>175</v>
      </c>
      <c r="Q516" t="s">
        <v>162</v>
      </c>
      <c r="R516" t="s">
        <v>673</v>
      </c>
      <c r="S516">
        <v>2002</v>
      </c>
      <c r="T516">
        <v>9</v>
      </c>
      <c r="U516" t="s">
        <v>162</v>
      </c>
      <c r="V516" t="s">
        <v>243</v>
      </c>
      <c r="W516">
        <v>2020</v>
      </c>
      <c r="X516">
        <v>4</v>
      </c>
      <c r="Y516" t="s">
        <v>162</v>
      </c>
      <c r="Z516">
        <v>2020</v>
      </c>
      <c r="AA516">
        <v>2014</v>
      </c>
      <c r="AB516" s="5">
        <v>0.50428517043200005</v>
      </c>
      <c r="AC516" s="5">
        <v>1.00857034086</v>
      </c>
      <c r="AD516" t="s">
        <v>162</v>
      </c>
      <c r="AE516" t="s">
        <v>163</v>
      </c>
      <c r="AF516" t="s">
        <v>162</v>
      </c>
      <c r="AG516" t="s">
        <v>162</v>
      </c>
      <c r="AH516" t="s">
        <v>162</v>
      </c>
      <c r="AI516" t="s">
        <v>162</v>
      </c>
      <c r="AJ516" t="s">
        <v>162</v>
      </c>
      <c r="AK516" t="s">
        <v>162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 s="60">
        <f t="shared" si="7"/>
        <v>1</v>
      </c>
      <c r="AU516" s="95" t="s">
        <v>350</v>
      </c>
      <c r="AV516" s="94" t="s">
        <v>165</v>
      </c>
      <c r="AW516" t="s">
        <v>162</v>
      </c>
      <c r="AX516">
        <v>2</v>
      </c>
      <c r="AY516" t="s">
        <v>167</v>
      </c>
      <c r="AZ516" t="s">
        <v>162</v>
      </c>
    </row>
    <row r="517" spans="1:52" x14ac:dyDescent="0.25">
      <c r="A517">
        <v>506</v>
      </c>
      <c r="B517" t="s">
        <v>170</v>
      </c>
      <c r="C517" t="s">
        <v>203</v>
      </c>
      <c r="D517" t="s">
        <v>171</v>
      </c>
      <c r="E517" t="s">
        <v>172</v>
      </c>
      <c r="F517" t="s">
        <v>162</v>
      </c>
      <c r="G517">
        <v>2</v>
      </c>
      <c r="H517">
        <v>1</v>
      </c>
      <c r="I517" t="s">
        <v>639</v>
      </c>
      <c r="J517">
        <v>80</v>
      </c>
      <c r="K517">
        <v>79</v>
      </c>
      <c r="L517" t="s">
        <v>667</v>
      </c>
      <c r="M517">
        <v>3</v>
      </c>
      <c r="N517" t="s">
        <v>9</v>
      </c>
      <c r="O517" t="s">
        <v>9</v>
      </c>
      <c r="P517" t="s">
        <v>157</v>
      </c>
      <c r="Q517" t="s">
        <v>1218</v>
      </c>
      <c r="R517" t="s">
        <v>404</v>
      </c>
      <c r="S517">
        <v>2017</v>
      </c>
      <c r="T517">
        <v>6</v>
      </c>
      <c r="U517" t="s">
        <v>1256</v>
      </c>
      <c r="V517" t="s">
        <v>162</v>
      </c>
      <c r="W517">
        <v>0</v>
      </c>
      <c r="X517">
        <v>0</v>
      </c>
      <c r="Y517" t="s">
        <v>162</v>
      </c>
      <c r="Z517">
        <v>2017</v>
      </c>
      <c r="AA517">
        <v>2015</v>
      </c>
      <c r="AB517" s="5">
        <v>0.168682793911</v>
      </c>
      <c r="AC517" s="5">
        <v>0.33736558782199999</v>
      </c>
      <c r="AD517" t="s">
        <v>162</v>
      </c>
      <c r="AE517" t="s">
        <v>163</v>
      </c>
      <c r="AF517" t="s">
        <v>162</v>
      </c>
      <c r="AG517" t="s">
        <v>162</v>
      </c>
      <c r="AH517" t="s">
        <v>162</v>
      </c>
      <c r="AI517" t="s">
        <v>162</v>
      </c>
      <c r="AJ517" t="s">
        <v>162</v>
      </c>
      <c r="AK517" t="s">
        <v>162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 s="60">
        <f t="shared" si="7"/>
        <v>1</v>
      </c>
      <c r="AU517" s="95">
        <v>43350</v>
      </c>
      <c r="AV517" t="s">
        <v>165</v>
      </c>
      <c r="AW517" t="s">
        <v>163</v>
      </c>
      <c r="AX517">
        <v>2</v>
      </c>
      <c r="AY517" t="s">
        <v>167</v>
      </c>
      <c r="AZ517" t="s">
        <v>162</v>
      </c>
    </row>
    <row r="518" spans="1:52" x14ac:dyDescent="0.25">
      <c r="A518">
        <v>507</v>
      </c>
      <c r="B518" t="s">
        <v>1257</v>
      </c>
      <c r="C518" t="s">
        <v>163</v>
      </c>
      <c r="D518" t="s">
        <v>1258</v>
      </c>
      <c r="E518" t="s">
        <v>172</v>
      </c>
      <c r="F518" t="s">
        <v>162</v>
      </c>
      <c r="G518">
        <v>3200</v>
      </c>
      <c r="H518">
        <v>3201</v>
      </c>
      <c r="I518" t="s">
        <v>1039</v>
      </c>
      <c r="J518">
        <v>2623</v>
      </c>
      <c r="K518">
        <v>2622</v>
      </c>
      <c r="L518" t="s">
        <v>331</v>
      </c>
      <c r="M518">
        <v>4</v>
      </c>
      <c r="N518" t="s">
        <v>11</v>
      </c>
      <c r="O518" t="s">
        <v>11</v>
      </c>
      <c r="P518" t="s">
        <v>175</v>
      </c>
      <c r="Q518" t="s">
        <v>1259</v>
      </c>
      <c r="R518" t="s">
        <v>1260</v>
      </c>
      <c r="S518">
        <v>2017</v>
      </c>
      <c r="T518">
        <v>4</v>
      </c>
      <c r="U518" t="s">
        <v>162</v>
      </c>
      <c r="V518" t="s">
        <v>162</v>
      </c>
      <c r="W518">
        <v>0</v>
      </c>
      <c r="X518">
        <v>0</v>
      </c>
      <c r="Y518" t="s">
        <v>162</v>
      </c>
      <c r="Z518">
        <v>2017</v>
      </c>
      <c r="AA518">
        <v>0</v>
      </c>
      <c r="AB518" s="5">
        <v>0.53875756347000003</v>
      </c>
      <c r="AC518" s="5">
        <v>1.0775151269400001</v>
      </c>
      <c r="AD518" t="s">
        <v>162</v>
      </c>
      <c r="AE518" t="s">
        <v>163</v>
      </c>
      <c r="AF518" t="s">
        <v>162</v>
      </c>
      <c r="AG518" t="s">
        <v>162</v>
      </c>
      <c r="AH518" t="s">
        <v>162</v>
      </c>
      <c r="AI518" t="s">
        <v>162</v>
      </c>
      <c r="AJ518" t="s">
        <v>162</v>
      </c>
      <c r="AK518" t="s">
        <v>162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 s="60">
        <f t="shared" si="7"/>
        <v>1</v>
      </c>
      <c r="AU518" s="95">
        <v>43348</v>
      </c>
      <c r="AV518" t="s">
        <v>165</v>
      </c>
      <c r="AW518" t="s">
        <v>162</v>
      </c>
      <c r="AX518">
        <v>3</v>
      </c>
      <c r="AY518" t="s">
        <v>167</v>
      </c>
      <c r="AZ518" t="s">
        <v>162</v>
      </c>
    </row>
    <row r="519" spans="1:52" x14ac:dyDescent="0.25">
      <c r="A519">
        <v>508</v>
      </c>
      <c r="B519" t="s">
        <v>453</v>
      </c>
      <c r="C519" t="s">
        <v>180</v>
      </c>
      <c r="D519" t="s">
        <v>454</v>
      </c>
      <c r="E519" t="s">
        <v>216</v>
      </c>
      <c r="F519" t="s">
        <v>162</v>
      </c>
      <c r="G519">
        <v>8200</v>
      </c>
      <c r="H519">
        <v>8201</v>
      </c>
      <c r="I519" t="s">
        <v>1261</v>
      </c>
      <c r="J519">
        <v>7900</v>
      </c>
      <c r="K519">
        <v>7901</v>
      </c>
      <c r="L519" t="s">
        <v>1126</v>
      </c>
      <c r="M519">
        <v>3</v>
      </c>
      <c r="N519" t="s">
        <v>9</v>
      </c>
      <c r="O519" t="s">
        <v>9</v>
      </c>
      <c r="P519" t="s">
        <v>157</v>
      </c>
      <c r="Q519" t="s">
        <v>1262</v>
      </c>
      <c r="R519" t="s">
        <v>1263</v>
      </c>
      <c r="S519">
        <v>2014</v>
      </c>
      <c r="T519">
        <v>9</v>
      </c>
      <c r="U519" t="s">
        <v>162</v>
      </c>
      <c r="V519" t="s">
        <v>628</v>
      </c>
      <c r="W519">
        <v>2021</v>
      </c>
      <c r="X519">
        <v>5</v>
      </c>
      <c r="Y519" t="s">
        <v>162</v>
      </c>
      <c r="Z519">
        <v>2021</v>
      </c>
      <c r="AA519">
        <v>2021</v>
      </c>
      <c r="AB519" s="5">
        <v>0.37617286605400002</v>
      </c>
      <c r="AC519" s="5">
        <v>0.75234573210800004</v>
      </c>
      <c r="AD519" t="s">
        <v>154</v>
      </c>
      <c r="AE519" t="s">
        <v>163</v>
      </c>
      <c r="AF519" t="s">
        <v>154</v>
      </c>
      <c r="AG519" t="s">
        <v>154</v>
      </c>
      <c r="AH519" t="s">
        <v>154</v>
      </c>
      <c r="AI519" t="s">
        <v>154</v>
      </c>
      <c r="AJ519" t="s">
        <v>154</v>
      </c>
      <c r="AK519" t="s">
        <v>154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 s="60">
        <f t="shared" si="7"/>
        <v>1</v>
      </c>
      <c r="AU519" s="95" t="s">
        <v>530</v>
      </c>
      <c r="AV519" t="s">
        <v>165</v>
      </c>
      <c r="AW519" t="s">
        <v>163</v>
      </c>
      <c r="AX519">
        <v>2</v>
      </c>
      <c r="AY519" t="s">
        <v>167</v>
      </c>
      <c r="AZ519" t="s">
        <v>162</v>
      </c>
    </row>
    <row r="520" spans="1:52" x14ac:dyDescent="0.25">
      <c r="A520">
        <v>509</v>
      </c>
      <c r="B520" t="s">
        <v>448</v>
      </c>
      <c r="C520" t="s">
        <v>180</v>
      </c>
      <c r="D520" t="s">
        <v>449</v>
      </c>
      <c r="E520" t="s">
        <v>182</v>
      </c>
      <c r="F520" t="s">
        <v>180</v>
      </c>
      <c r="G520">
        <v>2558</v>
      </c>
      <c r="H520">
        <v>0</v>
      </c>
      <c r="I520" t="s">
        <v>1012</v>
      </c>
      <c r="J520">
        <v>2500</v>
      </c>
      <c r="K520">
        <v>0</v>
      </c>
      <c r="L520" t="s">
        <v>1264</v>
      </c>
      <c r="M520">
        <v>3</v>
      </c>
      <c r="N520" t="s">
        <v>11</v>
      </c>
      <c r="O520" t="s">
        <v>11</v>
      </c>
      <c r="P520" t="s">
        <v>157</v>
      </c>
      <c r="Q520" t="s">
        <v>1265</v>
      </c>
      <c r="R520" t="s">
        <v>422</v>
      </c>
      <c r="S520">
        <v>2016</v>
      </c>
      <c r="T520">
        <v>7</v>
      </c>
      <c r="U520" t="s">
        <v>123</v>
      </c>
      <c r="V520" t="s">
        <v>162</v>
      </c>
      <c r="W520">
        <v>0</v>
      </c>
      <c r="X520">
        <v>0</v>
      </c>
      <c r="Y520" t="s">
        <v>162</v>
      </c>
      <c r="Z520">
        <v>2016</v>
      </c>
      <c r="AA520">
        <v>2016</v>
      </c>
      <c r="AB520" s="5">
        <v>0.126770715816</v>
      </c>
      <c r="AC520" s="5">
        <v>0.126770715816</v>
      </c>
      <c r="AD520" t="s">
        <v>162</v>
      </c>
      <c r="AE520" t="s">
        <v>166</v>
      </c>
      <c r="AF520" t="s">
        <v>180</v>
      </c>
      <c r="AG520" t="s">
        <v>163</v>
      </c>
      <c r="AH520" t="s">
        <v>162</v>
      </c>
      <c r="AI520" t="s">
        <v>162</v>
      </c>
      <c r="AJ520" t="s">
        <v>162</v>
      </c>
      <c r="AK520" t="s">
        <v>162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 s="60">
        <f t="shared" si="7"/>
        <v>1</v>
      </c>
      <c r="AU520" s="95">
        <v>43339</v>
      </c>
      <c r="AV520" s="94" t="s">
        <v>165</v>
      </c>
      <c r="AW520" t="s">
        <v>162</v>
      </c>
      <c r="AX520">
        <v>2</v>
      </c>
      <c r="AY520" t="s">
        <v>167</v>
      </c>
      <c r="AZ520" t="s">
        <v>162</v>
      </c>
    </row>
    <row r="521" spans="1:52" x14ac:dyDescent="0.25">
      <c r="A521">
        <v>510</v>
      </c>
      <c r="B521" t="s">
        <v>952</v>
      </c>
      <c r="C521" t="s">
        <v>151</v>
      </c>
      <c r="D521" t="s">
        <v>1000</v>
      </c>
      <c r="E521" t="s">
        <v>172</v>
      </c>
      <c r="F521" t="s">
        <v>162</v>
      </c>
      <c r="G521">
        <v>801</v>
      </c>
      <c r="H521">
        <v>800</v>
      </c>
      <c r="I521" t="s">
        <v>576</v>
      </c>
      <c r="J521">
        <v>501</v>
      </c>
      <c r="K521">
        <v>500</v>
      </c>
      <c r="L521" t="s">
        <v>570</v>
      </c>
      <c r="M521">
        <v>3</v>
      </c>
      <c r="N521" t="s">
        <v>11</v>
      </c>
      <c r="O521" t="s">
        <v>11</v>
      </c>
      <c r="P521" t="s">
        <v>175</v>
      </c>
      <c r="Q521" t="s">
        <v>162</v>
      </c>
      <c r="R521" t="s">
        <v>659</v>
      </c>
      <c r="S521">
        <v>2006</v>
      </c>
      <c r="T521">
        <v>5</v>
      </c>
      <c r="U521" t="s">
        <v>162</v>
      </c>
      <c r="V521" t="s">
        <v>502</v>
      </c>
      <c r="W521">
        <v>2017</v>
      </c>
      <c r="X521">
        <v>5</v>
      </c>
      <c r="Y521" t="s">
        <v>123</v>
      </c>
      <c r="Z521">
        <v>2017</v>
      </c>
      <c r="AA521">
        <v>2017</v>
      </c>
      <c r="AB521" s="5">
        <v>0.41874635687299999</v>
      </c>
      <c r="AC521" s="5">
        <v>0.83749271374599998</v>
      </c>
      <c r="AD521" t="s">
        <v>162</v>
      </c>
      <c r="AE521" t="s">
        <v>163</v>
      </c>
      <c r="AF521" t="s">
        <v>162</v>
      </c>
      <c r="AG521" t="s">
        <v>162</v>
      </c>
      <c r="AH521" t="s">
        <v>162</v>
      </c>
      <c r="AI521" t="s">
        <v>162</v>
      </c>
      <c r="AJ521" t="s">
        <v>162</v>
      </c>
      <c r="AK521" t="s">
        <v>162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 s="60">
        <f t="shared" si="7"/>
        <v>1</v>
      </c>
      <c r="AU521" s="95">
        <v>43347</v>
      </c>
      <c r="AV521" t="s">
        <v>165</v>
      </c>
      <c r="AW521" t="s">
        <v>162</v>
      </c>
      <c r="AX521">
        <v>2</v>
      </c>
      <c r="AY521" t="s">
        <v>167</v>
      </c>
      <c r="AZ521" t="s">
        <v>162</v>
      </c>
    </row>
    <row r="522" spans="1:52" x14ac:dyDescent="0.25">
      <c r="A522">
        <v>511</v>
      </c>
      <c r="B522" t="s">
        <v>952</v>
      </c>
      <c r="C522" t="s">
        <v>151</v>
      </c>
      <c r="D522" t="s">
        <v>1000</v>
      </c>
      <c r="E522" t="s">
        <v>172</v>
      </c>
      <c r="F522" t="s">
        <v>162</v>
      </c>
      <c r="G522">
        <v>501</v>
      </c>
      <c r="H522">
        <v>500</v>
      </c>
      <c r="I522" t="s">
        <v>570</v>
      </c>
      <c r="J522">
        <v>401</v>
      </c>
      <c r="K522">
        <v>400</v>
      </c>
      <c r="L522" t="s">
        <v>1266</v>
      </c>
      <c r="M522">
        <v>3</v>
      </c>
      <c r="N522" t="s">
        <v>9</v>
      </c>
      <c r="O522" t="s">
        <v>9</v>
      </c>
      <c r="P522" t="s">
        <v>157</v>
      </c>
      <c r="Q522" t="s">
        <v>1267</v>
      </c>
      <c r="R522" t="s">
        <v>502</v>
      </c>
      <c r="S522">
        <v>2017</v>
      </c>
      <c r="T522">
        <v>5</v>
      </c>
      <c r="U522" t="s">
        <v>123</v>
      </c>
      <c r="V522" t="s">
        <v>162</v>
      </c>
      <c r="W522">
        <v>0</v>
      </c>
      <c r="X522">
        <v>0</v>
      </c>
      <c r="Y522" t="s">
        <v>162</v>
      </c>
      <c r="Z522">
        <v>2017</v>
      </c>
      <c r="AA522">
        <v>2017</v>
      </c>
      <c r="AB522" s="5">
        <v>9.1923626920900003E-2</v>
      </c>
      <c r="AC522" s="5">
        <v>0.18384725384200001</v>
      </c>
      <c r="AD522" t="s">
        <v>162</v>
      </c>
      <c r="AE522" t="s">
        <v>163</v>
      </c>
      <c r="AF522" t="s">
        <v>162</v>
      </c>
      <c r="AG522" t="s">
        <v>162</v>
      </c>
      <c r="AH522" t="s">
        <v>162</v>
      </c>
      <c r="AI522" t="s">
        <v>162</v>
      </c>
      <c r="AJ522" t="s">
        <v>162</v>
      </c>
      <c r="AK522" t="s">
        <v>166</v>
      </c>
      <c r="AL522">
        <v>2017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 s="60">
        <f t="shared" si="7"/>
        <v>1</v>
      </c>
      <c r="AU522" s="95">
        <v>43347</v>
      </c>
      <c r="AV522" t="s">
        <v>165</v>
      </c>
      <c r="AW522" t="s">
        <v>166</v>
      </c>
      <c r="AX522">
        <v>2</v>
      </c>
      <c r="AY522" t="s">
        <v>167</v>
      </c>
      <c r="AZ522" t="s">
        <v>162</v>
      </c>
    </row>
    <row r="523" spans="1:52" x14ac:dyDescent="0.25">
      <c r="A523">
        <v>512</v>
      </c>
      <c r="B523" t="s">
        <v>952</v>
      </c>
      <c r="C523" t="s">
        <v>151</v>
      </c>
      <c r="D523" t="s">
        <v>1000</v>
      </c>
      <c r="E523" t="s">
        <v>172</v>
      </c>
      <c r="F523" t="s">
        <v>162</v>
      </c>
      <c r="G523">
        <v>401</v>
      </c>
      <c r="H523">
        <v>400</v>
      </c>
      <c r="I523" t="s">
        <v>1266</v>
      </c>
      <c r="J523">
        <v>201</v>
      </c>
      <c r="K523">
        <v>200</v>
      </c>
      <c r="L523" t="s">
        <v>694</v>
      </c>
      <c r="M523">
        <v>3</v>
      </c>
      <c r="N523" t="s">
        <v>11</v>
      </c>
      <c r="O523" t="s">
        <v>11</v>
      </c>
      <c r="P523" t="s">
        <v>175</v>
      </c>
      <c r="Q523" t="s">
        <v>162</v>
      </c>
      <c r="R523" t="s">
        <v>659</v>
      </c>
      <c r="S523">
        <v>2006</v>
      </c>
      <c r="T523">
        <v>5</v>
      </c>
      <c r="U523" t="s">
        <v>162</v>
      </c>
      <c r="V523" t="s">
        <v>502</v>
      </c>
      <c r="W523">
        <v>2017</v>
      </c>
      <c r="X523">
        <v>5</v>
      </c>
      <c r="Y523" t="s">
        <v>123</v>
      </c>
      <c r="Z523">
        <v>2017</v>
      </c>
      <c r="AA523">
        <v>2017</v>
      </c>
      <c r="AB523" s="5">
        <v>0.24420191899900001</v>
      </c>
      <c r="AC523" s="5">
        <v>0.48840383799800002</v>
      </c>
      <c r="AD523" t="s">
        <v>162</v>
      </c>
      <c r="AE523" t="s">
        <v>163</v>
      </c>
      <c r="AF523" t="s">
        <v>162</v>
      </c>
      <c r="AG523" t="s">
        <v>162</v>
      </c>
      <c r="AH523" t="s">
        <v>162</v>
      </c>
      <c r="AI523" t="s">
        <v>162</v>
      </c>
      <c r="AJ523" t="s">
        <v>162</v>
      </c>
      <c r="AK523" t="s">
        <v>162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 s="60">
        <f t="shared" ref="AT523:AT586" si="8">SUM(AM523:AS523)</f>
        <v>1</v>
      </c>
      <c r="AU523" s="95">
        <v>43347</v>
      </c>
      <c r="AV523" t="s">
        <v>165</v>
      </c>
      <c r="AW523" t="s">
        <v>162</v>
      </c>
      <c r="AX523">
        <v>2</v>
      </c>
      <c r="AY523" t="s">
        <v>167</v>
      </c>
      <c r="AZ523" t="s">
        <v>162</v>
      </c>
    </row>
    <row r="524" spans="1:52" x14ac:dyDescent="0.25">
      <c r="A524">
        <v>513</v>
      </c>
      <c r="B524" t="s">
        <v>952</v>
      </c>
      <c r="C524" t="s">
        <v>151</v>
      </c>
      <c r="D524" t="s">
        <v>1000</v>
      </c>
      <c r="E524" t="s">
        <v>172</v>
      </c>
      <c r="F524" t="s">
        <v>162</v>
      </c>
      <c r="G524">
        <v>201</v>
      </c>
      <c r="H524">
        <v>200</v>
      </c>
      <c r="I524" t="s">
        <v>694</v>
      </c>
      <c r="J524">
        <v>61</v>
      </c>
      <c r="K524">
        <v>60</v>
      </c>
      <c r="L524" t="s">
        <v>1268</v>
      </c>
      <c r="M524">
        <v>3</v>
      </c>
      <c r="N524" t="s">
        <v>9</v>
      </c>
      <c r="O524" t="s">
        <v>9</v>
      </c>
      <c r="P524" t="s">
        <v>157</v>
      </c>
      <c r="Q524" t="s">
        <v>1267</v>
      </c>
      <c r="R524" t="s">
        <v>502</v>
      </c>
      <c r="S524">
        <v>2017</v>
      </c>
      <c r="T524">
        <v>5</v>
      </c>
      <c r="U524" t="s">
        <v>1269</v>
      </c>
      <c r="V524" t="s">
        <v>162</v>
      </c>
      <c r="W524">
        <v>0</v>
      </c>
      <c r="X524">
        <v>0</v>
      </c>
      <c r="Y524" t="s">
        <v>162</v>
      </c>
      <c r="Z524">
        <v>2017</v>
      </c>
      <c r="AA524">
        <v>2017</v>
      </c>
      <c r="AB524" s="5">
        <v>0.137088454084</v>
      </c>
      <c r="AC524" s="5">
        <v>0.274176908168</v>
      </c>
      <c r="AD524" t="s">
        <v>162</v>
      </c>
      <c r="AE524" t="s">
        <v>163</v>
      </c>
      <c r="AF524" t="s">
        <v>162</v>
      </c>
      <c r="AG524" t="s">
        <v>162</v>
      </c>
      <c r="AH524" t="s">
        <v>162</v>
      </c>
      <c r="AI524" t="s">
        <v>162</v>
      </c>
      <c r="AJ524" t="s">
        <v>162</v>
      </c>
      <c r="AK524" t="s">
        <v>166</v>
      </c>
      <c r="AL524">
        <v>2017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0</v>
      </c>
      <c r="AT524" s="60">
        <f t="shared" si="8"/>
        <v>1</v>
      </c>
      <c r="AU524" s="95">
        <v>43347</v>
      </c>
      <c r="AV524" s="94" t="s">
        <v>165</v>
      </c>
      <c r="AW524" t="s">
        <v>166</v>
      </c>
      <c r="AX524">
        <v>2</v>
      </c>
      <c r="AY524" t="s">
        <v>167</v>
      </c>
      <c r="AZ524" t="s">
        <v>162</v>
      </c>
    </row>
    <row r="525" spans="1:52" x14ac:dyDescent="0.25">
      <c r="A525">
        <v>514</v>
      </c>
      <c r="B525" t="s">
        <v>952</v>
      </c>
      <c r="C525" t="s">
        <v>203</v>
      </c>
      <c r="D525" t="s">
        <v>1000</v>
      </c>
      <c r="E525" t="s">
        <v>172</v>
      </c>
      <c r="F525" t="s">
        <v>162</v>
      </c>
      <c r="G525">
        <v>61</v>
      </c>
      <c r="H525">
        <v>60</v>
      </c>
      <c r="I525" t="s">
        <v>1268</v>
      </c>
      <c r="J525">
        <v>401</v>
      </c>
      <c r="K525">
        <v>400</v>
      </c>
      <c r="L525" t="s">
        <v>1270</v>
      </c>
      <c r="M525">
        <v>3</v>
      </c>
      <c r="N525" t="s">
        <v>11</v>
      </c>
      <c r="O525" t="s">
        <v>11</v>
      </c>
      <c r="P525" t="s">
        <v>175</v>
      </c>
      <c r="Q525" t="s">
        <v>162</v>
      </c>
      <c r="R525" t="s">
        <v>659</v>
      </c>
      <c r="S525">
        <v>2006</v>
      </c>
      <c r="T525">
        <v>5</v>
      </c>
      <c r="U525" t="s">
        <v>162</v>
      </c>
      <c r="V525" t="s">
        <v>502</v>
      </c>
      <c r="W525">
        <v>2017</v>
      </c>
      <c r="X525">
        <v>5</v>
      </c>
      <c r="Y525" t="s">
        <v>123</v>
      </c>
      <c r="Z525">
        <v>2017</v>
      </c>
      <c r="AA525">
        <v>2017</v>
      </c>
      <c r="AB525" s="5">
        <v>0.59343827229799995</v>
      </c>
      <c r="AC525" s="5">
        <v>1.1868765446</v>
      </c>
      <c r="AD525" t="s">
        <v>162</v>
      </c>
      <c r="AE525" t="s">
        <v>163</v>
      </c>
      <c r="AF525" t="s">
        <v>162</v>
      </c>
      <c r="AG525" t="s">
        <v>162</v>
      </c>
      <c r="AH525" t="s">
        <v>162</v>
      </c>
      <c r="AI525" t="s">
        <v>162</v>
      </c>
      <c r="AJ525" t="s">
        <v>162</v>
      </c>
      <c r="AK525" t="s">
        <v>162</v>
      </c>
      <c r="AL525">
        <v>0</v>
      </c>
      <c r="AM525">
        <v>0</v>
      </c>
      <c r="AN525">
        <v>0</v>
      </c>
      <c r="AO525">
        <v>0</v>
      </c>
      <c r="AP525">
        <v>0.5</v>
      </c>
      <c r="AQ525">
        <v>0</v>
      </c>
      <c r="AR525">
        <v>0</v>
      </c>
      <c r="AS525">
        <v>0.5</v>
      </c>
      <c r="AT525" s="60">
        <f t="shared" si="8"/>
        <v>1</v>
      </c>
      <c r="AU525" s="95">
        <v>43347</v>
      </c>
      <c r="AV525" s="94" t="s">
        <v>165</v>
      </c>
      <c r="AW525" t="s">
        <v>162</v>
      </c>
      <c r="AX525">
        <v>2</v>
      </c>
      <c r="AY525" t="s">
        <v>167</v>
      </c>
      <c r="AZ525" t="s">
        <v>162</v>
      </c>
    </row>
    <row r="526" spans="1:52" x14ac:dyDescent="0.25">
      <c r="A526">
        <v>515</v>
      </c>
      <c r="B526" t="s">
        <v>1271</v>
      </c>
      <c r="C526" t="s">
        <v>163</v>
      </c>
      <c r="D526" t="s">
        <v>229</v>
      </c>
      <c r="E526" t="s">
        <v>1272</v>
      </c>
      <c r="F526" t="s">
        <v>162</v>
      </c>
      <c r="G526">
        <v>2250</v>
      </c>
      <c r="H526">
        <v>2249</v>
      </c>
      <c r="I526" t="s">
        <v>384</v>
      </c>
      <c r="J526">
        <v>0</v>
      </c>
      <c r="K526">
        <v>0</v>
      </c>
      <c r="L526" t="s">
        <v>1273</v>
      </c>
      <c r="M526">
        <v>3</v>
      </c>
      <c r="N526" t="s">
        <v>9</v>
      </c>
      <c r="O526" t="s">
        <v>9</v>
      </c>
      <c r="P526" t="s">
        <v>175</v>
      </c>
      <c r="Q526" t="s">
        <v>1274</v>
      </c>
      <c r="R526" t="s">
        <v>1275</v>
      </c>
      <c r="S526">
        <v>2016</v>
      </c>
      <c r="T526">
        <v>12</v>
      </c>
      <c r="U526" t="s">
        <v>123</v>
      </c>
      <c r="V526" t="s">
        <v>162</v>
      </c>
      <c r="W526">
        <v>0</v>
      </c>
      <c r="X526">
        <v>0</v>
      </c>
      <c r="Y526" t="s">
        <v>162</v>
      </c>
      <c r="Z526">
        <v>2016</v>
      </c>
      <c r="AA526">
        <v>2016</v>
      </c>
      <c r="AB526" s="5">
        <v>4.0979179671000003E-2</v>
      </c>
      <c r="AC526" s="5">
        <v>8.1958359342000006E-2</v>
      </c>
      <c r="AD526" t="s">
        <v>162</v>
      </c>
      <c r="AE526" t="s">
        <v>163</v>
      </c>
      <c r="AF526" t="s">
        <v>162</v>
      </c>
      <c r="AG526" t="s">
        <v>162</v>
      </c>
      <c r="AH526" t="s">
        <v>162</v>
      </c>
      <c r="AI526" t="s">
        <v>162</v>
      </c>
      <c r="AJ526" t="s">
        <v>162</v>
      </c>
      <c r="AK526" t="s">
        <v>162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 s="60">
        <f t="shared" si="8"/>
        <v>1</v>
      </c>
      <c r="AU526" s="95">
        <v>43333</v>
      </c>
      <c r="AV526" s="94" t="s">
        <v>165</v>
      </c>
      <c r="AW526" t="s">
        <v>163</v>
      </c>
      <c r="AX526">
        <v>2</v>
      </c>
      <c r="AY526" t="s">
        <v>167</v>
      </c>
      <c r="AZ526" t="s">
        <v>162</v>
      </c>
    </row>
    <row r="527" spans="1:52" x14ac:dyDescent="0.25">
      <c r="A527">
        <v>516</v>
      </c>
      <c r="B527" t="s">
        <v>1271</v>
      </c>
      <c r="C527" t="s">
        <v>163</v>
      </c>
      <c r="D527" t="s">
        <v>229</v>
      </c>
      <c r="E527" t="s">
        <v>1272</v>
      </c>
      <c r="F527" t="s">
        <v>162</v>
      </c>
      <c r="G527">
        <v>2301</v>
      </c>
      <c r="H527">
        <v>2300</v>
      </c>
      <c r="I527" t="s">
        <v>1273</v>
      </c>
      <c r="J527">
        <v>2425</v>
      </c>
      <c r="K527">
        <v>2426</v>
      </c>
      <c r="L527" t="s">
        <v>191</v>
      </c>
      <c r="M527">
        <v>3</v>
      </c>
      <c r="N527" t="s">
        <v>7</v>
      </c>
      <c r="O527" t="s">
        <v>7</v>
      </c>
      <c r="P527" t="s">
        <v>175</v>
      </c>
      <c r="Q527" t="s">
        <v>1274</v>
      </c>
      <c r="R527" t="s">
        <v>1275</v>
      </c>
      <c r="S527">
        <v>2016</v>
      </c>
      <c r="T527">
        <v>12</v>
      </c>
      <c r="U527" t="s">
        <v>123</v>
      </c>
      <c r="V527" t="s">
        <v>162</v>
      </c>
      <c r="W527">
        <v>0</v>
      </c>
      <c r="X527">
        <v>0</v>
      </c>
      <c r="Y527" t="s">
        <v>162</v>
      </c>
      <c r="Z527">
        <v>2016</v>
      </c>
      <c r="AA527">
        <v>2016</v>
      </c>
      <c r="AB527" s="5">
        <v>0.25267975234200002</v>
      </c>
      <c r="AC527" s="5">
        <v>0.50535950468400004</v>
      </c>
      <c r="AD527" t="s">
        <v>162</v>
      </c>
      <c r="AE527" t="s">
        <v>163</v>
      </c>
      <c r="AF527" t="s">
        <v>162</v>
      </c>
      <c r="AG527" t="s">
        <v>162</v>
      </c>
      <c r="AH527" t="s">
        <v>162</v>
      </c>
      <c r="AI527" t="s">
        <v>194</v>
      </c>
      <c r="AJ527" t="s">
        <v>162</v>
      </c>
      <c r="AK527" t="s">
        <v>166</v>
      </c>
      <c r="AL527">
        <v>2017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 s="60">
        <f t="shared" si="8"/>
        <v>1</v>
      </c>
      <c r="AU527" s="95" t="s">
        <v>227</v>
      </c>
      <c r="AV527" t="s">
        <v>165</v>
      </c>
      <c r="AW527" t="s">
        <v>166</v>
      </c>
      <c r="AX527">
        <v>1</v>
      </c>
      <c r="AY527" t="s">
        <v>167</v>
      </c>
      <c r="AZ527" t="s">
        <v>162</v>
      </c>
    </row>
    <row r="528" spans="1:52" x14ac:dyDescent="0.25">
      <c r="A528">
        <v>517</v>
      </c>
      <c r="B528" t="s">
        <v>1271</v>
      </c>
      <c r="C528" t="s">
        <v>163</v>
      </c>
      <c r="D528" t="s">
        <v>229</v>
      </c>
      <c r="E528" t="s">
        <v>1272</v>
      </c>
      <c r="F528" t="s">
        <v>162</v>
      </c>
      <c r="G528">
        <v>2414</v>
      </c>
      <c r="H528">
        <v>2411</v>
      </c>
      <c r="I528" t="s">
        <v>191</v>
      </c>
      <c r="J528">
        <v>2498</v>
      </c>
      <c r="K528">
        <v>2499</v>
      </c>
      <c r="L528" t="s">
        <v>384</v>
      </c>
      <c r="M528">
        <v>3</v>
      </c>
      <c r="N528" t="s">
        <v>11</v>
      </c>
      <c r="O528" t="s">
        <v>11</v>
      </c>
      <c r="P528" t="s">
        <v>175</v>
      </c>
      <c r="Q528" t="s">
        <v>1274</v>
      </c>
      <c r="R528" t="s">
        <v>1275</v>
      </c>
      <c r="S528">
        <v>2016</v>
      </c>
      <c r="T528">
        <v>12</v>
      </c>
      <c r="U528" t="s">
        <v>123</v>
      </c>
      <c r="V528" t="s">
        <v>162</v>
      </c>
      <c r="W528">
        <v>0</v>
      </c>
      <c r="X528">
        <v>0</v>
      </c>
      <c r="Y528" t="s">
        <v>162</v>
      </c>
      <c r="Z528">
        <v>2016</v>
      </c>
      <c r="AA528">
        <v>2016</v>
      </c>
      <c r="AB528" s="5">
        <v>8.1641249120300005E-2</v>
      </c>
      <c r="AC528" s="5">
        <v>0.163282498241</v>
      </c>
      <c r="AD528" t="s">
        <v>162</v>
      </c>
      <c r="AE528" t="s">
        <v>163</v>
      </c>
      <c r="AF528" t="s">
        <v>162</v>
      </c>
      <c r="AG528" t="s">
        <v>162</v>
      </c>
      <c r="AH528" t="s">
        <v>162</v>
      </c>
      <c r="AI528" t="s">
        <v>162</v>
      </c>
      <c r="AJ528" t="s">
        <v>162</v>
      </c>
      <c r="AK528" t="s">
        <v>162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s="60">
        <f t="shared" si="8"/>
        <v>1</v>
      </c>
      <c r="AU528" s="95" t="s">
        <v>360</v>
      </c>
      <c r="AV528" s="94" t="s">
        <v>165</v>
      </c>
      <c r="AW528" t="s">
        <v>166</v>
      </c>
      <c r="AX528">
        <v>2</v>
      </c>
      <c r="AY528" t="s">
        <v>167</v>
      </c>
      <c r="AZ528" t="s">
        <v>162</v>
      </c>
    </row>
    <row r="529" spans="1:52" x14ac:dyDescent="0.25">
      <c r="A529">
        <v>518</v>
      </c>
      <c r="B529" t="s">
        <v>284</v>
      </c>
      <c r="C529" t="s">
        <v>203</v>
      </c>
      <c r="D529" t="s">
        <v>285</v>
      </c>
      <c r="E529" t="s">
        <v>172</v>
      </c>
      <c r="F529" t="s">
        <v>162</v>
      </c>
      <c r="G529">
        <v>8301</v>
      </c>
      <c r="H529">
        <v>8300</v>
      </c>
      <c r="I529" t="s">
        <v>287</v>
      </c>
      <c r="J529">
        <v>7901</v>
      </c>
      <c r="K529">
        <v>7900</v>
      </c>
      <c r="L529" t="s">
        <v>1276</v>
      </c>
      <c r="M529">
        <v>3</v>
      </c>
      <c r="N529" t="s">
        <v>11</v>
      </c>
      <c r="O529" t="s">
        <v>11</v>
      </c>
      <c r="P529" t="s">
        <v>175</v>
      </c>
      <c r="Q529" t="s">
        <v>1277</v>
      </c>
      <c r="R529" t="s">
        <v>1278</v>
      </c>
      <c r="S529">
        <v>2013</v>
      </c>
      <c r="T529">
        <v>10</v>
      </c>
      <c r="U529" t="s">
        <v>123</v>
      </c>
      <c r="V529" t="s">
        <v>162</v>
      </c>
      <c r="W529">
        <v>0</v>
      </c>
      <c r="X529">
        <v>0</v>
      </c>
      <c r="Y529" t="s">
        <v>162</v>
      </c>
      <c r="Z529">
        <v>2013</v>
      </c>
      <c r="AA529">
        <v>2013</v>
      </c>
      <c r="AB529" s="5">
        <v>7.6406545374599996E-2</v>
      </c>
      <c r="AC529" s="5">
        <v>0.15281309074900001</v>
      </c>
      <c r="AD529" t="s">
        <v>162</v>
      </c>
      <c r="AE529" t="s">
        <v>163</v>
      </c>
      <c r="AF529" t="s">
        <v>162</v>
      </c>
      <c r="AG529" t="s">
        <v>162</v>
      </c>
      <c r="AH529" t="s">
        <v>162</v>
      </c>
      <c r="AI529" t="s">
        <v>162</v>
      </c>
      <c r="AJ529" t="s">
        <v>162</v>
      </c>
      <c r="AK529" t="s">
        <v>162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 s="60">
        <f t="shared" si="8"/>
        <v>1</v>
      </c>
      <c r="AU529" s="95">
        <v>43336</v>
      </c>
      <c r="AV529" s="94" t="s">
        <v>165</v>
      </c>
      <c r="AW529" t="s">
        <v>162</v>
      </c>
      <c r="AX529">
        <v>2</v>
      </c>
      <c r="AY529" t="s">
        <v>167</v>
      </c>
      <c r="AZ529" t="s">
        <v>162</v>
      </c>
    </row>
    <row r="530" spans="1:52" x14ac:dyDescent="0.25">
      <c r="A530">
        <v>519</v>
      </c>
      <c r="B530" t="s">
        <v>1048</v>
      </c>
      <c r="C530" t="s">
        <v>151</v>
      </c>
      <c r="D530" t="s">
        <v>671</v>
      </c>
      <c r="E530" t="s">
        <v>222</v>
      </c>
      <c r="F530" t="s">
        <v>203</v>
      </c>
      <c r="G530">
        <v>3358</v>
      </c>
      <c r="H530">
        <v>3359</v>
      </c>
      <c r="I530" t="s">
        <v>672</v>
      </c>
      <c r="J530">
        <v>3201</v>
      </c>
      <c r="K530">
        <v>3200</v>
      </c>
      <c r="L530" t="s">
        <v>190</v>
      </c>
      <c r="M530">
        <v>4</v>
      </c>
      <c r="N530" t="s">
        <v>9</v>
      </c>
      <c r="O530" t="s">
        <v>9</v>
      </c>
      <c r="P530" t="s">
        <v>157</v>
      </c>
      <c r="Q530" t="s">
        <v>1050</v>
      </c>
      <c r="R530" t="s">
        <v>320</v>
      </c>
      <c r="S530">
        <v>2014</v>
      </c>
      <c r="T530">
        <v>10</v>
      </c>
      <c r="U530" t="s">
        <v>604</v>
      </c>
      <c r="V530" t="s">
        <v>673</v>
      </c>
      <c r="W530">
        <v>2017</v>
      </c>
      <c r="X530">
        <v>6</v>
      </c>
      <c r="Y530" t="s">
        <v>123</v>
      </c>
      <c r="Z530">
        <v>2017</v>
      </c>
      <c r="AA530">
        <v>2017</v>
      </c>
      <c r="AB530" s="5">
        <v>0.25200937585599997</v>
      </c>
      <c r="AC530" s="5">
        <v>0.25200937585599997</v>
      </c>
      <c r="AD530" t="s">
        <v>162</v>
      </c>
      <c r="AE530" t="s">
        <v>166</v>
      </c>
      <c r="AF530" t="s">
        <v>203</v>
      </c>
      <c r="AG530" t="s">
        <v>163</v>
      </c>
      <c r="AH530" t="s">
        <v>162</v>
      </c>
      <c r="AI530" t="s">
        <v>162</v>
      </c>
      <c r="AJ530" t="s">
        <v>162</v>
      </c>
      <c r="AK530" t="s">
        <v>162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 s="60">
        <f t="shared" si="8"/>
        <v>1</v>
      </c>
      <c r="AU530" s="95">
        <v>43343</v>
      </c>
      <c r="AV530" s="94" t="s">
        <v>165</v>
      </c>
      <c r="AW530" t="s">
        <v>163</v>
      </c>
      <c r="AX530">
        <v>2</v>
      </c>
      <c r="AY530" t="s">
        <v>167</v>
      </c>
      <c r="AZ530" t="s">
        <v>162</v>
      </c>
    </row>
    <row r="531" spans="1:52" x14ac:dyDescent="0.25">
      <c r="A531">
        <v>520</v>
      </c>
      <c r="B531" t="s">
        <v>228</v>
      </c>
      <c r="C531" t="s">
        <v>163</v>
      </c>
      <c r="D531" t="s">
        <v>229</v>
      </c>
      <c r="E531" t="s">
        <v>216</v>
      </c>
      <c r="F531" t="s">
        <v>162</v>
      </c>
      <c r="G531">
        <v>2700</v>
      </c>
      <c r="H531">
        <v>2701</v>
      </c>
      <c r="I531" t="s">
        <v>1125</v>
      </c>
      <c r="J531">
        <v>2778</v>
      </c>
      <c r="K531">
        <v>2779</v>
      </c>
      <c r="L531" t="s">
        <v>378</v>
      </c>
      <c r="M531">
        <v>3</v>
      </c>
      <c r="N531" t="s">
        <v>9</v>
      </c>
      <c r="O531" t="s">
        <v>9</v>
      </c>
      <c r="P531" t="s">
        <v>157</v>
      </c>
      <c r="Q531" t="s">
        <v>533</v>
      </c>
      <c r="R531" t="s">
        <v>283</v>
      </c>
      <c r="S531">
        <v>2015</v>
      </c>
      <c r="T531">
        <v>5</v>
      </c>
      <c r="U531" t="s">
        <v>162</v>
      </c>
      <c r="V531" t="s">
        <v>162</v>
      </c>
      <c r="W531">
        <v>0</v>
      </c>
      <c r="X531">
        <v>0</v>
      </c>
      <c r="Y531" t="s">
        <v>162</v>
      </c>
      <c r="Z531">
        <v>2015</v>
      </c>
      <c r="AA531">
        <v>1999</v>
      </c>
      <c r="AB531" s="5">
        <v>0.17404326746500001</v>
      </c>
      <c r="AC531" s="5">
        <v>0.34808653493000002</v>
      </c>
      <c r="AD531" t="s">
        <v>162</v>
      </c>
      <c r="AE531" t="s">
        <v>163</v>
      </c>
      <c r="AF531" t="s">
        <v>162</v>
      </c>
      <c r="AG531" t="s">
        <v>162</v>
      </c>
      <c r="AH531" t="s">
        <v>162</v>
      </c>
      <c r="AI531" t="s">
        <v>162</v>
      </c>
      <c r="AJ531" t="s">
        <v>162</v>
      </c>
      <c r="AK531" t="s">
        <v>162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 s="60">
        <f t="shared" si="8"/>
        <v>1</v>
      </c>
      <c r="AU531" s="95">
        <v>43333</v>
      </c>
      <c r="AV531" t="s">
        <v>165</v>
      </c>
      <c r="AW531" t="s">
        <v>163</v>
      </c>
      <c r="AX531">
        <v>2</v>
      </c>
      <c r="AY531" t="s">
        <v>167</v>
      </c>
      <c r="AZ531" t="s">
        <v>162</v>
      </c>
    </row>
    <row r="532" spans="1:52" x14ac:dyDescent="0.25">
      <c r="A532">
        <v>521</v>
      </c>
      <c r="B532" t="s">
        <v>514</v>
      </c>
      <c r="C532" t="s">
        <v>163</v>
      </c>
      <c r="D532" t="s">
        <v>515</v>
      </c>
      <c r="E532" t="s">
        <v>216</v>
      </c>
      <c r="F532" t="s">
        <v>162</v>
      </c>
      <c r="G532">
        <v>4400</v>
      </c>
      <c r="H532">
        <v>4407</v>
      </c>
      <c r="I532" t="s">
        <v>445</v>
      </c>
      <c r="J532">
        <v>4672</v>
      </c>
      <c r="K532">
        <v>4707</v>
      </c>
      <c r="L532" t="s">
        <v>1279</v>
      </c>
      <c r="M532">
        <v>3</v>
      </c>
      <c r="N532" t="s">
        <v>11</v>
      </c>
      <c r="O532" t="s">
        <v>11</v>
      </c>
      <c r="P532" t="s">
        <v>157</v>
      </c>
      <c r="Q532" t="s">
        <v>162</v>
      </c>
      <c r="R532" t="s">
        <v>516</v>
      </c>
      <c r="S532">
        <v>2018</v>
      </c>
      <c r="T532">
        <v>10</v>
      </c>
      <c r="U532" t="s">
        <v>517</v>
      </c>
      <c r="V532" t="s">
        <v>516</v>
      </c>
      <c r="W532">
        <v>2018</v>
      </c>
      <c r="X532">
        <v>10</v>
      </c>
      <c r="Y532" t="s">
        <v>123</v>
      </c>
      <c r="Z532">
        <v>2017</v>
      </c>
      <c r="AA532">
        <v>2017</v>
      </c>
      <c r="AB532" s="5">
        <v>0.41981763508499997</v>
      </c>
      <c r="AC532" s="5">
        <v>0.83963527016999995</v>
      </c>
      <c r="AD532" t="s">
        <v>162</v>
      </c>
      <c r="AE532" t="s">
        <v>163</v>
      </c>
      <c r="AF532" t="s">
        <v>162</v>
      </c>
      <c r="AG532" t="s">
        <v>162</v>
      </c>
      <c r="AH532" t="s">
        <v>162</v>
      </c>
      <c r="AI532" t="s">
        <v>162</v>
      </c>
      <c r="AJ532" t="s">
        <v>162</v>
      </c>
      <c r="AK532" t="s">
        <v>162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s="60">
        <f t="shared" si="8"/>
        <v>1</v>
      </c>
      <c r="AU532" s="95">
        <v>43370</v>
      </c>
      <c r="AV532" t="s">
        <v>165</v>
      </c>
      <c r="AW532" t="s">
        <v>162</v>
      </c>
      <c r="AX532">
        <v>2</v>
      </c>
      <c r="AY532" t="s">
        <v>167</v>
      </c>
      <c r="AZ532" t="s">
        <v>162</v>
      </c>
    </row>
    <row r="533" spans="1:52" x14ac:dyDescent="0.25">
      <c r="A533">
        <v>522</v>
      </c>
      <c r="B533" t="s">
        <v>284</v>
      </c>
      <c r="C533" t="s">
        <v>151</v>
      </c>
      <c r="D533" t="s">
        <v>285</v>
      </c>
      <c r="E533" t="s">
        <v>172</v>
      </c>
      <c r="F533" t="s">
        <v>162</v>
      </c>
      <c r="G533">
        <v>155</v>
      </c>
      <c r="H533">
        <v>154</v>
      </c>
      <c r="I533" t="s">
        <v>694</v>
      </c>
      <c r="J533">
        <v>33</v>
      </c>
      <c r="K533">
        <v>32</v>
      </c>
      <c r="L533" t="s">
        <v>1280</v>
      </c>
      <c r="M533">
        <v>3</v>
      </c>
      <c r="N533" t="s">
        <v>9</v>
      </c>
      <c r="O533" t="s">
        <v>9</v>
      </c>
      <c r="P533" t="s">
        <v>157</v>
      </c>
      <c r="Q533" t="s">
        <v>162</v>
      </c>
      <c r="R533" t="s">
        <v>422</v>
      </c>
      <c r="S533">
        <v>2015</v>
      </c>
      <c r="T533">
        <v>11</v>
      </c>
      <c r="U533" t="s">
        <v>162</v>
      </c>
      <c r="V533" t="s">
        <v>502</v>
      </c>
      <c r="W533">
        <v>2017</v>
      </c>
      <c r="X533">
        <v>5</v>
      </c>
      <c r="Y533" t="s">
        <v>123</v>
      </c>
      <c r="Z533">
        <v>2017</v>
      </c>
      <c r="AA533">
        <v>2017</v>
      </c>
      <c r="AB533" s="5">
        <v>0.18005972726300001</v>
      </c>
      <c r="AC533" s="5">
        <v>0.36011945452600003</v>
      </c>
      <c r="AD533" t="s">
        <v>162</v>
      </c>
      <c r="AE533" t="s">
        <v>163</v>
      </c>
      <c r="AF533" t="s">
        <v>162</v>
      </c>
      <c r="AG533" t="s">
        <v>162</v>
      </c>
      <c r="AH533" t="s">
        <v>162</v>
      </c>
      <c r="AI533" t="s">
        <v>162</v>
      </c>
      <c r="AJ533" t="s">
        <v>162</v>
      </c>
      <c r="AK533" t="s">
        <v>162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0</v>
      </c>
      <c r="AT533" s="60">
        <f t="shared" si="8"/>
        <v>1</v>
      </c>
      <c r="AU533" s="95">
        <v>43336</v>
      </c>
      <c r="AV533" s="94" t="s">
        <v>165</v>
      </c>
      <c r="AW533" t="s">
        <v>163</v>
      </c>
      <c r="AX533">
        <v>2</v>
      </c>
      <c r="AY533" t="s">
        <v>167</v>
      </c>
      <c r="AZ533" t="s">
        <v>162</v>
      </c>
    </row>
    <row r="534" spans="1:52" x14ac:dyDescent="0.25">
      <c r="A534">
        <v>523</v>
      </c>
      <c r="B534" t="s">
        <v>1212</v>
      </c>
      <c r="C534" t="s">
        <v>203</v>
      </c>
      <c r="D534" t="s">
        <v>1213</v>
      </c>
      <c r="E534" t="s">
        <v>172</v>
      </c>
      <c r="F534" t="s">
        <v>162</v>
      </c>
      <c r="G534">
        <v>630</v>
      </c>
      <c r="H534">
        <v>633</v>
      </c>
      <c r="I534" t="s">
        <v>1214</v>
      </c>
      <c r="J534">
        <v>7159</v>
      </c>
      <c r="K534">
        <v>7158</v>
      </c>
      <c r="L534" t="s">
        <v>268</v>
      </c>
      <c r="M534">
        <v>2</v>
      </c>
      <c r="N534" t="s">
        <v>11</v>
      </c>
      <c r="O534" t="s">
        <v>11</v>
      </c>
      <c r="P534" t="s">
        <v>169</v>
      </c>
      <c r="Q534" t="s">
        <v>162</v>
      </c>
      <c r="R534" t="s">
        <v>508</v>
      </c>
      <c r="S534">
        <v>2003</v>
      </c>
      <c r="T534">
        <v>9</v>
      </c>
      <c r="U534" t="s">
        <v>162</v>
      </c>
      <c r="V534" t="s">
        <v>404</v>
      </c>
      <c r="W534">
        <v>2017</v>
      </c>
      <c r="X534">
        <v>6</v>
      </c>
      <c r="Y534" t="s">
        <v>162</v>
      </c>
      <c r="Z534">
        <v>2017</v>
      </c>
      <c r="AA534">
        <v>2001</v>
      </c>
      <c r="AB534" s="5">
        <v>3.1773033029899998E-2</v>
      </c>
      <c r="AC534" s="5">
        <v>6.3546066059799997E-2</v>
      </c>
      <c r="AD534" t="s">
        <v>162</v>
      </c>
      <c r="AE534" t="s">
        <v>163</v>
      </c>
      <c r="AF534" t="s">
        <v>162</v>
      </c>
      <c r="AG534" t="s">
        <v>162</v>
      </c>
      <c r="AH534" t="s">
        <v>162</v>
      </c>
      <c r="AI534" t="s">
        <v>162</v>
      </c>
      <c r="AJ534" t="s">
        <v>162</v>
      </c>
      <c r="AK534" t="s">
        <v>162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0</v>
      </c>
      <c r="AT534" s="60">
        <f t="shared" si="8"/>
        <v>1</v>
      </c>
      <c r="AU534" s="95">
        <v>43348</v>
      </c>
      <c r="AV534" s="94" t="s">
        <v>165</v>
      </c>
      <c r="AW534" t="s">
        <v>162</v>
      </c>
      <c r="AX534">
        <v>2</v>
      </c>
      <c r="AY534" t="s">
        <v>167</v>
      </c>
      <c r="AZ534" t="s">
        <v>162</v>
      </c>
    </row>
    <row r="535" spans="1:52" x14ac:dyDescent="0.25">
      <c r="A535">
        <v>524</v>
      </c>
      <c r="B535" t="s">
        <v>681</v>
      </c>
      <c r="C535" t="s">
        <v>151</v>
      </c>
      <c r="D535" t="s">
        <v>682</v>
      </c>
      <c r="E535" t="s">
        <v>216</v>
      </c>
      <c r="F535" t="s">
        <v>162</v>
      </c>
      <c r="G535">
        <v>1255</v>
      </c>
      <c r="H535">
        <v>1262</v>
      </c>
      <c r="I535" t="s">
        <v>687</v>
      </c>
      <c r="J535">
        <v>1101</v>
      </c>
      <c r="K535">
        <v>1100</v>
      </c>
      <c r="L535" t="s">
        <v>683</v>
      </c>
      <c r="M535">
        <v>4</v>
      </c>
      <c r="N535" t="s">
        <v>15</v>
      </c>
      <c r="O535" t="s">
        <v>15</v>
      </c>
      <c r="P535" t="s">
        <v>175</v>
      </c>
      <c r="Q535" t="s">
        <v>1281</v>
      </c>
      <c r="R535" t="s">
        <v>479</v>
      </c>
      <c r="S535">
        <v>2005</v>
      </c>
      <c r="T535">
        <v>9</v>
      </c>
      <c r="U535" t="s">
        <v>123</v>
      </c>
      <c r="V535" t="s">
        <v>685</v>
      </c>
      <c r="W535">
        <v>2018</v>
      </c>
      <c r="X535">
        <v>12</v>
      </c>
      <c r="Y535" t="s">
        <v>162</v>
      </c>
      <c r="Z535">
        <v>2018</v>
      </c>
      <c r="AA535">
        <v>2018</v>
      </c>
      <c r="AB535" s="5">
        <v>0.25535793190099998</v>
      </c>
      <c r="AC535" s="5">
        <v>0.51071586380199996</v>
      </c>
      <c r="AD535" t="s">
        <v>162</v>
      </c>
      <c r="AE535" t="s">
        <v>163</v>
      </c>
      <c r="AF535" t="s">
        <v>162</v>
      </c>
      <c r="AG535" t="s">
        <v>162</v>
      </c>
      <c r="AH535" t="s">
        <v>162</v>
      </c>
      <c r="AI535" t="s">
        <v>162</v>
      </c>
      <c r="AJ535" t="s">
        <v>162</v>
      </c>
      <c r="AK535" t="s">
        <v>162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60">
        <f t="shared" si="8"/>
        <v>1</v>
      </c>
      <c r="AU535" s="95">
        <v>43343</v>
      </c>
      <c r="AV535" t="s">
        <v>165</v>
      </c>
      <c r="AW535" t="s">
        <v>162</v>
      </c>
      <c r="AX535">
        <v>2</v>
      </c>
      <c r="AY535" t="s">
        <v>167</v>
      </c>
      <c r="AZ535" t="s">
        <v>162</v>
      </c>
    </row>
    <row r="536" spans="1:52" x14ac:dyDescent="0.25">
      <c r="A536">
        <v>525</v>
      </c>
      <c r="B536" t="s">
        <v>681</v>
      </c>
      <c r="C536" t="s">
        <v>151</v>
      </c>
      <c r="D536" t="s">
        <v>682</v>
      </c>
      <c r="E536" t="s">
        <v>216</v>
      </c>
      <c r="F536" t="s">
        <v>162</v>
      </c>
      <c r="G536">
        <v>759</v>
      </c>
      <c r="H536">
        <v>758</v>
      </c>
      <c r="I536" t="s">
        <v>684</v>
      </c>
      <c r="J536">
        <v>729</v>
      </c>
      <c r="K536">
        <v>730</v>
      </c>
      <c r="L536" t="s">
        <v>471</v>
      </c>
      <c r="M536">
        <v>4</v>
      </c>
      <c r="N536" t="s">
        <v>15</v>
      </c>
      <c r="O536" t="s">
        <v>15</v>
      </c>
      <c r="P536" t="s">
        <v>175</v>
      </c>
      <c r="Q536" t="s">
        <v>1281</v>
      </c>
      <c r="R536" t="s">
        <v>479</v>
      </c>
      <c r="S536">
        <v>2005</v>
      </c>
      <c r="T536">
        <v>9</v>
      </c>
      <c r="U536" t="s">
        <v>123</v>
      </c>
      <c r="V536" t="s">
        <v>162</v>
      </c>
      <c r="W536">
        <v>0</v>
      </c>
      <c r="X536">
        <v>0</v>
      </c>
      <c r="Y536" t="s">
        <v>162</v>
      </c>
      <c r="Z536">
        <v>2005</v>
      </c>
      <c r="AA536">
        <v>2005</v>
      </c>
      <c r="AB536" s="5">
        <v>7.2414508299499997E-2</v>
      </c>
      <c r="AC536" s="5">
        <v>0.14482901659899999</v>
      </c>
      <c r="AD536" t="s">
        <v>162</v>
      </c>
      <c r="AE536" t="s">
        <v>163</v>
      </c>
      <c r="AF536" t="s">
        <v>162</v>
      </c>
      <c r="AG536" t="s">
        <v>162</v>
      </c>
      <c r="AH536" t="s">
        <v>162</v>
      </c>
      <c r="AI536" t="s">
        <v>162</v>
      </c>
      <c r="AJ536" t="s">
        <v>162</v>
      </c>
      <c r="AK536" t="s">
        <v>162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60">
        <f t="shared" si="8"/>
        <v>1</v>
      </c>
      <c r="AU536" s="95">
        <v>43343</v>
      </c>
      <c r="AV536" s="94" t="s">
        <v>165</v>
      </c>
      <c r="AW536" t="s">
        <v>162</v>
      </c>
      <c r="AX536">
        <v>2</v>
      </c>
      <c r="AY536" t="s">
        <v>167</v>
      </c>
      <c r="AZ536" t="s">
        <v>162</v>
      </c>
    </row>
    <row r="537" spans="1:52" x14ac:dyDescent="0.25">
      <c r="A537">
        <v>526</v>
      </c>
      <c r="B537" t="s">
        <v>1080</v>
      </c>
      <c r="C537" t="s">
        <v>151</v>
      </c>
      <c r="D537" t="s">
        <v>257</v>
      </c>
      <c r="E537" t="s">
        <v>172</v>
      </c>
      <c r="F537" t="s">
        <v>203</v>
      </c>
      <c r="G537">
        <v>361</v>
      </c>
      <c r="H537">
        <v>360</v>
      </c>
      <c r="I537" t="s">
        <v>1081</v>
      </c>
      <c r="J537">
        <v>521</v>
      </c>
      <c r="K537">
        <v>520</v>
      </c>
      <c r="L537" t="s">
        <v>1282</v>
      </c>
      <c r="M537">
        <v>4</v>
      </c>
      <c r="N537" t="s">
        <v>11</v>
      </c>
      <c r="O537" t="s">
        <v>11</v>
      </c>
      <c r="P537" t="s">
        <v>175</v>
      </c>
      <c r="Q537" t="s">
        <v>162</v>
      </c>
      <c r="R537" t="s">
        <v>261</v>
      </c>
      <c r="S537">
        <v>2015</v>
      </c>
      <c r="T537">
        <v>12</v>
      </c>
      <c r="U537" t="s">
        <v>162</v>
      </c>
      <c r="V537" t="s">
        <v>243</v>
      </c>
      <c r="W537">
        <v>2020</v>
      </c>
      <c r="X537">
        <v>8</v>
      </c>
      <c r="Y537" t="s">
        <v>162</v>
      </c>
      <c r="Z537">
        <v>2020</v>
      </c>
      <c r="AA537">
        <v>2015</v>
      </c>
      <c r="AB537" s="5">
        <v>0.139058780228</v>
      </c>
      <c r="AC537" s="5">
        <v>0.139058780228</v>
      </c>
      <c r="AD537" t="s">
        <v>261</v>
      </c>
      <c r="AE537" t="s">
        <v>166</v>
      </c>
      <c r="AF537" t="s">
        <v>203</v>
      </c>
      <c r="AG537" t="s">
        <v>163</v>
      </c>
      <c r="AH537" t="s">
        <v>162</v>
      </c>
      <c r="AI537" t="s">
        <v>162</v>
      </c>
      <c r="AJ537" t="s">
        <v>162</v>
      </c>
      <c r="AK537" t="s">
        <v>166</v>
      </c>
      <c r="AL537">
        <v>2017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 s="60">
        <f t="shared" si="8"/>
        <v>1</v>
      </c>
      <c r="AU537" s="95" t="s">
        <v>350</v>
      </c>
      <c r="AV537" t="s">
        <v>165</v>
      </c>
      <c r="AW537" t="s">
        <v>162</v>
      </c>
      <c r="AX537">
        <v>2</v>
      </c>
      <c r="AY537" t="s">
        <v>167</v>
      </c>
      <c r="AZ537" t="s">
        <v>162</v>
      </c>
    </row>
    <row r="538" spans="1:52" x14ac:dyDescent="0.25">
      <c r="A538">
        <v>527</v>
      </c>
      <c r="B538" t="s">
        <v>674</v>
      </c>
      <c r="C538" t="s">
        <v>151</v>
      </c>
      <c r="D538" t="s">
        <v>675</v>
      </c>
      <c r="E538" t="s">
        <v>172</v>
      </c>
      <c r="F538" t="s">
        <v>162</v>
      </c>
      <c r="G538">
        <v>1161</v>
      </c>
      <c r="H538">
        <v>1160</v>
      </c>
      <c r="I538" t="s">
        <v>747</v>
      </c>
      <c r="J538">
        <v>1101</v>
      </c>
      <c r="K538">
        <v>1100</v>
      </c>
      <c r="L538" t="s">
        <v>827</v>
      </c>
      <c r="M538">
        <v>4</v>
      </c>
      <c r="N538" t="s">
        <v>11</v>
      </c>
      <c r="O538" t="s">
        <v>11</v>
      </c>
      <c r="P538" t="s">
        <v>175</v>
      </c>
      <c r="Q538" t="s">
        <v>1283</v>
      </c>
      <c r="R538" t="s">
        <v>508</v>
      </c>
      <c r="S538">
        <v>2004</v>
      </c>
      <c r="T538">
        <v>10</v>
      </c>
      <c r="U538" t="s">
        <v>162</v>
      </c>
      <c r="V538" t="s">
        <v>243</v>
      </c>
      <c r="W538">
        <v>2020</v>
      </c>
      <c r="X538">
        <v>0</v>
      </c>
      <c r="Y538" t="s">
        <v>162</v>
      </c>
      <c r="Z538">
        <v>2020</v>
      </c>
      <c r="AA538">
        <v>0</v>
      </c>
      <c r="AB538" s="5">
        <v>0.130716548303</v>
      </c>
      <c r="AC538" s="5">
        <v>0.261433096606</v>
      </c>
      <c r="AD538" t="s">
        <v>162</v>
      </c>
      <c r="AE538" t="s">
        <v>163</v>
      </c>
      <c r="AF538" t="s">
        <v>162</v>
      </c>
      <c r="AG538" t="s">
        <v>162</v>
      </c>
      <c r="AH538" t="s">
        <v>162</v>
      </c>
      <c r="AI538" t="s">
        <v>162</v>
      </c>
      <c r="AJ538" t="s">
        <v>162</v>
      </c>
      <c r="AK538" t="s">
        <v>162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 s="60">
        <f t="shared" si="8"/>
        <v>1</v>
      </c>
      <c r="AU538" s="95" t="s">
        <v>350</v>
      </c>
      <c r="AV538" s="94" t="s">
        <v>165</v>
      </c>
      <c r="AW538" t="s">
        <v>162</v>
      </c>
      <c r="AX538">
        <v>2</v>
      </c>
      <c r="AY538" t="s">
        <v>167</v>
      </c>
      <c r="AZ538" t="s">
        <v>162</v>
      </c>
    </row>
    <row r="539" spans="1:52" x14ac:dyDescent="0.25">
      <c r="A539">
        <v>528</v>
      </c>
      <c r="B539" t="s">
        <v>762</v>
      </c>
      <c r="C539" t="s">
        <v>151</v>
      </c>
      <c r="D539" t="s">
        <v>763</v>
      </c>
      <c r="E539" t="s">
        <v>172</v>
      </c>
      <c r="F539" t="s">
        <v>162</v>
      </c>
      <c r="G539">
        <v>741</v>
      </c>
      <c r="H539">
        <v>740</v>
      </c>
      <c r="I539" t="s">
        <v>258</v>
      </c>
      <c r="J539">
        <v>640</v>
      </c>
      <c r="K539">
        <v>641</v>
      </c>
      <c r="L539" t="s">
        <v>498</v>
      </c>
      <c r="M539">
        <v>4</v>
      </c>
      <c r="N539" t="s">
        <v>9</v>
      </c>
      <c r="O539" t="s">
        <v>9</v>
      </c>
      <c r="P539" t="s">
        <v>175</v>
      </c>
      <c r="Q539" t="s">
        <v>1284</v>
      </c>
      <c r="R539" t="s">
        <v>404</v>
      </c>
      <c r="S539">
        <v>2017</v>
      </c>
      <c r="T539">
        <v>9</v>
      </c>
      <c r="U539" t="s">
        <v>1285</v>
      </c>
      <c r="V539" t="s">
        <v>162</v>
      </c>
      <c r="W539">
        <v>0</v>
      </c>
      <c r="X539">
        <v>0</v>
      </c>
      <c r="Y539" t="s">
        <v>162</v>
      </c>
      <c r="Z539">
        <v>2017</v>
      </c>
      <c r="AA539">
        <v>0</v>
      </c>
      <c r="AB539" s="5">
        <v>0.16656049763200001</v>
      </c>
      <c r="AC539" s="5">
        <v>0.33312099526400002</v>
      </c>
      <c r="AD539" t="s">
        <v>162</v>
      </c>
      <c r="AE539" t="s">
        <v>163</v>
      </c>
      <c r="AF539" t="s">
        <v>162</v>
      </c>
      <c r="AG539" t="s">
        <v>162</v>
      </c>
      <c r="AH539" t="s">
        <v>162</v>
      </c>
      <c r="AI539" t="s">
        <v>162</v>
      </c>
      <c r="AJ539" t="s">
        <v>162</v>
      </c>
      <c r="AK539" t="s">
        <v>166</v>
      </c>
      <c r="AL539">
        <v>2017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 s="60">
        <f t="shared" si="8"/>
        <v>1</v>
      </c>
      <c r="AU539" s="95">
        <v>43347</v>
      </c>
      <c r="AV539" s="94" t="s">
        <v>165</v>
      </c>
      <c r="AW539" t="s">
        <v>163</v>
      </c>
      <c r="AX539">
        <v>2</v>
      </c>
      <c r="AY539" t="s">
        <v>167</v>
      </c>
      <c r="AZ539" t="s">
        <v>162</v>
      </c>
    </row>
    <row r="540" spans="1:52" x14ac:dyDescent="0.25">
      <c r="A540">
        <v>529</v>
      </c>
      <c r="B540" t="s">
        <v>1286</v>
      </c>
      <c r="C540" t="s">
        <v>151</v>
      </c>
      <c r="D540" t="s">
        <v>1287</v>
      </c>
      <c r="E540" t="s">
        <v>172</v>
      </c>
      <c r="F540" t="s">
        <v>162</v>
      </c>
      <c r="G540">
        <v>5200</v>
      </c>
      <c r="H540">
        <v>5201</v>
      </c>
      <c r="I540" t="s">
        <v>1288</v>
      </c>
      <c r="J540">
        <v>4000</v>
      </c>
      <c r="K540">
        <v>4001</v>
      </c>
      <c r="L540" t="s">
        <v>1002</v>
      </c>
      <c r="M540">
        <v>2</v>
      </c>
      <c r="N540" t="s">
        <v>9</v>
      </c>
      <c r="O540" t="s">
        <v>9</v>
      </c>
      <c r="P540" t="s">
        <v>175</v>
      </c>
      <c r="Q540" t="s">
        <v>1289</v>
      </c>
      <c r="R540" t="s">
        <v>314</v>
      </c>
      <c r="S540">
        <v>2013</v>
      </c>
      <c r="T540">
        <v>7</v>
      </c>
      <c r="U540" t="s">
        <v>123</v>
      </c>
      <c r="V540" t="s">
        <v>509</v>
      </c>
      <c r="W540">
        <v>2021</v>
      </c>
      <c r="X540">
        <v>0</v>
      </c>
      <c r="Y540" t="s">
        <v>162</v>
      </c>
      <c r="Z540">
        <v>2021</v>
      </c>
      <c r="AA540">
        <v>2013</v>
      </c>
      <c r="AB540" s="5">
        <v>1.5164035391299999</v>
      </c>
      <c r="AC540" s="5">
        <v>3.0328070782599998</v>
      </c>
      <c r="AD540" t="s">
        <v>154</v>
      </c>
      <c r="AE540" t="s">
        <v>163</v>
      </c>
      <c r="AF540" t="s">
        <v>154</v>
      </c>
      <c r="AG540" t="s">
        <v>154</v>
      </c>
      <c r="AH540" t="s">
        <v>154</v>
      </c>
      <c r="AI540" t="s">
        <v>154</v>
      </c>
      <c r="AJ540" t="s">
        <v>154</v>
      </c>
      <c r="AK540" t="s">
        <v>154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s="60">
        <f t="shared" si="8"/>
        <v>1</v>
      </c>
      <c r="AU540" s="95" t="s">
        <v>530</v>
      </c>
      <c r="AV540" t="s">
        <v>165</v>
      </c>
      <c r="AW540" t="s">
        <v>163</v>
      </c>
      <c r="AX540">
        <v>2</v>
      </c>
      <c r="AY540" t="s">
        <v>167</v>
      </c>
      <c r="AZ540" t="s">
        <v>162</v>
      </c>
    </row>
    <row r="541" spans="1:52" x14ac:dyDescent="0.25">
      <c r="A541">
        <v>530</v>
      </c>
      <c r="B541" t="s">
        <v>568</v>
      </c>
      <c r="C541" t="s">
        <v>180</v>
      </c>
      <c r="D541" t="s">
        <v>569</v>
      </c>
      <c r="E541" t="s">
        <v>216</v>
      </c>
      <c r="F541" t="s">
        <v>162</v>
      </c>
      <c r="G541">
        <v>2200</v>
      </c>
      <c r="H541">
        <v>2201</v>
      </c>
      <c r="I541" t="s">
        <v>248</v>
      </c>
      <c r="J541">
        <v>1900</v>
      </c>
      <c r="K541">
        <v>1901</v>
      </c>
      <c r="L541" t="s">
        <v>639</v>
      </c>
      <c r="M541">
        <v>3</v>
      </c>
      <c r="N541" t="s">
        <v>9</v>
      </c>
      <c r="O541" t="s">
        <v>9</v>
      </c>
      <c r="P541" t="s">
        <v>157</v>
      </c>
      <c r="Q541" t="s">
        <v>1290</v>
      </c>
      <c r="R541" t="s">
        <v>314</v>
      </c>
      <c r="S541">
        <v>2013</v>
      </c>
      <c r="T541">
        <v>9</v>
      </c>
      <c r="U541" t="s">
        <v>123</v>
      </c>
      <c r="V541" t="s">
        <v>455</v>
      </c>
      <c r="W541">
        <v>2020</v>
      </c>
      <c r="X541">
        <v>2020</v>
      </c>
      <c r="Y541" t="s">
        <v>123</v>
      </c>
      <c r="Z541">
        <v>2020</v>
      </c>
      <c r="AA541">
        <v>2020</v>
      </c>
      <c r="AB541" s="5">
        <v>0.46932838943600003</v>
      </c>
      <c r="AC541" s="5">
        <v>0.93865677887200005</v>
      </c>
      <c r="AD541" t="s">
        <v>162</v>
      </c>
      <c r="AE541" t="s">
        <v>163</v>
      </c>
      <c r="AF541" t="s">
        <v>162</v>
      </c>
      <c r="AG541" t="s">
        <v>162</v>
      </c>
      <c r="AH541" t="s">
        <v>162</v>
      </c>
      <c r="AI541" t="s">
        <v>162</v>
      </c>
      <c r="AJ541" t="s">
        <v>162</v>
      </c>
      <c r="AK541" t="s">
        <v>162</v>
      </c>
      <c r="AL541">
        <v>0</v>
      </c>
      <c r="AM541">
        <v>0</v>
      </c>
      <c r="AN541">
        <v>0</v>
      </c>
      <c r="AO541">
        <v>0.6</v>
      </c>
      <c r="AP541">
        <v>0</v>
      </c>
      <c r="AQ541">
        <v>0</v>
      </c>
      <c r="AR541">
        <v>0</v>
      </c>
      <c r="AS541">
        <v>0.4</v>
      </c>
      <c r="AT541" s="60">
        <f t="shared" si="8"/>
        <v>1</v>
      </c>
      <c r="AU541" s="95" t="s">
        <v>187</v>
      </c>
      <c r="AV541" t="s">
        <v>165</v>
      </c>
      <c r="AW541" t="s">
        <v>163</v>
      </c>
      <c r="AX541">
        <v>2</v>
      </c>
      <c r="AY541" t="s">
        <v>167</v>
      </c>
      <c r="AZ541" t="s">
        <v>162</v>
      </c>
    </row>
    <row r="542" spans="1:52" x14ac:dyDescent="0.25">
      <c r="A542">
        <v>531</v>
      </c>
      <c r="B542" t="s">
        <v>400</v>
      </c>
      <c r="C542" t="s">
        <v>163</v>
      </c>
      <c r="D542" t="s">
        <v>401</v>
      </c>
      <c r="E542" t="s">
        <v>216</v>
      </c>
      <c r="F542" t="s">
        <v>162</v>
      </c>
      <c r="G542">
        <v>2800</v>
      </c>
      <c r="H542">
        <v>2801</v>
      </c>
      <c r="I542" t="s">
        <v>239</v>
      </c>
      <c r="J542">
        <v>3176</v>
      </c>
      <c r="K542">
        <v>3179</v>
      </c>
      <c r="L542" t="s">
        <v>565</v>
      </c>
      <c r="M542">
        <v>3</v>
      </c>
      <c r="N542" t="s">
        <v>9</v>
      </c>
      <c r="O542" t="s">
        <v>9</v>
      </c>
      <c r="P542" t="s">
        <v>175</v>
      </c>
      <c r="Q542" t="s">
        <v>1291</v>
      </c>
      <c r="R542" t="s">
        <v>314</v>
      </c>
      <c r="S542">
        <v>2013</v>
      </c>
      <c r="T542">
        <v>8</v>
      </c>
      <c r="U542" t="s">
        <v>123</v>
      </c>
      <c r="V542" t="s">
        <v>162</v>
      </c>
      <c r="W542">
        <v>0</v>
      </c>
      <c r="X542">
        <v>0</v>
      </c>
      <c r="Y542" t="s">
        <v>162</v>
      </c>
      <c r="Z542">
        <v>2013</v>
      </c>
      <c r="AA542">
        <v>2013</v>
      </c>
      <c r="AB542" s="5">
        <v>0.70684903058199999</v>
      </c>
      <c r="AC542" s="5">
        <v>1.4136980611600001</v>
      </c>
      <c r="AD542" t="s">
        <v>162</v>
      </c>
      <c r="AE542" t="s">
        <v>163</v>
      </c>
      <c r="AF542" t="s">
        <v>162</v>
      </c>
      <c r="AG542" t="s">
        <v>162</v>
      </c>
      <c r="AH542" t="s">
        <v>162</v>
      </c>
      <c r="AI542" t="s">
        <v>162</v>
      </c>
      <c r="AJ542" t="s">
        <v>162</v>
      </c>
      <c r="AK542" t="s">
        <v>162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60">
        <f t="shared" si="8"/>
        <v>1</v>
      </c>
      <c r="AU542" s="95">
        <v>43339</v>
      </c>
      <c r="AV542" s="94" t="s">
        <v>165</v>
      </c>
      <c r="AW542" t="s">
        <v>163</v>
      </c>
      <c r="AX542">
        <v>2</v>
      </c>
      <c r="AY542" t="s">
        <v>167</v>
      </c>
      <c r="AZ542" t="s">
        <v>162</v>
      </c>
    </row>
    <row r="543" spans="1:52" x14ac:dyDescent="0.25">
      <c r="A543">
        <v>532</v>
      </c>
      <c r="B543" t="s">
        <v>894</v>
      </c>
      <c r="C543" t="s">
        <v>180</v>
      </c>
      <c r="D543" t="s">
        <v>895</v>
      </c>
      <c r="E543" t="s">
        <v>896</v>
      </c>
      <c r="F543" t="s">
        <v>162</v>
      </c>
      <c r="G543">
        <v>9963</v>
      </c>
      <c r="H543">
        <v>9962</v>
      </c>
      <c r="I543" t="s">
        <v>1292</v>
      </c>
      <c r="J543">
        <v>9901</v>
      </c>
      <c r="K543">
        <v>9900</v>
      </c>
      <c r="L543" t="s">
        <v>897</v>
      </c>
      <c r="M543">
        <v>4</v>
      </c>
      <c r="N543" t="s">
        <v>15</v>
      </c>
      <c r="O543" t="s">
        <v>15</v>
      </c>
      <c r="P543" t="s">
        <v>175</v>
      </c>
      <c r="Q543" t="s">
        <v>898</v>
      </c>
      <c r="R543" t="s">
        <v>177</v>
      </c>
      <c r="S543">
        <v>2011</v>
      </c>
      <c r="T543">
        <v>5</v>
      </c>
      <c r="U543" t="s">
        <v>162</v>
      </c>
      <c r="V543" t="s">
        <v>161</v>
      </c>
      <c r="W543">
        <v>2020</v>
      </c>
      <c r="X543">
        <v>0</v>
      </c>
      <c r="Y543" t="s">
        <v>162</v>
      </c>
      <c r="Z543">
        <v>2020</v>
      </c>
      <c r="AA543">
        <v>0</v>
      </c>
      <c r="AB543" s="5">
        <v>0.13203763418</v>
      </c>
      <c r="AC543" s="5">
        <v>0.26407526836</v>
      </c>
      <c r="AD543" t="s">
        <v>162</v>
      </c>
      <c r="AE543" t="s">
        <v>163</v>
      </c>
      <c r="AF543" t="s">
        <v>162</v>
      </c>
      <c r="AG543" t="s">
        <v>162</v>
      </c>
      <c r="AH543" t="s">
        <v>162</v>
      </c>
      <c r="AI543" t="s">
        <v>162</v>
      </c>
      <c r="AJ543" t="s">
        <v>162</v>
      </c>
      <c r="AK543" t="s">
        <v>166</v>
      </c>
      <c r="AL543">
        <v>2011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 s="60">
        <f t="shared" si="8"/>
        <v>1</v>
      </c>
      <c r="AU543" s="95" t="s">
        <v>187</v>
      </c>
      <c r="AV543" s="94" t="s">
        <v>165</v>
      </c>
      <c r="AW543" t="s">
        <v>162</v>
      </c>
      <c r="AX543">
        <v>3</v>
      </c>
      <c r="AY543" t="s">
        <v>167</v>
      </c>
      <c r="AZ543" t="s">
        <v>162</v>
      </c>
    </row>
    <row r="544" spans="1:52" x14ac:dyDescent="0.25">
      <c r="A544">
        <v>533</v>
      </c>
      <c r="B544" t="s">
        <v>573</v>
      </c>
      <c r="C544" t="s">
        <v>151</v>
      </c>
      <c r="D544" t="s">
        <v>574</v>
      </c>
      <c r="E544" t="s">
        <v>153</v>
      </c>
      <c r="F544" t="s">
        <v>162</v>
      </c>
      <c r="G544">
        <v>2000</v>
      </c>
      <c r="H544">
        <v>2001</v>
      </c>
      <c r="I544" t="s">
        <v>173</v>
      </c>
      <c r="J544">
        <v>1600</v>
      </c>
      <c r="K544">
        <v>1601</v>
      </c>
      <c r="L544" t="s">
        <v>575</v>
      </c>
      <c r="M544">
        <v>2</v>
      </c>
      <c r="N544" t="s">
        <v>11</v>
      </c>
      <c r="O544" t="s">
        <v>11</v>
      </c>
      <c r="P544" t="s">
        <v>175</v>
      </c>
      <c r="Q544" t="s">
        <v>162</v>
      </c>
      <c r="R544" t="s">
        <v>457</v>
      </c>
      <c r="S544">
        <v>1996</v>
      </c>
      <c r="T544">
        <v>8</v>
      </c>
      <c r="U544" t="s">
        <v>162</v>
      </c>
      <c r="V544" t="s">
        <v>161</v>
      </c>
      <c r="W544">
        <v>2020</v>
      </c>
      <c r="X544">
        <v>0</v>
      </c>
      <c r="Y544" t="s">
        <v>162</v>
      </c>
      <c r="Z544">
        <v>2020</v>
      </c>
      <c r="AA544">
        <v>2012</v>
      </c>
      <c r="AB544" s="5">
        <v>0.50905192498700003</v>
      </c>
      <c r="AC544" s="5">
        <v>1.0181038499699999</v>
      </c>
      <c r="AD544" t="s">
        <v>162</v>
      </c>
      <c r="AE544" t="s">
        <v>163</v>
      </c>
      <c r="AF544" t="s">
        <v>162</v>
      </c>
      <c r="AG544" t="s">
        <v>162</v>
      </c>
      <c r="AH544" t="s">
        <v>162</v>
      </c>
      <c r="AI544" t="s">
        <v>162</v>
      </c>
      <c r="AJ544" t="s">
        <v>162</v>
      </c>
      <c r="AK544" t="s">
        <v>162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 s="60">
        <f t="shared" si="8"/>
        <v>1</v>
      </c>
      <c r="AU544" s="95" t="s">
        <v>187</v>
      </c>
      <c r="AV544" s="94" t="s">
        <v>165</v>
      </c>
      <c r="AW544" t="s">
        <v>162</v>
      </c>
      <c r="AX544">
        <v>2</v>
      </c>
      <c r="AY544" t="s">
        <v>167</v>
      </c>
      <c r="AZ544" t="s">
        <v>162</v>
      </c>
    </row>
    <row r="545" spans="1:52" x14ac:dyDescent="0.25">
      <c r="A545">
        <v>534</v>
      </c>
      <c r="B545" t="s">
        <v>856</v>
      </c>
      <c r="C545" t="s">
        <v>151</v>
      </c>
      <c r="D545" t="s">
        <v>857</v>
      </c>
      <c r="E545" t="s">
        <v>172</v>
      </c>
      <c r="F545" t="s">
        <v>162</v>
      </c>
      <c r="G545">
        <v>5958</v>
      </c>
      <c r="H545">
        <v>5959</v>
      </c>
      <c r="I545" t="s">
        <v>1293</v>
      </c>
      <c r="J545">
        <v>5601</v>
      </c>
      <c r="K545">
        <v>5600</v>
      </c>
      <c r="L545" t="s">
        <v>1294</v>
      </c>
      <c r="M545">
        <v>2</v>
      </c>
      <c r="N545" t="s">
        <v>15</v>
      </c>
      <c r="O545" t="s">
        <v>15</v>
      </c>
      <c r="P545" t="s">
        <v>175</v>
      </c>
      <c r="Q545" t="s">
        <v>162</v>
      </c>
      <c r="R545" t="s">
        <v>177</v>
      </c>
      <c r="S545">
        <v>2011</v>
      </c>
      <c r="T545">
        <v>5</v>
      </c>
      <c r="U545" t="s">
        <v>162</v>
      </c>
      <c r="V545" t="s">
        <v>611</v>
      </c>
      <c r="W545">
        <v>2016</v>
      </c>
      <c r="X545">
        <v>6</v>
      </c>
      <c r="Y545" t="s">
        <v>162</v>
      </c>
      <c r="Z545">
        <v>2016</v>
      </c>
      <c r="AA545">
        <v>0</v>
      </c>
      <c r="AB545" s="5">
        <v>0.505480691343</v>
      </c>
      <c r="AC545" s="5">
        <v>1.0109613826899999</v>
      </c>
      <c r="AD545" t="s">
        <v>162</v>
      </c>
      <c r="AE545" t="s">
        <v>163</v>
      </c>
      <c r="AF545" t="s">
        <v>162</v>
      </c>
      <c r="AG545" t="s">
        <v>162</v>
      </c>
      <c r="AH545" t="s">
        <v>162</v>
      </c>
      <c r="AI545" t="s">
        <v>162</v>
      </c>
      <c r="AJ545" t="s">
        <v>162</v>
      </c>
      <c r="AK545" t="s">
        <v>162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 s="60">
        <f t="shared" si="8"/>
        <v>1</v>
      </c>
      <c r="AU545" s="95">
        <v>43347</v>
      </c>
      <c r="AV545" s="94" t="s">
        <v>165</v>
      </c>
      <c r="AW545" t="s">
        <v>162</v>
      </c>
      <c r="AX545">
        <v>2</v>
      </c>
      <c r="AY545" t="s">
        <v>167</v>
      </c>
      <c r="AZ545" t="s">
        <v>162</v>
      </c>
    </row>
    <row r="546" spans="1:52" x14ac:dyDescent="0.25">
      <c r="A546">
        <v>535</v>
      </c>
      <c r="B546" t="s">
        <v>665</v>
      </c>
      <c r="C546" t="s">
        <v>151</v>
      </c>
      <c r="D546" t="s">
        <v>666</v>
      </c>
      <c r="E546" t="s">
        <v>172</v>
      </c>
      <c r="F546" t="s">
        <v>162</v>
      </c>
      <c r="G546">
        <v>759</v>
      </c>
      <c r="H546">
        <v>758</v>
      </c>
      <c r="I546" t="s">
        <v>576</v>
      </c>
      <c r="J546">
        <v>447</v>
      </c>
      <c r="K546">
        <v>450</v>
      </c>
      <c r="L546" t="s">
        <v>1167</v>
      </c>
      <c r="M546">
        <v>4</v>
      </c>
      <c r="N546" t="s">
        <v>15</v>
      </c>
      <c r="O546" t="s">
        <v>15</v>
      </c>
      <c r="P546" t="s">
        <v>175</v>
      </c>
      <c r="Q546" t="s">
        <v>162</v>
      </c>
      <c r="R546" t="s">
        <v>249</v>
      </c>
      <c r="S546">
        <v>2007</v>
      </c>
      <c r="T546">
        <v>7</v>
      </c>
      <c r="U546" t="s">
        <v>162</v>
      </c>
      <c r="V546" t="s">
        <v>611</v>
      </c>
      <c r="W546">
        <v>2016</v>
      </c>
      <c r="X546">
        <v>8</v>
      </c>
      <c r="Y546" t="s">
        <v>162</v>
      </c>
      <c r="Z546">
        <v>2016</v>
      </c>
      <c r="AA546">
        <v>0</v>
      </c>
      <c r="AB546" s="5">
        <v>0.69163175010199995</v>
      </c>
      <c r="AC546" s="5">
        <v>1.3832635002</v>
      </c>
      <c r="AD546" t="s">
        <v>162</v>
      </c>
      <c r="AE546" t="s">
        <v>163</v>
      </c>
      <c r="AF546" t="s">
        <v>162</v>
      </c>
      <c r="AG546" t="s">
        <v>162</v>
      </c>
      <c r="AH546" t="s">
        <v>162</v>
      </c>
      <c r="AI546" t="s">
        <v>162</v>
      </c>
      <c r="AJ546" t="s">
        <v>162</v>
      </c>
      <c r="AK546" t="s">
        <v>162</v>
      </c>
      <c r="AL546">
        <v>0</v>
      </c>
      <c r="AM546">
        <v>0</v>
      </c>
      <c r="AN546">
        <v>0</v>
      </c>
      <c r="AO546">
        <v>0</v>
      </c>
      <c r="AP546">
        <v>0.3</v>
      </c>
      <c r="AQ546">
        <v>0.7</v>
      </c>
      <c r="AR546">
        <v>0</v>
      </c>
      <c r="AS546">
        <v>0</v>
      </c>
      <c r="AT546" s="60">
        <f t="shared" si="8"/>
        <v>1</v>
      </c>
      <c r="AU546" s="95">
        <v>43343</v>
      </c>
      <c r="AV546" s="94" t="s">
        <v>165</v>
      </c>
      <c r="AW546" t="s">
        <v>162</v>
      </c>
      <c r="AX546">
        <v>3</v>
      </c>
      <c r="AY546" t="s">
        <v>167</v>
      </c>
      <c r="AZ546" t="s">
        <v>162</v>
      </c>
    </row>
    <row r="547" spans="1:52" x14ac:dyDescent="0.25">
      <c r="A547">
        <v>536</v>
      </c>
      <c r="B547" t="s">
        <v>505</v>
      </c>
      <c r="C547" t="s">
        <v>151</v>
      </c>
      <c r="D547" t="s">
        <v>506</v>
      </c>
      <c r="E547" t="s">
        <v>216</v>
      </c>
      <c r="F547" t="s">
        <v>162</v>
      </c>
      <c r="G547">
        <v>1628</v>
      </c>
      <c r="H547">
        <v>1627</v>
      </c>
      <c r="I547" t="s">
        <v>393</v>
      </c>
      <c r="J547">
        <v>1572</v>
      </c>
      <c r="K547">
        <v>1571</v>
      </c>
      <c r="L547" t="s">
        <v>293</v>
      </c>
      <c r="M547">
        <v>3</v>
      </c>
      <c r="N547" t="s">
        <v>11</v>
      </c>
      <c r="O547" t="s">
        <v>11</v>
      </c>
      <c r="P547" t="s">
        <v>175</v>
      </c>
      <c r="Q547" t="s">
        <v>162</v>
      </c>
      <c r="R547" t="s">
        <v>508</v>
      </c>
      <c r="S547">
        <v>2004</v>
      </c>
      <c r="T547">
        <v>9</v>
      </c>
      <c r="U547" t="s">
        <v>162</v>
      </c>
      <c r="V547" t="s">
        <v>509</v>
      </c>
      <c r="W547">
        <v>2021</v>
      </c>
      <c r="X547">
        <v>0</v>
      </c>
      <c r="Y547" t="s">
        <v>162</v>
      </c>
      <c r="Z547">
        <v>2021</v>
      </c>
      <c r="AA547">
        <v>2013</v>
      </c>
      <c r="AB547" s="5">
        <v>0.11981188036</v>
      </c>
      <c r="AC547" s="5">
        <v>0.23962376072</v>
      </c>
      <c r="AD547" t="s">
        <v>162</v>
      </c>
      <c r="AE547" t="s">
        <v>163</v>
      </c>
      <c r="AF547" t="s">
        <v>162</v>
      </c>
      <c r="AG547" t="s">
        <v>162</v>
      </c>
      <c r="AH547" t="s">
        <v>162</v>
      </c>
      <c r="AI547" t="s">
        <v>162</v>
      </c>
      <c r="AJ547" t="s">
        <v>162</v>
      </c>
      <c r="AK547" t="s">
        <v>162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 s="60">
        <f t="shared" si="8"/>
        <v>1</v>
      </c>
      <c r="AU547" s="95" t="s">
        <v>510</v>
      </c>
      <c r="AV547" s="94" t="s">
        <v>165</v>
      </c>
      <c r="AW547" t="s">
        <v>154</v>
      </c>
      <c r="AX547">
        <v>2</v>
      </c>
      <c r="AY547" t="s">
        <v>167</v>
      </c>
      <c r="AZ547" t="s">
        <v>162</v>
      </c>
    </row>
    <row r="548" spans="1:52" x14ac:dyDescent="0.25">
      <c r="A548">
        <v>537</v>
      </c>
      <c r="B548" t="s">
        <v>284</v>
      </c>
      <c r="C548" t="s">
        <v>203</v>
      </c>
      <c r="D548" t="s">
        <v>285</v>
      </c>
      <c r="E548" t="s">
        <v>172</v>
      </c>
      <c r="F548" t="s">
        <v>162</v>
      </c>
      <c r="G548">
        <v>2002</v>
      </c>
      <c r="H548">
        <v>2003</v>
      </c>
      <c r="I548" t="s">
        <v>1215</v>
      </c>
      <c r="J548">
        <v>2126</v>
      </c>
      <c r="K548">
        <v>2127</v>
      </c>
      <c r="L548" t="s">
        <v>1035</v>
      </c>
      <c r="M548">
        <v>3</v>
      </c>
      <c r="N548" t="s">
        <v>11</v>
      </c>
      <c r="O548" t="s">
        <v>11</v>
      </c>
      <c r="P548" t="s">
        <v>175</v>
      </c>
      <c r="Q548" t="s">
        <v>162</v>
      </c>
      <c r="R548" t="s">
        <v>479</v>
      </c>
      <c r="S548">
        <v>2005</v>
      </c>
      <c r="T548">
        <v>7</v>
      </c>
      <c r="U548" t="s">
        <v>162</v>
      </c>
      <c r="V548" t="s">
        <v>238</v>
      </c>
      <c r="W548">
        <v>2018</v>
      </c>
      <c r="X548">
        <v>7</v>
      </c>
      <c r="Y548" t="s">
        <v>123</v>
      </c>
      <c r="Z548">
        <v>2018</v>
      </c>
      <c r="AA548">
        <v>2018</v>
      </c>
      <c r="AB548" s="5">
        <v>0.177071198869</v>
      </c>
      <c r="AC548" s="5">
        <v>0.35414239773799999</v>
      </c>
      <c r="AD548" t="s">
        <v>162</v>
      </c>
      <c r="AE548" t="s">
        <v>163</v>
      </c>
      <c r="AF548" t="s">
        <v>162</v>
      </c>
      <c r="AG548" t="s">
        <v>162</v>
      </c>
      <c r="AH548" t="s">
        <v>162</v>
      </c>
      <c r="AI548" t="s">
        <v>162</v>
      </c>
      <c r="AJ548" t="s">
        <v>162</v>
      </c>
      <c r="AK548" t="s">
        <v>162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 s="60">
        <f t="shared" si="8"/>
        <v>1</v>
      </c>
      <c r="AU548" s="95">
        <v>43336</v>
      </c>
      <c r="AV548" t="s">
        <v>165</v>
      </c>
      <c r="AW548" t="s">
        <v>162</v>
      </c>
      <c r="AX548">
        <v>2</v>
      </c>
      <c r="AY548" t="s">
        <v>167</v>
      </c>
      <c r="AZ548" t="s">
        <v>162</v>
      </c>
    </row>
    <row r="549" spans="1:52" x14ac:dyDescent="0.25">
      <c r="A549">
        <v>538</v>
      </c>
      <c r="B549" t="s">
        <v>505</v>
      </c>
      <c r="C549" t="s">
        <v>151</v>
      </c>
      <c r="D549" t="s">
        <v>506</v>
      </c>
      <c r="E549" t="s">
        <v>216</v>
      </c>
      <c r="F549" t="s">
        <v>162</v>
      </c>
      <c r="G549">
        <v>1200</v>
      </c>
      <c r="H549">
        <v>1201</v>
      </c>
      <c r="I549" t="s">
        <v>390</v>
      </c>
      <c r="J549">
        <v>2171</v>
      </c>
      <c r="K549">
        <v>2170</v>
      </c>
      <c r="L549" t="s">
        <v>721</v>
      </c>
      <c r="M549">
        <v>3</v>
      </c>
      <c r="N549" t="s">
        <v>11</v>
      </c>
      <c r="O549" t="s">
        <v>11</v>
      </c>
      <c r="P549" t="s">
        <v>175</v>
      </c>
      <c r="Q549" t="s">
        <v>162</v>
      </c>
      <c r="R549" t="s">
        <v>508</v>
      </c>
      <c r="S549">
        <v>2004</v>
      </c>
      <c r="T549">
        <v>9</v>
      </c>
      <c r="U549" t="s">
        <v>162</v>
      </c>
      <c r="V549" t="s">
        <v>509</v>
      </c>
      <c r="W549">
        <v>2021</v>
      </c>
      <c r="X549">
        <v>0</v>
      </c>
      <c r="Y549" t="s">
        <v>162</v>
      </c>
      <c r="Z549">
        <v>2021</v>
      </c>
      <c r="AA549">
        <v>2012</v>
      </c>
      <c r="AB549" s="5">
        <v>0.21749784066200001</v>
      </c>
      <c r="AC549" s="5">
        <v>0.43499568132400002</v>
      </c>
      <c r="AD549" t="s">
        <v>154</v>
      </c>
      <c r="AE549" t="s">
        <v>163</v>
      </c>
      <c r="AF549" t="s">
        <v>154</v>
      </c>
      <c r="AG549" t="s">
        <v>154</v>
      </c>
      <c r="AH549" t="s">
        <v>154</v>
      </c>
      <c r="AI549" t="s">
        <v>154</v>
      </c>
      <c r="AJ549" t="s">
        <v>154</v>
      </c>
      <c r="AK549" t="s">
        <v>154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 s="60">
        <f t="shared" si="8"/>
        <v>1</v>
      </c>
      <c r="AU549" s="95" t="s">
        <v>510</v>
      </c>
      <c r="AV549" t="s">
        <v>165</v>
      </c>
      <c r="AW549" t="s">
        <v>154</v>
      </c>
      <c r="AX549">
        <v>2</v>
      </c>
      <c r="AY549" t="s">
        <v>167</v>
      </c>
      <c r="AZ549" t="s">
        <v>162</v>
      </c>
    </row>
    <row r="550" spans="1:52" x14ac:dyDescent="0.25">
      <c r="A550">
        <v>539</v>
      </c>
      <c r="B550" t="s">
        <v>464</v>
      </c>
      <c r="C550" t="s">
        <v>151</v>
      </c>
      <c r="D550" t="s">
        <v>465</v>
      </c>
      <c r="E550" t="s">
        <v>216</v>
      </c>
      <c r="F550" t="s">
        <v>162</v>
      </c>
      <c r="G550">
        <v>1146</v>
      </c>
      <c r="H550">
        <v>1147</v>
      </c>
      <c r="I550" t="s">
        <v>683</v>
      </c>
      <c r="J550">
        <v>5758</v>
      </c>
      <c r="K550">
        <v>5759</v>
      </c>
      <c r="L550" t="s">
        <v>466</v>
      </c>
      <c r="M550">
        <v>4</v>
      </c>
      <c r="N550" t="s">
        <v>13</v>
      </c>
      <c r="O550" t="s">
        <v>15</v>
      </c>
      <c r="P550" t="s">
        <v>175</v>
      </c>
      <c r="Q550" t="s">
        <v>162</v>
      </c>
      <c r="R550" t="s">
        <v>439</v>
      </c>
      <c r="S550">
        <v>2017</v>
      </c>
      <c r="T550">
        <v>9</v>
      </c>
      <c r="U550" t="s">
        <v>1295</v>
      </c>
      <c r="V550" t="s">
        <v>162</v>
      </c>
      <c r="W550">
        <v>0</v>
      </c>
      <c r="X550">
        <v>0</v>
      </c>
      <c r="Y550" t="s">
        <v>162</v>
      </c>
      <c r="Z550">
        <v>2017</v>
      </c>
      <c r="AA550">
        <v>0</v>
      </c>
      <c r="AB550" s="5">
        <v>0.105690510132</v>
      </c>
      <c r="AC550" s="5">
        <v>0.21138102026399999</v>
      </c>
      <c r="AD550" t="s">
        <v>162</v>
      </c>
      <c r="AE550" t="s">
        <v>163</v>
      </c>
      <c r="AF550" t="s">
        <v>162</v>
      </c>
      <c r="AG550" t="s">
        <v>162</v>
      </c>
      <c r="AH550" t="s">
        <v>162</v>
      </c>
      <c r="AI550" t="s">
        <v>162</v>
      </c>
      <c r="AJ550" t="s">
        <v>162</v>
      </c>
      <c r="AK550" t="s">
        <v>162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60">
        <f t="shared" si="8"/>
        <v>1</v>
      </c>
      <c r="AU550" s="95">
        <v>43340</v>
      </c>
      <c r="AV550" s="94" t="s">
        <v>165</v>
      </c>
      <c r="AW550" t="s">
        <v>162</v>
      </c>
      <c r="AX550">
        <v>3</v>
      </c>
      <c r="AY550" t="s">
        <v>275</v>
      </c>
      <c r="AZ550" t="s">
        <v>154</v>
      </c>
    </row>
    <row r="551" spans="1:52" x14ac:dyDescent="0.25">
      <c r="A551">
        <v>540</v>
      </c>
      <c r="B551" t="s">
        <v>464</v>
      </c>
      <c r="C551" t="s">
        <v>151</v>
      </c>
      <c r="D551" t="s">
        <v>465</v>
      </c>
      <c r="E551" t="s">
        <v>216</v>
      </c>
      <c r="F551" t="s">
        <v>162</v>
      </c>
      <c r="G551">
        <v>920</v>
      </c>
      <c r="H551">
        <v>921</v>
      </c>
      <c r="I551" t="s">
        <v>273</v>
      </c>
      <c r="J551">
        <v>901</v>
      </c>
      <c r="K551">
        <v>900</v>
      </c>
      <c r="L551" t="s">
        <v>1005</v>
      </c>
      <c r="M551">
        <v>4</v>
      </c>
      <c r="N551" t="s">
        <v>13</v>
      </c>
      <c r="O551" t="s">
        <v>15</v>
      </c>
      <c r="P551" t="s">
        <v>175</v>
      </c>
      <c r="Q551" t="s">
        <v>162</v>
      </c>
      <c r="R551" t="s">
        <v>439</v>
      </c>
      <c r="S551">
        <v>2017</v>
      </c>
      <c r="T551">
        <v>9</v>
      </c>
      <c r="U551" t="s">
        <v>1295</v>
      </c>
      <c r="V551" t="s">
        <v>162</v>
      </c>
      <c r="W551">
        <v>0</v>
      </c>
      <c r="X551">
        <v>0</v>
      </c>
      <c r="Y551" t="s">
        <v>123</v>
      </c>
      <c r="Z551">
        <v>2017</v>
      </c>
      <c r="AA551">
        <v>2017</v>
      </c>
      <c r="AB551" s="5">
        <v>5.1286940138800002E-2</v>
      </c>
      <c r="AC551" s="5">
        <v>0.102573880278</v>
      </c>
      <c r="AD551" t="s">
        <v>162</v>
      </c>
      <c r="AE551" t="s">
        <v>163</v>
      </c>
      <c r="AF551" t="s">
        <v>162</v>
      </c>
      <c r="AG551" t="s">
        <v>162</v>
      </c>
      <c r="AH551" t="s">
        <v>162</v>
      </c>
      <c r="AI551" t="s">
        <v>162</v>
      </c>
      <c r="AJ551" t="s">
        <v>162</v>
      </c>
      <c r="AK551" t="s">
        <v>162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60">
        <f t="shared" si="8"/>
        <v>1</v>
      </c>
      <c r="AU551" s="95">
        <v>43340</v>
      </c>
      <c r="AV551" t="s">
        <v>165</v>
      </c>
      <c r="AW551" t="s">
        <v>162</v>
      </c>
      <c r="AX551">
        <v>3</v>
      </c>
      <c r="AY551" t="s">
        <v>275</v>
      </c>
      <c r="AZ551" t="s">
        <v>162</v>
      </c>
    </row>
    <row r="552" spans="1:52" x14ac:dyDescent="0.25">
      <c r="A552">
        <v>541</v>
      </c>
      <c r="B552" t="s">
        <v>581</v>
      </c>
      <c r="C552" t="s">
        <v>203</v>
      </c>
      <c r="D552" t="s">
        <v>582</v>
      </c>
      <c r="E552" t="s">
        <v>172</v>
      </c>
      <c r="F552" t="s">
        <v>203</v>
      </c>
      <c r="G552">
        <v>400</v>
      </c>
      <c r="H552">
        <v>401</v>
      </c>
      <c r="I552" t="s">
        <v>693</v>
      </c>
      <c r="J552">
        <v>526</v>
      </c>
      <c r="K552">
        <v>527</v>
      </c>
      <c r="L552" t="s">
        <v>1296</v>
      </c>
      <c r="M552">
        <v>4</v>
      </c>
      <c r="N552" t="s">
        <v>11</v>
      </c>
      <c r="O552" t="s">
        <v>11</v>
      </c>
      <c r="P552" t="s">
        <v>169</v>
      </c>
      <c r="Q552" t="s">
        <v>162</v>
      </c>
      <c r="R552" t="s">
        <v>304</v>
      </c>
      <c r="S552">
        <v>2010</v>
      </c>
      <c r="T552">
        <v>11</v>
      </c>
      <c r="U552" t="s">
        <v>162</v>
      </c>
      <c r="V552" t="s">
        <v>243</v>
      </c>
      <c r="W552">
        <v>2020</v>
      </c>
      <c r="X552">
        <v>0</v>
      </c>
      <c r="Y552" t="s">
        <v>162</v>
      </c>
      <c r="Z552">
        <v>2020</v>
      </c>
      <c r="AA552">
        <v>0</v>
      </c>
      <c r="AB552" s="5">
        <v>0.194777731466</v>
      </c>
      <c r="AC552" s="5">
        <v>0.194777731466</v>
      </c>
      <c r="AD552" t="s">
        <v>162</v>
      </c>
      <c r="AE552" t="s">
        <v>166</v>
      </c>
      <c r="AF552" t="s">
        <v>203</v>
      </c>
      <c r="AG552" t="s">
        <v>163</v>
      </c>
      <c r="AH552" t="s">
        <v>162</v>
      </c>
      <c r="AI552" t="s">
        <v>162</v>
      </c>
      <c r="AJ552" t="s">
        <v>162</v>
      </c>
      <c r="AK552" t="s">
        <v>162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 s="60">
        <f t="shared" si="8"/>
        <v>1</v>
      </c>
      <c r="AU552" s="95" t="s">
        <v>244</v>
      </c>
      <c r="AV552" t="s">
        <v>165</v>
      </c>
      <c r="AW552" t="s">
        <v>162</v>
      </c>
      <c r="AX552">
        <v>2</v>
      </c>
      <c r="AY552" t="s">
        <v>167</v>
      </c>
      <c r="AZ552" t="s">
        <v>162</v>
      </c>
    </row>
    <row r="553" spans="1:52" x14ac:dyDescent="0.25">
      <c r="A553">
        <v>542</v>
      </c>
      <c r="B553" t="s">
        <v>581</v>
      </c>
      <c r="C553" t="s">
        <v>151</v>
      </c>
      <c r="D553" t="s">
        <v>582</v>
      </c>
      <c r="E553" t="s">
        <v>172</v>
      </c>
      <c r="F553" t="s">
        <v>162</v>
      </c>
      <c r="G553">
        <v>331</v>
      </c>
      <c r="H553">
        <v>330</v>
      </c>
      <c r="I553" t="s">
        <v>906</v>
      </c>
      <c r="J553">
        <v>200</v>
      </c>
      <c r="K553">
        <v>201</v>
      </c>
      <c r="L553" t="s">
        <v>499</v>
      </c>
      <c r="M553">
        <v>4</v>
      </c>
      <c r="N553" t="s">
        <v>11</v>
      </c>
      <c r="O553" t="s">
        <v>11</v>
      </c>
      <c r="P553" t="s">
        <v>169</v>
      </c>
      <c r="Q553" t="s">
        <v>1297</v>
      </c>
      <c r="R553" t="s">
        <v>304</v>
      </c>
      <c r="S553">
        <v>2010</v>
      </c>
      <c r="T553">
        <v>11</v>
      </c>
      <c r="U553" t="s">
        <v>1298</v>
      </c>
      <c r="V553" t="s">
        <v>243</v>
      </c>
      <c r="W553">
        <v>2020</v>
      </c>
      <c r="X553">
        <v>0</v>
      </c>
      <c r="Y553" t="s">
        <v>1299</v>
      </c>
      <c r="Z553">
        <v>2020</v>
      </c>
      <c r="AA553">
        <v>2015</v>
      </c>
      <c r="AB553" s="5">
        <v>0.152690304001</v>
      </c>
      <c r="AC553" s="5">
        <v>0.30538060800200001</v>
      </c>
      <c r="AD553" t="s">
        <v>162</v>
      </c>
      <c r="AE553" t="s">
        <v>163</v>
      </c>
      <c r="AF553" t="s">
        <v>162</v>
      </c>
      <c r="AG553" t="s">
        <v>162</v>
      </c>
      <c r="AH553" t="s">
        <v>162</v>
      </c>
      <c r="AI553" t="s">
        <v>162</v>
      </c>
      <c r="AJ553" t="s">
        <v>162</v>
      </c>
      <c r="AK553" t="s">
        <v>162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 s="60">
        <f t="shared" si="8"/>
        <v>1</v>
      </c>
      <c r="AU553" s="95" t="s">
        <v>244</v>
      </c>
      <c r="AV553" t="s">
        <v>165</v>
      </c>
      <c r="AW553" t="s">
        <v>162</v>
      </c>
      <c r="AX553">
        <v>2</v>
      </c>
      <c r="AY553" t="s">
        <v>167</v>
      </c>
      <c r="AZ553" t="s">
        <v>162</v>
      </c>
    </row>
    <row r="554" spans="1:52" x14ac:dyDescent="0.25">
      <c r="A554">
        <v>543</v>
      </c>
      <c r="B554" t="s">
        <v>581</v>
      </c>
      <c r="C554" t="s">
        <v>151</v>
      </c>
      <c r="D554" t="s">
        <v>582</v>
      </c>
      <c r="E554" t="s">
        <v>172</v>
      </c>
      <c r="F554" t="s">
        <v>203</v>
      </c>
      <c r="G554">
        <v>36</v>
      </c>
      <c r="H554">
        <v>37</v>
      </c>
      <c r="I554" t="s">
        <v>323</v>
      </c>
      <c r="J554">
        <v>1</v>
      </c>
      <c r="K554">
        <v>2</v>
      </c>
      <c r="L554" t="s">
        <v>324</v>
      </c>
      <c r="M554">
        <v>4</v>
      </c>
      <c r="N554" t="s">
        <v>11</v>
      </c>
      <c r="O554" t="s">
        <v>11</v>
      </c>
      <c r="P554" t="s">
        <v>169</v>
      </c>
      <c r="Q554" t="s">
        <v>1297</v>
      </c>
      <c r="R554" t="s">
        <v>304</v>
      </c>
      <c r="S554">
        <v>2010</v>
      </c>
      <c r="T554">
        <v>11</v>
      </c>
      <c r="U554" t="s">
        <v>162</v>
      </c>
      <c r="V554" t="s">
        <v>243</v>
      </c>
      <c r="W554">
        <v>2020</v>
      </c>
      <c r="X554">
        <v>0</v>
      </c>
      <c r="Y554" t="s">
        <v>162</v>
      </c>
      <c r="Z554">
        <v>2020</v>
      </c>
      <c r="AA554">
        <v>0</v>
      </c>
      <c r="AB554" s="5">
        <v>8.2037745595699998E-2</v>
      </c>
      <c r="AC554" s="5">
        <v>8.2037745595699998E-2</v>
      </c>
      <c r="AD554" t="s">
        <v>162</v>
      </c>
      <c r="AE554" t="s">
        <v>166</v>
      </c>
      <c r="AF554" t="s">
        <v>203</v>
      </c>
      <c r="AG554" t="s">
        <v>163</v>
      </c>
      <c r="AH554" t="s">
        <v>162</v>
      </c>
      <c r="AI554" t="s">
        <v>162</v>
      </c>
      <c r="AJ554" t="s">
        <v>162</v>
      </c>
      <c r="AK554" t="s">
        <v>162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 s="60">
        <f t="shared" si="8"/>
        <v>1</v>
      </c>
      <c r="AU554" s="95" t="s">
        <v>244</v>
      </c>
      <c r="AV554" t="s">
        <v>165</v>
      </c>
      <c r="AW554" t="s">
        <v>162</v>
      </c>
      <c r="AX554">
        <v>2</v>
      </c>
      <c r="AY554" t="s">
        <v>167</v>
      </c>
      <c r="AZ554" t="s">
        <v>162</v>
      </c>
    </row>
    <row r="555" spans="1:52" x14ac:dyDescent="0.25">
      <c r="A555">
        <v>544</v>
      </c>
      <c r="B555" t="s">
        <v>766</v>
      </c>
      <c r="C555" t="s">
        <v>180</v>
      </c>
      <c r="D555" t="s">
        <v>767</v>
      </c>
      <c r="E555" t="s">
        <v>216</v>
      </c>
      <c r="F555" t="s">
        <v>162</v>
      </c>
      <c r="G555">
        <v>11500</v>
      </c>
      <c r="H555">
        <v>11501</v>
      </c>
      <c r="I555" t="s">
        <v>1300</v>
      </c>
      <c r="J555">
        <v>11300</v>
      </c>
      <c r="K555">
        <v>11301</v>
      </c>
      <c r="L555" t="s">
        <v>969</v>
      </c>
      <c r="M555">
        <v>2</v>
      </c>
      <c r="N555" t="s">
        <v>11</v>
      </c>
      <c r="O555" t="s">
        <v>11</v>
      </c>
      <c r="P555" t="s">
        <v>175</v>
      </c>
      <c r="Q555" t="s">
        <v>970</v>
      </c>
      <c r="R555" t="s">
        <v>359</v>
      </c>
      <c r="S555">
        <v>2017</v>
      </c>
      <c r="T555">
        <v>9</v>
      </c>
      <c r="U555" t="s">
        <v>162</v>
      </c>
      <c r="V555" t="s">
        <v>162</v>
      </c>
      <c r="W555">
        <v>0</v>
      </c>
      <c r="X555">
        <v>0</v>
      </c>
      <c r="Y555" t="s">
        <v>162</v>
      </c>
      <c r="Z555">
        <v>2017</v>
      </c>
      <c r="AA555">
        <v>0</v>
      </c>
      <c r="AB555" s="5">
        <v>0.25907920497699999</v>
      </c>
      <c r="AC555" s="5">
        <v>0.51815840995399998</v>
      </c>
      <c r="AD555" t="s">
        <v>162</v>
      </c>
      <c r="AE555" t="s">
        <v>163</v>
      </c>
      <c r="AF555" t="s">
        <v>162</v>
      </c>
      <c r="AG555" t="s">
        <v>162</v>
      </c>
      <c r="AH555" t="s">
        <v>162</v>
      </c>
      <c r="AI555" t="s">
        <v>162</v>
      </c>
      <c r="AJ555" t="s">
        <v>162</v>
      </c>
      <c r="AK555" t="s">
        <v>162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 s="60">
        <f t="shared" si="8"/>
        <v>1</v>
      </c>
      <c r="AU555" s="95">
        <v>43347</v>
      </c>
      <c r="AV555" s="94" t="s">
        <v>165</v>
      </c>
      <c r="AW555" t="s">
        <v>162</v>
      </c>
      <c r="AX555">
        <v>2</v>
      </c>
      <c r="AY555" t="s">
        <v>167</v>
      </c>
      <c r="AZ555" t="s">
        <v>162</v>
      </c>
    </row>
    <row r="556" spans="1:52" x14ac:dyDescent="0.25">
      <c r="A556">
        <v>545</v>
      </c>
      <c r="B556" t="s">
        <v>766</v>
      </c>
      <c r="C556" t="s">
        <v>180</v>
      </c>
      <c r="D556" t="s">
        <v>767</v>
      </c>
      <c r="E556" t="s">
        <v>216</v>
      </c>
      <c r="F556" t="s">
        <v>162</v>
      </c>
      <c r="G556">
        <v>9500</v>
      </c>
      <c r="H556">
        <v>9501</v>
      </c>
      <c r="I556" t="s">
        <v>456</v>
      </c>
      <c r="J556">
        <v>9400</v>
      </c>
      <c r="K556">
        <v>9401</v>
      </c>
      <c r="L556" t="s">
        <v>1301</v>
      </c>
      <c r="M556">
        <v>2</v>
      </c>
      <c r="N556" t="s">
        <v>9</v>
      </c>
      <c r="O556" t="s">
        <v>9</v>
      </c>
      <c r="P556" t="s">
        <v>157</v>
      </c>
      <c r="Q556" t="s">
        <v>162</v>
      </c>
      <c r="R556" t="s">
        <v>473</v>
      </c>
      <c r="S556">
        <v>2021</v>
      </c>
      <c r="T556">
        <v>10</v>
      </c>
      <c r="U556" t="s">
        <v>162</v>
      </c>
      <c r="V556" t="s">
        <v>162</v>
      </c>
      <c r="W556">
        <v>0</v>
      </c>
      <c r="X556">
        <v>0</v>
      </c>
      <c r="Y556" t="s">
        <v>162</v>
      </c>
      <c r="Z556">
        <v>2021</v>
      </c>
      <c r="AA556">
        <v>2021</v>
      </c>
      <c r="AB556" s="5">
        <v>0.14106165088799999</v>
      </c>
      <c r="AC556" s="5">
        <v>0.28212330177599998</v>
      </c>
      <c r="AD556" t="s">
        <v>162</v>
      </c>
      <c r="AE556" t="s">
        <v>163</v>
      </c>
      <c r="AF556" t="s">
        <v>162</v>
      </c>
      <c r="AG556" t="s">
        <v>163</v>
      </c>
      <c r="AH556" t="s">
        <v>162</v>
      </c>
      <c r="AI556" t="s">
        <v>162</v>
      </c>
      <c r="AJ556" t="s">
        <v>163</v>
      </c>
      <c r="AK556" t="s">
        <v>162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 s="60">
        <f t="shared" si="8"/>
        <v>1</v>
      </c>
      <c r="AU556" s="95" t="s">
        <v>546</v>
      </c>
      <c r="AV556" s="94" t="s">
        <v>165</v>
      </c>
      <c r="AW556" t="s">
        <v>166</v>
      </c>
      <c r="AX556">
        <v>2</v>
      </c>
      <c r="AY556" t="s">
        <v>167</v>
      </c>
      <c r="AZ556" t="s">
        <v>162</v>
      </c>
    </row>
    <row r="557" spans="1:52" x14ac:dyDescent="0.25">
      <c r="A557">
        <v>546</v>
      </c>
      <c r="B557" t="s">
        <v>796</v>
      </c>
      <c r="C557" t="s">
        <v>203</v>
      </c>
      <c r="D557" t="s">
        <v>797</v>
      </c>
      <c r="E557" t="s">
        <v>172</v>
      </c>
      <c r="F557" t="s">
        <v>162</v>
      </c>
      <c r="G557">
        <v>800</v>
      </c>
      <c r="H557">
        <v>801</v>
      </c>
      <c r="I557" t="s">
        <v>1302</v>
      </c>
      <c r="J557">
        <v>828</v>
      </c>
      <c r="K557">
        <v>829</v>
      </c>
      <c r="L557" t="s">
        <v>1302</v>
      </c>
      <c r="M557">
        <v>2</v>
      </c>
      <c r="N557" t="s">
        <v>7</v>
      </c>
      <c r="O557" t="s">
        <v>7</v>
      </c>
      <c r="P557" t="s">
        <v>175</v>
      </c>
      <c r="Q557" t="s">
        <v>970</v>
      </c>
      <c r="R557" t="s">
        <v>359</v>
      </c>
      <c r="S557">
        <v>2017</v>
      </c>
      <c r="T557">
        <v>9</v>
      </c>
      <c r="U557" t="s">
        <v>162</v>
      </c>
      <c r="V557" t="s">
        <v>162</v>
      </c>
      <c r="W557">
        <v>0</v>
      </c>
      <c r="X557">
        <v>0</v>
      </c>
      <c r="Y557" t="s">
        <v>162</v>
      </c>
      <c r="Z557">
        <v>2017</v>
      </c>
      <c r="AA557">
        <v>0</v>
      </c>
      <c r="AB557" s="5">
        <v>6.7196592367500002E-2</v>
      </c>
      <c r="AC557" s="5">
        <v>0.134393184735</v>
      </c>
      <c r="AD557" t="s">
        <v>162</v>
      </c>
      <c r="AE557" t="s">
        <v>163</v>
      </c>
      <c r="AF557" t="s">
        <v>162</v>
      </c>
      <c r="AG557" t="s">
        <v>162</v>
      </c>
      <c r="AH557" t="s">
        <v>162</v>
      </c>
      <c r="AI557" t="s">
        <v>1130</v>
      </c>
      <c r="AJ557" t="s">
        <v>154</v>
      </c>
      <c r="AK557" t="s">
        <v>162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 s="60">
        <f t="shared" si="8"/>
        <v>1</v>
      </c>
      <c r="AU557" s="95" t="s">
        <v>227</v>
      </c>
      <c r="AV557" s="94" t="s">
        <v>165</v>
      </c>
      <c r="AW557" t="s">
        <v>154</v>
      </c>
      <c r="AX557">
        <v>1</v>
      </c>
      <c r="AY557" t="s">
        <v>167</v>
      </c>
      <c r="AZ557" t="s">
        <v>162</v>
      </c>
    </row>
    <row r="558" spans="1:52" x14ac:dyDescent="0.25">
      <c r="A558">
        <v>547</v>
      </c>
      <c r="B558" t="s">
        <v>924</v>
      </c>
      <c r="C558" t="s">
        <v>180</v>
      </c>
      <c r="D558" t="s">
        <v>925</v>
      </c>
      <c r="E558" t="s">
        <v>172</v>
      </c>
      <c r="F558" t="s">
        <v>162</v>
      </c>
      <c r="G558">
        <v>532</v>
      </c>
      <c r="H558">
        <v>533</v>
      </c>
      <c r="I558" t="s">
        <v>292</v>
      </c>
      <c r="J558">
        <v>400</v>
      </c>
      <c r="K558">
        <v>401</v>
      </c>
      <c r="L558" t="s">
        <v>198</v>
      </c>
      <c r="M558">
        <v>4</v>
      </c>
      <c r="N558" t="s">
        <v>9</v>
      </c>
      <c r="O558" t="s">
        <v>9</v>
      </c>
      <c r="P558" t="s">
        <v>175</v>
      </c>
      <c r="Q558" t="s">
        <v>944</v>
      </c>
      <c r="R558" t="s">
        <v>359</v>
      </c>
      <c r="S558">
        <v>2017</v>
      </c>
      <c r="T558">
        <v>9</v>
      </c>
      <c r="U558" t="s">
        <v>1303</v>
      </c>
      <c r="V558" t="s">
        <v>162</v>
      </c>
      <c r="W558">
        <v>0</v>
      </c>
      <c r="X558">
        <v>0</v>
      </c>
      <c r="Y558" t="s">
        <v>162</v>
      </c>
      <c r="Z558">
        <v>2017</v>
      </c>
      <c r="AA558">
        <v>0</v>
      </c>
      <c r="AB558" s="5">
        <v>0.15424499603899999</v>
      </c>
      <c r="AC558" s="5">
        <v>0.30848999207799999</v>
      </c>
      <c r="AD558" t="s">
        <v>162</v>
      </c>
      <c r="AE558" t="s">
        <v>163</v>
      </c>
      <c r="AF558" t="s">
        <v>162</v>
      </c>
      <c r="AG558" t="s">
        <v>162</v>
      </c>
      <c r="AH558" t="s">
        <v>162</v>
      </c>
      <c r="AI558" t="s">
        <v>162</v>
      </c>
      <c r="AJ558" t="s">
        <v>162</v>
      </c>
      <c r="AK558" t="s">
        <v>166</v>
      </c>
      <c r="AL558">
        <v>2017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 s="60">
        <f t="shared" si="8"/>
        <v>1</v>
      </c>
      <c r="AU558" s="95">
        <v>43347</v>
      </c>
      <c r="AV558" s="94" t="s">
        <v>165</v>
      </c>
      <c r="AW558" t="s">
        <v>166</v>
      </c>
      <c r="AX558">
        <v>2</v>
      </c>
      <c r="AY558" t="s">
        <v>167</v>
      </c>
      <c r="AZ558" t="s">
        <v>162</v>
      </c>
    </row>
    <row r="559" spans="1:52" x14ac:dyDescent="0.25">
      <c r="A559">
        <v>548</v>
      </c>
      <c r="B559" t="s">
        <v>945</v>
      </c>
      <c r="C559" t="s">
        <v>151</v>
      </c>
      <c r="D559" t="s">
        <v>946</v>
      </c>
      <c r="E559" t="s">
        <v>172</v>
      </c>
      <c r="F559" t="s">
        <v>162</v>
      </c>
      <c r="G559">
        <v>1154</v>
      </c>
      <c r="H559">
        <v>1155</v>
      </c>
      <c r="I559" t="s">
        <v>575</v>
      </c>
      <c r="J559">
        <v>1400</v>
      </c>
      <c r="K559">
        <v>1401</v>
      </c>
      <c r="L559" t="s">
        <v>174</v>
      </c>
      <c r="M559">
        <v>4</v>
      </c>
      <c r="N559" t="s">
        <v>15</v>
      </c>
      <c r="O559" t="s">
        <v>15</v>
      </c>
      <c r="P559" t="s">
        <v>175</v>
      </c>
      <c r="Q559" t="s">
        <v>947</v>
      </c>
      <c r="R559" t="s">
        <v>359</v>
      </c>
      <c r="S559">
        <v>2017</v>
      </c>
      <c r="T559">
        <v>9</v>
      </c>
      <c r="U559" t="s">
        <v>162</v>
      </c>
      <c r="V559" t="s">
        <v>162</v>
      </c>
      <c r="W559">
        <v>0</v>
      </c>
      <c r="X559">
        <v>0</v>
      </c>
      <c r="Y559" t="s">
        <v>162</v>
      </c>
      <c r="Z559">
        <v>2017</v>
      </c>
      <c r="AA559">
        <v>0</v>
      </c>
      <c r="AB559" s="5">
        <v>0.23963668016</v>
      </c>
      <c r="AC559" s="5">
        <v>0.47927336032000001</v>
      </c>
      <c r="AD559" t="s">
        <v>162</v>
      </c>
      <c r="AE559" t="s">
        <v>163</v>
      </c>
      <c r="AF559" t="s">
        <v>162</v>
      </c>
      <c r="AG559" t="s">
        <v>162</v>
      </c>
      <c r="AH559" t="s">
        <v>162</v>
      </c>
      <c r="AI559" t="s">
        <v>162</v>
      </c>
      <c r="AJ559" t="s">
        <v>162</v>
      </c>
      <c r="AK559" t="s">
        <v>162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s="60">
        <f t="shared" si="8"/>
        <v>1</v>
      </c>
      <c r="AU559" s="95">
        <v>43347</v>
      </c>
      <c r="AV559" s="94" t="s">
        <v>165</v>
      </c>
      <c r="AW559" t="s">
        <v>162</v>
      </c>
      <c r="AX559">
        <v>3</v>
      </c>
      <c r="AY559" t="s">
        <v>167</v>
      </c>
      <c r="AZ559" t="s">
        <v>162</v>
      </c>
    </row>
    <row r="560" spans="1:52" x14ac:dyDescent="0.25">
      <c r="A560">
        <v>549</v>
      </c>
      <c r="B560" t="s">
        <v>400</v>
      </c>
      <c r="C560" t="s">
        <v>163</v>
      </c>
      <c r="D560" t="s">
        <v>401</v>
      </c>
      <c r="E560" t="s">
        <v>216</v>
      </c>
      <c r="F560" t="s">
        <v>162</v>
      </c>
      <c r="G560">
        <v>1600</v>
      </c>
      <c r="H560">
        <v>1601</v>
      </c>
      <c r="I560" t="s">
        <v>298</v>
      </c>
      <c r="J560">
        <v>1776</v>
      </c>
      <c r="K560">
        <v>1783</v>
      </c>
      <c r="L560" t="s">
        <v>402</v>
      </c>
      <c r="M560">
        <v>3</v>
      </c>
      <c r="N560" t="s">
        <v>9</v>
      </c>
      <c r="O560" t="s">
        <v>9</v>
      </c>
      <c r="P560" t="s">
        <v>175</v>
      </c>
      <c r="Q560" t="s">
        <v>1291</v>
      </c>
      <c r="R560" t="s">
        <v>314</v>
      </c>
      <c r="S560">
        <v>2013</v>
      </c>
      <c r="T560">
        <v>8</v>
      </c>
      <c r="U560" t="s">
        <v>123</v>
      </c>
      <c r="V560" t="s">
        <v>162</v>
      </c>
      <c r="W560">
        <v>0</v>
      </c>
      <c r="X560">
        <v>0</v>
      </c>
      <c r="Y560" t="s">
        <v>162</v>
      </c>
      <c r="Z560">
        <v>2013</v>
      </c>
      <c r="AA560">
        <v>2013</v>
      </c>
      <c r="AB560" s="5">
        <v>0.26485884257300002</v>
      </c>
      <c r="AC560" s="5">
        <v>0.52971768514600004</v>
      </c>
      <c r="AD560" t="s">
        <v>162</v>
      </c>
      <c r="AE560" t="s">
        <v>163</v>
      </c>
      <c r="AF560" t="s">
        <v>162</v>
      </c>
      <c r="AG560" t="s">
        <v>162</v>
      </c>
      <c r="AH560" t="s">
        <v>162</v>
      </c>
      <c r="AI560" t="s">
        <v>162</v>
      </c>
      <c r="AJ560" t="s">
        <v>162</v>
      </c>
      <c r="AK560" t="s">
        <v>162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s="60">
        <f t="shared" si="8"/>
        <v>1</v>
      </c>
      <c r="AU560" s="95">
        <v>43339</v>
      </c>
      <c r="AV560" s="94" t="s">
        <v>165</v>
      </c>
      <c r="AW560" t="s">
        <v>163</v>
      </c>
      <c r="AX560">
        <v>2</v>
      </c>
      <c r="AY560" t="s">
        <v>167</v>
      </c>
      <c r="AZ560" t="s">
        <v>162</v>
      </c>
    </row>
    <row r="561" spans="1:52" x14ac:dyDescent="0.25">
      <c r="A561">
        <v>550</v>
      </c>
      <c r="B561" t="s">
        <v>1304</v>
      </c>
      <c r="C561" t="s">
        <v>180</v>
      </c>
      <c r="D561" t="s">
        <v>1305</v>
      </c>
      <c r="E561" t="s">
        <v>222</v>
      </c>
      <c r="F561" t="s">
        <v>162</v>
      </c>
      <c r="G561">
        <v>531</v>
      </c>
      <c r="H561">
        <v>530</v>
      </c>
      <c r="I561" t="s">
        <v>292</v>
      </c>
      <c r="J561">
        <v>500</v>
      </c>
      <c r="K561">
        <v>501</v>
      </c>
      <c r="L561" t="s">
        <v>507</v>
      </c>
      <c r="M561">
        <v>3</v>
      </c>
      <c r="N561" t="s">
        <v>7</v>
      </c>
      <c r="O561" t="s">
        <v>7</v>
      </c>
      <c r="P561" t="s">
        <v>157</v>
      </c>
      <c r="Q561" t="s">
        <v>162</v>
      </c>
      <c r="R561" t="s">
        <v>416</v>
      </c>
      <c r="S561">
        <v>2021</v>
      </c>
      <c r="T561">
        <v>11</v>
      </c>
      <c r="U561" t="s">
        <v>162</v>
      </c>
      <c r="V561" t="s">
        <v>162</v>
      </c>
      <c r="W561">
        <v>0</v>
      </c>
      <c r="X561">
        <v>0</v>
      </c>
      <c r="Y561" t="s">
        <v>162</v>
      </c>
      <c r="Z561">
        <v>2021</v>
      </c>
      <c r="AA561">
        <v>0</v>
      </c>
      <c r="AB561" s="5">
        <v>6.3953762689499996E-2</v>
      </c>
      <c r="AC561" s="5">
        <v>0.12790752537899999</v>
      </c>
      <c r="AD561" t="s">
        <v>162</v>
      </c>
      <c r="AE561" t="s">
        <v>163</v>
      </c>
      <c r="AF561" t="s">
        <v>162</v>
      </c>
      <c r="AG561" t="s">
        <v>162</v>
      </c>
      <c r="AH561" t="s">
        <v>162</v>
      </c>
      <c r="AI561" t="s">
        <v>226</v>
      </c>
      <c r="AJ561" t="s">
        <v>163</v>
      </c>
      <c r="AK561" t="s">
        <v>162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s="60">
        <f t="shared" si="8"/>
        <v>1</v>
      </c>
      <c r="AU561" s="95" t="s">
        <v>417</v>
      </c>
      <c r="AV561" s="94" t="s">
        <v>165</v>
      </c>
      <c r="AW561" t="s">
        <v>166</v>
      </c>
      <c r="AX561">
        <v>1</v>
      </c>
      <c r="AY561" t="s">
        <v>167</v>
      </c>
      <c r="AZ561" t="s">
        <v>162</v>
      </c>
    </row>
    <row r="562" spans="1:52" x14ac:dyDescent="0.25">
      <c r="A562">
        <v>551</v>
      </c>
      <c r="B562" t="s">
        <v>762</v>
      </c>
      <c r="C562" t="s">
        <v>151</v>
      </c>
      <c r="D562" t="s">
        <v>763</v>
      </c>
      <c r="E562" t="s">
        <v>172</v>
      </c>
      <c r="F562" t="s">
        <v>162</v>
      </c>
      <c r="G562">
        <v>630</v>
      </c>
      <c r="H562">
        <v>631</v>
      </c>
      <c r="I562" t="s">
        <v>498</v>
      </c>
      <c r="J562">
        <v>601</v>
      </c>
      <c r="K562">
        <v>600</v>
      </c>
      <c r="L562" t="s">
        <v>764</v>
      </c>
      <c r="M562">
        <v>4</v>
      </c>
      <c r="N562" t="s">
        <v>9</v>
      </c>
      <c r="O562" t="s">
        <v>9</v>
      </c>
      <c r="P562" t="s">
        <v>157</v>
      </c>
      <c r="Q562" t="s">
        <v>1306</v>
      </c>
      <c r="R562" t="s">
        <v>404</v>
      </c>
      <c r="S562">
        <v>2017</v>
      </c>
      <c r="T562">
        <v>9</v>
      </c>
      <c r="U562" t="s">
        <v>162</v>
      </c>
      <c r="V562" t="s">
        <v>162</v>
      </c>
      <c r="W562">
        <v>0</v>
      </c>
      <c r="X562">
        <v>0</v>
      </c>
      <c r="Y562" t="s">
        <v>162</v>
      </c>
      <c r="Z562">
        <v>2017</v>
      </c>
      <c r="AA562">
        <v>0</v>
      </c>
      <c r="AB562" s="5">
        <v>7.5809749656200007E-2</v>
      </c>
      <c r="AC562" s="5">
        <v>0.151619499312</v>
      </c>
      <c r="AD562" t="s">
        <v>162</v>
      </c>
      <c r="AE562" t="s">
        <v>163</v>
      </c>
      <c r="AF562" t="s">
        <v>162</v>
      </c>
      <c r="AG562" t="s">
        <v>162</v>
      </c>
      <c r="AH562" t="s">
        <v>162</v>
      </c>
      <c r="AI562" t="s">
        <v>162</v>
      </c>
      <c r="AJ562" t="s">
        <v>162</v>
      </c>
      <c r="AK562" t="s">
        <v>162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 s="60">
        <f t="shared" si="8"/>
        <v>1</v>
      </c>
      <c r="AU562" s="95">
        <v>43347</v>
      </c>
      <c r="AV562" s="94" t="s">
        <v>165</v>
      </c>
      <c r="AW562" t="s">
        <v>163</v>
      </c>
      <c r="AX562">
        <v>2</v>
      </c>
      <c r="AY562" t="s">
        <v>167</v>
      </c>
      <c r="AZ562" t="s">
        <v>162</v>
      </c>
    </row>
    <row r="563" spans="1:52" x14ac:dyDescent="0.25">
      <c r="A563">
        <v>552</v>
      </c>
      <c r="B563" t="s">
        <v>214</v>
      </c>
      <c r="C563" t="s">
        <v>180</v>
      </c>
      <c r="D563" t="s">
        <v>215</v>
      </c>
      <c r="E563" t="s">
        <v>216</v>
      </c>
      <c r="F563" t="s">
        <v>162</v>
      </c>
      <c r="G563">
        <v>1159</v>
      </c>
      <c r="H563">
        <v>1158</v>
      </c>
      <c r="I563" t="s">
        <v>732</v>
      </c>
      <c r="J563">
        <v>900</v>
      </c>
      <c r="K563">
        <v>901</v>
      </c>
      <c r="L563" t="s">
        <v>217</v>
      </c>
      <c r="M563">
        <v>4</v>
      </c>
      <c r="N563" t="s">
        <v>9</v>
      </c>
      <c r="O563" t="s">
        <v>9</v>
      </c>
      <c r="P563" t="s">
        <v>175</v>
      </c>
      <c r="Q563" t="s">
        <v>162</v>
      </c>
      <c r="R563" t="s">
        <v>201</v>
      </c>
      <c r="S563">
        <v>2012</v>
      </c>
      <c r="T563">
        <v>7</v>
      </c>
      <c r="U563" t="s">
        <v>162</v>
      </c>
      <c r="V563" t="s">
        <v>161</v>
      </c>
      <c r="W563">
        <v>2020</v>
      </c>
      <c r="X563">
        <v>0</v>
      </c>
      <c r="Y563" t="s">
        <v>162</v>
      </c>
      <c r="Z563">
        <v>2020</v>
      </c>
      <c r="AA563">
        <v>0</v>
      </c>
      <c r="AB563" s="5">
        <v>0.21564013321200001</v>
      </c>
      <c r="AC563" s="5">
        <v>0.43128026642400002</v>
      </c>
      <c r="AD563" t="s">
        <v>162</v>
      </c>
      <c r="AE563" t="s">
        <v>163</v>
      </c>
      <c r="AF563" t="s">
        <v>162</v>
      </c>
      <c r="AG563" t="s">
        <v>162</v>
      </c>
      <c r="AH563" t="s">
        <v>162</v>
      </c>
      <c r="AI563" t="s">
        <v>162</v>
      </c>
      <c r="AJ563" t="s">
        <v>162</v>
      </c>
      <c r="AK563" t="s">
        <v>162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 s="60">
        <f t="shared" si="8"/>
        <v>1</v>
      </c>
      <c r="AU563" s="95" t="s">
        <v>187</v>
      </c>
      <c r="AV563" s="94" t="s">
        <v>165</v>
      </c>
      <c r="AW563" t="s">
        <v>163</v>
      </c>
      <c r="AX563">
        <v>2</v>
      </c>
      <c r="AY563" t="s">
        <v>167</v>
      </c>
      <c r="AZ563" t="s">
        <v>162</v>
      </c>
    </row>
    <row r="564" spans="1:52" x14ac:dyDescent="0.25">
      <c r="A564">
        <v>553</v>
      </c>
      <c r="B564" t="s">
        <v>453</v>
      </c>
      <c r="C564" t="s">
        <v>163</v>
      </c>
      <c r="D564" t="s">
        <v>454</v>
      </c>
      <c r="E564" t="s">
        <v>216</v>
      </c>
      <c r="F564" t="s">
        <v>162</v>
      </c>
      <c r="G564">
        <v>5000</v>
      </c>
      <c r="H564">
        <v>5001</v>
      </c>
      <c r="I564" t="s">
        <v>1223</v>
      </c>
      <c r="J564">
        <v>1973</v>
      </c>
      <c r="K564">
        <v>1972</v>
      </c>
      <c r="L564" t="s">
        <v>784</v>
      </c>
      <c r="M564">
        <v>3</v>
      </c>
      <c r="N564" t="s">
        <v>11</v>
      </c>
      <c r="O564" t="s">
        <v>11</v>
      </c>
      <c r="P564" t="s">
        <v>175</v>
      </c>
      <c r="Q564" t="s">
        <v>162</v>
      </c>
      <c r="R564" t="s">
        <v>1165</v>
      </c>
      <c r="S564">
        <v>2000</v>
      </c>
      <c r="T564">
        <v>10</v>
      </c>
      <c r="U564" t="s">
        <v>162</v>
      </c>
      <c r="V564" t="s">
        <v>209</v>
      </c>
      <c r="W564">
        <v>2017</v>
      </c>
      <c r="X564">
        <v>10</v>
      </c>
      <c r="Y564" t="s">
        <v>162</v>
      </c>
      <c r="Z564">
        <v>2017</v>
      </c>
      <c r="AA564">
        <v>2004</v>
      </c>
      <c r="AB564" s="5">
        <v>0.250961149148</v>
      </c>
      <c r="AC564" s="5">
        <v>0.50192229829599999</v>
      </c>
      <c r="AD564" t="s">
        <v>162</v>
      </c>
      <c r="AE564" t="s">
        <v>163</v>
      </c>
      <c r="AF564" t="s">
        <v>162</v>
      </c>
      <c r="AG564" t="s">
        <v>162</v>
      </c>
      <c r="AH564" t="s">
        <v>162</v>
      </c>
      <c r="AI564" t="s">
        <v>162</v>
      </c>
      <c r="AJ564" t="s">
        <v>162</v>
      </c>
      <c r="AK564" t="s">
        <v>162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s="60">
        <f t="shared" si="8"/>
        <v>1</v>
      </c>
      <c r="AU564" s="95">
        <v>43340</v>
      </c>
      <c r="AV564" t="s">
        <v>165</v>
      </c>
      <c r="AW564" t="s">
        <v>162</v>
      </c>
      <c r="AX564">
        <v>2</v>
      </c>
      <c r="AY564" t="s">
        <v>167</v>
      </c>
      <c r="AZ564" t="s">
        <v>162</v>
      </c>
    </row>
    <row r="565" spans="1:52" x14ac:dyDescent="0.25">
      <c r="A565">
        <v>554</v>
      </c>
      <c r="B565" t="s">
        <v>1048</v>
      </c>
      <c r="C565" t="s">
        <v>151</v>
      </c>
      <c r="D565" t="s">
        <v>671</v>
      </c>
      <c r="E565" t="s">
        <v>222</v>
      </c>
      <c r="F565" t="s">
        <v>203</v>
      </c>
      <c r="G565">
        <v>2501</v>
      </c>
      <c r="H565">
        <v>2500</v>
      </c>
      <c r="I565" t="s">
        <v>1039</v>
      </c>
      <c r="J565">
        <v>3201</v>
      </c>
      <c r="K565">
        <v>3200</v>
      </c>
      <c r="L565" t="s">
        <v>190</v>
      </c>
      <c r="M565">
        <v>4</v>
      </c>
      <c r="N565" t="s">
        <v>9</v>
      </c>
      <c r="O565" t="s">
        <v>9</v>
      </c>
      <c r="P565" t="s">
        <v>157</v>
      </c>
      <c r="Q565" t="s">
        <v>1050</v>
      </c>
      <c r="R565" t="s">
        <v>320</v>
      </c>
      <c r="S565">
        <v>2014</v>
      </c>
      <c r="T565">
        <v>10</v>
      </c>
      <c r="U565" t="s">
        <v>604</v>
      </c>
      <c r="V565" t="s">
        <v>243</v>
      </c>
      <c r="W565">
        <v>2020</v>
      </c>
      <c r="X565">
        <v>0</v>
      </c>
      <c r="Y565" t="s">
        <v>162</v>
      </c>
      <c r="Z565">
        <v>2020</v>
      </c>
      <c r="AA565">
        <v>2011</v>
      </c>
      <c r="AB565" s="5">
        <v>0.91003963598100002</v>
      </c>
      <c r="AC565" s="5">
        <v>0.91003963598100002</v>
      </c>
      <c r="AD565" t="s">
        <v>162</v>
      </c>
      <c r="AE565" t="s">
        <v>166</v>
      </c>
      <c r="AF565" t="s">
        <v>203</v>
      </c>
      <c r="AG565" t="s">
        <v>163</v>
      </c>
      <c r="AH565" t="s">
        <v>162</v>
      </c>
      <c r="AI565" t="s">
        <v>162</v>
      </c>
      <c r="AJ565" t="s">
        <v>162</v>
      </c>
      <c r="AK565" t="s">
        <v>162</v>
      </c>
      <c r="AL565">
        <v>0</v>
      </c>
      <c r="AM565">
        <v>0</v>
      </c>
      <c r="AN565">
        <v>0</v>
      </c>
      <c r="AO565">
        <v>0.7</v>
      </c>
      <c r="AP565">
        <v>0</v>
      </c>
      <c r="AQ565">
        <v>0</v>
      </c>
      <c r="AR565">
        <v>0</v>
      </c>
      <c r="AS565">
        <v>0.3</v>
      </c>
      <c r="AT565" s="60">
        <f t="shared" si="8"/>
        <v>1</v>
      </c>
      <c r="AU565" s="95" t="s">
        <v>350</v>
      </c>
      <c r="AV565" s="94" t="s">
        <v>165</v>
      </c>
      <c r="AW565" t="s">
        <v>163</v>
      </c>
      <c r="AX565">
        <v>2</v>
      </c>
      <c r="AY565" t="s">
        <v>167</v>
      </c>
      <c r="AZ565" t="s">
        <v>162</v>
      </c>
    </row>
    <row r="566" spans="1:52" x14ac:dyDescent="0.25">
      <c r="A566">
        <v>555</v>
      </c>
      <c r="B566" t="s">
        <v>1048</v>
      </c>
      <c r="C566" t="s">
        <v>151</v>
      </c>
      <c r="D566" t="s">
        <v>671</v>
      </c>
      <c r="E566" t="s">
        <v>222</v>
      </c>
      <c r="F566" t="s">
        <v>203</v>
      </c>
      <c r="G566">
        <v>2358</v>
      </c>
      <c r="H566">
        <v>2359</v>
      </c>
      <c r="I566" t="s">
        <v>378</v>
      </c>
      <c r="J566">
        <v>2000</v>
      </c>
      <c r="K566">
        <v>2001</v>
      </c>
      <c r="L566" t="s">
        <v>191</v>
      </c>
      <c r="M566">
        <v>4</v>
      </c>
      <c r="N566" t="s">
        <v>9</v>
      </c>
      <c r="O566" t="s">
        <v>9</v>
      </c>
      <c r="P566" t="s">
        <v>157</v>
      </c>
      <c r="Q566" t="s">
        <v>1050</v>
      </c>
      <c r="R566" t="s">
        <v>320</v>
      </c>
      <c r="S566">
        <v>2014</v>
      </c>
      <c r="T566">
        <v>10</v>
      </c>
      <c r="U566" t="s">
        <v>604</v>
      </c>
      <c r="V566" t="s">
        <v>269</v>
      </c>
      <c r="W566">
        <v>2017</v>
      </c>
      <c r="X566">
        <v>10</v>
      </c>
      <c r="Y566" t="s">
        <v>123</v>
      </c>
      <c r="Z566">
        <v>2017</v>
      </c>
      <c r="AA566">
        <v>2017</v>
      </c>
      <c r="AB566" s="5">
        <v>0.50525795234699999</v>
      </c>
      <c r="AC566" s="5">
        <v>0.50525795234699999</v>
      </c>
      <c r="AD566" t="s">
        <v>162</v>
      </c>
      <c r="AE566" t="s">
        <v>166</v>
      </c>
      <c r="AF566" t="s">
        <v>203</v>
      </c>
      <c r="AG566" t="s">
        <v>163</v>
      </c>
      <c r="AH566" t="s">
        <v>162</v>
      </c>
      <c r="AI566" t="s">
        <v>162</v>
      </c>
      <c r="AJ566" t="s">
        <v>162</v>
      </c>
      <c r="AK566" t="s">
        <v>162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 s="60">
        <f t="shared" si="8"/>
        <v>1</v>
      </c>
      <c r="AU566" s="95">
        <v>43343</v>
      </c>
      <c r="AV566" s="94" t="s">
        <v>165</v>
      </c>
      <c r="AW566" t="s">
        <v>163</v>
      </c>
      <c r="AX566">
        <v>2</v>
      </c>
      <c r="AY566" t="s">
        <v>167</v>
      </c>
      <c r="AZ566" t="s">
        <v>162</v>
      </c>
    </row>
    <row r="567" spans="1:52" x14ac:dyDescent="0.25">
      <c r="A567">
        <v>556</v>
      </c>
      <c r="B567" t="s">
        <v>233</v>
      </c>
      <c r="C567" t="s">
        <v>163</v>
      </c>
      <c r="D567" t="s">
        <v>234</v>
      </c>
      <c r="E567" t="s">
        <v>172</v>
      </c>
      <c r="F567" t="s">
        <v>162</v>
      </c>
      <c r="G567">
        <v>2400</v>
      </c>
      <c r="H567">
        <v>2401</v>
      </c>
      <c r="I567" t="s">
        <v>652</v>
      </c>
      <c r="J567">
        <v>2558</v>
      </c>
      <c r="K567">
        <v>2559</v>
      </c>
      <c r="L567" t="s">
        <v>933</v>
      </c>
      <c r="M567">
        <v>2</v>
      </c>
      <c r="N567" t="s">
        <v>9</v>
      </c>
      <c r="O567" t="s">
        <v>9</v>
      </c>
      <c r="P567" t="s">
        <v>157</v>
      </c>
      <c r="Q567" t="s">
        <v>934</v>
      </c>
      <c r="R567" t="s">
        <v>463</v>
      </c>
      <c r="S567">
        <v>2013</v>
      </c>
      <c r="T567">
        <v>11</v>
      </c>
      <c r="U567" t="s">
        <v>162</v>
      </c>
      <c r="V567" t="s">
        <v>269</v>
      </c>
      <c r="W567">
        <v>2017</v>
      </c>
      <c r="X567">
        <v>10</v>
      </c>
      <c r="Y567" t="s">
        <v>123</v>
      </c>
      <c r="Z567">
        <v>2017</v>
      </c>
      <c r="AA567">
        <v>2017</v>
      </c>
      <c r="AB567" s="5">
        <v>0.25060066717500001</v>
      </c>
      <c r="AC567" s="5">
        <v>0.50120133435000003</v>
      </c>
      <c r="AD567" t="s">
        <v>162</v>
      </c>
      <c r="AE567" t="s">
        <v>163</v>
      </c>
      <c r="AF567" t="s">
        <v>162</v>
      </c>
      <c r="AG567" t="s">
        <v>162</v>
      </c>
      <c r="AH567" t="s">
        <v>162</v>
      </c>
      <c r="AI567" t="s">
        <v>162</v>
      </c>
      <c r="AJ567" t="s">
        <v>162</v>
      </c>
      <c r="AK567" t="s">
        <v>162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s="60">
        <f t="shared" si="8"/>
        <v>1</v>
      </c>
      <c r="AU567" s="95">
        <v>43335</v>
      </c>
      <c r="AV567" t="s">
        <v>165</v>
      </c>
      <c r="AW567" t="s">
        <v>163</v>
      </c>
      <c r="AX567">
        <v>2</v>
      </c>
      <c r="AY567" t="s">
        <v>167</v>
      </c>
      <c r="AZ567" t="s">
        <v>162</v>
      </c>
    </row>
    <row r="568" spans="1:52" x14ac:dyDescent="0.25">
      <c r="A568">
        <v>557</v>
      </c>
      <c r="B568" t="s">
        <v>453</v>
      </c>
      <c r="C568" t="s">
        <v>163</v>
      </c>
      <c r="D568" t="s">
        <v>454</v>
      </c>
      <c r="E568" t="s">
        <v>216</v>
      </c>
      <c r="F568" t="s">
        <v>162</v>
      </c>
      <c r="G568">
        <v>3500</v>
      </c>
      <c r="H568">
        <v>3501</v>
      </c>
      <c r="I568" t="s">
        <v>702</v>
      </c>
      <c r="J568">
        <v>3598</v>
      </c>
      <c r="K568">
        <v>3599</v>
      </c>
      <c r="L568" t="s">
        <v>331</v>
      </c>
      <c r="M568">
        <v>3</v>
      </c>
      <c r="N568" t="s">
        <v>15</v>
      </c>
      <c r="O568" t="s">
        <v>15</v>
      </c>
      <c r="P568" t="s">
        <v>175</v>
      </c>
      <c r="Q568" t="s">
        <v>162</v>
      </c>
      <c r="R568" t="s">
        <v>249</v>
      </c>
      <c r="S568">
        <v>2007</v>
      </c>
      <c r="T568">
        <v>6</v>
      </c>
      <c r="U568" t="s">
        <v>162</v>
      </c>
      <c r="V568" t="s">
        <v>269</v>
      </c>
      <c r="W568">
        <v>2017</v>
      </c>
      <c r="X568">
        <v>10</v>
      </c>
      <c r="Y568" t="s">
        <v>123</v>
      </c>
      <c r="Z568">
        <v>2017</v>
      </c>
      <c r="AA568">
        <v>2017</v>
      </c>
      <c r="AB568" s="5">
        <v>0.126093984779</v>
      </c>
      <c r="AC568" s="5">
        <v>0.25218796955799999</v>
      </c>
      <c r="AD568" t="s">
        <v>162</v>
      </c>
      <c r="AE568" t="s">
        <v>163</v>
      </c>
      <c r="AF568" t="s">
        <v>162</v>
      </c>
      <c r="AG568" t="s">
        <v>162</v>
      </c>
      <c r="AH568" t="s">
        <v>162</v>
      </c>
      <c r="AI568" t="s">
        <v>162</v>
      </c>
      <c r="AJ568" t="s">
        <v>162</v>
      </c>
      <c r="AK568" t="s">
        <v>162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s="60">
        <f t="shared" si="8"/>
        <v>1</v>
      </c>
      <c r="AU568" s="95">
        <v>43340</v>
      </c>
      <c r="AV568" s="94" t="s">
        <v>165</v>
      </c>
      <c r="AW568" t="s">
        <v>162</v>
      </c>
      <c r="AX568">
        <v>2</v>
      </c>
      <c r="AY568" t="s">
        <v>167</v>
      </c>
      <c r="AZ568" t="s">
        <v>162</v>
      </c>
    </row>
    <row r="569" spans="1:52" x14ac:dyDescent="0.25">
      <c r="A569">
        <v>558</v>
      </c>
      <c r="B569" t="s">
        <v>469</v>
      </c>
      <c r="C569" t="s">
        <v>151</v>
      </c>
      <c r="D569" t="s">
        <v>470</v>
      </c>
      <c r="E569" t="s">
        <v>182</v>
      </c>
      <c r="F569" t="s">
        <v>162</v>
      </c>
      <c r="G569">
        <v>1545</v>
      </c>
      <c r="H569">
        <v>1544</v>
      </c>
      <c r="I569" t="s">
        <v>302</v>
      </c>
      <c r="J569">
        <v>1500</v>
      </c>
      <c r="K569">
        <v>1501</v>
      </c>
      <c r="L569" t="s">
        <v>478</v>
      </c>
      <c r="M569">
        <v>2</v>
      </c>
      <c r="N569" t="s">
        <v>11</v>
      </c>
      <c r="O569" t="s">
        <v>11</v>
      </c>
      <c r="P569" t="s">
        <v>175</v>
      </c>
      <c r="Q569" t="s">
        <v>162</v>
      </c>
      <c r="R569" t="s">
        <v>366</v>
      </c>
      <c r="S569">
        <v>2011</v>
      </c>
      <c r="T569">
        <v>6</v>
      </c>
      <c r="U569" t="s">
        <v>162</v>
      </c>
      <c r="V569" t="s">
        <v>383</v>
      </c>
      <c r="W569">
        <v>2014</v>
      </c>
      <c r="X569">
        <v>10</v>
      </c>
      <c r="Y569" t="s">
        <v>123</v>
      </c>
      <c r="Z569">
        <v>2014</v>
      </c>
      <c r="AA569">
        <v>2014</v>
      </c>
      <c r="AB569" s="5">
        <v>0.10006885639800001</v>
      </c>
      <c r="AC569" s="5">
        <v>0.20013771279600001</v>
      </c>
      <c r="AD569" t="s">
        <v>162</v>
      </c>
      <c r="AE569" t="s">
        <v>163</v>
      </c>
      <c r="AF569" t="s">
        <v>162</v>
      </c>
      <c r="AG569" t="s">
        <v>162</v>
      </c>
      <c r="AH569" t="s">
        <v>162</v>
      </c>
      <c r="AI569" t="s">
        <v>162</v>
      </c>
      <c r="AJ569" t="s">
        <v>162</v>
      </c>
      <c r="AK569" t="s">
        <v>162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s="60">
        <f t="shared" si="8"/>
        <v>1</v>
      </c>
      <c r="AU569" s="95">
        <v>43340</v>
      </c>
      <c r="AV569" t="s">
        <v>165</v>
      </c>
      <c r="AW569" t="s">
        <v>162</v>
      </c>
      <c r="AX569">
        <v>2</v>
      </c>
      <c r="AY569" t="s">
        <v>167</v>
      </c>
      <c r="AZ569" t="s">
        <v>162</v>
      </c>
    </row>
    <row r="570" spans="1:52" x14ac:dyDescent="0.25">
      <c r="A570">
        <v>559</v>
      </c>
      <c r="B570" t="s">
        <v>469</v>
      </c>
      <c r="C570" t="s">
        <v>151</v>
      </c>
      <c r="D570" t="s">
        <v>470</v>
      </c>
      <c r="E570" t="s">
        <v>216</v>
      </c>
      <c r="F570" t="s">
        <v>162</v>
      </c>
      <c r="G570">
        <v>1133</v>
      </c>
      <c r="H570">
        <v>1148</v>
      </c>
      <c r="I570" t="s">
        <v>683</v>
      </c>
      <c r="J570">
        <v>1100</v>
      </c>
      <c r="K570">
        <v>1101</v>
      </c>
      <c r="L570" t="s">
        <v>466</v>
      </c>
      <c r="M570">
        <v>2</v>
      </c>
      <c r="N570" t="s">
        <v>15</v>
      </c>
      <c r="O570" t="s">
        <v>15</v>
      </c>
      <c r="P570" t="s">
        <v>175</v>
      </c>
      <c r="Q570" t="s">
        <v>162</v>
      </c>
      <c r="R570" t="s">
        <v>472</v>
      </c>
      <c r="S570">
        <v>2007</v>
      </c>
      <c r="T570">
        <v>10</v>
      </c>
      <c r="U570" t="s">
        <v>162</v>
      </c>
      <c r="V570" t="s">
        <v>269</v>
      </c>
      <c r="W570">
        <v>2017</v>
      </c>
      <c r="X570">
        <v>11</v>
      </c>
      <c r="Y570" t="s">
        <v>123</v>
      </c>
      <c r="Z570">
        <v>2017</v>
      </c>
      <c r="AA570">
        <v>2017</v>
      </c>
      <c r="AB570" s="5">
        <v>0.105376756025</v>
      </c>
      <c r="AC570" s="5">
        <v>0.21075351205000001</v>
      </c>
      <c r="AD570" t="s">
        <v>162</v>
      </c>
      <c r="AE570" t="s">
        <v>163</v>
      </c>
      <c r="AF570" t="s">
        <v>162</v>
      </c>
      <c r="AG570" t="s">
        <v>162</v>
      </c>
      <c r="AH570" t="s">
        <v>162</v>
      </c>
      <c r="AI570" t="s">
        <v>162</v>
      </c>
      <c r="AJ570" t="s">
        <v>162</v>
      </c>
      <c r="AK570" t="s">
        <v>162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s="60">
        <f t="shared" si="8"/>
        <v>1</v>
      </c>
      <c r="AU570" s="95">
        <v>43340</v>
      </c>
      <c r="AV570" t="s">
        <v>165</v>
      </c>
      <c r="AW570" t="s">
        <v>162</v>
      </c>
      <c r="AX570">
        <v>2</v>
      </c>
      <c r="AY570" t="s">
        <v>167</v>
      </c>
      <c r="AZ570" t="s">
        <v>162</v>
      </c>
    </row>
    <row r="571" spans="1:52" x14ac:dyDescent="0.25">
      <c r="A571">
        <v>560</v>
      </c>
      <c r="B571" t="s">
        <v>279</v>
      </c>
      <c r="C571" t="s">
        <v>151</v>
      </c>
      <c r="D571" t="s">
        <v>280</v>
      </c>
      <c r="E571" t="s">
        <v>216</v>
      </c>
      <c r="F571" t="s">
        <v>163</v>
      </c>
      <c r="G571">
        <v>5000</v>
      </c>
      <c r="H571">
        <v>5001</v>
      </c>
      <c r="I571" t="s">
        <v>1223</v>
      </c>
      <c r="J571">
        <v>5758</v>
      </c>
      <c r="K571">
        <v>5759</v>
      </c>
      <c r="L571" t="s">
        <v>281</v>
      </c>
      <c r="M571">
        <v>4</v>
      </c>
      <c r="N571" t="s">
        <v>11</v>
      </c>
      <c r="O571" t="s">
        <v>11</v>
      </c>
      <c r="P571" t="s">
        <v>175</v>
      </c>
      <c r="Q571" t="s">
        <v>1307</v>
      </c>
      <c r="R571" t="s">
        <v>1308</v>
      </c>
      <c r="S571">
        <v>2018</v>
      </c>
      <c r="T571">
        <v>5</v>
      </c>
      <c r="U571" t="s">
        <v>162</v>
      </c>
      <c r="V571" t="s">
        <v>162</v>
      </c>
      <c r="W571">
        <v>0</v>
      </c>
      <c r="X571">
        <v>0</v>
      </c>
      <c r="Y571" t="s">
        <v>162</v>
      </c>
      <c r="Z571">
        <v>2018</v>
      </c>
      <c r="AA571">
        <v>0</v>
      </c>
      <c r="AB571" s="5">
        <v>0.96912602453700003</v>
      </c>
      <c r="AC571" s="5">
        <v>0.96912602453700003</v>
      </c>
      <c r="AD571" t="s">
        <v>162</v>
      </c>
      <c r="AE571" t="s">
        <v>166</v>
      </c>
      <c r="AF571" t="s">
        <v>163</v>
      </c>
      <c r="AG571" t="s">
        <v>163</v>
      </c>
      <c r="AH571" t="s">
        <v>162</v>
      </c>
      <c r="AI571" t="s">
        <v>162</v>
      </c>
      <c r="AJ571" t="s">
        <v>162</v>
      </c>
      <c r="AK571" t="s">
        <v>162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s="60">
        <f t="shared" si="8"/>
        <v>1</v>
      </c>
      <c r="AU571" s="95">
        <v>43350</v>
      </c>
      <c r="AV571" s="94" t="s">
        <v>165</v>
      </c>
      <c r="AW571" t="s">
        <v>162</v>
      </c>
      <c r="AX571">
        <v>3</v>
      </c>
      <c r="AY571" t="s">
        <v>275</v>
      </c>
      <c r="AZ571">
        <v>20</v>
      </c>
    </row>
    <row r="572" spans="1:52" x14ac:dyDescent="0.25">
      <c r="A572">
        <v>561</v>
      </c>
      <c r="B572" t="s">
        <v>1252</v>
      </c>
      <c r="C572" t="s">
        <v>163</v>
      </c>
      <c r="D572" t="s">
        <v>1253</v>
      </c>
      <c r="E572" t="s">
        <v>216</v>
      </c>
      <c r="F572" t="s">
        <v>180</v>
      </c>
      <c r="G572">
        <v>0</v>
      </c>
      <c r="H572">
        <v>0</v>
      </c>
      <c r="I572" t="s">
        <v>1223</v>
      </c>
      <c r="J572">
        <v>5758</v>
      </c>
      <c r="K572">
        <v>5759</v>
      </c>
      <c r="L572" t="s">
        <v>281</v>
      </c>
      <c r="M572">
        <v>4</v>
      </c>
      <c r="N572" t="s">
        <v>11</v>
      </c>
      <c r="O572" t="s">
        <v>11</v>
      </c>
      <c r="P572" t="s">
        <v>175</v>
      </c>
      <c r="Q572" t="s">
        <v>1309</v>
      </c>
      <c r="R572" t="s">
        <v>1308</v>
      </c>
      <c r="S572">
        <v>2018</v>
      </c>
      <c r="T572">
        <v>5</v>
      </c>
      <c r="U572" t="s">
        <v>162</v>
      </c>
      <c r="V572" t="s">
        <v>162</v>
      </c>
      <c r="W572">
        <v>0</v>
      </c>
      <c r="X572">
        <v>0</v>
      </c>
      <c r="Y572" t="s">
        <v>162</v>
      </c>
      <c r="Z572">
        <v>2018</v>
      </c>
      <c r="AA572">
        <v>0</v>
      </c>
      <c r="AB572" s="5">
        <v>0.96887038066200004</v>
      </c>
      <c r="AC572" s="5">
        <v>0.96887038066200004</v>
      </c>
      <c r="AD572" t="s">
        <v>162</v>
      </c>
      <c r="AE572" t="s">
        <v>166</v>
      </c>
      <c r="AF572" t="s">
        <v>180</v>
      </c>
      <c r="AG572" t="s">
        <v>163</v>
      </c>
      <c r="AH572" t="s">
        <v>162</v>
      </c>
      <c r="AI572" t="s">
        <v>162</v>
      </c>
      <c r="AJ572" t="s">
        <v>162</v>
      </c>
      <c r="AK572" t="s">
        <v>162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s="60">
        <f t="shared" si="8"/>
        <v>1</v>
      </c>
      <c r="AU572" s="95">
        <v>43348</v>
      </c>
      <c r="AV572" s="94" t="s">
        <v>165</v>
      </c>
      <c r="AW572" t="s">
        <v>162</v>
      </c>
      <c r="AX572">
        <v>3</v>
      </c>
      <c r="AY572" t="s">
        <v>275</v>
      </c>
      <c r="AZ572">
        <v>20</v>
      </c>
    </row>
    <row r="573" spans="1:52" x14ac:dyDescent="0.25">
      <c r="A573">
        <v>562</v>
      </c>
      <c r="B573" t="s">
        <v>233</v>
      </c>
      <c r="C573" t="s">
        <v>163</v>
      </c>
      <c r="D573" t="s">
        <v>234</v>
      </c>
      <c r="E573" t="s">
        <v>172</v>
      </c>
      <c r="F573" t="s">
        <v>162</v>
      </c>
      <c r="G573">
        <v>860</v>
      </c>
      <c r="H573">
        <v>865</v>
      </c>
      <c r="I573" t="s">
        <v>733</v>
      </c>
      <c r="J573">
        <v>1168</v>
      </c>
      <c r="K573">
        <v>1169</v>
      </c>
      <c r="L573" t="s">
        <v>459</v>
      </c>
      <c r="M573">
        <v>2</v>
      </c>
      <c r="N573" t="s">
        <v>11</v>
      </c>
      <c r="O573" t="s">
        <v>11</v>
      </c>
      <c r="P573" t="s">
        <v>175</v>
      </c>
      <c r="Q573" t="s">
        <v>162</v>
      </c>
      <c r="R573" t="s">
        <v>1008</v>
      </c>
      <c r="S573">
        <v>1999</v>
      </c>
      <c r="T573">
        <v>5</v>
      </c>
      <c r="U573" t="s">
        <v>1310</v>
      </c>
      <c r="V573" t="s">
        <v>1311</v>
      </c>
      <c r="W573">
        <v>2011</v>
      </c>
      <c r="X573">
        <v>12</v>
      </c>
      <c r="Y573" t="s">
        <v>162</v>
      </c>
      <c r="Z573">
        <v>2011</v>
      </c>
      <c r="AA573">
        <v>2011</v>
      </c>
      <c r="AB573" s="5">
        <v>0.39182362251800001</v>
      </c>
      <c r="AC573" s="5">
        <v>0.78364724503600003</v>
      </c>
      <c r="AD573" t="s">
        <v>162</v>
      </c>
      <c r="AE573" t="s">
        <v>163</v>
      </c>
      <c r="AF573" t="s">
        <v>162</v>
      </c>
      <c r="AG573" t="s">
        <v>162</v>
      </c>
      <c r="AH573" t="s">
        <v>162</v>
      </c>
      <c r="AI573" t="s">
        <v>162</v>
      </c>
      <c r="AJ573" t="s">
        <v>162</v>
      </c>
      <c r="AK573" t="s">
        <v>166</v>
      </c>
      <c r="AL573">
        <v>2011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 s="60">
        <f t="shared" si="8"/>
        <v>1</v>
      </c>
      <c r="AU573" s="95">
        <v>43335</v>
      </c>
      <c r="AV573" s="94" t="s">
        <v>165</v>
      </c>
      <c r="AW573" t="s">
        <v>162</v>
      </c>
      <c r="AX573">
        <v>2</v>
      </c>
      <c r="AY573" t="s">
        <v>167</v>
      </c>
      <c r="AZ573" t="s">
        <v>162</v>
      </c>
    </row>
    <row r="574" spans="1:52" x14ac:dyDescent="0.25">
      <c r="A574">
        <v>563</v>
      </c>
      <c r="B574" t="s">
        <v>1102</v>
      </c>
      <c r="C574" t="s">
        <v>163</v>
      </c>
      <c r="D574" t="s">
        <v>1103</v>
      </c>
      <c r="E574" t="s">
        <v>216</v>
      </c>
      <c r="F574" t="s">
        <v>162</v>
      </c>
      <c r="G574">
        <v>5800</v>
      </c>
      <c r="H574">
        <v>5801</v>
      </c>
      <c r="I574" t="s">
        <v>1104</v>
      </c>
      <c r="J574">
        <v>6158</v>
      </c>
      <c r="K574">
        <v>6159</v>
      </c>
      <c r="L574" t="s">
        <v>1312</v>
      </c>
      <c r="M574">
        <v>4</v>
      </c>
      <c r="N574" t="s">
        <v>13</v>
      </c>
      <c r="O574" t="s">
        <v>15</v>
      </c>
      <c r="P574" t="s">
        <v>175</v>
      </c>
      <c r="Q574" t="s">
        <v>1313</v>
      </c>
      <c r="R574" t="s">
        <v>1308</v>
      </c>
      <c r="S574">
        <v>2018</v>
      </c>
      <c r="T574">
        <v>5</v>
      </c>
      <c r="U574" t="s">
        <v>162</v>
      </c>
      <c r="V574" t="s">
        <v>162</v>
      </c>
      <c r="W574">
        <v>0</v>
      </c>
      <c r="X574">
        <v>0</v>
      </c>
      <c r="Y574" t="s">
        <v>162</v>
      </c>
      <c r="Z574">
        <v>2018</v>
      </c>
      <c r="AA574">
        <v>0</v>
      </c>
      <c r="AB574" s="5">
        <v>0.60737576011000005</v>
      </c>
      <c r="AC574" s="5">
        <v>1.2147515202200001</v>
      </c>
      <c r="AD574" t="s">
        <v>1108</v>
      </c>
      <c r="AE574" t="s">
        <v>163</v>
      </c>
      <c r="AF574" t="s">
        <v>162</v>
      </c>
      <c r="AG574" t="s">
        <v>162</v>
      </c>
      <c r="AH574" t="s">
        <v>162</v>
      </c>
      <c r="AI574" t="s">
        <v>162</v>
      </c>
      <c r="AJ574" t="s">
        <v>162</v>
      </c>
      <c r="AK574" t="s">
        <v>162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s="60">
        <f t="shared" si="8"/>
        <v>1</v>
      </c>
      <c r="AU574" s="95">
        <v>43348</v>
      </c>
      <c r="AV574" s="94" t="s">
        <v>165</v>
      </c>
      <c r="AW574" t="s">
        <v>162</v>
      </c>
      <c r="AX574">
        <v>3</v>
      </c>
      <c r="AY574" t="s">
        <v>275</v>
      </c>
      <c r="AZ574">
        <v>20</v>
      </c>
    </row>
    <row r="575" spans="1:52" x14ac:dyDescent="0.25">
      <c r="A575">
        <v>564</v>
      </c>
      <c r="B575" t="s">
        <v>196</v>
      </c>
      <c r="C575" t="s">
        <v>163</v>
      </c>
      <c r="D575" t="s">
        <v>197</v>
      </c>
      <c r="E575" t="s">
        <v>172</v>
      </c>
      <c r="F575" t="s">
        <v>162</v>
      </c>
      <c r="G575">
        <v>1600</v>
      </c>
      <c r="H575">
        <v>1601</v>
      </c>
      <c r="I575" t="s">
        <v>298</v>
      </c>
      <c r="J575">
        <v>1820</v>
      </c>
      <c r="K575">
        <v>1821</v>
      </c>
      <c r="L575" t="s">
        <v>482</v>
      </c>
      <c r="M575">
        <v>4</v>
      </c>
      <c r="N575" t="s">
        <v>9</v>
      </c>
      <c r="O575" t="s">
        <v>9</v>
      </c>
      <c r="P575" t="s">
        <v>157</v>
      </c>
      <c r="Q575" t="s">
        <v>162</v>
      </c>
      <c r="R575" t="s">
        <v>463</v>
      </c>
      <c r="S575">
        <v>2013</v>
      </c>
      <c r="T575">
        <v>11</v>
      </c>
      <c r="U575" t="s">
        <v>162</v>
      </c>
      <c r="V575" t="s">
        <v>422</v>
      </c>
      <c r="W575">
        <v>2015</v>
      </c>
      <c r="X575">
        <v>10</v>
      </c>
      <c r="Y575" t="s">
        <v>123</v>
      </c>
      <c r="Z575">
        <v>2015</v>
      </c>
      <c r="AA575">
        <v>2015</v>
      </c>
      <c r="AB575" s="5">
        <v>0.29422712422300001</v>
      </c>
      <c r="AC575" s="5">
        <v>0.58845424844600003</v>
      </c>
      <c r="AD575" t="s">
        <v>162</v>
      </c>
      <c r="AE575" t="s">
        <v>163</v>
      </c>
      <c r="AF575" t="s">
        <v>162</v>
      </c>
      <c r="AG575" t="s">
        <v>162</v>
      </c>
      <c r="AH575" t="s">
        <v>162</v>
      </c>
      <c r="AI575" t="s">
        <v>162</v>
      </c>
      <c r="AJ575" t="s">
        <v>162</v>
      </c>
      <c r="AK575" t="s">
        <v>162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s="60">
        <f t="shared" si="8"/>
        <v>1</v>
      </c>
      <c r="AU575" s="95">
        <v>43328</v>
      </c>
      <c r="AV575" t="s">
        <v>165</v>
      </c>
      <c r="AW575" t="s">
        <v>163</v>
      </c>
      <c r="AX575">
        <v>2</v>
      </c>
      <c r="AY575" t="s">
        <v>167</v>
      </c>
      <c r="AZ575" t="s">
        <v>162</v>
      </c>
    </row>
    <row r="576" spans="1:52" x14ac:dyDescent="0.25">
      <c r="A576">
        <v>565</v>
      </c>
      <c r="B576" t="s">
        <v>1314</v>
      </c>
      <c r="C576" t="s">
        <v>151</v>
      </c>
      <c r="D576" t="s">
        <v>1315</v>
      </c>
      <c r="E576" t="s">
        <v>216</v>
      </c>
      <c r="F576" t="s">
        <v>162</v>
      </c>
      <c r="G576">
        <v>1124</v>
      </c>
      <c r="H576">
        <v>1125</v>
      </c>
      <c r="I576" t="s">
        <v>683</v>
      </c>
      <c r="J576">
        <v>1000</v>
      </c>
      <c r="K576">
        <v>1001</v>
      </c>
      <c r="L576" t="s">
        <v>273</v>
      </c>
      <c r="M576">
        <v>4</v>
      </c>
      <c r="N576" t="s">
        <v>13</v>
      </c>
      <c r="O576" t="s">
        <v>1208</v>
      </c>
      <c r="P576" t="s">
        <v>175</v>
      </c>
      <c r="Q576" t="s">
        <v>1316</v>
      </c>
      <c r="R576" t="s">
        <v>304</v>
      </c>
      <c r="S576">
        <v>2018</v>
      </c>
      <c r="T576">
        <v>6</v>
      </c>
      <c r="U576" t="s">
        <v>1208</v>
      </c>
      <c r="V576" t="s">
        <v>162</v>
      </c>
      <c r="W576">
        <v>0</v>
      </c>
      <c r="X576">
        <v>0</v>
      </c>
      <c r="Y576" t="s">
        <v>162</v>
      </c>
      <c r="Z576">
        <v>2018</v>
      </c>
      <c r="AA576">
        <v>0</v>
      </c>
      <c r="AB576" s="5">
        <v>0.19756801330000001</v>
      </c>
      <c r="AC576" s="5">
        <v>0.39513602660000002</v>
      </c>
      <c r="AD576" t="s">
        <v>1317</v>
      </c>
      <c r="AE576" t="s">
        <v>163</v>
      </c>
      <c r="AF576" t="s">
        <v>162</v>
      </c>
      <c r="AG576" t="s">
        <v>162</v>
      </c>
      <c r="AH576" t="s">
        <v>162</v>
      </c>
      <c r="AI576" t="s">
        <v>162</v>
      </c>
      <c r="AJ576" t="s">
        <v>162</v>
      </c>
      <c r="AK576" t="s">
        <v>162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s="60">
        <f t="shared" si="8"/>
        <v>1</v>
      </c>
      <c r="AU576" s="95">
        <v>43348</v>
      </c>
      <c r="AV576" s="94" t="s">
        <v>165</v>
      </c>
      <c r="AW576" t="s">
        <v>162</v>
      </c>
      <c r="AX576">
        <v>3</v>
      </c>
      <c r="AY576" t="s">
        <v>275</v>
      </c>
      <c r="AZ576">
        <v>20</v>
      </c>
    </row>
    <row r="577" spans="1:52" x14ac:dyDescent="0.25">
      <c r="A577">
        <v>566</v>
      </c>
      <c r="B577" t="s">
        <v>945</v>
      </c>
      <c r="C577" t="s">
        <v>151</v>
      </c>
      <c r="D577" t="s">
        <v>946</v>
      </c>
      <c r="E577" t="s">
        <v>172</v>
      </c>
      <c r="F577" t="s">
        <v>162</v>
      </c>
      <c r="G577">
        <v>634</v>
      </c>
      <c r="H577">
        <v>635</v>
      </c>
      <c r="I577" t="s">
        <v>1028</v>
      </c>
      <c r="J577">
        <v>500</v>
      </c>
      <c r="K577">
        <v>501</v>
      </c>
      <c r="L577" t="s">
        <v>570</v>
      </c>
      <c r="M577">
        <v>4</v>
      </c>
      <c r="N577" t="s">
        <v>9</v>
      </c>
      <c r="O577" t="s">
        <v>9</v>
      </c>
      <c r="P577" t="s">
        <v>175</v>
      </c>
      <c r="Q577" t="s">
        <v>1318</v>
      </c>
      <c r="R577" t="s">
        <v>1319</v>
      </c>
      <c r="S577">
        <v>2018</v>
      </c>
      <c r="T577">
        <v>6</v>
      </c>
      <c r="U577" t="s">
        <v>208</v>
      </c>
      <c r="V577" t="s">
        <v>455</v>
      </c>
      <c r="W577">
        <v>2020</v>
      </c>
      <c r="X577">
        <v>0</v>
      </c>
      <c r="Y577" t="s">
        <v>123</v>
      </c>
      <c r="Z577">
        <v>2020</v>
      </c>
      <c r="AA577">
        <v>2020</v>
      </c>
      <c r="AB577" s="5">
        <v>0.23015638716199999</v>
      </c>
      <c r="AC577" s="5">
        <v>0.46031277432399997</v>
      </c>
      <c r="AD577" t="s">
        <v>162</v>
      </c>
      <c r="AE577" t="s">
        <v>163</v>
      </c>
      <c r="AF577" t="s">
        <v>162</v>
      </c>
      <c r="AG577" t="s">
        <v>162</v>
      </c>
      <c r="AH577" t="s">
        <v>162</v>
      </c>
      <c r="AI577" t="s">
        <v>162</v>
      </c>
      <c r="AJ577" t="s">
        <v>162</v>
      </c>
      <c r="AK577" t="s">
        <v>162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 s="60">
        <f t="shared" si="8"/>
        <v>1</v>
      </c>
      <c r="AU577" s="95" t="s">
        <v>187</v>
      </c>
      <c r="AV577" s="94" t="s">
        <v>165</v>
      </c>
      <c r="AW577" t="s">
        <v>1320</v>
      </c>
      <c r="AX577">
        <v>2</v>
      </c>
      <c r="AY577" t="s">
        <v>167</v>
      </c>
      <c r="AZ577" t="s">
        <v>162</v>
      </c>
    </row>
    <row r="578" spans="1:52" x14ac:dyDescent="0.25">
      <c r="A578">
        <v>567</v>
      </c>
      <c r="B578" t="s">
        <v>719</v>
      </c>
      <c r="C578" t="s">
        <v>180</v>
      </c>
      <c r="D578" t="s">
        <v>720</v>
      </c>
      <c r="E578" t="s">
        <v>172</v>
      </c>
      <c r="F578" t="s">
        <v>180</v>
      </c>
      <c r="G578">
        <v>536</v>
      </c>
      <c r="H578">
        <v>537</v>
      </c>
      <c r="I578" t="s">
        <v>292</v>
      </c>
      <c r="J578">
        <v>301</v>
      </c>
      <c r="K578">
        <v>300</v>
      </c>
      <c r="L578" t="s">
        <v>198</v>
      </c>
      <c r="M578">
        <v>4</v>
      </c>
      <c r="N578" t="s">
        <v>7</v>
      </c>
      <c r="O578" t="s">
        <v>7</v>
      </c>
      <c r="P578" t="s">
        <v>157</v>
      </c>
      <c r="Q578" t="s">
        <v>162</v>
      </c>
      <c r="R578" t="s">
        <v>261</v>
      </c>
      <c r="S578">
        <v>2018</v>
      </c>
      <c r="T578">
        <v>5</v>
      </c>
      <c r="U578" t="s">
        <v>1321</v>
      </c>
      <c r="V578" t="s">
        <v>162</v>
      </c>
      <c r="W578">
        <v>0</v>
      </c>
      <c r="X578">
        <v>0</v>
      </c>
      <c r="Y578" t="s">
        <v>162</v>
      </c>
      <c r="Z578">
        <v>2018</v>
      </c>
      <c r="AA578">
        <v>2016</v>
      </c>
      <c r="AB578" s="5">
        <v>0.163104271361</v>
      </c>
      <c r="AC578" s="5">
        <v>0.32620854272200001</v>
      </c>
      <c r="AD578" t="s">
        <v>162</v>
      </c>
      <c r="AE578" t="s">
        <v>163</v>
      </c>
      <c r="AF578" t="s">
        <v>154</v>
      </c>
      <c r="AG578" t="s">
        <v>154</v>
      </c>
      <c r="AH578" t="s">
        <v>166</v>
      </c>
      <c r="AI578" t="s">
        <v>226</v>
      </c>
      <c r="AJ578" t="s">
        <v>154</v>
      </c>
      <c r="AK578" t="s">
        <v>162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 s="60">
        <f t="shared" si="8"/>
        <v>1</v>
      </c>
      <c r="AU578" s="95" t="s">
        <v>213</v>
      </c>
      <c r="AV578" s="94" t="s">
        <v>165</v>
      </c>
      <c r="AW578" t="s">
        <v>166</v>
      </c>
      <c r="AX578">
        <v>1</v>
      </c>
      <c r="AY578" t="s">
        <v>167</v>
      </c>
      <c r="AZ578" t="s">
        <v>162</v>
      </c>
    </row>
    <row r="579" spans="1:52" x14ac:dyDescent="0.25">
      <c r="A579">
        <v>568</v>
      </c>
      <c r="B579" t="s">
        <v>1080</v>
      </c>
      <c r="C579" t="s">
        <v>151</v>
      </c>
      <c r="D579" t="s">
        <v>257</v>
      </c>
      <c r="E579" t="s">
        <v>172</v>
      </c>
      <c r="F579" t="s">
        <v>203</v>
      </c>
      <c r="G579">
        <v>630</v>
      </c>
      <c r="H579">
        <v>631</v>
      </c>
      <c r="I579" t="s">
        <v>498</v>
      </c>
      <c r="J579">
        <v>500</v>
      </c>
      <c r="K579">
        <v>501</v>
      </c>
      <c r="L579" t="s">
        <v>1282</v>
      </c>
      <c r="M579">
        <v>4</v>
      </c>
      <c r="N579" t="s">
        <v>9</v>
      </c>
      <c r="O579" t="s">
        <v>9</v>
      </c>
      <c r="P579" t="s">
        <v>175</v>
      </c>
      <c r="Q579" t="s">
        <v>1322</v>
      </c>
      <c r="R579" t="s">
        <v>261</v>
      </c>
      <c r="S579">
        <v>2018</v>
      </c>
      <c r="T579">
        <v>6</v>
      </c>
      <c r="U579" t="s">
        <v>162</v>
      </c>
      <c r="V579" t="s">
        <v>162</v>
      </c>
      <c r="W579">
        <v>0</v>
      </c>
      <c r="X579">
        <v>0</v>
      </c>
      <c r="Y579" t="s">
        <v>162</v>
      </c>
      <c r="Z579">
        <v>2018</v>
      </c>
      <c r="AA579">
        <v>0</v>
      </c>
      <c r="AB579" s="5">
        <v>0.228179743085</v>
      </c>
      <c r="AC579" s="5">
        <v>0.228179743085</v>
      </c>
      <c r="AD579" t="s">
        <v>162</v>
      </c>
      <c r="AE579" t="s">
        <v>166</v>
      </c>
      <c r="AF579" t="s">
        <v>203</v>
      </c>
      <c r="AG579" t="s">
        <v>163</v>
      </c>
      <c r="AH579" t="s">
        <v>162</v>
      </c>
      <c r="AI579" t="s">
        <v>162</v>
      </c>
      <c r="AJ579" t="s">
        <v>162</v>
      </c>
      <c r="AK579" t="s">
        <v>162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 s="60">
        <f t="shared" si="8"/>
        <v>1</v>
      </c>
      <c r="AU579" s="95">
        <v>43347</v>
      </c>
      <c r="AV579" s="94" t="s">
        <v>165</v>
      </c>
      <c r="AW579" t="s">
        <v>163</v>
      </c>
      <c r="AX579">
        <v>2</v>
      </c>
      <c r="AY579" t="s">
        <v>167</v>
      </c>
      <c r="AZ579" t="s">
        <v>162</v>
      </c>
    </row>
    <row r="580" spans="1:52" x14ac:dyDescent="0.25">
      <c r="A580">
        <v>569</v>
      </c>
      <c r="B580" t="s">
        <v>698</v>
      </c>
      <c r="C580" t="s">
        <v>163</v>
      </c>
      <c r="D580" t="s">
        <v>699</v>
      </c>
      <c r="E580" t="s">
        <v>216</v>
      </c>
      <c r="F580" t="s">
        <v>162</v>
      </c>
      <c r="G580">
        <v>4600</v>
      </c>
      <c r="H580">
        <v>4601</v>
      </c>
      <c r="I580" t="s">
        <v>446</v>
      </c>
      <c r="J580">
        <v>4758</v>
      </c>
      <c r="K580">
        <v>4759</v>
      </c>
      <c r="L580" t="s">
        <v>588</v>
      </c>
      <c r="M580">
        <v>2</v>
      </c>
      <c r="N580" t="s">
        <v>15</v>
      </c>
      <c r="O580" t="s">
        <v>15</v>
      </c>
      <c r="P580" t="s">
        <v>175</v>
      </c>
      <c r="Q580" t="s">
        <v>1323</v>
      </c>
      <c r="R580" t="s">
        <v>516</v>
      </c>
      <c r="S580">
        <v>2018</v>
      </c>
      <c r="T580">
        <v>6</v>
      </c>
      <c r="U580" t="s">
        <v>162</v>
      </c>
      <c r="V580" t="s">
        <v>162</v>
      </c>
      <c r="W580">
        <v>0</v>
      </c>
      <c r="X580">
        <v>0</v>
      </c>
      <c r="Y580" t="s">
        <v>162</v>
      </c>
      <c r="Z580">
        <v>2018</v>
      </c>
      <c r="AA580">
        <v>2013</v>
      </c>
      <c r="AB580" s="5">
        <v>0.25318157854200002</v>
      </c>
      <c r="AC580" s="5">
        <v>0.50636315708400004</v>
      </c>
      <c r="AD580" t="s">
        <v>162</v>
      </c>
      <c r="AE580" t="s">
        <v>163</v>
      </c>
      <c r="AF580" t="s">
        <v>162</v>
      </c>
      <c r="AG580" t="s">
        <v>162</v>
      </c>
      <c r="AH580" t="s">
        <v>162</v>
      </c>
      <c r="AI580" t="s">
        <v>162</v>
      </c>
      <c r="AJ580" t="s">
        <v>162</v>
      </c>
      <c r="AK580" t="s">
        <v>162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s="60">
        <f t="shared" si="8"/>
        <v>1</v>
      </c>
      <c r="AU580" s="95">
        <v>43343</v>
      </c>
      <c r="AV580" t="s">
        <v>165</v>
      </c>
      <c r="AW580" t="s">
        <v>162</v>
      </c>
      <c r="AX580">
        <v>2</v>
      </c>
      <c r="AY580" t="s">
        <v>167</v>
      </c>
      <c r="AZ580" t="s">
        <v>162</v>
      </c>
    </row>
    <row r="581" spans="1:52" x14ac:dyDescent="0.25">
      <c r="A581">
        <v>570</v>
      </c>
      <c r="B581" t="s">
        <v>1324</v>
      </c>
      <c r="C581" t="s">
        <v>151</v>
      </c>
      <c r="D581" t="s">
        <v>470</v>
      </c>
      <c r="E581" t="s">
        <v>182</v>
      </c>
      <c r="F581" t="s">
        <v>162</v>
      </c>
      <c r="G581">
        <v>732</v>
      </c>
      <c r="H581">
        <v>733</v>
      </c>
      <c r="I581" t="s">
        <v>471</v>
      </c>
      <c r="J581">
        <v>746</v>
      </c>
      <c r="K581">
        <v>731</v>
      </c>
      <c r="L581" t="s">
        <v>1325</v>
      </c>
      <c r="M581">
        <v>2</v>
      </c>
      <c r="N581" t="s">
        <v>11</v>
      </c>
      <c r="O581" t="s">
        <v>11</v>
      </c>
      <c r="P581" t="s">
        <v>175</v>
      </c>
      <c r="Q581" t="s">
        <v>1326</v>
      </c>
      <c r="R581" t="s">
        <v>516</v>
      </c>
      <c r="S581">
        <v>2018</v>
      </c>
      <c r="T581">
        <v>6</v>
      </c>
      <c r="U581" t="s">
        <v>162</v>
      </c>
      <c r="V581" t="s">
        <v>473</v>
      </c>
      <c r="W581">
        <v>2021</v>
      </c>
      <c r="X581">
        <v>6</v>
      </c>
      <c r="Y581" t="s">
        <v>162</v>
      </c>
      <c r="Z581">
        <v>2021</v>
      </c>
      <c r="AA581">
        <v>2021</v>
      </c>
      <c r="AB581" s="5">
        <v>4.00876156222E-2</v>
      </c>
      <c r="AC581" s="5">
        <v>8.01752312444E-2</v>
      </c>
      <c r="AD581" t="s">
        <v>162</v>
      </c>
      <c r="AE581" t="s">
        <v>163</v>
      </c>
      <c r="AF581" t="s">
        <v>162</v>
      </c>
      <c r="AG581" t="s">
        <v>162</v>
      </c>
      <c r="AH581" t="s">
        <v>162</v>
      </c>
      <c r="AI581" t="s">
        <v>162</v>
      </c>
      <c r="AJ581" t="s">
        <v>162</v>
      </c>
      <c r="AK581" t="s">
        <v>162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s="60">
        <f t="shared" si="8"/>
        <v>1</v>
      </c>
      <c r="AU581" s="95" t="s">
        <v>474</v>
      </c>
      <c r="AV581" s="94" t="s">
        <v>165</v>
      </c>
      <c r="AW581" t="s">
        <v>166</v>
      </c>
      <c r="AX581">
        <v>2</v>
      </c>
      <c r="AY581" t="s">
        <v>167</v>
      </c>
      <c r="AZ581" t="s">
        <v>162</v>
      </c>
    </row>
    <row r="582" spans="1:52" x14ac:dyDescent="0.25">
      <c r="A582">
        <v>571</v>
      </c>
      <c r="B582" t="s">
        <v>1324</v>
      </c>
      <c r="C582" t="s">
        <v>151</v>
      </c>
      <c r="D582" t="s">
        <v>470</v>
      </c>
      <c r="E582" t="s">
        <v>182</v>
      </c>
      <c r="F582" t="s">
        <v>162</v>
      </c>
      <c r="G582">
        <v>730</v>
      </c>
      <c r="H582">
        <v>729</v>
      </c>
      <c r="I582" t="s">
        <v>1325</v>
      </c>
      <c r="J582">
        <v>0</v>
      </c>
      <c r="K582">
        <v>0</v>
      </c>
      <c r="L582" t="s">
        <v>1005</v>
      </c>
      <c r="M582">
        <v>4</v>
      </c>
      <c r="N582" t="s">
        <v>7</v>
      </c>
      <c r="O582" t="s">
        <v>7</v>
      </c>
      <c r="P582" t="s">
        <v>175</v>
      </c>
      <c r="Q582" t="s">
        <v>1326</v>
      </c>
      <c r="R582" t="s">
        <v>1327</v>
      </c>
      <c r="S582">
        <v>2018</v>
      </c>
      <c r="T582">
        <v>6</v>
      </c>
      <c r="U582" t="s">
        <v>162</v>
      </c>
      <c r="V582" t="s">
        <v>162</v>
      </c>
      <c r="W582">
        <v>0</v>
      </c>
      <c r="X582">
        <v>0</v>
      </c>
      <c r="Y582" t="s">
        <v>162</v>
      </c>
      <c r="Z582">
        <v>2018</v>
      </c>
      <c r="AA582">
        <v>0</v>
      </c>
      <c r="AB582" s="5">
        <v>9.0580822822199994E-2</v>
      </c>
      <c r="AC582" s="5">
        <v>0.181161645644</v>
      </c>
      <c r="AD582" t="s">
        <v>162</v>
      </c>
      <c r="AE582" t="s">
        <v>163</v>
      </c>
      <c r="AF582" t="s">
        <v>162</v>
      </c>
      <c r="AG582" t="s">
        <v>162</v>
      </c>
      <c r="AH582" t="s">
        <v>162</v>
      </c>
      <c r="AI582" t="s">
        <v>1130</v>
      </c>
      <c r="AJ582" t="s">
        <v>154</v>
      </c>
      <c r="AK582" t="s">
        <v>162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s="60">
        <f t="shared" si="8"/>
        <v>1</v>
      </c>
      <c r="AU582" s="95" t="s">
        <v>227</v>
      </c>
      <c r="AV582" s="94" t="s">
        <v>165</v>
      </c>
      <c r="AW582" t="s">
        <v>154</v>
      </c>
      <c r="AX582">
        <v>1</v>
      </c>
      <c r="AY582" t="s">
        <v>167</v>
      </c>
      <c r="AZ582" t="s">
        <v>162</v>
      </c>
    </row>
    <row r="583" spans="1:52" x14ac:dyDescent="0.25">
      <c r="A583">
        <v>572</v>
      </c>
      <c r="B583" t="s">
        <v>1328</v>
      </c>
      <c r="C583" t="s">
        <v>163</v>
      </c>
      <c r="D583" t="s">
        <v>1329</v>
      </c>
      <c r="E583" t="s">
        <v>182</v>
      </c>
      <c r="F583" t="s">
        <v>162</v>
      </c>
      <c r="G583">
        <v>4732</v>
      </c>
      <c r="H583">
        <v>4731</v>
      </c>
      <c r="I583" t="s">
        <v>1330</v>
      </c>
      <c r="J583">
        <v>4758</v>
      </c>
      <c r="K583">
        <v>4759</v>
      </c>
      <c r="L583" t="s">
        <v>588</v>
      </c>
      <c r="M583">
        <v>4</v>
      </c>
      <c r="N583" t="s">
        <v>15</v>
      </c>
      <c r="O583" t="s">
        <v>15</v>
      </c>
      <c r="P583" t="s">
        <v>175</v>
      </c>
      <c r="Q583" t="s">
        <v>162</v>
      </c>
      <c r="R583" t="s">
        <v>516</v>
      </c>
      <c r="S583">
        <v>2018</v>
      </c>
      <c r="T583">
        <v>6</v>
      </c>
      <c r="U583" t="s">
        <v>162</v>
      </c>
      <c r="V583" t="s">
        <v>162</v>
      </c>
      <c r="W583">
        <v>0</v>
      </c>
      <c r="X583">
        <v>0</v>
      </c>
      <c r="Y583" t="s">
        <v>162</v>
      </c>
      <c r="Z583">
        <v>2018</v>
      </c>
      <c r="AA583">
        <v>0</v>
      </c>
      <c r="AB583" s="5">
        <v>6.49741483451E-2</v>
      </c>
      <c r="AC583" s="5">
        <v>0.12994829668999999</v>
      </c>
      <c r="AD583" t="s">
        <v>162</v>
      </c>
      <c r="AE583" t="s">
        <v>163</v>
      </c>
      <c r="AF583" t="s">
        <v>162</v>
      </c>
      <c r="AG583" t="s">
        <v>162</v>
      </c>
      <c r="AH583" t="s">
        <v>162</v>
      </c>
      <c r="AI583" t="s">
        <v>162</v>
      </c>
      <c r="AJ583" t="s">
        <v>162</v>
      </c>
      <c r="AK583" t="s">
        <v>162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s="60">
        <f t="shared" si="8"/>
        <v>1</v>
      </c>
      <c r="AU583" s="95">
        <v>43348</v>
      </c>
      <c r="AV583" s="94" t="s">
        <v>165</v>
      </c>
      <c r="AW583" t="s">
        <v>162</v>
      </c>
      <c r="AX583">
        <v>2</v>
      </c>
      <c r="AY583" t="s">
        <v>167</v>
      </c>
      <c r="AZ583" t="s">
        <v>162</v>
      </c>
    </row>
    <row r="584" spans="1:52" x14ac:dyDescent="0.25">
      <c r="A584">
        <v>573</v>
      </c>
      <c r="B584" t="s">
        <v>1331</v>
      </c>
      <c r="C584" t="s">
        <v>151</v>
      </c>
      <c r="D584" t="s">
        <v>1332</v>
      </c>
      <c r="E584" t="s">
        <v>205</v>
      </c>
      <c r="F584" t="s">
        <v>162</v>
      </c>
      <c r="G584">
        <v>758</v>
      </c>
      <c r="H584">
        <v>759</v>
      </c>
      <c r="I584" t="s">
        <v>684</v>
      </c>
      <c r="J584">
        <v>746</v>
      </c>
      <c r="K584">
        <v>747</v>
      </c>
      <c r="L584" t="s">
        <v>471</v>
      </c>
      <c r="M584">
        <v>4</v>
      </c>
      <c r="N584" t="s">
        <v>15</v>
      </c>
      <c r="O584" t="s">
        <v>15</v>
      </c>
      <c r="P584" t="s">
        <v>175</v>
      </c>
      <c r="Q584" t="s">
        <v>162</v>
      </c>
      <c r="R584" t="s">
        <v>516</v>
      </c>
      <c r="S584">
        <v>2018</v>
      </c>
      <c r="T584">
        <v>6</v>
      </c>
      <c r="U584" t="s">
        <v>162</v>
      </c>
      <c r="V584" t="s">
        <v>162</v>
      </c>
      <c r="W584">
        <v>0</v>
      </c>
      <c r="X584">
        <v>0</v>
      </c>
      <c r="Y584" t="s">
        <v>162</v>
      </c>
      <c r="Z584">
        <v>2018</v>
      </c>
      <c r="AA584">
        <v>0</v>
      </c>
      <c r="AB584" s="5">
        <v>3.6767531672000003E-2</v>
      </c>
      <c r="AC584" s="5">
        <v>7.3535063344000007E-2</v>
      </c>
      <c r="AD584" t="s">
        <v>162</v>
      </c>
      <c r="AE584" t="s">
        <v>163</v>
      </c>
      <c r="AF584" t="s">
        <v>162</v>
      </c>
      <c r="AG584" t="s">
        <v>162</v>
      </c>
      <c r="AH584" t="s">
        <v>162</v>
      </c>
      <c r="AI584" t="s">
        <v>162</v>
      </c>
      <c r="AJ584" t="s">
        <v>162</v>
      </c>
      <c r="AK584" t="s">
        <v>162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s="60">
        <f t="shared" si="8"/>
        <v>1</v>
      </c>
      <c r="AU584" s="95">
        <v>43348</v>
      </c>
      <c r="AV584" s="94" t="s">
        <v>165</v>
      </c>
      <c r="AW584" t="s">
        <v>162</v>
      </c>
      <c r="AX584">
        <v>3</v>
      </c>
      <c r="AY584" t="s">
        <v>167</v>
      </c>
      <c r="AZ584" t="s">
        <v>162</v>
      </c>
    </row>
    <row r="585" spans="1:52" x14ac:dyDescent="0.25">
      <c r="A585">
        <v>574</v>
      </c>
      <c r="B585" t="s">
        <v>681</v>
      </c>
      <c r="C585" t="s">
        <v>151</v>
      </c>
      <c r="D585" t="s">
        <v>682</v>
      </c>
      <c r="E585" t="s">
        <v>182</v>
      </c>
      <c r="F585" t="s">
        <v>162</v>
      </c>
      <c r="G585">
        <v>724</v>
      </c>
      <c r="H585">
        <v>723</v>
      </c>
      <c r="I585" t="s">
        <v>471</v>
      </c>
      <c r="J585">
        <v>714</v>
      </c>
      <c r="K585">
        <v>713</v>
      </c>
      <c r="L585" t="s">
        <v>1333</v>
      </c>
      <c r="M585">
        <v>4</v>
      </c>
      <c r="N585" t="s">
        <v>9</v>
      </c>
      <c r="O585" t="s">
        <v>9</v>
      </c>
      <c r="P585" t="s">
        <v>175</v>
      </c>
      <c r="Q585" t="s">
        <v>162</v>
      </c>
      <c r="R585" t="s">
        <v>516</v>
      </c>
      <c r="S585">
        <v>2018</v>
      </c>
      <c r="T585">
        <v>6</v>
      </c>
      <c r="U585" t="s">
        <v>162</v>
      </c>
      <c r="V585" t="s">
        <v>162</v>
      </c>
      <c r="W585">
        <v>0</v>
      </c>
      <c r="X585">
        <v>0</v>
      </c>
      <c r="Y585" t="s">
        <v>162</v>
      </c>
      <c r="Z585">
        <v>2018</v>
      </c>
      <c r="AA585">
        <v>0</v>
      </c>
      <c r="AB585" s="5">
        <v>3.0916146533E-2</v>
      </c>
      <c r="AC585" s="5">
        <v>6.1832293066000001E-2</v>
      </c>
      <c r="AD585" t="s">
        <v>162</v>
      </c>
      <c r="AE585" t="s">
        <v>163</v>
      </c>
      <c r="AF585" t="s">
        <v>162</v>
      </c>
      <c r="AG585" t="s">
        <v>162</v>
      </c>
      <c r="AH585" t="s">
        <v>162</v>
      </c>
      <c r="AI585" t="s">
        <v>162</v>
      </c>
      <c r="AJ585" t="s">
        <v>162</v>
      </c>
      <c r="AK585" t="s">
        <v>162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s="60">
        <f t="shared" si="8"/>
        <v>1</v>
      </c>
      <c r="AU585" s="95">
        <v>43343</v>
      </c>
      <c r="AV585" s="94" t="s">
        <v>165</v>
      </c>
      <c r="AW585" t="s">
        <v>166</v>
      </c>
      <c r="AX585">
        <v>2</v>
      </c>
      <c r="AY585" t="s">
        <v>167</v>
      </c>
      <c r="AZ585" t="s">
        <v>162</v>
      </c>
    </row>
    <row r="586" spans="1:52" x14ac:dyDescent="0.25">
      <c r="A586">
        <v>575</v>
      </c>
      <c r="B586" t="s">
        <v>681</v>
      </c>
      <c r="C586" t="s">
        <v>151</v>
      </c>
      <c r="D586" t="s">
        <v>682</v>
      </c>
      <c r="E586" t="s">
        <v>182</v>
      </c>
      <c r="F586" t="s">
        <v>162</v>
      </c>
      <c r="G586">
        <v>712</v>
      </c>
      <c r="H586">
        <v>711</v>
      </c>
      <c r="I586" t="s">
        <v>1333</v>
      </c>
      <c r="J586">
        <v>0</v>
      </c>
      <c r="K586">
        <v>0</v>
      </c>
      <c r="L586" t="s">
        <v>1005</v>
      </c>
      <c r="M586">
        <v>4</v>
      </c>
      <c r="N586" t="s">
        <v>7</v>
      </c>
      <c r="O586" t="s">
        <v>7</v>
      </c>
      <c r="P586" t="s">
        <v>175</v>
      </c>
      <c r="Q586" t="s">
        <v>162</v>
      </c>
      <c r="R586" t="s">
        <v>1327</v>
      </c>
      <c r="S586">
        <v>2018</v>
      </c>
      <c r="T586">
        <v>6</v>
      </c>
      <c r="U586" t="s">
        <v>162</v>
      </c>
      <c r="V586" t="s">
        <v>162</v>
      </c>
      <c r="W586">
        <v>0</v>
      </c>
      <c r="X586">
        <v>0</v>
      </c>
      <c r="Y586" t="s">
        <v>162</v>
      </c>
      <c r="Z586">
        <v>2018</v>
      </c>
      <c r="AA586">
        <v>0</v>
      </c>
      <c r="AB586" s="5">
        <v>8.9531924473699995E-2</v>
      </c>
      <c r="AC586" s="5">
        <v>0.179063848947</v>
      </c>
      <c r="AD586" t="s">
        <v>162</v>
      </c>
      <c r="AE586" t="s">
        <v>163</v>
      </c>
      <c r="AF586" t="s">
        <v>154</v>
      </c>
      <c r="AG586" t="s">
        <v>154</v>
      </c>
      <c r="AH586" t="s">
        <v>154</v>
      </c>
      <c r="AI586" t="s">
        <v>1130</v>
      </c>
      <c r="AJ586" t="s">
        <v>154</v>
      </c>
      <c r="AK586" t="s">
        <v>162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s="60">
        <f t="shared" si="8"/>
        <v>1</v>
      </c>
      <c r="AU586" s="95" t="s">
        <v>227</v>
      </c>
      <c r="AV586" s="94" t="s">
        <v>165</v>
      </c>
      <c r="AW586" t="s">
        <v>163</v>
      </c>
      <c r="AX586">
        <v>1</v>
      </c>
      <c r="AY586" t="s">
        <v>167</v>
      </c>
      <c r="AZ586" t="s">
        <v>162</v>
      </c>
    </row>
    <row r="587" spans="1:52" x14ac:dyDescent="0.25">
      <c r="A587">
        <v>576</v>
      </c>
      <c r="B587" t="s">
        <v>1314</v>
      </c>
      <c r="C587" t="s">
        <v>151</v>
      </c>
      <c r="D587" t="s">
        <v>1315</v>
      </c>
      <c r="E587" t="s">
        <v>216</v>
      </c>
      <c r="F587" t="s">
        <v>162</v>
      </c>
      <c r="G587">
        <v>1472</v>
      </c>
      <c r="H587">
        <v>1473</v>
      </c>
      <c r="I587" t="s">
        <v>478</v>
      </c>
      <c r="J587">
        <v>1133</v>
      </c>
      <c r="K587">
        <v>1134</v>
      </c>
      <c r="L587" t="s">
        <v>683</v>
      </c>
      <c r="M587">
        <v>4</v>
      </c>
      <c r="N587" t="s">
        <v>13</v>
      </c>
      <c r="O587" t="s">
        <v>15</v>
      </c>
      <c r="P587" t="s">
        <v>175</v>
      </c>
      <c r="Q587" t="s">
        <v>1334</v>
      </c>
      <c r="R587" t="s">
        <v>516</v>
      </c>
      <c r="S587">
        <v>2018</v>
      </c>
      <c r="T587">
        <v>6</v>
      </c>
      <c r="U587" t="s">
        <v>162</v>
      </c>
      <c r="V587" t="s">
        <v>162</v>
      </c>
      <c r="W587">
        <v>0</v>
      </c>
      <c r="X587">
        <v>0</v>
      </c>
      <c r="Y587" t="s">
        <v>162</v>
      </c>
      <c r="Z587">
        <v>2018</v>
      </c>
      <c r="AA587">
        <v>0</v>
      </c>
      <c r="AB587" s="5">
        <v>0.43720004522</v>
      </c>
      <c r="AC587" s="5">
        <v>0.87440009044</v>
      </c>
      <c r="AD587" t="s">
        <v>1317</v>
      </c>
      <c r="AE587" t="s">
        <v>163</v>
      </c>
      <c r="AF587" t="s">
        <v>162</v>
      </c>
      <c r="AG587" t="s">
        <v>162</v>
      </c>
      <c r="AH587" t="s">
        <v>162</v>
      </c>
      <c r="AI587" t="s">
        <v>162</v>
      </c>
      <c r="AJ587" t="s">
        <v>162</v>
      </c>
      <c r="AK587" t="s">
        <v>162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s="60">
        <f t="shared" ref="AT587:AT650" si="9">SUM(AM587:AS587)</f>
        <v>1</v>
      </c>
      <c r="AU587" s="95">
        <v>43348</v>
      </c>
      <c r="AV587" s="94" t="s">
        <v>165</v>
      </c>
      <c r="AW587" t="s">
        <v>162</v>
      </c>
      <c r="AX587">
        <v>3</v>
      </c>
      <c r="AY587" t="s">
        <v>275</v>
      </c>
      <c r="AZ587">
        <v>20</v>
      </c>
    </row>
    <row r="588" spans="1:52" x14ac:dyDescent="0.25">
      <c r="A588">
        <v>577</v>
      </c>
      <c r="B588" t="s">
        <v>1314</v>
      </c>
      <c r="C588" t="s">
        <v>151</v>
      </c>
      <c r="D588" t="s">
        <v>1315</v>
      </c>
      <c r="E588" t="s">
        <v>216</v>
      </c>
      <c r="F588" t="s">
        <v>162</v>
      </c>
      <c r="G588">
        <v>956</v>
      </c>
      <c r="H588">
        <v>957</v>
      </c>
      <c r="I588" t="s">
        <v>273</v>
      </c>
      <c r="J588">
        <v>900</v>
      </c>
      <c r="K588">
        <v>901</v>
      </c>
      <c r="L588" t="s">
        <v>1335</v>
      </c>
      <c r="M588">
        <v>4</v>
      </c>
      <c r="N588" t="s">
        <v>13</v>
      </c>
      <c r="O588" t="s">
        <v>15</v>
      </c>
      <c r="P588" t="s">
        <v>175</v>
      </c>
      <c r="Q588" t="s">
        <v>1334</v>
      </c>
      <c r="R588" t="s">
        <v>516</v>
      </c>
      <c r="S588">
        <v>2018</v>
      </c>
      <c r="T588">
        <v>6</v>
      </c>
      <c r="U588" t="s">
        <v>1336</v>
      </c>
      <c r="V588" t="s">
        <v>162</v>
      </c>
      <c r="W588">
        <v>0</v>
      </c>
      <c r="X588">
        <v>0</v>
      </c>
      <c r="Y588" t="s">
        <v>162</v>
      </c>
      <c r="Z588">
        <v>2018</v>
      </c>
      <c r="AA588">
        <v>0</v>
      </c>
      <c r="AB588" s="5">
        <v>0.16081847303499999</v>
      </c>
      <c r="AC588" s="5">
        <v>0.32163694606999998</v>
      </c>
      <c r="AD588" t="s">
        <v>1317</v>
      </c>
      <c r="AE588" t="s">
        <v>163</v>
      </c>
      <c r="AF588" t="s">
        <v>162</v>
      </c>
      <c r="AG588" t="s">
        <v>162</v>
      </c>
      <c r="AH588" t="s">
        <v>162</v>
      </c>
      <c r="AI588" t="s">
        <v>162</v>
      </c>
      <c r="AJ588" t="s">
        <v>162</v>
      </c>
      <c r="AK588" t="s">
        <v>162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s="60">
        <f t="shared" si="9"/>
        <v>1</v>
      </c>
      <c r="AU588" s="95">
        <v>43348</v>
      </c>
      <c r="AV588" t="s">
        <v>165</v>
      </c>
      <c r="AW588" t="s">
        <v>162</v>
      </c>
      <c r="AX588">
        <v>3</v>
      </c>
      <c r="AY588" t="s">
        <v>275</v>
      </c>
      <c r="AZ588">
        <v>20</v>
      </c>
    </row>
    <row r="589" spans="1:52" x14ac:dyDescent="0.25">
      <c r="A589">
        <v>578</v>
      </c>
      <c r="B589" t="s">
        <v>1337</v>
      </c>
      <c r="C589" t="s">
        <v>151</v>
      </c>
      <c r="D589" t="s">
        <v>1338</v>
      </c>
      <c r="E589" t="s">
        <v>216</v>
      </c>
      <c r="F589" t="s">
        <v>162</v>
      </c>
      <c r="G589">
        <v>900</v>
      </c>
      <c r="H589">
        <v>901</v>
      </c>
      <c r="I589" t="s">
        <v>1339</v>
      </c>
      <c r="J589">
        <v>800</v>
      </c>
      <c r="K589">
        <v>801</v>
      </c>
      <c r="L589" t="s">
        <v>684</v>
      </c>
      <c r="M589">
        <v>4</v>
      </c>
      <c r="N589" t="s">
        <v>13</v>
      </c>
      <c r="O589" t="s">
        <v>15</v>
      </c>
      <c r="P589" t="s">
        <v>175</v>
      </c>
      <c r="Q589" t="s">
        <v>1340</v>
      </c>
      <c r="R589" t="s">
        <v>516</v>
      </c>
      <c r="S589">
        <v>2018</v>
      </c>
      <c r="T589">
        <v>6</v>
      </c>
      <c r="U589" t="s">
        <v>1341</v>
      </c>
      <c r="V589" t="s">
        <v>162</v>
      </c>
      <c r="W589">
        <v>0</v>
      </c>
      <c r="X589">
        <v>0</v>
      </c>
      <c r="Y589" t="s">
        <v>162</v>
      </c>
      <c r="Z589">
        <v>2018</v>
      </c>
      <c r="AA589">
        <v>0</v>
      </c>
      <c r="AB589" s="5">
        <v>0.14833737234700001</v>
      </c>
      <c r="AC589" s="5">
        <v>0.29667474469400001</v>
      </c>
      <c r="AD589" t="s">
        <v>1317</v>
      </c>
      <c r="AE589" t="s">
        <v>163</v>
      </c>
      <c r="AF589" t="s">
        <v>162</v>
      </c>
      <c r="AG589" t="s">
        <v>162</v>
      </c>
      <c r="AH589" t="s">
        <v>162</v>
      </c>
      <c r="AI589" t="s">
        <v>162</v>
      </c>
      <c r="AJ589" t="s">
        <v>162</v>
      </c>
      <c r="AK589" t="s">
        <v>162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s="60">
        <f t="shared" si="9"/>
        <v>1</v>
      </c>
      <c r="AU589" s="95">
        <v>43348</v>
      </c>
      <c r="AV589" s="94" t="s">
        <v>165</v>
      </c>
      <c r="AW589" t="s">
        <v>162</v>
      </c>
      <c r="AX589">
        <v>3</v>
      </c>
      <c r="AY589" t="s">
        <v>275</v>
      </c>
      <c r="AZ589" t="s">
        <v>162</v>
      </c>
    </row>
    <row r="590" spans="1:52" x14ac:dyDescent="0.25">
      <c r="A590">
        <v>579</v>
      </c>
      <c r="B590" t="s">
        <v>1342</v>
      </c>
      <c r="C590" t="s">
        <v>151</v>
      </c>
      <c r="D590" t="s">
        <v>1343</v>
      </c>
      <c r="E590" t="s">
        <v>172</v>
      </c>
      <c r="F590" t="s">
        <v>162</v>
      </c>
      <c r="G590">
        <v>334</v>
      </c>
      <c r="H590">
        <v>335</v>
      </c>
      <c r="I590" t="s">
        <v>906</v>
      </c>
      <c r="J590">
        <v>200</v>
      </c>
      <c r="K590">
        <v>201</v>
      </c>
      <c r="L590" t="s">
        <v>478</v>
      </c>
      <c r="M590">
        <v>4</v>
      </c>
      <c r="N590" t="s">
        <v>15</v>
      </c>
      <c r="O590" t="s">
        <v>15</v>
      </c>
      <c r="P590" t="s">
        <v>175</v>
      </c>
      <c r="Q590" t="s">
        <v>1344</v>
      </c>
      <c r="R590" t="s">
        <v>516</v>
      </c>
      <c r="S590">
        <v>2018</v>
      </c>
      <c r="T590">
        <v>5</v>
      </c>
      <c r="U590" t="s">
        <v>162</v>
      </c>
      <c r="V590" t="s">
        <v>162</v>
      </c>
      <c r="W590">
        <v>0</v>
      </c>
      <c r="X590">
        <v>0</v>
      </c>
      <c r="Y590" t="s">
        <v>162</v>
      </c>
      <c r="Z590">
        <v>2018</v>
      </c>
      <c r="AA590">
        <v>0</v>
      </c>
      <c r="AB590" s="5">
        <v>0.30813057863499999</v>
      </c>
      <c r="AC590" s="5">
        <v>0.61626115726999997</v>
      </c>
      <c r="AD590" t="s">
        <v>162</v>
      </c>
      <c r="AE590" t="s">
        <v>163</v>
      </c>
      <c r="AF590" t="s">
        <v>162</v>
      </c>
      <c r="AG590" t="s">
        <v>162</v>
      </c>
      <c r="AH590" t="s">
        <v>162</v>
      </c>
      <c r="AI590" t="s">
        <v>162</v>
      </c>
      <c r="AJ590" t="s">
        <v>162</v>
      </c>
      <c r="AK590" t="s">
        <v>162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 s="60">
        <f t="shared" si="9"/>
        <v>1</v>
      </c>
      <c r="AU590" s="95">
        <v>43348</v>
      </c>
      <c r="AV590" s="94" t="s">
        <v>165</v>
      </c>
      <c r="AW590" t="s">
        <v>162</v>
      </c>
      <c r="AX590">
        <v>2</v>
      </c>
      <c r="AY590" t="s">
        <v>1345</v>
      </c>
      <c r="AZ590" t="s">
        <v>162</v>
      </c>
    </row>
    <row r="591" spans="1:52" x14ac:dyDescent="0.25">
      <c r="A591">
        <v>580</v>
      </c>
      <c r="B591" t="s">
        <v>869</v>
      </c>
      <c r="C591" t="s">
        <v>163</v>
      </c>
      <c r="D591" t="s">
        <v>870</v>
      </c>
      <c r="E591" t="s">
        <v>172</v>
      </c>
      <c r="F591" t="s">
        <v>162</v>
      </c>
      <c r="G591">
        <v>1000</v>
      </c>
      <c r="H591">
        <v>1001</v>
      </c>
      <c r="I591" t="s">
        <v>297</v>
      </c>
      <c r="J591">
        <v>1158</v>
      </c>
      <c r="K591">
        <v>1159</v>
      </c>
      <c r="L591" t="s">
        <v>459</v>
      </c>
      <c r="M591">
        <v>4</v>
      </c>
      <c r="N591" t="s">
        <v>9</v>
      </c>
      <c r="O591" t="s">
        <v>9</v>
      </c>
      <c r="P591" t="s">
        <v>175</v>
      </c>
      <c r="Q591" t="s">
        <v>1346</v>
      </c>
      <c r="R591" t="s">
        <v>516</v>
      </c>
      <c r="S591">
        <v>2018</v>
      </c>
      <c r="T591">
        <v>5</v>
      </c>
      <c r="U591" t="s">
        <v>162</v>
      </c>
      <c r="V591" t="s">
        <v>162</v>
      </c>
      <c r="W591">
        <v>0</v>
      </c>
      <c r="X591">
        <v>0</v>
      </c>
      <c r="Y591" t="s">
        <v>162</v>
      </c>
      <c r="Z591">
        <v>2018</v>
      </c>
      <c r="AA591">
        <v>0</v>
      </c>
      <c r="AB591" s="5">
        <v>0.22779618981700001</v>
      </c>
      <c r="AC591" s="5">
        <v>0.45559237963400001</v>
      </c>
      <c r="AD591" t="s">
        <v>162</v>
      </c>
      <c r="AE591" t="s">
        <v>163</v>
      </c>
      <c r="AF591" t="s">
        <v>162</v>
      </c>
      <c r="AG591" t="s">
        <v>162</v>
      </c>
      <c r="AH591" t="s">
        <v>162</v>
      </c>
      <c r="AI591" t="s">
        <v>162</v>
      </c>
      <c r="AJ591" t="s">
        <v>162</v>
      </c>
      <c r="AK591" t="s">
        <v>162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 s="60">
        <f t="shared" si="9"/>
        <v>1</v>
      </c>
      <c r="AU591" s="95">
        <v>43347</v>
      </c>
      <c r="AV591" t="s">
        <v>165</v>
      </c>
      <c r="AW591" t="s">
        <v>163</v>
      </c>
      <c r="AX591">
        <v>2</v>
      </c>
      <c r="AY591" t="s">
        <v>167</v>
      </c>
      <c r="AZ591" t="s">
        <v>162</v>
      </c>
    </row>
    <row r="592" spans="1:52" x14ac:dyDescent="0.25">
      <c r="A592">
        <v>581</v>
      </c>
      <c r="B592" t="s">
        <v>1347</v>
      </c>
      <c r="C592" t="s">
        <v>180</v>
      </c>
      <c r="D592" t="s">
        <v>1348</v>
      </c>
      <c r="E592" t="s">
        <v>216</v>
      </c>
      <c r="F592" t="s">
        <v>162</v>
      </c>
      <c r="G592">
        <v>12158</v>
      </c>
      <c r="H592">
        <v>12159</v>
      </c>
      <c r="I592" t="s">
        <v>1349</v>
      </c>
      <c r="J592">
        <v>10337</v>
      </c>
      <c r="K592">
        <v>10336</v>
      </c>
      <c r="L592" t="s">
        <v>975</v>
      </c>
      <c r="M592">
        <v>2</v>
      </c>
      <c r="N592" t="s">
        <v>9</v>
      </c>
      <c r="O592" t="s">
        <v>9</v>
      </c>
      <c r="P592" t="s">
        <v>175</v>
      </c>
      <c r="Q592" t="s">
        <v>1350</v>
      </c>
      <c r="R592" t="s">
        <v>238</v>
      </c>
      <c r="S592">
        <v>2018</v>
      </c>
      <c r="T592">
        <v>7</v>
      </c>
      <c r="U592" t="s">
        <v>123</v>
      </c>
      <c r="V592" t="s">
        <v>162</v>
      </c>
      <c r="W592">
        <v>0</v>
      </c>
      <c r="X592">
        <v>0</v>
      </c>
      <c r="Y592" t="s">
        <v>162</v>
      </c>
      <c r="Z592">
        <v>2018</v>
      </c>
      <c r="AA592">
        <v>2018</v>
      </c>
      <c r="AB592" s="5">
        <v>2.3882897398999998</v>
      </c>
      <c r="AC592" s="5">
        <v>4.7765794797999996</v>
      </c>
      <c r="AD592" t="s">
        <v>162</v>
      </c>
      <c r="AE592" t="s">
        <v>163</v>
      </c>
      <c r="AF592" t="s">
        <v>162</v>
      </c>
      <c r="AG592" t="s">
        <v>162</v>
      </c>
      <c r="AH592" t="s">
        <v>162</v>
      </c>
      <c r="AI592" t="s">
        <v>162</v>
      </c>
      <c r="AJ592" t="s">
        <v>162</v>
      </c>
      <c r="AK592" t="s">
        <v>162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 s="60">
        <f t="shared" si="9"/>
        <v>1</v>
      </c>
      <c r="AU592" s="95">
        <v>43348</v>
      </c>
      <c r="AV592" s="94" t="s">
        <v>165</v>
      </c>
      <c r="AW592" t="s">
        <v>166</v>
      </c>
      <c r="AX592">
        <v>2</v>
      </c>
      <c r="AY592" t="s">
        <v>167</v>
      </c>
      <c r="AZ592" t="s">
        <v>162</v>
      </c>
    </row>
    <row r="593" spans="1:52" x14ac:dyDescent="0.25">
      <c r="A593">
        <v>582</v>
      </c>
      <c r="B593" t="s">
        <v>617</v>
      </c>
      <c r="C593" t="s">
        <v>203</v>
      </c>
      <c r="D593" t="s">
        <v>204</v>
      </c>
      <c r="E593" t="s">
        <v>172</v>
      </c>
      <c r="F593" t="s">
        <v>162</v>
      </c>
      <c r="G593">
        <v>1500</v>
      </c>
      <c r="H593">
        <v>1501</v>
      </c>
      <c r="I593" t="s">
        <v>1351</v>
      </c>
      <c r="J593">
        <v>1570</v>
      </c>
      <c r="K593">
        <v>1551</v>
      </c>
      <c r="L593" t="s">
        <v>618</v>
      </c>
      <c r="M593">
        <v>2</v>
      </c>
      <c r="N593" t="s">
        <v>9</v>
      </c>
      <c r="O593" t="s">
        <v>9</v>
      </c>
      <c r="P593" t="s">
        <v>175</v>
      </c>
      <c r="Q593" t="s">
        <v>162</v>
      </c>
      <c r="R593" t="s">
        <v>201</v>
      </c>
      <c r="S593">
        <v>2012</v>
      </c>
      <c r="T593">
        <v>7</v>
      </c>
      <c r="U593" t="s">
        <v>162</v>
      </c>
      <c r="V593" t="s">
        <v>209</v>
      </c>
      <c r="W593">
        <v>2017</v>
      </c>
      <c r="X593">
        <v>6</v>
      </c>
      <c r="Y593" t="s">
        <v>162</v>
      </c>
      <c r="Z593">
        <v>2017</v>
      </c>
      <c r="AA593">
        <v>0</v>
      </c>
      <c r="AB593" s="5">
        <v>8.5805717180000005E-2</v>
      </c>
      <c r="AC593" s="5">
        <v>0.17161143436000001</v>
      </c>
      <c r="AD593" t="s">
        <v>162</v>
      </c>
      <c r="AE593" t="s">
        <v>163</v>
      </c>
      <c r="AF593" t="s">
        <v>162</v>
      </c>
      <c r="AG593" t="s">
        <v>163</v>
      </c>
      <c r="AH593" t="s">
        <v>162</v>
      </c>
      <c r="AI593" t="s">
        <v>162</v>
      </c>
      <c r="AJ593" t="s">
        <v>162</v>
      </c>
      <c r="AK593" t="s">
        <v>162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 s="60">
        <f t="shared" si="9"/>
        <v>1</v>
      </c>
      <c r="AU593" s="95">
        <v>43342</v>
      </c>
      <c r="AV593" t="s">
        <v>165</v>
      </c>
      <c r="AW593" t="s">
        <v>163</v>
      </c>
      <c r="AX593">
        <v>2</v>
      </c>
      <c r="AY593" t="s">
        <v>167</v>
      </c>
      <c r="AZ593" t="s">
        <v>162</v>
      </c>
    </row>
    <row r="594" spans="1:52" x14ac:dyDescent="0.25">
      <c r="A594">
        <v>583</v>
      </c>
      <c r="B594" t="s">
        <v>270</v>
      </c>
      <c r="C594" t="s">
        <v>151</v>
      </c>
      <c r="D594" t="s">
        <v>271</v>
      </c>
      <c r="E594" t="s">
        <v>216</v>
      </c>
      <c r="F594" t="s">
        <v>162</v>
      </c>
      <c r="G594">
        <v>1150</v>
      </c>
      <c r="H594">
        <v>1151</v>
      </c>
      <c r="I594" t="s">
        <v>273</v>
      </c>
      <c r="J594">
        <v>1101</v>
      </c>
      <c r="K594">
        <v>1100</v>
      </c>
      <c r="L594" t="s">
        <v>466</v>
      </c>
      <c r="M594">
        <v>4</v>
      </c>
      <c r="N594" t="s">
        <v>13</v>
      </c>
      <c r="O594" t="s">
        <v>15</v>
      </c>
      <c r="P594" t="s">
        <v>175</v>
      </c>
      <c r="Q594" t="s">
        <v>162</v>
      </c>
      <c r="R594" t="s">
        <v>201</v>
      </c>
      <c r="S594">
        <v>2012</v>
      </c>
      <c r="T594">
        <v>7</v>
      </c>
      <c r="U594" t="s">
        <v>162</v>
      </c>
      <c r="V594" t="s">
        <v>1352</v>
      </c>
      <c r="W594">
        <v>2016</v>
      </c>
      <c r="X594">
        <v>10</v>
      </c>
      <c r="Y594" t="s">
        <v>123</v>
      </c>
      <c r="Z594">
        <v>2016</v>
      </c>
      <c r="AA594">
        <v>2016</v>
      </c>
      <c r="AB594" s="5">
        <v>0.11160018304</v>
      </c>
      <c r="AC594" s="5">
        <v>0.22320036607999999</v>
      </c>
      <c r="AD594" t="s">
        <v>162</v>
      </c>
      <c r="AE594" t="s">
        <v>163</v>
      </c>
      <c r="AF594" t="s">
        <v>162</v>
      </c>
      <c r="AG594" t="s">
        <v>162</v>
      </c>
      <c r="AH594" t="s">
        <v>162</v>
      </c>
      <c r="AI594" t="s">
        <v>162</v>
      </c>
      <c r="AJ594" t="s">
        <v>162</v>
      </c>
      <c r="AK594" t="s">
        <v>162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s="60">
        <f t="shared" si="9"/>
        <v>1</v>
      </c>
      <c r="AU594" s="95">
        <v>43335</v>
      </c>
      <c r="AV594" s="94" t="s">
        <v>165</v>
      </c>
      <c r="AW594" t="s">
        <v>162</v>
      </c>
      <c r="AX594">
        <v>3</v>
      </c>
      <c r="AY594" t="s">
        <v>275</v>
      </c>
      <c r="AZ594" t="s">
        <v>162</v>
      </c>
    </row>
    <row r="595" spans="1:52" x14ac:dyDescent="0.25">
      <c r="A595">
        <v>584</v>
      </c>
      <c r="B595" t="s">
        <v>300</v>
      </c>
      <c r="C595" t="s">
        <v>151</v>
      </c>
      <c r="D595" t="s">
        <v>301</v>
      </c>
      <c r="E595" t="s">
        <v>216</v>
      </c>
      <c r="F595" t="s">
        <v>151</v>
      </c>
      <c r="G595">
        <v>1532</v>
      </c>
      <c r="H595">
        <v>1533</v>
      </c>
      <c r="I595" t="s">
        <v>302</v>
      </c>
      <c r="J595">
        <v>1401</v>
      </c>
      <c r="K595">
        <v>1400</v>
      </c>
      <c r="L595" t="s">
        <v>478</v>
      </c>
      <c r="M595">
        <v>4</v>
      </c>
      <c r="N595" t="s">
        <v>13</v>
      </c>
      <c r="O595" t="s">
        <v>15</v>
      </c>
      <c r="P595" t="s">
        <v>175</v>
      </c>
      <c r="Q595" t="s">
        <v>303</v>
      </c>
      <c r="R595" t="s">
        <v>304</v>
      </c>
      <c r="S595">
        <v>2013</v>
      </c>
      <c r="T595">
        <v>10</v>
      </c>
      <c r="U595" t="s">
        <v>1353</v>
      </c>
      <c r="V595" t="s">
        <v>162</v>
      </c>
      <c r="W595">
        <v>0</v>
      </c>
      <c r="X595">
        <v>0</v>
      </c>
      <c r="Y595" t="s">
        <v>162</v>
      </c>
      <c r="Z595">
        <v>2013</v>
      </c>
      <c r="AA595">
        <v>0</v>
      </c>
      <c r="AB595" s="5">
        <v>0.23949364838600001</v>
      </c>
      <c r="AC595" s="5">
        <v>0.47898729677200003</v>
      </c>
      <c r="AD595" t="s">
        <v>305</v>
      </c>
      <c r="AE595" t="s">
        <v>163</v>
      </c>
      <c r="AF595" t="s">
        <v>162</v>
      </c>
      <c r="AG595" t="s">
        <v>166</v>
      </c>
      <c r="AH595" t="s">
        <v>162</v>
      </c>
      <c r="AI595" t="s">
        <v>162</v>
      </c>
      <c r="AJ595" t="s">
        <v>162</v>
      </c>
      <c r="AK595" t="s">
        <v>162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s="60">
        <f t="shared" si="9"/>
        <v>1</v>
      </c>
      <c r="AU595" s="95">
        <v>43336</v>
      </c>
      <c r="AV595" t="s">
        <v>165</v>
      </c>
      <c r="AW595" t="s">
        <v>162</v>
      </c>
      <c r="AX595">
        <v>3</v>
      </c>
      <c r="AY595" t="s">
        <v>275</v>
      </c>
      <c r="AZ595" t="s">
        <v>162</v>
      </c>
    </row>
    <row r="596" spans="1:52" x14ac:dyDescent="0.25">
      <c r="A596">
        <v>585</v>
      </c>
      <c r="B596" t="s">
        <v>290</v>
      </c>
      <c r="C596" t="s">
        <v>163</v>
      </c>
      <c r="D596" t="s">
        <v>291</v>
      </c>
      <c r="E596" t="s">
        <v>172</v>
      </c>
      <c r="F596" t="s">
        <v>162</v>
      </c>
      <c r="G596">
        <v>200</v>
      </c>
      <c r="H596">
        <v>201</v>
      </c>
      <c r="I596" t="s">
        <v>387</v>
      </c>
      <c r="J596">
        <v>372</v>
      </c>
      <c r="K596">
        <v>373</v>
      </c>
      <c r="L596" t="s">
        <v>423</v>
      </c>
      <c r="M596">
        <v>4</v>
      </c>
      <c r="N596" t="s">
        <v>11</v>
      </c>
      <c r="O596" t="s">
        <v>11</v>
      </c>
      <c r="P596" t="s">
        <v>175</v>
      </c>
      <c r="Q596" t="s">
        <v>294</v>
      </c>
      <c r="R596" t="s">
        <v>201</v>
      </c>
      <c r="S596">
        <v>2012</v>
      </c>
      <c r="T596">
        <v>11</v>
      </c>
      <c r="U596" t="s">
        <v>208</v>
      </c>
      <c r="V596" t="s">
        <v>238</v>
      </c>
      <c r="W596">
        <v>2018</v>
      </c>
      <c r="X596">
        <v>9</v>
      </c>
      <c r="Y596" t="s">
        <v>123</v>
      </c>
      <c r="Z596">
        <v>2012</v>
      </c>
      <c r="AA596">
        <v>2018</v>
      </c>
      <c r="AB596" s="5">
        <v>0.23036155109600001</v>
      </c>
      <c r="AC596" s="5">
        <v>0.46072310219200002</v>
      </c>
      <c r="AD596" t="s">
        <v>162</v>
      </c>
      <c r="AE596" t="s">
        <v>163</v>
      </c>
      <c r="AF596" t="s">
        <v>162</v>
      </c>
      <c r="AG596" t="s">
        <v>162</v>
      </c>
      <c r="AH596" t="s">
        <v>162</v>
      </c>
      <c r="AI596" t="s">
        <v>162</v>
      </c>
      <c r="AJ596" t="s">
        <v>162</v>
      </c>
      <c r="AK596" t="s">
        <v>162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</v>
      </c>
      <c r="AT596" s="60">
        <f t="shared" si="9"/>
        <v>1</v>
      </c>
      <c r="AU596" s="95">
        <v>43336</v>
      </c>
      <c r="AV596" s="94" t="s">
        <v>165</v>
      </c>
      <c r="AW596" t="s">
        <v>162</v>
      </c>
      <c r="AX596">
        <v>2</v>
      </c>
      <c r="AY596" t="s">
        <v>167</v>
      </c>
      <c r="AZ596" t="s">
        <v>162</v>
      </c>
    </row>
    <row r="597" spans="1:52" x14ac:dyDescent="0.25">
      <c r="A597">
        <v>586</v>
      </c>
      <c r="B597" t="s">
        <v>1304</v>
      </c>
      <c r="C597" t="s">
        <v>180</v>
      </c>
      <c r="D597" t="s">
        <v>1305</v>
      </c>
      <c r="E597" t="s">
        <v>222</v>
      </c>
      <c r="F597" t="s">
        <v>154</v>
      </c>
      <c r="G597">
        <v>500</v>
      </c>
      <c r="H597">
        <v>501</v>
      </c>
      <c r="I597" t="s">
        <v>507</v>
      </c>
      <c r="J597">
        <v>2</v>
      </c>
      <c r="K597">
        <v>1</v>
      </c>
      <c r="L597" t="s">
        <v>293</v>
      </c>
      <c r="M597">
        <v>3</v>
      </c>
      <c r="N597" t="s">
        <v>7</v>
      </c>
      <c r="O597" t="s">
        <v>7</v>
      </c>
      <c r="P597" t="s">
        <v>157</v>
      </c>
      <c r="Q597" t="s">
        <v>154</v>
      </c>
      <c r="R597" t="s">
        <v>1354</v>
      </c>
      <c r="S597">
        <v>2022</v>
      </c>
      <c r="T597">
        <v>11</v>
      </c>
      <c r="U597" t="s">
        <v>1355</v>
      </c>
      <c r="V597" t="s">
        <v>162</v>
      </c>
      <c r="W597">
        <v>0</v>
      </c>
      <c r="X597">
        <v>0</v>
      </c>
      <c r="Y597" t="s">
        <v>162</v>
      </c>
      <c r="Z597">
        <v>2022</v>
      </c>
      <c r="AA597">
        <v>2022</v>
      </c>
      <c r="AB597" s="5">
        <v>0.440601614817</v>
      </c>
      <c r="AC597" s="5">
        <v>0.88120399999999999</v>
      </c>
      <c r="AD597" t="s">
        <v>154</v>
      </c>
      <c r="AE597" t="s">
        <v>154</v>
      </c>
      <c r="AF597" t="s">
        <v>154</v>
      </c>
      <c r="AG597" t="s">
        <v>154</v>
      </c>
      <c r="AH597" t="s">
        <v>154</v>
      </c>
      <c r="AI597" t="s">
        <v>194</v>
      </c>
      <c r="AJ597" t="s">
        <v>154</v>
      </c>
      <c r="AK597" t="s">
        <v>154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 s="60">
        <f t="shared" si="9"/>
        <v>1</v>
      </c>
      <c r="AU597" s="95" t="s">
        <v>426</v>
      </c>
      <c r="AV597" t="s">
        <v>165</v>
      </c>
      <c r="AW597" t="s">
        <v>166</v>
      </c>
      <c r="AX597">
        <v>2</v>
      </c>
      <c r="AY597" t="s">
        <v>167</v>
      </c>
      <c r="AZ597">
        <v>30</v>
      </c>
    </row>
    <row r="598" spans="1:52" x14ac:dyDescent="0.25">
      <c r="A598">
        <v>587</v>
      </c>
      <c r="B598" t="s">
        <v>719</v>
      </c>
      <c r="C598" t="s">
        <v>180</v>
      </c>
      <c r="D598" t="s">
        <v>720</v>
      </c>
      <c r="E598" t="s">
        <v>172</v>
      </c>
      <c r="F598" t="s">
        <v>162</v>
      </c>
      <c r="G598">
        <v>1157</v>
      </c>
      <c r="H598">
        <v>1156</v>
      </c>
      <c r="I598" t="s">
        <v>390</v>
      </c>
      <c r="J598">
        <v>1000</v>
      </c>
      <c r="K598">
        <v>1001</v>
      </c>
      <c r="L598" t="s">
        <v>721</v>
      </c>
      <c r="M598">
        <v>4</v>
      </c>
      <c r="N598" t="s">
        <v>11</v>
      </c>
      <c r="O598" t="s">
        <v>11</v>
      </c>
      <c r="P598" t="s">
        <v>157</v>
      </c>
      <c r="Q598" t="s">
        <v>162</v>
      </c>
      <c r="R598" t="s">
        <v>1356</v>
      </c>
      <c r="S598">
        <v>1998</v>
      </c>
      <c r="T598">
        <v>7</v>
      </c>
      <c r="U598" t="s">
        <v>162</v>
      </c>
      <c r="V598" t="s">
        <v>562</v>
      </c>
      <c r="W598">
        <v>2012</v>
      </c>
      <c r="X598">
        <v>11</v>
      </c>
      <c r="Y598" t="s">
        <v>123</v>
      </c>
      <c r="Z598">
        <v>2012</v>
      </c>
      <c r="AA598">
        <v>2012</v>
      </c>
      <c r="AB598" s="5">
        <v>0.172385497272</v>
      </c>
      <c r="AC598" s="5">
        <v>0.172385497272</v>
      </c>
      <c r="AD598" t="s">
        <v>162</v>
      </c>
      <c r="AE598" t="s">
        <v>166</v>
      </c>
      <c r="AF598" t="s">
        <v>180</v>
      </c>
      <c r="AG598" t="s">
        <v>163</v>
      </c>
      <c r="AH598" t="s">
        <v>162</v>
      </c>
      <c r="AI598" t="s">
        <v>162</v>
      </c>
      <c r="AJ598" t="s">
        <v>162</v>
      </c>
      <c r="AK598" t="s">
        <v>162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 s="60">
        <f t="shared" si="9"/>
        <v>1</v>
      </c>
      <c r="AU598" s="95">
        <v>43343</v>
      </c>
      <c r="AV598" t="s">
        <v>165</v>
      </c>
      <c r="AW598" t="s">
        <v>162</v>
      </c>
      <c r="AX598">
        <v>2</v>
      </c>
      <c r="AY598" t="s">
        <v>167</v>
      </c>
      <c r="AZ598" t="s">
        <v>162</v>
      </c>
    </row>
    <row r="599" spans="1:52" x14ac:dyDescent="0.25">
      <c r="A599">
        <v>588</v>
      </c>
      <c r="B599" t="s">
        <v>315</v>
      </c>
      <c r="C599" t="s">
        <v>163</v>
      </c>
      <c r="D599" t="s">
        <v>316</v>
      </c>
      <c r="E599" t="s">
        <v>216</v>
      </c>
      <c r="F599" t="s">
        <v>162</v>
      </c>
      <c r="G599">
        <v>828</v>
      </c>
      <c r="H599">
        <v>829</v>
      </c>
      <c r="I599" t="s">
        <v>384</v>
      </c>
      <c r="J599">
        <v>900</v>
      </c>
      <c r="K599">
        <v>901</v>
      </c>
      <c r="L599" t="s">
        <v>968</v>
      </c>
      <c r="M599">
        <v>3</v>
      </c>
      <c r="N599" t="s">
        <v>7</v>
      </c>
      <c r="O599" t="s">
        <v>7</v>
      </c>
      <c r="P599" t="s">
        <v>169</v>
      </c>
      <c r="Q599" t="s">
        <v>1357</v>
      </c>
      <c r="R599" t="s">
        <v>705</v>
      </c>
      <c r="S599">
        <v>2015</v>
      </c>
      <c r="T599">
        <v>8</v>
      </c>
      <c r="U599" t="s">
        <v>162</v>
      </c>
      <c r="V599" t="s">
        <v>243</v>
      </c>
      <c r="W599">
        <v>2020</v>
      </c>
      <c r="X599">
        <v>0</v>
      </c>
      <c r="Y599" t="s">
        <v>162</v>
      </c>
      <c r="Z599">
        <v>2020</v>
      </c>
      <c r="AA599">
        <v>2002</v>
      </c>
      <c r="AB599" s="5">
        <v>0.13733557099400001</v>
      </c>
      <c r="AC599" s="5">
        <v>0.27467114198800002</v>
      </c>
      <c r="AD599" t="s">
        <v>162</v>
      </c>
      <c r="AE599" t="s">
        <v>163</v>
      </c>
      <c r="AF599" t="s">
        <v>162</v>
      </c>
      <c r="AG599" t="s">
        <v>162</v>
      </c>
      <c r="AH599" t="s">
        <v>163</v>
      </c>
      <c r="AI599" t="s">
        <v>194</v>
      </c>
      <c r="AJ599" t="s">
        <v>162</v>
      </c>
      <c r="AK599" t="s">
        <v>162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 s="60">
        <f t="shared" si="9"/>
        <v>1</v>
      </c>
      <c r="AU599" s="95" t="s">
        <v>213</v>
      </c>
      <c r="AV599" t="s">
        <v>165</v>
      </c>
      <c r="AW599" t="s">
        <v>166</v>
      </c>
      <c r="AX599">
        <v>1</v>
      </c>
      <c r="AY599" t="s">
        <v>167</v>
      </c>
      <c r="AZ599" t="s">
        <v>162</v>
      </c>
    </row>
    <row r="600" spans="1:52" x14ac:dyDescent="0.25">
      <c r="A600">
        <v>589</v>
      </c>
      <c r="B600" t="s">
        <v>1102</v>
      </c>
      <c r="C600" t="s">
        <v>163</v>
      </c>
      <c r="D600" t="s">
        <v>1103</v>
      </c>
      <c r="E600" t="s">
        <v>216</v>
      </c>
      <c r="F600" t="s">
        <v>162</v>
      </c>
      <c r="G600">
        <v>5065</v>
      </c>
      <c r="H600">
        <v>5064</v>
      </c>
      <c r="I600" t="s">
        <v>852</v>
      </c>
      <c r="J600">
        <v>5200</v>
      </c>
      <c r="K600">
        <v>5201</v>
      </c>
      <c r="L600" t="s">
        <v>784</v>
      </c>
      <c r="M600">
        <v>4</v>
      </c>
      <c r="N600" t="s">
        <v>13</v>
      </c>
      <c r="O600" t="s">
        <v>15</v>
      </c>
      <c r="P600" t="s">
        <v>169</v>
      </c>
      <c r="Q600" t="s">
        <v>1105</v>
      </c>
      <c r="R600" t="s">
        <v>304</v>
      </c>
      <c r="S600">
        <v>2017</v>
      </c>
      <c r="T600">
        <v>5</v>
      </c>
      <c r="U600" t="s">
        <v>162</v>
      </c>
      <c r="V600" t="s">
        <v>243</v>
      </c>
      <c r="W600">
        <v>2020</v>
      </c>
      <c r="X600">
        <v>0</v>
      </c>
      <c r="Y600" t="s">
        <v>162</v>
      </c>
      <c r="Z600">
        <v>2020</v>
      </c>
      <c r="AA600">
        <v>0</v>
      </c>
      <c r="AB600" s="5">
        <v>0.11778909297</v>
      </c>
      <c r="AC600" s="5">
        <v>0.23557818593999999</v>
      </c>
      <c r="AD600" t="s">
        <v>1108</v>
      </c>
      <c r="AE600" t="s">
        <v>163</v>
      </c>
      <c r="AF600" t="s">
        <v>162</v>
      </c>
      <c r="AG600" t="s">
        <v>162</v>
      </c>
      <c r="AH600" t="s">
        <v>162</v>
      </c>
      <c r="AI600" t="s">
        <v>162</v>
      </c>
      <c r="AJ600" t="s">
        <v>162</v>
      </c>
      <c r="AK600" t="s">
        <v>162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s="60">
        <f t="shared" si="9"/>
        <v>1</v>
      </c>
      <c r="AU600" s="95" t="s">
        <v>244</v>
      </c>
      <c r="AV600" s="94" t="s">
        <v>165</v>
      </c>
      <c r="AW600" t="s">
        <v>162</v>
      </c>
      <c r="AX600">
        <v>3</v>
      </c>
      <c r="AY600" t="s">
        <v>275</v>
      </c>
      <c r="AZ600">
        <v>20</v>
      </c>
    </row>
    <row r="601" spans="1:52" x14ac:dyDescent="0.25">
      <c r="A601">
        <v>590</v>
      </c>
      <c r="B601" t="s">
        <v>660</v>
      </c>
      <c r="C601" t="s">
        <v>151</v>
      </c>
      <c r="D601" t="s">
        <v>661</v>
      </c>
      <c r="E601" t="s">
        <v>172</v>
      </c>
      <c r="F601" t="s">
        <v>162</v>
      </c>
      <c r="G601">
        <v>227</v>
      </c>
      <c r="H601">
        <v>226</v>
      </c>
      <c r="I601" t="s">
        <v>1167</v>
      </c>
      <c r="J601">
        <v>200</v>
      </c>
      <c r="K601">
        <v>201</v>
      </c>
      <c r="L601" t="s">
        <v>694</v>
      </c>
      <c r="M601">
        <v>2</v>
      </c>
      <c r="N601" t="s">
        <v>7</v>
      </c>
      <c r="O601" t="s">
        <v>7</v>
      </c>
      <c r="P601" t="s">
        <v>175</v>
      </c>
      <c r="Q601" t="s">
        <v>162</v>
      </c>
      <c r="R601" t="s">
        <v>201</v>
      </c>
      <c r="S601">
        <v>2012</v>
      </c>
      <c r="T601">
        <v>10</v>
      </c>
      <c r="U601" t="s">
        <v>979</v>
      </c>
      <c r="V601" t="s">
        <v>238</v>
      </c>
      <c r="W601">
        <v>2017</v>
      </c>
      <c r="X601">
        <v>11</v>
      </c>
      <c r="Y601" t="s">
        <v>123</v>
      </c>
      <c r="Z601">
        <v>2017</v>
      </c>
      <c r="AA601">
        <v>2017</v>
      </c>
      <c r="AB601" s="5">
        <v>6.2368533573700001E-2</v>
      </c>
      <c r="AC601" s="5">
        <v>0.124737067147</v>
      </c>
      <c r="AD601" t="s">
        <v>154</v>
      </c>
      <c r="AE601" t="s">
        <v>163</v>
      </c>
      <c r="AF601" t="s">
        <v>154</v>
      </c>
      <c r="AG601" t="s">
        <v>162</v>
      </c>
      <c r="AH601" t="s">
        <v>162</v>
      </c>
      <c r="AI601" t="s">
        <v>212</v>
      </c>
      <c r="AJ601" t="s">
        <v>154</v>
      </c>
      <c r="AK601" t="s">
        <v>162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 s="60">
        <f t="shared" si="9"/>
        <v>1</v>
      </c>
      <c r="AU601" s="95" t="s">
        <v>213</v>
      </c>
      <c r="AV601" t="s">
        <v>165</v>
      </c>
      <c r="AW601" t="s">
        <v>154</v>
      </c>
      <c r="AX601">
        <v>1</v>
      </c>
      <c r="AY601" t="s">
        <v>167</v>
      </c>
      <c r="AZ601" t="s">
        <v>162</v>
      </c>
    </row>
    <row r="602" spans="1:52" x14ac:dyDescent="0.25">
      <c r="A602">
        <v>591</v>
      </c>
      <c r="B602" t="s">
        <v>581</v>
      </c>
      <c r="C602" t="s">
        <v>151</v>
      </c>
      <c r="D602" t="s">
        <v>582</v>
      </c>
      <c r="E602" t="s">
        <v>172</v>
      </c>
      <c r="F602" t="s">
        <v>203</v>
      </c>
      <c r="G602">
        <v>170</v>
      </c>
      <c r="H602">
        <v>171</v>
      </c>
      <c r="I602" t="s">
        <v>499</v>
      </c>
      <c r="J602">
        <v>140</v>
      </c>
      <c r="K602">
        <v>141</v>
      </c>
      <c r="L602" t="s">
        <v>583</v>
      </c>
      <c r="M602">
        <v>4</v>
      </c>
      <c r="N602" t="s">
        <v>11</v>
      </c>
      <c r="O602" t="s">
        <v>11</v>
      </c>
      <c r="P602" t="s">
        <v>169</v>
      </c>
      <c r="Q602" t="s">
        <v>162</v>
      </c>
      <c r="R602" t="s">
        <v>304</v>
      </c>
      <c r="S602">
        <v>2010</v>
      </c>
      <c r="T602">
        <v>11</v>
      </c>
      <c r="U602" t="s">
        <v>208</v>
      </c>
      <c r="V602" t="s">
        <v>243</v>
      </c>
      <c r="W602">
        <v>2020</v>
      </c>
      <c r="X602">
        <v>0</v>
      </c>
      <c r="Y602" t="s">
        <v>162</v>
      </c>
      <c r="Z602">
        <v>2020</v>
      </c>
      <c r="AA602">
        <v>2015</v>
      </c>
      <c r="AB602" s="5">
        <v>7.6873539265100002E-2</v>
      </c>
      <c r="AC602" s="5">
        <v>7.6873539265100002E-2</v>
      </c>
      <c r="AD602" t="s">
        <v>162</v>
      </c>
      <c r="AE602" t="s">
        <v>166</v>
      </c>
      <c r="AF602" t="s">
        <v>203</v>
      </c>
      <c r="AG602" t="s">
        <v>163</v>
      </c>
      <c r="AH602" t="s">
        <v>162</v>
      </c>
      <c r="AI602" t="s">
        <v>162</v>
      </c>
      <c r="AJ602" t="s">
        <v>162</v>
      </c>
      <c r="AK602" t="s">
        <v>162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</v>
      </c>
      <c r="AT602" s="60">
        <f t="shared" si="9"/>
        <v>1</v>
      </c>
      <c r="AU602" s="95" t="s">
        <v>244</v>
      </c>
      <c r="AV602" s="94" t="s">
        <v>165</v>
      </c>
      <c r="AW602" t="s">
        <v>162</v>
      </c>
      <c r="AX602">
        <v>2</v>
      </c>
      <c r="AY602" t="s">
        <v>167</v>
      </c>
      <c r="AZ602" t="s">
        <v>162</v>
      </c>
    </row>
    <row r="603" spans="1:52" x14ac:dyDescent="0.25">
      <c r="A603">
        <v>592</v>
      </c>
      <c r="B603" t="s">
        <v>1102</v>
      </c>
      <c r="C603" t="s">
        <v>163</v>
      </c>
      <c r="D603" t="s">
        <v>1103</v>
      </c>
      <c r="E603" t="s">
        <v>216</v>
      </c>
      <c r="F603" t="s">
        <v>162</v>
      </c>
      <c r="G603">
        <v>6200</v>
      </c>
      <c r="H603">
        <v>6201</v>
      </c>
      <c r="I603" t="s">
        <v>1312</v>
      </c>
      <c r="J603">
        <v>6354</v>
      </c>
      <c r="K603">
        <v>6359</v>
      </c>
      <c r="L603" t="s">
        <v>372</v>
      </c>
      <c r="M603">
        <v>4</v>
      </c>
      <c r="N603" t="s">
        <v>13</v>
      </c>
      <c r="O603" t="s">
        <v>15</v>
      </c>
      <c r="P603" t="s">
        <v>175</v>
      </c>
      <c r="Q603" t="s">
        <v>1313</v>
      </c>
      <c r="R603" t="s">
        <v>1308</v>
      </c>
      <c r="S603">
        <v>2018</v>
      </c>
      <c r="T603">
        <v>5</v>
      </c>
      <c r="U603" t="s">
        <v>162</v>
      </c>
      <c r="V603" t="s">
        <v>162</v>
      </c>
      <c r="W603">
        <v>0</v>
      </c>
      <c r="X603">
        <v>0</v>
      </c>
      <c r="Y603" t="s">
        <v>162</v>
      </c>
      <c r="Z603">
        <v>2018</v>
      </c>
      <c r="AA603">
        <v>0</v>
      </c>
      <c r="AB603" s="5">
        <v>0.18417854892800001</v>
      </c>
      <c r="AC603" s="5">
        <v>0.36835709785600002</v>
      </c>
      <c r="AD603" t="s">
        <v>1108</v>
      </c>
      <c r="AE603" t="s">
        <v>163</v>
      </c>
      <c r="AF603" t="s">
        <v>162</v>
      </c>
      <c r="AG603" t="s">
        <v>162</v>
      </c>
      <c r="AH603" t="s">
        <v>162</v>
      </c>
      <c r="AI603" t="s">
        <v>162</v>
      </c>
      <c r="AJ603" t="s">
        <v>162</v>
      </c>
      <c r="AK603" t="s">
        <v>162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s="60">
        <f t="shared" si="9"/>
        <v>1</v>
      </c>
      <c r="AU603" s="95">
        <v>43348</v>
      </c>
      <c r="AV603" t="s">
        <v>165</v>
      </c>
      <c r="AW603" t="s">
        <v>162</v>
      </c>
      <c r="AX603">
        <v>3</v>
      </c>
      <c r="AY603" t="s">
        <v>275</v>
      </c>
      <c r="AZ603">
        <v>20</v>
      </c>
    </row>
    <row r="604" spans="1:52" x14ac:dyDescent="0.25">
      <c r="A604">
        <v>593</v>
      </c>
      <c r="B604" t="s">
        <v>1358</v>
      </c>
      <c r="C604" t="s">
        <v>203</v>
      </c>
      <c r="D604" t="s">
        <v>1359</v>
      </c>
      <c r="E604" t="s">
        <v>172</v>
      </c>
      <c r="F604" t="s">
        <v>162</v>
      </c>
      <c r="G604">
        <v>101</v>
      </c>
      <c r="H604">
        <v>100</v>
      </c>
      <c r="I604" t="s">
        <v>667</v>
      </c>
      <c r="J604">
        <v>701</v>
      </c>
      <c r="K604">
        <v>700</v>
      </c>
      <c r="L604" t="s">
        <v>252</v>
      </c>
      <c r="M604">
        <v>2</v>
      </c>
      <c r="N604" t="s">
        <v>11</v>
      </c>
      <c r="O604" t="s">
        <v>11</v>
      </c>
      <c r="P604" t="s">
        <v>175</v>
      </c>
      <c r="Q604" t="s">
        <v>162</v>
      </c>
      <c r="R604" t="s">
        <v>177</v>
      </c>
      <c r="S604">
        <v>2011</v>
      </c>
      <c r="T604">
        <v>5</v>
      </c>
      <c r="U604" t="s">
        <v>162</v>
      </c>
      <c r="V604" t="s">
        <v>452</v>
      </c>
      <c r="W604">
        <v>2015</v>
      </c>
      <c r="X604">
        <v>1</v>
      </c>
      <c r="Y604" t="s">
        <v>123</v>
      </c>
      <c r="Z604">
        <v>2015</v>
      </c>
      <c r="AA604">
        <v>2015</v>
      </c>
      <c r="AB604" s="5">
        <v>0.70967831419899996</v>
      </c>
      <c r="AC604" s="5">
        <v>1.4193566284000001</v>
      </c>
      <c r="AD604" t="s">
        <v>162</v>
      </c>
      <c r="AE604" t="s">
        <v>163</v>
      </c>
      <c r="AF604" t="s">
        <v>162</v>
      </c>
      <c r="AG604" t="s">
        <v>162</v>
      </c>
      <c r="AH604" t="s">
        <v>162</v>
      </c>
      <c r="AI604" t="s">
        <v>162</v>
      </c>
      <c r="AJ604" t="s">
        <v>162</v>
      </c>
      <c r="AK604" t="s">
        <v>162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 s="60">
        <f t="shared" si="9"/>
        <v>1</v>
      </c>
      <c r="AU604" s="95">
        <v>43350</v>
      </c>
      <c r="AV604" t="s">
        <v>165</v>
      </c>
      <c r="AW604" t="s">
        <v>162</v>
      </c>
      <c r="AX604">
        <v>2</v>
      </c>
      <c r="AY604" t="s">
        <v>167</v>
      </c>
      <c r="AZ604" t="s">
        <v>162</v>
      </c>
    </row>
    <row r="605" spans="1:52" x14ac:dyDescent="0.25">
      <c r="A605">
        <v>594</v>
      </c>
      <c r="B605" t="s">
        <v>469</v>
      </c>
      <c r="C605" t="s">
        <v>151</v>
      </c>
      <c r="D605" t="s">
        <v>470</v>
      </c>
      <c r="E605" t="s">
        <v>216</v>
      </c>
      <c r="F605" t="s">
        <v>162</v>
      </c>
      <c r="G605">
        <v>2900</v>
      </c>
      <c r="H605">
        <v>2901</v>
      </c>
      <c r="I605" t="s">
        <v>1360</v>
      </c>
      <c r="J605">
        <v>2800</v>
      </c>
      <c r="K605">
        <v>2801</v>
      </c>
      <c r="L605" t="s">
        <v>521</v>
      </c>
      <c r="M605">
        <v>2</v>
      </c>
      <c r="N605" t="s">
        <v>11</v>
      </c>
      <c r="O605" t="s">
        <v>11</v>
      </c>
      <c r="P605" t="s">
        <v>169</v>
      </c>
      <c r="Q605" t="s">
        <v>162</v>
      </c>
      <c r="R605" t="s">
        <v>266</v>
      </c>
      <c r="S605">
        <v>2002</v>
      </c>
      <c r="T605">
        <v>6</v>
      </c>
      <c r="U605" t="s">
        <v>162</v>
      </c>
      <c r="V605" t="s">
        <v>243</v>
      </c>
      <c r="W605">
        <v>2020</v>
      </c>
      <c r="X605">
        <v>0</v>
      </c>
      <c r="Y605" t="s">
        <v>162</v>
      </c>
      <c r="Z605">
        <v>2020</v>
      </c>
      <c r="AA605">
        <v>2006</v>
      </c>
      <c r="AB605" s="5">
        <v>0.16842941836799999</v>
      </c>
      <c r="AC605" s="5">
        <v>0.33685883673599998</v>
      </c>
      <c r="AD605" t="s">
        <v>162</v>
      </c>
      <c r="AE605" t="s">
        <v>163</v>
      </c>
      <c r="AF605" t="s">
        <v>162</v>
      </c>
      <c r="AG605" t="s">
        <v>162</v>
      </c>
      <c r="AH605" t="s">
        <v>162</v>
      </c>
      <c r="AI605" t="s">
        <v>162</v>
      </c>
      <c r="AJ605" t="s">
        <v>162</v>
      </c>
      <c r="AK605" t="s">
        <v>162</v>
      </c>
      <c r="AL605">
        <v>0</v>
      </c>
      <c r="AM605">
        <v>0.75</v>
      </c>
      <c r="AN605">
        <v>0.25</v>
      </c>
      <c r="AO605">
        <v>0</v>
      </c>
      <c r="AP605">
        <v>0</v>
      </c>
      <c r="AQ605">
        <v>0</v>
      </c>
      <c r="AR605">
        <v>0</v>
      </c>
      <c r="AS605">
        <v>0</v>
      </c>
      <c r="AT605" s="60">
        <f t="shared" si="9"/>
        <v>1</v>
      </c>
      <c r="AU605" s="95" t="s">
        <v>244</v>
      </c>
      <c r="AV605" t="s">
        <v>165</v>
      </c>
      <c r="AW605" t="s">
        <v>162</v>
      </c>
      <c r="AX605">
        <v>2</v>
      </c>
      <c r="AY605" t="s">
        <v>167</v>
      </c>
      <c r="AZ605" t="s">
        <v>162</v>
      </c>
    </row>
    <row r="606" spans="1:52" x14ac:dyDescent="0.25">
      <c r="A606">
        <v>595</v>
      </c>
      <c r="B606" t="s">
        <v>660</v>
      </c>
      <c r="C606" t="s">
        <v>203</v>
      </c>
      <c r="D606" t="s">
        <v>661</v>
      </c>
      <c r="E606" t="s">
        <v>172</v>
      </c>
      <c r="F606" t="s">
        <v>154</v>
      </c>
      <c r="G606">
        <v>400</v>
      </c>
      <c r="H606">
        <v>401</v>
      </c>
      <c r="I606" t="s">
        <v>264</v>
      </c>
      <c r="J606">
        <v>500</v>
      </c>
      <c r="K606">
        <v>501</v>
      </c>
      <c r="L606" t="s">
        <v>252</v>
      </c>
      <c r="M606">
        <v>2</v>
      </c>
      <c r="N606" t="s">
        <v>7</v>
      </c>
      <c r="O606" t="s">
        <v>7</v>
      </c>
      <c r="P606" t="s">
        <v>175</v>
      </c>
      <c r="Q606" t="s">
        <v>162</v>
      </c>
      <c r="R606" t="s">
        <v>201</v>
      </c>
      <c r="S606">
        <v>2012</v>
      </c>
      <c r="T606">
        <v>10</v>
      </c>
      <c r="U606" t="s">
        <v>208</v>
      </c>
      <c r="V606" t="s">
        <v>269</v>
      </c>
      <c r="W606">
        <v>2013</v>
      </c>
      <c r="X606">
        <v>10</v>
      </c>
      <c r="Y606" t="s">
        <v>162</v>
      </c>
      <c r="Z606">
        <v>2013</v>
      </c>
      <c r="AA606">
        <v>2013</v>
      </c>
      <c r="AB606" s="5">
        <v>0.18705213146499999</v>
      </c>
      <c r="AC606" s="5">
        <v>0.37410426292999999</v>
      </c>
      <c r="AD606" t="s">
        <v>154</v>
      </c>
      <c r="AE606" t="s">
        <v>163</v>
      </c>
      <c r="AF606" t="s">
        <v>154</v>
      </c>
      <c r="AG606" t="s">
        <v>154</v>
      </c>
      <c r="AH606" t="s">
        <v>154</v>
      </c>
      <c r="AI606" t="s">
        <v>226</v>
      </c>
      <c r="AJ606" t="s">
        <v>154</v>
      </c>
      <c r="AK606" t="s">
        <v>162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0</v>
      </c>
      <c r="AT606" s="60">
        <f t="shared" si="9"/>
        <v>1</v>
      </c>
      <c r="AU606" s="95" t="s">
        <v>360</v>
      </c>
      <c r="AV606" t="s">
        <v>165</v>
      </c>
      <c r="AW606" t="s">
        <v>166</v>
      </c>
      <c r="AX606">
        <v>1</v>
      </c>
      <c r="AY606" t="s">
        <v>167</v>
      </c>
      <c r="AZ606" t="s">
        <v>162</v>
      </c>
    </row>
    <row r="607" spans="1:52" x14ac:dyDescent="0.25">
      <c r="A607">
        <v>596</v>
      </c>
      <c r="B607" t="s">
        <v>660</v>
      </c>
      <c r="C607" t="s">
        <v>203</v>
      </c>
      <c r="D607" t="s">
        <v>661</v>
      </c>
      <c r="E607" t="s">
        <v>172</v>
      </c>
      <c r="F607" t="s">
        <v>154</v>
      </c>
      <c r="G607">
        <v>300</v>
      </c>
      <c r="H607">
        <v>301</v>
      </c>
      <c r="I607" t="s">
        <v>1160</v>
      </c>
      <c r="J607">
        <v>401</v>
      </c>
      <c r="K607">
        <v>400</v>
      </c>
      <c r="L607" t="s">
        <v>264</v>
      </c>
      <c r="M607">
        <v>2</v>
      </c>
      <c r="N607" t="s">
        <v>7</v>
      </c>
      <c r="O607" t="s">
        <v>7</v>
      </c>
      <c r="P607" t="s">
        <v>175</v>
      </c>
      <c r="Q607" t="s">
        <v>162</v>
      </c>
      <c r="R607" t="s">
        <v>664</v>
      </c>
      <c r="S607">
        <v>2012</v>
      </c>
      <c r="T607">
        <v>10</v>
      </c>
      <c r="U607" t="s">
        <v>1361</v>
      </c>
      <c r="V607" t="s">
        <v>269</v>
      </c>
      <c r="W607">
        <v>2013</v>
      </c>
      <c r="X607">
        <v>10</v>
      </c>
      <c r="Y607" t="s">
        <v>162</v>
      </c>
      <c r="Z607">
        <v>2013</v>
      </c>
      <c r="AA607">
        <v>2012</v>
      </c>
      <c r="AB607" s="5">
        <v>0.12177404563499999</v>
      </c>
      <c r="AC607" s="5">
        <v>0.24354809126999999</v>
      </c>
      <c r="AD607" t="s">
        <v>154</v>
      </c>
      <c r="AE607" t="s">
        <v>163</v>
      </c>
      <c r="AF607" t="s">
        <v>162</v>
      </c>
      <c r="AG607" t="s">
        <v>162</v>
      </c>
      <c r="AH607" t="s">
        <v>162</v>
      </c>
      <c r="AI607" t="s">
        <v>226</v>
      </c>
      <c r="AJ607" t="s">
        <v>154</v>
      </c>
      <c r="AK607" t="s">
        <v>162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s="60">
        <f t="shared" si="9"/>
        <v>1</v>
      </c>
      <c r="AU607" s="95" t="s">
        <v>360</v>
      </c>
      <c r="AV607" s="94" t="s">
        <v>165</v>
      </c>
      <c r="AW607" t="s">
        <v>166</v>
      </c>
      <c r="AX607">
        <v>1</v>
      </c>
      <c r="AY607" t="s">
        <v>167</v>
      </c>
      <c r="AZ607" t="s">
        <v>162</v>
      </c>
    </row>
    <row r="608" spans="1:52" x14ac:dyDescent="0.25">
      <c r="A608">
        <v>597</v>
      </c>
      <c r="B608" t="s">
        <v>484</v>
      </c>
      <c r="C608" t="s">
        <v>151</v>
      </c>
      <c r="D608" t="s">
        <v>485</v>
      </c>
      <c r="E608" t="s">
        <v>172</v>
      </c>
      <c r="F608" t="s">
        <v>162</v>
      </c>
      <c r="G608">
        <v>1525</v>
      </c>
      <c r="H608">
        <v>1526</v>
      </c>
      <c r="I608" t="s">
        <v>384</v>
      </c>
      <c r="J608">
        <v>1500</v>
      </c>
      <c r="K608">
        <v>1501</v>
      </c>
      <c r="L608" t="s">
        <v>1181</v>
      </c>
      <c r="M608">
        <v>3</v>
      </c>
      <c r="N608" t="s">
        <v>11</v>
      </c>
      <c r="O608" t="s">
        <v>11</v>
      </c>
      <c r="P608" t="s">
        <v>175</v>
      </c>
      <c r="Q608" t="s">
        <v>162</v>
      </c>
      <c r="R608" t="s">
        <v>431</v>
      </c>
      <c r="S608">
        <v>2002</v>
      </c>
      <c r="T608">
        <v>8</v>
      </c>
      <c r="U608" t="s">
        <v>162</v>
      </c>
      <c r="V608" t="s">
        <v>161</v>
      </c>
      <c r="W608">
        <v>2020</v>
      </c>
      <c r="X608">
        <v>0</v>
      </c>
      <c r="Y608" t="s">
        <v>162</v>
      </c>
      <c r="Z608">
        <v>2020</v>
      </c>
      <c r="AA608">
        <v>2016</v>
      </c>
      <c r="AB608" s="5">
        <v>5.8139282781899997E-2</v>
      </c>
      <c r="AC608" s="5">
        <v>0.116278565564</v>
      </c>
      <c r="AD608" t="s">
        <v>162</v>
      </c>
      <c r="AE608" t="s">
        <v>163</v>
      </c>
      <c r="AF608" t="s">
        <v>162</v>
      </c>
      <c r="AG608" t="s">
        <v>162</v>
      </c>
      <c r="AH608" t="s">
        <v>162</v>
      </c>
      <c r="AI608" t="s">
        <v>162</v>
      </c>
      <c r="AJ608" t="s">
        <v>162</v>
      </c>
      <c r="AK608" t="s">
        <v>162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 s="60">
        <f t="shared" si="9"/>
        <v>1</v>
      </c>
      <c r="AU608" s="95" t="s">
        <v>187</v>
      </c>
      <c r="AV608" t="s">
        <v>165</v>
      </c>
      <c r="AW608" t="s">
        <v>162</v>
      </c>
      <c r="AX608">
        <v>2</v>
      </c>
      <c r="AY608" t="s">
        <v>167</v>
      </c>
      <c r="AZ608" t="s">
        <v>162</v>
      </c>
    </row>
    <row r="609" spans="1:52" x14ac:dyDescent="0.25">
      <c r="A609">
        <v>598</v>
      </c>
      <c r="B609" t="s">
        <v>599</v>
      </c>
      <c r="C609" t="s">
        <v>151</v>
      </c>
      <c r="D609" t="s">
        <v>600</v>
      </c>
      <c r="E609" t="s">
        <v>216</v>
      </c>
      <c r="F609" t="s">
        <v>162</v>
      </c>
      <c r="G609">
        <v>3200</v>
      </c>
      <c r="H609">
        <v>3201</v>
      </c>
      <c r="I609" t="s">
        <v>190</v>
      </c>
      <c r="J609">
        <v>3225</v>
      </c>
      <c r="K609">
        <v>3226</v>
      </c>
      <c r="L609" t="s">
        <v>778</v>
      </c>
      <c r="M609">
        <v>2</v>
      </c>
      <c r="N609" t="s">
        <v>11</v>
      </c>
      <c r="O609" t="s">
        <v>11</v>
      </c>
      <c r="P609" t="s">
        <v>175</v>
      </c>
      <c r="Q609" t="s">
        <v>162</v>
      </c>
      <c r="R609" t="s">
        <v>266</v>
      </c>
      <c r="S609">
        <v>2002</v>
      </c>
      <c r="T609">
        <v>7</v>
      </c>
      <c r="U609" t="s">
        <v>162</v>
      </c>
      <c r="V609" t="s">
        <v>243</v>
      </c>
      <c r="W609">
        <v>2020</v>
      </c>
      <c r="X609">
        <v>0</v>
      </c>
      <c r="Y609" t="s">
        <v>162</v>
      </c>
      <c r="Z609">
        <v>2020</v>
      </c>
      <c r="AA609">
        <v>2003</v>
      </c>
      <c r="AB609" s="5">
        <v>0.196360005536</v>
      </c>
      <c r="AC609" s="5">
        <v>0.392720011072</v>
      </c>
      <c r="AD609" t="s">
        <v>162</v>
      </c>
      <c r="AE609" t="s">
        <v>163</v>
      </c>
      <c r="AF609" t="s">
        <v>162</v>
      </c>
      <c r="AG609" t="s">
        <v>162</v>
      </c>
      <c r="AH609" t="s">
        <v>162</v>
      </c>
      <c r="AI609" t="s">
        <v>162</v>
      </c>
      <c r="AJ609" t="s">
        <v>162</v>
      </c>
      <c r="AK609" t="s">
        <v>162</v>
      </c>
      <c r="AL609">
        <v>0</v>
      </c>
      <c r="AM609">
        <v>0.5</v>
      </c>
      <c r="AN609">
        <v>0.5</v>
      </c>
      <c r="AO609">
        <v>0</v>
      </c>
      <c r="AP609">
        <v>0</v>
      </c>
      <c r="AQ609">
        <v>0</v>
      </c>
      <c r="AR609">
        <v>0</v>
      </c>
      <c r="AS609">
        <v>0</v>
      </c>
      <c r="AT609" s="60">
        <f t="shared" si="9"/>
        <v>1</v>
      </c>
      <c r="AU609" s="95" t="s">
        <v>244</v>
      </c>
      <c r="AV609" t="s">
        <v>165</v>
      </c>
      <c r="AW609" t="s">
        <v>162</v>
      </c>
      <c r="AX609">
        <v>2</v>
      </c>
      <c r="AY609" t="s">
        <v>167</v>
      </c>
      <c r="AZ609" t="s">
        <v>162</v>
      </c>
    </row>
    <row r="610" spans="1:52" x14ac:dyDescent="0.25">
      <c r="A610">
        <v>599</v>
      </c>
      <c r="B610" t="s">
        <v>796</v>
      </c>
      <c r="C610" t="s">
        <v>203</v>
      </c>
      <c r="D610" t="s">
        <v>797</v>
      </c>
      <c r="E610" t="s">
        <v>172</v>
      </c>
      <c r="F610" t="s">
        <v>162</v>
      </c>
      <c r="G610">
        <v>3200</v>
      </c>
      <c r="H610">
        <v>3201</v>
      </c>
      <c r="I610" t="s">
        <v>1215</v>
      </c>
      <c r="J610">
        <v>0</v>
      </c>
      <c r="K610">
        <v>0</v>
      </c>
      <c r="L610" t="s">
        <v>798</v>
      </c>
      <c r="M610">
        <v>2</v>
      </c>
      <c r="N610" t="s">
        <v>11</v>
      </c>
      <c r="O610" t="s">
        <v>11</v>
      </c>
      <c r="P610" t="s">
        <v>175</v>
      </c>
      <c r="Q610" t="s">
        <v>162</v>
      </c>
      <c r="R610" t="s">
        <v>457</v>
      </c>
      <c r="S610">
        <v>1996</v>
      </c>
      <c r="T610">
        <v>5</v>
      </c>
      <c r="U610" t="s">
        <v>162</v>
      </c>
      <c r="V610" t="s">
        <v>225</v>
      </c>
      <c r="W610">
        <v>2018</v>
      </c>
      <c r="X610">
        <v>5</v>
      </c>
      <c r="Y610" t="s">
        <v>162</v>
      </c>
      <c r="Z610">
        <v>2018</v>
      </c>
      <c r="AA610">
        <v>0</v>
      </c>
      <c r="AB610" s="5">
        <v>0.13101846966299999</v>
      </c>
      <c r="AC610" s="5">
        <v>0.26203693932599997</v>
      </c>
      <c r="AD610" t="s">
        <v>162</v>
      </c>
      <c r="AE610" t="s">
        <v>163</v>
      </c>
      <c r="AF610" t="s">
        <v>162</v>
      </c>
      <c r="AG610" t="s">
        <v>162</v>
      </c>
      <c r="AH610" t="s">
        <v>162</v>
      </c>
      <c r="AI610" t="s">
        <v>162</v>
      </c>
      <c r="AJ610" t="s">
        <v>162</v>
      </c>
      <c r="AK610" t="s">
        <v>162</v>
      </c>
      <c r="AL610">
        <v>0</v>
      </c>
      <c r="AM610">
        <v>0</v>
      </c>
      <c r="AN610">
        <v>0</v>
      </c>
      <c r="AO610">
        <v>0</v>
      </c>
      <c r="AP610">
        <v>0.5</v>
      </c>
      <c r="AQ610">
        <v>0</v>
      </c>
      <c r="AR610">
        <v>0.5</v>
      </c>
      <c r="AS610">
        <v>0</v>
      </c>
      <c r="AT610" s="60">
        <f t="shared" si="9"/>
        <v>1</v>
      </c>
      <c r="AU610" s="95">
        <v>43349</v>
      </c>
      <c r="AV610" t="s">
        <v>165</v>
      </c>
      <c r="AW610" t="s">
        <v>162</v>
      </c>
      <c r="AX610">
        <v>2</v>
      </c>
      <c r="AY610" t="s">
        <v>167</v>
      </c>
      <c r="AZ610" t="s">
        <v>162</v>
      </c>
    </row>
    <row r="611" spans="1:52" x14ac:dyDescent="0.25">
      <c r="A611">
        <v>600</v>
      </c>
      <c r="B611" t="s">
        <v>681</v>
      </c>
      <c r="C611" t="s">
        <v>151</v>
      </c>
      <c r="D611" t="s">
        <v>682</v>
      </c>
      <c r="E611" t="s">
        <v>216</v>
      </c>
      <c r="F611" t="s">
        <v>162</v>
      </c>
      <c r="G611">
        <v>2137</v>
      </c>
      <c r="H611">
        <v>2136</v>
      </c>
      <c r="I611" t="s">
        <v>1042</v>
      </c>
      <c r="J611">
        <v>2101</v>
      </c>
      <c r="K611">
        <v>2100</v>
      </c>
      <c r="L611" t="s">
        <v>823</v>
      </c>
      <c r="M611">
        <v>4</v>
      </c>
      <c r="N611" t="s">
        <v>15</v>
      </c>
      <c r="O611" t="s">
        <v>15</v>
      </c>
      <c r="P611" t="s">
        <v>169</v>
      </c>
      <c r="Q611" t="s">
        <v>162</v>
      </c>
      <c r="R611" t="s">
        <v>577</v>
      </c>
      <c r="S611">
        <v>2008</v>
      </c>
      <c r="T611">
        <v>9</v>
      </c>
      <c r="U611" t="s">
        <v>162</v>
      </c>
      <c r="V611" t="s">
        <v>439</v>
      </c>
      <c r="W611">
        <v>2014</v>
      </c>
      <c r="X611">
        <v>6</v>
      </c>
      <c r="Y611" t="s">
        <v>123</v>
      </c>
      <c r="Z611">
        <v>2014</v>
      </c>
      <c r="AA611">
        <v>2014</v>
      </c>
      <c r="AB611" s="5">
        <v>8.3460449054099994E-2</v>
      </c>
      <c r="AC611" s="5">
        <v>0.16692089810800001</v>
      </c>
      <c r="AD611" t="s">
        <v>162</v>
      </c>
      <c r="AE611" t="s">
        <v>163</v>
      </c>
      <c r="AF611" t="s">
        <v>162</v>
      </c>
      <c r="AG611" t="s">
        <v>162</v>
      </c>
      <c r="AH611" t="s">
        <v>162</v>
      </c>
      <c r="AI611" t="s">
        <v>162</v>
      </c>
      <c r="AJ611" t="s">
        <v>162</v>
      </c>
      <c r="AK611" t="s">
        <v>162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s="60">
        <f t="shared" si="9"/>
        <v>1</v>
      </c>
      <c r="AU611" s="95">
        <v>43350</v>
      </c>
      <c r="AV611" t="s">
        <v>165</v>
      </c>
      <c r="AW611" t="s">
        <v>162</v>
      </c>
      <c r="AX611">
        <v>2</v>
      </c>
      <c r="AY611" t="s">
        <v>167</v>
      </c>
      <c r="AZ611" t="s">
        <v>162</v>
      </c>
    </row>
    <row r="612" spans="1:52" x14ac:dyDescent="0.25">
      <c r="A612">
        <v>601</v>
      </c>
      <c r="B612" t="s">
        <v>196</v>
      </c>
      <c r="C612" t="s">
        <v>163</v>
      </c>
      <c r="D612" t="s">
        <v>197</v>
      </c>
      <c r="E612" t="s">
        <v>172</v>
      </c>
      <c r="F612" t="s">
        <v>180</v>
      </c>
      <c r="G612">
        <v>251</v>
      </c>
      <c r="H612">
        <v>250</v>
      </c>
      <c r="I612" t="s">
        <v>513</v>
      </c>
      <c r="J612">
        <v>325</v>
      </c>
      <c r="K612">
        <v>326</v>
      </c>
      <c r="L612" t="s">
        <v>1144</v>
      </c>
      <c r="M612">
        <v>4</v>
      </c>
      <c r="N612" t="s">
        <v>9</v>
      </c>
      <c r="O612" t="s">
        <v>9</v>
      </c>
      <c r="P612" t="s">
        <v>157</v>
      </c>
      <c r="Q612" t="s">
        <v>162</v>
      </c>
      <c r="R612" t="s">
        <v>201</v>
      </c>
      <c r="S612">
        <v>2012</v>
      </c>
      <c r="T612">
        <v>6</v>
      </c>
      <c r="U612" t="s">
        <v>162</v>
      </c>
      <c r="V612" t="s">
        <v>1362</v>
      </c>
      <c r="W612">
        <v>2013</v>
      </c>
      <c r="X612">
        <v>11</v>
      </c>
      <c r="Y612" t="s">
        <v>123</v>
      </c>
      <c r="Z612">
        <v>2013</v>
      </c>
      <c r="AA612">
        <v>2013</v>
      </c>
      <c r="AB612" s="5">
        <v>8.0377522496699993E-2</v>
      </c>
      <c r="AC612" s="5">
        <v>8.0377522496699993E-2</v>
      </c>
      <c r="AD612" t="s">
        <v>162</v>
      </c>
      <c r="AE612" t="s">
        <v>166</v>
      </c>
      <c r="AF612" t="s">
        <v>180</v>
      </c>
      <c r="AG612" t="s">
        <v>163</v>
      </c>
      <c r="AH612" t="s">
        <v>162</v>
      </c>
      <c r="AI612" t="s">
        <v>162</v>
      </c>
      <c r="AJ612" t="s">
        <v>162</v>
      </c>
      <c r="AK612" t="s">
        <v>162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 s="60">
        <f t="shared" si="9"/>
        <v>1</v>
      </c>
      <c r="AU612" s="95">
        <v>43350</v>
      </c>
      <c r="AV612" s="94" t="s">
        <v>165</v>
      </c>
      <c r="AW612" t="s">
        <v>163</v>
      </c>
      <c r="AX612">
        <v>2</v>
      </c>
      <c r="AY612" t="s">
        <v>167</v>
      </c>
      <c r="AZ612" t="s">
        <v>162</v>
      </c>
    </row>
    <row r="613" spans="1:52" x14ac:dyDescent="0.25">
      <c r="A613">
        <v>602</v>
      </c>
      <c r="B613" t="s">
        <v>453</v>
      </c>
      <c r="C613" t="s">
        <v>163</v>
      </c>
      <c r="D613" t="s">
        <v>454</v>
      </c>
      <c r="E613" t="s">
        <v>216</v>
      </c>
      <c r="F613" t="s">
        <v>162</v>
      </c>
      <c r="G613">
        <v>1300</v>
      </c>
      <c r="H613">
        <v>1301</v>
      </c>
      <c r="I613" t="s">
        <v>1363</v>
      </c>
      <c r="J613">
        <v>1401</v>
      </c>
      <c r="K613">
        <v>1400</v>
      </c>
      <c r="L613" t="s">
        <v>493</v>
      </c>
      <c r="M613">
        <v>3</v>
      </c>
      <c r="N613" t="s">
        <v>11</v>
      </c>
      <c r="O613" t="s">
        <v>11</v>
      </c>
      <c r="P613" t="s">
        <v>169</v>
      </c>
      <c r="Q613" t="s">
        <v>162</v>
      </c>
      <c r="R613" t="s">
        <v>266</v>
      </c>
      <c r="S613">
        <v>2008</v>
      </c>
      <c r="T613">
        <v>8</v>
      </c>
      <c r="U613" t="s">
        <v>162</v>
      </c>
      <c r="V613" t="s">
        <v>455</v>
      </c>
      <c r="W613">
        <v>2020</v>
      </c>
      <c r="X613">
        <v>0</v>
      </c>
      <c r="Y613" t="s">
        <v>123</v>
      </c>
      <c r="Z613">
        <v>2020</v>
      </c>
      <c r="AA613">
        <v>2020</v>
      </c>
      <c r="AB613" s="5">
        <v>0.14758897250299999</v>
      </c>
      <c r="AC613" s="5">
        <v>0.29517794500599998</v>
      </c>
      <c r="AD613" t="s">
        <v>162</v>
      </c>
      <c r="AE613" t="s">
        <v>163</v>
      </c>
      <c r="AF613" t="s">
        <v>162</v>
      </c>
      <c r="AG613" t="s">
        <v>162</v>
      </c>
      <c r="AH613" t="s">
        <v>162</v>
      </c>
      <c r="AI613" t="s">
        <v>162</v>
      </c>
      <c r="AJ613" t="s">
        <v>162</v>
      </c>
      <c r="AK613" t="s">
        <v>162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 s="60">
        <f t="shared" si="9"/>
        <v>1</v>
      </c>
      <c r="AU613" s="95" t="s">
        <v>187</v>
      </c>
      <c r="AV613" s="94" t="s">
        <v>165</v>
      </c>
      <c r="AW613" t="s">
        <v>162</v>
      </c>
      <c r="AX613">
        <v>2</v>
      </c>
      <c r="AY613" t="s">
        <v>167</v>
      </c>
      <c r="AZ613" t="s">
        <v>162</v>
      </c>
    </row>
    <row r="614" spans="1:52" x14ac:dyDescent="0.25">
      <c r="A614">
        <v>603</v>
      </c>
      <c r="B614" t="s">
        <v>453</v>
      </c>
      <c r="C614" t="s">
        <v>163</v>
      </c>
      <c r="D614" t="s">
        <v>454</v>
      </c>
      <c r="E614" t="s">
        <v>216</v>
      </c>
      <c r="F614" t="s">
        <v>162</v>
      </c>
      <c r="G614">
        <v>1401</v>
      </c>
      <c r="H614">
        <v>1400</v>
      </c>
      <c r="I614" t="s">
        <v>493</v>
      </c>
      <c r="J614">
        <v>1501</v>
      </c>
      <c r="K614">
        <v>1500</v>
      </c>
      <c r="L614" t="s">
        <v>532</v>
      </c>
      <c r="M614">
        <v>3</v>
      </c>
      <c r="N614" t="s">
        <v>11</v>
      </c>
      <c r="O614" t="s">
        <v>11</v>
      </c>
      <c r="P614" t="s">
        <v>175</v>
      </c>
      <c r="Q614" t="s">
        <v>162</v>
      </c>
      <c r="R614" t="s">
        <v>266</v>
      </c>
      <c r="S614">
        <v>2008</v>
      </c>
      <c r="T614">
        <v>8</v>
      </c>
      <c r="U614" t="s">
        <v>162</v>
      </c>
      <c r="V614" t="s">
        <v>455</v>
      </c>
      <c r="W614">
        <v>2020</v>
      </c>
      <c r="X614">
        <v>0</v>
      </c>
      <c r="Y614" t="s">
        <v>123</v>
      </c>
      <c r="Z614">
        <v>2020</v>
      </c>
      <c r="AA614">
        <v>2020</v>
      </c>
      <c r="AB614" s="5">
        <v>7.6982736872200003E-2</v>
      </c>
      <c r="AC614" s="5">
        <v>0.15396547374399999</v>
      </c>
      <c r="AD614" t="s">
        <v>162</v>
      </c>
      <c r="AE614" t="s">
        <v>163</v>
      </c>
      <c r="AF614" t="s">
        <v>162</v>
      </c>
      <c r="AG614" t="s">
        <v>162</v>
      </c>
      <c r="AH614" t="s">
        <v>162</v>
      </c>
      <c r="AI614" t="s">
        <v>162</v>
      </c>
      <c r="AJ614" t="s">
        <v>162</v>
      </c>
      <c r="AK614" t="s">
        <v>162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 s="60">
        <f t="shared" si="9"/>
        <v>1</v>
      </c>
      <c r="AU614" s="95" t="s">
        <v>187</v>
      </c>
      <c r="AV614" s="94" t="s">
        <v>165</v>
      </c>
      <c r="AW614" t="s">
        <v>162</v>
      </c>
      <c r="AX614">
        <v>2</v>
      </c>
      <c r="AY614" t="s">
        <v>167</v>
      </c>
      <c r="AZ614" t="s">
        <v>162</v>
      </c>
    </row>
    <row r="615" spans="1:52" x14ac:dyDescent="0.25">
      <c r="A615">
        <v>604</v>
      </c>
      <c r="B615" t="s">
        <v>635</v>
      </c>
      <c r="C615" t="s">
        <v>203</v>
      </c>
      <c r="D615" t="s">
        <v>636</v>
      </c>
      <c r="E615" t="s">
        <v>172</v>
      </c>
      <c r="F615" t="s">
        <v>154</v>
      </c>
      <c r="G615">
        <v>130</v>
      </c>
      <c r="H615">
        <v>131</v>
      </c>
      <c r="I615" t="s">
        <v>1078</v>
      </c>
      <c r="J615">
        <v>601</v>
      </c>
      <c r="K615">
        <v>600</v>
      </c>
      <c r="L615" t="s">
        <v>1005</v>
      </c>
      <c r="M615">
        <v>7</v>
      </c>
      <c r="N615" t="s">
        <v>7</v>
      </c>
      <c r="O615" t="s">
        <v>7</v>
      </c>
      <c r="P615" t="s">
        <v>175</v>
      </c>
      <c r="Q615" t="s">
        <v>162</v>
      </c>
      <c r="R615" t="s">
        <v>359</v>
      </c>
      <c r="S615">
        <v>2018</v>
      </c>
      <c r="T615">
        <v>8</v>
      </c>
      <c r="U615" t="s">
        <v>1364</v>
      </c>
      <c r="V615" t="s">
        <v>162</v>
      </c>
      <c r="W615">
        <v>0</v>
      </c>
      <c r="X615">
        <v>0</v>
      </c>
      <c r="Y615" t="s">
        <v>162</v>
      </c>
      <c r="Z615">
        <v>2018</v>
      </c>
      <c r="AA615">
        <v>0</v>
      </c>
      <c r="AB615" s="5">
        <v>0.52101643490100003</v>
      </c>
      <c r="AC615" s="5">
        <v>1.0420328698000001</v>
      </c>
      <c r="AD615" t="s">
        <v>154</v>
      </c>
      <c r="AE615" t="s">
        <v>163</v>
      </c>
      <c r="AF615" t="s">
        <v>154</v>
      </c>
      <c r="AG615" t="s">
        <v>154</v>
      </c>
      <c r="AH615" t="s">
        <v>154</v>
      </c>
      <c r="AI615" t="s">
        <v>226</v>
      </c>
      <c r="AJ615" t="s">
        <v>154</v>
      </c>
      <c r="AK615" t="s">
        <v>162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</v>
      </c>
      <c r="AT615" s="60">
        <f t="shared" si="9"/>
        <v>1</v>
      </c>
      <c r="AU615" s="95" t="s">
        <v>213</v>
      </c>
      <c r="AV615" t="s">
        <v>165</v>
      </c>
      <c r="AW615" t="s">
        <v>166</v>
      </c>
      <c r="AX615">
        <v>1</v>
      </c>
      <c r="AY615" t="s">
        <v>167</v>
      </c>
      <c r="AZ615" t="s">
        <v>162</v>
      </c>
    </row>
    <row r="616" spans="1:52" x14ac:dyDescent="0.25">
      <c r="A616">
        <v>605</v>
      </c>
      <c r="B616" t="s">
        <v>427</v>
      </c>
      <c r="C616" t="s">
        <v>151</v>
      </c>
      <c r="D616" t="s">
        <v>428</v>
      </c>
      <c r="E616" t="s">
        <v>216</v>
      </c>
      <c r="F616" t="s">
        <v>162</v>
      </c>
      <c r="G616">
        <v>5201</v>
      </c>
      <c r="H616">
        <v>5200</v>
      </c>
      <c r="I616" t="s">
        <v>834</v>
      </c>
      <c r="J616">
        <v>5601</v>
      </c>
      <c r="K616">
        <v>5600</v>
      </c>
      <c r="L616" t="s">
        <v>901</v>
      </c>
      <c r="M616">
        <v>3</v>
      </c>
      <c r="N616" t="s">
        <v>11</v>
      </c>
      <c r="O616" t="s">
        <v>327</v>
      </c>
      <c r="P616" t="s">
        <v>157</v>
      </c>
      <c r="Q616" t="s">
        <v>162</v>
      </c>
      <c r="R616" t="s">
        <v>544</v>
      </c>
      <c r="S616">
        <v>2021</v>
      </c>
      <c r="T616">
        <v>10</v>
      </c>
      <c r="U616" t="s">
        <v>545</v>
      </c>
      <c r="V616" t="s">
        <v>162</v>
      </c>
      <c r="W616">
        <v>0</v>
      </c>
      <c r="X616">
        <v>0</v>
      </c>
      <c r="Y616" t="s">
        <v>162</v>
      </c>
      <c r="Z616">
        <v>2021</v>
      </c>
      <c r="AA616">
        <v>0</v>
      </c>
      <c r="AB616" s="5">
        <v>0.50647443408399995</v>
      </c>
      <c r="AC616" s="5">
        <v>1.0129488681700001</v>
      </c>
      <c r="AD616" t="s">
        <v>162</v>
      </c>
      <c r="AE616" t="s">
        <v>163</v>
      </c>
      <c r="AF616" t="s">
        <v>162</v>
      </c>
      <c r="AG616" t="s">
        <v>163</v>
      </c>
      <c r="AH616" t="s">
        <v>162</v>
      </c>
      <c r="AI616" t="s">
        <v>162</v>
      </c>
      <c r="AJ616" t="s">
        <v>162</v>
      </c>
      <c r="AK616" t="s">
        <v>162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s="60">
        <f t="shared" si="9"/>
        <v>1</v>
      </c>
      <c r="AU616" s="95" t="s">
        <v>546</v>
      </c>
      <c r="AV616" s="94" t="s">
        <v>165</v>
      </c>
      <c r="AW616" t="s">
        <v>163</v>
      </c>
      <c r="AX616">
        <v>2</v>
      </c>
      <c r="AY616" t="s">
        <v>167</v>
      </c>
      <c r="AZ616" t="s">
        <v>162</v>
      </c>
    </row>
    <row r="617" spans="1:52" x14ac:dyDescent="0.25">
      <c r="A617">
        <v>606</v>
      </c>
      <c r="B617" t="s">
        <v>1365</v>
      </c>
      <c r="C617" t="s">
        <v>163</v>
      </c>
      <c r="D617" t="s">
        <v>1366</v>
      </c>
      <c r="E617" t="s">
        <v>216</v>
      </c>
      <c r="F617" t="s">
        <v>162</v>
      </c>
      <c r="G617">
        <v>101</v>
      </c>
      <c r="H617">
        <v>100</v>
      </c>
      <c r="I617" t="s">
        <v>1367</v>
      </c>
      <c r="J617">
        <v>151</v>
      </c>
      <c r="K617">
        <v>150</v>
      </c>
      <c r="L617" t="s">
        <v>1171</v>
      </c>
      <c r="M617">
        <v>3</v>
      </c>
      <c r="N617" t="s">
        <v>7</v>
      </c>
      <c r="O617" t="s">
        <v>7</v>
      </c>
      <c r="P617" t="s">
        <v>175</v>
      </c>
      <c r="Q617" t="s">
        <v>162</v>
      </c>
      <c r="R617" t="s">
        <v>261</v>
      </c>
      <c r="S617">
        <v>2018</v>
      </c>
      <c r="T617">
        <v>7</v>
      </c>
      <c r="U617" t="s">
        <v>162</v>
      </c>
      <c r="V617" t="s">
        <v>162</v>
      </c>
      <c r="W617">
        <v>0</v>
      </c>
      <c r="X617">
        <v>0</v>
      </c>
      <c r="Y617" t="s">
        <v>162</v>
      </c>
      <c r="Z617">
        <v>2018</v>
      </c>
      <c r="AA617">
        <v>0</v>
      </c>
      <c r="AB617" s="5">
        <v>8.5663296830799998E-2</v>
      </c>
      <c r="AC617" s="5">
        <v>8.5663296830799998E-2</v>
      </c>
      <c r="AD617" t="s">
        <v>162</v>
      </c>
      <c r="AE617" t="s">
        <v>166</v>
      </c>
      <c r="AF617" t="s">
        <v>163</v>
      </c>
      <c r="AG617" t="s">
        <v>163</v>
      </c>
      <c r="AH617" t="s">
        <v>162</v>
      </c>
      <c r="AI617" t="s">
        <v>226</v>
      </c>
      <c r="AJ617" t="s">
        <v>163</v>
      </c>
      <c r="AK617" t="s">
        <v>162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T617" s="60">
        <f t="shared" si="9"/>
        <v>1</v>
      </c>
      <c r="AU617" s="95" t="s">
        <v>360</v>
      </c>
      <c r="AV617" s="94" t="s">
        <v>165</v>
      </c>
      <c r="AW617" t="s">
        <v>166</v>
      </c>
      <c r="AX617">
        <v>1</v>
      </c>
      <c r="AY617" t="s">
        <v>167</v>
      </c>
      <c r="AZ617" t="s">
        <v>162</v>
      </c>
    </row>
    <row r="618" spans="1:52" x14ac:dyDescent="0.25">
      <c r="A618">
        <v>607</v>
      </c>
      <c r="B618" t="s">
        <v>1368</v>
      </c>
      <c r="C618" t="s">
        <v>151</v>
      </c>
      <c r="D618" t="s">
        <v>1369</v>
      </c>
      <c r="E618" t="s">
        <v>216</v>
      </c>
      <c r="F618" t="s">
        <v>162</v>
      </c>
      <c r="G618">
        <v>1101</v>
      </c>
      <c r="H618">
        <v>1100</v>
      </c>
      <c r="I618" t="s">
        <v>444</v>
      </c>
      <c r="J618">
        <v>1051</v>
      </c>
      <c r="K618">
        <v>1050</v>
      </c>
      <c r="L618" t="s">
        <v>467</v>
      </c>
      <c r="M618">
        <v>4</v>
      </c>
      <c r="N618" t="s">
        <v>11</v>
      </c>
      <c r="O618" t="s">
        <v>11</v>
      </c>
      <c r="P618" t="s">
        <v>175</v>
      </c>
      <c r="Q618" t="s">
        <v>162</v>
      </c>
      <c r="R618" t="s">
        <v>1308</v>
      </c>
      <c r="S618">
        <v>2018</v>
      </c>
      <c r="T618">
        <v>7</v>
      </c>
      <c r="U618" t="s">
        <v>162</v>
      </c>
      <c r="V618" t="s">
        <v>162</v>
      </c>
      <c r="W618">
        <v>0</v>
      </c>
      <c r="X618">
        <v>0</v>
      </c>
      <c r="Y618" t="s">
        <v>162</v>
      </c>
      <c r="Z618">
        <v>2018</v>
      </c>
      <c r="AA618">
        <v>0</v>
      </c>
      <c r="AB618" s="5">
        <v>0.17780462459599999</v>
      </c>
      <c r="AC618" s="5">
        <v>0.35560924919199999</v>
      </c>
      <c r="AD618" t="s">
        <v>162</v>
      </c>
      <c r="AE618" t="s">
        <v>163</v>
      </c>
      <c r="AF618" t="s">
        <v>162</v>
      </c>
      <c r="AG618" t="s">
        <v>162</v>
      </c>
      <c r="AH618" t="s">
        <v>162</v>
      </c>
      <c r="AI618" t="s">
        <v>162</v>
      </c>
      <c r="AJ618" t="s">
        <v>162</v>
      </c>
      <c r="AK618" t="s">
        <v>162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s="60">
        <f t="shared" si="9"/>
        <v>1</v>
      </c>
      <c r="AU618" s="95">
        <v>43350</v>
      </c>
      <c r="AV618" s="94" t="s">
        <v>165</v>
      </c>
      <c r="AW618" t="s">
        <v>162</v>
      </c>
      <c r="AX618">
        <v>3</v>
      </c>
      <c r="AY618" t="s">
        <v>1345</v>
      </c>
      <c r="AZ618" t="s">
        <v>162</v>
      </c>
    </row>
    <row r="619" spans="1:52" x14ac:dyDescent="0.25">
      <c r="A619">
        <v>608</v>
      </c>
      <c r="B619" t="s">
        <v>1062</v>
      </c>
      <c r="C619" t="s">
        <v>151</v>
      </c>
      <c r="D619" t="s">
        <v>1063</v>
      </c>
      <c r="E619" t="s">
        <v>222</v>
      </c>
      <c r="F619" t="s">
        <v>162</v>
      </c>
      <c r="G619">
        <v>2001</v>
      </c>
      <c r="H619">
        <v>2000</v>
      </c>
      <c r="I619" t="s">
        <v>775</v>
      </c>
      <c r="J619">
        <v>1201</v>
      </c>
      <c r="K619">
        <v>1200</v>
      </c>
      <c r="L619" t="s">
        <v>273</v>
      </c>
      <c r="M619">
        <v>3</v>
      </c>
      <c r="N619" t="s">
        <v>15</v>
      </c>
      <c r="O619" t="s">
        <v>15</v>
      </c>
      <c r="P619" t="s">
        <v>175</v>
      </c>
      <c r="Q619" t="s">
        <v>162</v>
      </c>
      <c r="R619" t="s">
        <v>304</v>
      </c>
      <c r="S619">
        <v>2018</v>
      </c>
      <c r="T619">
        <v>7</v>
      </c>
      <c r="U619" t="s">
        <v>162</v>
      </c>
      <c r="V619" t="s">
        <v>162</v>
      </c>
      <c r="W619">
        <v>0</v>
      </c>
      <c r="X619">
        <v>0</v>
      </c>
      <c r="Y619" t="s">
        <v>162</v>
      </c>
      <c r="Z619">
        <v>2018</v>
      </c>
      <c r="AA619">
        <v>0</v>
      </c>
      <c r="AB619" s="5">
        <v>0.99126210917799995</v>
      </c>
      <c r="AC619" s="5">
        <v>1.98252421836</v>
      </c>
      <c r="AD619" t="s">
        <v>162</v>
      </c>
      <c r="AE619" t="s">
        <v>163</v>
      </c>
      <c r="AF619" t="s">
        <v>162</v>
      </c>
      <c r="AG619" t="s">
        <v>162</v>
      </c>
      <c r="AH619" t="s">
        <v>162</v>
      </c>
      <c r="AI619" t="s">
        <v>162</v>
      </c>
      <c r="AJ619" t="s">
        <v>162</v>
      </c>
      <c r="AK619" t="s">
        <v>162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s="60">
        <f t="shared" si="9"/>
        <v>1</v>
      </c>
      <c r="AU619" s="95">
        <v>43350</v>
      </c>
      <c r="AV619" t="s">
        <v>165</v>
      </c>
      <c r="AW619" t="s">
        <v>162</v>
      </c>
      <c r="AX619">
        <v>2</v>
      </c>
      <c r="AY619" t="s">
        <v>167</v>
      </c>
      <c r="AZ619">
        <v>20</v>
      </c>
    </row>
    <row r="620" spans="1:52" x14ac:dyDescent="0.25">
      <c r="A620">
        <v>609</v>
      </c>
      <c r="B620" t="s">
        <v>802</v>
      </c>
      <c r="C620" t="s">
        <v>180</v>
      </c>
      <c r="D620" t="s">
        <v>803</v>
      </c>
      <c r="E620" t="s">
        <v>172</v>
      </c>
      <c r="F620" t="s">
        <v>163</v>
      </c>
      <c r="G620">
        <v>751</v>
      </c>
      <c r="H620">
        <v>750</v>
      </c>
      <c r="I620" t="s">
        <v>391</v>
      </c>
      <c r="J620">
        <v>551</v>
      </c>
      <c r="K620">
        <v>550</v>
      </c>
      <c r="L620" t="s">
        <v>292</v>
      </c>
      <c r="M620">
        <v>4</v>
      </c>
      <c r="N620" t="s">
        <v>7</v>
      </c>
      <c r="O620" t="s">
        <v>7</v>
      </c>
      <c r="P620" t="s">
        <v>157</v>
      </c>
      <c r="Q620" t="s">
        <v>162</v>
      </c>
      <c r="R620" t="s">
        <v>407</v>
      </c>
      <c r="S620">
        <v>2018</v>
      </c>
      <c r="T620">
        <v>10</v>
      </c>
      <c r="U620" t="s">
        <v>928</v>
      </c>
      <c r="V620" t="s">
        <v>455</v>
      </c>
      <c r="W620">
        <v>2020</v>
      </c>
      <c r="X620">
        <v>2020</v>
      </c>
      <c r="Y620" t="s">
        <v>123</v>
      </c>
      <c r="Z620">
        <v>2020</v>
      </c>
      <c r="AA620">
        <v>2020</v>
      </c>
      <c r="AB620" s="5">
        <v>0.15583750314100001</v>
      </c>
      <c r="AC620" s="5">
        <v>0.31167500628200001</v>
      </c>
      <c r="AD620" t="s">
        <v>154</v>
      </c>
      <c r="AE620" t="s">
        <v>163</v>
      </c>
      <c r="AF620" t="s">
        <v>154</v>
      </c>
      <c r="AG620" t="s">
        <v>154</v>
      </c>
      <c r="AH620" t="s">
        <v>162</v>
      </c>
      <c r="AI620" t="s">
        <v>194</v>
      </c>
      <c r="AJ620" t="s">
        <v>154</v>
      </c>
      <c r="AK620" t="s">
        <v>162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 s="60">
        <f t="shared" si="9"/>
        <v>1</v>
      </c>
      <c r="AU620" s="95" t="s">
        <v>213</v>
      </c>
      <c r="AV620" t="s">
        <v>165</v>
      </c>
      <c r="AW620" t="s">
        <v>166</v>
      </c>
      <c r="AX620">
        <v>1</v>
      </c>
      <c r="AY620" t="s">
        <v>167</v>
      </c>
      <c r="AZ620" t="s">
        <v>162</v>
      </c>
    </row>
    <row r="621" spans="1:52" x14ac:dyDescent="0.25">
      <c r="A621">
        <v>610</v>
      </c>
      <c r="B621" t="s">
        <v>1370</v>
      </c>
      <c r="C621" t="s">
        <v>151</v>
      </c>
      <c r="D621" t="s">
        <v>1371</v>
      </c>
      <c r="E621" t="s">
        <v>216</v>
      </c>
      <c r="F621" t="s">
        <v>162</v>
      </c>
      <c r="G621">
        <v>5501</v>
      </c>
      <c r="H621">
        <v>5500</v>
      </c>
      <c r="I621" t="s">
        <v>1372</v>
      </c>
      <c r="J621">
        <v>4951</v>
      </c>
      <c r="K621">
        <v>4950</v>
      </c>
      <c r="L621" t="s">
        <v>384</v>
      </c>
      <c r="M621">
        <v>3</v>
      </c>
      <c r="N621" t="s">
        <v>11</v>
      </c>
      <c r="O621" t="s">
        <v>11</v>
      </c>
      <c r="P621" t="s">
        <v>175</v>
      </c>
      <c r="Q621" t="s">
        <v>162</v>
      </c>
      <c r="R621" t="s">
        <v>1260</v>
      </c>
      <c r="S621">
        <v>2018</v>
      </c>
      <c r="T621">
        <v>7</v>
      </c>
      <c r="U621" t="s">
        <v>162</v>
      </c>
      <c r="V621" t="s">
        <v>162</v>
      </c>
      <c r="W621">
        <v>0</v>
      </c>
      <c r="X621">
        <v>0</v>
      </c>
      <c r="Y621" t="s">
        <v>162</v>
      </c>
      <c r="Z621">
        <v>2018</v>
      </c>
      <c r="AA621">
        <v>0</v>
      </c>
      <c r="AB621" s="5">
        <v>0.72074061211600005</v>
      </c>
      <c r="AC621" s="5">
        <v>1.4414812242299999</v>
      </c>
      <c r="AD621" t="s">
        <v>162</v>
      </c>
      <c r="AE621" t="s">
        <v>163</v>
      </c>
      <c r="AF621" t="s">
        <v>162</v>
      </c>
      <c r="AG621" t="s">
        <v>162</v>
      </c>
      <c r="AH621" t="s">
        <v>162</v>
      </c>
      <c r="AI621" t="s">
        <v>162</v>
      </c>
      <c r="AJ621" t="s">
        <v>162</v>
      </c>
      <c r="AK621" t="s">
        <v>162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 s="60">
        <f t="shared" si="9"/>
        <v>1</v>
      </c>
      <c r="AU621" s="95">
        <v>43350</v>
      </c>
      <c r="AV621" s="94" t="s">
        <v>165</v>
      </c>
      <c r="AW621" t="s">
        <v>162</v>
      </c>
      <c r="AX621">
        <v>2</v>
      </c>
      <c r="AY621" t="s">
        <v>167</v>
      </c>
      <c r="AZ621" t="s">
        <v>162</v>
      </c>
    </row>
    <row r="622" spans="1:52" x14ac:dyDescent="0.25">
      <c r="A622">
        <v>611</v>
      </c>
      <c r="B622" t="s">
        <v>635</v>
      </c>
      <c r="C622" t="s">
        <v>151</v>
      </c>
      <c r="D622" t="s">
        <v>636</v>
      </c>
      <c r="E622" t="s">
        <v>172</v>
      </c>
      <c r="F622" t="s">
        <v>151</v>
      </c>
      <c r="G622">
        <v>301</v>
      </c>
      <c r="H622">
        <v>300</v>
      </c>
      <c r="I622" t="s">
        <v>1373</v>
      </c>
      <c r="J622">
        <v>201</v>
      </c>
      <c r="K622">
        <v>200</v>
      </c>
      <c r="L622" t="s">
        <v>499</v>
      </c>
      <c r="M622">
        <v>4</v>
      </c>
      <c r="N622" t="s">
        <v>7</v>
      </c>
      <c r="O622" t="s">
        <v>7</v>
      </c>
      <c r="P622" t="s">
        <v>169</v>
      </c>
      <c r="Q622" t="s">
        <v>162</v>
      </c>
      <c r="R622" t="s">
        <v>261</v>
      </c>
      <c r="S622">
        <v>2018</v>
      </c>
      <c r="T622">
        <v>6</v>
      </c>
      <c r="U622" t="s">
        <v>162</v>
      </c>
      <c r="V622" t="s">
        <v>162</v>
      </c>
      <c r="W622">
        <v>0</v>
      </c>
      <c r="X622">
        <v>0</v>
      </c>
      <c r="Y622" t="s">
        <v>162</v>
      </c>
      <c r="Z622">
        <v>2018</v>
      </c>
      <c r="AA622">
        <v>0</v>
      </c>
      <c r="AB622" s="5">
        <v>7.6550324018599999E-2</v>
      </c>
      <c r="AC622" s="5">
        <v>7.6550324018599999E-2</v>
      </c>
      <c r="AD622" t="s">
        <v>261</v>
      </c>
      <c r="AE622" t="s">
        <v>166</v>
      </c>
      <c r="AF622" t="s">
        <v>151</v>
      </c>
      <c r="AG622" t="s">
        <v>163</v>
      </c>
      <c r="AH622" t="s">
        <v>162</v>
      </c>
      <c r="AI622" t="s">
        <v>226</v>
      </c>
      <c r="AJ622" t="s">
        <v>154</v>
      </c>
      <c r="AK622" t="s">
        <v>162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 s="60">
        <f t="shared" si="9"/>
        <v>1</v>
      </c>
      <c r="AU622" s="95" t="s">
        <v>213</v>
      </c>
      <c r="AV622" t="s">
        <v>165</v>
      </c>
      <c r="AW622" t="s">
        <v>166</v>
      </c>
      <c r="AX622">
        <v>1</v>
      </c>
      <c r="AY622" t="s">
        <v>167</v>
      </c>
      <c r="AZ622" t="s">
        <v>162</v>
      </c>
    </row>
    <row r="623" spans="1:52" x14ac:dyDescent="0.25">
      <c r="A623">
        <v>612</v>
      </c>
      <c r="B623" t="s">
        <v>635</v>
      </c>
      <c r="C623" t="s">
        <v>151</v>
      </c>
      <c r="D623" t="s">
        <v>636</v>
      </c>
      <c r="E623" t="s">
        <v>172</v>
      </c>
      <c r="F623" t="s">
        <v>151</v>
      </c>
      <c r="G623">
        <v>0</v>
      </c>
      <c r="H623">
        <v>0</v>
      </c>
      <c r="I623" t="s">
        <v>1282</v>
      </c>
      <c r="J623">
        <v>0</v>
      </c>
      <c r="K623">
        <v>0</v>
      </c>
      <c r="L623" t="s">
        <v>1373</v>
      </c>
      <c r="M623">
        <v>4</v>
      </c>
      <c r="N623" t="s">
        <v>7</v>
      </c>
      <c r="O623" t="s">
        <v>7</v>
      </c>
      <c r="P623" t="s">
        <v>175</v>
      </c>
      <c r="Q623" t="s">
        <v>162</v>
      </c>
      <c r="R623" t="s">
        <v>261</v>
      </c>
      <c r="S623">
        <v>2016</v>
      </c>
      <c r="T623">
        <v>11</v>
      </c>
      <c r="U623" t="s">
        <v>1374</v>
      </c>
      <c r="V623" t="s">
        <v>162</v>
      </c>
      <c r="W623">
        <v>0</v>
      </c>
      <c r="X623">
        <v>0</v>
      </c>
      <c r="Y623" t="s">
        <v>162</v>
      </c>
      <c r="Z623">
        <v>2016</v>
      </c>
      <c r="AA623">
        <v>0</v>
      </c>
      <c r="AB623" s="5">
        <v>0.22801041892599999</v>
      </c>
      <c r="AC623" s="5">
        <v>0.22801041892599999</v>
      </c>
      <c r="AD623" t="s">
        <v>261</v>
      </c>
      <c r="AE623" t="s">
        <v>166</v>
      </c>
      <c r="AF623" t="s">
        <v>151</v>
      </c>
      <c r="AG623" t="s">
        <v>163</v>
      </c>
      <c r="AH623" t="s">
        <v>162</v>
      </c>
      <c r="AI623" t="s">
        <v>226</v>
      </c>
      <c r="AJ623" t="s">
        <v>154</v>
      </c>
      <c r="AK623" t="s">
        <v>166</v>
      </c>
      <c r="AL623">
        <v>2017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 s="60">
        <f t="shared" si="9"/>
        <v>1</v>
      </c>
      <c r="AU623" s="95" t="s">
        <v>213</v>
      </c>
      <c r="AV623" t="s">
        <v>165</v>
      </c>
      <c r="AW623" t="s">
        <v>166</v>
      </c>
      <c r="AX623">
        <v>1</v>
      </c>
      <c r="AY623" t="s">
        <v>167</v>
      </c>
      <c r="AZ623" t="s">
        <v>162</v>
      </c>
    </row>
    <row r="624" spans="1:52" x14ac:dyDescent="0.25">
      <c r="A624">
        <v>613</v>
      </c>
      <c r="B624" t="s">
        <v>1375</v>
      </c>
      <c r="C624" t="s">
        <v>180</v>
      </c>
      <c r="D624" t="s">
        <v>1376</v>
      </c>
      <c r="E624" t="s">
        <v>216</v>
      </c>
      <c r="F624" t="s">
        <v>154</v>
      </c>
      <c r="G624">
        <v>1901</v>
      </c>
      <c r="H624">
        <v>1900</v>
      </c>
      <c r="I624" t="s">
        <v>410</v>
      </c>
      <c r="J624">
        <v>1600</v>
      </c>
      <c r="K624">
        <v>1601</v>
      </c>
      <c r="L624" t="s">
        <v>1377</v>
      </c>
      <c r="M624">
        <v>4</v>
      </c>
      <c r="N624" t="s">
        <v>7</v>
      </c>
      <c r="O624" t="s">
        <v>7</v>
      </c>
      <c r="P624" t="s">
        <v>157</v>
      </c>
      <c r="Q624" t="s">
        <v>154</v>
      </c>
      <c r="R624" t="s">
        <v>1378</v>
      </c>
      <c r="S624">
        <v>2022</v>
      </c>
      <c r="T624">
        <v>11</v>
      </c>
      <c r="U624" t="s">
        <v>1379</v>
      </c>
      <c r="V624" t="s">
        <v>162</v>
      </c>
      <c r="W624">
        <v>0</v>
      </c>
      <c r="X624">
        <v>0</v>
      </c>
      <c r="Y624" t="s">
        <v>162</v>
      </c>
      <c r="Z624">
        <v>2022</v>
      </c>
      <c r="AA624">
        <v>2017</v>
      </c>
      <c r="AB624" s="5">
        <v>0.16537323932799999</v>
      </c>
      <c r="AC624" s="5">
        <v>0.32075629710199999</v>
      </c>
      <c r="AD624" t="s">
        <v>154</v>
      </c>
      <c r="AE624" t="s">
        <v>154</v>
      </c>
      <c r="AF624" t="s">
        <v>154</v>
      </c>
      <c r="AG624" t="s">
        <v>154</v>
      </c>
      <c r="AH624" t="s">
        <v>154</v>
      </c>
      <c r="AI624" t="s">
        <v>194</v>
      </c>
      <c r="AJ624" t="s">
        <v>162</v>
      </c>
      <c r="AK624" t="s">
        <v>162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</v>
      </c>
      <c r="AT624" s="60">
        <f t="shared" si="9"/>
        <v>1</v>
      </c>
      <c r="AU624" s="95" t="s">
        <v>195</v>
      </c>
      <c r="AV624" s="94" t="s">
        <v>165</v>
      </c>
      <c r="AW624" t="s">
        <v>166</v>
      </c>
      <c r="AX624">
        <v>2</v>
      </c>
      <c r="AY624" t="s">
        <v>167</v>
      </c>
      <c r="AZ624" t="s">
        <v>162</v>
      </c>
    </row>
    <row r="625" spans="1:52" x14ac:dyDescent="0.25">
      <c r="A625">
        <v>614</v>
      </c>
      <c r="B625" t="s">
        <v>1380</v>
      </c>
      <c r="C625" t="s">
        <v>163</v>
      </c>
      <c r="D625" t="s">
        <v>1381</v>
      </c>
      <c r="E625" t="s">
        <v>216</v>
      </c>
      <c r="F625" t="s">
        <v>162</v>
      </c>
      <c r="G625">
        <v>4501</v>
      </c>
      <c r="H625">
        <v>4500</v>
      </c>
      <c r="I625" t="s">
        <v>1382</v>
      </c>
      <c r="J625">
        <v>4801</v>
      </c>
      <c r="K625">
        <v>4800</v>
      </c>
      <c r="L625" t="s">
        <v>588</v>
      </c>
      <c r="M625">
        <v>2</v>
      </c>
      <c r="N625" t="s">
        <v>15</v>
      </c>
      <c r="O625" t="s">
        <v>15</v>
      </c>
      <c r="P625" t="s">
        <v>175</v>
      </c>
      <c r="Q625" t="s">
        <v>162</v>
      </c>
      <c r="R625" t="s">
        <v>1260</v>
      </c>
      <c r="S625">
        <v>2017</v>
      </c>
      <c r="T625">
        <v>9</v>
      </c>
      <c r="U625" t="s">
        <v>162</v>
      </c>
      <c r="V625" t="s">
        <v>162</v>
      </c>
      <c r="W625">
        <v>0</v>
      </c>
      <c r="X625">
        <v>0</v>
      </c>
      <c r="Y625" t="s">
        <v>162</v>
      </c>
      <c r="Z625">
        <v>2017</v>
      </c>
      <c r="AA625">
        <v>0</v>
      </c>
      <c r="AB625" s="5">
        <v>0.37481275336300002</v>
      </c>
      <c r="AC625" s="5">
        <v>0.74962550672600003</v>
      </c>
      <c r="AD625" t="s">
        <v>162</v>
      </c>
      <c r="AE625" t="s">
        <v>163</v>
      </c>
      <c r="AF625" t="s">
        <v>162</v>
      </c>
      <c r="AG625" t="s">
        <v>162</v>
      </c>
      <c r="AH625" t="s">
        <v>162</v>
      </c>
      <c r="AI625" t="s">
        <v>162</v>
      </c>
      <c r="AJ625" t="s">
        <v>162</v>
      </c>
      <c r="AK625" t="s">
        <v>162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 s="60">
        <f t="shared" si="9"/>
        <v>1</v>
      </c>
      <c r="AU625" s="95">
        <v>43350</v>
      </c>
      <c r="AV625" t="s">
        <v>165</v>
      </c>
      <c r="AW625" t="s">
        <v>162</v>
      </c>
      <c r="AX625">
        <v>2</v>
      </c>
      <c r="AY625" t="s">
        <v>167</v>
      </c>
      <c r="AZ625" t="s">
        <v>162</v>
      </c>
    </row>
    <row r="626" spans="1:52" x14ac:dyDescent="0.25">
      <c r="A626">
        <v>615</v>
      </c>
      <c r="B626" t="s">
        <v>1380</v>
      </c>
      <c r="C626" t="s">
        <v>163</v>
      </c>
      <c r="D626" t="s">
        <v>1381</v>
      </c>
      <c r="E626" t="s">
        <v>216</v>
      </c>
      <c r="F626" t="s">
        <v>162</v>
      </c>
      <c r="G626">
        <v>4801</v>
      </c>
      <c r="H626">
        <v>4800</v>
      </c>
      <c r="I626" t="s">
        <v>588</v>
      </c>
      <c r="J626">
        <v>4901</v>
      </c>
      <c r="K626">
        <v>4900</v>
      </c>
      <c r="L626" t="s">
        <v>1198</v>
      </c>
      <c r="M626">
        <v>2</v>
      </c>
      <c r="N626" t="s">
        <v>9</v>
      </c>
      <c r="O626" t="s">
        <v>9</v>
      </c>
      <c r="P626" t="s">
        <v>175</v>
      </c>
      <c r="Q626" t="s">
        <v>162</v>
      </c>
      <c r="R626" t="s">
        <v>1260</v>
      </c>
      <c r="S626">
        <v>2017</v>
      </c>
      <c r="T626">
        <v>9</v>
      </c>
      <c r="U626" t="s">
        <v>162</v>
      </c>
      <c r="V626" t="s">
        <v>162</v>
      </c>
      <c r="W626">
        <v>0</v>
      </c>
      <c r="X626">
        <v>0</v>
      </c>
      <c r="Y626" t="s">
        <v>162</v>
      </c>
      <c r="Z626">
        <v>2017</v>
      </c>
      <c r="AA626">
        <v>0</v>
      </c>
      <c r="AB626" s="5">
        <v>0.12545127050499999</v>
      </c>
      <c r="AC626" s="5">
        <v>0.25090254100999998</v>
      </c>
      <c r="AD626" t="s">
        <v>162</v>
      </c>
      <c r="AE626" t="s">
        <v>163</v>
      </c>
      <c r="AF626" t="s">
        <v>162</v>
      </c>
      <c r="AG626" t="s">
        <v>162</v>
      </c>
      <c r="AH626" t="s">
        <v>162</v>
      </c>
      <c r="AI626" t="s">
        <v>162</v>
      </c>
      <c r="AJ626" t="s">
        <v>162</v>
      </c>
      <c r="AK626" t="s">
        <v>162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 s="60">
        <f t="shared" si="9"/>
        <v>1</v>
      </c>
      <c r="AU626" s="95">
        <v>43350</v>
      </c>
      <c r="AV626" t="s">
        <v>165</v>
      </c>
      <c r="AW626" t="s">
        <v>163</v>
      </c>
      <c r="AX626">
        <v>2</v>
      </c>
      <c r="AY626" t="s">
        <v>167</v>
      </c>
      <c r="AZ626" t="s">
        <v>162</v>
      </c>
    </row>
    <row r="627" spans="1:52" x14ac:dyDescent="0.25">
      <c r="A627">
        <v>616</v>
      </c>
      <c r="B627" t="s">
        <v>1380</v>
      </c>
      <c r="C627" t="s">
        <v>163</v>
      </c>
      <c r="D627" t="s">
        <v>1381</v>
      </c>
      <c r="E627" t="s">
        <v>216</v>
      </c>
      <c r="F627" t="s">
        <v>162</v>
      </c>
      <c r="G627">
        <v>4901</v>
      </c>
      <c r="H627">
        <v>4900</v>
      </c>
      <c r="I627" t="s">
        <v>1198</v>
      </c>
      <c r="J627">
        <v>5001</v>
      </c>
      <c r="K627">
        <v>5000</v>
      </c>
      <c r="L627" t="s">
        <v>1383</v>
      </c>
      <c r="M627">
        <v>0</v>
      </c>
      <c r="N627" t="s">
        <v>11</v>
      </c>
      <c r="O627" t="s">
        <v>11</v>
      </c>
      <c r="P627" t="s">
        <v>175</v>
      </c>
      <c r="Q627" t="s">
        <v>162</v>
      </c>
      <c r="R627" t="s">
        <v>1260</v>
      </c>
      <c r="S627">
        <v>2017</v>
      </c>
      <c r="T627">
        <v>9</v>
      </c>
      <c r="U627" t="s">
        <v>162</v>
      </c>
      <c r="V627" t="s">
        <v>162</v>
      </c>
      <c r="W627">
        <v>0</v>
      </c>
      <c r="X627">
        <v>0</v>
      </c>
      <c r="Y627" t="s">
        <v>162</v>
      </c>
      <c r="Z627">
        <v>2017</v>
      </c>
      <c r="AA627">
        <v>0</v>
      </c>
      <c r="AB627" s="5">
        <v>0.12761894547399999</v>
      </c>
      <c r="AC627" s="5">
        <v>0.25523789094799998</v>
      </c>
      <c r="AD627" t="s">
        <v>162</v>
      </c>
      <c r="AE627" t="s">
        <v>163</v>
      </c>
      <c r="AF627" t="s">
        <v>162</v>
      </c>
      <c r="AG627" t="s">
        <v>162</v>
      </c>
      <c r="AH627" t="s">
        <v>162</v>
      </c>
      <c r="AI627" t="s">
        <v>162</v>
      </c>
      <c r="AJ627" t="s">
        <v>162</v>
      </c>
      <c r="AK627" t="s">
        <v>162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 s="60">
        <f t="shared" si="9"/>
        <v>1</v>
      </c>
      <c r="AU627" s="95">
        <v>43350</v>
      </c>
      <c r="AV627" s="94" t="s">
        <v>165</v>
      </c>
      <c r="AW627" t="s">
        <v>162</v>
      </c>
      <c r="AX627">
        <v>2</v>
      </c>
      <c r="AY627" t="s">
        <v>167</v>
      </c>
      <c r="AZ627" t="s">
        <v>162</v>
      </c>
    </row>
    <row r="628" spans="1:52" x14ac:dyDescent="0.25">
      <c r="A628">
        <v>617</v>
      </c>
      <c r="B628" t="s">
        <v>629</v>
      </c>
      <c r="C628" t="s">
        <v>151</v>
      </c>
      <c r="D628" t="s">
        <v>630</v>
      </c>
      <c r="E628" t="s">
        <v>222</v>
      </c>
      <c r="F628" t="s">
        <v>162</v>
      </c>
      <c r="G628">
        <v>3601</v>
      </c>
      <c r="H628">
        <v>3600</v>
      </c>
      <c r="I628" t="s">
        <v>1384</v>
      </c>
      <c r="J628">
        <v>3531</v>
      </c>
      <c r="K628">
        <v>3530</v>
      </c>
      <c r="L628" t="s">
        <v>1385</v>
      </c>
      <c r="M628">
        <v>4</v>
      </c>
      <c r="N628" t="s">
        <v>9</v>
      </c>
      <c r="O628" t="s">
        <v>9</v>
      </c>
      <c r="P628" t="s">
        <v>157</v>
      </c>
      <c r="Q628" t="s">
        <v>162</v>
      </c>
      <c r="R628" t="s">
        <v>320</v>
      </c>
      <c r="S628">
        <v>2014</v>
      </c>
      <c r="T628">
        <v>11</v>
      </c>
      <c r="U628" t="s">
        <v>123</v>
      </c>
      <c r="V628" t="s">
        <v>162</v>
      </c>
      <c r="W628">
        <v>0</v>
      </c>
      <c r="X628">
        <v>0</v>
      </c>
      <c r="Y628" t="s">
        <v>162</v>
      </c>
      <c r="Z628">
        <v>2014</v>
      </c>
      <c r="AA628">
        <v>2014</v>
      </c>
      <c r="AB628" s="5">
        <v>6.2923230488500001E-2</v>
      </c>
      <c r="AC628" s="5">
        <v>0.125846460977</v>
      </c>
      <c r="AD628" t="s">
        <v>162</v>
      </c>
      <c r="AE628" t="s">
        <v>163</v>
      </c>
      <c r="AF628" t="s">
        <v>162</v>
      </c>
      <c r="AG628" t="s">
        <v>162</v>
      </c>
      <c r="AH628" t="s">
        <v>162</v>
      </c>
      <c r="AI628" t="s">
        <v>162</v>
      </c>
      <c r="AJ628" t="s">
        <v>162</v>
      </c>
      <c r="AK628" t="s">
        <v>162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 s="60">
        <f t="shared" si="9"/>
        <v>1</v>
      </c>
      <c r="AU628" s="95">
        <v>43353</v>
      </c>
      <c r="AV628" t="s">
        <v>165</v>
      </c>
      <c r="AW628" t="s">
        <v>163</v>
      </c>
      <c r="AX628">
        <v>2</v>
      </c>
      <c r="AY628" t="s">
        <v>167</v>
      </c>
      <c r="AZ628" t="s">
        <v>162</v>
      </c>
    </row>
    <row r="629" spans="1:52" x14ac:dyDescent="0.25">
      <c r="A629">
        <v>618</v>
      </c>
      <c r="B629" t="s">
        <v>629</v>
      </c>
      <c r="C629" t="s">
        <v>151</v>
      </c>
      <c r="D629" t="s">
        <v>630</v>
      </c>
      <c r="E629" t="s">
        <v>222</v>
      </c>
      <c r="F629" t="s">
        <v>162</v>
      </c>
      <c r="G629">
        <v>3531</v>
      </c>
      <c r="H629">
        <v>3530</v>
      </c>
      <c r="I629" t="s">
        <v>1385</v>
      </c>
      <c r="J629">
        <v>3431</v>
      </c>
      <c r="K629">
        <v>3430</v>
      </c>
      <c r="L629" t="s">
        <v>1386</v>
      </c>
      <c r="M629">
        <v>4</v>
      </c>
      <c r="N629" t="s">
        <v>9</v>
      </c>
      <c r="O629" t="s">
        <v>9</v>
      </c>
      <c r="P629" t="s">
        <v>157</v>
      </c>
      <c r="Q629" t="s">
        <v>162</v>
      </c>
      <c r="R629" t="s">
        <v>320</v>
      </c>
      <c r="S629">
        <v>2014</v>
      </c>
      <c r="T629">
        <v>11</v>
      </c>
      <c r="U629" t="s">
        <v>162</v>
      </c>
      <c r="V629" t="s">
        <v>269</v>
      </c>
      <c r="W629">
        <v>2017</v>
      </c>
      <c r="X629">
        <v>9</v>
      </c>
      <c r="Y629" t="s">
        <v>123</v>
      </c>
      <c r="Z629">
        <v>2017</v>
      </c>
      <c r="AA629">
        <v>2017</v>
      </c>
      <c r="AB629" s="5">
        <v>0.12579897462799999</v>
      </c>
      <c r="AC629" s="5">
        <v>0.25159794925599999</v>
      </c>
      <c r="AD629" t="s">
        <v>162</v>
      </c>
      <c r="AE629" t="s">
        <v>163</v>
      </c>
      <c r="AF629" t="s">
        <v>162</v>
      </c>
      <c r="AG629" t="s">
        <v>162</v>
      </c>
      <c r="AH629" t="s">
        <v>162</v>
      </c>
      <c r="AI629" t="s">
        <v>162</v>
      </c>
      <c r="AJ629" t="s">
        <v>162</v>
      </c>
      <c r="AK629" t="s">
        <v>162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0</v>
      </c>
      <c r="AR629">
        <v>0</v>
      </c>
      <c r="AS629">
        <v>0</v>
      </c>
      <c r="AT629" s="60">
        <f t="shared" si="9"/>
        <v>1</v>
      </c>
      <c r="AU629" s="95">
        <v>43353</v>
      </c>
      <c r="AV629" t="s">
        <v>165</v>
      </c>
      <c r="AW629" t="s">
        <v>163</v>
      </c>
      <c r="AX629">
        <v>2</v>
      </c>
      <c r="AY629" t="s">
        <v>167</v>
      </c>
      <c r="AZ629" t="s">
        <v>162</v>
      </c>
    </row>
    <row r="630" spans="1:52" x14ac:dyDescent="0.25">
      <c r="A630">
        <v>619</v>
      </c>
      <c r="B630" t="s">
        <v>480</v>
      </c>
      <c r="C630" t="s">
        <v>163</v>
      </c>
      <c r="D630" t="s">
        <v>481</v>
      </c>
      <c r="E630" t="s">
        <v>216</v>
      </c>
      <c r="F630" t="s">
        <v>162</v>
      </c>
      <c r="G630">
        <v>1825</v>
      </c>
      <c r="H630">
        <v>1826</v>
      </c>
      <c r="I630" t="s">
        <v>956</v>
      </c>
      <c r="J630">
        <v>1958</v>
      </c>
      <c r="K630">
        <v>1959</v>
      </c>
      <c r="L630" t="s">
        <v>235</v>
      </c>
      <c r="M630">
        <v>2</v>
      </c>
      <c r="N630" t="s">
        <v>9</v>
      </c>
      <c r="O630" t="s">
        <v>9</v>
      </c>
      <c r="P630" t="s">
        <v>157</v>
      </c>
      <c r="Q630" t="s">
        <v>162</v>
      </c>
      <c r="R630" t="s">
        <v>647</v>
      </c>
      <c r="S630">
        <v>2013</v>
      </c>
      <c r="T630">
        <v>9</v>
      </c>
      <c r="U630" t="s">
        <v>162</v>
      </c>
      <c r="V630" t="s">
        <v>267</v>
      </c>
      <c r="W630">
        <v>2018</v>
      </c>
      <c r="X630">
        <v>8</v>
      </c>
      <c r="Y630" t="s">
        <v>1166</v>
      </c>
      <c r="Z630">
        <v>2018</v>
      </c>
      <c r="AA630">
        <v>2014</v>
      </c>
      <c r="AB630" s="5">
        <v>0.18817901197199999</v>
      </c>
      <c r="AC630" s="5">
        <v>0.37635802394399998</v>
      </c>
      <c r="AD630" t="s">
        <v>162</v>
      </c>
      <c r="AE630" t="s">
        <v>163</v>
      </c>
      <c r="AF630" t="s">
        <v>162</v>
      </c>
      <c r="AG630" t="s">
        <v>162</v>
      </c>
      <c r="AH630" t="s">
        <v>162</v>
      </c>
      <c r="AI630" t="s">
        <v>162</v>
      </c>
      <c r="AJ630" t="s">
        <v>162</v>
      </c>
      <c r="AK630" t="s">
        <v>162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 s="60">
        <f t="shared" si="9"/>
        <v>1</v>
      </c>
      <c r="AU630" s="95">
        <v>43363</v>
      </c>
      <c r="AV630" t="s">
        <v>165</v>
      </c>
      <c r="AW630" t="s">
        <v>163</v>
      </c>
      <c r="AX630">
        <v>2</v>
      </c>
      <c r="AY630" t="s">
        <v>167</v>
      </c>
      <c r="AZ630" t="s">
        <v>162</v>
      </c>
    </row>
    <row r="631" spans="1:52" x14ac:dyDescent="0.25">
      <c r="A631">
        <v>620</v>
      </c>
      <c r="B631" t="s">
        <v>480</v>
      </c>
      <c r="C631" t="s">
        <v>163</v>
      </c>
      <c r="D631" t="s">
        <v>481</v>
      </c>
      <c r="E631" t="s">
        <v>216</v>
      </c>
      <c r="F631" t="s">
        <v>162</v>
      </c>
      <c r="G631">
        <v>1600</v>
      </c>
      <c r="H631">
        <v>1601</v>
      </c>
      <c r="I631" t="s">
        <v>298</v>
      </c>
      <c r="J631">
        <v>1650</v>
      </c>
      <c r="K631">
        <v>1651</v>
      </c>
      <c r="L631" t="s">
        <v>1387</v>
      </c>
      <c r="M631">
        <v>2</v>
      </c>
      <c r="N631" t="s">
        <v>9</v>
      </c>
      <c r="O631" t="s">
        <v>9</v>
      </c>
      <c r="P631" t="s">
        <v>157</v>
      </c>
      <c r="Q631" t="s">
        <v>162</v>
      </c>
      <c r="R631" t="s">
        <v>647</v>
      </c>
      <c r="S631">
        <v>2013</v>
      </c>
      <c r="T631">
        <v>9</v>
      </c>
      <c r="U631" t="s">
        <v>162</v>
      </c>
      <c r="V631" t="s">
        <v>267</v>
      </c>
      <c r="W631">
        <v>2018</v>
      </c>
      <c r="X631">
        <v>8</v>
      </c>
      <c r="Y631" t="s">
        <v>1166</v>
      </c>
      <c r="Z631">
        <v>2018</v>
      </c>
      <c r="AA631">
        <v>2014</v>
      </c>
      <c r="AB631" s="5">
        <v>0.127744805771</v>
      </c>
      <c r="AC631" s="5">
        <v>0.25548961154200001</v>
      </c>
      <c r="AD631" t="s">
        <v>162</v>
      </c>
      <c r="AE631" t="s">
        <v>163</v>
      </c>
      <c r="AF631" t="s">
        <v>162</v>
      </c>
      <c r="AG631" t="s">
        <v>162</v>
      </c>
      <c r="AH631" t="s">
        <v>162</v>
      </c>
      <c r="AI631" t="s">
        <v>162</v>
      </c>
      <c r="AJ631" t="s">
        <v>162</v>
      </c>
      <c r="AK631" t="s">
        <v>162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 s="60">
        <f t="shared" si="9"/>
        <v>1</v>
      </c>
      <c r="AU631" s="95">
        <v>43363</v>
      </c>
      <c r="AV631" s="94" t="s">
        <v>165</v>
      </c>
      <c r="AW631" t="s">
        <v>163</v>
      </c>
      <c r="AX631">
        <v>2</v>
      </c>
      <c r="AY631" t="s">
        <v>167</v>
      </c>
      <c r="AZ631" t="s">
        <v>162</v>
      </c>
    </row>
    <row r="632" spans="1:52" x14ac:dyDescent="0.25">
      <c r="A632">
        <v>621</v>
      </c>
      <c r="B632" t="s">
        <v>573</v>
      </c>
      <c r="C632" t="s">
        <v>151</v>
      </c>
      <c r="D632" t="s">
        <v>574</v>
      </c>
      <c r="E632" t="s">
        <v>153</v>
      </c>
      <c r="F632" t="s">
        <v>162</v>
      </c>
      <c r="G632">
        <v>2801</v>
      </c>
      <c r="H632">
        <v>2800</v>
      </c>
      <c r="I632" t="s">
        <v>443</v>
      </c>
      <c r="J632">
        <v>2701</v>
      </c>
      <c r="K632">
        <v>2700</v>
      </c>
      <c r="L632" t="s">
        <v>917</v>
      </c>
      <c r="M632">
        <v>2</v>
      </c>
      <c r="N632" t="s">
        <v>11</v>
      </c>
      <c r="O632" t="s">
        <v>11</v>
      </c>
      <c r="P632" t="s">
        <v>175</v>
      </c>
      <c r="Q632" t="s">
        <v>162</v>
      </c>
      <c r="R632" t="s">
        <v>457</v>
      </c>
      <c r="S632">
        <v>1996</v>
      </c>
      <c r="T632">
        <v>8</v>
      </c>
      <c r="U632" t="s">
        <v>162</v>
      </c>
      <c r="V632" t="s">
        <v>1388</v>
      </c>
      <c r="W632">
        <v>2016</v>
      </c>
      <c r="X632">
        <v>7</v>
      </c>
      <c r="Y632" t="s">
        <v>123</v>
      </c>
      <c r="Z632">
        <v>2016</v>
      </c>
      <c r="AA632">
        <v>2016</v>
      </c>
      <c r="AB632" s="5">
        <v>0.191947076114</v>
      </c>
      <c r="AC632" s="5">
        <v>0.383894152228</v>
      </c>
      <c r="AD632" t="s">
        <v>162</v>
      </c>
      <c r="AE632" t="s">
        <v>163</v>
      </c>
      <c r="AF632" t="s">
        <v>162</v>
      </c>
      <c r="AG632" t="s">
        <v>162</v>
      </c>
      <c r="AH632" t="s">
        <v>162</v>
      </c>
      <c r="AI632" t="s">
        <v>162</v>
      </c>
      <c r="AJ632" t="s">
        <v>162</v>
      </c>
      <c r="AK632" t="s">
        <v>162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s="60">
        <f t="shared" si="9"/>
        <v>1</v>
      </c>
      <c r="AU632" s="95">
        <v>43354</v>
      </c>
      <c r="AV632" s="94" t="s">
        <v>165</v>
      </c>
      <c r="AW632" t="s">
        <v>162</v>
      </c>
      <c r="AX632">
        <v>2</v>
      </c>
      <c r="AY632" t="s">
        <v>167</v>
      </c>
      <c r="AZ632" t="s">
        <v>162</v>
      </c>
    </row>
    <row r="633" spans="1:52" x14ac:dyDescent="0.25">
      <c r="A633">
        <v>622</v>
      </c>
      <c r="B633" t="s">
        <v>573</v>
      </c>
      <c r="C633" t="s">
        <v>151</v>
      </c>
      <c r="D633" t="s">
        <v>574</v>
      </c>
      <c r="E633" t="s">
        <v>153</v>
      </c>
      <c r="F633" t="s">
        <v>162</v>
      </c>
      <c r="G633">
        <v>2457</v>
      </c>
      <c r="H633">
        <v>2456</v>
      </c>
      <c r="I633" t="s">
        <v>918</v>
      </c>
      <c r="J633">
        <v>2401</v>
      </c>
      <c r="K633">
        <v>2400</v>
      </c>
      <c r="L633" t="s">
        <v>334</v>
      </c>
      <c r="M633">
        <v>2</v>
      </c>
      <c r="N633" t="s">
        <v>11</v>
      </c>
      <c r="O633" t="s">
        <v>11</v>
      </c>
      <c r="P633" t="s">
        <v>175</v>
      </c>
      <c r="Q633" t="s">
        <v>162</v>
      </c>
      <c r="R633" t="s">
        <v>457</v>
      </c>
      <c r="S633">
        <v>1996</v>
      </c>
      <c r="T633">
        <v>8</v>
      </c>
      <c r="U633" t="s">
        <v>162</v>
      </c>
      <c r="V633" t="s">
        <v>1388</v>
      </c>
      <c r="W633">
        <v>2016</v>
      </c>
      <c r="X633">
        <v>7</v>
      </c>
      <c r="Y633" t="s">
        <v>123</v>
      </c>
      <c r="Z633">
        <v>2016</v>
      </c>
      <c r="AA633">
        <v>2016</v>
      </c>
      <c r="AB633" s="5">
        <v>0.12565969104300001</v>
      </c>
      <c r="AC633" s="5">
        <v>0.25131938208600002</v>
      </c>
      <c r="AD633" t="s">
        <v>162</v>
      </c>
      <c r="AE633" t="s">
        <v>163</v>
      </c>
      <c r="AF633" t="s">
        <v>162</v>
      </c>
      <c r="AG633" t="s">
        <v>162</v>
      </c>
      <c r="AH633" t="s">
        <v>162</v>
      </c>
      <c r="AI633" t="s">
        <v>162</v>
      </c>
      <c r="AJ633" t="s">
        <v>162</v>
      </c>
      <c r="AK633" t="s">
        <v>162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 s="60">
        <f t="shared" si="9"/>
        <v>1</v>
      </c>
      <c r="AU633" s="95">
        <v>43354</v>
      </c>
      <c r="AV633" t="s">
        <v>165</v>
      </c>
      <c r="AW633" t="s">
        <v>162</v>
      </c>
      <c r="AX633">
        <v>2</v>
      </c>
      <c r="AY633" t="s">
        <v>167</v>
      </c>
      <c r="AZ633" t="s">
        <v>162</v>
      </c>
    </row>
    <row r="634" spans="1:52" x14ac:dyDescent="0.25">
      <c r="A634">
        <v>623</v>
      </c>
      <c r="B634" t="s">
        <v>952</v>
      </c>
      <c r="C634" t="s">
        <v>151</v>
      </c>
      <c r="D634" t="s">
        <v>1000</v>
      </c>
      <c r="E634" t="s">
        <v>172</v>
      </c>
      <c r="F634" t="s">
        <v>154</v>
      </c>
      <c r="G634">
        <v>4000</v>
      </c>
      <c r="H634">
        <v>4001</v>
      </c>
      <c r="I634" t="s">
        <v>1002</v>
      </c>
      <c r="J634">
        <v>3000</v>
      </c>
      <c r="K634">
        <v>3001</v>
      </c>
      <c r="L634" t="s">
        <v>168</v>
      </c>
      <c r="M634">
        <v>0</v>
      </c>
      <c r="N634" t="s">
        <v>11</v>
      </c>
      <c r="O634" t="s">
        <v>327</v>
      </c>
      <c r="P634" t="s">
        <v>157</v>
      </c>
      <c r="Q634" t="s">
        <v>1389</v>
      </c>
      <c r="R634" t="s">
        <v>1390</v>
      </c>
      <c r="S634">
        <v>2022</v>
      </c>
      <c r="T634">
        <v>11</v>
      </c>
      <c r="U634" t="s">
        <v>162</v>
      </c>
      <c r="V634" t="s">
        <v>162</v>
      </c>
      <c r="W634">
        <v>0</v>
      </c>
      <c r="X634">
        <v>0</v>
      </c>
      <c r="Y634" t="s">
        <v>162</v>
      </c>
      <c r="Z634">
        <v>2022</v>
      </c>
      <c r="AA634">
        <v>0</v>
      </c>
      <c r="AB634" s="5">
        <v>1.2598184137799999</v>
      </c>
      <c r="AC634" s="5">
        <v>2.5196360000000002</v>
      </c>
      <c r="AD634" t="s">
        <v>162</v>
      </c>
      <c r="AE634" t="s">
        <v>154</v>
      </c>
      <c r="AF634" t="s">
        <v>154</v>
      </c>
      <c r="AG634" t="s">
        <v>154</v>
      </c>
      <c r="AH634" t="s">
        <v>154</v>
      </c>
      <c r="AI634" t="s">
        <v>154</v>
      </c>
      <c r="AJ634" t="s">
        <v>162</v>
      </c>
      <c r="AK634" t="s">
        <v>162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 s="60">
        <f t="shared" si="9"/>
        <v>1</v>
      </c>
      <c r="AU634" s="95" t="s">
        <v>426</v>
      </c>
      <c r="AV634" t="s">
        <v>165</v>
      </c>
      <c r="AW634" t="s">
        <v>154</v>
      </c>
      <c r="AX634">
        <v>2</v>
      </c>
      <c r="AY634" t="s">
        <v>167</v>
      </c>
      <c r="AZ634">
        <v>30</v>
      </c>
    </row>
    <row r="635" spans="1:52" x14ac:dyDescent="0.25">
      <c r="A635">
        <v>624</v>
      </c>
      <c r="B635" t="s">
        <v>1347</v>
      </c>
      <c r="C635" t="s">
        <v>180</v>
      </c>
      <c r="D635" t="s">
        <v>1348</v>
      </c>
      <c r="E635" t="s">
        <v>216</v>
      </c>
      <c r="F635" t="s">
        <v>154</v>
      </c>
      <c r="G635">
        <v>5900</v>
      </c>
      <c r="H635">
        <v>5901</v>
      </c>
      <c r="I635" t="s">
        <v>1391</v>
      </c>
      <c r="J635">
        <v>5600</v>
      </c>
      <c r="K635">
        <v>5601</v>
      </c>
      <c r="L635" t="s">
        <v>1392</v>
      </c>
      <c r="M635">
        <v>2</v>
      </c>
      <c r="N635" t="s">
        <v>9</v>
      </c>
      <c r="O635" t="s">
        <v>9</v>
      </c>
      <c r="P635" t="s">
        <v>175</v>
      </c>
      <c r="Q635" t="s">
        <v>162</v>
      </c>
      <c r="R635" t="s">
        <v>354</v>
      </c>
      <c r="S635">
        <v>2022</v>
      </c>
      <c r="T635">
        <v>8</v>
      </c>
      <c r="U635" t="s">
        <v>162</v>
      </c>
      <c r="V635" t="s">
        <v>162</v>
      </c>
      <c r="W635">
        <v>0</v>
      </c>
      <c r="X635">
        <v>0</v>
      </c>
      <c r="Y635" t="s">
        <v>162</v>
      </c>
      <c r="Z635">
        <v>2022</v>
      </c>
      <c r="AA635">
        <v>2022</v>
      </c>
      <c r="AB635" s="5">
        <v>0.378463364192</v>
      </c>
      <c r="AC635" s="5">
        <v>0.75692672838499997</v>
      </c>
      <c r="AD635" t="s">
        <v>154</v>
      </c>
      <c r="AE635" t="s">
        <v>154</v>
      </c>
      <c r="AF635" t="s">
        <v>154</v>
      </c>
      <c r="AG635" t="s">
        <v>154</v>
      </c>
      <c r="AH635" t="s">
        <v>154</v>
      </c>
      <c r="AI635" t="s">
        <v>154</v>
      </c>
      <c r="AJ635" t="s">
        <v>154</v>
      </c>
      <c r="AK635" t="s">
        <v>154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0</v>
      </c>
      <c r="AT635" s="60">
        <f t="shared" si="9"/>
        <v>1</v>
      </c>
      <c r="AU635" s="95" t="s">
        <v>355</v>
      </c>
      <c r="AV635" s="94" t="s">
        <v>165</v>
      </c>
      <c r="AW635" t="s">
        <v>154</v>
      </c>
      <c r="AX635">
        <v>2</v>
      </c>
      <c r="AY635" t="s">
        <v>167</v>
      </c>
      <c r="AZ635">
        <v>30</v>
      </c>
    </row>
    <row r="636" spans="1:52" x14ac:dyDescent="0.25">
      <c r="A636">
        <v>625</v>
      </c>
      <c r="B636" t="s">
        <v>1393</v>
      </c>
      <c r="C636" t="s">
        <v>163</v>
      </c>
      <c r="D636" t="s">
        <v>623</v>
      </c>
      <c r="E636" t="s">
        <v>216</v>
      </c>
      <c r="F636" t="s">
        <v>163</v>
      </c>
      <c r="G636">
        <v>5124</v>
      </c>
      <c r="H636">
        <v>5125</v>
      </c>
      <c r="I636" t="s">
        <v>351</v>
      </c>
      <c r="J636">
        <v>5100</v>
      </c>
      <c r="K636">
        <v>5101</v>
      </c>
      <c r="L636" t="s">
        <v>624</v>
      </c>
      <c r="M636">
        <v>4</v>
      </c>
      <c r="N636" t="s">
        <v>9</v>
      </c>
      <c r="O636" t="s">
        <v>9</v>
      </c>
      <c r="P636" t="s">
        <v>175</v>
      </c>
      <c r="Q636" t="s">
        <v>162</v>
      </c>
      <c r="R636" t="s">
        <v>359</v>
      </c>
      <c r="S636">
        <v>2018</v>
      </c>
      <c r="T636">
        <v>10</v>
      </c>
      <c r="U636" t="s">
        <v>162</v>
      </c>
      <c r="V636" t="s">
        <v>162</v>
      </c>
      <c r="W636">
        <v>0</v>
      </c>
      <c r="X636">
        <v>0</v>
      </c>
      <c r="Y636" t="s">
        <v>626</v>
      </c>
      <c r="Z636">
        <v>2018</v>
      </c>
      <c r="AA636">
        <v>0</v>
      </c>
      <c r="AB636" s="5">
        <v>2.5955997658699999E-2</v>
      </c>
      <c r="AC636" s="5">
        <v>2.5955997658699999E-2</v>
      </c>
      <c r="AD636" t="s">
        <v>162</v>
      </c>
      <c r="AE636" t="s">
        <v>166</v>
      </c>
      <c r="AF636" t="s">
        <v>163</v>
      </c>
      <c r="AG636" t="s">
        <v>163</v>
      </c>
      <c r="AH636" t="s">
        <v>162</v>
      </c>
      <c r="AI636" t="s">
        <v>162</v>
      </c>
      <c r="AJ636" t="s">
        <v>162</v>
      </c>
      <c r="AK636" t="s">
        <v>162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0</v>
      </c>
      <c r="AT636" s="60">
        <f t="shared" si="9"/>
        <v>1</v>
      </c>
      <c r="AU636" s="95">
        <v>43374</v>
      </c>
      <c r="AV636" s="94" t="s">
        <v>165</v>
      </c>
      <c r="AW636" t="s">
        <v>166</v>
      </c>
      <c r="AX636">
        <v>2</v>
      </c>
      <c r="AY636" t="s">
        <v>167</v>
      </c>
      <c r="AZ636" t="s">
        <v>162</v>
      </c>
    </row>
    <row r="637" spans="1:52" x14ac:dyDescent="0.25">
      <c r="A637">
        <v>626</v>
      </c>
      <c r="B637" t="s">
        <v>623</v>
      </c>
      <c r="C637" t="s">
        <v>180</v>
      </c>
      <c r="D637" t="s">
        <v>623</v>
      </c>
      <c r="E637" t="s">
        <v>216</v>
      </c>
      <c r="F637" t="s">
        <v>162</v>
      </c>
      <c r="G637">
        <v>5444</v>
      </c>
      <c r="H637">
        <v>5445</v>
      </c>
      <c r="I637" t="s">
        <v>207</v>
      </c>
      <c r="J637">
        <v>5124</v>
      </c>
      <c r="K637">
        <v>5125</v>
      </c>
      <c r="L637" t="s">
        <v>351</v>
      </c>
      <c r="M637">
        <v>4</v>
      </c>
      <c r="N637" t="s">
        <v>15</v>
      </c>
      <c r="O637" t="s">
        <v>15</v>
      </c>
      <c r="P637" t="s">
        <v>169</v>
      </c>
      <c r="Q637" t="s">
        <v>162</v>
      </c>
      <c r="R637" t="s">
        <v>359</v>
      </c>
      <c r="S637">
        <v>0</v>
      </c>
      <c r="T637">
        <v>0</v>
      </c>
      <c r="U637" t="s">
        <v>1394</v>
      </c>
      <c r="V637" t="s">
        <v>162</v>
      </c>
      <c r="W637">
        <v>0</v>
      </c>
      <c r="X637">
        <v>0</v>
      </c>
      <c r="Y637" t="s">
        <v>162</v>
      </c>
      <c r="Z637">
        <v>2018</v>
      </c>
      <c r="AA637">
        <v>0</v>
      </c>
      <c r="AB637" s="5">
        <v>0.46072357436099998</v>
      </c>
      <c r="AC637" s="5">
        <v>0.92144714872199995</v>
      </c>
      <c r="AD637" t="s">
        <v>162</v>
      </c>
      <c r="AE637" t="s">
        <v>163</v>
      </c>
      <c r="AF637" t="s">
        <v>162</v>
      </c>
      <c r="AG637" t="s">
        <v>162</v>
      </c>
      <c r="AH637" t="s">
        <v>162</v>
      </c>
      <c r="AI637" t="s">
        <v>162</v>
      </c>
      <c r="AJ637" t="s">
        <v>162</v>
      </c>
      <c r="AK637" t="s">
        <v>162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0</v>
      </c>
      <c r="AT637" s="60">
        <f t="shared" si="9"/>
        <v>1</v>
      </c>
      <c r="AU637" s="95">
        <v>43374</v>
      </c>
      <c r="AV637" s="94" t="s">
        <v>165</v>
      </c>
      <c r="AW637" t="s">
        <v>162</v>
      </c>
      <c r="AX637">
        <v>3</v>
      </c>
      <c r="AY637" t="s">
        <v>1345</v>
      </c>
      <c r="AZ637" t="s">
        <v>162</v>
      </c>
    </row>
    <row r="638" spans="1:52" x14ac:dyDescent="0.25">
      <c r="A638">
        <v>627</v>
      </c>
      <c r="B638" t="s">
        <v>188</v>
      </c>
      <c r="C638" t="s">
        <v>151</v>
      </c>
      <c r="D638" t="s">
        <v>189</v>
      </c>
      <c r="E638" t="s">
        <v>172</v>
      </c>
      <c r="F638" t="s">
        <v>162</v>
      </c>
      <c r="G638">
        <v>1600</v>
      </c>
      <c r="H638">
        <v>1601</v>
      </c>
      <c r="I638" t="s">
        <v>1395</v>
      </c>
      <c r="J638">
        <v>800</v>
      </c>
      <c r="K638">
        <v>801</v>
      </c>
      <c r="L638" t="s">
        <v>233</v>
      </c>
      <c r="M638">
        <v>3</v>
      </c>
      <c r="N638" t="s">
        <v>9</v>
      </c>
      <c r="O638" t="s">
        <v>9</v>
      </c>
      <c r="P638" t="s">
        <v>175</v>
      </c>
      <c r="Q638" t="s">
        <v>162</v>
      </c>
      <c r="R638" t="s">
        <v>359</v>
      </c>
      <c r="S638">
        <v>2018</v>
      </c>
      <c r="T638">
        <v>0</v>
      </c>
      <c r="U638" t="s">
        <v>162</v>
      </c>
      <c r="V638" t="s">
        <v>162</v>
      </c>
      <c r="W638">
        <v>0</v>
      </c>
      <c r="X638">
        <v>0</v>
      </c>
      <c r="Y638" t="s">
        <v>162</v>
      </c>
      <c r="Z638">
        <v>2018</v>
      </c>
      <c r="AA638">
        <v>0</v>
      </c>
      <c r="AB638" s="5">
        <v>1.0052292762499999</v>
      </c>
      <c r="AC638" s="5">
        <v>2.0104585524999998</v>
      </c>
      <c r="AD638" t="s">
        <v>162</v>
      </c>
      <c r="AE638" t="s">
        <v>163</v>
      </c>
      <c r="AF638" t="s">
        <v>162</v>
      </c>
      <c r="AG638" t="s">
        <v>162</v>
      </c>
      <c r="AH638" t="s">
        <v>162</v>
      </c>
      <c r="AI638" t="s">
        <v>162</v>
      </c>
      <c r="AJ638" t="s">
        <v>162</v>
      </c>
      <c r="AK638" t="s">
        <v>162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 s="60">
        <f t="shared" si="9"/>
        <v>1</v>
      </c>
      <c r="AU638" s="95">
        <v>43374</v>
      </c>
      <c r="AV638" s="94" t="s">
        <v>165</v>
      </c>
      <c r="AW638" t="s">
        <v>163</v>
      </c>
      <c r="AX638">
        <v>2</v>
      </c>
      <c r="AY638" t="s">
        <v>167</v>
      </c>
      <c r="AZ638" t="s">
        <v>162</v>
      </c>
    </row>
    <row r="639" spans="1:52" x14ac:dyDescent="0.25">
      <c r="A639">
        <v>628</v>
      </c>
      <c r="B639" t="s">
        <v>1358</v>
      </c>
      <c r="C639" t="s">
        <v>151</v>
      </c>
      <c r="D639" t="s">
        <v>1359</v>
      </c>
      <c r="E639" t="s">
        <v>172</v>
      </c>
      <c r="F639" t="s">
        <v>162</v>
      </c>
      <c r="G639">
        <v>1300</v>
      </c>
      <c r="H639">
        <v>1301</v>
      </c>
      <c r="I639" t="s">
        <v>265</v>
      </c>
      <c r="J639">
        <v>526</v>
      </c>
      <c r="K639">
        <v>525</v>
      </c>
      <c r="L639" t="s">
        <v>1396</v>
      </c>
      <c r="M639">
        <v>2</v>
      </c>
      <c r="N639" t="s">
        <v>9</v>
      </c>
      <c r="O639" t="s">
        <v>9</v>
      </c>
      <c r="P639" t="s">
        <v>175</v>
      </c>
      <c r="Q639" t="s">
        <v>162</v>
      </c>
      <c r="R639" t="s">
        <v>516</v>
      </c>
      <c r="S639">
        <v>2018</v>
      </c>
      <c r="T639">
        <v>0</v>
      </c>
      <c r="U639" t="s">
        <v>162</v>
      </c>
      <c r="V639" t="s">
        <v>162</v>
      </c>
      <c r="W639">
        <v>0</v>
      </c>
      <c r="X639">
        <v>0</v>
      </c>
      <c r="Y639" t="s">
        <v>162</v>
      </c>
      <c r="Z639">
        <v>2018</v>
      </c>
      <c r="AA639">
        <v>0</v>
      </c>
      <c r="AB639" s="5">
        <v>0.99601104039900001</v>
      </c>
      <c r="AC639" s="5">
        <v>1.9920220808</v>
      </c>
      <c r="AD639" t="s">
        <v>162</v>
      </c>
      <c r="AE639" t="s">
        <v>163</v>
      </c>
      <c r="AF639" t="s">
        <v>162</v>
      </c>
      <c r="AG639" t="s">
        <v>162</v>
      </c>
      <c r="AH639" t="s">
        <v>162</v>
      </c>
      <c r="AI639" t="s">
        <v>162</v>
      </c>
      <c r="AJ639" t="s">
        <v>162</v>
      </c>
      <c r="AK639" t="s">
        <v>162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 s="60">
        <f t="shared" si="9"/>
        <v>1</v>
      </c>
      <c r="AU639" s="95" t="s">
        <v>255</v>
      </c>
      <c r="AV639" s="94" t="s">
        <v>165</v>
      </c>
      <c r="AW639" t="s">
        <v>163</v>
      </c>
      <c r="AX639">
        <v>2</v>
      </c>
      <c r="AY639" t="s">
        <v>167</v>
      </c>
      <c r="AZ639" t="s">
        <v>162</v>
      </c>
    </row>
    <row r="640" spans="1:52" x14ac:dyDescent="0.25">
      <c r="A640">
        <v>629</v>
      </c>
      <c r="B640" t="s">
        <v>1102</v>
      </c>
      <c r="C640" t="s">
        <v>163</v>
      </c>
      <c r="D640" t="s">
        <v>1103</v>
      </c>
      <c r="E640" t="s">
        <v>216</v>
      </c>
      <c r="F640" t="s">
        <v>162</v>
      </c>
      <c r="G640">
        <v>6400</v>
      </c>
      <c r="H640">
        <v>6401</v>
      </c>
      <c r="I640" t="s">
        <v>372</v>
      </c>
      <c r="J640">
        <v>6800</v>
      </c>
      <c r="K640">
        <v>6801</v>
      </c>
      <c r="L640" t="s">
        <v>982</v>
      </c>
      <c r="M640">
        <v>4</v>
      </c>
      <c r="N640" t="s">
        <v>13</v>
      </c>
      <c r="O640" t="s">
        <v>15</v>
      </c>
      <c r="P640" t="s">
        <v>175</v>
      </c>
      <c r="Q640" t="s">
        <v>162</v>
      </c>
      <c r="R640" t="s">
        <v>1397</v>
      </c>
      <c r="S640">
        <v>2018</v>
      </c>
      <c r="T640">
        <v>11</v>
      </c>
      <c r="U640" t="s">
        <v>162</v>
      </c>
      <c r="V640" t="s">
        <v>162</v>
      </c>
      <c r="W640">
        <v>0</v>
      </c>
      <c r="X640">
        <v>0</v>
      </c>
      <c r="Y640" t="s">
        <v>162</v>
      </c>
      <c r="Z640">
        <v>2018</v>
      </c>
      <c r="AA640">
        <v>0</v>
      </c>
      <c r="AB640" s="5">
        <v>0.50577727894199997</v>
      </c>
      <c r="AC640" s="5">
        <v>1.01155455788</v>
      </c>
      <c r="AD640" t="s">
        <v>1108</v>
      </c>
      <c r="AE640" t="s">
        <v>163</v>
      </c>
      <c r="AF640" t="s">
        <v>162</v>
      </c>
      <c r="AG640" t="s">
        <v>162</v>
      </c>
      <c r="AH640" t="s">
        <v>162</v>
      </c>
      <c r="AI640" t="s">
        <v>162</v>
      </c>
      <c r="AJ640" t="s">
        <v>162</v>
      </c>
      <c r="AK640" t="s">
        <v>162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s="60">
        <f t="shared" si="9"/>
        <v>1</v>
      </c>
      <c r="AU640" s="95">
        <v>43374</v>
      </c>
      <c r="AV640" t="s">
        <v>165</v>
      </c>
      <c r="AW640" t="s">
        <v>162</v>
      </c>
      <c r="AX640">
        <v>3</v>
      </c>
      <c r="AY640" t="s">
        <v>275</v>
      </c>
      <c r="AZ640">
        <v>20</v>
      </c>
    </row>
    <row r="641" spans="1:52" x14ac:dyDescent="0.25">
      <c r="A641">
        <v>630</v>
      </c>
      <c r="B641" t="s">
        <v>1398</v>
      </c>
      <c r="C641" t="s">
        <v>163</v>
      </c>
      <c r="D641" t="s">
        <v>1399</v>
      </c>
      <c r="E641" t="s">
        <v>216</v>
      </c>
      <c r="F641" t="s">
        <v>162</v>
      </c>
      <c r="G641">
        <v>6800</v>
      </c>
      <c r="H641">
        <v>6801</v>
      </c>
      <c r="I641" t="s">
        <v>1400</v>
      </c>
      <c r="J641">
        <v>7654</v>
      </c>
      <c r="K641">
        <v>7655</v>
      </c>
      <c r="L641" t="s">
        <v>1401</v>
      </c>
      <c r="M641">
        <v>4</v>
      </c>
      <c r="N641" t="s">
        <v>13</v>
      </c>
      <c r="O641" t="s">
        <v>15</v>
      </c>
      <c r="P641" t="s">
        <v>175</v>
      </c>
      <c r="Q641" t="s">
        <v>162</v>
      </c>
      <c r="R641" t="s">
        <v>1397</v>
      </c>
      <c r="S641">
        <v>2018</v>
      </c>
      <c r="T641">
        <v>11</v>
      </c>
      <c r="U641" t="s">
        <v>162</v>
      </c>
      <c r="V641" t="s">
        <v>162</v>
      </c>
      <c r="W641">
        <v>0</v>
      </c>
      <c r="X641">
        <v>0</v>
      </c>
      <c r="Y641" t="s">
        <v>162</v>
      </c>
      <c r="Z641">
        <v>2018</v>
      </c>
      <c r="AA641">
        <v>0</v>
      </c>
      <c r="AB641" s="5">
        <v>0.99973056101900004</v>
      </c>
      <c r="AC641" s="5">
        <v>1.99946112204</v>
      </c>
      <c r="AD641" t="s">
        <v>1108</v>
      </c>
      <c r="AE641" t="s">
        <v>163</v>
      </c>
      <c r="AF641" t="s">
        <v>162</v>
      </c>
      <c r="AG641" t="s">
        <v>162</v>
      </c>
      <c r="AH641" t="s">
        <v>162</v>
      </c>
      <c r="AI641" t="s">
        <v>162</v>
      </c>
      <c r="AJ641" t="s">
        <v>162</v>
      </c>
      <c r="AK641" t="s">
        <v>162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s="60">
        <f t="shared" si="9"/>
        <v>1</v>
      </c>
      <c r="AU641" s="95">
        <v>43374</v>
      </c>
      <c r="AV641" t="s">
        <v>165</v>
      </c>
      <c r="AW641" t="s">
        <v>162</v>
      </c>
      <c r="AX641">
        <v>3</v>
      </c>
      <c r="AY641" t="s">
        <v>275</v>
      </c>
      <c r="AZ641">
        <v>20</v>
      </c>
    </row>
    <row r="642" spans="1:52" x14ac:dyDescent="0.25">
      <c r="A642">
        <v>631</v>
      </c>
      <c r="B642" t="s">
        <v>1402</v>
      </c>
      <c r="C642" t="s">
        <v>151</v>
      </c>
      <c r="D642" t="s">
        <v>1403</v>
      </c>
      <c r="E642" t="s">
        <v>1404</v>
      </c>
      <c r="F642" t="s">
        <v>162</v>
      </c>
      <c r="G642">
        <v>1654</v>
      </c>
      <c r="H642">
        <v>1655</v>
      </c>
      <c r="I642" t="s">
        <v>488</v>
      </c>
      <c r="J642">
        <v>1442</v>
      </c>
      <c r="K642">
        <v>1443</v>
      </c>
      <c r="L642" t="s">
        <v>691</v>
      </c>
      <c r="M642">
        <v>4</v>
      </c>
      <c r="N642" t="s">
        <v>13</v>
      </c>
      <c r="O642" t="s">
        <v>15</v>
      </c>
      <c r="P642" t="s">
        <v>175</v>
      </c>
      <c r="Q642" t="s">
        <v>162</v>
      </c>
      <c r="R642" t="s">
        <v>1397</v>
      </c>
      <c r="S642">
        <v>2018</v>
      </c>
      <c r="T642">
        <v>11</v>
      </c>
      <c r="U642" t="s">
        <v>162</v>
      </c>
      <c r="V642" t="s">
        <v>162</v>
      </c>
      <c r="W642">
        <v>0</v>
      </c>
      <c r="X642">
        <v>0</v>
      </c>
      <c r="Y642" t="s">
        <v>162</v>
      </c>
      <c r="Z642">
        <v>2018</v>
      </c>
      <c r="AA642">
        <v>0</v>
      </c>
      <c r="AB642" s="5">
        <v>0.249211348049</v>
      </c>
      <c r="AC642" s="5">
        <v>0.498422696098</v>
      </c>
      <c r="AD642" t="s">
        <v>1108</v>
      </c>
      <c r="AE642" t="s">
        <v>163</v>
      </c>
      <c r="AF642" t="s">
        <v>162</v>
      </c>
      <c r="AG642" t="s">
        <v>162</v>
      </c>
      <c r="AH642" t="s">
        <v>162</v>
      </c>
      <c r="AI642" t="s">
        <v>162</v>
      </c>
      <c r="AJ642" t="s">
        <v>162</v>
      </c>
      <c r="AK642" t="s">
        <v>162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s="60">
        <f t="shared" si="9"/>
        <v>1</v>
      </c>
      <c r="AU642" s="95">
        <v>43374</v>
      </c>
      <c r="AV642" t="s">
        <v>165</v>
      </c>
      <c r="AW642" t="s">
        <v>162</v>
      </c>
      <c r="AX642">
        <v>3</v>
      </c>
      <c r="AY642" t="s">
        <v>275</v>
      </c>
      <c r="AZ642">
        <v>20</v>
      </c>
    </row>
    <row r="643" spans="1:52" x14ac:dyDescent="0.25">
      <c r="A643">
        <v>632</v>
      </c>
      <c r="B643" t="s">
        <v>1405</v>
      </c>
      <c r="C643" t="s">
        <v>163</v>
      </c>
      <c r="D643" t="s">
        <v>1406</v>
      </c>
      <c r="E643" t="s">
        <v>172</v>
      </c>
      <c r="F643" t="s">
        <v>162</v>
      </c>
      <c r="G643">
        <v>7700</v>
      </c>
      <c r="H643">
        <v>7701</v>
      </c>
      <c r="I643" t="s">
        <v>1401</v>
      </c>
      <c r="J643">
        <v>7750</v>
      </c>
      <c r="K643">
        <v>7751</v>
      </c>
      <c r="L643" t="s">
        <v>1407</v>
      </c>
      <c r="M643">
        <v>4</v>
      </c>
      <c r="N643" t="s">
        <v>13</v>
      </c>
      <c r="O643" t="s">
        <v>15</v>
      </c>
      <c r="P643" t="s">
        <v>175</v>
      </c>
      <c r="Q643" t="s">
        <v>162</v>
      </c>
      <c r="R643" t="s">
        <v>1397</v>
      </c>
      <c r="S643">
        <v>2018</v>
      </c>
      <c r="T643">
        <v>11</v>
      </c>
      <c r="U643" t="s">
        <v>162</v>
      </c>
      <c r="V643" t="s">
        <v>162</v>
      </c>
      <c r="W643">
        <v>0</v>
      </c>
      <c r="X643">
        <v>0</v>
      </c>
      <c r="Y643" t="s">
        <v>162</v>
      </c>
      <c r="Z643">
        <v>2018</v>
      </c>
      <c r="AA643">
        <v>0</v>
      </c>
      <c r="AB643" s="5">
        <v>9.3508118143599994E-2</v>
      </c>
      <c r="AC643" s="5">
        <v>0.18701623628700001</v>
      </c>
      <c r="AD643" t="s">
        <v>1108</v>
      </c>
      <c r="AE643" t="s">
        <v>163</v>
      </c>
      <c r="AF643" t="s">
        <v>162</v>
      </c>
      <c r="AG643" t="s">
        <v>162</v>
      </c>
      <c r="AH643" t="s">
        <v>162</v>
      </c>
      <c r="AI643" t="s">
        <v>162</v>
      </c>
      <c r="AJ643" t="s">
        <v>162</v>
      </c>
      <c r="AK643" t="s">
        <v>162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s="60">
        <f t="shared" si="9"/>
        <v>1</v>
      </c>
      <c r="AU643" s="95">
        <v>43374</v>
      </c>
      <c r="AV643" s="94" t="s">
        <v>165</v>
      </c>
      <c r="AW643" t="s">
        <v>162</v>
      </c>
      <c r="AX643">
        <v>3</v>
      </c>
      <c r="AY643" t="s">
        <v>275</v>
      </c>
      <c r="AZ643">
        <v>20</v>
      </c>
    </row>
    <row r="644" spans="1:52" x14ac:dyDescent="0.25">
      <c r="A644">
        <v>633</v>
      </c>
      <c r="B644" t="s">
        <v>1408</v>
      </c>
      <c r="C644" t="s">
        <v>151</v>
      </c>
      <c r="D644" t="s">
        <v>1409</v>
      </c>
      <c r="E644" t="s">
        <v>1404</v>
      </c>
      <c r="F644" t="s">
        <v>203</v>
      </c>
      <c r="G644">
        <v>1850</v>
      </c>
      <c r="H644">
        <v>1851</v>
      </c>
      <c r="I644" t="s">
        <v>1410</v>
      </c>
      <c r="J644">
        <v>1700</v>
      </c>
      <c r="K644">
        <v>1701</v>
      </c>
      <c r="L644" t="s">
        <v>488</v>
      </c>
      <c r="M644">
        <v>4</v>
      </c>
      <c r="N644" t="s">
        <v>13</v>
      </c>
      <c r="O644" t="s">
        <v>15</v>
      </c>
      <c r="P644" t="s">
        <v>175</v>
      </c>
      <c r="Q644" t="s">
        <v>162</v>
      </c>
      <c r="R644" t="s">
        <v>1397</v>
      </c>
      <c r="S644">
        <v>2018</v>
      </c>
      <c r="T644">
        <v>11</v>
      </c>
      <c r="U644" t="s">
        <v>129</v>
      </c>
      <c r="V644" t="s">
        <v>162</v>
      </c>
      <c r="W644">
        <v>0</v>
      </c>
      <c r="X644">
        <v>0</v>
      </c>
      <c r="Y644" t="s">
        <v>162</v>
      </c>
      <c r="Z644">
        <v>2018</v>
      </c>
      <c r="AA644">
        <v>0</v>
      </c>
      <c r="AB644" s="5">
        <v>0.18772413162000001</v>
      </c>
      <c r="AC644" s="5">
        <v>0.37544826324000002</v>
      </c>
      <c r="AD644" t="s">
        <v>1108</v>
      </c>
      <c r="AE644" t="s">
        <v>163</v>
      </c>
      <c r="AF644" t="s">
        <v>162</v>
      </c>
      <c r="AG644" t="s">
        <v>166</v>
      </c>
      <c r="AH644" t="s">
        <v>162</v>
      </c>
      <c r="AI644" t="s">
        <v>162</v>
      </c>
      <c r="AJ644" t="s">
        <v>162</v>
      </c>
      <c r="AK644" t="s">
        <v>162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s="60">
        <f t="shared" si="9"/>
        <v>1</v>
      </c>
      <c r="AU644" s="95">
        <v>43374</v>
      </c>
      <c r="AV644" s="94" t="s">
        <v>165</v>
      </c>
      <c r="AW644" t="s">
        <v>162</v>
      </c>
      <c r="AX644">
        <v>3</v>
      </c>
      <c r="AY644" t="s">
        <v>275</v>
      </c>
      <c r="AZ644">
        <v>20</v>
      </c>
    </row>
    <row r="645" spans="1:52" x14ac:dyDescent="0.25">
      <c r="A645">
        <v>634</v>
      </c>
      <c r="B645" t="s">
        <v>1411</v>
      </c>
      <c r="C645" t="s">
        <v>163</v>
      </c>
      <c r="D645" t="s">
        <v>1412</v>
      </c>
      <c r="E645" t="s">
        <v>216</v>
      </c>
      <c r="F645" t="s">
        <v>162</v>
      </c>
      <c r="G645">
        <v>4400</v>
      </c>
      <c r="H645">
        <v>4401</v>
      </c>
      <c r="I645" t="s">
        <v>445</v>
      </c>
      <c r="J645">
        <v>4800</v>
      </c>
      <c r="K645">
        <v>4801</v>
      </c>
      <c r="L645" t="s">
        <v>588</v>
      </c>
      <c r="M645">
        <v>4</v>
      </c>
      <c r="N645" t="s">
        <v>13</v>
      </c>
      <c r="O645" t="s">
        <v>15</v>
      </c>
      <c r="P645" t="s">
        <v>175</v>
      </c>
      <c r="Q645" t="s">
        <v>162</v>
      </c>
      <c r="R645" t="s">
        <v>1397</v>
      </c>
      <c r="S645">
        <v>2018</v>
      </c>
      <c r="T645">
        <v>11</v>
      </c>
      <c r="U645" t="s">
        <v>162</v>
      </c>
      <c r="V645" t="s">
        <v>162</v>
      </c>
      <c r="W645">
        <v>0</v>
      </c>
      <c r="X645">
        <v>0</v>
      </c>
      <c r="Y645" t="s">
        <v>162</v>
      </c>
      <c r="Z645">
        <v>2018</v>
      </c>
      <c r="AA645">
        <v>0</v>
      </c>
      <c r="AB645" s="5">
        <v>0.59557367748599999</v>
      </c>
      <c r="AC645" s="5">
        <v>1.19114735497</v>
      </c>
      <c r="AD645" t="s">
        <v>1413</v>
      </c>
      <c r="AE645" t="s">
        <v>163</v>
      </c>
      <c r="AF645" t="s">
        <v>162</v>
      </c>
      <c r="AG645" t="s">
        <v>162</v>
      </c>
      <c r="AH645" t="s">
        <v>162</v>
      </c>
      <c r="AI645" t="s">
        <v>162</v>
      </c>
      <c r="AJ645" t="s">
        <v>162</v>
      </c>
      <c r="AK645" t="s">
        <v>162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s="60">
        <f t="shared" si="9"/>
        <v>1</v>
      </c>
      <c r="AU645" s="95">
        <v>43374</v>
      </c>
      <c r="AV645" s="94" t="s">
        <v>165</v>
      </c>
      <c r="AW645" t="s">
        <v>162</v>
      </c>
      <c r="AX645">
        <v>3</v>
      </c>
      <c r="AY645" t="s">
        <v>275</v>
      </c>
      <c r="AZ645" t="s">
        <v>162</v>
      </c>
    </row>
    <row r="646" spans="1:52" x14ac:dyDescent="0.25">
      <c r="A646">
        <v>635</v>
      </c>
      <c r="B646" t="s">
        <v>1414</v>
      </c>
      <c r="C646" t="s">
        <v>151</v>
      </c>
      <c r="D646" t="s">
        <v>1415</v>
      </c>
      <c r="E646" t="s">
        <v>216</v>
      </c>
      <c r="F646" t="s">
        <v>203</v>
      </c>
      <c r="G646">
        <v>550</v>
      </c>
      <c r="H646">
        <v>551</v>
      </c>
      <c r="I646" t="s">
        <v>683</v>
      </c>
      <c r="J646">
        <v>400</v>
      </c>
      <c r="K646">
        <v>401</v>
      </c>
      <c r="L646" t="s">
        <v>1296</v>
      </c>
      <c r="M646">
        <v>4</v>
      </c>
      <c r="N646" t="s">
        <v>13</v>
      </c>
      <c r="O646" t="s">
        <v>11</v>
      </c>
      <c r="P646" t="s">
        <v>175</v>
      </c>
      <c r="Q646" t="s">
        <v>162</v>
      </c>
      <c r="R646" t="s">
        <v>1397</v>
      </c>
      <c r="S646">
        <v>2018</v>
      </c>
      <c r="T646">
        <v>9</v>
      </c>
      <c r="U646" t="s">
        <v>162</v>
      </c>
      <c r="V646" t="s">
        <v>162</v>
      </c>
      <c r="W646">
        <v>0</v>
      </c>
      <c r="X646">
        <v>0</v>
      </c>
      <c r="Y646" t="s">
        <v>162</v>
      </c>
      <c r="Z646">
        <v>2018</v>
      </c>
      <c r="AA646">
        <v>0</v>
      </c>
      <c r="AB646" s="5">
        <v>0.233282138364</v>
      </c>
      <c r="AC646" s="5">
        <v>0.233282138364</v>
      </c>
      <c r="AD646" t="s">
        <v>1416</v>
      </c>
      <c r="AE646" t="s">
        <v>166</v>
      </c>
      <c r="AF646" t="s">
        <v>203</v>
      </c>
      <c r="AG646" t="s">
        <v>163</v>
      </c>
      <c r="AH646" t="s">
        <v>162</v>
      </c>
      <c r="AI646" t="s">
        <v>162</v>
      </c>
      <c r="AJ646" t="s">
        <v>162</v>
      </c>
      <c r="AK646" t="s">
        <v>162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s="60">
        <f t="shared" si="9"/>
        <v>1</v>
      </c>
      <c r="AU646" s="95">
        <v>43374</v>
      </c>
      <c r="AV646" s="94" t="s">
        <v>165</v>
      </c>
      <c r="AW646" t="s">
        <v>162</v>
      </c>
      <c r="AX646">
        <v>3</v>
      </c>
      <c r="AY646" t="s">
        <v>275</v>
      </c>
      <c r="AZ646">
        <v>20</v>
      </c>
    </row>
    <row r="647" spans="1:52" x14ac:dyDescent="0.25">
      <c r="A647">
        <v>636</v>
      </c>
      <c r="B647" t="s">
        <v>444</v>
      </c>
      <c r="C647" t="s">
        <v>163</v>
      </c>
      <c r="D647" t="s">
        <v>444</v>
      </c>
      <c r="E647" t="s">
        <v>162</v>
      </c>
      <c r="F647" t="s">
        <v>162</v>
      </c>
      <c r="G647">
        <v>3310</v>
      </c>
      <c r="H647">
        <v>3311</v>
      </c>
      <c r="I647" t="s">
        <v>571</v>
      </c>
      <c r="J647">
        <v>3300</v>
      </c>
      <c r="K647">
        <v>3301</v>
      </c>
      <c r="L647" t="s">
        <v>571</v>
      </c>
      <c r="M647">
        <v>3</v>
      </c>
      <c r="N647" t="s">
        <v>13</v>
      </c>
      <c r="O647" t="s">
        <v>9</v>
      </c>
      <c r="P647" t="s">
        <v>175</v>
      </c>
      <c r="Q647" t="s">
        <v>162</v>
      </c>
      <c r="R647" t="s">
        <v>1397</v>
      </c>
      <c r="S647">
        <v>2018</v>
      </c>
      <c r="T647">
        <v>9</v>
      </c>
      <c r="U647" t="s">
        <v>1417</v>
      </c>
      <c r="V647" t="s">
        <v>162</v>
      </c>
      <c r="W647">
        <v>0</v>
      </c>
      <c r="X647">
        <v>0</v>
      </c>
      <c r="Y647" t="s">
        <v>162</v>
      </c>
      <c r="Z647">
        <v>2018</v>
      </c>
      <c r="AA647">
        <v>0</v>
      </c>
      <c r="AB647" s="5">
        <v>2.4941552962599998E-2</v>
      </c>
      <c r="AC647" s="5">
        <v>2.4941552962599998E-2</v>
      </c>
      <c r="AD647" t="s">
        <v>1416</v>
      </c>
      <c r="AE647" t="s">
        <v>166</v>
      </c>
      <c r="AF647" t="s">
        <v>163</v>
      </c>
      <c r="AG647" t="s">
        <v>163</v>
      </c>
      <c r="AH647" t="s">
        <v>162</v>
      </c>
      <c r="AI647" t="s">
        <v>162</v>
      </c>
      <c r="AJ647" t="s">
        <v>162</v>
      </c>
      <c r="AK647" t="s">
        <v>162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s="60">
        <f t="shared" si="9"/>
        <v>1</v>
      </c>
      <c r="AU647" s="95">
        <v>43374</v>
      </c>
      <c r="AV647" s="94" t="s">
        <v>165</v>
      </c>
      <c r="AW647" t="s">
        <v>162</v>
      </c>
      <c r="AX647">
        <v>3</v>
      </c>
      <c r="AY647" t="s">
        <v>275</v>
      </c>
      <c r="AZ647" t="s">
        <v>162</v>
      </c>
    </row>
    <row r="648" spans="1:52" x14ac:dyDescent="0.25">
      <c r="A648">
        <v>637</v>
      </c>
      <c r="B648" t="s">
        <v>1414</v>
      </c>
      <c r="C648" t="s">
        <v>151</v>
      </c>
      <c r="D648" t="s">
        <v>1415</v>
      </c>
      <c r="E648" t="s">
        <v>216</v>
      </c>
      <c r="F648" t="s">
        <v>203</v>
      </c>
      <c r="G648">
        <v>900</v>
      </c>
      <c r="H648">
        <v>901</v>
      </c>
      <c r="I648" t="s">
        <v>478</v>
      </c>
      <c r="J648">
        <v>600</v>
      </c>
      <c r="K648">
        <v>601</v>
      </c>
      <c r="L648" t="s">
        <v>1418</v>
      </c>
      <c r="M648">
        <v>4</v>
      </c>
      <c r="N648" t="s">
        <v>13</v>
      </c>
      <c r="O648" t="s">
        <v>11</v>
      </c>
      <c r="P648" t="s">
        <v>175</v>
      </c>
      <c r="Q648" t="s">
        <v>162</v>
      </c>
      <c r="R648" t="s">
        <v>1397</v>
      </c>
      <c r="S648">
        <v>2018</v>
      </c>
      <c r="T648">
        <v>9</v>
      </c>
      <c r="U648" t="s">
        <v>162</v>
      </c>
      <c r="V648" t="s">
        <v>162</v>
      </c>
      <c r="W648">
        <v>0</v>
      </c>
      <c r="X648">
        <v>0</v>
      </c>
      <c r="Y648" t="s">
        <v>162</v>
      </c>
      <c r="Z648">
        <v>2018</v>
      </c>
      <c r="AA648">
        <v>0</v>
      </c>
      <c r="AB648" s="5">
        <v>0.39612366361399998</v>
      </c>
      <c r="AC648" s="5">
        <v>0.39612366361399998</v>
      </c>
      <c r="AD648" t="s">
        <v>1416</v>
      </c>
      <c r="AE648" t="s">
        <v>166</v>
      </c>
      <c r="AF648" t="s">
        <v>203</v>
      </c>
      <c r="AG648" t="s">
        <v>163</v>
      </c>
      <c r="AH648" t="s">
        <v>162</v>
      </c>
      <c r="AI648" t="s">
        <v>162</v>
      </c>
      <c r="AJ648" t="s">
        <v>162</v>
      </c>
      <c r="AK648" t="s">
        <v>162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s="60">
        <f t="shared" si="9"/>
        <v>1</v>
      </c>
      <c r="AU648" s="95">
        <v>43374</v>
      </c>
      <c r="AV648" s="94" t="s">
        <v>165</v>
      </c>
      <c r="AW648" t="s">
        <v>162</v>
      </c>
      <c r="AX648">
        <v>3</v>
      </c>
      <c r="AY648" t="s">
        <v>275</v>
      </c>
      <c r="AZ648">
        <v>20</v>
      </c>
    </row>
    <row r="649" spans="1:52" x14ac:dyDescent="0.25">
      <c r="A649">
        <v>638</v>
      </c>
      <c r="B649" t="s">
        <v>1419</v>
      </c>
      <c r="C649" t="s">
        <v>151</v>
      </c>
      <c r="D649" t="s">
        <v>1420</v>
      </c>
      <c r="E649" t="s">
        <v>172</v>
      </c>
      <c r="F649" t="s">
        <v>203</v>
      </c>
      <c r="G649">
        <v>1630</v>
      </c>
      <c r="H649">
        <v>1631</v>
      </c>
      <c r="I649" t="s">
        <v>482</v>
      </c>
      <c r="J649">
        <v>900</v>
      </c>
      <c r="K649">
        <v>901</v>
      </c>
      <c r="L649" t="s">
        <v>478</v>
      </c>
      <c r="M649">
        <v>4</v>
      </c>
      <c r="N649" t="s">
        <v>13</v>
      </c>
      <c r="O649" t="s">
        <v>11</v>
      </c>
      <c r="P649" t="s">
        <v>175</v>
      </c>
      <c r="Q649" t="s">
        <v>162</v>
      </c>
      <c r="R649" t="s">
        <v>1397</v>
      </c>
      <c r="S649">
        <v>2018</v>
      </c>
      <c r="T649">
        <v>9</v>
      </c>
      <c r="U649" t="s">
        <v>162</v>
      </c>
      <c r="V649" t="s">
        <v>162</v>
      </c>
      <c r="W649">
        <v>0</v>
      </c>
      <c r="X649">
        <v>0</v>
      </c>
      <c r="Y649" t="s">
        <v>162</v>
      </c>
      <c r="Z649">
        <v>2018</v>
      </c>
      <c r="AA649">
        <v>0</v>
      </c>
      <c r="AB649" s="5">
        <v>0.91673562095500005</v>
      </c>
      <c r="AC649" s="5">
        <v>0.91673562095500005</v>
      </c>
      <c r="AD649" t="s">
        <v>1416</v>
      </c>
      <c r="AE649" t="s">
        <v>166</v>
      </c>
      <c r="AF649" t="s">
        <v>203</v>
      </c>
      <c r="AG649" t="s">
        <v>163</v>
      </c>
      <c r="AH649" t="s">
        <v>162</v>
      </c>
      <c r="AI649" t="s">
        <v>162</v>
      </c>
      <c r="AJ649" t="s">
        <v>162</v>
      </c>
      <c r="AK649" t="s">
        <v>162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s="60">
        <f t="shared" si="9"/>
        <v>1</v>
      </c>
      <c r="AU649" s="95">
        <v>43374</v>
      </c>
      <c r="AV649" t="s">
        <v>165</v>
      </c>
      <c r="AW649" t="s">
        <v>162</v>
      </c>
      <c r="AX649">
        <v>3</v>
      </c>
      <c r="AY649" t="s">
        <v>275</v>
      </c>
      <c r="AZ649">
        <v>20</v>
      </c>
    </row>
    <row r="650" spans="1:52" x14ac:dyDescent="0.25">
      <c r="A650">
        <v>639</v>
      </c>
      <c r="B650" t="s">
        <v>1037</v>
      </c>
      <c r="C650" t="s">
        <v>151</v>
      </c>
      <c r="D650" t="s">
        <v>1038</v>
      </c>
      <c r="E650" t="s">
        <v>172</v>
      </c>
      <c r="F650" t="s">
        <v>151</v>
      </c>
      <c r="G650">
        <v>600</v>
      </c>
      <c r="H650">
        <v>601</v>
      </c>
      <c r="I650" t="s">
        <v>683</v>
      </c>
      <c r="J650">
        <v>400</v>
      </c>
      <c r="K650">
        <v>401</v>
      </c>
      <c r="L650" t="s">
        <v>1296</v>
      </c>
      <c r="M650">
        <v>4</v>
      </c>
      <c r="N650" t="s">
        <v>13</v>
      </c>
      <c r="O650" t="s">
        <v>11</v>
      </c>
      <c r="P650" t="s">
        <v>175</v>
      </c>
      <c r="Q650" t="s">
        <v>162</v>
      </c>
      <c r="R650" t="s">
        <v>1397</v>
      </c>
      <c r="S650">
        <v>2018</v>
      </c>
      <c r="T650">
        <v>9</v>
      </c>
      <c r="U650" t="s">
        <v>162</v>
      </c>
      <c r="V650" t="s">
        <v>162</v>
      </c>
      <c r="W650">
        <v>0</v>
      </c>
      <c r="X650">
        <v>0</v>
      </c>
      <c r="Y650" t="s">
        <v>162</v>
      </c>
      <c r="Z650">
        <v>2018</v>
      </c>
      <c r="AA650">
        <v>0</v>
      </c>
      <c r="AB650" s="5">
        <v>0.22179146093800001</v>
      </c>
      <c r="AC650" s="5">
        <v>0.22179146093800001</v>
      </c>
      <c r="AD650" t="s">
        <v>1421</v>
      </c>
      <c r="AE650" t="s">
        <v>166</v>
      </c>
      <c r="AF650" t="s">
        <v>151</v>
      </c>
      <c r="AG650" t="s">
        <v>163</v>
      </c>
      <c r="AH650" t="s">
        <v>162</v>
      </c>
      <c r="AI650" t="s">
        <v>162</v>
      </c>
      <c r="AJ650" t="s">
        <v>162</v>
      </c>
      <c r="AK650" t="s">
        <v>162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s="60">
        <f t="shared" si="9"/>
        <v>1</v>
      </c>
      <c r="AU650" s="95">
        <v>43374</v>
      </c>
      <c r="AV650" t="s">
        <v>165</v>
      </c>
      <c r="AW650" t="s">
        <v>162</v>
      </c>
      <c r="AX650">
        <v>3</v>
      </c>
      <c r="AY650" t="s">
        <v>275</v>
      </c>
      <c r="AZ650">
        <v>20</v>
      </c>
    </row>
    <row r="651" spans="1:52" x14ac:dyDescent="0.25">
      <c r="A651">
        <v>640</v>
      </c>
      <c r="B651" t="s">
        <v>444</v>
      </c>
      <c r="C651" t="s">
        <v>163</v>
      </c>
      <c r="D651" t="s">
        <v>444</v>
      </c>
      <c r="E651" t="s">
        <v>162</v>
      </c>
      <c r="F651" t="s">
        <v>162</v>
      </c>
      <c r="G651">
        <v>3350</v>
      </c>
      <c r="H651">
        <v>3351</v>
      </c>
      <c r="I651" t="s">
        <v>566</v>
      </c>
      <c r="J651">
        <v>3460</v>
      </c>
      <c r="K651">
        <v>3461</v>
      </c>
      <c r="L651" t="s">
        <v>566</v>
      </c>
      <c r="M651">
        <v>3</v>
      </c>
      <c r="N651" t="s">
        <v>13</v>
      </c>
      <c r="O651" t="s">
        <v>7</v>
      </c>
      <c r="P651" t="s">
        <v>175</v>
      </c>
      <c r="Q651" t="s">
        <v>162</v>
      </c>
      <c r="R651" t="s">
        <v>1397</v>
      </c>
      <c r="S651">
        <v>2018</v>
      </c>
      <c r="T651">
        <v>9</v>
      </c>
      <c r="U651" t="s">
        <v>1422</v>
      </c>
      <c r="V651" t="s">
        <v>162</v>
      </c>
      <c r="W651">
        <v>0</v>
      </c>
      <c r="X651">
        <v>0</v>
      </c>
      <c r="Y651" t="s">
        <v>162</v>
      </c>
      <c r="Z651">
        <v>2018</v>
      </c>
      <c r="AA651">
        <v>0</v>
      </c>
      <c r="AB651" s="5">
        <v>2.74980152369E-2</v>
      </c>
      <c r="AC651" s="5">
        <v>5.4996030473800001E-2</v>
      </c>
      <c r="AD651" t="s">
        <v>1421</v>
      </c>
      <c r="AE651" t="s">
        <v>163</v>
      </c>
      <c r="AF651" t="s">
        <v>162</v>
      </c>
      <c r="AG651" t="s">
        <v>166</v>
      </c>
      <c r="AH651" t="s">
        <v>162</v>
      </c>
      <c r="AI651" t="s">
        <v>1130</v>
      </c>
      <c r="AJ651" t="s">
        <v>154</v>
      </c>
      <c r="AK651" t="s">
        <v>162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s="60">
        <f t="shared" ref="AT651:AT714" si="10">SUM(AM651:AS651)</f>
        <v>1</v>
      </c>
      <c r="AU651" s="95" t="s">
        <v>227</v>
      </c>
      <c r="AV651" s="94" t="s">
        <v>165</v>
      </c>
      <c r="AW651" t="s">
        <v>166</v>
      </c>
      <c r="AX651">
        <v>3</v>
      </c>
      <c r="AY651" t="s">
        <v>275</v>
      </c>
      <c r="AZ651" t="s">
        <v>162</v>
      </c>
    </row>
    <row r="652" spans="1:52" x14ac:dyDescent="0.25">
      <c r="A652">
        <v>641</v>
      </c>
      <c r="B652" t="s">
        <v>1037</v>
      </c>
      <c r="C652" t="s">
        <v>151</v>
      </c>
      <c r="D652" t="s">
        <v>1038</v>
      </c>
      <c r="E652" t="s">
        <v>172</v>
      </c>
      <c r="F652" t="s">
        <v>151</v>
      </c>
      <c r="G652">
        <v>1700</v>
      </c>
      <c r="H652">
        <v>1701</v>
      </c>
      <c r="I652" t="s">
        <v>482</v>
      </c>
      <c r="J652">
        <v>600</v>
      </c>
      <c r="K652">
        <v>601</v>
      </c>
      <c r="L652" t="s">
        <v>683</v>
      </c>
      <c r="M652">
        <v>4</v>
      </c>
      <c r="N652" t="s">
        <v>13</v>
      </c>
      <c r="O652" t="s">
        <v>11</v>
      </c>
      <c r="P652" t="s">
        <v>175</v>
      </c>
      <c r="Q652" t="s">
        <v>162</v>
      </c>
      <c r="R652" t="s">
        <v>1397</v>
      </c>
      <c r="S652">
        <v>2018</v>
      </c>
      <c r="T652">
        <v>9</v>
      </c>
      <c r="U652" t="s">
        <v>162</v>
      </c>
      <c r="V652" t="s">
        <v>162</v>
      </c>
      <c r="W652">
        <v>0</v>
      </c>
      <c r="X652">
        <v>0</v>
      </c>
      <c r="Y652" t="s">
        <v>162</v>
      </c>
      <c r="Z652">
        <v>2018</v>
      </c>
      <c r="AA652">
        <v>0</v>
      </c>
      <c r="AB652" s="5">
        <v>1.3481041194500001</v>
      </c>
      <c r="AC652" s="5">
        <v>1.3481041194500001</v>
      </c>
      <c r="AD652" t="s">
        <v>1421</v>
      </c>
      <c r="AE652" t="s">
        <v>166</v>
      </c>
      <c r="AF652" t="s">
        <v>151</v>
      </c>
      <c r="AG652" t="s">
        <v>163</v>
      </c>
      <c r="AH652" t="s">
        <v>162</v>
      </c>
      <c r="AI652" t="s">
        <v>162</v>
      </c>
      <c r="AJ652" t="s">
        <v>162</v>
      </c>
      <c r="AK652" t="s">
        <v>162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s="60">
        <f t="shared" si="10"/>
        <v>1</v>
      </c>
      <c r="AU652" s="95">
        <v>43374</v>
      </c>
      <c r="AV652" s="94" t="s">
        <v>165</v>
      </c>
      <c r="AW652" t="s">
        <v>162</v>
      </c>
      <c r="AX652">
        <v>3</v>
      </c>
      <c r="AY652" t="s">
        <v>275</v>
      </c>
      <c r="AZ652">
        <v>20</v>
      </c>
    </row>
    <row r="653" spans="1:52" x14ac:dyDescent="0.25">
      <c r="A653">
        <v>642</v>
      </c>
      <c r="B653" t="s">
        <v>233</v>
      </c>
      <c r="C653" t="s">
        <v>163</v>
      </c>
      <c r="D653" t="s">
        <v>234</v>
      </c>
      <c r="E653" t="s">
        <v>172</v>
      </c>
      <c r="F653" t="s">
        <v>162</v>
      </c>
      <c r="G653">
        <v>1200</v>
      </c>
      <c r="H653">
        <v>1201</v>
      </c>
      <c r="I653" t="s">
        <v>459</v>
      </c>
      <c r="J653">
        <v>1576</v>
      </c>
      <c r="K653">
        <v>1577</v>
      </c>
      <c r="L653" t="s">
        <v>298</v>
      </c>
      <c r="M653">
        <v>2</v>
      </c>
      <c r="N653" t="s">
        <v>15</v>
      </c>
      <c r="O653" t="s">
        <v>15</v>
      </c>
      <c r="P653" t="s">
        <v>169</v>
      </c>
      <c r="Q653" t="s">
        <v>162</v>
      </c>
      <c r="R653" t="s">
        <v>314</v>
      </c>
      <c r="S653">
        <v>2012</v>
      </c>
      <c r="T653">
        <v>10</v>
      </c>
      <c r="U653" t="s">
        <v>123</v>
      </c>
      <c r="V653" t="s">
        <v>238</v>
      </c>
      <c r="W653">
        <v>2018</v>
      </c>
      <c r="X653">
        <v>9</v>
      </c>
      <c r="Y653" t="s">
        <v>123</v>
      </c>
      <c r="Z653">
        <v>2018</v>
      </c>
      <c r="AA653">
        <v>2018</v>
      </c>
      <c r="AB653" s="5">
        <v>6.3260012791999998E-2</v>
      </c>
      <c r="AC653" s="5">
        <v>0.126520025584</v>
      </c>
      <c r="AD653" t="s">
        <v>162</v>
      </c>
      <c r="AE653" t="s">
        <v>163</v>
      </c>
      <c r="AF653" t="s">
        <v>162</v>
      </c>
      <c r="AG653" t="s">
        <v>162</v>
      </c>
      <c r="AH653" t="s">
        <v>162</v>
      </c>
      <c r="AI653" t="s">
        <v>162</v>
      </c>
      <c r="AJ653" t="s">
        <v>162</v>
      </c>
      <c r="AK653" t="s">
        <v>162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 s="60">
        <f t="shared" si="10"/>
        <v>1</v>
      </c>
      <c r="AU653" s="95">
        <v>43333</v>
      </c>
      <c r="AV653" s="94" t="s">
        <v>165</v>
      </c>
      <c r="AW653" t="s">
        <v>162</v>
      </c>
      <c r="AX653">
        <v>2</v>
      </c>
      <c r="AY653" t="s">
        <v>167</v>
      </c>
      <c r="AZ653" t="s">
        <v>162</v>
      </c>
    </row>
    <row r="654" spans="1:52" x14ac:dyDescent="0.25">
      <c r="A654">
        <v>643</v>
      </c>
      <c r="B654" t="s">
        <v>617</v>
      </c>
      <c r="C654" t="s">
        <v>203</v>
      </c>
      <c r="D654" t="s">
        <v>204</v>
      </c>
      <c r="E654" t="s">
        <v>172</v>
      </c>
      <c r="F654" t="s">
        <v>162</v>
      </c>
      <c r="G654">
        <v>0</v>
      </c>
      <c r="H654">
        <v>0</v>
      </c>
      <c r="I654" t="s">
        <v>1423</v>
      </c>
      <c r="J654">
        <v>0</v>
      </c>
      <c r="K654">
        <v>0</v>
      </c>
      <c r="L654" t="s">
        <v>1424</v>
      </c>
      <c r="M654">
        <v>4</v>
      </c>
      <c r="N654" t="s">
        <v>15</v>
      </c>
      <c r="O654" t="s">
        <v>15</v>
      </c>
      <c r="P654" t="s">
        <v>169</v>
      </c>
      <c r="Q654" t="s">
        <v>162</v>
      </c>
      <c r="R654" t="s">
        <v>359</v>
      </c>
      <c r="S654">
        <v>0</v>
      </c>
      <c r="T654">
        <v>0</v>
      </c>
      <c r="U654" t="s">
        <v>1394</v>
      </c>
      <c r="V654" t="s">
        <v>162</v>
      </c>
      <c r="W654">
        <v>0</v>
      </c>
      <c r="X654">
        <v>0</v>
      </c>
      <c r="Y654" t="s">
        <v>162</v>
      </c>
      <c r="Z654">
        <v>2018</v>
      </c>
      <c r="AA654">
        <v>0</v>
      </c>
      <c r="AB654" s="5">
        <v>0.126908919447</v>
      </c>
      <c r="AC654" s="5">
        <v>0.253817838894</v>
      </c>
      <c r="AD654" t="s">
        <v>162</v>
      </c>
      <c r="AE654" t="s">
        <v>163</v>
      </c>
      <c r="AF654" t="s">
        <v>162</v>
      </c>
      <c r="AG654" t="s">
        <v>162</v>
      </c>
      <c r="AH654" t="s">
        <v>162</v>
      </c>
      <c r="AI654" t="s">
        <v>162</v>
      </c>
      <c r="AJ654" t="s">
        <v>162</v>
      </c>
      <c r="AK654" t="s">
        <v>162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 s="60">
        <f t="shared" si="10"/>
        <v>1</v>
      </c>
      <c r="AU654" s="95">
        <v>43374</v>
      </c>
      <c r="AV654" s="94" t="s">
        <v>165</v>
      </c>
      <c r="AW654" t="s">
        <v>162</v>
      </c>
      <c r="AX654">
        <v>3</v>
      </c>
      <c r="AY654" t="s">
        <v>1345</v>
      </c>
      <c r="AZ654" t="s">
        <v>162</v>
      </c>
    </row>
    <row r="655" spans="1:52" x14ac:dyDescent="0.25">
      <c r="A655">
        <v>644</v>
      </c>
      <c r="B655" t="s">
        <v>233</v>
      </c>
      <c r="C655" t="s">
        <v>163</v>
      </c>
      <c r="D655" t="s">
        <v>234</v>
      </c>
      <c r="E655" t="s">
        <v>172</v>
      </c>
      <c r="F655" t="s">
        <v>162</v>
      </c>
      <c r="G655">
        <v>2300</v>
      </c>
      <c r="H655">
        <v>2301</v>
      </c>
      <c r="I655" t="s">
        <v>752</v>
      </c>
      <c r="J655">
        <v>2400</v>
      </c>
      <c r="K655">
        <v>2401</v>
      </c>
      <c r="L655" t="s">
        <v>652</v>
      </c>
      <c r="M655">
        <v>2</v>
      </c>
      <c r="N655" t="s">
        <v>11</v>
      </c>
      <c r="O655" t="s">
        <v>11</v>
      </c>
      <c r="P655" t="s">
        <v>169</v>
      </c>
      <c r="Q655" t="s">
        <v>162</v>
      </c>
      <c r="R655" t="s">
        <v>237</v>
      </c>
      <c r="S655">
        <v>2000</v>
      </c>
      <c r="T655">
        <v>7</v>
      </c>
      <c r="U655" t="s">
        <v>162</v>
      </c>
      <c r="V655" t="s">
        <v>162</v>
      </c>
      <c r="W655">
        <v>0</v>
      </c>
      <c r="X655">
        <v>0</v>
      </c>
      <c r="Y655" t="s">
        <v>162</v>
      </c>
      <c r="Z655">
        <v>2018</v>
      </c>
      <c r="AA655">
        <v>2018</v>
      </c>
      <c r="AB655" s="5">
        <v>0.127281886111</v>
      </c>
      <c r="AC655" s="5">
        <v>0.254563772222</v>
      </c>
      <c r="AD655" t="s">
        <v>162</v>
      </c>
      <c r="AE655" t="s">
        <v>163</v>
      </c>
      <c r="AF655" t="s">
        <v>162</v>
      </c>
      <c r="AG655" t="s">
        <v>162</v>
      </c>
      <c r="AH655" t="s">
        <v>162</v>
      </c>
      <c r="AI655" t="s">
        <v>162</v>
      </c>
      <c r="AJ655" t="s">
        <v>162</v>
      </c>
      <c r="AK655" t="s">
        <v>162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s="60">
        <f t="shared" si="10"/>
        <v>1</v>
      </c>
      <c r="AU655" s="95" t="s">
        <v>244</v>
      </c>
      <c r="AV655" t="s">
        <v>165</v>
      </c>
      <c r="AW655" t="s">
        <v>162</v>
      </c>
      <c r="AX655">
        <v>2</v>
      </c>
      <c r="AY655" t="s">
        <v>167</v>
      </c>
      <c r="AZ655" t="s">
        <v>162</v>
      </c>
    </row>
    <row r="656" spans="1:52" x14ac:dyDescent="0.25">
      <c r="A656">
        <v>645</v>
      </c>
      <c r="B656" t="s">
        <v>228</v>
      </c>
      <c r="C656" t="s">
        <v>163</v>
      </c>
      <c r="D656" t="s">
        <v>229</v>
      </c>
      <c r="E656" t="s">
        <v>216</v>
      </c>
      <c r="F656" t="s">
        <v>162</v>
      </c>
      <c r="G656">
        <v>6150</v>
      </c>
      <c r="H656">
        <v>6151</v>
      </c>
      <c r="I656" t="s">
        <v>434</v>
      </c>
      <c r="J656">
        <v>6177</v>
      </c>
      <c r="K656">
        <v>6176</v>
      </c>
      <c r="L656" t="s">
        <v>230</v>
      </c>
      <c r="M656">
        <v>3</v>
      </c>
      <c r="N656" t="s">
        <v>9</v>
      </c>
      <c r="O656" t="s">
        <v>9</v>
      </c>
      <c r="P656" t="s">
        <v>157</v>
      </c>
      <c r="Q656" t="s">
        <v>162</v>
      </c>
      <c r="R656" t="s">
        <v>283</v>
      </c>
      <c r="S656">
        <v>2015</v>
      </c>
      <c r="T656">
        <v>5</v>
      </c>
      <c r="U656" t="s">
        <v>435</v>
      </c>
      <c r="V656" t="s">
        <v>210</v>
      </c>
      <c r="W656">
        <v>2018</v>
      </c>
      <c r="X656">
        <v>11</v>
      </c>
      <c r="Y656" t="s">
        <v>123</v>
      </c>
      <c r="Z656">
        <v>2018</v>
      </c>
      <c r="AA656">
        <v>2018</v>
      </c>
      <c r="AB656" s="5">
        <v>5.7845936282799999E-2</v>
      </c>
      <c r="AC656" s="5">
        <v>0.115691872566</v>
      </c>
      <c r="AD656" t="s">
        <v>162</v>
      </c>
      <c r="AE656" t="s">
        <v>163</v>
      </c>
      <c r="AF656" t="s">
        <v>162</v>
      </c>
      <c r="AG656" t="s">
        <v>162</v>
      </c>
      <c r="AH656" t="s">
        <v>162</v>
      </c>
      <c r="AI656" t="s">
        <v>162</v>
      </c>
      <c r="AJ656" t="s">
        <v>162</v>
      </c>
      <c r="AK656" t="s">
        <v>162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s="60">
        <f t="shared" si="10"/>
        <v>1</v>
      </c>
      <c r="AU656" s="95">
        <v>43332</v>
      </c>
      <c r="AV656" t="s">
        <v>165</v>
      </c>
      <c r="AW656" t="s">
        <v>163</v>
      </c>
      <c r="AX656">
        <v>2</v>
      </c>
      <c r="AY656" t="s">
        <v>167</v>
      </c>
      <c r="AZ656" t="s">
        <v>162</v>
      </c>
    </row>
    <row r="657" spans="1:52" x14ac:dyDescent="0.25">
      <c r="A657">
        <v>646</v>
      </c>
      <c r="B657" t="s">
        <v>228</v>
      </c>
      <c r="C657" t="s">
        <v>163</v>
      </c>
      <c r="D657" t="s">
        <v>229</v>
      </c>
      <c r="E657" t="s">
        <v>216</v>
      </c>
      <c r="F657" t="s">
        <v>162</v>
      </c>
      <c r="G657">
        <v>5060</v>
      </c>
      <c r="H657">
        <v>5063</v>
      </c>
      <c r="I657" t="s">
        <v>833</v>
      </c>
      <c r="J657">
        <v>5200</v>
      </c>
      <c r="K657">
        <v>5201</v>
      </c>
      <c r="L657" t="s">
        <v>784</v>
      </c>
      <c r="M657">
        <v>3</v>
      </c>
      <c r="N657" t="s">
        <v>9</v>
      </c>
      <c r="O657" t="s">
        <v>9</v>
      </c>
      <c r="P657" t="s">
        <v>157</v>
      </c>
      <c r="Q657" t="s">
        <v>533</v>
      </c>
      <c r="R657" t="s">
        <v>941</v>
      </c>
      <c r="S657">
        <v>2014</v>
      </c>
      <c r="T657">
        <v>12</v>
      </c>
      <c r="U657" t="s">
        <v>942</v>
      </c>
      <c r="V657" t="s">
        <v>162</v>
      </c>
      <c r="W657">
        <v>0</v>
      </c>
      <c r="X657">
        <v>0</v>
      </c>
      <c r="Y657" t="s">
        <v>162</v>
      </c>
      <c r="Z657">
        <v>2014</v>
      </c>
      <c r="AA657">
        <v>2006</v>
      </c>
      <c r="AB657" s="5">
        <v>0.26031493331299999</v>
      </c>
      <c r="AC657" s="5">
        <v>0.52062986662599997</v>
      </c>
      <c r="AD657" t="s">
        <v>162</v>
      </c>
      <c r="AE657" t="s">
        <v>163</v>
      </c>
      <c r="AF657" t="s">
        <v>162</v>
      </c>
      <c r="AG657" t="s">
        <v>162</v>
      </c>
      <c r="AH657" t="s">
        <v>162</v>
      </c>
      <c r="AI657" t="s">
        <v>162</v>
      </c>
      <c r="AJ657" t="s">
        <v>162</v>
      </c>
      <c r="AK657" t="s">
        <v>162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 s="60">
        <f t="shared" si="10"/>
        <v>1</v>
      </c>
      <c r="AU657" s="95">
        <v>43333</v>
      </c>
      <c r="AV657" t="s">
        <v>165</v>
      </c>
      <c r="AW657" t="s">
        <v>163</v>
      </c>
      <c r="AX657">
        <v>2</v>
      </c>
      <c r="AY657" t="s">
        <v>167</v>
      </c>
      <c r="AZ657" t="s">
        <v>162</v>
      </c>
    </row>
    <row r="658" spans="1:52" x14ac:dyDescent="0.25">
      <c r="A658">
        <v>647</v>
      </c>
      <c r="B658" t="s">
        <v>835</v>
      </c>
      <c r="C658" t="s">
        <v>180</v>
      </c>
      <c r="D658" t="s">
        <v>836</v>
      </c>
      <c r="E658" t="s">
        <v>216</v>
      </c>
      <c r="F658" t="s">
        <v>162</v>
      </c>
      <c r="G658">
        <v>5201</v>
      </c>
      <c r="H658">
        <v>5200</v>
      </c>
      <c r="I658" t="s">
        <v>1425</v>
      </c>
      <c r="J658">
        <v>5100</v>
      </c>
      <c r="K658">
        <v>5101</v>
      </c>
      <c r="L658" t="s">
        <v>527</v>
      </c>
      <c r="M658">
        <v>3</v>
      </c>
      <c r="N658" t="s">
        <v>9</v>
      </c>
      <c r="O658" t="s">
        <v>9</v>
      </c>
      <c r="P658" t="s">
        <v>175</v>
      </c>
      <c r="Q658" t="s">
        <v>935</v>
      </c>
      <c r="R658" t="s">
        <v>463</v>
      </c>
      <c r="S658">
        <v>2014</v>
      </c>
      <c r="T658">
        <v>5</v>
      </c>
      <c r="U658" t="s">
        <v>162</v>
      </c>
      <c r="V658" t="s">
        <v>210</v>
      </c>
      <c r="W658">
        <v>2018</v>
      </c>
      <c r="X658">
        <v>10</v>
      </c>
      <c r="Y658" t="s">
        <v>123</v>
      </c>
      <c r="Z658">
        <v>2018</v>
      </c>
      <c r="AA658">
        <v>2018</v>
      </c>
      <c r="AB658" s="5">
        <v>0.12650755552199999</v>
      </c>
      <c r="AC658" s="5">
        <v>0.25301511104399999</v>
      </c>
      <c r="AD658" t="s">
        <v>162</v>
      </c>
      <c r="AE658" t="s">
        <v>163</v>
      </c>
      <c r="AF658" t="s">
        <v>162</v>
      </c>
      <c r="AG658" t="s">
        <v>162</v>
      </c>
      <c r="AH658" t="s">
        <v>162</v>
      </c>
      <c r="AI658" t="s">
        <v>162</v>
      </c>
      <c r="AJ658" t="s">
        <v>162</v>
      </c>
      <c r="AK658" t="s">
        <v>162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 s="60">
        <f t="shared" si="10"/>
        <v>1</v>
      </c>
      <c r="AU658" s="95">
        <v>43347</v>
      </c>
      <c r="AV658" s="94" t="s">
        <v>165</v>
      </c>
      <c r="AW658" t="s">
        <v>163</v>
      </c>
      <c r="AX658">
        <v>2</v>
      </c>
      <c r="AY658" t="s">
        <v>167</v>
      </c>
      <c r="AZ658" t="s">
        <v>162</v>
      </c>
    </row>
    <row r="659" spans="1:52" x14ac:dyDescent="0.25">
      <c r="A659">
        <v>648</v>
      </c>
      <c r="B659" t="s">
        <v>766</v>
      </c>
      <c r="C659" t="s">
        <v>180</v>
      </c>
      <c r="D659" t="s">
        <v>767</v>
      </c>
      <c r="E659" t="s">
        <v>216</v>
      </c>
      <c r="F659" t="s">
        <v>162</v>
      </c>
      <c r="G659">
        <v>9400</v>
      </c>
      <c r="H659">
        <v>9401</v>
      </c>
      <c r="I659" t="s">
        <v>1301</v>
      </c>
      <c r="J659">
        <v>9300</v>
      </c>
      <c r="K659">
        <v>9301</v>
      </c>
      <c r="L659" t="s">
        <v>1426</v>
      </c>
      <c r="M659">
        <v>2</v>
      </c>
      <c r="N659" t="s">
        <v>9</v>
      </c>
      <c r="O659" t="s">
        <v>9</v>
      </c>
      <c r="P659" t="s">
        <v>157</v>
      </c>
      <c r="Q659" t="s">
        <v>162</v>
      </c>
      <c r="R659" t="s">
        <v>473</v>
      </c>
      <c r="S659">
        <v>2021</v>
      </c>
      <c r="T659">
        <v>10</v>
      </c>
      <c r="U659" t="s">
        <v>162</v>
      </c>
      <c r="V659" t="s">
        <v>162</v>
      </c>
      <c r="W659">
        <v>0</v>
      </c>
      <c r="X659">
        <v>0</v>
      </c>
      <c r="Y659" t="s">
        <v>162</v>
      </c>
      <c r="Z659">
        <v>2021</v>
      </c>
      <c r="AA659">
        <v>2021</v>
      </c>
      <c r="AB659" s="5">
        <v>0.11154562170399999</v>
      </c>
      <c r="AC659" s="5">
        <v>0.22309124340799999</v>
      </c>
      <c r="AD659" t="s">
        <v>162</v>
      </c>
      <c r="AE659" t="s">
        <v>163</v>
      </c>
      <c r="AF659" t="s">
        <v>162</v>
      </c>
      <c r="AG659" t="s">
        <v>163</v>
      </c>
      <c r="AH659" t="s">
        <v>162</v>
      </c>
      <c r="AI659" t="s">
        <v>162</v>
      </c>
      <c r="AJ659" t="s">
        <v>163</v>
      </c>
      <c r="AK659" t="s">
        <v>162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  <c r="AS659">
        <v>0</v>
      </c>
      <c r="AT659" s="60">
        <f t="shared" si="10"/>
        <v>1</v>
      </c>
      <c r="AU659" s="95" t="s">
        <v>546</v>
      </c>
      <c r="AV659" t="s">
        <v>165</v>
      </c>
      <c r="AW659" t="s">
        <v>163</v>
      </c>
      <c r="AX659">
        <v>2</v>
      </c>
      <c r="AY659" t="s">
        <v>167</v>
      </c>
      <c r="AZ659" t="s">
        <v>162</v>
      </c>
    </row>
    <row r="660" spans="1:52" x14ac:dyDescent="0.25">
      <c r="A660">
        <v>649</v>
      </c>
      <c r="B660" t="s">
        <v>436</v>
      </c>
      <c r="C660" t="s">
        <v>180</v>
      </c>
      <c r="D660" t="s">
        <v>437</v>
      </c>
      <c r="E660" t="s">
        <v>222</v>
      </c>
      <c r="F660" t="s">
        <v>154</v>
      </c>
      <c r="G660">
        <v>2100</v>
      </c>
      <c r="H660">
        <v>2101</v>
      </c>
      <c r="I660" t="s">
        <v>438</v>
      </c>
      <c r="J660">
        <v>1900</v>
      </c>
      <c r="K660">
        <v>1901</v>
      </c>
      <c r="L660" t="s">
        <v>410</v>
      </c>
      <c r="M660">
        <v>4</v>
      </c>
      <c r="N660" t="s">
        <v>9</v>
      </c>
      <c r="O660" t="s">
        <v>9</v>
      </c>
      <c r="P660" t="s">
        <v>175</v>
      </c>
      <c r="Q660" t="s">
        <v>162</v>
      </c>
      <c r="R660" t="s">
        <v>412</v>
      </c>
      <c r="S660">
        <v>2012</v>
      </c>
      <c r="T660">
        <v>12</v>
      </c>
      <c r="U660" t="s">
        <v>208</v>
      </c>
      <c r="V660" t="s">
        <v>1119</v>
      </c>
      <c r="W660">
        <v>2018</v>
      </c>
      <c r="X660">
        <v>11</v>
      </c>
      <c r="Y660" t="s">
        <v>162</v>
      </c>
      <c r="Z660">
        <v>2018</v>
      </c>
      <c r="AA660">
        <v>0</v>
      </c>
      <c r="AB660" s="5">
        <v>0.18896984761499999</v>
      </c>
      <c r="AC660" s="5">
        <v>0.37793969522999998</v>
      </c>
      <c r="AD660" t="s">
        <v>162</v>
      </c>
      <c r="AE660" t="s">
        <v>163</v>
      </c>
      <c r="AF660" t="s">
        <v>162</v>
      </c>
      <c r="AG660" t="s">
        <v>162</v>
      </c>
      <c r="AH660" t="s">
        <v>162</v>
      </c>
      <c r="AI660" t="s">
        <v>162</v>
      </c>
      <c r="AJ660" t="s">
        <v>162</v>
      </c>
      <c r="AK660" t="s">
        <v>162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s="60">
        <f t="shared" si="10"/>
        <v>1</v>
      </c>
      <c r="AU660" s="95" t="s">
        <v>360</v>
      </c>
      <c r="AV660" t="s">
        <v>165</v>
      </c>
      <c r="AW660" t="s">
        <v>166</v>
      </c>
      <c r="AX660">
        <v>2</v>
      </c>
      <c r="AY660" t="s">
        <v>167</v>
      </c>
      <c r="AZ660" t="s">
        <v>162</v>
      </c>
    </row>
    <row r="661" spans="1:52" x14ac:dyDescent="0.25">
      <c r="A661">
        <v>650</v>
      </c>
      <c r="B661" t="s">
        <v>379</v>
      </c>
      <c r="C661" t="s">
        <v>151</v>
      </c>
      <c r="D661" t="s">
        <v>380</v>
      </c>
      <c r="E661" t="s">
        <v>216</v>
      </c>
      <c r="F661" t="s">
        <v>162</v>
      </c>
      <c r="G661">
        <v>1733</v>
      </c>
      <c r="H661">
        <v>1700</v>
      </c>
      <c r="I661" t="s">
        <v>478</v>
      </c>
      <c r="J661">
        <v>1650</v>
      </c>
      <c r="K661">
        <v>1651</v>
      </c>
      <c r="L661" t="s">
        <v>488</v>
      </c>
      <c r="M661">
        <v>4</v>
      </c>
      <c r="N661" t="s">
        <v>11</v>
      </c>
      <c r="O661" t="s">
        <v>11</v>
      </c>
      <c r="P661" t="s">
        <v>175</v>
      </c>
      <c r="Q661" t="s">
        <v>382</v>
      </c>
      <c r="R661" t="s">
        <v>383</v>
      </c>
      <c r="S661">
        <v>2011</v>
      </c>
      <c r="T661">
        <v>6</v>
      </c>
      <c r="U661" t="s">
        <v>123</v>
      </c>
      <c r="V661" t="s">
        <v>162</v>
      </c>
      <c r="W661">
        <v>0</v>
      </c>
      <c r="X661">
        <v>0</v>
      </c>
      <c r="Y661" t="s">
        <v>162</v>
      </c>
      <c r="Z661">
        <v>2011</v>
      </c>
      <c r="AA661">
        <v>2011</v>
      </c>
      <c r="AB661" s="5">
        <v>7.6154538027800006E-2</v>
      </c>
      <c r="AC661" s="5">
        <v>0.152309076056</v>
      </c>
      <c r="AD661" t="s">
        <v>162</v>
      </c>
      <c r="AE661" t="s">
        <v>163</v>
      </c>
      <c r="AF661" t="s">
        <v>162</v>
      </c>
      <c r="AG661" t="s">
        <v>162</v>
      </c>
      <c r="AH661" t="s">
        <v>162</v>
      </c>
      <c r="AI661" t="s">
        <v>162</v>
      </c>
      <c r="AJ661" t="s">
        <v>162</v>
      </c>
      <c r="AK661" t="s">
        <v>162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s="60">
        <f t="shared" si="10"/>
        <v>1</v>
      </c>
      <c r="AU661" s="95">
        <v>43339</v>
      </c>
      <c r="AV661" t="s">
        <v>165</v>
      </c>
      <c r="AW661" t="s">
        <v>162</v>
      </c>
      <c r="AX661">
        <v>2</v>
      </c>
      <c r="AY661" t="s">
        <v>167</v>
      </c>
      <c r="AZ661" t="s">
        <v>162</v>
      </c>
    </row>
    <row r="662" spans="1:52" x14ac:dyDescent="0.25">
      <c r="A662">
        <v>651</v>
      </c>
      <c r="B662" t="s">
        <v>379</v>
      </c>
      <c r="C662" t="s">
        <v>151</v>
      </c>
      <c r="D662" t="s">
        <v>380</v>
      </c>
      <c r="E662" t="s">
        <v>216</v>
      </c>
      <c r="F662" t="s">
        <v>162</v>
      </c>
      <c r="G662">
        <v>1650</v>
      </c>
      <c r="H662">
        <v>1651</v>
      </c>
      <c r="I662" t="s">
        <v>488</v>
      </c>
      <c r="J662">
        <v>1600</v>
      </c>
      <c r="K662">
        <v>1601</v>
      </c>
      <c r="L662" t="s">
        <v>302</v>
      </c>
      <c r="M662">
        <v>4</v>
      </c>
      <c r="N662" t="s">
        <v>11</v>
      </c>
      <c r="O662" t="s">
        <v>11</v>
      </c>
      <c r="P662" t="s">
        <v>175</v>
      </c>
      <c r="Q662" t="s">
        <v>382</v>
      </c>
      <c r="R662" t="s">
        <v>383</v>
      </c>
      <c r="S662">
        <v>2011</v>
      </c>
      <c r="T662">
        <v>6</v>
      </c>
      <c r="U662" t="s">
        <v>123</v>
      </c>
      <c r="V662" t="s">
        <v>1119</v>
      </c>
      <c r="W662">
        <v>2018</v>
      </c>
      <c r="X662">
        <v>7</v>
      </c>
      <c r="Y662" t="s">
        <v>162</v>
      </c>
      <c r="Z662">
        <v>2018</v>
      </c>
      <c r="AA662">
        <v>2011</v>
      </c>
      <c r="AB662" s="5">
        <v>0.111493312441</v>
      </c>
      <c r="AC662" s="5">
        <v>0.222986624882</v>
      </c>
      <c r="AD662" t="s">
        <v>162</v>
      </c>
      <c r="AE662" t="s">
        <v>163</v>
      </c>
      <c r="AF662" t="s">
        <v>162</v>
      </c>
      <c r="AG662" t="s">
        <v>162</v>
      </c>
      <c r="AH662" t="s">
        <v>162</v>
      </c>
      <c r="AI662" t="s">
        <v>162</v>
      </c>
      <c r="AJ662" t="s">
        <v>162</v>
      </c>
      <c r="AK662" t="s">
        <v>162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s="60">
        <f t="shared" si="10"/>
        <v>1</v>
      </c>
      <c r="AU662" s="95">
        <v>43339</v>
      </c>
      <c r="AV662" t="s">
        <v>165</v>
      </c>
      <c r="AW662" t="s">
        <v>162</v>
      </c>
      <c r="AX662">
        <v>2</v>
      </c>
      <c r="AY662" t="s">
        <v>167</v>
      </c>
      <c r="AZ662" t="s">
        <v>162</v>
      </c>
    </row>
    <row r="663" spans="1:52" x14ac:dyDescent="0.25">
      <c r="A663">
        <v>652</v>
      </c>
      <c r="B663" t="s">
        <v>453</v>
      </c>
      <c r="C663" t="s">
        <v>180</v>
      </c>
      <c r="D663" t="s">
        <v>454</v>
      </c>
      <c r="E663" t="s">
        <v>216</v>
      </c>
      <c r="F663" t="s">
        <v>162</v>
      </c>
      <c r="G663">
        <v>7100</v>
      </c>
      <c r="H663">
        <v>7101</v>
      </c>
      <c r="I663" t="s">
        <v>1220</v>
      </c>
      <c r="J663">
        <v>6900</v>
      </c>
      <c r="K663">
        <v>6901</v>
      </c>
      <c r="L663" t="s">
        <v>277</v>
      </c>
      <c r="M663">
        <v>3</v>
      </c>
      <c r="N663" t="s">
        <v>9</v>
      </c>
      <c r="O663" t="s">
        <v>9</v>
      </c>
      <c r="P663" t="s">
        <v>157</v>
      </c>
      <c r="Q663" t="s">
        <v>1222</v>
      </c>
      <c r="R663" t="s">
        <v>463</v>
      </c>
      <c r="S663">
        <v>2014</v>
      </c>
      <c r="T663">
        <v>9</v>
      </c>
      <c r="U663" t="s">
        <v>162</v>
      </c>
      <c r="V663" t="s">
        <v>267</v>
      </c>
      <c r="W663">
        <v>2018</v>
      </c>
      <c r="X663">
        <v>8</v>
      </c>
      <c r="Y663" t="s">
        <v>162</v>
      </c>
      <c r="Z663">
        <v>2018</v>
      </c>
      <c r="AA663">
        <v>2002</v>
      </c>
      <c r="AB663" s="5">
        <v>0.188218347511</v>
      </c>
      <c r="AC663" s="5">
        <v>0.376436695022</v>
      </c>
      <c r="AD663" t="s">
        <v>162</v>
      </c>
      <c r="AE663" t="s">
        <v>163</v>
      </c>
      <c r="AF663" t="s">
        <v>162</v>
      </c>
      <c r="AG663" t="s">
        <v>162</v>
      </c>
      <c r="AH663" t="s">
        <v>162</v>
      </c>
      <c r="AI663" t="s">
        <v>162</v>
      </c>
      <c r="AJ663" t="s">
        <v>162</v>
      </c>
      <c r="AK663" t="s">
        <v>162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 s="60">
        <f t="shared" si="10"/>
        <v>1</v>
      </c>
      <c r="AU663" s="95">
        <v>43340</v>
      </c>
      <c r="AV663" s="94" t="s">
        <v>165</v>
      </c>
      <c r="AW663" t="s">
        <v>163</v>
      </c>
      <c r="AX663">
        <v>2</v>
      </c>
      <c r="AY663" t="s">
        <v>167</v>
      </c>
      <c r="AZ663" t="s">
        <v>162</v>
      </c>
    </row>
    <row r="664" spans="1:52" x14ac:dyDescent="0.25">
      <c r="A664">
        <v>653</v>
      </c>
      <c r="B664" t="s">
        <v>368</v>
      </c>
      <c r="C664" t="s">
        <v>163</v>
      </c>
      <c r="D664" t="s">
        <v>369</v>
      </c>
      <c r="E664" t="s">
        <v>370</v>
      </c>
      <c r="F664" t="s">
        <v>162</v>
      </c>
      <c r="G664">
        <v>6301</v>
      </c>
      <c r="H664">
        <v>6300</v>
      </c>
      <c r="I664" t="s">
        <v>1427</v>
      </c>
      <c r="J664">
        <v>5737</v>
      </c>
      <c r="K664">
        <v>5732</v>
      </c>
      <c r="L664" t="s">
        <v>372</v>
      </c>
      <c r="M664">
        <v>3</v>
      </c>
      <c r="N664" t="s">
        <v>11</v>
      </c>
      <c r="O664" t="s">
        <v>11</v>
      </c>
      <c r="P664" t="s">
        <v>175</v>
      </c>
      <c r="Q664" t="s">
        <v>373</v>
      </c>
      <c r="R664" t="s">
        <v>366</v>
      </c>
      <c r="S664">
        <v>2011</v>
      </c>
      <c r="T664">
        <v>8</v>
      </c>
      <c r="U664" t="s">
        <v>123</v>
      </c>
      <c r="V664" t="s">
        <v>162</v>
      </c>
      <c r="W664">
        <v>0</v>
      </c>
      <c r="X664">
        <v>0</v>
      </c>
      <c r="Y664" t="s">
        <v>162</v>
      </c>
      <c r="Z664">
        <v>2011</v>
      </c>
      <c r="AA664">
        <v>2011</v>
      </c>
      <c r="AB664" s="5">
        <v>0.19319109806599999</v>
      </c>
      <c r="AC664" s="5">
        <v>0.38638219613199998</v>
      </c>
      <c r="AD664" t="s">
        <v>162</v>
      </c>
      <c r="AE664" t="s">
        <v>163</v>
      </c>
      <c r="AF664" t="s">
        <v>162</v>
      </c>
      <c r="AG664" t="s">
        <v>162</v>
      </c>
      <c r="AH664" t="s">
        <v>162</v>
      </c>
      <c r="AI664" t="s">
        <v>162</v>
      </c>
      <c r="AJ664" t="s">
        <v>162</v>
      </c>
      <c r="AK664" t="s">
        <v>162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 s="60">
        <f t="shared" si="10"/>
        <v>1</v>
      </c>
      <c r="AU664" s="95">
        <v>43339</v>
      </c>
      <c r="AV664" t="s">
        <v>165</v>
      </c>
      <c r="AW664" t="s">
        <v>162</v>
      </c>
      <c r="AX664">
        <v>2</v>
      </c>
      <c r="AY664" t="s">
        <v>167</v>
      </c>
      <c r="AZ664" t="s">
        <v>162</v>
      </c>
    </row>
    <row r="665" spans="1:52" x14ac:dyDescent="0.25">
      <c r="A665">
        <v>654</v>
      </c>
      <c r="B665" t="s">
        <v>368</v>
      </c>
      <c r="C665" t="s">
        <v>163</v>
      </c>
      <c r="D665" t="s">
        <v>369</v>
      </c>
      <c r="E665" t="s">
        <v>370</v>
      </c>
      <c r="F665" t="s">
        <v>162</v>
      </c>
      <c r="G665">
        <v>6191</v>
      </c>
      <c r="H665">
        <v>6190</v>
      </c>
      <c r="I665" t="s">
        <v>375</v>
      </c>
      <c r="J665">
        <v>6301</v>
      </c>
      <c r="K665">
        <v>6300</v>
      </c>
      <c r="L665" t="s">
        <v>1428</v>
      </c>
      <c r="M665">
        <v>3</v>
      </c>
      <c r="N665" t="s">
        <v>11</v>
      </c>
      <c r="O665" t="s">
        <v>11</v>
      </c>
      <c r="P665" t="s">
        <v>175</v>
      </c>
      <c r="Q665" t="s">
        <v>373</v>
      </c>
      <c r="R665" t="s">
        <v>366</v>
      </c>
      <c r="S665">
        <v>2011</v>
      </c>
      <c r="T665">
        <v>8</v>
      </c>
      <c r="U665" t="s">
        <v>123</v>
      </c>
      <c r="V665" t="s">
        <v>269</v>
      </c>
      <c r="W665">
        <v>2018</v>
      </c>
      <c r="X665">
        <v>0</v>
      </c>
      <c r="Y665" t="s">
        <v>162</v>
      </c>
      <c r="Z665">
        <v>2018</v>
      </c>
      <c r="AA665">
        <v>2011</v>
      </c>
      <c r="AB665" s="5">
        <v>0.17176614081399999</v>
      </c>
      <c r="AC665" s="5">
        <v>0.34353228162799998</v>
      </c>
      <c r="AD665" t="s">
        <v>162</v>
      </c>
      <c r="AE665" t="s">
        <v>163</v>
      </c>
      <c r="AF665" t="s">
        <v>162</v>
      </c>
      <c r="AG665" t="s">
        <v>162</v>
      </c>
      <c r="AH665" t="s">
        <v>162</v>
      </c>
      <c r="AI665" t="s">
        <v>162</v>
      </c>
      <c r="AJ665" t="s">
        <v>162</v>
      </c>
      <c r="AK665" t="s">
        <v>162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 s="60">
        <f t="shared" si="10"/>
        <v>1</v>
      </c>
      <c r="AU665" s="95">
        <v>43339</v>
      </c>
      <c r="AV665" t="s">
        <v>165</v>
      </c>
      <c r="AW665" t="s">
        <v>162</v>
      </c>
      <c r="AX665">
        <v>2</v>
      </c>
      <c r="AY665" t="s">
        <v>167</v>
      </c>
      <c r="AZ665" t="s">
        <v>162</v>
      </c>
    </row>
    <row r="666" spans="1:52" x14ac:dyDescent="0.25">
      <c r="A666">
        <v>655</v>
      </c>
      <c r="B666" t="s">
        <v>256</v>
      </c>
      <c r="C666" t="s">
        <v>151</v>
      </c>
      <c r="D666" t="s">
        <v>257</v>
      </c>
      <c r="E666" t="s">
        <v>222</v>
      </c>
      <c r="F666" t="s">
        <v>203</v>
      </c>
      <c r="G666">
        <v>901</v>
      </c>
      <c r="H666">
        <v>900</v>
      </c>
      <c r="I666" t="s">
        <v>1429</v>
      </c>
      <c r="J666">
        <v>801</v>
      </c>
      <c r="K666">
        <v>800</v>
      </c>
      <c r="L666" t="s">
        <v>258</v>
      </c>
      <c r="M666">
        <v>4</v>
      </c>
      <c r="N666" t="s">
        <v>9</v>
      </c>
      <c r="O666" t="s">
        <v>9</v>
      </c>
      <c r="P666" t="s">
        <v>157</v>
      </c>
      <c r="Q666" t="s">
        <v>1019</v>
      </c>
      <c r="R666" t="s">
        <v>320</v>
      </c>
      <c r="S666">
        <v>2014</v>
      </c>
      <c r="T666">
        <v>10</v>
      </c>
      <c r="U666" t="s">
        <v>604</v>
      </c>
      <c r="V666" t="s">
        <v>269</v>
      </c>
      <c r="W666">
        <v>2018</v>
      </c>
      <c r="X666">
        <v>5</v>
      </c>
      <c r="Y666" t="s">
        <v>162</v>
      </c>
      <c r="Z666">
        <v>2014</v>
      </c>
      <c r="AA666">
        <v>2012</v>
      </c>
      <c r="AB666" s="5">
        <v>0.120269668807</v>
      </c>
      <c r="AC666" s="5">
        <v>0.120269668807</v>
      </c>
      <c r="AD666" t="s">
        <v>162</v>
      </c>
      <c r="AE666" t="s">
        <v>166</v>
      </c>
      <c r="AF666" t="s">
        <v>203</v>
      </c>
      <c r="AG666" t="s">
        <v>163</v>
      </c>
      <c r="AH666" t="s">
        <v>162</v>
      </c>
      <c r="AI666" t="s">
        <v>162</v>
      </c>
      <c r="AJ666" t="s">
        <v>162</v>
      </c>
      <c r="AK666" t="s">
        <v>162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 s="60">
        <f t="shared" si="10"/>
        <v>1</v>
      </c>
      <c r="AU666" s="95">
        <v>43335</v>
      </c>
      <c r="AV666" t="s">
        <v>165</v>
      </c>
      <c r="AW666" t="s">
        <v>163</v>
      </c>
      <c r="AX666">
        <v>2</v>
      </c>
      <c r="AY666" t="s">
        <v>167</v>
      </c>
      <c r="AZ666" t="s">
        <v>162</v>
      </c>
    </row>
    <row r="667" spans="1:52" x14ac:dyDescent="0.25">
      <c r="A667">
        <v>656</v>
      </c>
      <c r="B667" t="s">
        <v>911</v>
      </c>
      <c r="C667" t="s">
        <v>180</v>
      </c>
      <c r="D667" t="s">
        <v>912</v>
      </c>
      <c r="E667" t="s">
        <v>172</v>
      </c>
      <c r="F667" t="s">
        <v>162</v>
      </c>
      <c r="G667">
        <v>1159</v>
      </c>
      <c r="H667">
        <v>1158</v>
      </c>
      <c r="I667" t="s">
        <v>390</v>
      </c>
      <c r="J667">
        <v>1001</v>
      </c>
      <c r="K667">
        <v>1000</v>
      </c>
      <c r="L667" t="s">
        <v>721</v>
      </c>
      <c r="M667">
        <v>3</v>
      </c>
      <c r="N667" t="s">
        <v>7</v>
      </c>
      <c r="O667" t="s">
        <v>7</v>
      </c>
      <c r="P667" t="s">
        <v>157</v>
      </c>
      <c r="Q667" t="s">
        <v>913</v>
      </c>
      <c r="R667" t="s">
        <v>647</v>
      </c>
      <c r="S667">
        <v>2013</v>
      </c>
      <c r="T667">
        <v>10</v>
      </c>
      <c r="U667" t="s">
        <v>1430</v>
      </c>
      <c r="V667" t="s">
        <v>267</v>
      </c>
      <c r="W667">
        <v>2018</v>
      </c>
      <c r="X667">
        <v>7</v>
      </c>
      <c r="Y667" t="s">
        <v>162</v>
      </c>
      <c r="Z667">
        <v>2018</v>
      </c>
      <c r="AA667">
        <v>2013</v>
      </c>
      <c r="AB667" s="5">
        <v>0.17292280742300001</v>
      </c>
      <c r="AC667" s="5">
        <v>0.34584561484600002</v>
      </c>
      <c r="AD667" t="s">
        <v>162</v>
      </c>
      <c r="AE667" t="s">
        <v>163</v>
      </c>
      <c r="AF667" t="s">
        <v>162</v>
      </c>
      <c r="AG667" t="s">
        <v>162</v>
      </c>
      <c r="AH667" t="s">
        <v>163</v>
      </c>
      <c r="AI667" t="s">
        <v>226</v>
      </c>
      <c r="AJ667" t="s">
        <v>154</v>
      </c>
      <c r="AK667" t="s">
        <v>162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 s="60">
        <f t="shared" si="10"/>
        <v>1</v>
      </c>
      <c r="AU667" s="95" t="s">
        <v>227</v>
      </c>
      <c r="AV667" s="94" t="s">
        <v>165</v>
      </c>
      <c r="AW667" t="s">
        <v>166</v>
      </c>
      <c r="AX667">
        <v>1</v>
      </c>
      <c r="AY667" t="s">
        <v>167</v>
      </c>
      <c r="AZ667" t="s">
        <v>162</v>
      </c>
    </row>
    <row r="668" spans="1:52" x14ac:dyDescent="0.25">
      <c r="A668">
        <v>657</v>
      </c>
      <c r="B668" t="s">
        <v>791</v>
      </c>
      <c r="C668" t="s">
        <v>180</v>
      </c>
      <c r="D668" t="s">
        <v>643</v>
      </c>
      <c r="E668" t="s">
        <v>216</v>
      </c>
      <c r="F668" t="s">
        <v>162</v>
      </c>
      <c r="G668">
        <v>801</v>
      </c>
      <c r="H668">
        <v>800</v>
      </c>
      <c r="I668" t="s">
        <v>391</v>
      </c>
      <c r="J668">
        <v>429</v>
      </c>
      <c r="K668">
        <v>434</v>
      </c>
      <c r="L668" t="s">
        <v>507</v>
      </c>
      <c r="M668">
        <v>3</v>
      </c>
      <c r="N668" t="s">
        <v>15</v>
      </c>
      <c r="O668" t="s">
        <v>15</v>
      </c>
      <c r="P668" t="s">
        <v>175</v>
      </c>
      <c r="Q668" t="s">
        <v>162</v>
      </c>
      <c r="R668" t="s">
        <v>659</v>
      </c>
      <c r="S668">
        <v>2005</v>
      </c>
      <c r="T668">
        <v>11</v>
      </c>
      <c r="U668" t="s">
        <v>162</v>
      </c>
      <c r="V668" t="s">
        <v>267</v>
      </c>
      <c r="W668">
        <v>2018</v>
      </c>
      <c r="X668">
        <v>8</v>
      </c>
      <c r="Y668" t="s">
        <v>1431</v>
      </c>
      <c r="Z668">
        <v>2018</v>
      </c>
      <c r="AA668">
        <v>2018</v>
      </c>
      <c r="AB668" s="5">
        <v>0.25190994186400001</v>
      </c>
      <c r="AC668" s="5">
        <v>0.50381988372800002</v>
      </c>
      <c r="AD668" t="s">
        <v>162</v>
      </c>
      <c r="AE668" t="s">
        <v>163</v>
      </c>
      <c r="AF668" t="s">
        <v>162</v>
      </c>
      <c r="AG668" t="s">
        <v>162</v>
      </c>
      <c r="AH668" t="s">
        <v>162</v>
      </c>
      <c r="AI668" t="s">
        <v>162</v>
      </c>
      <c r="AJ668" t="s">
        <v>162</v>
      </c>
      <c r="AK668" t="s">
        <v>162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s="60">
        <f t="shared" si="10"/>
        <v>1</v>
      </c>
      <c r="AU668" s="95">
        <v>43343</v>
      </c>
      <c r="AV668" s="94" t="s">
        <v>165</v>
      </c>
      <c r="AW668" t="s">
        <v>162</v>
      </c>
      <c r="AX668">
        <v>2</v>
      </c>
      <c r="AY668" t="s">
        <v>167</v>
      </c>
      <c r="AZ668" t="s">
        <v>162</v>
      </c>
    </row>
    <row r="669" spans="1:52" x14ac:dyDescent="0.25">
      <c r="A669">
        <v>658</v>
      </c>
      <c r="B669" t="s">
        <v>233</v>
      </c>
      <c r="C669" t="s">
        <v>163</v>
      </c>
      <c r="D669" t="s">
        <v>234</v>
      </c>
      <c r="E669" t="s">
        <v>172</v>
      </c>
      <c r="F669" t="s">
        <v>154</v>
      </c>
      <c r="G669">
        <v>717</v>
      </c>
      <c r="H669">
        <v>716</v>
      </c>
      <c r="I669" t="s">
        <v>1225</v>
      </c>
      <c r="J669">
        <v>431</v>
      </c>
      <c r="K669">
        <v>430</v>
      </c>
      <c r="L669" t="s">
        <v>710</v>
      </c>
      <c r="M669">
        <v>2</v>
      </c>
      <c r="N669" t="s">
        <v>7</v>
      </c>
      <c r="O669" t="s">
        <v>7</v>
      </c>
      <c r="P669" t="s">
        <v>157</v>
      </c>
      <c r="Q669" t="s">
        <v>162</v>
      </c>
      <c r="R669" t="s">
        <v>1432</v>
      </c>
      <c r="S669">
        <v>2021</v>
      </c>
      <c r="T669">
        <v>10</v>
      </c>
      <c r="U669" t="s">
        <v>1228</v>
      </c>
      <c r="V669" t="s">
        <v>162</v>
      </c>
      <c r="W669">
        <v>0</v>
      </c>
      <c r="X669">
        <v>0</v>
      </c>
      <c r="Y669" t="s">
        <v>162</v>
      </c>
      <c r="Z669">
        <v>2021</v>
      </c>
      <c r="AA669">
        <v>2014</v>
      </c>
      <c r="AB669" s="5">
        <v>0.22703338554399999</v>
      </c>
      <c r="AC669" s="5">
        <v>0.45406677108799998</v>
      </c>
      <c r="AD669" t="s">
        <v>162</v>
      </c>
      <c r="AE669" t="s">
        <v>163</v>
      </c>
      <c r="AF669" t="s">
        <v>162</v>
      </c>
      <c r="AG669" t="s">
        <v>163</v>
      </c>
      <c r="AH669" t="s">
        <v>162</v>
      </c>
      <c r="AI669" t="s">
        <v>226</v>
      </c>
      <c r="AJ669" t="s">
        <v>154</v>
      </c>
      <c r="AK669" t="s">
        <v>166</v>
      </c>
      <c r="AL669">
        <v>2017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 s="60">
        <f t="shared" si="10"/>
        <v>1</v>
      </c>
      <c r="AU669" s="95" t="s">
        <v>546</v>
      </c>
      <c r="AV669" t="s">
        <v>165</v>
      </c>
      <c r="AW669" t="s">
        <v>166</v>
      </c>
      <c r="AX669">
        <v>2</v>
      </c>
      <c r="AY669" t="s">
        <v>167</v>
      </c>
      <c r="AZ669" t="s">
        <v>162</v>
      </c>
    </row>
    <row r="670" spans="1:52" x14ac:dyDescent="0.25">
      <c r="A670">
        <v>659</v>
      </c>
      <c r="B670" t="s">
        <v>233</v>
      </c>
      <c r="C670" t="s">
        <v>163</v>
      </c>
      <c r="D670" t="s">
        <v>234</v>
      </c>
      <c r="E670" t="s">
        <v>172</v>
      </c>
      <c r="F670" t="s">
        <v>162</v>
      </c>
      <c r="G670">
        <v>1200</v>
      </c>
      <c r="H670">
        <v>1201</v>
      </c>
      <c r="I670" t="s">
        <v>459</v>
      </c>
      <c r="J670">
        <v>1250</v>
      </c>
      <c r="K670">
        <v>1251</v>
      </c>
      <c r="L670" t="s">
        <v>1433</v>
      </c>
      <c r="M670">
        <v>2</v>
      </c>
      <c r="N670" t="s">
        <v>9</v>
      </c>
      <c r="O670" t="s">
        <v>9</v>
      </c>
      <c r="P670" t="s">
        <v>157</v>
      </c>
      <c r="Q670" t="s">
        <v>162</v>
      </c>
      <c r="R670" t="s">
        <v>314</v>
      </c>
      <c r="S670">
        <v>2012</v>
      </c>
      <c r="T670">
        <v>10</v>
      </c>
      <c r="U670" t="s">
        <v>123</v>
      </c>
      <c r="V670" t="s">
        <v>267</v>
      </c>
      <c r="W670">
        <v>2018</v>
      </c>
      <c r="X670">
        <v>8</v>
      </c>
      <c r="Y670" t="s">
        <v>162</v>
      </c>
      <c r="Z670">
        <v>2018</v>
      </c>
      <c r="AA670">
        <v>2012</v>
      </c>
      <c r="AB670" s="5">
        <v>0.10082520022700001</v>
      </c>
      <c r="AC670" s="5">
        <v>0.20165040045400001</v>
      </c>
      <c r="AD670" t="s">
        <v>162</v>
      </c>
      <c r="AE670" t="s">
        <v>163</v>
      </c>
      <c r="AF670" t="s">
        <v>162</v>
      </c>
      <c r="AG670" t="s">
        <v>162</v>
      </c>
      <c r="AH670" t="s">
        <v>162</v>
      </c>
      <c r="AI670" t="s">
        <v>162</v>
      </c>
      <c r="AJ670" t="s">
        <v>162</v>
      </c>
      <c r="AK670" t="s">
        <v>162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</v>
      </c>
      <c r="AT670" s="60">
        <f t="shared" si="10"/>
        <v>1</v>
      </c>
      <c r="AU670" s="95">
        <v>43333</v>
      </c>
      <c r="AV670" t="s">
        <v>165</v>
      </c>
      <c r="AW670" t="s">
        <v>163</v>
      </c>
      <c r="AX670">
        <v>2</v>
      </c>
      <c r="AY670" t="s">
        <v>167</v>
      </c>
      <c r="AZ670" t="s">
        <v>162</v>
      </c>
    </row>
    <row r="671" spans="1:52" x14ac:dyDescent="0.25">
      <c r="A671">
        <v>660</v>
      </c>
      <c r="B671" t="s">
        <v>233</v>
      </c>
      <c r="C671" t="s">
        <v>163</v>
      </c>
      <c r="D671" t="s">
        <v>234</v>
      </c>
      <c r="E671" t="s">
        <v>172</v>
      </c>
      <c r="F671" t="s">
        <v>162</v>
      </c>
      <c r="G671">
        <v>3200</v>
      </c>
      <c r="H671">
        <v>3201</v>
      </c>
      <c r="I671" t="s">
        <v>1434</v>
      </c>
      <c r="J671">
        <v>3300</v>
      </c>
      <c r="K671">
        <v>3301</v>
      </c>
      <c r="L671" t="s">
        <v>571</v>
      </c>
      <c r="M671">
        <v>2</v>
      </c>
      <c r="N671" t="s">
        <v>11</v>
      </c>
      <c r="O671" t="s">
        <v>11</v>
      </c>
      <c r="P671" t="s">
        <v>169</v>
      </c>
      <c r="Q671" t="s">
        <v>162</v>
      </c>
      <c r="R671" t="s">
        <v>572</v>
      </c>
      <c r="S671">
        <v>2004</v>
      </c>
      <c r="T671">
        <v>7</v>
      </c>
      <c r="U671" t="s">
        <v>162</v>
      </c>
      <c r="V671" t="s">
        <v>243</v>
      </c>
      <c r="W671">
        <v>2020</v>
      </c>
      <c r="X671">
        <v>0</v>
      </c>
      <c r="Y671" t="s">
        <v>162</v>
      </c>
      <c r="Z671">
        <v>2020</v>
      </c>
      <c r="AA671">
        <v>2012</v>
      </c>
      <c r="AB671" s="5">
        <v>0.12524192976199999</v>
      </c>
      <c r="AC671" s="5">
        <v>0.25048385952399999</v>
      </c>
      <c r="AD671" t="s">
        <v>162</v>
      </c>
      <c r="AE671" t="s">
        <v>163</v>
      </c>
      <c r="AF671" t="s">
        <v>162</v>
      </c>
      <c r="AG671" t="s">
        <v>162</v>
      </c>
      <c r="AH671" t="s">
        <v>162</v>
      </c>
      <c r="AI671" t="s">
        <v>162</v>
      </c>
      <c r="AJ671" t="s">
        <v>162</v>
      </c>
      <c r="AK671" t="s">
        <v>162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s="60">
        <f t="shared" si="10"/>
        <v>1</v>
      </c>
      <c r="AU671" s="95" t="s">
        <v>244</v>
      </c>
      <c r="AV671" s="94" t="s">
        <v>165</v>
      </c>
      <c r="AW671" t="s">
        <v>162</v>
      </c>
      <c r="AX671">
        <v>2</v>
      </c>
      <c r="AY671" t="s">
        <v>167</v>
      </c>
      <c r="AZ671" t="s">
        <v>162</v>
      </c>
    </row>
    <row r="672" spans="1:52" x14ac:dyDescent="0.25">
      <c r="A672">
        <v>661</v>
      </c>
      <c r="B672" t="s">
        <v>233</v>
      </c>
      <c r="C672" t="s">
        <v>163</v>
      </c>
      <c r="D672" t="s">
        <v>234</v>
      </c>
      <c r="E672" t="s">
        <v>172</v>
      </c>
      <c r="F672" t="s">
        <v>162</v>
      </c>
      <c r="G672">
        <v>3114</v>
      </c>
      <c r="H672">
        <v>3115</v>
      </c>
      <c r="I672" t="s">
        <v>920</v>
      </c>
      <c r="J672">
        <v>3200</v>
      </c>
      <c r="K672">
        <v>3201</v>
      </c>
      <c r="L672" t="s">
        <v>565</v>
      </c>
      <c r="M672">
        <v>2</v>
      </c>
      <c r="N672" t="s">
        <v>11</v>
      </c>
      <c r="O672" t="s">
        <v>11</v>
      </c>
      <c r="P672" t="s">
        <v>169</v>
      </c>
      <c r="Q672" t="s">
        <v>162</v>
      </c>
      <c r="R672" t="s">
        <v>572</v>
      </c>
      <c r="S672">
        <v>2004</v>
      </c>
      <c r="T672">
        <v>7</v>
      </c>
      <c r="U672" t="s">
        <v>162</v>
      </c>
      <c r="V672" t="s">
        <v>243</v>
      </c>
      <c r="W672">
        <v>2020</v>
      </c>
      <c r="X672">
        <v>0</v>
      </c>
      <c r="Y672" t="s">
        <v>162</v>
      </c>
      <c r="Z672">
        <v>2020</v>
      </c>
      <c r="AA672">
        <v>2012</v>
      </c>
      <c r="AB672" s="5">
        <v>0.125478075478</v>
      </c>
      <c r="AC672" s="5">
        <v>0.25095615095599999</v>
      </c>
      <c r="AD672" t="s">
        <v>162</v>
      </c>
      <c r="AE672" t="s">
        <v>163</v>
      </c>
      <c r="AF672" t="s">
        <v>162</v>
      </c>
      <c r="AG672" t="s">
        <v>162</v>
      </c>
      <c r="AH672" t="s">
        <v>162</v>
      </c>
      <c r="AI672" t="s">
        <v>162</v>
      </c>
      <c r="AJ672" t="s">
        <v>162</v>
      </c>
      <c r="AK672" t="s">
        <v>162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s="60">
        <f t="shared" si="10"/>
        <v>1</v>
      </c>
      <c r="AU672" s="95" t="s">
        <v>244</v>
      </c>
      <c r="AV672" t="s">
        <v>165</v>
      </c>
      <c r="AW672" t="s">
        <v>162</v>
      </c>
      <c r="AX672">
        <v>2</v>
      </c>
      <c r="AY672" t="s">
        <v>167</v>
      </c>
      <c r="AZ672" t="s">
        <v>162</v>
      </c>
    </row>
    <row r="673" spans="1:52" x14ac:dyDescent="0.25">
      <c r="A673">
        <v>662</v>
      </c>
      <c r="B673" t="s">
        <v>233</v>
      </c>
      <c r="C673" t="s">
        <v>163</v>
      </c>
      <c r="D673" t="s">
        <v>234</v>
      </c>
      <c r="E673" t="s">
        <v>172</v>
      </c>
      <c r="F673" t="s">
        <v>162</v>
      </c>
      <c r="G673">
        <v>3734</v>
      </c>
      <c r="H673">
        <v>3733</v>
      </c>
      <c r="I673" t="s">
        <v>1435</v>
      </c>
      <c r="J673">
        <v>3769</v>
      </c>
      <c r="K673">
        <v>3759</v>
      </c>
      <c r="L673" t="s">
        <v>700</v>
      </c>
      <c r="M673">
        <v>2</v>
      </c>
      <c r="N673" t="s">
        <v>11</v>
      </c>
      <c r="O673" t="s">
        <v>11</v>
      </c>
      <c r="P673" t="s">
        <v>175</v>
      </c>
      <c r="Q673" t="s">
        <v>162</v>
      </c>
      <c r="R673" t="s">
        <v>572</v>
      </c>
      <c r="S673">
        <v>2004</v>
      </c>
      <c r="T673">
        <v>7</v>
      </c>
      <c r="U673" t="s">
        <v>162</v>
      </c>
      <c r="V673" t="s">
        <v>209</v>
      </c>
      <c r="W673">
        <v>2018</v>
      </c>
      <c r="X673">
        <v>6</v>
      </c>
      <c r="Y673" t="s">
        <v>162</v>
      </c>
      <c r="Z673">
        <v>2018</v>
      </c>
      <c r="AA673">
        <v>2010</v>
      </c>
      <c r="AB673" s="5">
        <v>9.5163695741800003E-2</v>
      </c>
      <c r="AC673" s="5">
        <v>0.19032739148399999</v>
      </c>
      <c r="AD673" t="s">
        <v>162</v>
      </c>
      <c r="AE673" t="s">
        <v>163</v>
      </c>
      <c r="AF673" t="s">
        <v>162</v>
      </c>
      <c r="AG673" t="s">
        <v>162</v>
      </c>
      <c r="AH673" t="s">
        <v>162</v>
      </c>
      <c r="AI673" t="s">
        <v>162</v>
      </c>
      <c r="AJ673" t="s">
        <v>162</v>
      </c>
      <c r="AK673" t="s">
        <v>162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s="60">
        <f t="shared" si="10"/>
        <v>1</v>
      </c>
      <c r="AU673" s="95">
        <v>43333</v>
      </c>
      <c r="AV673" t="s">
        <v>165</v>
      </c>
      <c r="AW673" t="s">
        <v>162</v>
      </c>
      <c r="AX673">
        <v>2</v>
      </c>
      <c r="AY673" t="s">
        <v>167</v>
      </c>
      <c r="AZ673" t="s">
        <v>162</v>
      </c>
    </row>
    <row r="674" spans="1:52" x14ac:dyDescent="0.25">
      <c r="A674">
        <v>663</v>
      </c>
      <c r="B674" t="s">
        <v>400</v>
      </c>
      <c r="C674" t="s">
        <v>163</v>
      </c>
      <c r="D674" t="s">
        <v>401</v>
      </c>
      <c r="E674" t="s">
        <v>216</v>
      </c>
      <c r="F674" t="s">
        <v>162</v>
      </c>
      <c r="G674">
        <v>2162</v>
      </c>
      <c r="H674">
        <v>2169</v>
      </c>
      <c r="I674" t="s">
        <v>403</v>
      </c>
      <c r="J674">
        <v>2400</v>
      </c>
      <c r="K674">
        <v>2401</v>
      </c>
      <c r="L674" t="s">
        <v>652</v>
      </c>
      <c r="M674">
        <v>3</v>
      </c>
      <c r="N674" t="s">
        <v>9</v>
      </c>
      <c r="O674" t="s">
        <v>9</v>
      </c>
      <c r="P674" t="s">
        <v>175</v>
      </c>
      <c r="Q674" t="s">
        <v>1291</v>
      </c>
      <c r="R674" t="s">
        <v>314</v>
      </c>
      <c r="S674">
        <v>2013</v>
      </c>
      <c r="T674">
        <v>8</v>
      </c>
      <c r="U674" t="s">
        <v>123</v>
      </c>
      <c r="V674" t="s">
        <v>162</v>
      </c>
      <c r="W674">
        <v>0</v>
      </c>
      <c r="X674">
        <v>0</v>
      </c>
      <c r="Y674" t="s">
        <v>162</v>
      </c>
      <c r="Z674">
        <v>2013</v>
      </c>
      <c r="AA674">
        <v>2013</v>
      </c>
      <c r="AB674" s="5">
        <v>0.43772610520799998</v>
      </c>
      <c r="AC674" s="5">
        <v>0.87545221041599997</v>
      </c>
      <c r="AD674" t="s">
        <v>162</v>
      </c>
      <c r="AE674" t="s">
        <v>163</v>
      </c>
      <c r="AF674" t="s">
        <v>162</v>
      </c>
      <c r="AG674" t="s">
        <v>162</v>
      </c>
      <c r="AH674" t="s">
        <v>162</v>
      </c>
      <c r="AI674" t="s">
        <v>162</v>
      </c>
      <c r="AJ674" t="s">
        <v>162</v>
      </c>
      <c r="AK674" t="s">
        <v>162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s="60">
        <f t="shared" si="10"/>
        <v>1</v>
      </c>
      <c r="AU674" s="95">
        <v>43339</v>
      </c>
      <c r="AV674" t="s">
        <v>165</v>
      </c>
      <c r="AW674" t="s">
        <v>163</v>
      </c>
      <c r="AX674">
        <v>2</v>
      </c>
      <c r="AY674" t="s">
        <v>167</v>
      </c>
      <c r="AZ674" t="s">
        <v>162</v>
      </c>
    </row>
    <row r="675" spans="1:52" x14ac:dyDescent="0.25">
      <c r="A675">
        <v>664</v>
      </c>
      <c r="B675" t="s">
        <v>400</v>
      </c>
      <c r="C675" t="s">
        <v>163</v>
      </c>
      <c r="D675" t="s">
        <v>401</v>
      </c>
      <c r="E675" t="s">
        <v>216</v>
      </c>
      <c r="F675" t="s">
        <v>162</v>
      </c>
      <c r="G675">
        <v>2400</v>
      </c>
      <c r="H675">
        <v>2401</v>
      </c>
      <c r="I675" t="s">
        <v>652</v>
      </c>
      <c r="J675">
        <v>2800</v>
      </c>
      <c r="K675">
        <v>2801</v>
      </c>
      <c r="L675" t="s">
        <v>239</v>
      </c>
      <c r="M675">
        <v>3</v>
      </c>
      <c r="N675" t="s">
        <v>9</v>
      </c>
      <c r="O675" t="s">
        <v>9</v>
      </c>
      <c r="P675" t="s">
        <v>175</v>
      </c>
      <c r="Q675" t="s">
        <v>1291</v>
      </c>
      <c r="R675" t="s">
        <v>314</v>
      </c>
      <c r="S675">
        <v>2013</v>
      </c>
      <c r="T675">
        <v>8</v>
      </c>
      <c r="U675" t="s">
        <v>123</v>
      </c>
      <c r="V675" t="s">
        <v>162</v>
      </c>
      <c r="W675">
        <v>0</v>
      </c>
      <c r="X675">
        <v>0</v>
      </c>
      <c r="Y675" t="s">
        <v>162</v>
      </c>
      <c r="Z675">
        <v>2013</v>
      </c>
      <c r="AA675">
        <v>2013</v>
      </c>
      <c r="AB675" s="5">
        <v>0.67184178010700002</v>
      </c>
      <c r="AC675" s="5">
        <v>1.3436835602099999</v>
      </c>
      <c r="AD675" t="s">
        <v>162</v>
      </c>
      <c r="AE675" t="s">
        <v>163</v>
      </c>
      <c r="AF675" t="s">
        <v>162</v>
      </c>
      <c r="AG675" t="s">
        <v>162</v>
      </c>
      <c r="AH675" t="s">
        <v>162</v>
      </c>
      <c r="AI675" t="s">
        <v>162</v>
      </c>
      <c r="AJ675" t="s">
        <v>162</v>
      </c>
      <c r="AK675" t="s">
        <v>162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s="60">
        <f t="shared" si="10"/>
        <v>1</v>
      </c>
      <c r="AU675" s="95">
        <v>43339</v>
      </c>
      <c r="AV675" t="s">
        <v>165</v>
      </c>
      <c r="AW675" t="s">
        <v>163</v>
      </c>
      <c r="AX675">
        <v>2</v>
      </c>
      <c r="AY675" t="s">
        <v>167</v>
      </c>
      <c r="AZ675" t="s">
        <v>162</v>
      </c>
    </row>
    <row r="676" spans="1:52" x14ac:dyDescent="0.25">
      <c r="A676">
        <v>665</v>
      </c>
      <c r="B676" t="s">
        <v>469</v>
      </c>
      <c r="C676" t="s">
        <v>151</v>
      </c>
      <c r="D676" t="s">
        <v>470</v>
      </c>
      <c r="E676" t="s">
        <v>216</v>
      </c>
      <c r="F676" t="s">
        <v>162</v>
      </c>
      <c r="G676">
        <v>4744</v>
      </c>
      <c r="H676">
        <v>4745</v>
      </c>
      <c r="I676" t="s">
        <v>230</v>
      </c>
      <c r="J676">
        <v>4800</v>
      </c>
      <c r="K676">
        <v>4801</v>
      </c>
      <c r="L676" t="s">
        <v>833</v>
      </c>
      <c r="M676">
        <v>2</v>
      </c>
      <c r="N676" t="s">
        <v>9</v>
      </c>
      <c r="O676" t="s">
        <v>9</v>
      </c>
      <c r="P676" t="s">
        <v>157</v>
      </c>
      <c r="Q676" t="s">
        <v>1245</v>
      </c>
      <c r="R676" t="s">
        <v>705</v>
      </c>
      <c r="S676">
        <v>2015</v>
      </c>
      <c r="T676">
        <v>7</v>
      </c>
      <c r="U676" t="s">
        <v>1246</v>
      </c>
      <c r="V676" t="s">
        <v>455</v>
      </c>
      <c r="W676">
        <v>2020</v>
      </c>
      <c r="X676">
        <v>0</v>
      </c>
      <c r="Y676" t="s">
        <v>123</v>
      </c>
      <c r="Z676">
        <v>2020</v>
      </c>
      <c r="AA676">
        <v>2020</v>
      </c>
      <c r="AB676" s="5">
        <v>0.67116940109500001</v>
      </c>
      <c r="AC676" s="5">
        <v>1.34233880219</v>
      </c>
      <c r="AD676" t="s">
        <v>162</v>
      </c>
      <c r="AE676" t="s">
        <v>163</v>
      </c>
      <c r="AF676" t="s">
        <v>162</v>
      </c>
      <c r="AG676" t="s">
        <v>162</v>
      </c>
      <c r="AH676" t="s">
        <v>162</v>
      </c>
      <c r="AI676" t="s">
        <v>162</v>
      </c>
      <c r="AJ676" t="s">
        <v>162</v>
      </c>
      <c r="AK676" t="s">
        <v>166</v>
      </c>
      <c r="AL676">
        <v>2015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 s="60">
        <f t="shared" si="10"/>
        <v>1</v>
      </c>
      <c r="AU676" s="95" t="s">
        <v>187</v>
      </c>
      <c r="AV676" s="94" t="s">
        <v>165</v>
      </c>
      <c r="AW676" t="s">
        <v>163</v>
      </c>
      <c r="AX676">
        <v>2</v>
      </c>
      <c r="AY676" t="s">
        <v>167</v>
      </c>
      <c r="AZ676" t="s">
        <v>162</v>
      </c>
    </row>
    <row r="677" spans="1:52" x14ac:dyDescent="0.25">
      <c r="A677">
        <v>666</v>
      </c>
      <c r="B677" t="s">
        <v>650</v>
      </c>
      <c r="C677" t="s">
        <v>163</v>
      </c>
      <c r="D677" t="s">
        <v>651</v>
      </c>
      <c r="E677" t="s">
        <v>216</v>
      </c>
      <c r="F677" t="s">
        <v>162</v>
      </c>
      <c r="G677">
        <v>1600</v>
      </c>
      <c r="H677">
        <v>1601</v>
      </c>
      <c r="I677" t="s">
        <v>298</v>
      </c>
      <c r="J677">
        <v>1860</v>
      </c>
      <c r="K677">
        <v>1861</v>
      </c>
      <c r="L677" t="s">
        <v>860</v>
      </c>
      <c r="M677">
        <v>2</v>
      </c>
      <c r="N677" t="s">
        <v>15</v>
      </c>
      <c r="O677" t="s">
        <v>15</v>
      </c>
      <c r="P677" t="s">
        <v>175</v>
      </c>
      <c r="Q677" t="s">
        <v>861</v>
      </c>
      <c r="R677" t="s">
        <v>839</v>
      </c>
      <c r="S677">
        <v>2010</v>
      </c>
      <c r="T677">
        <v>4</v>
      </c>
      <c r="U677" t="s">
        <v>123</v>
      </c>
      <c r="V677" t="s">
        <v>162</v>
      </c>
      <c r="W677">
        <v>0</v>
      </c>
      <c r="X677">
        <v>0</v>
      </c>
      <c r="Y677" t="s">
        <v>162</v>
      </c>
      <c r="Z677">
        <v>2010</v>
      </c>
      <c r="AA677">
        <v>2010</v>
      </c>
      <c r="AB677" s="5">
        <v>0.37583631987799998</v>
      </c>
      <c r="AC677" s="5">
        <v>0.75167263975599996</v>
      </c>
      <c r="AD677" t="s">
        <v>162</v>
      </c>
      <c r="AE677" t="s">
        <v>163</v>
      </c>
      <c r="AF677" t="s">
        <v>162</v>
      </c>
      <c r="AG677" t="s">
        <v>162</v>
      </c>
      <c r="AH677" t="s">
        <v>162</v>
      </c>
      <c r="AI677" t="s">
        <v>162</v>
      </c>
      <c r="AJ677" t="s">
        <v>162</v>
      </c>
      <c r="AK677" t="s">
        <v>162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 s="60">
        <f t="shared" si="10"/>
        <v>1</v>
      </c>
      <c r="AU677" s="95">
        <v>43343</v>
      </c>
      <c r="AV677" t="s">
        <v>165</v>
      </c>
      <c r="AW677" t="s">
        <v>162</v>
      </c>
      <c r="AX677">
        <v>2</v>
      </c>
      <c r="AY677" t="s">
        <v>167</v>
      </c>
      <c r="AZ677" t="s">
        <v>162</v>
      </c>
    </row>
    <row r="678" spans="1:52" x14ac:dyDescent="0.25">
      <c r="A678">
        <v>667</v>
      </c>
      <c r="B678" t="s">
        <v>356</v>
      </c>
      <c r="C678" t="s">
        <v>180</v>
      </c>
      <c r="D678" t="s">
        <v>357</v>
      </c>
      <c r="E678" t="s">
        <v>216</v>
      </c>
      <c r="F678" t="s">
        <v>162</v>
      </c>
      <c r="G678">
        <v>8859</v>
      </c>
      <c r="H678">
        <v>8860</v>
      </c>
      <c r="I678" t="s">
        <v>750</v>
      </c>
      <c r="J678">
        <v>8601</v>
      </c>
      <c r="K678">
        <v>8600</v>
      </c>
      <c r="L678" t="s">
        <v>576</v>
      </c>
      <c r="M678">
        <v>3</v>
      </c>
      <c r="N678" t="s">
        <v>9</v>
      </c>
      <c r="O678" t="s">
        <v>9</v>
      </c>
      <c r="P678" t="s">
        <v>175</v>
      </c>
      <c r="Q678" t="s">
        <v>751</v>
      </c>
      <c r="R678" t="s">
        <v>314</v>
      </c>
      <c r="S678">
        <v>2013</v>
      </c>
      <c r="T678">
        <v>9</v>
      </c>
      <c r="U678" t="s">
        <v>123</v>
      </c>
      <c r="V678" t="s">
        <v>162</v>
      </c>
      <c r="W678">
        <v>0</v>
      </c>
      <c r="X678">
        <v>0</v>
      </c>
      <c r="Y678" t="s">
        <v>162</v>
      </c>
      <c r="Z678">
        <v>2013</v>
      </c>
      <c r="AA678">
        <v>2013</v>
      </c>
      <c r="AB678" s="5">
        <v>0.37597494189000003</v>
      </c>
      <c r="AC678" s="5">
        <v>0.75194988378000005</v>
      </c>
      <c r="AD678" t="s">
        <v>162</v>
      </c>
      <c r="AE678" t="s">
        <v>163</v>
      </c>
      <c r="AF678" t="s">
        <v>162</v>
      </c>
      <c r="AG678" t="s">
        <v>162</v>
      </c>
      <c r="AH678" t="s">
        <v>162</v>
      </c>
      <c r="AI678" t="s">
        <v>162</v>
      </c>
      <c r="AJ678" t="s">
        <v>162</v>
      </c>
      <c r="AK678" t="s">
        <v>162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 s="60">
        <f t="shared" si="10"/>
        <v>1</v>
      </c>
      <c r="AU678" s="95">
        <v>43339</v>
      </c>
      <c r="AV678" s="94" t="s">
        <v>165</v>
      </c>
      <c r="AW678" t="s">
        <v>163</v>
      </c>
      <c r="AX678">
        <v>2</v>
      </c>
      <c r="AY678" t="s">
        <v>167</v>
      </c>
      <c r="AZ678" t="s">
        <v>162</v>
      </c>
    </row>
    <row r="679" spans="1:52" x14ac:dyDescent="0.25">
      <c r="A679">
        <v>668</v>
      </c>
      <c r="B679" t="s">
        <v>356</v>
      </c>
      <c r="C679" t="s">
        <v>180</v>
      </c>
      <c r="D679" t="s">
        <v>357</v>
      </c>
      <c r="E679" t="s">
        <v>216</v>
      </c>
      <c r="F679" t="s">
        <v>162</v>
      </c>
      <c r="G679">
        <v>8463</v>
      </c>
      <c r="H679">
        <v>8462</v>
      </c>
      <c r="I679" t="s">
        <v>972</v>
      </c>
      <c r="J679">
        <v>8401</v>
      </c>
      <c r="K679">
        <v>8400</v>
      </c>
      <c r="L679" t="s">
        <v>1131</v>
      </c>
      <c r="M679">
        <v>3</v>
      </c>
      <c r="N679" t="s">
        <v>9</v>
      </c>
      <c r="O679" t="s">
        <v>9</v>
      </c>
      <c r="P679" t="s">
        <v>175</v>
      </c>
      <c r="Q679" t="s">
        <v>751</v>
      </c>
      <c r="R679" t="s">
        <v>314</v>
      </c>
      <c r="S679">
        <v>2013</v>
      </c>
      <c r="T679">
        <v>9</v>
      </c>
      <c r="U679" t="s">
        <v>123</v>
      </c>
      <c r="V679" t="s">
        <v>267</v>
      </c>
      <c r="W679">
        <v>2018</v>
      </c>
      <c r="X679">
        <v>8</v>
      </c>
      <c r="Y679" t="s">
        <v>162</v>
      </c>
      <c r="Z679">
        <v>2018</v>
      </c>
      <c r="AA679">
        <v>2013</v>
      </c>
      <c r="AB679" s="5">
        <v>0.120850012361</v>
      </c>
      <c r="AC679" s="5">
        <v>0.241700024722</v>
      </c>
      <c r="AD679" t="s">
        <v>162</v>
      </c>
      <c r="AE679" t="s">
        <v>163</v>
      </c>
      <c r="AF679" t="s">
        <v>162</v>
      </c>
      <c r="AG679" t="s">
        <v>162</v>
      </c>
      <c r="AH679" t="s">
        <v>162</v>
      </c>
      <c r="AI679" t="s">
        <v>162</v>
      </c>
      <c r="AJ679" t="s">
        <v>162</v>
      </c>
      <c r="AK679" t="s">
        <v>162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 s="60">
        <f t="shared" si="10"/>
        <v>1</v>
      </c>
      <c r="AU679" s="95">
        <v>43339</v>
      </c>
      <c r="AV679" t="s">
        <v>165</v>
      </c>
      <c r="AW679" t="s">
        <v>163</v>
      </c>
      <c r="AX679">
        <v>2</v>
      </c>
      <c r="AY679" t="s">
        <v>167</v>
      </c>
      <c r="AZ679" t="s">
        <v>162</v>
      </c>
    </row>
    <row r="680" spans="1:52" x14ac:dyDescent="0.25">
      <c r="A680">
        <v>669</v>
      </c>
      <c r="B680" t="s">
        <v>1102</v>
      </c>
      <c r="C680" t="s">
        <v>163</v>
      </c>
      <c r="D680" t="s">
        <v>1103</v>
      </c>
      <c r="E680" t="s">
        <v>216</v>
      </c>
      <c r="F680" t="s">
        <v>163</v>
      </c>
      <c r="G680">
        <v>6801</v>
      </c>
      <c r="H680">
        <v>6800</v>
      </c>
      <c r="I680" t="s">
        <v>982</v>
      </c>
      <c r="J680">
        <v>6901</v>
      </c>
      <c r="K680">
        <v>6900</v>
      </c>
      <c r="L680" t="s">
        <v>1400</v>
      </c>
      <c r="M680">
        <v>0</v>
      </c>
      <c r="N680" t="s">
        <v>13</v>
      </c>
      <c r="O680" t="s">
        <v>15</v>
      </c>
      <c r="P680" t="s">
        <v>175</v>
      </c>
      <c r="Q680" t="s">
        <v>162</v>
      </c>
      <c r="R680" t="s">
        <v>1397</v>
      </c>
      <c r="S680">
        <v>2018</v>
      </c>
      <c r="T680">
        <v>9</v>
      </c>
      <c r="U680" t="s">
        <v>129</v>
      </c>
      <c r="V680" t="s">
        <v>162</v>
      </c>
      <c r="W680">
        <v>0</v>
      </c>
      <c r="X680">
        <v>0</v>
      </c>
      <c r="Y680" t="s">
        <v>162</v>
      </c>
      <c r="Z680">
        <v>2018</v>
      </c>
      <c r="AA680">
        <v>0</v>
      </c>
      <c r="AB680" s="5">
        <v>8.6184791310899997E-2</v>
      </c>
      <c r="AC680" s="5">
        <v>0.172369582622</v>
      </c>
      <c r="AD680" t="s">
        <v>1108</v>
      </c>
      <c r="AE680" t="s">
        <v>163</v>
      </c>
      <c r="AF680" t="s">
        <v>162</v>
      </c>
      <c r="AG680" t="s">
        <v>166</v>
      </c>
      <c r="AH680" t="s">
        <v>162</v>
      </c>
      <c r="AI680" t="s">
        <v>162</v>
      </c>
      <c r="AJ680" t="s">
        <v>162</v>
      </c>
      <c r="AK680" t="s">
        <v>162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s="60">
        <f t="shared" si="10"/>
        <v>1</v>
      </c>
      <c r="AU680" s="95">
        <v>43530</v>
      </c>
      <c r="AV680" t="s">
        <v>165</v>
      </c>
      <c r="AW680" t="s">
        <v>162</v>
      </c>
      <c r="AX680">
        <v>3</v>
      </c>
      <c r="AY680" t="s">
        <v>275</v>
      </c>
      <c r="AZ680">
        <v>20</v>
      </c>
    </row>
    <row r="681" spans="1:52" x14ac:dyDescent="0.25">
      <c r="A681">
        <v>670</v>
      </c>
      <c r="B681" t="s">
        <v>1436</v>
      </c>
      <c r="C681" t="s">
        <v>151</v>
      </c>
      <c r="D681" t="s">
        <v>1437</v>
      </c>
      <c r="E681" t="s">
        <v>216</v>
      </c>
      <c r="F681" t="s">
        <v>203</v>
      </c>
      <c r="G681">
        <v>1401</v>
      </c>
      <c r="H681">
        <v>1400</v>
      </c>
      <c r="I681" t="s">
        <v>1111</v>
      </c>
      <c r="J681">
        <v>1451</v>
      </c>
      <c r="K681">
        <v>1450</v>
      </c>
      <c r="L681" t="s">
        <v>691</v>
      </c>
      <c r="M681">
        <v>0</v>
      </c>
      <c r="N681" t="s">
        <v>13</v>
      </c>
      <c r="O681" t="s">
        <v>15</v>
      </c>
      <c r="P681" t="s">
        <v>175</v>
      </c>
      <c r="Q681" t="s">
        <v>162</v>
      </c>
      <c r="R681" t="s">
        <v>1397</v>
      </c>
      <c r="S681">
        <v>2018</v>
      </c>
      <c r="T681">
        <v>9</v>
      </c>
      <c r="U681" t="s">
        <v>129</v>
      </c>
      <c r="V681" t="s">
        <v>162</v>
      </c>
      <c r="W681">
        <v>0</v>
      </c>
      <c r="X681">
        <v>0</v>
      </c>
      <c r="Y681" t="s">
        <v>162</v>
      </c>
      <c r="Z681">
        <v>2018</v>
      </c>
      <c r="AA681">
        <v>0</v>
      </c>
      <c r="AB681" s="5">
        <v>8.7354696659900005E-2</v>
      </c>
      <c r="AC681" s="5">
        <v>0.17470939331999999</v>
      </c>
      <c r="AD681" t="s">
        <v>1108</v>
      </c>
      <c r="AE681" t="s">
        <v>163</v>
      </c>
      <c r="AF681" t="s">
        <v>162</v>
      </c>
      <c r="AG681" t="s">
        <v>166</v>
      </c>
      <c r="AH681" t="s">
        <v>162</v>
      </c>
      <c r="AI681" t="s">
        <v>162</v>
      </c>
      <c r="AJ681" t="s">
        <v>162</v>
      </c>
      <c r="AK681" t="s">
        <v>162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s="60">
        <f t="shared" si="10"/>
        <v>1</v>
      </c>
      <c r="AU681" s="95">
        <v>43530</v>
      </c>
      <c r="AV681" s="94" t="s">
        <v>165</v>
      </c>
      <c r="AW681" t="s">
        <v>162</v>
      </c>
      <c r="AX681">
        <v>3</v>
      </c>
      <c r="AY681" t="s">
        <v>275</v>
      </c>
      <c r="AZ681">
        <v>20</v>
      </c>
    </row>
    <row r="682" spans="1:52" x14ac:dyDescent="0.25">
      <c r="A682">
        <v>671</v>
      </c>
      <c r="B682" t="s">
        <v>547</v>
      </c>
      <c r="C682" t="s">
        <v>151</v>
      </c>
      <c r="D682" t="s">
        <v>548</v>
      </c>
      <c r="E682" t="s">
        <v>549</v>
      </c>
      <c r="F682" t="s">
        <v>151</v>
      </c>
      <c r="G682">
        <v>2148</v>
      </c>
      <c r="H682">
        <v>2149</v>
      </c>
      <c r="I682" t="s">
        <v>550</v>
      </c>
      <c r="J682">
        <v>2001</v>
      </c>
      <c r="K682">
        <v>2000</v>
      </c>
      <c r="L682" t="s">
        <v>551</v>
      </c>
      <c r="M682">
        <v>4</v>
      </c>
      <c r="N682" t="s">
        <v>11</v>
      </c>
      <c r="O682" t="s">
        <v>11</v>
      </c>
      <c r="P682" t="s">
        <v>175</v>
      </c>
      <c r="Q682" t="s">
        <v>552</v>
      </c>
      <c r="R682" t="s">
        <v>289</v>
      </c>
      <c r="S682">
        <v>2009</v>
      </c>
      <c r="T682">
        <v>7</v>
      </c>
      <c r="U682" t="s">
        <v>123</v>
      </c>
      <c r="V682" t="s">
        <v>162</v>
      </c>
      <c r="W682">
        <v>0</v>
      </c>
      <c r="X682">
        <v>0</v>
      </c>
      <c r="Y682" t="s">
        <v>162</v>
      </c>
      <c r="Z682">
        <v>2009</v>
      </c>
      <c r="AA682">
        <v>2009</v>
      </c>
      <c r="AB682" s="5">
        <v>4.1513833835500003E-2</v>
      </c>
      <c r="AC682" s="5">
        <v>4.1513833835500003E-2</v>
      </c>
      <c r="AD682" t="s">
        <v>162</v>
      </c>
      <c r="AE682" t="s">
        <v>166</v>
      </c>
      <c r="AF682" t="s">
        <v>180</v>
      </c>
      <c r="AG682" t="s">
        <v>163</v>
      </c>
      <c r="AH682" t="s">
        <v>162</v>
      </c>
      <c r="AI682" t="s">
        <v>162</v>
      </c>
      <c r="AJ682" t="s">
        <v>162</v>
      </c>
      <c r="AK682" t="s">
        <v>162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 s="60">
        <f t="shared" si="10"/>
        <v>1</v>
      </c>
      <c r="AU682" s="95" t="s">
        <v>162</v>
      </c>
      <c r="AV682" t="s">
        <v>162</v>
      </c>
      <c r="AW682" t="s">
        <v>162</v>
      </c>
      <c r="AX682">
        <v>3</v>
      </c>
      <c r="AY682" t="s">
        <v>167</v>
      </c>
      <c r="AZ682" t="s">
        <v>162</v>
      </c>
    </row>
    <row r="683" spans="1:52" x14ac:dyDescent="0.25">
      <c r="A683">
        <v>672</v>
      </c>
      <c r="B683" t="s">
        <v>553</v>
      </c>
      <c r="C683" t="s">
        <v>151</v>
      </c>
      <c r="D683" t="s">
        <v>548</v>
      </c>
      <c r="E683" t="s">
        <v>222</v>
      </c>
      <c r="F683" t="s">
        <v>151</v>
      </c>
      <c r="G683">
        <v>3145</v>
      </c>
      <c r="H683">
        <v>3146</v>
      </c>
      <c r="I683" t="s">
        <v>1438</v>
      </c>
      <c r="J683">
        <v>3001</v>
      </c>
      <c r="K683">
        <v>3000</v>
      </c>
      <c r="L683" t="s">
        <v>554</v>
      </c>
      <c r="M683">
        <v>4</v>
      </c>
      <c r="N683" t="s">
        <v>11</v>
      </c>
      <c r="O683" t="s">
        <v>11</v>
      </c>
      <c r="P683" t="s">
        <v>175</v>
      </c>
      <c r="Q683" t="s">
        <v>552</v>
      </c>
      <c r="R683" t="s">
        <v>289</v>
      </c>
      <c r="S683">
        <v>2009</v>
      </c>
      <c r="T683">
        <v>7</v>
      </c>
      <c r="U683" t="s">
        <v>123</v>
      </c>
      <c r="V683" t="s">
        <v>162</v>
      </c>
      <c r="W683">
        <v>0</v>
      </c>
      <c r="X683">
        <v>0</v>
      </c>
      <c r="Y683" t="s">
        <v>162</v>
      </c>
      <c r="Z683">
        <v>2009</v>
      </c>
      <c r="AA683">
        <v>2009</v>
      </c>
      <c r="AB683" s="5">
        <v>0.25324453859700002</v>
      </c>
      <c r="AC683" s="5">
        <v>0.25324453859700002</v>
      </c>
      <c r="AD683" t="s">
        <v>162</v>
      </c>
      <c r="AE683" t="s">
        <v>166</v>
      </c>
      <c r="AF683" t="s">
        <v>151</v>
      </c>
      <c r="AG683" t="s">
        <v>163</v>
      </c>
      <c r="AH683" t="s">
        <v>162</v>
      </c>
      <c r="AI683" t="s">
        <v>162</v>
      </c>
      <c r="AJ683" t="s">
        <v>162</v>
      </c>
      <c r="AK683" t="s">
        <v>162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s="60">
        <f t="shared" si="10"/>
        <v>1</v>
      </c>
      <c r="AU683" s="95" t="s">
        <v>162</v>
      </c>
      <c r="AV683" t="s">
        <v>162</v>
      </c>
      <c r="AW683" t="s">
        <v>162</v>
      </c>
      <c r="AX683">
        <v>3</v>
      </c>
      <c r="AY683" t="s">
        <v>167</v>
      </c>
      <c r="AZ683" t="s">
        <v>162</v>
      </c>
    </row>
    <row r="684" spans="1:52" x14ac:dyDescent="0.25">
      <c r="A684">
        <v>673</v>
      </c>
      <c r="B684" t="s">
        <v>448</v>
      </c>
      <c r="C684" t="s">
        <v>180</v>
      </c>
      <c r="D684" t="s">
        <v>449</v>
      </c>
      <c r="E684" t="s">
        <v>182</v>
      </c>
      <c r="F684" t="s">
        <v>163</v>
      </c>
      <c r="G684">
        <v>3601</v>
      </c>
      <c r="H684">
        <v>3600</v>
      </c>
      <c r="I684" t="s">
        <v>1439</v>
      </c>
      <c r="J684">
        <v>2601</v>
      </c>
      <c r="K684">
        <v>2600</v>
      </c>
      <c r="L684" t="s">
        <v>1439</v>
      </c>
      <c r="M684">
        <v>3</v>
      </c>
      <c r="N684" t="s">
        <v>9</v>
      </c>
      <c r="O684" t="s">
        <v>9</v>
      </c>
      <c r="P684" t="s">
        <v>157</v>
      </c>
      <c r="Q684" t="s">
        <v>162</v>
      </c>
      <c r="R684" t="s">
        <v>451</v>
      </c>
      <c r="S684">
        <v>2012</v>
      </c>
      <c r="T684">
        <v>11</v>
      </c>
      <c r="U684" t="s">
        <v>162</v>
      </c>
      <c r="V684" t="s">
        <v>422</v>
      </c>
      <c r="W684">
        <v>2016</v>
      </c>
      <c r="X684">
        <v>7</v>
      </c>
      <c r="Y684" t="s">
        <v>123</v>
      </c>
      <c r="Z684">
        <v>2016</v>
      </c>
      <c r="AA684">
        <v>2016</v>
      </c>
      <c r="AB684" s="5">
        <v>1.09792753332</v>
      </c>
      <c r="AC684" s="5">
        <v>1.09792753332</v>
      </c>
      <c r="AD684" t="s">
        <v>162</v>
      </c>
      <c r="AE684" t="s">
        <v>166</v>
      </c>
      <c r="AF684" t="s">
        <v>163</v>
      </c>
      <c r="AG684" t="s">
        <v>163</v>
      </c>
      <c r="AH684" t="s">
        <v>162</v>
      </c>
      <c r="AI684" t="s">
        <v>162</v>
      </c>
      <c r="AJ684" t="s">
        <v>162</v>
      </c>
      <c r="AK684" t="s">
        <v>162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 s="60">
        <f t="shared" si="10"/>
        <v>1</v>
      </c>
      <c r="AU684" s="95" t="s">
        <v>162</v>
      </c>
      <c r="AV684" t="s">
        <v>162</v>
      </c>
      <c r="AW684" t="s">
        <v>163</v>
      </c>
      <c r="AX684">
        <v>2</v>
      </c>
      <c r="AY684" t="s">
        <v>167</v>
      </c>
      <c r="AZ684" t="s">
        <v>162</v>
      </c>
    </row>
    <row r="685" spans="1:52" x14ac:dyDescent="0.25">
      <c r="A685">
        <v>674</v>
      </c>
      <c r="B685" t="s">
        <v>994</v>
      </c>
      <c r="C685" t="s">
        <v>163</v>
      </c>
      <c r="D685" t="s">
        <v>995</v>
      </c>
      <c r="E685" t="s">
        <v>172</v>
      </c>
      <c r="F685" t="s">
        <v>162</v>
      </c>
      <c r="G685">
        <v>1901</v>
      </c>
      <c r="H685">
        <v>1900</v>
      </c>
      <c r="I685" t="s">
        <v>860</v>
      </c>
      <c r="J685">
        <v>1401</v>
      </c>
      <c r="K685">
        <v>1400</v>
      </c>
      <c r="L685" t="s">
        <v>230</v>
      </c>
      <c r="M685">
        <v>0</v>
      </c>
      <c r="N685" t="s">
        <v>13</v>
      </c>
      <c r="O685" t="s">
        <v>15</v>
      </c>
      <c r="P685" t="s">
        <v>175</v>
      </c>
      <c r="Q685">
        <v>0</v>
      </c>
      <c r="R685" t="s">
        <v>486</v>
      </c>
      <c r="S685">
        <v>2019</v>
      </c>
      <c r="T685">
        <v>6</v>
      </c>
      <c r="U685" t="s">
        <v>487</v>
      </c>
      <c r="V685" t="s">
        <v>162</v>
      </c>
      <c r="W685">
        <v>0</v>
      </c>
      <c r="X685">
        <v>0</v>
      </c>
      <c r="Y685" t="s">
        <v>162</v>
      </c>
      <c r="Z685">
        <v>2019</v>
      </c>
      <c r="AA685">
        <v>0</v>
      </c>
      <c r="AB685" s="5">
        <v>0.60987996303600001</v>
      </c>
      <c r="AC685" s="5">
        <v>1.2197599260700001</v>
      </c>
      <c r="AD685" t="s">
        <v>1440</v>
      </c>
      <c r="AE685" t="s">
        <v>163</v>
      </c>
      <c r="AF685" t="s">
        <v>162</v>
      </c>
      <c r="AG685" t="s">
        <v>162</v>
      </c>
      <c r="AH685" t="s">
        <v>162</v>
      </c>
      <c r="AI685" t="s">
        <v>162</v>
      </c>
      <c r="AJ685" t="s">
        <v>162</v>
      </c>
      <c r="AK685" t="s">
        <v>162</v>
      </c>
      <c r="AL685">
        <v>0</v>
      </c>
      <c r="AM685">
        <v>0</v>
      </c>
      <c r="AN685">
        <v>0.25</v>
      </c>
      <c r="AO685">
        <v>0</v>
      </c>
      <c r="AP685">
        <v>0</v>
      </c>
      <c r="AQ685">
        <v>0</v>
      </c>
      <c r="AR685">
        <v>0</v>
      </c>
      <c r="AS685">
        <v>0.75</v>
      </c>
      <c r="AT685" s="60">
        <f t="shared" si="10"/>
        <v>1</v>
      </c>
      <c r="AU685" s="95" t="s">
        <v>244</v>
      </c>
      <c r="AV685" t="s">
        <v>165</v>
      </c>
      <c r="AW685" t="s">
        <v>162</v>
      </c>
      <c r="AX685">
        <v>3</v>
      </c>
      <c r="AY685" t="s">
        <v>275</v>
      </c>
      <c r="AZ685" t="s">
        <v>162</v>
      </c>
    </row>
    <row r="686" spans="1:52" x14ac:dyDescent="0.25">
      <c r="A686">
        <v>675</v>
      </c>
      <c r="B686" t="s">
        <v>945</v>
      </c>
      <c r="C686" t="s">
        <v>172</v>
      </c>
      <c r="D686" t="s">
        <v>946</v>
      </c>
      <c r="E686" t="s">
        <v>172</v>
      </c>
      <c r="F686" t="s">
        <v>162</v>
      </c>
      <c r="G686">
        <v>50</v>
      </c>
      <c r="H686">
        <v>51</v>
      </c>
      <c r="I686" t="s">
        <v>1441</v>
      </c>
      <c r="J686">
        <v>26</v>
      </c>
      <c r="K686">
        <v>25</v>
      </c>
      <c r="L686" t="s">
        <v>1442</v>
      </c>
      <c r="M686">
        <v>0</v>
      </c>
      <c r="N686" t="s">
        <v>7</v>
      </c>
      <c r="O686" t="s">
        <v>7</v>
      </c>
      <c r="P686" t="s">
        <v>175</v>
      </c>
      <c r="Q686">
        <v>0</v>
      </c>
      <c r="R686" t="s">
        <v>486</v>
      </c>
      <c r="S686">
        <v>2019</v>
      </c>
      <c r="T686">
        <v>6</v>
      </c>
      <c r="U686" t="s">
        <v>1443</v>
      </c>
      <c r="V686" t="s">
        <v>162</v>
      </c>
      <c r="W686">
        <v>0</v>
      </c>
      <c r="X686">
        <v>0</v>
      </c>
      <c r="Y686" t="s">
        <v>162</v>
      </c>
      <c r="Z686">
        <v>2019</v>
      </c>
      <c r="AA686">
        <v>0</v>
      </c>
      <c r="AB686" s="5">
        <v>2.56418930421E-2</v>
      </c>
      <c r="AC686" s="5">
        <v>5.1283786084199999E-2</v>
      </c>
      <c r="AD686" t="s">
        <v>162</v>
      </c>
      <c r="AE686" t="s">
        <v>163</v>
      </c>
      <c r="AF686" t="s">
        <v>162</v>
      </c>
      <c r="AG686" t="s">
        <v>162</v>
      </c>
      <c r="AH686" t="s">
        <v>166</v>
      </c>
      <c r="AI686" t="s">
        <v>194</v>
      </c>
      <c r="AJ686" t="s">
        <v>163</v>
      </c>
      <c r="AK686" t="s">
        <v>166</v>
      </c>
      <c r="AL686">
        <v>2019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 s="60">
        <f t="shared" si="10"/>
        <v>1</v>
      </c>
      <c r="AU686" s="95" t="s">
        <v>227</v>
      </c>
      <c r="AV686" t="s">
        <v>165</v>
      </c>
      <c r="AW686" t="s">
        <v>166</v>
      </c>
      <c r="AX686">
        <v>1</v>
      </c>
      <c r="AY686" t="s">
        <v>167</v>
      </c>
      <c r="AZ686" t="s">
        <v>162</v>
      </c>
    </row>
    <row r="687" spans="1:52" x14ac:dyDescent="0.25">
      <c r="A687">
        <v>676</v>
      </c>
      <c r="B687" t="s">
        <v>1444</v>
      </c>
      <c r="C687" t="s">
        <v>180</v>
      </c>
      <c r="D687" t="s">
        <v>1445</v>
      </c>
      <c r="E687" t="s">
        <v>549</v>
      </c>
      <c r="F687" t="s">
        <v>162</v>
      </c>
      <c r="G687">
        <v>800</v>
      </c>
      <c r="H687">
        <v>801</v>
      </c>
      <c r="I687" t="s">
        <v>391</v>
      </c>
      <c r="J687">
        <v>900</v>
      </c>
      <c r="K687">
        <v>901</v>
      </c>
      <c r="L687" t="s">
        <v>1446</v>
      </c>
      <c r="M687">
        <v>0</v>
      </c>
      <c r="N687" t="s">
        <v>13</v>
      </c>
      <c r="O687" t="s">
        <v>15</v>
      </c>
      <c r="P687" t="s">
        <v>175</v>
      </c>
      <c r="Q687">
        <v>0</v>
      </c>
      <c r="R687" t="s">
        <v>486</v>
      </c>
      <c r="S687">
        <v>2019</v>
      </c>
      <c r="T687">
        <v>6</v>
      </c>
      <c r="U687" t="s">
        <v>162</v>
      </c>
      <c r="V687" t="s">
        <v>162</v>
      </c>
      <c r="W687">
        <v>0</v>
      </c>
      <c r="X687">
        <v>0</v>
      </c>
      <c r="Y687" t="s">
        <v>162</v>
      </c>
      <c r="Z687">
        <v>2019</v>
      </c>
      <c r="AA687">
        <v>0</v>
      </c>
      <c r="AB687" s="5">
        <v>0.121082844555</v>
      </c>
      <c r="AC687" s="5">
        <v>0.24216568911</v>
      </c>
      <c r="AD687" t="s">
        <v>162</v>
      </c>
      <c r="AE687" t="s">
        <v>163</v>
      </c>
      <c r="AF687" t="s">
        <v>162</v>
      </c>
      <c r="AG687" t="s">
        <v>162</v>
      </c>
      <c r="AH687" t="s">
        <v>162</v>
      </c>
      <c r="AI687" t="s">
        <v>162</v>
      </c>
      <c r="AJ687" t="s">
        <v>162</v>
      </c>
      <c r="AK687" t="s">
        <v>162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 s="60">
        <f t="shared" si="10"/>
        <v>1</v>
      </c>
      <c r="AU687" s="95" t="s">
        <v>162</v>
      </c>
      <c r="AV687" s="94" t="s">
        <v>162</v>
      </c>
      <c r="AW687" t="s">
        <v>162</v>
      </c>
      <c r="AX687">
        <v>3</v>
      </c>
      <c r="AY687" t="s">
        <v>275</v>
      </c>
      <c r="AZ687" t="s">
        <v>162</v>
      </c>
    </row>
    <row r="688" spans="1:52" x14ac:dyDescent="0.25">
      <c r="A688">
        <v>677</v>
      </c>
      <c r="B688" t="s">
        <v>1447</v>
      </c>
      <c r="C688" t="s">
        <v>151</v>
      </c>
      <c r="D688" t="s">
        <v>1448</v>
      </c>
      <c r="E688" t="s">
        <v>172</v>
      </c>
      <c r="F688" t="s">
        <v>162</v>
      </c>
      <c r="G688">
        <v>25</v>
      </c>
      <c r="H688">
        <v>26</v>
      </c>
      <c r="I688" t="s">
        <v>1442</v>
      </c>
      <c r="J688">
        <v>1</v>
      </c>
      <c r="K688">
        <v>2</v>
      </c>
      <c r="L688" t="s">
        <v>639</v>
      </c>
      <c r="M688">
        <v>0</v>
      </c>
      <c r="N688" t="s">
        <v>13</v>
      </c>
      <c r="O688" t="s">
        <v>15</v>
      </c>
      <c r="P688" t="s">
        <v>175</v>
      </c>
      <c r="Q688">
        <v>0</v>
      </c>
      <c r="R688" t="s">
        <v>486</v>
      </c>
      <c r="S688">
        <v>2019</v>
      </c>
      <c r="T688">
        <v>6</v>
      </c>
      <c r="U688" t="s">
        <v>162</v>
      </c>
      <c r="V688" t="s">
        <v>162</v>
      </c>
      <c r="W688">
        <v>2019</v>
      </c>
      <c r="X688">
        <v>0</v>
      </c>
      <c r="Y688" t="s">
        <v>162</v>
      </c>
      <c r="Z688">
        <v>2019</v>
      </c>
      <c r="AA688">
        <v>0</v>
      </c>
      <c r="AB688" s="5">
        <v>5.6759230798900003E-2</v>
      </c>
      <c r="AC688" s="5">
        <v>0.113518461598</v>
      </c>
      <c r="AD688" t="s">
        <v>162</v>
      </c>
      <c r="AE688" t="s">
        <v>163</v>
      </c>
      <c r="AF688" t="s">
        <v>162</v>
      </c>
      <c r="AG688" t="s">
        <v>162</v>
      </c>
      <c r="AH688" t="s">
        <v>162</v>
      </c>
      <c r="AI688" t="s">
        <v>162</v>
      </c>
      <c r="AJ688" t="s">
        <v>162</v>
      </c>
      <c r="AK688" t="s">
        <v>162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 s="60">
        <f t="shared" si="10"/>
        <v>1</v>
      </c>
      <c r="AU688" s="95" t="s">
        <v>244</v>
      </c>
      <c r="AV688" s="94" t="s">
        <v>165</v>
      </c>
      <c r="AW688" t="s">
        <v>162</v>
      </c>
      <c r="AX688">
        <v>3</v>
      </c>
      <c r="AY688" t="s">
        <v>275</v>
      </c>
      <c r="AZ688" t="s">
        <v>162</v>
      </c>
    </row>
    <row r="689" spans="1:52" x14ac:dyDescent="0.25">
      <c r="A689">
        <v>678</v>
      </c>
      <c r="B689" t="s">
        <v>1447</v>
      </c>
      <c r="C689" t="s">
        <v>203</v>
      </c>
      <c r="D689" t="s">
        <v>1448</v>
      </c>
      <c r="E689" t="s">
        <v>172</v>
      </c>
      <c r="F689" t="s">
        <v>162</v>
      </c>
      <c r="G689">
        <v>2</v>
      </c>
      <c r="H689">
        <v>1</v>
      </c>
      <c r="I689" t="s">
        <v>639</v>
      </c>
      <c r="J689">
        <v>100</v>
      </c>
      <c r="K689">
        <v>101</v>
      </c>
      <c r="L689" t="s">
        <v>667</v>
      </c>
      <c r="M689">
        <v>0</v>
      </c>
      <c r="N689" t="s">
        <v>15</v>
      </c>
      <c r="O689" t="s">
        <v>15</v>
      </c>
      <c r="P689" t="s">
        <v>175</v>
      </c>
      <c r="Q689">
        <v>0</v>
      </c>
      <c r="R689" t="s">
        <v>486</v>
      </c>
      <c r="S689">
        <v>2019</v>
      </c>
      <c r="T689">
        <v>6</v>
      </c>
      <c r="U689" t="s">
        <v>162</v>
      </c>
      <c r="V689" t="s">
        <v>162</v>
      </c>
      <c r="W689">
        <v>2019</v>
      </c>
      <c r="X689">
        <v>0</v>
      </c>
      <c r="Y689" t="s">
        <v>162</v>
      </c>
      <c r="Z689">
        <v>2019</v>
      </c>
      <c r="AA689">
        <v>0</v>
      </c>
      <c r="AB689" s="5">
        <v>0.17312677902500001</v>
      </c>
      <c r="AC689" s="5">
        <v>0.34625355805000002</v>
      </c>
      <c r="AD689" t="s">
        <v>162</v>
      </c>
      <c r="AE689" t="s">
        <v>163</v>
      </c>
      <c r="AF689" t="s">
        <v>162</v>
      </c>
      <c r="AG689" t="s">
        <v>162</v>
      </c>
      <c r="AH689" t="s">
        <v>162</v>
      </c>
      <c r="AI689" t="s">
        <v>162</v>
      </c>
      <c r="AJ689" t="s">
        <v>162</v>
      </c>
      <c r="AK689" t="s">
        <v>162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 s="60">
        <f t="shared" si="10"/>
        <v>1</v>
      </c>
      <c r="AU689" s="95" t="s">
        <v>162</v>
      </c>
      <c r="AV689" s="94" t="s">
        <v>162</v>
      </c>
      <c r="AW689" t="s">
        <v>162</v>
      </c>
      <c r="AX689">
        <v>2</v>
      </c>
      <c r="AY689" t="s">
        <v>167</v>
      </c>
      <c r="AZ689" t="s">
        <v>162</v>
      </c>
    </row>
    <row r="690" spans="1:52" x14ac:dyDescent="0.25">
      <c r="A690">
        <v>679</v>
      </c>
      <c r="B690" t="s">
        <v>1449</v>
      </c>
      <c r="C690" t="s">
        <v>151</v>
      </c>
      <c r="D690" t="s">
        <v>1450</v>
      </c>
      <c r="E690" t="s">
        <v>153</v>
      </c>
      <c r="F690" t="s">
        <v>162</v>
      </c>
      <c r="G690">
        <v>2800</v>
      </c>
      <c r="H690">
        <v>2801</v>
      </c>
      <c r="I690" t="s">
        <v>443</v>
      </c>
      <c r="J690">
        <v>1800</v>
      </c>
      <c r="K690">
        <v>1801</v>
      </c>
      <c r="L690" t="s">
        <v>1451</v>
      </c>
      <c r="M690">
        <v>0</v>
      </c>
      <c r="N690" t="s">
        <v>9</v>
      </c>
      <c r="O690" t="s">
        <v>9</v>
      </c>
      <c r="P690" t="s">
        <v>175</v>
      </c>
      <c r="Q690" t="s">
        <v>162</v>
      </c>
      <c r="R690" t="s">
        <v>486</v>
      </c>
      <c r="S690">
        <v>2019</v>
      </c>
      <c r="T690">
        <v>5</v>
      </c>
      <c r="U690" t="s">
        <v>162</v>
      </c>
      <c r="V690" t="s">
        <v>162</v>
      </c>
      <c r="W690">
        <v>2019</v>
      </c>
      <c r="X690">
        <v>0</v>
      </c>
      <c r="Y690" t="s">
        <v>162</v>
      </c>
      <c r="Z690">
        <v>2019</v>
      </c>
      <c r="AA690">
        <v>0</v>
      </c>
      <c r="AB690" s="5">
        <v>1.2648474163500001</v>
      </c>
      <c r="AC690" s="5">
        <v>2.5296948327000002</v>
      </c>
      <c r="AD690" t="s">
        <v>162</v>
      </c>
      <c r="AE690" t="s">
        <v>163</v>
      </c>
      <c r="AF690" t="s">
        <v>162</v>
      </c>
      <c r="AG690" t="s">
        <v>162</v>
      </c>
      <c r="AH690" t="s">
        <v>162</v>
      </c>
      <c r="AI690" t="s">
        <v>162</v>
      </c>
      <c r="AJ690" t="s">
        <v>162</v>
      </c>
      <c r="AK690" t="s">
        <v>162</v>
      </c>
      <c r="AL690">
        <v>0</v>
      </c>
      <c r="AM690">
        <v>0</v>
      </c>
      <c r="AN690">
        <v>0</v>
      </c>
      <c r="AO690">
        <v>0.25</v>
      </c>
      <c r="AP690">
        <v>0</v>
      </c>
      <c r="AQ690">
        <v>0</v>
      </c>
      <c r="AR690">
        <v>0</v>
      </c>
      <c r="AS690">
        <v>0.75</v>
      </c>
      <c r="AT690" s="60">
        <f t="shared" si="10"/>
        <v>1</v>
      </c>
      <c r="AU690" s="95" t="s">
        <v>815</v>
      </c>
      <c r="AV690" t="s">
        <v>165</v>
      </c>
      <c r="AW690" t="s">
        <v>163</v>
      </c>
      <c r="AX690">
        <v>2</v>
      </c>
      <c r="AY690" t="s">
        <v>167</v>
      </c>
      <c r="AZ690" t="s">
        <v>162</v>
      </c>
    </row>
    <row r="691" spans="1:52" x14ac:dyDescent="0.25">
      <c r="A691">
        <v>680</v>
      </c>
      <c r="B691" t="s">
        <v>315</v>
      </c>
      <c r="C691" t="s">
        <v>163</v>
      </c>
      <c r="D691" t="s">
        <v>316</v>
      </c>
      <c r="E691" t="s">
        <v>216</v>
      </c>
      <c r="F691" t="s">
        <v>162</v>
      </c>
      <c r="G691">
        <v>2500</v>
      </c>
      <c r="H691">
        <v>2501</v>
      </c>
      <c r="I691" t="s">
        <v>1452</v>
      </c>
      <c r="J691">
        <v>2600</v>
      </c>
      <c r="K691">
        <v>2601</v>
      </c>
      <c r="L691" t="s">
        <v>1125</v>
      </c>
      <c r="M691">
        <v>3</v>
      </c>
      <c r="N691" t="s">
        <v>15</v>
      </c>
      <c r="O691" t="s">
        <v>15</v>
      </c>
      <c r="P691" t="s">
        <v>169</v>
      </c>
      <c r="Q691" t="s">
        <v>162</v>
      </c>
      <c r="R691" t="s">
        <v>1453</v>
      </c>
      <c r="S691">
        <v>2018</v>
      </c>
      <c r="T691">
        <v>7</v>
      </c>
      <c r="U691" t="s">
        <v>162</v>
      </c>
      <c r="V691" t="s">
        <v>267</v>
      </c>
      <c r="W691">
        <v>2018</v>
      </c>
      <c r="X691">
        <v>7</v>
      </c>
      <c r="Y691" t="s">
        <v>162</v>
      </c>
      <c r="Z691">
        <v>2018</v>
      </c>
      <c r="AA691">
        <v>2006</v>
      </c>
      <c r="AB691" s="5">
        <v>0.22720057526000001</v>
      </c>
      <c r="AC691" s="5">
        <v>0.45440115052000002</v>
      </c>
      <c r="AD691" t="s">
        <v>162</v>
      </c>
      <c r="AE691" t="s">
        <v>163</v>
      </c>
      <c r="AF691" t="s">
        <v>162</v>
      </c>
      <c r="AG691" t="s">
        <v>162</v>
      </c>
      <c r="AH691" t="s">
        <v>162</v>
      </c>
      <c r="AI691" t="s">
        <v>162</v>
      </c>
      <c r="AJ691" t="s">
        <v>162</v>
      </c>
      <c r="AK691" t="s">
        <v>162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s="60">
        <f t="shared" si="10"/>
        <v>1</v>
      </c>
      <c r="AU691" s="95" t="s">
        <v>244</v>
      </c>
      <c r="AV691" s="94" t="s">
        <v>165</v>
      </c>
      <c r="AW691" t="s">
        <v>162</v>
      </c>
      <c r="AX691">
        <v>2</v>
      </c>
      <c r="AY691" t="s">
        <v>167</v>
      </c>
      <c r="AZ691" t="s">
        <v>162</v>
      </c>
    </row>
    <row r="692" spans="1:52" x14ac:dyDescent="0.25">
      <c r="A692">
        <v>681</v>
      </c>
      <c r="B692" t="s">
        <v>315</v>
      </c>
      <c r="C692" t="s">
        <v>163</v>
      </c>
      <c r="D692" t="s">
        <v>316</v>
      </c>
      <c r="E692" t="s">
        <v>216</v>
      </c>
      <c r="F692" t="s">
        <v>162</v>
      </c>
      <c r="G692">
        <v>3600</v>
      </c>
      <c r="H692">
        <v>3601</v>
      </c>
      <c r="I692" t="s">
        <v>331</v>
      </c>
      <c r="J692">
        <v>3300</v>
      </c>
      <c r="K692">
        <v>3301</v>
      </c>
      <c r="L692" t="s">
        <v>429</v>
      </c>
      <c r="M692">
        <v>0</v>
      </c>
      <c r="N692" t="s">
        <v>11</v>
      </c>
      <c r="O692" t="s">
        <v>327</v>
      </c>
      <c r="P692" t="s">
        <v>175</v>
      </c>
      <c r="Q692">
        <v>0</v>
      </c>
      <c r="R692" t="s">
        <v>1454</v>
      </c>
      <c r="S692">
        <v>2019</v>
      </c>
      <c r="T692">
        <v>9</v>
      </c>
      <c r="U692" t="s">
        <v>162</v>
      </c>
      <c r="V692" t="s">
        <v>162</v>
      </c>
      <c r="W692">
        <v>2019</v>
      </c>
      <c r="X692">
        <v>0</v>
      </c>
      <c r="Y692" t="s">
        <v>162</v>
      </c>
      <c r="Z692">
        <v>2020</v>
      </c>
      <c r="AA692">
        <v>0</v>
      </c>
      <c r="AB692" s="5">
        <v>0.55707885513099997</v>
      </c>
      <c r="AC692" s="5">
        <v>1.11415771026</v>
      </c>
      <c r="AD692" t="s">
        <v>162</v>
      </c>
      <c r="AE692" t="s">
        <v>163</v>
      </c>
      <c r="AF692" t="s">
        <v>162</v>
      </c>
      <c r="AG692" t="s">
        <v>162</v>
      </c>
      <c r="AH692" t="s">
        <v>162</v>
      </c>
      <c r="AI692" t="s">
        <v>162</v>
      </c>
      <c r="AJ692" t="s">
        <v>162</v>
      </c>
      <c r="AK692" t="s">
        <v>162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 s="60">
        <f t="shared" si="10"/>
        <v>1</v>
      </c>
      <c r="AU692" s="95" t="s">
        <v>187</v>
      </c>
      <c r="AV692" s="94" t="s">
        <v>165</v>
      </c>
      <c r="AW692" t="s">
        <v>162</v>
      </c>
      <c r="AX692">
        <v>2</v>
      </c>
      <c r="AY692" t="s">
        <v>167</v>
      </c>
      <c r="AZ692" t="s">
        <v>162</v>
      </c>
    </row>
    <row r="693" spans="1:52" x14ac:dyDescent="0.25">
      <c r="A693">
        <v>682</v>
      </c>
      <c r="B693" t="s">
        <v>1037</v>
      </c>
      <c r="C693" t="s">
        <v>151</v>
      </c>
      <c r="D693" t="s">
        <v>1038</v>
      </c>
      <c r="E693" t="s">
        <v>172</v>
      </c>
      <c r="F693" t="s">
        <v>162</v>
      </c>
      <c r="G693">
        <v>2000</v>
      </c>
      <c r="H693">
        <v>2001</v>
      </c>
      <c r="I693" t="s">
        <v>191</v>
      </c>
      <c r="J693">
        <v>1800</v>
      </c>
      <c r="K693">
        <v>1801</v>
      </c>
      <c r="L693" t="s">
        <v>686</v>
      </c>
      <c r="M693">
        <v>0</v>
      </c>
      <c r="N693" t="s">
        <v>13</v>
      </c>
      <c r="O693" t="s">
        <v>15</v>
      </c>
      <c r="P693" t="s">
        <v>175</v>
      </c>
      <c r="Q693" t="s">
        <v>162</v>
      </c>
      <c r="R693" t="s">
        <v>516</v>
      </c>
      <c r="S693">
        <v>2019</v>
      </c>
      <c r="T693">
        <v>7</v>
      </c>
      <c r="U693" t="s">
        <v>162</v>
      </c>
      <c r="V693" t="s">
        <v>162</v>
      </c>
      <c r="W693">
        <v>2019</v>
      </c>
      <c r="X693">
        <v>0</v>
      </c>
      <c r="Y693" t="s">
        <v>162</v>
      </c>
      <c r="Z693">
        <v>2019</v>
      </c>
      <c r="AA693">
        <v>0</v>
      </c>
      <c r="AB693" s="5">
        <v>0.23247887278599999</v>
      </c>
      <c r="AC693" s="5">
        <v>0.46495774557199998</v>
      </c>
      <c r="AD693" t="s">
        <v>1455</v>
      </c>
      <c r="AE693" t="s">
        <v>163</v>
      </c>
      <c r="AF693" t="s">
        <v>162</v>
      </c>
      <c r="AG693" t="s">
        <v>162</v>
      </c>
      <c r="AH693" t="s">
        <v>162</v>
      </c>
      <c r="AI693" t="s">
        <v>162</v>
      </c>
      <c r="AJ693" t="s">
        <v>162</v>
      </c>
      <c r="AK693" t="s">
        <v>162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s="60">
        <f t="shared" si="10"/>
        <v>1</v>
      </c>
      <c r="AU693" s="95" t="s">
        <v>244</v>
      </c>
      <c r="AV693" s="94" t="s">
        <v>165</v>
      </c>
      <c r="AW693" t="s">
        <v>162</v>
      </c>
      <c r="AX693">
        <v>3</v>
      </c>
      <c r="AY693" t="s">
        <v>275</v>
      </c>
      <c r="AZ693" t="s">
        <v>162</v>
      </c>
    </row>
    <row r="694" spans="1:52" x14ac:dyDescent="0.25">
      <c r="A694">
        <v>683</v>
      </c>
      <c r="B694" t="s">
        <v>1419</v>
      </c>
      <c r="C694" t="s">
        <v>151</v>
      </c>
      <c r="D694" t="s">
        <v>1420</v>
      </c>
      <c r="E694" t="s">
        <v>172</v>
      </c>
      <c r="F694" t="s">
        <v>203</v>
      </c>
      <c r="G694">
        <v>1800</v>
      </c>
      <c r="H694">
        <v>1801</v>
      </c>
      <c r="I694" t="s">
        <v>686</v>
      </c>
      <c r="J694">
        <v>1626</v>
      </c>
      <c r="K694">
        <v>1625</v>
      </c>
      <c r="L694" t="s">
        <v>482</v>
      </c>
      <c r="M694">
        <v>0</v>
      </c>
      <c r="N694" t="s">
        <v>13</v>
      </c>
      <c r="O694" t="s">
        <v>11</v>
      </c>
      <c r="P694" t="s">
        <v>175</v>
      </c>
      <c r="Q694" t="s">
        <v>162</v>
      </c>
      <c r="R694" t="s">
        <v>516</v>
      </c>
      <c r="S694">
        <v>2019</v>
      </c>
      <c r="T694">
        <v>7</v>
      </c>
      <c r="U694" t="s">
        <v>162</v>
      </c>
      <c r="V694" t="s">
        <v>162</v>
      </c>
      <c r="W694">
        <v>2019</v>
      </c>
      <c r="X694">
        <v>0</v>
      </c>
      <c r="Y694" t="s">
        <v>162</v>
      </c>
      <c r="Z694">
        <v>2019</v>
      </c>
      <c r="AA694">
        <v>0</v>
      </c>
      <c r="AB694" s="5">
        <v>0.20650303695700001</v>
      </c>
      <c r="AC694" s="5">
        <v>0.20650303695700001</v>
      </c>
      <c r="AD694" t="s">
        <v>1456</v>
      </c>
      <c r="AE694" t="s">
        <v>166</v>
      </c>
      <c r="AF694" t="s">
        <v>203</v>
      </c>
      <c r="AG694" t="s">
        <v>163</v>
      </c>
      <c r="AH694" t="s">
        <v>162</v>
      </c>
      <c r="AI694" t="s">
        <v>162</v>
      </c>
      <c r="AJ694" t="s">
        <v>162</v>
      </c>
      <c r="AK694" t="s">
        <v>162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s="60">
        <f t="shared" si="10"/>
        <v>1</v>
      </c>
      <c r="AU694" s="95" t="s">
        <v>162</v>
      </c>
      <c r="AV694" s="94" t="s">
        <v>162</v>
      </c>
      <c r="AW694" t="s">
        <v>162</v>
      </c>
      <c r="AX694">
        <v>3</v>
      </c>
      <c r="AY694" t="s">
        <v>275</v>
      </c>
      <c r="AZ694" t="s">
        <v>162</v>
      </c>
    </row>
    <row r="695" spans="1:52" x14ac:dyDescent="0.25">
      <c r="A695">
        <v>684</v>
      </c>
      <c r="B695" t="s">
        <v>1190</v>
      </c>
      <c r="C695" t="s">
        <v>151</v>
      </c>
      <c r="D695" t="s">
        <v>1191</v>
      </c>
      <c r="E695" t="s">
        <v>172</v>
      </c>
      <c r="F695" t="s">
        <v>162</v>
      </c>
      <c r="G695">
        <v>200</v>
      </c>
      <c r="H695">
        <v>201</v>
      </c>
      <c r="I695" t="s">
        <v>694</v>
      </c>
      <c r="J695">
        <v>2</v>
      </c>
      <c r="K695">
        <v>1</v>
      </c>
      <c r="L695" t="s">
        <v>639</v>
      </c>
      <c r="M695">
        <v>0</v>
      </c>
      <c r="N695" t="s">
        <v>9</v>
      </c>
      <c r="O695" t="s">
        <v>9</v>
      </c>
      <c r="P695" t="s">
        <v>175</v>
      </c>
      <c r="Q695" t="s">
        <v>162</v>
      </c>
      <c r="R695" t="s">
        <v>516</v>
      </c>
      <c r="S695">
        <v>2019</v>
      </c>
      <c r="T695">
        <v>8</v>
      </c>
      <c r="U695" t="s">
        <v>1457</v>
      </c>
      <c r="V695" t="s">
        <v>162</v>
      </c>
      <c r="W695">
        <v>0</v>
      </c>
      <c r="X695">
        <v>0</v>
      </c>
      <c r="Y695" t="s">
        <v>162</v>
      </c>
      <c r="Z695">
        <v>2019</v>
      </c>
      <c r="AA695">
        <v>0</v>
      </c>
      <c r="AB695" s="5">
        <v>0.25435591789400003</v>
      </c>
      <c r="AC695" s="5">
        <v>0.50871183578800006</v>
      </c>
      <c r="AD695" t="s">
        <v>162</v>
      </c>
      <c r="AE695" t="s">
        <v>163</v>
      </c>
      <c r="AF695" t="s">
        <v>162</v>
      </c>
      <c r="AG695" t="s">
        <v>162</v>
      </c>
      <c r="AH695" t="s">
        <v>162</v>
      </c>
      <c r="AI695" t="s">
        <v>162</v>
      </c>
      <c r="AJ695" t="s">
        <v>162</v>
      </c>
      <c r="AK695" t="s">
        <v>162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 s="60">
        <f t="shared" si="10"/>
        <v>1</v>
      </c>
      <c r="AU695" s="95" t="s">
        <v>360</v>
      </c>
      <c r="AV695" s="94" t="s">
        <v>165</v>
      </c>
      <c r="AW695" t="s">
        <v>166</v>
      </c>
      <c r="AX695">
        <v>3</v>
      </c>
      <c r="AY695" t="s">
        <v>167</v>
      </c>
      <c r="AZ695" t="s">
        <v>162</v>
      </c>
    </row>
    <row r="696" spans="1:52" x14ac:dyDescent="0.25">
      <c r="A696">
        <v>685</v>
      </c>
      <c r="B696" t="s">
        <v>1458</v>
      </c>
      <c r="C696" t="s">
        <v>163</v>
      </c>
      <c r="D696" t="s">
        <v>1459</v>
      </c>
      <c r="E696" t="s">
        <v>216</v>
      </c>
      <c r="F696" t="s">
        <v>180</v>
      </c>
      <c r="G696">
        <v>3401</v>
      </c>
      <c r="H696">
        <v>3400</v>
      </c>
      <c r="I696" t="s">
        <v>566</v>
      </c>
      <c r="J696">
        <v>3301</v>
      </c>
      <c r="K696">
        <v>3300</v>
      </c>
      <c r="L696" t="s">
        <v>1460</v>
      </c>
      <c r="M696">
        <v>0</v>
      </c>
      <c r="N696" t="s">
        <v>13</v>
      </c>
      <c r="O696" t="s">
        <v>9</v>
      </c>
      <c r="P696" t="s">
        <v>175</v>
      </c>
      <c r="Q696" t="s">
        <v>162</v>
      </c>
      <c r="R696" t="s">
        <v>516</v>
      </c>
      <c r="S696">
        <v>2019</v>
      </c>
      <c r="T696">
        <v>7</v>
      </c>
      <c r="U696" t="s">
        <v>162</v>
      </c>
      <c r="V696" t="s">
        <v>162</v>
      </c>
      <c r="W696">
        <v>2019</v>
      </c>
      <c r="X696">
        <v>0</v>
      </c>
      <c r="Y696" t="s">
        <v>162</v>
      </c>
      <c r="Z696">
        <v>2019</v>
      </c>
      <c r="AA696">
        <v>0</v>
      </c>
      <c r="AB696" s="5">
        <v>0.12614323960500001</v>
      </c>
      <c r="AC696" s="5">
        <v>0.12614323960500001</v>
      </c>
      <c r="AD696" t="s">
        <v>1461</v>
      </c>
      <c r="AE696" t="s">
        <v>166</v>
      </c>
      <c r="AF696" t="s">
        <v>180</v>
      </c>
      <c r="AG696" t="s">
        <v>163</v>
      </c>
      <c r="AH696" t="s">
        <v>162</v>
      </c>
      <c r="AI696" t="s">
        <v>162</v>
      </c>
      <c r="AJ696" t="s">
        <v>162</v>
      </c>
      <c r="AK696" t="s">
        <v>162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s="60">
        <f t="shared" si="10"/>
        <v>1</v>
      </c>
      <c r="AU696" s="95" t="s">
        <v>244</v>
      </c>
      <c r="AV696" t="s">
        <v>165</v>
      </c>
      <c r="AW696" t="s">
        <v>162</v>
      </c>
      <c r="AX696">
        <v>3</v>
      </c>
      <c r="AY696" t="s">
        <v>275</v>
      </c>
      <c r="AZ696" t="s">
        <v>162</v>
      </c>
    </row>
    <row r="697" spans="1:52" x14ac:dyDescent="0.25">
      <c r="A697">
        <v>686</v>
      </c>
      <c r="B697" t="s">
        <v>1037</v>
      </c>
      <c r="C697" t="s">
        <v>151</v>
      </c>
      <c r="D697" t="s">
        <v>1038</v>
      </c>
      <c r="E697" t="s">
        <v>172</v>
      </c>
      <c r="F697" t="s">
        <v>151</v>
      </c>
      <c r="G697">
        <v>1800</v>
      </c>
      <c r="H697">
        <v>1801</v>
      </c>
      <c r="I697" t="s">
        <v>686</v>
      </c>
      <c r="J697">
        <v>1700</v>
      </c>
      <c r="K697">
        <v>1701</v>
      </c>
      <c r="L697" t="s">
        <v>482</v>
      </c>
      <c r="M697">
        <v>0</v>
      </c>
      <c r="N697" t="s">
        <v>13</v>
      </c>
      <c r="O697" t="s">
        <v>11</v>
      </c>
      <c r="P697" t="s">
        <v>175</v>
      </c>
      <c r="Q697" t="s">
        <v>162</v>
      </c>
      <c r="R697" t="s">
        <v>516</v>
      </c>
      <c r="S697">
        <v>2019</v>
      </c>
      <c r="T697">
        <v>7</v>
      </c>
      <c r="U697" t="s">
        <v>162</v>
      </c>
      <c r="V697" t="s">
        <v>162</v>
      </c>
      <c r="W697">
        <v>2019</v>
      </c>
      <c r="X697">
        <v>0</v>
      </c>
      <c r="Y697" t="s">
        <v>162</v>
      </c>
      <c r="Z697">
        <v>2019</v>
      </c>
      <c r="AA697">
        <v>0</v>
      </c>
      <c r="AB697" s="5">
        <v>0.14164452756400001</v>
      </c>
      <c r="AC697" s="5">
        <v>0.14164452756400001</v>
      </c>
      <c r="AD697" t="s">
        <v>1455</v>
      </c>
      <c r="AE697" t="s">
        <v>166</v>
      </c>
      <c r="AF697" t="s">
        <v>151</v>
      </c>
      <c r="AG697" t="s">
        <v>163</v>
      </c>
      <c r="AH697" t="s">
        <v>162</v>
      </c>
      <c r="AI697" t="s">
        <v>162</v>
      </c>
      <c r="AJ697" t="s">
        <v>162</v>
      </c>
      <c r="AK697" t="s">
        <v>162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s="60">
        <f t="shared" si="10"/>
        <v>1</v>
      </c>
      <c r="AU697" s="95" t="s">
        <v>244</v>
      </c>
      <c r="AV697" s="94" t="s">
        <v>165</v>
      </c>
      <c r="AW697" t="s">
        <v>162</v>
      </c>
      <c r="AX697">
        <v>3</v>
      </c>
      <c r="AY697" t="s">
        <v>275</v>
      </c>
      <c r="AZ697" t="s">
        <v>162</v>
      </c>
    </row>
    <row r="698" spans="1:52" x14ac:dyDescent="0.25">
      <c r="A698">
        <v>687</v>
      </c>
      <c r="B698" t="s">
        <v>994</v>
      </c>
      <c r="C698" t="s">
        <v>180</v>
      </c>
      <c r="D698" t="s">
        <v>995</v>
      </c>
      <c r="E698" t="s">
        <v>172</v>
      </c>
      <c r="F698" t="s">
        <v>162</v>
      </c>
      <c r="G698">
        <v>2200</v>
      </c>
      <c r="H698">
        <v>2201</v>
      </c>
      <c r="I698" t="s">
        <v>248</v>
      </c>
      <c r="J698">
        <v>2100</v>
      </c>
      <c r="K698">
        <v>2101</v>
      </c>
      <c r="L698" t="s">
        <v>1462</v>
      </c>
      <c r="M698">
        <v>0</v>
      </c>
      <c r="N698" t="s">
        <v>13</v>
      </c>
      <c r="O698" t="s">
        <v>15</v>
      </c>
      <c r="P698" t="s">
        <v>175</v>
      </c>
      <c r="Q698" t="s">
        <v>162</v>
      </c>
      <c r="R698" t="s">
        <v>516</v>
      </c>
      <c r="S698">
        <v>2019</v>
      </c>
      <c r="T698">
        <v>6</v>
      </c>
      <c r="U698" t="s">
        <v>162</v>
      </c>
      <c r="V698" t="s">
        <v>162</v>
      </c>
      <c r="W698">
        <v>0</v>
      </c>
      <c r="X698">
        <v>0</v>
      </c>
      <c r="Y698" t="s">
        <v>162</v>
      </c>
      <c r="Z698">
        <v>2019</v>
      </c>
      <c r="AA698">
        <v>0</v>
      </c>
      <c r="AB698" s="5">
        <v>0.12621846669100001</v>
      </c>
      <c r="AC698" s="5">
        <v>0.25243693338200002</v>
      </c>
      <c r="AD698" t="s">
        <v>162</v>
      </c>
      <c r="AE698" t="s">
        <v>163</v>
      </c>
      <c r="AF698" t="s">
        <v>162</v>
      </c>
      <c r="AG698" t="s">
        <v>162</v>
      </c>
      <c r="AH698" t="s">
        <v>162</v>
      </c>
      <c r="AI698" t="s">
        <v>162</v>
      </c>
      <c r="AJ698" t="s">
        <v>162</v>
      </c>
      <c r="AK698" t="s">
        <v>162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 s="60">
        <f t="shared" si="10"/>
        <v>1</v>
      </c>
      <c r="AU698" s="95" t="s">
        <v>244</v>
      </c>
      <c r="AV698" t="s">
        <v>165</v>
      </c>
      <c r="AW698" t="s">
        <v>162</v>
      </c>
      <c r="AX698">
        <v>3</v>
      </c>
      <c r="AY698" t="s">
        <v>275</v>
      </c>
      <c r="AZ698" t="s">
        <v>162</v>
      </c>
    </row>
    <row r="699" spans="1:52" x14ac:dyDescent="0.25">
      <c r="A699">
        <v>688</v>
      </c>
      <c r="B699" t="s">
        <v>1463</v>
      </c>
      <c r="C699" t="s">
        <v>151</v>
      </c>
      <c r="D699" t="s">
        <v>1464</v>
      </c>
      <c r="E699" t="s">
        <v>172</v>
      </c>
      <c r="F699" t="s">
        <v>162</v>
      </c>
      <c r="G699">
        <v>1800</v>
      </c>
      <c r="H699">
        <v>1801</v>
      </c>
      <c r="I699" t="s">
        <v>1451</v>
      </c>
      <c r="J699">
        <v>1400</v>
      </c>
      <c r="K699">
        <v>1401</v>
      </c>
      <c r="L699" t="s">
        <v>174</v>
      </c>
      <c r="M699">
        <v>0</v>
      </c>
      <c r="N699" t="s">
        <v>13</v>
      </c>
      <c r="O699" t="s">
        <v>1208</v>
      </c>
      <c r="P699" t="s">
        <v>175</v>
      </c>
      <c r="Q699" t="s">
        <v>162</v>
      </c>
      <c r="R699" t="s">
        <v>516</v>
      </c>
      <c r="S699">
        <v>2019</v>
      </c>
      <c r="T699">
        <v>6</v>
      </c>
      <c r="U699" t="s">
        <v>162</v>
      </c>
      <c r="V699" t="s">
        <v>162</v>
      </c>
      <c r="W699">
        <v>0</v>
      </c>
      <c r="X699">
        <v>0</v>
      </c>
      <c r="Y699" t="s">
        <v>162</v>
      </c>
      <c r="Z699">
        <v>2019</v>
      </c>
      <c r="AA699">
        <v>0</v>
      </c>
      <c r="AB699" s="5">
        <v>0.50471407852399996</v>
      </c>
      <c r="AC699" s="5">
        <v>1.0094281570500001</v>
      </c>
      <c r="AD699" t="s">
        <v>162</v>
      </c>
      <c r="AE699" t="s">
        <v>163</v>
      </c>
      <c r="AF699" t="s">
        <v>162</v>
      </c>
      <c r="AG699" t="s">
        <v>162</v>
      </c>
      <c r="AH699" t="s">
        <v>162</v>
      </c>
      <c r="AI699" t="s">
        <v>162</v>
      </c>
      <c r="AJ699" t="s">
        <v>162</v>
      </c>
      <c r="AK699" t="s">
        <v>162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</v>
      </c>
      <c r="AT699" s="60">
        <f t="shared" si="10"/>
        <v>1</v>
      </c>
      <c r="AU699" s="95" t="s">
        <v>244</v>
      </c>
      <c r="AV699" t="s">
        <v>165</v>
      </c>
      <c r="AW699" t="s">
        <v>162</v>
      </c>
      <c r="AX699">
        <v>3</v>
      </c>
      <c r="AY699" t="s">
        <v>275</v>
      </c>
      <c r="AZ699" t="s">
        <v>162</v>
      </c>
    </row>
    <row r="700" spans="1:52" x14ac:dyDescent="0.25">
      <c r="A700">
        <v>689</v>
      </c>
      <c r="B700" t="s">
        <v>948</v>
      </c>
      <c r="C700" t="s">
        <v>151</v>
      </c>
      <c r="D700" t="s">
        <v>949</v>
      </c>
      <c r="E700" t="s">
        <v>172</v>
      </c>
      <c r="F700" t="s">
        <v>162</v>
      </c>
      <c r="G700">
        <v>1800</v>
      </c>
      <c r="H700">
        <v>1801</v>
      </c>
      <c r="I700" t="s">
        <v>1451</v>
      </c>
      <c r="J700">
        <v>1700</v>
      </c>
      <c r="K700">
        <v>1701</v>
      </c>
      <c r="L700" t="s">
        <v>1465</v>
      </c>
      <c r="M700">
        <v>0</v>
      </c>
      <c r="N700" t="s">
        <v>11</v>
      </c>
      <c r="O700" t="s">
        <v>11</v>
      </c>
      <c r="P700" t="s">
        <v>175</v>
      </c>
      <c r="Q700" t="s">
        <v>162</v>
      </c>
      <c r="R700" t="s">
        <v>516</v>
      </c>
      <c r="S700">
        <v>2019</v>
      </c>
      <c r="T700">
        <v>10</v>
      </c>
      <c r="U700" t="s">
        <v>1466</v>
      </c>
      <c r="V700" t="s">
        <v>162</v>
      </c>
      <c r="W700">
        <v>0</v>
      </c>
      <c r="X700">
        <v>0</v>
      </c>
      <c r="Y700" t="s">
        <v>162</v>
      </c>
      <c r="Z700">
        <v>2019</v>
      </c>
      <c r="AA700">
        <v>0</v>
      </c>
      <c r="AB700" s="5">
        <v>0.12642951972399999</v>
      </c>
      <c r="AC700" s="5">
        <v>0.25285903944799998</v>
      </c>
      <c r="AD700" t="s">
        <v>162</v>
      </c>
      <c r="AE700" t="s">
        <v>163</v>
      </c>
      <c r="AF700" t="s">
        <v>162</v>
      </c>
      <c r="AG700" t="s">
        <v>162</v>
      </c>
      <c r="AH700" t="s">
        <v>162</v>
      </c>
      <c r="AI700" t="s">
        <v>162</v>
      </c>
      <c r="AJ700" t="s">
        <v>162</v>
      </c>
      <c r="AK700" t="s">
        <v>162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</v>
      </c>
      <c r="AT700" s="60">
        <f t="shared" si="10"/>
        <v>1</v>
      </c>
      <c r="AU700" s="95" t="s">
        <v>244</v>
      </c>
      <c r="AV700" t="s">
        <v>165</v>
      </c>
      <c r="AW700" t="s">
        <v>162</v>
      </c>
      <c r="AX700">
        <v>2</v>
      </c>
      <c r="AY700" t="s">
        <v>167</v>
      </c>
      <c r="AZ700" t="s">
        <v>162</v>
      </c>
    </row>
    <row r="701" spans="1:52" x14ac:dyDescent="0.25">
      <c r="A701">
        <v>690</v>
      </c>
      <c r="B701" t="s">
        <v>948</v>
      </c>
      <c r="C701" t="s">
        <v>151</v>
      </c>
      <c r="D701" t="s">
        <v>949</v>
      </c>
      <c r="E701" t="s">
        <v>172</v>
      </c>
      <c r="F701" t="s">
        <v>154</v>
      </c>
      <c r="G701">
        <v>1700</v>
      </c>
      <c r="H701">
        <v>1701</v>
      </c>
      <c r="I701" t="s">
        <v>1465</v>
      </c>
      <c r="J701">
        <v>1600</v>
      </c>
      <c r="K701">
        <v>1601</v>
      </c>
      <c r="L701" t="s">
        <v>575</v>
      </c>
      <c r="M701">
        <v>0</v>
      </c>
      <c r="N701" t="s">
        <v>9</v>
      </c>
      <c r="O701" t="s">
        <v>9</v>
      </c>
      <c r="P701" t="s">
        <v>175</v>
      </c>
      <c r="Q701" t="s">
        <v>162</v>
      </c>
      <c r="R701" t="s">
        <v>516</v>
      </c>
      <c r="S701">
        <v>2019</v>
      </c>
      <c r="T701">
        <v>10</v>
      </c>
      <c r="U701" t="s">
        <v>1467</v>
      </c>
      <c r="V701" t="s">
        <v>162</v>
      </c>
      <c r="W701">
        <v>0</v>
      </c>
      <c r="X701">
        <v>0</v>
      </c>
      <c r="Y701" t="s">
        <v>162</v>
      </c>
      <c r="Z701">
        <v>2019</v>
      </c>
      <c r="AA701">
        <v>0</v>
      </c>
      <c r="AB701" s="5">
        <v>0.12962522542800001</v>
      </c>
      <c r="AC701" s="5">
        <v>0.25925045085600001</v>
      </c>
      <c r="AD701" t="s">
        <v>154</v>
      </c>
      <c r="AE701" t="s">
        <v>163</v>
      </c>
      <c r="AF701" t="s">
        <v>154</v>
      </c>
      <c r="AG701" t="s">
        <v>154</v>
      </c>
      <c r="AH701" t="s">
        <v>162</v>
      </c>
      <c r="AI701" t="s">
        <v>154</v>
      </c>
      <c r="AJ701" t="s">
        <v>162</v>
      </c>
      <c r="AK701" t="s">
        <v>162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 s="60">
        <f t="shared" si="10"/>
        <v>1</v>
      </c>
      <c r="AU701" s="95" t="s">
        <v>360</v>
      </c>
      <c r="AV701" t="s">
        <v>165</v>
      </c>
      <c r="AW701" t="s">
        <v>166</v>
      </c>
      <c r="AX701">
        <v>2</v>
      </c>
      <c r="AY701" t="s">
        <v>167</v>
      </c>
      <c r="AZ701" t="s">
        <v>162</v>
      </c>
    </row>
    <row r="702" spans="1:52" x14ac:dyDescent="0.25">
      <c r="A702">
        <v>691</v>
      </c>
      <c r="B702" t="s">
        <v>1286</v>
      </c>
      <c r="C702" t="s">
        <v>151</v>
      </c>
      <c r="D702" t="s">
        <v>1287</v>
      </c>
      <c r="E702" t="s">
        <v>172</v>
      </c>
      <c r="F702" t="s">
        <v>162</v>
      </c>
      <c r="G702">
        <v>4000</v>
      </c>
      <c r="H702">
        <v>4001</v>
      </c>
      <c r="I702" t="s">
        <v>1002</v>
      </c>
      <c r="J702">
        <v>3600</v>
      </c>
      <c r="K702">
        <v>3601</v>
      </c>
      <c r="L702" t="s">
        <v>155</v>
      </c>
      <c r="M702">
        <v>0</v>
      </c>
      <c r="N702" t="s">
        <v>9</v>
      </c>
      <c r="O702" t="s">
        <v>9</v>
      </c>
      <c r="P702" t="s">
        <v>175</v>
      </c>
      <c r="Q702" t="s">
        <v>162</v>
      </c>
      <c r="R702" t="s">
        <v>516</v>
      </c>
      <c r="S702">
        <v>2019</v>
      </c>
      <c r="T702">
        <v>8</v>
      </c>
      <c r="U702" t="s">
        <v>162</v>
      </c>
      <c r="V702" t="s">
        <v>162</v>
      </c>
      <c r="W702">
        <v>2019</v>
      </c>
      <c r="X702">
        <v>0</v>
      </c>
      <c r="Y702" t="s">
        <v>162</v>
      </c>
      <c r="Z702">
        <v>2019</v>
      </c>
      <c r="AA702">
        <v>0</v>
      </c>
      <c r="AB702" s="5">
        <v>0.50429836678999995</v>
      </c>
      <c r="AC702" s="5">
        <v>1.0085967335799999</v>
      </c>
      <c r="AD702" t="s">
        <v>162</v>
      </c>
      <c r="AE702" t="s">
        <v>163</v>
      </c>
      <c r="AF702" t="s">
        <v>162</v>
      </c>
      <c r="AG702" t="s">
        <v>162</v>
      </c>
      <c r="AH702" t="s">
        <v>162</v>
      </c>
      <c r="AI702" t="s">
        <v>162</v>
      </c>
      <c r="AJ702" t="s">
        <v>162</v>
      </c>
      <c r="AK702" t="s">
        <v>162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 s="60">
        <f t="shared" si="10"/>
        <v>1</v>
      </c>
      <c r="AU702" s="95" t="s">
        <v>244</v>
      </c>
      <c r="AV702" t="s">
        <v>165</v>
      </c>
      <c r="AW702" t="s">
        <v>163</v>
      </c>
      <c r="AX702">
        <v>2</v>
      </c>
      <c r="AY702" t="s">
        <v>167</v>
      </c>
      <c r="AZ702" t="s">
        <v>162</v>
      </c>
    </row>
    <row r="703" spans="1:52" x14ac:dyDescent="0.25">
      <c r="A703">
        <v>692</v>
      </c>
      <c r="B703" t="s">
        <v>1405</v>
      </c>
      <c r="C703" t="s">
        <v>180</v>
      </c>
      <c r="D703" t="s">
        <v>1406</v>
      </c>
      <c r="E703" t="s">
        <v>172</v>
      </c>
      <c r="F703" t="s">
        <v>162</v>
      </c>
      <c r="G703">
        <v>1200</v>
      </c>
      <c r="H703">
        <v>1201</v>
      </c>
      <c r="I703" t="s">
        <v>390</v>
      </c>
      <c r="J703">
        <v>800</v>
      </c>
      <c r="K703">
        <v>801</v>
      </c>
      <c r="L703" t="s">
        <v>391</v>
      </c>
      <c r="M703">
        <v>0</v>
      </c>
      <c r="N703" t="s">
        <v>11</v>
      </c>
      <c r="O703" t="s">
        <v>11</v>
      </c>
      <c r="P703" t="s">
        <v>175</v>
      </c>
      <c r="Q703" t="s">
        <v>162</v>
      </c>
      <c r="R703" t="s">
        <v>516</v>
      </c>
      <c r="S703">
        <v>2019</v>
      </c>
      <c r="T703">
        <v>10</v>
      </c>
      <c r="U703" t="s">
        <v>517</v>
      </c>
      <c r="V703" t="s">
        <v>162</v>
      </c>
      <c r="W703">
        <v>0</v>
      </c>
      <c r="X703">
        <v>0</v>
      </c>
      <c r="Y703" t="s">
        <v>162</v>
      </c>
      <c r="Z703">
        <v>2019</v>
      </c>
      <c r="AA703">
        <v>0</v>
      </c>
      <c r="AB703" s="5">
        <v>0.32648868147499999</v>
      </c>
      <c r="AC703" s="5">
        <v>0.65297736294999997</v>
      </c>
      <c r="AD703" t="s">
        <v>162</v>
      </c>
      <c r="AE703" t="s">
        <v>163</v>
      </c>
      <c r="AF703" t="s">
        <v>162</v>
      </c>
      <c r="AG703" t="s">
        <v>162</v>
      </c>
      <c r="AH703" t="s">
        <v>162</v>
      </c>
      <c r="AI703" t="s">
        <v>162</v>
      </c>
      <c r="AJ703" t="s">
        <v>162</v>
      </c>
      <c r="AK703" t="s">
        <v>162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</v>
      </c>
      <c r="AT703" s="60">
        <f t="shared" si="10"/>
        <v>1</v>
      </c>
      <c r="AU703" s="95" t="s">
        <v>244</v>
      </c>
      <c r="AV703" t="s">
        <v>165</v>
      </c>
      <c r="AW703" t="s">
        <v>162</v>
      </c>
      <c r="AX703">
        <v>2</v>
      </c>
      <c r="AY703" t="s">
        <v>167</v>
      </c>
      <c r="AZ703" t="s">
        <v>162</v>
      </c>
    </row>
    <row r="704" spans="1:52" x14ac:dyDescent="0.25">
      <c r="A704">
        <v>693</v>
      </c>
      <c r="B704" t="s">
        <v>1405</v>
      </c>
      <c r="C704" t="s">
        <v>180</v>
      </c>
      <c r="D704" t="s">
        <v>1406</v>
      </c>
      <c r="E704" t="s">
        <v>172</v>
      </c>
      <c r="F704" t="s">
        <v>162</v>
      </c>
      <c r="G704">
        <v>800</v>
      </c>
      <c r="H704">
        <v>801</v>
      </c>
      <c r="I704" t="s">
        <v>391</v>
      </c>
      <c r="J704">
        <v>600</v>
      </c>
      <c r="K704">
        <v>601</v>
      </c>
      <c r="L704" t="s">
        <v>292</v>
      </c>
      <c r="M704">
        <v>0</v>
      </c>
      <c r="N704" t="s">
        <v>11</v>
      </c>
      <c r="O704" t="s">
        <v>327</v>
      </c>
      <c r="P704" t="s">
        <v>175</v>
      </c>
      <c r="Q704" t="s">
        <v>162</v>
      </c>
      <c r="R704" t="s">
        <v>516</v>
      </c>
      <c r="S704">
        <v>2019</v>
      </c>
      <c r="T704">
        <v>10</v>
      </c>
      <c r="U704" t="s">
        <v>517</v>
      </c>
      <c r="V704" t="s">
        <v>162</v>
      </c>
      <c r="W704">
        <v>0</v>
      </c>
      <c r="X704">
        <v>0</v>
      </c>
      <c r="Y704" t="s">
        <v>162</v>
      </c>
      <c r="Z704">
        <v>2019</v>
      </c>
      <c r="AA704">
        <v>0</v>
      </c>
      <c r="AB704" s="5">
        <v>0.17753473424999999</v>
      </c>
      <c r="AC704" s="5">
        <v>0.35506946849999999</v>
      </c>
      <c r="AD704" t="s">
        <v>162</v>
      </c>
      <c r="AE704" t="s">
        <v>163</v>
      </c>
      <c r="AF704" t="s">
        <v>162</v>
      </c>
      <c r="AG704" t="s">
        <v>162</v>
      </c>
      <c r="AH704" t="s">
        <v>162</v>
      </c>
      <c r="AI704" t="s">
        <v>162</v>
      </c>
      <c r="AJ704" t="s">
        <v>162</v>
      </c>
      <c r="AK704" t="s">
        <v>162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 s="60">
        <f t="shared" si="10"/>
        <v>1</v>
      </c>
      <c r="AU704" s="95" t="s">
        <v>244</v>
      </c>
      <c r="AV704" s="94" t="s">
        <v>165</v>
      </c>
      <c r="AW704" t="s">
        <v>162</v>
      </c>
      <c r="AX704">
        <v>2</v>
      </c>
      <c r="AY704" t="s">
        <v>167</v>
      </c>
      <c r="AZ704" t="s">
        <v>162</v>
      </c>
    </row>
    <row r="705" spans="1:52" x14ac:dyDescent="0.25">
      <c r="A705">
        <v>694</v>
      </c>
      <c r="B705" t="s">
        <v>295</v>
      </c>
      <c r="C705" t="s">
        <v>163</v>
      </c>
      <c r="D705" t="s">
        <v>296</v>
      </c>
      <c r="E705" t="s">
        <v>172</v>
      </c>
      <c r="F705" t="s">
        <v>162</v>
      </c>
      <c r="G705">
        <v>4906</v>
      </c>
      <c r="H705">
        <v>4905</v>
      </c>
      <c r="I705" t="s">
        <v>1198</v>
      </c>
      <c r="J705">
        <v>5200</v>
      </c>
      <c r="K705">
        <v>5201</v>
      </c>
      <c r="L705" t="s">
        <v>784</v>
      </c>
      <c r="M705">
        <v>3</v>
      </c>
      <c r="N705" t="s">
        <v>11</v>
      </c>
      <c r="O705" t="s">
        <v>327</v>
      </c>
      <c r="P705" t="s">
        <v>157</v>
      </c>
      <c r="Q705" t="s">
        <v>162</v>
      </c>
      <c r="R705" t="s">
        <v>843</v>
      </c>
      <c r="S705">
        <v>2019</v>
      </c>
      <c r="T705">
        <v>8</v>
      </c>
      <c r="U705" t="s">
        <v>517</v>
      </c>
      <c r="V705" t="s">
        <v>628</v>
      </c>
      <c r="W705">
        <v>2021</v>
      </c>
      <c r="X705">
        <v>10</v>
      </c>
      <c r="Y705" t="s">
        <v>162</v>
      </c>
      <c r="Z705">
        <v>2021</v>
      </c>
      <c r="AA705">
        <v>2021</v>
      </c>
      <c r="AB705" s="5">
        <v>0.29810570726399999</v>
      </c>
      <c r="AC705" s="5">
        <v>0.59621141452799997</v>
      </c>
      <c r="AD705" t="s">
        <v>162</v>
      </c>
      <c r="AE705" t="s">
        <v>163</v>
      </c>
      <c r="AF705" t="s">
        <v>162</v>
      </c>
      <c r="AG705" t="s">
        <v>162</v>
      </c>
      <c r="AH705" t="s">
        <v>162</v>
      </c>
      <c r="AI705" t="s">
        <v>162</v>
      </c>
      <c r="AJ705" t="s">
        <v>162</v>
      </c>
      <c r="AK705" t="s">
        <v>162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s="60">
        <f t="shared" si="10"/>
        <v>1</v>
      </c>
      <c r="AU705" s="95" t="s">
        <v>530</v>
      </c>
      <c r="AV705" t="s">
        <v>165</v>
      </c>
      <c r="AW705" t="s">
        <v>154</v>
      </c>
      <c r="AX705">
        <v>2</v>
      </c>
      <c r="AY705" t="s">
        <v>167</v>
      </c>
      <c r="AZ705">
        <v>20</v>
      </c>
    </row>
    <row r="706" spans="1:52" x14ac:dyDescent="0.25">
      <c r="A706">
        <v>695</v>
      </c>
      <c r="B706" t="s">
        <v>295</v>
      </c>
      <c r="C706" t="s">
        <v>163</v>
      </c>
      <c r="D706" t="s">
        <v>296</v>
      </c>
      <c r="E706" t="s">
        <v>172</v>
      </c>
      <c r="F706" t="s">
        <v>162</v>
      </c>
      <c r="G706">
        <v>5600</v>
      </c>
      <c r="H706">
        <v>5601</v>
      </c>
      <c r="I706" t="s">
        <v>603</v>
      </c>
      <c r="J706">
        <v>5726</v>
      </c>
      <c r="K706">
        <v>5725</v>
      </c>
      <c r="L706" t="s">
        <v>1468</v>
      </c>
      <c r="M706">
        <v>3</v>
      </c>
      <c r="N706" t="s">
        <v>11</v>
      </c>
      <c r="O706" t="s">
        <v>327</v>
      </c>
      <c r="P706" t="s">
        <v>157</v>
      </c>
      <c r="Q706" t="s">
        <v>162</v>
      </c>
      <c r="R706" t="s">
        <v>843</v>
      </c>
      <c r="S706">
        <v>2019</v>
      </c>
      <c r="T706">
        <v>8</v>
      </c>
      <c r="U706" t="s">
        <v>517</v>
      </c>
      <c r="V706" t="s">
        <v>628</v>
      </c>
      <c r="W706">
        <v>2021</v>
      </c>
      <c r="X706">
        <v>10</v>
      </c>
      <c r="Y706" t="s">
        <v>162</v>
      </c>
      <c r="Z706">
        <v>2021</v>
      </c>
      <c r="AA706">
        <v>2021</v>
      </c>
      <c r="AB706" s="5">
        <v>0.195904769743</v>
      </c>
      <c r="AC706" s="5">
        <v>0.391809539486</v>
      </c>
      <c r="AD706" t="s">
        <v>162</v>
      </c>
      <c r="AE706" t="s">
        <v>163</v>
      </c>
      <c r="AF706" t="s">
        <v>162</v>
      </c>
      <c r="AG706" t="s">
        <v>162</v>
      </c>
      <c r="AH706" t="s">
        <v>162</v>
      </c>
      <c r="AI706" t="s">
        <v>162</v>
      </c>
      <c r="AJ706" t="s">
        <v>162</v>
      </c>
      <c r="AK706" t="s">
        <v>162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s="60">
        <f t="shared" si="10"/>
        <v>1</v>
      </c>
      <c r="AU706" s="95" t="s">
        <v>530</v>
      </c>
      <c r="AV706" s="94" t="s">
        <v>165</v>
      </c>
      <c r="AW706" t="s">
        <v>154</v>
      </c>
      <c r="AX706">
        <v>2</v>
      </c>
      <c r="AY706" t="s">
        <v>167</v>
      </c>
      <c r="AZ706">
        <v>20</v>
      </c>
    </row>
    <row r="707" spans="1:52" x14ac:dyDescent="0.25">
      <c r="A707">
        <v>696</v>
      </c>
      <c r="B707" t="s">
        <v>1109</v>
      </c>
      <c r="C707" t="s">
        <v>151</v>
      </c>
      <c r="D707" t="s">
        <v>1110</v>
      </c>
      <c r="E707" t="s">
        <v>216</v>
      </c>
      <c r="F707" t="s">
        <v>162</v>
      </c>
      <c r="G707">
        <v>1500</v>
      </c>
      <c r="H707">
        <v>1501</v>
      </c>
      <c r="I707" t="s">
        <v>478</v>
      </c>
      <c r="J707">
        <v>1400</v>
      </c>
      <c r="K707">
        <v>1401</v>
      </c>
      <c r="L707" t="s">
        <v>1111</v>
      </c>
      <c r="M707">
        <v>0</v>
      </c>
      <c r="N707" t="s">
        <v>13</v>
      </c>
      <c r="O707" t="s">
        <v>15</v>
      </c>
      <c r="P707" t="s">
        <v>175</v>
      </c>
      <c r="Q707" t="s">
        <v>162</v>
      </c>
      <c r="R707" t="s">
        <v>1469</v>
      </c>
      <c r="S707">
        <v>2019</v>
      </c>
      <c r="T707">
        <v>8</v>
      </c>
      <c r="U707" t="s">
        <v>162</v>
      </c>
      <c r="V707" t="s">
        <v>162</v>
      </c>
      <c r="W707">
        <v>0</v>
      </c>
      <c r="X707">
        <v>0</v>
      </c>
      <c r="Y707" t="s">
        <v>162</v>
      </c>
      <c r="Z707">
        <v>2019</v>
      </c>
      <c r="AA707">
        <v>0</v>
      </c>
      <c r="AB707" s="5">
        <v>0.189167465688</v>
      </c>
      <c r="AC707" s="5">
        <v>0.37833493137599999</v>
      </c>
      <c r="AD707" t="s">
        <v>1108</v>
      </c>
      <c r="AE707" t="s">
        <v>163</v>
      </c>
      <c r="AF707" t="s">
        <v>162</v>
      </c>
      <c r="AG707" t="s">
        <v>162</v>
      </c>
      <c r="AH707" t="s">
        <v>162</v>
      </c>
      <c r="AI707" t="s">
        <v>162</v>
      </c>
      <c r="AJ707" t="s">
        <v>162</v>
      </c>
      <c r="AK707" t="s">
        <v>162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s="60">
        <f t="shared" si="10"/>
        <v>1</v>
      </c>
      <c r="AU707" s="95" t="s">
        <v>244</v>
      </c>
      <c r="AV707" t="s">
        <v>165</v>
      </c>
      <c r="AW707" t="s">
        <v>162</v>
      </c>
      <c r="AX707">
        <v>3</v>
      </c>
      <c r="AY707" t="s">
        <v>275</v>
      </c>
      <c r="AZ707" t="s">
        <v>154</v>
      </c>
    </row>
    <row r="708" spans="1:52" x14ac:dyDescent="0.25">
      <c r="A708">
        <v>697</v>
      </c>
      <c r="B708" t="s">
        <v>345</v>
      </c>
      <c r="C708" t="s">
        <v>180</v>
      </c>
      <c r="D708" t="s">
        <v>346</v>
      </c>
      <c r="E708" t="s">
        <v>172</v>
      </c>
      <c r="F708" t="s">
        <v>162</v>
      </c>
      <c r="G708">
        <v>10300</v>
      </c>
      <c r="H708">
        <v>10301</v>
      </c>
      <c r="I708" t="s">
        <v>749</v>
      </c>
      <c r="J708">
        <v>11500</v>
      </c>
      <c r="K708">
        <v>11501</v>
      </c>
      <c r="L708" t="s">
        <v>1470</v>
      </c>
      <c r="M708">
        <v>2</v>
      </c>
      <c r="N708" t="s">
        <v>11</v>
      </c>
      <c r="O708" t="s">
        <v>11</v>
      </c>
      <c r="P708" t="s">
        <v>175</v>
      </c>
      <c r="Q708" t="s">
        <v>162</v>
      </c>
      <c r="R708" t="s">
        <v>516</v>
      </c>
      <c r="S708">
        <v>2019</v>
      </c>
      <c r="T708">
        <v>11</v>
      </c>
      <c r="U708" t="s">
        <v>517</v>
      </c>
      <c r="V708" t="s">
        <v>1471</v>
      </c>
      <c r="W708">
        <v>2021</v>
      </c>
      <c r="X708">
        <v>0</v>
      </c>
      <c r="Y708" t="s">
        <v>162</v>
      </c>
      <c r="Z708">
        <v>2021</v>
      </c>
      <c r="AA708">
        <v>0</v>
      </c>
      <c r="AB708" s="5">
        <v>1.5039184318000001</v>
      </c>
      <c r="AC708" s="5">
        <v>3.0078368636000001</v>
      </c>
      <c r="AD708" t="s">
        <v>162</v>
      </c>
      <c r="AE708" t="s">
        <v>162</v>
      </c>
      <c r="AF708" t="s">
        <v>162</v>
      </c>
      <c r="AG708" t="s">
        <v>162</v>
      </c>
      <c r="AH708" t="s">
        <v>162</v>
      </c>
      <c r="AI708" t="s">
        <v>162</v>
      </c>
      <c r="AJ708" t="s">
        <v>162</v>
      </c>
      <c r="AK708" t="s">
        <v>162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 s="60">
        <f t="shared" si="10"/>
        <v>1</v>
      </c>
      <c r="AU708" s="95" t="s">
        <v>255</v>
      </c>
      <c r="AV708" s="94" t="s">
        <v>165</v>
      </c>
      <c r="AW708" t="s">
        <v>154</v>
      </c>
      <c r="AX708">
        <v>2</v>
      </c>
      <c r="AY708" t="s">
        <v>167</v>
      </c>
      <c r="AZ708" t="s">
        <v>162</v>
      </c>
    </row>
    <row r="709" spans="1:52" x14ac:dyDescent="0.25">
      <c r="A709">
        <v>698</v>
      </c>
      <c r="B709" t="s">
        <v>345</v>
      </c>
      <c r="C709" t="s">
        <v>180</v>
      </c>
      <c r="D709" t="s">
        <v>346</v>
      </c>
      <c r="E709" t="s">
        <v>172</v>
      </c>
      <c r="F709" t="s">
        <v>162</v>
      </c>
      <c r="G709">
        <v>11500</v>
      </c>
      <c r="H709">
        <v>11501</v>
      </c>
      <c r="I709" t="s">
        <v>1470</v>
      </c>
      <c r="J709">
        <v>11900</v>
      </c>
      <c r="K709">
        <v>11901</v>
      </c>
      <c r="L709" t="s">
        <v>1472</v>
      </c>
      <c r="M709">
        <v>2</v>
      </c>
      <c r="N709" t="s">
        <v>15</v>
      </c>
      <c r="O709" t="s">
        <v>15</v>
      </c>
      <c r="P709" t="s">
        <v>175</v>
      </c>
      <c r="Q709" t="s">
        <v>162</v>
      </c>
      <c r="R709" t="s">
        <v>516</v>
      </c>
      <c r="S709">
        <v>2019</v>
      </c>
      <c r="T709">
        <v>11</v>
      </c>
      <c r="U709" t="s">
        <v>162</v>
      </c>
      <c r="V709" t="s">
        <v>1471</v>
      </c>
      <c r="W709">
        <v>0</v>
      </c>
      <c r="X709">
        <v>0</v>
      </c>
      <c r="Y709" t="s">
        <v>162</v>
      </c>
      <c r="Z709">
        <v>2019</v>
      </c>
      <c r="AA709">
        <v>0</v>
      </c>
      <c r="AB709" s="5">
        <v>0.503659960347</v>
      </c>
      <c r="AC709" s="5">
        <v>1.0073199206900001</v>
      </c>
      <c r="AD709" t="s">
        <v>162</v>
      </c>
      <c r="AE709" t="s">
        <v>163</v>
      </c>
      <c r="AF709" t="s">
        <v>162</v>
      </c>
      <c r="AG709" t="s">
        <v>162</v>
      </c>
      <c r="AH709" t="s">
        <v>162</v>
      </c>
      <c r="AI709" t="s">
        <v>162</v>
      </c>
      <c r="AJ709" t="s">
        <v>162</v>
      </c>
      <c r="AK709" t="s">
        <v>162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 s="60">
        <f t="shared" si="10"/>
        <v>1</v>
      </c>
      <c r="AU709" s="95" t="s">
        <v>244</v>
      </c>
      <c r="AV709" s="94" t="s">
        <v>165</v>
      </c>
      <c r="AW709" t="s">
        <v>162</v>
      </c>
      <c r="AX709">
        <v>2</v>
      </c>
      <c r="AY709" t="s">
        <v>167</v>
      </c>
      <c r="AZ709" t="s">
        <v>162</v>
      </c>
    </row>
    <row r="710" spans="1:52" x14ac:dyDescent="0.25">
      <c r="A710">
        <v>699</v>
      </c>
      <c r="B710" t="s">
        <v>745</v>
      </c>
      <c r="C710" t="s">
        <v>180</v>
      </c>
      <c r="D710" t="s">
        <v>746</v>
      </c>
      <c r="E710" t="s">
        <v>216</v>
      </c>
      <c r="F710" t="s">
        <v>180</v>
      </c>
      <c r="G710">
        <v>1900</v>
      </c>
      <c r="H710">
        <v>1901</v>
      </c>
      <c r="I710" t="s">
        <v>410</v>
      </c>
      <c r="J710">
        <v>2100</v>
      </c>
      <c r="K710">
        <v>2101</v>
      </c>
      <c r="L710" t="s">
        <v>438</v>
      </c>
      <c r="M710">
        <v>4</v>
      </c>
      <c r="N710" t="s">
        <v>9</v>
      </c>
      <c r="O710" t="s">
        <v>9</v>
      </c>
      <c r="P710" t="s">
        <v>175</v>
      </c>
      <c r="Q710" t="s">
        <v>162</v>
      </c>
      <c r="R710" t="s">
        <v>383</v>
      </c>
      <c r="S710">
        <v>2019</v>
      </c>
      <c r="T710">
        <v>11</v>
      </c>
      <c r="U710" t="s">
        <v>162</v>
      </c>
      <c r="V710" t="s">
        <v>162</v>
      </c>
      <c r="W710">
        <v>0</v>
      </c>
      <c r="X710">
        <v>0</v>
      </c>
      <c r="Y710" t="s">
        <v>162</v>
      </c>
      <c r="Z710">
        <v>2019</v>
      </c>
      <c r="AA710">
        <v>2019</v>
      </c>
      <c r="AB710" s="5">
        <v>0.14903178668399999</v>
      </c>
      <c r="AC710" s="5">
        <v>0.14903178668399999</v>
      </c>
      <c r="AD710" t="s">
        <v>162</v>
      </c>
      <c r="AE710" t="s">
        <v>166</v>
      </c>
      <c r="AF710" t="s">
        <v>180</v>
      </c>
      <c r="AG710" t="s">
        <v>163</v>
      </c>
      <c r="AH710" t="s">
        <v>162</v>
      </c>
      <c r="AI710" t="s">
        <v>162</v>
      </c>
      <c r="AJ710" t="s">
        <v>162</v>
      </c>
      <c r="AK710" t="s">
        <v>162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</v>
      </c>
      <c r="AT710" s="60">
        <f t="shared" si="10"/>
        <v>1</v>
      </c>
      <c r="AU710" s="95" t="s">
        <v>585</v>
      </c>
      <c r="AV710" s="94" t="s">
        <v>165</v>
      </c>
      <c r="AW710" t="s">
        <v>162</v>
      </c>
      <c r="AX710">
        <v>2</v>
      </c>
      <c r="AY710" t="s">
        <v>167</v>
      </c>
      <c r="AZ710" t="s">
        <v>162</v>
      </c>
    </row>
    <row r="711" spans="1:52" x14ac:dyDescent="0.25">
      <c r="A711">
        <v>700</v>
      </c>
      <c r="B711" t="s">
        <v>1473</v>
      </c>
      <c r="C711" t="s">
        <v>151</v>
      </c>
      <c r="D711" t="s">
        <v>1474</v>
      </c>
      <c r="E711" t="s">
        <v>216</v>
      </c>
      <c r="F711" t="s">
        <v>162</v>
      </c>
      <c r="G711">
        <v>3553</v>
      </c>
      <c r="H711">
        <v>3554</v>
      </c>
      <c r="I711" t="s">
        <v>817</v>
      </c>
      <c r="J711">
        <v>2001</v>
      </c>
      <c r="K711">
        <v>2000</v>
      </c>
      <c r="L711" t="s">
        <v>191</v>
      </c>
      <c r="M711">
        <v>0</v>
      </c>
      <c r="N711" t="s">
        <v>9</v>
      </c>
      <c r="O711" t="s">
        <v>9</v>
      </c>
      <c r="P711" t="s">
        <v>175</v>
      </c>
      <c r="Q711" t="s">
        <v>162</v>
      </c>
      <c r="R711" t="s">
        <v>455</v>
      </c>
      <c r="S711">
        <v>2020</v>
      </c>
      <c r="T711">
        <v>7</v>
      </c>
      <c r="U711" t="s">
        <v>162</v>
      </c>
      <c r="V711" t="s">
        <v>162</v>
      </c>
      <c r="W711">
        <v>0</v>
      </c>
      <c r="X711">
        <v>0</v>
      </c>
      <c r="Y711" t="s">
        <v>162</v>
      </c>
      <c r="Z711">
        <v>2020</v>
      </c>
      <c r="AA711">
        <v>2020</v>
      </c>
      <c r="AB711" s="5">
        <v>2.0167854469200002</v>
      </c>
      <c r="AC711" s="5">
        <v>4.0335708938400003</v>
      </c>
      <c r="AD711" t="s">
        <v>162</v>
      </c>
      <c r="AE711" t="s">
        <v>163</v>
      </c>
      <c r="AF711" t="s">
        <v>162</v>
      </c>
      <c r="AG711" t="s">
        <v>162</v>
      </c>
      <c r="AH711" t="s">
        <v>162</v>
      </c>
      <c r="AI711" t="s">
        <v>162</v>
      </c>
      <c r="AJ711" t="s">
        <v>162</v>
      </c>
      <c r="AK711" t="s">
        <v>162</v>
      </c>
      <c r="AL711">
        <v>0</v>
      </c>
      <c r="AM711">
        <v>0</v>
      </c>
      <c r="AN711">
        <v>0</v>
      </c>
      <c r="AO711">
        <v>0.25</v>
      </c>
      <c r="AP711">
        <v>0</v>
      </c>
      <c r="AQ711">
        <v>0</v>
      </c>
      <c r="AR711">
        <v>0</v>
      </c>
      <c r="AS711">
        <v>0.75</v>
      </c>
      <c r="AT711" s="60">
        <f t="shared" si="10"/>
        <v>1</v>
      </c>
      <c r="AU711" s="95" t="s">
        <v>360</v>
      </c>
      <c r="AV711" t="s">
        <v>165</v>
      </c>
      <c r="AW711" t="s">
        <v>163</v>
      </c>
      <c r="AX711">
        <v>2</v>
      </c>
      <c r="AY711" t="s">
        <v>167</v>
      </c>
      <c r="AZ711" t="s">
        <v>162</v>
      </c>
    </row>
    <row r="712" spans="1:52" x14ac:dyDescent="0.25">
      <c r="A712">
        <v>701</v>
      </c>
      <c r="B712" t="s">
        <v>948</v>
      </c>
      <c r="C712" t="s">
        <v>151</v>
      </c>
      <c r="D712" t="s">
        <v>949</v>
      </c>
      <c r="E712" t="s">
        <v>172</v>
      </c>
      <c r="F712" t="s">
        <v>162</v>
      </c>
      <c r="G712">
        <v>1601</v>
      </c>
      <c r="H712">
        <v>1600</v>
      </c>
      <c r="I712" t="s">
        <v>575</v>
      </c>
      <c r="J712">
        <v>1401</v>
      </c>
      <c r="K712">
        <v>1400</v>
      </c>
      <c r="L712" t="s">
        <v>174</v>
      </c>
      <c r="M712">
        <v>0</v>
      </c>
      <c r="N712" t="s">
        <v>7</v>
      </c>
      <c r="O712" t="s">
        <v>7</v>
      </c>
      <c r="P712" t="s">
        <v>175</v>
      </c>
      <c r="Q712" t="s">
        <v>162</v>
      </c>
      <c r="R712" t="s">
        <v>1475</v>
      </c>
      <c r="S712">
        <v>2020</v>
      </c>
      <c r="T712">
        <v>0</v>
      </c>
      <c r="U712" t="s">
        <v>1476</v>
      </c>
      <c r="V712" t="s">
        <v>162</v>
      </c>
      <c r="W712">
        <v>0</v>
      </c>
      <c r="X712">
        <v>0</v>
      </c>
      <c r="Y712" t="s">
        <v>162</v>
      </c>
      <c r="Z712">
        <v>2020</v>
      </c>
      <c r="AA712">
        <v>2020</v>
      </c>
      <c r="AB712" s="5">
        <v>0.24827281358799999</v>
      </c>
      <c r="AC712" s="5">
        <v>0.49654562717599998</v>
      </c>
      <c r="AD712" t="s">
        <v>162</v>
      </c>
      <c r="AE712" t="s">
        <v>163</v>
      </c>
      <c r="AF712" t="s">
        <v>162</v>
      </c>
      <c r="AG712" t="s">
        <v>162</v>
      </c>
      <c r="AH712" t="s">
        <v>162</v>
      </c>
      <c r="AI712" t="s">
        <v>226</v>
      </c>
      <c r="AJ712" t="s">
        <v>163</v>
      </c>
      <c r="AK712" t="s">
        <v>162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 s="60">
        <f t="shared" si="10"/>
        <v>1</v>
      </c>
      <c r="AU712" s="95" t="s">
        <v>360</v>
      </c>
      <c r="AV712" s="94" t="s">
        <v>165</v>
      </c>
      <c r="AW712" t="s">
        <v>166</v>
      </c>
      <c r="AX712">
        <v>1</v>
      </c>
      <c r="AY712" t="s">
        <v>167</v>
      </c>
      <c r="AZ712" t="s">
        <v>162</v>
      </c>
    </row>
    <row r="713" spans="1:52" x14ac:dyDescent="0.25">
      <c r="A713">
        <v>702</v>
      </c>
      <c r="B713" t="s">
        <v>345</v>
      </c>
      <c r="C713" t="s">
        <v>180</v>
      </c>
      <c r="D713" t="s">
        <v>346</v>
      </c>
      <c r="E713" t="s">
        <v>172</v>
      </c>
      <c r="F713" t="s">
        <v>162</v>
      </c>
      <c r="G713">
        <v>6900</v>
      </c>
      <c r="H713">
        <v>6901</v>
      </c>
      <c r="I713" t="s">
        <v>1477</v>
      </c>
      <c r="J713">
        <v>6700</v>
      </c>
      <c r="K713">
        <v>6701</v>
      </c>
      <c r="L713" t="s">
        <v>1478</v>
      </c>
      <c r="M713">
        <v>0</v>
      </c>
      <c r="N713" t="s">
        <v>9</v>
      </c>
      <c r="O713" t="s">
        <v>9</v>
      </c>
      <c r="P713" t="s">
        <v>175</v>
      </c>
      <c r="Q713" t="s">
        <v>162</v>
      </c>
      <c r="R713" t="s">
        <v>162</v>
      </c>
      <c r="S713">
        <v>2019</v>
      </c>
      <c r="T713">
        <v>0</v>
      </c>
      <c r="U713" t="s">
        <v>783</v>
      </c>
      <c r="V713" t="s">
        <v>162</v>
      </c>
      <c r="W713">
        <v>0</v>
      </c>
      <c r="X713">
        <v>0</v>
      </c>
      <c r="Y713" t="s">
        <v>162</v>
      </c>
      <c r="Z713">
        <v>2019</v>
      </c>
      <c r="AA713">
        <v>0</v>
      </c>
      <c r="AB713" s="5">
        <v>0.24516713726600001</v>
      </c>
      <c r="AC713" s="5">
        <v>0.49033427453200001</v>
      </c>
      <c r="AD713" t="s">
        <v>154</v>
      </c>
      <c r="AE713" t="s">
        <v>163</v>
      </c>
      <c r="AF713" t="s">
        <v>154</v>
      </c>
      <c r="AG713" t="s">
        <v>154</v>
      </c>
      <c r="AH713" t="s">
        <v>162</v>
      </c>
      <c r="AI713" t="s">
        <v>154</v>
      </c>
      <c r="AJ713" t="s">
        <v>162</v>
      </c>
      <c r="AK713" t="s">
        <v>162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0</v>
      </c>
      <c r="AT713" s="60">
        <f t="shared" si="10"/>
        <v>1</v>
      </c>
      <c r="AU713" s="95" t="s">
        <v>360</v>
      </c>
      <c r="AV713" t="s">
        <v>165</v>
      </c>
      <c r="AW713" t="s">
        <v>166</v>
      </c>
      <c r="AX713">
        <v>2</v>
      </c>
      <c r="AY713" t="s">
        <v>167</v>
      </c>
      <c r="AZ713" t="s">
        <v>162</v>
      </c>
    </row>
    <row r="714" spans="1:52" x14ac:dyDescent="0.25">
      <c r="A714">
        <v>703</v>
      </c>
      <c r="B714" t="s">
        <v>1135</v>
      </c>
      <c r="C714" t="s">
        <v>151</v>
      </c>
      <c r="D714" t="s">
        <v>1479</v>
      </c>
      <c r="E714" t="s">
        <v>172</v>
      </c>
      <c r="F714" t="s">
        <v>162</v>
      </c>
      <c r="G714">
        <v>51</v>
      </c>
      <c r="H714">
        <v>50</v>
      </c>
      <c r="I714" t="s">
        <v>1280</v>
      </c>
      <c r="J714">
        <v>1</v>
      </c>
      <c r="K714">
        <v>2</v>
      </c>
      <c r="L714" t="s">
        <v>639</v>
      </c>
      <c r="M714">
        <v>0</v>
      </c>
      <c r="N714" t="s">
        <v>9</v>
      </c>
      <c r="O714" t="s">
        <v>9</v>
      </c>
      <c r="P714" t="s">
        <v>175</v>
      </c>
      <c r="Q714" t="s">
        <v>162</v>
      </c>
      <c r="R714" t="s">
        <v>162</v>
      </c>
      <c r="S714">
        <v>2019</v>
      </c>
      <c r="T714">
        <v>0</v>
      </c>
      <c r="U714" t="s">
        <v>162</v>
      </c>
      <c r="V714" t="s">
        <v>162</v>
      </c>
      <c r="W714">
        <v>0</v>
      </c>
      <c r="X714">
        <v>0</v>
      </c>
      <c r="Y714" t="s">
        <v>162</v>
      </c>
      <c r="Z714">
        <v>2019</v>
      </c>
      <c r="AA714">
        <v>0</v>
      </c>
      <c r="AB714" s="5">
        <v>8.8901296360099996E-2</v>
      </c>
      <c r="AC714" s="5">
        <v>0.17780259272000001</v>
      </c>
      <c r="AD714" t="s">
        <v>162</v>
      </c>
      <c r="AE714" t="s">
        <v>163</v>
      </c>
      <c r="AF714" t="s">
        <v>162</v>
      </c>
      <c r="AG714" t="s">
        <v>162</v>
      </c>
      <c r="AH714" t="s">
        <v>162</v>
      </c>
      <c r="AI714" t="s">
        <v>162</v>
      </c>
      <c r="AJ714" t="s">
        <v>162</v>
      </c>
      <c r="AK714" t="s">
        <v>162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 s="60">
        <f t="shared" si="10"/>
        <v>1</v>
      </c>
      <c r="AU714" s="95" t="s">
        <v>1480</v>
      </c>
      <c r="AV714" s="94" t="s">
        <v>165</v>
      </c>
      <c r="AW714" t="s">
        <v>163</v>
      </c>
      <c r="AX714">
        <v>2</v>
      </c>
      <c r="AY714" t="s">
        <v>167</v>
      </c>
      <c r="AZ714" t="s">
        <v>162</v>
      </c>
    </row>
    <row r="715" spans="1:52" x14ac:dyDescent="0.25">
      <c r="A715">
        <v>704</v>
      </c>
      <c r="B715" t="s">
        <v>1481</v>
      </c>
      <c r="C715" t="s">
        <v>203</v>
      </c>
      <c r="D715" t="s">
        <v>1482</v>
      </c>
      <c r="E715" t="s">
        <v>172</v>
      </c>
      <c r="F715" t="s">
        <v>162</v>
      </c>
      <c r="G715">
        <v>1</v>
      </c>
      <c r="H715">
        <v>2</v>
      </c>
      <c r="I715" t="s">
        <v>639</v>
      </c>
      <c r="J715">
        <v>401</v>
      </c>
      <c r="K715">
        <v>400</v>
      </c>
      <c r="L715" t="s">
        <v>1483</v>
      </c>
      <c r="M715">
        <v>0</v>
      </c>
      <c r="N715" t="s">
        <v>11</v>
      </c>
      <c r="O715" t="s">
        <v>11</v>
      </c>
      <c r="P715" t="s">
        <v>175</v>
      </c>
      <c r="Q715" t="s">
        <v>162</v>
      </c>
      <c r="R715" t="s">
        <v>556</v>
      </c>
      <c r="S715">
        <v>2020</v>
      </c>
      <c r="T715">
        <v>8</v>
      </c>
      <c r="U715" t="s">
        <v>162</v>
      </c>
      <c r="V715" t="s">
        <v>162</v>
      </c>
      <c r="W715">
        <v>0</v>
      </c>
      <c r="X715">
        <v>0</v>
      </c>
      <c r="Y715" t="s">
        <v>162</v>
      </c>
      <c r="Z715">
        <v>2020</v>
      </c>
      <c r="AA715">
        <v>2020</v>
      </c>
      <c r="AB715" s="5">
        <v>0.49839107923300002</v>
      </c>
      <c r="AC715" s="5">
        <v>0.99678215846600005</v>
      </c>
      <c r="AD715" t="s">
        <v>162</v>
      </c>
      <c r="AE715" t="s">
        <v>163</v>
      </c>
      <c r="AF715" t="s">
        <v>162</v>
      </c>
      <c r="AG715" t="s">
        <v>162</v>
      </c>
      <c r="AH715" t="s">
        <v>162</v>
      </c>
      <c r="AI715" t="s">
        <v>162</v>
      </c>
      <c r="AJ715" t="s">
        <v>162</v>
      </c>
      <c r="AK715" t="s">
        <v>162</v>
      </c>
      <c r="AL715">
        <v>0</v>
      </c>
      <c r="AM715">
        <v>0</v>
      </c>
      <c r="AN715">
        <v>0</v>
      </c>
      <c r="AO715">
        <v>0</v>
      </c>
      <c r="AP715">
        <v>1</v>
      </c>
      <c r="AQ715">
        <v>0</v>
      </c>
      <c r="AR715">
        <v>0</v>
      </c>
      <c r="AS715">
        <v>0</v>
      </c>
      <c r="AT715" s="60">
        <f t="shared" ref="AT715:AT778" si="11">SUM(AM715:AS715)</f>
        <v>1</v>
      </c>
      <c r="AU715" s="95" t="s">
        <v>1480</v>
      </c>
      <c r="AV715" t="s">
        <v>165</v>
      </c>
      <c r="AW715" t="s">
        <v>162</v>
      </c>
      <c r="AX715">
        <v>3</v>
      </c>
      <c r="AY715" t="s">
        <v>167</v>
      </c>
      <c r="AZ715" t="s">
        <v>162</v>
      </c>
    </row>
    <row r="716" spans="1:52" x14ac:dyDescent="0.25">
      <c r="A716">
        <v>705</v>
      </c>
      <c r="B716" t="s">
        <v>1484</v>
      </c>
      <c r="C716" t="s">
        <v>180</v>
      </c>
      <c r="D716" t="s">
        <v>1485</v>
      </c>
      <c r="E716" t="s">
        <v>216</v>
      </c>
      <c r="F716" t="s">
        <v>162</v>
      </c>
      <c r="G716">
        <v>8301</v>
      </c>
      <c r="H716">
        <v>8033</v>
      </c>
      <c r="I716" t="s">
        <v>788</v>
      </c>
      <c r="J716">
        <v>9401</v>
      </c>
      <c r="K716">
        <v>9400</v>
      </c>
      <c r="L716" t="s">
        <v>1486</v>
      </c>
      <c r="M716">
        <v>0</v>
      </c>
      <c r="N716" t="s">
        <v>15</v>
      </c>
      <c r="O716" t="s">
        <v>15</v>
      </c>
      <c r="P716" t="s">
        <v>175</v>
      </c>
      <c r="Q716" t="s">
        <v>162</v>
      </c>
      <c r="R716" t="s">
        <v>1487</v>
      </c>
      <c r="S716">
        <v>2020</v>
      </c>
      <c r="T716">
        <v>6</v>
      </c>
      <c r="U716" t="s">
        <v>162</v>
      </c>
      <c r="V716" t="s">
        <v>162</v>
      </c>
      <c r="W716">
        <v>0</v>
      </c>
      <c r="X716">
        <v>0</v>
      </c>
      <c r="Y716" t="s">
        <v>162</v>
      </c>
      <c r="Z716">
        <v>2020</v>
      </c>
      <c r="AA716">
        <v>0</v>
      </c>
      <c r="AB716" s="5">
        <v>1.3870839693000001</v>
      </c>
      <c r="AC716" s="5">
        <v>2.7741679386000002</v>
      </c>
      <c r="AD716" t="s">
        <v>162</v>
      </c>
      <c r="AE716" t="s">
        <v>162</v>
      </c>
      <c r="AF716" t="s">
        <v>162</v>
      </c>
      <c r="AG716" t="s">
        <v>162</v>
      </c>
      <c r="AH716" t="s">
        <v>162</v>
      </c>
      <c r="AI716" t="s">
        <v>162</v>
      </c>
      <c r="AJ716" t="s">
        <v>162</v>
      </c>
      <c r="AK716" t="s">
        <v>162</v>
      </c>
      <c r="AL716">
        <v>0</v>
      </c>
      <c r="AM716">
        <v>0</v>
      </c>
      <c r="AN716">
        <v>0</v>
      </c>
      <c r="AO716">
        <v>0</v>
      </c>
      <c r="AP716">
        <v>0.75</v>
      </c>
      <c r="AQ716">
        <v>0</v>
      </c>
      <c r="AR716">
        <v>0.25</v>
      </c>
      <c r="AS716">
        <v>0</v>
      </c>
      <c r="AT716" s="60">
        <f t="shared" si="11"/>
        <v>1</v>
      </c>
      <c r="AU716" s="95" t="s">
        <v>1480</v>
      </c>
      <c r="AV716" s="94" t="s">
        <v>165</v>
      </c>
      <c r="AW716" t="s">
        <v>162</v>
      </c>
      <c r="AX716">
        <v>3</v>
      </c>
      <c r="AY716" t="s">
        <v>275</v>
      </c>
      <c r="AZ716" t="s">
        <v>154</v>
      </c>
    </row>
    <row r="717" spans="1:52" x14ac:dyDescent="0.25">
      <c r="A717">
        <v>706</v>
      </c>
      <c r="B717" t="s">
        <v>1365</v>
      </c>
      <c r="C717" t="s">
        <v>180</v>
      </c>
      <c r="D717" t="s">
        <v>1366</v>
      </c>
      <c r="E717" t="s">
        <v>216</v>
      </c>
      <c r="F717" t="s">
        <v>162</v>
      </c>
      <c r="G717">
        <v>9501</v>
      </c>
      <c r="H717">
        <v>9500</v>
      </c>
      <c r="I717" t="s">
        <v>456</v>
      </c>
      <c r="J717">
        <v>10001</v>
      </c>
      <c r="K717">
        <v>10000</v>
      </c>
      <c r="L717" t="s">
        <v>1292</v>
      </c>
      <c r="M717">
        <v>0</v>
      </c>
      <c r="N717" t="s">
        <v>9</v>
      </c>
      <c r="O717" t="s">
        <v>9</v>
      </c>
      <c r="P717" t="s">
        <v>175</v>
      </c>
      <c r="Q717" t="s">
        <v>162</v>
      </c>
      <c r="R717" t="s">
        <v>1487</v>
      </c>
      <c r="S717">
        <v>2020</v>
      </c>
      <c r="T717">
        <v>6</v>
      </c>
      <c r="U717" t="s">
        <v>162</v>
      </c>
      <c r="V717" t="s">
        <v>162</v>
      </c>
      <c r="W717">
        <v>0</v>
      </c>
      <c r="X717">
        <v>0</v>
      </c>
      <c r="Y717" t="s">
        <v>162</v>
      </c>
      <c r="Z717">
        <v>2020</v>
      </c>
      <c r="AA717">
        <v>0</v>
      </c>
      <c r="AB717" s="5">
        <v>0.62880060126699999</v>
      </c>
      <c r="AC717" s="5">
        <v>1.2576012025300001</v>
      </c>
      <c r="AD717" t="s">
        <v>162</v>
      </c>
      <c r="AE717" t="s">
        <v>162</v>
      </c>
      <c r="AF717" t="s">
        <v>162</v>
      </c>
      <c r="AG717" t="s">
        <v>162</v>
      </c>
      <c r="AH717" t="s">
        <v>162</v>
      </c>
      <c r="AI717" t="s">
        <v>162</v>
      </c>
      <c r="AJ717" t="s">
        <v>162</v>
      </c>
      <c r="AK717" t="s">
        <v>162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 s="60">
        <f t="shared" si="11"/>
        <v>1</v>
      </c>
      <c r="AU717" s="95" t="s">
        <v>1480</v>
      </c>
      <c r="AV717" s="94" t="s">
        <v>165</v>
      </c>
      <c r="AW717" t="s">
        <v>163</v>
      </c>
      <c r="AX717">
        <v>2</v>
      </c>
      <c r="AY717" t="s">
        <v>167</v>
      </c>
      <c r="AZ717" t="s">
        <v>162</v>
      </c>
    </row>
    <row r="718" spans="1:52" x14ac:dyDescent="0.25">
      <c r="A718">
        <v>707</v>
      </c>
      <c r="B718" t="s">
        <v>1488</v>
      </c>
      <c r="C718" t="s">
        <v>151</v>
      </c>
      <c r="D718" t="s">
        <v>1489</v>
      </c>
      <c r="E718" t="s">
        <v>172</v>
      </c>
      <c r="F718" t="s">
        <v>162</v>
      </c>
      <c r="G718">
        <v>701</v>
      </c>
      <c r="H718">
        <v>700</v>
      </c>
      <c r="I718" t="s">
        <v>1490</v>
      </c>
      <c r="J718">
        <v>901</v>
      </c>
      <c r="K718">
        <v>900</v>
      </c>
      <c r="L718" t="s">
        <v>1123</v>
      </c>
      <c r="M718">
        <v>0</v>
      </c>
      <c r="N718" t="s">
        <v>7</v>
      </c>
      <c r="O718" t="s">
        <v>7</v>
      </c>
      <c r="P718" t="s">
        <v>175</v>
      </c>
      <c r="Q718" t="s">
        <v>162</v>
      </c>
      <c r="R718" t="s">
        <v>1487</v>
      </c>
      <c r="S718">
        <v>2020</v>
      </c>
      <c r="T718">
        <v>0</v>
      </c>
      <c r="U718" t="s">
        <v>162</v>
      </c>
      <c r="V718" t="s">
        <v>162</v>
      </c>
      <c r="W718">
        <v>0</v>
      </c>
      <c r="X718">
        <v>0</v>
      </c>
      <c r="Y718" t="s">
        <v>162</v>
      </c>
      <c r="Z718">
        <v>2020</v>
      </c>
      <c r="AA718">
        <v>0</v>
      </c>
      <c r="AB718" s="5">
        <v>0.29507360978800001</v>
      </c>
      <c r="AC718" s="5">
        <v>0.59014721957600003</v>
      </c>
      <c r="AD718" t="s">
        <v>162</v>
      </c>
      <c r="AE718" t="s">
        <v>162</v>
      </c>
      <c r="AF718" t="s">
        <v>162</v>
      </c>
      <c r="AG718" t="s">
        <v>162</v>
      </c>
      <c r="AH718" t="s">
        <v>162</v>
      </c>
      <c r="AI718" t="s">
        <v>226</v>
      </c>
      <c r="AJ718" t="s">
        <v>154</v>
      </c>
      <c r="AK718" t="s">
        <v>162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 s="60">
        <f t="shared" si="11"/>
        <v>1</v>
      </c>
      <c r="AU718" s="95" t="s">
        <v>227</v>
      </c>
      <c r="AV718" t="s">
        <v>165</v>
      </c>
      <c r="AW718" t="s">
        <v>166</v>
      </c>
      <c r="AX718">
        <v>1</v>
      </c>
      <c r="AY718" t="s">
        <v>167</v>
      </c>
      <c r="AZ718" t="s">
        <v>162</v>
      </c>
    </row>
    <row r="719" spans="1:52" x14ac:dyDescent="0.25">
      <c r="A719">
        <v>708</v>
      </c>
      <c r="B719" t="s">
        <v>1488</v>
      </c>
      <c r="C719" t="s">
        <v>151</v>
      </c>
      <c r="D719" t="s">
        <v>1489</v>
      </c>
      <c r="E719" t="s">
        <v>172</v>
      </c>
      <c r="F719" t="s">
        <v>162</v>
      </c>
      <c r="G719">
        <v>1</v>
      </c>
      <c r="H719">
        <v>2</v>
      </c>
      <c r="I719" t="s">
        <v>639</v>
      </c>
      <c r="J719">
        <v>701</v>
      </c>
      <c r="K719">
        <v>700</v>
      </c>
      <c r="L719" t="s">
        <v>1490</v>
      </c>
      <c r="M719">
        <v>0</v>
      </c>
      <c r="N719" t="s">
        <v>11</v>
      </c>
      <c r="O719" t="s">
        <v>327</v>
      </c>
      <c r="P719" t="s">
        <v>175</v>
      </c>
      <c r="Q719" t="s">
        <v>162</v>
      </c>
      <c r="R719" t="s">
        <v>1487</v>
      </c>
      <c r="S719">
        <v>2020</v>
      </c>
      <c r="T719">
        <v>8</v>
      </c>
      <c r="U719" t="s">
        <v>557</v>
      </c>
      <c r="V719" t="s">
        <v>162</v>
      </c>
      <c r="W719">
        <v>0</v>
      </c>
      <c r="X719">
        <v>0</v>
      </c>
      <c r="Y719" t="s">
        <v>162</v>
      </c>
      <c r="Z719">
        <v>2020</v>
      </c>
      <c r="AA719">
        <v>0</v>
      </c>
      <c r="AB719" s="5">
        <v>0.87060144455400001</v>
      </c>
      <c r="AC719" s="5">
        <v>1.74120288911</v>
      </c>
      <c r="AD719" t="s">
        <v>162</v>
      </c>
      <c r="AE719" t="s">
        <v>162</v>
      </c>
      <c r="AF719" t="s">
        <v>162</v>
      </c>
      <c r="AG719" t="s">
        <v>162</v>
      </c>
      <c r="AH719" t="s">
        <v>162</v>
      </c>
      <c r="AI719" t="s">
        <v>162</v>
      </c>
      <c r="AJ719" t="s">
        <v>162</v>
      </c>
      <c r="AK719" t="s">
        <v>162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 s="60">
        <f t="shared" si="11"/>
        <v>1</v>
      </c>
      <c r="AU719" s="95" t="s">
        <v>1480</v>
      </c>
      <c r="AV719" s="94" t="s">
        <v>165</v>
      </c>
      <c r="AW719" t="s">
        <v>162</v>
      </c>
      <c r="AX719">
        <v>2</v>
      </c>
      <c r="AY719" t="s">
        <v>167</v>
      </c>
      <c r="AZ719" t="s">
        <v>162</v>
      </c>
    </row>
    <row r="720" spans="1:52" x14ac:dyDescent="0.25">
      <c r="A720">
        <v>709</v>
      </c>
      <c r="B720" t="s">
        <v>345</v>
      </c>
      <c r="C720" t="s">
        <v>180</v>
      </c>
      <c r="D720" t="s">
        <v>346</v>
      </c>
      <c r="E720" t="s">
        <v>172</v>
      </c>
      <c r="F720" t="s">
        <v>162</v>
      </c>
      <c r="G720">
        <v>11900</v>
      </c>
      <c r="H720">
        <v>11901</v>
      </c>
      <c r="I720" t="s">
        <v>1472</v>
      </c>
      <c r="J720">
        <v>12401</v>
      </c>
      <c r="K720">
        <v>12400</v>
      </c>
      <c r="L720" t="s">
        <v>1491</v>
      </c>
      <c r="M720">
        <v>0</v>
      </c>
      <c r="N720" t="s">
        <v>11</v>
      </c>
      <c r="O720" t="s">
        <v>327</v>
      </c>
      <c r="P720" t="s">
        <v>175</v>
      </c>
      <c r="Q720" t="s">
        <v>162</v>
      </c>
      <c r="R720" t="s">
        <v>1487</v>
      </c>
      <c r="S720">
        <v>2020</v>
      </c>
      <c r="T720">
        <v>5</v>
      </c>
      <c r="U720" t="s">
        <v>517</v>
      </c>
      <c r="V720" t="s">
        <v>162</v>
      </c>
      <c r="W720">
        <v>0</v>
      </c>
      <c r="X720">
        <v>0</v>
      </c>
      <c r="Y720" t="s">
        <v>162</v>
      </c>
      <c r="Z720">
        <v>2020</v>
      </c>
      <c r="AA720">
        <v>0</v>
      </c>
      <c r="AB720" s="5">
        <v>0.62872271940199997</v>
      </c>
      <c r="AC720" s="5">
        <v>1.2574454388</v>
      </c>
      <c r="AD720" t="s">
        <v>162</v>
      </c>
      <c r="AE720" t="s">
        <v>162</v>
      </c>
      <c r="AF720" t="s">
        <v>162</v>
      </c>
      <c r="AG720" t="s">
        <v>162</v>
      </c>
      <c r="AH720" t="s">
        <v>162</v>
      </c>
      <c r="AI720" t="s">
        <v>162</v>
      </c>
      <c r="AJ720" t="s">
        <v>162</v>
      </c>
      <c r="AK720" t="s">
        <v>162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 s="60">
        <f t="shared" si="11"/>
        <v>1</v>
      </c>
      <c r="AU720" s="95" t="s">
        <v>1480</v>
      </c>
      <c r="AV720" s="94" t="s">
        <v>165</v>
      </c>
      <c r="AW720" t="s">
        <v>162</v>
      </c>
      <c r="AX720">
        <v>2</v>
      </c>
      <c r="AY720" t="s">
        <v>167</v>
      </c>
      <c r="AZ720" t="s">
        <v>162</v>
      </c>
    </row>
    <row r="721" spans="1:52" x14ac:dyDescent="0.25">
      <c r="A721">
        <v>710</v>
      </c>
      <c r="B721" t="s">
        <v>1492</v>
      </c>
      <c r="C721" t="s">
        <v>151</v>
      </c>
      <c r="D721" t="s">
        <v>1493</v>
      </c>
      <c r="E721" t="s">
        <v>172</v>
      </c>
      <c r="F721" t="s">
        <v>162</v>
      </c>
      <c r="G721">
        <v>1</v>
      </c>
      <c r="H721">
        <v>2</v>
      </c>
      <c r="I721" t="s">
        <v>639</v>
      </c>
      <c r="J721">
        <v>801</v>
      </c>
      <c r="K721">
        <v>800</v>
      </c>
      <c r="L721" t="s">
        <v>576</v>
      </c>
      <c r="M721">
        <v>0</v>
      </c>
      <c r="N721" t="s">
        <v>13</v>
      </c>
      <c r="O721" t="s">
        <v>13</v>
      </c>
      <c r="P721" t="s">
        <v>175</v>
      </c>
      <c r="Q721" t="s">
        <v>162</v>
      </c>
      <c r="R721" t="s">
        <v>1487</v>
      </c>
      <c r="S721">
        <v>2020</v>
      </c>
      <c r="T721">
        <v>5</v>
      </c>
      <c r="U721" t="s">
        <v>162</v>
      </c>
      <c r="V721" t="s">
        <v>162</v>
      </c>
      <c r="W721">
        <v>0</v>
      </c>
      <c r="X721">
        <v>0</v>
      </c>
      <c r="Y721" t="s">
        <v>162</v>
      </c>
      <c r="Z721">
        <v>2020</v>
      </c>
      <c r="AA721">
        <v>0</v>
      </c>
      <c r="AB721" s="5">
        <v>0.996313346386</v>
      </c>
      <c r="AC721" s="5">
        <v>1.99262669277</v>
      </c>
      <c r="AD721" t="s">
        <v>162</v>
      </c>
      <c r="AE721" t="s">
        <v>162</v>
      </c>
      <c r="AF721" t="s">
        <v>162</v>
      </c>
      <c r="AG721" t="s">
        <v>162</v>
      </c>
      <c r="AH721" t="s">
        <v>162</v>
      </c>
      <c r="AI721" t="s">
        <v>162</v>
      </c>
      <c r="AJ721" t="s">
        <v>162</v>
      </c>
      <c r="AK721" t="s">
        <v>162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 s="60">
        <f t="shared" si="11"/>
        <v>1</v>
      </c>
      <c r="AU721" s="95" t="s">
        <v>1480</v>
      </c>
      <c r="AV721" t="s">
        <v>165</v>
      </c>
      <c r="AW721" t="s">
        <v>162</v>
      </c>
      <c r="AX721">
        <v>3</v>
      </c>
      <c r="AY721" t="s">
        <v>275</v>
      </c>
      <c r="AZ721" t="s">
        <v>154</v>
      </c>
    </row>
    <row r="722" spans="1:52" x14ac:dyDescent="0.25">
      <c r="A722">
        <v>711</v>
      </c>
      <c r="B722" t="s">
        <v>1494</v>
      </c>
      <c r="C722" t="s">
        <v>180</v>
      </c>
      <c r="D722" t="s">
        <v>925</v>
      </c>
      <c r="E722" t="s">
        <v>222</v>
      </c>
      <c r="F722" t="s">
        <v>162</v>
      </c>
      <c r="G722">
        <v>7100</v>
      </c>
      <c r="H722">
        <v>7101</v>
      </c>
      <c r="I722" t="s">
        <v>1220</v>
      </c>
      <c r="J722">
        <v>6700</v>
      </c>
      <c r="K722">
        <v>6700</v>
      </c>
      <c r="L722" t="s">
        <v>461</v>
      </c>
      <c r="M722">
        <v>0</v>
      </c>
      <c r="N722" t="s">
        <v>11</v>
      </c>
      <c r="O722" t="s">
        <v>13</v>
      </c>
      <c r="P722" t="s">
        <v>175</v>
      </c>
      <c r="Q722" t="s">
        <v>162</v>
      </c>
      <c r="R722" t="s">
        <v>1487</v>
      </c>
      <c r="S722">
        <v>2020</v>
      </c>
      <c r="T722">
        <v>0</v>
      </c>
      <c r="U722" t="s">
        <v>162</v>
      </c>
      <c r="V722" t="s">
        <v>162</v>
      </c>
      <c r="W722">
        <v>0</v>
      </c>
      <c r="X722">
        <v>0</v>
      </c>
      <c r="Y722" t="s">
        <v>162</v>
      </c>
      <c r="Z722">
        <v>2020</v>
      </c>
      <c r="AA722">
        <v>0</v>
      </c>
      <c r="AB722" s="5">
        <v>0.50254561599900005</v>
      </c>
      <c r="AC722" s="5">
        <v>1.0050912320000001</v>
      </c>
      <c r="AD722" t="s">
        <v>162</v>
      </c>
      <c r="AE722" t="s">
        <v>163</v>
      </c>
      <c r="AF722" t="s">
        <v>162</v>
      </c>
      <c r="AG722" t="s">
        <v>162</v>
      </c>
      <c r="AH722" t="s">
        <v>162</v>
      </c>
      <c r="AI722" t="s">
        <v>162</v>
      </c>
      <c r="AJ722" t="s">
        <v>162</v>
      </c>
      <c r="AK722" t="s">
        <v>162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 s="60">
        <f t="shared" si="11"/>
        <v>1</v>
      </c>
      <c r="AU722" s="95" t="s">
        <v>1480</v>
      </c>
      <c r="AV722" s="94" t="s">
        <v>165</v>
      </c>
      <c r="AW722" t="s">
        <v>162</v>
      </c>
      <c r="AX722">
        <v>3</v>
      </c>
      <c r="AY722" t="s">
        <v>167</v>
      </c>
      <c r="AZ722" t="s">
        <v>154</v>
      </c>
    </row>
    <row r="723" spans="1:52" x14ac:dyDescent="0.25">
      <c r="A723">
        <v>712</v>
      </c>
      <c r="B723" t="s">
        <v>1494</v>
      </c>
      <c r="C723" t="s">
        <v>180</v>
      </c>
      <c r="D723" t="s">
        <v>925</v>
      </c>
      <c r="E723" t="s">
        <v>222</v>
      </c>
      <c r="F723" t="s">
        <v>162</v>
      </c>
      <c r="G723">
        <v>7600</v>
      </c>
      <c r="H723">
        <v>7601</v>
      </c>
      <c r="I723" t="s">
        <v>358</v>
      </c>
      <c r="J723">
        <v>7100</v>
      </c>
      <c r="K723">
        <v>7100</v>
      </c>
      <c r="L723" t="s">
        <v>1220</v>
      </c>
      <c r="M723">
        <v>0</v>
      </c>
      <c r="N723" t="s">
        <v>7</v>
      </c>
      <c r="O723" t="s">
        <v>7</v>
      </c>
      <c r="P723" t="s">
        <v>175</v>
      </c>
      <c r="Q723" t="s">
        <v>162</v>
      </c>
      <c r="R723" t="s">
        <v>1487</v>
      </c>
      <c r="S723">
        <v>2020</v>
      </c>
      <c r="T723">
        <v>0</v>
      </c>
      <c r="U723" t="s">
        <v>162</v>
      </c>
      <c r="V723" t="s">
        <v>162</v>
      </c>
      <c r="W723">
        <v>0</v>
      </c>
      <c r="X723">
        <v>0</v>
      </c>
      <c r="Y723" t="s">
        <v>162</v>
      </c>
      <c r="Z723">
        <v>2020</v>
      </c>
      <c r="AA723">
        <v>0</v>
      </c>
      <c r="AB723" s="5">
        <v>0.62798265000800002</v>
      </c>
      <c r="AC723" s="5">
        <v>1.25596530002</v>
      </c>
      <c r="AD723" t="s">
        <v>154</v>
      </c>
      <c r="AE723" t="s">
        <v>154</v>
      </c>
      <c r="AF723" t="s">
        <v>154</v>
      </c>
      <c r="AG723" t="s">
        <v>154</v>
      </c>
      <c r="AH723" t="s">
        <v>154</v>
      </c>
      <c r="AI723" t="s">
        <v>226</v>
      </c>
      <c r="AJ723" t="s">
        <v>154</v>
      </c>
      <c r="AK723" t="s">
        <v>162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0.75</v>
      </c>
      <c r="AR723">
        <v>0.25</v>
      </c>
      <c r="AS723">
        <v>0</v>
      </c>
      <c r="AT723" s="60">
        <f t="shared" si="11"/>
        <v>1</v>
      </c>
      <c r="AU723" s="95" t="s">
        <v>360</v>
      </c>
      <c r="AV723" t="s">
        <v>165</v>
      </c>
      <c r="AW723" t="s">
        <v>166</v>
      </c>
      <c r="AX723">
        <v>1</v>
      </c>
      <c r="AY723" t="s">
        <v>167</v>
      </c>
      <c r="AZ723" t="s">
        <v>154</v>
      </c>
    </row>
    <row r="724" spans="1:52" x14ac:dyDescent="0.25">
      <c r="A724">
        <v>713</v>
      </c>
      <c r="B724" t="s">
        <v>1494</v>
      </c>
      <c r="C724" t="s">
        <v>180</v>
      </c>
      <c r="D724" t="s">
        <v>925</v>
      </c>
      <c r="E724" t="s">
        <v>222</v>
      </c>
      <c r="F724" t="s">
        <v>162</v>
      </c>
      <c r="G724">
        <v>8300</v>
      </c>
      <c r="H724">
        <v>8301</v>
      </c>
      <c r="I724" t="s">
        <v>1095</v>
      </c>
      <c r="J724">
        <v>7600</v>
      </c>
      <c r="K724">
        <v>7601</v>
      </c>
      <c r="L724" t="s">
        <v>358</v>
      </c>
      <c r="M724">
        <v>0</v>
      </c>
      <c r="N724" t="s">
        <v>11</v>
      </c>
      <c r="O724" t="s">
        <v>11</v>
      </c>
      <c r="P724" t="s">
        <v>175</v>
      </c>
      <c r="Q724" t="s">
        <v>162</v>
      </c>
      <c r="R724" t="s">
        <v>1487</v>
      </c>
      <c r="S724">
        <v>2020</v>
      </c>
      <c r="T724">
        <v>0</v>
      </c>
      <c r="U724" t="s">
        <v>517</v>
      </c>
      <c r="V724" t="s">
        <v>162</v>
      </c>
      <c r="W724">
        <v>0</v>
      </c>
      <c r="X724">
        <v>0</v>
      </c>
      <c r="Y724" t="s">
        <v>162</v>
      </c>
      <c r="Z724">
        <v>2020</v>
      </c>
      <c r="AA724">
        <v>0</v>
      </c>
      <c r="AB724" s="5">
        <v>0.87947549116699997</v>
      </c>
      <c r="AC724" s="5">
        <v>1.75895098233</v>
      </c>
      <c r="AD724" t="s">
        <v>162</v>
      </c>
      <c r="AE724" t="s">
        <v>162</v>
      </c>
      <c r="AF724" t="s">
        <v>162</v>
      </c>
      <c r="AG724" t="s">
        <v>162</v>
      </c>
      <c r="AH724" t="s">
        <v>162</v>
      </c>
      <c r="AI724" t="s">
        <v>162</v>
      </c>
      <c r="AJ724" t="s">
        <v>162</v>
      </c>
      <c r="AK724" t="s">
        <v>162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 s="60">
        <f t="shared" si="11"/>
        <v>1</v>
      </c>
      <c r="AU724" s="95" t="s">
        <v>1480</v>
      </c>
      <c r="AV724" s="94" t="s">
        <v>165</v>
      </c>
      <c r="AW724" t="s">
        <v>162</v>
      </c>
      <c r="AX724">
        <v>2</v>
      </c>
      <c r="AY724" t="s">
        <v>167</v>
      </c>
      <c r="AZ724" t="s">
        <v>154</v>
      </c>
    </row>
    <row r="725" spans="1:52" x14ac:dyDescent="0.25">
      <c r="A725">
        <v>714</v>
      </c>
      <c r="B725" t="s">
        <v>150</v>
      </c>
      <c r="C725" t="s">
        <v>203</v>
      </c>
      <c r="D725" t="s">
        <v>152</v>
      </c>
      <c r="E725" t="s">
        <v>153</v>
      </c>
      <c r="F725" t="s">
        <v>162</v>
      </c>
      <c r="G725">
        <v>501</v>
      </c>
      <c r="H725">
        <v>500</v>
      </c>
      <c r="I725" t="s">
        <v>251</v>
      </c>
      <c r="J725">
        <v>431</v>
      </c>
      <c r="K725">
        <v>430</v>
      </c>
      <c r="L725" t="s">
        <v>1495</v>
      </c>
      <c r="M725">
        <v>0</v>
      </c>
      <c r="N725" t="s">
        <v>9</v>
      </c>
      <c r="O725" t="s">
        <v>9</v>
      </c>
      <c r="P725" t="s">
        <v>157</v>
      </c>
      <c r="Q725" t="s">
        <v>162</v>
      </c>
      <c r="R725" t="s">
        <v>1496</v>
      </c>
      <c r="S725">
        <v>2019</v>
      </c>
      <c r="T725">
        <v>6</v>
      </c>
      <c r="U725" t="s">
        <v>162</v>
      </c>
      <c r="V725" t="s">
        <v>162</v>
      </c>
      <c r="W725">
        <v>0</v>
      </c>
      <c r="X725">
        <v>0</v>
      </c>
      <c r="Y725" t="s">
        <v>162</v>
      </c>
      <c r="Z725">
        <v>2020</v>
      </c>
      <c r="AA725">
        <v>2020</v>
      </c>
      <c r="AB725" s="5">
        <v>6.2521848501799995E-2</v>
      </c>
      <c r="AC725" s="5">
        <v>0.125043697004</v>
      </c>
      <c r="AD725" t="s">
        <v>162</v>
      </c>
      <c r="AE725" t="s">
        <v>163</v>
      </c>
      <c r="AF725" t="s">
        <v>162</v>
      </c>
      <c r="AG725" t="s">
        <v>162</v>
      </c>
      <c r="AH725" t="s">
        <v>162</v>
      </c>
      <c r="AI725" t="s">
        <v>162</v>
      </c>
      <c r="AJ725" t="s">
        <v>162</v>
      </c>
      <c r="AK725" t="s">
        <v>162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0</v>
      </c>
      <c r="AT725" s="60">
        <f t="shared" si="11"/>
        <v>1</v>
      </c>
      <c r="AU725" s="95" t="s">
        <v>1480</v>
      </c>
      <c r="AV725" t="s">
        <v>165</v>
      </c>
      <c r="AW725" t="s">
        <v>166</v>
      </c>
      <c r="AX725">
        <v>2</v>
      </c>
      <c r="AY725" t="s">
        <v>167</v>
      </c>
      <c r="AZ725" t="s">
        <v>162</v>
      </c>
    </row>
    <row r="726" spans="1:52" x14ac:dyDescent="0.25">
      <c r="A726">
        <v>715</v>
      </c>
      <c r="B726" t="s">
        <v>150</v>
      </c>
      <c r="C726" t="s">
        <v>203</v>
      </c>
      <c r="D726" t="s">
        <v>152</v>
      </c>
      <c r="E726" t="s">
        <v>153</v>
      </c>
      <c r="F726" t="s">
        <v>162</v>
      </c>
      <c r="G726">
        <v>401</v>
      </c>
      <c r="H726">
        <v>400</v>
      </c>
      <c r="I726" t="s">
        <v>1483</v>
      </c>
      <c r="J726">
        <v>331</v>
      </c>
      <c r="K726">
        <v>330</v>
      </c>
      <c r="L726" t="s">
        <v>1497</v>
      </c>
      <c r="M726">
        <v>0</v>
      </c>
      <c r="N726" t="s">
        <v>11</v>
      </c>
      <c r="O726" t="s">
        <v>11</v>
      </c>
      <c r="P726" t="s">
        <v>157</v>
      </c>
      <c r="Q726" t="s">
        <v>162</v>
      </c>
      <c r="R726" t="s">
        <v>1496</v>
      </c>
      <c r="S726">
        <v>2019</v>
      </c>
      <c r="T726">
        <v>6</v>
      </c>
      <c r="U726" t="s">
        <v>162</v>
      </c>
      <c r="V726" t="s">
        <v>162</v>
      </c>
      <c r="W726">
        <v>0</v>
      </c>
      <c r="X726">
        <v>0</v>
      </c>
      <c r="Y726" t="s">
        <v>162</v>
      </c>
      <c r="Z726">
        <v>2020</v>
      </c>
      <c r="AA726">
        <v>2020</v>
      </c>
      <c r="AB726" s="5">
        <v>0.22829839803300001</v>
      </c>
      <c r="AC726" s="5">
        <v>0.45659679606600001</v>
      </c>
      <c r="AD726" t="s">
        <v>162</v>
      </c>
      <c r="AE726" t="s">
        <v>163</v>
      </c>
      <c r="AF726" t="s">
        <v>162</v>
      </c>
      <c r="AG726" t="s">
        <v>162</v>
      </c>
      <c r="AH726" t="s">
        <v>162</v>
      </c>
      <c r="AI726" t="s">
        <v>162</v>
      </c>
      <c r="AJ726" t="s">
        <v>162</v>
      </c>
      <c r="AK726" t="s">
        <v>162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 s="60">
        <f t="shared" si="11"/>
        <v>1</v>
      </c>
      <c r="AU726" s="95" t="s">
        <v>1480</v>
      </c>
      <c r="AV726" t="s">
        <v>165</v>
      </c>
      <c r="AW726" t="s">
        <v>162</v>
      </c>
      <c r="AX726">
        <v>2</v>
      </c>
      <c r="AY726" t="s">
        <v>167</v>
      </c>
      <c r="AZ726" t="s">
        <v>162</v>
      </c>
    </row>
    <row r="727" spans="1:52" x14ac:dyDescent="0.25">
      <c r="A727">
        <v>716</v>
      </c>
      <c r="B727" t="s">
        <v>150</v>
      </c>
      <c r="C727" t="s">
        <v>203</v>
      </c>
      <c r="D727" t="s">
        <v>152</v>
      </c>
      <c r="E727" t="s">
        <v>153</v>
      </c>
      <c r="F727" t="s">
        <v>162</v>
      </c>
      <c r="G727">
        <v>331</v>
      </c>
      <c r="H727">
        <v>330</v>
      </c>
      <c r="I727" t="s">
        <v>1497</v>
      </c>
      <c r="J727">
        <v>101</v>
      </c>
      <c r="K727">
        <v>100</v>
      </c>
      <c r="L727" t="s">
        <v>1498</v>
      </c>
      <c r="M727">
        <v>0</v>
      </c>
      <c r="N727" t="s">
        <v>9</v>
      </c>
      <c r="O727" t="s">
        <v>9</v>
      </c>
      <c r="P727" t="s">
        <v>157</v>
      </c>
      <c r="Q727" t="s">
        <v>162</v>
      </c>
      <c r="R727" t="s">
        <v>1496</v>
      </c>
      <c r="S727">
        <v>2019</v>
      </c>
      <c r="T727">
        <v>6</v>
      </c>
      <c r="U727" t="s">
        <v>162</v>
      </c>
      <c r="V727" t="s">
        <v>162</v>
      </c>
      <c r="W727">
        <v>0</v>
      </c>
      <c r="X727">
        <v>0</v>
      </c>
      <c r="Y727" t="s">
        <v>162</v>
      </c>
      <c r="Z727">
        <v>2020</v>
      </c>
      <c r="AA727">
        <v>2020</v>
      </c>
      <c r="AB727" s="5">
        <v>0.14566037899699999</v>
      </c>
      <c r="AC727" s="5">
        <v>0.29132075799399998</v>
      </c>
      <c r="AD727" t="s">
        <v>162</v>
      </c>
      <c r="AE727" t="s">
        <v>163</v>
      </c>
      <c r="AF727" t="s">
        <v>162</v>
      </c>
      <c r="AG727" t="s">
        <v>162</v>
      </c>
      <c r="AH727" t="s">
        <v>162</v>
      </c>
      <c r="AI727" t="s">
        <v>162</v>
      </c>
      <c r="AJ727" t="s">
        <v>162</v>
      </c>
      <c r="AK727" t="s">
        <v>162</v>
      </c>
      <c r="AL727">
        <v>0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 s="60">
        <f t="shared" si="11"/>
        <v>1</v>
      </c>
      <c r="AU727" s="95" t="s">
        <v>1480</v>
      </c>
      <c r="AV727" t="s">
        <v>165</v>
      </c>
      <c r="AW727" t="s">
        <v>166</v>
      </c>
      <c r="AX727">
        <v>2</v>
      </c>
      <c r="AY727" t="s">
        <v>167</v>
      </c>
      <c r="AZ727" t="s">
        <v>162</v>
      </c>
    </row>
    <row r="728" spans="1:52" x14ac:dyDescent="0.25">
      <c r="A728">
        <v>717</v>
      </c>
      <c r="B728" t="s">
        <v>150</v>
      </c>
      <c r="C728" t="s">
        <v>203</v>
      </c>
      <c r="D728" t="s">
        <v>152</v>
      </c>
      <c r="E728" t="s">
        <v>153</v>
      </c>
      <c r="F728" t="s">
        <v>162</v>
      </c>
      <c r="G728">
        <v>101</v>
      </c>
      <c r="H728">
        <v>100</v>
      </c>
      <c r="I728" t="s">
        <v>1498</v>
      </c>
      <c r="J728">
        <v>33</v>
      </c>
      <c r="K728">
        <v>34</v>
      </c>
      <c r="L728" t="s">
        <v>640</v>
      </c>
      <c r="M728">
        <v>0</v>
      </c>
      <c r="N728" t="s">
        <v>11</v>
      </c>
      <c r="O728" t="s">
        <v>11</v>
      </c>
      <c r="P728" t="s">
        <v>169</v>
      </c>
      <c r="Q728" t="s">
        <v>162</v>
      </c>
      <c r="R728" t="s">
        <v>1496</v>
      </c>
      <c r="S728">
        <v>2019</v>
      </c>
      <c r="T728">
        <v>6</v>
      </c>
      <c r="U728" t="s">
        <v>162</v>
      </c>
      <c r="V728" t="s">
        <v>162</v>
      </c>
      <c r="W728">
        <v>0</v>
      </c>
      <c r="X728">
        <v>0</v>
      </c>
      <c r="Y728" t="s">
        <v>162</v>
      </c>
      <c r="Z728">
        <v>2020</v>
      </c>
      <c r="AA728">
        <v>2020</v>
      </c>
      <c r="AB728" s="5">
        <v>0.125877845692</v>
      </c>
      <c r="AC728" s="5">
        <v>0.251755691384</v>
      </c>
      <c r="AD728" t="s">
        <v>162</v>
      </c>
      <c r="AE728" t="s">
        <v>163</v>
      </c>
      <c r="AF728" t="s">
        <v>162</v>
      </c>
      <c r="AG728" t="s">
        <v>162</v>
      </c>
      <c r="AH728" t="s">
        <v>162</v>
      </c>
      <c r="AI728" t="s">
        <v>162</v>
      </c>
      <c r="AJ728" t="s">
        <v>162</v>
      </c>
      <c r="AK728" t="s">
        <v>162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 s="60">
        <f t="shared" si="11"/>
        <v>1</v>
      </c>
      <c r="AU728" s="95" t="s">
        <v>1480</v>
      </c>
      <c r="AV728" t="s">
        <v>165</v>
      </c>
      <c r="AW728" t="s">
        <v>162</v>
      </c>
      <c r="AX728">
        <v>2</v>
      </c>
      <c r="AY728" t="s">
        <v>167</v>
      </c>
      <c r="AZ728" t="s">
        <v>162</v>
      </c>
    </row>
    <row r="729" spans="1:52" x14ac:dyDescent="0.25">
      <c r="A729">
        <v>718</v>
      </c>
      <c r="B729" t="s">
        <v>150</v>
      </c>
      <c r="C729" t="s">
        <v>203</v>
      </c>
      <c r="D729" t="s">
        <v>152</v>
      </c>
      <c r="E729" t="s">
        <v>153</v>
      </c>
      <c r="F729" t="s">
        <v>162</v>
      </c>
      <c r="G729">
        <v>1</v>
      </c>
      <c r="H729">
        <v>2</v>
      </c>
      <c r="I729" t="s">
        <v>639</v>
      </c>
      <c r="J729">
        <v>33</v>
      </c>
      <c r="K729">
        <v>34</v>
      </c>
      <c r="L729" t="s">
        <v>640</v>
      </c>
      <c r="M729">
        <v>0</v>
      </c>
      <c r="N729" t="s">
        <v>9</v>
      </c>
      <c r="O729" t="s">
        <v>9</v>
      </c>
      <c r="P729" t="s">
        <v>157</v>
      </c>
      <c r="Q729" t="s">
        <v>162</v>
      </c>
      <c r="R729" t="s">
        <v>1496</v>
      </c>
      <c r="S729">
        <v>2019</v>
      </c>
      <c r="T729">
        <v>0</v>
      </c>
      <c r="U729" t="s">
        <v>162</v>
      </c>
      <c r="V729" t="s">
        <v>162</v>
      </c>
      <c r="W729">
        <v>0</v>
      </c>
      <c r="X729">
        <v>0</v>
      </c>
      <c r="Y729" t="s">
        <v>162</v>
      </c>
      <c r="Z729">
        <v>2019</v>
      </c>
      <c r="AA729">
        <v>2019</v>
      </c>
      <c r="AB729" s="5">
        <v>6.2601480343999996E-2</v>
      </c>
      <c r="AC729" s="5">
        <v>0.12520296068799999</v>
      </c>
      <c r="AD729" t="s">
        <v>162</v>
      </c>
      <c r="AE729" t="s">
        <v>163</v>
      </c>
      <c r="AF729" t="s">
        <v>162</v>
      </c>
      <c r="AG729" t="s">
        <v>162</v>
      </c>
      <c r="AH729" t="s">
        <v>162</v>
      </c>
      <c r="AI729" t="s">
        <v>162</v>
      </c>
      <c r="AJ729" t="s">
        <v>162</v>
      </c>
      <c r="AK729" t="s">
        <v>162</v>
      </c>
      <c r="AL729">
        <v>0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0</v>
      </c>
      <c r="AT729" s="60">
        <f t="shared" si="11"/>
        <v>1</v>
      </c>
      <c r="AU729" s="95" t="s">
        <v>1480</v>
      </c>
      <c r="AV729" s="94" t="s">
        <v>165</v>
      </c>
      <c r="AW729" t="s">
        <v>166</v>
      </c>
      <c r="AX729">
        <v>2</v>
      </c>
      <c r="AY729" t="s">
        <v>167</v>
      </c>
      <c r="AZ729" t="s">
        <v>162</v>
      </c>
    </row>
    <row r="730" spans="1:52" x14ac:dyDescent="0.25">
      <c r="A730">
        <v>719</v>
      </c>
      <c r="B730" t="s">
        <v>150</v>
      </c>
      <c r="C730" t="s">
        <v>203</v>
      </c>
      <c r="D730" t="s">
        <v>152</v>
      </c>
      <c r="E730" t="s">
        <v>153</v>
      </c>
      <c r="F730" t="s">
        <v>162</v>
      </c>
      <c r="G730">
        <v>1</v>
      </c>
      <c r="H730">
        <v>2</v>
      </c>
      <c r="I730" t="s">
        <v>639</v>
      </c>
      <c r="J730">
        <v>45</v>
      </c>
      <c r="K730">
        <v>46</v>
      </c>
      <c r="L730" t="s">
        <v>1280</v>
      </c>
      <c r="M730">
        <v>0</v>
      </c>
      <c r="N730" t="s">
        <v>11</v>
      </c>
      <c r="O730" t="s">
        <v>11</v>
      </c>
      <c r="P730" t="s">
        <v>169</v>
      </c>
      <c r="Q730" t="s">
        <v>162</v>
      </c>
      <c r="R730" t="s">
        <v>1496</v>
      </c>
      <c r="S730">
        <v>2019</v>
      </c>
      <c r="T730">
        <v>0</v>
      </c>
      <c r="U730" t="s">
        <v>162</v>
      </c>
      <c r="V730" t="s">
        <v>162</v>
      </c>
      <c r="W730">
        <v>0</v>
      </c>
      <c r="X730">
        <v>0</v>
      </c>
      <c r="Y730" t="s">
        <v>162</v>
      </c>
      <c r="Z730">
        <v>2020</v>
      </c>
      <c r="AA730">
        <v>2020</v>
      </c>
      <c r="AB730" s="5">
        <v>8.4530581500599999E-2</v>
      </c>
      <c r="AC730" s="5">
        <v>0.16906116300099999</v>
      </c>
      <c r="AD730" t="s">
        <v>162</v>
      </c>
      <c r="AE730" t="s">
        <v>163</v>
      </c>
      <c r="AF730" t="s">
        <v>162</v>
      </c>
      <c r="AG730" t="s">
        <v>162</v>
      </c>
      <c r="AH730" t="s">
        <v>162</v>
      </c>
      <c r="AI730" t="s">
        <v>162</v>
      </c>
      <c r="AJ730" t="s">
        <v>162</v>
      </c>
      <c r="AK730" t="s">
        <v>162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 s="60">
        <f t="shared" si="11"/>
        <v>1</v>
      </c>
      <c r="AU730" s="95" t="s">
        <v>531</v>
      </c>
      <c r="AV730" t="s">
        <v>165</v>
      </c>
      <c r="AW730" t="s">
        <v>162</v>
      </c>
      <c r="AX730">
        <v>2</v>
      </c>
      <c r="AY730" t="s">
        <v>167</v>
      </c>
      <c r="AZ730" t="s">
        <v>162</v>
      </c>
    </row>
    <row r="731" spans="1:52" x14ac:dyDescent="0.25">
      <c r="A731">
        <v>720</v>
      </c>
      <c r="B731" t="s">
        <v>150</v>
      </c>
      <c r="C731" t="s">
        <v>151</v>
      </c>
      <c r="D731" t="s">
        <v>152</v>
      </c>
      <c r="E731" t="s">
        <v>153</v>
      </c>
      <c r="F731" t="s">
        <v>162</v>
      </c>
      <c r="G731">
        <v>45</v>
      </c>
      <c r="H731">
        <v>46</v>
      </c>
      <c r="I731" t="s">
        <v>1499</v>
      </c>
      <c r="J731">
        <v>631</v>
      </c>
      <c r="K731">
        <v>630</v>
      </c>
      <c r="L731" t="s">
        <v>1500</v>
      </c>
      <c r="M731">
        <v>0</v>
      </c>
      <c r="N731" t="s">
        <v>9</v>
      </c>
      <c r="O731" t="s">
        <v>9</v>
      </c>
      <c r="P731" t="s">
        <v>157</v>
      </c>
      <c r="Q731" t="s">
        <v>162</v>
      </c>
      <c r="R731" t="s">
        <v>1496</v>
      </c>
      <c r="S731">
        <v>2019</v>
      </c>
      <c r="T731">
        <v>0</v>
      </c>
      <c r="U731" t="s">
        <v>162</v>
      </c>
      <c r="V731" t="s">
        <v>162</v>
      </c>
      <c r="W731">
        <v>0</v>
      </c>
      <c r="X731">
        <v>0</v>
      </c>
      <c r="Y731" t="s">
        <v>162</v>
      </c>
      <c r="Z731">
        <v>2019</v>
      </c>
      <c r="AA731">
        <v>2019</v>
      </c>
      <c r="AB731" s="5">
        <v>0.71911477772900001</v>
      </c>
      <c r="AC731" s="5">
        <v>1.43822955546</v>
      </c>
      <c r="AD731" t="s">
        <v>162</v>
      </c>
      <c r="AE731" t="s">
        <v>163</v>
      </c>
      <c r="AF731" t="s">
        <v>162</v>
      </c>
      <c r="AG731" t="s">
        <v>162</v>
      </c>
      <c r="AH731" t="s">
        <v>162</v>
      </c>
      <c r="AI731" t="s">
        <v>162</v>
      </c>
      <c r="AJ731" t="s">
        <v>162</v>
      </c>
      <c r="AK731" t="s">
        <v>162</v>
      </c>
      <c r="AL731">
        <v>0</v>
      </c>
      <c r="AM731">
        <v>0</v>
      </c>
      <c r="AN731">
        <v>0</v>
      </c>
      <c r="AO731">
        <v>0</v>
      </c>
      <c r="AP731">
        <v>0.4</v>
      </c>
      <c r="AQ731">
        <v>0.6</v>
      </c>
      <c r="AR731">
        <v>0</v>
      </c>
      <c r="AS731">
        <v>0</v>
      </c>
      <c r="AT731" s="60">
        <f t="shared" si="11"/>
        <v>1</v>
      </c>
      <c r="AU731" s="95" t="s">
        <v>1480</v>
      </c>
      <c r="AV731" s="94" t="s">
        <v>165</v>
      </c>
      <c r="AW731" t="s">
        <v>166</v>
      </c>
      <c r="AX731">
        <v>2</v>
      </c>
      <c r="AY731" t="s">
        <v>167</v>
      </c>
      <c r="AZ731" t="s">
        <v>162</v>
      </c>
    </row>
    <row r="732" spans="1:52" x14ac:dyDescent="0.25">
      <c r="A732">
        <v>721</v>
      </c>
      <c r="B732" t="s">
        <v>150</v>
      </c>
      <c r="C732" t="s">
        <v>151</v>
      </c>
      <c r="D732" t="s">
        <v>152</v>
      </c>
      <c r="E732" t="s">
        <v>153</v>
      </c>
      <c r="F732" t="s">
        <v>162</v>
      </c>
      <c r="G732">
        <v>631</v>
      </c>
      <c r="H732">
        <v>630</v>
      </c>
      <c r="I732" t="s">
        <v>1500</v>
      </c>
      <c r="J732">
        <v>651</v>
      </c>
      <c r="K732">
        <v>650</v>
      </c>
      <c r="L732" t="s">
        <v>1490</v>
      </c>
      <c r="M732">
        <v>0</v>
      </c>
      <c r="N732" t="s">
        <v>11</v>
      </c>
      <c r="O732" t="s">
        <v>11</v>
      </c>
      <c r="P732" t="s">
        <v>169</v>
      </c>
      <c r="Q732" t="s">
        <v>162</v>
      </c>
      <c r="R732" t="s">
        <v>1496</v>
      </c>
      <c r="S732">
        <v>2019</v>
      </c>
      <c r="T732">
        <v>0</v>
      </c>
      <c r="U732" t="s">
        <v>162</v>
      </c>
      <c r="V732" t="s">
        <v>162</v>
      </c>
      <c r="W732">
        <v>0</v>
      </c>
      <c r="X732">
        <v>0</v>
      </c>
      <c r="Y732" t="s">
        <v>162</v>
      </c>
      <c r="Z732">
        <v>2019</v>
      </c>
      <c r="AA732">
        <v>2019</v>
      </c>
      <c r="AB732" s="5">
        <v>5.6837210612799997E-2</v>
      </c>
      <c r="AC732" s="5">
        <v>0.11367442122599999</v>
      </c>
      <c r="AD732" t="s">
        <v>162</v>
      </c>
      <c r="AE732" t="s">
        <v>163</v>
      </c>
      <c r="AF732" t="s">
        <v>162</v>
      </c>
      <c r="AG732" t="s">
        <v>162</v>
      </c>
      <c r="AH732" t="s">
        <v>162</v>
      </c>
      <c r="AI732" t="s">
        <v>162</v>
      </c>
      <c r="AJ732" t="s">
        <v>162</v>
      </c>
      <c r="AK732" t="s">
        <v>162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 s="60">
        <f t="shared" si="11"/>
        <v>1</v>
      </c>
      <c r="AU732" s="95" t="s">
        <v>1480</v>
      </c>
      <c r="AV732" t="s">
        <v>165</v>
      </c>
      <c r="AW732" t="s">
        <v>162</v>
      </c>
      <c r="AX732">
        <v>2</v>
      </c>
      <c r="AY732" t="s">
        <v>167</v>
      </c>
      <c r="AZ732" t="s">
        <v>162</v>
      </c>
    </row>
    <row r="733" spans="1:52" x14ac:dyDescent="0.25">
      <c r="A733">
        <v>722</v>
      </c>
      <c r="B733" t="s">
        <v>150</v>
      </c>
      <c r="C733" t="s">
        <v>151</v>
      </c>
      <c r="D733" t="s">
        <v>152</v>
      </c>
      <c r="E733" t="s">
        <v>153</v>
      </c>
      <c r="F733" t="s">
        <v>162</v>
      </c>
      <c r="G733">
        <v>651</v>
      </c>
      <c r="H733">
        <v>650</v>
      </c>
      <c r="I733" t="s">
        <v>1490</v>
      </c>
      <c r="J733">
        <v>675</v>
      </c>
      <c r="K733">
        <v>676</v>
      </c>
      <c r="L733" t="s">
        <v>1490</v>
      </c>
      <c r="M733">
        <v>0</v>
      </c>
      <c r="N733" t="s">
        <v>9</v>
      </c>
      <c r="O733" t="s">
        <v>9</v>
      </c>
      <c r="P733" t="s">
        <v>157</v>
      </c>
      <c r="Q733" t="s">
        <v>162</v>
      </c>
      <c r="R733" t="s">
        <v>1496</v>
      </c>
      <c r="S733">
        <v>2019</v>
      </c>
      <c r="T733">
        <v>0</v>
      </c>
      <c r="U733" t="s">
        <v>162</v>
      </c>
      <c r="V733" t="s">
        <v>162</v>
      </c>
      <c r="W733">
        <v>0</v>
      </c>
      <c r="X733">
        <v>0</v>
      </c>
      <c r="Y733" t="s">
        <v>162</v>
      </c>
      <c r="Z733">
        <v>2019</v>
      </c>
      <c r="AA733">
        <v>2019</v>
      </c>
      <c r="AB733" s="5">
        <v>4.3205692934799998E-2</v>
      </c>
      <c r="AC733" s="5">
        <v>8.6411385869599996E-2</v>
      </c>
      <c r="AD733" t="s">
        <v>162</v>
      </c>
      <c r="AE733" t="s">
        <v>163</v>
      </c>
      <c r="AF733" t="s">
        <v>162</v>
      </c>
      <c r="AG733" t="s">
        <v>162</v>
      </c>
      <c r="AH733" t="s">
        <v>162</v>
      </c>
      <c r="AI733" t="s">
        <v>162</v>
      </c>
      <c r="AJ733" t="s">
        <v>162</v>
      </c>
      <c r="AK733" t="s">
        <v>162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 s="60">
        <f t="shared" si="11"/>
        <v>1</v>
      </c>
      <c r="AU733" s="95" t="s">
        <v>1480</v>
      </c>
      <c r="AV733" t="s">
        <v>165</v>
      </c>
      <c r="AW733" t="s">
        <v>166</v>
      </c>
      <c r="AX733">
        <v>2</v>
      </c>
      <c r="AY733" t="s">
        <v>167</v>
      </c>
      <c r="AZ733" t="s">
        <v>162</v>
      </c>
    </row>
    <row r="734" spans="1:52" x14ac:dyDescent="0.25">
      <c r="A734">
        <v>723</v>
      </c>
      <c r="B734" t="s">
        <v>150</v>
      </c>
      <c r="C734" t="s">
        <v>151</v>
      </c>
      <c r="D734" t="s">
        <v>152</v>
      </c>
      <c r="E734" t="s">
        <v>153</v>
      </c>
      <c r="F734" t="s">
        <v>162</v>
      </c>
      <c r="G734">
        <v>675</v>
      </c>
      <c r="H734">
        <v>676</v>
      </c>
      <c r="I734" t="s">
        <v>1490</v>
      </c>
      <c r="J734">
        <v>715</v>
      </c>
      <c r="K734">
        <v>716</v>
      </c>
      <c r="L734" t="s">
        <v>1192</v>
      </c>
      <c r="M734">
        <v>0</v>
      </c>
      <c r="N734" t="s">
        <v>11</v>
      </c>
      <c r="O734" t="s">
        <v>11</v>
      </c>
      <c r="P734" t="s">
        <v>169</v>
      </c>
      <c r="Q734" t="s">
        <v>162</v>
      </c>
      <c r="R734" t="s">
        <v>1496</v>
      </c>
      <c r="S734">
        <v>2019</v>
      </c>
      <c r="T734">
        <v>0</v>
      </c>
      <c r="U734" t="s">
        <v>162</v>
      </c>
      <c r="V734" t="s">
        <v>162</v>
      </c>
      <c r="W734">
        <v>0</v>
      </c>
      <c r="X734">
        <v>0</v>
      </c>
      <c r="Y734" t="s">
        <v>162</v>
      </c>
      <c r="Z734">
        <v>2019</v>
      </c>
      <c r="AA734">
        <v>2019</v>
      </c>
      <c r="AB734" s="5">
        <v>3.3274248022100002E-2</v>
      </c>
      <c r="AC734" s="5">
        <v>6.6548496044200003E-2</v>
      </c>
      <c r="AD734" t="s">
        <v>162</v>
      </c>
      <c r="AE734" t="s">
        <v>163</v>
      </c>
      <c r="AF734" t="s">
        <v>162</v>
      </c>
      <c r="AG734" t="s">
        <v>162</v>
      </c>
      <c r="AH734" t="s">
        <v>162</v>
      </c>
      <c r="AI734" t="s">
        <v>162</v>
      </c>
      <c r="AJ734" t="s">
        <v>162</v>
      </c>
      <c r="AK734" t="s">
        <v>162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 s="60">
        <f t="shared" si="11"/>
        <v>1</v>
      </c>
      <c r="AU734" s="95" t="s">
        <v>1480</v>
      </c>
      <c r="AV734" t="s">
        <v>165</v>
      </c>
      <c r="AW734" t="s">
        <v>162</v>
      </c>
      <c r="AX734">
        <v>2</v>
      </c>
      <c r="AY734" t="s">
        <v>167</v>
      </c>
      <c r="AZ734" t="s">
        <v>162</v>
      </c>
    </row>
    <row r="735" spans="1:52" x14ac:dyDescent="0.25">
      <c r="A735">
        <v>724</v>
      </c>
      <c r="B735" t="s">
        <v>150</v>
      </c>
      <c r="C735" t="s">
        <v>151</v>
      </c>
      <c r="D735" t="s">
        <v>152</v>
      </c>
      <c r="E735" t="s">
        <v>153</v>
      </c>
      <c r="F735" t="s">
        <v>162</v>
      </c>
      <c r="G735">
        <v>715</v>
      </c>
      <c r="H735">
        <v>716</v>
      </c>
      <c r="I735" t="s">
        <v>1192</v>
      </c>
      <c r="J735">
        <v>831</v>
      </c>
      <c r="K735">
        <v>831</v>
      </c>
      <c r="L735" t="s">
        <v>1501</v>
      </c>
      <c r="M735">
        <v>0</v>
      </c>
      <c r="N735" t="s">
        <v>9</v>
      </c>
      <c r="O735" t="s">
        <v>9</v>
      </c>
      <c r="P735" t="s">
        <v>157</v>
      </c>
      <c r="Q735" t="s">
        <v>162</v>
      </c>
      <c r="R735" t="s">
        <v>1496</v>
      </c>
      <c r="S735">
        <v>2019</v>
      </c>
      <c r="T735">
        <v>0</v>
      </c>
      <c r="U735" t="s">
        <v>162</v>
      </c>
      <c r="V735" t="s">
        <v>162</v>
      </c>
      <c r="W735">
        <v>0</v>
      </c>
      <c r="X735">
        <v>0</v>
      </c>
      <c r="Y735" t="s">
        <v>162</v>
      </c>
      <c r="Z735">
        <v>2019</v>
      </c>
      <c r="AA735">
        <v>2019</v>
      </c>
      <c r="AB735" s="5">
        <v>0.13207585601399999</v>
      </c>
      <c r="AC735" s="5">
        <v>0.26415171202799997</v>
      </c>
      <c r="AD735" t="s">
        <v>162</v>
      </c>
      <c r="AE735" t="s">
        <v>163</v>
      </c>
      <c r="AF735" t="s">
        <v>162</v>
      </c>
      <c r="AG735" t="s">
        <v>162</v>
      </c>
      <c r="AH735" t="s">
        <v>162</v>
      </c>
      <c r="AI735" t="s">
        <v>162</v>
      </c>
      <c r="AJ735" t="s">
        <v>162</v>
      </c>
      <c r="AK735" t="s">
        <v>162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 s="60">
        <f t="shared" si="11"/>
        <v>1</v>
      </c>
      <c r="AU735" s="95" t="s">
        <v>1480</v>
      </c>
      <c r="AV735" t="s">
        <v>165</v>
      </c>
      <c r="AW735" t="s">
        <v>166</v>
      </c>
      <c r="AX735">
        <v>2</v>
      </c>
      <c r="AY735" t="s">
        <v>167</v>
      </c>
      <c r="AZ735" t="s">
        <v>162</v>
      </c>
    </row>
    <row r="736" spans="1:52" x14ac:dyDescent="0.25">
      <c r="A736">
        <v>725</v>
      </c>
      <c r="B736" t="s">
        <v>150</v>
      </c>
      <c r="C736" t="s">
        <v>151</v>
      </c>
      <c r="D736" t="s">
        <v>152</v>
      </c>
      <c r="E736" t="s">
        <v>153</v>
      </c>
      <c r="F736" t="s">
        <v>162</v>
      </c>
      <c r="G736">
        <v>831</v>
      </c>
      <c r="H736">
        <v>830</v>
      </c>
      <c r="I736" t="s">
        <v>1501</v>
      </c>
      <c r="J736">
        <v>931</v>
      </c>
      <c r="K736">
        <v>930</v>
      </c>
      <c r="L736" t="s">
        <v>1502</v>
      </c>
      <c r="M736">
        <v>0</v>
      </c>
      <c r="N736" t="s">
        <v>11</v>
      </c>
      <c r="O736" t="s">
        <v>11</v>
      </c>
      <c r="P736" t="s">
        <v>169</v>
      </c>
      <c r="Q736" t="s">
        <v>162</v>
      </c>
      <c r="R736" t="s">
        <v>1496</v>
      </c>
      <c r="S736">
        <v>2019</v>
      </c>
      <c r="T736">
        <v>0</v>
      </c>
      <c r="U736" t="s">
        <v>162</v>
      </c>
      <c r="V736" t="s">
        <v>162</v>
      </c>
      <c r="W736">
        <v>0</v>
      </c>
      <c r="X736">
        <v>0</v>
      </c>
      <c r="Y736" t="s">
        <v>162</v>
      </c>
      <c r="Z736">
        <v>2019</v>
      </c>
      <c r="AA736">
        <v>2019</v>
      </c>
      <c r="AB736" s="5">
        <v>0.12513043154100001</v>
      </c>
      <c r="AC736" s="5">
        <v>0.25026086308200002</v>
      </c>
      <c r="AD736" t="s">
        <v>162</v>
      </c>
      <c r="AE736" t="s">
        <v>163</v>
      </c>
      <c r="AF736" t="s">
        <v>162</v>
      </c>
      <c r="AG736" t="s">
        <v>162</v>
      </c>
      <c r="AH736" t="s">
        <v>162</v>
      </c>
      <c r="AI736" t="s">
        <v>162</v>
      </c>
      <c r="AJ736" t="s">
        <v>162</v>
      </c>
      <c r="AK736" t="s">
        <v>162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 s="60">
        <f t="shared" si="11"/>
        <v>1</v>
      </c>
      <c r="AU736" s="95" t="s">
        <v>531</v>
      </c>
      <c r="AV736" t="s">
        <v>165</v>
      </c>
      <c r="AW736" t="s">
        <v>162</v>
      </c>
      <c r="AX736">
        <v>2</v>
      </c>
      <c r="AY736" t="s">
        <v>167</v>
      </c>
      <c r="AZ736" t="s">
        <v>162</v>
      </c>
    </row>
    <row r="737" spans="1:52" x14ac:dyDescent="0.25">
      <c r="A737">
        <v>726</v>
      </c>
      <c r="B737" t="s">
        <v>150</v>
      </c>
      <c r="C737" t="s">
        <v>151</v>
      </c>
      <c r="D737" t="s">
        <v>152</v>
      </c>
      <c r="E737" t="s">
        <v>153</v>
      </c>
      <c r="F737" t="s">
        <v>162</v>
      </c>
      <c r="G737">
        <v>931</v>
      </c>
      <c r="H737">
        <v>930</v>
      </c>
      <c r="I737" t="s">
        <v>1502</v>
      </c>
      <c r="J737">
        <v>1401</v>
      </c>
      <c r="K737">
        <v>1400</v>
      </c>
      <c r="L737" t="s">
        <v>1503</v>
      </c>
      <c r="M737">
        <v>0</v>
      </c>
      <c r="N737" t="s">
        <v>9</v>
      </c>
      <c r="O737" t="s">
        <v>9</v>
      </c>
      <c r="P737" t="s">
        <v>157</v>
      </c>
      <c r="Q737" t="s">
        <v>162</v>
      </c>
      <c r="R737" t="s">
        <v>1496</v>
      </c>
      <c r="S737">
        <v>2019</v>
      </c>
      <c r="T737">
        <v>0</v>
      </c>
      <c r="U737" t="s">
        <v>162</v>
      </c>
      <c r="V737" t="s">
        <v>162</v>
      </c>
      <c r="W737">
        <v>0</v>
      </c>
      <c r="X737">
        <v>0</v>
      </c>
      <c r="Y737" t="s">
        <v>162</v>
      </c>
      <c r="Z737">
        <v>2019</v>
      </c>
      <c r="AA737">
        <v>2019</v>
      </c>
      <c r="AB737" s="5">
        <v>0.564849853909</v>
      </c>
      <c r="AC737" s="5">
        <v>1.12969970782</v>
      </c>
      <c r="AD737" t="s">
        <v>162</v>
      </c>
      <c r="AE737" t="s">
        <v>163</v>
      </c>
      <c r="AF737" t="s">
        <v>162</v>
      </c>
      <c r="AG737" t="s">
        <v>162</v>
      </c>
      <c r="AH737" t="s">
        <v>162</v>
      </c>
      <c r="AI737" t="s">
        <v>162</v>
      </c>
      <c r="AJ737" t="s">
        <v>162</v>
      </c>
      <c r="AK737" t="s">
        <v>162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 s="60">
        <f t="shared" si="11"/>
        <v>1</v>
      </c>
      <c r="AU737" s="95" t="s">
        <v>531</v>
      </c>
      <c r="AV737" t="s">
        <v>165</v>
      </c>
      <c r="AW737" t="s">
        <v>166</v>
      </c>
      <c r="AX737">
        <v>2</v>
      </c>
      <c r="AY737" t="s">
        <v>167</v>
      </c>
      <c r="AZ737" t="s">
        <v>162</v>
      </c>
    </row>
    <row r="738" spans="1:52" x14ac:dyDescent="0.25">
      <c r="A738">
        <v>727</v>
      </c>
      <c r="B738" t="s">
        <v>150</v>
      </c>
      <c r="C738" t="s">
        <v>151</v>
      </c>
      <c r="D738" t="s">
        <v>152</v>
      </c>
      <c r="E738" t="s">
        <v>153</v>
      </c>
      <c r="F738" t="s">
        <v>162</v>
      </c>
      <c r="G738">
        <v>1401</v>
      </c>
      <c r="H738">
        <v>1400</v>
      </c>
      <c r="I738" t="s">
        <v>1503</v>
      </c>
      <c r="J738">
        <v>1501</v>
      </c>
      <c r="K738">
        <v>1500</v>
      </c>
      <c r="L738" t="s">
        <v>1239</v>
      </c>
      <c r="M738">
        <v>0</v>
      </c>
      <c r="N738" t="s">
        <v>11</v>
      </c>
      <c r="O738" t="s">
        <v>11</v>
      </c>
      <c r="P738" t="s">
        <v>169</v>
      </c>
      <c r="Q738" t="s">
        <v>162</v>
      </c>
      <c r="R738" t="s">
        <v>1496</v>
      </c>
      <c r="S738">
        <v>2019</v>
      </c>
      <c r="T738">
        <v>0</v>
      </c>
      <c r="U738" t="s">
        <v>162</v>
      </c>
      <c r="V738" t="s">
        <v>162</v>
      </c>
      <c r="W738">
        <v>0</v>
      </c>
      <c r="X738">
        <v>0</v>
      </c>
      <c r="Y738" t="s">
        <v>162</v>
      </c>
      <c r="Z738">
        <v>2019</v>
      </c>
      <c r="AA738">
        <v>2019</v>
      </c>
      <c r="AB738" s="5">
        <v>0.125237240714</v>
      </c>
      <c r="AC738" s="5">
        <v>0.250474481428</v>
      </c>
      <c r="AD738" t="s">
        <v>162</v>
      </c>
      <c r="AE738" t="s">
        <v>163</v>
      </c>
      <c r="AF738" t="s">
        <v>162</v>
      </c>
      <c r="AG738" t="s">
        <v>162</v>
      </c>
      <c r="AH738" t="s">
        <v>162</v>
      </c>
      <c r="AI738" t="s">
        <v>162</v>
      </c>
      <c r="AJ738" t="s">
        <v>162</v>
      </c>
      <c r="AK738" t="s">
        <v>162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 s="60">
        <f t="shared" si="11"/>
        <v>1</v>
      </c>
      <c r="AU738" s="95" t="s">
        <v>531</v>
      </c>
      <c r="AV738" s="94" t="s">
        <v>165</v>
      </c>
      <c r="AW738" t="s">
        <v>162</v>
      </c>
      <c r="AX738">
        <v>2</v>
      </c>
      <c r="AY738" t="s">
        <v>167</v>
      </c>
      <c r="AZ738" t="s">
        <v>162</v>
      </c>
    </row>
    <row r="739" spans="1:52" x14ac:dyDescent="0.25">
      <c r="A739">
        <v>728</v>
      </c>
      <c r="B739" t="s">
        <v>150</v>
      </c>
      <c r="C739" t="s">
        <v>151</v>
      </c>
      <c r="D739" t="s">
        <v>152</v>
      </c>
      <c r="E739" t="s">
        <v>153</v>
      </c>
      <c r="F739" t="s">
        <v>162</v>
      </c>
      <c r="G739">
        <v>1501</v>
      </c>
      <c r="H739">
        <v>1500</v>
      </c>
      <c r="I739" t="s">
        <v>1239</v>
      </c>
      <c r="J739">
        <v>1531</v>
      </c>
      <c r="K739">
        <v>1530</v>
      </c>
      <c r="L739" t="s">
        <v>1504</v>
      </c>
      <c r="M739">
        <v>0</v>
      </c>
      <c r="N739" t="s">
        <v>9</v>
      </c>
      <c r="O739" t="s">
        <v>9</v>
      </c>
      <c r="P739" t="s">
        <v>157</v>
      </c>
      <c r="Q739" t="s">
        <v>162</v>
      </c>
      <c r="R739" t="s">
        <v>1496</v>
      </c>
      <c r="S739">
        <v>2019</v>
      </c>
      <c r="T739">
        <v>0</v>
      </c>
      <c r="U739" t="s">
        <v>162</v>
      </c>
      <c r="V739" t="s">
        <v>162</v>
      </c>
      <c r="W739">
        <v>0</v>
      </c>
      <c r="X739">
        <v>0</v>
      </c>
      <c r="Y739" t="s">
        <v>162</v>
      </c>
      <c r="Z739">
        <v>2019</v>
      </c>
      <c r="AA739">
        <v>2019</v>
      </c>
      <c r="AB739" s="5">
        <v>6.2585846985200005E-2</v>
      </c>
      <c r="AC739" s="5">
        <v>0.12517169397</v>
      </c>
      <c r="AD739" t="s">
        <v>162</v>
      </c>
      <c r="AE739" t="s">
        <v>163</v>
      </c>
      <c r="AF739" t="s">
        <v>162</v>
      </c>
      <c r="AG739" t="s">
        <v>162</v>
      </c>
      <c r="AH739" t="s">
        <v>162</v>
      </c>
      <c r="AI739" t="s">
        <v>162</v>
      </c>
      <c r="AJ739" t="s">
        <v>162</v>
      </c>
      <c r="AK739" t="s">
        <v>162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 s="60">
        <f t="shared" si="11"/>
        <v>1</v>
      </c>
      <c r="AU739" s="95" t="s">
        <v>531</v>
      </c>
      <c r="AV739" t="s">
        <v>165</v>
      </c>
      <c r="AW739" t="s">
        <v>166</v>
      </c>
      <c r="AX739">
        <v>2</v>
      </c>
      <c r="AY739" t="s">
        <v>167</v>
      </c>
      <c r="AZ739" t="s">
        <v>162</v>
      </c>
    </row>
    <row r="740" spans="1:52" x14ac:dyDescent="0.25">
      <c r="A740">
        <v>729</v>
      </c>
      <c r="B740" t="s">
        <v>150</v>
      </c>
      <c r="C740" t="s">
        <v>151</v>
      </c>
      <c r="D740" t="s">
        <v>152</v>
      </c>
      <c r="E740" t="s">
        <v>153</v>
      </c>
      <c r="F740" t="s">
        <v>162</v>
      </c>
      <c r="G740">
        <v>1531</v>
      </c>
      <c r="H740">
        <v>1530</v>
      </c>
      <c r="I740" t="s">
        <v>1504</v>
      </c>
      <c r="J740">
        <v>1601</v>
      </c>
      <c r="K740">
        <v>1600</v>
      </c>
      <c r="L740" t="s">
        <v>575</v>
      </c>
      <c r="M740">
        <v>0</v>
      </c>
      <c r="N740" t="s">
        <v>11</v>
      </c>
      <c r="O740" t="s">
        <v>11</v>
      </c>
      <c r="P740" t="s">
        <v>169</v>
      </c>
      <c r="Q740" t="s">
        <v>162</v>
      </c>
      <c r="R740" t="s">
        <v>1496</v>
      </c>
      <c r="S740">
        <v>2019</v>
      </c>
      <c r="T740">
        <v>0</v>
      </c>
      <c r="U740" t="s">
        <v>162</v>
      </c>
      <c r="V740" t="s">
        <v>162</v>
      </c>
      <c r="W740">
        <v>0</v>
      </c>
      <c r="X740">
        <v>0</v>
      </c>
      <c r="Y740" t="s">
        <v>162</v>
      </c>
      <c r="Z740">
        <v>2019</v>
      </c>
      <c r="AA740">
        <v>2019</v>
      </c>
      <c r="AB740" s="5">
        <v>6.3126077202000003E-2</v>
      </c>
      <c r="AC740" s="5">
        <v>0.12625215440400001</v>
      </c>
      <c r="AD740" t="s">
        <v>162</v>
      </c>
      <c r="AE740" t="s">
        <v>163</v>
      </c>
      <c r="AF740" t="s">
        <v>162</v>
      </c>
      <c r="AG740" t="s">
        <v>162</v>
      </c>
      <c r="AH740" t="s">
        <v>162</v>
      </c>
      <c r="AI740" t="s">
        <v>162</v>
      </c>
      <c r="AJ740" t="s">
        <v>162</v>
      </c>
      <c r="AK740" t="s">
        <v>162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 s="60">
        <f t="shared" si="11"/>
        <v>1</v>
      </c>
      <c r="AU740" s="95" t="s">
        <v>531</v>
      </c>
      <c r="AV740" t="s">
        <v>165</v>
      </c>
      <c r="AW740" t="s">
        <v>162</v>
      </c>
      <c r="AX740">
        <v>2</v>
      </c>
      <c r="AY740" t="s">
        <v>167</v>
      </c>
      <c r="AZ740" t="s">
        <v>162</v>
      </c>
    </row>
    <row r="741" spans="1:52" x14ac:dyDescent="0.25">
      <c r="A741">
        <v>730</v>
      </c>
      <c r="B741" t="s">
        <v>1055</v>
      </c>
      <c r="C741" t="s">
        <v>151</v>
      </c>
      <c r="D741" t="s">
        <v>1056</v>
      </c>
      <c r="E741" t="s">
        <v>172</v>
      </c>
      <c r="F741" t="s">
        <v>162</v>
      </c>
      <c r="G741">
        <v>1601</v>
      </c>
      <c r="H741">
        <v>1600</v>
      </c>
      <c r="I741" t="s">
        <v>302</v>
      </c>
      <c r="J741">
        <v>2001</v>
      </c>
      <c r="K741">
        <v>2000</v>
      </c>
      <c r="L741" t="s">
        <v>191</v>
      </c>
      <c r="M741">
        <v>0</v>
      </c>
      <c r="N741" t="s">
        <v>15</v>
      </c>
      <c r="O741" t="s">
        <v>15</v>
      </c>
      <c r="P741" t="s">
        <v>175</v>
      </c>
      <c r="Q741" t="s">
        <v>162</v>
      </c>
      <c r="R741" t="s">
        <v>1475</v>
      </c>
      <c r="S741">
        <v>2020</v>
      </c>
      <c r="T741">
        <v>0</v>
      </c>
      <c r="U741" t="s">
        <v>162</v>
      </c>
      <c r="V741" t="s">
        <v>162</v>
      </c>
      <c r="W741">
        <v>0</v>
      </c>
      <c r="X741">
        <v>0</v>
      </c>
      <c r="Y741" t="s">
        <v>162</v>
      </c>
      <c r="Z741">
        <v>2020</v>
      </c>
      <c r="AA741">
        <v>0</v>
      </c>
      <c r="AB741" s="5">
        <v>0.50357298353900004</v>
      </c>
      <c r="AC741" s="5">
        <v>1.00714596708</v>
      </c>
      <c r="AD741" t="s">
        <v>162</v>
      </c>
      <c r="AE741" t="s">
        <v>163</v>
      </c>
      <c r="AF741" t="s">
        <v>162</v>
      </c>
      <c r="AG741" t="s">
        <v>162</v>
      </c>
      <c r="AH741" t="s">
        <v>162</v>
      </c>
      <c r="AI741" t="s">
        <v>162</v>
      </c>
      <c r="AJ741" t="s">
        <v>162</v>
      </c>
      <c r="AK741" t="s">
        <v>162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 s="60">
        <f t="shared" si="11"/>
        <v>1</v>
      </c>
      <c r="AU741" s="95" t="s">
        <v>1505</v>
      </c>
      <c r="AV741" t="s">
        <v>165</v>
      </c>
      <c r="AW741" t="s">
        <v>162</v>
      </c>
      <c r="AX741">
        <v>3</v>
      </c>
      <c r="AY741" t="s">
        <v>1345</v>
      </c>
      <c r="AZ741" t="s">
        <v>162</v>
      </c>
    </row>
    <row r="742" spans="1:52" x14ac:dyDescent="0.25">
      <c r="A742">
        <v>731</v>
      </c>
      <c r="B742" t="s">
        <v>427</v>
      </c>
      <c r="C742" t="s">
        <v>151</v>
      </c>
      <c r="D742" t="s">
        <v>428</v>
      </c>
      <c r="E742" t="s">
        <v>216</v>
      </c>
      <c r="F742" t="s">
        <v>162</v>
      </c>
      <c r="G742">
        <v>4401</v>
      </c>
      <c r="H742">
        <v>4400</v>
      </c>
      <c r="I742" t="s">
        <v>430</v>
      </c>
      <c r="J742">
        <v>4801</v>
      </c>
      <c r="K742">
        <v>4800</v>
      </c>
      <c r="L742" t="s">
        <v>833</v>
      </c>
      <c r="M742">
        <v>0</v>
      </c>
      <c r="N742" t="s">
        <v>11</v>
      </c>
      <c r="O742" t="s">
        <v>11</v>
      </c>
      <c r="P742" t="s">
        <v>175</v>
      </c>
      <c r="Q742" t="s">
        <v>162</v>
      </c>
      <c r="R742" t="s">
        <v>1506</v>
      </c>
      <c r="S742">
        <v>2020</v>
      </c>
      <c r="T742">
        <v>5</v>
      </c>
      <c r="U742" t="s">
        <v>162</v>
      </c>
      <c r="V742" t="s">
        <v>162</v>
      </c>
      <c r="W742">
        <v>0</v>
      </c>
      <c r="X742">
        <v>0</v>
      </c>
      <c r="Y742" t="s">
        <v>162</v>
      </c>
      <c r="Z742">
        <v>2020</v>
      </c>
      <c r="AA742">
        <v>0</v>
      </c>
      <c r="AB742" s="5">
        <v>0.50621303962099995</v>
      </c>
      <c r="AC742" s="5">
        <v>1.0124260792399999</v>
      </c>
      <c r="AD742" t="s">
        <v>162</v>
      </c>
      <c r="AE742" t="s">
        <v>163</v>
      </c>
      <c r="AF742" t="s">
        <v>162</v>
      </c>
      <c r="AG742" t="s">
        <v>162</v>
      </c>
      <c r="AH742" t="s">
        <v>162</v>
      </c>
      <c r="AI742" t="s">
        <v>162</v>
      </c>
      <c r="AJ742" t="s">
        <v>162</v>
      </c>
      <c r="AK742" t="s">
        <v>162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 s="60">
        <f t="shared" si="11"/>
        <v>1</v>
      </c>
      <c r="AU742" s="95" t="s">
        <v>531</v>
      </c>
      <c r="AV742" s="94" t="s">
        <v>165</v>
      </c>
      <c r="AW742" t="s">
        <v>162</v>
      </c>
      <c r="AX742">
        <v>2</v>
      </c>
      <c r="AY742" t="s">
        <v>167</v>
      </c>
      <c r="AZ742" t="s">
        <v>162</v>
      </c>
    </row>
    <row r="743" spans="1:52" x14ac:dyDescent="0.25">
      <c r="A743">
        <v>732</v>
      </c>
      <c r="B743" t="s">
        <v>791</v>
      </c>
      <c r="C743" t="s">
        <v>163</v>
      </c>
      <c r="D743" t="s">
        <v>643</v>
      </c>
      <c r="E743" t="s">
        <v>216</v>
      </c>
      <c r="F743" t="s">
        <v>162</v>
      </c>
      <c r="G743">
        <v>2401</v>
      </c>
      <c r="H743">
        <v>2400</v>
      </c>
      <c r="I743" t="s">
        <v>1507</v>
      </c>
      <c r="J743">
        <v>2851</v>
      </c>
      <c r="K743">
        <v>2850</v>
      </c>
      <c r="L743" t="s">
        <v>1508</v>
      </c>
      <c r="M743">
        <v>0</v>
      </c>
      <c r="N743" t="s">
        <v>11</v>
      </c>
      <c r="O743" t="s">
        <v>11</v>
      </c>
      <c r="P743" t="s">
        <v>175</v>
      </c>
      <c r="Q743" t="s">
        <v>162</v>
      </c>
      <c r="R743" t="s">
        <v>556</v>
      </c>
      <c r="S743">
        <v>2020</v>
      </c>
      <c r="T743">
        <v>0</v>
      </c>
      <c r="U743" t="s">
        <v>517</v>
      </c>
      <c r="V743" t="s">
        <v>162</v>
      </c>
      <c r="W743">
        <v>0</v>
      </c>
      <c r="X743">
        <v>0</v>
      </c>
      <c r="Y743" t="s">
        <v>162</v>
      </c>
      <c r="Z743">
        <v>2020</v>
      </c>
      <c r="AA743">
        <v>2020</v>
      </c>
      <c r="AB743" s="5">
        <v>0.56772050885299996</v>
      </c>
      <c r="AC743" s="5">
        <v>1.1354410177100001</v>
      </c>
      <c r="AD743" t="s">
        <v>162</v>
      </c>
      <c r="AE743" t="s">
        <v>163</v>
      </c>
      <c r="AF743" t="s">
        <v>162</v>
      </c>
      <c r="AG743" t="s">
        <v>162</v>
      </c>
      <c r="AH743" t="s">
        <v>162</v>
      </c>
      <c r="AI743" t="s">
        <v>162</v>
      </c>
      <c r="AJ743" t="s">
        <v>162</v>
      </c>
      <c r="AK743" t="s">
        <v>162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 s="60">
        <f t="shared" si="11"/>
        <v>1</v>
      </c>
      <c r="AU743" s="95" t="s">
        <v>1509</v>
      </c>
      <c r="AV743" s="94" t="s">
        <v>165</v>
      </c>
      <c r="AW743" t="s">
        <v>162</v>
      </c>
      <c r="AX743">
        <v>2</v>
      </c>
      <c r="AY743" t="s">
        <v>167</v>
      </c>
      <c r="AZ743" t="s">
        <v>162</v>
      </c>
    </row>
    <row r="744" spans="1:52" x14ac:dyDescent="0.25">
      <c r="A744">
        <v>733</v>
      </c>
      <c r="B744" t="s">
        <v>315</v>
      </c>
      <c r="C744" t="s">
        <v>163</v>
      </c>
      <c r="D744" t="s">
        <v>316</v>
      </c>
      <c r="E744" t="s">
        <v>216</v>
      </c>
      <c r="F744" t="s">
        <v>154</v>
      </c>
      <c r="G744">
        <v>3600</v>
      </c>
      <c r="H744">
        <v>3601</v>
      </c>
      <c r="I744" t="s">
        <v>331</v>
      </c>
      <c r="J744">
        <v>3900</v>
      </c>
      <c r="K744">
        <v>3901</v>
      </c>
      <c r="L744" t="s">
        <v>1510</v>
      </c>
      <c r="M744">
        <v>3</v>
      </c>
      <c r="N744" t="s">
        <v>7</v>
      </c>
      <c r="O744" t="s">
        <v>7</v>
      </c>
      <c r="P744" t="s">
        <v>157</v>
      </c>
      <c r="Q744" t="s">
        <v>1511</v>
      </c>
      <c r="R744" t="s">
        <v>1512</v>
      </c>
      <c r="S744">
        <v>2022</v>
      </c>
      <c r="T744">
        <v>11</v>
      </c>
      <c r="U744" t="s">
        <v>1513</v>
      </c>
      <c r="V744" t="s">
        <v>162</v>
      </c>
      <c r="W744">
        <v>2020</v>
      </c>
      <c r="X744">
        <v>0</v>
      </c>
      <c r="Y744" t="s">
        <v>162</v>
      </c>
      <c r="Z744">
        <v>2020</v>
      </c>
      <c r="AA744">
        <v>0</v>
      </c>
      <c r="AB744" s="5">
        <v>0.77688397660700004</v>
      </c>
      <c r="AC744" s="5">
        <v>1.553768</v>
      </c>
      <c r="AD744" t="s">
        <v>154</v>
      </c>
      <c r="AE744" t="s">
        <v>163</v>
      </c>
      <c r="AF744" t="s">
        <v>154</v>
      </c>
      <c r="AG744" t="s">
        <v>154</v>
      </c>
      <c r="AH744" t="s">
        <v>162</v>
      </c>
      <c r="AI744" t="s">
        <v>504</v>
      </c>
      <c r="AJ744" t="s">
        <v>154</v>
      </c>
      <c r="AK744" t="s">
        <v>166</v>
      </c>
      <c r="AL744">
        <v>2017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s="60">
        <f t="shared" si="11"/>
        <v>1</v>
      </c>
      <c r="AU744" s="95" t="s">
        <v>195</v>
      </c>
      <c r="AV744" t="s">
        <v>165</v>
      </c>
      <c r="AW744" t="s">
        <v>166</v>
      </c>
      <c r="AX744">
        <v>1</v>
      </c>
      <c r="AY744" t="s">
        <v>167</v>
      </c>
      <c r="AZ744">
        <v>30</v>
      </c>
    </row>
    <row r="745" spans="1:52" x14ac:dyDescent="0.25">
      <c r="A745">
        <v>734</v>
      </c>
      <c r="B745" t="s">
        <v>1365</v>
      </c>
      <c r="C745" t="s">
        <v>180</v>
      </c>
      <c r="D745" t="s">
        <v>1366</v>
      </c>
      <c r="E745" t="s">
        <v>216</v>
      </c>
      <c r="F745" t="s">
        <v>162</v>
      </c>
      <c r="G745">
        <v>9401</v>
      </c>
      <c r="H745">
        <v>9400</v>
      </c>
      <c r="I745" t="s">
        <v>1486</v>
      </c>
      <c r="J745">
        <v>9501</v>
      </c>
      <c r="K745">
        <v>9500</v>
      </c>
      <c r="L745" t="s">
        <v>456</v>
      </c>
      <c r="M745">
        <v>0</v>
      </c>
      <c r="N745" t="s">
        <v>11</v>
      </c>
      <c r="O745" t="s">
        <v>11</v>
      </c>
      <c r="P745" t="s">
        <v>175</v>
      </c>
      <c r="Q745" t="s">
        <v>162</v>
      </c>
      <c r="R745" t="s">
        <v>1487</v>
      </c>
      <c r="S745">
        <v>2020</v>
      </c>
      <c r="T745">
        <v>6</v>
      </c>
      <c r="U745" t="s">
        <v>1514</v>
      </c>
      <c r="V745" t="s">
        <v>162</v>
      </c>
      <c r="W745">
        <v>0</v>
      </c>
      <c r="X745">
        <v>0</v>
      </c>
      <c r="Y745" t="s">
        <v>162</v>
      </c>
      <c r="Z745">
        <v>2020</v>
      </c>
      <c r="AA745">
        <v>0</v>
      </c>
      <c r="AB745" s="5">
        <v>0.12616346838199999</v>
      </c>
      <c r="AC745" s="5">
        <v>0.25232693676399998</v>
      </c>
      <c r="AD745" t="s">
        <v>162</v>
      </c>
      <c r="AE745" t="s">
        <v>163</v>
      </c>
      <c r="AF745" t="s">
        <v>162</v>
      </c>
      <c r="AG745" t="s">
        <v>166</v>
      </c>
      <c r="AH745" t="s">
        <v>162</v>
      </c>
      <c r="AI745" t="s">
        <v>162</v>
      </c>
      <c r="AJ745" t="s">
        <v>162</v>
      </c>
      <c r="AK745" t="s">
        <v>162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 s="60">
        <f t="shared" si="11"/>
        <v>1</v>
      </c>
      <c r="AU745" s="95" t="s">
        <v>1505</v>
      </c>
      <c r="AV745" t="s">
        <v>165</v>
      </c>
      <c r="AW745" t="s">
        <v>162</v>
      </c>
      <c r="AX745">
        <v>3</v>
      </c>
      <c r="AY745" t="s">
        <v>275</v>
      </c>
      <c r="AZ745" t="s">
        <v>162</v>
      </c>
    </row>
    <row r="746" spans="1:52" x14ac:dyDescent="0.25">
      <c r="A746">
        <v>735</v>
      </c>
      <c r="B746" t="s">
        <v>1515</v>
      </c>
      <c r="C746" t="s">
        <v>203</v>
      </c>
      <c r="D746" t="s">
        <v>1516</v>
      </c>
      <c r="E746" t="s">
        <v>172</v>
      </c>
      <c r="F746" t="s">
        <v>162</v>
      </c>
      <c r="G746">
        <v>201</v>
      </c>
      <c r="H746">
        <v>200</v>
      </c>
      <c r="I746" t="s">
        <v>1083</v>
      </c>
      <c r="J746">
        <v>101</v>
      </c>
      <c r="K746">
        <v>100</v>
      </c>
      <c r="L746" t="s">
        <v>667</v>
      </c>
      <c r="M746">
        <v>0</v>
      </c>
      <c r="N746" t="s">
        <v>15</v>
      </c>
      <c r="O746" t="s">
        <v>15</v>
      </c>
      <c r="P746" t="s">
        <v>175</v>
      </c>
      <c r="Q746" t="s">
        <v>162</v>
      </c>
      <c r="R746" t="s">
        <v>1487</v>
      </c>
      <c r="S746">
        <v>2020</v>
      </c>
      <c r="T746">
        <v>6</v>
      </c>
      <c r="U746" t="s">
        <v>162</v>
      </c>
      <c r="V746" t="s">
        <v>162</v>
      </c>
      <c r="W746">
        <v>0</v>
      </c>
      <c r="X746">
        <v>0</v>
      </c>
      <c r="Y746" t="s">
        <v>162</v>
      </c>
      <c r="Z746">
        <v>2020</v>
      </c>
      <c r="AA746">
        <v>0</v>
      </c>
      <c r="AB746" s="5">
        <v>8.3409362810900001E-2</v>
      </c>
      <c r="AC746" s="5">
        <v>0.16681872562200001</v>
      </c>
      <c r="AD746" t="s">
        <v>162</v>
      </c>
      <c r="AE746" t="s">
        <v>162</v>
      </c>
      <c r="AF746" t="s">
        <v>162</v>
      </c>
      <c r="AG746" t="s">
        <v>162</v>
      </c>
      <c r="AH746" t="s">
        <v>162</v>
      </c>
      <c r="AI746" t="s">
        <v>162</v>
      </c>
      <c r="AJ746" t="s">
        <v>162</v>
      </c>
      <c r="AK746" t="s">
        <v>162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 s="60">
        <f t="shared" si="11"/>
        <v>1</v>
      </c>
      <c r="AU746" s="95" t="s">
        <v>1480</v>
      </c>
      <c r="AV746" t="s">
        <v>165</v>
      </c>
      <c r="AW746" t="s">
        <v>162</v>
      </c>
      <c r="AX746">
        <v>3</v>
      </c>
      <c r="AY746" t="s">
        <v>275</v>
      </c>
      <c r="AZ746" t="s">
        <v>162</v>
      </c>
    </row>
    <row r="747" spans="1:52" x14ac:dyDescent="0.25">
      <c r="A747">
        <v>736</v>
      </c>
      <c r="B747" t="s">
        <v>1488</v>
      </c>
      <c r="C747" t="s">
        <v>151</v>
      </c>
      <c r="D747" t="s">
        <v>1489</v>
      </c>
      <c r="E747" t="s">
        <v>172</v>
      </c>
      <c r="F747" t="s">
        <v>162</v>
      </c>
      <c r="G747">
        <v>501</v>
      </c>
      <c r="H747">
        <v>500</v>
      </c>
      <c r="I747" t="s">
        <v>252</v>
      </c>
      <c r="J747">
        <v>1</v>
      </c>
      <c r="K747">
        <v>2</v>
      </c>
      <c r="L747" t="s">
        <v>639</v>
      </c>
      <c r="M747">
        <v>0</v>
      </c>
      <c r="N747" t="s">
        <v>11</v>
      </c>
      <c r="O747" t="s">
        <v>327</v>
      </c>
      <c r="P747" t="s">
        <v>157</v>
      </c>
      <c r="Q747" t="s">
        <v>162</v>
      </c>
      <c r="R747" t="s">
        <v>1487</v>
      </c>
      <c r="S747">
        <v>2020</v>
      </c>
      <c r="T747">
        <v>8</v>
      </c>
      <c r="U747" t="s">
        <v>162</v>
      </c>
      <c r="V747" t="s">
        <v>162</v>
      </c>
      <c r="W747">
        <v>0</v>
      </c>
      <c r="X747">
        <v>0</v>
      </c>
      <c r="Y747" t="s">
        <v>162</v>
      </c>
      <c r="Z747">
        <v>2020</v>
      </c>
      <c r="AA747">
        <v>0</v>
      </c>
      <c r="AB747" s="5">
        <v>0.59609230703500005</v>
      </c>
      <c r="AC747" s="5">
        <v>1.1921846140700001</v>
      </c>
      <c r="AD747" t="s">
        <v>162</v>
      </c>
      <c r="AE747" t="s">
        <v>162</v>
      </c>
      <c r="AF747" t="s">
        <v>162</v>
      </c>
      <c r="AG747" t="s">
        <v>162</v>
      </c>
      <c r="AH747" t="s">
        <v>162</v>
      </c>
      <c r="AI747" t="s">
        <v>162</v>
      </c>
      <c r="AJ747" t="s">
        <v>162</v>
      </c>
      <c r="AK747" t="s">
        <v>162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 s="60">
        <f t="shared" si="11"/>
        <v>1</v>
      </c>
      <c r="AU747" s="95" t="s">
        <v>1480</v>
      </c>
      <c r="AV747" t="s">
        <v>162</v>
      </c>
      <c r="AW747" t="s">
        <v>162</v>
      </c>
      <c r="AX747">
        <v>2</v>
      </c>
      <c r="AY747" t="s">
        <v>167</v>
      </c>
      <c r="AZ747" t="s">
        <v>154</v>
      </c>
    </row>
    <row r="748" spans="1:52" x14ac:dyDescent="0.25">
      <c r="A748">
        <v>737</v>
      </c>
      <c r="B748" t="s">
        <v>361</v>
      </c>
      <c r="C748" t="s">
        <v>203</v>
      </c>
      <c r="D748" t="s">
        <v>362</v>
      </c>
      <c r="E748" t="s">
        <v>172</v>
      </c>
      <c r="F748" t="s">
        <v>162</v>
      </c>
      <c r="G748">
        <v>1</v>
      </c>
      <c r="H748">
        <v>2</v>
      </c>
      <c r="I748" t="s">
        <v>639</v>
      </c>
      <c r="J748">
        <v>101</v>
      </c>
      <c r="K748">
        <v>100</v>
      </c>
      <c r="L748" t="s">
        <v>667</v>
      </c>
      <c r="M748">
        <v>0</v>
      </c>
      <c r="N748" t="s">
        <v>15</v>
      </c>
      <c r="O748" t="s">
        <v>15</v>
      </c>
      <c r="P748" t="s">
        <v>175</v>
      </c>
      <c r="Q748" t="s">
        <v>162</v>
      </c>
      <c r="R748" t="s">
        <v>1487</v>
      </c>
      <c r="S748">
        <v>2020</v>
      </c>
      <c r="T748">
        <v>8</v>
      </c>
      <c r="U748" t="s">
        <v>162</v>
      </c>
      <c r="V748" t="s">
        <v>162</v>
      </c>
      <c r="W748">
        <v>0</v>
      </c>
      <c r="X748">
        <v>0</v>
      </c>
      <c r="Y748" t="s">
        <v>162</v>
      </c>
      <c r="Z748">
        <v>2020</v>
      </c>
      <c r="AA748">
        <v>0</v>
      </c>
      <c r="AB748" s="5">
        <v>0.18063336921600001</v>
      </c>
      <c r="AC748" s="5">
        <v>0.36126673843200002</v>
      </c>
      <c r="AD748" t="s">
        <v>162</v>
      </c>
      <c r="AE748" t="s">
        <v>162</v>
      </c>
      <c r="AF748" t="s">
        <v>162</v>
      </c>
      <c r="AG748" t="s">
        <v>162</v>
      </c>
      <c r="AH748" t="s">
        <v>162</v>
      </c>
      <c r="AI748" t="s">
        <v>162</v>
      </c>
      <c r="AJ748" t="s">
        <v>162</v>
      </c>
      <c r="AK748" t="s">
        <v>162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 s="60">
        <f t="shared" si="11"/>
        <v>1</v>
      </c>
      <c r="AU748" s="95" t="s">
        <v>531</v>
      </c>
      <c r="AV748" s="94" t="s">
        <v>165</v>
      </c>
      <c r="AW748" t="s">
        <v>162</v>
      </c>
      <c r="AX748">
        <v>3</v>
      </c>
      <c r="AY748" t="s">
        <v>275</v>
      </c>
      <c r="AZ748" t="s">
        <v>162</v>
      </c>
    </row>
    <row r="749" spans="1:52" x14ac:dyDescent="0.25">
      <c r="A749">
        <v>738</v>
      </c>
      <c r="B749" t="s">
        <v>1405</v>
      </c>
      <c r="C749" t="s">
        <v>180</v>
      </c>
      <c r="D749" t="s">
        <v>1406</v>
      </c>
      <c r="E749" t="s">
        <v>172</v>
      </c>
      <c r="F749" t="s">
        <v>162</v>
      </c>
      <c r="G749">
        <v>401</v>
      </c>
      <c r="H749">
        <v>400</v>
      </c>
      <c r="I749" t="s">
        <v>644</v>
      </c>
      <c r="J749">
        <v>201</v>
      </c>
      <c r="K749">
        <v>200</v>
      </c>
      <c r="L749" t="s">
        <v>387</v>
      </c>
      <c r="M749">
        <v>0</v>
      </c>
      <c r="N749" t="s">
        <v>11</v>
      </c>
      <c r="O749" t="s">
        <v>11</v>
      </c>
      <c r="P749" t="s">
        <v>175</v>
      </c>
      <c r="Q749" t="s">
        <v>162</v>
      </c>
      <c r="R749" t="s">
        <v>1475</v>
      </c>
      <c r="S749">
        <v>2020</v>
      </c>
      <c r="T749">
        <v>0</v>
      </c>
      <c r="U749" t="s">
        <v>162</v>
      </c>
      <c r="V749" t="s">
        <v>162</v>
      </c>
      <c r="W749">
        <v>0</v>
      </c>
      <c r="X749">
        <v>0</v>
      </c>
      <c r="Y749" t="s">
        <v>162</v>
      </c>
      <c r="Z749">
        <v>2020</v>
      </c>
      <c r="AA749">
        <v>0</v>
      </c>
      <c r="AB749" s="5">
        <v>0.52844384003</v>
      </c>
      <c r="AC749" s="5">
        <v>1.05688768006</v>
      </c>
      <c r="AD749" t="s">
        <v>162</v>
      </c>
      <c r="AE749" t="s">
        <v>163</v>
      </c>
      <c r="AF749" t="s">
        <v>162</v>
      </c>
      <c r="AG749" t="s">
        <v>162</v>
      </c>
      <c r="AH749" t="s">
        <v>162</v>
      </c>
      <c r="AI749" t="s">
        <v>162</v>
      </c>
      <c r="AJ749" t="s">
        <v>162</v>
      </c>
      <c r="AK749" t="s">
        <v>162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 s="60">
        <f t="shared" si="11"/>
        <v>1</v>
      </c>
      <c r="AU749" s="95" t="s">
        <v>531</v>
      </c>
      <c r="AV749" s="94" t="s">
        <v>165</v>
      </c>
      <c r="AW749" t="s">
        <v>162</v>
      </c>
      <c r="AX749">
        <v>2</v>
      </c>
      <c r="AY749" t="s">
        <v>167</v>
      </c>
      <c r="AZ749" t="s">
        <v>162</v>
      </c>
    </row>
    <row r="750" spans="1:52" x14ac:dyDescent="0.25">
      <c r="A750">
        <v>739</v>
      </c>
      <c r="B750" t="s">
        <v>1405</v>
      </c>
      <c r="C750" t="s">
        <v>163</v>
      </c>
      <c r="D750" t="s">
        <v>1406</v>
      </c>
      <c r="E750" t="s">
        <v>172</v>
      </c>
      <c r="F750" t="s">
        <v>162</v>
      </c>
      <c r="G750">
        <v>201</v>
      </c>
      <c r="H750">
        <v>200</v>
      </c>
      <c r="I750" t="s">
        <v>387</v>
      </c>
      <c r="J750">
        <v>451</v>
      </c>
      <c r="K750">
        <v>450</v>
      </c>
      <c r="L750" t="s">
        <v>710</v>
      </c>
      <c r="M750">
        <v>0</v>
      </c>
      <c r="N750" t="s">
        <v>15</v>
      </c>
      <c r="O750" t="s">
        <v>15</v>
      </c>
      <c r="P750" t="s">
        <v>175</v>
      </c>
      <c r="Q750" t="s">
        <v>162</v>
      </c>
      <c r="R750" t="s">
        <v>1475</v>
      </c>
      <c r="S750">
        <v>2020</v>
      </c>
      <c r="T750">
        <v>0</v>
      </c>
      <c r="U750" t="s">
        <v>162</v>
      </c>
      <c r="V750" t="s">
        <v>162</v>
      </c>
      <c r="W750">
        <v>0</v>
      </c>
      <c r="X750">
        <v>0</v>
      </c>
      <c r="Y750" t="s">
        <v>162</v>
      </c>
      <c r="Z750">
        <v>2020</v>
      </c>
      <c r="AA750">
        <v>0</v>
      </c>
      <c r="AB750" s="5">
        <v>0.31730586340299999</v>
      </c>
      <c r="AC750" s="5">
        <v>0.63461172680599998</v>
      </c>
      <c r="AD750" t="s">
        <v>162</v>
      </c>
      <c r="AE750" t="s">
        <v>163</v>
      </c>
      <c r="AF750" t="s">
        <v>162</v>
      </c>
      <c r="AG750" t="s">
        <v>162</v>
      </c>
      <c r="AH750" t="s">
        <v>162</v>
      </c>
      <c r="AI750" t="s">
        <v>162</v>
      </c>
      <c r="AJ750" t="s">
        <v>162</v>
      </c>
      <c r="AK750" t="s">
        <v>162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 s="60">
        <f t="shared" si="11"/>
        <v>1</v>
      </c>
      <c r="AU750" s="95" t="s">
        <v>531</v>
      </c>
      <c r="AV750" s="94" t="s">
        <v>165</v>
      </c>
      <c r="AW750" t="s">
        <v>162</v>
      </c>
      <c r="AX750">
        <v>3</v>
      </c>
      <c r="AY750" t="s">
        <v>167</v>
      </c>
      <c r="AZ750" t="s">
        <v>162</v>
      </c>
    </row>
    <row r="751" spans="1:52" x14ac:dyDescent="0.25">
      <c r="A751">
        <v>740</v>
      </c>
      <c r="B751" t="s">
        <v>245</v>
      </c>
      <c r="C751" t="s">
        <v>163</v>
      </c>
      <c r="D751" t="s">
        <v>246</v>
      </c>
      <c r="E751" t="s">
        <v>216</v>
      </c>
      <c r="F751" t="s">
        <v>162</v>
      </c>
      <c r="G751">
        <v>2900</v>
      </c>
      <c r="H751">
        <v>2901</v>
      </c>
      <c r="I751" t="s">
        <v>1517</v>
      </c>
      <c r="J751">
        <v>3001</v>
      </c>
      <c r="K751">
        <v>3000</v>
      </c>
      <c r="L751" t="s">
        <v>240</v>
      </c>
      <c r="M751">
        <v>3</v>
      </c>
      <c r="N751" t="s">
        <v>15</v>
      </c>
      <c r="O751" t="s">
        <v>15</v>
      </c>
      <c r="P751" t="s">
        <v>175</v>
      </c>
      <c r="Q751" t="s">
        <v>162</v>
      </c>
      <c r="R751" t="s">
        <v>177</v>
      </c>
      <c r="S751">
        <v>2011</v>
      </c>
      <c r="T751">
        <v>9</v>
      </c>
      <c r="U751" t="s">
        <v>162</v>
      </c>
      <c r="V751" t="s">
        <v>314</v>
      </c>
      <c r="W751">
        <v>2013</v>
      </c>
      <c r="X751">
        <v>7</v>
      </c>
      <c r="Y751" t="s">
        <v>123</v>
      </c>
      <c r="Z751">
        <v>2013</v>
      </c>
      <c r="AA751">
        <v>2013</v>
      </c>
      <c r="AB751" s="5">
        <v>8.7828058992200003E-2</v>
      </c>
      <c r="AC751" s="5">
        <v>0.17565611798399999</v>
      </c>
      <c r="AD751" t="s">
        <v>162</v>
      </c>
      <c r="AE751" t="s">
        <v>163</v>
      </c>
      <c r="AF751" t="s">
        <v>162</v>
      </c>
      <c r="AG751" t="s">
        <v>162</v>
      </c>
      <c r="AH751" t="s">
        <v>162</v>
      </c>
      <c r="AI751" t="s">
        <v>162</v>
      </c>
      <c r="AJ751" t="s">
        <v>162</v>
      </c>
      <c r="AK751" t="s">
        <v>162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 s="60">
        <f t="shared" si="11"/>
        <v>1</v>
      </c>
      <c r="AU751" s="95" t="s">
        <v>531</v>
      </c>
      <c r="AV751" s="94" t="s">
        <v>165</v>
      </c>
      <c r="AW751" t="s">
        <v>162</v>
      </c>
      <c r="AX751">
        <v>2</v>
      </c>
      <c r="AY751" t="s">
        <v>167</v>
      </c>
      <c r="AZ751" t="s">
        <v>162</v>
      </c>
    </row>
    <row r="752" spans="1:52" x14ac:dyDescent="0.25">
      <c r="A752">
        <v>741</v>
      </c>
      <c r="B752" t="s">
        <v>245</v>
      </c>
      <c r="C752" t="s">
        <v>163</v>
      </c>
      <c r="D752" t="s">
        <v>246</v>
      </c>
      <c r="E752" t="s">
        <v>216</v>
      </c>
      <c r="F752" t="s">
        <v>162</v>
      </c>
      <c r="G752">
        <v>3375</v>
      </c>
      <c r="H752">
        <v>3376</v>
      </c>
      <c r="I752" t="s">
        <v>384</v>
      </c>
      <c r="J752">
        <v>3400</v>
      </c>
      <c r="K752">
        <v>3401</v>
      </c>
      <c r="L752" t="s">
        <v>566</v>
      </c>
      <c r="M752">
        <v>3</v>
      </c>
      <c r="N752" t="s">
        <v>15</v>
      </c>
      <c r="O752" t="s">
        <v>15</v>
      </c>
      <c r="P752" t="s">
        <v>175</v>
      </c>
      <c r="Q752" t="s">
        <v>162</v>
      </c>
      <c r="R752" t="s">
        <v>177</v>
      </c>
      <c r="S752">
        <v>2011</v>
      </c>
      <c r="T752">
        <v>9</v>
      </c>
      <c r="U752" t="s">
        <v>162</v>
      </c>
      <c r="V752" t="s">
        <v>314</v>
      </c>
      <c r="W752">
        <v>2013</v>
      </c>
      <c r="X752">
        <v>7</v>
      </c>
      <c r="Y752" t="s">
        <v>123</v>
      </c>
      <c r="Z752">
        <v>2013</v>
      </c>
      <c r="AA752">
        <v>2013</v>
      </c>
      <c r="AB752" s="5">
        <v>0.25989816093599999</v>
      </c>
      <c r="AC752" s="5">
        <v>0.51979632187199998</v>
      </c>
      <c r="AD752" t="s">
        <v>162</v>
      </c>
      <c r="AE752" t="s">
        <v>163</v>
      </c>
      <c r="AF752" t="s">
        <v>162</v>
      </c>
      <c r="AG752" t="s">
        <v>162</v>
      </c>
      <c r="AH752" t="s">
        <v>162</v>
      </c>
      <c r="AI752" t="s">
        <v>162</v>
      </c>
      <c r="AJ752" t="s">
        <v>162</v>
      </c>
      <c r="AK752" t="s">
        <v>162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 s="60">
        <f t="shared" si="11"/>
        <v>1</v>
      </c>
      <c r="AU752" s="95" t="s">
        <v>531</v>
      </c>
      <c r="AV752" s="94" t="s">
        <v>165</v>
      </c>
      <c r="AW752" t="s">
        <v>162</v>
      </c>
      <c r="AX752">
        <v>2</v>
      </c>
      <c r="AY752" t="s">
        <v>167</v>
      </c>
      <c r="AZ752" t="s">
        <v>162</v>
      </c>
    </row>
    <row r="753" spans="1:52" x14ac:dyDescent="0.25">
      <c r="A753">
        <v>742</v>
      </c>
      <c r="B753" t="s">
        <v>1518</v>
      </c>
      <c r="C753" t="s">
        <v>163</v>
      </c>
      <c r="D753" t="s">
        <v>1519</v>
      </c>
      <c r="E753" t="s">
        <v>216</v>
      </c>
      <c r="F753" t="s">
        <v>162</v>
      </c>
      <c r="G753">
        <v>6625</v>
      </c>
      <c r="H753">
        <v>6626</v>
      </c>
      <c r="I753" t="s">
        <v>1520</v>
      </c>
      <c r="J753">
        <v>6701</v>
      </c>
      <c r="K753">
        <v>6700</v>
      </c>
      <c r="L753" t="s">
        <v>1521</v>
      </c>
      <c r="M753">
        <v>0</v>
      </c>
      <c r="N753" t="s">
        <v>13</v>
      </c>
      <c r="O753" t="s">
        <v>13</v>
      </c>
      <c r="P753" t="s">
        <v>175</v>
      </c>
      <c r="Q753" t="s">
        <v>162</v>
      </c>
      <c r="R753" t="s">
        <v>162</v>
      </c>
      <c r="S753">
        <v>2019</v>
      </c>
      <c r="T753">
        <v>0</v>
      </c>
      <c r="U753" t="s">
        <v>162</v>
      </c>
      <c r="V753" t="s">
        <v>162</v>
      </c>
      <c r="W753">
        <v>0</v>
      </c>
      <c r="X753">
        <v>0</v>
      </c>
      <c r="Y753" t="s">
        <v>162</v>
      </c>
      <c r="Z753">
        <v>0</v>
      </c>
      <c r="AA753">
        <v>0</v>
      </c>
      <c r="AB753" s="5">
        <v>8.1474580753699996E-2</v>
      </c>
      <c r="AC753" s="5">
        <v>0.16294916150700001</v>
      </c>
      <c r="AD753" t="s">
        <v>162</v>
      </c>
      <c r="AE753" t="s">
        <v>163</v>
      </c>
      <c r="AF753" t="s">
        <v>162</v>
      </c>
      <c r="AG753" t="s">
        <v>162</v>
      </c>
      <c r="AH753" t="s">
        <v>162</v>
      </c>
      <c r="AI753" t="s">
        <v>162</v>
      </c>
      <c r="AJ753" t="s">
        <v>162</v>
      </c>
      <c r="AK753" t="s">
        <v>162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s="60">
        <f t="shared" si="11"/>
        <v>1</v>
      </c>
      <c r="AU753" s="95" t="s">
        <v>1505</v>
      </c>
      <c r="AV753" t="s">
        <v>165</v>
      </c>
      <c r="AW753" t="s">
        <v>162</v>
      </c>
      <c r="AX753">
        <v>3</v>
      </c>
      <c r="AY753" t="s">
        <v>275</v>
      </c>
      <c r="AZ753" t="s">
        <v>162</v>
      </c>
    </row>
    <row r="754" spans="1:52" x14ac:dyDescent="0.25">
      <c r="A754">
        <v>743</v>
      </c>
      <c r="B754" t="s">
        <v>1522</v>
      </c>
      <c r="C754" t="s">
        <v>151</v>
      </c>
      <c r="D754" t="s">
        <v>1523</v>
      </c>
      <c r="E754" t="s">
        <v>216</v>
      </c>
      <c r="F754" t="s">
        <v>162</v>
      </c>
      <c r="G754">
        <v>1301</v>
      </c>
      <c r="H754">
        <v>1300</v>
      </c>
      <c r="I754" t="s">
        <v>272</v>
      </c>
      <c r="J754">
        <v>1401</v>
      </c>
      <c r="K754">
        <v>1400</v>
      </c>
      <c r="L754" t="s">
        <v>1111</v>
      </c>
      <c r="M754">
        <v>0</v>
      </c>
      <c r="N754" t="s">
        <v>13</v>
      </c>
      <c r="O754" t="s">
        <v>13</v>
      </c>
      <c r="P754" t="s">
        <v>175</v>
      </c>
      <c r="Q754" t="s">
        <v>162</v>
      </c>
      <c r="R754" t="s">
        <v>162</v>
      </c>
      <c r="S754">
        <v>2019</v>
      </c>
      <c r="T754">
        <v>0</v>
      </c>
      <c r="U754" t="s">
        <v>162</v>
      </c>
      <c r="V754" t="s">
        <v>162</v>
      </c>
      <c r="W754">
        <v>0</v>
      </c>
      <c r="X754">
        <v>0</v>
      </c>
      <c r="Y754" t="s">
        <v>162</v>
      </c>
      <c r="Z754">
        <v>0</v>
      </c>
      <c r="AA754">
        <v>0</v>
      </c>
      <c r="AB754" s="5">
        <v>0.10819671773800001</v>
      </c>
      <c r="AC754" s="5">
        <v>0.21639343547600001</v>
      </c>
      <c r="AD754" t="s">
        <v>162</v>
      </c>
      <c r="AE754" t="s">
        <v>163</v>
      </c>
      <c r="AF754" t="s">
        <v>162</v>
      </c>
      <c r="AG754" t="s">
        <v>162</v>
      </c>
      <c r="AH754" t="s">
        <v>162</v>
      </c>
      <c r="AI754" t="s">
        <v>162</v>
      </c>
      <c r="AJ754" t="s">
        <v>162</v>
      </c>
      <c r="AK754" t="s">
        <v>162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s="60">
        <f t="shared" si="11"/>
        <v>1</v>
      </c>
      <c r="AU754" s="95" t="s">
        <v>1505</v>
      </c>
      <c r="AV754" s="94" t="s">
        <v>165</v>
      </c>
      <c r="AW754" t="s">
        <v>162</v>
      </c>
      <c r="AX754">
        <v>3</v>
      </c>
      <c r="AY754" t="s">
        <v>275</v>
      </c>
      <c r="AZ754" t="s">
        <v>162</v>
      </c>
    </row>
    <row r="755" spans="1:52" x14ac:dyDescent="0.25">
      <c r="A755">
        <v>744</v>
      </c>
      <c r="B755" t="s">
        <v>427</v>
      </c>
      <c r="C755" t="s">
        <v>151</v>
      </c>
      <c r="D755" t="s">
        <v>428</v>
      </c>
      <c r="E755" t="s">
        <v>216</v>
      </c>
      <c r="F755" t="s">
        <v>162</v>
      </c>
      <c r="G755">
        <v>5601</v>
      </c>
      <c r="H755">
        <v>5600</v>
      </c>
      <c r="I755" t="s">
        <v>901</v>
      </c>
      <c r="J755">
        <v>5625</v>
      </c>
      <c r="K755">
        <v>5626</v>
      </c>
      <c r="L755" t="s">
        <v>543</v>
      </c>
      <c r="M755">
        <v>3</v>
      </c>
      <c r="N755" t="s">
        <v>11</v>
      </c>
      <c r="O755" t="s">
        <v>327</v>
      </c>
      <c r="P755" t="s">
        <v>157</v>
      </c>
      <c r="Q755" t="s">
        <v>162</v>
      </c>
      <c r="R755" t="s">
        <v>544</v>
      </c>
      <c r="S755">
        <v>2021</v>
      </c>
      <c r="T755">
        <v>10</v>
      </c>
      <c r="U755" t="s">
        <v>545</v>
      </c>
      <c r="V755" t="s">
        <v>162</v>
      </c>
      <c r="W755">
        <v>0</v>
      </c>
      <c r="X755">
        <v>0</v>
      </c>
      <c r="Y755" t="s">
        <v>162</v>
      </c>
      <c r="Z755">
        <v>2021</v>
      </c>
      <c r="AA755">
        <v>0</v>
      </c>
      <c r="AB755" s="5">
        <v>6.2647052570699996E-2</v>
      </c>
      <c r="AC755" s="5">
        <v>0.12529410514100001</v>
      </c>
      <c r="AD755" t="s">
        <v>162</v>
      </c>
      <c r="AE755" t="s">
        <v>163</v>
      </c>
      <c r="AF755" t="s">
        <v>162</v>
      </c>
      <c r="AG755" t="s">
        <v>163</v>
      </c>
      <c r="AH755" t="s">
        <v>162</v>
      </c>
      <c r="AI755" t="s">
        <v>162</v>
      </c>
      <c r="AJ755" t="s">
        <v>162</v>
      </c>
      <c r="AK755" t="s">
        <v>162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 s="60">
        <f t="shared" si="11"/>
        <v>1</v>
      </c>
      <c r="AU755" s="95" t="s">
        <v>546</v>
      </c>
      <c r="AV755" s="94" t="s">
        <v>165</v>
      </c>
      <c r="AW755" t="s">
        <v>163</v>
      </c>
      <c r="AX755">
        <v>2</v>
      </c>
      <c r="AY755" t="s">
        <v>167</v>
      </c>
      <c r="AZ755" t="s">
        <v>162</v>
      </c>
    </row>
    <row r="756" spans="1:52" x14ac:dyDescent="0.25">
      <c r="A756">
        <v>745</v>
      </c>
      <c r="B756" t="s">
        <v>1048</v>
      </c>
      <c r="C756" t="s">
        <v>151</v>
      </c>
      <c r="D756" t="s">
        <v>671</v>
      </c>
      <c r="E756" t="s">
        <v>222</v>
      </c>
      <c r="F756" t="s">
        <v>203</v>
      </c>
      <c r="G756">
        <v>2401</v>
      </c>
      <c r="H756">
        <v>2400</v>
      </c>
      <c r="I756" t="s">
        <v>378</v>
      </c>
      <c r="J756">
        <v>2501</v>
      </c>
      <c r="K756">
        <v>2500</v>
      </c>
      <c r="L756" t="s">
        <v>1039</v>
      </c>
      <c r="M756">
        <v>4</v>
      </c>
      <c r="N756" t="s">
        <v>9</v>
      </c>
      <c r="O756" t="s">
        <v>9</v>
      </c>
      <c r="P756" t="s">
        <v>157</v>
      </c>
      <c r="Q756" t="s">
        <v>1050</v>
      </c>
      <c r="R756" t="s">
        <v>320</v>
      </c>
      <c r="S756">
        <v>2014</v>
      </c>
      <c r="T756">
        <v>10</v>
      </c>
      <c r="U756" t="s">
        <v>604</v>
      </c>
      <c r="V756" t="s">
        <v>162</v>
      </c>
      <c r="W756">
        <v>0</v>
      </c>
      <c r="X756">
        <v>0</v>
      </c>
      <c r="Y756" t="s">
        <v>162</v>
      </c>
      <c r="Z756">
        <v>2014</v>
      </c>
      <c r="AA756">
        <v>2011</v>
      </c>
      <c r="AB756" s="5">
        <v>0.105655078527</v>
      </c>
      <c r="AC756" s="5">
        <v>0.105655078527</v>
      </c>
      <c r="AD756" t="s">
        <v>162</v>
      </c>
      <c r="AE756" t="s">
        <v>166</v>
      </c>
      <c r="AF756" t="s">
        <v>203</v>
      </c>
      <c r="AG756" t="s">
        <v>163</v>
      </c>
      <c r="AH756" t="s">
        <v>162</v>
      </c>
      <c r="AI756" t="s">
        <v>162</v>
      </c>
      <c r="AJ756" t="s">
        <v>162</v>
      </c>
      <c r="AK756" t="s">
        <v>162</v>
      </c>
      <c r="AL756">
        <v>0</v>
      </c>
      <c r="AM756">
        <v>0</v>
      </c>
      <c r="AN756">
        <v>0</v>
      </c>
      <c r="AO756">
        <v>0.7</v>
      </c>
      <c r="AP756">
        <v>0</v>
      </c>
      <c r="AQ756">
        <v>0</v>
      </c>
      <c r="AR756">
        <v>0</v>
      </c>
      <c r="AS756">
        <v>0.3</v>
      </c>
      <c r="AT756" s="60">
        <f t="shared" si="11"/>
        <v>1</v>
      </c>
      <c r="AU756" t="s">
        <v>350</v>
      </c>
      <c r="AV756" t="s">
        <v>165</v>
      </c>
      <c r="AW756" t="s">
        <v>163</v>
      </c>
      <c r="AX756">
        <v>2</v>
      </c>
      <c r="AY756" t="s">
        <v>167</v>
      </c>
      <c r="AZ756" t="s">
        <v>162</v>
      </c>
    </row>
    <row r="757" spans="1:52" x14ac:dyDescent="0.25">
      <c r="A757">
        <v>746</v>
      </c>
      <c r="B757" t="s">
        <v>1055</v>
      </c>
      <c r="C757" t="s">
        <v>151</v>
      </c>
      <c r="D757" t="s">
        <v>1056</v>
      </c>
      <c r="E757" t="s">
        <v>172</v>
      </c>
      <c r="F757" t="s">
        <v>162</v>
      </c>
      <c r="G757">
        <v>1301</v>
      </c>
      <c r="H757">
        <v>1300</v>
      </c>
      <c r="I757" t="s">
        <v>406</v>
      </c>
      <c r="J757">
        <v>1601</v>
      </c>
      <c r="K757">
        <v>1600</v>
      </c>
      <c r="L757" t="s">
        <v>302</v>
      </c>
      <c r="M757">
        <v>4</v>
      </c>
      <c r="N757" t="s">
        <v>9</v>
      </c>
      <c r="O757" t="s">
        <v>9</v>
      </c>
      <c r="P757" t="s">
        <v>175</v>
      </c>
      <c r="Q757" t="s">
        <v>1057</v>
      </c>
      <c r="R757" t="s">
        <v>463</v>
      </c>
      <c r="S757">
        <v>2014</v>
      </c>
      <c r="T757">
        <v>10</v>
      </c>
      <c r="U757" t="s">
        <v>162</v>
      </c>
      <c r="V757" t="s">
        <v>162</v>
      </c>
      <c r="W757">
        <v>0</v>
      </c>
      <c r="X757">
        <v>0</v>
      </c>
      <c r="Y757" t="s">
        <v>162</v>
      </c>
      <c r="Z757">
        <v>2014</v>
      </c>
      <c r="AA757">
        <v>0</v>
      </c>
      <c r="AB757" s="5">
        <v>0.36901886435300002</v>
      </c>
      <c r="AC757" s="5">
        <v>0.73803772870600004</v>
      </c>
      <c r="AD757" t="s">
        <v>162</v>
      </c>
      <c r="AE757" t="s">
        <v>163</v>
      </c>
      <c r="AF757" t="s">
        <v>162</v>
      </c>
      <c r="AG757" t="s">
        <v>162</v>
      </c>
      <c r="AH757" t="s">
        <v>162</v>
      </c>
      <c r="AI757" t="s">
        <v>162</v>
      </c>
      <c r="AJ757" t="s">
        <v>162</v>
      </c>
      <c r="AK757" t="s">
        <v>162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 s="60">
        <f t="shared" si="11"/>
        <v>1</v>
      </c>
      <c r="AU757" t="s">
        <v>350</v>
      </c>
      <c r="AV757" s="94" t="s">
        <v>165</v>
      </c>
      <c r="AW757" t="s">
        <v>163</v>
      </c>
      <c r="AX757">
        <v>3</v>
      </c>
      <c r="AY757" t="s">
        <v>167</v>
      </c>
      <c r="AZ757" t="s">
        <v>162</v>
      </c>
    </row>
    <row r="758" spans="1:52" x14ac:dyDescent="0.25">
      <c r="A758">
        <v>747</v>
      </c>
      <c r="B758" t="s">
        <v>1055</v>
      </c>
      <c r="C758" t="s">
        <v>151</v>
      </c>
      <c r="D758" t="s">
        <v>1056</v>
      </c>
      <c r="E758" t="s">
        <v>172</v>
      </c>
      <c r="F758" t="s">
        <v>162</v>
      </c>
      <c r="G758">
        <v>801</v>
      </c>
      <c r="H758">
        <v>800</v>
      </c>
      <c r="I758" t="s">
        <v>258</v>
      </c>
      <c r="J758">
        <v>701</v>
      </c>
      <c r="K758">
        <v>700</v>
      </c>
      <c r="L758" t="s">
        <v>1524</v>
      </c>
      <c r="M758">
        <v>4</v>
      </c>
      <c r="N758" t="s">
        <v>9</v>
      </c>
      <c r="O758" t="s">
        <v>9</v>
      </c>
      <c r="P758" t="s">
        <v>175</v>
      </c>
      <c r="Q758" t="s">
        <v>1057</v>
      </c>
      <c r="R758" t="s">
        <v>463</v>
      </c>
      <c r="S758">
        <v>2014</v>
      </c>
      <c r="T758">
        <v>10</v>
      </c>
      <c r="U758" t="s">
        <v>162</v>
      </c>
      <c r="V758" t="s">
        <v>162</v>
      </c>
      <c r="W758">
        <v>0</v>
      </c>
      <c r="X758">
        <v>0</v>
      </c>
      <c r="Y758" t="s">
        <v>162</v>
      </c>
      <c r="Z758">
        <v>2014</v>
      </c>
      <c r="AA758">
        <v>0</v>
      </c>
      <c r="AB758" s="5">
        <v>8.5037032142800006E-2</v>
      </c>
      <c r="AC758" s="5">
        <v>0.170074064286</v>
      </c>
      <c r="AD758" t="s">
        <v>162</v>
      </c>
      <c r="AE758" t="s">
        <v>163</v>
      </c>
      <c r="AF758" t="s">
        <v>162</v>
      </c>
      <c r="AG758" t="s">
        <v>162</v>
      </c>
      <c r="AH758" t="s">
        <v>162</v>
      </c>
      <c r="AI758" t="s">
        <v>162</v>
      </c>
      <c r="AJ758" t="s">
        <v>162</v>
      </c>
      <c r="AK758" t="s">
        <v>162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 s="60">
        <f t="shared" si="11"/>
        <v>1</v>
      </c>
      <c r="AU758" t="s">
        <v>350</v>
      </c>
      <c r="AV758" s="94" t="s">
        <v>165</v>
      </c>
      <c r="AW758" t="s">
        <v>163</v>
      </c>
      <c r="AX758">
        <v>2</v>
      </c>
      <c r="AY758" t="s">
        <v>167</v>
      </c>
      <c r="AZ758" t="s">
        <v>162</v>
      </c>
    </row>
    <row r="759" spans="1:52" x14ac:dyDescent="0.25">
      <c r="A759">
        <v>748</v>
      </c>
      <c r="B759" t="s">
        <v>674</v>
      </c>
      <c r="C759" t="s">
        <v>151</v>
      </c>
      <c r="D759" t="s">
        <v>675</v>
      </c>
      <c r="E759" t="s">
        <v>172</v>
      </c>
      <c r="F759" t="s">
        <v>162</v>
      </c>
      <c r="G759">
        <v>2001</v>
      </c>
      <c r="H759">
        <v>2000</v>
      </c>
      <c r="I759" t="s">
        <v>173</v>
      </c>
      <c r="J759">
        <v>2201</v>
      </c>
      <c r="K759">
        <v>2200</v>
      </c>
      <c r="L759" t="s">
        <v>341</v>
      </c>
      <c r="M759">
        <v>4</v>
      </c>
      <c r="N759" t="s">
        <v>11</v>
      </c>
      <c r="O759" t="s">
        <v>11</v>
      </c>
      <c r="P759" t="s">
        <v>175</v>
      </c>
      <c r="Q759" t="s">
        <v>162</v>
      </c>
      <c r="R759" t="s">
        <v>253</v>
      </c>
      <c r="S759">
        <v>2003</v>
      </c>
      <c r="T759">
        <v>6</v>
      </c>
      <c r="U759" t="s">
        <v>162</v>
      </c>
      <c r="V759" t="s">
        <v>250</v>
      </c>
      <c r="W759">
        <v>2018</v>
      </c>
      <c r="X759">
        <v>9</v>
      </c>
      <c r="Y759" t="s">
        <v>162</v>
      </c>
      <c r="Z759">
        <v>2018</v>
      </c>
      <c r="AA759">
        <v>2006</v>
      </c>
      <c r="AB759">
        <v>0.234715546804</v>
      </c>
      <c r="AC759">
        <v>0.46943109360800001</v>
      </c>
      <c r="AD759" t="s">
        <v>162</v>
      </c>
      <c r="AE759" t="s">
        <v>163</v>
      </c>
      <c r="AF759" t="s">
        <v>162</v>
      </c>
      <c r="AG759" t="s">
        <v>162</v>
      </c>
      <c r="AH759" t="s">
        <v>162</v>
      </c>
      <c r="AI759" t="s">
        <v>162</v>
      </c>
      <c r="AJ759" t="s">
        <v>162</v>
      </c>
      <c r="AK759" t="s">
        <v>162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 s="60">
        <f t="shared" si="11"/>
        <v>1</v>
      </c>
      <c r="AU759" t="s">
        <v>350</v>
      </c>
      <c r="AV759" t="s">
        <v>165</v>
      </c>
      <c r="AW759" t="s">
        <v>162</v>
      </c>
      <c r="AX759">
        <v>2</v>
      </c>
      <c r="AY759" t="s">
        <v>167</v>
      </c>
      <c r="AZ759" t="s">
        <v>162</v>
      </c>
    </row>
    <row r="760" spans="1:52" x14ac:dyDescent="0.25">
      <c r="A760">
        <v>749</v>
      </c>
      <c r="B760" t="s">
        <v>802</v>
      </c>
      <c r="C760" t="s">
        <v>163</v>
      </c>
      <c r="D760" t="s">
        <v>803</v>
      </c>
      <c r="E760" t="s">
        <v>172</v>
      </c>
      <c r="F760" t="s">
        <v>163</v>
      </c>
      <c r="G760">
        <v>726</v>
      </c>
      <c r="H760">
        <v>725</v>
      </c>
      <c r="I760" t="s">
        <v>804</v>
      </c>
      <c r="J760">
        <v>801</v>
      </c>
      <c r="K760">
        <v>800</v>
      </c>
      <c r="L760" t="s">
        <v>312</v>
      </c>
      <c r="M760">
        <v>4</v>
      </c>
      <c r="N760" t="s">
        <v>9</v>
      </c>
      <c r="O760" t="s">
        <v>9</v>
      </c>
      <c r="P760" t="s">
        <v>169</v>
      </c>
      <c r="Q760" t="s">
        <v>805</v>
      </c>
      <c r="R760" t="s">
        <v>238</v>
      </c>
      <c r="S760">
        <v>2017</v>
      </c>
      <c r="T760">
        <v>11</v>
      </c>
      <c r="U760" t="s">
        <v>123</v>
      </c>
      <c r="V760" t="s">
        <v>243</v>
      </c>
      <c r="W760">
        <v>2020</v>
      </c>
      <c r="X760">
        <v>0</v>
      </c>
      <c r="Y760" t="s">
        <v>162</v>
      </c>
      <c r="Z760">
        <v>2020</v>
      </c>
      <c r="AA760">
        <v>2017</v>
      </c>
      <c r="AB760">
        <v>6.8678689256799999E-2</v>
      </c>
      <c r="AC760">
        <v>6.8678689256799999E-2</v>
      </c>
      <c r="AD760" t="s">
        <v>162</v>
      </c>
      <c r="AE760" t="s">
        <v>166</v>
      </c>
      <c r="AF760" t="s">
        <v>163</v>
      </c>
      <c r="AG760" t="s">
        <v>163</v>
      </c>
      <c r="AH760" t="s">
        <v>162</v>
      </c>
      <c r="AI760" t="s">
        <v>162</v>
      </c>
      <c r="AJ760" t="s">
        <v>162</v>
      </c>
      <c r="AK760" t="s">
        <v>162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 s="60">
        <f t="shared" si="11"/>
        <v>1</v>
      </c>
      <c r="AU760" t="s">
        <v>244</v>
      </c>
      <c r="AV760" t="s">
        <v>165</v>
      </c>
      <c r="AW760" t="s">
        <v>163</v>
      </c>
      <c r="AX760">
        <v>2</v>
      </c>
      <c r="AY760" t="s">
        <v>167</v>
      </c>
      <c r="AZ760" t="s">
        <v>162</v>
      </c>
    </row>
    <row r="761" spans="1:52" x14ac:dyDescent="0.25">
      <c r="A761">
        <v>750</v>
      </c>
      <c r="B761" t="s">
        <v>220</v>
      </c>
      <c r="C761" t="s">
        <v>151</v>
      </c>
      <c r="D761" t="s">
        <v>221</v>
      </c>
      <c r="E761" t="s">
        <v>222</v>
      </c>
      <c r="F761" t="s">
        <v>203</v>
      </c>
      <c r="G761">
        <v>1601</v>
      </c>
      <c r="H761">
        <v>1600</v>
      </c>
      <c r="I761" t="s">
        <v>575</v>
      </c>
      <c r="J761">
        <v>1501</v>
      </c>
      <c r="K761">
        <v>1500</v>
      </c>
      <c r="L761" t="s">
        <v>1239</v>
      </c>
      <c r="M761">
        <v>4</v>
      </c>
      <c r="N761" t="s">
        <v>9</v>
      </c>
      <c r="O761" t="s">
        <v>9</v>
      </c>
      <c r="P761" t="s">
        <v>169</v>
      </c>
      <c r="Q761" t="s">
        <v>1238</v>
      </c>
      <c r="R761" t="s">
        <v>201</v>
      </c>
      <c r="S761">
        <v>2012</v>
      </c>
      <c r="T761">
        <v>12</v>
      </c>
      <c r="U761" t="s">
        <v>208</v>
      </c>
      <c r="V761" t="s">
        <v>243</v>
      </c>
      <c r="W761">
        <v>2020</v>
      </c>
      <c r="X761">
        <v>0</v>
      </c>
      <c r="Y761" t="s">
        <v>162</v>
      </c>
      <c r="Z761">
        <v>2020</v>
      </c>
      <c r="AA761">
        <v>0</v>
      </c>
      <c r="AB761">
        <v>0.122286614494</v>
      </c>
      <c r="AC761">
        <v>0.122286614494</v>
      </c>
      <c r="AD761" t="s">
        <v>162</v>
      </c>
      <c r="AE761" t="s">
        <v>166</v>
      </c>
      <c r="AF761" t="s">
        <v>203</v>
      </c>
      <c r="AG761" t="s">
        <v>163</v>
      </c>
      <c r="AH761" t="s">
        <v>162</v>
      </c>
      <c r="AI761" t="s">
        <v>162</v>
      </c>
      <c r="AJ761" t="s">
        <v>162</v>
      </c>
      <c r="AK761" t="s">
        <v>162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 s="60">
        <f t="shared" si="11"/>
        <v>1</v>
      </c>
      <c r="AU761" t="s">
        <v>244</v>
      </c>
      <c r="AV761" t="s">
        <v>165</v>
      </c>
      <c r="AW761" t="s">
        <v>1320</v>
      </c>
      <c r="AX761">
        <v>2</v>
      </c>
      <c r="AY761" t="s">
        <v>167</v>
      </c>
      <c r="AZ761" t="s">
        <v>162</v>
      </c>
    </row>
    <row r="762" spans="1:52" x14ac:dyDescent="0.25">
      <c r="A762">
        <v>751</v>
      </c>
      <c r="B762" t="s">
        <v>469</v>
      </c>
      <c r="C762" t="s">
        <v>151</v>
      </c>
      <c r="D762" t="s">
        <v>470</v>
      </c>
      <c r="E762" t="s">
        <v>182</v>
      </c>
      <c r="F762" t="s">
        <v>162</v>
      </c>
      <c r="G762">
        <v>2400</v>
      </c>
      <c r="H762">
        <v>2401</v>
      </c>
      <c r="I762" t="s">
        <v>378</v>
      </c>
      <c r="J762">
        <v>2000</v>
      </c>
      <c r="K762">
        <v>2001</v>
      </c>
      <c r="L762" t="s">
        <v>191</v>
      </c>
      <c r="M762">
        <v>2</v>
      </c>
      <c r="N762" t="s">
        <v>11</v>
      </c>
      <c r="O762" t="s">
        <v>11</v>
      </c>
      <c r="P762" t="s">
        <v>169</v>
      </c>
      <c r="Q762" t="s">
        <v>162</v>
      </c>
      <c r="R762" t="s">
        <v>816</v>
      </c>
      <c r="S762">
        <v>2006</v>
      </c>
      <c r="T762">
        <v>10</v>
      </c>
      <c r="U762" t="s">
        <v>162</v>
      </c>
      <c r="V762" t="s">
        <v>243</v>
      </c>
      <c r="W762">
        <v>2020</v>
      </c>
      <c r="X762">
        <v>0</v>
      </c>
      <c r="Y762" t="s">
        <v>162</v>
      </c>
      <c r="Z762">
        <v>2020</v>
      </c>
      <c r="AA762">
        <v>2014</v>
      </c>
      <c r="AB762">
        <v>0.50079499470199995</v>
      </c>
      <c r="AC762">
        <v>1.0015899894</v>
      </c>
      <c r="AD762" t="s">
        <v>162</v>
      </c>
      <c r="AE762" t="s">
        <v>163</v>
      </c>
      <c r="AF762" t="s">
        <v>162</v>
      </c>
      <c r="AG762" t="s">
        <v>162</v>
      </c>
      <c r="AH762" t="s">
        <v>162</v>
      </c>
      <c r="AI762" t="s">
        <v>162</v>
      </c>
      <c r="AJ762" t="s">
        <v>162</v>
      </c>
      <c r="AK762" t="s">
        <v>162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s="60">
        <f t="shared" si="11"/>
        <v>1</v>
      </c>
      <c r="AU762" t="s">
        <v>244</v>
      </c>
      <c r="AV762" t="s">
        <v>165</v>
      </c>
      <c r="AW762" t="s">
        <v>162</v>
      </c>
      <c r="AX762">
        <v>2</v>
      </c>
      <c r="AY762" t="s">
        <v>167</v>
      </c>
      <c r="AZ762" t="s">
        <v>162</v>
      </c>
    </row>
    <row r="763" spans="1:52" x14ac:dyDescent="0.25">
      <c r="A763">
        <v>752</v>
      </c>
      <c r="B763" t="s">
        <v>315</v>
      </c>
      <c r="C763" t="s">
        <v>163</v>
      </c>
      <c r="D763" t="s">
        <v>316</v>
      </c>
      <c r="E763" t="s">
        <v>216</v>
      </c>
      <c r="F763" t="s">
        <v>162</v>
      </c>
      <c r="G763">
        <v>1200</v>
      </c>
      <c r="H763">
        <v>1201</v>
      </c>
      <c r="I763" t="s">
        <v>459</v>
      </c>
      <c r="J763">
        <v>1600</v>
      </c>
      <c r="K763">
        <v>1601</v>
      </c>
      <c r="L763" t="s">
        <v>302</v>
      </c>
      <c r="M763">
        <v>3</v>
      </c>
      <c r="N763" t="s">
        <v>11</v>
      </c>
      <c r="O763" t="s">
        <v>327</v>
      </c>
      <c r="P763" t="s">
        <v>169</v>
      </c>
      <c r="Q763" t="s">
        <v>460</v>
      </c>
      <c r="R763" t="s">
        <v>329</v>
      </c>
      <c r="S763">
        <v>2017</v>
      </c>
      <c r="T763">
        <v>9</v>
      </c>
      <c r="U763" t="s">
        <v>489</v>
      </c>
      <c r="V763" t="s">
        <v>243</v>
      </c>
      <c r="W763">
        <v>2020</v>
      </c>
      <c r="X763">
        <v>0</v>
      </c>
      <c r="Y763" t="s">
        <v>162</v>
      </c>
      <c r="Z763">
        <v>2020</v>
      </c>
      <c r="AA763">
        <v>2011</v>
      </c>
      <c r="AB763">
        <v>6.9684190199500007E-2</v>
      </c>
      <c r="AC763">
        <v>0.13936838039900001</v>
      </c>
      <c r="AD763" t="s">
        <v>162</v>
      </c>
      <c r="AE763" t="s">
        <v>163</v>
      </c>
      <c r="AF763" t="s">
        <v>162</v>
      </c>
      <c r="AG763" t="s">
        <v>162</v>
      </c>
      <c r="AH763" t="s">
        <v>162</v>
      </c>
      <c r="AI763" t="s">
        <v>162</v>
      </c>
      <c r="AJ763" t="s">
        <v>162</v>
      </c>
      <c r="AK763" t="s">
        <v>162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 s="60">
        <f t="shared" si="11"/>
        <v>1</v>
      </c>
      <c r="AU763" t="s">
        <v>244</v>
      </c>
      <c r="AV763" t="s">
        <v>165</v>
      </c>
      <c r="AW763" t="s">
        <v>162</v>
      </c>
      <c r="AX763">
        <v>2</v>
      </c>
      <c r="AY763" t="s">
        <v>167</v>
      </c>
      <c r="AZ763">
        <v>20</v>
      </c>
    </row>
    <row r="764" spans="1:52" x14ac:dyDescent="0.25">
      <c r="A764">
        <v>753</v>
      </c>
      <c r="B764" t="s">
        <v>233</v>
      </c>
      <c r="C764" t="s">
        <v>163</v>
      </c>
      <c r="D764" t="s">
        <v>234</v>
      </c>
      <c r="E764" t="s">
        <v>172</v>
      </c>
      <c r="F764" t="s">
        <v>162</v>
      </c>
      <c r="G764">
        <v>2200</v>
      </c>
      <c r="H764">
        <v>2201</v>
      </c>
      <c r="I764" t="s">
        <v>236</v>
      </c>
      <c r="J764">
        <v>2300</v>
      </c>
      <c r="K764">
        <v>2301</v>
      </c>
      <c r="L764" t="s">
        <v>752</v>
      </c>
      <c r="M764">
        <v>2</v>
      </c>
      <c r="N764" t="s">
        <v>11</v>
      </c>
      <c r="O764" t="s">
        <v>11</v>
      </c>
      <c r="P764" t="s">
        <v>169</v>
      </c>
      <c r="Q764" t="s">
        <v>162</v>
      </c>
      <c r="R764" t="s">
        <v>237</v>
      </c>
      <c r="S764">
        <v>2000</v>
      </c>
      <c r="T764">
        <v>7</v>
      </c>
      <c r="U764" t="s">
        <v>162</v>
      </c>
      <c r="V764" t="s">
        <v>243</v>
      </c>
      <c r="W764">
        <v>2020</v>
      </c>
      <c r="X764">
        <v>0</v>
      </c>
      <c r="Y764" t="s">
        <v>162</v>
      </c>
      <c r="Z764">
        <v>2020</v>
      </c>
      <c r="AA764">
        <v>2018</v>
      </c>
      <c r="AB764">
        <v>0.12380962931300001</v>
      </c>
      <c r="AC764">
        <v>0.24761925862600001</v>
      </c>
      <c r="AD764" t="s">
        <v>162</v>
      </c>
      <c r="AE764" t="s">
        <v>163</v>
      </c>
      <c r="AF764" t="s">
        <v>162</v>
      </c>
      <c r="AG764" t="s">
        <v>162</v>
      </c>
      <c r="AH764" t="s">
        <v>162</v>
      </c>
      <c r="AI764" t="s">
        <v>162</v>
      </c>
      <c r="AJ764" t="s">
        <v>162</v>
      </c>
      <c r="AK764" t="s">
        <v>162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s="60">
        <f t="shared" si="11"/>
        <v>1</v>
      </c>
      <c r="AU764" t="s">
        <v>244</v>
      </c>
      <c r="AV764" t="s">
        <v>165</v>
      </c>
      <c r="AW764" t="s">
        <v>162</v>
      </c>
      <c r="AX764">
        <v>2</v>
      </c>
      <c r="AY764" t="s">
        <v>167</v>
      </c>
      <c r="AZ764" t="s">
        <v>162</v>
      </c>
    </row>
    <row r="765" spans="1:52" x14ac:dyDescent="0.25">
      <c r="A765">
        <v>754</v>
      </c>
      <c r="B765" t="s">
        <v>233</v>
      </c>
      <c r="C765" t="s">
        <v>163</v>
      </c>
      <c r="D765" t="s">
        <v>234</v>
      </c>
      <c r="E765" t="s">
        <v>172</v>
      </c>
      <c r="F765" t="s">
        <v>162</v>
      </c>
      <c r="G765">
        <v>3700</v>
      </c>
      <c r="H765">
        <v>3701</v>
      </c>
      <c r="I765" t="s">
        <v>331</v>
      </c>
      <c r="J765">
        <v>3734</v>
      </c>
      <c r="K765">
        <v>3733</v>
      </c>
      <c r="L765" t="s">
        <v>1435</v>
      </c>
      <c r="M765">
        <v>2</v>
      </c>
      <c r="N765" t="s">
        <v>11</v>
      </c>
      <c r="O765" t="s">
        <v>11</v>
      </c>
      <c r="P765" t="s">
        <v>175</v>
      </c>
      <c r="Q765" t="s">
        <v>162</v>
      </c>
      <c r="R765" t="s">
        <v>572</v>
      </c>
      <c r="S765">
        <v>2004</v>
      </c>
      <c r="T765">
        <v>7</v>
      </c>
      <c r="U765" t="s">
        <v>162</v>
      </c>
      <c r="V765" t="s">
        <v>267</v>
      </c>
      <c r="W765">
        <v>2018</v>
      </c>
      <c r="X765">
        <v>6</v>
      </c>
      <c r="Y765" t="s">
        <v>162</v>
      </c>
      <c r="Z765">
        <v>2018</v>
      </c>
      <c r="AA765">
        <v>2010</v>
      </c>
      <c r="AB765">
        <v>4.88286828444E-2</v>
      </c>
      <c r="AC765">
        <v>9.7657365688799999E-2</v>
      </c>
      <c r="AD765" t="s">
        <v>162</v>
      </c>
      <c r="AE765" t="s">
        <v>163</v>
      </c>
      <c r="AF765" t="s">
        <v>162</v>
      </c>
      <c r="AG765" t="s">
        <v>162</v>
      </c>
      <c r="AH765" t="s">
        <v>162</v>
      </c>
      <c r="AI765" t="s">
        <v>162</v>
      </c>
      <c r="AJ765" t="s">
        <v>162</v>
      </c>
      <c r="AK765" t="s">
        <v>162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s="60">
        <f t="shared" si="11"/>
        <v>1</v>
      </c>
      <c r="AU765" t="s">
        <v>244</v>
      </c>
      <c r="AV765" t="s">
        <v>165</v>
      </c>
      <c r="AW765" t="s">
        <v>162</v>
      </c>
      <c r="AX765">
        <v>2</v>
      </c>
      <c r="AY765" t="s">
        <v>167</v>
      </c>
      <c r="AZ765" t="s">
        <v>162</v>
      </c>
    </row>
    <row r="766" spans="1:52" x14ac:dyDescent="0.25">
      <c r="A766">
        <v>755</v>
      </c>
      <c r="B766" t="s">
        <v>233</v>
      </c>
      <c r="C766" t="s">
        <v>180</v>
      </c>
      <c r="D766" t="s">
        <v>234</v>
      </c>
      <c r="E766" t="s">
        <v>172</v>
      </c>
      <c r="F766" t="s">
        <v>162</v>
      </c>
      <c r="G766">
        <v>7501</v>
      </c>
      <c r="H766">
        <v>7500</v>
      </c>
      <c r="I766" t="s">
        <v>1096</v>
      </c>
      <c r="J766">
        <v>7401</v>
      </c>
      <c r="K766">
        <v>7400</v>
      </c>
      <c r="L766" t="s">
        <v>276</v>
      </c>
      <c r="M766">
        <v>2</v>
      </c>
      <c r="N766" t="s">
        <v>9</v>
      </c>
      <c r="O766" t="s">
        <v>9</v>
      </c>
      <c r="P766" t="s">
        <v>169</v>
      </c>
      <c r="Q766" t="s">
        <v>278</v>
      </c>
      <c r="R766" t="s">
        <v>232</v>
      </c>
      <c r="S766">
        <v>2012</v>
      </c>
      <c r="T766">
        <v>7</v>
      </c>
      <c r="U766" t="s">
        <v>123</v>
      </c>
      <c r="V766" t="s">
        <v>243</v>
      </c>
      <c r="W766">
        <v>2020</v>
      </c>
      <c r="X766">
        <v>0</v>
      </c>
      <c r="Y766" t="s">
        <v>162</v>
      </c>
      <c r="Z766">
        <v>2020</v>
      </c>
      <c r="AA766" s="5">
        <v>2012</v>
      </c>
      <c r="AB766">
        <v>9.4690544955100001E-2</v>
      </c>
      <c r="AC766">
        <v>0.18938108990999999</v>
      </c>
      <c r="AD766" t="s">
        <v>162</v>
      </c>
      <c r="AE766" t="s">
        <v>163</v>
      </c>
      <c r="AF766" t="s">
        <v>162</v>
      </c>
      <c r="AG766" t="s">
        <v>162</v>
      </c>
      <c r="AH766" t="s">
        <v>162</v>
      </c>
      <c r="AI766" t="s">
        <v>162</v>
      </c>
      <c r="AJ766" t="s">
        <v>162</v>
      </c>
      <c r="AK766" t="s">
        <v>162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 s="60">
        <f t="shared" si="11"/>
        <v>1</v>
      </c>
      <c r="AU766" t="s">
        <v>244</v>
      </c>
      <c r="AV766" t="s">
        <v>165</v>
      </c>
      <c r="AW766" t="s">
        <v>163</v>
      </c>
      <c r="AX766">
        <v>2</v>
      </c>
      <c r="AY766" t="s">
        <v>167</v>
      </c>
      <c r="AZ766" t="s">
        <v>162</v>
      </c>
    </row>
    <row r="767" spans="1:52" x14ac:dyDescent="0.25">
      <c r="A767">
        <v>756</v>
      </c>
      <c r="B767" t="s">
        <v>233</v>
      </c>
      <c r="C767" t="s">
        <v>180</v>
      </c>
      <c r="D767" t="s">
        <v>234</v>
      </c>
      <c r="E767" t="s">
        <v>172</v>
      </c>
      <c r="F767" t="s">
        <v>162</v>
      </c>
      <c r="G767">
        <v>8500</v>
      </c>
      <c r="H767">
        <v>8501</v>
      </c>
      <c r="I767" t="s">
        <v>1525</v>
      </c>
      <c r="J767">
        <v>8300</v>
      </c>
      <c r="K767">
        <v>8301</v>
      </c>
      <c r="L767" t="s">
        <v>1095</v>
      </c>
      <c r="M767">
        <v>2</v>
      </c>
      <c r="N767" t="s">
        <v>9</v>
      </c>
      <c r="O767" t="s">
        <v>9</v>
      </c>
      <c r="P767" t="s">
        <v>169</v>
      </c>
      <c r="Q767" t="s">
        <v>1097</v>
      </c>
      <c r="R767" t="s">
        <v>463</v>
      </c>
      <c r="S767">
        <v>2014</v>
      </c>
      <c r="T767">
        <v>6</v>
      </c>
      <c r="U767" t="s">
        <v>162</v>
      </c>
      <c r="V767" t="s">
        <v>243</v>
      </c>
      <c r="W767">
        <v>2020</v>
      </c>
      <c r="X767">
        <v>0</v>
      </c>
      <c r="Y767" t="s">
        <v>162</v>
      </c>
      <c r="Z767">
        <v>2020</v>
      </c>
      <c r="AA767" s="5">
        <v>0</v>
      </c>
      <c r="AB767">
        <v>0.25290603983100002</v>
      </c>
      <c r="AC767">
        <v>0.50581207966200004</v>
      </c>
      <c r="AD767" t="s">
        <v>162</v>
      </c>
      <c r="AE767" t="s">
        <v>163</v>
      </c>
      <c r="AF767" t="s">
        <v>162</v>
      </c>
      <c r="AG767" t="s">
        <v>162</v>
      </c>
      <c r="AH767" t="s">
        <v>162</v>
      </c>
      <c r="AI767" t="s">
        <v>162</v>
      </c>
      <c r="AJ767" t="s">
        <v>162</v>
      </c>
      <c r="AK767" t="s">
        <v>162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 s="60">
        <f t="shared" si="11"/>
        <v>1</v>
      </c>
      <c r="AU767" t="s">
        <v>244</v>
      </c>
      <c r="AV767" t="s">
        <v>165</v>
      </c>
      <c r="AW767" t="s">
        <v>163</v>
      </c>
      <c r="AX767">
        <v>2</v>
      </c>
      <c r="AY767" t="s">
        <v>167</v>
      </c>
      <c r="AZ767" t="s">
        <v>162</v>
      </c>
    </row>
    <row r="768" spans="1:52" x14ac:dyDescent="0.25">
      <c r="A768">
        <v>757</v>
      </c>
      <c r="B768" t="s">
        <v>315</v>
      </c>
      <c r="C768" t="s">
        <v>163</v>
      </c>
      <c r="D768" t="s">
        <v>316</v>
      </c>
      <c r="E768" t="s">
        <v>216</v>
      </c>
      <c r="F768" t="s">
        <v>162</v>
      </c>
      <c r="G768">
        <v>2426</v>
      </c>
      <c r="H768">
        <v>2425</v>
      </c>
      <c r="I768" t="s">
        <v>235</v>
      </c>
      <c r="J768">
        <v>2400</v>
      </c>
      <c r="K768">
        <v>2401</v>
      </c>
      <c r="L768" t="s">
        <v>378</v>
      </c>
      <c r="M768">
        <v>3</v>
      </c>
      <c r="N768" t="s">
        <v>7</v>
      </c>
      <c r="O768" t="s">
        <v>7</v>
      </c>
      <c r="P768" t="s">
        <v>157</v>
      </c>
      <c r="Q768" t="s">
        <v>162</v>
      </c>
      <c r="R768" t="s">
        <v>522</v>
      </c>
      <c r="S768">
        <v>2020</v>
      </c>
      <c r="T768">
        <v>9</v>
      </c>
      <c r="U768" t="s">
        <v>517</v>
      </c>
      <c r="V768" t="s">
        <v>162</v>
      </c>
      <c r="W768">
        <v>0</v>
      </c>
      <c r="X768">
        <v>0</v>
      </c>
      <c r="Y768" t="s">
        <v>162</v>
      </c>
      <c r="Z768">
        <v>2020</v>
      </c>
      <c r="AA768" s="5">
        <v>2005</v>
      </c>
      <c r="AB768">
        <v>8.1900133528999997E-2</v>
      </c>
      <c r="AC768">
        <v>0.16380026705799999</v>
      </c>
      <c r="AD768" t="s">
        <v>162</v>
      </c>
      <c r="AE768" t="s">
        <v>163</v>
      </c>
      <c r="AF768" t="s">
        <v>162</v>
      </c>
      <c r="AG768" t="s">
        <v>162</v>
      </c>
      <c r="AH768" t="s">
        <v>162</v>
      </c>
      <c r="AI768" t="s">
        <v>523</v>
      </c>
      <c r="AJ768" t="s">
        <v>163</v>
      </c>
      <c r="AK768" t="s">
        <v>162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 s="60">
        <f t="shared" si="11"/>
        <v>1</v>
      </c>
      <c r="AU768" t="s">
        <v>213</v>
      </c>
      <c r="AV768" t="s">
        <v>165</v>
      </c>
      <c r="AW768" t="s">
        <v>154</v>
      </c>
      <c r="AX768">
        <v>1</v>
      </c>
      <c r="AY768" t="s">
        <v>167</v>
      </c>
      <c r="AZ768">
        <v>20</v>
      </c>
    </row>
    <row r="769" spans="1:52" x14ac:dyDescent="0.25">
      <c r="A769">
        <v>758</v>
      </c>
      <c r="B769" t="s">
        <v>453</v>
      </c>
      <c r="C769" t="s">
        <v>163</v>
      </c>
      <c r="D769" t="s">
        <v>454</v>
      </c>
      <c r="E769" t="s">
        <v>216</v>
      </c>
      <c r="F769" t="s">
        <v>162</v>
      </c>
      <c r="G769">
        <v>3200</v>
      </c>
      <c r="H769">
        <v>3201</v>
      </c>
      <c r="I769" t="s">
        <v>565</v>
      </c>
      <c r="J769">
        <v>2800</v>
      </c>
      <c r="K769">
        <v>2801</v>
      </c>
      <c r="L769" t="s">
        <v>239</v>
      </c>
      <c r="M769">
        <v>0</v>
      </c>
      <c r="N769" t="s">
        <v>11</v>
      </c>
      <c r="O769" t="s">
        <v>327</v>
      </c>
      <c r="P769" t="s">
        <v>175</v>
      </c>
      <c r="Q769" t="s">
        <v>162</v>
      </c>
      <c r="R769" t="s">
        <v>1526</v>
      </c>
      <c r="S769">
        <v>2020</v>
      </c>
      <c r="T769">
        <v>11</v>
      </c>
      <c r="U769" t="s">
        <v>1527</v>
      </c>
      <c r="V769" t="s">
        <v>162</v>
      </c>
      <c r="W769">
        <v>0</v>
      </c>
      <c r="X769">
        <v>0</v>
      </c>
      <c r="Y769" t="s">
        <v>162</v>
      </c>
      <c r="Z769">
        <v>2020</v>
      </c>
      <c r="AA769" s="5">
        <v>0</v>
      </c>
      <c r="AB769">
        <v>0.50236598453199999</v>
      </c>
      <c r="AC769">
        <v>1.0047319690600001</v>
      </c>
      <c r="AD769" t="s">
        <v>162</v>
      </c>
      <c r="AE769" t="s">
        <v>163</v>
      </c>
      <c r="AF769" t="s">
        <v>162</v>
      </c>
      <c r="AG769" t="s">
        <v>162</v>
      </c>
      <c r="AH769" t="s">
        <v>162</v>
      </c>
      <c r="AI769" t="s">
        <v>162</v>
      </c>
      <c r="AJ769" t="s">
        <v>162</v>
      </c>
      <c r="AK769" t="s">
        <v>162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 s="60">
        <f t="shared" si="11"/>
        <v>1</v>
      </c>
      <c r="AU769" t="s">
        <v>1250</v>
      </c>
      <c r="AV769" t="s">
        <v>165</v>
      </c>
      <c r="AW769" t="s">
        <v>162</v>
      </c>
      <c r="AX769">
        <v>2</v>
      </c>
      <c r="AY769" t="s">
        <v>167</v>
      </c>
      <c r="AZ769" t="s">
        <v>162</v>
      </c>
    </row>
    <row r="770" spans="1:52" x14ac:dyDescent="0.25">
      <c r="A770">
        <v>759</v>
      </c>
      <c r="B770" t="s">
        <v>1528</v>
      </c>
      <c r="C770" t="s">
        <v>180</v>
      </c>
      <c r="D770" t="s">
        <v>1529</v>
      </c>
      <c r="E770" t="s">
        <v>216</v>
      </c>
      <c r="F770" t="s">
        <v>162</v>
      </c>
      <c r="G770">
        <v>6600</v>
      </c>
      <c r="H770">
        <v>6601</v>
      </c>
      <c r="I770" t="s">
        <v>1478</v>
      </c>
      <c r="J770">
        <v>6700</v>
      </c>
      <c r="K770">
        <v>6701</v>
      </c>
      <c r="L770" t="s">
        <v>967</v>
      </c>
      <c r="M770">
        <v>0</v>
      </c>
      <c r="N770" t="s">
        <v>15</v>
      </c>
      <c r="O770" t="s">
        <v>15</v>
      </c>
      <c r="P770" t="s">
        <v>175</v>
      </c>
      <c r="Q770" t="s">
        <v>162</v>
      </c>
      <c r="R770" t="s">
        <v>1526</v>
      </c>
      <c r="S770">
        <v>2020</v>
      </c>
      <c r="T770">
        <v>0</v>
      </c>
      <c r="U770" t="s">
        <v>162</v>
      </c>
      <c r="V770" t="s">
        <v>162</v>
      </c>
      <c r="W770">
        <v>0</v>
      </c>
      <c r="X770">
        <v>0</v>
      </c>
      <c r="Y770" t="s">
        <v>162</v>
      </c>
      <c r="Z770">
        <v>2020</v>
      </c>
      <c r="AA770" s="5">
        <v>0</v>
      </c>
      <c r="AB770">
        <v>0.12553232691999999</v>
      </c>
      <c r="AC770">
        <v>0.25106465383999998</v>
      </c>
      <c r="AD770" t="s">
        <v>162</v>
      </c>
      <c r="AE770" t="s">
        <v>163</v>
      </c>
      <c r="AF770" t="s">
        <v>162</v>
      </c>
      <c r="AG770" t="s">
        <v>162</v>
      </c>
      <c r="AH770" t="s">
        <v>162</v>
      </c>
      <c r="AI770" t="s">
        <v>162</v>
      </c>
      <c r="AJ770" t="s">
        <v>162</v>
      </c>
      <c r="AK770" t="s">
        <v>162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0</v>
      </c>
      <c r="AR770">
        <v>0</v>
      </c>
      <c r="AS770">
        <v>0</v>
      </c>
      <c r="AT770" s="60">
        <f t="shared" si="11"/>
        <v>1</v>
      </c>
      <c r="AU770" t="s">
        <v>1250</v>
      </c>
      <c r="AV770" t="s">
        <v>165</v>
      </c>
      <c r="AW770" t="s">
        <v>162</v>
      </c>
      <c r="AX770">
        <v>2</v>
      </c>
      <c r="AY770" t="s">
        <v>167</v>
      </c>
      <c r="AZ770" t="s">
        <v>162</v>
      </c>
    </row>
    <row r="771" spans="1:52" x14ac:dyDescent="0.25">
      <c r="A771">
        <v>760</v>
      </c>
      <c r="B771" t="s">
        <v>1022</v>
      </c>
      <c r="C771" t="s">
        <v>163</v>
      </c>
      <c r="D771" t="s">
        <v>1023</v>
      </c>
      <c r="E771" t="s">
        <v>172</v>
      </c>
      <c r="F771" t="s">
        <v>162</v>
      </c>
      <c r="G771">
        <v>624</v>
      </c>
      <c r="H771">
        <v>625</v>
      </c>
      <c r="I771" t="s">
        <v>405</v>
      </c>
      <c r="J771">
        <v>424</v>
      </c>
      <c r="K771">
        <v>425</v>
      </c>
      <c r="L771" t="s">
        <v>710</v>
      </c>
      <c r="M771">
        <v>0</v>
      </c>
      <c r="N771" t="s">
        <v>15</v>
      </c>
      <c r="O771" t="s">
        <v>15</v>
      </c>
      <c r="P771" t="s">
        <v>175</v>
      </c>
      <c r="Q771" t="s">
        <v>162</v>
      </c>
      <c r="R771" t="s">
        <v>1526</v>
      </c>
      <c r="S771">
        <v>2020</v>
      </c>
      <c r="T771">
        <v>0</v>
      </c>
      <c r="U771" t="s">
        <v>162</v>
      </c>
      <c r="V771" t="s">
        <v>162</v>
      </c>
      <c r="W771">
        <v>0</v>
      </c>
      <c r="X771">
        <v>0</v>
      </c>
      <c r="Y771" t="s">
        <v>162</v>
      </c>
      <c r="Z771">
        <v>2020</v>
      </c>
      <c r="AA771" s="5">
        <v>0</v>
      </c>
      <c r="AB771">
        <v>0.23973017966599999</v>
      </c>
      <c r="AC771">
        <v>0.47946035933199999</v>
      </c>
      <c r="AD771" t="s">
        <v>162</v>
      </c>
      <c r="AE771" t="s">
        <v>163</v>
      </c>
      <c r="AF771" t="s">
        <v>162</v>
      </c>
      <c r="AG771" t="s">
        <v>162</v>
      </c>
      <c r="AH771" t="s">
        <v>162</v>
      </c>
      <c r="AI771" t="s">
        <v>162</v>
      </c>
      <c r="AJ771" t="s">
        <v>162</v>
      </c>
      <c r="AK771" t="s">
        <v>162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 s="60">
        <f t="shared" si="11"/>
        <v>1</v>
      </c>
      <c r="AU771" t="s">
        <v>1250</v>
      </c>
      <c r="AV771" t="s">
        <v>165</v>
      </c>
      <c r="AW771" t="s">
        <v>162</v>
      </c>
      <c r="AX771">
        <v>2</v>
      </c>
      <c r="AY771" t="s">
        <v>275</v>
      </c>
      <c r="AZ771" t="s">
        <v>162</v>
      </c>
    </row>
    <row r="772" spans="1:52" x14ac:dyDescent="0.25">
      <c r="A772">
        <v>761</v>
      </c>
      <c r="B772" t="s">
        <v>1190</v>
      </c>
      <c r="C772" t="s">
        <v>151</v>
      </c>
      <c r="D772" t="s">
        <v>1191</v>
      </c>
      <c r="E772" t="s">
        <v>172</v>
      </c>
      <c r="F772" t="s">
        <v>162</v>
      </c>
      <c r="G772">
        <v>800</v>
      </c>
      <c r="H772">
        <v>801</v>
      </c>
      <c r="I772" t="s">
        <v>576</v>
      </c>
      <c r="J772">
        <v>826</v>
      </c>
      <c r="K772">
        <v>825</v>
      </c>
      <c r="L772" t="s">
        <v>1192</v>
      </c>
      <c r="M772">
        <v>0</v>
      </c>
      <c r="N772" t="s">
        <v>11</v>
      </c>
      <c r="O772" t="s">
        <v>11</v>
      </c>
      <c r="P772" t="s">
        <v>175</v>
      </c>
      <c r="Q772" t="s">
        <v>162</v>
      </c>
      <c r="R772" t="s">
        <v>1526</v>
      </c>
      <c r="S772">
        <v>2020</v>
      </c>
      <c r="T772">
        <v>0</v>
      </c>
      <c r="U772" t="s">
        <v>162</v>
      </c>
      <c r="V772" t="s">
        <v>162</v>
      </c>
      <c r="W772">
        <v>0</v>
      </c>
      <c r="X772">
        <v>0</v>
      </c>
      <c r="Y772" t="s">
        <v>162</v>
      </c>
      <c r="Z772">
        <v>2020</v>
      </c>
      <c r="AA772" s="5">
        <v>0</v>
      </c>
      <c r="AB772">
        <v>6.4097659166199999E-2</v>
      </c>
      <c r="AC772">
        <v>0.12819531833200001</v>
      </c>
      <c r="AD772" t="s">
        <v>162</v>
      </c>
      <c r="AE772" t="s">
        <v>162</v>
      </c>
      <c r="AF772" t="s">
        <v>162</v>
      </c>
      <c r="AG772" t="s">
        <v>162</v>
      </c>
      <c r="AH772" t="s">
        <v>162</v>
      </c>
      <c r="AI772" t="s">
        <v>162</v>
      </c>
      <c r="AJ772" t="s">
        <v>162</v>
      </c>
      <c r="AK772" t="s">
        <v>162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 s="60">
        <f t="shared" si="11"/>
        <v>1</v>
      </c>
      <c r="AU772" t="s">
        <v>1250</v>
      </c>
      <c r="AV772" t="s">
        <v>165</v>
      </c>
      <c r="AW772" t="s">
        <v>162</v>
      </c>
      <c r="AX772">
        <v>3</v>
      </c>
      <c r="AY772" t="s">
        <v>167</v>
      </c>
      <c r="AZ772" t="s">
        <v>162</v>
      </c>
    </row>
    <row r="773" spans="1:52" x14ac:dyDescent="0.25">
      <c r="A773">
        <v>762</v>
      </c>
      <c r="B773" t="s">
        <v>994</v>
      </c>
      <c r="C773" t="s">
        <v>180</v>
      </c>
      <c r="D773" t="s">
        <v>995</v>
      </c>
      <c r="E773" t="s">
        <v>172</v>
      </c>
      <c r="F773" t="s">
        <v>162</v>
      </c>
      <c r="G773">
        <v>2300</v>
      </c>
      <c r="H773">
        <v>2301</v>
      </c>
      <c r="I773" t="s">
        <v>1530</v>
      </c>
      <c r="J773">
        <v>2200</v>
      </c>
      <c r="K773">
        <v>2201</v>
      </c>
      <c r="L773" t="s">
        <v>248</v>
      </c>
      <c r="M773">
        <v>0</v>
      </c>
      <c r="N773" t="s">
        <v>15</v>
      </c>
      <c r="O773" t="s">
        <v>15</v>
      </c>
      <c r="P773" t="s">
        <v>175</v>
      </c>
      <c r="Q773" t="s">
        <v>162</v>
      </c>
      <c r="R773" t="s">
        <v>1526</v>
      </c>
      <c r="S773">
        <v>2020</v>
      </c>
      <c r="T773">
        <v>0</v>
      </c>
      <c r="U773" t="s">
        <v>162</v>
      </c>
      <c r="V773" t="s">
        <v>162</v>
      </c>
      <c r="W773">
        <v>0</v>
      </c>
      <c r="X773">
        <v>0</v>
      </c>
      <c r="Y773" t="s">
        <v>162</v>
      </c>
      <c r="Z773">
        <v>2020</v>
      </c>
      <c r="AA773" s="5">
        <v>0</v>
      </c>
      <c r="AB773">
        <v>0.126857057951</v>
      </c>
      <c r="AC773">
        <v>0.25371411590199999</v>
      </c>
      <c r="AD773" t="s">
        <v>162</v>
      </c>
      <c r="AE773" t="s">
        <v>162</v>
      </c>
      <c r="AF773" t="s">
        <v>162</v>
      </c>
      <c r="AG773" t="s">
        <v>162</v>
      </c>
      <c r="AH773" t="s">
        <v>162</v>
      </c>
      <c r="AI773" t="s">
        <v>162</v>
      </c>
      <c r="AJ773" t="s">
        <v>162</v>
      </c>
      <c r="AK773" t="s">
        <v>162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 s="60">
        <f t="shared" si="11"/>
        <v>1</v>
      </c>
      <c r="AU773" t="s">
        <v>1250</v>
      </c>
      <c r="AV773" t="s">
        <v>165</v>
      </c>
      <c r="AW773" t="s">
        <v>162</v>
      </c>
      <c r="AX773">
        <v>3</v>
      </c>
      <c r="AY773" t="s">
        <v>275</v>
      </c>
      <c r="AZ773" t="s">
        <v>162</v>
      </c>
    </row>
    <row r="774" spans="1:52" x14ac:dyDescent="0.25">
      <c r="A774">
        <v>763</v>
      </c>
      <c r="B774" t="s">
        <v>453</v>
      </c>
      <c r="C774" t="s">
        <v>163</v>
      </c>
      <c r="D774" t="s">
        <v>454</v>
      </c>
      <c r="E774" t="s">
        <v>216</v>
      </c>
      <c r="F774" t="s">
        <v>162</v>
      </c>
      <c r="G774">
        <v>5500</v>
      </c>
      <c r="H774">
        <v>5501</v>
      </c>
      <c r="I774" t="s">
        <v>602</v>
      </c>
      <c r="J774">
        <v>5400</v>
      </c>
      <c r="K774">
        <v>5401</v>
      </c>
      <c r="L774" t="s">
        <v>1224</v>
      </c>
      <c r="M774">
        <v>0</v>
      </c>
      <c r="N774" t="s">
        <v>11</v>
      </c>
      <c r="O774" t="s">
        <v>327</v>
      </c>
      <c r="P774" t="s">
        <v>175</v>
      </c>
      <c r="Q774" t="s">
        <v>162</v>
      </c>
      <c r="R774" t="s">
        <v>162</v>
      </c>
      <c r="S774">
        <v>2020</v>
      </c>
      <c r="T774">
        <v>11</v>
      </c>
      <c r="U774" t="s">
        <v>327</v>
      </c>
      <c r="V774" t="s">
        <v>162</v>
      </c>
      <c r="W774">
        <v>0</v>
      </c>
      <c r="X774">
        <v>0</v>
      </c>
      <c r="Y774" t="s">
        <v>162</v>
      </c>
      <c r="Z774">
        <v>2020</v>
      </c>
      <c r="AA774" s="5">
        <v>0</v>
      </c>
      <c r="AB774">
        <v>0.156405145553</v>
      </c>
      <c r="AC774">
        <v>0.312810291106</v>
      </c>
      <c r="AD774" t="s">
        <v>162</v>
      </c>
      <c r="AE774" t="s">
        <v>162</v>
      </c>
      <c r="AF774" t="s">
        <v>162</v>
      </c>
      <c r="AG774" t="s">
        <v>162</v>
      </c>
      <c r="AH774" t="s">
        <v>162</v>
      </c>
      <c r="AI774" t="s">
        <v>162</v>
      </c>
      <c r="AJ774" t="s">
        <v>162</v>
      </c>
      <c r="AK774" t="s">
        <v>162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s="60">
        <f t="shared" si="11"/>
        <v>1</v>
      </c>
      <c r="AU774" t="s">
        <v>1250</v>
      </c>
      <c r="AV774" t="s">
        <v>165</v>
      </c>
      <c r="AW774" t="s">
        <v>162</v>
      </c>
      <c r="AX774">
        <v>2</v>
      </c>
      <c r="AY774" t="s">
        <v>167</v>
      </c>
      <c r="AZ774" t="s">
        <v>162</v>
      </c>
    </row>
    <row r="775" spans="1:52" x14ac:dyDescent="0.25">
      <c r="A775">
        <v>764</v>
      </c>
      <c r="B775" t="s">
        <v>1531</v>
      </c>
      <c r="C775" t="s">
        <v>180</v>
      </c>
      <c r="D775" t="s">
        <v>1531</v>
      </c>
      <c r="E775" t="s">
        <v>182</v>
      </c>
      <c r="F775" t="s">
        <v>162</v>
      </c>
      <c r="G775">
        <v>10000</v>
      </c>
      <c r="H775">
        <v>10001</v>
      </c>
      <c r="I775" t="s">
        <v>1292</v>
      </c>
      <c r="J775">
        <v>10300</v>
      </c>
      <c r="K775">
        <v>10301</v>
      </c>
      <c r="L775" t="s">
        <v>1532</v>
      </c>
      <c r="M775">
        <v>0</v>
      </c>
      <c r="N775" t="s">
        <v>15</v>
      </c>
      <c r="O775" t="s">
        <v>15</v>
      </c>
      <c r="P775" t="s">
        <v>175</v>
      </c>
      <c r="Q775" t="s">
        <v>162</v>
      </c>
      <c r="R775" t="s">
        <v>1526</v>
      </c>
      <c r="S775">
        <v>2020</v>
      </c>
      <c r="T775">
        <v>11</v>
      </c>
      <c r="U775" t="s">
        <v>1533</v>
      </c>
      <c r="V775" t="s">
        <v>162</v>
      </c>
      <c r="W775">
        <v>0</v>
      </c>
      <c r="X775">
        <v>0</v>
      </c>
      <c r="Y775" t="s">
        <v>162</v>
      </c>
      <c r="Z775">
        <v>2020</v>
      </c>
      <c r="AA775" s="5">
        <v>0</v>
      </c>
      <c r="AB775">
        <v>0.57502416749800001</v>
      </c>
      <c r="AC775">
        <v>1.1500483349999999</v>
      </c>
      <c r="AD775" t="s">
        <v>162</v>
      </c>
      <c r="AE775" t="s">
        <v>162</v>
      </c>
      <c r="AF775" t="s">
        <v>162</v>
      </c>
      <c r="AG775" t="s">
        <v>162</v>
      </c>
      <c r="AH775" t="s">
        <v>162</v>
      </c>
      <c r="AI775" t="s">
        <v>162</v>
      </c>
      <c r="AJ775" t="s">
        <v>162</v>
      </c>
      <c r="AK775" t="s">
        <v>162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 s="60">
        <f t="shared" si="11"/>
        <v>1</v>
      </c>
      <c r="AU775" t="s">
        <v>1250</v>
      </c>
      <c r="AV775" t="s">
        <v>165</v>
      </c>
      <c r="AW775" t="s">
        <v>162</v>
      </c>
      <c r="AX775">
        <v>3</v>
      </c>
      <c r="AY775" t="s">
        <v>275</v>
      </c>
      <c r="AZ775" t="s">
        <v>162</v>
      </c>
    </row>
    <row r="776" spans="1:52" x14ac:dyDescent="0.25">
      <c r="A776">
        <v>765</v>
      </c>
      <c r="B776" t="s">
        <v>1494</v>
      </c>
      <c r="C776" t="s">
        <v>180</v>
      </c>
      <c r="D776" t="s">
        <v>925</v>
      </c>
      <c r="E776" t="s">
        <v>222</v>
      </c>
      <c r="F776" t="s">
        <v>162</v>
      </c>
      <c r="G776">
        <v>8700</v>
      </c>
      <c r="H776">
        <v>8701</v>
      </c>
      <c r="I776" t="s">
        <v>1254</v>
      </c>
      <c r="J776">
        <v>8300</v>
      </c>
      <c r="K776">
        <v>8301</v>
      </c>
      <c r="L776" t="s">
        <v>1095</v>
      </c>
      <c r="M776">
        <v>0</v>
      </c>
      <c r="N776" t="s">
        <v>11</v>
      </c>
      <c r="O776" t="s">
        <v>11</v>
      </c>
      <c r="P776" t="s">
        <v>175</v>
      </c>
      <c r="Q776" t="s">
        <v>162</v>
      </c>
      <c r="R776" t="s">
        <v>1487</v>
      </c>
      <c r="S776">
        <v>2020</v>
      </c>
      <c r="T776">
        <v>10</v>
      </c>
      <c r="U776" t="s">
        <v>162</v>
      </c>
      <c r="V776" t="s">
        <v>162</v>
      </c>
      <c r="W776">
        <v>0</v>
      </c>
      <c r="X776">
        <v>0</v>
      </c>
      <c r="Y776" t="s">
        <v>162</v>
      </c>
      <c r="Z776">
        <v>2020</v>
      </c>
      <c r="AA776" s="5">
        <v>0</v>
      </c>
      <c r="AB776">
        <v>0.50260137984300002</v>
      </c>
      <c r="AC776">
        <v>1.0052027596899999</v>
      </c>
      <c r="AD776" t="s">
        <v>162</v>
      </c>
      <c r="AE776" t="s">
        <v>162</v>
      </c>
      <c r="AF776" t="s">
        <v>162</v>
      </c>
      <c r="AG776" t="s">
        <v>162</v>
      </c>
      <c r="AH776" t="s">
        <v>162</v>
      </c>
      <c r="AI776" t="s">
        <v>162</v>
      </c>
      <c r="AJ776" t="s">
        <v>162</v>
      </c>
      <c r="AK776" t="s">
        <v>162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 s="60">
        <f t="shared" si="11"/>
        <v>1</v>
      </c>
      <c r="AU776" t="s">
        <v>1250</v>
      </c>
      <c r="AV776" t="s">
        <v>165</v>
      </c>
      <c r="AW776" t="s">
        <v>162</v>
      </c>
      <c r="AX776">
        <v>2</v>
      </c>
      <c r="AY776" t="s">
        <v>167</v>
      </c>
      <c r="AZ776" t="s">
        <v>154</v>
      </c>
    </row>
    <row r="777" spans="1:52" x14ac:dyDescent="0.25">
      <c r="A777">
        <v>766</v>
      </c>
      <c r="B777" t="s">
        <v>1534</v>
      </c>
      <c r="C777" t="s">
        <v>151</v>
      </c>
      <c r="D777" t="s">
        <v>1535</v>
      </c>
      <c r="E777" t="s">
        <v>172</v>
      </c>
      <c r="F777" t="s">
        <v>162</v>
      </c>
      <c r="G777">
        <v>9800</v>
      </c>
      <c r="H777">
        <v>9801</v>
      </c>
      <c r="I777" t="s">
        <v>174</v>
      </c>
      <c r="J777">
        <v>9800</v>
      </c>
      <c r="K777">
        <v>9801</v>
      </c>
      <c r="L777" t="s">
        <v>265</v>
      </c>
      <c r="M777">
        <v>0</v>
      </c>
      <c r="N777" t="s">
        <v>13</v>
      </c>
      <c r="O777" t="s">
        <v>13</v>
      </c>
      <c r="P777" t="s">
        <v>175</v>
      </c>
      <c r="Q777" t="s">
        <v>162</v>
      </c>
      <c r="R777" t="s">
        <v>1487</v>
      </c>
      <c r="S777">
        <v>2020</v>
      </c>
      <c r="T777">
        <v>10</v>
      </c>
      <c r="U777" t="s">
        <v>162</v>
      </c>
      <c r="V777" t="s">
        <v>162</v>
      </c>
      <c r="W777">
        <v>0</v>
      </c>
      <c r="X777">
        <v>0</v>
      </c>
      <c r="Y777" t="s">
        <v>162</v>
      </c>
      <c r="Z777">
        <v>2020</v>
      </c>
      <c r="AA777" s="5">
        <v>0</v>
      </c>
      <c r="AB777">
        <v>0.25858377054999998</v>
      </c>
      <c r="AC777">
        <v>0.51716754109999996</v>
      </c>
      <c r="AD777" t="s">
        <v>162</v>
      </c>
      <c r="AE777" t="s">
        <v>162</v>
      </c>
      <c r="AF777" t="s">
        <v>162</v>
      </c>
      <c r="AG777" t="s">
        <v>162</v>
      </c>
      <c r="AH777" t="s">
        <v>162</v>
      </c>
      <c r="AI777" t="s">
        <v>162</v>
      </c>
      <c r="AJ777" t="s">
        <v>162</v>
      </c>
      <c r="AK777" t="s">
        <v>162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 s="60">
        <f t="shared" si="11"/>
        <v>1</v>
      </c>
      <c r="AU777" t="s">
        <v>1250</v>
      </c>
      <c r="AV777" t="s">
        <v>165</v>
      </c>
      <c r="AW777" t="s">
        <v>162</v>
      </c>
      <c r="AX777">
        <v>3</v>
      </c>
      <c r="AY777" t="s">
        <v>275</v>
      </c>
      <c r="AZ777" t="s">
        <v>162</v>
      </c>
    </row>
    <row r="778" spans="1:52" x14ac:dyDescent="0.25">
      <c r="A778">
        <v>767</v>
      </c>
      <c r="B778" t="s">
        <v>924</v>
      </c>
      <c r="C778" t="s">
        <v>180</v>
      </c>
      <c r="D778" t="s">
        <v>925</v>
      </c>
      <c r="E778" t="s">
        <v>172</v>
      </c>
      <c r="F778" t="s">
        <v>162</v>
      </c>
      <c r="G778">
        <v>9800</v>
      </c>
      <c r="H778">
        <v>9801</v>
      </c>
      <c r="I778" t="s">
        <v>1536</v>
      </c>
      <c r="J778">
        <v>8700</v>
      </c>
      <c r="K778">
        <v>8701</v>
      </c>
      <c r="L778" t="s">
        <v>1254</v>
      </c>
      <c r="M778">
        <v>0</v>
      </c>
      <c r="N778" t="s">
        <v>13</v>
      </c>
      <c r="O778" t="s">
        <v>13</v>
      </c>
      <c r="P778" t="s">
        <v>175</v>
      </c>
      <c r="Q778" t="s">
        <v>162</v>
      </c>
      <c r="R778" t="s">
        <v>1487</v>
      </c>
      <c r="S778">
        <v>2020</v>
      </c>
      <c r="T778">
        <v>10</v>
      </c>
      <c r="U778" t="s">
        <v>162</v>
      </c>
      <c r="V778" t="s">
        <v>162</v>
      </c>
      <c r="W778">
        <v>0</v>
      </c>
      <c r="X778">
        <v>0</v>
      </c>
      <c r="Y778" t="s">
        <v>162</v>
      </c>
      <c r="Z778">
        <v>2020</v>
      </c>
      <c r="AA778" s="5">
        <v>0</v>
      </c>
      <c r="AB778">
        <v>1.3842124792099999</v>
      </c>
      <c r="AC778">
        <v>2.7684249584199998</v>
      </c>
      <c r="AD778" t="s">
        <v>162</v>
      </c>
      <c r="AE778" t="s">
        <v>162</v>
      </c>
      <c r="AF778" t="s">
        <v>162</v>
      </c>
      <c r="AG778" t="s">
        <v>162</v>
      </c>
      <c r="AH778" t="s">
        <v>162</v>
      </c>
      <c r="AI778" t="s">
        <v>162</v>
      </c>
      <c r="AJ778" t="s">
        <v>162</v>
      </c>
      <c r="AK778" t="s">
        <v>162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 s="60">
        <f t="shared" si="11"/>
        <v>1</v>
      </c>
      <c r="AU778" t="s">
        <v>1250</v>
      </c>
      <c r="AV778" t="s">
        <v>165</v>
      </c>
      <c r="AW778" t="s">
        <v>162</v>
      </c>
      <c r="AX778">
        <v>3</v>
      </c>
      <c r="AY778" t="s">
        <v>275</v>
      </c>
      <c r="AZ778" t="s">
        <v>154</v>
      </c>
    </row>
    <row r="779" spans="1:52" x14ac:dyDescent="0.25">
      <c r="A779">
        <v>768</v>
      </c>
      <c r="B779" t="s">
        <v>1537</v>
      </c>
      <c r="C779" t="s">
        <v>203</v>
      </c>
      <c r="D779" t="s">
        <v>1538</v>
      </c>
      <c r="E779" t="s">
        <v>172</v>
      </c>
      <c r="F779" t="s">
        <v>162</v>
      </c>
      <c r="G779">
        <v>3100</v>
      </c>
      <c r="H779">
        <v>3101</v>
      </c>
      <c r="I779" t="s">
        <v>1073</v>
      </c>
      <c r="J779">
        <v>3626</v>
      </c>
      <c r="K779">
        <v>3625</v>
      </c>
      <c r="L779" t="s">
        <v>1539</v>
      </c>
      <c r="M779">
        <v>0</v>
      </c>
      <c r="N779" t="s">
        <v>15</v>
      </c>
      <c r="O779" t="s">
        <v>15</v>
      </c>
      <c r="P779" t="s">
        <v>175</v>
      </c>
      <c r="Q779" t="s">
        <v>162</v>
      </c>
      <c r="R779" t="s">
        <v>1487</v>
      </c>
      <c r="S779">
        <v>2020</v>
      </c>
      <c r="T779">
        <v>10</v>
      </c>
      <c r="U779" t="s">
        <v>162</v>
      </c>
      <c r="V779" t="s">
        <v>162</v>
      </c>
      <c r="W779">
        <v>0</v>
      </c>
      <c r="X779">
        <v>0</v>
      </c>
      <c r="Y779" t="s">
        <v>162</v>
      </c>
      <c r="Z779">
        <v>2020</v>
      </c>
      <c r="AA779" s="5">
        <v>0</v>
      </c>
      <c r="AB779">
        <v>0.78705810930700004</v>
      </c>
      <c r="AC779">
        <v>1.57411621861</v>
      </c>
      <c r="AD779" t="s">
        <v>162</v>
      </c>
      <c r="AE779" t="s">
        <v>162</v>
      </c>
      <c r="AF779" t="s">
        <v>162</v>
      </c>
      <c r="AG779" t="s">
        <v>162</v>
      </c>
      <c r="AH779" t="s">
        <v>162</v>
      </c>
      <c r="AI779" t="s">
        <v>162</v>
      </c>
      <c r="AJ779" t="s">
        <v>162</v>
      </c>
      <c r="AK779" t="s">
        <v>162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 s="60">
        <f t="shared" ref="AT779:AT842" si="12">SUM(AM779:AS779)</f>
        <v>1</v>
      </c>
      <c r="AU779" t="s">
        <v>1540</v>
      </c>
      <c r="AV779" t="s">
        <v>165</v>
      </c>
      <c r="AW779" t="s">
        <v>162</v>
      </c>
      <c r="AX779">
        <v>2</v>
      </c>
      <c r="AY779" t="s">
        <v>275</v>
      </c>
      <c r="AZ779" t="s">
        <v>162</v>
      </c>
    </row>
    <row r="780" spans="1:52" x14ac:dyDescent="0.25">
      <c r="A780">
        <v>769</v>
      </c>
      <c r="B780" t="s">
        <v>1541</v>
      </c>
      <c r="C780" t="s">
        <v>180</v>
      </c>
      <c r="D780" t="s">
        <v>1541</v>
      </c>
      <c r="E780" t="s">
        <v>162</v>
      </c>
      <c r="F780" t="s">
        <v>162</v>
      </c>
      <c r="G780">
        <v>13000</v>
      </c>
      <c r="H780">
        <v>13001</v>
      </c>
      <c r="I780" t="s">
        <v>1074</v>
      </c>
      <c r="J780">
        <v>13400</v>
      </c>
      <c r="K780">
        <v>13401</v>
      </c>
      <c r="L780" t="s">
        <v>1542</v>
      </c>
      <c r="M780">
        <v>0</v>
      </c>
      <c r="N780" t="s">
        <v>15</v>
      </c>
      <c r="O780" t="s">
        <v>15</v>
      </c>
      <c r="P780" t="s">
        <v>175</v>
      </c>
      <c r="Q780" t="s">
        <v>162</v>
      </c>
      <c r="R780" t="s">
        <v>1487</v>
      </c>
      <c r="S780">
        <v>2020</v>
      </c>
      <c r="T780">
        <v>10</v>
      </c>
      <c r="U780" t="s">
        <v>162</v>
      </c>
      <c r="V780" t="s">
        <v>162</v>
      </c>
      <c r="W780">
        <v>0</v>
      </c>
      <c r="X780">
        <v>0</v>
      </c>
      <c r="Y780" t="s">
        <v>162</v>
      </c>
      <c r="Z780">
        <v>2020</v>
      </c>
      <c r="AA780" s="5">
        <v>0</v>
      </c>
      <c r="AB780">
        <v>0.50123169763300002</v>
      </c>
      <c r="AC780">
        <v>1.0024633952699999</v>
      </c>
      <c r="AD780" t="s">
        <v>162</v>
      </c>
      <c r="AE780" t="s">
        <v>162</v>
      </c>
      <c r="AF780" t="s">
        <v>162</v>
      </c>
      <c r="AG780" t="s">
        <v>162</v>
      </c>
      <c r="AH780" t="s">
        <v>162</v>
      </c>
      <c r="AI780" t="s">
        <v>162</v>
      </c>
      <c r="AJ780" t="s">
        <v>162</v>
      </c>
      <c r="AK780" t="s">
        <v>162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</v>
      </c>
      <c r="AS780">
        <v>0</v>
      </c>
      <c r="AT780" s="60">
        <f t="shared" si="12"/>
        <v>1</v>
      </c>
      <c r="AU780" t="s">
        <v>1250</v>
      </c>
      <c r="AV780" t="s">
        <v>165</v>
      </c>
      <c r="AW780" t="s">
        <v>162</v>
      </c>
      <c r="AX780">
        <v>3</v>
      </c>
      <c r="AY780" t="s">
        <v>275</v>
      </c>
      <c r="AZ780" t="s">
        <v>162</v>
      </c>
    </row>
    <row r="781" spans="1:52" x14ac:dyDescent="0.25">
      <c r="A781">
        <v>770</v>
      </c>
      <c r="B781" t="s">
        <v>875</v>
      </c>
      <c r="C781" t="s">
        <v>180</v>
      </c>
      <c r="D781" t="s">
        <v>876</v>
      </c>
      <c r="E781" t="s">
        <v>216</v>
      </c>
      <c r="F781" t="s">
        <v>162</v>
      </c>
      <c r="G781">
        <v>10038</v>
      </c>
      <c r="H781">
        <v>10039</v>
      </c>
      <c r="I781" t="s">
        <v>1543</v>
      </c>
      <c r="J781">
        <v>10600</v>
      </c>
      <c r="K781">
        <v>10601</v>
      </c>
      <c r="L781" t="s">
        <v>1544</v>
      </c>
      <c r="M781">
        <v>0</v>
      </c>
      <c r="N781" t="s">
        <v>11</v>
      </c>
      <c r="O781" t="s">
        <v>11</v>
      </c>
      <c r="P781" t="s">
        <v>175</v>
      </c>
      <c r="Q781" t="s">
        <v>162</v>
      </c>
      <c r="R781" t="s">
        <v>1487</v>
      </c>
      <c r="S781">
        <v>2020</v>
      </c>
      <c r="T781">
        <v>11</v>
      </c>
      <c r="U781" t="s">
        <v>162</v>
      </c>
      <c r="V781" t="s">
        <v>162</v>
      </c>
      <c r="W781">
        <v>0</v>
      </c>
      <c r="X781">
        <v>0</v>
      </c>
      <c r="Y781" t="s">
        <v>162</v>
      </c>
      <c r="Z781">
        <v>2020</v>
      </c>
      <c r="AA781" s="5">
        <v>0</v>
      </c>
      <c r="AB781">
        <v>0.69562226061700005</v>
      </c>
      <c r="AC781">
        <v>1.39124452123</v>
      </c>
      <c r="AD781" t="s">
        <v>162</v>
      </c>
      <c r="AE781" t="s">
        <v>162</v>
      </c>
      <c r="AF781" t="s">
        <v>162</v>
      </c>
      <c r="AG781" t="s">
        <v>162</v>
      </c>
      <c r="AH781" t="s">
        <v>162</v>
      </c>
      <c r="AI781" t="s">
        <v>162</v>
      </c>
      <c r="AJ781" t="s">
        <v>162</v>
      </c>
      <c r="AK781" t="s">
        <v>162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0</v>
      </c>
      <c r="AT781" s="60">
        <f t="shared" si="12"/>
        <v>1</v>
      </c>
      <c r="AU781" t="s">
        <v>1250</v>
      </c>
      <c r="AV781" t="s">
        <v>165</v>
      </c>
      <c r="AW781" t="s">
        <v>162</v>
      </c>
      <c r="AX781">
        <v>2</v>
      </c>
      <c r="AY781" t="s">
        <v>167</v>
      </c>
      <c r="AZ781" t="s">
        <v>162</v>
      </c>
    </row>
    <row r="782" spans="1:52" x14ac:dyDescent="0.25">
      <c r="A782">
        <v>771</v>
      </c>
      <c r="B782" t="s">
        <v>1545</v>
      </c>
      <c r="C782" t="s">
        <v>180</v>
      </c>
      <c r="D782" t="s">
        <v>1545</v>
      </c>
      <c r="E782" t="s">
        <v>162</v>
      </c>
      <c r="F782" t="s">
        <v>180</v>
      </c>
      <c r="G782">
        <v>9800</v>
      </c>
      <c r="H782">
        <v>9801</v>
      </c>
      <c r="I782" t="s">
        <v>1546</v>
      </c>
      <c r="J782">
        <v>10000</v>
      </c>
      <c r="K782">
        <v>10001</v>
      </c>
      <c r="L782" t="s">
        <v>1292</v>
      </c>
      <c r="M782">
        <v>0</v>
      </c>
      <c r="N782" t="s">
        <v>13</v>
      </c>
      <c r="O782" t="s">
        <v>13</v>
      </c>
      <c r="P782" t="s">
        <v>175</v>
      </c>
      <c r="Q782" t="s">
        <v>162</v>
      </c>
      <c r="R782" t="s">
        <v>1487</v>
      </c>
      <c r="S782">
        <v>2020</v>
      </c>
      <c r="T782">
        <v>12</v>
      </c>
      <c r="U782" t="s">
        <v>129</v>
      </c>
      <c r="V782" t="s">
        <v>162</v>
      </c>
      <c r="W782">
        <v>0</v>
      </c>
      <c r="X782">
        <v>0</v>
      </c>
      <c r="Y782" t="s">
        <v>162</v>
      </c>
      <c r="Z782">
        <v>2020</v>
      </c>
      <c r="AA782" s="5">
        <v>0</v>
      </c>
      <c r="AB782">
        <v>0.25327857567399997</v>
      </c>
      <c r="AC782">
        <v>0.50655715134799995</v>
      </c>
      <c r="AD782" t="s">
        <v>162</v>
      </c>
      <c r="AE782" t="s">
        <v>163</v>
      </c>
      <c r="AF782" t="s">
        <v>162</v>
      </c>
      <c r="AG782" t="s">
        <v>166</v>
      </c>
      <c r="AH782" t="s">
        <v>162</v>
      </c>
      <c r="AI782" t="s">
        <v>162</v>
      </c>
      <c r="AJ782" t="s">
        <v>162</v>
      </c>
      <c r="AK782" t="s">
        <v>162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 s="60">
        <f t="shared" si="12"/>
        <v>1</v>
      </c>
      <c r="AU782" t="s">
        <v>1250</v>
      </c>
      <c r="AV782" t="s">
        <v>165</v>
      </c>
      <c r="AW782" t="s">
        <v>162</v>
      </c>
      <c r="AX782">
        <v>3</v>
      </c>
      <c r="AY782" t="s">
        <v>275</v>
      </c>
      <c r="AZ782" t="s">
        <v>162</v>
      </c>
    </row>
    <row r="783" spans="1:52" x14ac:dyDescent="0.25">
      <c r="A783">
        <v>772</v>
      </c>
      <c r="B783" t="s">
        <v>1534</v>
      </c>
      <c r="C783" t="s">
        <v>203</v>
      </c>
      <c r="D783" t="s">
        <v>1535</v>
      </c>
      <c r="E783" t="s">
        <v>172</v>
      </c>
      <c r="F783" t="s">
        <v>203</v>
      </c>
      <c r="G783">
        <v>3600</v>
      </c>
      <c r="H783">
        <v>3600</v>
      </c>
      <c r="I783" t="s">
        <v>1547</v>
      </c>
      <c r="J783">
        <v>3700</v>
      </c>
      <c r="K783">
        <v>3701</v>
      </c>
      <c r="L783" t="s">
        <v>820</v>
      </c>
      <c r="M783">
        <v>0</v>
      </c>
      <c r="N783" t="s">
        <v>13</v>
      </c>
      <c r="O783" t="s">
        <v>13</v>
      </c>
      <c r="P783" t="s">
        <v>175</v>
      </c>
      <c r="Q783" t="s">
        <v>162</v>
      </c>
      <c r="R783" t="s">
        <v>1487</v>
      </c>
      <c r="S783">
        <v>2020</v>
      </c>
      <c r="T783">
        <v>12</v>
      </c>
      <c r="U783" t="s">
        <v>129</v>
      </c>
      <c r="V783" t="s">
        <v>162</v>
      </c>
      <c r="W783">
        <v>0</v>
      </c>
      <c r="X783">
        <v>0</v>
      </c>
      <c r="Y783" t="s">
        <v>162</v>
      </c>
      <c r="Z783">
        <v>2020</v>
      </c>
      <c r="AA783" s="5">
        <v>0</v>
      </c>
      <c r="AB783">
        <v>0.12485948534000001</v>
      </c>
      <c r="AC783">
        <v>0.24971897068000001</v>
      </c>
      <c r="AD783" t="s">
        <v>162</v>
      </c>
      <c r="AE783" t="s">
        <v>163</v>
      </c>
      <c r="AF783" t="s">
        <v>162</v>
      </c>
      <c r="AG783" t="s">
        <v>166</v>
      </c>
      <c r="AH783" t="s">
        <v>162</v>
      </c>
      <c r="AI783" t="s">
        <v>162</v>
      </c>
      <c r="AJ783" t="s">
        <v>162</v>
      </c>
      <c r="AK783" t="s">
        <v>162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 s="60">
        <f t="shared" si="12"/>
        <v>1</v>
      </c>
      <c r="AU783" t="s">
        <v>1250</v>
      </c>
      <c r="AV783" t="s">
        <v>165</v>
      </c>
      <c r="AW783" t="s">
        <v>162</v>
      </c>
      <c r="AX783">
        <v>3</v>
      </c>
      <c r="AY783" t="s">
        <v>275</v>
      </c>
      <c r="AZ783" t="s">
        <v>162</v>
      </c>
    </row>
    <row r="784" spans="1:52" x14ac:dyDescent="0.25">
      <c r="A784">
        <v>773</v>
      </c>
      <c r="B784" t="s">
        <v>648</v>
      </c>
      <c r="C784" t="s">
        <v>151</v>
      </c>
      <c r="D784" t="s">
        <v>649</v>
      </c>
      <c r="E784" t="s">
        <v>172</v>
      </c>
      <c r="F784" t="s">
        <v>162</v>
      </c>
      <c r="G784">
        <v>6000</v>
      </c>
      <c r="H784">
        <v>6001</v>
      </c>
      <c r="I784" t="s">
        <v>1067</v>
      </c>
      <c r="J784">
        <v>4800</v>
      </c>
      <c r="K784">
        <v>4801</v>
      </c>
      <c r="L784" t="s">
        <v>833</v>
      </c>
      <c r="M784">
        <v>0</v>
      </c>
      <c r="N784" t="s">
        <v>11</v>
      </c>
      <c r="O784" t="s">
        <v>327</v>
      </c>
      <c r="P784" t="s">
        <v>175</v>
      </c>
      <c r="Q784" t="s">
        <v>162</v>
      </c>
      <c r="R784" t="s">
        <v>1548</v>
      </c>
      <c r="S784">
        <v>2020</v>
      </c>
      <c r="T784">
        <v>10</v>
      </c>
      <c r="U784" t="s">
        <v>1527</v>
      </c>
      <c r="V784" t="s">
        <v>162</v>
      </c>
      <c r="W784">
        <v>0</v>
      </c>
      <c r="X784">
        <v>0</v>
      </c>
      <c r="Y784" t="s">
        <v>162</v>
      </c>
      <c r="Z784">
        <v>2020</v>
      </c>
      <c r="AA784" s="5">
        <v>0</v>
      </c>
      <c r="AB784">
        <v>1.51520676385</v>
      </c>
      <c r="AC784">
        <v>3.0304135276999999</v>
      </c>
      <c r="AD784" t="s">
        <v>162</v>
      </c>
      <c r="AE784" t="s">
        <v>162</v>
      </c>
      <c r="AF784" t="s">
        <v>162</v>
      </c>
      <c r="AG784" t="s">
        <v>162</v>
      </c>
      <c r="AH784" t="s">
        <v>162</v>
      </c>
      <c r="AI784" t="s">
        <v>162</v>
      </c>
      <c r="AJ784" t="s">
        <v>162</v>
      </c>
      <c r="AK784" t="s">
        <v>162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 s="60">
        <f t="shared" si="12"/>
        <v>1</v>
      </c>
      <c r="AU784" t="s">
        <v>1250</v>
      </c>
      <c r="AV784" t="s">
        <v>165</v>
      </c>
      <c r="AW784" t="s">
        <v>162</v>
      </c>
      <c r="AX784">
        <v>2</v>
      </c>
      <c r="AY784" t="s">
        <v>167</v>
      </c>
      <c r="AZ784" t="s">
        <v>162</v>
      </c>
    </row>
    <row r="785" spans="1:52" x14ac:dyDescent="0.25">
      <c r="A785">
        <v>774</v>
      </c>
      <c r="B785" t="s">
        <v>315</v>
      </c>
      <c r="C785" t="s">
        <v>163</v>
      </c>
      <c r="D785" t="s">
        <v>316</v>
      </c>
      <c r="E785" t="s">
        <v>216</v>
      </c>
      <c r="F785" t="s">
        <v>162</v>
      </c>
      <c r="G785">
        <v>3200</v>
      </c>
      <c r="H785">
        <v>3201</v>
      </c>
      <c r="I785" t="s">
        <v>1549</v>
      </c>
      <c r="J785">
        <v>3100</v>
      </c>
      <c r="K785">
        <v>3101</v>
      </c>
      <c r="L785" t="s">
        <v>1550</v>
      </c>
      <c r="M785">
        <v>0</v>
      </c>
      <c r="N785" t="s">
        <v>11</v>
      </c>
      <c r="O785" t="s">
        <v>327</v>
      </c>
      <c r="P785" t="s">
        <v>175</v>
      </c>
      <c r="Q785" t="s">
        <v>162</v>
      </c>
      <c r="R785" t="s">
        <v>1548</v>
      </c>
      <c r="S785">
        <v>2020</v>
      </c>
      <c r="T785">
        <v>0</v>
      </c>
      <c r="U785" t="s">
        <v>327</v>
      </c>
      <c r="V785" t="s">
        <v>162</v>
      </c>
      <c r="W785">
        <v>0</v>
      </c>
      <c r="X785">
        <v>0</v>
      </c>
      <c r="Y785" t="s">
        <v>162</v>
      </c>
      <c r="Z785">
        <v>2020</v>
      </c>
      <c r="AA785">
        <v>0</v>
      </c>
      <c r="AB785">
        <v>0.18445671843</v>
      </c>
      <c r="AC785">
        <v>0.36891343686</v>
      </c>
      <c r="AD785" t="s">
        <v>162</v>
      </c>
      <c r="AE785" t="s">
        <v>162</v>
      </c>
      <c r="AF785" t="s">
        <v>162</v>
      </c>
      <c r="AG785" t="s">
        <v>162</v>
      </c>
      <c r="AH785" t="s">
        <v>162</v>
      </c>
      <c r="AI785" t="s">
        <v>162</v>
      </c>
      <c r="AJ785" t="s">
        <v>162</v>
      </c>
      <c r="AK785" t="s">
        <v>162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 s="60">
        <f t="shared" si="12"/>
        <v>1</v>
      </c>
      <c r="AU785" t="s">
        <v>1250</v>
      </c>
      <c r="AV785" t="s">
        <v>165</v>
      </c>
      <c r="AW785" t="s">
        <v>162</v>
      </c>
      <c r="AX785">
        <v>2</v>
      </c>
      <c r="AY785" t="s">
        <v>167</v>
      </c>
      <c r="AZ785" t="s">
        <v>162</v>
      </c>
    </row>
    <row r="786" spans="1:52" x14ac:dyDescent="0.25">
      <c r="A786">
        <v>775</v>
      </c>
      <c r="B786" t="s">
        <v>1551</v>
      </c>
      <c r="C786" t="s">
        <v>163</v>
      </c>
      <c r="D786" t="s">
        <v>409</v>
      </c>
      <c r="E786" t="s">
        <v>216</v>
      </c>
      <c r="F786" t="s">
        <v>162</v>
      </c>
      <c r="G786">
        <v>2200</v>
      </c>
      <c r="H786">
        <v>2201</v>
      </c>
      <c r="I786" t="s">
        <v>1552</v>
      </c>
      <c r="J786">
        <v>2426</v>
      </c>
      <c r="K786">
        <v>2425</v>
      </c>
      <c r="L786" t="s">
        <v>230</v>
      </c>
      <c r="M786">
        <v>0</v>
      </c>
      <c r="N786" t="s">
        <v>11</v>
      </c>
      <c r="O786" t="s">
        <v>11</v>
      </c>
      <c r="P786" t="s">
        <v>175</v>
      </c>
      <c r="Q786" t="s">
        <v>162</v>
      </c>
      <c r="R786" t="s">
        <v>1553</v>
      </c>
      <c r="S786">
        <v>2020</v>
      </c>
      <c r="T786">
        <v>0</v>
      </c>
      <c r="U786" t="s">
        <v>1554</v>
      </c>
      <c r="V786" t="s">
        <v>162</v>
      </c>
      <c r="W786">
        <v>0</v>
      </c>
      <c r="X786">
        <v>0</v>
      </c>
      <c r="Y786" t="s">
        <v>162</v>
      </c>
      <c r="Z786">
        <v>2020</v>
      </c>
      <c r="AA786">
        <v>0</v>
      </c>
      <c r="AB786">
        <v>0.36338104025399998</v>
      </c>
      <c r="AC786">
        <v>0.72676208050799995</v>
      </c>
      <c r="AD786" t="s">
        <v>162</v>
      </c>
      <c r="AE786" t="s">
        <v>162</v>
      </c>
      <c r="AF786" t="s">
        <v>162</v>
      </c>
      <c r="AG786" t="s">
        <v>162</v>
      </c>
      <c r="AH786" t="s">
        <v>162</v>
      </c>
      <c r="AI786" t="s">
        <v>162</v>
      </c>
      <c r="AJ786" t="s">
        <v>162</v>
      </c>
      <c r="AK786" t="s">
        <v>162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 s="60">
        <f t="shared" si="12"/>
        <v>1</v>
      </c>
      <c r="AU786" t="s">
        <v>1250</v>
      </c>
      <c r="AV786" t="s">
        <v>165</v>
      </c>
      <c r="AW786" t="s">
        <v>162</v>
      </c>
      <c r="AX786">
        <v>2</v>
      </c>
      <c r="AY786" t="s">
        <v>167</v>
      </c>
      <c r="AZ786" t="s">
        <v>162</v>
      </c>
    </row>
    <row r="787" spans="1:52" x14ac:dyDescent="0.25">
      <c r="A787">
        <v>776</v>
      </c>
      <c r="B787" t="s">
        <v>1555</v>
      </c>
      <c r="C787" t="s">
        <v>151</v>
      </c>
      <c r="D787" t="s">
        <v>1556</v>
      </c>
      <c r="E787" t="s">
        <v>172</v>
      </c>
      <c r="F787" t="s">
        <v>203</v>
      </c>
      <c r="G787">
        <v>2000</v>
      </c>
      <c r="H787">
        <v>2001</v>
      </c>
      <c r="I787" t="s">
        <v>191</v>
      </c>
      <c r="J787">
        <v>1900</v>
      </c>
      <c r="K787">
        <v>1901</v>
      </c>
      <c r="L787" t="s">
        <v>1557</v>
      </c>
      <c r="M787">
        <v>0</v>
      </c>
      <c r="N787" t="s">
        <v>11</v>
      </c>
      <c r="O787" t="s">
        <v>11</v>
      </c>
      <c r="P787" t="s">
        <v>175</v>
      </c>
      <c r="Q787" t="s">
        <v>162</v>
      </c>
      <c r="R787" t="s">
        <v>1558</v>
      </c>
      <c r="S787">
        <v>2020</v>
      </c>
      <c r="T787">
        <v>10</v>
      </c>
      <c r="U787" t="s">
        <v>129</v>
      </c>
      <c r="V787" t="s">
        <v>162</v>
      </c>
      <c r="W787">
        <v>0</v>
      </c>
      <c r="X787">
        <v>0</v>
      </c>
      <c r="Y787" t="s">
        <v>162</v>
      </c>
      <c r="Z787">
        <v>2020</v>
      </c>
      <c r="AA787">
        <v>0</v>
      </c>
      <c r="AB787">
        <v>0.12412968416</v>
      </c>
      <c r="AC787">
        <v>0.24825936832000001</v>
      </c>
      <c r="AD787" t="s">
        <v>162</v>
      </c>
      <c r="AE787" t="s">
        <v>163</v>
      </c>
      <c r="AF787" t="s">
        <v>162</v>
      </c>
      <c r="AG787" t="s">
        <v>166</v>
      </c>
      <c r="AH787" t="s">
        <v>162</v>
      </c>
      <c r="AI787" t="s">
        <v>162</v>
      </c>
      <c r="AJ787" t="s">
        <v>162</v>
      </c>
      <c r="AK787" t="s">
        <v>162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s="60">
        <f t="shared" si="12"/>
        <v>1</v>
      </c>
      <c r="AU787" t="s">
        <v>1250</v>
      </c>
      <c r="AV787" t="s">
        <v>165</v>
      </c>
      <c r="AW787" t="s">
        <v>162</v>
      </c>
      <c r="AX787">
        <v>3</v>
      </c>
      <c r="AY787" t="s">
        <v>275</v>
      </c>
      <c r="AZ787" t="s">
        <v>162</v>
      </c>
    </row>
    <row r="788" spans="1:52" x14ac:dyDescent="0.25">
      <c r="A788">
        <v>777</v>
      </c>
      <c r="B788" t="s">
        <v>1559</v>
      </c>
      <c r="C788" t="s">
        <v>163</v>
      </c>
      <c r="D788" t="s">
        <v>1560</v>
      </c>
      <c r="E788" t="s">
        <v>216</v>
      </c>
      <c r="F788" t="s">
        <v>163</v>
      </c>
      <c r="G788">
        <v>4600</v>
      </c>
      <c r="H788">
        <v>4601</v>
      </c>
      <c r="I788" t="s">
        <v>446</v>
      </c>
      <c r="J788">
        <v>4400</v>
      </c>
      <c r="K788">
        <v>4401</v>
      </c>
      <c r="L788" t="s">
        <v>445</v>
      </c>
      <c r="M788">
        <v>0</v>
      </c>
      <c r="N788" t="s">
        <v>11</v>
      </c>
      <c r="O788" t="s">
        <v>11</v>
      </c>
      <c r="P788" t="s">
        <v>175</v>
      </c>
      <c r="Q788" t="s">
        <v>162</v>
      </c>
      <c r="R788" t="s">
        <v>162</v>
      </c>
      <c r="S788">
        <v>2020</v>
      </c>
      <c r="T788">
        <v>10</v>
      </c>
      <c r="U788" t="s">
        <v>1561</v>
      </c>
      <c r="V788" t="s">
        <v>162</v>
      </c>
      <c r="W788">
        <v>0</v>
      </c>
      <c r="X788">
        <v>0</v>
      </c>
      <c r="Y788" t="s">
        <v>162</v>
      </c>
      <c r="Z788">
        <v>2020</v>
      </c>
      <c r="AA788">
        <v>0</v>
      </c>
      <c r="AB788">
        <v>0.24418161782700001</v>
      </c>
      <c r="AC788">
        <v>0.24418161782700001</v>
      </c>
      <c r="AD788" t="s">
        <v>162</v>
      </c>
      <c r="AE788" t="s">
        <v>166</v>
      </c>
      <c r="AF788" t="s">
        <v>163</v>
      </c>
      <c r="AG788" t="s">
        <v>163</v>
      </c>
      <c r="AH788" t="s">
        <v>162</v>
      </c>
      <c r="AI788" t="s">
        <v>162</v>
      </c>
      <c r="AJ788" t="s">
        <v>162</v>
      </c>
      <c r="AK788" t="s">
        <v>162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s="60">
        <f t="shared" si="12"/>
        <v>1</v>
      </c>
      <c r="AU788" t="s">
        <v>1250</v>
      </c>
      <c r="AV788" t="s">
        <v>165</v>
      </c>
      <c r="AW788" t="s">
        <v>163</v>
      </c>
      <c r="AX788">
        <v>3</v>
      </c>
      <c r="AY788" t="s">
        <v>275</v>
      </c>
      <c r="AZ788">
        <v>20</v>
      </c>
    </row>
    <row r="789" spans="1:52" x14ac:dyDescent="0.25">
      <c r="A789">
        <v>778</v>
      </c>
      <c r="B789" t="s">
        <v>563</v>
      </c>
      <c r="C789" t="s">
        <v>163</v>
      </c>
      <c r="D789" t="s">
        <v>564</v>
      </c>
      <c r="E789" t="s">
        <v>216</v>
      </c>
      <c r="F789" t="s">
        <v>180</v>
      </c>
      <c r="G789">
        <v>4400</v>
      </c>
      <c r="H789">
        <v>4401</v>
      </c>
      <c r="I789" t="s">
        <v>445</v>
      </c>
      <c r="J789">
        <v>4500</v>
      </c>
      <c r="K789">
        <v>4501</v>
      </c>
      <c r="L789" t="s">
        <v>446</v>
      </c>
      <c r="M789">
        <v>0</v>
      </c>
      <c r="N789" t="s">
        <v>11</v>
      </c>
      <c r="O789" t="s">
        <v>11</v>
      </c>
      <c r="P789" t="s">
        <v>175</v>
      </c>
      <c r="Q789" t="s">
        <v>162</v>
      </c>
      <c r="R789" t="s">
        <v>1558</v>
      </c>
      <c r="S789">
        <v>2020</v>
      </c>
      <c r="T789">
        <v>10</v>
      </c>
      <c r="U789" t="s">
        <v>1562</v>
      </c>
      <c r="V789" t="s">
        <v>162</v>
      </c>
      <c r="W789">
        <v>0</v>
      </c>
      <c r="X789">
        <v>0</v>
      </c>
      <c r="Y789" t="s">
        <v>162</v>
      </c>
      <c r="Z789">
        <v>2020</v>
      </c>
      <c r="AA789">
        <v>0</v>
      </c>
      <c r="AB789">
        <v>0.24437421340500001</v>
      </c>
      <c r="AC789">
        <v>0.24437421340500001</v>
      </c>
      <c r="AD789" t="s">
        <v>162</v>
      </c>
      <c r="AE789" t="s">
        <v>166</v>
      </c>
      <c r="AF789" t="s">
        <v>180</v>
      </c>
      <c r="AG789" t="s">
        <v>163</v>
      </c>
      <c r="AH789" t="s">
        <v>162</v>
      </c>
      <c r="AI789" t="s">
        <v>162</v>
      </c>
      <c r="AJ789" t="s">
        <v>162</v>
      </c>
      <c r="AK789" t="s">
        <v>162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s="60">
        <f t="shared" si="12"/>
        <v>1</v>
      </c>
      <c r="AU789" t="s">
        <v>1250</v>
      </c>
      <c r="AV789" t="s">
        <v>165</v>
      </c>
      <c r="AW789" t="s">
        <v>163</v>
      </c>
      <c r="AX789">
        <v>3</v>
      </c>
      <c r="AY789" t="s">
        <v>275</v>
      </c>
      <c r="AZ789">
        <v>20</v>
      </c>
    </row>
    <row r="790" spans="1:52" x14ac:dyDescent="0.25">
      <c r="A790">
        <v>779</v>
      </c>
      <c r="B790" t="s">
        <v>563</v>
      </c>
      <c r="C790" t="s">
        <v>163</v>
      </c>
      <c r="D790" t="s">
        <v>564</v>
      </c>
      <c r="E790" t="s">
        <v>216</v>
      </c>
      <c r="F790" t="s">
        <v>162</v>
      </c>
      <c r="G790">
        <v>4500</v>
      </c>
      <c r="H790">
        <v>4501</v>
      </c>
      <c r="I790" t="s">
        <v>446</v>
      </c>
      <c r="J790">
        <v>4700</v>
      </c>
      <c r="K790">
        <v>4701</v>
      </c>
      <c r="L790" t="s">
        <v>1279</v>
      </c>
      <c r="M790">
        <v>0</v>
      </c>
      <c r="N790" t="s">
        <v>15</v>
      </c>
      <c r="O790" t="s">
        <v>15</v>
      </c>
      <c r="P790" t="s">
        <v>175</v>
      </c>
      <c r="Q790" t="s">
        <v>162</v>
      </c>
      <c r="R790" t="s">
        <v>1558</v>
      </c>
      <c r="S790">
        <v>2020</v>
      </c>
      <c r="T790">
        <v>10</v>
      </c>
      <c r="U790" t="s">
        <v>162</v>
      </c>
      <c r="V790" t="s">
        <v>162</v>
      </c>
      <c r="W790">
        <v>0</v>
      </c>
      <c r="X790">
        <v>0</v>
      </c>
      <c r="Y790" t="s">
        <v>162</v>
      </c>
      <c r="Z790">
        <v>2020</v>
      </c>
      <c r="AA790">
        <v>0</v>
      </c>
      <c r="AB790">
        <v>0.133094417938</v>
      </c>
      <c r="AC790">
        <v>0.26618883587600001</v>
      </c>
      <c r="AD790" t="s">
        <v>162</v>
      </c>
      <c r="AE790" t="s">
        <v>162</v>
      </c>
      <c r="AF790" t="s">
        <v>162</v>
      </c>
      <c r="AG790" t="s">
        <v>162</v>
      </c>
      <c r="AH790" t="s">
        <v>162</v>
      </c>
      <c r="AI790" t="s">
        <v>162</v>
      </c>
      <c r="AJ790" t="s">
        <v>162</v>
      </c>
      <c r="AK790" t="s">
        <v>162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s="60">
        <f t="shared" si="12"/>
        <v>1</v>
      </c>
      <c r="AU790" t="s">
        <v>1250</v>
      </c>
      <c r="AV790" t="s">
        <v>165</v>
      </c>
      <c r="AW790" t="s">
        <v>162</v>
      </c>
      <c r="AX790">
        <v>3</v>
      </c>
      <c r="AY790" t="s">
        <v>275</v>
      </c>
      <c r="AZ790">
        <v>20</v>
      </c>
    </row>
    <row r="791" spans="1:52" x14ac:dyDescent="0.25">
      <c r="A791">
        <v>780</v>
      </c>
      <c r="B791" t="s">
        <v>475</v>
      </c>
      <c r="C791" t="s">
        <v>163</v>
      </c>
      <c r="D791" t="s">
        <v>476</v>
      </c>
      <c r="E791" t="s">
        <v>216</v>
      </c>
      <c r="F791" t="s">
        <v>162</v>
      </c>
      <c r="G791">
        <v>3200</v>
      </c>
      <c r="H791">
        <v>3201</v>
      </c>
      <c r="I791" t="s">
        <v>565</v>
      </c>
      <c r="J791">
        <v>3000</v>
      </c>
      <c r="K791">
        <v>3001</v>
      </c>
      <c r="L791" t="s">
        <v>240</v>
      </c>
      <c r="M791">
        <v>3</v>
      </c>
      <c r="N791" t="s">
        <v>11</v>
      </c>
      <c r="O791" t="s">
        <v>11</v>
      </c>
      <c r="P791" t="s">
        <v>169</v>
      </c>
      <c r="Q791" t="s">
        <v>162</v>
      </c>
      <c r="R791" t="s">
        <v>266</v>
      </c>
      <c r="S791">
        <v>2002</v>
      </c>
      <c r="T791">
        <v>8</v>
      </c>
      <c r="U791" t="s">
        <v>162</v>
      </c>
      <c r="V791" t="s">
        <v>1119</v>
      </c>
      <c r="W791">
        <v>2020</v>
      </c>
      <c r="X791">
        <v>9</v>
      </c>
      <c r="Y791" t="s">
        <v>162</v>
      </c>
      <c r="Z791">
        <v>2020</v>
      </c>
      <c r="AA791">
        <v>2020</v>
      </c>
      <c r="AB791">
        <v>0.25211903991399998</v>
      </c>
      <c r="AC791">
        <v>0.50423807982799995</v>
      </c>
      <c r="AD791" t="s">
        <v>162</v>
      </c>
      <c r="AE791" t="s">
        <v>163</v>
      </c>
      <c r="AF791" t="s">
        <v>162</v>
      </c>
      <c r="AG791" t="s">
        <v>162</v>
      </c>
      <c r="AH791" t="s">
        <v>162</v>
      </c>
      <c r="AI791" t="s">
        <v>162</v>
      </c>
      <c r="AJ791" t="s">
        <v>162</v>
      </c>
      <c r="AK791" t="s">
        <v>162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s="60">
        <f t="shared" si="12"/>
        <v>1</v>
      </c>
      <c r="AU791" t="s">
        <v>1250</v>
      </c>
      <c r="AV791" t="s">
        <v>165</v>
      </c>
      <c r="AW791" t="s">
        <v>162</v>
      </c>
      <c r="AX791">
        <v>2</v>
      </c>
      <c r="AY791" t="s">
        <v>167</v>
      </c>
      <c r="AZ791" t="s">
        <v>162</v>
      </c>
    </row>
    <row r="792" spans="1:52" x14ac:dyDescent="0.25">
      <c r="A792">
        <v>781</v>
      </c>
      <c r="B792" t="s">
        <v>1563</v>
      </c>
      <c r="C792" t="s">
        <v>151</v>
      </c>
      <c r="D792" t="s">
        <v>1564</v>
      </c>
      <c r="E792" t="s">
        <v>172</v>
      </c>
      <c r="F792" t="s">
        <v>151</v>
      </c>
      <c r="G792">
        <v>1200</v>
      </c>
      <c r="H792">
        <v>1201</v>
      </c>
      <c r="I792" t="s">
        <v>747</v>
      </c>
      <c r="J792">
        <v>800</v>
      </c>
      <c r="K792">
        <v>801</v>
      </c>
      <c r="L792" t="s">
        <v>576</v>
      </c>
      <c r="M792">
        <v>0</v>
      </c>
      <c r="N792" t="s">
        <v>11</v>
      </c>
      <c r="O792" t="s">
        <v>11</v>
      </c>
      <c r="P792" t="s">
        <v>175</v>
      </c>
      <c r="Q792" t="s">
        <v>162</v>
      </c>
      <c r="R792" t="s">
        <v>1487</v>
      </c>
      <c r="S792">
        <v>2020</v>
      </c>
      <c r="T792">
        <v>9</v>
      </c>
      <c r="U792" t="s">
        <v>162</v>
      </c>
      <c r="V792" t="s">
        <v>162</v>
      </c>
      <c r="W792">
        <v>0</v>
      </c>
      <c r="X792">
        <v>0</v>
      </c>
      <c r="Y792" t="s">
        <v>162</v>
      </c>
      <c r="Z792">
        <v>2020</v>
      </c>
      <c r="AA792">
        <v>0</v>
      </c>
      <c r="AB792">
        <v>0.50174653200800001</v>
      </c>
      <c r="AC792">
        <v>0.50174653200800001</v>
      </c>
      <c r="AD792" t="s">
        <v>162</v>
      </c>
      <c r="AE792" t="s">
        <v>166</v>
      </c>
      <c r="AF792" t="s">
        <v>151</v>
      </c>
      <c r="AG792" t="s">
        <v>163</v>
      </c>
      <c r="AH792" t="s">
        <v>162</v>
      </c>
      <c r="AI792" t="s">
        <v>162</v>
      </c>
      <c r="AJ792" t="s">
        <v>162</v>
      </c>
      <c r="AK792" t="s">
        <v>162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 s="60">
        <f t="shared" si="12"/>
        <v>1</v>
      </c>
      <c r="AU792" t="s">
        <v>187</v>
      </c>
      <c r="AV792" t="s">
        <v>165</v>
      </c>
      <c r="AW792" t="s">
        <v>162</v>
      </c>
      <c r="AX792">
        <v>3</v>
      </c>
      <c r="AY792" t="s">
        <v>275</v>
      </c>
      <c r="AZ792" t="s">
        <v>154</v>
      </c>
    </row>
    <row r="793" spans="1:52" x14ac:dyDescent="0.25">
      <c r="A793">
        <v>782</v>
      </c>
      <c r="B793" t="s">
        <v>1565</v>
      </c>
      <c r="C793" t="s">
        <v>151</v>
      </c>
      <c r="D793" t="s">
        <v>1566</v>
      </c>
      <c r="E793" t="s">
        <v>172</v>
      </c>
      <c r="F793" t="s">
        <v>203</v>
      </c>
      <c r="G793">
        <v>2000</v>
      </c>
      <c r="H793">
        <v>2001</v>
      </c>
      <c r="I793" t="s">
        <v>173</v>
      </c>
      <c r="J793">
        <v>1600</v>
      </c>
      <c r="K793">
        <v>1601</v>
      </c>
      <c r="L793" t="s">
        <v>575</v>
      </c>
      <c r="M793">
        <v>0</v>
      </c>
      <c r="N793" t="s">
        <v>11</v>
      </c>
      <c r="O793" t="s">
        <v>11</v>
      </c>
      <c r="P793" t="s">
        <v>175</v>
      </c>
      <c r="Q793" t="s">
        <v>162</v>
      </c>
      <c r="R793" t="s">
        <v>162</v>
      </c>
      <c r="S793">
        <v>2020</v>
      </c>
      <c r="T793">
        <v>9</v>
      </c>
      <c r="U793" t="s">
        <v>162</v>
      </c>
      <c r="V793" t="s">
        <v>162</v>
      </c>
      <c r="W793">
        <v>0</v>
      </c>
      <c r="X793">
        <v>0</v>
      </c>
      <c r="Y793" t="s">
        <v>162</v>
      </c>
      <c r="Z793">
        <v>2020</v>
      </c>
      <c r="AA793">
        <v>0</v>
      </c>
      <c r="AB793">
        <v>0.50148584846599997</v>
      </c>
      <c r="AC793">
        <v>0.50148584846599997</v>
      </c>
      <c r="AD793" t="s">
        <v>162</v>
      </c>
      <c r="AE793" t="s">
        <v>166</v>
      </c>
      <c r="AF793" t="s">
        <v>203</v>
      </c>
      <c r="AG793" t="s">
        <v>163</v>
      </c>
      <c r="AH793" t="s">
        <v>162</v>
      </c>
      <c r="AI793" t="s">
        <v>162</v>
      </c>
      <c r="AJ793" t="s">
        <v>162</v>
      </c>
      <c r="AK793" t="s">
        <v>162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 s="60">
        <f t="shared" si="12"/>
        <v>1</v>
      </c>
      <c r="AU793" t="s">
        <v>187</v>
      </c>
      <c r="AV793" t="s">
        <v>165</v>
      </c>
      <c r="AW793" t="s">
        <v>162</v>
      </c>
      <c r="AX793">
        <v>3</v>
      </c>
      <c r="AY793" t="s">
        <v>275</v>
      </c>
      <c r="AZ793" t="s">
        <v>154</v>
      </c>
    </row>
    <row r="794" spans="1:52" x14ac:dyDescent="0.25">
      <c r="A794">
        <v>783</v>
      </c>
      <c r="B794" t="s">
        <v>1565</v>
      </c>
      <c r="C794" t="s">
        <v>151</v>
      </c>
      <c r="D794" t="s">
        <v>1566</v>
      </c>
      <c r="E794" t="s">
        <v>172</v>
      </c>
      <c r="F794" t="s">
        <v>203</v>
      </c>
      <c r="G794">
        <v>1400</v>
      </c>
      <c r="H794">
        <v>1401</v>
      </c>
      <c r="I794" t="s">
        <v>1503</v>
      </c>
      <c r="J794">
        <v>800</v>
      </c>
      <c r="K794">
        <v>801</v>
      </c>
      <c r="L794" t="s">
        <v>576</v>
      </c>
      <c r="M794">
        <v>0</v>
      </c>
      <c r="N794" t="s">
        <v>11</v>
      </c>
      <c r="O794" t="s">
        <v>11</v>
      </c>
      <c r="P794" t="s">
        <v>175</v>
      </c>
      <c r="Q794" t="s">
        <v>162</v>
      </c>
      <c r="R794" t="s">
        <v>1487</v>
      </c>
      <c r="S794">
        <v>2020</v>
      </c>
      <c r="T794">
        <v>9</v>
      </c>
      <c r="U794" t="s">
        <v>162</v>
      </c>
      <c r="V794" t="s">
        <v>162</v>
      </c>
      <c r="W794">
        <v>0</v>
      </c>
      <c r="X794">
        <v>0</v>
      </c>
      <c r="Y794" t="s">
        <v>162</v>
      </c>
      <c r="Z794">
        <v>2020</v>
      </c>
      <c r="AA794">
        <v>0</v>
      </c>
      <c r="AB794">
        <v>0.68998037653900002</v>
      </c>
      <c r="AC794">
        <v>0.68998037653900002</v>
      </c>
      <c r="AD794" t="s">
        <v>162</v>
      </c>
      <c r="AE794" t="s">
        <v>166</v>
      </c>
      <c r="AF794" t="s">
        <v>203</v>
      </c>
      <c r="AG794" t="s">
        <v>163</v>
      </c>
      <c r="AH794" t="s">
        <v>162</v>
      </c>
      <c r="AI794" t="s">
        <v>162</v>
      </c>
      <c r="AJ794" t="s">
        <v>162</v>
      </c>
      <c r="AK794" t="s">
        <v>162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 s="60">
        <f t="shared" si="12"/>
        <v>1</v>
      </c>
      <c r="AU794" t="s">
        <v>187</v>
      </c>
      <c r="AV794" t="s">
        <v>165</v>
      </c>
      <c r="AW794" t="s">
        <v>162</v>
      </c>
      <c r="AX794">
        <v>3</v>
      </c>
      <c r="AY794" t="s">
        <v>275</v>
      </c>
      <c r="AZ794" t="s">
        <v>154</v>
      </c>
    </row>
    <row r="795" spans="1:52" x14ac:dyDescent="0.25">
      <c r="A795">
        <v>784</v>
      </c>
      <c r="B795" t="s">
        <v>1567</v>
      </c>
      <c r="C795" t="s">
        <v>180</v>
      </c>
      <c r="D795" t="s">
        <v>1568</v>
      </c>
      <c r="E795" t="s">
        <v>172</v>
      </c>
      <c r="F795" t="s">
        <v>163</v>
      </c>
      <c r="G795">
        <v>8200</v>
      </c>
      <c r="H795">
        <v>8201</v>
      </c>
      <c r="I795" t="s">
        <v>1261</v>
      </c>
      <c r="J795">
        <v>8100</v>
      </c>
      <c r="K795">
        <v>8101</v>
      </c>
      <c r="L795" t="s">
        <v>1569</v>
      </c>
      <c r="M795">
        <v>0</v>
      </c>
      <c r="N795" t="s">
        <v>11</v>
      </c>
      <c r="O795" t="s">
        <v>11</v>
      </c>
      <c r="P795" t="s">
        <v>175</v>
      </c>
      <c r="Q795" t="s">
        <v>162</v>
      </c>
      <c r="R795" t="s">
        <v>1487</v>
      </c>
      <c r="S795">
        <v>2020</v>
      </c>
      <c r="T795">
        <v>9</v>
      </c>
      <c r="U795" t="s">
        <v>129</v>
      </c>
      <c r="V795" t="s">
        <v>162</v>
      </c>
      <c r="W795">
        <v>0</v>
      </c>
      <c r="X795">
        <v>0</v>
      </c>
      <c r="Y795" t="s">
        <v>162</v>
      </c>
      <c r="Z795">
        <v>2020</v>
      </c>
      <c r="AA795">
        <v>0</v>
      </c>
      <c r="AB795">
        <v>0.12568437743399999</v>
      </c>
      <c r="AC795">
        <v>0.25136875486799998</v>
      </c>
      <c r="AD795" t="s">
        <v>162</v>
      </c>
      <c r="AE795" t="s">
        <v>163</v>
      </c>
      <c r="AF795" t="s">
        <v>162</v>
      </c>
      <c r="AG795" t="s">
        <v>166</v>
      </c>
      <c r="AH795" t="s">
        <v>162</v>
      </c>
      <c r="AI795" t="s">
        <v>162</v>
      </c>
      <c r="AJ795" t="s">
        <v>162</v>
      </c>
      <c r="AK795" t="s">
        <v>162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 s="60">
        <f t="shared" si="12"/>
        <v>1</v>
      </c>
      <c r="AU795" t="s">
        <v>187</v>
      </c>
      <c r="AV795" t="s">
        <v>165</v>
      </c>
      <c r="AW795" t="s">
        <v>162</v>
      </c>
      <c r="AX795">
        <v>3</v>
      </c>
      <c r="AY795" t="s">
        <v>275</v>
      </c>
      <c r="AZ795" t="s">
        <v>154</v>
      </c>
    </row>
    <row r="796" spans="1:52" x14ac:dyDescent="0.25">
      <c r="A796">
        <v>785</v>
      </c>
      <c r="B796" t="s">
        <v>573</v>
      </c>
      <c r="C796" t="s">
        <v>151</v>
      </c>
      <c r="D796" t="s">
        <v>574</v>
      </c>
      <c r="E796" t="s">
        <v>153</v>
      </c>
      <c r="F796" t="s">
        <v>162</v>
      </c>
      <c r="G796">
        <v>2400</v>
      </c>
      <c r="H796">
        <v>2401</v>
      </c>
      <c r="I796" t="s">
        <v>334</v>
      </c>
      <c r="J796">
        <v>2000</v>
      </c>
      <c r="K796">
        <v>2001</v>
      </c>
      <c r="L796" t="s">
        <v>173</v>
      </c>
      <c r="M796">
        <v>2</v>
      </c>
      <c r="N796" t="s">
        <v>11</v>
      </c>
      <c r="O796" t="s">
        <v>11</v>
      </c>
      <c r="P796" t="s">
        <v>175</v>
      </c>
      <c r="Q796" t="s">
        <v>162</v>
      </c>
      <c r="R796" t="s">
        <v>457</v>
      </c>
      <c r="S796">
        <v>1996</v>
      </c>
      <c r="T796">
        <v>8</v>
      </c>
      <c r="U796" t="s">
        <v>162</v>
      </c>
      <c r="V796" t="s">
        <v>509</v>
      </c>
      <c r="W796">
        <v>2021</v>
      </c>
      <c r="X796">
        <v>0</v>
      </c>
      <c r="Y796" t="s">
        <v>162</v>
      </c>
      <c r="Z796">
        <v>2021</v>
      </c>
      <c r="AA796">
        <v>2012</v>
      </c>
      <c r="AB796">
        <v>0.50508584029900006</v>
      </c>
      <c r="AC796">
        <v>1.0101716806000001</v>
      </c>
      <c r="AD796" t="s">
        <v>154</v>
      </c>
      <c r="AE796" t="s">
        <v>163</v>
      </c>
      <c r="AF796" t="s">
        <v>154</v>
      </c>
      <c r="AG796" t="s">
        <v>154</v>
      </c>
      <c r="AH796" t="s">
        <v>154</v>
      </c>
      <c r="AI796" t="s">
        <v>154</v>
      </c>
      <c r="AJ796" t="s">
        <v>154</v>
      </c>
      <c r="AK796" t="s">
        <v>154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 s="60">
        <f t="shared" si="12"/>
        <v>1</v>
      </c>
      <c r="AU796" t="s">
        <v>530</v>
      </c>
      <c r="AV796" t="s">
        <v>165</v>
      </c>
      <c r="AW796" t="s">
        <v>162</v>
      </c>
      <c r="AX796">
        <v>2</v>
      </c>
      <c r="AY796" t="s">
        <v>167</v>
      </c>
      <c r="AZ796" t="s">
        <v>162</v>
      </c>
    </row>
    <row r="797" spans="1:52" x14ac:dyDescent="0.25">
      <c r="A797">
        <v>786</v>
      </c>
      <c r="B797" t="s">
        <v>444</v>
      </c>
      <c r="C797" t="s">
        <v>163</v>
      </c>
      <c r="D797" t="s">
        <v>444</v>
      </c>
      <c r="E797" t="s">
        <v>162</v>
      </c>
      <c r="F797" t="s">
        <v>162</v>
      </c>
      <c r="G797">
        <v>4600</v>
      </c>
      <c r="H797">
        <v>4601</v>
      </c>
      <c r="I797" t="s">
        <v>446</v>
      </c>
      <c r="J797">
        <v>4700</v>
      </c>
      <c r="K797">
        <v>4701</v>
      </c>
      <c r="L797" t="s">
        <v>1279</v>
      </c>
      <c r="M797">
        <v>3</v>
      </c>
      <c r="N797" t="s">
        <v>9</v>
      </c>
      <c r="O797" t="s">
        <v>9</v>
      </c>
      <c r="P797" t="s">
        <v>175</v>
      </c>
      <c r="Q797" t="s">
        <v>447</v>
      </c>
      <c r="R797" t="s">
        <v>283</v>
      </c>
      <c r="S797">
        <v>2014</v>
      </c>
      <c r="T797">
        <v>6</v>
      </c>
      <c r="U797" t="s">
        <v>873</v>
      </c>
      <c r="V797" t="s">
        <v>161</v>
      </c>
      <c r="W797">
        <v>2020</v>
      </c>
      <c r="X797">
        <v>0</v>
      </c>
      <c r="Y797" t="s">
        <v>162</v>
      </c>
      <c r="Z797">
        <v>2020</v>
      </c>
      <c r="AA797">
        <v>0</v>
      </c>
      <c r="AB797">
        <v>0.138587956446</v>
      </c>
      <c r="AC797">
        <v>0.277175912892</v>
      </c>
      <c r="AD797" t="s">
        <v>162</v>
      </c>
      <c r="AE797" t="s">
        <v>163</v>
      </c>
      <c r="AF797" t="s">
        <v>162</v>
      </c>
      <c r="AG797" t="s">
        <v>162</v>
      </c>
      <c r="AH797" t="s">
        <v>162</v>
      </c>
      <c r="AI797" t="s">
        <v>162</v>
      </c>
      <c r="AJ797" t="s">
        <v>162</v>
      </c>
      <c r="AK797" t="s">
        <v>162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s="60">
        <f t="shared" si="12"/>
        <v>1</v>
      </c>
      <c r="AU797" t="s">
        <v>187</v>
      </c>
      <c r="AV797" t="s">
        <v>165</v>
      </c>
      <c r="AW797" t="s">
        <v>163</v>
      </c>
      <c r="AX797">
        <v>2</v>
      </c>
      <c r="AY797" t="s">
        <v>167</v>
      </c>
      <c r="AZ797" t="s">
        <v>162</v>
      </c>
    </row>
    <row r="798" spans="1:52" x14ac:dyDescent="0.25">
      <c r="A798">
        <v>787</v>
      </c>
      <c r="B798" t="s">
        <v>948</v>
      </c>
      <c r="C798" t="s">
        <v>151</v>
      </c>
      <c r="D798" t="s">
        <v>949</v>
      </c>
      <c r="E798" t="s">
        <v>172</v>
      </c>
      <c r="F798" t="s">
        <v>162</v>
      </c>
      <c r="G798">
        <v>300</v>
      </c>
      <c r="H798">
        <v>301</v>
      </c>
      <c r="I798" t="s">
        <v>1570</v>
      </c>
      <c r="J798">
        <v>176</v>
      </c>
      <c r="K798">
        <v>175</v>
      </c>
      <c r="L798" t="s">
        <v>1029</v>
      </c>
      <c r="M798">
        <v>3</v>
      </c>
      <c r="N798" t="s">
        <v>7</v>
      </c>
      <c r="O798" t="s">
        <v>7</v>
      </c>
      <c r="P798" t="s">
        <v>157</v>
      </c>
      <c r="Q798" t="s">
        <v>162</v>
      </c>
      <c r="R798" t="s">
        <v>407</v>
      </c>
      <c r="S798">
        <v>2019</v>
      </c>
      <c r="T798">
        <v>6</v>
      </c>
      <c r="U798" t="s">
        <v>928</v>
      </c>
      <c r="V798" t="s">
        <v>161</v>
      </c>
      <c r="W798">
        <v>2020</v>
      </c>
      <c r="X798">
        <v>0</v>
      </c>
      <c r="Y798" t="s">
        <v>162</v>
      </c>
      <c r="Z798">
        <v>2020</v>
      </c>
      <c r="AA798">
        <v>0</v>
      </c>
      <c r="AB798">
        <v>0.104728170141</v>
      </c>
      <c r="AC798">
        <v>0.209456340282</v>
      </c>
      <c r="AD798" t="s">
        <v>162</v>
      </c>
      <c r="AE798" t="s">
        <v>163</v>
      </c>
      <c r="AF798" t="s">
        <v>162</v>
      </c>
      <c r="AG798" t="s">
        <v>162</v>
      </c>
      <c r="AH798" t="s">
        <v>162</v>
      </c>
      <c r="AI798" t="s">
        <v>194</v>
      </c>
      <c r="AJ798" t="s">
        <v>154</v>
      </c>
      <c r="AK798" t="s">
        <v>162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 s="60">
        <f t="shared" si="12"/>
        <v>1</v>
      </c>
      <c r="AU798" t="s">
        <v>227</v>
      </c>
      <c r="AV798" t="s">
        <v>165</v>
      </c>
      <c r="AW798" t="s">
        <v>166</v>
      </c>
      <c r="AX798">
        <v>1</v>
      </c>
      <c r="AY798" t="s">
        <v>167</v>
      </c>
      <c r="AZ798" t="s">
        <v>162</v>
      </c>
    </row>
    <row r="799" spans="1:52" x14ac:dyDescent="0.25">
      <c r="A799">
        <v>788</v>
      </c>
      <c r="B799" t="s">
        <v>444</v>
      </c>
      <c r="C799" t="s">
        <v>163</v>
      </c>
      <c r="D799" t="s">
        <v>444</v>
      </c>
      <c r="E799" t="s">
        <v>162</v>
      </c>
      <c r="F799" t="s">
        <v>162</v>
      </c>
      <c r="G799">
        <v>4700</v>
      </c>
      <c r="H799">
        <v>4701</v>
      </c>
      <c r="I799" t="s">
        <v>1279</v>
      </c>
      <c r="J799">
        <v>4850</v>
      </c>
      <c r="K799">
        <v>4851</v>
      </c>
      <c r="L799" t="s">
        <v>872</v>
      </c>
      <c r="M799">
        <v>3</v>
      </c>
      <c r="N799" t="s">
        <v>9</v>
      </c>
      <c r="O799" t="s">
        <v>9</v>
      </c>
      <c r="P799" t="s">
        <v>175</v>
      </c>
      <c r="Q799" t="s">
        <v>447</v>
      </c>
      <c r="R799" t="s">
        <v>283</v>
      </c>
      <c r="S799">
        <v>2014</v>
      </c>
      <c r="T799">
        <v>6</v>
      </c>
      <c r="U799" t="s">
        <v>873</v>
      </c>
      <c r="V799" t="s">
        <v>162</v>
      </c>
      <c r="W799">
        <v>0</v>
      </c>
      <c r="X799">
        <v>0</v>
      </c>
      <c r="Y799" t="s">
        <v>162</v>
      </c>
      <c r="Z799">
        <v>2014</v>
      </c>
      <c r="AA799">
        <v>0</v>
      </c>
      <c r="AB799">
        <v>0.220807124962</v>
      </c>
      <c r="AC799">
        <v>0.441614249924</v>
      </c>
      <c r="AD799" t="s">
        <v>162</v>
      </c>
      <c r="AE799" t="s">
        <v>163</v>
      </c>
      <c r="AF799" t="s">
        <v>162</v>
      </c>
      <c r="AG799" t="s">
        <v>162</v>
      </c>
      <c r="AH799" t="s">
        <v>162</v>
      </c>
      <c r="AI799" t="s">
        <v>162</v>
      </c>
      <c r="AJ799" t="s">
        <v>162</v>
      </c>
      <c r="AK799" t="s">
        <v>162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s="60">
        <f t="shared" si="12"/>
        <v>1</v>
      </c>
      <c r="AU799" t="s">
        <v>187</v>
      </c>
      <c r="AV799" t="s">
        <v>165</v>
      </c>
      <c r="AW799" t="s">
        <v>163</v>
      </c>
      <c r="AX799">
        <v>2</v>
      </c>
      <c r="AY799" t="s">
        <v>167</v>
      </c>
      <c r="AZ799" t="s">
        <v>162</v>
      </c>
    </row>
    <row r="800" spans="1:52" x14ac:dyDescent="0.25">
      <c r="A800">
        <v>789</v>
      </c>
      <c r="B800" t="s">
        <v>453</v>
      </c>
      <c r="C800" t="s">
        <v>163</v>
      </c>
      <c r="D800" t="s">
        <v>454</v>
      </c>
      <c r="E800" t="s">
        <v>216</v>
      </c>
      <c r="F800" t="s">
        <v>162</v>
      </c>
      <c r="G800">
        <v>2400</v>
      </c>
      <c r="H800">
        <v>2401</v>
      </c>
      <c r="I800" t="s">
        <v>652</v>
      </c>
      <c r="J800">
        <v>2326</v>
      </c>
      <c r="K800">
        <v>2325</v>
      </c>
      <c r="L800" t="s">
        <v>1571</v>
      </c>
      <c r="M800">
        <v>3</v>
      </c>
      <c r="N800" t="s">
        <v>15</v>
      </c>
      <c r="O800" t="s">
        <v>15</v>
      </c>
      <c r="P800" t="s">
        <v>175</v>
      </c>
      <c r="Q800" t="s">
        <v>715</v>
      </c>
      <c r="R800" t="s">
        <v>249</v>
      </c>
      <c r="S800">
        <v>2007</v>
      </c>
      <c r="T800">
        <v>6</v>
      </c>
      <c r="U800" t="s">
        <v>162</v>
      </c>
      <c r="V800" t="s">
        <v>162</v>
      </c>
      <c r="W800">
        <v>0</v>
      </c>
      <c r="X800">
        <v>0</v>
      </c>
      <c r="Y800" t="s">
        <v>162</v>
      </c>
      <c r="Z800">
        <v>2007</v>
      </c>
      <c r="AA800">
        <v>0</v>
      </c>
      <c r="AB800">
        <v>7.8308804297999995E-2</v>
      </c>
      <c r="AC800">
        <v>0.15661760859599999</v>
      </c>
      <c r="AD800" t="s">
        <v>162</v>
      </c>
      <c r="AE800" t="s">
        <v>163</v>
      </c>
      <c r="AF800" t="s">
        <v>162</v>
      </c>
      <c r="AG800" t="s">
        <v>162</v>
      </c>
      <c r="AH800" t="s">
        <v>162</v>
      </c>
      <c r="AI800" t="s">
        <v>162</v>
      </c>
      <c r="AJ800" t="s">
        <v>162</v>
      </c>
      <c r="AK800" t="s">
        <v>162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s="60">
        <f t="shared" si="12"/>
        <v>1</v>
      </c>
      <c r="AU800" t="s">
        <v>187</v>
      </c>
      <c r="AV800" t="s">
        <v>165</v>
      </c>
      <c r="AW800" t="s">
        <v>162</v>
      </c>
      <c r="AX800">
        <v>2</v>
      </c>
      <c r="AY800" t="s">
        <v>167</v>
      </c>
      <c r="AZ800" t="s">
        <v>162</v>
      </c>
    </row>
    <row r="801" spans="1:52" x14ac:dyDescent="0.25">
      <c r="A801">
        <v>790</v>
      </c>
      <c r="B801" t="s">
        <v>453</v>
      </c>
      <c r="C801" t="s">
        <v>163</v>
      </c>
      <c r="D801" t="s">
        <v>454</v>
      </c>
      <c r="E801" t="s">
        <v>216</v>
      </c>
      <c r="F801" t="s">
        <v>162</v>
      </c>
      <c r="G801">
        <v>1300</v>
      </c>
      <c r="H801">
        <v>1301</v>
      </c>
      <c r="I801" t="s">
        <v>1363</v>
      </c>
      <c r="J801">
        <v>1200</v>
      </c>
      <c r="K801">
        <v>1201</v>
      </c>
      <c r="L801" t="s">
        <v>459</v>
      </c>
      <c r="M801">
        <v>3</v>
      </c>
      <c r="N801" t="s">
        <v>11</v>
      </c>
      <c r="O801" t="s">
        <v>11</v>
      </c>
      <c r="P801" t="s">
        <v>175</v>
      </c>
      <c r="Q801" t="s">
        <v>162</v>
      </c>
      <c r="R801" t="s">
        <v>266</v>
      </c>
      <c r="S801">
        <v>2002</v>
      </c>
      <c r="T801">
        <v>8</v>
      </c>
      <c r="U801" t="s">
        <v>162</v>
      </c>
      <c r="V801" t="s">
        <v>455</v>
      </c>
      <c r="W801">
        <v>2020</v>
      </c>
      <c r="X801">
        <v>0</v>
      </c>
      <c r="Y801" t="s">
        <v>123</v>
      </c>
      <c r="Z801">
        <v>2020</v>
      </c>
      <c r="AA801">
        <v>2020</v>
      </c>
      <c r="AB801">
        <v>0.12512401578499999</v>
      </c>
      <c r="AC801">
        <v>0.25024803156999997</v>
      </c>
      <c r="AD801" t="s">
        <v>162</v>
      </c>
      <c r="AE801" t="s">
        <v>163</v>
      </c>
      <c r="AF801" t="s">
        <v>162</v>
      </c>
      <c r="AG801" t="s">
        <v>162</v>
      </c>
      <c r="AH801" t="s">
        <v>162</v>
      </c>
      <c r="AI801" t="s">
        <v>162</v>
      </c>
      <c r="AJ801" t="s">
        <v>162</v>
      </c>
      <c r="AK801" t="s">
        <v>162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</v>
      </c>
      <c r="AT801" s="60">
        <f t="shared" si="12"/>
        <v>1</v>
      </c>
      <c r="AU801" t="s">
        <v>187</v>
      </c>
      <c r="AV801" t="s">
        <v>165</v>
      </c>
      <c r="AW801" t="s">
        <v>162</v>
      </c>
      <c r="AX801">
        <v>2</v>
      </c>
      <c r="AY801" t="s">
        <v>167</v>
      </c>
      <c r="AZ801" t="s">
        <v>162</v>
      </c>
    </row>
    <row r="802" spans="1:52" x14ac:dyDescent="0.25">
      <c r="A802">
        <v>791</v>
      </c>
      <c r="B802" t="s">
        <v>233</v>
      </c>
      <c r="C802" t="s">
        <v>180</v>
      </c>
      <c r="D802" t="s">
        <v>234</v>
      </c>
      <c r="E802" t="s">
        <v>172</v>
      </c>
      <c r="F802" t="s">
        <v>162</v>
      </c>
      <c r="G802">
        <v>1400</v>
      </c>
      <c r="H802">
        <v>1401</v>
      </c>
      <c r="I802" t="s">
        <v>1044</v>
      </c>
      <c r="J802">
        <v>1600</v>
      </c>
      <c r="K802">
        <v>1601</v>
      </c>
      <c r="L802" t="s">
        <v>1377</v>
      </c>
      <c r="M802">
        <v>2</v>
      </c>
      <c r="N802" t="s">
        <v>11</v>
      </c>
      <c r="O802" t="s">
        <v>11</v>
      </c>
      <c r="P802" t="s">
        <v>157</v>
      </c>
      <c r="Q802" t="s">
        <v>1236</v>
      </c>
      <c r="R802" t="s">
        <v>647</v>
      </c>
      <c r="S802">
        <v>2013</v>
      </c>
      <c r="T802">
        <v>10</v>
      </c>
      <c r="U802" t="s">
        <v>1237</v>
      </c>
      <c r="V802" t="s">
        <v>267</v>
      </c>
      <c r="W802">
        <v>2018</v>
      </c>
      <c r="X802">
        <v>8</v>
      </c>
      <c r="Y802" t="s">
        <v>162</v>
      </c>
      <c r="Z802">
        <v>2018</v>
      </c>
      <c r="AA802">
        <v>2002</v>
      </c>
      <c r="AB802">
        <v>0.16812770494500001</v>
      </c>
      <c r="AC802">
        <v>0.33625540989000002</v>
      </c>
      <c r="AD802" t="s">
        <v>162</v>
      </c>
      <c r="AE802" t="s">
        <v>163</v>
      </c>
      <c r="AF802" t="s">
        <v>162</v>
      </c>
      <c r="AG802" t="s">
        <v>162</v>
      </c>
      <c r="AH802" t="s">
        <v>162</v>
      </c>
      <c r="AI802" t="s">
        <v>162</v>
      </c>
      <c r="AJ802" t="s">
        <v>162</v>
      </c>
      <c r="AK802" t="s">
        <v>166</v>
      </c>
      <c r="AL802">
        <v>2013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</v>
      </c>
      <c r="AT802" s="60">
        <f t="shared" si="12"/>
        <v>1</v>
      </c>
      <c r="AU802" t="s">
        <v>187</v>
      </c>
      <c r="AV802" t="s">
        <v>165</v>
      </c>
      <c r="AW802" t="s">
        <v>162</v>
      </c>
      <c r="AX802">
        <v>2</v>
      </c>
      <c r="AY802" t="s">
        <v>167</v>
      </c>
      <c r="AZ802" t="s">
        <v>162</v>
      </c>
    </row>
    <row r="803" spans="1:52" x14ac:dyDescent="0.25">
      <c r="A803">
        <v>792</v>
      </c>
      <c r="B803" t="s">
        <v>469</v>
      </c>
      <c r="C803" t="s">
        <v>151</v>
      </c>
      <c r="D803" t="s">
        <v>470</v>
      </c>
      <c r="E803" t="s">
        <v>216</v>
      </c>
      <c r="F803" t="s">
        <v>162</v>
      </c>
      <c r="G803">
        <v>4800</v>
      </c>
      <c r="H803">
        <v>4801</v>
      </c>
      <c r="I803" t="s">
        <v>833</v>
      </c>
      <c r="J803">
        <v>4450</v>
      </c>
      <c r="K803">
        <v>4451</v>
      </c>
      <c r="L803" t="s">
        <v>1244</v>
      </c>
      <c r="M803">
        <v>2</v>
      </c>
      <c r="N803" t="s">
        <v>9</v>
      </c>
      <c r="O803" t="s">
        <v>9</v>
      </c>
      <c r="P803" t="s">
        <v>157</v>
      </c>
      <c r="Q803" t="s">
        <v>1245</v>
      </c>
      <c r="R803" t="s">
        <v>705</v>
      </c>
      <c r="S803">
        <v>2015</v>
      </c>
      <c r="T803">
        <v>7</v>
      </c>
      <c r="U803" t="s">
        <v>1246</v>
      </c>
      <c r="V803" t="s">
        <v>455</v>
      </c>
      <c r="W803">
        <v>2020</v>
      </c>
      <c r="X803">
        <v>0</v>
      </c>
      <c r="Y803" t="s">
        <v>123</v>
      </c>
      <c r="Z803">
        <v>2020</v>
      </c>
      <c r="AA803">
        <v>2020</v>
      </c>
      <c r="AB803">
        <v>0.39555291679799998</v>
      </c>
      <c r="AC803">
        <v>0.79110583359599995</v>
      </c>
      <c r="AD803" t="s">
        <v>162</v>
      </c>
      <c r="AE803" t="s">
        <v>163</v>
      </c>
      <c r="AF803" t="s">
        <v>162</v>
      </c>
      <c r="AG803" t="s">
        <v>162</v>
      </c>
      <c r="AH803" t="s">
        <v>162</v>
      </c>
      <c r="AI803" t="s">
        <v>162</v>
      </c>
      <c r="AJ803" t="s">
        <v>162</v>
      </c>
      <c r="AK803" t="s">
        <v>166</v>
      </c>
      <c r="AL803">
        <v>2015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 s="60">
        <f t="shared" si="12"/>
        <v>1</v>
      </c>
      <c r="AU803" t="s">
        <v>187</v>
      </c>
      <c r="AV803" t="s">
        <v>165</v>
      </c>
      <c r="AW803" t="s">
        <v>163</v>
      </c>
      <c r="AX803">
        <v>2</v>
      </c>
      <c r="AY803" t="s">
        <v>167</v>
      </c>
      <c r="AZ803" t="s">
        <v>162</v>
      </c>
    </row>
    <row r="804" spans="1:52" x14ac:dyDescent="0.25">
      <c r="A804">
        <v>793</v>
      </c>
      <c r="B804" t="s">
        <v>179</v>
      </c>
      <c r="C804" t="s">
        <v>180</v>
      </c>
      <c r="D804" t="s">
        <v>181</v>
      </c>
      <c r="E804" t="s">
        <v>182</v>
      </c>
      <c r="F804" t="s">
        <v>162</v>
      </c>
      <c r="G804">
        <v>7900</v>
      </c>
      <c r="H804">
        <v>7901</v>
      </c>
      <c r="I804" t="s">
        <v>309</v>
      </c>
      <c r="J804">
        <v>8100</v>
      </c>
      <c r="K804">
        <v>8100</v>
      </c>
      <c r="L804" t="s">
        <v>183</v>
      </c>
      <c r="M804">
        <v>2</v>
      </c>
      <c r="N804" t="s">
        <v>9</v>
      </c>
      <c r="O804" t="s">
        <v>9</v>
      </c>
      <c r="P804" t="s">
        <v>175</v>
      </c>
      <c r="Q804" t="s">
        <v>185</v>
      </c>
      <c r="R804" t="s">
        <v>186</v>
      </c>
      <c r="S804">
        <v>2013</v>
      </c>
      <c r="T804">
        <v>10</v>
      </c>
      <c r="U804" t="s">
        <v>123</v>
      </c>
      <c r="V804" t="s">
        <v>455</v>
      </c>
      <c r="W804">
        <v>2020</v>
      </c>
      <c r="X804">
        <v>2020</v>
      </c>
      <c r="Y804" t="s">
        <v>123</v>
      </c>
      <c r="Z804">
        <v>2020</v>
      </c>
      <c r="AA804">
        <v>2020</v>
      </c>
      <c r="AB804">
        <v>0.48991807184699998</v>
      </c>
      <c r="AC804">
        <v>0.97983614369399996</v>
      </c>
      <c r="AD804" t="s">
        <v>162</v>
      </c>
      <c r="AE804" t="s">
        <v>163</v>
      </c>
      <c r="AF804" t="s">
        <v>162</v>
      </c>
      <c r="AG804" t="s">
        <v>162</v>
      </c>
      <c r="AH804" t="s">
        <v>162</v>
      </c>
      <c r="AI804" t="s">
        <v>162</v>
      </c>
      <c r="AJ804" t="s">
        <v>162</v>
      </c>
      <c r="AK804" t="s">
        <v>162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 s="60">
        <f t="shared" si="12"/>
        <v>1</v>
      </c>
      <c r="AU804" t="s">
        <v>187</v>
      </c>
      <c r="AV804" t="s">
        <v>165</v>
      </c>
      <c r="AW804" t="s">
        <v>163</v>
      </c>
      <c r="AX804">
        <v>2</v>
      </c>
      <c r="AY804" t="s">
        <v>167</v>
      </c>
      <c r="AZ804" t="s">
        <v>162</v>
      </c>
    </row>
    <row r="805" spans="1:52" x14ac:dyDescent="0.25">
      <c r="A805">
        <v>794</v>
      </c>
      <c r="B805" t="s">
        <v>228</v>
      </c>
      <c r="C805" t="s">
        <v>163</v>
      </c>
      <c r="D805" t="s">
        <v>229</v>
      </c>
      <c r="E805" t="s">
        <v>216</v>
      </c>
      <c r="F805" t="s">
        <v>162</v>
      </c>
      <c r="G805">
        <v>3600</v>
      </c>
      <c r="H805">
        <v>3601</v>
      </c>
      <c r="I805" t="s">
        <v>817</v>
      </c>
      <c r="J805">
        <v>3840</v>
      </c>
      <c r="K805">
        <v>3840</v>
      </c>
      <c r="L805" t="s">
        <v>1572</v>
      </c>
      <c r="M805">
        <v>3</v>
      </c>
      <c r="N805" t="s">
        <v>9</v>
      </c>
      <c r="O805" t="s">
        <v>9</v>
      </c>
      <c r="P805" t="s">
        <v>157</v>
      </c>
      <c r="Q805" t="s">
        <v>533</v>
      </c>
      <c r="R805" t="s">
        <v>941</v>
      </c>
      <c r="S805">
        <v>2014</v>
      </c>
      <c r="T805">
        <v>12</v>
      </c>
      <c r="U805" t="s">
        <v>966</v>
      </c>
      <c r="V805" t="s">
        <v>162</v>
      </c>
      <c r="W805">
        <v>0</v>
      </c>
      <c r="X805">
        <v>0</v>
      </c>
      <c r="Y805" t="s">
        <v>162</v>
      </c>
      <c r="Z805">
        <v>2014</v>
      </c>
      <c r="AA805">
        <v>2007</v>
      </c>
      <c r="AB805">
        <v>0.17485375094799999</v>
      </c>
      <c r="AC805">
        <v>0.34970750189599997</v>
      </c>
      <c r="AD805" t="s">
        <v>162</v>
      </c>
      <c r="AE805" t="s">
        <v>163</v>
      </c>
      <c r="AF805" t="s">
        <v>162</v>
      </c>
      <c r="AG805" t="s">
        <v>162</v>
      </c>
      <c r="AH805" t="s">
        <v>162</v>
      </c>
      <c r="AI805" t="s">
        <v>162</v>
      </c>
      <c r="AJ805" t="s">
        <v>162</v>
      </c>
      <c r="AK805" t="s">
        <v>166</v>
      </c>
      <c r="AL805">
        <v>2015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 s="60">
        <f t="shared" si="12"/>
        <v>1</v>
      </c>
      <c r="AU805" t="s">
        <v>187</v>
      </c>
      <c r="AV805" t="s">
        <v>165</v>
      </c>
      <c r="AW805" t="s">
        <v>163</v>
      </c>
      <c r="AX805">
        <v>2</v>
      </c>
      <c r="AY805" t="s">
        <v>167</v>
      </c>
      <c r="AZ805" t="s">
        <v>162</v>
      </c>
    </row>
    <row r="806" spans="1:52" x14ac:dyDescent="0.25">
      <c r="A806">
        <v>795</v>
      </c>
      <c r="B806" t="s">
        <v>315</v>
      </c>
      <c r="C806" t="s">
        <v>163</v>
      </c>
      <c r="D806" t="s">
        <v>316</v>
      </c>
      <c r="E806" t="s">
        <v>216</v>
      </c>
      <c r="F806" t="s">
        <v>162</v>
      </c>
      <c r="G806">
        <v>3300</v>
      </c>
      <c r="H806">
        <v>3301</v>
      </c>
      <c r="I806" t="s">
        <v>429</v>
      </c>
      <c r="J806">
        <v>3200</v>
      </c>
      <c r="K806">
        <v>3201</v>
      </c>
      <c r="L806" t="s">
        <v>565</v>
      </c>
      <c r="M806">
        <v>0</v>
      </c>
      <c r="N806" t="s">
        <v>11</v>
      </c>
      <c r="O806" t="s">
        <v>327</v>
      </c>
      <c r="P806" t="s">
        <v>175</v>
      </c>
      <c r="Q806">
        <v>0</v>
      </c>
      <c r="R806" t="s">
        <v>1454</v>
      </c>
      <c r="S806">
        <v>2019</v>
      </c>
      <c r="T806">
        <v>9</v>
      </c>
      <c r="U806" t="s">
        <v>162</v>
      </c>
      <c r="V806" t="s">
        <v>161</v>
      </c>
      <c r="W806">
        <v>2020</v>
      </c>
      <c r="X806">
        <v>0</v>
      </c>
      <c r="Y806" t="s">
        <v>162</v>
      </c>
      <c r="Z806">
        <v>2020</v>
      </c>
      <c r="AA806">
        <v>0</v>
      </c>
      <c r="AB806">
        <v>0.221635405939</v>
      </c>
      <c r="AC806">
        <v>0.44327081187799999</v>
      </c>
      <c r="AD806" t="s">
        <v>162</v>
      </c>
      <c r="AE806" t="s">
        <v>162</v>
      </c>
      <c r="AF806" t="s">
        <v>162</v>
      </c>
      <c r="AG806" t="s">
        <v>162</v>
      </c>
      <c r="AH806" t="s">
        <v>162</v>
      </c>
      <c r="AI806" t="s">
        <v>162</v>
      </c>
      <c r="AJ806" t="s">
        <v>162</v>
      </c>
      <c r="AK806" t="s">
        <v>162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s="60">
        <f t="shared" si="12"/>
        <v>1</v>
      </c>
      <c r="AU806" t="s">
        <v>187</v>
      </c>
      <c r="AV806" t="s">
        <v>165</v>
      </c>
      <c r="AW806" t="s">
        <v>162</v>
      </c>
      <c r="AX806">
        <v>2</v>
      </c>
      <c r="AY806" t="s">
        <v>167</v>
      </c>
      <c r="AZ806" t="s">
        <v>162</v>
      </c>
    </row>
    <row r="807" spans="1:52" x14ac:dyDescent="0.25">
      <c r="A807">
        <v>796</v>
      </c>
      <c r="B807" t="s">
        <v>315</v>
      </c>
      <c r="C807" t="s">
        <v>163</v>
      </c>
      <c r="D807" t="s">
        <v>316</v>
      </c>
      <c r="E807" t="s">
        <v>216</v>
      </c>
      <c r="F807" t="s">
        <v>162</v>
      </c>
      <c r="G807">
        <v>1700</v>
      </c>
      <c r="H807">
        <v>1701</v>
      </c>
      <c r="I807" t="s">
        <v>488</v>
      </c>
      <c r="J807">
        <v>1600</v>
      </c>
      <c r="K807">
        <v>1601</v>
      </c>
      <c r="L807" t="s">
        <v>191</v>
      </c>
      <c r="M807">
        <v>3</v>
      </c>
      <c r="N807" t="s">
        <v>11</v>
      </c>
      <c r="O807" t="s">
        <v>327</v>
      </c>
      <c r="P807" t="s">
        <v>157</v>
      </c>
      <c r="Q807" t="s">
        <v>460</v>
      </c>
      <c r="R807" t="s">
        <v>329</v>
      </c>
      <c r="S807">
        <v>2017</v>
      </c>
      <c r="T807">
        <v>9</v>
      </c>
      <c r="U807" t="s">
        <v>489</v>
      </c>
      <c r="V807" t="s">
        <v>162</v>
      </c>
      <c r="W807">
        <v>0</v>
      </c>
      <c r="X807">
        <v>0</v>
      </c>
      <c r="Y807" t="s">
        <v>162</v>
      </c>
      <c r="Z807">
        <v>2017</v>
      </c>
      <c r="AA807">
        <v>2011</v>
      </c>
      <c r="AB807">
        <v>0.16836319307600001</v>
      </c>
      <c r="AC807">
        <v>0.33672638615200001</v>
      </c>
      <c r="AD807" t="s">
        <v>162</v>
      </c>
      <c r="AE807" t="s">
        <v>163</v>
      </c>
      <c r="AF807" t="s">
        <v>162</v>
      </c>
      <c r="AG807" t="s">
        <v>162</v>
      </c>
      <c r="AH807" t="s">
        <v>162</v>
      </c>
      <c r="AI807" t="s">
        <v>162</v>
      </c>
      <c r="AJ807" t="s">
        <v>162</v>
      </c>
      <c r="AK807" t="s">
        <v>162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 s="60">
        <f t="shared" si="12"/>
        <v>1</v>
      </c>
      <c r="AU807" t="s">
        <v>244</v>
      </c>
      <c r="AV807" t="s">
        <v>165</v>
      </c>
      <c r="AW807" t="s">
        <v>162</v>
      </c>
      <c r="AX807">
        <v>2</v>
      </c>
      <c r="AY807" t="s">
        <v>167</v>
      </c>
      <c r="AZ807">
        <v>20</v>
      </c>
    </row>
    <row r="808" spans="1:52" x14ac:dyDescent="0.25">
      <c r="A808">
        <v>797</v>
      </c>
      <c r="B808" t="s">
        <v>1573</v>
      </c>
      <c r="C808" t="s">
        <v>151</v>
      </c>
      <c r="D808" t="s">
        <v>1574</v>
      </c>
      <c r="E808" t="s">
        <v>172</v>
      </c>
      <c r="F808" t="s">
        <v>162</v>
      </c>
      <c r="G808">
        <v>1100</v>
      </c>
      <c r="H808">
        <v>1101</v>
      </c>
      <c r="I808" t="s">
        <v>827</v>
      </c>
      <c r="J808">
        <v>800</v>
      </c>
      <c r="K808">
        <v>801</v>
      </c>
      <c r="L808" t="s">
        <v>576</v>
      </c>
      <c r="M808">
        <v>0</v>
      </c>
      <c r="N808" t="s">
        <v>15</v>
      </c>
      <c r="O808" t="s">
        <v>15</v>
      </c>
      <c r="P808" t="s">
        <v>175</v>
      </c>
      <c r="Q808" t="s">
        <v>162</v>
      </c>
      <c r="R808" t="s">
        <v>1487</v>
      </c>
      <c r="S808">
        <v>2020</v>
      </c>
      <c r="T808">
        <v>0</v>
      </c>
      <c r="U808" t="s">
        <v>162</v>
      </c>
      <c r="V808" t="s">
        <v>162</v>
      </c>
      <c r="W808">
        <v>0</v>
      </c>
      <c r="X808">
        <v>0</v>
      </c>
      <c r="Y808" t="s">
        <v>162</v>
      </c>
      <c r="Z808">
        <v>2020</v>
      </c>
      <c r="AA808">
        <v>0</v>
      </c>
      <c r="AB808">
        <v>0.377580117296</v>
      </c>
      <c r="AC808">
        <v>0.75516023459199999</v>
      </c>
      <c r="AD808" t="s">
        <v>162</v>
      </c>
      <c r="AE808" t="s">
        <v>163</v>
      </c>
      <c r="AF808" t="s">
        <v>162</v>
      </c>
      <c r="AG808" t="s">
        <v>162</v>
      </c>
      <c r="AH808" t="s">
        <v>162</v>
      </c>
      <c r="AI808" t="s">
        <v>162</v>
      </c>
      <c r="AJ808" t="s">
        <v>162</v>
      </c>
      <c r="AK808" t="s">
        <v>162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 s="60">
        <f t="shared" si="12"/>
        <v>1</v>
      </c>
      <c r="AU808" t="s">
        <v>815</v>
      </c>
      <c r="AV808" t="s">
        <v>165</v>
      </c>
      <c r="AW808" t="s">
        <v>162</v>
      </c>
      <c r="AX808">
        <v>2</v>
      </c>
      <c r="AY808" t="s">
        <v>167</v>
      </c>
      <c r="AZ808" t="s">
        <v>162</v>
      </c>
    </row>
    <row r="809" spans="1:52" x14ac:dyDescent="0.25">
      <c r="A809">
        <v>798</v>
      </c>
      <c r="B809" t="s">
        <v>1573</v>
      </c>
      <c r="C809" t="s">
        <v>151</v>
      </c>
      <c r="D809" t="s">
        <v>1574</v>
      </c>
      <c r="E809" t="s">
        <v>172</v>
      </c>
      <c r="F809" t="s">
        <v>162</v>
      </c>
      <c r="G809">
        <v>800</v>
      </c>
      <c r="H809">
        <v>801</v>
      </c>
      <c r="I809" t="s">
        <v>576</v>
      </c>
      <c r="J809">
        <v>400</v>
      </c>
      <c r="K809">
        <v>401</v>
      </c>
      <c r="L809" t="s">
        <v>1266</v>
      </c>
      <c r="M809">
        <v>0</v>
      </c>
      <c r="N809" t="s">
        <v>11</v>
      </c>
      <c r="O809" t="s">
        <v>327</v>
      </c>
      <c r="P809" t="s">
        <v>175</v>
      </c>
      <c r="Q809" t="s">
        <v>162</v>
      </c>
      <c r="R809" t="s">
        <v>1487</v>
      </c>
      <c r="S809">
        <v>2020</v>
      </c>
      <c r="T809">
        <v>0</v>
      </c>
      <c r="U809" t="s">
        <v>1554</v>
      </c>
      <c r="V809" t="s">
        <v>162</v>
      </c>
      <c r="W809">
        <v>0</v>
      </c>
      <c r="X809">
        <v>0</v>
      </c>
      <c r="Y809" t="s">
        <v>162</v>
      </c>
      <c r="Z809">
        <v>2020</v>
      </c>
      <c r="AA809">
        <v>0</v>
      </c>
      <c r="AB809">
        <v>0.48774928263700001</v>
      </c>
      <c r="AC809">
        <v>0.97549856527400003</v>
      </c>
      <c r="AD809" t="s">
        <v>162</v>
      </c>
      <c r="AE809" t="s">
        <v>163</v>
      </c>
      <c r="AF809" t="s">
        <v>162</v>
      </c>
      <c r="AG809" t="s">
        <v>162</v>
      </c>
      <c r="AH809" t="s">
        <v>162</v>
      </c>
      <c r="AI809" t="s">
        <v>162</v>
      </c>
      <c r="AJ809" t="s">
        <v>162</v>
      </c>
      <c r="AK809" t="s">
        <v>162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 s="60">
        <f t="shared" si="12"/>
        <v>1</v>
      </c>
      <c r="AU809" t="s">
        <v>815</v>
      </c>
      <c r="AV809" t="s">
        <v>165</v>
      </c>
      <c r="AW809" t="s">
        <v>162</v>
      </c>
      <c r="AX809">
        <v>2</v>
      </c>
      <c r="AY809" t="s">
        <v>167</v>
      </c>
      <c r="AZ809" t="s">
        <v>162</v>
      </c>
    </row>
    <row r="810" spans="1:52" x14ac:dyDescent="0.25">
      <c r="A810">
        <v>799</v>
      </c>
      <c r="B810" t="s">
        <v>1573</v>
      </c>
      <c r="C810" t="s">
        <v>151</v>
      </c>
      <c r="D810" t="s">
        <v>1574</v>
      </c>
      <c r="E810" t="s">
        <v>172</v>
      </c>
      <c r="F810" t="s">
        <v>162</v>
      </c>
      <c r="G810">
        <v>400</v>
      </c>
      <c r="H810">
        <v>401</v>
      </c>
      <c r="I810" t="s">
        <v>1266</v>
      </c>
      <c r="J810">
        <v>2</v>
      </c>
      <c r="K810">
        <v>1</v>
      </c>
      <c r="L810" t="s">
        <v>639</v>
      </c>
      <c r="M810">
        <v>0</v>
      </c>
      <c r="N810" t="s">
        <v>15</v>
      </c>
      <c r="O810" t="s">
        <v>15</v>
      </c>
      <c r="P810" t="s">
        <v>175</v>
      </c>
      <c r="Q810" t="s">
        <v>162</v>
      </c>
      <c r="R810" t="s">
        <v>1487</v>
      </c>
      <c r="S810">
        <v>2020</v>
      </c>
      <c r="T810">
        <v>0</v>
      </c>
      <c r="U810" t="s">
        <v>162</v>
      </c>
      <c r="V810" t="s">
        <v>162</v>
      </c>
      <c r="W810">
        <v>0</v>
      </c>
      <c r="X810">
        <v>0</v>
      </c>
      <c r="Y810" t="s">
        <v>162</v>
      </c>
      <c r="Z810">
        <v>2020</v>
      </c>
      <c r="AA810">
        <v>0</v>
      </c>
      <c r="AB810">
        <v>0.50939557832299998</v>
      </c>
      <c r="AC810">
        <v>1.0187911566500001</v>
      </c>
      <c r="AD810" t="s">
        <v>162</v>
      </c>
      <c r="AE810" t="s">
        <v>163</v>
      </c>
      <c r="AF810" t="s">
        <v>162</v>
      </c>
      <c r="AG810" t="s">
        <v>162</v>
      </c>
      <c r="AH810" t="s">
        <v>162</v>
      </c>
      <c r="AI810" t="s">
        <v>162</v>
      </c>
      <c r="AJ810" t="s">
        <v>162</v>
      </c>
      <c r="AK810" t="s">
        <v>162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 s="60">
        <f t="shared" si="12"/>
        <v>1</v>
      </c>
      <c r="AU810" t="s">
        <v>815</v>
      </c>
      <c r="AV810" t="s">
        <v>165</v>
      </c>
      <c r="AW810" t="s">
        <v>162</v>
      </c>
      <c r="AX810">
        <v>2</v>
      </c>
      <c r="AY810" t="s">
        <v>167</v>
      </c>
      <c r="AZ810" t="s">
        <v>162</v>
      </c>
    </row>
    <row r="811" spans="1:52" x14ac:dyDescent="0.25">
      <c r="A811">
        <v>800</v>
      </c>
      <c r="B811" t="s">
        <v>1573</v>
      </c>
      <c r="C811" t="s">
        <v>203</v>
      </c>
      <c r="D811" t="s">
        <v>1574</v>
      </c>
      <c r="E811" t="s">
        <v>172</v>
      </c>
      <c r="F811" t="s">
        <v>162</v>
      </c>
      <c r="G811">
        <v>2</v>
      </c>
      <c r="H811">
        <v>1</v>
      </c>
      <c r="I811" t="s">
        <v>639</v>
      </c>
      <c r="J811">
        <v>200</v>
      </c>
      <c r="K811">
        <v>201</v>
      </c>
      <c r="L811" t="s">
        <v>1083</v>
      </c>
      <c r="M811">
        <v>0</v>
      </c>
      <c r="N811" t="s">
        <v>11</v>
      </c>
      <c r="O811" t="s">
        <v>327</v>
      </c>
      <c r="P811" t="s">
        <v>175</v>
      </c>
      <c r="Q811" t="s">
        <v>162</v>
      </c>
      <c r="R811" t="s">
        <v>1487</v>
      </c>
      <c r="S811">
        <v>2020</v>
      </c>
      <c r="T811">
        <v>0</v>
      </c>
      <c r="U811" t="s">
        <v>1554</v>
      </c>
      <c r="V811" t="s">
        <v>162</v>
      </c>
      <c r="W811">
        <v>0</v>
      </c>
      <c r="X811">
        <v>0</v>
      </c>
      <c r="Y811" t="s">
        <v>162</v>
      </c>
      <c r="Z811">
        <v>2020</v>
      </c>
      <c r="AA811">
        <v>0</v>
      </c>
      <c r="AB811">
        <v>0.25053683385600001</v>
      </c>
      <c r="AC811">
        <v>0.50107366771200001</v>
      </c>
      <c r="AD811" t="s">
        <v>162</v>
      </c>
      <c r="AE811" t="s">
        <v>163</v>
      </c>
      <c r="AF811" t="s">
        <v>162</v>
      </c>
      <c r="AG811" t="s">
        <v>162</v>
      </c>
      <c r="AH811" t="s">
        <v>162</v>
      </c>
      <c r="AI811" t="s">
        <v>162</v>
      </c>
      <c r="AJ811" t="s">
        <v>162</v>
      </c>
      <c r="AK811" t="s">
        <v>162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 s="60">
        <f t="shared" si="12"/>
        <v>1</v>
      </c>
      <c r="AU811" t="s">
        <v>815</v>
      </c>
      <c r="AV811" t="s">
        <v>165</v>
      </c>
      <c r="AW811" t="s">
        <v>162</v>
      </c>
      <c r="AX811">
        <v>2</v>
      </c>
      <c r="AY811" t="s">
        <v>167</v>
      </c>
      <c r="AZ811" t="s">
        <v>154</v>
      </c>
    </row>
    <row r="812" spans="1:52" x14ac:dyDescent="0.25">
      <c r="A812">
        <v>801</v>
      </c>
      <c r="B812" t="s">
        <v>1573</v>
      </c>
      <c r="C812" t="s">
        <v>203</v>
      </c>
      <c r="D812" t="s">
        <v>1574</v>
      </c>
      <c r="E812" t="s">
        <v>172</v>
      </c>
      <c r="F812" t="s">
        <v>162</v>
      </c>
      <c r="G812">
        <v>200</v>
      </c>
      <c r="H812">
        <v>201</v>
      </c>
      <c r="I812" t="s">
        <v>1083</v>
      </c>
      <c r="J812">
        <v>400</v>
      </c>
      <c r="K812">
        <v>401</v>
      </c>
      <c r="L812" t="s">
        <v>1483</v>
      </c>
      <c r="M812">
        <v>0</v>
      </c>
      <c r="N812" t="s">
        <v>9</v>
      </c>
      <c r="O812" t="s">
        <v>9</v>
      </c>
      <c r="P812" t="s">
        <v>175</v>
      </c>
      <c r="Q812" t="s">
        <v>162</v>
      </c>
      <c r="R812" t="s">
        <v>1487</v>
      </c>
      <c r="S812">
        <v>2020</v>
      </c>
      <c r="T812">
        <v>0</v>
      </c>
      <c r="U812" t="s">
        <v>1575</v>
      </c>
      <c r="V812" t="s">
        <v>162</v>
      </c>
      <c r="W812">
        <v>0</v>
      </c>
      <c r="X812">
        <v>0</v>
      </c>
      <c r="Y812" t="s">
        <v>162</v>
      </c>
      <c r="Z812">
        <v>2020</v>
      </c>
      <c r="AA812">
        <v>0</v>
      </c>
      <c r="AB812">
        <v>0.25278420675500002</v>
      </c>
      <c r="AC812">
        <v>0.50556841351000004</v>
      </c>
      <c r="AD812" t="s">
        <v>162</v>
      </c>
      <c r="AE812" t="s">
        <v>162</v>
      </c>
      <c r="AF812" t="s">
        <v>162</v>
      </c>
      <c r="AG812" t="s">
        <v>162</v>
      </c>
      <c r="AH812" t="s">
        <v>162</v>
      </c>
      <c r="AI812" t="s">
        <v>162</v>
      </c>
      <c r="AJ812" t="s">
        <v>162</v>
      </c>
      <c r="AK812" t="s">
        <v>162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 s="60">
        <f t="shared" si="12"/>
        <v>1</v>
      </c>
      <c r="AU812" t="s">
        <v>815</v>
      </c>
      <c r="AV812" t="s">
        <v>165</v>
      </c>
      <c r="AW812" t="s">
        <v>162</v>
      </c>
      <c r="AX812">
        <v>2</v>
      </c>
      <c r="AY812" t="s">
        <v>167</v>
      </c>
      <c r="AZ812" t="s">
        <v>154</v>
      </c>
    </row>
    <row r="813" spans="1:52" x14ac:dyDescent="0.25">
      <c r="A813">
        <v>802</v>
      </c>
      <c r="B813" t="s">
        <v>453</v>
      </c>
      <c r="C813" t="s">
        <v>163</v>
      </c>
      <c r="D813" t="s">
        <v>454</v>
      </c>
      <c r="E813" t="s">
        <v>216</v>
      </c>
      <c r="F813" t="s">
        <v>162</v>
      </c>
      <c r="G813">
        <v>2400</v>
      </c>
      <c r="H813">
        <v>2401</v>
      </c>
      <c r="I813" t="s">
        <v>652</v>
      </c>
      <c r="J813">
        <v>2550</v>
      </c>
      <c r="K813">
        <v>2551</v>
      </c>
      <c r="L813" t="s">
        <v>733</v>
      </c>
      <c r="M813">
        <v>3</v>
      </c>
      <c r="N813" t="s">
        <v>11</v>
      </c>
      <c r="O813" t="s">
        <v>11</v>
      </c>
      <c r="P813" t="s">
        <v>169</v>
      </c>
      <c r="Q813" t="s">
        <v>162</v>
      </c>
      <c r="R813" t="s">
        <v>734</v>
      </c>
      <c r="S813">
        <v>2021</v>
      </c>
      <c r="T813">
        <v>5</v>
      </c>
      <c r="U813" t="s">
        <v>905</v>
      </c>
      <c r="V813" t="s">
        <v>162</v>
      </c>
      <c r="W813">
        <v>0</v>
      </c>
      <c r="X813">
        <v>0</v>
      </c>
      <c r="Y813" t="s">
        <v>162</v>
      </c>
      <c r="Z813">
        <v>2021</v>
      </c>
      <c r="AA813">
        <v>0</v>
      </c>
      <c r="AB813">
        <v>5.2703448724700001E-2</v>
      </c>
      <c r="AC813">
        <v>0.105406897449</v>
      </c>
      <c r="AD813" t="s">
        <v>162</v>
      </c>
      <c r="AE813" t="s">
        <v>163</v>
      </c>
      <c r="AF813" t="s">
        <v>162</v>
      </c>
      <c r="AG813" t="s">
        <v>163</v>
      </c>
      <c r="AH813" t="s">
        <v>162</v>
      </c>
      <c r="AI813" t="s">
        <v>162</v>
      </c>
      <c r="AJ813" t="s">
        <v>162</v>
      </c>
      <c r="AK813" t="s">
        <v>162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s="60">
        <f t="shared" si="12"/>
        <v>1</v>
      </c>
      <c r="AU813" t="s">
        <v>1576</v>
      </c>
      <c r="AV813" t="s">
        <v>165</v>
      </c>
      <c r="AW813" t="s">
        <v>166</v>
      </c>
      <c r="AX813">
        <v>2</v>
      </c>
      <c r="AY813" t="s">
        <v>167</v>
      </c>
      <c r="AZ813" t="s">
        <v>162</v>
      </c>
    </row>
    <row r="814" spans="1:52" x14ac:dyDescent="0.25">
      <c r="A814">
        <v>803</v>
      </c>
      <c r="B814" t="s">
        <v>1375</v>
      </c>
      <c r="C814" t="s">
        <v>180</v>
      </c>
      <c r="D814" t="s">
        <v>1376</v>
      </c>
      <c r="E814" t="s">
        <v>216</v>
      </c>
      <c r="F814" t="s">
        <v>162</v>
      </c>
      <c r="G814">
        <v>2200</v>
      </c>
      <c r="H814">
        <v>2201</v>
      </c>
      <c r="I814" t="s">
        <v>248</v>
      </c>
      <c r="J814">
        <v>1900</v>
      </c>
      <c r="K814">
        <v>1901</v>
      </c>
      <c r="L814" t="s">
        <v>410</v>
      </c>
      <c r="M814">
        <v>0</v>
      </c>
      <c r="N814" t="s">
        <v>9</v>
      </c>
      <c r="O814" t="s">
        <v>9</v>
      </c>
      <c r="P814" t="s">
        <v>175</v>
      </c>
      <c r="Q814" t="s">
        <v>162</v>
      </c>
      <c r="R814" t="s">
        <v>1378</v>
      </c>
      <c r="S814">
        <v>2021</v>
      </c>
      <c r="T814">
        <v>5</v>
      </c>
      <c r="U814" t="s">
        <v>162</v>
      </c>
      <c r="V814" t="s">
        <v>162</v>
      </c>
      <c r="W814">
        <v>0</v>
      </c>
      <c r="X814">
        <v>0</v>
      </c>
      <c r="Y814" t="s">
        <v>162</v>
      </c>
      <c r="Z814">
        <v>2021</v>
      </c>
      <c r="AA814">
        <v>2021</v>
      </c>
      <c r="AB814">
        <v>0.26055758525599998</v>
      </c>
      <c r="AC814">
        <v>0.52111517051199996</v>
      </c>
      <c r="AD814" t="s">
        <v>162</v>
      </c>
      <c r="AE814" t="s">
        <v>154</v>
      </c>
      <c r="AF814" t="s">
        <v>154</v>
      </c>
      <c r="AG814" t="s">
        <v>154</v>
      </c>
      <c r="AH814" t="s">
        <v>162</v>
      </c>
      <c r="AI814" t="s">
        <v>162</v>
      </c>
      <c r="AJ814" t="s">
        <v>162</v>
      </c>
      <c r="AK814" t="s">
        <v>162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 s="60">
        <f t="shared" si="12"/>
        <v>1</v>
      </c>
      <c r="AU814" t="s">
        <v>195</v>
      </c>
      <c r="AV814" t="s">
        <v>165</v>
      </c>
      <c r="AW814" t="s">
        <v>163</v>
      </c>
      <c r="AX814">
        <v>2</v>
      </c>
      <c r="AY814" t="s">
        <v>167</v>
      </c>
      <c r="AZ814" t="s">
        <v>162</v>
      </c>
    </row>
    <row r="815" spans="1:52" x14ac:dyDescent="0.25">
      <c r="A815">
        <v>804</v>
      </c>
      <c r="B815" t="s">
        <v>835</v>
      </c>
      <c r="C815" t="s">
        <v>180</v>
      </c>
      <c r="D815" t="s">
        <v>836</v>
      </c>
      <c r="E815" t="s">
        <v>216</v>
      </c>
      <c r="F815" t="s">
        <v>162</v>
      </c>
      <c r="G815">
        <v>5500</v>
      </c>
      <c r="H815">
        <v>5501</v>
      </c>
      <c r="I815" t="s">
        <v>801</v>
      </c>
      <c r="J815">
        <v>5200</v>
      </c>
      <c r="K815">
        <v>5201</v>
      </c>
      <c r="L815" t="s">
        <v>1425</v>
      </c>
      <c r="M815">
        <v>0</v>
      </c>
      <c r="N815" t="s">
        <v>11</v>
      </c>
      <c r="O815" t="s">
        <v>11</v>
      </c>
      <c r="P815" t="s">
        <v>175</v>
      </c>
      <c r="Q815" t="s">
        <v>162</v>
      </c>
      <c r="R815" t="s">
        <v>1577</v>
      </c>
      <c r="S815">
        <v>2021</v>
      </c>
      <c r="T815">
        <v>6</v>
      </c>
      <c r="U815" t="s">
        <v>162</v>
      </c>
      <c r="V815" t="s">
        <v>162</v>
      </c>
      <c r="W815">
        <v>0</v>
      </c>
      <c r="X815">
        <v>0</v>
      </c>
      <c r="Y815" t="s">
        <v>162</v>
      </c>
      <c r="Z815">
        <v>2021</v>
      </c>
      <c r="AA815">
        <v>0</v>
      </c>
      <c r="AB815">
        <v>0.39788936619999998</v>
      </c>
      <c r="AC815">
        <v>0.79577873239999997</v>
      </c>
      <c r="AD815" t="s">
        <v>162</v>
      </c>
      <c r="AE815" t="s">
        <v>163</v>
      </c>
      <c r="AF815" t="s">
        <v>162</v>
      </c>
      <c r="AG815" t="s">
        <v>163</v>
      </c>
      <c r="AH815" t="s">
        <v>162</v>
      </c>
      <c r="AI815" t="s">
        <v>162</v>
      </c>
      <c r="AJ815" t="s">
        <v>162</v>
      </c>
      <c r="AK815" t="s">
        <v>162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 s="60">
        <f t="shared" si="12"/>
        <v>1</v>
      </c>
      <c r="AU815" t="s">
        <v>474</v>
      </c>
      <c r="AV815" t="s">
        <v>165</v>
      </c>
      <c r="AW815" t="s">
        <v>163</v>
      </c>
      <c r="AX815">
        <v>0</v>
      </c>
      <c r="AY815" t="s">
        <v>167</v>
      </c>
      <c r="AZ815" t="s">
        <v>162</v>
      </c>
    </row>
    <row r="816" spans="1:52" x14ac:dyDescent="0.25">
      <c r="A816">
        <v>805</v>
      </c>
      <c r="B816" t="s">
        <v>284</v>
      </c>
      <c r="C816" t="s">
        <v>151</v>
      </c>
      <c r="D816" t="s">
        <v>285</v>
      </c>
      <c r="E816" t="s">
        <v>172</v>
      </c>
      <c r="F816" t="s">
        <v>162</v>
      </c>
      <c r="G816">
        <v>4800</v>
      </c>
      <c r="H816">
        <v>4801</v>
      </c>
      <c r="I816" t="s">
        <v>1578</v>
      </c>
      <c r="J816">
        <v>4000</v>
      </c>
      <c r="K816">
        <v>4001</v>
      </c>
      <c r="L816" t="s">
        <v>1002</v>
      </c>
      <c r="M816">
        <v>0</v>
      </c>
      <c r="N816" t="s">
        <v>15</v>
      </c>
      <c r="O816" t="s">
        <v>15</v>
      </c>
      <c r="P816" t="s">
        <v>175</v>
      </c>
      <c r="Q816" t="s">
        <v>162</v>
      </c>
      <c r="R816" t="s">
        <v>544</v>
      </c>
      <c r="S816">
        <v>2021</v>
      </c>
      <c r="T816">
        <v>6</v>
      </c>
      <c r="U816" t="s">
        <v>162</v>
      </c>
      <c r="V816" t="s">
        <v>162</v>
      </c>
      <c r="W816">
        <v>0</v>
      </c>
      <c r="X816">
        <v>0</v>
      </c>
      <c r="Y816" t="s">
        <v>162</v>
      </c>
      <c r="Z816">
        <v>2021</v>
      </c>
      <c r="AA816">
        <v>0</v>
      </c>
      <c r="AB816">
        <v>1.0053283605400001</v>
      </c>
      <c r="AC816">
        <v>2.0106567210800002</v>
      </c>
      <c r="AD816" t="s">
        <v>162</v>
      </c>
      <c r="AE816" t="s">
        <v>163</v>
      </c>
      <c r="AF816" t="s">
        <v>162</v>
      </c>
      <c r="AG816" t="s">
        <v>163</v>
      </c>
      <c r="AH816" t="s">
        <v>162</v>
      </c>
      <c r="AI816" t="s">
        <v>162</v>
      </c>
      <c r="AJ816" t="s">
        <v>162</v>
      </c>
      <c r="AK816" t="s">
        <v>162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 s="60">
        <f t="shared" si="12"/>
        <v>1</v>
      </c>
      <c r="AU816" t="s">
        <v>474</v>
      </c>
      <c r="AV816" t="s">
        <v>165</v>
      </c>
      <c r="AW816" t="s">
        <v>163</v>
      </c>
      <c r="AX816">
        <v>0</v>
      </c>
      <c r="AY816" t="s">
        <v>167</v>
      </c>
      <c r="AZ816" t="s">
        <v>162</v>
      </c>
    </row>
    <row r="817" spans="1:52" x14ac:dyDescent="0.25">
      <c r="A817">
        <v>806</v>
      </c>
      <c r="B817" t="s">
        <v>284</v>
      </c>
      <c r="C817" t="s">
        <v>151</v>
      </c>
      <c r="D817" t="s">
        <v>285</v>
      </c>
      <c r="E817" t="s">
        <v>172</v>
      </c>
      <c r="F817" t="s">
        <v>162</v>
      </c>
      <c r="G817">
        <v>4000</v>
      </c>
      <c r="H817">
        <v>4001</v>
      </c>
      <c r="I817" t="s">
        <v>1002</v>
      </c>
      <c r="J817">
        <v>3624</v>
      </c>
      <c r="K817">
        <v>3625</v>
      </c>
      <c r="L817" t="s">
        <v>1579</v>
      </c>
      <c r="M817">
        <v>0</v>
      </c>
      <c r="N817" t="s">
        <v>11</v>
      </c>
      <c r="O817" t="s">
        <v>11</v>
      </c>
      <c r="P817" t="s">
        <v>175</v>
      </c>
      <c r="Q817" t="s">
        <v>162</v>
      </c>
      <c r="R817" t="s">
        <v>544</v>
      </c>
      <c r="S817">
        <v>2021</v>
      </c>
      <c r="T817">
        <v>6</v>
      </c>
      <c r="U817" t="s">
        <v>162</v>
      </c>
      <c r="V817" t="s">
        <v>162</v>
      </c>
      <c r="W817">
        <v>0</v>
      </c>
      <c r="X817">
        <v>0</v>
      </c>
      <c r="Y817" t="s">
        <v>162</v>
      </c>
      <c r="Z817">
        <v>2021</v>
      </c>
      <c r="AA817">
        <v>0</v>
      </c>
      <c r="AB817">
        <v>0.45244872409499998</v>
      </c>
      <c r="AC817">
        <v>0.90489744818999995</v>
      </c>
      <c r="AD817" t="s">
        <v>162</v>
      </c>
      <c r="AE817" t="s">
        <v>163</v>
      </c>
      <c r="AF817" t="s">
        <v>162</v>
      </c>
      <c r="AG817" t="s">
        <v>163</v>
      </c>
      <c r="AH817" t="s">
        <v>162</v>
      </c>
      <c r="AI817" t="s">
        <v>162</v>
      </c>
      <c r="AJ817" t="s">
        <v>162</v>
      </c>
      <c r="AK817" t="s">
        <v>162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 s="60">
        <f t="shared" si="12"/>
        <v>1</v>
      </c>
      <c r="AU817" t="s">
        <v>474</v>
      </c>
      <c r="AV817" t="s">
        <v>165</v>
      </c>
      <c r="AW817" t="s">
        <v>163</v>
      </c>
      <c r="AX817">
        <v>0</v>
      </c>
      <c r="AY817" t="s">
        <v>167</v>
      </c>
      <c r="AZ817" t="s">
        <v>162</v>
      </c>
    </row>
    <row r="818" spans="1:52" x14ac:dyDescent="0.25">
      <c r="A818">
        <v>807</v>
      </c>
      <c r="B818" t="s">
        <v>1580</v>
      </c>
      <c r="C818" t="s">
        <v>180</v>
      </c>
      <c r="D818" t="s">
        <v>1581</v>
      </c>
      <c r="E818" t="s">
        <v>216</v>
      </c>
      <c r="F818" t="s">
        <v>162</v>
      </c>
      <c r="G818">
        <v>11900</v>
      </c>
      <c r="H818">
        <v>11901</v>
      </c>
      <c r="I818" t="s">
        <v>1472</v>
      </c>
      <c r="J818">
        <v>9500</v>
      </c>
      <c r="K818">
        <v>9501</v>
      </c>
      <c r="L818" t="s">
        <v>1582</v>
      </c>
      <c r="M818">
        <v>0</v>
      </c>
      <c r="N818" t="s">
        <v>15</v>
      </c>
      <c r="O818" t="s">
        <v>15</v>
      </c>
      <c r="P818" t="s">
        <v>175</v>
      </c>
      <c r="Q818" t="s">
        <v>162</v>
      </c>
      <c r="R818" t="s">
        <v>567</v>
      </c>
      <c r="S818">
        <v>2021</v>
      </c>
      <c r="T818">
        <v>5</v>
      </c>
      <c r="U818" t="s">
        <v>162</v>
      </c>
      <c r="V818" t="s">
        <v>162</v>
      </c>
      <c r="W818">
        <v>0</v>
      </c>
      <c r="X818">
        <v>0</v>
      </c>
      <c r="Y818" t="s">
        <v>162</v>
      </c>
      <c r="Z818">
        <v>2021</v>
      </c>
      <c r="AA818">
        <v>2021</v>
      </c>
      <c r="AB818">
        <v>3.0687896164300001</v>
      </c>
      <c r="AC818">
        <v>6.1375792328600003</v>
      </c>
      <c r="AD818" t="s">
        <v>162</v>
      </c>
      <c r="AE818" t="s">
        <v>163</v>
      </c>
      <c r="AF818" t="s">
        <v>162</v>
      </c>
      <c r="AG818" t="s">
        <v>163</v>
      </c>
      <c r="AH818" t="s">
        <v>162</v>
      </c>
      <c r="AI818" t="s">
        <v>162</v>
      </c>
      <c r="AJ818" t="s">
        <v>162</v>
      </c>
      <c r="AK818" t="s">
        <v>162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0</v>
      </c>
      <c r="AT818" s="60">
        <f t="shared" si="12"/>
        <v>1</v>
      </c>
      <c r="AU818" t="s">
        <v>474</v>
      </c>
      <c r="AV818" t="s">
        <v>165</v>
      </c>
      <c r="AW818" t="s">
        <v>163</v>
      </c>
      <c r="AX818">
        <v>0</v>
      </c>
      <c r="AY818" t="s">
        <v>167</v>
      </c>
      <c r="AZ818" t="s">
        <v>162</v>
      </c>
    </row>
    <row r="819" spans="1:52" x14ac:dyDescent="0.25">
      <c r="A819">
        <v>808</v>
      </c>
      <c r="B819" t="s">
        <v>1358</v>
      </c>
      <c r="C819" t="s">
        <v>151</v>
      </c>
      <c r="D819" t="s">
        <v>1359</v>
      </c>
      <c r="E819" t="s">
        <v>172</v>
      </c>
      <c r="F819" t="s">
        <v>162</v>
      </c>
      <c r="G819">
        <v>1950</v>
      </c>
      <c r="H819">
        <v>1951</v>
      </c>
      <c r="I819" t="s">
        <v>1583</v>
      </c>
      <c r="J819">
        <v>1800</v>
      </c>
      <c r="K819">
        <v>1801</v>
      </c>
      <c r="L819" t="s">
        <v>1451</v>
      </c>
      <c r="M819">
        <v>0</v>
      </c>
      <c r="N819" t="s">
        <v>11</v>
      </c>
      <c r="O819" t="s">
        <v>327</v>
      </c>
      <c r="P819" t="s">
        <v>175</v>
      </c>
      <c r="Q819" t="s">
        <v>162</v>
      </c>
      <c r="R819" t="s">
        <v>544</v>
      </c>
      <c r="S819">
        <v>2021</v>
      </c>
      <c r="T819">
        <v>6</v>
      </c>
      <c r="U819" t="s">
        <v>162</v>
      </c>
      <c r="V819" t="s">
        <v>162</v>
      </c>
      <c r="W819">
        <v>0</v>
      </c>
      <c r="X819">
        <v>0</v>
      </c>
      <c r="Y819" t="s">
        <v>162</v>
      </c>
      <c r="Z819">
        <v>2021</v>
      </c>
      <c r="AA819">
        <v>0</v>
      </c>
      <c r="AB819">
        <v>0.18581369012900001</v>
      </c>
      <c r="AC819">
        <v>0.37162738025800002</v>
      </c>
      <c r="AD819" t="s">
        <v>162</v>
      </c>
      <c r="AE819" t="s">
        <v>163</v>
      </c>
      <c r="AF819" t="s">
        <v>162</v>
      </c>
      <c r="AG819" t="s">
        <v>163</v>
      </c>
      <c r="AH819" t="s">
        <v>162</v>
      </c>
      <c r="AI819" t="s">
        <v>162</v>
      </c>
      <c r="AJ819" t="s">
        <v>162</v>
      </c>
      <c r="AK819" t="s">
        <v>162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 s="60">
        <f t="shared" si="12"/>
        <v>1</v>
      </c>
      <c r="AU819" t="s">
        <v>1576</v>
      </c>
      <c r="AV819" t="s">
        <v>165</v>
      </c>
      <c r="AW819" t="s">
        <v>163</v>
      </c>
      <c r="AX819">
        <v>0</v>
      </c>
      <c r="AY819" t="s">
        <v>167</v>
      </c>
      <c r="AZ819" t="s">
        <v>162</v>
      </c>
    </row>
    <row r="820" spans="1:52" x14ac:dyDescent="0.25">
      <c r="A820">
        <v>809</v>
      </c>
      <c r="B820" t="s">
        <v>1358</v>
      </c>
      <c r="C820" t="s">
        <v>151</v>
      </c>
      <c r="D820" t="s">
        <v>1359</v>
      </c>
      <c r="E820" t="s">
        <v>172</v>
      </c>
      <c r="F820" t="s">
        <v>162</v>
      </c>
      <c r="G820">
        <v>1800</v>
      </c>
      <c r="H820">
        <v>1801</v>
      </c>
      <c r="I820" t="s">
        <v>1451</v>
      </c>
      <c r="J820">
        <v>1600</v>
      </c>
      <c r="K820">
        <v>1601</v>
      </c>
      <c r="L820" t="s">
        <v>1584</v>
      </c>
      <c r="M820">
        <v>0</v>
      </c>
      <c r="N820" t="s">
        <v>15</v>
      </c>
      <c r="O820" t="s">
        <v>15</v>
      </c>
      <c r="P820" t="s">
        <v>175</v>
      </c>
      <c r="Q820" t="s">
        <v>162</v>
      </c>
      <c r="R820" t="s">
        <v>544</v>
      </c>
      <c r="S820">
        <v>2021</v>
      </c>
      <c r="T820">
        <v>6</v>
      </c>
      <c r="U820" t="s">
        <v>162</v>
      </c>
      <c r="V820" t="s">
        <v>162</v>
      </c>
      <c r="W820">
        <v>0</v>
      </c>
      <c r="X820">
        <v>0</v>
      </c>
      <c r="Y820" t="s">
        <v>162</v>
      </c>
      <c r="Z820">
        <v>2021</v>
      </c>
      <c r="AA820">
        <v>0</v>
      </c>
      <c r="AB820">
        <v>0.259747520013</v>
      </c>
      <c r="AC820">
        <v>0.519495040026</v>
      </c>
      <c r="AD820" t="s">
        <v>162</v>
      </c>
      <c r="AE820" t="s">
        <v>163</v>
      </c>
      <c r="AF820" t="s">
        <v>162</v>
      </c>
      <c r="AG820" t="s">
        <v>163</v>
      </c>
      <c r="AH820" t="s">
        <v>162</v>
      </c>
      <c r="AI820" t="s">
        <v>162</v>
      </c>
      <c r="AJ820" t="s">
        <v>162</v>
      </c>
      <c r="AK820" t="s">
        <v>162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 s="60">
        <f t="shared" si="12"/>
        <v>1</v>
      </c>
      <c r="AU820" t="s">
        <v>1576</v>
      </c>
      <c r="AV820" t="s">
        <v>165</v>
      </c>
      <c r="AW820" t="s">
        <v>163</v>
      </c>
      <c r="AX820">
        <v>0</v>
      </c>
      <c r="AY820" t="s">
        <v>167</v>
      </c>
      <c r="AZ820" t="s">
        <v>162</v>
      </c>
    </row>
    <row r="821" spans="1:52" x14ac:dyDescent="0.25">
      <c r="A821">
        <v>810</v>
      </c>
      <c r="B821" t="s">
        <v>1358</v>
      </c>
      <c r="C821" t="s">
        <v>151</v>
      </c>
      <c r="D821" t="s">
        <v>1359</v>
      </c>
      <c r="E821" t="s">
        <v>172</v>
      </c>
      <c r="F821" t="s">
        <v>162</v>
      </c>
      <c r="G821">
        <v>1600</v>
      </c>
      <c r="H821">
        <v>1601</v>
      </c>
      <c r="I821" t="s">
        <v>1584</v>
      </c>
      <c r="J821">
        <v>1300</v>
      </c>
      <c r="K821">
        <v>1301</v>
      </c>
      <c r="L821" t="s">
        <v>265</v>
      </c>
      <c r="M821">
        <v>0</v>
      </c>
      <c r="N821" t="s">
        <v>11</v>
      </c>
      <c r="O821" t="s">
        <v>327</v>
      </c>
      <c r="P821" t="s">
        <v>175</v>
      </c>
      <c r="Q821" t="s">
        <v>162</v>
      </c>
      <c r="R821" t="s">
        <v>544</v>
      </c>
      <c r="S821">
        <v>2021</v>
      </c>
      <c r="T821">
        <v>6</v>
      </c>
      <c r="U821" t="s">
        <v>162</v>
      </c>
      <c r="V821" t="s">
        <v>162</v>
      </c>
      <c r="W821">
        <v>0</v>
      </c>
      <c r="X821">
        <v>0</v>
      </c>
      <c r="Y821" t="s">
        <v>162</v>
      </c>
      <c r="Z821">
        <v>2021</v>
      </c>
      <c r="AA821">
        <v>0</v>
      </c>
      <c r="AB821">
        <v>0.313684280521</v>
      </c>
      <c r="AC821">
        <v>0.62736856104200001</v>
      </c>
      <c r="AD821" t="s">
        <v>162</v>
      </c>
      <c r="AE821" t="s">
        <v>163</v>
      </c>
      <c r="AF821" t="s">
        <v>162</v>
      </c>
      <c r="AG821" t="s">
        <v>163</v>
      </c>
      <c r="AH821" t="s">
        <v>162</v>
      </c>
      <c r="AI821" t="s">
        <v>162</v>
      </c>
      <c r="AJ821" t="s">
        <v>162</v>
      </c>
      <c r="AK821" t="s">
        <v>162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 s="60">
        <f t="shared" si="12"/>
        <v>1</v>
      </c>
      <c r="AU821" t="s">
        <v>1576</v>
      </c>
      <c r="AV821" t="s">
        <v>165</v>
      </c>
      <c r="AW821" t="s">
        <v>163</v>
      </c>
      <c r="AX821">
        <v>0</v>
      </c>
      <c r="AY821" t="s">
        <v>167</v>
      </c>
      <c r="AZ821" t="s">
        <v>162</v>
      </c>
    </row>
    <row r="822" spans="1:52" x14ac:dyDescent="0.25">
      <c r="A822">
        <v>811</v>
      </c>
      <c r="B822" t="s">
        <v>1585</v>
      </c>
      <c r="C822" t="s">
        <v>151</v>
      </c>
      <c r="D822" t="s">
        <v>1586</v>
      </c>
      <c r="E822" t="s">
        <v>172</v>
      </c>
      <c r="F822" t="s">
        <v>162</v>
      </c>
      <c r="G822">
        <v>1600</v>
      </c>
      <c r="H822">
        <v>1601</v>
      </c>
      <c r="I822" t="s">
        <v>575</v>
      </c>
      <c r="J822">
        <v>800</v>
      </c>
      <c r="K822">
        <v>801</v>
      </c>
      <c r="L822" t="s">
        <v>576</v>
      </c>
      <c r="M822">
        <v>0</v>
      </c>
      <c r="N822" t="s">
        <v>7</v>
      </c>
      <c r="O822" t="s">
        <v>7</v>
      </c>
      <c r="P822" t="s">
        <v>175</v>
      </c>
      <c r="Q822" t="s">
        <v>162</v>
      </c>
      <c r="R822" t="s">
        <v>544</v>
      </c>
      <c r="S822">
        <v>2021</v>
      </c>
      <c r="T822">
        <v>7</v>
      </c>
      <c r="U822" t="s">
        <v>162</v>
      </c>
      <c r="V822" t="s">
        <v>162</v>
      </c>
      <c r="W822">
        <v>0</v>
      </c>
      <c r="X822">
        <v>0</v>
      </c>
      <c r="Y822" t="s">
        <v>162</v>
      </c>
      <c r="Z822">
        <v>2021</v>
      </c>
      <c r="AA822">
        <v>0</v>
      </c>
      <c r="AB822">
        <v>1.0051717552799999</v>
      </c>
      <c r="AC822">
        <v>2.0103435105599998</v>
      </c>
      <c r="AD822" t="s">
        <v>162</v>
      </c>
      <c r="AE822" t="s">
        <v>163</v>
      </c>
      <c r="AF822" t="s">
        <v>162</v>
      </c>
      <c r="AG822" t="s">
        <v>163</v>
      </c>
      <c r="AH822" t="s">
        <v>162</v>
      </c>
      <c r="AI822" t="s">
        <v>226</v>
      </c>
      <c r="AJ822" t="s">
        <v>154</v>
      </c>
      <c r="AK822" t="s">
        <v>162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 s="60">
        <f t="shared" si="12"/>
        <v>1</v>
      </c>
      <c r="AU822" t="s">
        <v>546</v>
      </c>
      <c r="AV822" t="s">
        <v>165</v>
      </c>
      <c r="AW822" t="s">
        <v>166</v>
      </c>
      <c r="AX822">
        <v>0</v>
      </c>
      <c r="AY822" t="s">
        <v>167</v>
      </c>
      <c r="AZ822" t="s">
        <v>162</v>
      </c>
    </row>
    <row r="823" spans="1:52" x14ac:dyDescent="0.25">
      <c r="A823">
        <v>812</v>
      </c>
      <c r="B823" t="s">
        <v>1585</v>
      </c>
      <c r="C823" t="s">
        <v>151</v>
      </c>
      <c r="D823" t="s">
        <v>1586</v>
      </c>
      <c r="E823" t="s">
        <v>172</v>
      </c>
      <c r="F823" t="s">
        <v>162</v>
      </c>
      <c r="G823">
        <v>800</v>
      </c>
      <c r="H823">
        <v>801</v>
      </c>
      <c r="I823" t="s">
        <v>576</v>
      </c>
      <c r="J823">
        <v>2</v>
      </c>
      <c r="K823">
        <v>1</v>
      </c>
      <c r="L823" t="s">
        <v>639</v>
      </c>
      <c r="M823">
        <v>0</v>
      </c>
      <c r="N823" t="s">
        <v>11</v>
      </c>
      <c r="O823" t="s">
        <v>327</v>
      </c>
      <c r="P823" t="s">
        <v>175</v>
      </c>
      <c r="Q823" t="s">
        <v>162</v>
      </c>
      <c r="R823" t="s">
        <v>544</v>
      </c>
      <c r="S823">
        <v>2021</v>
      </c>
      <c r="T823">
        <v>7</v>
      </c>
      <c r="U823" t="s">
        <v>545</v>
      </c>
      <c r="V823" t="s">
        <v>162</v>
      </c>
      <c r="W823">
        <v>0</v>
      </c>
      <c r="X823">
        <v>0</v>
      </c>
      <c r="Y823" t="s">
        <v>162</v>
      </c>
      <c r="Z823">
        <v>2021</v>
      </c>
      <c r="AA823">
        <v>0</v>
      </c>
      <c r="AB823">
        <v>0.99670272362500001</v>
      </c>
      <c r="AC823">
        <v>1.99340544725</v>
      </c>
      <c r="AD823" t="s">
        <v>162</v>
      </c>
      <c r="AE823" t="s">
        <v>163</v>
      </c>
      <c r="AF823" t="s">
        <v>162</v>
      </c>
      <c r="AG823" t="s">
        <v>163</v>
      </c>
      <c r="AH823" t="s">
        <v>162</v>
      </c>
      <c r="AI823" t="s">
        <v>162</v>
      </c>
      <c r="AJ823" t="s">
        <v>162</v>
      </c>
      <c r="AK823" t="s">
        <v>162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s="60">
        <f t="shared" si="12"/>
        <v>1</v>
      </c>
      <c r="AU823" t="s">
        <v>474</v>
      </c>
      <c r="AV823" t="s">
        <v>165</v>
      </c>
      <c r="AW823" t="s">
        <v>163</v>
      </c>
      <c r="AX823">
        <v>0</v>
      </c>
      <c r="AY823" t="s">
        <v>167</v>
      </c>
      <c r="AZ823" t="s">
        <v>162</v>
      </c>
    </row>
    <row r="824" spans="1:52" x14ac:dyDescent="0.25">
      <c r="A824">
        <v>813</v>
      </c>
      <c r="B824" t="s">
        <v>973</v>
      </c>
      <c r="C824" t="s">
        <v>180</v>
      </c>
      <c r="D824" t="s">
        <v>974</v>
      </c>
      <c r="E824" t="s">
        <v>216</v>
      </c>
      <c r="F824" t="s">
        <v>162</v>
      </c>
      <c r="G824">
        <v>10300</v>
      </c>
      <c r="H824">
        <v>10301</v>
      </c>
      <c r="I824" t="s">
        <v>976</v>
      </c>
      <c r="J824">
        <v>10000</v>
      </c>
      <c r="K824">
        <v>10001</v>
      </c>
      <c r="L824" t="s">
        <v>1587</v>
      </c>
      <c r="M824">
        <v>0</v>
      </c>
      <c r="N824" t="s">
        <v>7</v>
      </c>
      <c r="O824" t="s">
        <v>7</v>
      </c>
      <c r="P824" t="s">
        <v>175</v>
      </c>
      <c r="Q824" t="s">
        <v>162</v>
      </c>
      <c r="R824" t="s">
        <v>544</v>
      </c>
      <c r="S824">
        <v>2021</v>
      </c>
      <c r="T824">
        <v>8</v>
      </c>
      <c r="U824" t="s">
        <v>162</v>
      </c>
      <c r="V824" t="s">
        <v>162</v>
      </c>
      <c r="W824">
        <v>0</v>
      </c>
      <c r="X824">
        <v>0</v>
      </c>
      <c r="Y824" t="s">
        <v>162</v>
      </c>
      <c r="Z824">
        <v>2021</v>
      </c>
      <c r="AA824">
        <v>0</v>
      </c>
      <c r="AB824">
        <v>0.29768509098599999</v>
      </c>
      <c r="AC824">
        <v>0.59537018197199998</v>
      </c>
      <c r="AD824" t="s">
        <v>162</v>
      </c>
      <c r="AE824" t="s">
        <v>154</v>
      </c>
      <c r="AF824" t="s">
        <v>154</v>
      </c>
      <c r="AG824" t="s">
        <v>154</v>
      </c>
      <c r="AH824" t="s">
        <v>154</v>
      </c>
      <c r="AI824" t="s">
        <v>226</v>
      </c>
      <c r="AJ824" t="s">
        <v>154</v>
      </c>
      <c r="AK824" t="s">
        <v>162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 s="60">
        <f t="shared" si="12"/>
        <v>1</v>
      </c>
      <c r="AU824" t="s">
        <v>474</v>
      </c>
      <c r="AV824" t="s">
        <v>165</v>
      </c>
      <c r="AW824" t="s">
        <v>166</v>
      </c>
      <c r="AX824">
        <v>0</v>
      </c>
      <c r="AY824" t="s">
        <v>167</v>
      </c>
      <c r="AZ824" t="s">
        <v>162</v>
      </c>
    </row>
    <row r="825" spans="1:52" x14ac:dyDescent="0.25">
      <c r="A825">
        <v>814</v>
      </c>
      <c r="B825" t="s">
        <v>480</v>
      </c>
      <c r="C825" t="s">
        <v>163</v>
      </c>
      <c r="D825" t="s">
        <v>481</v>
      </c>
      <c r="E825" t="s">
        <v>216</v>
      </c>
      <c r="F825" t="s">
        <v>162</v>
      </c>
      <c r="G825">
        <v>1050</v>
      </c>
      <c r="H825">
        <v>1051</v>
      </c>
      <c r="I825" t="s">
        <v>1588</v>
      </c>
      <c r="J825">
        <v>1600</v>
      </c>
      <c r="K825">
        <v>1601</v>
      </c>
      <c r="L825" t="s">
        <v>298</v>
      </c>
      <c r="M825">
        <v>0</v>
      </c>
      <c r="N825" t="s">
        <v>11</v>
      </c>
      <c r="O825" t="s">
        <v>11</v>
      </c>
      <c r="P825" t="s">
        <v>175</v>
      </c>
      <c r="Q825" t="s">
        <v>162</v>
      </c>
      <c r="R825" t="s">
        <v>473</v>
      </c>
      <c r="S825">
        <v>2021</v>
      </c>
      <c r="T825">
        <v>6</v>
      </c>
      <c r="U825" t="s">
        <v>545</v>
      </c>
      <c r="V825" t="s">
        <v>162</v>
      </c>
      <c r="W825">
        <v>0</v>
      </c>
      <c r="X825">
        <v>0</v>
      </c>
      <c r="Y825" t="s">
        <v>162</v>
      </c>
      <c r="Z825">
        <v>2021</v>
      </c>
      <c r="AA825">
        <v>2021</v>
      </c>
      <c r="AB825">
        <v>0.68859716980300001</v>
      </c>
      <c r="AC825">
        <v>1.3771943396099999</v>
      </c>
      <c r="AD825" t="s">
        <v>162</v>
      </c>
      <c r="AE825" t="s">
        <v>163</v>
      </c>
      <c r="AF825" t="s">
        <v>162</v>
      </c>
      <c r="AG825" t="s">
        <v>163</v>
      </c>
      <c r="AH825" t="s">
        <v>162</v>
      </c>
      <c r="AI825" t="s">
        <v>162</v>
      </c>
      <c r="AJ825" t="s">
        <v>162</v>
      </c>
      <c r="AK825" t="s">
        <v>162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s="60">
        <f t="shared" si="12"/>
        <v>1</v>
      </c>
      <c r="AU825" t="s">
        <v>474</v>
      </c>
      <c r="AV825" t="s">
        <v>165</v>
      </c>
      <c r="AW825" t="s">
        <v>163</v>
      </c>
      <c r="AX825">
        <v>0</v>
      </c>
      <c r="AY825" t="s">
        <v>167</v>
      </c>
      <c r="AZ825" t="s">
        <v>162</v>
      </c>
    </row>
    <row r="826" spans="1:52" x14ac:dyDescent="0.25">
      <c r="A826">
        <v>815</v>
      </c>
      <c r="B826" t="s">
        <v>444</v>
      </c>
      <c r="C826" t="s">
        <v>163</v>
      </c>
      <c r="D826" t="s">
        <v>444</v>
      </c>
      <c r="E826" t="s">
        <v>162</v>
      </c>
      <c r="F826" t="s">
        <v>162</v>
      </c>
      <c r="G826">
        <v>4000</v>
      </c>
      <c r="H826">
        <v>4001</v>
      </c>
      <c r="I826" t="s">
        <v>477</v>
      </c>
      <c r="J826">
        <v>4400</v>
      </c>
      <c r="K826">
        <v>4401</v>
      </c>
      <c r="L826" t="s">
        <v>445</v>
      </c>
      <c r="M826">
        <v>0</v>
      </c>
      <c r="N826" t="s">
        <v>15</v>
      </c>
      <c r="O826" t="s">
        <v>15</v>
      </c>
      <c r="P826" t="s">
        <v>175</v>
      </c>
      <c r="Q826" t="s">
        <v>162</v>
      </c>
      <c r="R826" t="s">
        <v>473</v>
      </c>
      <c r="S826">
        <v>2021</v>
      </c>
      <c r="T826">
        <v>6</v>
      </c>
      <c r="U826" t="s">
        <v>1589</v>
      </c>
      <c r="V826" t="s">
        <v>162</v>
      </c>
      <c r="W826">
        <v>0</v>
      </c>
      <c r="X826">
        <v>0</v>
      </c>
      <c r="Y826" t="s">
        <v>162</v>
      </c>
      <c r="Z826">
        <v>2021</v>
      </c>
      <c r="AA826">
        <v>2021</v>
      </c>
      <c r="AB826">
        <v>0.55139519636199996</v>
      </c>
      <c r="AC826">
        <v>1.10279039272</v>
      </c>
      <c r="AD826" t="s">
        <v>162</v>
      </c>
      <c r="AE826" t="s">
        <v>163</v>
      </c>
      <c r="AF826" t="s">
        <v>162</v>
      </c>
      <c r="AG826" t="s">
        <v>163</v>
      </c>
      <c r="AH826" t="s">
        <v>162</v>
      </c>
      <c r="AI826" t="s">
        <v>162</v>
      </c>
      <c r="AJ826" t="s">
        <v>162</v>
      </c>
      <c r="AK826" t="s">
        <v>162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s="60">
        <f t="shared" si="12"/>
        <v>1</v>
      </c>
      <c r="AU826" t="s">
        <v>474</v>
      </c>
      <c r="AV826" t="s">
        <v>165</v>
      </c>
      <c r="AW826" t="s">
        <v>163</v>
      </c>
      <c r="AX826">
        <v>0</v>
      </c>
      <c r="AY826" t="s">
        <v>167</v>
      </c>
      <c r="AZ826" t="s">
        <v>154</v>
      </c>
    </row>
    <row r="827" spans="1:52" x14ac:dyDescent="0.25">
      <c r="A827">
        <v>816</v>
      </c>
      <c r="B827" t="s">
        <v>1590</v>
      </c>
      <c r="C827" t="s">
        <v>203</v>
      </c>
      <c r="D827" t="s">
        <v>1591</v>
      </c>
      <c r="E827" t="s">
        <v>172</v>
      </c>
      <c r="F827" t="s">
        <v>162</v>
      </c>
      <c r="G827">
        <v>3424</v>
      </c>
      <c r="H827">
        <v>3425</v>
      </c>
      <c r="I827" t="s">
        <v>287</v>
      </c>
      <c r="J827">
        <v>4058</v>
      </c>
      <c r="K827">
        <v>4059</v>
      </c>
      <c r="L827" t="s">
        <v>1592</v>
      </c>
      <c r="M827">
        <v>0</v>
      </c>
      <c r="N827" t="s">
        <v>9</v>
      </c>
      <c r="O827" t="s">
        <v>9</v>
      </c>
      <c r="P827" t="s">
        <v>175</v>
      </c>
      <c r="Q827" t="s">
        <v>162</v>
      </c>
      <c r="R827" t="s">
        <v>567</v>
      </c>
      <c r="S827">
        <v>2021</v>
      </c>
      <c r="T827">
        <v>11</v>
      </c>
      <c r="U827" t="s">
        <v>208</v>
      </c>
      <c r="V827" t="s">
        <v>162</v>
      </c>
      <c r="W827">
        <v>0</v>
      </c>
      <c r="X827">
        <v>0</v>
      </c>
      <c r="Y827" t="s">
        <v>162</v>
      </c>
      <c r="Z827">
        <v>2021</v>
      </c>
      <c r="AA827">
        <v>2021</v>
      </c>
      <c r="AB827">
        <v>0.86169817030499996</v>
      </c>
      <c r="AC827">
        <v>1.7233963406099999</v>
      </c>
      <c r="AD827" t="s">
        <v>162</v>
      </c>
      <c r="AE827" t="s">
        <v>163</v>
      </c>
      <c r="AF827" t="s">
        <v>162</v>
      </c>
      <c r="AG827" t="s">
        <v>163</v>
      </c>
      <c r="AH827" t="s">
        <v>162</v>
      </c>
      <c r="AI827" t="s">
        <v>162</v>
      </c>
      <c r="AJ827" t="s">
        <v>162</v>
      </c>
      <c r="AK827" t="s">
        <v>162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 s="60">
        <f t="shared" si="12"/>
        <v>1</v>
      </c>
      <c r="AU827" t="s">
        <v>546</v>
      </c>
      <c r="AV827" t="s">
        <v>165</v>
      </c>
      <c r="AW827" t="s">
        <v>163</v>
      </c>
      <c r="AX827">
        <v>0</v>
      </c>
      <c r="AY827" t="s">
        <v>167</v>
      </c>
      <c r="AZ827" t="s">
        <v>162</v>
      </c>
    </row>
    <row r="828" spans="1:52" x14ac:dyDescent="0.25">
      <c r="A828">
        <v>817</v>
      </c>
      <c r="B828" t="s">
        <v>284</v>
      </c>
      <c r="C828" t="s">
        <v>203</v>
      </c>
      <c r="D828" t="s">
        <v>285</v>
      </c>
      <c r="E828" t="s">
        <v>172</v>
      </c>
      <c r="F828" t="s">
        <v>162</v>
      </c>
      <c r="G828">
        <v>24</v>
      </c>
      <c r="H828">
        <v>25</v>
      </c>
      <c r="I828" t="s">
        <v>1280</v>
      </c>
      <c r="J828">
        <v>50</v>
      </c>
      <c r="K828">
        <v>51</v>
      </c>
      <c r="L828" t="s">
        <v>640</v>
      </c>
      <c r="M828">
        <v>0</v>
      </c>
      <c r="N828" t="s">
        <v>9</v>
      </c>
      <c r="O828" t="s">
        <v>9</v>
      </c>
      <c r="P828" t="s">
        <v>175</v>
      </c>
      <c r="Q828" t="s">
        <v>162</v>
      </c>
      <c r="R828" t="s">
        <v>1577</v>
      </c>
      <c r="S828">
        <v>2021</v>
      </c>
      <c r="T828">
        <v>8</v>
      </c>
      <c r="U828" t="s">
        <v>162</v>
      </c>
      <c r="V828" t="s">
        <v>162</v>
      </c>
      <c r="W828">
        <v>0</v>
      </c>
      <c r="X828">
        <v>0</v>
      </c>
      <c r="Y828" t="s">
        <v>162</v>
      </c>
      <c r="Z828">
        <v>2021</v>
      </c>
      <c r="AA828">
        <v>0</v>
      </c>
      <c r="AB828">
        <v>0.146314345102</v>
      </c>
      <c r="AC828">
        <v>0.29262869020400001</v>
      </c>
      <c r="AD828" t="s">
        <v>162</v>
      </c>
      <c r="AE828" t="s">
        <v>163</v>
      </c>
      <c r="AF828" t="s">
        <v>162</v>
      </c>
      <c r="AG828" t="s">
        <v>163</v>
      </c>
      <c r="AH828" t="s">
        <v>162</v>
      </c>
      <c r="AI828" t="s">
        <v>162</v>
      </c>
      <c r="AJ828" t="s">
        <v>162</v>
      </c>
      <c r="AK828" t="s">
        <v>162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 s="60">
        <f t="shared" si="12"/>
        <v>1</v>
      </c>
      <c r="AU828" t="s">
        <v>474</v>
      </c>
      <c r="AV828" t="s">
        <v>165</v>
      </c>
      <c r="AW828" t="s">
        <v>166</v>
      </c>
      <c r="AX828">
        <v>0</v>
      </c>
      <c r="AY828" t="s">
        <v>167</v>
      </c>
      <c r="AZ828" t="s">
        <v>162</v>
      </c>
    </row>
    <row r="829" spans="1:52" x14ac:dyDescent="0.25">
      <c r="A829">
        <v>818</v>
      </c>
      <c r="B829" t="s">
        <v>1212</v>
      </c>
      <c r="C829" t="s">
        <v>151</v>
      </c>
      <c r="D829" t="s">
        <v>1213</v>
      </c>
      <c r="E829" t="s">
        <v>172</v>
      </c>
      <c r="F829" t="s">
        <v>162</v>
      </c>
      <c r="G829">
        <v>50</v>
      </c>
      <c r="H829">
        <v>51</v>
      </c>
      <c r="I829" t="s">
        <v>265</v>
      </c>
      <c r="J829">
        <v>1</v>
      </c>
      <c r="K829">
        <v>2</v>
      </c>
      <c r="L829" t="s">
        <v>639</v>
      </c>
      <c r="M829">
        <v>0</v>
      </c>
      <c r="N829" t="s">
        <v>11</v>
      </c>
      <c r="O829" t="s">
        <v>11</v>
      </c>
      <c r="P829" t="s">
        <v>175</v>
      </c>
      <c r="Q829" t="s">
        <v>162</v>
      </c>
      <c r="R829" t="s">
        <v>1577</v>
      </c>
      <c r="S829">
        <v>2021</v>
      </c>
      <c r="T829">
        <v>8</v>
      </c>
      <c r="U829" t="s">
        <v>162</v>
      </c>
      <c r="V829" t="s">
        <v>162</v>
      </c>
      <c r="W829">
        <v>0</v>
      </c>
      <c r="X829">
        <v>0</v>
      </c>
      <c r="Y829" t="s">
        <v>162</v>
      </c>
      <c r="Z829">
        <v>2021</v>
      </c>
      <c r="AA829">
        <v>0</v>
      </c>
      <c r="AB829">
        <v>0.155885929107</v>
      </c>
      <c r="AC829">
        <v>0.311771858214</v>
      </c>
      <c r="AD829" t="s">
        <v>162</v>
      </c>
      <c r="AE829" t="s">
        <v>163</v>
      </c>
      <c r="AF829" t="s">
        <v>162</v>
      </c>
      <c r="AG829" t="s">
        <v>163</v>
      </c>
      <c r="AH829" t="s">
        <v>162</v>
      </c>
      <c r="AI829" t="s">
        <v>162</v>
      </c>
      <c r="AJ829" t="s">
        <v>162</v>
      </c>
      <c r="AK829" t="s">
        <v>162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 s="60">
        <f t="shared" si="12"/>
        <v>1</v>
      </c>
      <c r="AU829" t="s">
        <v>474</v>
      </c>
      <c r="AV829" t="s">
        <v>165</v>
      </c>
      <c r="AW829" t="s">
        <v>166</v>
      </c>
      <c r="AX829">
        <v>0</v>
      </c>
      <c r="AY829" t="s">
        <v>167</v>
      </c>
      <c r="AZ829" t="s">
        <v>162</v>
      </c>
    </row>
    <row r="830" spans="1:52" x14ac:dyDescent="0.25">
      <c r="A830">
        <v>819</v>
      </c>
      <c r="B830" t="s">
        <v>875</v>
      </c>
      <c r="C830" t="s">
        <v>180</v>
      </c>
      <c r="D830" t="s">
        <v>876</v>
      </c>
      <c r="E830" t="s">
        <v>216</v>
      </c>
      <c r="F830" t="s">
        <v>180</v>
      </c>
      <c r="G830">
        <v>11800</v>
      </c>
      <c r="H830">
        <v>11801</v>
      </c>
      <c r="I830" t="s">
        <v>1593</v>
      </c>
      <c r="J830">
        <v>11400</v>
      </c>
      <c r="K830">
        <v>11401</v>
      </c>
      <c r="L830" t="s">
        <v>1594</v>
      </c>
      <c r="M830">
        <v>0</v>
      </c>
      <c r="N830" t="s">
        <v>13</v>
      </c>
      <c r="O830" t="s">
        <v>13</v>
      </c>
      <c r="P830" t="s">
        <v>175</v>
      </c>
      <c r="Q830" t="s">
        <v>162</v>
      </c>
      <c r="R830" t="s">
        <v>544</v>
      </c>
      <c r="S830">
        <v>2021</v>
      </c>
      <c r="T830">
        <v>7</v>
      </c>
      <c r="U830" t="s">
        <v>162</v>
      </c>
      <c r="V830" t="s">
        <v>162</v>
      </c>
      <c r="W830">
        <v>0</v>
      </c>
      <c r="X830">
        <v>0</v>
      </c>
      <c r="Y830" t="s">
        <v>162</v>
      </c>
      <c r="Z830">
        <v>2021</v>
      </c>
      <c r="AA830">
        <v>0</v>
      </c>
      <c r="AB830">
        <v>0.50227445123400005</v>
      </c>
      <c r="AC830">
        <v>1.0045489024700001</v>
      </c>
      <c r="AD830" t="s">
        <v>162</v>
      </c>
      <c r="AE830" t="s">
        <v>163</v>
      </c>
      <c r="AF830" t="s">
        <v>162</v>
      </c>
      <c r="AG830" t="s">
        <v>166</v>
      </c>
      <c r="AH830" t="s">
        <v>162</v>
      </c>
      <c r="AI830" t="s">
        <v>162</v>
      </c>
      <c r="AJ830" t="s">
        <v>162</v>
      </c>
      <c r="AK830" t="s">
        <v>162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 s="60">
        <f t="shared" si="12"/>
        <v>1</v>
      </c>
      <c r="AU830" t="s">
        <v>474</v>
      </c>
      <c r="AV830" t="s">
        <v>165</v>
      </c>
      <c r="AW830" t="s">
        <v>163</v>
      </c>
      <c r="AX830">
        <v>0</v>
      </c>
      <c r="AY830" t="s">
        <v>275</v>
      </c>
      <c r="AZ830" t="s">
        <v>162</v>
      </c>
    </row>
    <row r="831" spans="1:52" x14ac:dyDescent="0.25">
      <c r="A831">
        <v>820</v>
      </c>
      <c r="B831" t="s">
        <v>875</v>
      </c>
      <c r="C831" t="s">
        <v>180</v>
      </c>
      <c r="D831" t="s">
        <v>876</v>
      </c>
      <c r="E831" t="s">
        <v>216</v>
      </c>
      <c r="F831" t="s">
        <v>162</v>
      </c>
      <c r="G831">
        <v>11400</v>
      </c>
      <c r="H831">
        <v>11401</v>
      </c>
      <c r="I831" t="s">
        <v>1594</v>
      </c>
      <c r="J831">
        <v>10600</v>
      </c>
      <c r="K831">
        <v>10601</v>
      </c>
      <c r="L831" t="s">
        <v>1544</v>
      </c>
      <c r="M831">
        <v>0</v>
      </c>
      <c r="N831" t="s">
        <v>9</v>
      </c>
      <c r="O831" t="s">
        <v>9</v>
      </c>
      <c r="P831" t="s">
        <v>175</v>
      </c>
      <c r="Q831" t="s">
        <v>162</v>
      </c>
      <c r="R831" t="s">
        <v>544</v>
      </c>
      <c r="S831">
        <v>2021</v>
      </c>
      <c r="T831">
        <v>7</v>
      </c>
      <c r="U831" t="s">
        <v>1595</v>
      </c>
      <c r="V831" t="s">
        <v>162</v>
      </c>
      <c r="W831">
        <v>0</v>
      </c>
      <c r="X831">
        <v>0</v>
      </c>
      <c r="Y831" t="s">
        <v>162</v>
      </c>
      <c r="Z831">
        <v>2021</v>
      </c>
      <c r="AA831">
        <v>0</v>
      </c>
      <c r="AB831">
        <v>1.0011573300200001</v>
      </c>
      <c r="AC831">
        <v>2.0023146600400001</v>
      </c>
      <c r="AD831" t="s">
        <v>162</v>
      </c>
      <c r="AE831" t="s">
        <v>163</v>
      </c>
      <c r="AF831" t="s">
        <v>162</v>
      </c>
      <c r="AG831" t="s">
        <v>163</v>
      </c>
      <c r="AH831" t="s">
        <v>162</v>
      </c>
      <c r="AI831" t="s">
        <v>162</v>
      </c>
      <c r="AJ831" t="s">
        <v>162</v>
      </c>
      <c r="AK831" t="s">
        <v>162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 s="60">
        <f t="shared" si="12"/>
        <v>1</v>
      </c>
      <c r="AU831" t="s">
        <v>474</v>
      </c>
      <c r="AV831" t="s">
        <v>165</v>
      </c>
      <c r="AW831" t="s">
        <v>163</v>
      </c>
      <c r="AX831">
        <v>0</v>
      </c>
      <c r="AY831" t="s">
        <v>167</v>
      </c>
      <c r="AZ831" t="s">
        <v>162</v>
      </c>
    </row>
    <row r="832" spans="1:52" x14ac:dyDescent="0.25">
      <c r="A832">
        <v>821</v>
      </c>
      <c r="B832" t="s">
        <v>808</v>
      </c>
      <c r="C832" t="s">
        <v>151</v>
      </c>
      <c r="D832" t="s">
        <v>809</v>
      </c>
      <c r="E832" t="s">
        <v>216</v>
      </c>
      <c r="F832" t="s">
        <v>203</v>
      </c>
      <c r="G832">
        <v>6400</v>
      </c>
      <c r="H832">
        <v>6401</v>
      </c>
      <c r="I832" t="s">
        <v>542</v>
      </c>
      <c r="J832">
        <v>6000</v>
      </c>
      <c r="K832">
        <v>6001</v>
      </c>
      <c r="L832" t="s">
        <v>846</v>
      </c>
      <c r="M832">
        <v>0</v>
      </c>
      <c r="N832" t="s">
        <v>13</v>
      </c>
      <c r="O832" t="s">
        <v>13</v>
      </c>
      <c r="P832" t="s">
        <v>175</v>
      </c>
      <c r="Q832" t="s">
        <v>162</v>
      </c>
      <c r="R832" t="s">
        <v>544</v>
      </c>
      <c r="S832">
        <v>2021</v>
      </c>
      <c r="T832">
        <v>8</v>
      </c>
      <c r="U832" t="s">
        <v>162</v>
      </c>
      <c r="V832" t="s">
        <v>162</v>
      </c>
      <c r="W832">
        <v>0</v>
      </c>
      <c r="X832">
        <v>0</v>
      </c>
      <c r="Y832" t="s">
        <v>162</v>
      </c>
      <c r="Z832">
        <v>2021</v>
      </c>
      <c r="AA832">
        <v>0</v>
      </c>
      <c r="AB832">
        <v>0.50225319187200002</v>
      </c>
      <c r="AC832">
        <v>1.0045063837399999</v>
      </c>
      <c r="AD832" t="s">
        <v>162</v>
      </c>
      <c r="AE832" t="s">
        <v>163</v>
      </c>
      <c r="AF832" t="s">
        <v>162</v>
      </c>
      <c r="AG832" t="s">
        <v>166</v>
      </c>
      <c r="AH832" t="s">
        <v>162</v>
      </c>
      <c r="AI832" t="s">
        <v>162</v>
      </c>
      <c r="AJ832" t="s">
        <v>162</v>
      </c>
      <c r="AK832" t="s">
        <v>162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 s="60">
        <f t="shared" si="12"/>
        <v>1</v>
      </c>
      <c r="AU832" t="s">
        <v>474</v>
      </c>
      <c r="AV832" t="s">
        <v>165</v>
      </c>
      <c r="AW832" t="s">
        <v>163</v>
      </c>
      <c r="AX832">
        <v>0</v>
      </c>
      <c r="AY832" t="s">
        <v>275</v>
      </c>
      <c r="AZ832" t="s">
        <v>154</v>
      </c>
    </row>
    <row r="833" spans="1:52" x14ac:dyDescent="0.25">
      <c r="A833">
        <v>822</v>
      </c>
      <c r="B833" t="s">
        <v>808</v>
      </c>
      <c r="C833" t="s">
        <v>151</v>
      </c>
      <c r="D833" t="s">
        <v>809</v>
      </c>
      <c r="E833" t="s">
        <v>216</v>
      </c>
      <c r="F833" t="s">
        <v>162</v>
      </c>
      <c r="G833">
        <v>6000</v>
      </c>
      <c r="H833">
        <v>6001</v>
      </c>
      <c r="I833" t="s">
        <v>846</v>
      </c>
      <c r="J833">
        <v>5600</v>
      </c>
      <c r="K833">
        <v>5601</v>
      </c>
      <c r="L833" t="s">
        <v>901</v>
      </c>
      <c r="M833">
        <v>0</v>
      </c>
      <c r="N833" t="s">
        <v>13</v>
      </c>
      <c r="O833" t="s">
        <v>15</v>
      </c>
      <c r="P833" t="s">
        <v>175</v>
      </c>
      <c r="Q833" t="s">
        <v>162</v>
      </c>
      <c r="R833" t="s">
        <v>544</v>
      </c>
      <c r="S833">
        <v>2021</v>
      </c>
      <c r="T833">
        <v>8</v>
      </c>
      <c r="U833" t="s">
        <v>162</v>
      </c>
      <c r="V833" t="s">
        <v>162</v>
      </c>
      <c r="W833">
        <v>0</v>
      </c>
      <c r="X833">
        <v>0</v>
      </c>
      <c r="Y833" t="s">
        <v>162</v>
      </c>
      <c r="Z833">
        <v>2021</v>
      </c>
      <c r="AA833">
        <v>0</v>
      </c>
      <c r="AB833">
        <v>0.50107789134799996</v>
      </c>
      <c r="AC833">
        <v>1.0021557827000001</v>
      </c>
      <c r="AD833" t="s">
        <v>162</v>
      </c>
      <c r="AE833" t="s">
        <v>163</v>
      </c>
      <c r="AF833" t="s">
        <v>162</v>
      </c>
      <c r="AG833" t="s">
        <v>163</v>
      </c>
      <c r="AH833" t="s">
        <v>162</v>
      </c>
      <c r="AI833" t="s">
        <v>162</v>
      </c>
      <c r="AJ833" t="s">
        <v>162</v>
      </c>
      <c r="AK833" t="s">
        <v>162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 s="60">
        <f t="shared" si="12"/>
        <v>1</v>
      </c>
      <c r="AU833" t="s">
        <v>474</v>
      </c>
      <c r="AV833" t="s">
        <v>165</v>
      </c>
      <c r="AW833" t="s">
        <v>163</v>
      </c>
      <c r="AX833">
        <v>0</v>
      </c>
      <c r="AY833" t="s">
        <v>275</v>
      </c>
      <c r="AZ833" t="s">
        <v>154</v>
      </c>
    </row>
    <row r="834" spans="1:52" x14ac:dyDescent="0.25">
      <c r="A834">
        <v>823</v>
      </c>
      <c r="B834" t="s">
        <v>808</v>
      </c>
      <c r="C834" t="s">
        <v>151</v>
      </c>
      <c r="D834" t="s">
        <v>809</v>
      </c>
      <c r="E834" t="s">
        <v>216</v>
      </c>
      <c r="F834" t="s">
        <v>203</v>
      </c>
      <c r="G834">
        <v>5600</v>
      </c>
      <c r="H834">
        <v>5601</v>
      </c>
      <c r="I834" t="s">
        <v>901</v>
      </c>
      <c r="J834">
        <v>4800</v>
      </c>
      <c r="K834">
        <v>4801</v>
      </c>
      <c r="L834" t="s">
        <v>833</v>
      </c>
      <c r="M834">
        <v>0</v>
      </c>
      <c r="N834" t="s">
        <v>13</v>
      </c>
      <c r="O834" t="s">
        <v>13</v>
      </c>
      <c r="P834" t="s">
        <v>175</v>
      </c>
      <c r="Q834" t="s">
        <v>162</v>
      </c>
      <c r="R834" t="s">
        <v>544</v>
      </c>
      <c r="S834">
        <v>2021</v>
      </c>
      <c r="T834">
        <v>8</v>
      </c>
      <c r="U834" t="s">
        <v>162</v>
      </c>
      <c r="V834" t="s">
        <v>162</v>
      </c>
      <c r="W834">
        <v>0</v>
      </c>
      <c r="X834">
        <v>0</v>
      </c>
      <c r="Y834" t="s">
        <v>162</v>
      </c>
      <c r="Z834">
        <v>2021</v>
      </c>
      <c r="AA834">
        <v>0</v>
      </c>
      <c r="AB834">
        <v>1.0140914275299999</v>
      </c>
      <c r="AC834">
        <v>2.0281828550599998</v>
      </c>
      <c r="AD834" t="s">
        <v>162</v>
      </c>
      <c r="AE834" t="s">
        <v>163</v>
      </c>
      <c r="AF834" t="s">
        <v>162</v>
      </c>
      <c r="AG834" t="s">
        <v>166</v>
      </c>
      <c r="AH834" t="s">
        <v>162</v>
      </c>
      <c r="AI834" t="s">
        <v>162</v>
      </c>
      <c r="AJ834" t="s">
        <v>162</v>
      </c>
      <c r="AK834" t="s">
        <v>162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 s="60">
        <f t="shared" si="12"/>
        <v>1</v>
      </c>
      <c r="AU834" t="s">
        <v>474</v>
      </c>
      <c r="AV834" t="s">
        <v>165</v>
      </c>
      <c r="AW834" t="s">
        <v>163</v>
      </c>
      <c r="AX834">
        <v>0</v>
      </c>
      <c r="AY834" t="s">
        <v>275</v>
      </c>
      <c r="AZ834" t="s">
        <v>154</v>
      </c>
    </row>
    <row r="835" spans="1:52" x14ac:dyDescent="0.25">
      <c r="A835">
        <v>824</v>
      </c>
      <c r="B835" t="s">
        <v>1596</v>
      </c>
      <c r="C835" t="s">
        <v>163</v>
      </c>
      <c r="D835" t="s">
        <v>1597</v>
      </c>
      <c r="E835" t="s">
        <v>216</v>
      </c>
      <c r="F835" t="s">
        <v>162</v>
      </c>
      <c r="G835" t="s">
        <v>162</v>
      </c>
      <c r="H835">
        <v>0</v>
      </c>
      <c r="I835" t="s">
        <v>933</v>
      </c>
      <c r="J835">
        <v>0</v>
      </c>
      <c r="K835">
        <v>0</v>
      </c>
      <c r="L835" t="s">
        <v>933</v>
      </c>
      <c r="M835">
        <v>0</v>
      </c>
      <c r="N835" t="s">
        <v>13</v>
      </c>
      <c r="O835" t="s">
        <v>13</v>
      </c>
      <c r="P835" t="s">
        <v>175</v>
      </c>
      <c r="Q835" t="s">
        <v>162</v>
      </c>
      <c r="R835" t="s">
        <v>544</v>
      </c>
      <c r="S835">
        <v>2021</v>
      </c>
      <c r="T835">
        <v>8</v>
      </c>
      <c r="U835" t="s">
        <v>162</v>
      </c>
      <c r="V835" t="s">
        <v>162</v>
      </c>
      <c r="W835">
        <v>0</v>
      </c>
      <c r="X835">
        <v>0</v>
      </c>
      <c r="Y835" t="s">
        <v>162</v>
      </c>
      <c r="Z835">
        <v>2021</v>
      </c>
      <c r="AA835">
        <v>0</v>
      </c>
      <c r="AB835">
        <v>4.31656428748E-2</v>
      </c>
      <c r="AC835">
        <v>8.6331285749600001E-2</v>
      </c>
      <c r="AD835" t="s">
        <v>162</v>
      </c>
      <c r="AE835" t="s">
        <v>163</v>
      </c>
      <c r="AF835" t="s">
        <v>162</v>
      </c>
      <c r="AG835" t="s">
        <v>163</v>
      </c>
      <c r="AH835" t="s">
        <v>162</v>
      </c>
      <c r="AI835" t="s">
        <v>162</v>
      </c>
      <c r="AJ835" t="s">
        <v>162</v>
      </c>
      <c r="AK835" t="s">
        <v>162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 s="60">
        <f t="shared" si="12"/>
        <v>1</v>
      </c>
      <c r="AU835" t="s">
        <v>474</v>
      </c>
      <c r="AV835" t="s">
        <v>165</v>
      </c>
      <c r="AW835" t="s">
        <v>166</v>
      </c>
      <c r="AX835">
        <v>0</v>
      </c>
      <c r="AY835" t="s">
        <v>275</v>
      </c>
      <c r="AZ835" t="s">
        <v>162</v>
      </c>
    </row>
    <row r="836" spans="1:52" x14ac:dyDescent="0.25">
      <c r="A836">
        <v>825</v>
      </c>
      <c r="B836" t="s">
        <v>808</v>
      </c>
      <c r="C836" t="s">
        <v>151</v>
      </c>
      <c r="D836" t="s">
        <v>809</v>
      </c>
      <c r="E836" t="s">
        <v>216</v>
      </c>
      <c r="F836" t="s">
        <v>162</v>
      </c>
      <c r="G836" t="s">
        <v>162</v>
      </c>
      <c r="H836">
        <v>0</v>
      </c>
      <c r="I836" t="s">
        <v>1598</v>
      </c>
      <c r="J836">
        <v>0</v>
      </c>
      <c r="K836">
        <v>0</v>
      </c>
      <c r="L836" t="s">
        <v>1598</v>
      </c>
      <c r="M836">
        <v>0</v>
      </c>
      <c r="N836" t="s">
        <v>13</v>
      </c>
      <c r="O836" t="s">
        <v>9</v>
      </c>
      <c r="P836" t="s">
        <v>175</v>
      </c>
      <c r="Q836" t="s">
        <v>162</v>
      </c>
      <c r="R836" t="s">
        <v>544</v>
      </c>
      <c r="S836">
        <v>2021</v>
      </c>
      <c r="T836">
        <v>8</v>
      </c>
      <c r="U836" t="s">
        <v>162</v>
      </c>
      <c r="V836" t="s">
        <v>162</v>
      </c>
      <c r="W836">
        <v>0</v>
      </c>
      <c r="X836">
        <v>0</v>
      </c>
      <c r="Y836" t="s">
        <v>162</v>
      </c>
      <c r="Z836">
        <v>2021</v>
      </c>
      <c r="AA836">
        <v>0</v>
      </c>
      <c r="AB836">
        <v>2.33506429208E-2</v>
      </c>
      <c r="AC836">
        <v>4.67012858416E-2</v>
      </c>
      <c r="AD836" t="s">
        <v>162</v>
      </c>
      <c r="AE836" t="s">
        <v>163</v>
      </c>
      <c r="AF836" t="s">
        <v>162</v>
      </c>
      <c r="AG836" t="s">
        <v>163</v>
      </c>
      <c r="AH836" t="s">
        <v>162</v>
      </c>
      <c r="AI836" t="s">
        <v>162</v>
      </c>
      <c r="AJ836" t="s">
        <v>162</v>
      </c>
      <c r="AK836" t="s">
        <v>162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 s="60">
        <f t="shared" si="12"/>
        <v>1</v>
      </c>
      <c r="AU836" t="s">
        <v>474</v>
      </c>
      <c r="AV836" t="s">
        <v>165</v>
      </c>
      <c r="AW836" t="s">
        <v>166</v>
      </c>
      <c r="AX836">
        <v>0</v>
      </c>
      <c r="AY836" t="s">
        <v>275</v>
      </c>
      <c r="AZ836" t="s">
        <v>162</v>
      </c>
    </row>
    <row r="837" spans="1:52" x14ac:dyDescent="0.25">
      <c r="A837">
        <v>826</v>
      </c>
      <c r="B837" t="s">
        <v>808</v>
      </c>
      <c r="C837" t="s">
        <v>151</v>
      </c>
      <c r="D837" t="s">
        <v>809</v>
      </c>
      <c r="E837" t="s">
        <v>216</v>
      </c>
      <c r="F837" t="s">
        <v>162</v>
      </c>
      <c r="G837" t="s">
        <v>162</v>
      </c>
      <c r="H837">
        <v>0</v>
      </c>
      <c r="I837" t="s">
        <v>1598</v>
      </c>
      <c r="J837">
        <v>0</v>
      </c>
      <c r="K837">
        <v>0</v>
      </c>
      <c r="L837" t="s">
        <v>430</v>
      </c>
      <c r="M837">
        <v>0</v>
      </c>
      <c r="N837" t="s">
        <v>13</v>
      </c>
      <c r="O837" t="s">
        <v>13</v>
      </c>
      <c r="P837" t="s">
        <v>175</v>
      </c>
      <c r="Q837" t="s">
        <v>162</v>
      </c>
      <c r="R837" t="s">
        <v>544</v>
      </c>
      <c r="S837">
        <v>2021</v>
      </c>
      <c r="T837">
        <v>8</v>
      </c>
      <c r="U837" t="s">
        <v>162</v>
      </c>
      <c r="V837" t="s">
        <v>162</v>
      </c>
      <c r="W837">
        <v>0</v>
      </c>
      <c r="X837">
        <v>0</v>
      </c>
      <c r="Y837" t="s">
        <v>162</v>
      </c>
      <c r="Z837">
        <v>2021</v>
      </c>
      <c r="AA837">
        <v>0</v>
      </c>
      <c r="AB837">
        <v>0.248136547974</v>
      </c>
      <c r="AC837">
        <v>0.49627309594800001</v>
      </c>
      <c r="AD837" t="s">
        <v>162</v>
      </c>
      <c r="AE837" t="s">
        <v>163</v>
      </c>
      <c r="AF837" t="s">
        <v>162</v>
      </c>
      <c r="AG837" t="s">
        <v>162</v>
      </c>
      <c r="AH837" t="s">
        <v>162</v>
      </c>
      <c r="AI837" t="s">
        <v>162</v>
      </c>
      <c r="AJ837" t="s">
        <v>162</v>
      </c>
      <c r="AK837" t="s">
        <v>162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 s="60">
        <f t="shared" si="12"/>
        <v>1</v>
      </c>
      <c r="AU837" t="s">
        <v>1599</v>
      </c>
      <c r="AV837" t="s">
        <v>165</v>
      </c>
      <c r="AW837" t="s">
        <v>163</v>
      </c>
      <c r="AX837">
        <v>0</v>
      </c>
      <c r="AY837" t="s">
        <v>275</v>
      </c>
      <c r="AZ837" t="s">
        <v>154</v>
      </c>
    </row>
    <row r="838" spans="1:52" x14ac:dyDescent="0.25">
      <c r="A838">
        <v>827</v>
      </c>
      <c r="B838" t="s">
        <v>808</v>
      </c>
      <c r="C838" t="s">
        <v>151</v>
      </c>
      <c r="D838" t="s">
        <v>809</v>
      </c>
      <c r="E838" t="s">
        <v>216</v>
      </c>
      <c r="F838" t="s">
        <v>162</v>
      </c>
      <c r="G838" t="s">
        <v>162</v>
      </c>
      <c r="H838">
        <v>0</v>
      </c>
      <c r="I838" t="s">
        <v>833</v>
      </c>
      <c r="J838">
        <v>0</v>
      </c>
      <c r="K838">
        <v>0</v>
      </c>
      <c r="L838" t="s">
        <v>1598</v>
      </c>
      <c r="M838">
        <v>0</v>
      </c>
      <c r="N838" t="s">
        <v>13</v>
      </c>
      <c r="O838" t="s">
        <v>13</v>
      </c>
      <c r="P838" t="s">
        <v>175</v>
      </c>
      <c r="Q838" t="s">
        <v>162</v>
      </c>
      <c r="R838" t="s">
        <v>544</v>
      </c>
      <c r="S838">
        <v>2021</v>
      </c>
      <c r="T838">
        <v>8</v>
      </c>
      <c r="U838" t="s">
        <v>162</v>
      </c>
      <c r="V838" t="s">
        <v>162</v>
      </c>
      <c r="W838">
        <v>0</v>
      </c>
      <c r="X838">
        <v>0</v>
      </c>
      <c r="Y838" t="s">
        <v>162</v>
      </c>
      <c r="Z838">
        <v>2021</v>
      </c>
      <c r="AA838">
        <v>0</v>
      </c>
      <c r="AB838">
        <v>0.23044966369</v>
      </c>
      <c r="AC838">
        <v>0.46089932738</v>
      </c>
      <c r="AD838" t="s">
        <v>162</v>
      </c>
      <c r="AE838" t="s">
        <v>163</v>
      </c>
      <c r="AF838" t="s">
        <v>162</v>
      </c>
      <c r="AG838" t="s">
        <v>162</v>
      </c>
      <c r="AH838" t="s">
        <v>162</v>
      </c>
      <c r="AI838" t="s">
        <v>162</v>
      </c>
      <c r="AJ838" t="s">
        <v>162</v>
      </c>
      <c r="AK838" t="s">
        <v>162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 s="60">
        <f t="shared" si="12"/>
        <v>1</v>
      </c>
      <c r="AU838" t="s">
        <v>1599</v>
      </c>
      <c r="AV838" t="s">
        <v>165</v>
      </c>
      <c r="AW838" t="s">
        <v>163</v>
      </c>
      <c r="AX838">
        <v>0</v>
      </c>
      <c r="AY838" t="s">
        <v>275</v>
      </c>
      <c r="AZ838" t="s">
        <v>154</v>
      </c>
    </row>
    <row r="839" spans="1:52" x14ac:dyDescent="0.25">
      <c r="A839">
        <v>828</v>
      </c>
      <c r="B839" t="s">
        <v>1600</v>
      </c>
      <c r="C839" t="s">
        <v>163</v>
      </c>
      <c r="D839" t="s">
        <v>1601</v>
      </c>
      <c r="E839" t="s">
        <v>216</v>
      </c>
      <c r="F839" t="s">
        <v>162</v>
      </c>
      <c r="G839" t="s">
        <v>162</v>
      </c>
      <c r="H839">
        <v>0</v>
      </c>
      <c r="I839" t="s">
        <v>933</v>
      </c>
      <c r="J839">
        <v>0</v>
      </c>
      <c r="K839">
        <v>0</v>
      </c>
      <c r="L839" t="s">
        <v>933</v>
      </c>
      <c r="M839">
        <v>0</v>
      </c>
      <c r="N839" t="s">
        <v>13</v>
      </c>
      <c r="O839" t="s">
        <v>15</v>
      </c>
      <c r="P839" t="s">
        <v>175</v>
      </c>
      <c r="Q839" t="s">
        <v>162</v>
      </c>
      <c r="R839" t="s">
        <v>544</v>
      </c>
      <c r="S839">
        <v>2021</v>
      </c>
      <c r="T839">
        <v>8</v>
      </c>
      <c r="U839" t="s">
        <v>162</v>
      </c>
      <c r="V839" t="s">
        <v>162</v>
      </c>
      <c r="W839">
        <v>0</v>
      </c>
      <c r="X839">
        <v>0</v>
      </c>
      <c r="Y839" t="s">
        <v>162</v>
      </c>
      <c r="Z839">
        <v>2021</v>
      </c>
      <c r="AA839">
        <v>0</v>
      </c>
      <c r="AB839">
        <v>4.6240581416099998E-2</v>
      </c>
      <c r="AC839">
        <v>9.2481162832199995E-2</v>
      </c>
      <c r="AD839" t="s">
        <v>162</v>
      </c>
      <c r="AE839" t="s">
        <v>163</v>
      </c>
      <c r="AF839" t="s">
        <v>162</v>
      </c>
      <c r="AG839" t="s">
        <v>163</v>
      </c>
      <c r="AH839" t="s">
        <v>162</v>
      </c>
      <c r="AI839" t="s">
        <v>162</v>
      </c>
      <c r="AJ839" t="s">
        <v>162</v>
      </c>
      <c r="AK839" t="s">
        <v>162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 s="60">
        <f t="shared" si="12"/>
        <v>1</v>
      </c>
      <c r="AU839" t="s">
        <v>474</v>
      </c>
      <c r="AV839" t="s">
        <v>165</v>
      </c>
      <c r="AW839" t="s">
        <v>163</v>
      </c>
      <c r="AX839">
        <v>0</v>
      </c>
      <c r="AY839" t="s">
        <v>275</v>
      </c>
      <c r="AZ839" t="s">
        <v>162</v>
      </c>
    </row>
    <row r="840" spans="1:52" x14ac:dyDescent="0.25">
      <c r="A840">
        <v>829</v>
      </c>
      <c r="B840" t="s">
        <v>808</v>
      </c>
      <c r="C840" t="s">
        <v>151</v>
      </c>
      <c r="D840" t="s">
        <v>809</v>
      </c>
      <c r="E840" t="s">
        <v>216</v>
      </c>
      <c r="F840" t="s">
        <v>162</v>
      </c>
      <c r="G840" t="s">
        <v>162</v>
      </c>
      <c r="H840">
        <v>0</v>
      </c>
      <c r="I840" t="s">
        <v>430</v>
      </c>
      <c r="J840">
        <v>0</v>
      </c>
      <c r="K840">
        <v>0</v>
      </c>
      <c r="L840" t="s">
        <v>1602</v>
      </c>
      <c r="M840">
        <v>0</v>
      </c>
      <c r="N840" t="s">
        <v>13</v>
      </c>
      <c r="O840" t="s">
        <v>13</v>
      </c>
      <c r="P840" t="s">
        <v>175</v>
      </c>
      <c r="Q840" t="s">
        <v>162</v>
      </c>
      <c r="R840" t="s">
        <v>544</v>
      </c>
      <c r="S840">
        <v>2021</v>
      </c>
      <c r="T840">
        <v>8</v>
      </c>
      <c r="U840" t="s">
        <v>162</v>
      </c>
      <c r="V840" t="s">
        <v>162</v>
      </c>
      <c r="W840">
        <v>0</v>
      </c>
      <c r="X840">
        <v>0</v>
      </c>
      <c r="Y840" t="s">
        <v>162</v>
      </c>
      <c r="Z840">
        <v>2021</v>
      </c>
      <c r="AA840">
        <v>0</v>
      </c>
      <c r="AB840">
        <v>0.25451967881400001</v>
      </c>
      <c r="AC840">
        <v>0.50903935762800001</v>
      </c>
      <c r="AD840" t="s">
        <v>162</v>
      </c>
      <c r="AE840" t="s">
        <v>163</v>
      </c>
      <c r="AF840" t="s">
        <v>162</v>
      </c>
      <c r="AG840" t="s">
        <v>163</v>
      </c>
      <c r="AH840" t="s">
        <v>162</v>
      </c>
      <c r="AI840" t="s">
        <v>162</v>
      </c>
      <c r="AJ840" t="s">
        <v>162</v>
      </c>
      <c r="AK840" t="s">
        <v>162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 s="60">
        <f t="shared" si="12"/>
        <v>1</v>
      </c>
      <c r="AU840" t="s">
        <v>474</v>
      </c>
      <c r="AV840" t="s">
        <v>165</v>
      </c>
      <c r="AW840" t="s">
        <v>163</v>
      </c>
      <c r="AX840">
        <v>0</v>
      </c>
      <c r="AY840" t="s">
        <v>275</v>
      </c>
      <c r="AZ840" t="s">
        <v>154</v>
      </c>
    </row>
    <row r="841" spans="1:52" x14ac:dyDescent="0.25">
      <c r="A841">
        <v>830</v>
      </c>
      <c r="B841" t="s">
        <v>808</v>
      </c>
      <c r="C841" t="s">
        <v>151</v>
      </c>
      <c r="D841" t="s">
        <v>809</v>
      </c>
      <c r="E841" t="s">
        <v>216</v>
      </c>
      <c r="F841" t="s">
        <v>162</v>
      </c>
      <c r="G841" t="s">
        <v>162</v>
      </c>
      <c r="H841">
        <v>0</v>
      </c>
      <c r="I841" t="s">
        <v>1602</v>
      </c>
      <c r="J841">
        <v>0</v>
      </c>
      <c r="K841">
        <v>0</v>
      </c>
      <c r="L841" t="s">
        <v>429</v>
      </c>
      <c r="M841">
        <v>0</v>
      </c>
      <c r="N841" t="s">
        <v>7</v>
      </c>
      <c r="O841" t="s">
        <v>7</v>
      </c>
      <c r="P841" t="s">
        <v>175</v>
      </c>
      <c r="Q841" t="s">
        <v>162</v>
      </c>
      <c r="R841" t="s">
        <v>544</v>
      </c>
      <c r="S841">
        <v>2021</v>
      </c>
      <c r="T841">
        <v>8</v>
      </c>
      <c r="U841" t="s">
        <v>162</v>
      </c>
      <c r="V841" t="s">
        <v>162</v>
      </c>
      <c r="W841">
        <v>0</v>
      </c>
      <c r="X841">
        <v>0</v>
      </c>
      <c r="Y841" t="s">
        <v>162</v>
      </c>
      <c r="Z841">
        <v>2021</v>
      </c>
      <c r="AA841">
        <v>0</v>
      </c>
      <c r="AB841">
        <v>0.25258809021</v>
      </c>
      <c r="AC841">
        <v>0.50517618042000001</v>
      </c>
      <c r="AD841" t="s">
        <v>154</v>
      </c>
      <c r="AE841" t="s">
        <v>154</v>
      </c>
      <c r="AF841" t="s">
        <v>154</v>
      </c>
      <c r="AG841" t="s">
        <v>154</v>
      </c>
      <c r="AH841" t="s">
        <v>154</v>
      </c>
      <c r="AI841" t="s">
        <v>226</v>
      </c>
      <c r="AJ841" t="s">
        <v>154</v>
      </c>
      <c r="AK841" t="s">
        <v>162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s="60">
        <f t="shared" si="12"/>
        <v>1</v>
      </c>
      <c r="AU841" t="s">
        <v>360</v>
      </c>
      <c r="AV841" t="s">
        <v>165</v>
      </c>
      <c r="AW841" t="s">
        <v>166</v>
      </c>
      <c r="AX841">
        <v>0</v>
      </c>
      <c r="AY841" t="s">
        <v>167</v>
      </c>
      <c r="AZ841" t="s">
        <v>154</v>
      </c>
    </row>
    <row r="842" spans="1:52" x14ac:dyDescent="0.25">
      <c r="A842">
        <v>831</v>
      </c>
      <c r="B842" t="s">
        <v>1603</v>
      </c>
      <c r="C842" t="s">
        <v>163</v>
      </c>
      <c r="D842" t="s">
        <v>1604</v>
      </c>
      <c r="E842" t="s">
        <v>216</v>
      </c>
      <c r="F842" t="s">
        <v>180</v>
      </c>
      <c r="G842" t="s">
        <v>162</v>
      </c>
      <c r="H842">
        <v>0</v>
      </c>
      <c r="I842" t="s">
        <v>808</v>
      </c>
      <c r="J842">
        <v>0</v>
      </c>
      <c r="K842">
        <v>0</v>
      </c>
      <c r="L842" t="s">
        <v>565</v>
      </c>
      <c r="M842">
        <v>0</v>
      </c>
      <c r="N842" t="s">
        <v>13</v>
      </c>
      <c r="O842" t="s">
        <v>13</v>
      </c>
      <c r="P842" t="s">
        <v>175</v>
      </c>
      <c r="Q842" t="s">
        <v>162</v>
      </c>
      <c r="R842" t="s">
        <v>544</v>
      </c>
      <c r="S842">
        <v>2021</v>
      </c>
      <c r="T842">
        <v>8</v>
      </c>
      <c r="U842" t="s">
        <v>162</v>
      </c>
      <c r="V842" t="s">
        <v>162</v>
      </c>
      <c r="W842">
        <v>0</v>
      </c>
      <c r="X842">
        <v>0</v>
      </c>
      <c r="Y842" t="s">
        <v>162</v>
      </c>
      <c r="Z842">
        <v>2021</v>
      </c>
      <c r="AA842">
        <v>0</v>
      </c>
      <c r="AB842">
        <v>0.73483145832100005</v>
      </c>
      <c r="AC842">
        <v>1.4696629166399999</v>
      </c>
      <c r="AD842" t="s">
        <v>162</v>
      </c>
      <c r="AE842" t="s">
        <v>163</v>
      </c>
      <c r="AF842" t="s">
        <v>162</v>
      </c>
      <c r="AG842" t="s">
        <v>166</v>
      </c>
      <c r="AH842" t="s">
        <v>162</v>
      </c>
      <c r="AI842" t="s">
        <v>162</v>
      </c>
      <c r="AJ842" t="s">
        <v>162</v>
      </c>
      <c r="AK842" t="s">
        <v>162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 s="60">
        <f t="shared" si="12"/>
        <v>1</v>
      </c>
      <c r="AU842" t="s">
        <v>474</v>
      </c>
      <c r="AV842" t="s">
        <v>165</v>
      </c>
      <c r="AW842" t="s">
        <v>163</v>
      </c>
      <c r="AX842">
        <v>0</v>
      </c>
      <c r="AY842" t="s">
        <v>275</v>
      </c>
      <c r="AZ842" t="s">
        <v>154</v>
      </c>
    </row>
    <row r="843" spans="1:52" x14ac:dyDescent="0.25">
      <c r="A843">
        <v>832</v>
      </c>
      <c r="B843" t="s">
        <v>1605</v>
      </c>
      <c r="C843" t="s">
        <v>163</v>
      </c>
      <c r="D843" t="s">
        <v>1606</v>
      </c>
      <c r="E843" t="s">
        <v>216</v>
      </c>
      <c r="F843" t="s">
        <v>162</v>
      </c>
      <c r="G843" t="s">
        <v>162</v>
      </c>
      <c r="H843">
        <v>0</v>
      </c>
      <c r="I843" t="s">
        <v>632</v>
      </c>
      <c r="J843">
        <v>0</v>
      </c>
      <c r="K843">
        <v>0</v>
      </c>
      <c r="L843" t="s">
        <v>653</v>
      </c>
      <c r="M843">
        <v>0</v>
      </c>
      <c r="N843" t="s">
        <v>11</v>
      </c>
      <c r="O843" t="s">
        <v>327</v>
      </c>
      <c r="P843" t="s">
        <v>175</v>
      </c>
      <c r="Q843" t="s">
        <v>162</v>
      </c>
      <c r="R843" t="s">
        <v>544</v>
      </c>
      <c r="S843">
        <v>2021</v>
      </c>
      <c r="T843">
        <v>8</v>
      </c>
      <c r="U843" t="s">
        <v>1607</v>
      </c>
      <c r="V843" t="s">
        <v>162</v>
      </c>
      <c r="W843">
        <v>0</v>
      </c>
      <c r="X843">
        <v>0</v>
      </c>
      <c r="Y843" t="s">
        <v>162</v>
      </c>
      <c r="Z843">
        <v>2021</v>
      </c>
      <c r="AA843">
        <v>0</v>
      </c>
      <c r="AB843">
        <v>0.73044868036999999</v>
      </c>
      <c r="AC843">
        <v>1.46089736074</v>
      </c>
      <c r="AD843" t="s">
        <v>162</v>
      </c>
      <c r="AE843" t="s">
        <v>163</v>
      </c>
      <c r="AF843" t="s">
        <v>162</v>
      </c>
      <c r="AG843" t="s">
        <v>163</v>
      </c>
      <c r="AH843" t="s">
        <v>162</v>
      </c>
      <c r="AI843" t="s">
        <v>162</v>
      </c>
      <c r="AJ843" t="s">
        <v>162</v>
      </c>
      <c r="AK843" t="s">
        <v>162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 s="60">
        <f t="shared" ref="AT843:AT903" si="13">SUM(AM843:AS843)</f>
        <v>1</v>
      </c>
      <c r="AU843" t="s">
        <v>474</v>
      </c>
      <c r="AV843" t="s">
        <v>165</v>
      </c>
      <c r="AW843" t="s">
        <v>163</v>
      </c>
      <c r="AX843">
        <v>0</v>
      </c>
      <c r="AY843" t="s">
        <v>167</v>
      </c>
      <c r="AZ843" t="s">
        <v>162</v>
      </c>
    </row>
    <row r="844" spans="1:52" x14ac:dyDescent="0.25">
      <c r="A844">
        <v>833</v>
      </c>
      <c r="B844" t="s">
        <v>1605</v>
      </c>
      <c r="C844" t="s">
        <v>163</v>
      </c>
      <c r="D844" t="s">
        <v>1606</v>
      </c>
      <c r="E844" t="s">
        <v>216</v>
      </c>
      <c r="F844" t="s">
        <v>162</v>
      </c>
      <c r="G844" t="s">
        <v>162</v>
      </c>
      <c r="H844">
        <v>0</v>
      </c>
      <c r="I844" t="s">
        <v>653</v>
      </c>
      <c r="J844">
        <v>0</v>
      </c>
      <c r="K844">
        <v>0</v>
      </c>
      <c r="L844" t="s">
        <v>331</v>
      </c>
      <c r="M844">
        <v>0</v>
      </c>
      <c r="N844" t="s">
        <v>15</v>
      </c>
      <c r="O844" t="s">
        <v>15</v>
      </c>
      <c r="P844" t="s">
        <v>175</v>
      </c>
      <c r="Q844" t="s">
        <v>162</v>
      </c>
      <c r="R844" t="s">
        <v>544</v>
      </c>
      <c r="S844">
        <v>2021</v>
      </c>
      <c r="T844">
        <v>8</v>
      </c>
      <c r="U844" t="s">
        <v>1608</v>
      </c>
      <c r="V844" t="s">
        <v>162</v>
      </c>
      <c r="W844">
        <v>0</v>
      </c>
      <c r="X844">
        <v>0</v>
      </c>
      <c r="Y844" t="s">
        <v>162</v>
      </c>
      <c r="Z844">
        <v>2021</v>
      </c>
      <c r="AA844">
        <v>0</v>
      </c>
      <c r="AB844">
        <v>1.0099788026700001</v>
      </c>
      <c r="AC844">
        <v>2.0199576053400001</v>
      </c>
      <c r="AD844" t="s">
        <v>162</v>
      </c>
      <c r="AE844" t="s">
        <v>163</v>
      </c>
      <c r="AF844" t="s">
        <v>162</v>
      </c>
      <c r="AG844" t="s">
        <v>163</v>
      </c>
      <c r="AH844" t="s">
        <v>162</v>
      </c>
      <c r="AI844" t="s">
        <v>162</v>
      </c>
      <c r="AJ844" t="s">
        <v>162</v>
      </c>
      <c r="AK844" t="s">
        <v>162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 s="60">
        <f t="shared" si="13"/>
        <v>1</v>
      </c>
      <c r="AU844" t="s">
        <v>474</v>
      </c>
      <c r="AV844" t="s">
        <v>165</v>
      </c>
      <c r="AW844" t="s">
        <v>163</v>
      </c>
      <c r="AX844">
        <v>0</v>
      </c>
      <c r="AY844" t="s">
        <v>167</v>
      </c>
      <c r="AZ844" t="s">
        <v>162</v>
      </c>
    </row>
    <row r="845" spans="1:52" x14ac:dyDescent="0.25">
      <c r="A845">
        <v>834</v>
      </c>
      <c r="B845" t="s">
        <v>1380</v>
      </c>
      <c r="C845" t="s">
        <v>163</v>
      </c>
      <c r="D845" t="s">
        <v>1381</v>
      </c>
      <c r="E845" t="s">
        <v>216</v>
      </c>
      <c r="F845" t="s">
        <v>162</v>
      </c>
      <c r="G845">
        <v>2400</v>
      </c>
      <c r="H845">
        <v>2401</v>
      </c>
      <c r="I845" t="s">
        <v>652</v>
      </c>
      <c r="J845">
        <v>3600</v>
      </c>
      <c r="K845">
        <v>3601</v>
      </c>
      <c r="L845" t="s">
        <v>331</v>
      </c>
      <c r="M845">
        <v>0</v>
      </c>
      <c r="N845" t="s">
        <v>11</v>
      </c>
      <c r="O845" t="s">
        <v>327</v>
      </c>
      <c r="P845" t="s">
        <v>175</v>
      </c>
      <c r="Q845" t="s">
        <v>162</v>
      </c>
      <c r="R845" t="s">
        <v>544</v>
      </c>
      <c r="S845">
        <v>2021</v>
      </c>
      <c r="T845">
        <v>8</v>
      </c>
      <c r="U845" t="s">
        <v>1607</v>
      </c>
      <c r="V845" t="s">
        <v>162</v>
      </c>
      <c r="W845">
        <v>0</v>
      </c>
      <c r="X845">
        <v>0</v>
      </c>
      <c r="Y845" t="s">
        <v>162</v>
      </c>
      <c r="Z845">
        <v>2021</v>
      </c>
      <c r="AA845">
        <v>0</v>
      </c>
      <c r="AB845">
        <v>1.5117924249600001</v>
      </c>
      <c r="AC845">
        <v>3.0235848499200002</v>
      </c>
      <c r="AD845" t="s">
        <v>162</v>
      </c>
      <c r="AE845" t="s">
        <v>163</v>
      </c>
      <c r="AF845" t="s">
        <v>162</v>
      </c>
      <c r="AG845" t="s">
        <v>163</v>
      </c>
      <c r="AH845" t="s">
        <v>162</v>
      </c>
      <c r="AI845" t="s">
        <v>162</v>
      </c>
      <c r="AJ845" t="s">
        <v>162</v>
      </c>
      <c r="AK845" t="s">
        <v>162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s="60">
        <f t="shared" si="13"/>
        <v>1</v>
      </c>
      <c r="AU845" t="s">
        <v>474</v>
      </c>
      <c r="AV845" t="s">
        <v>165</v>
      </c>
      <c r="AW845" t="s">
        <v>163</v>
      </c>
      <c r="AX845">
        <v>0</v>
      </c>
      <c r="AY845" t="s">
        <v>167</v>
      </c>
      <c r="AZ845" t="s">
        <v>162</v>
      </c>
    </row>
    <row r="846" spans="1:52" x14ac:dyDescent="0.25">
      <c r="A846">
        <v>835</v>
      </c>
      <c r="B846" t="s">
        <v>1609</v>
      </c>
      <c r="C846" t="s">
        <v>151</v>
      </c>
      <c r="D846" t="s">
        <v>1610</v>
      </c>
      <c r="E846" t="s">
        <v>172</v>
      </c>
      <c r="F846" t="s">
        <v>151</v>
      </c>
      <c r="G846" t="s">
        <v>162</v>
      </c>
      <c r="H846">
        <v>0</v>
      </c>
      <c r="I846" t="s">
        <v>1001</v>
      </c>
      <c r="J846">
        <v>0</v>
      </c>
      <c r="K846">
        <v>0</v>
      </c>
      <c r="L846" t="s">
        <v>1611</v>
      </c>
      <c r="M846">
        <v>0</v>
      </c>
      <c r="N846" t="s">
        <v>13</v>
      </c>
      <c r="O846" t="s">
        <v>13</v>
      </c>
      <c r="P846" t="s">
        <v>175</v>
      </c>
      <c r="Q846" t="s">
        <v>162</v>
      </c>
      <c r="R846" t="s">
        <v>544</v>
      </c>
      <c r="S846">
        <v>2021</v>
      </c>
      <c r="T846">
        <v>10</v>
      </c>
      <c r="U846" t="s">
        <v>162</v>
      </c>
      <c r="V846" t="s">
        <v>162</v>
      </c>
      <c r="W846">
        <v>0</v>
      </c>
      <c r="X846">
        <v>0</v>
      </c>
      <c r="Y846" t="s">
        <v>162</v>
      </c>
      <c r="Z846">
        <v>2021</v>
      </c>
      <c r="AA846">
        <v>0</v>
      </c>
      <c r="AB846">
        <v>0.74871887436499995</v>
      </c>
      <c r="AC846">
        <v>1.4974377487299999</v>
      </c>
      <c r="AD846" t="s">
        <v>162</v>
      </c>
      <c r="AE846" t="s">
        <v>163</v>
      </c>
      <c r="AF846" t="s">
        <v>162</v>
      </c>
      <c r="AG846" t="s">
        <v>166</v>
      </c>
      <c r="AH846" t="s">
        <v>162</v>
      </c>
      <c r="AI846" t="s">
        <v>162</v>
      </c>
      <c r="AJ846" t="s">
        <v>162</v>
      </c>
      <c r="AK846" t="s">
        <v>162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 s="60">
        <f t="shared" si="13"/>
        <v>1</v>
      </c>
      <c r="AU846" t="s">
        <v>474</v>
      </c>
      <c r="AV846" t="s">
        <v>165</v>
      </c>
      <c r="AW846" t="s">
        <v>163</v>
      </c>
      <c r="AX846">
        <v>0</v>
      </c>
      <c r="AY846" t="s">
        <v>275</v>
      </c>
      <c r="AZ846" t="s">
        <v>154</v>
      </c>
    </row>
    <row r="847" spans="1:52" x14ac:dyDescent="0.25">
      <c r="A847">
        <v>836</v>
      </c>
      <c r="B847" t="s">
        <v>1612</v>
      </c>
      <c r="C847" t="s">
        <v>151</v>
      </c>
      <c r="D847" t="s">
        <v>1613</v>
      </c>
      <c r="E847" t="s">
        <v>172</v>
      </c>
      <c r="F847" t="s">
        <v>154</v>
      </c>
      <c r="G847" t="s">
        <v>162</v>
      </c>
      <c r="H847">
        <v>0</v>
      </c>
      <c r="I847" t="s">
        <v>1614</v>
      </c>
      <c r="J847">
        <v>0</v>
      </c>
      <c r="K847">
        <v>0</v>
      </c>
      <c r="L847" t="s">
        <v>155</v>
      </c>
      <c r="M847">
        <v>0</v>
      </c>
      <c r="N847" t="s">
        <v>11</v>
      </c>
      <c r="O847" t="s">
        <v>327</v>
      </c>
      <c r="P847" t="s">
        <v>175</v>
      </c>
      <c r="Q847" t="s">
        <v>162</v>
      </c>
      <c r="R847" t="s">
        <v>544</v>
      </c>
      <c r="S847">
        <v>2021</v>
      </c>
      <c r="T847">
        <v>9</v>
      </c>
      <c r="U847" t="s">
        <v>1607</v>
      </c>
      <c r="V847" t="s">
        <v>162</v>
      </c>
      <c r="W847">
        <v>0</v>
      </c>
      <c r="X847">
        <v>0</v>
      </c>
      <c r="Y847" t="s">
        <v>162</v>
      </c>
      <c r="Z847">
        <v>2021</v>
      </c>
      <c r="AA847">
        <v>0</v>
      </c>
      <c r="AB847">
        <v>1.1335726773000001</v>
      </c>
      <c r="AC847">
        <v>2.2671453546000002</v>
      </c>
      <c r="AD847" t="s">
        <v>162</v>
      </c>
      <c r="AE847" t="s">
        <v>163</v>
      </c>
      <c r="AF847" t="s">
        <v>162</v>
      </c>
      <c r="AG847" t="s">
        <v>163</v>
      </c>
      <c r="AH847" t="s">
        <v>162</v>
      </c>
      <c r="AI847" t="s">
        <v>162</v>
      </c>
      <c r="AJ847" t="s">
        <v>162</v>
      </c>
      <c r="AK847" t="s">
        <v>162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s="60">
        <f t="shared" si="13"/>
        <v>1</v>
      </c>
      <c r="AU847" t="s">
        <v>1576</v>
      </c>
      <c r="AV847" t="s">
        <v>165</v>
      </c>
      <c r="AW847" t="s">
        <v>163</v>
      </c>
      <c r="AX847">
        <v>0</v>
      </c>
      <c r="AY847" t="s">
        <v>167</v>
      </c>
      <c r="AZ847" t="s">
        <v>162</v>
      </c>
    </row>
    <row r="848" spans="1:52" x14ac:dyDescent="0.25">
      <c r="A848">
        <v>837</v>
      </c>
      <c r="B848" t="s">
        <v>1612</v>
      </c>
      <c r="C848" t="s">
        <v>151</v>
      </c>
      <c r="D848" t="s">
        <v>1613</v>
      </c>
      <c r="E848" t="s">
        <v>172</v>
      </c>
      <c r="F848" t="s">
        <v>162</v>
      </c>
      <c r="G848" t="s">
        <v>162</v>
      </c>
      <c r="H848">
        <v>0</v>
      </c>
      <c r="I848" t="s">
        <v>1176</v>
      </c>
      <c r="J848">
        <v>0</v>
      </c>
      <c r="K848">
        <v>0</v>
      </c>
      <c r="L848" t="s">
        <v>1615</v>
      </c>
      <c r="M848">
        <v>0</v>
      </c>
      <c r="N848" t="s">
        <v>11</v>
      </c>
      <c r="O848" t="s">
        <v>327</v>
      </c>
      <c r="P848" t="s">
        <v>175</v>
      </c>
      <c r="Q848" t="s">
        <v>162</v>
      </c>
      <c r="R848" t="s">
        <v>544</v>
      </c>
      <c r="S848">
        <v>2021</v>
      </c>
      <c r="T848">
        <v>9</v>
      </c>
      <c r="U848" t="s">
        <v>1607</v>
      </c>
      <c r="V848" t="s">
        <v>162</v>
      </c>
      <c r="W848">
        <v>0</v>
      </c>
      <c r="X848">
        <v>0</v>
      </c>
      <c r="Y848" t="s">
        <v>162</v>
      </c>
      <c r="Z848">
        <v>2021</v>
      </c>
      <c r="AA848">
        <v>0</v>
      </c>
      <c r="AB848">
        <v>0.12594739277</v>
      </c>
      <c r="AC848">
        <v>0.25189478554</v>
      </c>
      <c r="AD848" t="s">
        <v>162</v>
      </c>
      <c r="AE848" t="s">
        <v>163</v>
      </c>
      <c r="AF848" t="s">
        <v>162</v>
      </c>
      <c r="AG848" t="s">
        <v>163</v>
      </c>
      <c r="AH848" t="s">
        <v>162</v>
      </c>
      <c r="AI848" t="s">
        <v>162</v>
      </c>
      <c r="AJ848" t="s">
        <v>162</v>
      </c>
      <c r="AK848" t="s">
        <v>162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0</v>
      </c>
      <c r="AR848">
        <v>0</v>
      </c>
      <c r="AS848">
        <v>0</v>
      </c>
      <c r="AT848" s="60">
        <f t="shared" si="13"/>
        <v>1</v>
      </c>
      <c r="AU848" t="s">
        <v>474</v>
      </c>
      <c r="AV848" t="s">
        <v>165</v>
      </c>
      <c r="AW848" t="s">
        <v>163</v>
      </c>
      <c r="AX848">
        <v>0</v>
      </c>
      <c r="AY848" t="s">
        <v>167</v>
      </c>
      <c r="AZ848" t="s">
        <v>162</v>
      </c>
    </row>
    <row r="849" spans="1:52" x14ac:dyDescent="0.25">
      <c r="A849">
        <v>838</v>
      </c>
      <c r="B849" t="s">
        <v>1612</v>
      </c>
      <c r="C849" t="s">
        <v>151</v>
      </c>
      <c r="D849" t="s">
        <v>1613</v>
      </c>
      <c r="E849" t="s">
        <v>172</v>
      </c>
      <c r="F849" t="s">
        <v>162</v>
      </c>
      <c r="G849" t="s">
        <v>162</v>
      </c>
      <c r="H849">
        <v>0</v>
      </c>
      <c r="I849" t="s">
        <v>1615</v>
      </c>
      <c r="J849">
        <v>0</v>
      </c>
      <c r="K849">
        <v>0</v>
      </c>
      <c r="L849" t="s">
        <v>156</v>
      </c>
      <c r="M849">
        <v>0</v>
      </c>
      <c r="N849" t="s">
        <v>7</v>
      </c>
      <c r="O849" t="s">
        <v>7</v>
      </c>
      <c r="P849" t="s">
        <v>175</v>
      </c>
      <c r="Q849" t="s">
        <v>162</v>
      </c>
      <c r="R849" t="s">
        <v>544</v>
      </c>
      <c r="S849">
        <v>2021</v>
      </c>
      <c r="T849">
        <v>9</v>
      </c>
      <c r="U849" t="s">
        <v>162</v>
      </c>
      <c r="V849" t="s">
        <v>162</v>
      </c>
      <c r="W849">
        <v>0</v>
      </c>
      <c r="X849">
        <v>0</v>
      </c>
      <c r="Y849" t="s">
        <v>162</v>
      </c>
      <c r="Z849">
        <v>2021</v>
      </c>
      <c r="AA849">
        <v>0</v>
      </c>
      <c r="AB849">
        <v>0.125736531835</v>
      </c>
      <c r="AC849">
        <v>0.25147306367</v>
      </c>
      <c r="AD849" t="s">
        <v>162</v>
      </c>
      <c r="AE849" t="s">
        <v>163</v>
      </c>
      <c r="AF849" t="s">
        <v>162</v>
      </c>
      <c r="AG849" t="s">
        <v>163</v>
      </c>
      <c r="AH849" t="s">
        <v>162</v>
      </c>
      <c r="AI849" t="s">
        <v>226</v>
      </c>
      <c r="AJ849" t="s">
        <v>154</v>
      </c>
      <c r="AK849" t="s">
        <v>162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0</v>
      </c>
      <c r="AT849" s="60">
        <f t="shared" si="13"/>
        <v>1</v>
      </c>
      <c r="AU849" t="s">
        <v>474</v>
      </c>
      <c r="AV849" t="s">
        <v>165</v>
      </c>
      <c r="AW849" t="s">
        <v>166</v>
      </c>
      <c r="AX849">
        <v>0</v>
      </c>
      <c r="AY849" t="s">
        <v>167</v>
      </c>
      <c r="AZ849" t="s">
        <v>162</v>
      </c>
    </row>
    <row r="850" spans="1:52" x14ac:dyDescent="0.25">
      <c r="A850">
        <v>839</v>
      </c>
      <c r="B850" t="s">
        <v>1612</v>
      </c>
      <c r="C850" t="s">
        <v>151</v>
      </c>
      <c r="D850" t="s">
        <v>1613</v>
      </c>
      <c r="E850" t="s">
        <v>172</v>
      </c>
      <c r="F850" t="s">
        <v>162</v>
      </c>
      <c r="G850" t="s">
        <v>162</v>
      </c>
      <c r="H850">
        <v>0</v>
      </c>
      <c r="I850" t="s">
        <v>156</v>
      </c>
      <c r="J850">
        <v>0</v>
      </c>
      <c r="K850">
        <v>0</v>
      </c>
      <c r="L850" t="s">
        <v>421</v>
      </c>
      <c r="M850">
        <v>0</v>
      </c>
      <c r="N850" t="s">
        <v>11</v>
      </c>
      <c r="O850" t="s">
        <v>11</v>
      </c>
      <c r="P850" t="s">
        <v>175</v>
      </c>
      <c r="Q850" t="s">
        <v>162</v>
      </c>
      <c r="R850" t="s">
        <v>544</v>
      </c>
      <c r="S850">
        <v>2021</v>
      </c>
      <c r="T850">
        <v>9</v>
      </c>
      <c r="U850" t="s">
        <v>162</v>
      </c>
      <c r="V850" t="s">
        <v>162</v>
      </c>
      <c r="W850">
        <v>0</v>
      </c>
      <c r="X850">
        <v>0</v>
      </c>
      <c r="Y850" t="s">
        <v>162</v>
      </c>
      <c r="Z850">
        <v>2021</v>
      </c>
      <c r="AA850">
        <v>0</v>
      </c>
      <c r="AB850">
        <v>0.12940176409099999</v>
      </c>
      <c r="AC850">
        <v>0.25880352818199998</v>
      </c>
      <c r="AD850" t="s">
        <v>162</v>
      </c>
      <c r="AE850" t="s">
        <v>163</v>
      </c>
      <c r="AF850" t="s">
        <v>162</v>
      </c>
      <c r="AG850" t="s">
        <v>163</v>
      </c>
      <c r="AH850" t="s">
        <v>162</v>
      </c>
      <c r="AI850" t="s">
        <v>162</v>
      </c>
      <c r="AJ850" t="s">
        <v>162</v>
      </c>
      <c r="AK850" t="s">
        <v>162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s="60">
        <f t="shared" si="13"/>
        <v>1</v>
      </c>
      <c r="AU850" t="s">
        <v>474</v>
      </c>
      <c r="AV850" t="s">
        <v>165</v>
      </c>
      <c r="AW850" t="s">
        <v>162</v>
      </c>
      <c r="AX850">
        <v>0</v>
      </c>
      <c r="AY850" t="s">
        <v>167</v>
      </c>
      <c r="AZ850" t="s">
        <v>162</v>
      </c>
    </row>
    <row r="851" spans="1:52" x14ac:dyDescent="0.25">
      <c r="A851">
        <v>840</v>
      </c>
      <c r="B851" t="s">
        <v>1612</v>
      </c>
      <c r="C851" t="s">
        <v>151</v>
      </c>
      <c r="D851" t="s">
        <v>1613</v>
      </c>
      <c r="E851" t="s">
        <v>172</v>
      </c>
      <c r="F851" t="s">
        <v>162</v>
      </c>
      <c r="G851" t="s">
        <v>162</v>
      </c>
      <c r="H851">
        <v>0</v>
      </c>
      <c r="I851" t="s">
        <v>155</v>
      </c>
      <c r="J851">
        <v>0</v>
      </c>
      <c r="K851">
        <v>0</v>
      </c>
      <c r="L851" t="s">
        <v>1176</v>
      </c>
      <c r="M851">
        <v>0</v>
      </c>
      <c r="N851" t="s">
        <v>7</v>
      </c>
      <c r="O851" t="s">
        <v>7</v>
      </c>
      <c r="P851" t="s">
        <v>175</v>
      </c>
      <c r="Q851" t="s">
        <v>162</v>
      </c>
      <c r="R851" t="s">
        <v>544</v>
      </c>
      <c r="S851">
        <v>2021</v>
      </c>
      <c r="T851">
        <v>9</v>
      </c>
      <c r="U851" t="s">
        <v>162</v>
      </c>
      <c r="V851" t="s">
        <v>162</v>
      </c>
      <c r="W851">
        <v>0</v>
      </c>
      <c r="X851">
        <v>0</v>
      </c>
      <c r="Y851" t="s">
        <v>162</v>
      </c>
      <c r="Z851">
        <v>2021</v>
      </c>
      <c r="AA851">
        <v>0</v>
      </c>
      <c r="AB851">
        <v>0.25122083370100001</v>
      </c>
      <c r="AC851">
        <v>0.50244166740200003</v>
      </c>
      <c r="AD851" t="s">
        <v>162</v>
      </c>
      <c r="AE851" t="s">
        <v>163</v>
      </c>
      <c r="AF851" t="s">
        <v>162</v>
      </c>
      <c r="AG851" t="s">
        <v>163</v>
      </c>
      <c r="AH851" t="s">
        <v>162</v>
      </c>
      <c r="AI851" t="s">
        <v>226</v>
      </c>
      <c r="AJ851" t="s">
        <v>154</v>
      </c>
      <c r="AK851" t="s">
        <v>162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s="60">
        <f t="shared" si="13"/>
        <v>1</v>
      </c>
      <c r="AU851" t="s">
        <v>474</v>
      </c>
      <c r="AV851" t="s">
        <v>165</v>
      </c>
      <c r="AW851" t="s">
        <v>166</v>
      </c>
      <c r="AX851">
        <v>0</v>
      </c>
      <c r="AY851" t="s">
        <v>167</v>
      </c>
      <c r="AZ851" t="s">
        <v>162</v>
      </c>
    </row>
    <row r="852" spans="1:52" x14ac:dyDescent="0.25">
      <c r="A852">
        <v>841</v>
      </c>
      <c r="B852" t="s">
        <v>738</v>
      </c>
      <c r="C852" t="s">
        <v>151</v>
      </c>
      <c r="D852" t="s">
        <v>739</v>
      </c>
      <c r="E852" t="s">
        <v>216</v>
      </c>
      <c r="F852" t="s">
        <v>154</v>
      </c>
      <c r="G852">
        <v>0</v>
      </c>
      <c r="H852">
        <v>0</v>
      </c>
      <c r="I852" t="s">
        <v>430</v>
      </c>
      <c r="J852">
        <v>3200</v>
      </c>
      <c r="K852">
        <v>3201</v>
      </c>
      <c r="L852" t="s">
        <v>190</v>
      </c>
      <c r="M852">
        <v>0</v>
      </c>
      <c r="N852" t="s">
        <v>11</v>
      </c>
      <c r="O852" t="s">
        <v>327</v>
      </c>
      <c r="P852" t="s">
        <v>175</v>
      </c>
      <c r="Q852" t="s">
        <v>162</v>
      </c>
      <c r="R852" t="s">
        <v>734</v>
      </c>
      <c r="S852">
        <v>2021</v>
      </c>
      <c r="T852">
        <v>8</v>
      </c>
      <c r="U852" t="s">
        <v>545</v>
      </c>
      <c r="V852" t="s">
        <v>162</v>
      </c>
      <c r="W852">
        <v>0</v>
      </c>
      <c r="X852">
        <v>0</v>
      </c>
      <c r="Y852" t="s">
        <v>162</v>
      </c>
      <c r="Z852">
        <v>2021</v>
      </c>
      <c r="AA852">
        <v>0</v>
      </c>
      <c r="AB852">
        <v>1.51368215546</v>
      </c>
      <c r="AC852">
        <v>3.0273643109199999</v>
      </c>
      <c r="AD852" t="s">
        <v>162</v>
      </c>
      <c r="AE852" t="s">
        <v>163</v>
      </c>
      <c r="AF852" t="s">
        <v>162</v>
      </c>
      <c r="AG852" t="s">
        <v>163</v>
      </c>
      <c r="AH852" t="s">
        <v>162</v>
      </c>
      <c r="AI852" t="s">
        <v>162</v>
      </c>
      <c r="AJ852" t="s">
        <v>163</v>
      </c>
      <c r="AK852" t="s">
        <v>162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 s="60">
        <f t="shared" si="13"/>
        <v>1</v>
      </c>
      <c r="AU852" t="s">
        <v>1576</v>
      </c>
      <c r="AV852" t="s">
        <v>165</v>
      </c>
      <c r="AW852" t="s">
        <v>163</v>
      </c>
      <c r="AX852">
        <v>0</v>
      </c>
      <c r="AY852" t="s">
        <v>167</v>
      </c>
      <c r="AZ852" t="s">
        <v>162</v>
      </c>
    </row>
    <row r="853" spans="1:52" x14ac:dyDescent="0.25">
      <c r="A853">
        <v>842</v>
      </c>
      <c r="B853" t="s">
        <v>295</v>
      </c>
      <c r="C853" t="s">
        <v>163</v>
      </c>
      <c r="D853" t="s">
        <v>296</v>
      </c>
      <c r="E853" t="s">
        <v>172</v>
      </c>
      <c r="F853" t="s">
        <v>162</v>
      </c>
      <c r="G853" t="s">
        <v>162</v>
      </c>
      <c r="H853">
        <v>0</v>
      </c>
      <c r="I853" t="s">
        <v>1468</v>
      </c>
      <c r="J853">
        <v>0</v>
      </c>
      <c r="K853">
        <v>0</v>
      </c>
      <c r="L853" t="s">
        <v>728</v>
      </c>
      <c r="M853">
        <v>0</v>
      </c>
      <c r="N853" t="s">
        <v>7</v>
      </c>
      <c r="O853" t="s">
        <v>7</v>
      </c>
      <c r="P853" t="s">
        <v>175</v>
      </c>
      <c r="Q853" t="s">
        <v>162</v>
      </c>
      <c r="R853" t="s">
        <v>734</v>
      </c>
      <c r="S853">
        <v>2021</v>
      </c>
      <c r="T853">
        <v>10</v>
      </c>
      <c r="U853" t="s">
        <v>208</v>
      </c>
      <c r="V853" t="s">
        <v>162</v>
      </c>
      <c r="W853">
        <v>0</v>
      </c>
      <c r="X853">
        <v>0</v>
      </c>
      <c r="Y853" t="s">
        <v>162</v>
      </c>
      <c r="Z853">
        <v>2021</v>
      </c>
      <c r="AA853">
        <v>0</v>
      </c>
      <c r="AB853">
        <v>0.56506164233300005</v>
      </c>
      <c r="AC853">
        <v>1.13012328467</v>
      </c>
      <c r="AD853" t="s">
        <v>162</v>
      </c>
      <c r="AE853" t="s">
        <v>163</v>
      </c>
      <c r="AF853" t="s">
        <v>162</v>
      </c>
      <c r="AG853" t="s">
        <v>163</v>
      </c>
      <c r="AH853" t="s">
        <v>162</v>
      </c>
      <c r="AI853" t="s">
        <v>226</v>
      </c>
      <c r="AJ853" t="s">
        <v>154</v>
      </c>
      <c r="AK853" t="s">
        <v>162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s="60">
        <f t="shared" si="13"/>
        <v>1</v>
      </c>
      <c r="AU853" t="s">
        <v>546</v>
      </c>
      <c r="AV853" t="s">
        <v>165</v>
      </c>
      <c r="AW853" t="s">
        <v>166</v>
      </c>
      <c r="AX853">
        <v>0</v>
      </c>
      <c r="AY853" t="s">
        <v>167</v>
      </c>
      <c r="AZ853" t="s">
        <v>162</v>
      </c>
    </row>
    <row r="854" spans="1:52" x14ac:dyDescent="0.25">
      <c r="A854">
        <v>843</v>
      </c>
      <c r="B854" t="s">
        <v>295</v>
      </c>
      <c r="C854" t="s">
        <v>163</v>
      </c>
      <c r="D854" t="s">
        <v>296</v>
      </c>
      <c r="E854" t="s">
        <v>172</v>
      </c>
      <c r="F854" t="s">
        <v>162</v>
      </c>
      <c r="G854" t="s">
        <v>162</v>
      </c>
      <c r="H854">
        <v>0</v>
      </c>
      <c r="I854" t="s">
        <v>728</v>
      </c>
      <c r="J854">
        <v>0</v>
      </c>
      <c r="K854">
        <v>0</v>
      </c>
      <c r="L854" t="s">
        <v>372</v>
      </c>
      <c r="M854">
        <v>0</v>
      </c>
      <c r="N854" t="s">
        <v>7</v>
      </c>
      <c r="O854" t="s">
        <v>7</v>
      </c>
      <c r="P854" t="s">
        <v>175</v>
      </c>
      <c r="Q854" t="s">
        <v>162</v>
      </c>
      <c r="R854" t="s">
        <v>734</v>
      </c>
      <c r="S854">
        <v>2021</v>
      </c>
      <c r="T854">
        <v>10</v>
      </c>
      <c r="U854" t="s">
        <v>208</v>
      </c>
      <c r="V854" t="s">
        <v>162</v>
      </c>
      <c r="W854">
        <v>0</v>
      </c>
      <c r="X854">
        <v>0</v>
      </c>
      <c r="Y854" t="s">
        <v>162</v>
      </c>
      <c r="Z854">
        <v>2021</v>
      </c>
      <c r="AA854">
        <v>0</v>
      </c>
      <c r="AB854">
        <v>0.25268420723099999</v>
      </c>
      <c r="AC854">
        <v>0.50536841446199998</v>
      </c>
      <c r="AD854" t="s">
        <v>162</v>
      </c>
      <c r="AE854" t="s">
        <v>163</v>
      </c>
      <c r="AF854" t="s">
        <v>162</v>
      </c>
      <c r="AG854" t="s">
        <v>163</v>
      </c>
      <c r="AH854" t="s">
        <v>162</v>
      </c>
      <c r="AI854" t="s">
        <v>226</v>
      </c>
      <c r="AJ854" t="s">
        <v>154</v>
      </c>
      <c r="AK854" t="s">
        <v>162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s="60">
        <f t="shared" si="13"/>
        <v>1</v>
      </c>
      <c r="AU854" t="s">
        <v>213</v>
      </c>
      <c r="AV854" t="s">
        <v>165</v>
      </c>
      <c r="AW854" t="s">
        <v>166</v>
      </c>
      <c r="AX854">
        <v>0</v>
      </c>
      <c r="AY854" t="s">
        <v>167</v>
      </c>
      <c r="AZ854" t="s">
        <v>162</v>
      </c>
    </row>
    <row r="855" spans="1:52" x14ac:dyDescent="0.25">
      <c r="A855">
        <v>844</v>
      </c>
      <c r="B855" t="s">
        <v>1395</v>
      </c>
      <c r="C855" t="s">
        <v>163</v>
      </c>
      <c r="D855" t="s">
        <v>613</v>
      </c>
      <c r="E855" t="s">
        <v>216</v>
      </c>
      <c r="F855" t="s">
        <v>162</v>
      </c>
      <c r="G855" t="s">
        <v>162</v>
      </c>
      <c r="H855">
        <v>0</v>
      </c>
      <c r="I855" t="s">
        <v>1616</v>
      </c>
      <c r="J855">
        <v>0</v>
      </c>
      <c r="K855">
        <v>0</v>
      </c>
      <c r="L855" t="s">
        <v>478</v>
      </c>
      <c r="M855">
        <v>0</v>
      </c>
      <c r="N855" t="s">
        <v>7</v>
      </c>
      <c r="O855" t="s">
        <v>7</v>
      </c>
      <c r="P855" t="s">
        <v>175</v>
      </c>
      <c r="Q855" t="s">
        <v>162</v>
      </c>
      <c r="R855" t="s">
        <v>734</v>
      </c>
      <c r="S855">
        <v>2021</v>
      </c>
      <c r="T855">
        <v>10</v>
      </c>
      <c r="U855" t="s">
        <v>162</v>
      </c>
      <c r="V855" t="s">
        <v>162</v>
      </c>
      <c r="W855">
        <v>0</v>
      </c>
      <c r="X855">
        <v>0</v>
      </c>
      <c r="Y855" t="s">
        <v>162</v>
      </c>
      <c r="Z855">
        <v>2021</v>
      </c>
      <c r="AA855">
        <v>0</v>
      </c>
      <c r="AB855">
        <v>0.167341161824</v>
      </c>
      <c r="AC855">
        <v>0.11080724531400001</v>
      </c>
      <c r="AD855" t="s">
        <v>162</v>
      </c>
      <c r="AE855" t="s">
        <v>166</v>
      </c>
      <c r="AF855" t="s">
        <v>180</v>
      </c>
      <c r="AG855" t="s">
        <v>163</v>
      </c>
      <c r="AH855" t="s">
        <v>162</v>
      </c>
      <c r="AI855" t="s">
        <v>226</v>
      </c>
      <c r="AJ855" t="s">
        <v>154</v>
      </c>
      <c r="AK855" t="s">
        <v>162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s="60">
        <f t="shared" si="13"/>
        <v>1</v>
      </c>
      <c r="AU855" t="s">
        <v>546</v>
      </c>
      <c r="AV855" t="s">
        <v>165</v>
      </c>
      <c r="AW855" t="s">
        <v>166</v>
      </c>
      <c r="AX855">
        <v>0</v>
      </c>
      <c r="AY855" t="s">
        <v>167</v>
      </c>
      <c r="AZ855" t="s">
        <v>162</v>
      </c>
    </row>
    <row r="856" spans="1:52" x14ac:dyDescent="0.25">
      <c r="A856">
        <v>845</v>
      </c>
      <c r="B856" t="s">
        <v>674</v>
      </c>
      <c r="C856" t="s">
        <v>151</v>
      </c>
      <c r="D856" t="s">
        <v>675</v>
      </c>
      <c r="E856" t="s">
        <v>172</v>
      </c>
      <c r="F856" t="s">
        <v>154</v>
      </c>
      <c r="G856" t="s">
        <v>162</v>
      </c>
      <c r="H856">
        <v>0</v>
      </c>
      <c r="I856" t="s">
        <v>828</v>
      </c>
      <c r="J856">
        <v>0</v>
      </c>
      <c r="K856">
        <v>0</v>
      </c>
      <c r="L856" t="s">
        <v>1617</v>
      </c>
      <c r="M856">
        <v>0</v>
      </c>
      <c r="N856" t="s">
        <v>7</v>
      </c>
      <c r="O856" t="s">
        <v>7</v>
      </c>
      <c r="P856" t="s">
        <v>175</v>
      </c>
      <c r="Q856" t="s">
        <v>162</v>
      </c>
      <c r="R856" t="s">
        <v>734</v>
      </c>
      <c r="S856">
        <v>2021</v>
      </c>
      <c r="T856">
        <v>10</v>
      </c>
      <c r="U856" t="s">
        <v>208</v>
      </c>
      <c r="V856" t="s">
        <v>162</v>
      </c>
      <c r="W856">
        <v>0</v>
      </c>
      <c r="X856">
        <v>0</v>
      </c>
      <c r="Y856" t="s">
        <v>162</v>
      </c>
      <c r="Z856">
        <v>2021</v>
      </c>
      <c r="AA856">
        <v>0</v>
      </c>
      <c r="AB856">
        <v>0.29736686272899998</v>
      </c>
      <c r="AC856">
        <v>0.59473372545900005</v>
      </c>
      <c r="AD856" t="s">
        <v>154</v>
      </c>
      <c r="AE856" t="s">
        <v>154</v>
      </c>
      <c r="AF856" t="s">
        <v>154</v>
      </c>
      <c r="AG856" t="s">
        <v>154</v>
      </c>
      <c r="AH856" t="s">
        <v>162</v>
      </c>
      <c r="AI856" t="s">
        <v>226</v>
      </c>
      <c r="AJ856" t="s">
        <v>154</v>
      </c>
      <c r="AK856" t="s">
        <v>162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 s="60">
        <f t="shared" si="13"/>
        <v>1</v>
      </c>
      <c r="AU856" t="s">
        <v>213</v>
      </c>
      <c r="AV856" t="s">
        <v>165</v>
      </c>
      <c r="AW856" t="s">
        <v>166</v>
      </c>
      <c r="AX856">
        <v>0</v>
      </c>
      <c r="AY856" t="s">
        <v>167</v>
      </c>
      <c r="AZ856" t="s">
        <v>162</v>
      </c>
    </row>
    <row r="857" spans="1:52" x14ac:dyDescent="0.25">
      <c r="A857">
        <v>846</v>
      </c>
      <c r="B857" t="s">
        <v>674</v>
      </c>
      <c r="C857" t="s">
        <v>151</v>
      </c>
      <c r="D857" t="s">
        <v>675</v>
      </c>
      <c r="E857" t="s">
        <v>172</v>
      </c>
      <c r="F857" t="s">
        <v>154</v>
      </c>
      <c r="G857" t="s">
        <v>162</v>
      </c>
      <c r="H857">
        <v>0</v>
      </c>
      <c r="I857" t="s">
        <v>1617</v>
      </c>
      <c r="J857">
        <v>0</v>
      </c>
      <c r="K857">
        <v>0</v>
      </c>
      <c r="L857" t="s">
        <v>570</v>
      </c>
      <c r="M857">
        <v>0</v>
      </c>
      <c r="N857" t="s">
        <v>7</v>
      </c>
      <c r="O857" t="s">
        <v>7</v>
      </c>
      <c r="P857" t="s">
        <v>175</v>
      </c>
      <c r="Q857" t="s">
        <v>162</v>
      </c>
      <c r="R857" t="s">
        <v>734</v>
      </c>
      <c r="S857">
        <v>2021</v>
      </c>
      <c r="T857">
        <v>10</v>
      </c>
      <c r="U857" t="s">
        <v>208</v>
      </c>
      <c r="V857" t="s">
        <v>162</v>
      </c>
      <c r="W857">
        <v>0</v>
      </c>
      <c r="X857">
        <v>0</v>
      </c>
      <c r="Y857" t="s">
        <v>162</v>
      </c>
      <c r="Z857">
        <v>2021</v>
      </c>
      <c r="AA857">
        <v>0</v>
      </c>
      <c r="AB857">
        <v>0.263500038484</v>
      </c>
      <c r="AC857">
        <v>0.527000076968</v>
      </c>
      <c r="AD857" t="s">
        <v>154</v>
      </c>
      <c r="AE857" t="s">
        <v>154</v>
      </c>
      <c r="AF857" t="s">
        <v>154</v>
      </c>
      <c r="AG857" t="s">
        <v>154</v>
      </c>
      <c r="AH857" t="s">
        <v>162</v>
      </c>
      <c r="AI857" t="s">
        <v>226</v>
      </c>
      <c r="AJ857" t="s">
        <v>154</v>
      </c>
      <c r="AK857" t="s">
        <v>162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 s="60">
        <f t="shared" si="13"/>
        <v>1</v>
      </c>
      <c r="AU857" t="s">
        <v>213</v>
      </c>
      <c r="AV857" t="s">
        <v>165</v>
      </c>
      <c r="AW857" t="s">
        <v>166</v>
      </c>
      <c r="AX857">
        <v>0</v>
      </c>
      <c r="AY857" t="s">
        <v>167</v>
      </c>
      <c r="AZ857" t="s">
        <v>162</v>
      </c>
    </row>
    <row r="858" spans="1:52" x14ac:dyDescent="0.25">
      <c r="A858">
        <v>847</v>
      </c>
      <c r="B858" t="s">
        <v>1618</v>
      </c>
      <c r="C858" t="s">
        <v>151</v>
      </c>
      <c r="D858" t="s">
        <v>1619</v>
      </c>
      <c r="E858" t="s">
        <v>216</v>
      </c>
      <c r="F858" t="s">
        <v>162</v>
      </c>
      <c r="G858" t="s">
        <v>162</v>
      </c>
      <c r="H858">
        <v>0</v>
      </c>
      <c r="I858" t="s">
        <v>811</v>
      </c>
      <c r="J858">
        <v>0</v>
      </c>
      <c r="K858">
        <v>0</v>
      </c>
      <c r="L858" t="s">
        <v>521</v>
      </c>
      <c r="M858">
        <v>0</v>
      </c>
      <c r="N858" t="s">
        <v>11</v>
      </c>
      <c r="O858" t="s">
        <v>327</v>
      </c>
      <c r="P858" t="s">
        <v>175</v>
      </c>
      <c r="Q858" t="s">
        <v>162</v>
      </c>
      <c r="R858" t="s">
        <v>1620</v>
      </c>
      <c r="S858">
        <v>2021</v>
      </c>
      <c r="T858">
        <v>8</v>
      </c>
      <c r="U858" t="s">
        <v>545</v>
      </c>
      <c r="V858" t="s">
        <v>162</v>
      </c>
      <c r="W858">
        <v>0</v>
      </c>
      <c r="X858">
        <v>0</v>
      </c>
      <c r="Y858" t="s">
        <v>162</v>
      </c>
      <c r="Z858">
        <v>2021</v>
      </c>
      <c r="AA858">
        <v>0</v>
      </c>
      <c r="AB858">
        <v>0.75476144900700004</v>
      </c>
      <c r="AC858">
        <v>1.5095228980099999</v>
      </c>
      <c r="AD858" t="s">
        <v>162</v>
      </c>
      <c r="AE858" t="s">
        <v>163</v>
      </c>
      <c r="AF858" t="s">
        <v>162</v>
      </c>
      <c r="AG858" t="s">
        <v>163</v>
      </c>
      <c r="AH858" t="s">
        <v>162</v>
      </c>
      <c r="AI858" t="s">
        <v>162</v>
      </c>
      <c r="AJ858" t="s">
        <v>162</v>
      </c>
      <c r="AK858" t="s">
        <v>162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 s="60">
        <f t="shared" si="13"/>
        <v>1</v>
      </c>
      <c r="AU858" t="s">
        <v>546</v>
      </c>
      <c r="AV858" t="s">
        <v>165</v>
      </c>
      <c r="AW858" t="s">
        <v>163</v>
      </c>
      <c r="AX858">
        <v>0</v>
      </c>
      <c r="AY858" t="s">
        <v>167</v>
      </c>
      <c r="AZ858" t="s">
        <v>162</v>
      </c>
    </row>
    <row r="859" spans="1:52" x14ac:dyDescent="0.25">
      <c r="A859">
        <v>848</v>
      </c>
      <c r="B859" t="s">
        <v>1618</v>
      </c>
      <c r="C859" t="s">
        <v>151</v>
      </c>
      <c r="D859" t="s">
        <v>1619</v>
      </c>
      <c r="E859" t="s">
        <v>216</v>
      </c>
      <c r="F859" t="s">
        <v>162</v>
      </c>
      <c r="G859">
        <v>2400</v>
      </c>
      <c r="H859">
        <v>2401</v>
      </c>
      <c r="I859" t="s">
        <v>378</v>
      </c>
      <c r="J859">
        <v>2000</v>
      </c>
      <c r="K859">
        <v>2001</v>
      </c>
      <c r="L859" t="s">
        <v>191</v>
      </c>
      <c r="M859">
        <v>0</v>
      </c>
      <c r="N859" t="s">
        <v>11</v>
      </c>
      <c r="O859" t="s">
        <v>327</v>
      </c>
      <c r="P859" t="s">
        <v>175</v>
      </c>
      <c r="Q859" t="s">
        <v>162</v>
      </c>
      <c r="R859" t="s">
        <v>1621</v>
      </c>
      <c r="S859">
        <v>2021</v>
      </c>
      <c r="T859">
        <v>8</v>
      </c>
      <c r="U859" t="s">
        <v>545</v>
      </c>
      <c r="V859" t="s">
        <v>162</v>
      </c>
      <c r="W859">
        <v>0</v>
      </c>
      <c r="X859">
        <v>0</v>
      </c>
      <c r="Y859" t="s">
        <v>162</v>
      </c>
      <c r="Z859">
        <v>2021</v>
      </c>
      <c r="AA859">
        <v>0</v>
      </c>
      <c r="AB859">
        <v>0.500826743736</v>
      </c>
      <c r="AC859">
        <v>1.00165348747</v>
      </c>
      <c r="AD859" t="s">
        <v>162</v>
      </c>
      <c r="AE859" t="s">
        <v>163</v>
      </c>
      <c r="AF859" t="s">
        <v>162</v>
      </c>
      <c r="AG859" t="s">
        <v>163</v>
      </c>
      <c r="AH859" t="s">
        <v>162</v>
      </c>
      <c r="AI859" t="s">
        <v>162</v>
      </c>
      <c r="AJ859" t="s">
        <v>162</v>
      </c>
      <c r="AK859" t="s">
        <v>162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s="60">
        <f t="shared" si="13"/>
        <v>1</v>
      </c>
      <c r="AU859" t="s">
        <v>546</v>
      </c>
      <c r="AV859" t="s">
        <v>165</v>
      </c>
      <c r="AW859" t="s">
        <v>163</v>
      </c>
      <c r="AX859">
        <v>0</v>
      </c>
      <c r="AY859" t="s">
        <v>167</v>
      </c>
      <c r="AZ859" t="s">
        <v>162</v>
      </c>
    </row>
    <row r="860" spans="1:52" x14ac:dyDescent="0.25">
      <c r="A860">
        <v>849</v>
      </c>
      <c r="B860" t="s">
        <v>1212</v>
      </c>
      <c r="C860" t="s">
        <v>203</v>
      </c>
      <c r="D860" t="s">
        <v>1213</v>
      </c>
      <c r="E860" t="s">
        <v>172</v>
      </c>
      <c r="F860" t="s">
        <v>162</v>
      </c>
      <c r="G860" t="s">
        <v>162</v>
      </c>
      <c r="H860">
        <v>0</v>
      </c>
      <c r="I860" t="s">
        <v>787</v>
      </c>
      <c r="J860">
        <v>0</v>
      </c>
      <c r="K860">
        <v>0</v>
      </c>
      <c r="L860" t="s">
        <v>1036</v>
      </c>
      <c r="M860">
        <v>0</v>
      </c>
      <c r="N860" t="s">
        <v>9</v>
      </c>
      <c r="O860" t="s">
        <v>9</v>
      </c>
      <c r="P860" t="s">
        <v>175</v>
      </c>
      <c r="Q860" t="s">
        <v>162</v>
      </c>
      <c r="R860" t="s">
        <v>1622</v>
      </c>
      <c r="S860">
        <v>2021</v>
      </c>
      <c r="T860">
        <v>10</v>
      </c>
      <c r="U860" t="s">
        <v>162</v>
      </c>
      <c r="V860" t="s">
        <v>162</v>
      </c>
      <c r="W860">
        <v>0</v>
      </c>
      <c r="X860">
        <v>0</v>
      </c>
      <c r="Y860" t="s">
        <v>162</v>
      </c>
      <c r="Z860">
        <v>2021</v>
      </c>
      <c r="AA860">
        <v>2021</v>
      </c>
      <c r="AB860">
        <v>0.50715957276500001</v>
      </c>
      <c r="AC860">
        <v>1.01431914553</v>
      </c>
      <c r="AD860" t="s">
        <v>162</v>
      </c>
      <c r="AE860" t="s">
        <v>163</v>
      </c>
      <c r="AF860" t="s">
        <v>162</v>
      </c>
      <c r="AG860" t="s">
        <v>162</v>
      </c>
      <c r="AH860" t="s">
        <v>162</v>
      </c>
      <c r="AI860" t="s">
        <v>162</v>
      </c>
      <c r="AJ860" t="s">
        <v>162</v>
      </c>
      <c r="AK860" t="s">
        <v>162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 s="60">
        <f t="shared" si="13"/>
        <v>1</v>
      </c>
      <c r="AU860" t="s">
        <v>1599</v>
      </c>
      <c r="AV860" t="s">
        <v>165</v>
      </c>
      <c r="AW860" t="s">
        <v>163</v>
      </c>
      <c r="AX860">
        <v>0</v>
      </c>
      <c r="AY860" t="s">
        <v>167</v>
      </c>
      <c r="AZ860" t="s">
        <v>162</v>
      </c>
    </row>
    <row r="861" spans="1:52" x14ac:dyDescent="0.25">
      <c r="A861">
        <v>850</v>
      </c>
      <c r="B861" t="s">
        <v>345</v>
      </c>
      <c r="C861" t="s">
        <v>180</v>
      </c>
      <c r="D861" t="s">
        <v>346</v>
      </c>
      <c r="E861" t="s">
        <v>172</v>
      </c>
      <c r="F861" t="s">
        <v>163</v>
      </c>
      <c r="G861">
        <v>9801</v>
      </c>
      <c r="H861">
        <v>9800</v>
      </c>
      <c r="I861" t="s">
        <v>903</v>
      </c>
      <c r="J861">
        <v>0</v>
      </c>
      <c r="K861">
        <v>0</v>
      </c>
      <c r="L861" t="s">
        <v>640</v>
      </c>
      <c r="M861">
        <v>2</v>
      </c>
      <c r="N861" t="s">
        <v>11</v>
      </c>
      <c r="O861" t="s">
        <v>11</v>
      </c>
      <c r="P861" t="s">
        <v>175</v>
      </c>
      <c r="Q861" t="s">
        <v>162</v>
      </c>
      <c r="R861" t="s">
        <v>839</v>
      </c>
      <c r="S861">
        <v>2009</v>
      </c>
      <c r="T861">
        <v>11</v>
      </c>
      <c r="U861" t="s">
        <v>162</v>
      </c>
      <c r="V861" t="s">
        <v>177</v>
      </c>
      <c r="W861">
        <v>2011</v>
      </c>
      <c r="X861">
        <v>5</v>
      </c>
      <c r="Y861" t="s">
        <v>162</v>
      </c>
      <c r="Z861">
        <v>2011</v>
      </c>
      <c r="AA861">
        <v>2009</v>
      </c>
      <c r="AB861">
        <v>6.6896270972199995E-2</v>
      </c>
      <c r="AC861">
        <v>0.133792541944</v>
      </c>
      <c r="AD861" t="s">
        <v>162</v>
      </c>
      <c r="AE861" t="s">
        <v>163</v>
      </c>
      <c r="AF861" t="s">
        <v>162</v>
      </c>
      <c r="AG861" t="s">
        <v>163</v>
      </c>
      <c r="AH861" t="s">
        <v>162</v>
      </c>
      <c r="AI861" t="s">
        <v>162</v>
      </c>
      <c r="AJ861" t="s">
        <v>162</v>
      </c>
      <c r="AK861" t="s">
        <v>162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 s="60">
        <f t="shared" si="13"/>
        <v>1</v>
      </c>
      <c r="AU861" t="s">
        <v>546</v>
      </c>
      <c r="AV861" t="s">
        <v>165</v>
      </c>
      <c r="AW861" t="s">
        <v>163</v>
      </c>
      <c r="AX861">
        <v>2</v>
      </c>
      <c r="AY861" t="s">
        <v>167</v>
      </c>
      <c r="AZ861" t="s">
        <v>162</v>
      </c>
    </row>
    <row r="862" spans="1:52" x14ac:dyDescent="0.25">
      <c r="A862">
        <v>851</v>
      </c>
      <c r="B862" t="s">
        <v>924</v>
      </c>
      <c r="C862" t="s">
        <v>180</v>
      </c>
      <c r="D862" t="s">
        <v>925</v>
      </c>
      <c r="E862" t="s">
        <v>172</v>
      </c>
      <c r="F862" t="s">
        <v>162</v>
      </c>
      <c r="G862" t="s">
        <v>162</v>
      </c>
      <c r="H862">
        <v>0</v>
      </c>
      <c r="I862" t="s">
        <v>1623</v>
      </c>
      <c r="J862">
        <v>0</v>
      </c>
      <c r="K862">
        <v>0</v>
      </c>
      <c r="L862" t="s">
        <v>926</v>
      </c>
      <c r="M862">
        <v>0</v>
      </c>
      <c r="N862" t="s">
        <v>15</v>
      </c>
      <c r="O862" t="s">
        <v>15</v>
      </c>
      <c r="P862" t="s">
        <v>175</v>
      </c>
      <c r="Q862" t="s">
        <v>162</v>
      </c>
      <c r="R862" t="s">
        <v>473</v>
      </c>
      <c r="S862">
        <v>2021</v>
      </c>
      <c r="T862">
        <v>7</v>
      </c>
      <c r="U862" t="s">
        <v>162</v>
      </c>
      <c r="V862" t="s">
        <v>162</v>
      </c>
      <c r="W862">
        <v>0</v>
      </c>
      <c r="X862">
        <v>0</v>
      </c>
      <c r="Y862" t="s">
        <v>162</v>
      </c>
      <c r="Z862">
        <v>2021</v>
      </c>
      <c r="AA862">
        <v>2021</v>
      </c>
      <c r="AB862">
        <v>0.40351202362999999</v>
      </c>
      <c r="AC862">
        <v>0.80702404725999999</v>
      </c>
      <c r="AD862" t="s">
        <v>162</v>
      </c>
      <c r="AE862" t="s">
        <v>163</v>
      </c>
      <c r="AF862" t="s">
        <v>162</v>
      </c>
      <c r="AG862" t="s">
        <v>163</v>
      </c>
      <c r="AH862" t="s">
        <v>162</v>
      </c>
      <c r="AI862" t="s">
        <v>162</v>
      </c>
      <c r="AJ862" t="s">
        <v>163</v>
      </c>
      <c r="AK862" t="s">
        <v>162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 s="60">
        <f t="shared" si="13"/>
        <v>1</v>
      </c>
      <c r="AU862" t="s">
        <v>546</v>
      </c>
      <c r="AV862" t="s">
        <v>165</v>
      </c>
      <c r="AW862" t="s">
        <v>163</v>
      </c>
      <c r="AX862">
        <v>0</v>
      </c>
      <c r="AY862" t="s">
        <v>167</v>
      </c>
      <c r="AZ862" t="s">
        <v>162</v>
      </c>
    </row>
    <row r="863" spans="1:52" x14ac:dyDescent="0.25">
      <c r="A863">
        <v>852</v>
      </c>
      <c r="B863" t="s">
        <v>1624</v>
      </c>
      <c r="C863" t="s">
        <v>163</v>
      </c>
      <c r="D863" t="s">
        <v>1625</v>
      </c>
      <c r="E863" t="s">
        <v>216</v>
      </c>
      <c r="F863" t="s">
        <v>162</v>
      </c>
      <c r="G863">
        <v>5600</v>
      </c>
      <c r="H863">
        <v>5601</v>
      </c>
      <c r="I863" t="s">
        <v>603</v>
      </c>
      <c r="J863">
        <v>6200</v>
      </c>
      <c r="K863">
        <v>6201</v>
      </c>
      <c r="L863" t="s">
        <v>482</v>
      </c>
      <c r="M863">
        <v>0</v>
      </c>
      <c r="N863" t="s">
        <v>11</v>
      </c>
      <c r="O863" t="s">
        <v>11</v>
      </c>
      <c r="P863" t="s">
        <v>175</v>
      </c>
      <c r="Q863" t="s">
        <v>162</v>
      </c>
      <c r="R863" t="s">
        <v>473</v>
      </c>
      <c r="S863">
        <v>2021</v>
      </c>
      <c r="T863">
        <v>10</v>
      </c>
      <c r="U863" t="s">
        <v>162</v>
      </c>
      <c r="V863" t="s">
        <v>162</v>
      </c>
      <c r="W863">
        <v>0</v>
      </c>
      <c r="X863">
        <v>0</v>
      </c>
      <c r="Y863" t="s">
        <v>162</v>
      </c>
      <c r="Z863">
        <v>2021</v>
      </c>
      <c r="AA863">
        <v>2021</v>
      </c>
      <c r="AB863">
        <v>0.69588840700999999</v>
      </c>
      <c r="AC863">
        <v>1.39177681402</v>
      </c>
      <c r="AD863" t="s">
        <v>162</v>
      </c>
      <c r="AE863" t="s">
        <v>163</v>
      </c>
      <c r="AF863" t="s">
        <v>162</v>
      </c>
      <c r="AG863" t="s">
        <v>163</v>
      </c>
      <c r="AH863" t="s">
        <v>162</v>
      </c>
      <c r="AI863" t="s">
        <v>162</v>
      </c>
      <c r="AJ863" t="s">
        <v>162</v>
      </c>
      <c r="AK863" t="s">
        <v>162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 s="60">
        <f t="shared" si="13"/>
        <v>1</v>
      </c>
      <c r="AU863" t="s">
        <v>546</v>
      </c>
      <c r="AV863" t="s">
        <v>165</v>
      </c>
      <c r="AW863" t="s">
        <v>163</v>
      </c>
      <c r="AX863">
        <v>0</v>
      </c>
      <c r="AY863" t="s">
        <v>167</v>
      </c>
      <c r="AZ863" t="s">
        <v>162</v>
      </c>
    </row>
    <row r="864" spans="1:52" x14ac:dyDescent="0.25">
      <c r="A864">
        <v>853</v>
      </c>
      <c r="B864" t="s">
        <v>1551</v>
      </c>
      <c r="C864" t="s">
        <v>163</v>
      </c>
      <c r="D864" t="s">
        <v>409</v>
      </c>
      <c r="E864" t="s">
        <v>216</v>
      </c>
      <c r="F864" t="s">
        <v>162</v>
      </c>
      <c r="G864" t="s">
        <v>162</v>
      </c>
      <c r="H864">
        <v>0</v>
      </c>
      <c r="I864" t="s">
        <v>230</v>
      </c>
      <c r="J864">
        <v>0</v>
      </c>
      <c r="K864">
        <v>0</v>
      </c>
      <c r="L864" t="s">
        <v>384</v>
      </c>
      <c r="M864">
        <v>0</v>
      </c>
      <c r="N864" t="s">
        <v>11</v>
      </c>
      <c r="O864" t="s">
        <v>327</v>
      </c>
      <c r="P864" t="s">
        <v>175</v>
      </c>
      <c r="Q864" t="s">
        <v>162</v>
      </c>
      <c r="R864" t="s">
        <v>473</v>
      </c>
      <c r="S864">
        <v>2021</v>
      </c>
      <c r="T864">
        <v>10</v>
      </c>
      <c r="U864" t="s">
        <v>545</v>
      </c>
      <c r="V864" t="s">
        <v>162</v>
      </c>
      <c r="W864">
        <v>0</v>
      </c>
      <c r="X864">
        <v>0</v>
      </c>
      <c r="Y864" t="s">
        <v>162</v>
      </c>
      <c r="Z864">
        <v>2021</v>
      </c>
      <c r="AA864">
        <v>2021</v>
      </c>
      <c r="AB864">
        <v>1.12922337961</v>
      </c>
      <c r="AC864">
        <v>2.2584467592199999</v>
      </c>
      <c r="AD864" t="s">
        <v>162</v>
      </c>
      <c r="AE864" t="s">
        <v>163</v>
      </c>
      <c r="AF864" t="s">
        <v>162</v>
      </c>
      <c r="AG864" t="s">
        <v>163</v>
      </c>
      <c r="AH864" t="s">
        <v>162</v>
      </c>
      <c r="AI864" t="s">
        <v>162</v>
      </c>
      <c r="AJ864" t="s">
        <v>162</v>
      </c>
      <c r="AK864" t="s">
        <v>162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 s="60">
        <f t="shared" si="13"/>
        <v>1</v>
      </c>
      <c r="AU864" t="s">
        <v>546</v>
      </c>
      <c r="AV864" t="s">
        <v>165</v>
      </c>
      <c r="AW864" t="s">
        <v>163</v>
      </c>
      <c r="AX864">
        <v>0</v>
      </c>
      <c r="AY864" t="s">
        <v>167</v>
      </c>
      <c r="AZ864" t="s">
        <v>162</v>
      </c>
    </row>
    <row r="865" spans="1:52" x14ac:dyDescent="0.25">
      <c r="A865">
        <v>854</v>
      </c>
      <c r="B865" t="s">
        <v>1449</v>
      </c>
      <c r="C865" t="s">
        <v>151</v>
      </c>
      <c r="D865" t="s">
        <v>1450</v>
      </c>
      <c r="E865" t="s">
        <v>153</v>
      </c>
      <c r="F865" t="s">
        <v>162</v>
      </c>
      <c r="G865">
        <v>3200</v>
      </c>
      <c r="H865">
        <v>3201</v>
      </c>
      <c r="I865" t="s">
        <v>156</v>
      </c>
      <c r="J865">
        <v>2800</v>
      </c>
      <c r="K865">
        <v>2801</v>
      </c>
      <c r="L865" t="s">
        <v>443</v>
      </c>
      <c r="M865">
        <v>0</v>
      </c>
      <c r="N865" t="s">
        <v>9</v>
      </c>
      <c r="O865" t="s">
        <v>9</v>
      </c>
      <c r="P865" t="s">
        <v>175</v>
      </c>
      <c r="Q865" t="s">
        <v>162</v>
      </c>
      <c r="R865" t="s">
        <v>863</v>
      </c>
      <c r="S865">
        <v>2021</v>
      </c>
      <c r="T865">
        <v>9</v>
      </c>
      <c r="U865" t="s">
        <v>162</v>
      </c>
      <c r="V865" t="s">
        <v>162</v>
      </c>
      <c r="W865">
        <v>0</v>
      </c>
      <c r="X865">
        <v>0</v>
      </c>
      <c r="Y865" t="s">
        <v>162</v>
      </c>
      <c r="Z865">
        <v>2021</v>
      </c>
      <c r="AA865">
        <v>2021</v>
      </c>
      <c r="AB865">
        <v>0.50621115068099998</v>
      </c>
      <c r="AC865">
        <v>1.01242230136</v>
      </c>
      <c r="AD865" t="s">
        <v>162</v>
      </c>
      <c r="AE865" t="s">
        <v>163</v>
      </c>
      <c r="AF865" t="s">
        <v>162</v>
      </c>
      <c r="AG865" t="s">
        <v>163</v>
      </c>
      <c r="AH865" t="s">
        <v>162</v>
      </c>
      <c r="AI865" t="s">
        <v>162</v>
      </c>
      <c r="AJ865" t="s">
        <v>163</v>
      </c>
      <c r="AK865" t="s">
        <v>162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s="60">
        <f t="shared" si="13"/>
        <v>1</v>
      </c>
      <c r="AU865" t="s">
        <v>546</v>
      </c>
      <c r="AV865" t="s">
        <v>165</v>
      </c>
      <c r="AW865" t="s">
        <v>163</v>
      </c>
      <c r="AX865">
        <v>0</v>
      </c>
      <c r="AY865" t="s">
        <v>167</v>
      </c>
      <c r="AZ865" t="s">
        <v>162</v>
      </c>
    </row>
    <row r="866" spans="1:52" x14ac:dyDescent="0.25">
      <c r="A866">
        <v>855</v>
      </c>
      <c r="B866" t="s">
        <v>1626</v>
      </c>
      <c r="C866" t="s">
        <v>180</v>
      </c>
      <c r="D866" t="s">
        <v>1305</v>
      </c>
      <c r="E866" t="s">
        <v>216</v>
      </c>
      <c r="F866" t="s">
        <v>180</v>
      </c>
      <c r="G866" t="s">
        <v>162</v>
      </c>
      <c r="H866">
        <v>0</v>
      </c>
      <c r="I866" t="s">
        <v>248</v>
      </c>
      <c r="J866">
        <v>0</v>
      </c>
      <c r="K866">
        <v>0</v>
      </c>
      <c r="L866" t="s">
        <v>341</v>
      </c>
      <c r="M866">
        <v>0</v>
      </c>
      <c r="N866" t="s">
        <v>13</v>
      </c>
      <c r="O866" t="s">
        <v>15</v>
      </c>
      <c r="P866" t="s">
        <v>175</v>
      </c>
      <c r="Q866" t="s">
        <v>162</v>
      </c>
      <c r="R866" t="s">
        <v>544</v>
      </c>
      <c r="S866">
        <v>2021</v>
      </c>
      <c r="T866">
        <v>9</v>
      </c>
      <c r="U866" t="s">
        <v>162</v>
      </c>
      <c r="V866" t="s">
        <v>162</v>
      </c>
      <c r="W866">
        <v>0</v>
      </c>
      <c r="X866">
        <v>0</v>
      </c>
      <c r="Y866" t="s">
        <v>162</v>
      </c>
      <c r="Z866">
        <v>2021</v>
      </c>
      <c r="AA866">
        <v>0</v>
      </c>
      <c r="AB866">
        <v>7.0326022740999999E-2</v>
      </c>
      <c r="AC866">
        <v>0.140652045482</v>
      </c>
      <c r="AD866" t="s">
        <v>162</v>
      </c>
      <c r="AE866" t="s">
        <v>163</v>
      </c>
      <c r="AF866" t="s">
        <v>162</v>
      </c>
      <c r="AG866" t="s">
        <v>163</v>
      </c>
      <c r="AH866" t="s">
        <v>162</v>
      </c>
      <c r="AI866" t="s">
        <v>162</v>
      </c>
      <c r="AJ866" t="s">
        <v>162</v>
      </c>
      <c r="AK866" t="s">
        <v>162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0</v>
      </c>
      <c r="AT866" s="60">
        <f t="shared" si="13"/>
        <v>1</v>
      </c>
      <c r="AU866" t="s">
        <v>546</v>
      </c>
      <c r="AV866" t="s">
        <v>165</v>
      </c>
      <c r="AW866" t="s">
        <v>163</v>
      </c>
      <c r="AX866">
        <v>0</v>
      </c>
      <c r="AY866" t="s">
        <v>275</v>
      </c>
      <c r="AZ866" t="s">
        <v>154</v>
      </c>
    </row>
    <row r="867" spans="1:52" x14ac:dyDescent="0.25">
      <c r="A867">
        <v>856</v>
      </c>
      <c r="B867" t="s">
        <v>1626</v>
      </c>
      <c r="C867" t="s">
        <v>180</v>
      </c>
      <c r="D867" t="s">
        <v>1305</v>
      </c>
      <c r="E867" t="s">
        <v>216</v>
      </c>
      <c r="F867" t="s">
        <v>180</v>
      </c>
      <c r="G867" t="s">
        <v>162</v>
      </c>
      <c r="H867">
        <v>0</v>
      </c>
      <c r="I867" t="s">
        <v>341</v>
      </c>
      <c r="J867">
        <v>1900</v>
      </c>
      <c r="K867">
        <v>1901</v>
      </c>
      <c r="L867" t="s">
        <v>410</v>
      </c>
      <c r="M867">
        <v>0</v>
      </c>
      <c r="N867" t="s">
        <v>13</v>
      </c>
      <c r="O867" t="s">
        <v>13</v>
      </c>
      <c r="P867" t="s">
        <v>175</v>
      </c>
      <c r="Q867" t="s">
        <v>162</v>
      </c>
      <c r="R867" t="s">
        <v>544</v>
      </c>
      <c r="S867">
        <v>2021</v>
      </c>
      <c r="T867">
        <v>9</v>
      </c>
      <c r="U867" t="s">
        <v>1627</v>
      </c>
      <c r="V867" t="s">
        <v>162</v>
      </c>
      <c r="W867">
        <v>0</v>
      </c>
      <c r="X867">
        <v>0</v>
      </c>
      <c r="Y867" t="s">
        <v>162</v>
      </c>
      <c r="Z867">
        <v>2021</v>
      </c>
      <c r="AA867">
        <v>0</v>
      </c>
      <c r="AB867">
        <v>0.16661341347799999</v>
      </c>
      <c r="AC867">
        <v>0.33322682695599998</v>
      </c>
      <c r="AD867" t="s">
        <v>162</v>
      </c>
      <c r="AE867" t="s">
        <v>163</v>
      </c>
      <c r="AF867" t="s">
        <v>162</v>
      </c>
      <c r="AG867" t="s">
        <v>166</v>
      </c>
      <c r="AH867" t="s">
        <v>162</v>
      </c>
      <c r="AI867" t="s">
        <v>162</v>
      </c>
      <c r="AJ867" t="s">
        <v>162</v>
      </c>
      <c r="AK867" t="s">
        <v>162</v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s="60">
        <f t="shared" si="13"/>
        <v>1</v>
      </c>
      <c r="AU867" t="s">
        <v>546</v>
      </c>
      <c r="AV867" t="s">
        <v>165</v>
      </c>
      <c r="AW867" t="s">
        <v>163</v>
      </c>
      <c r="AX867">
        <v>0</v>
      </c>
      <c r="AY867" t="s">
        <v>275</v>
      </c>
      <c r="AZ867" t="s">
        <v>154</v>
      </c>
    </row>
    <row r="868" spans="1:52" x14ac:dyDescent="0.25">
      <c r="A868">
        <v>857</v>
      </c>
      <c r="B868" t="s">
        <v>1626</v>
      </c>
      <c r="C868" t="s">
        <v>180</v>
      </c>
      <c r="D868" t="s">
        <v>1305</v>
      </c>
      <c r="E868" t="s">
        <v>216</v>
      </c>
      <c r="F868" t="s">
        <v>180</v>
      </c>
      <c r="G868">
        <v>1900</v>
      </c>
      <c r="H868">
        <v>1901</v>
      </c>
      <c r="I868" t="s">
        <v>410</v>
      </c>
      <c r="J868">
        <v>0</v>
      </c>
      <c r="K868">
        <v>0</v>
      </c>
      <c r="L868" t="s">
        <v>415</v>
      </c>
      <c r="M868">
        <v>0</v>
      </c>
      <c r="N868" t="s">
        <v>13</v>
      </c>
      <c r="O868" t="s">
        <v>11</v>
      </c>
      <c r="P868" t="s">
        <v>175</v>
      </c>
      <c r="Q868" t="s">
        <v>162</v>
      </c>
      <c r="R868" t="s">
        <v>544</v>
      </c>
      <c r="S868">
        <v>2021</v>
      </c>
      <c r="T868">
        <v>9</v>
      </c>
      <c r="U868" t="s">
        <v>162</v>
      </c>
      <c r="V868" t="s">
        <v>162</v>
      </c>
      <c r="W868">
        <v>0</v>
      </c>
      <c r="X868">
        <v>0</v>
      </c>
      <c r="Y868" t="s">
        <v>162</v>
      </c>
      <c r="Z868">
        <v>2021</v>
      </c>
      <c r="AA868">
        <v>0</v>
      </c>
      <c r="AB868">
        <v>0.48846535939800001</v>
      </c>
      <c r="AC868">
        <v>0.48846535939800001</v>
      </c>
      <c r="AD868" t="s">
        <v>162</v>
      </c>
      <c r="AE868" t="s">
        <v>166</v>
      </c>
      <c r="AF868" t="s">
        <v>180</v>
      </c>
      <c r="AG868" t="s">
        <v>163</v>
      </c>
      <c r="AH868" t="s">
        <v>162</v>
      </c>
      <c r="AI868" t="s">
        <v>162</v>
      </c>
      <c r="AJ868" t="s">
        <v>162</v>
      </c>
      <c r="AK868" t="s">
        <v>162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 s="60">
        <f t="shared" si="13"/>
        <v>1</v>
      </c>
      <c r="AU868" t="s">
        <v>546</v>
      </c>
      <c r="AV868" t="s">
        <v>165</v>
      </c>
      <c r="AW868" t="s">
        <v>163</v>
      </c>
      <c r="AX868">
        <v>0</v>
      </c>
      <c r="AY868" t="s">
        <v>275</v>
      </c>
      <c r="AZ868" t="s">
        <v>154</v>
      </c>
    </row>
    <row r="869" spans="1:52" x14ac:dyDescent="0.25">
      <c r="A869">
        <v>858</v>
      </c>
      <c r="B869" t="s">
        <v>1628</v>
      </c>
      <c r="C869" t="s">
        <v>151</v>
      </c>
      <c r="D869" t="s">
        <v>1629</v>
      </c>
      <c r="E869" t="s">
        <v>172</v>
      </c>
      <c r="F869" t="s">
        <v>203</v>
      </c>
      <c r="G869" t="s">
        <v>162</v>
      </c>
      <c r="H869">
        <v>0</v>
      </c>
      <c r="I869" t="s">
        <v>1611</v>
      </c>
      <c r="J869">
        <v>0</v>
      </c>
      <c r="K869">
        <v>0</v>
      </c>
      <c r="L869" t="s">
        <v>420</v>
      </c>
      <c r="M869">
        <v>0</v>
      </c>
      <c r="N869" t="s">
        <v>13</v>
      </c>
      <c r="O869" t="s">
        <v>11</v>
      </c>
      <c r="P869" t="s">
        <v>175</v>
      </c>
      <c r="Q869" t="s">
        <v>162</v>
      </c>
      <c r="R869" t="s">
        <v>544</v>
      </c>
      <c r="S869">
        <v>2021</v>
      </c>
      <c r="T869">
        <v>9</v>
      </c>
      <c r="U869" t="s">
        <v>162</v>
      </c>
      <c r="V869" t="s">
        <v>162</v>
      </c>
      <c r="W869">
        <v>0</v>
      </c>
      <c r="X869">
        <v>0</v>
      </c>
      <c r="Y869" t="s">
        <v>162</v>
      </c>
      <c r="Z869">
        <v>2021</v>
      </c>
      <c r="AA869">
        <v>0</v>
      </c>
      <c r="AB869">
        <v>5.9593836045699997E-2</v>
      </c>
      <c r="AC869">
        <v>5.9593836045699997E-2</v>
      </c>
      <c r="AD869" t="s">
        <v>162</v>
      </c>
      <c r="AE869" t="s">
        <v>166</v>
      </c>
      <c r="AF869" t="s">
        <v>203</v>
      </c>
      <c r="AG869" t="s">
        <v>163</v>
      </c>
      <c r="AH869" t="s">
        <v>162</v>
      </c>
      <c r="AI869" t="s">
        <v>162</v>
      </c>
      <c r="AJ869" t="s">
        <v>162</v>
      </c>
      <c r="AK869" t="s">
        <v>162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0</v>
      </c>
      <c r="AR869">
        <v>0</v>
      </c>
      <c r="AS869">
        <v>0</v>
      </c>
      <c r="AT869" s="60">
        <f t="shared" si="13"/>
        <v>1</v>
      </c>
      <c r="AU869" t="s">
        <v>546</v>
      </c>
      <c r="AV869" t="s">
        <v>165</v>
      </c>
      <c r="AW869" t="s">
        <v>163</v>
      </c>
      <c r="AX869">
        <v>0</v>
      </c>
      <c r="AY869" t="s">
        <v>275</v>
      </c>
      <c r="AZ869" t="s">
        <v>162</v>
      </c>
    </row>
    <row r="870" spans="1:52" x14ac:dyDescent="0.25">
      <c r="A870">
        <v>859</v>
      </c>
      <c r="B870" t="s">
        <v>1630</v>
      </c>
      <c r="C870" t="s">
        <v>180</v>
      </c>
      <c r="D870" t="s">
        <v>1631</v>
      </c>
      <c r="E870" t="s">
        <v>216</v>
      </c>
      <c r="F870" t="s">
        <v>163</v>
      </c>
      <c r="G870">
        <v>1900</v>
      </c>
      <c r="H870">
        <v>1901</v>
      </c>
      <c r="I870" t="s">
        <v>410</v>
      </c>
      <c r="J870">
        <v>0</v>
      </c>
      <c r="K870">
        <v>0</v>
      </c>
      <c r="L870" t="s">
        <v>415</v>
      </c>
      <c r="M870">
        <v>0</v>
      </c>
      <c r="N870" t="s">
        <v>13</v>
      </c>
      <c r="O870" t="s">
        <v>11</v>
      </c>
      <c r="P870" t="s">
        <v>175</v>
      </c>
      <c r="Q870" t="s">
        <v>162</v>
      </c>
      <c r="R870" t="s">
        <v>544</v>
      </c>
      <c r="S870">
        <v>2021</v>
      </c>
      <c r="T870">
        <v>9</v>
      </c>
      <c r="U870" t="s">
        <v>162</v>
      </c>
      <c r="V870" t="s">
        <v>162</v>
      </c>
      <c r="W870">
        <v>0</v>
      </c>
      <c r="X870">
        <v>0</v>
      </c>
      <c r="Y870" t="s">
        <v>162</v>
      </c>
      <c r="Z870">
        <v>2021</v>
      </c>
      <c r="AA870">
        <v>0</v>
      </c>
      <c r="AB870">
        <v>0.53616345338399996</v>
      </c>
      <c r="AC870">
        <v>0.53616345338399996</v>
      </c>
      <c r="AD870" t="s">
        <v>162</v>
      </c>
      <c r="AE870" t="s">
        <v>166</v>
      </c>
      <c r="AF870" t="s">
        <v>163</v>
      </c>
      <c r="AG870" t="s">
        <v>163</v>
      </c>
      <c r="AH870" t="s">
        <v>162</v>
      </c>
      <c r="AI870" t="s">
        <v>162</v>
      </c>
      <c r="AJ870" t="s">
        <v>162</v>
      </c>
      <c r="AK870" t="s">
        <v>162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0</v>
      </c>
      <c r="AS870">
        <v>0</v>
      </c>
      <c r="AT870" s="60">
        <f t="shared" si="13"/>
        <v>1</v>
      </c>
      <c r="AU870" t="s">
        <v>1576</v>
      </c>
      <c r="AV870" t="s">
        <v>165</v>
      </c>
      <c r="AW870" t="s">
        <v>163</v>
      </c>
      <c r="AX870">
        <v>0</v>
      </c>
      <c r="AY870" t="s">
        <v>275</v>
      </c>
      <c r="AZ870" t="s">
        <v>154</v>
      </c>
    </row>
    <row r="871" spans="1:52" x14ac:dyDescent="0.25">
      <c r="A871">
        <v>860</v>
      </c>
      <c r="B871" t="s">
        <v>757</v>
      </c>
      <c r="C871" t="s">
        <v>151</v>
      </c>
      <c r="D871" t="s">
        <v>758</v>
      </c>
      <c r="E871" t="s">
        <v>222</v>
      </c>
      <c r="F871" t="s">
        <v>154</v>
      </c>
      <c r="G871" t="s">
        <v>162</v>
      </c>
      <c r="H871">
        <v>0</v>
      </c>
      <c r="I871" t="s">
        <v>1039</v>
      </c>
      <c r="J871">
        <v>0</v>
      </c>
      <c r="K871">
        <v>0</v>
      </c>
      <c r="L871" t="s">
        <v>378</v>
      </c>
      <c r="M871">
        <v>0</v>
      </c>
      <c r="N871" t="s">
        <v>7</v>
      </c>
      <c r="O871" t="s">
        <v>760</v>
      </c>
      <c r="P871" t="s">
        <v>157</v>
      </c>
      <c r="Q871" t="s">
        <v>162</v>
      </c>
      <c r="R871" t="s">
        <v>500</v>
      </c>
      <c r="S871">
        <v>2022</v>
      </c>
      <c r="T871">
        <v>9</v>
      </c>
      <c r="U871" t="s">
        <v>761</v>
      </c>
      <c r="V871" t="s">
        <v>162</v>
      </c>
      <c r="W871">
        <v>0</v>
      </c>
      <c r="X871">
        <v>0</v>
      </c>
      <c r="Y871" t="s">
        <v>162</v>
      </c>
      <c r="Z871">
        <v>2021</v>
      </c>
      <c r="AA871">
        <v>0</v>
      </c>
      <c r="AB871">
        <v>0.154389533247</v>
      </c>
      <c r="AC871">
        <v>0.308779066494</v>
      </c>
      <c r="AD871" t="s">
        <v>154</v>
      </c>
      <c r="AE871" t="s">
        <v>163</v>
      </c>
      <c r="AF871" t="s">
        <v>154</v>
      </c>
      <c r="AG871" t="s">
        <v>163</v>
      </c>
      <c r="AH871" t="s">
        <v>162</v>
      </c>
      <c r="AI871" t="s">
        <v>504</v>
      </c>
      <c r="AJ871" t="s">
        <v>163</v>
      </c>
      <c r="AK871" t="s">
        <v>162</v>
      </c>
      <c r="AL871">
        <v>2022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s="60">
        <f t="shared" si="13"/>
        <v>1</v>
      </c>
      <c r="AU871" t="s">
        <v>213</v>
      </c>
      <c r="AV871" t="s">
        <v>165</v>
      </c>
      <c r="AW871" t="s">
        <v>166</v>
      </c>
      <c r="AX871">
        <v>2</v>
      </c>
      <c r="AY871" t="s">
        <v>167</v>
      </c>
      <c r="AZ871" t="s">
        <v>162</v>
      </c>
    </row>
    <row r="872" spans="1:52" x14ac:dyDescent="0.25">
      <c r="A872">
        <v>861</v>
      </c>
      <c r="B872" t="s">
        <v>1037</v>
      </c>
      <c r="C872" t="s">
        <v>151</v>
      </c>
      <c r="D872" t="s">
        <v>1038</v>
      </c>
      <c r="E872" t="s">
        <v>172</v>
      </c>
      <c r="F872" t="s">
        <v>203</v>
      </c>
      <c r="G872" t="s">
        <v>162</v>
      </c>
      <c r="H872">
        <v>0</v>
      </c>
      <c r="I872" t="s">
        <v>542</v>
      </c>
      <c r="J872">
        <v>0</v>
      </c>
      <c r="K872">
        <v>0</v>
      </c>
      <c r="L872" t="s">
        <v>833</v>
      </c>
      <c r="M872">
        <v>0</v>
      </c>
      <c r="N872" t="s">
        <v>13</v>
      </c>
      <c r="O872" t="s">
        <v>13</v>
      </c>
      <c r="P872" t="s">
        <v>175</v>
      </c>
      <c r="Q872" t="s">
        <v>162</v>
      </c>
      <c r="R872" t="s">
        <v>544</v>
      </c>
      <c r="S872">
        <v>2021</v>
      </c>
      <c r="T872">
        <v>10</v>
      </c>
      <c r="U872" t="s">
        <v>1627</v>
      </c>
      <c r="V872" t="s">
        <v>162</v>
      </c>
      <c r="W872">
        <v>0</v>
      </c>
      <c r="X872">
        <v>0</v>
      </c>
      <c r="Y872" t="s">
        <v>162</v>
      </c>
      <c r="Z872">
        <v>2021</v>
      </c>
      <c r="AA872">
        <v>0</v>
      </c>
      <c r="AB872">
        <v>2.0225681959299999</v>
      </c>
      <c r="AC872">
        <v>4.0451363918599998</v>
      </c>
      <c r="AD872" t="s">
        <v>162</v>
      </c>
      <c r="AE872" t="s">
        <v>163</v>
      </c>
      <c r="AF872" t="s">
        <v>162</v>
      </c>
      <c r="AG872" t="s">
        <v>166</v>
      </c>
      <c r="AH872" t="s">
        <v>162</v>
      </c>
      <c r="AI872" t="s">
        <v>162</v>
      </c>
      <c r="AJ872" t="s">
        <v>162</v>
      </c>
      <c r="AK872" t="s">
        <v>162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s="60">
        <f t="shared" si="13"/>
        <v>1</v>
      </c>
      <c r="AU872" t="s">
        <v>1632</v>
      </c>
      <c r="AV872" t="s">
        <v>165</v>
      </c>
      <c r="AW872" t="s">
        <v>163</v>
      </c>
      <c r="AX872">
        <v>0</v>
      </c>
      <c r="AY872" t="s">
        <v>275</v>
      </c>
      <c r="AZ872" t="s">
        <v>154</v>
      </c>
    </row>
    <row r="873" spans="1:52" x14ac:dyDescent="0.25">
      <c r="A873">
        <v>862</v>
      </c>
      <c r="B873" t="s">
        <v>1037</v>
      </c>
      <c r="C873" t="s">
        <v>151</v>
      </c>
      <c r="D873" t="s">
        <v>1038</v>
      </c>
      <c r="E873" t="s">
        <v>172</v>
      </c>
      <c r="F873" t="s">
        <v>162</v>
      </c>
      <c r="G873" t="s">
        <v>162</v>
      </c>
      <c r="H873">
        <v>0</v>
      </c>
      <c r="I873" t="s">
        <v>833</v>
      </c>
      <c r="J873">
        <v>0</v>
      </c>
      <c r="K873">
        <v>0</v>
      </c>
      <c r="L873" t="s">
        <v>1633</v>
      </c>
      <c r="M873">
        <v>0</v>
      </c>
      <c r="N873" t="s">
        <v>13</v>
      </c>
      <c r="O873" t="s">
        <v>15</v>
      </c>
      <c r="P873" t="s">
        <v>175</v>
      </c>
      <c r="Q873" t="s">
        <v>162</v>
      </c>
      <c r="R873" t="s">
        <v>544</v>
      </c>
      <c r="S873">
        <v>2021</v>
      </c>
      <c r="T873">
        <v>10</v>
      </c>
      <c r="U873" t="s">
        <v>162</v>
      </c>
      <c r="V873" t="s">
        <v>162</v>
      </c>
      <c r="W873">
        <v>0</v>
      </c>
      <c r="X873">
        <v>0</v>
      </c>
      <c r="Y873" t="s">
        <v>162</v>
      </c>
      <c r="Z873">
        <v>2021</v>
      </c>
      <c r="AA873">
        <v>0</v>
      </c>
      <c r="AB873">
        <v>0.37952500104999998</v>
      </c>
      <c r="AC873">
        <v>0.75905000209999995</v>
      </c>
      <c r="AD873" t="s">
        <v>162</v>
      </c>
      <c r="AE873" t="s">
        <v>163</v>
      </c>
      <c r="AF873" t="s">
        <v>162</v>
      </c>
      <c r="AG873" t="s">
        <v>163</v>
      </c>
      <c r="AH873" t="s">
        <v>162</v>
      </c>
      <c r="AI873" t="s">
        <v>162</v>
      </c>
      <c r="AJ873" t="s">
        <v>162</v>
      </c>
      <c r="AK873" t="s">
        <v>162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s="60">
        <f t="shared" si="13"/>
        <v>1</v>
      </c>
      <c r="AU873" t="s">
        <v>546</v>
      </c>
      <c r="AV873" t="s">
        <v>165</v>
      </c>
      <c r="AW873" t="s">
        <v>163</v>
      </c>
      <c r="AX873">
        <v>0</v>
      </c>
      <c r="AY873" t="s">
        <v>275</v>
      </c>
      <c r="AZ873" t="s">
        <v>154</v>
      </c>
    </row>
    <row r="874" spans="1:52" x14ac:dyDescent="0.25">
      <c r="A874">
        <v>863</v>
      </c>
      <c r="B874" t="s">
        <v>1037</v>
      </c>
      <c r="C874" t="s">
        <v>151</v>
      </c>
      <c r="D874" t="s">
        <v>1038</v>
      </c>
      <c r="E874" t="s">
        <v>172</v>
      </c>
      <c r="F874" t="s">
        <v>203</v>
      </c>
      <c r="G874" t="s">
        <v>162</v>
      </c>
      <c r="H874">
        <v>0</v>
      </c>
      <c r="I874" t="s">
        <v>1633</v>
      </c>
      <c r="J874">
        <v>0</v>
      </c>
      <c r="K874">
        <v>0</v>
      </c>
      <c r="L874" t="s">
        <v>1244</v>
      </c>
      <c r="M874">
        <v>0</v>
      </c>
      <c r="N874" t="s">
        <v>13</v>
      </c>
      <c r="O874" t="s">
        <v>13</v>
      </c>
      <c r="P874" t="s">
        <v>175</v>
      </c>
      <c r="Q874" t="s">
        <v>162</v>
      </c>
      <c r="R874" t="s">
        <v>544</v>
      </c>
      <c r="S874">
        <v>2021</v>
      </c>
      <c r="T874">
        <v>10</v>
      </c>
      <c r="U874" t="s">
        <v>1627</v>
      </c>
      <c r="V874" t="s">
        <v>162</v>
      </c>
      <c r="W874">
        <v>0</v>
      </c>
      <c r="X874">
        <v>0</v>
      </c>
      <c r="Y874" t="s">
        <v>162</v>
      </c>
      <c r="Z874">
        <v>2021</v>
      </c>
      <c r="AA874">
        <v>0</v>
      </c>
      <c r="AB874">
        <v>6.2967123297200001E-2</v>
      </c>
      <c r="AC874">
        <v>0.12593424659399999</v>
      </c>
      <c r="AD874" t="s">
        <v>162</v>
      </c>
      <c r="AE874" t="s">
        <v>163</v>
      </c>
      <c r="AF874" t="s">
        <v>162</v>
      </c>
      <c r="AG874" t="s">
        <v>166</v>
      </c>
      <c r="AH874" t="s">
        <v>162</v>
      </c>
      <c r="AI874" t="s">
        <v>162</v>
      </c>
      <c r="AJ874" t="s">
        <v>162</v>
      </c>
      <c r="AK874" t="s">
        <v>162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 s="60">
        <f t="shared" si="13"/>
        <v>1</v>
      </c>
      <c r="AU874" t="s">
        <v>546</v>
      </c>
      <c r="AV874" t="s">
        <v>165</v>
      </c>
      <c r="AW874" t="s">
        <v>163</v>
      </c>
      <c r="AX874">
        <v>0</v>
      </c>
      <c r="AY874" t="s">
        <v>275</v>
      </c>
      <c r="AZ874" t="s">
        <v>154</v>
      </c>
    </row>
    <row r="875" spans="1:52" x14ac:dyDescent="0.25">
      <c r="A875">
        <v>864</v>
      </c>
      <c r="B875" t="s">
        <v>1037</v>
      </c>
      <c r="C875" t="s">
        <v>151</v>
      </c>
      <c r="D875" t="s">
        <v>1038</v>
      </c>
      <c r="E875" t="s">
        <v>172</v>
      </c>
      <c r="F875" t="s">
        <v>203</v>
      </c>
      <c r="G875" t="s">
        <v>162</v>
      </c>
      <c r="H875">
        <v>0</v>
      </c>
      <c r="I875" t="s">
        <v>1244</v>
      </c>
      <c r="J875">
        <v>0</v>
      </c>
      <c r="K875">
        <v>0</v>
      </c>
      <c r="L875" t="s">
        <v>1634</v>
      </c>
      <c r="M875">
        <v>0</v>
      </c>
      <c r="N875" t="s">
        <v>13</v>
      </c>
      <c r="O875" t="s">
        <v>15</v>
      </c>
      <c r="P875" t="s">
        <v>175</v>
      </c>
      <c r="Q875" t="s">
        <v>162</v>
      </c>
      <c r="R875" t="s">
        <v>544</v>
      </c>
      <c r="S875">
        <v>2021</v>
      </c>
      <c r="T875">
        <v>10</v>
      </c>
      <c r="U875" t="s">
        <v>162</v>
      </c>
      <c r="V875" t="s">
        <v>162</v>
      </c>
      <c r="W875">
        <v>0</v>
      </c>
      <c r="X875">
        <v>0</v>
      </c>
      <c r="Y875" t="s">
        <v>162</v>
      </c>
      <c r="Z875">
        <v>2021</v>
      </c>
      <c r="AA875">
        <v>0</v>
      </c>
      <c r="AB875">
        <v>0.39075825301299999</v>
      </c>
      <c r="AC875">
        <v>0.39075825301299999</v>
      </c>
      <c r="AD875" t="s">
        <v>162</v>
      </c>
      <c r="AE875" t="s">
        <v>166</v>
      </c>
      <c r="AF875" t="s">
        <v>203</v>
      </c>
      <c r="AG875" t="s">
        <v>163</v>
      </c>
      <c r="AH875" t="s">
        <v>162</v>
      </c>
      <c r="AI875" t="s">
        <v>162</v>
      </c>
      <c r="AJ875" t="s">
        <v>162</v>
      </c>
      <c r="AK875" t="s">
        <v>162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 s="60">
        <f t="shared" si="13"/>
        <v>1</v>
      </c>
      <c r="AU875" t="s">
        <v>546</v>
      </c>
      <c r="AV875" t="s">
        <v>165</v>
      </c>
      <c r="AW875" t="s">
        <v>163</v>
      </c>
      <c r="AX875">
        <v>0</v>
      </c>
      <c r="AY875" t="s">
        <v>275</v>
      </c>
      <c r="AZ875" t="s">
        <v>154</v>
      </c>
    </row>
    <row r="876" spans="1:52" x14ac:dyDescent="0.25">
      <c r="A876">
        <v>865</v>
      </c>
      <c r="B876" t="s">
        <v>1635</v>
      </c>
      <c r="C876" t="s">
        <v>163</v>
      </c>
      <c r="D876" t="s">
        <v>1636</v>
      </c>
      <c r="E876" t="s">
        <v>216</v>
      </c>
      <c r="F876" t="s">
        <v>163</v>
      </c>
      <c r="G876" t="s">
        <v>162</v>
      </c>
      <c r="H876">
        <v>0</v>
      </c>
      <c r="I876" t="s">
        <v>566</v>
      </c>
      <c r="J876">
        <v>0</v>
      </c>
      <c r="K876">
        <v>0</v>
      </c>
      <c r="L876" t="s">
        <v>230</v>
      </c>
      <c r="M876">
        <v>0</v>
      </c>
      <c r="N876" t="s">
        <v>13</v>
      </c>
      <c r="O876" t="s">
        <v>15</v>
      </c>
      <c r="P876" t="s">
        <v>175</v>
      </c>
      <c r="Q876" t="s">
        <v>162</v>
      </c>
      <c r="R876" t="s">
        <v>544</v>
      </c>
      <c r="S876">
        <v>2021</v>
      </c>
      <c r="T876">
        <v>10</v>
      </c>
      <c r="U876" t="s">
        <v>162</v>
      </c>
      <c r="V876" t="s">
        <v>162</v>
      </c>
      <c r="W876">
        <v>0</v>
      </c>
      <c r="X876">
        <v>0</v>
      </c>
      <c r="Y876" t="s">
        <v>162</v>
      </c>
      <c r="Z876">
        <v>2021</v>
      </c>
      <c r="AA876">
        <v>0</v>
      </c>
      <c r="AB876">
        <v>3.7011834496999997E-2</v>
      </c>
      <c r="AC876">
        <v>3.7011834496999997E-2</v>
      </c>
      <c r="AD876" t="s">
        <v>162</v>
      </c>
      <c r="AE876" t="s">
        <v>166</v>
      </c>
      <c r="AF876" t="s">
        <v>163</v>
      </c>
      <c r="AG876" t="s">
        <v>163</v>
      </c>
      <c r="AH876" t="s">
        <v>162</v>
      </c>
      <c r="AI876" t="s">
        <v>162</v>
      </c>
      <c r="AJ876" t="s">
        <v>162</v>
      </c>
      <c r="AK876" t="s">
        <v>162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s="60">
        <f t="shared" si="13"/>
        <v>1</v>
      </c>
      <c r="AU876" t="s">
        <v>546</v>
      </c>
      <c r="AV876" t="s">
        <v>165</v>
      </c>
      <c r="AW876" t="s">
        <v>163</v>
      </c>
      <c r="AX876">
        <v>0</v>
      </c>
      <c r="AY876" t="s">
        <v>275</v>
      </c>
      <c r="AZ876" t="s">
        <v>154</v>
      </c>
    </row>
    <row r="877" spans="1:52" x14ac:dyDescent="0.25">
      <c r="A877">
        <v>866</v>
      </c>
      <c r="B877" t="s">
        <v>480</v>
      </c>
      <c r="C877" t="s">
        <v>163</v>
      </c>
      <c r="D877" t="s">
        <v>481</v>
      </c>
      <c r="E877" t="s">
        <v>216</v>
      </c>
      <c r="F877" t="s">
        <v>162</v>
      </c>
      <c r="G877" t="s">
        <v>162</v>
      </c>
      <c r="H877">
        <v>0</v>
      </c>
      <c r="I877" t="s">
        <v>890</v>
      </c>
      <c r="J877">
        <v>0</v>
      </c>
      <c r="K877">
        <v>0</v>
      </c>
      <c r="L877" t="s">
        <v>1588</v>
      </c>
      <c r="M877">
        <v>0</v>
      </c>
      <c r="N877" t="s">
        <v>15</v>
      </c>
      <c r="O877" t="s">
        <v>15</v>
      </c>
      <c r="P877" t="s">
        <v>175</v>
      </c>
      <c r="Q877" t="s">
        <v>162</v>
      </c>
      <c r="R877" t="s">
        <v>473</v>
      </c>
      <c r="S877">
        <v>2021</v>
      </c>
      <c r="T877">
        <v>6</v>
      </c>
      <c r="U877" t="s">
        <v>162</v>
      </c>
      <c r="V877" t="s">
        <v>162</v>
      </c>
      <c r="W877">
        <v>0</v>
      </c>
      <c r="X877">
        <v>0</v>
      </c>
      <c r="Y877" t="s">
        <v>162</v>
      </c>
      <c r="Z877">
        <v>2021</v>
      </c>
      <c r="AA877">
        <v>2021</v>
      </c>
      <c r="AB877">
        <v>6.4449903928399999E-2</v>
      </c>
      <c r="AC877">
        <v>0.128899807857</v>
      </c>
      <c r="AD877" t="s">
        <v>162</v>
      </c>
      <c r="AE877" t="s">
        <v>163</v>
      </c>
      <c r="AF877" t="s">
        <v>162</v>
      </c>
      <c r="AG877" t="s">
        <v>163</v>
      </c>
      <c r="AH877" t="s">
        <v>162</v>
      </c>
      <c r="AI877" t="s">
        <v>162</v>
      </c>
      <c r="AJ877" t="s">
        <v>162</v>
      </c>
      <c r="AK877" t="s">
        <v>162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0</v>
      </c>
      <c r="AT877" s="60">
        <f t="shared" si="13"/>
        <v>1</v>
      </c>
      <c r="AU877" t="s">
        <v>1599</v>
      </c>
      <c r="AV877" t="s">
        <v>165</v>
      </c>
      <c r="AW877" t="s">
        <v>163</v>
      </c>
      <c r="AX877">
        <v>0</v>
      </c>
      <c r="AY877" t="s">
        <v>167</v>
      </c>
      <c r="AZ877" t="s">
        <v>162</v>
      </c>
    </row>
    <row r="878" spans="1:52" x14ac:dyDescent="0.25">
      <c r="A878">
        <v>867</v>
      </c>
      <c r="B878" t="s">
        <v>1637</v>
      </c>
      <c r="C878" t="s">
        <v>163</v>
      </c>
      <c r="D878" t="s">
        <v>1638</v>
      </c>
      <c r="E878" t="s">
        <v>216</v>
      </c>
      <c r="F878" t="s">
        <v>162</v>
      </c>
      <c r="G878" t="s">
        <v>162</v>
      </c>
      <c r="H878">
        <v>0</v>
      </c>
      <c r="I878" t="s">
        <v>235</v>
      </c>
      <c r="J878">
        <v>0</v>
      </c>
      <c r="K878">
        <v>0</v>
      </c>
      <c r="L878" t="s">
        <v>331</v>
      </c>
      <c r="M878">
        <v>0</v>
      </c>
      <c r="N878" t="s">
        <v>11</v>
      </c>
      <c r="O878" t="s">
        <v>11</v>
      </c>
      <c r="P878" t="s">
        <v>175</v>
      </c>
      <c r="Q878" t="s">
        <v>162</v>
      </c>
      <c r="R878" t="s">
        <v>544</v>
      </c>
      <c r="S878">
        <v>2021</v>
      </c>
      <c r="T878">
        <v>8</v>
      </c>
      <c r="U878" t="s">
        <v>545</v>
      </c>
      <c r="V878" t="s">
        <v>162</v>
      </c>
      <c r="W878">
        <v>0</v>
      </c>
      <c r="X878">
        <v>0</v>
      </c>
      <c r="Y878" t="s">
        <v>162</v>
      </c>
      <c r="Z878">
        <v>2021</v>
      </c>
      <c r="AA878">
        <v>0</v>
      </c>
      <c r="AB878">
        <v>2.0070551674099999</v>
      </c>
      <c r="AC878">
        <v>4.0141103348199998</v>
      </c>
      <c r="AD878" t="s">
        <v>162</v>
      </c>
      <c r="AE878" t="s">
        <v>163</v>
      </c>
      <c r="AF878" t="s">
        <v>162</v>
      </c>
      <c r="AG878" t="s">
        <v>163</v>
      </c>
      <c r="AH878" t="s">
        <v>162</v>
      </c>
      <c r="AI878" t="s">
        <v>162</v>
      </c>
      <c r="AJ878" t="s">
        <v>162</v>
      </c>
      <c r="AK878" t="s">
        <v>162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 s="60">
        <f t="shared" si="13"/>
        <v>1</v>
      </c>
      <c r="AU878" t="s">
        <v>1599</v>
      </c>
      <c r="AV878" t="s">
        <v>165</v>
      </c>
      <c r="AW878" t="s">
        <v>163</v>
      </c>
      <c r="AX878">
        <v>0</v>
      </c>
      <c r="AY878" t="s">
        <v>167</v>
      </c>
      <c r="AZ878" t="s">
        <v>162</v>
      </c>
    </row>
    <row r="879" spans="1:52" x14ac:dyDescent="0.25">
      <c r="A879">
        <v>868</v>
      </c>
      <c r="B879" t="s">
        <v>469</v>
      </c>
      <c r="C879" t="s">
        <v>151</v>
      </c>
      <c r="D879" t="s">
        <v>470</v>
      </c>
      <c r="E879" t="s">
        <v>216</v>
      </c>
      <c r="F879" t="s">
        <v>154</v>
      </c>
      <c r="G879" t="s">
        <v>162</v>
      </c>
      <c r="H879">
        <v>0</v>
      </c>
      <c r="I879" t="s">
        <v>846</v>
      </c>
      <c r="J879">
        <v>0</v>
      </c>
      <c r="K879">
        <v>0</v>
      </c>
      <c r="L879" t="s">
        <v>901</v>
      </c>
      <c r="M879">
        <v>0</v>
      </c>
      <c r="N879" t="s">
        <v>11</v>
      </c>
      <c r="O879" t="s">
        <v>327</v>
      </c>
      <c r="P879" t="s">
        <v>157</v>
      </c>
      <c r="Q879" t="s">
        <v>162</v>
      </c>
      <c r="R879" t="s">
        <v>1639</v>
      </c>
      <c r="S879">
        <v>2022</v>
      </c>
      <c r="T879">
        <v>8</v>
      </c>
      <c r="U879" t="s">
        <v>162</v>
      </c>
      <c r="V879" t="s">
        <v>162</v>
      </c>
      <c r="W879">
        <v>0</v>
      </c>
      <c r="X879">
        <v>0</v>
      </c>
      <c r="Y879" t="s">
        <v>162</v>
      </c>
      <c r="Z879">
        <v>2022</v>
      </c>
      <c r="AA879">
        <v>0</v>
      </c>
      <c r="AB879">
        <v>0.50505735518999995</v>
      </c>
      <c r="AC879">
        <v>1.0101147103799999</v>
      </c>
      <c r="AD879" t="s">
        <v>154</v>
      </c>
      <c r="AE879" t="s">
        <v>154</v>
      </c>
      <c r="AF879" t="s">
        <v>154</v>
      </c>
      <c r="AG879" t="s">
        <v>154</v>
      </c>
      <c r="AH879" t="s">
        <v>154</v>
      </c>
      <c r="AI879" t="s">
        <v>154</v>
      </c>
      <c r="AJ879" t="s">
        <v>154</v>
      </c>
      <c r="AK879" t="s">
        <v>154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s="60">
        <f t="shared" si="13"/>
        <v>1</v>
      </c>
      <c r="AU879" t="s">
        <v>355</v>
      </c>
      <c r="AV879" t="s">
        <v>165</v>
      </c>
      <c r="AW879" t="s">
        <v>154</v>
      </c>
      <c r="AX879">
        <v>0</v>
      </c>
      <c r="AY879" t="s">
        <v>167</v>
      </c>
      <c r="AZ879">
        <v>30</v>
      </c>
    </row>
    <row r="880" spans="1:52" x14ac:dyDescent="0.25">
      <c r="A880">
        <v>869</v>
      </c>
      <c r="B880" t="s">
        <v>1640</v>
      </c>
      <c r="C880" t="s">
        <v>151</v>
      </c>
      <c r="D880" t="s">
        <v>1641</v>
      </c>
      <c r="E880" t="s">
        <v>216</v>
      </c>
      <c r="F880" t="s">
        <v>162</v>
      </c>
      <c r="G880" t="s">
        <v>162</v>
      </c>
      <c r="H880">
        <v>0</v>
      </c>
      <c r="I880" t="s">
        <v>302</v>
      </c>
      <c r="J880">
        <v>0</v>
      </c>
      <c r="K880">
        <v>0</v>
      </c>
      <c r="L880" t="s">
        <v>478</v>
      </c>
      <c r="M880">
        <v>0</v>
      </c>
      <c r="N880" t="s">
        <v>15</v>
      </c>
      <c r="O880" t="s">
        <v>15</v>
      </c>
      <c r="P880" t="s">
        <v>175</v>
      </c>
      <c r="Q880" t="s">
        <v>162</v>
      </c>
      <c r="R880" t="s">
        <v>734</v>
      </c>
      <c r="S880">
        <v>2021</v>
      </c>
      <c r="T880">
        <v>10</v>
      </c>
      <c r="U880" t="s">
        <v>1642</v>
      </c>
      <c r="V880" t="s">
        <v>162</v>
      </c>
      <c r="W880">
        <v>0</v>
      </c>
      <c r="X880">
        <v>0</v>
      </c>
      <c r="Y880" t="s">
        <v>162</v>
      </c>
      <c r="Z880">
        <v>2021</v>
      </c>
      <c r="AA880">
        <v>0</v>
      </c>
      <c r="AB880">
        <v>3.8580289238700001E-2</v>
      </c>
      <c r="AC880">
        <v>7.7160578477400002E-2</v>
      </c>
      <c r="AD880" t="s">
        <v>162</v>
      </c>
      <c r="AE880" t="s">
        <v>163</v>
      </c>
      <c r="AF880" t="s">
        <v>162</v>
      </c>
      <c r="AG880" t="s">
        <v>163</v>
      </c>
      <c r="AH880" t="s">
        <v>162</v>
      </c>
      <c r="AI880" t="s">
        <v>162</v>
      </c>
      <c r="AJ880" t="s">
        <v>162</v>
      </c>
      <c r="AK880" t="s">
        <v>162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s="60">
        <f t="shared" si="13"/>
        <v>1</v>
      </c>
      <c r="AU880" t="s">
        <v>1576</v>
      </c>
      <c r="AV880" t="s">
        <v>165</v>
      </c>
      <c r="AW880" t="s">
        <v>154</v>
      </c>
      <c r="AX880">
        <v>0</v>
      </c>
      <c r="AY880" t="s">
        <v>167</v>
      </c>
      <c r="AZ880">
        <v>20</v>
      </c>
    </row>
    <row r="881" spans="1:52" x14ac:dyDescent="0.25">
      <c r="A881">
        <v>870</v>
      </c>
      <c r="B881" t="s">
        <v>1626</v>
      </c>
      <c r="C881" t="s">
        <v>180</v>
      </c>
      <c r="D881" t="s">
        <v>1305</v>
      </c>
      <c r="E881" t="s">
        <v>216</v>
      </c>
      <c r="F881" t="s">
        <v>180</v>
      </c>
      <c r="G881" t="s">
        <v>162</v>
      </c>
      <c r="H881">
        <v>0</v>
      </c>
      <c r="I881" t="s">
        <v>415</v>
      </c>
      <c r="J881">
        <v>0</v>
      </c>
      <c r="K881">
        <v>0</v>
      </c>
      <c r="L881" t="s">
        <v>415</v>
      </c>
      <c r="M881">
        <v>0</v>
      </c>
      <c r="N881" t="s">
        <v>13</v>
      </c>
      <c r="O881" t="s">
        <v>13</v>
      </c>
      <c r="P881" t="s">
        <v>175</v>
      </c>
      <c r="Q881" t="s">
        <v>162</v>
      </c>
      <c r="R881" t="s">
        <v>416</v>
      </c>
      <c r="S881">
        <v>2021</v>
      </c>
      <c r="T881">
        <v>11</v>
      </c>
      <c r="U881" t="s">
        <v>162</v>
      </c>
      <c r="V881" t="s">
        <v>162</v>
      </c>
      <c r="W881">
        <v>0</v>
      </c>
      <c r="X881">
        <v>0</v>
      </c>
      <c r="Y881" t="s">
        <v>162</v>
      </c>
      <c r="Z881">
        <v>2021</v>
      </c>
      <c r="AA881">
        <v>0</v>
      </c>
      <c r="AB881">
        <v>0.109576428643</v>
      </c>
      <c r="AC881">
        <v>0.109576428643</v>
      </c>
      <c r="AD881" t="s">
        <v>162</v>
      </c>
      <c r="AE881" t="s">
        <v>166</v>
      </c>
      <c r="AF881" t="s">
        <v>180</v>
      </c>
      <c r="AG881" t="s">
        <v>163</v>
      </c>
      <c r="AH881" t="s">
        <v>162</v>
      </c>
      <c r="AI881" t="s">
        <v>162</v>
      </c>
      <c r="AJ881" t="s">
        <v>162</v>
      </c>
      <c r="AK881" t="s">
        <v>162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 s="60">
        <f t="shared" si="13"/>
        <v>1</v>
      </c>
      <c r="AU881" t="s">
        <v>1576</v>
      </c>
      <c r="AV881" t="s">
        <v>165</v>
      </c>
      <c r="AW881" t="s">
        <v>163</v>
      </c>
      <c r="AX881">
        <v>0</v>
      </c>
      <c r="AY881" t="s">
        <v>275</v>
      </c>
      <c r="AZ881" t="s">
        <v>162</v>
      </c>
    </row>
    <row r="882" spans="1:52" x14ac:dyDescent="0.25">
      <c r="A882">
        <v>871</v>
      </c>
      <c r="B882" t="s">
        <v>418</v>
      </c>
      <c r="C882" t="s">
        <v>151</v>
      </c>
      <c r="D882" t="s">
        <v>419</v>
      </c>
      <c r="E882" t="s">
        <v>222</v>
      </c>
      <c r="F882" t="s">
        <v>203</v>
      </c>
      <c r="G882" t="s">
        <v>162</v>
      </c>
      <c r="H882">
        <v>0</v>
      </c>
      <c r="I882" t="s">
        <v>1611</v>
      </c>
      <c r="J882">
        <v>0</v>
      </c>
      <c r="K882">
        <v>0</v>
      </c>
      <c r="L882" t="s">
        <v>420</v>
      </c>
      <c r="M882">
        <v>0</v>
      </c>
      <c r="N882" t="s">
        <v>13</v>
      </c>
      <c r="O882" t="s">
        <v>13</v>
      </c>
      <c r="P882" t="s">
        <v>175</v>
      </c>
      <c r="Q882" t="s">
        <v>162</v>
      </c>
      <c r="R882" t="s">
        <v>416</v>
      </c>
      <c r="S882">
        <v>2021</v>
      </c>
      <c r="T882">
        <v>11</v>
      </c>
      <c r="U882" t="s">
        <v>162</v>
      </c>
      <c r="V882" t="s">
        <v>162</v>
      </c>
      <c r="W882">
        <v>0</v>
      </c>
      <c r="X882">
        <v>0</v>
      </c>
      <c r="Y882" t="s">
        <v>162</v>
      </c>
      <c r="Z882">
        <v>2021</v>
      </c>
      <c r="AA882">
        <v>0</v>
      </c>
      <c r="AB882">
        <v>6.5775469318800003E-2</v>
      </c>
      <c r="AC882">
        <v>6.5775469318800003E-2</v>
      </c>
      <c r="AD882" t="s">
        <v>162</v>
      </c>
      <c r="AE882" t="s">
        <v>166</v>
      </c>
      <c r="AF882" t="s">
        <v>203</v>
      </c>
      <c r="AG882" t="s">
        <v>163</v>
      </c>
      <c r="AH882" t="s">
        <v>162</v>
      </c>
      <c r="AI882" t="s">
        <v>162</v>
      </c>
      <c r="AJ882" t="s">
        <v>162</v>
      </c>
      <c r="AK882" t="s">
        <v>162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 s="60">
        <f t="shared" si="13"/>
        <v>1</v>
      </c>
      <c r="AU882" t="s">
        <v>1576</v>
      </c>
      <c r="AV882" t="s">
        <v>165</v>
      </c>
      <c r="AW882" t="s">
        <v>163</v>
      </c>
      <c r="AX882">
        <v>0</v>
      </c>
      <c r="AY882" t="s">
        <v>275</v>
      </c>
      <c r="AZ882" t="s">
        <v>162</v>
      </c>
    </row>
    <row r="883" spans="1:52" x14ac:dyDescent="0.25">
      <c r="A883">
        <v>872</v>
      </c>
      <c r="B883" t="s">
        <v>220</v>
      </c>
      <c r="C883" t="s">
        <v>151</v>
      </c>
      <c r="D883" t="s">
        <v>221</v>
      </c>
      <c r="E883" t="s">
        <v>222</v>
      </c>
      <c r="F883" t="s">
        <v>154</v>
      </c>
      <c r="G883">
        <v>6000</v>
      </c>
      <c r="H883">
        <v>6001</v>
      </c>
      <c r="I883" t="s">
        <v>1643</v>
      </c>
      <c r="J883">
        <v>5600</v>
      </c>
      <c r="K883">
        <v>5601</v>
      </c>
      <c r="L883" t="s">
        <v>1294</v>
      </c>
      <c r="M883">
        <v>0</v>
      </c>
      <c r="N883" t="s">
        <v>7</v>
      </c>
      <c r="O883" t="s">
        <v>7</v>
      </c>
      <c r="P883" t="s">
        <v>175</v>
      </c>
      <c r="Q883" t="s">
        <v>162</v>
      </c>
      <c r="R883" t="s">
        <v>416</v>
      </c>
      <c r="S883">
        <v>2021</v>
      </c>
      <c r="T883">
        <v>11</v>
      </c>
      <c r="U883" t="s">
        <v>208</v>
      </c>
      <c r="V883" t="s">
        <v>162</v>
      </c>
      <c r="W883">
        <v>0</v>
      </c>
      <c r="X883">
        <v>0</v>
      </c>
      <c r="Y883" t="s">
        <v>162</v>
      </c>
      <c r="Z883">
        <v>2021</v>
      </c>
      <c r="AA883">
        <v>0</v>
      </c>
      <c r="AB883">
        <v>0.52745345512200004</v>
      </c>
      <c r="AC883">
        <v>1.0549069102399999</v>
      </c>
      <c r="AD883" t="s">
        <v>162</v>
      </c>
      <c r="AE883" t="s">
        <v>154</v>
      </c>
      <c r="AF883" t="s">
        <v>154</v>
      </c>
      <c r="AG883" t="s">
        <v>154</v>
      </c>
      <c r="AH883" t="s">
        <v>162</v>
      </c>
      <c r="AI883" t="s">
        <v>226</v>
      </c>
      <c r="AJ883" t="s">
        <v>163</v>
      </c>
      <c r="AK883" t="s">
        <v>162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s="60">
        <f t="shared" si="13"/>
        <v>1</v>
      </c>
      <c r="AU883" t="s">
        <v>1576</v>
      </c>
      <c r="AV883" t="s">
        <v>165</v>
      </c>
      <c r="AW883" t="s">
        <v>166</v>
      </c>
      <c r="AX883">
        <v>0</v>
      </c>
      <c r="AY883" t="s">
        <v>167</v>
      </c>
      <c r="AZ883" t="s">
        <v>162</v>
      </c>
    </row>
    <row r="884" spans="1:52" x14ac:dyDescent="0.25">
      <c r="A884">
        <v>873</v>
      </c>
      <c r="B884" t="s">
        <v>738</v>
      </c>
      <c r="C884" t="s">
        <v>151</v>
      </c>
      <c r="D884" t="s">
        <v>739</v>
      </c>
      <c r="E884" t="s">
        <v>216</v>
      </c>
      <c r="F884" t="s">
        <v>162</v>
      </c>
      <c r="G884">
        <v>0</v>
      </c>
      <c r="H884">
        <v>0</v>
      </c>
      <c r="I884" t="s">
        <v>632</v>
      </c>
      <c r="J884">
        <v>0</v>
      </c>
      <c r="K884">
        <v>0</v>
      </c>
      <c r="L884" t="s">
        <v>430</v>
      </c>
      <c r="M884">
        <v>0</v>
      </c>
      <c r="N884" t="s">
        <v>11</v>
      </c>
      <c r="O884" t="s">
        <v>11</v>
      </c>
      <c r="P884" t="s">
        <v>175</v>
      </c>
      <c r="Q884" t="s">
        <v>162</v>
      </c>
      <c r="R884" t="s">
        <v>734</v>
      </c>
      <c r="S884">
        <v>2021</v>
      </c>
      <c r="T884">
        <v>8</v>
      </c>
      <c r="U884" t="s">
        <v>1644</v>
      </c>
      <c r="V884" t="s">
        <v>162</v>
      </c>
      <c r="W884">
        <v>0</v>
      </c>
      <c r="X884">
        <v>0</v>
      </c>
      <c r="Y884" t="s">
        <v>162</v>
      </c>
      <c r="Z884">
        <v>2021</v>
      </c>
      <c r="AA884">
        <v>0</v>
      </c>
      <c r="AB884">
        <v>0.87885761829700004</v>
      </c>
      <c r="AC884">
        <v>1.75771523659</v>
      </c>
      <c r="AD884" t="s">
        <v>162</v>
      </c>
      <c r="AE884" t="s">
        <v>163</v>
      </c>
      <c r="AF884" t="s">
        <v>162</v>
      </c>
      <c r="AG884" t="s">
        <v>163</v>
      </c>
      <c r="AH884" t="s">
        <v>162</v>
      </c>
      <c r="AI884" t="s">
        <v>162</v>
      </c>
      <c r="AJ884" t="s">
        <v>163</v>
      </c>
      <c r="AK884" t="s">
        <v>162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 s="60">
        <f t="shared" si="13"/>
        <v>1</v>
      </c>
      <c r="AU884" t="s">
        <v>1576</v>
      </c>
      <c r="AV884" t="s">
        <v>165</v>
      </c>
      <c r="AW884" t="s">
        <v>163</v>
      </c>
      <c r="AX884">
        <v>0</v>
      </c>
      <c r="AY884" t="s">
        <v>167</v>
      </c>
      <c r="AZ884" t="s">
        <v>162</v>
      </c>
    </row>
    <row r="885" spans="1:52" x14ac:dyDescent="0.25">
      <c r="A885">
        <v>874</v>
      </c>
      <c r="B885" t="s">
        <v>514</v>
      </c>
      <c r="C885" t="s">
        <v>163</v>
      </c>
      <c r="D885" t="s">
        <v>515</v>
      </c>
      <c r="E885" t="s">
        <v>216</v>
      </c>
      <c r="F885" t="s">
        <v>162</v>
      </c>
      <c r="G885">
        <v>2800</v>
      </c>
      <c r="H885">
        <v>2801</v>
      </c>
      <c r="I885" t="s">
        <v>239</v>
      </c>
      <c r="J885">
        <v>3200</v>
      </c>
      <c r="K885">
        <v>3201</v>
      </c>
      <c r="L885" t="s">
        <v>565</v>
      </c>
      <c r="M885">
        <v>3</v>
      </c>
      <c r="N885" t="s">
        <v>11</v>
      </c>
      <c r="O885" t="s">
        <v>11</v>
      </c>
      <c r="P885" t="s">
        <v>157</v>
      </c>
      <c r="Q885" t="s">
        <v>162</v>
      </c>
      <c r="R885" t="s">
        <v>516</v>
      </c>
      <c r="S885">
        <v>2018</v>
      </c>
      <c r="T885">
        <v>10</v>
      </c>
      <c r="U885" t="s">
        <v>517</v>
      </c>
      <c r="V885" t="s">
        <v>516</v>
      </c>
      <c r="W885">
        <v>2018</v>
      </c>
      <c r="X885">
        <v>10</v>
      </c>
      <c r="Y885" t="s">
        <v>162</v>
      </c>
      <c r="Z885">
        <v>2018</v>
      </c>
      <c r="AA885">
        <v>0</v>
      </c>
      <c r="AB885">
        <v>0.71248136352199998</v>
      </c>
      <c r="AC885">
        <v>1.42496272704</v>
      </c>
      <c r="AD885" t="s">
        <v>162</v>
      </c>
      <c r="AE885" t="s">
        <v>163</v>
      </c>
      <c r="AF885" t="s">
        <v>162</v>
      </c>
      <c r="AG885" t="s">
        <v>162</v>
      </c>
      <c r="AH885" t="s">
        <v>162</v>
      </c>
      <c r="AI885" t="s">
        <v>162</v>
      </c>
      <c r="AJ885" t="s">
        <v>162</v>
      </c>
      <c r="AK885" t="s">
        <v>162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s="60">
        <f t="shared" si="13"/>
        <v>1</v>
      </c>
      <c r="AU885">
        <v>43370</v>
      </c>
      <c r="AV885" t="s">
        <v>165</v>
      </c>
      <c r="AW885" t="s">
        <v>162</v>
      </c>
      <c r="AX885">
        <v>2</v>
      </c>
      <c r="AY885" t="s">
        <v>167</v>
      </c>
      <c r="AZ885">
        <v>20</v>
      </c>
    </row>
    <row r="886" spans="1:52" x14ac:dyDescent="0.25">
      <c r="A886">
        <v>875</v>
      </c>
      <c r="B886" t="s">
        <v>660</v>
      </c>
      <c r="C886" t="s">
        <v>203</v>
      </c>
      <c r="D886" t="s">
        <v>661</v>
      </c>
      <c r="E886" t="s">
        <v>172</v>
      </c>
      <c r="F886" t="s">
        <v>162</v>
      </c>
      <c r="G886">
        <v>2</v>
      </c>
      <c r="H886">
        <v>1</v>
      </c>
      <c r="I886" t="s">
        <v>639</v>
      </c>
      <c r="J886">
        <v>100</v>
      </c>
      <c r="K886">
        <v>101</v>
      </c>
      <c r="L886" t="s">
        <v>667</v>
      </c>
      <c r="M886">
        <v>2</v>
      </c>
      <c r="N886" t="s">
        <v>7</v>
      </c>
      <c r="O886" t="s">
        <v>7</v>
      </c>
      <c r="P886" t="s">
        <v>175</v>
      </c>
      <c r="Q886" t="s">
        <v>162</v>
      </c>
      <c r="R886" t="s">
        <v>664</v>
      </c>
      <c r="S886">
        <v>2012</v>
      </c>
      <c r="T886">
        <v>10</v>
      </c>
      <c r="U886" t="s">
        <v>162</v>
      </c>
      <c r="V886" t="s">
        <v>422</v>
      </c>
      <c r="W886">
        <v>2015</v>
      </c>
      <c r="X886">
        <v>10</v>
      </c>
      <c r="Y886" t="s">
        <v>123</v>
      </c>
      <c r="Z886">
        <v>2015</v>
      </c>
      <c r="AA886">
        <v>2015</v>
      </c>
      <c r="AB886">
        <v>0.16210771905499999</v>
      </c>
      <c r="AC886">
        <v>0.32421543810999998</v>
      </c>
      <c r="AD886" t="s">
        <v>154</v>
      </c>
      <c r="AE886" t="s">
        <v>163</v>
      </c>
      <c r="AF886" t="s">
        <v>154</v>
      </c>
      <c r="AG886" t="s">
        <v>154</v>
      </c>
      <c r="AH886" t="s">
        <v>163</v>
      </c>
      <c r="AI886" t="s">
        <v>194</v>
      </c>
      <c r="AJ886" t="s">
        <v>154</v>
      </c>
      <c r="AK886" t="s">
        <v>162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 s="60">
        <f t="shared" si="13"/>
        <v>1</v>
      </c>
      <c r="AU886" t="s">
        <v>360</v>
      </c>
      <c r="AV886" t="s">
        <v>165</v>
      </c>
      <c r="AW886" t="s">
        <v>166</v>
      </c>
      <c r="AX886">
        <v>1</v>
      </c>
      <c r="AY886" t="s">
        <v>167</v>
      </c>
      <c r="AZ886" t="s">
        <v>162</v>
      </c>
    </row>
    <row r="887" spans="1:52" x14ac:dyDescent="0.25">
      <c r="A887">
        <v>876</v>
      </c>
      <c r="B887" t="s">
        <v>1059</v>
      </c>
      <c r="C887" t="s">
        <v>151</v>
      </c>
      <c r="D887" t="s">
        <v>1060</v>
      </c>
      <c r="E887" t="s">
        <v>153</v>
      </c>
      <c r="F887" t="s">
        <v>154</v>
      </c>
      <c r="G887">
        <v>2000</v>
      </c>
      <c r="H887">
        <v>2001</v>
      </c>
      <c r="I887" t="s">
        <v>173</v>
      </c>
      <c r="J887">
        <v>1600</v>
      </c>
      <c r="K887">
        <v>1601</v>
      </c>
      <c r="L887" t="s">
        <v>575</v>
      </c>
      <c r="M887">
        <v>2</v>
      </c>
      <c r="N887" t="s">
        <v>9</v>
      </c>
      <c r="O887" t="s">
        <v>9</v>
      </c>
      <c r="P887" t="s">
        <v>175</v>
      </c>
      <c r="Q887" t="s">
        <v>1061</v>
      </c>
      <c r="R887" t="s">
        <v>959</v>
      </c>
      <c r="S887">
        <v>2014</v>
      </c>
      <c r="T887">
        <v>10</v>
      </c>
      <c r="U887" t="s">
        <v>1645</v>
      </c>
      <c r="V887" t="s">
        <v>162</v>
      </c>
      <c r="W887">
        <v>0</v>
      </c>
      <c r="X887">
        <v>0</v>
      </c>
      <c r="Y887" t="s">
        <v>162</v>
      </c>
      <c r="Z887">
        <v>2014</v>
      </c>
      <c r="AA887">
        <v>2014</v>
      </c>
      <c r="AB887">
        <v>0.50497378965999995</v>
      </c>
      <c r="AC887">
        <v>1.0099475793199999</v>
      </c>
      <c r="AD887" t="s">
        <v>154</v>
      </c>
      <c r="AE887" t="s">
        <v>154</v>
      </c>
      <c r="AF887" t="s">
        <v>154</v>
      </c>
      <c r="AG887" t="s">
        <v>154</v>
      </c>
      <c r="AH887" t="s">
        <v>154</v>
      </c>
      <c r="AI887" t="s">
        <v>154</v>
      </c>
      <c r="AJ887" t="s">
        <v>154</v>
      </c>
      <c r="AK887" t="s">
        <v>162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 s="60">
        <f t="shared" si="13"/>
        <v>1</v>
      </c>
      <c r="AU887" t="s">
        <v>360</v>
      </c>
      <c r="AV887" t="s">
        <v>165</v>
      </c>
      <c r="AW887" t="s">
        <v>166</v>
      </c>
      <c r="AX887">
        <v>2</v>
      </c>
      <c r="AY887" t="s">
        <v>167</v>
      </c>
      <c r="AZ887" t="s">
        <v>162</v>
      </c>
    </row>
    <row r="888" spans="1:52" x14ac:dyDescent="0.25">
      <c r="A888">
        <v>877</v>
      </c>
      <c r="B888" t="s">
        <v>448</v>
      </c>
      <c r="C888" t="s">
        <v>180</v>
      </c>
      <c r="D888" t="s">
        <v>449</v>
      </c>
      <c r="E888" t="s">
        <v>182</v>
      </c>
      <c r="F888" t="s">
        <v>154</v>
      </c>
      <c r="G888">
        <v>6700</v>
      </c>
      <c r="H888">
        <v>6701</v>
      </c>
      <c r="I888" t="s">
        <v>1478</v>
      </c>
      <c r="J888">
        <v>6600</v>
      </c>
      <c r="K888">
        <v>6601</v>
      </c>
      <c r="L888" t="s">
        <v>781</v>
      </c>
      <c r="M888">
        <v>3</v>
      </c>
      <c r="N888" t="s">
        <v>9</v>
      </c>
      <c r="O888" t="s">
        <v>9</v>
      </c>
      <c r="P888" t="s">
        <v>157</v>
      </c>
      <c r="Q888" t="s">
        <v>162</v>
      </c>
      <c r="R888" t="s">
        <v>502</v>
      </c>
      <c r="S888">
        <v>2017</v>
      </c>
      <c r="T888">
        <v>6</v>
      </c>
      <c r="U888" t="s">
        <v>123</v>
      </c>
      <c r="V888" t="s">
        <v>162</v>
      </c>
      <c r="W888">
        <v>0</v>
      </c>
      <c r="X888">
        <v>0</v>
      </c>
      <c r="Y888" t="s">
        <v>162</v>
      </c>
      <c r="Z888">
        <v>2017</v>
      </c>
      <c r="AA888">
        <v>2017</v>
      </c>
      <c r="AB888">
        <v>0.12535604802700001</v>
      </c>
      <c r="AC888">
        <v>0.25071209605400002</v>
      </c>
      <c r="AD888" t="s">
        <v>154</v>
      </c>
      <c r="AE888" t="s">
        <v>163</v>
      </c>
      <c r="AF888" t="s">
        <v>154</v>
      </c>
      <c r="AG888" t="s">
        <v>154</v>
      </c>
      <c r="AH888" t="s">
        <v>154</v>
      </c>
      <c r="AI888" t="s">
        <v>154</v>
      </c>
      <c r="AJ888" t="s">
        <v>154</v>
      </c>
      <c r="AK888" t="s">
        <v>162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 s="60">
        <f t="shared" si="13"/>
        <v>1</v>
      </c>
      <c r="AU888" t="s">
        <v>360</v>
      </c>
      <c r="AV888" t="s">
        <v>165</v>
      </c>
      <c r="AW888" t="s">
        <v>163</v>
      </c>
      <c r="AX888">
        <v>2</v>
      </c>
      <c r="AY888" t="s">
        <v>167</v>
      </c>
      <c r="AZ888" t="s">
        <v>162</v>
      </c>
    </row>
    <row r="889" spans="1:52" x14ac:dyDescent="0.25">
      <c r="A889">
        <v>878</v>
      </c>
      <c r="B889" t="s">
        <v>196</v>
      </c>
      <c r="C889" t="s">
        <v>163</v>
      </c>
      <c r="D889" t="s">
        <v>197</v>
      </c>
      <c r="E889" t="s">
        <v>172</v>
      </c>
      <c r="F889" t="s">
        <v>180</v>
      </c>
      <c r="G889">
        <v>530</v>
      </c>
      <c r="H889">
        <v>531</v>
      </c>
      <c r="I889" t="s">
        <v>632</v>
      </c>
      <c r="J889">
        <v>650</v>
      </c>
      <c r="K889">
        <v>651</v>
      </c>
      <c r="L889" t="s">
        <v>866</v>
      </c>
      <c r="M889">
        <v>4</v>
      </c>
      <c r="N889" t="s">
        <v>9</v>
      </c>
      <c r="O889" t="s">
        <v>9</v>
      </c>
      <c r="P889" t="s">
        <v>157</v>
      </c>
      <c r="Q889" t="s">
        <v>313</v>
      </c>
      <c r="R889" t="s">
        <v>201</v>
      </c>
      <c r="S889">
        <v>2012</v>
      </c>
      <c r="T889">
        <v>6</v>
      </c>
      <c r="U889" t="s">
        <v>867</v>
      </c>
      <c r="V889" t="s">
        <v>162</v>
      </c>
      <c r="W889">
        <v>0</v>
      </c>
      <c r="X889">
        <v>0</v>
      </c>
      <c r="Y889" t="s">
        <v>162</v>
      </c>
      <c r="Z889">
        <v>2012</v>
      </c>
      <c r="AA889">
        <v>1997</v>
      </c>
      <c r="AB889">
        <v>0.16581148949399999</v>
      </c>
      <c r="AC889">
        <v>0.16581148949399999</v>
      </c>
      <c r="AD889" t="s">
        <v>868</v>
      </c>
      <c r="AE889" t="s">
        <v>166</v>
      </c>
      <c r="AF889" t="s">
        <v>180</v>
      </c>
      <c r="AG889" t="s">
        <v>163</v>
      </c>
      <c r="AH889" t="s">
        <v>162</v>
      </c>
      <c r="AI889" t="s">
        <v>162</v>
      </c>
      <c r="AJ889" t="s">
        <v>162</v>
      </c>
      <c r="AK889" t="s">
        <v>162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</v>
      </c>
      <c r="AT889" s="60">
        <f t="shared" si="13"/>
        <v>1</v>
      </c>
      <c r="AU889" t="s">
        <v>360</v>
      </c>
      <c r="AV889" t="s">
        <v>165</v>
      </c>
      <c r="AW889" t="s">
        <v>163</v>
      </c>
      <c r="AX889">
        <v>2</v>
      </c>
      <c r="AY889" t="s">
        <v>167</v>
      </c>
      <c r="AZ889" t="s">
        <v>162</v>
      </c>
    </row>
    <row r="890" spans="1:52" x14ac:dyDescent="0.25">
      <c r="A890">
        <v>879</v>
      </c>
      <c r="B890" t="s">
        <v>1048</v>
      </c>
      <c r="C890" t="s">
        <v>151</v>
      </c>
      <c r="D890" t="s">
        <v>671</v>
      </c>
      <c r="E890" t="s">
        <v>222</v>
      </c>
      <c r="F890" t="s">
        <v>203</v>
      </c>
      <c r="G890">
        <v>2000</v>
      </c>
      <c r="H890">
        <v>2001</v>
      </c>
      <c r="I890" t="s">
        <v>191</v>
      </c>
      <c r="J890">
        <v>1800</v>
      </c>
      <c r="K890">
        <v>1801</v>
      </c>
      <c r="L890" t="s">
        <v>1049</v>
      </c>
      <c r="M890">
        <v>4</v>
      </c>
      <c r="N890" t="s">
        <v>9</v>
      </c>
      <c r="O890" t="s">
        <v>9</v>
      </c>
      <c r="P890" t="s">
        <v>157</v>
      </c>
      <c r="Q890" t="s">
        <v>1050</v>
      </c>
      <c r="R890" t="s">
        <v>320</v>
      </c>
      <c r="S890">
        <v>2014</v>
      </c>
      <c r="T890">
        <v>10</v>
      </c>
      <c r="U890" t="s">
        <v>162</v>
      </c>
      <c r="V890" t="s">
        <v>162</v>
      </c>
      <c r="W890">
        <v>0</v>
      </c>
      <c r="X890">
        <v>0</v>
      </c>
      <c r="Y890" t="s">
        <v>162</v>
      </c>
      <c r="Z890">
        <v>2014</v>
      </c>
      <c r="AA890">
        <v>2011</v>
      </c>
      <c r="AB890">
        <v>0.25232353025900001</v>
      </c>
      <c r="AC890">
        <v>0.25232353025900001</v>
      </c>
      <c r="AD890" t="s">
        <v>154</v>
      </c>
      <c r="AE890" t="s">
        <v>166</v>
      </c>
      <c r="AF890" t="s">
        <v>203</v>
      </c>
      <c r="AG890" t="s">
        <v>163</v>
      </c>
      <c r="AH890" t="s">
        <v>162</v>
      </c>
      <c r="AI890" t="s">
        <v>162</v>
      </c>
      <c r="AJ890" t="s">
        <v>162</v>
      </c>
      <c r="AK890" t="s">
        <v>162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 s="60">
        <f t="shared" si="13"/>
        <v>1</v>
      </c>
      <c r="AU890" t="s">
        <v>360</v>
      </c>
      <c r="AV890" t="s">
        <v>165</v>
      </c>
      <c r="AW890" t="s">
        <v>166</v>
      </c>
      <c r="AX890">
        <v>2</v>
      </c>
      <c r="AY890" t="s">
        <v>167</v>
      </c>
      <c r="AZ890" t="s">
        <v>162</v>
      </c>
    </row>
    <row r="891" spans="1:52" x14ac:dyDescent="0.25">
      <c r="A891">
        <v>880</v>
      </c>
      <c r="B891" t="s">
        <v>1155</v>
      </c>
      <c r="C891" t="s">
        <v>163</v>
      </c>
      <c r="D891" t="s">
        <v>1156</v>
      </c>
      <c r="E891" t="s">
        <v>182</v>
      </c>
      <c r="F891" t="s">
        <v>162</v>
      </c>
      <c r="G891">
        <v>0</v>
      </c>
      <c r="H891">
        <v>0</v>
      </c>
      <c r="I891" t="s">
        <v>1157</v>
      </c>
      <c r="J891">
        <v>458</v>
      </c>
      <c r="K891">
        <v>459</v>
      </c>
      <c r="L891" t="s">
        <v>1646</v>
      </c>
      <c r="M891">
        <v>3</v>
      </c>
      <c r="N891" t="s">
        <v>9</v>
      </c>
      <c r="O891" t="s">
        <v>9</v>
      </c>
      <c r="P891" t="s">
        <v>175</v>
      </c>
      <c r="Q891" t="s">
        <v>1158</v>
      </c>
      <c r="R891" t="s">
        <v>177</v>
      </c>
      <c r="S891">
        <v>2011</v>
      </c>
      <c r="T891">
        <v>5</v>
      </c>
      <c r="U891" t="s">
        <v>162</v>
      </c>
      <c r="V891" t="s">
        <v>162</v>
      </c>
      <c r="W891">
        <v>0</v>
      </c>
      <c r="X891">
        <v>0</v>
      </c>
      <c r="Y891" t="s">
        <v>162</v>
      </c>
      <c r="Z891">
        <v>2011</v>
      </c>
      <c r="AA891">
        <v>0</v>
      </c>
      <c r="AB891">
        <v>0.12902770122599999</v>
      </c>
      <c r="AC891">
        <v>0.25805540245199998</v>
      </c>
      <c r="AD891" t="s">
        <v>162</v>
      </c>
      <c r="AE891" t="s">
        <v>163</v>
      </c>
      <c r="AF891" t="s">
        <v>162</v>
      </c>
      <c r="AG891" t="s">
        <v>162</v>
      </c>
      <c r="AH891" t="s">
        <v>162</v>
      </c>
      <c r="AI891" t="s">
        <v>162</v>
      </c>
      <c r="AJ891" t="s">
        <v>162</v>
      </c>
      <c r="AK891" t="s">
        <v>162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s="60">
        <f t="shared" si="13"/>
        <v>1</v>
      </c>
      <c r="AU891" t="s">
        <v>360</v>
      </c>
      <c r="AV891" t="s">
        <v>165</v>
      </c>
      <c r="AW891" t="s">
        <v>166</v>
      </c>
      <c r="AX891">
        <v>2</v>
      </c>
      <c r="AY891" t="s">
        <v>167</v>
      </c>
      <c r="AZ891" t="s">
        <v>162</v>
      </c>
    </row>
    <row r="892" spans="1:52" x14ac:dyDescent="0.25">
      <c r="A892">
        <v>881</v>
      </c>
      <c r="B892" t="s">
        <v>233</v>
      </c>
      <c r="C892" t="s">
        <v>163</v>
      </c>
      <c r="D892" t="s">
        <v>234</v>
      </c>
      <c r="E892" t="s">
        <v>172</v>
      </c>
      <c r="F892" t="s">
        <v>162</v>
      </c>
      <c r="G892">
        <v>1250</v>
      </c>
      <c r="H892">
        <v>1251</v>
      </c>
      <c r="I892" t="s">
        <v>1433</v>
      </c>
      <c r="J892">
        <v>0</v>
      </c>
      <c r="K892">
        <v>0</v>
      </c>
      <c r="L892" t="s">
        <v>493</v>
      </c>
      <c r="M892">
        <v>2</v>
      </c>
      <c r="N892" t="s">
        <v>9</v>
      </c>
      <c r="O892" t="s">
        <v>9</v>
      </c>
      <c r="P892" t="s">
        <v>157</v>
      </c>
      <c r="Q892" t="s">
        <v>162</v>
      </c>
      <c r="R892" t="s">
        <v>314</v>
      </c>
      <c r="S892">
        <v>2012</v>
      </c>
      <c r="T892">
        <v>10</v>
      </c>
      <c r="U892" t="s">
        <v>123</v>
      </c>
      <c r="V892" t="s">
        <v>162</v>
      </c>
      <c r="W892">
        <v>0</v>
      </c>
      <c r="X892">
        <v>0</v>
      </c>
      <c r="Y892" t="s">
        <v>162</v>
      </c>
      <c r="Z892">
        <v>2012</v>
      </c>
      <c r="AA892">
        <v>2012</v>
      </c>
      <c r="AB892">
        <v>0.163977527244</v>
      </c>
      <c r="AC892">
        <v>0.327955054488</v>
      </c>
      <c r="AD892" t="s">
        <v>154</v>
      </c>
      <c r="AE892" t="s">
        <v>154</v>
      </c>
      <c r="AF892" t="s">
        <v>154</v>
      </c>
      <c r="AG892" t="s">
        <v>154</v>
      </c>
      <c r="AH892" t="s">
        <v>154</v>
      </c>
      <c r="AI892" t="s">
        <v>162</v>
      </c>
      <c r="AJ892" t="s">
        <v>162</v>
      </c>
      <c r="AK892" t="s">
        <v>162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 s="60">
        <f t="shared" si="13"/>
        <v>1</v>
      </c>
      <c r="AU892" t="s">
        <v>360</v>
      </c>
      <c r="AV892" t="s">
        <v>165</v>
      </c>
      <c r="AW892" t="s">
        <v>163</v>
      </c>
      <c r="AX892">
        <v>2</v>
      </c>
      <c r="AY892" t="s">
        <v>167</v>
      </c>
      <c r="AZ892" t="s">
        <v>162</v>
      </c>
    </row>
    <row r="893" spans="1:52" x14ac:dyDescent="0.25">
      <c r="A893">
        <v>882</v>
      </c>
      <c r="B893" t="s">
        <v>1358</v>
      </c>
      <c r="C893" t="s">
        <v>151</v>
      </c>
      <c r="D893" t="s">
        <v>1359</v>
      </c>
      <c r="E893" t="s">
        <v>172</v>
      </c>
      <c r="F893" t="s">
        <v>162</v>
      </c>
      <c r="G893">
        <v>526</v>
      </c>
      <c r="H893">
        <v>525</v>
      </c>
      <c r="I893" t="s">
        <v>1396</v>
      </c>
      <c r="J893">
        <v>100</v>
      </c>
      <c r="K893">
        <v>101</v>
      </c>
      <c r="L893" t="s">
        <v>667</v>
      </c>
      <c r="M893">
        <v>2</v>
      </c>
      <c r="N893" t="s">
        <v>9</v>
      </c>
      <c r="O893" t="s">
        <v>9</v>
      </c>
      <c r="P893" t="s">
        <v>175</v>
      </c>
      <c r="Q893" t="s">
        <v>162</v>
      </c>
      <c r="R893" t="s">
        <v>516</v>
      </c>
      <c r="S893">
        <v>2018</v>
      </c>
      <c r="T893">
        <v>0</v>
      </c>
      <c r="U893" t="s">
        <v>162</v>
      </c>
      <c r="V893" t="s">
        <v>162</v>
      </c>
      <c r="W893">
        <v>0</v>
      </c>
      <c r="X893">
        <v>0</v>
      </c>
      <c r="Y893" t="s">
        <v>162</v>
      </c>
      <c r="Z893">
        <v>2021</v>
      </c>
      <c r="AA893">
        <v>0</v>
      </c>
      <c r="AB893">
        <v>0.854743144334</v>
      </c>
      <c r="AC893">
        <v>1.70948628867</v>
      </c>
      <c r="AD893" t="s">
        <v>162</v>
      </c>
      <c r="AE893" t="s">
        <v>163</v>
      </c>
      <c r="AF893" t="s">
        <v>154</v>
      </c>
      <c r="AG893" t="s">
        <v>154</v>
      </c>
      <c r="AH893" t="s">
        <v>154</v>
      </c>
      <c r="AI893" t="s">
        <v>154</v>
      </c>
      <c r="AJ893" t="s">
        <v>154</v>
      </c>
      <c r="AK893" t="s">
        <v>154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 s="60">
        <f t="shared" si="13"/>
        <v>1</v>
      </c>
      <c r="AU893" t="s">
        <v>255</v>
      </c>
      <c r="AV893" t="s">
        <v>165</v>
      </c>
      <c r="AW893" t="s">
        <v>163</v>
      </c>
      <c r="AX893">
        <v>2</v>
      </c>
      <c r="AY893" t="s">
        <v>167</v>
      </c>
      <c r="AZ893" t="s">
        <v>162</v>
      </c>
    </row>
    <row r="894" spans="1:52" x14ac:dyDescent="0.25">
      <c r="A894">
        <v>883</v>
      </c>
      <c r="B894" t="s">
        <v>1286</v>
      </c>
      <c r="C894" t="s">
        <v>151</v>
      </c>
      <c r="D894" t="s">
        <v>1287</v>
      </c>
      <c r="E894" t="s">
        <v>172</v>
      </c>
      <c r="F894" t="s">
        <v>162</v>
      </c>
      <c r="G894">
        <v>5600</v>
      </c>
      <c r="H894">
        <v>5601</v>
      </c>
      <c r="I894" t="s">
        <v>1294</v>
      </c>
      <c r="J894">
        <v>5200</v>
      </c>
      <c r="K894">
        <v>5201</v>
      </c>
      <c r="L894" t="s">
        <v>1288</v>
      </c>
      <c r="M894">
        <v>2</v>
      </c>
      <c r="N894" t="s">
        <v>9</v>
      </c>
      <c r="O894" t="s">
        <v>9</v>
      </c>
      <c r="P894" t="s">
        <v>175</v>
      </c>
      <c r="Q894" t="s">
        <v>1289</v>
      </c>
      <c r="R894" t="s">
        <v>314</v>
      </c>
      <c r="S894">
        <v>2013</v>
      </c>
      <c r="T894">
        <v>7</v>
      </c>
      <c r="U894" t="s">
        <v>123</v>
      </c>
      <c r="V894" t="s">
        <v>267</v>
      </c>
      <c r="W894">
        <v>2018</v>
      </c>
      <c r="X894">
        <v>8</v>
      </c>
      <c r="Y894" t="s">
        <v>162</v>
      </c>
      <c r="Z894">
        <v>2018</v>
      </c>
      <c r="AA894">
        <v>2013</v>
      </c>
      <c r="AB894">
        <v>0.50536960002700004</v>
      </c>
      <c r="AC894">
        <v>1.01073920005</v>
      </c>
      <c r="AD894" t="s">
        <v>162</v>
      </c>
      <c r="AE894" t="s">
        <v>163</v>
      </c>
      <c r="AF894" t="s">
        <v>162</v>
      </c>
      <c r="AG894" t="s">
        <v>162</v>
      </c>
      <c r="AH894" t="s">
        <v>162</v>
      </c>
      <c r="AI894" t="s">
        <v>162</v>
      </c>
      <c r="AJ894" t="s">
        <v>162</v>
      </c>
      <c r="AK894" t="s">
        <v>162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s="60">
        <f t="shared" si="13"/>
        <v>1</v>
      </c>
      <c r="AU894" t="s">
        <v>530</v>
      </c>
      <c r="AV894" t="s">
        <v>165</v>
      </c>
      <c r="AW894" t="s">
        <v>163</v>
      </c>
      <c r="AX894">
        <v>2</v>
      </c>
      <c r="AY894" t="s">
        <v>167</v>
      </c>
      <c r="AZ894" t="s">
        <v>162</v>
      </c>
    </row>
    <row r="895" spans="1:52" x14ac:dyDescent="0.25">
      <c r="A895">
        <v>884</v>
      </c>
      <c r="B895" t="s">
        <v>453</v>
      </c>
      <c r="C895" t="s">
        <v>180</v>
      </c>
      <c r="D895" t="s">
        <v>454</v>
      </c>
      <c r="E895" t="s">
        <v>216</v>
      </c>
      <c r="F895" t="s">
        <v>162</v>
      </c>
      <c r="G895">
        <v>8300</v>
      </c>
      <c r="H895">
        <v>8301</v>
      </c>
      <c r="I895" t="s">
        <v>1095</v>
      </c>
      <c r="J895">
        <v>8200</v>
      </c>
      <c r="K895">
        <v>8201</v>
      </c>
      <c r="L895" t="s">
        <v>1261</v>
      </c>
      <c r="M895">
        <v>3</v>
      </c>
      <c r="N895" t="s">
        <v>9</v>
      </c>
      <c r="O895" t="s">
        <v>9</v>
      </c>
      <c r="P895" t="s">
        <v>157</v>
      </c>
      <c r="Q895" t="s">
        <v>1262</v>
      </c>
      <c r="R895" t="s">
        <v>1263</v>
      </c>
      <c r="S895">
        <v>2014</v>
      </c>
      <c r="T895">
        <v>9</v>
      </c>
      <c r="U895" t="s">
        <v>162</v>
      </c>
      <c r="V895" t="s">
        <v>162</v>
      </c>
      <c r="W895">
        <v>0</v>
      </c>
      <c r="X895">
        <v>0</v>
      </c>
      <c r="Y895" t="s">
        <v>162</v>
      </c>
      <c r="Z895">
        <v>2014</v>
      </c>
      <c r="AA895">
        <v>2003</v>
      </c>
      <c r="AB895">
        <v>0.12686949035699999</v>
      </c>
      <c r="AC895">
        <v>0.25373898071399997</v>
      </c>
      <c r="AD895" t="s">
        <v>154</v>
      </c>
      <c r="AE895" t="s">
        <v>163</v>
      </c>
      <c r="AF895" t="s">
        <v>154</v>
      </c>
      <c r="AG895" t="s">
        <v>154</v>
      </c>
      <c r="AH895" t="s">
        <v>154</v>
      </c>
      <c r="AI895" t="s">
        <v>154</v>
      </c>
      <c r="AJ895" t="s">
        <v>154</v>
      </c>
      <c r="AK895" t="s">
        <v>154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 s="60">
        <f t="shared" si="13"/>
        <v>1</v>
      </c>
      <c r="AU895" t="s">
        <v>530</v>
      </c>
      <c r="AV895" t="s">
        <v>165</v>
      </c>
      <c r="AW895" t="s">
        <v>163</v>
      </c>
      <c r="AX895">
        <v>2</v>
      </c>
      <c r="AY895" t="s">
        <v>167</v>
      </c>
      <c r="AZ895" t="s">
        <v>162</v>
      </c>
    </row>
    <row r="896" spans="1:52" x14ac:dyDescent="0.25">
      <c r="A896">
        <v>885</v>
      </c>
      <c r="B896" t="s">
        <v>453</v>
      </c>
      <c r="C896" t="s">
        <v>180</v>
      </c>
      <c r="D896" t="s">
        <v>454</v>
      </c>
      <c r="E896" t="s">
        <v>216</v>
      </c>
      <c r="F896" t="s">
        <v>162</v>
      </c>
      <c r="G896">
        <v>7900</v>
      </c>
      <c r="H896">
        <v>7901</v>
      </c>
      <c r="I896" t="s">
        <v>1126</v>
      </c>
      <c r="J896">
        <v>7600</v>
      </c>
      <c r="K896">
        <v>7601</v>
      </c>
      <c r="L896" t="s">
        <v>358</v>
      </c>
      <c r="M896">
        <v>3</v>
      </c>
      <c r="N896" t="s">
        <v>9</v>
      </c>
      <c r="O896" t="s">
        <v>9</v>
      </c>
      <c r="P896" t="s">
        <v>175</v>
      </c>
      <c r="Q896" t="s">
        <v>1221</v>
      </c>
      <c r="R896" t="s">
        <v>463</v>
      </c>
      <c r="S896">
        <v>2014</v>
      </c>
      <c r="T896">
        <v>9</v>
      </c>
      <c r="U896" t="s">
        <v>162</v>
      </c>
      <c r="V896" t="s">
        <v>162</v>
      </c>
      <c r="W896">
        <v>0</v>
      </c>
      <c r="X896">
        <v>0</v>
      </c>
      <c r="Y896" t="s">
        <v>162</v>
      </c>
      <c r="Z896">
        <v>2014</v>
      </c>
      <c r="AA896">
        <v>0</v>
      </c>
      <c r="AB896">
        <v>0.37701094974400001</v>
      </c>
      <c r="AC896">
        <v>0.75402189948800002</v>
      </c>
      <c r="AD896" t="s">
        <v>162</v>
      </c>
      <c r="AE896" t="s">
        <v>163</v>
      </c>
      <c r="AF896" t="s">
        <v>162</v>
      </c>
      <c r="AG896" t="s">
        <v>162</v>
      </c>
      <c r="AH896" t="s">
        <v>162</v>
      </c>
      <c r="AI896" t="s">
        <v>162</v>
      </c>
      <c r="AJ896" t="s">
        <v>162</v>
      </c>
      <c r="AK896" t="s">
        <v>162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 s="60">
        <f t="shared" si="13"/>
        <v>1</v>
      </c>
      <c r="AU896" t="s">
        <v>530</v>
      </c>
      <c r="AV896" t="s">
        <v>165</v>
      </c>
      <c r="AW896" t="s">
        <v>163</v>
      </c>
      <c r="AX896">
        <v>2</v>
      </c>
      <c r="AY896" t="s">
        <v>167</v>
      </c>
      <c r="AZ896" t="s">
        <v>162</v>
      </c>
    </row>
    <row r="897" spans="1:52" x14ac:dyDescent="0.25">
      <c r="A897">
        <v>886</v>
      </c>
      <c r="B897" t="s">
        <v>719</v>
      </c>
      <c r="C897" t="s">
        <v>180</v>
      </c>
      <c r="D897" t="s">
        <v>720</v>
      </c>
      <c r="E897" t="s">
        <v>172</v>
      </c>
      <c r="F897" t="s">
        <v>180</v>
      </c>
      <c r="G897">
        <v>239</v>
      </c>
      <c r="H897">
        <v>238</v>
      </c>
      <c r="I897" t="s">
        <v>644</v>
      </c>
      <c r="J897">
        <v>1</v>
      </c>
      <c r="K897">
        <v>2</v>
      </c>
      <c r="L897" t="s">
        <v>914</v>
      </c>
      <c r="M897">
        <v>4</v>
      </c>
      <c r="N897" t="s">
        <v>7</v>
      </c>
      <c r="O897" t="s">
        <v>7</v>
      </c>
      <c r="P897" t="s">
        <v>157</v>
      </c>
      <c r="Q897" t="s">
        <v>915</v>
      </c>
      <c r="R897" t="s">
        <v>261</v>
      </c>
      <c r="S897">
        <v>2015</v>
      </c>
      <c r="T897">
        <v>10</v>
      </c>
      <c r="U897" t="s">
        <v>916</v>
      </c>
      <c r="V897" t="s">
        <v>162</v>
      </c>
      <c r="W897">
        <v>0</v>
      </c>
      <c r="X897">
        <v>0</v>
      </c>
      <c r="Y897" t="s">
        <v>162</v>
      </c>
      <c r="Z897">
        <v>2015</v>
      </c>
      <c r="AA897">
        <v>2015</v>
      </c>
      <c r="AB897">
        <v>8.7272791278500003E-2</v>
      </c>
      <c r="AC897">
        <v>0.17454558255700001</v>
      </c>
      <c r="AD897" t="s">
        <v>261</v>
      </c>
      <c r="AE897" t="s">
        <v>163</v>
      </c>
      <c r="AF897" t="s">
        <v>154</v>
      </c>
      <c r="AG897" t="s">
        <v>154</v>
      </c>
      <c r="AH897" t="s">
        <v>166</v>
      </c>
      <c r="AI897" t="s">
        <v>194</v>
      </c>
      <c r="AJ897" t="s">
        <v>154</v>
      </c>
      <c r="AK897" t="s">
        <v>162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 s="60">
        <f t="shared" si="13"/>
        <v>1</v>
      </c>
      <c r="AU897" t="s">
        <v>227</v>
      </c>
      <c r="AV897" t="s">
        <v>165</v>
      </c>
      <c r="AW897" t="s">
        <v>166</v>
      </c>
      <c r="AX897">
        <v>1</v>
      </c>
      <c r="AY897" t="s">
        <v>167</v>
      </c>
      <c r="AZ897" t="s">
        <v>162</v>
      </c>
    </row>
    <row r="898" spans="1:52" x14ac:dyDescent="0.25">
      <c r="A898">
        <v>887</v>
      </c>
      <c r="B898" t="s">
        <v>1647</v>
      </c>
      <c r="C898" t="s">
        <v>203</v>
      </c>
      <c r="D898" t="s">
        <v>1648</v>
      </c>
      <c r="E898" t="s">
        <v>172</v>
      </c>
      <c r="F898" t="s">
        <v>154</v>
      </c>
      <c r="G898" t="s">
        <v>162</v>
      </c>
      <c r="H898">
        <v>0</v>
      </c>
      <c r="I898" t="s">
        <v>191</v>
      </c>
      <c r="J898">
        <v>0</v>
      </c>
      <c r="K898">
        <v>0</v>
      </c>
      <c r="L898" t="s">
        <v>488</v>
      </c>
      <c r="M898">
        <v>0</v>
      </c>
      <c r="N898" t="s">
        <v>13</v>
      </c>
      <c r="O898" t="s">
        <v>327</v>
      </c>
      <c r="P898" t="s">
        <v>175</v>
      </c>
      <c r="Q898" t="s">
        <v>162</v>
      </c>
      <c r="R898" t="s">
        <v>162</v>
      </c>
      <c r="S898">
        <v>2022</v>
      </c>
      <c r="T898">
        <v>6</v>
      </c>
      <c r="U898" t="s">
        <v>162</v>
      </c>
      <c r="V898" t="s">
        <v>162</v>
      </c>
      <c r="W898">
        <v>0</v>
      </c>
      <c r="X898">
        <v>0</v>
      </c>
      <c r="Y898" t="s">
        <v>162</v>
      </c>
      <c r="Z898">
        <v>2022</v>
      </c>
      <c r="AA898">
        <v>0</v>
      </c>
      <c r="AB898">
        <v>0.37853613974900002</v>
      </c>
      <c r="AC898">
        <v>0.75707227949800004</v>
      </c>
      <c r="AD898" t="s">
        <v>154</v>
      </c>
      <c r="AE898" t="s">
        <v>154</v>
      </c>
      <c r="AF898" t="s">
        <v>154</v>
      </c>
      <c r="AG898" t="s">
        <v>154</v>
      </c>
      <c r="AH898" t="s">
        <v>154</v>
      </c>
      <c r="AI898" t="s">
        <v>154</v>
      </c>
      <c r="AJ898" t="s">
        <v>154</v>
      </c>
      <c r="AK898" t="s">
        <v>154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 s="60">
        <f t="shared" si="13"/>
        <v>1</v>
      </c>
      <c r="AU898" t="s">
        <v>355</v>
      </c>
      <c r="AV898" t="s">
        <v>165</v>
      </c>
      <c r="AW898" t="s">
        <v>154</v>
      </c>
      <c r="AX898">
        <v>3</v>
      </c>
      <c r="AY898" t="s">
        <v>275</v>
      </c>
      <c r="AZ898">
        <v>20</v>
      </c>
    </row>
    <row r="899" spans="1:52" x14ac:dyDescent="0.25">
      <c r="A899">
        <v>888</v>
      </c>
      <c r="B899" t="s">
        <v>1647</v>
      </c>
      <c r="C899" t="s">
        <v>203</v>
      </c>
      <c r="D899" t="s">
        <v>1648</v>
      </c>
      <c r="E899" t="s">
        <v>172</v>
      </c>
      <c r="F899" t="s">
        <v>154</v>
      </c>
      <c r="G899" t="s">
        <v>162</v>
      </c>
      <c r="H899">
        <v>0</v>
      </c>
      <c r="I899" t="s">
        <v>488</v>
      </c>
      <c r="J899">
        <v>0</v>
      </c>
      <c r="K899">
        <v>0</v>
      </c>
      <c r="L899" t="s">
        <v>1649</v>
      </c>
      <c r="M899">
        <v>0</v>
      </c>
      <c r="N899" t="s">
        <v>13</v>
      </c>
      <c r="O899" t="s">
        <v>15</v>
      </c>
      <c r="P899" t="s">
        <v>175</v>
      </c>
      <c r="Q899" t="s">
        <v>162</v>
      </c>
      <c r="R899" t="s">
        <v>162</v>
      </c>
      <c r="S899">
        <v>2022</v>
      </c>
      <c r="T899">
        <v>6</v>
      </c>
      <c r="U899" t="s">
        <v>162</v>
      </c>
      <c r="V899" t="s">
        <v>162</v>
      </c>
      <c r="W899">
        <v>0</v>
      </c>
      <c r="X899">
        <v>0</v>
      </c>
      <c r="Y899" t="s">
        <v>162</v>
      </c>
      <c r="Z899">
        <v>2022</v>
      </c>
      <c r="AA899">
        <v>0</v>
      </c>
      <c r="AB899">
        <v>0.20927919375099999</v>
      </c>
      <c r="AC899">
        <v>0.41855838750300001</v>
      </c>
      <c r="AD899" t="s">
        <v>154</v>
      </c>
      <c r="AE899" t="s">
        <v>154</v>
      </c>
      <c r="AF899" t="s">
        <v>154</v>
      </c>
      <c r="AG899" t="s">
        <v>154</v>
      </c>
      <c r="AH899" t="s">
        <v>154</v>
      </c>
      <c r="AI899" t="s">
        <v>154</v>
      </c>
      <c r="AJ899" t="s">
        <v>154</v>
      </c>
      <c r="AK899" t="s">
        <v>154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 s="60">
        <f t="shared" si="13"/>
        <v>1</v>
      </c>
      <c r="AU899" t="s">
        <v>355</v>
      </c>
      <c r="AV899" t="s">
        <v>165</v>
      </c>
      <c r="AW899" t="s">
        <v>154</v>
      </c>
      <c r="AX899">
        <v>3</v>
      </c>
      <c r="AY899" t="s">
        <v>275</v>
      </c>
      <c r="AZ899">
        <v>20</v>
      </c>
    </row>
    <row r="900" spans="1:52" x14ac:dyDescent="0.25">
      <c r="A900">
        <v>889</v>
      </c>
      <c r="B900" t="s">
        <v>1647</v>
      </c>
      <c r="C900" t="s">
        <v>203</v>
      </c>
      <c r="D900" t="s">
        <v>1648</v>
      </c>
      <c r="E900" t="s">
        <v>172</v>
      </c>
      <c r="F900" t="s">
        <v>154</v>
      </c>
      <c r="G900" t="s">
        <v>162</v>
      </c>
      <c r="H900">
        <v>0</v>
      </c>
      <c r="I900" t="s">
        <v>1649</v>
      </c>
      <c r="J900">
        <v>0</v>
      </c>
      <c r="K900">
        <v>0</v>
      </c>
      <c r="L900" t="s">
        <v>703</v>
      </c>
      <c r="M900">
        <v>0</v>
      </c>
      <c r="N900" t="s">
        <v>13</v>
      </c>
      <c r="O900" t="s">
        <v>327</v>
      </c>
      <c r="P900" t="s">
        <v>175</v>
      </c>
      <c r="Q900" t="s">
        <v>162</v>
      </c>
      <c r="R900" t="s">
        <v>162</v>
      </c>
      <c r="S900">
        <v>2022</v>
      </c>
      <c r="T900">
        <v>6</v>
      </c>
      <c r="U900" t="s">
        <v>162</v>
      </c>
      <c r="V900" t="s">
        <v>162</v>
      </c>
      <c r="W900">
        <v>0</v>
      </c>
      <c r="X900">
        <v>0</v>
      </c>
      <c r="Y900" t="s">
        <v>162</v>
      </c>
      <c r="Z900">
        <v>2022</v>
      </c>
      <c r="AA900">
        <v>0</v>
      </c>
      <c r="AB900">
        <v>0.16764201611599999</v>
      </c>
      <c r="AC900">
        <v>0.33528403223199998</v>
      </c>
      <c r="AD900" t="s">
        <v>154</v>
      </c>
      <c r="AE900" t="s">
        <v>154</v>
      </c>
      <c r="AF900" t="s">
        <v>154</v>
      </c>
      <c r="AG900" t="s">
        <v>154</v>
      </c>
      <c r="AH900" t="s">
        <v>154</v>
      </c>
      <c r="AI900" t="s">
        <v>154</v>
      </c>
      <c r="AJ900" t="s">
        <v>154</v>
      </c>
      <c r="AK900" t="s">
        <v>154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 s="60">
        <f t="shared" si="13"/>
        <v>1</v>
      </c>
      <c r="AU900" t="s">
        <v>355</v>
      </c>
      <c r="AV900" t="s">
        <v>165</v>
      </c>
      <c r="AW900" t="s">
        <v>154</v>
      </c>
      <c r="AX900">
        <v>3</v>
      </c>
      <c r="AY900" t="s">
        <v>275</v>
      </c>
      <c r="AZ900">
        <v>20</v>
      </c>
    </row>
    <row r="901" spans="1:52" x14ac:dyDescent="0.25">
      <c r="A901">
        <v>890</v>
      </c>
      <c r="B901" t="s">
        <v>1618</v>
      </c>
      <c r="C901" t="s">
        <v>151</v>
      </c>
      <c r="D901" t="s">
        <v>1619</v>
      </c>
      <c r="E901" t="s">
        <v>216</v>
      </c>
      <c r="F901" t="s">
        <v>154</v>
      </c>
      <c r="G901">
        <v>2000</v>
      </c>
      <c r="H901">
        <v>2001</v>
      </c>
      <c r="I901" t="s">
        <v>191</v>
      </c>
      <c r="J901">
        <v>0</v>
      </c>
      <c r="K901">
        <v>0</v>
      </c>
      <c r="L901" t="s">
        <v>478</v>
      </c>
      <c r="M901">
        <v>0</v>
      </c>
      <c r="N901" t="s">
        <v>11</v>
      </c>
      <c r="O901" t="s">
        <v>327</v>
      </c>
      <c r="P901" t="s">
        <v>175</v>
      </c>
      <c r="Q901" t="s">
        <v>162</v>
      </c>
      <c r="R901" t="s">
        <v>162</v>
      </c>
      <c r="S901">
        <v>2022</v>
      </c>
      <c r="T901">
        <v>6</v>
      </c>
      <c r="U901" t="s">
        <v>1650</v>
      </c>
      <c r="V901" t="s">
        <v>154</v>
      </c>
      <c r="W901">
        <v>0</v>
      </c>
      <c r="X901">
        <v>0</v>
      </c>
      <c r="Y901" t="s">
        <v>154</v>
      </c>
      <c r="Z901">
        <v>2022</v>
      </c>
      <c r="AA901">
        <v>0</v>
      </c>
      <c r="AB901">
        <v>0.67006152473400005</v>
      </c>
      <c r="AC901">
        <v>1.34012304947</v>
      </c>
      <c r="AD901" t="s">
        <v>162</v>
      </c>
      <c r="AE901" t="s">
        <v>154</v>
      </c>
      <c r="AF901" t="s">
        <v>154</v>
      </c>
      <c r="AG901" t="s">
        <v>154</v>
      </c>
      <c r="AH901" t="s">
        <v>154</v>
      </c>
      <c r="AI901" t="s">
        <v>154</v>
      </c>
      <c r="AJ901" t="s">
        <v>154</v>
      </c>
      <c r="AK901" t="s">
        <v>154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s="60">
        <f t="shared" si="13"/>
        <v>1</v>
      </c>
      <c r="AU901" t="s">
        <v>355</v>
      </c>
      <c r="AV901" t="s">
        <v>165</v>
      </c>
      <c r="AW901" t="s">
        <v>154</v>
      </c>
      <c r="AX901">
        <v>0</v>
      </c>
      <c r="AY901" t="s">
        <v>167</v>
      </c>
      <c r="AZ901">
        <v>30</v>
      </c>
    </row>
    <row r="902" spans="1:52" x14ac:dyDescent="0.25">
      <c r="A902">
        <v>891</v>
      </c>
      <c r="B902" t="s">
        <v>1651</v>
      </c>
      <c r="C902" t="s">
        <v>151</v>
      </c>
      <c r="D902" t="s">
        <v>1652</v>
      </c>
      <c r="E902" t="s">
        <v>216</v>
      </c>
      <c r="F902" t="s">
        <v>151</v>
      </c>
      <c r="G902">
        <v>0</v>
      </c>
      <c r="H902">
        <v>0</v>
      </c>
      <c r="I902" t="s">
        <v>1653</v>
      </c>
      <c r="J902">
        <v>2000</v>
      </c>
      <c r="K902">
        <v>2001</v>
      </c>
      <c r="L902" t="s">
        <v>191</v>
      </c>
      <c r="M902">
        <v>0</v>
      </c>
      <c r="N902" t="s">
        <v>13</v>
      </c>
      <c r="O902" t="s">
        <v>13</v>
      </c>
      <c r="P902" t="s">
        <v>175</v>
      </c>
      <c r="Q902" t="s">
        <v>1654</v>
      </c>
      <c r="R902" t="s">
        <v>162</v>
      </c>
      <c r="S902">
        <v>2022</v>
      </c>
      <c r="T902">
        <v>7</v>
      </c>
      <c r="U902" t="s">
        <v>162</v>
      </c>
      <c r="V902" t="s">
        <v>162</v>
      </c>
      <c r="W902">
        <v>0</v>
      </c>
      <c r="X902">
        <v>0</v>
      </c>
      <c r="Y902" t="s">
        <v>162</v>
      </c>
      <c r="Z902">
        <v>2022</v>
      </c>
      <c r="AA902">
        <v>0</v>
      </c>
      <c r="AB902">
        <v>1.26714412257</v>
      </c>
      <c r="AC902">
        <v>2.5342880000000001</v>
      </c>
      <c r="AD902" t="s">
        <v>162</v>
      </c>
      <c r="AE902" t="s">
        <v>163</v>
      </c>
      <c r="AF902" t="s">
        <v>154</v>
      </c>
      <c r="AG902" t="s">
        <v>166</v>
      </c>
      <c r="AH902" t="s">
        <v>154</v>
      </c>
      <c r="AI902" t="s">
        <v>154</v>
      </c>
      <c r="AJ902" t="s">
        <v>154</v>
      </c>
      <c r="AK902" t="s">
        <v>154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s="60">
        <f t="shared" si="13"/>
        <v>1</v>
      </c>
      <c r="AU902" t="s">
        <v>426</v>
      </c>
      <c r="AV902" t="s">
        <v>165</v>
      </c>
      <c r="AW902" t="s">
        <v>154</v>
      </c>
      <c r="AX902">
        <v>3</v>
      </c>
      <c r="AY902" t="s">
        <v>275</v>
      </c>
      <c r="AZ902">
        <v>20</v>
      </c>
    </row>
    <row r="903" spans="1:52" x14ac:dyDescent="0.25">
      <c r="A903">
        <v>892</v>
      </c>
      <c r="B903" t="s">
        <v>1655</v>
      </c>
      <c r="C903" t="s">
        <v>151</v>
      </c>
      <c r="D903" t="s">
        <v>1656</v>
      </c>
      <c r="E903" t="s">
        <v>216</v>
      </c>
      <c r="F903" t="s">
        <v>203</v>
      </c>
      <c r="G903" t="s">
        <v>162</v>
      </c>
      <c r="H903">
        <v>0</v>
      </c>
      <c r="I903" t="s">
        <v>378</v>
      </c>
      <c r="J903">
        <v>0</v>
      </c>
      <c r="K903">
        <v>0</v>
      </c>
      <c r="L903" t="s">
        <v>482</v>
      </c>
      <c r="M903">
        <v>0</v>
      </c>
      <c r="N903" t="s">
        <v>13</v>
      </c>
      <c r="O903" t="s">
        <v>15</v>
      </c>
      <c r="P903" t="s">
        <v>175</v>
      </c>
      <c r="Q903" t="s">
        <v>162</v>
      </c>
      <c r="R903" t="s">
        <v>1657</v>
      </c>
      <c r="S903">
        <v>2022</v>
      </c>
      <c r="T903">
        <v>7</v>
      </c>
      <c r="U903" t="s">
        <v>1658</v>
      </c>
      <c r="V903" t="s">
        <v>162</v>
      </c>
      <c r="W903">
        <v>0</v>
      </c>
      <c r="X903">
        <v>0</v>
      </c>
      <c r="Y903" t="s">
        <v>162</v>
      </c>
      <c r="Z903">
        <v>2022</v>
      </c>
      <c r="AA903">
        <v>0</v>
      </c>
      <c r="AB903">
        <v>0.19235746574900001</v>
      </c>
      <c r="AC903">
        <v>0.38471493149800001</v>
      </c>
      <c r="AD903" t="s">
        <v>162</v>
      </c>
      <c r="AE903" t="s">
        <v>163</v>
      </c>
      <c r="AF903" t="s">
        <v>154</v>
      </c>
      <c r="AG903" t="s">
        <v>166</v>
      </c>
      <c r="AH903" t="s">
        <v>154</v>
      </c>
      <c r="AI903" t="s">
        <v>154</v>
      </c>
      <c r="AJ903" t="s">
        <v>154</v>
      </c>
      <c r="AK903" t="s">
        <v>154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s="60">
        <f t="shared" si="13"/>
        <v>1</v>
      </c>
      <c r="AU903" t="s">
        <v>355</v>
      </c>
      <c r="AV903" t="s">
        <v>165</v>
      </c>
      <c r="AW903" t="s">
        <v>154</v>
      </c>
      <c r="AX903">
        <v>3</v>
      </c>
      <c r="AY903" t="s">
        <v>275</v>
      </c>
      <c r="AZ903">
        <v>20</v>
      </c>
    </row>
    <row r="904" spans="1:52" x14ac:dyDescent="0.25">
      <c r="A904">
        <v>893</v>
      </c>
      <c r="B904" s="74" t="s">
        <v>1655</v>
      </c>
      <c r="C904" t="s">
        <v>151</v>
      </c>
      <c r="D904" t="s">
        <v>1656</v>
      </c>
      <c r="E904" t="s">
        <v>216</v>
      </c>
      <c r="F904" t="s">
        <v>154</v>
      </c>
      <c r="G904" t="s">
        <v>162</v>
      </c>
      <c r="H904">
        <v>0</v>
      </c>
      <c r="I904" t="s">
        <v>779</v>
      </c>
      <c r="J904">
        <v>0</v>
      </c>
      <c r="K904">
        <v>0</v>
      </c>
      <c r="L904" t="s">
        <v>378</v>
      </c>
      <c r="M904">
        <v>0</v>
      </c>
      <c r="N904" t="s">
        <v>13</v>
      </c>
      <c r="O904" t="s">
        <v>15</v>
      </c>
      <c r="P904" t="s">
        <v>175</v>
      </c>
      <c r="Q904" t="s">
        <v>162</v>
      </c>
      <c r="R904" t="s">
        <v>1657</v>
      </c>
      <c r="S904">
        <v>2022</v>
      </c>
      <c r="T904">
        <v>7</v>
      </c>
      <c r="U904" t="s">
        <v>1658</v>
      </c>
      <c r="V904" t="s">
        <v>162</v>
      </c>
      <c r="W904">
        <v>0</v>
      </c>
      <c r="X904">
        <v>0</v>
      </c>
      <c r="Y904" t="s">
        <v>162</v>
      </c>
      <c r="Z904">
        <v>2022</v>
      </c>
      <c r="AA904">
        <v>0</v>
      </c>
      <c r="AB904">
        <v>0.18921605037799999</v>
      </c>
      <c r="AC904">
        <v>0.378432100755</v>
      </c>
      <c r="AD904" t="s">
        <v>162</v>
      </c>
      <c r="AE904" t="s">
        <v>154</v>
      </c>
      <c r="AF904" t="s">
        <v>154</v>
      </c>
      <c r="AG904" t="s">
        <v>154</v>
      </c>
      <c r="AH904" t="s">
        <v>154</v>
      </c>
      <c r="AI904" t="s">
        <v>154</v>
      </c>
      <c r="AJ904" t="s">
        <v>154</v>
      </c>
      <c r="AK904" t="s">
        <v>154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U904" t="s">
        <v>355</v>
      </c>
      <c r="AV904" t="s">
        <v>165</v>
      </c>
      <c r="AW904" t="s">
        <v>154</v>
      </c>
      <c r="AX904">
        <v>3</v>
      </c>
      <c r="AY904" t="s">
        <v>275</v>
      </c>
      <c r="AZ904">
        <v>20</v>
      </c>
    </row>
    <row r="905" spans="1:52" x14ac:dyDescent="0.25">
      <c r="A905">
        <v>894</v>
      </c>
      <c r="B905" s="74" t="s">
        <v>220</v>
      </c>
      <c r="C905" t="s">
        <v>151</v>
      </c>
      <c r="D905" t="s">
        <v>221</v>
      </c>
      <c r="E905" t="s">
        <v>222</v>
      </c>
      <c r="F905" t="s">
        <v>154</v>
      </c>
      <c r="G905" t="s">
        <v>162</v>
      </c>
      <c r="H905">
        <v>0</v>
      </c>
      <c r="I905" t="s">
        <v>1294</v>
      </c>
      <c r="J905">
        <v>0</v>
      </c>
      <c r="K905">
        <v>0</v>
      </c>
      <c r="L905" t="s">
        <v>1288</v>
      </c>
      <c r="M905">
        <v>0</v>
      </c>
      <c r="N905" t="s">
        <v>15</v>
      </c>
      <c r="O905" t="s">
        <v>15</v>
      </c>
      <c r="P905" t="s">
        <v>175</v>
      </c>
      <c r="Q905" t="s">
        <v>162</v>
      </c>
      <c r="R905" t="s">
        <v>162</v>
      </c>
      <c r="S905">
        <v>2022</v>
      </c>
      <c r="T905">
        <v>6</v>
      </c>
      <c r="U905" t="s">
        <v>162</v>
      </c>
      <c r="V905" t="s">
        <v>162</v>
      </c>
      <c r="W905">
        <v>0</v>
      </c>
      <c r="X905">
        <v>0</v>
      </c>
      <c r="Y905" t="s">
        <v>162</v>
      </c>
      <c r="Z905">
        <v>2022</v>
      </c>
      <c r="AA905">
        <v>0</v>
      </c>
      <c r="AB905">
        <v>0.50543499474300002</v>
      </c>
      <c r="AC905">
        <v>1.01086998949</v>
      </c>
      <c r="AD905" t="s">
        <v>162</v>
      </c>
      <c r="AE905" t="s">
        <v>154</v>
      </c>
      <c r="AF905" t="s">
        <v>154</v>
      </c>
      <c r="AG905" t="s">
        <v>154</v>
      </c>
      <c r="AH905" t="s">
        <v>154</v>
      </c>
      <c r="AI905" t="s">
        <v>154</v>
      </c>
      <c r="AJ905" t="s">
        <v>154</v>
      </c>
      <c r="AK905" t="s">
        <v>154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U905" t="s">
        <v>355</v>
      </c>
      <c r="AV905" t="s">
        <v>165</v>
      </c>
      <c r="AW905" t="s">
        <v>154</v>
      </c>
      <c r="AX905">
        <v>0</v>
      </c>
      <c r="AY905" t="s">
        <v>167</v>
      </c>
      <c r="AZ905">
        <v>30</v>
      </c>
    </row>
    <row r="906" spans="1:52" x14ac:dyDescent="0.25">
      <c r="A906">
        <v>895</v>
      </c>
      <c r="B906" s="74" t="s">
        <v>1637</v>
      </c>
      <c r="C906" t="s">
        <v>1659</v>
      </c>
      <c r="D906" t="s">
        <v>1638</v>
      </c>
      <c r="E906" t="s">
        <v>216</v>
      </c>
      <c r="F906" t="s">
        <v>154</v>
      </c>
      <c r="G906" t="s">
        <v>162</v>
      </c>
      <c r="H906">
        <v>0</v>
      </c>
      <c r="I906" t="s">
        <v>292</v>
      </c>
      <c r="J906">
        <v>0</v>
      </c>
      <c r="K906">
        <v>0</v>
      </c>
      <c r="L906" t="s">
        <v>1660</v>
      </c>
      <c r="M906">
        <v>0</v>
      </c>
      <c r="N906" t="s">
        <v>11</v>
      </c>
      <c r="O906" t="s">
        <v>327</v>
      </c>
      <c r="P906" t="s">
        <v>175</v>
      </c>
      <c r="Q906" t="s">
        <v>162</v>
      </c>
      <c r="R906" t="s">
        <v>1661</v>
      </c>
      <c r="S906">
        <v>2022</v>
      </c>
      <c r="T906">
        <v>6</v>
      </c>
      <c r="U906" t="s">
        <v>162</v>
      </c>
      <c r="V906" t="s">
        <v>162</v>
      </c>
      <c r="W906">
        <v>0</v>
      </c>
      <c r="X906">
        <v>0</v>
      </c>
      <c r="Y906" t="s">
        <v>162</v>
      </c>
      <c r="Z906">
        <v>2022</v>
      </c>
      <c r="AA906">
        <v>0</v>
      </c>
      <c r="AB906">
        <v>1.1293971355800001</v>
      </c>
      <c r="AC906">
        <v>2.2587942711500002</v>
      </c>
      <c r="AD906" t="s">
        <v>162</v>
      </c>
      <c r="AE906" t="s">
        <v>154</v>
      </c>
      <c r="AF906" t="s">
        <v>154</v>
      </c>
      <c r="AG906" t="s">
        <v>154</v>
      </c>
      <c r="AH906" t="s">
        <v>154</v>
      </c>
      <c r="AI906" t="s">
        <v>154</v>
      </c>
      <c r="AJ906" t="s">
        <v>154</v>
      </c>
      <c r="AK906" t="s">
        <v>154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U906" t="s">
        <v>355</v>
      </c>
      <c r="AV906" t="s">
        <v>165</v>
      </c>
      <c r="AW906" t="s">
        <v>154</v>
      </c>
      <c r="AX906">
        <v>0</v>
      </c>
      <c r="AY906" t="s">
        <v>167</v>
      </c>
      <c r="AZ906">
        <v>30</v>
      </c>
    </row>
    <row r="907" spans="1:52" x14ac:dyDescent="0.25">
      <c r="A907">
        <v>896</v>
      </c>
      <c r="B907" s="74" t="s">
        <v>948</v>
      </c>
      <c r="C907" t="s">
        <v>151</v>
      </c>
      <c r="D907" t="s">
        <v>949</v>
      </c>
      <c r="E907" t="s">
        <v>172</v>
      </c>
      <c r="F907" t="s">
        <v>154</v>
      </c>
      <c r="G907" t="s">
        <v>162</v>
      </c>
      <c r="H907">
        <v>0</v>
      </c>
      <c r="I907" t="s">
        <v>1294</v>
      </c>
      <c r="J907">
        <v>0</v>
      </c>
      <c r="K907">
        <v>0</v>
      </c>
      <c r="L907" t="s">
        <v>1001</v>
      </c>
      <c r="M907">
        <v>0</v>
      </c>
      <c r="N907" t="s">
        <v>11</v>
      </c>
      <c r="O907" t="s">
        <v>327</v>
      </c>
      <c r="P907" t="s">
        <v>175</v>
      </c>
      <c r="Q907" t="s">
        <v>162</v>
      </c>
      <c r="R907" t="s">
        <v>1661</v>
      </c>
      <c r="S907">
        <v>2022</v>
      </c>
      <c r="T907">
        <v>6</v>
      </c>
      <c r="U907" t="s">
        <v>1662</v>
      </c>
      <c r="V907" t="s">
        <v>162</v>
      </c>
      <c r="W907">
        <v>0</v>
      </c>
      <c r="X907">
        <v>0</v>
      </c>
      <c r="Y907" t="s">
        <v>162</v>
      </c>
      <c r="Z907">
        <v>2022</v>
      </c>
      <c r="AA907">
        <v>0</v>
      </c>
      <c r="AB907">
        <v>1.5245804434900001</v>
      </c>
      <c r="AC907">
        <v>3.0491608869800002</v>
      </c>
      <c r="AD907" t="s">
        <v>154</v>
      </c>
      <c r="AE907" t="s">
        <v>154</v>
      </c>
      <c r="AF907" t="s">
        <v>154</v>
      </c>
      <c r="AG907" t="s">
        <v>154</v>
      </c>
      <c r="AH907" t="s">
        <v>154</v>
      </c>
      <c r="AI907" t="s">
        <v>154</v>
      </c>
      <c r="AJ907" t="s">
        <v>154</v>
      </c>
      <c r="AK907" t="s">
        <v>154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U907" t="s">
        <v>355</v>
      </c>
      <c r="AV907" t="s">
        <v>165</v>
      </c>
      <c r="AW907" t="s">
        <v>154</v>
      </c>
      <c r="AX907">
        <v>0</v>
      </c>
      <c r="AY907" t="s">
        <v>167</v>
      </c>
      <c r="AZ907">
        <v>30</v>
      </c>
    </row>
    <row r="908" spans="1:52" x14ac:dyDescent="0.25">
      <c r="A908">
        <v>897</v>
      </c>
      <c r="B908" s="74" t="s">
        <v>1637</v>
      </c>
      <c r="C908" t="s">
        <v>163</v>
      </c>
      <c r="D908" t="s">
        <v>1638</v>
      </c>
      <c r="E908" t="s">
        <v>216</v>
      </c>
      <c r="F908" t="s">
        <v>154</v>
      </c>
      <c r="G908" t="s">
        <v>162</v>
      </c>
      <c r="H908">
        <v>0</v>
      </c>
      <c r="I908" t="s">
        <v>1663</v>
      </c>
      <c r="J908">
        <v>0</v>
      </c>
      <c r="K908">
        <v>0</v>
      </c>
      <c r="L908" t="s">
        <v>632</v>
      </c>
      <c r="M908">
        <v>0</v>
      </c>
      <c r="N908" t="s">
        <v>7</v>
      </c>
      <c r="O908" t="s">
        <v>7</v>
      </c>
      <c r="P908" t="s">
        <v>175</v>
      </c>
      <c r="Q908" t="s">
        <v>162</v>
      </c>
      <c r="R908" t="s">
        <v>1661</v>
      </c>
      <c r="S908">
        <v>2022</v>
      </c>
      <c r="T908">
        <v>8</v>
      </c>
      <c r="U908" t="s">
        <v>162</v>
      </c>
      <c r="V908" t="s">
        <v>162</v>
      </c>
      <c r="W908">
        <v>0</v>
      </c>
      <c r="X908">
        <v>0</v>
      </c>
      <c r="Y908" t="s">
        <v>162</v>
      </c>
      <c r="Z908">
        <v>2022</v>
      </c>
      <c r="AA908">
        <v>0</v>
      </c>
      <c r="AB908">
        <v>0.26081991468799998</v>
      </c>
      <c r="AC908">
        <v>0.52163982937599995</v>
      </c>
      <c r="AD908" t="s">
        <v>162</v>
      </c>
      <c r="AE908" t="s">
        <v>154</v>
      </c>
      <c r="AF908" t="s">
        <v>154</v>
      </c>
      <c r="AG908" t="s">
        <v>154</v>
      </c>
      <c r="AH908" t="s">
        <v>154</v>
      </c>
      <c r="AI908" t="s">
        <v>226</v>
      </c>
      <c r="AJ908" t="s">
        <v>154</v>
      </c>
      <c r="AK908" t="s">
        <v>154</v>
      </c>
      <c r="AL908">
        <v>0</v>
      </c>
      <c r="AM908">
        <v>0</v>
      </c>
      <c r="AN908">
        <v>0.4</v>
      </c>
      <c r="AO908">
        <v>0.6</v>
      </c>
      <c r="AP908">
        <v>0</v>
      </c>
      <c r="AQ908">
        <v>0</v>
      </c>
      <c r="AR908">
        <v>0</v>
      </c>
      <c r="AS908">
        <v>0</v>
      </c>
      <c r="AU908" t="s">
        <v>355</v>
      </c>
      <c r="AV908" t="s">
        <v>165</v>
      </c>
      <c r="AW908" t="s">
        <v>166</v>
      </c>
      <c r="AX908">
        <v>0</v>
      </c>
      <c r="AY908" t="s">
        <v>167</v>
      </c>
      <c r="AZ908">
        <v>30</v>
      </c>
    </row>
    <row r="909" spans="1:52" x14ac:dyDescent="0.25">
      <c r="A909">
        <v>898</v>
      </c>
      <c r="B909" s="74" t="s">
        <v>1637</v>
      </c>
      <c r="C909" t="s">
        <v>163</v>
      </c>
      <c r="D909" t="s">
        <v>1638</v>
      </c>
      <c r="E909" t="s">
        <v>216</v>
      </c>
      <c r="F909" t="s">
        <v>154</v>
      </c>
      <c r="G909" t="s">
        <v>162</v>
      </c>
      <c r="H909">
        <v>0</v>
      </c>
      <c r="I909" t="s">
        <v>532</v>
      </c>
      <c r="J909">
        <v>0</v>
      </c>
      <c r="K909">
        <v>0</v>
      </c>
      <c r="L909" t="s">
        <v>1663</v>
      </c>
      <c r="M909">
        <v>0</v>
      </c>
      <c r="N909" t="s">
        <v>11</v>
      </c>
      <c r="O909" t="s">
        <v>11</v>
      </c>
      <c r="P909" t="s">
        <v>175</v>
      </c>
      <c r="Q909" t="s">
        <v>162</v>
      </c>
      <c r="R909" t="s">
        <v>1664</v>
      </c>
      <c r="S909">
        <v>2022</v>
      </c>
      <c r="T909">
        <v>9</v>
      </c>
      <c r="U909" t="s">
        <v>1665</v>
      </c>
      <c r="V909" t="s">
        <v>162</v>
      </c>
      <c r="W909">
        <v>0</v>
      </c>
      <c r="X909">
        <v>0</v>
      </c>
      <c r="Y909" t="s">
        <v>162</v>
      </c>
      <c r="Z909">
        <v>2022</v>
      </c>
      <c r="AA909">
        <v>0</v>
      </c>
      <c r="AB909">
        <v>0.37880137666000002</v>
      </c>
      <c r="AC909">
        <v>0.75760275332100002</v>
      </c>
      <c r="AD909" t="s">
        <v>162</v>
      </c>
      <c r="AE909" t="s">
        <v>154</v>
      </c>
      <c r="AF909" t="s">
        <v>154</v>
      </c>
      <c r="AG909" t="s">
        <v>154</v>
      </c>
      <c r="AH909" t="s">
        <v>154</v>
      </c>
      <c r="AI909" t="s">
        <v>154</v>
      </c>
      <c r="AJ909" t="s">
        <v>154</v>
      </c>
      <c r="AK909" t="s">
        <v>154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U909" t="s">
        <v>1666</v>
      </c>
      <c r="AV909" t="s">
        <v>165</v>
      </c>
      <c r="AW909" t="s">
        <v>154</v>
      </c>
      <c r="AX909">
        <v>0</v>
      </c>
      <c r="AY909" t="s">
        <v>275</v>
      </c>
      <c r="AZ909">
        <v>30</v>
      </c>
    </row>
    <row r="910" spans="1:52" x14ac:dyDescent="0.25">
      <c r="A910">
        <v>899</v>
      </c>
      <c r="B910" s="74" t="s">
        <v>321</v>
      </c>
      <c r="C910" t="s">
        <v>151</v>
      </c>
      <c r="D910" t="s">
        <v>322</v>
      </c>
      <c r="E910" t="s">
        <v>216</v>
      </c>
      <c r="F910" t="s">
        <v>154</v>
      </c>
      <c r="G910" t="s">
        <v>162</v>
      </c>
      <c r="H910">
        <v>0</v>
      </c>
      <c r="I910" t="s">
        <v>542</v>
      </c>
      <c r="J910">
        <v>0</v>
      </c>
      <c r="K910">
        <v>0</v>
      </c>
      <c r="L910" t="s">
        <v>1667</v>
      </c>
      <c r="M910">
        <v>0</v>
      </c>
      <c r="N910" t="s">
        <v>9</v>
      </c>
      <c r="O910" t="s">
        <v>9</v>
      </c>
      <c r="P910" t="s">
        <v>175</v>
      </c>
      <c r="Q910" t="s">
        <v>162</v>
      </c>
      <c r="R910" t="s">
        <v>1661</v>
      </c>
      <c r="S910">
        <v>2022</v>
      </c>
      <c r="T910">
        <v>7</v>
      </c>
      <c r="U910" t="s">
        <v>162</v>
      </c>
      <c r="V910" t="s">
        <v>162</v>
      </c>
      <c r="W910">
        <v>0</v>
      </c>
      <c r="X910">
        <v>0</v>
      </c>
      <c r="Y910" t="s">
        <v>162</v>
      </c>
      <c r="Z910">
        <v>2022</v>
      </c>
      <c r="AA910">
        <v>0</v>
      </c>
      <c r="AB910">
        <v>0.39619841077700002</v>
      </c>
      <c r="AC910">
        <v>0.79239682155400004</v>
      </c>
      <c r="AD910" t="s">
        <v>154</v>
      </c>
      <c r="AE910" t="s">
        <v>154</v>
      </c>
      <c r="AF910" t="s">
        <v>154</v>
      </c>
      <c r="AG910" t="s">
        <v>154</v>
      </c>
      <c r="AH910" t="s">
        <v>154</v>
      </c>
      <c r="AI910" t="s">
        <v>154</v>
      </c>
      <c r="AJ910" t="s">
        <v>154</v>
      </c>
      <c r="AK910" t="s">
        <v>154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U910" t="s">
        <v>355</v>
      </c>
      <c r="AV910" t="s">
        <v>165</v>
      </c>
      <c r="AW910" t="s">
        <v>154</v>
      </c>
      <c r="AX910">
        <v>0</v>
      </c>
      <c r="AY910" t="s">
        <v>167</v>
      </c>
      <c r="AZ910">
        <v>30</v>
      </c>
    </row>
    <row r="911" spans="1:52" x14ac:dyDescent="0.25">
      <c r="A911">
        <v>900</v>
      </c>
      <c r="B911" s="74" t="s">
        <v>321</v>
      </c>
      <c r="C911" t="s">
        <v>151</v>
      </c>
      <c r="D911" t="s">
        <v>322</v>
      </c>
      <c r="E911" t="s">
        <v>216</v>
      </c>
      <c r="F911" t="s">
        <v>154</v>
      </c>
      <c r="G911" t="s">
        <v>162</v>
      </c>
      <c r="H911">
        <v>0</v>
      </c>
      <c r="I911" t="s">
        <v>1667</v>
      </c>
      <c r="J911">
        <v>0</v>
      </c>
      <c r="K911">
        <v>0</v>
      </c>
      <c r="L911" t="s">
        <v>846</v>
      </c>
      <c r="M911">
        <v>0</v>
      </c>
      <c r="N911" t="s">
        <v>15</v>
      </c>
      <c r="O911" t="s">
        <v>15</v>
      </c>
      <c r="P911" t="s">
        <v>175</v>
      </c>
      <c r="Q911" t="s">
        <v>162</v>
      </c>
      <c r="R911" t="s">
        <v>1661</v>
      </c>
      <c r="S911">
        <v>2022</v>
      </c>
      <c r="T911">
        <v>7</v>
      </c>
      <c r="U911" t="s">
        <v>162</v>
      </c>
      <c r="V911" t="s">
        <v>162</v>
      </c>
      <c r="W911">
        <v>0</v>
      </c>
      <c r="X911">
        <v>0</v>
      </c>
      <c r="Y911" t="s">
        <v>162</v>
      </c>
      <c r="Z911">
        <v>2022</v>
      </c>
      <c r="AA911">
        <v>0</v>
      </c>
      <c r="AB911">
        <v>0.13012295053</v>
      </c>
      <c r="AC911">
        <v>0.26024590106000001</v>
      </c>
      <c r="AD911" t="s">
        <v>154</v>
      </c>
      <c r="AE911" t="s">
        <v>154</v>
      </c>
      <c r="AF911" t="s">
        <v>154</v>
      </c>
      <c r="AG911" t="s">
        <v>154</v>
      </c>
      <c r="AH911" t="s">
        <v>154</v>
      </c>
      <c r="AI911" t="s">
        <v>154</v>
      </c>
      <c r="AJ911" t="s">
        <v>154</v>
      </c>
      <c r="AK911" t="s">
        <v>154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U911" t="s">
        <v>355</v>
      </c>
      <c r="AV911" t="s">
        <v>165</v>
      </c>
      <c r="AW911" t="s">
        <v>154</v>
      </c>
      <c r="AX911">
        <v>0</v>
      </c>
      <c r="AY911" t="s">
        <v>167</v>
      </c>
      <c r="AZ911">
        <v>30</v>
      </c>
    </row>
    <row r="912" spans="1:52" x14ac:dyDescent="0.25">
      <c r="A912">
        <v>901</v>
      </c>
      <c r="B912" s="74" t="s">
        <v>321</v>
      </c>
      <c r="C912" t="s">
        <v>151</v>
      </c>
      <c r="D912" t="s">
        <v>322</v>
      </c>
      <c r="E912" t="s">
        <v>216</v>
      </c>
      <c r="F912" t="s">
        <v>154</v>
      </c>
      <c r="G912" t="s">
        <v>162</v>
      </c>
      <c r="H912">
        <v>0</v>
      </c>
      <c r="I912" t="s">
        <v>846</v>
      </c>
      <c r="J912">
        <v>0</v>
      </c>
      <c r="K912">
        <v>0</v>
      </c>
      <c r="L912" t="s">
        <v>901</v>
      </c>
      <c r="M912">
        <v>0</v>
      </c>
      <c r="N912" t="s">
        <v>9</v>
      </c>
      <c r="O912" t="s">
        <v>9</v>
      </c>
      <c r="P912" t="s">
        <v>175</v>
      </c>
      <c r="Q912" t="s">
        <v>162</v>
      </c>
      <c r="R912" t="s">
        <v>1661</v>
      </c>
      <c r="S912">
        <v>2022</v>
      </c>
      <c r="T912">
        <v>7</v>
      </c>
      <c r="U912" t="s">
        <v>162</v>
      </c>
      <c r="V912" t="s">
        <v>162</v>
      </c>
      <c r="W912">
        <v>0</v>
      </c>
      <c r="X912">
        <v>0</v>
      </c>
      <c r="Y912" t="s">
        <v>162</v>
      </c>
      <c r="Z912">
        <v>2022</v>
      </c>
      <c r="AA912">
        <v>0</v>
      </c>
      <c r="AB912">
        <v>0.52086505592999999</v>
      </c>
      <c r="AC912">
        <v>1.04173011186</v>
      </c>
      <c r="AD912" t="s">
        <v>154</v>
      </c>
      <c r="AE912" t="s">
        <v>154</v>
      </c>
      <c r="AF912" t="s">
        <v>154</v>
      </c>
      <c r="AG912" t="s">
        <v>154</v>
      </c>
      <c r="AH912" t="s">
        <v>154</v>
      </c>
      <c r="AI912" t="s">
        <v>154</v>
      </c>
      <c r="AJ912" t="s">
        <v>154</v>
      </c>
      <c r="AK912" t="s">
        <v>154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U912" t="s">
        <v>355</v>
      </c>
      <c r="AV912" t="s">
        <v>165</v>
      </c>
      <c r="AW912" t="s">
        <v>154</v>
      </c>
      <c r="AX912">
        <v>0</v>
      </c>
      <c r="AY912" t="s">
        <v>167</v>
      </c>
      <c r="AZ912">
        <v>30</v>
      </c>
    </row>
    <row r="913" spans="1:52" x14ac:dyDescent="0.25">
      <c r="A913">
        <v>902</v>
      </c>
      <c r="B913" s="74" t="s">
        <v>321</v>
      </c>
      <c r="C913" t="s">
        <v>151</v>
      </c>
      <c r="D913" t="s">
        <v>322</v>
      </c>
      <c r="E913" t="s">
        <v>216</v>
      </c>
      <c r="F913" t="s">
        <v>154</v>
      </c>
      <c r="G913" t="s">
        <v>162</v>
      </c>
      <c r="H913">
        <v>0</v>
      </c>
      <c r="I913" t="s">
        <v>1668</v>
      </c>
      <c r="J913">
        <v>0</v>
      </c>
      <c r="K913">
        <v>0</v>
      </c>
      <c r="L913" t="s">
        <v>834</v>
      </c>
      <c r="M913">
        <v>0</v>
      </c>
      <c r="N913" t="s">
        <v>9</v>
      </c>
      <c r="O913" t="s">
        <v>9</v>
      </c>
      <c r="P913" t="s">
        <v>175</v>
      </c>
      <c r="Q913" t="s">
        <v>162</v>
      </c>
      <c r="R913" t="s">
        <v>1661</v>
      </c>
      <c r="S913">
        <v>2022</v>
      </c>
      <c r="T913">
        <v>7</v>
      </c>
      <c r="U913" t="s">
        <v>162</v>
      </c>
      <c r="V913" t="s">
        <v>162</v>
      </c>
      <c r="W913">
        <v>0</v>
      </c>
      <c r="X913">
        <v>0</v>
      </c>
      <c r="Y913" t="s">
        <v>162</v>
      </c>
      <c r="Z913">
        <v>2022</v>
      </c>
      <c r="AA913">
        <v>0</v>
      </c>
      <c r="AB913">
        <v>0.262532892292</v>
      </c>
      <c r="AC913">
        <v>0.52506578458499997</v>
      </c>
      <c r="AD913" t="s">
        <v>154</v>
      </c>
      <c r="AE913" t="s">
        <v>154</v>
      </c>
      <c r="AF913" t="s">
        <v>154</v>
      </c>
      <c r="AG913" t="s">
        <v>154</v>
      </c>
      <c r="AH913" t="s">
        <v>154</v>
      </c>
      <c r="AI913" t="s">
        <v>154</v>
      </c>
      <c r="AJ913" t="s">
        <v>154</v>
      </c>
      <c r="AK913" t="s">
        <v>154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U913" t="s">
        <v>355</v>
      </c>
      <c r="AV913" t="s">
        <v>165</v>
      </c>
      <c r="AW913" t="s">
        <v>154</v>
      </c>
      <c r="AX913">
        <v>0</v>
      </c>
      <c r="AY913" t="s">
        <v>167</v>
      </c>
      <c r="AZ913">
        <v>30</v>
      </c>
    </row>
    <row r="914" spans="1:52" x14ac:dyDescent="0.25">
      <c r="A914">
        <v>903</v>
      </c>
      <c r="B914" s="74" t="s">
        <v>321</v>
      </c>
      <c r="C914" t="s">
        <v>151</v>
      </c>
      <c r="D914" t="s">
        <v>322</v>
      </c>
      <c r="E914" t="s">
        <v>216</v>
      </c>
      <c r="F914" t="s">
        <v>154</v>
      </c>
      <c r="G914" t="s">
        <v>162</v>
      </c>
      <c r="H914">
        <v>0</v>
      </c>
      <c r="I914" t="s">
        <v>834</v>
      </c>
      <c r="J914">
        <v>0</v>
      </c>
      <c r="K914">
        <v>0</v>
      </c>
      <c r="L914" t="s">
        <v>1669</v>
      </c>
      <c r="M914">
        <v>0</v>
      </c>
      <c r="N914" t="s">
        <v>11</v>
      </c>
      <c r="O914" t="s">
        <v>11</v>
      </c>
      <c r="P914" t="s">
        <v>175</v>
      </c>
      <c r="Q914" t="s">
        <v>162</v>
      </c>
      <c r="R914" t="s">
        <v>1661</v>
      </c>
      <c r="S914">
        <v>2022</v>
      </c>
      <c r="T914">
        <v>7</v>
      </c>
      <c r="U914" t="s">
        <v>162</v>
      </c>
      <c r="V914" t="s">
        <v>162</v>
      </c>
      <c r="W914">
        <v>0</v>
      </c>
      <c r="X914">
        <v>0</v>
      </c>
      <c r="Y914" t="s">
        <v>162</v>
      </c>
      <c r="Z914">
        <v>2022</v>
      </c>
      <c r="AA914">
        <v>0</v>
      </c>
      <c r="AB914">
        <v>0.131827593396</v>
      </c>
      <c r="AC914">
        <v>0.26365518679299998</v>
      </c>
      <c r="AD914" t="s">
        <v>154</v>
      </c>
      <c r="AE914" t="s">
        <v>154</v>
      </c>
      <c r="AF914" t="s">
        <v>154</v>
      </c>
      <c r="AG914" t="s">
        <v>154</v>
      </c>
      <c r="AH914" t="s">
        <v>154</v>
      </c>
      <c r="AI914" t="s">
        <v>154</v>
      </c>
      <c r="AJ914" t="s">
        <v>154</v>
      </c>
      <c r="AK914" t="s">
        <v>154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U914" t="s">
        <v>355</v>
      </c>
      <c r="AV914" t="s">
        <v>165</v>
      </c>
      <c r="AW914" t="s">
        <v>154</v>
      </c>
      <c r="AX914">
        <v>0</v>
      </c>
      <c r="AY914" t="s">
        <v>167</v>
      </c>
      <c r="AZ914">
        <v>30</v>
      </c>
    </row>
    <row r="915" spans="1:52" x14ac:dyDescent="0.25">
      <c r="A915">
        <v>904</v>
      </c>
      <c r="B915" s="74" t="s">
        <v>321</v>
      </c>
      <c r="C915" t="s">
        <v>151</v>
      </c>
      <c r="D915" t="s">
        <v>322</v>
      </c>
      <c r="E915" t="s">
        <v>216</v>
      </c>
      <c r="F915" t="s">
        <v>154</v>
      </c>
      <c r="G915" t="s">
        <v>162</v>
      </c>
      <c r="H915">
        <v>0</v>
      </c>
      <c r="I915" t="s">
        <v>901</v>
      </c>
      <c r="J915">
        <v>0</v>
      </c>
      <c r="K915">
        <v>0</v>
      </c>
      <c r="L915" t="s">
        <v>1668</v>
      </c>
      <c r="M915">
        <v>0</v>
      </c>
      <c r="N915" t="s">
        <v>7</v>
      </c>
      <c r="O915" t="s">
        <v>7</v>
      </c>
      <c r="P915" t="s">
        <v>175</v>
      </c>
      <c r="Q915" t="s">
        <v>162</v>
      </c>
      <c r="R915" t="s">
        <v>1661</v>
      </c>
      <c r="S915">
        <v>2022</v>
      </c>
      <c r="T915">
        <v>7</v>
      </c>
      <c r="U915" t="s">
        <v>162</v>
      </c>
      <c r="V915" t="s">
        <v>162</v>
      </c>
      <c r="W915">
        <v>0</v>
      </c>
      <c r="X915">
        <v>0</v>
      </c>
      <c r="Y915" t="s">
        <v>162</v>
      </c>
      <c r="Z915">
        <v>2022</v>
      </c>
      <c r="AA915">
        <v>0</v>
      </c>
      <c r="AB915">
        <v>0.26126982167000001</v>
      </c>
      <c r="AC915">
        <v>0.52253964333900005</v>
      </c>
      <c r="AD915" t="s">
        <v>154</v>
      </c>
      <c r="AE915" t="s">
        <v>154</v>
      </c>
      <c r="AF915" t="s">
        <v>154</v>
      </c>
      <c r="AG915" t="s">
        <v>154</v>
      </c>
      <c r="AH915" t="s">
        <v>154</v>
      </c>
      <c r="AI915" t="s">
        <v>226</v>
      </c>
      <c r="AJ915" t="s">
        <v>154</v>
      </c>
      <c r="AK915" t="s">
        <v>154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>
        <v>0</v>
      </c>
      <c r="AU915" t="s">
        <v>355</v>
      </c>
      <c r="AV915" t="s">
        <v>165</v>
      </c>
      <c r="AW915" t="s">
        <v>166</v>
      </c>
      <c r="AX915">
        <v>0</v>
      </c>
      <c r="AY915" t="s">
        <v>167</v>
      </c>
      <c r="AZ915">
        <v>30</v>
      </c>
    </row>
    <row r="916" spans="1:52" x14ac:dyDescent="0.25">
      <c r="A916">
        <v>905</v>
      </c>
      <c r="B916" s="74" t="s">
        <v>945</v>
      </c>
      <c r="C916" t="s">
        <v>151</v>
      </c>
      <c r="D916" t="s">
        <v>946</v>
      </c>
      <c r="E916" t="s">
        <v>172</v>
      </c>
      <c r="F916" t="s">
        <v>151</v>
      </c>
      <c r="G916" t="s">
        <v>162</v>
      </c>
      <c r="H916">
        <v>0</v>
      </c>
      <c r="I916" t="s">
        <v>1002</v>
      </c>
      <c r="J916">
        <v>0</v>
      </c>
      <c r="K916">
        <v>0</v>
      </c>
      <c r="L916" t="s">
        <v>986</v>
      </c>
      <c r="M916">
        <v>0</v>
      </c>
      <c r="N916" t="s">
        <v>13</v>
      </c>
      <c r="O916" t="s">
        <v>13</v>
      </c>
      <c r="P916" t="s">
        <v>175</v>
      </c>
      <c r="Q916" t="s">
        <v>162</v>
      </c>
      <c r="R916" t="s">
        <v>1661</v>
      </c>
      <c r="S916">
        <v>2022</v>
      </c>
      <c r="T916">
        <v>7</v>
      </c>
      <c r="U916" t="s">
        <v>162</v>
      </c>
      <c r="V916" t="s">
        <v>162</v>
      </c>
      <c r="W916">
        <v>0</v>
      </c>
      <c r="X916">
        <v>0</v>
      </c>
      <c r="Y916" t="s">
        <v>162</v>
      </c>
      <c r="Z916">
        <v>2022</v>
      </c>
      <c r="AA916">
        <v>0</v>
      </c>
      <c r="AB916">
        <v>0.26154809737000001</v>
      </c>
      <c r="AC916">
        <v>0.52309619474000002</v>
      </c>
      <c r="AD916" t="s">
        <v>154</v>
      </c>
      <c r="AE916" t="s">
        <v>163</v>
      </c>
      <c r="AF916" t="s">
        <v>154</v>
      </c>
      <c r="AG916" t="s">
        <v>166</v>
      </c>
      <c r="AH916" t="s">
        <v>154</v>
      </c>
      <c r="AI916" t="s">
        <v>154</v>
      </c>
      <c r="AJ916" t="s">
        <v>154</v>
      </c>
      <c r="AK916" t="s">
        <v>154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U916" t="s">
        <v>355</v>
      </c>
      <c r="AV916" t="s">
        <v>165</v>
      </c>
      <c r="AW916" t="s">
        <v>154</v>
      </c>
      <c r="AX916">
        <v>0</v>
      </c>
      <c r="AY916" t="s">
        <v>275</v>
      </c>
      <c r="AZ916">
        <v>20</v>
      </c>
    </row>
    <row r="917" spans="1:52" x14ac:dyDescent="0.25">
      <c r="A917">
        <v>906</v>
      </c>
      <c r="B917" s="74" t="s">
        <v>945</v>
      </c>
      <c r="C917" t="s">
        <v>151</v>
      </c>
      <c r="D917" t="s">
        <v>946</v>
      </c>
      <c r="E917" t="s">
        <v>172</v>
      </c>
      <c r="F917" t="s">
        <v>154</v>
      </c>
      <c r="G917" t="s">
        <v>162</v>
      </c>
      <c r="H917">
        <v>0</v>
      </c>
      <c r="I917" t="s">
        <v>986</v>
      </c>
      <c r="J917">
        <v>0</v>
      </c>
      <c r="K917">
        <v>0</v>
      </c>
      <c r="L917" t="s">
        <v>1670</v>
      </c>
      <c r="M917">
        <v>0</v>
      </c>
      <c r="N917" t="s">
        <v>13</v>
      </c>
      <c r="O917" t="s">
        <v>13</v>
      </c>
      <c r="P917" t="s">
        <v>175</v>
      </c>
      <c r="Q917" t="s">
        <v>162</v>
      </c>
      <c r="R917" t="s">
        <v>1661</v>
      </c>
      <c r="S917">
        <v>2022</v>
      </c>
      <c r="T917">
        <v>7</v>
      </c>
      <c r="U917" t="s">
        <v>162</v>
      </c>
      <c r="V917" t="s">
        <v>162</v>
      </c>
      <c r="W917">
        <v>0</v>
      </c>
      <c r="X917">
        <v>0</v>
      </c>
      <c r="Y917" t="s">
        <v>162</v>
      </c>
      <c r="Z917">
        <v>2022</v>
      </c>
      <c r="AA917">
        <v>0</v>
      </c>
      <c r="AB917">
        <v>0.11686714094</v>
      </c>
      <c r="AC917">
        <v>0.23373428188000001</v>
      </c>
      <c r="AD917" t="s">
        <v>154</v>
      </c>
      <c r="AE917" t="s">
        <v>154</v>
      </c>
      <c r="AF917" t="s">
        <v>154</v>
      </c>
      <c r="AG917" t="s">
        <v>162</v>
      </c>
      <c r="AH917" t="s">
        <v>154</v>
      </c>
      <c r="AI917" t="s">
        <v>154</v>
      </c>
      <c r="AJ917" t="s">
        <v>154</v>
      </c>
      <c r="AK917" t="s">
        <v>154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U917" t="s">
        <v>355</v>
      </c>
      <c r="AV917" t="s">
        <v>165</v>
      </c>
      <c r="AW917" t="s">
        <v>154</v>
      </c>
      <c r="AX917">
        <v>0</v>
      </c>
      <c r="AY917" t="s">
        <v>275</v>
      </c>
      <c r="AZ917">
        <v>20</v>
      </c>
    </row>
    <row r="918" spans="1:52" x14ac:dyDescent="0.25">
      <c r="A918">
        <v>907</v>
      </c>
      <c r="B918" s="74" t="s">
        <v>945</v>
      </c>
      <c r="C918" t="s">
        <v>151</v>
      </c>
      <c r="D918" t="s">
        <v>946</v>
      </c>
      <c r="E918" t="s">
        <v>172</v>
      </c>
      <c r="F918" t="s">
        <v>154</v>
      </c>
      <c r="G918" t="s">
        <v>162</v>
      </c>
      <c r="H918">
        <v>0</v>
      </c>
      <c r="I918" t="s">
        <v>1670</v>
      </c>
      <c r="J918">
        <v>0</v>
      </c>
      <c r="K918">
        <v>0</v>
      </c>
      <c r="L918" t="s">
        <v>1615</v>
      </c>
      <c r="M918">
        <v>0</v>
      </c>
      <c r="N918" t="s">
        <v>13</v>
      </c>
      <c r="O918" t="s">
        <v>13</v>
      </c>
      <c r="P918" t="s">
        <v>175</v>
      </c>
      <c r="Q918" t="s">
        <v>162</v>
      </c>
      <c r="R918" t="s">
        <v>1661</v>
      </c>
      <c r="S918">
        <v>2022</v>
      </c>
      <c r="T918">
        <v>7</v>
      </c>
      <c r="U918" t="s">
        <v>162</v>
      </c>
      <c r="V918" t="s">
        <v>162</v>
      </c>
      <c r="W918">
        <v>0</v>
      </c>
      <c r="X918">
        <v>0</v>
      </c>
      <c r="Y918" t="s">
        <v>162</v>
      </c>
      <c r="Z918">
        <v>2022</v>
      </c>
      <c r="AA918">
        <v>0</v>
      </c>
      <c r="AB918">
        <v>0.50273832569099997</v>
      </c>
      <c r="AC918">
        <v>1.00547665138</v>
      </c>
      <c r="AD918" t="s">
        <v>154</v>
      </c>
      <c r="AE918" t="s">
        <v>154</v>
      </c>
      <c r="AF918" t="s">
        <v>154</v>
      </c>
      <c r="AG918" t="s">
        <v>162</v>
      </c>
      <c r="AH918" t="s">
        <v>154</v>
      </c>
      <c r="AI918" t="s">
        <v>154</v>
      </c>
      <c r="AJ918" t="s">
        <v>154</v>
      </c>
      <c r="AK918" t="s">
        <v>154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0</v>
      </c>
      <c r="AR918">
        <v>0</v>
      </c>
      <c r="AS918">
        <v>0</v>
      </c>
      <c r="AU918" t="s">
        <v>355</v>
      </c>
      <c r="AV918" t="s">
        <v>165</v>
      </c>
      <c r="AW918" t="s">
        <v>154</v>
      </c>
      <c r="AX918">
        <v>0</v>
      </c>
      <c r="AY918" t="s">
        <v>275</v>
      </c>
      <c r="AZ918">
        <v>20</v>
      </c>
    </row>
    <row r="919" spans="1:52" x14ac:dyDescent="0.25">
      <c r="A919">
        <v>908</v>
      </c>
      <c r="B919" s="74" t="s">
        <v>945</v>
      </c>
      <c r="C919" t="s">
        <v>151</v>
      </c>
      <c r="D919" t="s">
        <v>946</v>
      </c>
      <c r="E919" t="s">
        <v>172</v>
      </c>
      <c r="F919" t="s">
        <v>154</v>
      </c>
      <c r="G919" t="s">
        <v>162</v>
      </c>
      <c r="H919">
        <v>0</v>
      </c>
      <c r="I919" t="s">
        <v>1615</v>
      </c>
      <c r="J919">
        <v>0</v>
      </c>
      <c r="K919">
        <v>0</v>
      </c>
      <c r="L919" t="s">
        <v>443</v>
      </c>
      <c r="M919">
        <v>0</v>
      </c>
      <c r="N919" t="s">
        <v>13</v>
      </c>
      <c r="O919" t="s">
        <v>13</v>
      </c>
      <c r="P919" t="s">
        <v>175</v>
      </c>
      <c r="Q919" t="s">
        <v>162</v>
      </c>
      <c r="R919" t="s">
        <v>1661</v>
      </c>
      <c r="S919">
        <v>2022</v>
      </c>
      <c r="T919">
        <v>7</v>
      </c>
      <c r="U919" t="s">
        <v>162</v>
      </c>
      <c r="V919" t="s">
        <v>162</v>
      </c>
      <c r="W919">
        <v>0</v>
      </c>
      <c r="X919">
        <v>0</v>
      </c>
      <c r="Y919" t="s">
        <v>162</v>
      </c>
      <c r="Z919">
        <v>2022</v>
      </c>
      <c r="AA919">
        <v>0</v>
      </c>
      <c r="AB919">
        <v>0.63126318549500005</v>
      </c>
      <c r="AC919">
        <v>1.2625263709900001</v>
      </c>
      <c r="AD919" t="s">
        <v>154</v>
      </c>
      <c r="AE919" t="s">
        <v>154</v>
      </c>
      <c r="AF919" t="s">
        <v>154</v>
      </c>
      <c r="AG919" t="s">
        <v>162</v>
      </c>
      <c r="AH919" t="s">
        <v>154</v>
      </c>
      <c r="AI919" t="s">
        <v>154</v>
      </c>
      <c r="AJ919" t="s">
        <v>154</v>
      </c>
      <c r="AK919" t="s">
        <v>154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U919" t="s">
        <v>355</v>
      </c>
      <c r="AV919" t="s">
        <v>165</v>
      </c>
      <c r="AW919" t="s">
        <v>154</v>
      </c>
      <c r="AX919">
        <v>0</v>
      </c>
      <c r="AY919" t="s">
        <v>275</v>
      </c>
      <c r="AZ919">
        <v>20</v>
      </c>
    </row>
    <row r="920" spans="1:52" x14ac:dyDescent="0.25">
      <c r="A920">
        <v>909</v>
      </c>
      <c r="B920" s="74" t="s">
        <v>496</v>
      </c>
      <c r="C920" t="s">
        <v>151</v>
      </c>
      <c r="D920" t="s">
        <v>497</v>
      </c>
      <c r="E920" t="s">
        <v>172</v>
      </c>
      <c r="F920" t="s">
        <v>154</v>
      </c>
      <c r="G920" t="s">
        <v>162</v>
      </c>
      <c r="H920">
        <v>0</v>
      </c>
      <c r="I920" t="s">
        <v>1441</v>
      </c>
      <c r="J920">
        <v>0</v>
      </c>
      <c r="K920">
        <v>0</v>
      </c>
      <c r="L920" t="s">
        <v>324</v>
      </c>
      <c r="M920">
        <v>0</v>
      </c>
      <c r="N920" t="s">
        <v>15</v>
      </c>
      <c r="O920" t="s">
        <v>15</v>
      </c>
      <c r="P920" t="s">
        <v>175</v>
      </c>
      <c r="Q920" t="s">
        <v>162</v>
      </c>
      <c r="R920" t="s">
        <v>354</v>
      </c>
      <c r="S920">
        <v>2022</v>
      </c>
      <c r="T920">
        <v>7</v>
      </c>
      <c r="U920" t="s">
        <v>162</v>
      </c>
      <c r="V920" t="s">
        <v>162</v>
      </c>
      <c r="W920">
        <v>0</v>
      </c>
      <c r="X920">
        <v>0</v>
      </c>
      <c r="Y920" t="s">
        <v>162</v>
      </c>
      <c r="Z920">
        <v>2022</v>
      </c>
      <c r="AA920">
        <v>0</v>
      </c>
      <c r="AB920">
        <v>8.0642662608900004E-2</v>
      </c>
      <c r="AC920">
        <v>0.16128532521799999</v>
      </c>
      <c r="AD920" t="s">
        <v>154</v>
      </c>
      <c r="AE920" t="s">
        <v>154</v>
      </c>
      <c r="AF920" t="s">
        <v>154</v>
      </c>
      <c r="AG920" t="s">
        <v>154</v>
      </c>
      <c r="AH920" t="s">
        <v>154</v>
      </c>
      <c r="AI920" t="s">
        <v>154</v>
      </c>
      <c r="AJ920" t="s">
        <v>154</v>
      </c>
      <c r="AK920" t="s">
        <v>154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U920" t="s">
        <v>355</v>
      </c>
      <c r="AV920" t="s">
        <v>165</v>
      </c>
      <c r="AW920" t="s">
        <v>154</v>
      </c>
      <c r="AX920">
        <v>0</v>
      </c>
      <c r="AY920" t="s">
        <v>167</v>
      </c>
      <c r="AZ920">
        <v>30</v>
      </c>
    </row>
    <row r="921" spans="1:52" x14ac:dyDescent="0.25">
      <c r="A921">
        <v>910</v>
      </c>
      <c r="B921" s="74" t="s">
        <v>279</v>
      </c>
      <c r="C921" t="s">
        <v>163</v>
      </c>
      <c r="D921" t="s">
        <v>280</v>
      </c>
      <c r="E921" t="s">
        <v>216</v>
      </c>
      <c r="F921" t="s">
        <v>163</v>
      </c>
      <c r="G921" t="s">
        <v>162</v>
      </c>
      <c r="H921">
        <v>0</v>
      </c>
      <c r="I921" t="s">
        <v>1279</v>
      </c>
      <c r="J921">
        <v>0</v>
      </c>
      <c r="K921">
        <v>0</v>
      </c>
      <c r="L921" t="s">
        <v>1223</v>
      </c>
      <c r="M921">
        <v>0</v>
      </c>
      <c r="N921" t="s">
        <v>13</v>
      </c>
      <c r="O921" t="s">
        <v>13</v>
      </c>
      <c r="P921" t="s">
        <v>175</v>
      </c>
      <c r="Q921" t="s">
        <v>162</v>
      </c>
      <c r="R921" t="s">
        <v>1671</v>
      </c>
      <c r="S921">
        <v>2022</v>
      </c>
      <c r="T921">
        <v>9</v>
      </c>
      <c r="U921" t="s">
        <v>162</v>
      </c>
      <c r="V921" t="s">
        <v>162</v>
      </c>
      <c r="W921">
        <v>0</v>
      </c>
      <c r="X921">
        <v>0</v>
      </c>
      <c r="Y921" t="s">
        <v>162</v>
      </c>
      <c r="Z921">
        <v>2022</v>
      </c>
      <c r="AA921">
        <v>0</v>
      </c>
      <c r="AB921">
        <v>0.41750213699700001</v>
      </c>
      <c r="AC921">
        <v>0.41750213699700001</v>
      </c>
      <c r="AD921" t="s">
        <v>154</v>
      </c>
      <c r="AE921" t="s">
        <v>166</v>
      </c>
      <c r="AF921" t="s">
        <v>163</v>
      </c>
      <c r="AG921" t="s">
        <v>163</v>
      </c>
      <c r="AH921" t="s">
        <v>154</v>
      </c>
      <c r="AI921" t="s">
        <v>154</v>
      </c>
      <c r="AJ921" t="s">
        <v>154</v>
      </c>
      <c r="AK921" t="s">
        <v>154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 t="s">
        <v>355</v>
      </c>
      <c r="AV921" t="s">
        <v>165</v>
      </c>
      <c r="AW921" t="s">
        <v>154</v>
      </c>
      <c r="AX921">
        <v>3</v>
      </c>
      <c r="AY921" t="s">
        <v>275</v>
      </c>
      <c r="AZ921">
        <v>20</v>
      </c>
    </row>
    <row r="922" spans="1:52" x14ac:dyDescent="0.25">
      <c r="A922">
        <v>911</v>
      </c>
      <c r="B922" s="74" t="s">
        <v>361</v>
      </c>
      <c r="C922" t="s">
        <v>203</v>
      </c>
      <c r="D922" t="s">
        <v>362</v>
      </c>
      <c r="E922" t="s">
        <v>172</v>
      </c>
      <c r="F922" t="s">
        <v>154</v>
      </c>
      <c r="G922" t="s">
        <v>162</v>
      </c>
      <c r="H922">
        <v>0</v>
      </c>
      <c r="I922" t="s">
        <v>620</v>
      </c>
      <c r="J922">
        <v>0</v>
      </c>
      <c r="K922">
        <v>0</v>
      </c>
      <c r="L922" t="s">
        <v>820</v>
      </c>
      <c r="M922">
        <v>0</v>
      </c>
      <c r="N922" t="s">
        <v>13</v>
      </c>
      <c r="O922" t="s">
        <v>15</v>
      </c>
      <c r="P922" t="s">
        <v>175</v>
      </c>
      <c r="Q922" t="s">
        <v>162</v>
      </c>
      <c r="R922" t="s">
        <v>1661</v>
      </c>
      <c r="S922">
        <v>2022</v>
      </c>
      <c r="T922">
        <v>7</v>
      </c>
      <c r="U922" t="s">
        <v>1672</v>
      </c>
      <c r="V922" t="s">
        <v>162</v>
      </c>
      <c r="W922">
        <v>0</v>
      </c>
      <c r="X922">
        <v>0</v>
      </c>
      <c r="Y922" t="s">
        <v>162</v>
      </c>
      <c r="Z922">
        <v>2022</v>
      </c>
      <c r="AA922">
        <v>0</v>
      </c>
      <c r="AB922">
        <v>6.8248986338699996E-2</v>
      </c>
      <c r="AC922">
        <v>0.13649797267700001</v>
      </c>
      <c r="AD922" t="s">
        <v>154</v>
      </c>
      <c r="AE922" t="s">
        <v>154</v>
      </c>
      <c r="AF922" t="s">
        <v>154</v>
      </c>
      <c r="AG922" t="s">
        <v>154</v>
      </c>
      <c r="AH922" t="s">
        <v>154</v>
      </c>
      <c r="AI922" t="s">
        <v>154</v>
      </c>
      <c r="AJ922" t="s">
        <v>154</v>
      </c>
      <c r="AK922" t="s">
        <v>154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U922" t="s">
        <v>355</v>
      </c>
      <c r="AV922" t="s">
        <v>165</v>
      </c>
      <c r="AW922" t="s">
        <v>154</v>
      </c>
      <c r="AX922">
        <v>0</v>
      </c>
      <c r="AY922" t="s">
        <v>275</v>
      </c>
      <c r="AZ922">
        <v>30</v>
      </c>
    </row>
    <row r="923" spans="1:52" x14ac:dyDescent="0.25">
      <c r="A923">
        <v>912</v>
      </c>
      <c r="B923" s="74" t="s">
        <v>1252</v>
      </c>
      <c r="C923" t="s">
        <v>163</v>
      </c>
      <c r="D923" t="s">
        <v>1253</v>
      </c>
      <c r="E923" t="s">
        <v>216</v>
      </c>
      <c r="F923" t="s">
        <v>180</v>
      </c>
      <c r="G923">
        <v>0</v>
      </c>
      <c r="H923">
        <v>0</v>
      </c>
      <c r="I923" t="s">
        <v>1279</v>
      </c>
      <c r="J923">
        <v>0</v>
      </c>
      <c r="K923">
        <v>0</v>
      </c>
      <c r="L923" t="s">
        <v>1223</v>
      </c>
      <c r="M923">
        <v>4</v>
      </c>
      <c r="N923" t="s">
        <v>13</v>
      </c>
      <c r="O923" t="s">
        <v>13</v>
      </c>
      <c r="P923" t="s">
        <v>175</v>
      </c>
      <c r="Q923" t="s">
        <v>162</v>
      </c>
      <c r="R923" t="s">
        <v>1673</v>
      </c>
      <c r="S923">
        <v>2022</v>
      </c>
      <c r="T923">
        <v>9</v>
      </c>
      <c r="U923" t="s">
        <v>162</v>
      </c>
      <c r="V923" t="s">
        <v>162</v>
      </c>
      <c r="W923">
        <v>0</v>
      </c>
      <c r="X923">
        <v>0</v>
      </c>
      <c r="Y923" t="s">
        <v>162</v>
      </c>
      <c r="Z923">
        <v>2020</v>
      </c>
      <c r="AA923">
        <v>0</v>
      </c>
      <c r="AB923">
        <v>0.41755560491799998</v>
      </c>
      <c r="AC923">
        <v>0.41755560491799998</v>
      </c>
      <c r="AD923" t="s">
        <v>162</v>
      </c>
      <c r="AE923" t="s">
        <v>166</v>
      </c>
      <c r="AF923" t="s">
        <v>180</v>
      </c>
      <c r="AG923" t="s">
        <v>163</v>
      </c>
      <c r="AH923" t="s">
        <v>162</v>
      </c>
      <c r="AI923" t="s">
        <v>162</v>
      </c>
      <c r="AJ923" t="s">
        <v>162</v>
      </c>
      <c r="AK923" t="s">
        <v>162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U923" t="s">
        <v>1666</v>
      </c>
      <c r="AV923" t="s">
        <v>165</v>
      </c>
      <c r="AW923" t="s">
        <v>154</v>
      </c>
      <c r="AX923">
        <v>3</v>
      </c>
      <c r="AY923" t="s">
        <v>275</v>
      </c>
      <c r="AZ923">
        <v>20</v>
      </c>
    </row>
    <row r="924" spans="1:52" x14ac:dyDescent="0.25">
      <c r="A924">
        <v>913</v>
      </c>
      <c r="B924" s="74" t="s">
        <v>1257</v>
      </c>
      <c r="C924" t="s">
        <v>163</v>
      </c>
      <c r="D924" t="s">
        <v>1258</v>
      </c>
      <c r="E924" t="s">
        <v>172</v>
      </c>
      <c r="F924" t="s">
        <v>180</v>
      </c>
      <c r="G924">
        <v>0</v>
      </c>
      <c r="H924">
        <v>0</v>
      </c>
      <c r="I924" t="s">
        <v>230</v>
      </c>
      <c r="J924">
        <v>0</v>
      </c>
      <c r="K924">
        <v>0</v>
      </c>
      <c r="L924" t="s">
        <v>652</v>
      </c>
      <c r="M924">
        <v>0</v>
      </c>
      <c r="N924" t="s">
        <v>13</v>
      </c>
      <c r="O924" t="s">
        <v>13</v>
      </c>
      <c r="P924" t="s">
        <v>175</v>
      </c>
      <c r="Q924" t="s">
        <v>162</v>
      </c>
      <c r="R924" t="s">
        <v>1674</v>
      </c>
      <c r="S924">
        <v>2022</v>
      </c>
      <c r="T924">
        <v>9</v>
      </c>
      <c r="U924" t="s">
        <v>1675</v>
      </c>
      <c r="V924" t="s">
        <v>162</v>
      </c>
      <c r="W924">
        <v>0</v>
      </c>
      <c r="X924">
        <v>0</v>
      </c>
      <c r="Y924" t="s">
        <v>162</v>
      </c>
      <c r="Z924">
        <v>2022</v>
      </c>
      <c r="AA924">
        <v>0</v>
      </c>
      <c r="AB924">
        <v>0.33044669302399998</v>
      </c>
      <c r="AC924">
        <v>0.66089338604900005</v>
      </c>
      <c r="AD924" t="s">
        <v>1676</v>
      </c>
      <c r="AE924" t="s">
        <v>154</v>
      </c>
      <c r="AF924" t="s">
        <v>154</v>
      </c>
      <c r="AG924" t="s">
        <v>166</v>
      </c>
      <c r="AH924" t="s">
        <v>154</v>
      </c>
      <c r="AI924" t="s">
        <v>154</v>
      </c>
      <c r="AJ924" t="s">
        <v>154</v>
      </c>
      <c r="AK924" t="s">
        <v>154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U924" t="s">
        <v>1666</v>
      </c>
      <c r="AV924" t="s">
        <v>165</v>
      </c>
      <c r="AW924" t="s">
        <v>154</v>
      </c>
      <c r="AX924">
        <v>0</v>
      </c>
      <c r="AY924" t="s">
        <v>275</v>
      </c>
      <c r="AZ924">
        <v>20</v>
      </c>
    </row>
    <row r="925" spans="1:52" x14ac:dyDescent="0.25">
      <c r="A925">
        <v>914</v>
      </c>
      <c r="B925" s="74" t="s">
        <v>689</v>
      </c>
      <c r="C925" t="s">
        <v>151</v>
      </c>
      <c r="D925" t="s">
        <v>690</v>
      </c>
      <c r="E925" t="s">
        <v>216</v>
      </c>
      <c r="F925" t="s">
        <v>154</v>
      </c>
      <c r="G925">
        <v>0</v>
      </c>
      <c r="H925">
        <v>0</v>
      </c>
      <c r="I925" t="s">
        <v>1677</v>
      </c>
      <c r="J925">
        <v>0</v>
      </c>
      <c r="K925">
        <v>0</v>
      </c>
      <c r="L925" t="s">
        <v>1677</v>
      </c>
      <c r="M925">
        <v>0</v>
      </c>
      <c r="N925" t="s">
        <v>13</v>
      </c>
      <c r="O925" t="s">
        <v>7</v>
      </c>
      <c r="P925" t="s">
        <v>175</v>
      </c>
      <c r="Q925" t="s">
        <v>162</v>
      </c>
      <c r="R925" t="s">
        <v>1674</v>
      </c>
      <c r="S925">
        <v>2022</v>
      </c>
      <c r="T925">
        <v>9</v>
      </c>
      <c r="U925" t="s">
        <v>1678</v>
      </c>
      <c r="V925" t="s">
        <v>162</v>
      </c>
      <c r="W925">
        <v>0</v>
      </c>
      <c r="X925">
        <v>0</v>
      </c>
      <c r="Y925" t="s">
        <v>162</v>
      </c>
      <c r="Z925">
        <v>2022</v>
      </c>
      <c r="AA925">
        <v>0</v>
      </c>
      <c r="AB925">
        <v>1.6231544692799998E-2</v>
      </c>
      <c r="AC925">
        <v>3.2463089385500001E-2</v>
      </c>
      <c r="AD925" t="s">
        <v>1676</v>
      </c>
      <c r="AE925" t="s">
        <v>163</v>
      </c>
      <c r="AF925" t="s">
        <v>154</v>
      </c>
      <c r="AG925" t="s">
        <v>154</v>
      </c>
      <c r="AH925" t="s">
        <v>154</v>
      </c>
      <c r="AI925" t="s">
        <v>226</v>
      </c>
      <c r="AJ925" t="s">
        <v>154</v>
      </c>
      <c r="AK925" t="s">
        <v>154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U925" t="s">
        <v>1666</v>
      </c>
      <c r="AV925" t="s">
        <v>165</v>
      </c>
      <c r="AW925" t="s">
        <v>166</v>
      </c>
      <c r="AX925">
        <v>0</v>
      </c>
      <c r="AY925" t="s">
        <v>275</v>
      </c>
      <c r="AZ925" t="s">
        <v>162</v>
      </c>
    </row>
    <row r="926" spans="1:52" x14ac:dyDescent="0.25">
      <c r="A926">
        <v>915</v>
      </c>
      <c r="B926" s="74" t="s">
        <v>1257</v>
      </c>
      <c r="C926" t="s">
        <v>163</v>
      </c>
      <c r="D926" t="s">
        <v>1258</v>
      </c>
      <c r="E926" t="s">
        <v>172</v>
      </c>
      <c r="F926" t="s">
        <v>163</v>
      </c>
      <c r="G926">
        <v>0</v>
      </c>
      <c r="H926">
        <v>0</v>
      </c>
      <c r="I926" t="s">
        <v>652</v>
      </c>
      <c r="J926">
        <v>0</v>
      </c>
      <c r="K926">
        <v>0</v>
      </c>
      <c r="L926" t="s">
        <v>1125</v>
      </c>
      <c r="M926">
        <v>0</v>
      </c>
      <c r="N926" t="s">
        <v>13</v>
      </c>
      <c r="O926" t="s">
        <v>13</v>
      </c>
      <c r="P926" t="s">
        <v>175</v>
      </c>
      <c r="Q926" t="s">
        <v>162</v>
      </c>
      <c r="R926" t="s">
        <v>1674</v>
      </c>
      <c r="S926">
        <v>2022</v>
      </c>
      <c r="T926">
        <v>9</v>
      </c>
      <c r="U926" t="s">
        <v>1675</v>
      </c>
      <c r="V926" t="s">
        <v>162</v>
      </c>
      <c r="W926">
        <v>0</v>
      </c>
      <c r="X926">
        <v>0</v>
      </c>
      <c r="Y926" t="s">
        <v>162</v>
      </c>
      <c r="Z926">
        <v>2022</v>
      </c>
      <c r="AA926">
        <v>0</v>
      </c>
      <c r="AB926">
        <v>0.23375449642400001</v>
      </c>
      <c r="AC926">
        <v>0.46750899284899999</v>
      </c>
      <c r="AD926" t="s">
        <v>1676</v>
      </c>
      <c r="AE926" t="s">
        <v>154</v>
      </c>
      <c r="AF926" t="s">
        <v>154</v>
      </c>
      <c r="AG926" t="s">
        <v>166</v>
      </c>
      <c r="AH926" t="s">
        <v>154</v>
      </c>
      <c r="AI926" t="s">
        <v>154</v>
      </c>
      <c r="AJ926" t="s">
        <v>154</v>
      </c>
      <c r="AK926" t="s">
        <v>154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U926" t="s">
        <v>1666</v>
      </c>
      <c r="AV926" t="s">
        <v>165</v>
      </c>
      <c r="AW926" t="s">
        <v>154</v>
      </c>
      <c r="AX926">
        <v>0</v>
      </c>
      <c r="AY926" t="s">
        <v>275</v>
      </c>
      <c r="AZ926">
        <v>20</v>
      </c>
    </row>
    <row r="927" spans="1:52" x14ac:dyDescent="0.25">
      <c r="A927">
        <v>916</v>
      </c>
      <c r="B927" s="74" t="s">
        <v>757</v>
      </c>
      <c r="C927" t="s">
        <v>151</v>
      </c>
      <c r="D927" t="s">
        <v>758</v>
      </c>
      <c r="E927" t="s">
        <v>222</v>
      </c>
      <c r="F927" t="s">
        <v>203</v>
      </c>
      <c r="G927">
        <v>0</v>
      </c>
      <c r="H927">
        <v>0</v>
      </c>
      <c r="I927" t="s">
        <v>1677</v>
      </c>
      <c r="J927">
        <v>0</v>
      </c>
      <c r="K927">
        <v>0</v>
      </c>
      <c r="L927" t="s">
        <v>1039</v>
      </c>
      <c r="M927">
        <v>0</v>
      </c>
      <c r="N927" t="s">
        <v>13</v>
      </c>
      <c r="O927" t="s">
        <v>15</v>
      </c>
      <c r="P927" t="s">
        <v>175</v>
      </c>
      <c r="Q927" t="s">
        <v>162</v>
      </c>
      <c r="R927" t="s">
        <v>1674</v>
      </c>
      <c r="S927">
        <v>2022</v>
      </c>
      <c r="T927">
        <v>9</v>
      </c>
      <c r="U927" t="s">
        <v>1679</v>
      </c>
      <c r="V927" t="s">
        <v>162</v>
      </c>
      <c r="W927">
        <v>0</v>
      </c>
      <c r="X927">
        <v>0</v>
      </c>
      <c r="Y927" t="s">
        <v>162</v>
      </c>
      <c r="Z927">
        <v>2022</v>
      </c>
      <c r="AA927">
        <v>0</v>
      </c>
      <c r="AB927">
        <v>0.125784217182</v>
      </c>
      <c r="AC927">
        <v>0.125784217182</v>
      </c>
      <c r="AD927" t="s">
        <v>1676</v>
      </c>
      <c r="AE927" t="s">
        <v>166</v>
      </c>
      <c r="AF927" t="s">
        <v>203</v>
      </c>
      <c r="AG927" t="s">
        <v>163</v>
      </c>
      <c r="AH927" t="s">
        <v>154</v>
      </c>
      <c r="AI927" t="s">
        <v>154</v>
      </c>
      <c r="AJ927" t="s">
        <v>154</v>
      </c>
      <c r="AK927" t="s">
        <v>154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0</v>
      </c>
      <c r="AU927" t="s">
        <v>1666</v>
      </c>
      <c r="AV927" t="s">
        <v>165</v>
      </c>
      <c r="AW927" t="s">
        <v>154</v>
      </c>
      <c r="AX927">
        <v>0</v>
      </c>
      <c r="AY927" t="s">
        <v>275</v>
      </c>
      <c r="AZ927" t="s">
        <v>162</v>
      </c>
    </row>
    <row r="928" spans="1:52" x14ac:dyDescent="0.25">
      <c r="A928">
        <v>917</v>
      </c>
      <c r="B928" s="74" t="s">
        <v>563</v>
      </c>
      <c r="C928" t="s">
        <v>163</v>
      </c>
      <c r="D928" t="s">
        <v>564</v>
      </c>
      <c r="E928" t="s">
        <v>216</v>
      </c>
      <c r="F928" t="s">
        <v>163</v>
      </c>
      <c r="G928">
        <v>0</v>
      </c>
      <c r="H928">
        <v>0</v>
      </c>
      <c r="I928" t="s">
        <v>1125</v>
      </c>
      <c r="J928">
        <v>0</v>
      </c>
      <c r="K928">
        <v>0</v>
      </c>
      <c r="L928" t="s">
        <v>1125</v>
      </c>
      <c r="M928">
        <v>0</v>
      </c>
      <c r="N928" t="s">
        <v>13</v>
      </c>
      <c r="O928" t="s">
        <v>7</v>
      </c>
      <c r="P928" t="s">
        <v>175</v>
      </c>
      <c r="Q928" t="s">
        <v>162</v>
      </c>
      <c r="R928" t="s">
        <v>1674</v>
      </c>
      <c r="S928">
        <v>2022</v>
      </c>
      <c r="T928">
        <v>9</v>
      </c>
      <c r="U928" t="s">
        <v>162</v>
      </c>
      <c r="V928" t="s">
        <v>162</v>
      </c>
      <c r="W928">
        <v>0</v>
      </c>
      <c r="X928">
        <v>0</v>
      </c>
      <c r="Y928" t="s">
        <v>162</v>
      </c>
      <c r="Z928">
        <v>2022</v>
      </c>
      <c r="AA928">
        <v>0</v>
      </c>
      <c r="AB928">
        <v>1.7912684557699999E-2</v>
      </c>
      <c r="AC928">
        <v>1.7912684557699999E-2</v>
      </c>
      <c r="AD928" t="s">
        <v>1676</v>
      </c>
      <c r="AE928" t="s">
        <v>166</v>
      </c>
      <c r="AF928" t="s">
        <v>163</v>
      </c>
      <c r="AG928" t="s">
        <v>163</v>
      </c>
      <c r="AH928" t="s">
        <v>154</v>
      </c>
      <c r="AI928" t="s">
        <v>226</v>
      </c>
      <c r="AJ928" t="s">
        <v>154</v>
      </c>
      <c r="AK928" t="s">
        <v>154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0</v>
      </c>
      <c r="AU928" t="s">
        <v>1666</v>
      </c>
      <c r="AV928" t="s">
        <v>165</v>
      </c>
      <c r="AW928" t="s">
        <v>166</v>
      </c>
      <c r="AX928">
        <v>0</v>
      </c>
      <c r="AY928" t="s">
        <v>275</v>
      </c>
      <c r="AZ928" t="s">
        <v>162</v>
      </c>
    </row>
    <row r="929" spans="1:52" x14ac:dyDescent="0.25">
      <c r="A929">
        <v>918</v>
      </c>
      <c r="B929" s="74" t="s">
        <v>757</v>
      </c>
      <c r="C929" t="s">
        <v>151</v>
      </c>
      <c r="D929" t="s">
        <v>758</v>
      </c>
      <c r="E929" t="s">
        <v>222</v>
      </c>
      <c r="F929" t="s">
        <v>151</v>
      </c>
      <c r="G929" t="s">
        <v>162</v>
      </c>
      <c r="H929">
        <v>0</v>
      </c>
      <c r="I929" t="s">
        <v>1125</v>
      </c>
      <c r="J929">
        <v>0</v>
      </c>
      <c r="K929">
        <v>0</v>
      </c>
      <c r="L929" t="s">
        <v>1677</v>
      </c>
      <c r="M929">
        <v>0</v>
      </c>
      <c r="N929" t="s">
        <v>13</v>
      </c>
      <c r="O929" t="s">
        <v>15</v>
      </c>
      <c r="P929" t="s">
        <v>175</v>
      </c>
      <c r="Q929" t="s">
        <v>162</v>
      </c>
      <c r="R929" t="s">
        <v>1674</v>
      </c>
      <c r="S929">
        <v>2022</v>
      </c>
      <c r="T929">
        <v>9</v>
      </c>
      <c r="U929" t="s">
        <v>162</v>
      </c>
      <c r="V929" t="s">
        <v>162</v>
      </c>
      <c r="W929">
        <v>0</v>
      </c>
      <c r="X929">
        <v>0</v>
      </c>
      <c r="Y929" t="s">
        <v>162</v>
      </c>
      <c r="Z929">
        <v>2022</v>
      </c>
      <c r="AA929">
        <v>0</v>
      </c>
      <c r="AB929">
        <v>5.4671171124099999E-2</v>
      </c>
      <c r="AC929">
        <v>0.117358711484</v>
      </c>
      <c r="AD929" t="s">
        <v>1676</v>
      </c>
      <c r="AE929" t="s">
        <v>166</v>
      </c>
      <c r="AF929" t="s">
        <v>151</v>
      </c>
      <c r="AG929" t="s">
        <v>163</v>
      </c>
      <c r="AH929" t="s">
        <v>154</v>
      </c>
      <c r="AI929" t="s">
        <v>154</v>
      </c>
      <c r="AJ929" t="s">
        <v>154</v>
      </c>
      <c r="AK929" t="s">
        <v>154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U929" t="s">
        <v>1666</v>
      </c>
      <c r="AV929" t="s">
        <v>165</v>
      </c>
      <c r="AW929" t="s">
        <v>163</v>
      </c>
      <c r="AX929">
        <v>0</v>
      </c>
      <c r="AY929" t="s">
        <v>275</v>
      </c>
      <c r="AZ929" t="s">
        <v>162</v>
      </c>
    </row>
    <row r="930" spans="1:52" x14ac:dyDescent="0.25">
      <c r="A930">
        <v>919</v>
      </c>
      <c r="B930" s="74" t="s">
        <v>1257</v>
      </c>
      <c r="C930" t="s">
        <v>163</v>
      </c>
      <c r="D930" t="s">
        <v>1258</v>
      </c>
      <c r="E930" t="s">
        <v>172</v>
      </c>
      <c r="F930" t="s">
        <v>154</v>
      </c>
      <c r="G930" t="s">
        <v>162</v>
      </c>
      <c r="H930">
        <v>0</v>
      </c>
      <c r="I930" t="s">
        <v>1125</v>
      </c>
      <c r="J930">
        <v>0</v>
      </c>
      <c r="K930">
        <v>0</v>
      </c>
      <c r="L930" t="s">
        <v>1125</v>
      </c>
      <c r="M930">
        <v>0</v>
      </c>
      <c r="N930" t="s">
        <v>13</v>
      </c>
      <c r="O930" t="s">
        <v>1680</v>
      </c>
      <c r="P930" t="s">
        <v>175</v>
      </c>
      <c r="Q930" t="s">
        <v>162</v>
      </c>
      <c r="R930" t="s">
        <v>1674</v>
      </c>
      <c r="S930">
        <v>2022</v>
      </c>
      <c r="T930">
        <v>9</v>
      </c>
      <c r="U930" t="s">
        <v>162</v>
      </c>
      <c r="V930" t="s">
        <v>162</v>
      </c>
      <c r="W930">
        <v>0</v>
      </c>
      <c r="X930">
        <v>0</v>
      </c>
      <c r="Y930" t="s">
        <v>162</v>
      </c>
      <c r="Z930">
        <v>2022</v>
      </c>
      <c r="AA930">
        <v>0</v>
      </c>
      <c r="AB930">
        <v>3.5932120672200002E-2</v>
      </c>
      <c r="AC930">
        <v>7.1864241344300001E-2</v>
      </c>
      <c r="AD930" t="s">
        <v>1676</v>
      </c>
      <c r="AE930" t="s">
        <v>154</v>
      </c>
      <c r="AF930" t="s">
        <v>154</v>
      </c>
      <c r="AG930" t="s">
        <v>154</v>
      </c>
      <c r="AH930" t="s">
        <v>154</v>
      </c>
      <c r="AI930" t="s">
        <v>154</v>
      </c>
      <c r="AJ930" t="s">
        <v>154</v>
      </c>
      <c r="AK930" t="s">
        <v>154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U930" t="s">
        <v>1666</v>
      </c>
      <c r="AV930" t="s">
        <v>165</v>
      </c>
      <c r="AW930" t="s">
        <v>154</v>
      </c>
      <c r="AX930">
        <v>0</v>
      </c>
      <c r="AY930" t="s">
        <v>275</v>
      </c>
      <c r="AZ930" t="s">
        <v>162</v>
      </c>
    </row>
    <row r="931" spans="1:52" x14ac:dyDescent="0.25">
      <c r="A931">
        <v>920</v>
      </c>
      <c r="B931" s="74" t="s">
        <v>1681</v>
      </c>
      <c r="C931" t="s">
        <v>151</v>
      </c>
      <c r="D931" t="s">
        <v>1682</v>
      </c>
      <c r="E931" t="s">
        <v>172</v>
      </c>
      <c r="F931" t="s">
        <v>203</v>
      </c>
      <c r="G931" t="s">
        <v>162</v>
      </c>
      <c r="H931">
        <v>0</v>
      </c>
      <c r="I931" t="s">
        <v>1677</v>
      </c>
      <c r="J931">
        <v>0</v>
      </c>
      <c r="K931">
        <v>0</v>
      </c>
      <c r="L931" t="s">
        <v>378</v>
      </c>
      <c r="M931">
        <v>0</v>
      </c>
      <c r="N931" t="s">
        <v>13</v>
      </c>
      <c r="O931" t="s">
        <v>13</v>
      </c>
      <c r="P931" t="s">
        <v>175</v>
      </c>
      <c r="Q931" t="s">
        <v>162</v>
      </c>
      <c r="R931" t="s">
        <v>1674</v>
      </c>
      <c r="S931">
        <v>2022</v>
      </c>
      <c r="T931">
        <v>9</v>
      </c>
      <c r="U931" t="s">
        <v>162</v>
      </c>
      <c r="V931" t="s">
        <v>162</v>
      </c>
      <c r="W931">
        <v>0</v>
      </c>
      <c r="X931">
        <v>0</v>
      </c>
      <c r="Y931" t="s">
        <v>162</v>
      </c>
      <c r="Z931">
        <v>2022</v>
      </c>
      <c r="AA931">
        <v>0</v>
      </c>
      <c r="AB931">
        <v>0.268638491915</v>
      </c>
      <c r="AC931">
        <v>0.53727698383</v>
      </c>
      <c r="AD931" t="s">
        <v>1683</v>
      </c>
      <c r="AE931" t="s">
        <v>163</v>
      </c>
      <c r="AF931" t="s">
        <v>154</v>
      </c>
      <c r="AG931" t="s">
        <v>166</v>
      </c>
      <c r="AH931" t="s">
        <v>154</v>
      </c>
      <c r="AI931" t="s">
        <v>154</v>
      </c>
      <c r="AJ931" t="s">
        <v>154</v>
      </c>
      <c r="AK931" t="s">
        <v>154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U931" t="s">
        <v>1666</v>
      </c>
      <c r="AV931" t="s">
        <v>165</v>
      </c>
      <c r="AW931" t="s">
        <v>154</v>
      </c>
      <c r="AX931">
        <v>0</v>
      </c>
      <c r="AY931" t="s">
        <v>275</v>
      </c>
      <c r="AZ931">
        <v>20</v>
      </c>
    </row>
    <row r="932" spans="1:52" x14ac:dyDescent="0.25">
      <c r="A932">
        <v>921</v>
      </c>
      <c r="B932" s="74" t="s">
        <v>741</v>
      </c>
      <c r="C932" t="s">
        <v>163</v>
      </c>
      <c r="D932" t="s">
        <v>742</v>
      </c>
      <c r="E932" t="s">
        <v>216</v>
      </c>
      <c r="F932" t="s">
        <v>154</v>
      </c>
      <c r="G932" t="s">
        <v>162</v>
      </c>
      <c r="H932">
        <v>0</v>
      </c>
      <c r="I932" t="s">
        <v>1684</v>
      </c>
      <c r="J932">
        <v>0</v>
      </c>
      <c r="K932">
        <v>0</v>
      </c>
      <c r="L932" t="s">
        <v>1684</v>
      </c>
      <c r="M932">
        <v>0</v>
      </c>
      <c r="N932" t="s">
        <v>13</v>
      </c>
      <c r="O932" t="s">
        <v>11</v>
      </c>
      <c r="P932" t="s">
        <v>175</v>
      </c>
      <c r="Q932" t="s">
        <v>162</v>
      </c>
      <c r="R932" t="s">
        <v>1674</v>
      </c>
      <c r="S932">
        <v>2022</v>
      </c>
      <c r="T932">
        <v>9</v>
      </c>
      <c r="U932" t="s">
        <v>1685</v>
      </c>
      <c r="V932" t="s">
        <v>162</v>
      </c>
      <c r="W932">
        <v>0</v>
      </c>
      <c r="X932">
        <v>0</v>
      </c>
      <c r="Y932" t="s">
        <v>162</v>
      </c>
      <c r="Z932">
        <v>2022</v>
      </c>
      <c r="AA932">
        <v>0</v>
      </c>
      <c r="AB932">
        <v>1.04935819118E-2</v>
      </c>
      <c r="AC932">
        <v>2.09871638236E-2</v>
      </c>
      <c r="AD932" t="s">
        <v>1683</v>
      </c>
      <c r="AE932" t="s">
        <v>163</v>
      </c>
      <c r="AF932" t="s">
        <v>154</v>
      </c>
      <c r="AG932" t="s">
        <v>154</v>
      </c>
      <c r="AH932" t="s">
        <v>154</v>
      </c>
      <c r="AI932" t="s">
        <v>154</v>
      </c>
      <c r="AJ932" t="s">
        <v>154</v>
      </c>
      <c r="AK932" t="s">
        <v>154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0</v>
      </c>
      <c r="AU932" t="s">
        <v>1666</v>
      </c>
      <c r="AV932" t="s">
        <v>165</v>
      </c>
      <c r="AW932" t="s">
        <v>166</v>
      </c>
      <c r="AX932">
        <v>0</v>
      </c>
      <c r="AY932" t="s">
        <v>162</v>
      </c>
      <c r="AZ932" t="s">
        <v>162</v>
      </c>
    </row>
    <row r="933" spans="1:52" x14ac:dyDescent="0.25">
      <c r="A933">
        <v>922</v>
      </c>
      <c r="B933" s="74" t="s">
        <v>1681</v>
      </c>
      <c r="C933" t="s">
        <v>151</v>
      </c>
      <c r="D933" t="s">
        <v>1682</v>
      </c>
      <c r="E933" t="s">
        <v>172</v>
      </c>
      <c r="F933" t="s">
        <v>154</v>
      </c>
      <c r="G933" t="s">
        <v>162</v>
      </c>
      <c r="H933">
        <v>0</v>
      </c>
      <c r="I933" t="s">
        <v>378</v>
      </c>
      <c r="J933">
        <v>0</v>
      </c>
      <c r="K933">
        <v>0</v>
      </c>
      <c r="L933" t="s">
        <v>326</v>
      </c>
      <c r="M933">
        <v>0</v>
      </c>
      <c r="N933" t="s">
        <v>13</v>
      </c>
      <c r="O933" t="s">
        <v>1686</v>
      </c>
      <c r="P933" t="s">
        <v>175</v>
      </c>
      <c r="Q933" t="s">
        <v>162</v>
      </c>
      <c r="R933" t="s">
        <v>1674</v>
      </c>
      <c r="S933">
        <v>2022</v>
      </c>
      <c r="T933">
        <v>9</v>
      </c>
      <c r="U933" t="s">
        <v>162</v>
      </c>
      <c r="V933" t="s">
        <v>162</v>
      </c>
      <c r="W933">
        <v>0</v>
      </c>
      <c r="X933">
        <v>0</v>
      </c>
      <c r="Y933" t="s">
        <v>162</v>
      </c>
      <c r="Z933">
        <v>2022</v>
      </c>
      <c r="AA933">
        <v>0</v>
      </c>
      <c r="AB933">
        <v>0.25164119903799997</v>
      </c>
      <c r="AC933">
        <v>0.50328239807599995</v>
      </c>
      <c r="AD933" t="s">
        <v>1683</v>
      </c>
      <c r="AE933" t="s">
        <v>154</v>
      </c>
      <c r="AF933" t="s">
        <v>154</v>
      </c>
      <c r="AG933" t="s">
        <v>154</v>
      </c>
      <c r="AH933" t="s">
        <v>154</v>
      </c>
      <c r="AI933" t="s">
        <v>154</v>
      </c>
      <c r="AJ933" t="s">
        <v>154</v>
      </c>
      <c r="AK933" t="s">
        <v>154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U933" t="s">
        <v>1666</v>
      </c>
      <c r="AV933" t="s">
        <v>165</v>
      </c>
      <c r="AW933" t="s">
        <v>154</v>
      </c>
      <c r="AX933">
        <v>0</v>
      </c>
      <c r="AY933" t="s">
        <v>275</v>
      </c>
      <c r="AZ933">
        <v>20</v>
      </c>
    </row>
    <row r="934" spans="1:52" x14ac:dyDescent="0.25">
      <c r="A934">
        <v>923</v>
      </c>
      <c r="B934" s="74" t="s">
        <v>1687</v>
      </c>
      <c r="C934" t="s">
        <v>151</v>
      </c>
      <c r="D934" t="s">
        <v>1688</v>
      </c>
      <c r="E934" t="s">
        <v>172</v>
      </c>
      <c r="F934" t="s">
        <v>1689</v>
      </c>
      <c r="G934" t="s">
        <v>162</v>
      </c>
      <c r="H934">
        <v>0</v>
      </c>
      <c r="I934" t="s">
        <v>1067</v>
      </c>
      <c r="J934">
        <v>0</v>
      </c>
      <c r="K934">
        <v>0</v>
      </c>
      <c r="L934" t="s">
        <v>901</v>
      </c>
      <c r="M934">
        <v>0</v>
      </c>
      <c r="N934" t="s">
        <v>13</v>
      </c>
      <c r="O934" t="s">
        <v>1680</v>
      </c>
      <c r="P934" t="s">
        <v>175</v>
      </c>
      <c r="Q934" t="s">
        <v>162</v>
      </c>
      <c r="R934" t="s">
        <v>1664</v>
      </c>
      <c r="S934">
        <v>2022</v>
      </c>
      <c r="T934">
        <v>9</v>
      </c>
      <c r="U934" t="s">
        <v>1665</v>
      </c>
      <c r="V934" t="s">
        <v>162</v>
      </c>
      <c r="W934">
        <v>0</v>
      </c>
      <c r="X934">
        <v>0</v>
      </c>
      <c r="Y934" t="s">
        <v>162</v>
      </c>
      <c r="Z934">
        <v>2022</v>
      </c>
      <c r="AA934">
        <v>0</v>
      </c>
      <c r="AB934">
        <v>0.50005717326300003</v>
      </c>
      <c r="AC934">
        <v>0.50005717326300003</v>
      </c>
      <c r="AD934" t="s">
        <v>162</v>
      </c>
      <c r="AE934" t="s">
        <v>166</v>
      </c>
      <c r="AF934" t="s">
        <v>1689</v>
      </c>
      <c r="AG934" t="s">
        <v>163</v>
      </c>
      <c r="AH934" t="s">
        <v>154</v>
      </c>
      <c r="AI934" t="s">
        <v>154</v>
      </c>
      <c r="AJ934" t="s">
        <v>154</v>
      </c>
      <c r="AK934" t="s">
        <v>154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U934" t="s">
        <v>1666</v>
      </c>
      <c r="AV934" t="s">
        <v>165</v>
      </c>
      <c r="AW934" t="s">
        <v>154</v>
      </c>
      <c r="AX934">
        <v>0</v>
      </c>
      <c r="AY934" t="s">
        <v>275</v>
      </c>
      <c r="AZ934">
        <v>20</v>
      </c>
    </row>
    <row r="935" spans="1:52" x14ac:dyDescent="0.25">
      <c r="A935">
        <v>924</v>
      </c>
      <c r="B935" s="74" t="s">
        <v>1687</v>
      </c>
      <c r="C935" t="s">
        <v>151</v>
      </c>
      <c r="D935" t="s">
        <v>1688</v>
      </c>
      <c r="E935" t="s">
        <v>172</v>
      </c>
      <c r="F935" t="s">
        <v>1689</v>
      </c>
      <c r="G935" t="s">
        <v>162</v>
      </c>
      <c r="H935">
        <v>0</v>
      </c>
      <c r="I935" t="s">
        <v>901</v>
      </c>
      <c r="J935">
        <v>0</v>
      </c>
      <c r="K935">
        <v>0</v>
      </c>
      <c r="L935" t="s">
        <v>1690</v>
      </c>
      <c r="M935">
        <v>0</v>
      </c>
      <c r="N935" t="s">
        <v>13</v>
      </c>
      <c r="O935" t="s">
        <v>11</v>
      </c>
      <c r="P935" t="s">
        <v>175</v>
      </c>
      <c r="Q935" t="s">
        <v>162</v>
      </c>
      <c r="R935" t="s">
        <v>1664</v>
      </c>
      <c r="S935">
        <v>2022</v>
      </c>
      <c r="T935">
        <v>9</v>
      </c>
      <c r="U935" t="s">
        <v>1665</v>
      </c>
      <c r="V935" t="s">
        <v>162</v>
      </c>
      <c r="W935">
        <v>0</v>
      </c>
      <c r="X935">
        <v>0</v>
      </c>
      <c r="Y935" t="s">
        <v>162</v>
      </c>
      <c r="Z935">
        <v>2022</v>
      </c>
      <c r="AA935">
        <v>0</v>
      </c>
      <c r="AB935">
        <v>0.76464774174600003</v>
      </c>
      <c r="AC935">
        <v>0.76464774174600003</v>
      </c>
      <c r="AD935" t="s">
        <v>162</v>
      </c>
      <c r="AE935" t="s">
        <v>166</v>
      </c>
      <c r="AF935" t="s">
        <v>1689</v>
      </c>
      <c r="AG935" t="s">
        <v>163</v>
      </c>
      <c r="AH935" t="s">
        <v>154</v>
      </c>
      <c r="AI935" t="s">
        <v>154</v>
      </c>
      <c r="AJ935" t="s">
        <v>154</v>
      </c>
      <c r="AK935" t="s">
        <v>154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U935" t="s">
        <v>1666</v>
      </c>
      <c r="AV935" t="s">
        <v>165</v>
      </c>
      <c r="AW935" t="s">
        <v>154</v>
      </c>
      <c r="AX935">
        <v>0</v>
      </c>
      <c r="AY935" t="s">
        <v>275</v>
      </c>
      <c r="AZ935">
        <v>20</v>
      </c>
    </row>
    <row r="936" spans="1:52" x14ac:dyDescent="0.25">
      <c r="A936">
        <v>925</v>
      </c>
      <c r="B936" s="74" t="s">
        <v>1691</v>
      </c>
      <c r="C936" t="s">
        <v>151</v>
      </c>
      <c r="D936" t="s">
        <v>1692</v>
      </c>
      <c r="E936" t="s">
        <v>172</v>
      </c>
      <c r="F936" t="s">
        <v>151</v>
      </c>
      <c r="G936" t="s">
        <v>162</v>
      </c>
      <c r="H936">
        <v>0</v>
      </c>
      <c r="I936" t="s">
        <v>901</v>
      </c>
      <c r="J936">
        <v>0</v>
      </c>
      <c r="K936">
        <v>0</v>
      </c>
      <c r="L936" t="s">
        <v>1693</v>
      </c>
      <c r="M936">
        <v>0</v>
      </c>
      <c r="N936" t="s">
        <v>13</v>
      </c>
      <c r="O936" t="s">
        <v>11</v>
      </c>
      <c r="P936" t="s">
        <v>175</v>
      </c>
      <c r="Q936" t="s">
        <v>162</v>
      </c>
      <c r="R936" t="s">
        <v>1664</v>
      </c>
      <c r="S936">
        <v>2022</v>
      </c>
      <c r="T936">
        <v>9</v>
      </c>
      <c r="U936" t="s">
        <v>1665</v>
      </c>
      <c r="V936" t="s">
        <v>162</v>
      </c>
      <c r="W936">
        <v>0</v>
      </c>
      <c r="X936">
        <v>0</v>
      </c>
      <c r="Y936" t="s">
        <v>162</v>
      </c>
      <c r="Z936">
        <v>2022</v>
      </c>
      <c r="AA936">
        <v>0</v>
      </c>
      <c r="AB936">
        <v>0.12814590204199999</v>
      </c>
      <c r="AC936">
        <v>0.12814590204199999</v>
      </c>
      <c r="AD936" t="s">
        <v>162</v>
      </c>
      <c r="AE936" t="s">
        <v>166</v>
      </c>
      <c r="AF936" t="s">
        <v>151</v>
      </c>
      <c r="AG936" t="s">
        <v>163</v>
      </c>
      <c r="AH936" t="s">
        <v>154</v>
      </c>
      <c r="AI936" t="s">
        <v>154</v>
      </c>
      <c r="AJ936" t="s">
        <v>154</v>
      </c>
      <c r="AK936" t="s">
        <v>154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U936" t="s">
        <v>1666</v>
      </c>
      <c r="AV936" t="s">
        <v>165</v>
      </c>
      <c r="AW936" t="s">
        <v>154</v>
      </c>
      <c r="AX936">
        <v>0</v>
      </c>
      <c r="AY936" t="s">
        <v>275</v>
      </c>
      <c r="AZ936">
        <v>20</v>
      </c>
    </row>
    <row r="937" spans="1:52" x14ac:dyDescent="0.25">
      <c r="A937">
        <v>926</v>
      </c>
      <c r="B937" s="74" t="s">
        <v>1691</v>
      </c>
      <c r="C937" t="s">
        <v>151</v>
      </c>
      <c r="D937" t="s">
        <v>1692</v>
      </c>
      <c r="E937" t="s">
        <v>172</v>
      </c>
      <c r="F937" t="s">
        <v>151</v>
      </c>
      <c r="G937" t="s">
        <v>162</v>
      </c>
      <c r="H937">
        <v>0</v>
      </c>
      <c r="I937" t="s">
        <v>1067</v>
      </c>
      <c r="J937">
        <v>0</v>
      </c>
      <c r="K937">
        <v>0</v>
      </c>
      <c r="L937" t="s">
        <v>901</v>
      </c>
      <c r="M937">
        <v>0</v>
      </c>
      <c r="N937" t="s">
        <v>13</v>
      </c>
      <c r="O937" t="s">
        <v>1680</v>
      </c>
      <c r="P937" t="s">
        <v>175</v>
      </c>
      <c r="Q937" t="s">
        <v>162</v>
      </c>
      <c r="R937" t="s">
        <v>1664</v>
      </c>
      <c r="S937">
        <v>2022</v>
      </c>
      <c r="T937">
        <v>9</v>
      </c>
      <c r="U937" t="s">
        <v>1665</v>
      </c>
      <c r="V937" t="s">
        <v>162</v>
      </c>
      <c r="W937">
        <v>0</v>
      </c>
      <c r="X937">
        <v>0</v>
      </c>
      <c r="Y937" t="s">
        <v>162</v>
      </c>
      <c r="Z937">
        <v>2022</v>
      </c>
      <c r="AA937">
        <v>0</v>
      </c>
      <c r="AB937">
        <v>0.49989791093800001</v>
      </c>
      <c r="AC937">
        <v>0.49989791093800001</v>
      </c>
      <c r="AD937" t="s">
        <v>162</v>
      </c>
      <c r="AE937" t="s">
        <v>166</v>
      </c>
      <c r="AF937" t="s">
        <v>151</v>
      </c>
      <c r="AG937" t="s">
        <v>163</v>
      </c>
      <c r="AH937" t="s">
        <v>154</v>
      </c>
      <c r="AI937" t="s">
        <v>154</v>
      </c>
      <c r="AJ937" t="s">
        <v>154</v>
      </c>
      <c r="AK937" t="s">
        <v>154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0</v>
      </c>
      <c r="AR937">
        <v>0</v>
      </c>
      <c r="AS937">
        <v>0</v>
      </c>
      <c r="AU937" t="s">
        <v>1666</v>
      </c>
      <c r="AV937" t="s">
        <v>165</v>
      </c>
      <c r="AW937" t="s">
        <v>154</v>
      </c>
      <c r="AX937">
        <v>0</v>
      </c>
      <c r="AY937" t="s">
        <v>275</v>
      </c>
      <c r="AZ937">
        <v>20</v>
      </c>
    </row>
    <row r="938" spans="1:52" x14ac:dyDescent="0.25">
      <c r="A938">
        <v>927</v>
      </c>
      <c r="B938" s="74" t="s">
        <v>1691</v>
      </c>
      <c r="C938" t="s">
        <v>151</v>
      </c>
      <c r="D938" t="s">
        <v>1692</v>
      </c>
      <c r="E938" t="s">
        <v>172</v>
      </c>
      <c r="F938" t="s">
        <v>154</v>
      </c>
      <c r="G938" t="s">
        <v>162</v>
      </c>
      <c r="H938">
        <v>0</v>
      </c>
      <c r="I938" t="s">
        <v>1693</v>
      </c>
      <c r="J938">
        <v>0</v>
      </c>
      <c r="K938">
        <v>0</v>
      </c>
      <c r="L938" t="s">
        <v>1690</v>
      </c>
      <c r="M938">
        <v>0</v>
      </c>
      <c r="N938" t="s">
        <v>13</v>
      </c>
      <c r="O938" t="s">
        <v>1680</v>
      </c>
      <c r="P938" t="s">
        <v>175</v>
      </c>
      <c r="Q938" t="s">
        <v>162</v>
      </c>
      <c r="R938" t="s">
        <v>1664</v>
      </c>
      <c r="S938">
        <v>2022</v>
      </c>
      <c r="T938">
        <v>9</v>
      </c>
      <c r="U938" t="s">
        <v>1665</v>
      </c>
      <c r="V938" t="s">
        <v>162</v>
      </c>
      <c r="W938">
        <v>0</v>
      </c>
      <c r="X938">
        <v>0</v>
      </c>
      <c r="Y938" t="s">
        <v>162</v>
      </c>
      <c r="Z938">
        <v>2022</v>
      </c>
      <c r="AA938">
        <v>0</v>
      </c>
      <c r="AB938">
        <v>0.63766896492000003</v>
      </c>
      <c r="AC938">
        <v>0.63766896492000003</v>
      </c>
      <c r="AD938" t="s">
        <v>162</v>
      </c>
      <c r="AE938" t="s">
        <v>163</v>
      </c>
      <c r="AF938" t="s">
        <v>154</v>
      </c>
      <c r="AG938" t="s">
        <v>154</v>
      </c>
      <c r="AH938" t="s">
        <v>154</v>
      </c>
      <c r="AI938" t="s">
        <v>154</v>
      </c>
      <c r="AJ938" t="s">
        <v>154</v>
      </c>
      <c r="AK938" t="s">
        <v>154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U938" t="s">
        <v>1666</v>
      </c>
      <c r="AV938" t="s">
        <v>165</v>
      </c>
      <c r="AW938" t="s">
        <v>154</v>
      </c>
      <c r="AX938">
        <v>0</v>
      </c>
      <c r="AY938" t="s">
        <v>275</v>
      </c>
      <c r="AZ938">
        <v>20</v>
      </c>
    </row>
    <row r="939" spans="1:52" x14ac:dyDescent="0.25">
      <c r="A939">
        <v>928</v>
      </c>
      <c r="B939" s="74" t="s">
        <v>1694</v>
      </c>
      <c r="C939" t="s">
        <v>180</v>
      </c>
      <c r="D939" t="s">
        <v>1695</v>
      </c>
      <c r="E939" t="s">
        <v>216</v>
      </c>
      <c r="F939" t="s">
        <v>154</v>
      </c>
      <c r="G939" t="s">
        <v>162</v>
      </c>
      <c r="H939">
        <v>0</v>
      </c>
      <c r="I939" t="s">
        <v>248</v>
      </c>
      <c r="J939">
        <v>0</v>
      </c>
      <c r="K939">
        <v>0</v>
      </c>
      <c r="L939" t="s">
        <v>1696</v>
      </c>
      <c r="M939">
        <v>0</v>
      </c>
      <c r="N939" t="s">
        <v>13</v>
      </c>
      <c r="O939" t="s">
        <v>15</v>
      </c>
      <c r="P939" t="s">
        <v>175</v>
      </c>
      <c r="Q939" t="s">
        <v>162</v>
      </c>
      <c r="R939" t="s">
        <v>162</v>
      </c>
      <c r="S939">
        <v>2022</v>
      </c>
      <c r="T939">
        <v>9</v>
      </c>
      <c r="U939" t="s">
        <v>1665</v>
      </c>
      <c r="V939" t="s">
        <v>162</v>
      </c>
      <c r="W939">
        <v>0</v>
      </c>
      <c r="X939">
        <v>0</v>
      </c>
      <c r="Y939" t="s">
        <v>162</v>
      </c>
      <c r="Z939">
        <v>2022</v>
      </c>
      <c r="AA939">
        <v>0</v>
      </c>
      <c r="AB939">
        <v>1.2762673637499999</v>
      </c>
      <c r="AC939">
        <v>2.5525347274999999</v>
      </c>
      <c r="AD939" t="s">
        <v>162</v>
      </c>
      <c r="AE939" t="s">
        <v>154</v>
      </c>
      <c r="AF939" t="s">
        <v>154</v>
      </c>
      <c r="AG939" t="s">
        <v>154</v>
      </c>
      <c r="AH939" t="s">
        <v>162</v>
      </c>
      <c r="AI939" t="s">
        <v>162</v>
      </c>
      <c r="AJ939" t="s">
        <v>162</v>
      </c>
      <c r="AK939" t="s">
        <v>162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U939" t="s">
        <v>1666</v>
      </c>
      <c r="AV939" t="s">
        <v>165</v>
      </c>
      <c r="AW939" t="s">
        <v>163</v>
      </c>
      <c r="AX939">
        <v>0</v>
      </c>
      <c r="AY939" t="s">
        <v>275</v>
      </c>
      <c r="AZ939">
        <v>20</v>
      </c>
    </row>
    <row r="940" spans="1:52" x14ac:dyDescent="0.25">
      <c r="A940">
        <v>929</v>
      </c>
      <c r="B940" s="74" t="s">
        <v>1694</v>
      </c>
      <c r="C940" t="s">
        <v>180</v>
      </c>
      <c r="D940" t="s">
        <v>1695</v>
      </c>
      <c r="E940" t="s">
        <v>216</v>
      </c>
      <c r="F940" t="s">
        <v>1697</v>
      </c>
      <c r="G940" t="s">
        <v>162</v>
      </c>
      <c r="H940">
        <v>0</v>
      </c>
      <c r="I940" t="s">
        <v>1696</v>
      </c>
      <c r="J940">
        <v>0</v>
      </c>
      <c r="K940">
        <v>0</v>
      </c>
      <c r="L940" t="s">
        <v>655</v>
      </c>
      <c r="M940">
        <v>0</v>
      </c>
      <c r="N940" t="s">
        <v>13</v>
      </c>
      <c r="O940" t="s">
        <v>13</v>
      </c>
      <c r="P940" t="s">
        <v>175</v>
      </c>
      <c r="Q940" t="s">
        <v>162</v>
      </c>
      <c r="R940" t="s">
        <v>162</v>
      </c>
      <c r="S940">
        <v>2022</v>
      </c>
      <c r="T940">
        <v>9</v>
      </c>
      <c r="U940" t="s">
        <v>1665</v>
      </c>
      <c r="V940" t="s">
        <v>162</v>
      </c>
      <c r="W940">
        <v>0</v>
      </c>
      <c r="X940">
        <v>0</v>
      </c>
      <c r="Y940" t="s">
        <v>162</v>
      </c>
      <c r="Z940">
        <v>2022</v>
      </c>
      <c r="AA940">
        <v>0</v>
      </c>
      <c r="AB940">
        <v>0.829872568486</v>
      </c>
      <c r="AC940">
        <v>1.65974513697</v>
      </c>
      <c r="AD940" t="s">
        <v>162</v>
      </c>
      <c r="AE940" t="s">
        <v>163</v>
      </c>
      <c r="AF940" t="s">
        <v>154</v>
      </c>
      <c r="AG940" t="s">
        <v>166</v>
      </c>
      <c r="AH940" t="s">
        <v>154</v>
      </c>
      <c r="AI940" t="s">
        <v>154</v>
      </c>
      <c r="AJ940" t="s">
        <v>154</v>
      </c>
      <c r="AK940" t="s">
        <v>154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0</v>
      </c>
      <c r="AR940">
        <v>0</v>
      </c>
      <c r="AS940">
        <v>0</v>
      </c>
      <c r="AU940" t="s">
        <v>1666</v>
      </c>
      <c r="AV940" t="s">
        <v>165</v>
      </c>
      <c r="AW940" t="s">
        <v>154</v>
      </c>
      <c r="AX940">
        <v>0</v>
      </c>
      <c r="AY940" t="s">
        <v>275</v>
      </c>
      <c r="AZ940">
        <v>20</v>
      </c>
    </row>
    <row r="941" spans="1:52" x14ac:dyDescent="0.25">
      <c r="A941">
        <v>930</v>
      </c>
      <c r="B941" s="74" t="s">
        <v>1694</v>
      </c>
      <c r="C941" t="s">
        <v>163</v>
      </c>
      <c r="D941" t="s">
        <v>1695</v>
      </c>
      <c r="E941" t="s">
        <v>216</v>
      </c>
      <c r="F941" t="s">
        <v>154</v>
      </c>
      <c r="G941" t="s">
        <v>162</v>
      </c>
      <c r="H941">
        <v>0</v>
      </c>
      <c r="I941" t="s">
        <v>655</v>
      </c>
      <c r="J941">
        <v>0</v>
      </c>
      <c r="K941">
        <v>0</v>
      </c>
      <c r="L941" t="s">
        <v>1698</v>
      </c>
      <c r="M941">
        <v>0</v>
      </c>
      <c r="N941" t="s">
        <v>13</v>
      </c>
      <c r="O941" t="s">
        <v>1680</v>
      </c>
      <c r="P941" t="s">
        <v>175</v>
      </c>
      <c r="Q941" t="s">
        <v>162</v>
      </c>
      <c r="R941" t="s">
        <v>162</v>
      </c>
      <c r="S941">
        <v>2022</v>
      </c>
      <c r="T941">
        <v>9</v>
      </c>
      <c r="U941" t="s">
        <v>1665</v>
      </c>
      <c r="V941" t="s">
        <v>162</v>
      </c>
      <c r="W941">
        <v>0</v>
      </c>
      <c r="X941">
        <v>0</v>
      </c>
      <c r="Y941" t="s">
        <v>162</v>
      </c>
      <c r="Z941">
        <v>2022</v>
      </c>
      <c r="AA941">
        <v>0</v>
      </c>
      <c r="AB941">
        <v>9.1045148312400001E-2</v>
      </c>
      <c r="AC941">
        <v>0.18209029662500001</v>
      </c>
      <c r="AD941" t="s">
        <v>162</v>
      </c>
      <c r="AE941" t="s">
        <v>154</v>
      </c>
      <c r="AF941" t="s">
        <v>154</v>
      </c>
      <c r="AG941" t="s">
        <v>154</v>
      </c>
      <c r="AH941" t="s">
        <v>154</v>
      </c>
      <c r="AI941" t="s">
        <v>154</v>
      </c>
      <c r="AJ941" t="s">
        <v>154</v>
      </c>
      <c r="AK941" t="s">
        <v>154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0</v>
      </c>
      <c r="AS941">
        <v>0</v>
      </c>
      <c r="AU941" t="s">
        <v>1666</v>
      </c>
      <c r="AV941" t="s">
        <v>165</v>
      </c>
      <c r="AW941" t="s">
        <v>163</v>
      </c>
      <c r="AX941">
        <v>0</v>
      </c>
      <c r="AY941" t="s">
        <v>275</v>
      </c>
      <c r="AZ941">
        <v>20</v>
      </c>
    </row>
    <row r="942" spans="1:52" x14ac:dyDescent="0.25">
      <c r="A942">
        <v>931</v>
      </c>
      <c r="B942" s="74" t="s">
        <v>1694</v>
      </c>
      <c r="C942" t="s">
        <v>163</v>
      </c>
      <c r="D942" t="s">
        <v>1695</v>
      </c>
      <c r="E942" t="s">
        <v>216</v>
      </c>
      <c r="F942" t="s">
        <v>180</v>
      </c>
      <c r="G942" t="s">
        <v>162</v>
      </c>
      <c r="H942">
        <v>0</v>
      </c>
      <c r="I942" t="s">
        <v>1698</v>
      </c>
      <c r="J942">
        <v>0</v>
      </c>
      <c r="K942">
        <v>0</v>
      </c>
      <c r="L942" t="s">
        <v>387</v>
      </c>
      <c r="M942">
        <v>0</v>
      </c>
      <c r="N942" t="s">
        <v>13</v>
      </c>
      <c r="O942" t="s">
        <v>13</v>
      </c>
      <c r="P942" t="s">
        <v>175</v>
      </c>
      <c r="Q942" t="s">
        <v>162</v>
      </c>
      <c r="R942" t="s">
        <v>162</v>
      </c>
      <c r="S942">
        <v>2022</v>
      </c>
      <c r="T942">
        <v>9</v>
      </c>
      <c r="U942" t="s">
        <v>1665</v>
      </c>
      <c r="V942" t="s">
        <v>162</v>
      </c>
      <c r="W942">
        <v>0</v>
      </c>
      <c r="X942">
        <v>0</v>
      </c>
      <c r="Y942" t="s">
        <v>162</v>
      </c>
      <c r="Z942">
        <v>2022</v>
      </c>
      <c r="AA942">
        <v>0</v>
      </c>
      <c r="AB942">
        <v>0.168489255729</v>
      </c>
      <c r="AC942">
        <v>0.33697851145800001</v>
      </c>
      <c r="AD942" t="s">
        <v>154</v>
      </c>
      <c r="AE942" t="s">
        <v>163</v>
      </c>
      <c r="AF942" t="s">
        <v>154</v>
      </c>
      <c r="AG942" t="s">
        <v>166</v>
      </c>
      <c r="AH942" t="s">
        <v>154</v>
      </c>
      <c r="AI942" t="s">
        <v>154</v>
      </c>
      <c r="AJ942" t="s">
        <v>154</v>
      </c>
      <c r="AK942" t="s">
        <v>154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U942" t="s">
        <v>1666</v>
      </c>
      <c r="AV942" t="s">
        <v>165</v>
      </c>
      <c r="AW942" t="s">
        <v>154</v>
      </c>
      <c r="AX942">
        <v>0</v>
      </c>
      <c r="AY942" t="s">
        <v>275</v>
      </c>
      <c r="AZ942">
        <v>20</v>
      </c>
    </row>
    <row r="943" spans="1:52" x14ac:dyDescent="0.25">
      <c r="A943">
        <v>932</v>
      </c>
      <c r="B943" s="74" t="s">
        <v>635</v>
      </c>
      <c r="C943" t="s">
        <v>151</v>
      </c>
      <c r="D943" t="s">
        <v>636</v>
      </c>
      <c r="E943" t="s">
        <v>172</v>
      </c>
      <c r="F943" t="s">
        <v>151</v>
      </c>
      <c r="G943">
        <v>501</v>
      </c>
      <c r="H943">
        <v>500</v>
      </c>
      <c r="I943" t="s">
        <v>765</v>
      </c>
      <c r="J943">
        <v>0</v>
      </c>
      <c r="K943">
        <v>0</v>
      </c>
      <c r="L943" t="s">
        <v>1373</v>
      </c>
      <c r="M943">
        <v>4</v>
      </c>
      <c r="N943" t="s">
        <v>7</v>
      </c>
      <c r="O943" t="s">
        <v>7</v>
      </c>
      <c r="P943" t="s">
        <v>175</v>
      </c>
      <c r="Q943" t="s">
        <v>162</v>
      </c>
      <c r="R943" t="s">
        <v>261</v>
      </c>
      <c r="S943">
        <v>2016</v>
      </c>
      <c r="T943">
        <v>11</v>
      </c>
      <c r="U943" t="s">
        <v>162</v>
      </c>
      <c r="V943" t="s">
        <v>162</v>
      </c>
      <c r="W943">
        <v>0</v>
      </c>
      <c r="X943">
        <v>0</v>
      </c>
      <c r="Y943" t="s">
        <v>162</v>
      </c>
      <c r="Z943">
        <v>2016</v>
      </c>
      <c r="AA943">
        <v>0</v>
      </c>
      <c r="AB943">
        <v>7.5979754975200001E-2</v>
      </c>
      <c r="AC943">
        <v>7.5979754975200001E-2</v>
      </c>
      <c r="AD943" t="s">
        <v>261</v>
      </c>
      <c r="AE943" t="s">
        <v>166</v>
      </c>
      <c r="AF943" t="s">
        <v>151</v>
      </c>
      <c r="AG943" t="s">
        <v>163</v>
      </c>
      <c r="AH943" t="s">
        <v>162</v>
      </c>
      <c r="AI943" t="s">
        <v>1130</v>
      </c>
      <c r="AJ943" t="s">
        <v>154</v>
      </c>
      <c r="AK943" t="s">
        <v>166</v>
      </c>
      <c r="AL943">
        <v>2017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U943" t="s">
        <v>213</v>
      </c>
      <c r="AV943" t="s">
        <v>165</v>
      </c>
      <c r="AW943" t="s">
        <v>166</v>
      </c>
      <c r="AX943">
        <v>1</v>
      </c>
      <c r="AY943" t="s">
        <v>167</v>
      </c>
      <c r="AZ943" t="s">
        <v>162</v>
      </c>
    </row>
    <row r="944" spans="1:52" x14ac:dyDescent="0.25">
      <c r="A944">
        <v>933</v>
      </c>
      <c r="B944" s="74" t="s">
        <v>674</v>
      </c>
      <c r="C944" t="s">
        <v>151</v>
      </c>
      <c r="D944" t="s">
        <v>675</v>
      </c>
      <c r="E944" t="s">
        <v>172</v>
      </c>
      <c r="F944" t="s">
        <v>154</v>
      </c>
      <c r="G944" t="s">
        <v>162</v>
      </c>
      <c r="H944">
        <v>0</v>
      </c>
      <c r="I944" t="s">
        <v>828</v>
      </c>
      <c r="J944">
        <v>0</v>
      </c>
      <c r="K944">
        <v>0</v>
      </c>
      <c r="L944" t="s">
        <v>1699</v>
      </c>
      <c r="M944">
        <v>0</v>
      </c>
      <c r="N944" t="s">
        <v>7</v>
      </c>
      <c r="O944" t="s">
        <v>7</v>
      </c>
      <c r="P944" t="s">
        <v>175</v>
      </c>
      <c r="Q944" t="s">
        <v>162</v>
      </c>
      <c r="R944" t="s">
        <v>734</v>
      </c>
      <c r="S944">
        <v>2021</v>
      </c>
      <c r="T944">
        <v>10</v>
      </c>
      <c r="U944" t="s">
        <v>208</v>
      </c>
      <c r="V944" t="s">
        <v>162</v>
      </c>
      <c r="W944">
        <v>0</v>
      </c>
      <c r="X944">
        <v>0</v>
      </c>
      <c r="Y944" t="s">
        <v>162</v>
      </c>
      <c r="Z944">
        <v>2021</v>
      </c>
      <c r="AA944">
        <v>0</v>
      </c>
      <c r="AB944">
        <v>5.09397551963E-2</v>
      </c>
      <c r="AC944">
        <v>0.101879510393</v>
      </c>
      <c r="AD944" t="s">
        <v>154</v>
      </c>
      <c r="AE944" t="s">
        <v>154</v>
      </c>
      <c r="AF944" t="s">
        <v>154</v>
      </c>
      <c r="AG944" t="s">
        <v>154</v>
      </c>
      <c r="AH944" t="s">
        <v>162</v>
      </c>
      <c r="AI944" t="s">
        <v>212</v>
      </c>
      <c r="AJ944" t="s">
        <v>154</v>
      </c>
      <c r="AK944" t="s">
        <v>162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U944" t="s">
        <v>213</v>
      </c>
      <c r="AV944" t="s">
        <v>165</v>
      </c>
      <c r="AW944" t="s">
        <v>166</v>
      </c>
      <c r="AX944">
        <v>0</v>
      </c>
      <c r="AY944" t="s">
        <v>167</v>
      </c>
      <c r="AZ944" t="s">
        <v>162</v>
      </c>
    </row>
    <row r="945" spans="1:52" x14ac:dyDescent="0.25">
      <c r="A945">
        <v>934</v>
      </c>
      <c r="B945" s="74" t="s">
        <v>188</v>
      </c>
      <c r="C945" t="s">
        <v>151</v>
      </c>
      <c r="D945" t="s">
        <v>189</v>
      </c>
      <c r="E945" t="s">
        <v>172</v>
      </c>
      <c r="F945" t="s">
        <v>162</v>
      </c>
      <c r="G945">
        <v>0</v>
      </c>
      <c r="H945">
        <v>0</v>
      </c>
      <c r="I945" t="s">
        <v>429</v>
      </c>
      <c r="J945">
        <v>3601</v>
      </c>
      <c r="K945">
        <v>3600</v>
      </c>
      <c r="L945" t="s">
        <v>1094</v>
      </c>
      <c r="M945">
        <v>3</v>
      </c>
      <c r="N945" t="s">
        <v>7</v>
      </c>
      <c r="O945" t="s">
        <v>7</v>
      </c>
      <c r="P945" t="s">
        <v>157</v>
      </c>
      <c r="Q945" t="s">
        <v>1242</v>
      </c>
      <c r="R945" t="s">
        <v>500</v>
      </c>
      <c r="S945">
        <v>2022</v>
      </c>
      <c r="T945">
        <v>10</v>
      </c>
      <c r="U945" t="s">
        <v>1243</v>
      </c>
      <c r="V945" t="s">
        <v>162</v>
      </c>
      <c r="W945">
        <v>0</v>
      </c>
      <c r="X945">
        <v>0</v>
      </c>
      <c r="Y945" t="s">
        <v>162</v>
      </c>
      <c r="Z945">
        <v>2014</v>
      </c>
      <c r="AA945">
        <v>2014</v>
      </c>
      <c r="AB945">
        <v>0.46440477806399999</v>
      </c>
      <c r="AC945">
        <v>0.92880955612799998</v>
      </c>
      <c r="AD945" t="s">
        <v>154</v>
      </c>
      <c r="AE945" t="s">
        <v>163</v>
      </c>
      <c r="AF945" t="s">
        <v>154</v>
      </c>
      <c r="AG945" t="s">
        <v>154</v>
      </c>
      <c r="AH945" t="s">
        <v>162</v>
      </c>
      <c r="AI945" t="s">
        <v>504</v>
      </c>
      <c r="AJ945" t="s">
        <v>154</v>
      </c>
      <c r="AK945" t="s">
        <v>162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U945" t="s">
        <v>213</v>
      </c>
      <c r="AV945" t="s">
        <v>165</v>
      </c>
      <c r="AW945" t="s">
        <v>166</v>
      </c>
      <c r="AX945">
        <v>1</v>
      </c>
      <c r="AY945" t="s">
        <v>167</v>
      </c>
      <c r="AZ945" t="s">
        <v>162</v>
      </c>
    </row>
    <row r="946" spans="1:52" x14ac:dyDescent="0.25">
      <c r="A946">
        <v>935</v>
      </c>
      <c r="B946" s="74" t="s">
        <v>427</v>
      </c>
      <c r="C946" t="s">
        <v>151</v>
      </c>
      <c r="D946" t="s">
        <v>428</v>
      </c>
      <c r="E946" t="s">
        <v>216</v>
      </c>
      <c r="F946" t="s">
        <v>154</v>
      </c>
      <c r="G946" t="s">
        <v>162</v>
      </c>
      <c r="H946">
        <v>0</v>
      </c>
      <c r="I946" t="s">
        <v>811</v>
      </c>
      <c r="J946">
        <v>0</v>
      </c>
      <c r="K946">
        <v>0</v>
      </c>
      <c r="L946" t="s">
        <v>521</v>
      </c>
      <c r="M946">
        <v>0</v>
      </c>
      <c r="N946" t="s">
        <v>9</v>
      </c>
      <c r="O946" t="s">
        <v>9</v>
      </c>
      <c r="P946" t="s">
        <v>175</v>
      </c>
      <c r="Q946" t="s">
        <v>162</v>
      </c>
      <c r="R946" t="s">
        <v>354</v>
      </c>
      <c r="S946">
        <v>2022</v>
      </c>
      <c r="T946">
        <v>0</v>
      </c>
      <c r="U946" t="s">
        <v>162</v>
      </c>
      <c r="V946" t="s">
        <v>162</v>
      </c>
      <c r="W946">
        <v>0</v>
      </c>
      <c r="X946">
        <v>0</v>
      </c>
      <c r="Y946" t="s">
        <v>162</v>
      </c>
      <c r="Z946">
        <v>2022</v>
      </c>
      <c r="AA946">
        <v>2022</v>
      </c>
      <c r="AB946">
        <v>0.75429385664299997</v>
      </c>
      <c r="AC946">
        <v>1.5085877132900001</v>
      </c>
      <c r="AD946" t="s">
        <v>162</v>
      </c>
      <c r="AE946" t="s">
        <v>154</v>
      </c>
      <c r="AF946" t="s">
        <v>154</v>
      </c>
      <c r="AG946" t="s">
        <v>154</v>
      </c>
      <c r="AH946" t="s">
        <v>154</v>
      </c>
      <c r="AI946" t="s">
        <v>154</v>
      </c>
      <c r="AJ946" t="s">
        <v>154</v>
      </c>
      <c r="AK946" t="s">
        <v>154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U946" t="s">
        <v>213</v>
      </c>
      <c r="AV946" t="s">
        <v>165</v>
      </c>
      <c r="AW946" t="s">
        <v>154</v>
      </c>
      <c r="AX946">
        <v>0</v>
      </c>
      <c r="AY946" t="s">
        <v>1700</v>
      </c>
      <c r="AZ946">
        <v>30</v>
      </c>
    </row>
    <row r="947" spans="1:52" x14ac:dyDescent="0.25">
      <c r="A947">
        <v>936</v>
      </c>
      <c r="B947" s="74" t="s">
        <v>856</v>
      </c>
      <c r="C947" t="s">
        <v>203</v>
      </c>
      <c r="D947" t="s">
        <v>857</v>
      </c>
      <c r="E947" t="s">
        <v>172</v>
      </c>
      <c r="F947" t="s">
        <v>154</v>
      </c>
      <c r="G947" t="s">
        <v>162</v>
      </c>
      <c r="H947">
        <v>0</v>
      </c>
      <c r="I947" t="s">
        <v>794</v>
      </c>
      <c r="J947">
        <v>0</v>
      </c>
      <c r="K947">
        <v>0</v>
      </c>
      <c r="L947" t="s">
        <v>818</v>
      </c>
      <c r="M947">
        <v>0</v>
      </c>
      <c r="N947" t="s">
        <v>11</v>
      </c>
      <c r="O947" t="s">
        <v>11</v>
      </c>
      <c r="P947" t="s">
        <v>175</v>
      </c>
      <c r="Q947" t="s">
        <v>162</v>
      </c>
      <c r="R947" t="s">
        <v>1701</v>
      </c>
      <c r="S947">
        <v>2022</v>
      </c>
      <c r="T947">
        <v>0</v>
      </c>
      <c r="U947" t="s">
        <v>162</v>
      </c>
      <c r="V947" t="s">
        <v>162</v>
      </c>
      <c r="W947">
        <v>0</v>
      </c>
      <c r="X947">
        <v>0</v>
      </c>
      <c r="Y947" t="s">
        <v>162</v>
      </c>
      <c r="Z947">
        <v>2022</v>
      </c>
      <c r="AA947">
        <v>2022</v>
      </c>
      <c r="AB947">
        <v>0.93975733389399996</v>
      </c>
      <c r="AC947">
        <v>1.8795146677900001</v>
      </c>
      <c r="AD947" t="s">
        <v>154</v>
      </c>
      <c r="AE947" t="s">
        <v>154</v>
      </c>
      <c r="AF947" t="s">
        <v>154</v>
      </c>
      <c r="AG947" t="s">
        <v>154</v>
      </c>
      <c r="AH947" t="s">
        <v>154</v>
      </c>
      <c r="AI947" t="s">
        <v>154</v>
      </c>
      <c r="AJ947" t="s">
        <v>154</v>
      </c>
      <c r="AK947" t="s">
        <v>162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U947" t="s">
        <v>1702</v>
      </c>
      <c r="AV947" t="s">
        <v>165</v>
      </c>
      <c r="AW947" t="s">
        <v>154</v>
      </c>
      <c r="AX947">
        <v>0</v>
      </c>
      <c r="AY947" t="s">
        <v>1700</v>
      </c>
      <c r="AZ947">
        <v>30</v>
      </c>
    </row>
    <row r="948" spans="1:52" x14ac:dyDescent="0.25">
      <c r="A948">
        <v>937</v>
      </c>
      <c r="B948" s="74" t="s">
        <v>448</v>
      </c>
      <c r="C948" t="s">
        <v>180</v>
      </c>
      <c r="D948" t="s">
        <v>449</v>
      </c>
      <c r="E948" t="s">
        <v>182</v>
      </c>
      <c r="F948" t="s">
        <v>154</v>
      </c>
      <c r="G948">
        <v>7600</v>
      </c>
      <c r="H948">
        <v>7601</v>
      </c>
      <c r="I948" t="s">
        <v>1703</v>
      </c>
      <c r="J948">
        <v>6700</v>
      </c>
      <c r="K948">
        <v>6701</v>
      </c>
      <c r="L948" t="s">
        <v>967</v>
      </c>
      <c r="M948">
        <v>0</v>
      </c>
      <c r="N948" t="s">
        <v>11</v>
      </c>
      <c r="O948" t="s">
        <v>11</v>
      </c>
      <c r="P948" t="s">
        <v>175</v>
      </c>
      <c r="Q948" t="s">
        <v>162</v>
      </c>
      <c r="R948" t="s">
        <v>1701</v>
      </c>
      <c r="S948">
        <v>2022</v>
      </c>
      <c r="T948">
        <v>0</v>
      </c>
      <c r="U948" t="s">
        <v>162</v>
      </c>
      <c r="V948" t="s">
        <v>162</v>
      </c>
      <c r="W948">
        <v>0</v>
      </c>
      <c r="X948">
        <v>0</v>
      </c>
      <c r="Y948" t="s">
        <v>162</v>
      </c>
      <c r="Z948">
        <v>2022</v>
      </c>
      <c r="AA948">
        <v>2022</v>
      </c>
      <c r="AB948">
        <v>1.1311123402700001</v>
      </c>
      <c r="AC948">
        <v>2.2622246805400001</v>
      </c>
      <c r="AD948" t="s">
        <v>154</v>
      </c>
      <c r="AE948" t="s">
        <v>154</v>
      </c>
      <c r="AF948" t="s">
        <v>154</v>
      </c>
      <c r="AG948" t="s">
        <v>154</v>
      </c>
      <c r="AH948" t="s">
        <v>154</v>
      </c>
      <c r="AI948" t="s">
        <v>154</v>
      </c>
      <c r="AJ948" t="s">
        <v>154</v>
      </c>
      <c r="AK948" t="s">
        <v>154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>
        <v>0</v>
      </c>
      <c r="AU948" t="s">
        <v>1702</v>
      </c>
      <c r="AV948" t="s">
        <v>165</v>
      </c>
      <c r="AW948" t="s">
        <v>154</v>
      </c>
      <c r="AX948">
        <v>0</v>
      </c>
      <c r="AY948" t="s">
        <v>1700</v>
      </c>
      <c r="AZ948">
        <v>30</v>
      </c>
    </row>
    <row r="949" spans="1:52" x14ac:dyDescent="0.25">
      <c r="A949">
        <v>938</v>
      </c>
      <c r="B949" s="74" t="s">
        <v>1704</v>
      </c>
      <c r="C949" t="s">
        <v>180</v>
      </c>
      <c r="D949" t="s">
        <v>1705</v>
      </c>
      <c r="E949" t="s">
        <v>216</v>
      </c>
      <c r="F949" t="s">
        <v>154</v>
      </c>
      <c r="G949">
        <v>8300</v>
      </c>
      <c r="H949">
        <v>8301</v>
      </c>
      <c r="I949" t="s">
        <v>788</v>
      </c>
      <c r="J949">
        <v>7900</v>
      </c>
      <c r="K949">
        <v>7901</v>
      </c>
      <c r="L949" t="s">
        <v>309</v>
      </c>
      <c r="M949">
        <v>0</v>
      </c>
      <c r="N949" t="s">
        <v>11</v>
      </c>
      <c r="O949" t="s">
        <v>11</v>
      </c>
      <c r="P949" t="s">
        <v>175</v>
      </c>
      <c r="Q949" t="s">
        <v>162</v>
      </c>
      <c r="R949" t="s">
        <v>1706</v>
      </c>
      <c r="S949">
        <v>2022</v>
      </c>
      <c r="T949">
        <v>0</v>
      </c>
      <c r="U949" t="s">
        <v>162</v>
      </c>
      <c r="V949" t="s">
        <v>162</v>
      </c>
      <c r="W949">
        <v>0</v>
      </c>
      <c r="X949">
        <v>0</v>
      </c>
      <c r="Y949" t="s">
        <v>162</v>
      </c>
      <c r="Z949">
        <v>2022</v>
      </c>
      <c r="AA949">
        <v>2022</v>
      </c>
      <c r="AB949">
        <v>0.50181509992499995</v>
      </c>
      <c r="AC949">
        <v>1.0036301998499999</v>
      </c>
      <c r="AD949" t="s">
        <v>154</v>
      </c>
      <c r="AE949" t="s">
        <v>154</v>
      </c>
      <c r="AF949" t="s">
        <v>154</v>
      </c>
      <c r="AG949" t="s">
        <v>154</v>
      </c>
      <c r="AH949" t="s">
        <v>154</v>
      </c>
      <c r="AI949" t="s">
        <v>154</v>
      </c>
      <c r="AJ949" t="s">
        <v>154</v>
      </c>
      <c r="AK949" t="s">
        <v>154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U949" t="s">
        <v>1702</v>
      </c>
      <c r="AV949" t="s">
        <v>165</v>
      </c>
      <c r="AW949" t="s">
        <v>154</v>
      </c>
      <c r="AX949">
        <v>0</v>
      </c>
      <c r="AY949" t="s">
        <v>1700</v>
      </c>
      <c r="AZ949">
        <v>30</v>
      </c>
    </row>
    <row r="950" spans="1:52" x14ac:dyDescent="0.25">
      <c r="A950">
        <v>939</v>
      </c>
      <c r="B950" s="74" t="s">
        <v>480</v>
      </c>
      <c r="C950" t="s">
        <v>163</v>
      </c>
      <c r="D950" t="s">
        <v>481</v>
      </c>
      <c r="E950" t="s">
        <v>216</v>
      </c>
      <c r="F950" t="s">
        <v>154</v>
      </c>
      <c r="G950">
        <v>2600</v>
      </c>
      <c r="H950">
        <v>2601</v>
      </c>
      <c r="I950" t="s">
        <v>230</v>
      </c>
      <c r="J950">
        <v>2800</v>
      </c>
      <c r="K950">
        <v>2801</v>
      </c>
      <c r="L950" t="s">
        <v>653</v>
      </c>
      <c r="M950">
        <v>2</v>
      </c>
      <c r="N950" t="s">
        <v>9</v>
      </c>
      <c r="O950" t="s">
        <v>9</v>
      </c>
      <c r="P950" t="s">
        <v>157</v>
      </c>
      <c r="Q950" t="s">
        <v>162</v>
      </c>
      <c r="R950" t="s">
        <v>283</v>
      </c>
      <c r="S950">
        <v>2014</v>
      </c>
      <c r="T950">
        <v>9</v>
      </c>
      <c r="U950" t="s">
        <v>162</v>
      </c>
      <c r="V950" t="s">
        <v>540</v>
      </c>
      <c r="W950">
        <v>2017</v>
      </c>
      <c r="X950">
        <v>7</v>
      </c>
      <c r="Y950" t="s">
        <v>123</v>
      </c>
      <c r="Z950">
        <v>2017</v>
      </c>
      <c r="AA950">
        <v>2017</v>
      </c>
      <c r="AB950">
        <v>0.20621753556899999</v>
      </c>
      <c r="AC950">
        <v>0.41243600000000002</v>
      </c>
      <c r="AD950" t="s">
        <v>154</v>
      </c>
      <c r="AE950" t="s">
        <v>163</v>
      </c>
      <c r="AF950" t="s">
        <v>154</v>
      </c>
      <c r="AG950" t="s">
        <v>154</v>
      </c>
      <c r="AH950" t="s">
        <v>154</v>
      </c>
      <c r="AI950" t="s">
        <v>154</v>
      </c>
      <c r="AJ950" t="s">
        <v>154</v>
      </c>
      <c r="AK950" t="s">
        <v>154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U950" t="s">
        <v>195</v>
      </c>
      <c r="AV950" t="s">
        <v>165</v>
      </c>
      <c r="AW950" t="s">
        <v>163</v>
      </c>
      <c r="AX950">
        <v>2</v>
      </c>
      <c r="AY950" t="s">
        <v>167</v>
      </c>
      <c r="AZ950">
        <v>30</v>
      </c>
    </row>
    <row r="951" spans="1:52" x14ac:dyDescent="0.25">
      <c r="A951">
        <v>940</v>
      </c>
      <c r="B951" s="74" t="s">
        <v>1707</v>
      </c>
      <c r="C951" t="s">
        <v>180</v>
      </c>
      <c r="D951" t="s">
        <v>1708</v>
      </c>
      <c r="E951" t="s">
        <v>216</v>
      </c>
      <c r="F951" t="s">
        <v>154</v>
      </c>
      <c r="G951">
        <v>2200</v>
      </c>
      <c r="H951">
        <v>2201</v>
      </c>
      <c r="I951" t="s">
        <v>248</v>
      </c>
      <c r="J951">
        <v>1850</v>
      </c>
      <c r="K951">
        <v>1850</v>
      </c>
      <c r="L951" t="s">
        <v>341</v>
      </c>
      <c r="M951">
        <v>0</v>
      </c>
      <c r="N951" t="s">
        <v>15</v>
      </c>
      <c r="O951" t="s">
        <v>15</v>
      </c>
      <c r="P951" t="s">
        <v>175</v>
      </c>
      <c r="Q951" t="s">
        <v>1709</v>
      </c>
      <c r="R951" t="s">
        <v>162</v>
      </c>
      <c r="S951">
        <v>2022</v>
      </c>
      <c r="T951">
        <v>11</v>
      </c>
      <c r="U951" t="s">
        <v>162</v>
      </c>
      <c r="V951" t="s">
        <v>162</v>
      </c>
      <c r="W951">
        <v>2022</v>
      </c>
      <c r="X951">
        <v>11</v>
      </c>
      <c r="Y951" t="s">
        <v>162</v>
      </c>
      <c r="Z951">
        <v>2022</v>
      </c>
      <c r="AA951">
        <v>0</v>
      </c>
      <c r="AB951">
        <v>0.32177794605499999</v>
      </c>
      <c r="AC951">
        <v>0.64355600000000002</v>
      </c>
      <c r="AD951" t="s">
        <v>154</v>
      </c>
      <c r="AE951" t="s">
        <v>154</v>
      </c>
      <c r="AF951" t="s">
        <v>154</v>
      </c>
      <c r="AG951" t="s">
        <v>154</v>
      </c>
      <c r="AH951" t="s">
        <v>154</v>
      </c>
      <c r="AI951" t="s">
        <v>154</v>
      </c>
      <c r="AJ951" t="s">
        <v>154</v>
      </c>
      <c r="AK951" t="s">
        <v>154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U951" t="s">
        <v>195</v>
      </c>
      <c r="AV951" t="s">
        <v>165</v>
      </c>
      <c r="AW951" t="s">
        <v>154</v>
      </c>
      <c r="AX951">
        <v>0</v>
      </c>
      <c r="AY951" t="s">
        <v>275</v>
      </c>
      <c r="AZ951">
        <v>30</v>
      </c>
    </row>
    <row r="952" spans="1:52" x14ac:dyDescent="0.25">
      <c r="A952">
        <v>941</v>
      </c>
      <c r="B952" s="74" t="s">
        <v>1707</v>
      </c>
      <c r="C952" t="s">
        <v>180</v>
      </c>
      <c r="D952" t="s">
        <v>1708</v>
      </c>
      <c r="E952" t="s">
        <v>216</v>
      </c>
      <c r="F952" t="s">
        <v>154</v>
      </c>
      <c r="G952">
        <v>1850</v>
      </c>
      <c r="H952">
        <v>1851</v>
      </c>
      <c r="I952" t="s">
        <v>1710</v>
      </c>
      <c r="J952">
        <v>0</v>
      </c>
      <c r="K952">
        <v>0</v>
      </c>
      <c r="L952" t="s">
        <v>162</v>
      </c>
      <c r="M952">
        <v>0</v>
      </c>
      <c r="N952" t="s">
        <v>11</v>
      </c>
      <c r="O952" t="s">
        <v>11</v>
      </c>
      <c r="P952" t="s">
        <v>175</v>
      </c>
      <c r="Q952" t="s">
        <v>1709</v>
      </c>
      <c r="R952" t="s">
        <v>162</v>
      </c>
      <c r="S952">
        <v>2022</v>
      </c>
      <c r="T952">
        <v>11</v>
      </c>
      <c r="U952" t="s">
        <v>162</v>
      </c>
      <c r="V952" t="s">
        <v>162</v>
      </c>
      <c r="W952">
        <v>2022</v>
      </c>
      <c r="X952">
        <v>11</v>
      </c>
      <c r="Y952" t="s">
        <v>162</v>
      </c>
      <c r="Z952">
        <v>2022</v>
      </c>
      <c r="AA952">
        <v>0</v>
      </c>
      <c r="AB952">
        <v>0.71198871012700005</v>
      </c>
      <c r="AC952">
        <v>1.423978</v>
      </c>
      <c r="AD952" t="s">
        <v>154</v>
      </c>
      <c r="AE952" t="s">
        <v>154</v>
      </c>
      <c r="AF952" t="s">
        <v>154</v>
      </c>
      <c r="AG952" t="s">
        <v>154</v>
      </c>
      <c r="AH952" t="s">
        <v>154</v>
      </c>
      <c r="AI952" t="s">
        <v>154</v>
      </c>
      <c r="AJ952" t="s">
        <v>154</v>
      </c>
      <c r="AK952" t="s">
        <v>154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U952" t="s">
        <v>195</v>
      </c>
      <c r="AV952" t="s">
        <v>165</v>
      </c>
      <c r="AW952" t="s">
        <v>154</v>
      </c>
      <c r="AX952">
        <v>0</v>
      </c>
      <c r="AY952" t="s">
        <v>275</v>
      </c>
      <c r="AZ952">
        <v>30</v>
      </c>
    </row>
    <row r="953" spans="1:52" x14ac:dyDescent="0.25">
      <c r="A953">
        <v>942</v>
      </c>
      <c r="B953" s="74" t="s">
        <v>1375</v>
      </c>
      <c r="C953" t="s">
        <v>180</v>
      </c>
      <c r="D953" t="s">
        <v>1376</v>
      </c>
      <c r="E953" t="s">
        <v>216</v>
      </c>
      <c r="F953" t="s">
        <v>162</v>
      </c>
      <c r="G953">
        <v>1901</v>
      </c>
      <c r="H953">
        <v>1900</v>
      </c>
      <c r="I953" t="s">
        <v>410</v>
      </c>
      <c r="J953">
        <v>1701</v>
      </c>
      <c r="K953">
        <v>1700</v>
      </c>
      <c r="L953" t="s">
        <v>1043</v>
      </c>
      <c r="M953">
        <v>4</v>
      </c>
      <c r="N953" t="s">
        <v>9</v>
      </c>
      <c r="O953" t="s">
        <v>9</v>
      </c>
      <c r="P953" t="s">
        <v>175</v>
      </c>
      <c r="Q953" t="s">
        <v>162</v>
      </c>
      <c r="R953" t="s">
        <v>1378</v>
      </c>
      <c r="S953">
        <v>2017</v>
      </c>
      <c r="T953">
        <v>8</v>
      </c>
      <c r="U953" t="s">
        <v>162</v>
      </c>
      <c r="V953" t="s">
        <v>162</v>
      </c>
      <c r="W953">
        <v>0</v>
      </c>
      <c r="X953">
        <v>0</v>
      </c>
      <c r="Y953" t="s">
        <v>162</v>
      </c>
      <c r="Z953">
        <v>2017</v>
      </c>
      <c r="AA953">
        <v>2017</v>
      </c>
      <c r="AB953">
        <v>7.7667966608199995E-2</v>
      </c>
      <c r="AC953">
        <v>0.155336</v>
      </c>
      <c r="AD953" t="s">
        <v>162</v>
      </c>
      <c r="AE953" t="s">
        <v>154</v>
      </c>
      <c r="AF953" t="s">
        <v>154</v>
      </c>
      <c r="AG953" t="s">
        <v>154</v>
      </c>
      <c r="AH953" t="s">
        <v>162</v>
      </c>
      <c r="AI953" t="s">
        <v>162</v>
      </c>
      <c r="AJ953" t="s">
        <v>162</v>
      </c>
      <c r="AK953" t="s">
        <v>162</v>
      </c>
      <c r="AL953">
        <v>0</v>
      </c>
      <c r="AM953">
        <v>0</v>
      </c>
      <c r="AN953">
        <v>0</v>
      </c>
      <c r="AO953">
        <v>0</v>
      </c>
      <c r="AP953">
        <v>0.5</v>
      </c>
      <c r="AQ953">
        <v>0</v>
      </c>
      <c r="AR953">
        <v>0</v>
      </c>
      <c r="AS953">
        <v>0.5</v>
      </c>
      <c r="AU953" t="s">
        <v>195</v>
      </c>
      <c r="AV953" t="s">
        <v>165</v>
      </c>
      <c r="AW953" t="s">
        <v>163</v>
      </c>
      <c r="AX953">
        <v>2</v>
      </c>
      <c r="AY953" t="s">
        <v>167</v>
      </c>
      <c r="AZ953" t="s">
        <v>162</v>
      </c>
    </row>
    <row r="954" spans="1:52" x14ac:dyDescent="0.25">
      <c r="A954">
        <v>943</v>
      </c>
      <c r="B954" s="74" t="s">
        <v>196</v>
      </c>
      <c r="C954" t="s">
        <v>180</v>
      </c>
      <c r="D954" t="s">
        <v>197</v>
      </c>
      <c r="E954" t="s">
        <v>172</v>
      </c>
      <c r="F954" t="s">
        <v>154</v>
      </c>
      <c r="G954">
        <v>1600</v>
      </c>
      <c r="H954">
        <v>1601</v>
      </c>
      <c r="I954" t="s">
        <v>1377</v>
      </c>
      <c r="J954">
        <v>900</v>
      </c>
      <c r="K954">
        <v>901</v>
      </c>
      <c r="L954" t="s">
        <v>1446</v>
      </c>
      <c r="M954">
        <v>0</v>
      </c>
      <c r="N954" t="s">
        <v>7</v>
      </c>
      <c r="O954" t="s">
        <v>7</v>
      </c>
      <c r="P954" t="s">
        <v>175</v>
      </c>
      <c r="Q954" t="s">
        <v>154</v>
      </c>
      <c r="R954" t="s">
        <v>1378</v>
      </c>
      <c r="S954">
        <v>2022</v>
      </c>
      <c r="T954">
        <v>11</v>
      </c>
      <c r="U954" t="s">
        <v>162</v>
      </c>
      <c r="V954" t="s">
        <v>162</v>
      </c>
      <c r="W954">
        <v>0</v>
      </c>
      <c r="X954">
        <v>0</v>
      </c>
      <c r="Y954" t="s">
        <v>162</v>
      </c>
      <c r="Z954">
        <v>2022</v>
      </c>
      <c r="AA954">
        <v>2022</v>
      </c>
      <c r="AB954">
        <v>0.78171805733999999</v>
      </c>
      <c r="AC954">
        <v>1.563436</v>
      </c>
      <c r="AD954" t="s">
        <v>154</v>
      </c>
      <c r="AE954" t="s">
        <v>154</v>
      </c>
      <c r="AF954" t="s">
        <v>154</v>
      </c>
      <c r="AG954" t="s">
        <v>154</v>
      </c>
      <c r="AH954" t="s">
        <v>154</v>
      </c>
      <c r="AI954" t="s">
        <v>1130</v>
      </c>
      <c r="AJ954" t="s">
        <v>154</v>
      </c>
      <c r="AK954" t="s">
        <v>162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U954" t="s">
        <v>195</v>
      </c>
      <c r="AV954" t="s">
        <v>165</v>
      </c>
      <c r="AW954" t="s">
        <v>154</v>
      </c>
      <c r="AX954">
        <v>0</v>
      </c>
      <c r="AY954" t="s">
        <v>167</v>
      </c>
      <c r="AZ954" t="s">
        <v>162</v>
      </c>
    </row>
    <row r="955" spans="1:52" x14ac:dyDescent="0.25">
      <c r="A955">
        <v>944</v>
      </c>
      <c r="B955" s="74" t="s">
        <v>196</v>
      </c>
      <c r="C955" t="s">
        <v>180</v>
      </c>
      <c r="D955" t="s">
        <v>197</v>
      </c>
      <c r="E955" t="s">
        <v>172</v>
      </c>
      <c r="F955" t="s">
        <v>154</v>
      </c>
      <c r="G955">
        <v>900</v>
      </c>
      <c r="H955">
        <v>901</v>
      </c>
      <c r="I955" t="s">
        <v>1446</v>
      </c>
      <c r="J955">
        <v>550</v>
      </c>
      <c r="K955">
        <v>551</v>
      </c>
      <c r="L955" t="s">
        <v>292</v>
      </c>
      <c r="M955">
        <v>0</v>
      </c>
      <c r="N955" t="s">
        <v>15</v>
      </c>
      <c r="O955" t="s">
        <v>15</v>
      </c>
      <c r="P955" t="s">
        <v>175</v>
      </c>
      <c r="Q955" t="s">
        <v>162</v>
      </c>
      <c r="R955" t="s">
        <v>1378</v>
      </c>
      <c r="S955">
        <v>2022</v>
      </c>
      <c r="T955">
        <v>11</v>
      </c>
      <c r="U955" t="s">
        <v>162</v>
      </c>
      <c r="V955" t="s">
        <v>162</v>
      </c>
      <c r="W955">
        <v>0</v>
      </c>
      <c r="X955">
        <v>0</v>
      </c>
      <c r="Y955" t="s">
        <v>162</v>
      </c>
      <c r="Z955">
        <v>2022</v>
      </c>
      <c r="AA955">
        <v>2022</v>
      </c>
      <c r="AB955">
        <v>0.24696691008999999</v>
      </c>
      <c r="AC955">
        <v>0.49393399999999998</v>
      </c>
      <c r="AD955" t="s">
        <v>154</v>
      </c>
      <c r="AE955" t="s">
        <v>154</v>
      </c>
      <c r="AF955" t="s">
        <v>154</v>
      </c>
      <c r="AG955" t="s">
        <v>154</v>
      </c>
      <c r="AH955" t="s">
        <v>154</v>
      </c>
      <c r="AI955" t="s">
        <v>154</v>
      </c>
      <c r="AJ955" t="s">
        <v>154</v>
      </c>
      <c r="AK955" t="s">
        <v>154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U955" t="s">
        <v>195</v>
      </c>
      <c r="AV955" t="s">
        <v>165</v>
      </c>
      <c r="AW955" t="s">
        <v>154</v>
      </c>
      <c r="AX955">
        <v>0</v>
      </c>
      <c r="AY955" t="s">
        <v>167</v>
      </c>
      <c r="AZ955" t="s">
        <v>162</v>
      </c>
    </row>
    <row r="956" spans="1:52" x14ac:dyDescent="0.25">
      <c r="A956">
        <v>945</v>
      </c>
      <c r="B956" s="74" t="s">
        <v>480</v>
      </c>
      <c r="C956" t="s">
        <v>163</v>
      </c>
      <c r="D956" t="s">
        <v>481</v>
      </c>
      <c r="E956" t="s">
        <v>216</v>
      </c>
      <c r="F956" t="s">
        <v>154</v>
      </c>
      <c r="G956">
        <v>4800</v>
      </c>
      <c r="H956">
        <v>4801</v>
      </c>
      <c r="I956" t="s">
        <v>588</v>
      </c>
      <c r="J956">
        <v>5200</v>
      </c>
      <c r="K956">
        <v>5201</v>
      </c>
      <c r="L956" t="s">
        <v>784</v>
      </c>
      <c r="M956">
        <v>0</v>
      </c>
      <c r="N956" t="s">
        <v>11</v>
      </c>
      <c r="O956" t="s">
        <v>327</v>
      </c>
      <c r="P956" t="s">
        <v>175</v>
      </c>
      <c r="Q956" t="s">
        <v>668</v>
      </c>
      <c r="R956" t="s">
        <v>669</v>
      </c>
      <c r="S956">
        <v>2022</v>
      </c>
      <c r="T956">
        <v>11</v>
      </c>
      <c r="U956" t="s">
        <v>162</v>
      </c>
      <c r="V956" t="s">
        <v>162</v>
      </c>
      <c r="W956">
        <v>0</v>
      </c>
      <c r="X956">
        <v>0</v>
      </c>
      <c r="Y956" t="s">
        <v>162</v>
      </c>
      <c r="Z956">
        <v>2022</v>
      </c>
      <c r="AA956">
        <v>0</v>
      </c>
      <c r="AB956">
        <v>0.503653346487</v>
      </c>
      <c r="AC956">
        <v>1.007306</v>
      </c>
      <c r="AD956" t="s">
        <v>154</v>
      </c>
      <c r="AE956" t="s">
        <v>154</v>
      </c>
      <c r="AF956" t="s">
        <v>154</v>
      </c>
      <c r="AG956" t="s">
        <v>154</v>
      </c>
      <c r="AH956" t="s">
        <v>154</v>
      </c>
      <c r="AI956" t="s">
        <v>154</v>
      </c>
      <c r="AJ956" t="s">
        <v>154</v>
      </c>
      <c r="AK956" t="s">
        <v>154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U956" t="s">
        <v>426</v>
      </c>
      <c r="AV956" t="s">
        <v>165</v>
      </c>
      <c r="AW956" t="s">
        <v>154</v>
      </c>
      <c r="AX956">
        <v>2</v>
      </c>
      <c r="AY956" t="s">
        <v>167</v>
      </c>
      <c r="AZ956">
        <v>30</v>
      </c>
    </row>
    <row r="957" spans="1:52" x14ac:dyDescent="0.25">
      <c r="A957">
        <v>946</v>
      </c>
      <c r="B957" s="74" t="s">
        <v>1304</v>
      </c>
      <c r="C957" t="s">
        <v>180</v>
      </c>
      <c r="D957" t="s">
        <v>1305</v>
      </c>
      <c r="E957" t="s">
        <v>222</v>
      </c>
      <c r="F957" t="s">
        <v>154</v>
      </c>
      <c r="G957">
        <v>2</v>
      </c>
      <c r="H957">
        <v>1</v>
      </c>
      <c r="I957" t="s">
        <v>293</v>
      </c>
      <c r="J957">
        <v>33</v>
      </c>
      <c r="K957">
        <v>34</v>
      </c>
      <c r="L957" t="s">
        <v>655</v>
      </c>
      <c r="M957">
        <v>3</v>
      </c>
      <c r="N957" t="s">
        <v>11</v>
      </c>
      <c r="O957" t="s">
        <v>15</v>
      </c>
      <c r="P957" t="s">
        <v>157</v>
      </c>
      <c r="Q957" t="s">
        <v>154</v>
      </c>
      <c r="R957" t="s">
        <v>1354</v>
      </c>
      <c r="S957">
        <v>2022</v>
      </c>
      <c r="T957">
        <v>11</v>
      </c>
      <c r="U957" t="s">
        <v>162</v>
      </c>
      <c r="V957" t="s">
        <v>162</v>
      </c>
      <c r="W957">
        <v>0</v>
      </c>
      <c r="X957">
        <v>0</v>
      </c>
      <c r="Y957" t="s">
        <v>162</v>
      </c>
      <c r="Z957">
        <v>2022</v>
      </c>
      <c r="AA957">
        <v>2022</v>
      </c>
      <c r="AB957">
        <v>7.6519376152600002E-2</v>
      </c>
      <c r="AC957">
        <v>0.15303800000000001</v>
      </c>
      <c r="AD957" t="s">
        <v>154</v>
      </c>
      <c r="AE957" t="s">
        <v>154</v>
      </c>
      <c r="AF957" t="s">
        <v>154</v>
      </c>
      <c r="AG957" t="s">
        <v>154</v>
      </c>
      <c r="AH957" t="s">
        <v>154</v>
      </c>
      <c r="AI957" t="s">
        <v>154</v>
      </c>
      <c r="AJ957" t="s">
        <v>154</v>
      </c>
      <c r="AK957" t="s">
        <v>154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U957" t="s">
        <v>426</v>
      </c>
      <c r="AV957" t="s">
        <v>165</v>
      </c>
      <c r="AW957" t="s">
        <v>163</v>
      </c>
      <c r="AX957">
        <v>2</v>
      </c>
      <c r="AY957" t="s">
        <v>167</v>
      </c>
      <c r="AZ957">
        <v>30</v>
      </c>
    </row>
    <row r="958" spans="1:52" x14ac:dyDescent="0.25">
      <c r="A958">
        <v>947</v>
      </c>
      <c r="B958" s="74" t="s">
        <v>1711</v>
      </c>
      <c r="C958" t="s">
        <v>180</v>
      </c>
      <c r="D958" t="s">
        <v>1712</v>
      </c>
      <c r="E958" t="s">
        <v>216</v>
      </c>
      <c r="F958" t="s">
        <v>154</v>
      </c>
      <c r="G958">
        <v>10000</v>
      </c>
      <c r="H958">
        <v>10001</v>
      </c>
      <c r="I958" t="s">
        <v>1713</v>
      </c>
      <c r="J958">
        <v>9400</v>
      </c>
      <c r="K958">
        <v>9401</v>
      </c>
      <c r="L958" t="s">
        <v>1486</v>
      </c>
      <c r="M958">
        <v>0</v>
      </c>
      <c r="N958" t="s">
        <v>9</v>
      </c>
      <c r="O958" t="s">
        <v>9</v>
      </c>
      <c r="P958" t="s">
        <v>175</v>
      </c>
      <c r="Q958" t="s">
        <v>154</v>
      </c>
      <c r="R958" t="s">
        <v>1354</v>
      </c>
      <c r="S958">
        <v>2022</v>
      </c>
      <c r="T958">
        <v>11</v>
      </c>
      <c r="U958" t="s">
        <v>162</v>
      </c>
      <c r="V958" t="s">
        <v>162</v>
      </c>
      <c r="W958">
        <v>0</v>
      </c>
      <c r="X958">
        <v>0</v>
      </c>
      <c r="Y958" t="s">
        <v>162</v>
      </c>
      <c r="Z958">
        <v>2022</v>
      </c>
      <c r="AA958">
        <v>2022</v>
      </c>
      <c r="AB958">
        <v>0.76318341778800003</v>
      </c>
      <c r="AC958">
        <v>1.5263659999999999</v>
      </c>
      <c r="AD958" t="s">
        <v>154</v>
      </c>
      <c r="AE958" t="s">
        <v>154</v>
      </c>
      <c r="AF958" t="s">
        <v>154</v>
      </c>
      <c r="AG958" t="s">
        <v>154</v>
      </c>
      <c r="AH958" t="s">
        <v>154</v>
      </c>
      <c r="AI958" t="s">
        <v>154</v>
      </c>
      <c r="AJ958" t="s">
        <v>154</v>
      </c>
      <c r="AK958" t="s">
        <v>154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U958" t="s">
        <v>426</v>
      </c>
      <c r="AV958" t="s">
        <v>165</v>
      </c>
      <c r="AW958" t="s">
        <v>154</v>
      </c>
      <c r="AX958">
        <v>0</v>
      </c>
      <c r="AY958" t="s">
        <v>167</v>
      </c>
      <c r="AZ958">
        <v>30</v>
      </c>
    </row>
    <row r="959" spans="1:52" x14ac:dyDescent="0.25">
      <c r="A959">
        <v>948</v>
      </c>
      <c r="B959" s="74" t="s">
        <v>1618</v>
      </c>
      <c r="C959" t="s">
        <v>151</v>
      </c>
      <c r="D959" t="s">
        <v>1619</v>
      </c>
      <c r="E959" t="s">
        <v>216</v>
      </c>
      <c r="F959" t="s">
        <v>154</v>
      </c>
      <c r="G959">
        <v>0</v>
      </c>
      <c r="H959">
        <v>0</v>
      </c>
      <c r="I959" t="s">
        <v>848</v>
      </c>
      <c r="J959">
        <v>2400</v>
      </c>
      <c r="K959">
        <v>2401</v>
      </c>
      <c r="L959" t="s">
        <v>378</v>
      </c>
      <c r="M959">
        <v>0</v>
      </c>
      <c r="N959" t="s">
        <v>11</v>
      </c>
      <c r="O959" t="s">
        <v>1714</v>
      </c>
      <c r="P959" t="s">
        <v>175</v>
      </c>
      <c r="Q959" t="s">
        <v>1715</v>
      </c>
      <c r="R959" t="s">
        <v>162</v>
      </c>
      <c r="S959">
        <v>2022</v>
      </c>
      <c r="T959">
        <v>11</v>
      </c>
      <c r="U959" t="s">
        <v>162</v>
      </c>
      <c r="V959" t="s">
        <v>162</v>
      </c>
      <c r="W959">
        <v>0</v>
      </c>
      <c r="X959">
        <v>0</v>
      </c>
      <c r="Y959" t="s">
        <v>162</v>
      </c>
      <c r="Z959">
        <v>2022</v>
      </c>
      <c r="AA959">
        <v>0</v>
      </c>
      <c r="AB959">
        <v>0.29800734825699998</v>
      </c>
      <c r="AC959">
        <v>0.59601400000000004</v>
      </c>
      <c r="AD959" t="s">
        <v>154</v>
      </c>
      <c r="AE959" t="s">
        <v>154</v>
      </c>
      <c r="AF959" t="s">
        <v>154</v>
      </c>
      <c r="AG959" t="s">
        <v>154</v>
      </c>
      <c r="AH959" t="s">
        <v>154</v>
      </c>
      <c r="AI959" t="s">
        <v>154</v>
      </c>
      <c r="AJ959" t="s">
        <v>154</v>
      </c>
      <c r="AK959" t="s">
        <v>154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U959" t="s">
        <v>426</v>
      </c>
      <c r="AV959" t="s">
        <v>165</v>
      </c>
      <c r="AW959" t="s">
        <v>154</v>
      </c>
      <c r="AX959">
        <v>0</v>
      </c>
      <c r="AY959" t="s">
        <v>167</v>
      </c>
      <c r="AZ959" t="s">
        <v>162</v>
      </c>
    </row>
    <row r="960" spans="1:52" x14ac:dyDescent="0.25">
      <c r="A960">
        <v>949</v>
      </c>
      <c r="B960" s="74" t="s">
        <v>1618</v>
      </c>
      <c r="C960" t="s">
        <v>151</v>
      </c>
      <c r="D960" t="s">
        <v>1619</v>
      </c>
      <c r="E960" t="s">
        <v>216</v>
      </c>
      <c r="F960" t="s">
        <v>154</v>
      </c>
      <c r="G960">
        <v>2800</v>
      </c>
      <c r="H960">
        <v>2801</v>
      </c>
      <c r="I960" t="s">
        <v>443</v>
      </c>
      <c r="J960">
        <v>0</v>
      </c>
      <c r="K960">
        <v>0</v>
      </c>
      <c r="L960" t="s">
        <v>848</v>
      </c>
      <c r="M960">
        <v>0</v>
      </c>
      <c r="N960" t="s">
        <v>11</v>
      </c>
      <c r="O960" t="s">
        <v>1714</v>
      </c>
      <c r="P960" t="s">
        <v>175</v>
      </c>
      <c r="Q960" t="s">
        <v>1715</v>
      </c>
      <c r="R960" t="s">
        <v>162</v>
      </c>
      <c r="S960">
        <v>2022</v>
      </c>
      <c r="T960">
        <v>11</v>
      </c>
      <c r="U960" t="s">
        <v>162</v>
      </c>
      <c r="V960" t="s">
        <v>162</v>
      </c>
      <c r="W960">
        <v>0</v>
      </c>
      <c r="X960">
        <v>0</v>
      </c>
      <c r="Y960" t="s">
        <v>162</v>
      </c>
      <c r="Z960">
        <v>2022</v>
      </c>
      <c r="AA960">
        <v>0</v>
      </c>
      <c r="AB960">
        <v>0.17715304678499999</v>
      </c>
      <c r="AC960">
        <v>0.35430600000000001</v>
      </c>
      <c r="AD960" t="s">
        <v>154</v>
      </c>
      <c r="AE960" t="s">
        <v>154</v>
      </c>
      <c r="AF960" t="s">
        <v>154</v>
      </c>
      <c r="AG960" t="s">
        <v>154</v>
      </c>
      <c r="AH960" t="s">
        <v>154</v>
      </c>
      <c r="AI960" t="s">
        <v>154</v>
      </c>
      <c r="AJ960" t="s">
        <v>154</v>
      </c>
      <c r="AK960" t="s">
        <v>154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U960" t="s">
        <v>426</v>
      </c>
      <c r="AV960" t="s">
        <v>165</v>
      </c>
      <c r="AW960" t="s">
        <v>154</v>
      </c>
      <c r="AX960">
        <v>0</v>
      </c>
      <c r="AY960" t="s">
        <v>167</v>
      </c>
      <c r="AZ960" t="s">
        <v>162</v>
      </c>
    </row>
    <row r="961" spans="1:52" x14ac:dyDescent="0.25">
      <c r="A961">
        <v>950</v>
      </c>
      <c r="B961" s="74" t="s">
        <v>1618</v>
      </c>
      <c r="C961" t="s">
        <v>151</v>
      </c>
      <c r="D961" t="s">
        <v>1619</v>
      </c>
      <c r="E961" t="s">
        <v>216</v>
      </c>
      <c r="F961" t="s">
        <v>154</v>
      </c>
      <c r="G961">
        <v>0</v>
      </c>
      <c r="H961">
        <v>0</v>
      </c>
      <c r="I961" t="s">
        <v>848</v>
      </c>
      <c r="J961">
        <v>0</v>
      </c>
      <c r="K961">
        <v>0</v>
      </c>
      <c r="L961" t="s">
        <v>848</v>
      </c>
      <c r="M961">
        <v>0</v>
      </c>
      <c r="N961" t="s">
        <v>7</v>
      </c>
      <c r="O961" t="s">
        <v>7</v>
      </c>
      <c r="P961" t="s">
        <v>175</v>
      </c>
      <c r="Q961" t="s">
        <v>1715</v>
      </c>
      <c r="R961" t="s">
        <v>162</v>
      </c>
      <c r="S961">
        <v>2022</v>
      </c>
      <c r="T961">
        <v>11</v>
      </c>
      <c r="U961" t="s">
        <v>162</v>
      </c>
      <c r="V961" t="s">
        <v>162</v>
      </c>
      <c r="W961">
        <v>0</v>
      </c>
      <c r="X961">
        <v>0</v>
      </c>
      <c r="Y961" t="s">
        <v>162</v>
      </c>
      <c r="Z961">
        <v>2022</v>
      </c>
      <c r="AA961">
        <v>0</v>
      </c>
      <c r="AB961">
        <v>2.96865341523E-2</v>
      </c>
      <c r="AC961">
        <v>5.9374000000000003E-2</v>
      </c>
      <c r="AD961" t="s">
        <v>154</v>
      </c>
      <c r="AE961" t="s">
        <v>154</v>
      </c>
      <c r="AF961" t="s">
        <v>154</v>
      </c>
      <c r="AG961" t="s">
        <v>154</v>
      </c>
      <c r="AH961" t="s">
        <v>154</v>
      </c>
      <c r="AI961" t="s">
        <v>226</v>
      </c>
      <c r="AJ961" t="s">
        <v>154</v>
      </c>
      <c r="AK961" t="s">
        <v>154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U961" t="s">
        <v>426</v>
      </c>
      <c r="AV961" t="s">
        <v>165</v>
      </c>
      <c r="AW961" t="s">
        <v>166</v>
      </c>
      <c r="AX961">
        <v>0</v>
      </c>
      <c r="AY961" t="s">
        <v>167</v>
      </c>
      <c r="AZ961" t="s">
        <v>162</v>
      </c>
    </row>
    <row r="962" spans="1:52" x14ac:dyDescent="0.25">
      <c r="A962">
        <v>951</v>
      </c>
      <c r="B962" s="74" t="s">
        <v>1716</v>
      </c>
      <c r="C962" t="s">
        <v>151</v>
      </c>
      <c r="D962" t="s">
        <v>1717</v>
      </c>
      <c r="E962" t="s">
        <v>216</v>
      </c>
      <c r="F962" t="s">
        <v>154</v>
      </c>
      <c r="G962">
        <v>1600</v>
      </c>
      <c r="H962">
        <v>1601</v>
      </c>
      <c r="I962" t="s">
        <v>302</v>
      </c>
      <c r="J962">
        <v>800</v>
      </c>
      <c r="K962">
        <v>801</v>
      </c>
      <c r="L962" t="s">
        <v>258</v>
      </c>
      <c r="M962">
        <v>0</v>
      </c>
      <c r="N962" t="s">
        <v>11</v>
      </c>
      <c r="O962" t="s">
        <v>327</v>
      </c>
      <c r="P962" t="s">
        <v>175</v>
      </c>
      <c r="Q962" t="s">
        <v>162</v>
      </c>
      <c r="R962" t="s">
        <v>162</v>
      </c>
      <c r="S962">
        <v>2022</v>
      </c>
      <c r="T962">
        <v>12</v>
      </c>
      <c r="U962" t="s">
        <v>162</v>
      </c>
      <c r="V962" t="s">
        <v>162</v>
      </c>
      <c r="W962">
        <v>0</v>
      </c>
      <c r="X962">
        <v>0</v>
      </c>
      <c r="Y962" t="s">
        <v>162</v>
      </c>
      <c r="Z962">
        <v>2022</v>
      </c>
      <c r="AA962">
        <v>2022</v>
      </c>
      <c r="AB962">
        <v>0.99962707953800001</v>
      </c>
      <c r="AC962">
        <v>1.9992540000000001</v>
      </c>
      <c r="AD962" t="s">
        <v>154</v>
      </c>
      <c r="AE962" t="s">
        <v>154</v>
      </c>
      <c r="AF962" t="s">
        <v>154</v>
      </c>
      <c r="AG962" t="s">
        <v>154</v>
      </c>
      <c r="AH962" t="s">
        <v>154</v>
      </c>
      <c r="AI962" t="s">
        <v>154</v>
      </c>
      <c r="AJ962" t="s">
        <v>154</v>
      </c>
      <c r="AK962" t="s">
        <v>154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U962" t="s">
        <v>426</v>
      </c>
      <c r="AV962" t="s">
        <v>165</v>
      </c>
      <c r="AW962" t="s">
        <v>154</v>
      </c>
      <c r="AX962">
        <v>0</v>
      </c>
      <c r="AY962" t="s">
        <v>167</v>
      </c>
      <c r="AZ962">
        <v>30</v>
      </c>
    </row>
    <row r="1011" spans="1:50" x14ac:dyDescent="0.25">
      <c r="A1011" s="58" t="s">
        <v>1718</v>
      </c>
      <c r="B1011" s="77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</row>
  </sheetData>
  <conditionalFormatting sqref="AT11:AT903">
    <cfRule type="expression" dxfId="0" priority="1">
      <formula>AT11&lt;&gt;1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theme="8"/>
    <pageSetUpPr fitToPage="1"/>
  </sheetPr>
  <dimension ref="A1:R105"/>
  <sheetViews>
    <sheetView zoomScale="85" zoomScaleNormal="85" workbookViewId="0">
      <pane xSplit="1" ySplit="6" topLeftCell="B85" activePane="bottomRight" state="frozen"/>
      <selection pane="topRight" activeCell="B1" sqref="B1"/>
      <selection pane="bottomLeft" activeCell="A7" sqref="A7"/>
      <selection pane="bottomRight" activeCell="I99" sqref="I99"/>
    </sheetView>
  </sheetViews>
  <sheetFormatPr defaultColWidth="8.85546875" defaultRowHeight="15" x14ac:dyDescent="0.25"/>
  <cols>
    <col min="1" max="1" width="28.42578125" customWidth="1"/>
    <col min="2" max="9" width="11.42578125" customWidth="1"/>
    <col min="10" max="10" width="11.28515625" customWidth="1"/>
    <col min="11" max="11" width="28.42578125" customWidth="1"/>
    <col min="12" max="16" width="11.42578125" customWidth="1"/>
  </cols>
  <sheetData>
    <row r="1" spans="1:18" ht="18.75" x14ac:dyDescent="0.3">
      <c r="A1" s="7" t="s">
        <v>1719</v>
      </c>
      <c r="K1" s="7"/>
    </row>
    <row r="2" spans="1:18" x14ac:dyDescent="0.25">
      <c r="A2" t="s">
        <v>1</v>
      </c>
    </row>
    <row r="3" spans="1:18" x14ac:dyDescent="0.25">
      <c r="A3" s="56"/>
    </row>
    <row r="4" spans="1:18" ht="17.25" x14ac:dyDescent="0.4">
      <c r="B4" s="212" t="s">
        <v>1720</v>
      </c>
      <c r="C4" s="212"/>
      <c r="D4" s="210" t="s">
        <v>1721</v>
      </c>
      <c r="E4" s="212" t="s">
        <v>1722</v>
      </c>
      <c r="F4" s="212"/>
      <c r="G4" s="212"/>
      <c r="H4" s="210" t="s">
        <v>1723</v>
      </c>
      <c r="L4" s="210"/>
      <c r="M4" s="210"/>
      <c r="N4" s="210"/>
      <c r="O4" s="210"/>
    </row>
    <row r="5" spans="1:18" x14ac:dyDescent="0.25">
      <c r="B5" s="19">
        <v>1</v>
      </c>
      <c r="C5" s="19">
        <v>2</v>
      </c>
      <c r="D5" s="19">
        <v>3</v>
      </c>
      <c r="E5" s="19">
        <v>6</v>
      </c>
      <c r="F5" s="19">
        <v>4</v>
      </c>
      <c r="G5" s="19">
        <v>5</v>
      </c>
      <c r="H5" s="19">
        <v>7</v>
      </c>
      <c r="L5" s="19"/>
      <c r="M5" s="19"/>
      <c r="N5" s="19"/>
      <c r="O5" s="19"/>
      <c r="R5" s="39" t="s">
        <v>1724</v>
      </c>
    </row>
    <row r="6" spans="1:18" ht="17.25" x14ac:dyDescent="0.4">
      <c r="B6" s="210" t="s">
        <v>163</v>
      </c>
      <c r="C6" s="210" t="s">
        <v>737</v>
      </c>
      <c r="D6" s="210" t="s">
        <v>151</v>
      </c>
      <c r="E6" s="210" t="s">
        <v>180</v>
      </c>
      <c r="F6" s="210" t="s">
        <v>1725</v>
      </c>
      <c r="G6" s="210" t="s">
        <v>1726</v>
      </c>
      <c r="H6" s="210" t="s">
        <v>1727</v>
      </c>
      <c r="I6" s="210" t="s">
        <v>39</v>
      </c>
      <c r="L6" s="210" t="s">
        <v>1728</v>
      </c>
      <c r="M6" s="210" t="s">
        <v>1729</v>
      </c>
      <c r="N6" s="210" t="s">
        <v>1730</v>
      </c>
      <c r="O6" s="210" t="s">
        <v>1723</v>
      </c>
      <c r="P6" s="210" t="s">
        <v>39</v>
      </c>
    </row>
    <row r="7" spans="1:18" x14ac:dyDescent="0.25">
      <c r="A7" s="14" t="s">
        <v>1731</v>
      </c>
      <c r="B7" s="14"/>
      <c r="C7" s="14"/>
      <c r="D7" s="14"/>
      <c r="E7" s="14"/>
      <c r="F7" s="14"/>
      <c r="G7" s="14"/>
      <c r="H7" s="14"/>
      <c r="I7" s="24" t="s">
        <v>29</v>
      </c>
      <c r="K7" s="14" t="s">
        <v>1731</v>
      </c>
      <c r="L7" s="14"/>
      <c r="M7" s="14"/>
      <c r="N7" s="14"/>
      <c r="O7" s="14"/>
      <c r="P7" s="24" t="s">
        <v>29</v>
      </c>
    </row>
    <row r="8" spans="1:18" x14ac:dyDescent="0.25">
      <c r="A8" t="s">
        <v>6</v>
      </c>
      <c r="B8" s="34" cm="1">
        <f t="array" ref="B8">SUMPRODUCT(--(Network!$N$11:$N$1010=$R8),Network!$AB$11:$AB$1010,Network!AM$11:AM$1010)</f>
        <v>2.2278946838538998</v>
      </c>
      <c r="C8" s="34" cm="1">
        <f t="array" ref="C8">SUMPRODUCT(--(Network!$N$11:$N$1010=$R8),Network!$AB$11:$AB$1010,Network!AN$11:AN$1010)</f>
        <v>2.9493141982464</v>
      </c>
      <c r="D8" s="34" cm="1">
        <f t="array" ref="D8">SUMPRODUCT(--(Network!$N$11:$N$1010=$R8),Network!$AB$11:$AB$1010,Network!AO$11:AO$1010)</f>
        <v>8.9760820618755002</v>
      </c>
      <c r="E8" s="34" cm="1">
        <f t="array" ref="E8">SUMPRODUCT(--(Network!$N$11:$N$1010=$R8),Network!$AB$11:$AB$1010,Network!AP$11:AP$1010)</f>
        <v>2.8572781366049007</v>
      </c>
      <c r="F8" s="34" cm="1">
        <f t="array" ref="F8">SUMPRODUCT(--(Network!$N$11:$N$1010=$R8),Network!$AB$11:$AB$1010,Network!AQ$11:AQ$1010)</f>
        <v>0.85219916750774005</v>
      </c>
      <c r="G8" s="34" cm="1">
        <f t="array" ref="G8">SUMPRODUCT(--(Network!$N$11:$N$1010=$R8),Network!$AB$11:$AB$1010,Network!AR$11:AR$1010)</f>
        <v>4.8739500982974997</v>
      </c>
      <c r="H8" s="34" cm="1">
        <f t="array" ref="H8">SUMPRODUCT(--(Network!$N$11:$N$1010=$R8),Network!$AB$11:$AB$1010,Network!AS$11:AS$1010)</f>
        <v>15.771942892104462</v>
      </c>
      <c r="I8" s="173">
        <f>SUM(B8:H8)</f>
        <v>38.508661238490404</v>
      </c>
      <c r="K8" t="s">
        <v>6</v>
      </c>
      <c r="L8" s="34">
        <f>SUM(B8:C8)</f>
        <v>5.1772088821002997</v>
      </c>
      <c r="M8" s="34">
        <f>D8</f>
        <v>8.9760820618755002</v>
      </c>
      <c r="N8" s="34">
        <f>SUM(E8:G8)</f>
        <v>8.5834274024101411</v>
      </c>
      <c r="O8" s="34">
        <f>H8</f>
        <v>15.771942892104462</v>
      </c>
      <c r="P8" s="173">
        <f>SUM(L8:O8)</f>
        <v>38.508661238490404</v>
      </c>
      <c r="R8" s="4" t="s">
        <v>7</v>
      </c>
    </row>
    <row r="9" spans="1:18" x14ac:dyDescent="0.25">
      <c r="A9" t="s">
        <v>8</v>
      </c>
      <c r="B9" s="34" cm="1">
        <f t="array" ref="B9">SUMPRODUCT(--(Network!$N$11:$N$1010=$R9),Network!$AB$11:$AB$1010,Network!AM$11:AM$1010)</f>
        <v>8.0785891496407025</v>
      </c>
      <c r="C9" s="34" cm="1">
        <f t="array" ref="C9">SUMPRODUCT(--(Network!$N$11:$N$1010=$R9),Network!$AB$11:$AB$1010,Network!AN$11:AN$1010)</f>
        <v>18.263911301176847</v>
      </c>
      <c r="D9" s="34" cm="1">
        <f t="array" ref="D9">SUMPRODUCT(--(Network!$N$11:$N$1010=$R9),Network!$AB$11:$AB$1010,Network!AO$11:AO$1010)</f>
        <v>13.229944744859653</v>
      </c>
      <c r="E9" s="34" cm="1">
        <f t="array" ref="E9">SUMPRODUCT(--(Network!$N$11:$N$1010=$R9),Network!$AB$11:$AB$1010,Network!AP$11:AP$1010)</f>
        <v>23.441441424826699</v>
      </c>
      <c r="F9" s="34" cm="1">
        <f t="array" ref="F9">SUMPRODUCT(--(Network!$N$11:$N$1010=$R9),Network!$AB$11:$AB$1010,Network!AQ$11:AQ$1010)</f>
        <v>11.645923388751751</v>
      </c>
      <c r="G9" s="34" cm="1">
        <f t="array" ref="G9">SUMPRODUCT(--(Network!$N$11:$N$1010=$R9),Network!$AB$11:$AB$1010,Network!AR$11:AR$1010)</f>
        <v>15.303756556349549</v>
      </c>
      <c r="H9" s="34" cm="1">
        <f t="array" ref="H9">SUMPRODUCT(--(Network!$N$11:$N$1010=$R9),Network!$AB$11:$AB$1010,Network!AS$11:AS$1010)</f>
        <v>25.611028807692303</v>
      </c>
      <c r="I9" s="173">
        <f>SUM(B9:H9)</f>
        <v>115.57459537329751</v>
      </c>
      <c r="K9" t="s">
        <v>8</v>
      </c>
      <c r="L9" s="34">
        <f>SUM(B9:C9)</f>
        <v>26.34250045081755</v>
      </c>
      <c r="M9" s="34">
        <f>D9</f>
        <v>13.229944744859653</v>
      </c>
      <c r="N9" s="34">
        <f>SUM(E9:G9)</f>
        <v>50.391121369927994</v>
      </c>
      <c r="O9" s="34">
        <f>H9</f>
        <v>25.611028807692303</v>
      </c>
      <c r="P9" s="173">
        <f>SUM(L9:O9)</f>
        <v>115.5745953732975</v>
      </c>
      <c r="R9" s="4" t="s">
        <v>9</v>
      </c>
    </row>
    <row r="10" spans="1:18" x14ac:dyDescent="0.25">
      <c r="A10" t="s">
        <v>10</v>
      </c>
      <c r="B10" s="34" cm="1">
        <f t="array" ref="B10">SUMPRODUCT(--(Network!$N$11:$N$1010=$R10),Network!$AB$11:$AB$1010,Network!AM$11:AM$1010)</f>
        <v>29.101527063829195</v>
      </c>
      <c r="C10" s="34" cm="1">
        <f t="array" ref="C10">SUMPRODUCT(--(Network!$N$11:$N$1010=$R10),Network!$AB$11:$AB$1010,Network!AN$11:AN$1010)</f>
        <v>25.438934231438406</v>
      </c>
      <c r="D10" s="34" cm="1">
        <f t="array" ref="D10">SUMPRODUCT(--(Network!$N$11:$N$1010=$R10),Network!$AB$11:$AB$1010,Network!AO$11:AO$1010)</f>
        <v>14.215056870733131</v>
      </c>
      <c r="E10" s="34" cm="1">
        <f t="array" ref="E10">SUMPRODUCT(--(Network!$N$11:$N$1010=$R10),Network!$AB$11:$AB$1010,Network!AP$11:AP$1010)</f>
        <v>13.269980279488601</v>
      </c>
      <c r="F10" s="34" cm="1">
        <f t="array" ref="F10">SUMPRODUCT(--(Network!$N$11:$N$1010=$R10),Network!$AB$11:$AB$1010,Network!AQ$11:AQ$1010)</f>
        <v>7.2915512945548713</v>
      </c>
      <c r="G10" s="34" cm="1">
        <f t="array" ref="G10">SUMPRODUCT(--(Network!$N$11:$N$1010=$R10),Network!$AB$11:$AB$1010,Network!AR$11:AR$1010)</f>
        <v>13.993171936057699</v>
      </c>
      <c r="H10" s="34" cm="1">
        <f t="array" ref="H10">SUMPRODUCT(--(Network!$N$11:$N$1010=$R10),Network!$AB$11:$AB$1010,Network!AS$11:AS$1010)</f>
        <v>21.782755626095103</v>
      </c>
      <c r="I10" s="173">
        <f>SUM(B10:H10)</f>
        <v>125.09297730219703</v>
      </c>
      <c r="K10" t="s">
        <v>10</v>
      </c>
      <c r="L10" s="34">
        <f>SUM(B10:C10)</f>
        <v>54.540461295267605</v>
      </c>
      <c r="M10" s="34">
        <f>D10</f>
        <v>14.215056870733131</v>
      </c>
      <c r="N10" s="34">
        <f>SUM(E10:G10)</f>
        <v>34.55470351010117</v>
      </c>
      <c r="O10" s="34">
        <f>H10</f>
        <v>21.782755626095103</v>
      </c>
      <c r="P10" s="173">
        <f>SUM(L10:O10)</f>
        <v>125.09297730219703</v>
      </c>
      <c r="R10" s="4" t="s">
        <v>11</v>
      </c>
    </row>
    <row r="11" spans="1:18" x14ac:dyDescent="0.25">
      <c r="A11" t="s">
        <v>12</v>
      </c>
      <c r="B11" s="34" cm="1">
        <f t="array" ref="B11">SUMPRODUCT(--(Network!$N$11:$N$1010=$R11),Network!$AB$11:$AB$1010,Network!AM$11:AM$1010)</f>
        <v>13.897039990716802</v>
      </c>
      <c r="C11" s="34" cm="1">
        <f t="array" ref="C11">SUMPRODUCT(--(Network!$N$11:$N$1010=$R11),Network!$AB$11:$AB$1010,Network!AN$11:AN$1010)</f>
        <v>8.4924730915384998</v>
      </c>
      <c r="D11" s="34" cm="1">
        <f t="array" ref="D11">SUMPRODUCT(--(Network!$N$11:$N$1010=$R11),Network!$AB$11:$AB$1010,Network!AO$11:AO$1010)</f>
        <v>8.6537416360558996</v>
      </c>
      <c r="E11" s="34" cm="1">
        <f t="array" ref="E11">SUMPRODUCT(--(Network!$N$11:$N$1010=$R11),Network!$AB$11:$AB$1010,Network!AP$11:AP$1010)</f>
        <v>0</v>
      </c>
      <c r="F11" s="34" cm="1">
        <f t="array" ref="F11">SUMPRODUCT(--(Network!$N$11:$N$1010=$R11),Network!$AB$11:$AB$1010,Network!AQ$11:AQ$1010)</f>
        <v>0</v>
      </c>
      <c r="G11" s="34" cm="1">
        <f t="array" ref="G11">SUMPRODUCT(--(Network!$N$11:$N$1010=$R11),Network!$AB$11:$AB$1010,Network!AR$11:AR$1010)</f>
        <v>3.5877710947327</v>
      </c>
      <c r="H11" s="34" cm="1">
        <f t="array" ref="H11">SUMPRODUCT(--(Network!$N$11:$N$1010=$R11),Network!$AB$11:$AB$1010,Network!AS$11:AS$1010)</f>
        <v>3.2810997683439003</v>
      </c>
      <c r="I11" s="173">
        <f>SUM(B11:H11)</f>
        <v>37.912125581387805</v>
      </c>
      <c r="K11" t="s">
        <v>12</v>
      </c>
      <c r="L11" s="34">
        <f>SUM(B11:C11)</f>
        <v>22.389513082255302</v>
      </c>
      <c r="M11" s="34">
        <f>D11</f>
        <v>8.6537416360558996</v>
      </c>
      <c r="N11" s="34">
        <f>SUM(E11:G11)</f>
        <v>3.5877710947327</v>
      </c>
      <c r="O11" s="34">
        <f>H11</f>
        <v>3.2810997683439003</v>
      </c>
      <c r="P11" s="173">
        <f>SUM(L11:O11)</f>
        <v>37.912125581387805</v>
      </c>
      <c r="R11" s="4" t="s">
        <v>13</v>
      </c>
    </row>
    <row r="12" spans="1:18" x14ac:dyDescent="0.25">
      <c r="A12" t="s">
        <v>14</v>
      </c>
      <c r="B12" s="34" cm="1">
        <f t="array" ref="B12">SUMPRODUCT(--(Network!$N$11:$N$1010=$R12),Network!$AB$11:$AB$1010,Network!AM$11:AM$1010)</f>
        <v>12.1367635949802</v>
      </c>
      <c r="C12" s="34" cm="1">
        <f t="array" ref="C12">SUMPRODUCT(--(Network!$N$11:$N$1010=$R12),Network!$AB$11:$AB$1010,Network!AN$11:AN$1010)</f>
        <v>8.8243775863816492</v>
      </c>
      <c r="D12" s="34" cm="1">
        <f t="array" ref="D12">SUMPRODUCT(--(Network!$N$11:$N$1010=$R12),Network!$AB$11:$AB$1010,Network!AO$11:AO$1010)</f>
        <v>3.4280643648011502</v>
      </c>
      <c r="E12" s="34" cm="1">
        <f t="array" ref="E12">SUMPRODUCT(--(Network!$N$11:$N$1010=$R12),Network!$AB$11:$AB$1010,Network!AP$11:AP$1010)</f>
        <v>5.7598033212442008</v>
      </c>
      <c r="F12" s="34" cm="1">
        <f t="array" ref="F12">SUMPRODUCT(--(Network!$N$11:$N$1010=$R12),Network!$AB$11:$AB$1010,Network!AQ$11:AQ$1010)</f>
        <v>6.5614027187254003</v>
      </c>
      <c r="G12" s="34" cm="1">
        <f t="array" ref="G12">SUMPRODUCT(--(Network!$N$11:$N$1010=$R12),Network!$AB$11:$AB$1010,Network!AR$11:AR$1010)</f>
        <v>7.9987099833912998</v>
      </c>
      <c r="H12" s="34" cm="1">
        <f t="array" ref="H12">SUMPRODUCT(--(Network!$N$11:$N$1010=$R12),Network!$AB$11:$AB$1010,Network!AS$11:AS$1010)</f>
        <v>5.2765018098815002</v>
      </c>
      <c r="I12" s="177">
        <f>SUM(B12:H12)</f>
        <v>49.985623379405396</v>
      </c>
      <c r="K12" s="12" t="s">
        <v>14</v>
      </c>
      <c r="L12" s="174">
        <f>SUM(B12:C12)</f>
        <v>20.96114118136185</v>
      </c>
      <c r="M12" s="174">
        <f>D12</f>
        <v>3.4280643648011502</v>
      </c>
      <c r="N12" s="174">
        <f>SUM(E12:G12)</f>
        <v>20.3199160233609</v>
      </c>
      <c r="O12" s="174">
        <f>H12</f>
        <v>5.2765018098815002</v>
      </c>
      <c r="P12" s="175">
        <f>SUM(L12:O12)</f>
        <v>49.985623379405403</v>
      </c>
      <c r="R12" s="4" t="s">
        <v>15</v>
      </c>
    </row>
    <row r="13" spans="1:18" x14ac:dyDescent="0.25">
      <c r="A13" s="54" t="s">
        <v>39</v>
      </c>
      <c r="B13" s="178">
        <f>SUM(B8:B12)</f>
        <v>65.441814483020792</v>
      </c>
      <c r="C13" s="178">
        <f t="shared" ref="C13:H13" si="0">SUM(C8:C12)</f>
        <v>63.969010408781806</v>
      </c>
      <c r="D13" s="178">
        <f t="shared" si="0"/>
        <v>48.502889678325332</v>
      </c>
      <c r="E13" s="178">
        <f t="shared" si="0"/>
        <v>45.328503162164402</v>
      </c>
      <c r="F13" s="178">
        <f t="shared" si="0"/>
        <v>26.35107656953976</v>
      </c>
      <c r="G13" s="178">
        <f t="shared" si="0"/>
        <v>45.757359668828748</v>
      </c>
      <c r="H13" s="178">
        <f t="shared" si="0"/>
        <v>71.723328904117267</v>
      </c>
      <c r="I13" s="178">
        <f>SUM(I8:I12)</f>
        <v>367.07398287477815</v>
      </c>
      <c r="K13" s="2" t="s">
        <v>39</v>
      </c>
      <c r="L13" s="173">
        <f>SUM(L8:L12)</f>
        <v>129.4108248918026</v>
      </c>
      <c r="M13" s="173">
        <f>SUM(M8:M12)</f>
        <v>48.502889678325332</v>
      </c>
      <c r="N13" s="173">
        <f>SUM(N8:N12)</f>
        <v>117.43693940053291</v>
      </c>
      <c r="O13" s="173">
        <f>SUM(O8:O12)</f>
        <v>71.723328904117267</v>
      </c>
      <c r="P13" s="173">
        <f>SUM(P8:P12)</f>
        <v>367.0739828747781</v>
      </c>
    </row>
    <row r="14" spans="1:18" x14ac:dyDescent="0.25">
      <c r="A14" s="2"/>
      <c r="B14" s="173"/>
      <c r="C14" s="173"/>
      <c r="D14" s="173"/>
      <c r="E14" s="173"/>
      <c r="F14" s="173"/>
      <c r="G14" s="173"/>
      <c r="H14" s="173"/>
      <c r="I14" s="173"/>
      <c r="K14" s="2"/>
      <c r="L14" s="173"/>
      <c r="M14" s="173"/>
      <c r="N14" s="173"/>
      <c r="O14" s="173"/>
      <c r="P14" s="173"/>
    </row>
    <row r="15" spans="1:18" x14ac:dyDescent="0.25">
      <c r="A15" t="s">
        <v>1732</v>
      </c>
      <c r="B15" s="176">
        <f>SUM(B8:B11)</f>
        <v>53.305050888040597</v>
      </c>
      <c r="C15" s="176">
        <f t="shared" ref="C15:H15" si="1">SUM(C8:C11)</f>
        <v>55.144632822400155</v>
      </c>
      <c r="D15" s="176">
        <f t="shared" si="1"/>
        <v>45.07482531352418</v>
      </c>
      <c r="E15" s="176">
        <f t="shared" si="1"/>
        <v>39.568699840920203</v>
      </c>
      <c r="F15" s="176">
        <f t="shared" si="1"/>
        <v>19.78967385081436</v>
      </c>
      <c r="G15" s="176">
        <f t="shared" si="1"/>
        <v>37.758649685437447</v>
      </c>
      <c r="H15" s="176">
        <f t="shared" si="1"/>
        <v>66.446827094235772</v>
      </c>
      <c r="I15" s="51">
        <f>SUM(I8:I11)</f>
        <v>317.08835949537274</v>
      </c>
      <c r="K15" t="s">
        <v>1732</v>
      </c>
      <c r="L15" s="176">
        <f>SUM(L8:L11)</f>
        <v>108.44968371044077</v>
      </c>
      <c r="M15" s="176">
        <f>SUM(M8:M11)</f>
        <v>45.07482531352418</v>
      </c>
      <c r="N15" s="176">
        <f>SUM(N8:N11)</f>
        <v>97.117023377172004</v>
      </c>
      <c r="O15" s="176">
        <f>SUM(O8:O11)</f>
        <v>66.446827094235772</v>
      </c>
      <c r="P15" s="51">
        <f>SUM(P8:P11)</f>
        <v>317.08835949537269</v>
      </c>
    </row>
    <row r="18" spans="1:18" x14ac:dyDescent="0.25">
      <c r="A18" s="14" t="s">
        <v>1733</v>
      </c>
      <c r="B18" s="14"/>
      <c r="C18" s="14"/>
      <c r="D18" s="14"/>
      <c r="E18" s="14"/>
      <c r="F18" s="14"/>
      <c r="G18" s="14"/>
      <c r="H18" s="14"/>
      <c r="I18" s="24"/>
      <c r="K18" s="14" t="s">
        <v>1733</v>
      </c>
      <c r="L18" s="14"/>
      <c r="M18" s="14"/>
      <c r="N18" s="14"/>
      <c r="O18" s="14"/>
      <c r="P18" s="24"/>
    </row>
    <row r="19" spans="1:18" x14ac:dyDescent="0.25">
      <c r="A19" t="s">
        <v>6</v>
      </c>
      <c r="B19" s="82">
        <f t="shared" ref="B19:I24" si="2">B8/$I8</f>
        <v>5.785437904621471E-2</v>
      </c>
      <c r="C19" s="82">
        <f t="shared" si="2"/>
        <v>7.6588333725257737E-2</v>
      </c>
      <c r="D19" s="82">
        <f t="shared" si="2"/>
        <v>0.23309255043391833</v>
      </c>
      <c r="E19" s="82">
        <f t="shared" si="2"/>
        <v>7.4198324343433084E-2</v>
      </c>
      <c r="F19" s="82">
        <f t="shared" si="2"/>
        <v>2.2130064772439943E-2</v>
      </c>
      <c r="G19" s="82">
        <f t="shared" si="2"/>
        <v>0.12656763287906411</v>
      </c>
      <c r="H19" s="82">
        <f t="shared" si="2"/>
        <v>0.40956871479967205</v>
      </c>
      <c r="I19" s="83">
        <f t="shared" si="2"/>
        <v>1</v>
      </c>
      <c r="K19" t="s">
        <v>6</v>
      </c>
      <c r="L19" s="82">
        <f t="shared" ref="L19:P24" si="3">L8/$P8</f>
        <v>0.13444271277147243</v>
      </c>
      <c r="M19" s="82">
        <f t="shared" si="3"/>
        <v>0.23309255043391833</v>
      </c>
      <c r="N19" s="82">
        <f t="shared" si="3"/>
        <v>0.22289602199493716</v>
      </c>
      <c r="O19" s="82">
        <f t="shared" si="3"/>
        <v>0.40956871479967205</v>
      </c>
      <c r="P19" s="83">
        <f t="shared" si="3"/>
        <v>1</v>
      </c>
      <c r="R19" s="4" t="s">
        <v>7</v>
      </c>
    </row>
    <row r="20" spans="1:18" x14ac:dyDescent="0.25">
      <c r="A20" t="s">
        <v>8</v>
      </c>
      <c r="B20" s="82">
        <f t="shared" si="2"/>
        <v>6.9899350489157658E-2</v>
      </c>
      <c r="C20" s="82">
        <f t="shared" si="2"/>
        <v>0.15802704082316488</v>
      </c>
      <c r="D20" s="82">
        <f t="shared" si="2"/>
        <v>0.11447104532036557</v>
      </c>
      <c r="E20" s="82">
        <f t="shared" si="2"/>
        <v>0.20282520868113407</v>
      </c>
      <c r="F20" s="82">
        <f t="shared" si="2"/>
        <v>0.10076542644286374</v>
      </c>
      <c r="G20" s="82">
        <f t="shared" si="2"/>
        <v>0.13241453718197785</v>
      </c>
      <c r="H20" s="82">
        <f t="shared" si="2"/>
        <v>0.22159739106133616</v>
      </c>
      <c r="I20" s="83">
        <f t="shared" si="2"/>
        <v>1</v>
      </c>
      <c r="K20" t="s">
        <v>8</v>
      </c>
      <c r="L20" s="82">
        <f t="shared" si="3"/>
        <v>0.22792639131232256</v>
      </c>
      <c r="M20" s="82">
        <f t="shared" si="3"/>
        <v>0.11447104532036559</v>
      </c>
      <c r="N20" s="82">
        <f t="shared" si="3"/>
        <v>0.43600517230597569</v>
      </c>
      <c r="O20" s="82">
        <f t="shared" si="3"/>
        <v>0.22159739106133619</v>
      </c>
      <c r="P20" s="83">
        <f t="shared" si="3"/>
        <v>1</v>
      </c>
      <c r="R20" s="4" t="s">
        <v>9</v>
      </c>
    </row>
    <row r="21" spans="1:18" x14ac:dyDescent="0.25">
      <c r="A21" t="s">
        <v>10</v>
      </c>
      <c r="B21" s="82">
        <f t="shared" si="2"/>
        <v>0.23263917520746452</v>
      </c>
      <c r="C21" s="82">
        <f t="shared" si="2"/>
        <v>0.20336021078132591</v>
      </c>
      <c r="D21" s="82">
        <f t="shared" si="2"/>
        <v>0.11363593046788462</v>
      </c>
      <c r="E21" s="82">
        <f t="shared" si="2"/>
        <v>0.10608093728100546</v>
      </c>
      <c r="F21" s="82">
        <f t="shared" si="2"/>
        <v>5.8289053884616499E-2</v>
      </c>
      <c r="G21" s="82">
        <f t="shared" si="2"/>
        <v>0.11186217034592824</v>
      </c>
      <c r="H21" s="82">
        <f t="shared" si="2"/>
        <v>0.17413252203177459</v>
      </c>
      <c r="I21" s="83">
        <f t="shared" si="2"/>
        <v>1</v>
      </c>
      <c r="K21" t="s">
        <v>10</v>
      </c>
      <c r="L21" s="82">
        <f t="shared" si="3"/>
        <v>0.43599938598879046</v>
      </c>
      <c r="M21" s="82">
        <f t="shared" si="3"/>
        <v>0.11363593046788462</v>
      </c>
      <c r="N21" s="82">
        <f t="shared" si="3"/>
        <v>0.27623216151155017</v>
      </c>
      <c r="O21" s="82">
        <f t="shared" si="3"/>
        <v>0.17413252203177459</v>
      </c>
      <c r="P21" s="83">
        <f t="shared" si="3"/>
        <v>1</v>
      </c>
      <c r="R21" s="4" t="s">
        <v>11</v>
      </c>
    </row>
    <row r="22" spans="1:18" x14ac:dyDescent="0.25">
      <c r="A22" t="s">
        <v>12</v>
      </c>
      <c r="B22" s="82">
        <f t="shared" si="2"/>
        <v>0.36655924134043472</v>
      </c>
      <c r="C22" s="82">
        <f t="shared" si="2"/>
        <v>0.22400414013472536</v>
      </c>
      <c r="D22" s="82">
        <f t="shared" si="2"/>
        <v>0.22825788592302723</v>
      </c>
      <c r="E22" s="82">
        <f t="shared" si="2"/>
        <v>0</v>
      </c>
      <c r="F22" s="82">
        <f t="shared" si="2"/>
        <v>0</v>
      </c>
      <c r="G22" s="82">
        <f t="shared" si="2"/>
        <v>9.4633868181056138E-2</v>
      </c>
      <c r="H22" s="82">
        <f t="shared" si="2"/>
        <v>8.6544864420756457E-2</v>
      </c>
      <c r="I22" s="83">
        <f t="shared" si="2"/>
        <v>1</v>
      </c>
      <c r="K22" t="s">
        <v>12</v>
      </c>
      <c r="L22" s="82">
        <f t="shared" si="3"/>
        <v>0.59056338147516008</v>
      </c>
      <c r="M22" s="82">
        <f t="shared" si="3"/>
        <v>0.22825788592302723</v>
      </c>
      <c r="N22" s="82">
        <f t="shared" si="3"/>
        <v>9.4633868181056138E-2</v>
      </c>
      <c r="O22" s="82">
        <f t="shared" si="3"/>
        <v>8.6544864420756457E-2</v>
      </c>
      <c r="P22" s="83">
        <f t="shared" si="3"/>
        <v>1</v>
      </c>
      <c r="R22" s="4" t="s">
        <v>13</v>
      </c>
    </row>
    <row r="23" spans="1:18" x14ac:dyDescent="0.25">
      <c r="A23" s="12" t="s">
        <v>14</v>
      </c>
      <c r="B23" s="84">
        <f t="shared" si="2"/>
        <v>0.24280508623166785</v>
      </c>
      <c r="C23" s="84">
        <f t="shared" si="2"/>
        <v>0.17653831221433533</v>
      </c>
      <c r="D23" s="84">
        <f t="shared" si="2"/>
        <v>6.8581006558248683E-2</v>
      </c>
      <c r="E23" s="84">
        <f t="shared" si="2"/>
        <v>0.11522919855426471</v>
      </c>
      <c r="F23" s="84">
        <f t="shared" si="2"/>
        <v>0.13126579754587531</v>
      </c>
      <c r="G23" s="84">
        <f t="shared" si="2"/>
        <v>0.16002021066494998</v>
      </c>
      <c r="H23" s="84">
        <f t="shared" si="2"/>
        <v>0.10556038823065823</v>
      </c>
      <c r="I23" s="85">
        <f t="shared" si="2"/>
        <v>1</v>
      </c>
      <c r="K23" s="12" t="s">
        <v>14</v>
      </c>
      <c r="L23" s="84">
        <f t="shared" si="3"/>
        <v>0.41934339844600316</v>
      </c>
      <c r="M23" s="84">
        <f t="shared" si="3"/>
        <v>6.8581006558248669E-2</v>
      </c>
      <c r="N23" s="84">
        <f t="shared" si="3"/>
        <v>0.4065152067650899</v>
      </c>
      <c r="O23" s="84">
        <f t="shared" si="3"/>
        <v>0.10556038823065822</v>
      </c>
      <c r="P23" s="85">
        <f t="shared" si="3"/>
        <v>1</v>
      </c>
      <c r="R23" s="4" t="s">
        <v>15</v>
      </c>
    </row>
    <row r="24" spans="1:18" x14ac:dyDescent="0.25">
      <c r="A24" s="2" t="s">
        <v>39</v>
      </c>
      <c r="B24" s="83">
        <f t="shared" si="2"/>
        <v>0.17827963172575295</v>
      </c>
      <c r="C24" s="83">
        <f t="shared" si="2"/>
        <v>0.17426735043383307</v>
      </c>
      <c r="D24" s="83">
        <f t="shared" si="2"/>
        <v>0.13213382571673943</v>
      </c>
      <c r="E24" s="83">
        <f t="shared" si="2"/>
        <v>0.12348601447362056</v>
      </c>
      <c r="F24" s="83">
        <f t="shared" si="2"/>
        <v>7.1786827176278087E-2</v>
      </c>
      <c r="G24" s="83">
        <f t="shared" si="2"/>
        <v>0.12465432529561267</v>
      </c>
      <c r="H24" s="83">
        <f t="shared" si="2"/>
        <v>0.19539202517816312</v>
      </c>
      <c r="I24" s="83">
        <f t="shared" si="2"/>
        <v>1</v>
      </c>
      <c r="K24" s="2" t="s">
        <v>39</v>
      </c>
      <c r="L24" s="83">
        <f t="shared" si="3"/>
        <v>0.35254698215958608</v>
      </c>
      <c r="M24" s="83">
        <f t="shared" si="3"/>
        <v>0.13213382571673946</v>
      </c>
      <c r="N24" s="83">
        <f t="shared" si="3"/>
        <v>0.31992716694551138</v>
      </c>
      <c r="O24" s="83">
        <f t="shared" si="3"/>
        <v>0.19539202517816315</v>
      </c>
      <c r="P24" s="83">
        <f t="shared" si="3"/>
        <v>1</v>
      </c>
    </row>
    <row r="25" spans="1:18" x14ac:dyDescent="0.25">
      <c r="A25" s="2"/>
      <c r="B25" s="83"/>
      <c r="C25" s="83"/>
      <c r="D25" s="83"/>
      <c r="E25" s="83"/>
      <c r="F25" s="83"/>
      <c r="G25" s="83"/>
      <c r="H25" s="83"/>
      <c r="I25" s="83"/>
      <c r="K25" s="2"/>
      <c r="L25" s="83"/>
      <c r="M25" s="83"/>
      <c r="N25" s="83"/>
      <c r="O25" s="83"/>
      <c r="P25" s="83"/>
    </row>
    <row r="26" spans="1:18" x14ac:dyDescent="0.25">
      <c r="A26" t="s">
        <v>1732</v>
      </c>
      <c r="B26" s="82">
        <f t="shared" ref="B26:I26" si="4">B15/$I15</f>
        <v>0.16810787684818332</v>
      </c>
      <c r="C26" s="82">
        <f t="shared" si="4"/>
        <v>0.17390935734808921</v>
      </c>
      <c r="D26" s="82">
        <f t="shared" si="4"/>
        <v>0.14215225492748482</v>
      </c>
      <c r="E26" s="82">
        <f t="shared" si="4"/>
        <v>0.12478761410192236</v>
      </c>
      <c r="F26" s="82">
        <f t="shared" si="4"/>
        <v>6.2410597103937995E-2</v>
      </c>
      <c r="G26" s="82">
        <f t="shared" si="4"/>
        <v>0.11907926782783225</v>
      </c>
      <c r="H26" s="82">
        <f t="shared" si="4"/>
        <v>0.20955303184254995</v>
      </c>
      <c r="I26" s="83">
        <f t="shared" si="4"/>
        <v>1</v>
      </c>
      <c r="K26" t="s">
        <v>1732</v>
      </c>
      <c r="L26" s="82">
        <f>L15/$P15</f>
        <v>0.34201723419627261</v>
      </c>
      <c r="M26" s="82">
        <f>M15/$P15</f>
        <v>0.14215225492748484</v>
      </c>
      <c r="N26" s="82">
        <f>N15/$P15</f>
        <v>0.30627747903369262</v>
      </c>
      <c r="O26" s="82">
        <f>O15/$P15</f>
        <v>0.20955303184255</v>
      </c>
      <c r="P26" s="83">
        <f>P15/$P15</f>
        <v>1</v>
      </c>
    </row>
    <row r="29" spans="1:18" x14ac:dyDescent="0.25">
      <c r="A29" s="14" t="s">
        <v>1734</v>
      </c>
      <c r="B29" s="14"/>
      <c r="C29" s="14"/>
      <c r="D29" s="14"/>
      <c r="E29" s="14"/>
      <c r="F29" s="14"/>
      <c r="G29" s="14"/>
      <c r="H29" s="14"/>
      <c r="I29" s="24" t="s">
        <v>1735</v>
      </c>
      <c r="K29" s="14" t="s">
        <v>1734</v>
      </c>
      <c r="L29" s="14"/>
      <c r="M29" s="14"/>
      <c r="N29" s="14"/>
      <c r="O29" s="14"/>
      <c r="P29" s="24" t="s">
        <v>1735</v>
      </c>
    </row>
    <row r="30" spans="1:18" x14ac:dyDescent="0.25">
      <c r="A30" t="s">
        <v>1736</v>
      </c>
      <c r="B30" s="34">
        <f>SUMIFS(Geographies!$G$6:$G$809,Geographies!$J$6:$J$809,B$5)</f>
        <v>20.344507847799481</v>
      </c>
      <c r="C30" s="34">
        <f>SUMIFS(Geographies!$G$6:$G$809,Geographies!$J$6:$J$809,C$5)</f>
        <v>51.254445448020917</v>
      </c>
      <c r="D30" s="34">
        <f>SUMIFS(Geographies!$G$6:$G$809,Geographies!$J$6:$J$809,D$5)</f>
        <v>21.787325353532292</v>
      </c>
      <c r="E30" s="34">
        <f>SUMIFS(Geographies!$G$6:$G$809,Geographies!$J$6:$J$809,E$5)</f>
        <v>28.346795665191163</v>
      </c>
      <c r="F30" s="34">
        <f>SUMIFS(Geographies!$G$6:$G$809,Geographies!$J$6:$J$809,F$5)</f>
        <v>40.776885332397853</v>
      </c>
      <c r="G30" s="34">
        <f>SUMIFS(Geographies!$G$6:$G$809,Geographies!$J$6:$J$809,G$5)</f>
        <v>49.084346934362749</v>
      </c>
      <c r="H30" s="34">
        <f>SUMIFS(Geographies!$G$6:$G$809,Geographies!$J$6:$J$809,H$5)</f>
        <v>19.337013788407834</v>
      </c>
      <c r="I30" s="51">
        <f>SUM(B30:H30)</f>
        <v>230.93132036971227</v>
      </c>
      <c r="K30" t="s">
        <v>1736</v>
      </c>
      <c r="L30" s="48">
        <f>SUM(B30:C30)</f>
        <v>71.598953295820394</v>
      </c>
      <c r="M30" s="48">
        <f>D30</f>
        <v>21.787325353532292</v>
      </c>
      <c r="N30" s="48">
        <f>SUM(E30:G30)</f>
        <v>118.20802793195176</v>
      </c>
      <c r="O30" s="48">
        <f>H30</f>
        <v>19.337013788407834</v>
      </c>
      <c r="P30" s="49">
        <f>SUM(L30:O30)</f>
        <v>230.9313203697123</v>
      </c>
    </row>
    <row r="31" spans="1:18" x14ac:dyDescent="0.25">
      <c r="A31" s="13" t="s">
        <v>1737</v>
      </c>
      <c r="B31" s="82">
        <f>B30/$I$30</f>
        <v>8.8097655247580522E-2</v>
      </c>
      <c r="C31" s="82">
        <f t="shared" ref="C31:I31" si="5">C30/$I$30</f>
        <v>0.22194670418011944</v>
      </c>
      <c r="D31" s="82">
        <f t="shared" si="5"/>
        <v>9.4345476043057361E-2</v>
      </c>
      <c r="E31" s="82">
        <f t="shared" si="5"/>
        <v>0.1227498964618962</v>
      </c>
      <c r="F31" s="82">
        <f t="shared" si="5"/>
        <v>0.17657581166173392</v>
      </c>
      <c r="G31" s="82">
        <f t="shared" si="5"/>
        <v>0.21254954440905016</v>
      </c>
      <c r="H31" s="82">
        <f t="shared" si="5"/>
        <v>8.3734911996562481E-2</v>
      </c>
      <c r="I31" s="83">
        <f t="shared" si="5"/>
        <v>1</v>
      </c>
      <c r="K31" s="13" t="s">
        <v>1737</v>
      </c>
      <c r="L31" s="25">
        <f>L30/$P$30</f>
        <v>0.31004435942769992</v>
      </c>
      <c r="M31" s="25">
        <f>M30/$P$30</f>
        <v>9.4345476043057347E-2</v>
      </c>
      <c r="N31" s="25">
        <f>N30/$P$30</f>
        <v>0.51187525253268018</v>
      </c>
      <c r="O31" s="25">
        <f>O30/$P$30</f>
        <v>8.3734911996562467E-2</v>
      </c>
      <c r="P31" s="26">
        <f>P30/$P$30</f>
        <v>1</v>
      </c>
    </row>
    <row r="32" spans="1:18" x14ac:dyDescent="0.25">
      <c r="A32" t="s">
        <v>1738</v>
      </c>
      <c r="B32" s="20" t="e">
        <f>SUMIFS(Geographies!$L$6:$L$809,Geographies!$J$6:$J$809,B$5)</f>
        <v>#VALUE!</v>
      </c>
      <c r="C32" s="20" t="e">
        <f>SUMIFS(Geographies!$L$6:$L$809,Geographies!$J$6:$J$809,C$5)</f>
        <v>#VALUE!</v>
      </c>
      <c r="D32" s="20" t="e">
        <f>SUMIFS(Geographies!$L$6:$L$809,Geographies!$J$6:$J$809,D$5)</f>
        <v>#VALUE!</v>
      </c>
      <c r="E32" s="20" t="e">
        <f>SUMIFS(Geographies!$L$6:$L$809,Geographies!$J$6:$J$809,E$5)</f>
        <v>#VALUE!</v>
      </c>
      <c r="F32" s="20" t="e">
        <f>SUMIFS(Geographies!$L$6:$L$809,Geographies!$J$6:$J$809,F$5)</f>
        <v>#VALUE!</v>
      </c>
      <c r="G32" s="20" t="e">
        <f>SUMIFS(Geographies!$L$6:$L$809,Geographies!$J$6:$J$809,G$5)</f>
        <v>#VALUE!</v>
      </c>
      <c r="H32" s="20" t="e">
        <f>SUMIFS(Geographies!$L$6:$L$809,Geographies!$J$6:$J$809,H$5)</f>
        <v>#VALUE!</v>
      </c>
      <c r="I32" s="21" t="e">
        <f>SUM(B32:H32)</f>
        <v>#VALUE!</v>
      </c>
      <c r="K32" t="s">
        <v>1738</v>
      </c>
      <c r="L32" s="17" t="e">
        <f>SUM(B32:C32)</f>
        <v>#VALUE!</v>
      </c>
      <c r="M32" s="17" t="e">
        <f>D32</f>
        <v>#VALUE!</v>
      </c>
      <c r="N32" s="17" t="e">
        <f>SUM(E32:G32)</f>
        <v>#VALUE!</v>
      </c>
      <c r="O32" s="17" t="e">
        <f>H32</f>
        <v>#VALUE!</v>
      </c>
      <c r="P32" s="50" t="e">
        <f>SUM(L32:O32)</f>
        <v>#VALUE!</v>
      </c>
    </row>
    <row r="33" spans="1:16" x14ac:dyDescent="0.25">
      <c r="A33" s="13" t="s">
        <v>1737</v>
      </c>
      <c r="B33" s="82" t="e">
        <f>B32/$I$32</f>
        <v>#VALUE!</v>
      </c>
      <c r="C33" s="82" t="e">
        <f t="shared" ref="C33:I33" si="6">C32/$I$32</f>
        <v>#VALUE!</v>
      </c>
      <c r="D33" s="82" t="e">
        <f t="shared" si="6"/>
        <v>#VALUE!</v>
      </c>
      <c r="E33" s="82" t="e">
        <f t="shared" si="6"/>
        <v>#VALUE!</v>
      </c>
      <c r="F33" s="82" t="e">
        <f t="shared" si="6"/>
        <v>#VALUE!</v>
      </c>
      <c r="G33" s="82" t="e">
        <f t="shared" si="6"/>
        <v>#VALUE!</v>
      </c>
      <c r="H33" s="82" t="e">
        <f t="shared" si="6"/>
        <v>#VALUE!</v>
      </c>
      <c r="I33" s="83" t="e">
        <f t="shared" si="6"/>
        <v>#VALUE!</v>
      </c>
      <c r="K33" s="13" t="s">
        <v>1737</v>
      </c>
      <c r="L33" s="82" t="e">
        <f>L32/$P$32</f>
        <v>#VALUE!</v>
      </c>
      <c r="M33" s="82" t="e">
        <f>M32/$P$32</f>
        <v>#VALUE!</v>
      </c>
      <c r="N33" s="82" t="e">
        <f>N32/$P$32</f>
        <v>#VALUE!</v>
      </c>
      <c r="O33" s="82" t="e">
        <f>O32/$P$32</f>
        <v>#VALUE!</v>
      </c>
      <c r="P33" s="83" t="e">
        <f>P32/$P$32</f>
        <v>#VALUE!</v>
      </c>
    </row>
    <row r="34" spans="1:16" x14ac:dyDescent="0.25">
      <c r="A34" t="s">
        <v>1739</v>
      </c>
      <c r="B34" s="48" t="e">
        <f>B32/B30</f>
        <v>#VALUE!</v>
      </c>
      <c r="C34" s="48" t="e">
        <f t="shared" ref="C34:I34" si="7">C32/C30</f>
        <v>#VALUE!</v>
      </c>
      <c r="D34" s="48" t="e">
        <f t="shared" si="7"/>
        <v>#VALUE!</v>
      </c>
      <c r="E34" s="48" t="e">
        <f t="shared" si="7"/>
        <v>#VALUE!</v>
      </c>
      <c r="F34" s="48" t="e">
        <f t="shared" si="7"/>
        <v>#VALUE!</v>
      </c>
      <c r="G34" s="48" t="e">
        <f t="shared" si="7"/>
        <v>#VALUE!</v>
      </c>
      <c r="H34" s="48" t="e">
        <f t="shared" si="7"/>
        <v>#VALUE!</v>
      </c>
      <c r="I34" s="49" t="e">
        <f t="shared" si="7"/>
        <v>#VALUE!</v>
      </c>
      <c r="K34" t="s">
        <v>1739</v>
      </c>
      <c r="L34" s="48" t="e">
        <f>L32/L30</f>
        <v>#VALUE!</v>
      </c>
      <c r="M34" s="48" t="e">
        <f>M32/M30</f>
        <v>#VALUE!</v>
      </c>
      <c r="N34" s="48" t="e">
        <f>N32/N30</f>
        <v>#VALUE!</v>
      </c>
      <c r="O34" s="48" t="e">
        <f>O32/O30</f>
        <v>#VALUE!</v>
      </c>
      <c r="P34" s="49" t="e">
        <f>P32/P30</f>
        <v>#VALUE!</v>
      </c>
    </row>
    <row r="35" spans="1:16" x14ac:dyDescent="0.25">
      <c r="B35" s="35"/>
      <c r="C35" s="35"/>
      <c r="D35" s="35"/>
      <c r="E35" s="35"/>
      <c r="F35" s="35"/>
      <c r="G35" s="35"/>
      <c r="H35" s="35"/>
      <c r="I35" s="36"/>
      <c r="L35" s="35"/>
      <c r="M35" s="35"/>
      <c r="N35" s="35"/>
      <c r="O35" s="35"/>
      <c r="P35" s="36"/>
    </row>
    <row r="36" spans="1:16" x14ac:dyDescent="0.25">
      <c r="A36" t="s">
        <v>1740</v>
      </c>
      <c r="B36" s="20" t="e">
        <f>SUMIFS(Geographies!$N$6:$N$809,Geographies!$J$6:$J$809,B$5)</f>
        <v>#VALUE!</v>
      </c>
      <c r="C36" s="20" t="e">
        <f>SUMIFS(Geographies!$N$6:$N$809,Geographies!$J$6:$J$809,C$5)</f>
        <v>#VALUE!</v>
      </c>
      <c r="D36" s="20" t="e">
        <f>SUMIFS(Geographies!$N$6:$N$809,Geographies!$J$6:$J$809,D$5)</f>
        <v>#VALUE!</v>
      </c>
      <c r="E36" s="20" t="e">
        <f>SUMIFS(Geographies!$N$6:$N$809,Geographies!$J$6:$J$809,E$5)</f>
        <v>#VALUE!</v>
      </c>
      <c r="F36" s="20" t="e">
        <f>SUMIFS(Geographies!$N$6:$N$809,Geographies!$J$6:$J$809,F$5)</f>
        <v>#VALUE!</v>
      </c>
      <c r="G36" s="20" t="e">
        <f>SUMIFS(Geographies!$N$6:$N$809,Geographies!$J$6:$J$809,G$5)</f>
        <v>#VALUE!</v>
      </c>
      <c r="H36" s="20" t="e">
        <f>SUMIFS(Geographies!$N$6:$N$809,Geographies!$J$6:$J$809,H$5)</f>
        <v>#VALUE!</v>
      </c>
      <c r="I36" s="21" t="e">
        <f t="shared" ref="I36:I41" si="8">SUM(B36:H36)</f>
        <v>#VALUE!</v>
      </c>
      <c r="K36" t="s">
        <v>1740</v>
      </c>
      <c r="L36" s="17" t="e">
        <f t="shared" ref="L36:L41" si="9">SUM(B36:C36)</f>
        <v>#VALUE!</v>
      </c>
      <c r="M36" s="17" t="e">
        <f t="shared" ref="M36:M41" si="10">D36</f>
        <v>#VALUE!</v>
      </c>
      <c r="N36" s="17" t="e">
        <f t="shared" ref="N36:N41" si="11">SUM(E36:G36)</f>
        <v>#VALUE!</v>
      </c>
      <c r="O36" s="17" t="e">
        <f t="shared" ref="O36:O41" si="12">H36</f>
        <v>#VALUE!</v>
      </c>
      <c r="P36" s="50" t="e">
        <f t="shared" ref="P36:P41" si="13">SUM(L36:O36)</f>
        <v>#VALUE!</v>
      </c>
    </row>
    <row r="37" spans="1:16" x14ac:dyDescent="0.25">
      <c r="A37" t="s">
        <v>1741</v>
      </c>
      <c r="B37" s="20" t="e">
        <f>SUMIFS(Geographies!$O$6:$O$809,Geographies!$J$6:$J$809,B$5)</f>
        <v>#VALUE!</v>
      </c>
      <c r="C37" s="20" t="e">
        <f>SUMIFS(Geographies!$O$6:$O$809,Geographies!$J$6:$J$809,C$5)</f>
        <v>#VALUE!</v>
      </c>
      <c r="D37" s="20" t="e">
        <f>SUMIFS(Geographies!$O$6:$O$809,Geographies!$J$6:$J$809,D$5)</f>
        <v>#VALUE!</v>
      </c>
      <c r="E37" s="20" t="e">
        <f>SUMIFS(Geographies!$O$6:$O$809,Geographies!$J$6:$J$809,E$5)</f>
        <v>#VALUE!</v>
      </c>
      <c r="F37" s="20" t="e">
        <f>SUMIFS(Geographies!$O$6:$O$809,Geographies!$J$6:$J$809,F$5)</f>
        <v>#VALUE!</v>
      </c>
      <c r="G37" s="20" t="e">
        <f>SUMIFS(Geographies!$O$6:$O$809,Geographies!$J$6:$J$809,G$5)</f>
        <v>#VALUE!</v>
      </c>
      <c r="H37" s="20" t="e">
        <f>SUMIFS(Geographies!$O$6:$O$809,Geographies!$J$6:$J$809,H$5)</f>
        <v>#VALUE!</v>
      </c>
      <c r="I37" s="21" t="e">
        <f t="shared" si="8"/>
        <v>#VALUE!</v>
      </c>
      <c r="K37" t="s">
        <v>1741</v>
      </c>
      <c r="L37" s="17" t="e">
        <f t="shared" si="9"/>
        <v>#VALUE!</v>
      </c>
      <c r="M37" s="17" t="e">
        <f t="shared" si="10"/>
        <v>#VALUE!</v>
      </c>
      <c r="N37" s="17" t="e">
        <f t="shared" si="11"/>
        <v>#VALUE!</v>
      </c>
      <c r="O37" s="17" t="e">
        <f t="shared" si="12"/>
        <v>#VALUE!</v>
      </c>
      <c r="P37" s="50" t="e">
        <f t="shared" si="13"/>
        <v>#VALUE!</v>
      </c>
    </row>
    <row r="38" spans="1:16" x14ac:dyDescent="0.25">
      <c r="A38" t="s">
        <v>1742</v>
      </c>
      <c r="B38" s="20" t="e">
        <f>SUMIFS(Geographies!$P$6:$P$809,Geographies!$J$6:$J$809,B$5)</f>
        <v>#VALUE!</v>
      </c>
      <c r="C38" s="20" t="e">
        <f>SUMIFS(Geographies!$P$6:$P$809,Geographies!$J$6:$J$809,C$5)</f>
        <v>#VALUE!</v>
      </c>
      <c r="D38" s="20" t="e">
        <f>SUMIFS(Geographies!$P$6:$P$809,Geographies!$J$6:$J$809,D$5)</f>
        <v>#VALUE!</v>
      </c>
      <c r="E38" s="20" t="e">
        <f>SUMIFS(Geographies!$P$6:$P$809,Geographies!$J$6:$J$809,E$5)</f>
        <v>#VALUE!</v>
      </c>
      <c r="F38" s="20" t="e">
        <f>SUMIFS(Geographies!$P$6:$P$809,Geographies!$J$6:$J$809,F$5)</f>
        <v>#VALUE!</v>
      </c>
      <c r="G38" s="20" t="e">
        <f>SUMIFS(Geographies!$P$6:$P$809,Geographies!$J$6:$J$809,G$5)</f>
        <v>#VALUE!</v>
      </c>
      <c r="H38" s="20" t="e">
        <f>SUMIFS(Geographies!$P$6:$P$809,Geographies!$J$6:$J$809,H$5)</f>
        <v>#VALUE!</v>
      </c>
      <c r="I38" s="21" t="e">
        <f t="shared" si="8"/>
        <v>#VALUE!</v>
      </c>
      <c r="K38" t="s">
        <v>1742</v>
      </c>
      <c r="L38" s="17" t="e">
        <f t="shared" si="9"/>
        <v>#VALUE!</v>
      </c>
      <c r="M38" s="17" t="e">
        <f t="shared" si="10"/>
        <v>#VALUE!</v>
      </c>
      <c r="N38" s="17" t="e">
        <f t="shared" si="11"/>
        <v>#VALUE!</v>
      </c>
      <c r="O38" s="17" t="e">
        <f t="shared" si="12"/>
        <v>#VALUE!</v>
      </c>
      <c r="P38" s="50" t="e">
        <f t="shared" si="13"/>
        <v>#VALUE!</v>
      </c>
    </row>
    <row r="39" spans="1:16" x14ac:dyDescent="0.25">
      <c r="A39" t="s">
        <v>87</v>
      </c>
      <c r="B39" s="20" t="e">
        <f>SUMIFS(Geographies!$Q$6:$Q$809,Geographies!$J$6:$J$809,B$5)</f>
        <v>#VALUE!</v>
      </c>
      <c r="C39" s="20" t="e">
        <f>SUMIFS(Geographies!$Q$6:$Q$809,Geographies!$J$6:$J$809,C$5)</f>
        <v>#VALUE!</v>
      </c>
      <c r="D39" s="20" t="e">
        <f>SUMIFS(Geographies!$Q$6:$Q$809,Geographies!$J$6:$J$809,D$5)</f>
        <v>#VALUE!</v>
      </c>
      <c r="E39" s="20" t="e">
        <f>SUMIFS(Geographies!$Q$6:$Q$809,Geographies!$J$6:$J$809,E$5)</f>
        <v>#VALUE!</v>
      </c>
      <c r="F39" s="20" t="e">
        <f>SUMIFS(Geographies!$Q$6:$Q$809,Geographies!$J$6:$J$809,F$5)</f>
        <v>#VALUE!</v>
      </c>
      <c r="G39" s="20" t="e">
        <f>SUMIFS(Geographies!$Q$6:$Q$809,Geographies!$J$6:$J$809,G$5)</f>
        <v>#VALUE!</v>
      </c>
      <c r="H39" s="20" t="e">
        <f>SUMIFS(Geographies!$Q$6:$Q$809,Geographies!$J$6:$J$809,H$5)</f>
        <v>#VALUE!</v>
      </c>
      <c r="I39" s="21" t="e">
        <f t="shared" si="8"/>
        <v>#VALUE!</v>
      </c>
      <c r="K39" t="s">
        <v>87</v>
      </c>
      <c r="L39" s="17" t="e">
        <f t="shared" si="9"/>
        <v>#VALUE!</v>
      </c>
      <c r="M39" s="17" t="e">
        <f t="shared" si="10"/>
        <v>#VALUE!</v>
      </c>
      <c r="N39" s="17" t="e">
        <f t="shared" si="11"/>
        <v>#VALUE!</v>
      </c>
      <c r="O39" s="17" t="e">
        <f t="shared" si="12"/>
        <v>#VALUE!</v>
      </c>
      <c r="P39" s="50" t="e">
        <f t="shared" si="13"/>
        <v>#VALUE!</v>
      </c>
    </row>
    <row r="40" spans="1:16" x14ac:dyDescent="0.25">
      <c r="A40" t="s">
        <v>86</v>
      </c>
      <c r="B40" s="20" t="e">
        <f>SUMIFS(Geographies!$R$6:$R$809,Geographies!$J$6:$J$809,B$5)</f>
        <v>#VALUE!</v>
      </c>
      <c r="C40" s="20" t="e">
        <f>SUMIFS(Geographies!$R$6:$R$809,Geographies!$J$6:$J$809,C$5)</f>
        <v>#VALUE!</v>
      </c>
      <c r="D40" s="20" t="e">
        <f>SUMIFS(Geographies!$R$6:$R$809,Geographies!$J$6:$J$809,D$5)</f>
        <v>#VALUE!</v>
      </c>
      <c r="E40" s="20" t="e">
        <f>SUMIFS(Geographies!$R$6:$R$809,Geographies!$J$6:$J$809,E$5)</f>
        <v>#VALUE!</v>
      </c>
      <c r="F40" s="20" t="e">
        <f>SUMIFS(Geographies!$R$6:$R$809,Geographies!$J$6:$J$809,F$5)</f>
        <v>#VALUE!</v>
      </c>
      <c r="G40" s="20" t="e">
        <f>SUMIFS(Geographies!$R$6:$R$809,Geographies!$J$6:$J$809,G$5)</f>
        <v>#VALUE!</v>
      </c>
      <c r="H40" s="20" t="e">
        <f>SUMIFS(Geographies!$R$6:$R$809,Geographies!$J$6:$J$809,H$5)</f>
        <v>#VALUE!</v>
      </c>
      <c r="I40" s="21" t="e">
        <f t="shared" si="8"/>
        <v>#VALUE!</v>
      </c>
      <c r="K40" t="s">
        <v>86</v>
      </c>
      <c r="L40" s="17" t="e">
        <f t="shared" si="9"/>
        <v>#VALUE!</v>
      </c>
      <c r="M40" s="17" t="e">
        <f t="shared" si="10"/>
        <v>#VALUE!</v>
      </c>
      <c r="N40" s="17" t="e">
        <f t="shared" si="11"/>
        <v>#VALUE!</v>
      </c>
      <c r="O40" s="17" t="e">
        <f t="shared" si="12"/>
        <v>#VALUE!</v>
      </c>
      <c r="P40" s="50" t="e">
        <f t="shared" si="13"/>
        <v>#VALUE!</v>
      </c>
    </row>
    <row r="41" spans="1:16" x14ac:dyDescent="0.25">
      <c r="A41" t="s">
        <v>1743</v>
      </c>
      <c r="B41" s="20" t="e">
        <f>SUMIFS(Geographies!$S$6:$S$809,Geographies!$J$6:$J$809,B$5)</f>
        <v>#VALUE!</v>
      </c>
      <c r="C41" s="20" t="e">
        <f>SUMIFS(Geographies!$S$6:$S$809,Geographies!$J$6:$J$809,C$5)</f>
        <v>#VALUE!</v>
      </c>
      <c r="D41" s="20" t="e">
        <f>SUMIFS(Geographies!$S$6:$S$809,Geographies!$J$6:$J$809,D$5)</f>
        <v>#VALUE!</v>
      </c>
      <c r="E41" s="20" t="e">
        <f>SUMIFS(Geographies!$S$6:$S$809,Geographies!$J$6:$J$809,E$5)</f>
        <v>#VALUE!</v>
      </c>
      <c r="F41" s="20" t="e">
        <f>SUMIFS(Geographies!$S$6:$S$809,Geographies!$J$6:$J$809,F$5)</f>
        <v>#VALUE!</v>
      </c>
      <c r="G41" s="20" t="e">
        <f>SUMIFS(Geographies!$S$6:$S$809,Geographies!$J$6:$J$809,G$5)</f>
        <v>#VALUE!</v>
      </c>
      <c r="H41" s="20" t="e">
        <f>SUMIFS(Geographies!$S$6:$S$809,Geographies!$J$6:$J$809,H$5)</f>
        <v>#VALUE!</v>
      </c>
      <c r="I41" s="21" t="e">
        <f t="shared" si="8"/>
        <v>#VALUE!</v>
      </c>
      <c r="K41" t="s">
        <v>1743</v>
      </c>
      <c r="L41" s="17" t="e">
        <f t="shared" si="9"/>
        <v>#VALUE!</v>
      </c>
      <c r="M41" s="17" t="e">
        <f t="shared" si="10"/>
        <v>#VALUE!</v>
      </c>
      <c r="N41" s="17" t="e">
        <f t="shared" si="11"/>
        <v>#VALUE!</v>
      </c>
      <c r="O41" s="17" t="e">
        <f t="shared" si="12"/>
        <v>#VALUE!</v>
      </c>
      <c r="P41" s="50" t="e">
        <f t="shared" si="13"/>
        <v>#VALUE!</v>
      </c>
    </row>
    <row r="42" spans="1:16" x14ac:dyDescent="0.25">
      <c r="A42" s="54" t="s">
        <v>1744</v>
      </c>
      <c r="B42" s="55" t="e">
        <f>SUMIFS(Geographies!$M$6:$M$809,Geographies!$J$6:$J$809,B$5)</f>
        <v>#VALUE!</v>
      </c>
      <c r="C42" s="55" t="e">
        <f>SUMIFS(Geographies!$M$6:$M$809,Geographies!$J$6:$J$809,C$5)</f>
        <v>#VALUE!</v>
      </c>
      <c r="D42" s="55" t="e">
        <f>SUMIFS(Geographies!$M$6:$M$809,Geographies!$J$6:$J$809,D$5)</f>
        <v>#VALUE!</v>
      </c>
      <c r="E42" s="55" t="e">
        <f>SUMIFS(Geographies!$M$6:$M$809,Geographies!$J$6:$J$809,E$5)</f>
        <v>#VALUE!</v>
      </c>
      <c r="F42" s="55" t="e">
        <f>SUMIFS(Geographies!$M$6:$M$809,Geographies!$J$6:$J$809,F$5)</f>
        <v>#VALUE!</v>
      </c>
      <c r="G42" s="55" t="e">
        <f>SUMIFS(Geographies!$M$6:$M$809,Geographies!$J$6:$J$809,G$5)</f>
        <v>#VALUE!</v>
      </c>
      <c r="H42" s="55" t="e">
        <f>SUMIFS(Geographies!$M$6:$M$809,Geographies!$J$6:$J$809,H$5)</f>
        <v>#VALUE!</v>
      </c>
      <c r="I42" s="52" t="e">
        <f>SUM(B42:H42)</f>
        <v>#VALUE!</v>
      </c>
      <c r="K42" s="54" t="s">
        <v>1744</v>
      </c>
      <c r="L42" s="53" t="e">
        <f>SUM(B42:C42)</f>
        <v>#VALUE!</v>
      </c>
      <c r="M42" s="53" t="e">
        <f>D42</f>
        <v>#VALUE!</v>
      </c>
      <c r="N42" s="53" t="e">
        <f>SUM(E42:G42)</f>
        <v>#VALUE!</v>
      </c>
      <c r="O42" s="53" t="e">
        <f>H42</f>
        <v>#VALUE!</v>
      </c>
      <c r="P42" s="53" t="e">
        <f>SUM(L42:O42)</f>
        <v>#VALUE!</v>
      </c>
    </row>
    <row r="44" spans="1:16" x14ac:dyDescent="0.25">
      <c r="A44" t="s">
        <v>1740</v>
      </c>
      <c r="B44" s="25" t="e">
        <f t="shared" ref="B44:I49" si="14">B36/B$42</f>
        <v>#VALUE!</v>
      </c>
      <c r="C44" s="25" t="e">
        <f t="shared" si="14"/>
        <v>#VALUE!</v>
      </c>
      <c r="D44" s="25" t="e">
        <f t="shared" si="14"/>
        <v>#VALUE!</v>
      </c>
      <c r="E44" s="25" t="e">
        <f t="shared" si="14"/>
        <v>#VALUE!</v>
      </c>
      <c r="F44" s="25" t="e">
        <f t="shared" si="14"/>
        <v>#VALUE!</v>
      </c>
      <c r="G44" s="25" t="e">
        <f t="shared" si="14"/>
        <v>#VALUE!</v>
      </c>
      <c r="H44" s="25" t="e">
        <f t="shared" si="14"/>
        <v>#VALUE!</v>
      </c>
      <c r="I44" s="26" t="e">
        <f t="shared" si="14"/>
        <v>#VALUE!</v>
      </c>
      <c r="K44" t="s">
        <v>1740</v>
      </c>
      <c r="L44" s="25" t="e">
        <f t="shared" ref="L44:P49" si="15">L36/L$42</f>
        <v>#VALUE!</v>
      </c>
      <c r="M44" s="25" t="e">
        <f t="shared" si="15"/>
        <v>#VALUE!</v>
      </c>
      <c r="N44" s="25" t="e">
        <f t="shared" si="15"/>
        <v>#VALUE!</v>
      </c>
      <c r="O44" s="25" t="e">
        <f t="shared" si="15"/>
        <v>#VALUE!</v>
      </c>
      <c r="P44" s="26" t="e">
        <f t="shared" si="15"/>
        <v>#VALUE!</v>
      </c>
    </row>
    <row r="45" spans="1:16" x14ac:dyDescent="0.25">
      <c r="A45" t="s">
        <v>1741</v>
      </c>
      <c r="B45" s="25" t="e">
        <f t="shared" si="14"/>
        <v>#VALUE!</v>
      </c>
      <c r="C45" s="25" t="e">
        <f t="shared" si="14"/>
        <v>#VALUE!</v>
      </c>
      <c r="D45" s="25" t="e">
        <f t="shared" si="14"/>
        <v>#VALUE!</v>
      </c>
      <c r="E45" s="25" t="e">
        <f t="shared" si="14"/>
        <v>#VALUE!</v>
      </c>
      <c r="F45" s="25" t="e">
        <f t="shared" si="14"/>
        <v>#VALUE!</v>
      </c>
      <c r="G45" s="25" t="e">
        <f t="shared" si="14"/>
        <v>#VALUE!</v>
      </c>
      <c r="H45" s="25" t="e">
        <f t="shared" si="14"/>
        <v>#VALUE!</v>
      </c>
      <c r="I45" s="26" t="e">
        <f t="shared" si="14"/>
        <v>#VALUE!</v>
      </c>
      <c r="K45" t="s">
        <v>1741</v>
      </c>
      <c r="L45" s="25" t="e">
        <f t="shared" si="15"/>
        <v>#VALUE!</v>
      </c>
      <c r="M45" s="25" t="e">
        <f t="shared" si="15"/>
        <v>#VALUE!</v>
      </c>
      <c r="N45" s="25" t="e">
        <f t="shared" si="15"/>
        <v>#VALUE!</v>
      </c>
      <c r="O45" s="25" t="e">
        <f t="shared" si="15"/>
        <v>#VALUE!</v>
      </c>
      <c r="P45" s="26" t="e">
        <f t="shared" si="15"/>
        <v>#VALUE!</v>
      </c>
    </row>
    <row r="46" spans="1:16" x14ac:dyDescent="0.25">
      <c r="A46" t="s">
        <v>1742</v>
      </c>
      <c r="B46" s="25" t="e">
        <f t="shared" si="14"/>
        <v>#VALUE!</v>
      </c>
      <c r="C46" s="25" t="e">
        <f t="shared" si="14"/>
        <v>#VALUE!</v>
      </c>
      <c r="D46" s="25" t="e">
        <f t="shared" si="14"/>
        <v>#VALUE!</v>
      </c>
      <c r="E46" s="25" t="e">
        <f t="shared" si="14"/>
        <v>#VALUE!</v>
      </c>
      <c r="F46" s="25" t="e">
        <f t="shared" si="14"/>
        <v>#VALUE!</v>
      </c>
      <c r="G46" s="25" t="e">
        <f t="shared" si="14"/>
        <v>#VALUE!</v>
      </c>
      <c r="H46" s="25" t="e">
        <f t="shared" si="14"/>
        <v>#VALUE!</v>
      </c>
      <c r="I46" s="26" t="e">
        <f t="shared" si="14"/>
        <v>#VALUE!</v>
      </c>
      <c r="K46" t="s">
        <v>1742</v>
      </c>
      <c r="L46" s="25" t="e">
        <f t="shared" si="15"/>
        <v>#VALUE!</v>
      </c>
      <c r="M46" s="25" t="e">
        <f t="shared" si="15"/>
        <v>#VALUE!</v>
      </c>
      <c r="N46" s="25" t="e">
        <f t="shared" si="15"/>
        <v>#VALUE!</v>
      </c>
      <c r="O46" s="25" t="e">
        <f t="shared" si="15"/>
        <v>#VALUE!</v>
      </c>
      <c r="P46" s="26" t="e">
        <f t="shared" si="15"/>
        <v>#VALUE!</v>
      </c>
    </row>
    <row r="47" spans="1:16" x14ac:dyDescent="0.25">
      <c r="A47" t="s">
        <v>87</v>
      </c>
      <c r="B47" s="27" t="e">
        <f t="shared" si="14"/>
        <v>#VALUE!</v>
      </c>
      <c r="C47" s="28" t="e">
        <f t="shared" si="14"/>
        <v>#VALUE!</v>
      </c>
      <c r="D47" s="28" t="e">
        <f t="shared" si="14"/>
        <v>#VALUE!</v>
      </c>
      <c r="E47" s="28" t="e">
        <f t="shared" si="14"/>
        <v>#VALUE!</v>
      </c>
      <c r="F47" s="28" t="e">
        <f t="shared" si="14"/>
        <v>#VALUE!</v>
      </c>
      <c r="G47" s="28" t="e">
        <f t="shared" si="14"/>
        <v>#VALUE!</v>
      </c>
      <c r="H47" s="28" t="e">
        <f t="shared" si="14"/>
        <v>#VALUE!</v>
      </c>
      <c r="I47" s="29" t="e">
        <f t="shared" si="14"/>
        <v>#VALUE!</v>
      </c>
      <c r="K47" t="s">
        <v>87</v>
      </c>
      <c r="L47" s="27" t="e">
        <f t="shared" si="15"/>
        <v>#VALUE!</v>
      </c>
      <c r="M47" s="28" t="e">
        <f t="shared" si="15"/>
        <v>#VALUE!</v>
      </c>
      <c r="N47" s="28" t="e">
        <f t="shared" si="15"/>
        <v>#VALUE!</v>
      </c>
      <c r="O47" s="28" t="e">
        <f t="shared" si="15"/>
        <v>#VALUE!</v>
      </c>
      <c r="P47" s="29" t="e">
        <f t="shared" si="15"/>
        <v>#VALUE!</v>
      </c>
    </row>
    <row r="48" spans="1:16" x14ac:dyDescent="0.25">
      <c r="A48" t="s">
        <v>86</v>
      </c>
      <c r="B48" s="25" t="e">
        <f t="shared" si="14"/>
        <v>#VALUE!</v>
      </c>
      <c r="C48" s="25" t="e">
        <f t="shared" si="14"/>
        <v>#VALUE!</v>
      </c>
      <c r="D48" s="25" t="e">
        <f t="shared" si="14"/>
        <v>#VALUE!</v>
      </c>
      <c r="E48" s="25" t="e">
        <f t="shared" si="14"/>
        <v>#VALUE!</v>
      </c>
      <c r="F48" s="25" t="e">
        <f t="shared" si="14"/>
        <v>#VALUE!</v>
      </c>
      <c r="G48" s="25" t="e">
        <f t="shared" si="14"/>
        <v>#VALUE!</v>
      </c>
      <c r="H48" s="25" t="e">
        <f t="shared" si="14"/>
        <v>#VALUE!</v>
      </c>
      <c r="I48" s="26" t="e">
        <f t="shared" si="14"/>
        <v>#VALUE!</v>
      </c>
      <c r="K48" t="s">
        <v>86</v>
      </c>
      <c r="L48" s="25" t="e">
        <f t="shared" si="15"/>
        <v>#VALUE!</v>
      </c>
      <c r="M48" s="25" t="e">
        <f t="shared" si="15"/>
        <v>#VALUE!</v>
      </c>
      <c r="N48" s="25" t="e">
        <f t="shared" si="15"/>
        <v>#VALUE!</v>
      </c>
      <c r="O48" s="25" t="e">
        <f t="shared" si="15"/>
        <v>#VALUE!</v>
      </c>
      <c r="P48" s="26" t="e">
        <f t="shared" si="15"/>
        <v>#VALUE!</v>
      </c>
    </row>
    <row r="49" spans="1:16" x14ac:dyDescent="0.25">
      <c r="A49" t="s">
        <v>1743</v>
      </c>
      <c r="B49" s="25" t="e">
        <f t="shared" si="14"/>
        <v>#VALUE!</v>
      </c>
      <c r="C49" s="25" t="e">
        <f t="shared" si="14"/>
        <v>#VALUE!</v>
      </c>
      <c r="D49" s="25" t="e">
        <f t="shared" si="14"/>
        <v>#VALUE!</v>
      </c>
      <c r="E49" s="25" t="e">
        <f t="shared" si="14"/>
        <v>#VALUE!</v>
      </c>
      <c r="F49" s="25" t="e">
        <f t="shared" si="14"/>
        <v>#VALUE!</v>
      </c>
      <c r="G49" s="25" t="e">
        <f t="shared" si="14"/>
        <v>#VALUE!</v>
      </c>
      <c r="H49" s="25" t="e">
        <f t="shared" si="14"/>
        <v>#VALUE!</v>
      </c>
      <c r="I49" s="26" t="e">
        <f t="shared" si="14"/>
        <v>#VALUE!</v>
      </c>
      <c r="K49" t="s">
        <v>1743</v>
      </c>
      <c r="L49" s="25" t="e">
        <f t="shared" si="15"/>
        <v>#VALUE!</v>
      </c>
      <c r="M49" s="25" t="e">
        <f t="shared" si="15"/>
        <v>#VALUE!</v>
      </c>
      <c r="N49" s="25" t="e">
        <f t="shared" si="15"/>
        <v>#VALUE!</v>
      </c>
      <c r="O49" s="25" t="e">
        <f t="shared" si="15"/>
        <v>#VALUE!</v>
      </c>
      <c r="P49" s="26" t="e">
        <f t="shared" si="15"/>
        <v>#VALUE!</v>
      </c>
    </row>
    <row r="50" spans="1:16" x14ac:dyDescent="0.25">
      <c r="B50" s="25"/>
      <c r="C50" s="25"/>
      <c r="D50" s="25"/>
      <c r="E50" s="25"/>
      <c r="F50" s="25"/>
      <c r="G50" s="25"/>
      <c r="H50" s="25"/>
      <c r="I50" s="26"/>
      <c r="L50" s="25"/>
      <c r="M50" s="25"/>
      <c r="N50" s="25"/>
      <c r="O50" s="25"/>
      <c r="P50" s="26"/>
    </row>
    <row r="51" spans="1:16" x14ac:dyDescent="0.25">
      <c r="B51" s="22"/>
      <c r="C51" s="22"/>
      <c r="D51" s="22"/>
      <c r="E51" s="22"/>
      <c r="F51" s="22"/>
      <c r="G51" s="22"/>
      <c r="H51" s="22"/>
      <c r="I51" s="23"/>
      <c r="L51" s="22"/>
      <c r="M51" s="22"/>
      <c r="N51" s="22"/>
      <c r="O51" s="22"/>
      <c r="P51" s="23"/>
    </row>
    <row r="52" spans="1:16" x14ac:dyDescent="0.25">
      <c r="A52" s="14" t="s">
        <v>1745</v>
      </c>
      <c r="B52" s="14"/>
      <c r="C52" s="14"/>
      <c r="D52" s="14"/>
      <c r="E52" s="14"/>
      <c r="F52" s="14"/>
      <c r="G52" s="14"/>
      <c r="H52" s="14"/>
      <c r="I52" s="24" t="s">
        <v>29</v>
      </c>
      <c r="K52" s="14" t="s">
        <v>1745</v>
      </c>
      <c r="L52" s="14"/>
      <c r="M52" s="14"/>
      <c r="N52" s="14"/>
      <c r="O52" s="14"/>
      <c r="P52" s="24" t="s">
        <v>29</v>
      </c>
    </row>
    <row r="53" spans="1:16" x14ac:dyDescent="0.25">
      <c r="A53" s="37" t="s">
        <v>1746</v>
      </c>
      <c r="B53" s="37"/>
      <c r="C53" s="37"/>
      <c r="D53" s="37"/>
      <c r="E53" s="37"/>
      <c r="F53" s="37"/>
      <c r="G53" s="37"/>
      <c r="H53" s="37"/>
      <c r="I53" s="38"/>
      <c r="K53" s="37" t="s">
        <v>1747</v>
      </c>
      <c r="L53" s="37"/>
      <c r="M53" s="37"/>
      <c r="N53" s="37"/>
      <c r="O53" s="37"/>
      <c r="P53" s="38"/>
    </row>
    <row r="54" spans="1:16" x14ac:dyDescent="0.25">
      <c r="A54" t="s">
        <v>1748</v>
      </c>
      <c r="B54" s="179" t="e">
        <f t="shared" ref="B54:I54" si="16">SUM(B$8:B$12)/B$39*1000</f>
        <v>#VALUE!</v>
      </c>
      <c r="C54" s="179" t="e">
        <f t="shared" si="16"/>
        <v>#VALUE!</v>
      </c>
      <c r="D54" s="179" t="e">
        <f t="shared" si="16"/>
        <v>#VALUE!</v>
      </c>
      <c r="E54" s="179" t="e">
        <f t="shared" si="16"/>
        <v>#VALUE!</v>
      </c>
      <c r="F54" s="179" t="e">
        <f t="shared" si="16"/>
        <v>#VALUE!</v>
      </c>
      <c r="G54" s="179" t="e">
        <f t="shared" si="16"/>
        <v>#VALUE!</v>
      </c>
      <c r="H54" s="179" t="e">
        <f t="shared" si="16"/>
        <v>#VALUE!</v>
      </c>
      <c r="I54" s="180" t="e">
        <f t="shared" si="16"/>
        <v>#VALUE!</v>
      </c>
      <c r="K54" t="s">
        <v>1748</v>
      </c>
      <c r="L54" s="48" t="e">
        <f>SUM(L$8:L$12)/L$39*1000</f>
        <v>#VALUE!</v>
      </c>
      <c r="M54" s="48" t="e">
        <f>SUM(M$8:M$12)/M$39*1000</f>
        <v>#VALUE!</v>
      </c>
      <c r="N54" s="48" t="e">
        <f>SUM(N$8:N$12)/N$39*1000</f>
        <v>#VALUE!</v>
      </c>
      <c r="O54" s="48" t="e">
        <f>SUM(O$8:O$12)/O$39*1000</f>
        <v>#VALUE!</v>
      </c>
      <c r="P54" s="49" t="e">
        <f>SUM(P$8:P$12)/P$39*1000</f>
        <v>#VALUE!</v>
      </c>
    </row>
    <row r="55" spans="1:16" x14ac:dyDescent="0.25">
      <c r="A55" t="s">
        <v>1749</v>
      </c>
      <c r="B55" s="179" t="e">
        <f t="shared" ref="B55:I55" si="17">SUM(B$8:B$11)/B$39*1000</f>
        <v>#VALUE!</v>
      </c>
      <c r="C55" s="179" t="e">
        <f t="shared" si="17"/>
        <v>#VALUE!</v>
      </c>
      <c r="D55" s="179" t="e">
        <f t="shared" si="17"/>
        <v>#VALUE!</v>
      </c>
      <c r="E55" s="179" t="e">
        <f t="shared" si="17"/>
        <v>#VALUE!</v>
      </c>
      <c r="F55" s="179" t="e">
        <f t="shared" si="17"/>
        <v>#VALUE!</v>
      </c>
      <c r="G55" s="179" t="e">
        <f t="shared" si="17"/>
        <v>#VALUE!</v>
      </c>
      <c r="H55" s="179" t="e">
        <f t="shared" si="17"/>
        <v>#VALUE!</v>
      </c>
      <c r="I55" s="180" t="e">
        <f t="shared" si="17"/>
        <v>#VALUE!</v>
      </c>
      <c r="K55" t="s">
        <v>1749</v>
      </c>
      <c r="L55" s="48" t="e">
        <f>SUM(L$8:L$11)/L$39*1000</f>
        <v>#VALUE!</v>
      </c>
      <c r="M55" s="48" t="e">
        <f>SUM(M$8:M$11)/M$39*1000</f>
        <v>#VALUE!</v>
      </c>
      <c r="N55" s="48" t="e">
        <f>SUM(N$8:N$11)/N$39*1000</f>
        <v>#VALUE!</v>
      </c>
      <c r="O55" s="48" t="e">
        <f>SUM(O$8:O$11)/O$39*1000</f>
        <v>#VALUE!</v>
      </c>
      <c r="P55" s="49" t="e">
        <f>SUM(P$8:P$11)/P$39*1000</f>
        <v>#VALUE!</v>
      </c>
    </row>
    <row r="56" spans="1:16" x14ac:dyDescent="0.25">
      <c r="A56" t="s">
        <v>1750</v>
      </c>
      <c r="B56" s="179" t="e">
        <f t="shared" ref="B56:I56" si="18">SUM(B$8:B$10)/B$39*1000</f>
        <v>#VALUE!</v>
      </c>
      <c r="C56" s="179" t="e">
        <f t="shared" si="18"/>
        <v>#VALUE!</v>
      </c>
      <c r="D56" s="179" t="e">
        <f t="shared" si="18"/>
        <v>#VALUE!</v>
      </c>
      <c r="E56" s="179" t="e">
        <f t="shared" si="18"/>
        <v>#VALUE!</v>
      </c>
      <c r="F56" s="179" t="e">
        <f t="shared" si="18"/>
        <v>#VALUE!</v>
      </c>
      <c r="G56" s="179" t="e">
        <f t="shared" si="18"/>
        <v>#VALUE!</v>
      </c>
      <c r="H56" s="179" t="e">
        <f t="shared" si="18"/>
        <v>#VALUE!</v>
      </c>
      <c r="I56" s="180" t="e">
        <f t="shared" si="18"/>
        <v>#VALUE!</v>
      </c>
      <c r="K56" t="s">
        <v>1750</v>
      </c>
      <c r="L56" s="48" t="e">
        <f>SUM(L$8:L$10)/L$39*1000</f>
        <v>#VALUE!</v>
      </c>
      <c r="M56" s="48" t="e">
        <f>SUM(M$8:M$10)/M$39*1000</f>
        <v>#VALUE!</v>
      </c>
      <c r="N56" s="48" t="e">
        <f>SUM(N$8:N$10)/N$39*1000</f>
        <v>#VALUE!</v>
      </c>
      <c r="O56" s="48" t="e">
        <f>SUM(O$8:O$10)/O$39*1000</f>
        <v>#VALUE!</v>
      </c>
      <c r="P56" s="49" t="e">
        <f>SUM(P$8:P$10)/P$39*1000</f>
        <v>#VALUE!</v>
      </c>
    </row>
    <row r="57" spans="1:16" x14ac:dyDescent="0.25">
      <c r="A57" t="s">
        <v>1751</v>
      </c>
      <c r="B57" s="179" t="e">
        <f t="shared" ref="B57:I57" si="19">SUM(B$8:B$9)/B$39*1000</f>
        <v>#VALUE!</v>
      </c>
      <c r="C57" s="179" t="e">
        <f t="shared" si="19"/>
        <v>#VALUE!</v>
      </c>
      <c r="D57" s="179" t="e">
        <f t="shared" si="19"/>
        <v>#VALUE!</v>
      </c>
      <c r="E57" s="179" t="e">
        <f t="shared" si="19"/>
        <v>#VALUE!</v>
      </c>
      <c r="F57" s="179" t="e">
        <f t="shared" si="19"/>
        <v>#VALUE!</v>
      </c>
      <c r="G57" s="179" t="e">
        <f t="shared" si="19"/>
        <v>#VALUE!</v>
      </c>
      <c r="H57" s="179" t="e">
        <f t="shared" si="19"/>
        <v>#VALUE!</v>
      </c>
      <c r="I57" s="180" t="e">
        <f t="shared" si="19"/>
        <v>#VALUE!</v>
      </c>
      <c r="K57" t="s">
        <v>1751</v>
      </c>
      <c r="L57" s="48" t="e">
        <f>SUM(L$8:L$9)/L$39*1000</f>
        <v>#VALUE!</v>
      </c>
      <c r="M57" s="48" t="e">
        <f>SUM(M$8:M$9)/M$39*1000</f>
        <v>#VALUE!</v>
      </c>
      <c r="N57" s="48" t="e">
        <f>SUM(N$8:N$9)/N$39*1000</f>
        <v>#VALUE!</v>
      </c>
      <c r="O57" s="48" t="e">
        <f>SUM(O$8:O$9)/O$39*1000</f>
        <v>#VALUE!</v>
      </c>
      <c r="P57" s="49" t="e">
        <f>SUM(P$8:P$9)/P$39*1000</f>
        <v>#VALUE!</v>
      </c>
    </row>
    <row r="58" spans="1:16" x14ac:dyDescent="0.25">
      <c r="A58" t="s">
        <v>1752</v>
      </c>
      <c r="B58" s="179" t="e">
        <f t="shared" ref="B58:I58" si="20">SUM(B$8:B$8)/B$39*1000</f>
        <v>#VALUE!</v>
      </c>
      <c r="C58" s="179" t="e">
        <f t="shared" si="20"/>
        <v>#VALUE!</v>
      </c>
      <c r="D58" s="179" t="e">
        <f t="shared" si="20"/>
        <v>#VALUE!</v>
      </c>
      <c r="E58" s="179" t="e">
        <f t="shared" si="20"/>
        <v>#VALUE!</v>
      </c>
      <c r="F58" s="179" t="e">
        <f t="shared" si="20"/>
        <v>#VALUE!</v>
      </c>
      <c r="G58" s="179" t="e">
        <f t="shared" si="20"/>
        <v>#VALUE!</v>
      </c>
      <c r="H58" s="179" t="e">
        <f t="shared" si="20"/>
        <v>#VALUE!</v>
      </c>
      <c r="I58" s="180" t="e">
        <f t="shared" si="20"/>
        <v>#VALUE!</v>
      </c>
      <c r="K58" t="s">
        <v>1752</v>
      </c>
      <c r="L58" s="48" t="e">
        <f>SUM(L$8:L$8)/L$39*1000</f>
        <v>#VALUE!</v>
      </c>
      <c r="M58" s="48" t="e">
        <f>SUM(M$8:M$8)/M$39*1000</f>
        <v>#VALUE!</v>
      </c>
      <c r="N58" s="48" t="e">
        <f>SUM(N$8:N$8)/N$39*1000</f>
        <v>#VALUE!</v>
      </c>
      <c r="O58" s="48" t="e">
        <f>SUM(O$8:O$8)/O$39*1000</f>
        <v>#VALUE!</v>
      </c>
      <c r="P58" s="49" t="e">
        <f>SUM(P$8:P$8)/P$39*1000</f>
        <v>#VALUE!</v>
      </c>
    </row>
    <row r="59" spans="1:16" x14ac:dyDescent="0.25">
      <c r="B59" s="181"/>
      <c r="C59" s="181"/>
      <c r="D59" s="181"/>
      <c r="E59" s="181"/>
      <c r="F59" s="181"/>
      <c r="G59" s="181"/>
      <c r="H59" s="181"/>
      <c r="I59" s="182"/>
      <c r="L59" s="181"/>
      <c r="M59" s="181"/>
      <c r="N59" s="181"/>
      <c r="O59" s="181"/>
      <c r="P59" s="182"/>
    </row>
    <row r="60" spans="1:16" x14ac:dyDescent="0.25">
      <c r="A60" t="s">
        <v>1748</v>
      </c>
      <c r="B60" s="181"/>
      <c r="C60" s="181"/>
      <c r="D60" s="181"/>
      <c r="E60" s="181"/>
      <c r="F60" s="181"/>
      <c r="G60" s="181"/>
      <c r="H60" s="181"/>
      <c r="I60" s="182"/>
      <c r="L60" s="181"/>
      <c r="M60" s="181"/>
      <c r="N60" s="181"/>
      <c r="O60" s="181"/>
      <c r="P60" s="182"/>
    </row>
    <row r="61" spans="1:16" x14ac:dyDescent="0.25">
      <c r="A61" t="s">
        <v>1749</v>
      </c>
      <c r="B61" s="181"/>
      <c r="C61" s="181"/>
      <c r="D61" s="181"/>
      <c r="E61" s="181"/>
      <c r="F61" s="181"/>
      <c r="G61" s="181"/>
      <c r="H61" s="181"/>
      <c r="I61" s="182"/>
      <c r="L61" s="181"/>
      <c r="M61" s="181"/>
      <c r="N61" s="181"/>
      <c r="O61" s="181"/>
      <c r="P61" s="182"/>
    </row>
    <row r="62" spans="1:16" x14ac:dyDescent="0.25">
      <c r="A62" t="s">
        <v>1753</v>
      </c>
      <c r="B62" s="181"/>
      <c r="C62" s="181"/>
      <c r="D62" s="181"/>
      <c r="E62" s="181"/>
      <c r="F62" s="181"/>
      <c r="G62" s="181"/>
      <c r="H62" s="181"/>
      <c r="I62" s="182"/>
      <c r="L62" s="181"/>
      <c r="M62" s="181"/>
      <c r="N62" s="181"/>
      <c r="O62" s="181"/>
      <c r="P62" s="182"/>
    </row>
    <row r="63" spans="1:16" x14ac:dyDescent="0.25">
      <c r="A63" t="s">
        <v>1754</v>
      </c>
      <c r="B63" s="181"/>
      <c r="C63" s="181"/>
      <c r="D63" s="181"/>
      <c r="E63" s="181"/>
      <c r="F63" s="181"/>
      <c r="G63" s="181"/>
      <c r="H63" s="181"/>
      <c r="I63" s="182"/>
      <c r="L63" s="181"/>
      <c r="M63" s="181"/>
      <c r="N63" s="181"/>
      <c r="O63" s="181"/>
      <c r="P63" s="182"/>
    </row>
    <row r="64" spans="1:16" x14ac:dyDescent="0.25">
      <c r="B64" s="181"/>
      <c r="C64" s="181"/>
      <c r="D64" s="181"/>
      <c r="E64" s="181"/>
      <c r="F64" s="181"/>
      <c r="G64" s="181"/>
      <c r="H64" s="181"/>
      <c r="I64" s="182"/>
      <c r="L64" s="181"/>
      <c r="M64" s="181"/>
      <c r="N64" s="181"/>
      <c r="O64" s="181"/>
      <c r="P64" s="182"/>
    </row>
    <row r="65" spans="1:16" x14ac:dyDescent="0.25">
      <c r="B65" s="181"/>
      <c r="C65" s="181"/>
      <c r="D65" s="181"/>
      <c r="E65" s="181"/>
      <c r="F65" s="181"/>
      <c r="G65" s="181"/>
      <c r="H65" s="181"/>
      <c r="I65" s="182"/>
      <c r="L65" s="181"/>
      <c r="M65" s="181"/>
      <c r="N65" s="181"/>
      <c r="O65" s="181"/>
      <c r="P65" s="182"/>
    </row>
    <row r="66" spans="1:16" x14ac:dyDescent="0.25">
      <c r="B66" s="181"/>
      <c r="C66" s="181"/>
      <c r="D66" s="181"/>
      <c r="E66" s="181"/>
      <c r="F66" s="181"/>
      <c r="G66" s="181"/>
      <c r="H66" s="181"/>
      <c r="I66" s="182"/>
      <c r="L66" s="181"/>
      <c r="M66" s="181"/>
      <c r="N66" s="181"/>
      <c r="O66" s="181"/>
      <c r="P66" s="182"/>
    </row>
    <row r="67" spans="1:16" x14ac:dyDescent="0.25">
      <c r="B67" s="181"/>
      <c r="C67" s="181"/>
      <c r="D67" s="181"/>
      <c r="E67" s="181"/>
      <c r="F67" s="181"/>
      <c r="G67" s="181"/>
      <c r="H67" s="181"/>
      <c r="I67" s="182"/>
      <c r="L67" s="181"/>
      <c r="M67" s="181"/>
      <c r="N67" s="181"/>
      <c r="O67" s="181"/>
      <c r="P67" s="182"/>
    </row>
    <row r="68" spans="1:16" x14ac:dyDescent="0.25">
      <c r="B68" s="181"/>
      <c r="C68" s="181"/>
      <c r="D68" s="181"/>
      <c r="E68" s="181"/>
      <c r="F68" s="181"/>
      <c r="G68" s="181"/>
      <c r="H68" s="181"/>
      <c r="I68" s="182"/>
      <c r="L68" s="181"/>
      <c r="M68" s="181"/>
      <c r="N68" s="181"/>
      <c r="O68" s="181"/>
      <c r="P68" s="182"/>
    </row>
    <row r="69" spans="1:16" x14ac:dyDescent="0.25">
      <c r="A69" s="37" t="s">
        <v>1755</v>
      </c>
      <c r="B69" s="183"/>
      <c r="C69" s="183"/>
      <c r="D69" s="183"/>
      <c r="E69" s="183"/>
      <c r="F69" s="183"/>
      <c r="G69" s="183"/>
      <c r="H69" s="183"/>
      <c r="I69" s="184"/>
      <c r="K69" s="37" t="s">
        <v>1755</v>
      </c>
      <c r="L69" s="183"/>
      <c r="M69" s="183"/>
      <c r="N69" s="183"/>
      <c r="O69" s="183"/>
      <c r="P69" s="184"/>
    </row>
    <row r="70" spans="1:16" x14ac:dyDescent="0.25">
      <c r="A70" t="s">
        <v>1756</v>
      </c>
      <c r="B70" s="48" t="e">
        <f t="shared" ref="B70:I70" si="21">SUM(B$8:B$12)/B$32*100000</f>
        <v>#VALUE!</v>
      </c>
      <c r="C70" s="48" t="e">
        <f t="shared" si="21"/>
        <v>#VALUE!</v>
      </c>
      <c r="D70" s="48" t="e">
        <f t="shared" si="21"/>
        <v>#VALUE!</v>
      </c>
      <c r="E70" s="48" t="e">
        <f t="shared" si="21"/>
        <v>#VALUE!</v>
      </c>
      <c r="F70" s="48" t="e">
        <f t="shared" si="21"/>
        <v>#VALUE!</v>
      </c>
      <c r="G70" s="48" t="e">
        <f t="shared" si="21"/>
        <v>#VALUE!</v>
      </c>
      <c r="H70" s="48" t="e">
        <f t="shared" si="21"/>
        <v>#VALUE!</v>
      </c>
      <c r="I70" s="49" t="e">
        <f t="shared" si="21"/>
        <v>#VALUE!</v>
      </c>
      <c r="K70" t="s">
        <v>1756</v>
      </c>
      <c r="L70" s="48" t="e">
        <f>SUM(L$8:L$12)/L$32*100000</f>
        <v>#VALUE!</v>
      </c>
      <c r="M70" s="48" t="e">
        <f>SUM(M$8:M$12)/M$32*100000</f>
        <v>#VALUE!</v>
      </c>
      <c r="N70" s="48" t="e">
        <f>SUM(N$8:N$12)/N$32*100000</f>
        <v>#VALUE!</v>
      </c>
      <c r="O70" s="48" t="e">
        <f>SUM(O$8:O$12)/O$32*100000</f>
        <v>#VALUE!</v>
      </c>
      <c r="P70" s="49" t="e">
        <f>SUM(P$8:P$12)/P$32*100000</f>
        <v>#VALUE!</v>
      </c>
    </row>
    <row r="71" spans="1:16" x14ac:dyDescent="0.25">
      <c r="A71" t="s">
        <v>1749</v>
      </c>
      <c r="B71" s="48" t="e">
        <f t="shared" ref="B71:I71" si="22">SUM(B$8:B$11)/B$32*100000</f>
        <v>#VALUE!</v>
      </c>
      <c r="C71" s="48" t="e">
        <f t="shared" si="22"/>
        <v>#VALUE!</v>
      </c>
      <c r="D71" s="48" t="e">
        <f t="shared" si="22"/>
        <v>#VALUE!</v>
      </c>
      <c r="E71" s="48" t="e">
        <f t="shared" si="22"/>
        <v>#VALUE!</v>
      </c>
      <c r="F71" s="48" t="e">
        <f t="shared" si="22"/>
        <v>#VALUE!</v>
      </c>
      <c r="G71" s="48" t="e">
        <f t="shared" si="22"/>
        <v>#VALUE!</v>
      </c>
      <c r="H71" s="48" t="e">
        <f t="shared" si="22"/>
        <v>#VALUE!</v>
      </c>
      <c r="I71" s="49" t="e">
        <f t="shared" si="22"/>
        <v>#VALUE!</v>
      </c>
      <c r="K71" t="s">
        <v>1749</v>
      </c>
      <c r="L71" s="48" t="e">
        <f>SUM(L$8:L$11)/L$32*100000</f>
        <v>#VALUE!</v>
      </c>
      <c r="M71" s="48" t="e">
        <f>SUM(M$8:M$11)/M$32*100000</f>
        <v>#VALUE!</v>
      </c>
      <c r="N71" s="48" t="e">
        <f>SUM(N$8:N$11)/N$32*100000</f>
        <v>#VALUE!</v>
      </c>
      <c r="O71" s="48" t="e">
        <f>SUM(O$8:O$11)/O$32*100000</f>
        <v>#VALUE!</v>
      </c>
      <c r="P71" s="49" t="e">
        <f>SUM(P$8:P$11)/P$32*100000</f>
        <v>#VALUE!</v>
      </c>
    </row>
    <row r="72" spans="1:16" x14ac:dyDescent="0.25">
      <c r="A72" t="s">
        <v>1750</v>
      </c>
      <c r="B72" s="48" t="e">
        <f t="shared" ref="B72:I72" si="23">SUM(B$8:B$10)/B$32*100000</f>
        <v>#VALUE!</v>
      </c>
      <c r="C72" s="48" t="e">
        <f t="shared" si="23"/>
        <v>#VALUE!</v>
      </c>
      <c r="D72" s="48" t="e">
        <f t="shared" si="23"/>
        <v>#VALUE!</v>
      </c>
      <c r="E72" s="48" t="e">
        <f t="shared" si="23"/>
        <v>#VALUE!</v>
      </c>
      <c r="F72" s="48" t="e">
        <f t="shared" si="23"/>
        <v>#VALUE!</v>
      </c>
      <c r="G72" s="48" t="e">
        <f t="shared" si="23"/>
        <v>#VALUE!</v>
      </c>
      <c r="H72" s="48" t="e">
        <f t="shared" si="23"/>
        <v>#VALUE!</v>
      </c>
      <c r="I72" s="49" t="e">
        <f t="shared" si="23"/>
        <v>#VALUE!</v>
      </c>
      <c r="K72" t="s">
        <v>1750</v>
      </c>
      <c r="L72" s="48" t="e">
        <f>SUM(L$8:L$10)/L$32*100000</f>
        <v>#VALUE!</v>
      </c>
      <c r="M72" s="48" t="e">
        <f>SUM(M$8:M$10)/M$32*100000</f>
        <v>#VALUE!</v>
      </c>
      <c r="N72" s="48" t="e">
        <f>SUM(N$8:N$10)/N$32*100000</f>
        <v>#VALUE!</v>
      </c>
      <c r="O72" s="48" t="e">
        <f>SUM(O$8:O$10)/O$32*100000</f>
        <v>#VALUE!</v>
      </c>
      <c r="P72" s="49" t="e">
        <f>SUM(P$8:P$10)/P$32*100000</f>
        <v>#VALUE!</v>
      </c>
    </row>
    <row r="73" spans="1:16" x14ac:dyDescent="0.25">
      <c r="A73" t="s">
        <v>1751</v>
      </c>
      <c r="B73" s="48" t="e">
        <f t="shared" ref="B73:I73" si="24">SUM(B$8:B$9)/B$32*100000</f>
        <v>#VALUE!</v>
      </c>
      <c r="C73" s="48" t="e">
        <f t="shared" si="24"/>
        <v>#VALUE!</v>
      </c>
      <c r="D73" s="48" t="e">
        <f t="shared" si="24"/>
        <v>#VALUE!</v>
      </c>
      <c r="E73" s="48" t="e">
        <f t="shared" si="24"/>
        <v>#VALUE!</v>
      </c>
      <c r="F73" s="48" t="e">
        <f t="shared" si="24"/>
        <v>#VALUE!</v>
      </c>
      <c r="G73" s="48" t="e">
        <f t="shared" si="24"/>
        <v>#VALUE!</v>
      </c>
      <c r="H73" s="48" t="e">
        <f t="shared" si="24"/>
        <v>#VALUE!</v>
      </c>
      <c r="I73" s="49" t="e">
        <f t="shared" si="24"/>
        <v>#VALUE!</v>
      </c>
      <c r="K73" t="s">
        <v>1751</v>
      </c>
      <c r="L73" s="48" t="e">
        <f>SUM(L$8:L$9)/L$32*100000</f>
        <v>#VALUE!</v>
      </c>
      <c r="M73" s="48" t="e">
        <f>SUM(M$8:M$9)/M$32*100000</f>
        <v>#VALUE!</v>
      </c>
      <c r="N73" s="48" t="e">
        <f>SUM(N$8:N$9)/N$32*100000</f>
        <v>#VALUE!</v>
      </c>
      <c r="O73" s="48" t="e">
        <f>SUM(O$8:O$9)/O$32*100000</f>
        <v>#VALUE!</v>
      </c>
      <c r="P73" s="49" t="e">
        <f>SUM(P$8:P$9)/P$32*100000</f>
        <v>#VALUE!</v>
      </c>
    </row>
    <row r="74" spans="1:16" x14ac:dyDescent="0.25">
      <c r="A74" t="s">
        <v>1752</v>
      </c>
      <c r="B74" s="48" t="e">
        <f t="shared" ref="B74:I74" si="25">SUM(B$8:B$8)/B$32*100000</f>
        <v>#VALUE!</v>
      </c>
      <c r="C74" s="48" t="e">
        <f t="shared" si="25"/>
        <v>#VALUE!</v>
      </c>
      <c r="D74" s="48" t="e">
        <f t="shared" si="25"/>
        <v>#VALUE!</v>
      </c>
      <c r="E74" s="48" t="e">
        <f t="shared" si="25"/>
        <v>#VALUE!</v>
      </c>
      <c r="F74" s="48" t="e">
        <f t="shared" si="25"/>
        <v>#VALUE!</v>
      </c>
      <c r="G74" s="48" t="e">
        <f t="shared" si="25"/>
        <v>#VALUE!</v>
      </c>
      <c r="H74" s="48" t="e">
        <f t="shared" si="25"/>
        <v>#VALUE!</v>
      </c>
      <c r="I74" s="49" t="e">
        <f t="shared" si="25"/>
        <v>#VALUE!</v>
      </c>
      <c r="K74" t="s">
        <v>1752</v>
      </c>
      <c r="L74" s="48" t="e">
        <f>SUM(L$8:L$8)/L$32*100000</f>
        <v>#VALUE!</v>
      </c>
      <c r="M74" s="48" t="e">
        <f>SUM(M$8:M$8)/M$32*100000</f>
        <v>#VALUE!</v>
      </c>
      <c r="N74" s="48" t="e">
        <f>SUM(N$8:N$8)/N$32*100000</f>
        <v>#VALUE!</v>
      </c>
      <c r="O74" s="48" t="e">
        <f>SUM(O$8:O$8)/O$32*100000</f>
        <v>#VALUE!</v>
      </c>
      <c r="P74" s="49" t="e">
        <f>SUM(P$8:P$8)/P$32*100000</f>
        <v>#VALUE!</v>
      </c>
    </row>
    <row r="75" spans="1:16" x14ac:dyDescent="0.25">
      <c r="B75" s="181"/>
      <c r="C75" s="181"/>
      <c r="D75" s="181"/>
      <c r="E75" s="181"/>
      <c r="F75" s="181"/>
      <c r="G75" s="181"/>
      <c r="H75" s="181"/>
      <c r="I75" s="182"/>
      <c r="L75" s="181"/>
      <c r="M75" s="181"/>
      <c r="N75" s="181"/>
      <c r="O75" s="181"/>
      <c r="P75" s="182"/>
    </row>
    <row r="76" spans="1:16" x14ac:dyDescent="0.25">
      <c r="B76" s="181"/>
      <c r="C76" s="181"/>
      <c r="D76" s="181"/>
      <c r="E76" s="181"/>
      <c r="F76" s="181"/>
      <c r="G76" s="181"/>
      <c r="H76" s="181"/>
      <c r="I76" s="182"/>
      <c r="L76" s="181"/>
      <c r="M76" s="181"/>
      <c r="N76" s="181"/>
      <c r="O76" s="181"/>
      <c r="P76" s="182"/>
    </row>
    <row r="77" spans="1:16" x14ac:dyDescent="0.25">
      <c r="A77" s="37" t="s">
        <v>1757</v>
      </c>
      <c r="B77" s="183"/>
      <c r="C77" s="183"/>
      <c r="D77" s="183"/>
      <c r="E77" s="183"/>
      <c r="F77" s="183"/>
      <c r="G77" s="183"/>
      <c r="H77" s="183"/>
      <c r="I77" s="184"/>
      <c r="K77" s="37" t="s">
        <v>1757</v>
      </c>
      <c r="L77" s="183"/>
      <c r="M77" s="183"/>
      <c r="N77" s="183"/>
      <c r="O77" s="183"/>
      <c r="P77" s="184"/>
    </row>
    <row r="78" spans="1:16" x14ac:dyDescent="0.25">
      <c r="A78" t="s">
        <v>1748</v>
      </c>
      <c r="B78" s="48">
        <f t="shared" ref="B78:I78" si="26">SUM(B$8:B$12)/B$30</f>
        <v>3.216682112568241</v>
      </c>
      <c r="C78" s="48">
        <f t="shared" si="26"/>
        <v>1.2480675549139482</v>
      </c>
      <c r="D78" s="48">
        <f t="shared" si="26"/>
        <v>2.2261975204065951</v>
      </c>
      <c r="E78" s="48">
        <f t="shared" si="26"/>
        <v>1.5990697395764615</v>
      </c>
      <c r="F78" s="48">
        <f t="shared" si="26"/>
        <v>0.64622583001952405</v>
      </c>
      <c r="G78" s="48">
        <f t="shared" si="26"/>
        <v>0.93221897665292441</v>
      </c>
      <c r="H78" s="48">
        <f t="shared" si="26"/>
        <v>3.7091212577566663</v>
      </c>
      <c r="I78" s="49">
        <f t="shared" si="26"/>
        <v>1.589537453330742</v>
      </c>
      <c r="K78" t="s">
        <v>1748</v>
      </c>
      <c r="L78" s="48">
        <f>SUM(L$8:L$12)/L$30</f>
        <v>1.8074401780306053</v>
      </c>
      <c r="M78" s="48">
        <f>SUM(M$8:M$12)/M$30</f>
        <v>2.2261975204065951</v>
      </c>
      <c r="N78" s="48">
        <f>SUM(N$8:N$12)/N$30</f>
        <v>0.99347685140418096</v>
      </c>
      <c r="O78" s="48">
        <f>SUM(O$8:O$12)/O$30</f>
        <v>3.7091212577566663</v>
      </c>
      <c r="P78" s="49">
        <f>SUM(P$8:P$12)/P$30</f>
        <v>1.5895374533307416</v>
      </c>
    </row>
    <row r="79" spans="1:16" x14ac:dyDescent="0.25">
      <c r="A79" t="s">
        <v>1749</v>
      </c>
      <c r="B79" s="48">
        <f t="shared" ref="B79:I79" si="27">SUM(B$8:B$11)/B$30</f>
        <v>2.6201199501518646</v>
      </c>
      <c r="C79" s="48">
        <f t="shared" si="27"/>
        <v>1.0758995115521135</v>
      </c>
      <c r="D79" s="48">
        <f t="shared" si="27"/>
        <v>2.0688553818386146</v>
      </c>
      <c r="E79" s="48">
        <f t="shared" si="27"/>
        <v>1.3958791077578172</v>
      </c>
      <c r="F79" s="48">
        <f t="shared" si="27"/>
        <v>0.4853159747120549</v>
      </c>
      <c r="G79" s="48">
        <f t="shared" si="27"/>
        <v>0.76926050856762118</v>
      </c>
      <c r="H79" s="48">
        <f t="shared" si="27"/>
        <v>3.4362506962719013</v>
      </c>
      <c r="I79" s="49">
        <f t="shared" si="27"/>
        <v>1.3730851189337432</v>
      </c>
      <c r="K79" t="s">
        <v>1749</v>
      </c>
      <c r="L79" s="48">
        <f>SUM(L$8:L$11)/L$30</f>
        <v>1.5146825298180937</v>
      </c>
      <c r="M79" s="48">
        <f>SUM(M$8:M$11)/M$30</f>
        <v>2.0688553818386146</v>
      </c>
      <c r="N79" s="48">
        <f>SUM(N$8:N$11)/N$30</f>
        <v>0.82157722344440842</v>
      </c>
      <c r="O79" s="48">
        <f>SUM(O$8:O$11)/O$30</f>
        <v>3.4362506962719013</v>
      </c>
      <c r="P79" s="49">
        <f>SUM(P$8:P$11)/P$30</f>
        <v>1.373085118933743</v>
      </c>
    </row>
    <row r="80" spans="1:16" x14ac:dyDescent="0.25">
      <c r="A80" t="s">
        <v>1750</v>
      </c>
      <c r="B80" s="48">
        <f t="shared" ref="B80:I80" si="28">SUM(B$8:B$10)/B$30</f>
        <v>1.9370343678078348</v>
      </c>
      <c r="C80" s="48">
        <f t="shared" si="28"/>
        <v>0.9102070917570142</v>
      </c>
      <c r="D80" s="48">
        <f t="shared" si="28"/>
        <v>1.6716638268571813</v>
      </c>
      <c r="E80" s="48">
        <f t="shared" si="28"/>
        <v>1.3958791077578172</v>
      </c>
      <c r="F80" s="48">
        <f t="shared" si="28"/>
        <v>0.4853159747120549</v>
      </c>
      <c r="G80" s="48">
        <f t="shared" si="28"/>
        <v>0.69616651182910105</v>
      </c>
      <c r="H80" s="48">
        <f t="shared" si="28"/>
        <v>3.2665709409463473</v>
      </c>
      <c r="I80" s="49">
        <f t="shared" si="28"/>
        <v>1.208914552894057</v>
      </c>
      <c r="K80" t="s">
        <v>1750</v>
      </c>
      <c r="L80" s="48">
        <f>SUM(L$8:L$10)/L$30</f>
        <v>1.2019752617418396</v>
      </c>
      <c r="M80" s="48">
        <f>SUM(M$8:M$10)/M$30</f>
        <v>1.6716638268571813</v>
      </c>
      <c r="N80" s="48">
        <f>SUM(N$8:N$10)/N$30</f>
        <v>0.79122589149597211</v>
      </c>
      <c r="O80" s="48">
        <f>SUM(O$8:O$10)/O$30</f>
        <v>3.2665709409463473</v>
      </c>
      <c r="P80" s="49">
        <f>SUM(P$8:P$10)/P$30</f>
        <v>1.2089145528940566</v>
      </c>
    </row>
    <row r="81" spans="1:16" x14ac:dyDescent="0.25">
      <c r="A81" t="s">
        <v>1751</v>
      </c>
      <c r="B81" s="48">
        <f t="shared" ref="B81:I81" si="29">SUM(B$8:B$9)/B$30</f>
        <v>0.50659784501050886</v>
      </c>
      <c r="C81" s="48">
        <f t="shared" si="29"/>
        <v>0.4138806949133102</v>
      </c>
      <c r="D81" s="48">
        <f t="shared" si="29"/>
        <v>1.0192176619391686</v>
      </c>
      <c r="E81" s="48">
        <f t="shared" si="29"/>
        <v>0.92774929032721232</v>
      </c>
      <c r="F81" s="48">
        <f t="shared" si="29"/>
        <v>0.3065001766167153</v>
      </c>
      <c r="G81" s="48">
        <f t="shared" si="29"/>
        <v>0.41108230861519585</v>
      </c>
      <c r="H81" s="48">
        <f t="shared" si="29"/>
        <v>2.1400911305449375</v>
      </c>
      <c r="I81" s="49">
        <f t="shared" si="29"/>
        <v>0.66722546064824162</v>
      </c>
      <c r="K81" t="s">
        <v>1751</v>
      </c>
      <c r="L81" s="48">
        <f>SUM(L$8:L$9)/L$30</f>
        <v>0.44022583965285172</v>
      </c>
      <c r="M81" s="48">
        <f>SUM(M$8:M$9)/M$30</f>
        <v>1.0192176619391686</v>
      </c>
      <c r="N81" s="48">
        <f>SUM(N$8:N$9)/N$30</f>
        <v>0.49890476817943136</v>
      </c>
      <c r="O81" s="48">
        <f>SUM(O$8:O$9)/O$30</f>
        <v>2.1400911305449375</v>
      </c>
      <c r="P81" s="49">
        <f>SUM(P$8:P$9)/P$30</f>
        <v>0.6672254606482414</v>
      </c>
    </row>
    <row r="82" spans="1:16" x14ac:dyDescent="0.25">
      <c r="A82" t="s">
        <v>1752</v>
      </c>
      <c r="B82" s="48">
        <f t="shared" ref="B82:I82" si="30">SUM(B$8:B$8)/B$30</f>
        <v>0.10950840887973975</v>
      </c>
      <c r="C82" s="48">
        <f t="shared" si="30"/>
        <v>5.7542602840906974E-2</v>
      </c>
      <c r="D82" s="48">
        <f t="shared" si="30"/>
        <v>0.41198641486391735</v>
      </c>
      <c r="E82" s="48">
        <f t="shared" si="30"/>
        <v>0.10079721780030096</v>
      </c>
      <c r="F82" s="48">
        <f t="shared" si="30"/>
        <v>2.0899074575238704E-2</v>
      </c>
      <c r="G82" s="48">
        <f t="shared" si="30"/>
        <v>9.9297442111537321E-2</v>
      </c>
      <c r="H82" s="48">
        <f t="shared" si="30"/>
        <v>0.8156348785125983</v>
      </c>
      <c r="I82" s="49">
        <f t="shared" si="30"/>
        <v>0.16675373949639877</v>
      </c>
      <c r="K82" t="s">
        <v>1752</v>
      </c>
      <c r="L82" s="48">
        <f>SUM(L$8:L$8)/L$30</f>
        <v>7.2308443682269866E-2</v>
      </c>
      <c r="M82" s="48">
        <f>SUM(M$8:M$8)/M$30</f>
        <v>0.41198641486391735</v>
      </c>
      <c r="N82" s="48">
        <f>SUM(N$8:N$8)/N$30</f>
        <v>7.2612897385880767E-2</v>
      </c>
      <c r="O82" s="48">
        <f>SUM(O$8:O$8)/O$30</f>
        <v>0.8156348785125983</v>
      </c>
      <c r="P82" s="49">
        <f>SUM(P$8:P$8)/P$30</f>
        <v>0.16675373949639874</v>
      </c>
    </row>
    <row r="83" spans="1:16" x14ac:dyDescent="0.25">
      <c r="B83" s="22"/>
      <c r="C83" s="22"/>
      <c r="D83" s="22"/>
      <c r="E83" s="22"/>
      <c r="F83" s="22"/>
      <c r="G83" s="22"/>
      <c r="H83" s="22"/>
      <c r="I83" s="23"/>
      <c r="L83" s="22"/>
      <c r="M83" s="22"/>
      <c r="N83" s="22"/>
      <c r="O83" s="22"/>
      <c r="P83" s="23"/>
    </row>
    <row r="84" spans="1:16" x14ac:dyDescent="0.25">
      <c r="B84" s="22"/>
      <c r="C84" s="22"/>
      <c r="D84" s="22"/>
      <c r="E84" s="22"/>
      <c r="F84" s="22"/>
      <c r="G84" s="22"/>
      <c r="H84" s="22"/>
      <c r="I84" s="23"/>
      <c r="L84" s="22"/>
      <c r="M84" s="22"/>
      <c r="N84" s="22"/>
      <c r="O84" s="22"/>
      <c r="P84" s="23"/>
    </row>
    <row r="85" spans="1:16" x14ac:dyDescent="0.25">
      <c r="A85" s="37" t="s">
        <v>1758</v>
      </c>
      <c r="B85" s="37"/>
      <c r="C85" s="37"/>
      <c r="D85" s="37"/>
      <c r="E85" s="37"/>
      <c r="F85" s="37"/>
      <c r="G85" s="37"/>
      <c r="H85" s="37"/>
      <c r="I85" s="38"/>
      <c r="K85" s="37" t="s">
        <v>1758</v>
      </c>
      <c r="L85" s="37"/>
      <c r="M85" s="37"/>
      <c r="N85" s="37"/>
      <c r="O85" s="37"/>
      <c r="P85" s="38"/>
    </row>
    <row r="86" spans="1:16" x14ac:dyDescent="0.25">
      <c r="A86" t="s">
        <v>1759</v>
      </c>
      <c r="B86" s="20" t="e">
        <f>SUMIFS(Geographies!$U$6:$U$809,Geographies!$J$6:$J$809,B$5)</f>
        <v>#VALUE!</v>
      </c>
      <c r="C86" s="20" t="e">
        <f>SUMIFS(Geographies!$U$6:$U$809,Geographies!$J$6:$J$809,C$5)</f>
        <v>#VALUE!</v>
      </c>
      <c r="D86" s="20" t="e">
        <f>SUMIFS(Geographies!$U$6:$U$809,Geographies!$J$6:$J$809,D$5)</f>
        <v>#VALUE!</v>
      </c>
      <c r="E86" s="20" t="e">
        <f>SUMIFS(Geographies!$U$6:$U$809,Geographies!$J$6:$J$809,E$5)</f>
        <v>#VALUE!</v>
      </c>
      <c r="F86" s="20" t="e">
        <f>SUMIFS(Geographies!$U$6:$U$809,Geographies!$J$6:$J$809,F$5)</f>
        <v>#VALUE!</v>
      </c>
      <c r="G86" s="20" t="e">
        <f>SUMIFS(Geographies!$U$6:$U$809,Geographies!$J$6:$J$809,G$5)</f>
        <v>#VALUE!</v>
      </c>
      <c r="H86" s="20" t="e">
        <f>SUMIFS(Geographies!$U$6:$U$809,Geographies!$J$6:$J$809,H$5)</f>
        <v>#VALUE!</v>
      </c>
      <c r="I86" s="89" t="e">
        <f>SUM(B86:H86)</f>
        <v>#VALUE!</v>
      </c>
      <c r="K86" t="s">
        <v>1759</v>
      </c>
      <c r="L86" s="20" t="e">
        <f>SUM(B86:C86)</f>
        <v>#VALUE!</v>
      </c>
      <c r="M86" s="20" t="e">
        <f>D86</f>
        <v>#VALUE!</v>
      </c>
      <c r="N86" s="20" t="e">
        <f>SUM(E86:G86)</f>
        <v>#VALUE!</v>
      </c>
      <c r="O86" s="20" t="e">
        <f>H86</f>
        <v>#VALUE!</v>
      </c>
      <c r="P86" s="89" t="e">
        <f>SUM(L86:O86)</f>
        <v>#VALUE!</v>
      </c>
    </row>
    <row r="87" spans="1:16" x14ac:dyDescent="0.25">
      <c r="A87" t="s">
        <v>1760</v>
      </c>
      <c r="B87" s="20" t="e">
        <f>SUMIFS(Geographies!$W$6:$W$809,Geographies!$J$6:$J$809,B$5)</f>
        <v>#VALUE!</v>
      </c>
      <c r="C87" s="20" t="e">
        <f>SUMIFS(Geographies!$W$6:$W$809,Geographies!$J$6:$J$809,C$5)</f>
        <v>#VALUE!</v>
      </c>
      <c r="D87" s="20" t="e">
        <f>SUMIFS(Geographies!$W$6:$W$809,Geographies!$J$6:$J$809,D$5)</f>
        <v>#VALUE!</v>
      </c>
      <c r="E87" s="20" t="e">
        <f>SUMIFS(Geographies!$W$6:$W$809,Geographies!$J$6:$J$809,E$5)</f>
        <v>#VALUE!</v>
      </c>
      <c r="F87" s="20" t="e">
        <f>SUMIFS(Geographies!$W$6:$W$809,Geographies!$J$6:$J$809,F$5)</f>
        <v>#VALUE!</v>
      </c>
      <c r="G87" s="20" t="e">
        <f>SUMIFS(Geographies!$W$6:$W$809,Geographies!$J$6:$J$809,G$5)</f>
        <v>#VALUE!</v>
      </c>
      <c r="H87" s="20" t="e">
        <f>SUMIFS(Geographies!$W$6:$W$809,Geographies!$J$6:$J$809,H$5)</f>
        <v>#VALUE!</v>
      </c>
      <c r="I87" s="89" t="e">
        <f>SUM(B87:H87)</f>
        <v>#VALUE!</v>
      </c>
      <c r="K87" t="s">
        <v>1760</v>
      </c>
      <c r="L87" s="20" t="e">
        <f>SUM(B87:C87)</f>
        <v>#VALUE!</v>
      </c>
      <c r="M87" s="20" t="e">
        <f>D87</f>
        <v>#VALUE!</v>
      </c>
      <c r="N87" s="20" t="e">
        <f>SUM(E87:G87)</f>
        <v>#VALUE!</v>
      </c>
      <c r="O87" s="20" t="e">
        <f>H87</f>
        <v>#VALUE!</v>
      </c>
      <c r="P87" s="89" t="e">
        <f>SUM(L87:O87)</f>
        <v>#VALUE!</v>
      </c>
    </row>
    <row r="88" spans="1:16" x14ac:dyDescent="0.25">
      <c r="B88" s="22"/>
      <c r="C88" s="22"/>
      <c r="D88" s="22"/>
      <c r="E88" s="22"/>
      <c r="F88" s="22"/>
      <c r="G88" s="22"/>
      <c r="H88" s="22"/>
      <c r="I88" s="23"/>
      <c r="L88" s="22"/>
      <c r="M88" s="22"/>
      <c r="N88" s="22"/>
      <c r="O88" s="22"/>
      <c r="P88" s="23"/>
    </row>
    <row r="89" spans="1:16" x14ac:dyDescent="0.25">
      <c r="B89" s="22"/>
      <c r="C89" s="22"/>
      <c r="D89" s="22"/>
      <c r="E89" s="22"/>
      <c r="F89" s="22"/>
      <c r="G89" s="22"/>
      <c r="H89" s="22"/>
      <c r="I89" s="23"/>
      <c r="L89" s="22"/>
      <c r="M89" s="22"/>
      <c r="N89" s="22"/>
      <c r="O89" s="22"/>
      <c r="P89" s="23"/>
    </row>
    <row r="90" spans="1:16" x14ac:dyDescent="0.25">
      <c r="A90" s="37" t="s">
        <v>76</v>
      </c>
      <c r="B90" s="37"/>
      <c r="C90" s="37"/>
      <c r="D90" s="37"/>
      <c r="E90" s="37"/>
      <c r="F90" s="37"/>
      <c r="G90" s="37"/>
      <c r="H90" s="37"/>
      <c r="I90" s="38"/>
      <c r="K90" s="37" t="s">
        <v>76</v>
      </c>
      <c r="L90" s="37"/>
      <c r="M90" s="37"/>
      <c r="N90" s="37"/>
      <c r="O90" s="37"/>
      <c r="P90" s="38"/>
    </row>
    <row r="91" spans="1:16" x14ac:dyDescent="0.25">
      <c r="A91" t="s">
        <v>1759</v>
      </c>
      <c r="B91" s="25" t="e">
        <f>B86/B$32</f>
        <v>#VALUE!</v>
      </c>
      <c r="C91" s="25" t="e">
        <f t="shared" ref="C91:I91" si="31">C86/C$32</f>
        <v>#VALUE!</v>
      </c>
      <c r="D91" s="25" t="e">
        <f t="shared" si="31"/>
        <v>#VALUE!</v>
      </c>
      <c r="E91" s="25" t="e">
        <f t="shared" si="31"/>
        <v>#VALUE!</v>
      </c>
      <c r="F91" s="25" t="e">
        <f t="shared" si="31"/>
        <v>#VALUE!</v>
      </c>
      <c r="G91" s="25" t="e">
        <f t="shared" si="31"/>
        <v>#VALUE!</v>
      </c>
      <c r="H91" s="25" t="e">
        <f t="shared" si="31"/>
        <v>#VALUE!</v>
      </c>
      <c r="I91" s="26" t="e">
        <f t="shared" si="31"/>
        <v>#VALUE!</v>
      </c>
      <c r="K91" t="s">
        <v>1759</v>
      </c>
      <c r="L91" s="25" t="e">
        <f t="shared" ref="L91:P92" si="32">L86/L$32</f>
        <v>#VALUE!</v>
      </c>
      <c r="M91" s="25" t="e">
        <f t="shared" si="32"/>
        <v>#VALUE!</v>
      </c>
      <c r="N91" s="25" t="e">
        <f t="shared" si="32"/>
        <v>#VALUE!</v>
      </c>
      <c r="O91" s="25" t="e">
        <f t="shared" si="32"/>
        <v>#VALUE!</v>
      </c>
      <c r="P91" s="26" t="e">
        <f t="shared" si="32"/>
        <v>#VALUE!</v>
      </c>
    </row>
    <row r="92" spans="1:16" x14ac:dyDescent="0.25">
      <c r="A92" t="s">
        <v>1760</v>
      </c>
      <c r="B92" s="25" t="e">
        <f t="shared" ref="B92:I92" si="33">B87/B$32</f>
        <v>#VALUE!</v>
      </c>
      <c r="C92" s="25" t="e">
        <f t="shared" si="33"/>
        <v>#VALUE!</v>
      </c>
      <c r="D92" s="25" t="e">
        <f t="shared" si="33"/>
        <v>#VALUE!</v>
      </c>
      <c r="E92" s="25" t="e">
        <f t="shared" si="33"/>
        <v>#VALUE!</v>
      </c>
      <c r="F92" s="25" t="e">
        <f t="shared" si="33"/>
        <v>#VALUE!</v>
      </c>
      <c r="G92" s="25" t="e">
        <f t="shared" si="33"/>
        <v>#VALUE!</v>
      </c>
      <c r="H92" s="25" t="e">
        <f t="shared" si="33"/>
        <v>#VALUE!</v>
      </c>
      <c r="I92" s="26" t="e">
        <f t="shared" si="33"/>
        <v>#VALUE!</v>
      </c>
      <c r="K92" t="s">
        <v>1760</v>
      </c>
      <c r="L92" s="25" t="e">
        <f t="shared" si="32"/>
        <v>#VALUE!</v>
      </c>
      <c r="M92" s="25" t="e">
        <f t="shared" si="32"/>
        <v>#VALUE!</v>
      </c>
      <c r="N92" s="25" t="e">
        <f t="shared" si="32"/>
        <v>#VALUE!</v>
      </c>
      <c r="O92" s="25" t="e">
        <f t="shared" si="32"/>
        <v>#VALUE!</v>
      </c>
      <c r="P92" s="26" t="e">
        <f t="shared" si="32"/>
        <v>#VALUE!</v>
      </c>
    </row>
    <row r="93" spans="1:16" x14ac:dyDescent="0.25">
      <c r="A93" s="13"/>
      <c r="K93" s="13"/>
    </row>
    <row r="96" spans="1:16" x14ac:dyDescent="0.25">
      <c r="A96" s="14" t="s">
        <v>1761</v>
      </c>
      <c r="B96" s="14"/>
      <c r="C96" s="14"/>
      <c r="D96" s="14"/>
      <c r="E96" s="14"/>
      <c r="F96" s="24" t="s">
        <v>1762</v>
      </c>
      <c r="K96" s="13"/>
    </row>
    <row r="97" spans="1:11" x14ac:dyDescent="0.25">
      <c r="A97" s="12"/>
      <c r="B97" s="86" t="s">
        <v>1728</v>
      </c>
      <c r="C97" s="86" t="s">
        <v>1729</v>
      </c>
      <c r="D97" s="86" t="s">
        <v>1730</v>
      </c>
      <c r="E97" s="86" t="s">
        <v>1723</v>
      </c>
      <c r="F97" s="86" t="s">
        <v>39</v>
      </c>
      <c r="K97" s="13"/>
    </row>
    <row r="98" spans="1:11" x14ac:dyDescent="0.25">
      <c r="A98" t="s">
        <v>1763</v>
      </c>
      <c r="B98" s="185">
        <f>L13</f>
        <v>129.4108248918026</v>
      </c>
      <c r="C98" s="185">
        <f>M13</f>
        <v>48.502889678325332</v>
      </c>
      <c r="D98" s="185">
        <f>N13</f>
        <v>117.43693940053291</v>
      </c>
      <c r="E98" s="185">
        <f>O13</f>
        <v>71.723328904117267</v>
      </c>
      <c r="F98" s="186">
        <f>P13</f>
        <v>367.0739828747781</v>
      </c>
    </row>
    <row r="99" spans="1:11" x14ac:dyDescent="0.25">
      <c r="A99" t="s">
        <v>1764</v>
      </c>
      <c r="B99" s="185"/>
      <c r="C99" s="185"/>
      <c r="D99" s="185"/>
      <c r="E99" s="185"/>
      <c r="F99" s="186"/>
    </row>
    <row r="100" spans="1:11" x14ac:dyDescent="0.25">
      <c r="A100" s="13" t="s">
        <v>1765</v>
      </c>
      <c r="B100" s="185" t="e">
        <f>L54</f>
        <v>#VALUE!</v>
      </c>
      <c r="C100" s="185" t="e">
        <f>M54</f>
        <v>#VALUE!</v>
      </c>
      <c r="D100" s="185" t="e">
        <f>N54</f>
        <v>#VALUE!</v>
      </c>
      <c r="E100" s="185" t="e">
        <f>O54</f>
        <v>#VALUE!</v>
      </c>
      <c r="F100" s="186" t="e">
        <f>P54</f>
        <v>#VALUE!</v>
      </c>
    </row>
    <row r="101" spans="1:11" x14ac:dyDescent="0.25">
      <c r="A101" s="13" t="s">
        <v>1766</v>
      </c>
      <c r="B101" s="185" t="e">
        <f>L70</f>
        <v>#VALUE!</v>
      </c>
      <c r="C101" s="185" t="e">
        <f>M70</f>
        <v>#VALUE!</v>
      </c>
      <c r="D101" s="185" t="e">
        <f>N70</f>
        <v>#VALUE!</v>
      </c>
      <c r="E101" s="185" t="e">
        <f>O70</f>
        <v>#VALUE!</v>
      </c>
      <c r="F101" s="186" t="e">
        <f>P70</f>
        <v>#VALUE!</v>
      </c>
    </row>
    <row r="102" spans="1:11" x14ac:dyDescent="0.25">
      <c r="A102" s="13" t="s">
        <v>1767</v>
      </c>
      <c r="B102" s="185">
        <f>L78</f>
        <v>1.8074401780306053</v>
      </c>
      <c r="C102" s="185">
        <f>M78</f>
        <v>2.2261975204065951</v>
      </c>
      <c r="D102" s="185">
        <f>N78</f>
        <v>0.99347685140418096</v>
      </c>
      <c r="E102" s="185">
        <f>O78</f>
        <v>3.7091212577566663</v>
      </c>
      <c r="F102" s="186">
        <f>P78</f>
        <v>1.5895374533307416</v>
      </c>
    </row>
    <row r="103" spans="1:11" hidden="1" x14ac:dyDescent="0.25">
      <c r="A103" t="s">
        <v>1768</v>
      </c>
    </row>
    <row r="104" spans="1:11" hidden="1" x14ac:dyDescent="0.25">
      <c r="A104" s="13" t="s">
        <v>1769</v>
      </c>
      <c r="B104" s="190" t="e">
        <f t="shared" ref="B104:F105" si="34">L91</f>
        <v>#VALUE!</v>
      </c>
      <c r="C104" s="190" t="e">
        <f t="shared" si="34"/>
        <v>#VALUE!</v>
      </c>
      <c r="D104" s="190" t="e">
        <f t="shared" si="34"/>
        <v>#VALUE!</v>
      </c>
      <c r="E104" s="190" t="e">
        <f t="shared" si="34"/>
        <v>#VALUE!</v>
      </c>
      <c r="F104" s="191" t="e">
        <f t="shared" si="34"/>
        <v>#VALUE!</v>
      </c>
    </row>
    <row r="105" spans="1:11" hidden="1" x14ac:dyDescent="0.25">
      <c r="A105" s="13" t="s">
        <v>1770</v>
      </c>
      <c r="B105" s="190" t="e">
        <f t="shared" si="34"/>
        <v>#VALUE!</v>
      </c>
      <c r="C105" s="190" t="e">
        <f t="shared" si="34"/>
        <v>#VALUE!</v>
      </c>
      <c r="D105" s="190" t="e">
        <f t="shared" si="34"/>
        <v>#VALUE!</v>
      </c>
      <c r="E105" s="190" t="e">
        <f t="shared" si="34"/>
        <v>#VALUE!</v>
      </c>
      <c r="F105" s="191" t="e">
        <f t="shared" si="34"/>
        <v>#VALUE!</v>
      </c>
    </row>
  </sheetData>
  <mergeCells count="2">
    <mergeCell ref="B4:C4"/>
    <mergeCell ref="E4:G4"/>
  </mergeCells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AB814"/>
  <sheetViews>
    <sheetView zoomScale="80" zoomScaleNormal="80" workbookViewId="0">
      <selection activeCell="L3" sqref="L3:S3"/>
    </sheetView>
  </sheetViews>
  <sheetFormatPr defaultColWidth="8.85546875" defaultRowHeight="15" x14ac:dyDescent="0.25"/>
  <cols>
    <col min="1" max="1" width="14.42578125" bestFit="1" customWidth="1"/>
    <col min="2" max="2" width="19.7109375" bestFit="1" customWidth="1"/>
    <col min="3" max="3" width="11.28515625" bestFit="1" customWidth="1"/>
    <col min="4" max="4" width="20.140625" bestFit="1" customWidth="1"/>
    <col min="5" max="5" width="16" bestFit="1" customWidth="1"/>
    <col min="6" max="6" width="13" style="31" bestFit="1" customWidth="1"/>
    <col min="7" max="7" width="8.7109375" bestFit="1" customWidth="1"/>
    <col min="8" max="8" width="26" bestFit="1" customWidth="1"/>
    <col min="9" max="10" width="11.42578125" style="10" customWidth="1"/>
    <col min="11" max="19" width="14.28515625" customWidth="1"/>
    <col min="20" max="27" width="11.42578125" customWidth="1"/>
  </cols>
  <sheetData>
    <row r="1" spans="1:28" ht="18.75" x14ac:dyDescent="0.3">
      <c r="A1" s="7" t="s">
        <v>1771</v>
      </c>
    </row>
    <row r="2" spans="1:28" x14ac:dyDescent="0.25">
      <c r="A2" t="s">
        <v>1772</v>
      </c>
    </row>
    <row r="3" spans="1:28" ht="17.25" x14ac:dyDescent="0.4">
      <c r="E3" s="30"/>
      <c r="F3" s="30"/>
      <c r="G3" s="30"/>
      <c r="H3" s="216" t="s">
        <v>1773</v>
      </c>
      <c r="I3" s="216"/>
      <c r="J3" s="216"/>
      <c r="K3" s="216"/>
      <c r="L3" s="216" t="s">
        <v>1774</v>
      </c>
      <c r="M3" s="216"/>
      <c r="N3" s="216"/>
      <c r="O3" s="216"/>
      <c r="P3" s="216"/>
      <c r="Q3" s="216"/>
      <c r="R3" s="216"/>
      <c r="S3" s="216"/>
      <c r="T3" s="216" t="s">
        <v>1775</v>
      </c>
      <c r="U3" s="216"/>
      <c r="V3" s="216"/>
      <c r="W3" s="216"/>
      <c r="X3" s="216"/>
      <c r="Y3" s="216"/>
      <c r="Z3" s="216"/>
      <c r="AA3" s="216"/>
      <c r="AB3" s="30"/>
    </row>
    <row r="4" spans="1:28" ht="17.25" x14ac:dyDescent="0.4">
      <c r="G4" s="45"/>
      <c r="M4" s="18" t="s">
        <v>1776</v>
      </c>
      <c r="N4" s="18" t="s">
        <v>1777</v>
      </c>
      <c r="O4" s="18" t="s">
        <v>1778</v>
      </c>
      <c r="P4" s="18" t="s">
        <v>1779</v>
      </c>
      <c r="Q4" s="18" t="s">
        <v>1780</v>
      </c>
      <c r="R4" s="18" t="s">
        <v>1781</v>
      </c>
      <c r="S4" s="18"/>
      <c r="T4" s="217" t="s">
        <v>77</v>
      </c>
      <c r="U4" s="217"/>
      <c r="V4" s="217" t="s">
        <v>1782</v>
      </c>
      <c r="W4" s="217"/>
      <c r="X4" s="217" t="s">
        <v>55</v>
      </c>
      <c r="Y4" s="217"/>
      <c r="Z4" s="217" t="s">
        <v>1783</v>
      </c>
      <c r="AA4" s="217"/>
    </row>
    <row r="5" spans="1:28" s="2" customFormat="1" ht="17.25" x14ac:dyDescent="0.4">
      <c r="A5" s="8" t="s">
        <v>1784</v>
      </c>
      <c r="B5" s="8" t="s">
        <v>1785</v>
      </c>
      <c r="C5" s="8" t="s">
        <v>1786</v>
      </c>
      <c r="D5" s="8" t="s">
        <v>1787</v>
      </c>
      <c r="E5" s="8" t="s">
        <v>1788</v>
      </c>
      <c r="F5" s="32" t="s">
        <v>1789</v>
      </c>
      <c r="G5" s="9" t="s">
        <v>1790</v>
      </c>
      <c r="H5" s="8" t="s">
        <v>1791</v>
      </c>
      <c r="I5" s="16" t="s">
        <v>1792</v>
      </c>
      <c r="J5" s="16" t="s">
        <v>1793</v>
      </c>
      <c r="K5" s="8" t="s">
        <v>1794</v>
      </c>
      <c r="L5" s="9" t="s">
        <v>1738</v>
      </c>
      <c r="M5" s="9" t="s">
        <v>1795</v>
      </c>
      <c r="N5" s="9" t="s">
        <v>1740</v>
      </c>
      <c r="O5" s="9" t="s">
        <v>1741</v>
      </c>
      <c r="P5" s="9" t="s">
        <v>1742</v>
      </c>
      <c r="Q5" s="9" t="s">
        <v>87</v>
      </c>
      <c r="R5" s="9" t="s">
        <v>86</v>
      </c>
      <c r="S5" s="9" t="s">
        <v>1743</v>
      </c>
      <c r="T5" s="187" t="s">
        <v>1790</v>
      </c>
      <c r="U5" s="187" t="s">
        <v>1738</v>
      </c>
      <c r="V5" s="187" t="s">
        <v>1790</v>
      </c>
      <c r="W5" s="187" t="s">
        <v>1738</v>
      </c>
      <c r="X5" s="187" t="s">
        <v>1790</v>
      </c>
      <c r="Y5" s="187" t="s">
        <v>1738</v>
      </c>
      <c r="Z5" s="187" t="s">
        <v>1790</v>
      </c>
      <c r="AA5" s="187" t="s">
        <v>1738</v>
      </c>
    </row>
    <row r="6" spans="1:28" x14ac:dyDescent="0.25">
      <c r="A6">
        <v>350400</v>
      </c>
      <c r="B6">
        <v>17031350400</v>
      </c>
      <c r="C6">
        <v>17031</v>
      </c>
      <c r="D6">
        <v>2010</v>
      </c>
      <c r="E6">
        <v>35</v>
      </c>
      <c r="F6">
        <v>2163073.3775205598</v>
      </c>
      <c r="G6" s="45">
        <v>7.7589581092191801E-2</v>
      </c>
      <c r="H6" s="60" t="str">
        <f>_xlfn.IFNA(
INDEX('Community Areas'!B$2:B$78,MATCH($E6,'Community Areas'!$A$2:$A$78,0)),
"")</f>
        <v>DOUGLAS</v>
      </c>
      <c r="I6" s="63" t="str">
        <f>_xlfn.IFNA(
INDEX('Community Areas'!C$2:C$78,MATCH($E6,'Community Areas'!$A$2:$A$78,0)),
"")</f>
        <v>6-A</v>
      </c>
      <c r="J6" s="63">
        <f>_xlfn.IFNA(
INDEX('Community Areas'!D$2:D$78,MATCH($E6,'Community Areas'!$A$2:$A$78,0)),
"")</f>
        <v>6</v>
      </c>
      <c r="K6" s="60" t="str">
        <f>_xlfn.IFNA(
INDEX('Community Areas'!E$2:E$78,MATCH($E6,'Community Areas'!$A$2:$A$78,0)),
"")</f>
        <v>SOUTH</v>
      </c>
      <c r="L6" s="17" t="e">
        <f>SUMIFS([1]ACSDT5Y2020.B08301_data_with_ov!AT$3:AT$1334,[1]ACSDT5Y2020.B08301_data_with_ov!$AS$3:$AS$1334,$B6)</f>
        <v>#VALUE!</v>
      </c>
      <c r="M6" s="17" t="e">
        <f>SUMIFS([1]ACSDT5Y2020.B08301_data_with_ov!AU$3:AU$1334,[1]ACSDT5Y2020.B08301_data_with_ov!$AS$3:$AS$1334,$B6)</f>
        <v>#VALUE!</v>
      </c>
      <c r="N6" s="17" t="e">
        <f>SUMIFS([1]ACSDT5Y2020.B08301_data_with_ov!AV$3:AV$1334,[1]ACSDT5Y2020.B08301_data_with_ov!$AS$3:$AS$1334,$B6)</f>
        <v>#VALUE!</v>
      </c>
      <c r="O6" s="17" t="e">
        <f>SUMIFS([1]ACSDT5Y2020.B08301_data_with_ov!AW$3:AW$1334,[1]ACSDT5Y2020.B08301_data_with_ov!$AS$3:$AS$1334,$B6)</f>
        <v>#VALUE!</v>
      </c>
      <c r="P6" s="17" t="e">
        <f>SUMIFS([1]ACSDT5Y2020.B08301_data_with_ov!AX$3:AX$1334,[1]ACSDT5Y2020.B08301_data_with_ov!$AS$3:$AS$1334,$B6)</f>
        <v>#VALUE!</v>
      </c>
      <c r="Q6" s="17" t="e">
        <f>SUMIFS([1]ACSDT5Y2020.B08301_data_with_ov!AY$3:AY$1334,[1]ACSDT5Y2020.B08301_data_with_ov!$AS$3:$AS$1334,$B6)</f>
        <v>#VALUE!</v>
      </c>
      <c r="R6" s="17" t="e">
        <f>SUMIFS([1]ACSDT5Y2020.B08301_data_with_ov!AZ$3:AZ$1334,[1]ACSDT5Y2020.B08301_data_with_ov!$AS$3:$AS$1334,$B6)</f>
        <v>#VALUE!</v>
      </c>
      <c r="S6" s="17" t="e">
        <f>SUMIFS([1]ACSDT5Y2020.B08301_data_with_ov!BA$3:BA$1334,[1]ACSDT5Y2020.B08301_data_with_ov!$AS$3:$AS$1334,$B6)</f>
        <v>#VALUE!</v>
      </c>
      <c r="T6" s="188">
        <v>7.758957953408338E-2</v>
      </c>
      <c r="U6" s="189" t="e">
        <f>(T6/$G6)*$L6</f>
        <v>#VALUE!</v>
      </c>
      <c r="V6" s="188">
        <v>7.758957953408338E-2</v>
      </c>
      <c r="W6" s="189" t="e">
        <f t="shared" ref="W6:W69" si="0">(V6/$G6)*$L6</f>
        <v>#VALUE!</v>
      </c>
      <c r="X6" s="188">
        <v>7.758957953408338E-2</v>
      </c>
      <c r="Y6" s="189" t="e">
        <f t="shared" ref="Y6:Y69" si="1">(X6/$G6)*$L6</f>
        <v>#VALUE!</v>
      </c>
      <c r="Z6" s="188">
        <v>7.758957953408338E-2</v>
      </c>
      <c r="AA6" s="189" t="e">
        <f t="shared" ref="AA6:AA69" si="2">(Z6/$G6)*$L6</f>
        <v>#VALUE!</v>
      </c>
    </row>
    <row r="7" spans="1:28" x14ac:dyDescent="0.25">
      <c r="A7">
        <v>839500</v>
      </c>
      <c r="B7">
        <v>17031839500</v>
      </c>
      <c r="C7">
        <v>17031</v>
      </c>
      <c r="D7">
        <v>2010</v>
      </c>
      <c r="E7">
        <v>35</v>
      </c>
      <c r="F7">
        <v>2825468.29053623</v>
      </c>
      <c r="G7" s="45">
        <v>0.10134972920024929</v>
      </c>
      <c r="H7" s="60" t="str">
        <f>_xlfn.IFNA(
INDEX('Community Areas'!B$2:B$78,MATCH($E7,'Community Areas'!$A$2:$A$78,0)),
"")</f>
        <v>DOUGLAS</v>
      </c>
      <c r="I7" s="63" t="str">
        <f>_xlfn.IFNA(
INDEX('Community Areas'!C$2:C$78,MATCH($E7,'Community Areas'!$A$2:$A$78,0)),
"")</f>
        <v>6-A</v>
      </c>
      <c r="J7" s="63">
        <f>_xlfn.IFNA(
INDEX('Community Areas'!D$2:D$78,MATCH($E7,'Community Areas'!$A$2:$A$78,0)),
"")</f>
        <v>6</v>
      </c>
      <c r="K7" s="60" t="str">
        <f>_xlfn.IFNA(
INDEX('Community Areas'!E$2:E$78,MATCH($E7,'Community Areas'!$A$2:$A$78,0)),
"")</f>
        <v>SOUTH</v>
      </c>
      <c r="L7" s="17" t="e">
        <f>SUMIFS([1]ACSDT5Y2020.B08301_data_with_ov!AT$3:AT$1334,[1]ACSDT5Y2020.B08301_data_with_ov!$AS$3:$AS$1334,$B7)</f>
        <v>#VALUE!</v>
      </c>
      <c r="M7" s="17" t="e">
        <f>SUMIFS([1]ACSDT5Y2020.B08301_data_with_ov!AU$3:AU$1334,[1]ACSDT5Y2020.B08301_data_with_ov!$AS$3:$AS$1334,$B7)</f>
        <v>#VALUE!</v>
      </c>
      <c r="N7" s="17" t="e">
        <f>SUMIFS([1]ACSDT5Y2020.B08301_data_with_ov!AV$3:AV$1334,[1]ACSDT5Y2020.B08301_data_with_ov!$AS$3:$AS$1334,$B7)</f>
        <v>#VALUE!</v>
      </c>
      <c r="O7" s="17" t="e">
        <f>SUMIFS([1]ACSDT5Y2020.B08301_data_with_ov!AW$3:AW$1334,[1]ACSDT5Y2020.B08301_data_with_ov!$AS$3:$AS$1334,$B7)</f>
        <v>#VALUE!</v>
      </c>
      <c r="P7" s="17" t="e">
        <f>SUMIFS([1]ACSDT5Y2020.B08301_data_with_ov!AX$3:AX$1334,[1]ACSDT5Y2020.B08301_data_with_ov!$AS$3:$AS$1334,$B7)</f>
        <v>#VALUE!</v>
      </c>
      <c r="Q7" s="17" t="e">
        <f>SUMIFS([1]ACSDT5Y2020.B08301_data_with_ov!AY$3:AY$1334,[1]ACSDT5Y2020.B08301_data_with_ov!$AS$3:$AS$1334,$B7)</f>
        <v>#VALUE!</v>
      </c>
      <c r="R7" s="17" t="e">
        <f>SUMIFS([1]ACSDT5Y2020.B08301_data_with_ov!AZ$3:AZ$1334,[1]ACSDT5Y2020.B08301_data_with_ov!$AS$3:$AS$1334,$B7)</f>
        <v>#VALUE!</v>
      </c>
      <c r="S7" s="17" t="e">
        <f>SUMIFS([1]ACSDT5Y2020.B08301_data_with_ov!BA$3:BA$1334,[1]ACSDT5Y2020.B08301_data_with_ov!$AS$3:$AS$1334,$B7)</f>
        <v>#VALUE!</v>
      </c>
      <c r="T7" s="188">
        <v>0.10134972681367475</v>
      </c>
      <c r="U7" s="189" t="e">
        <f>(T7/$G7)*$L7</f>
        <v>#VALUE!</v>
      </c>
      <c r="V7" s="188">
        <v>0.10134972681367475</v>
      </c>
      <c r="W7" s="189" t="e">
        <f t="shared" si="0"/>
        <v>#VALUE!</v>
      </c>
      <c r="X7" s="188">
        <v>0.10134972681367475</v>
      </c>
      <c r="Y7" s="189" t="e">
        <f t="shared" si="1"/>
        <v>#VALUE!</v>
      </c>
      <c r="Z7" s="188">
        <v>0.10134972681367475</v>
      </c>
      <c r="AA7" s="189" t="e">
        <f t="shared" si="2"/>
        <v>#VALUE!</v>
      </c>
    </row>
    <row r="8" spans="1:28" x14ac:dyDescent="0.25">
      <c r="A8">
        <v>839600</v>
      </c>
      <c r="B8">
        <v>17031839600</v>
      </c>
      <c r="C8">
        <v>17031</v>
      </c>
      <c r="D8">
        <v>2010</v>
      </c>
      <c r="E8">
        <v>35</v>
      </c>
      <c r="F8">
        <v>3518754.96436373</v>
      </c>
      <c r="G8" s="45">
        <v>0.12621796675432342</v>
      </c>
      <c r="H8" s="60" t="str">
        <f>_xlfn.IFNA(
INDEX('Community Areas'!B$2:B$78,MATCH($E8,'Community Areas'!$A$2:$A$78,0)),
"")</f>
        <v>DOUGLAS</v>
      </c>
      <c r="I8" s="63" t="str">
        <f>_xlfn.IFNA(
INDEX('Community Areas'!C$2:C$78,MATCH($E8,'Community Areas'!$A$2:$A$78,0)),
"")</f>
        <v>6-A</v>
      </c>
      <c r="J8" s="63">
        <f>_xlfn.IFNA(
INDEX('Community Areas'!D$2:D$78,MATCH($E8,'Community Areas'!$A$2:$A$78,0)),
"")</f>
        <v>6</v>
      </c>
      <c r="K8" s="60" t="str">
        <f>_xlfn.IFNA(
INDEX('Community Areas'!E$2:E$78,MATCH($E8,'Community Areas'!$A$2:$A$78,0)),
"")</f>
        <v>SOUTH</v>
      </c>
      <c r="L8" s="17" t="e">
        <f>SUMIFS([1]ACSDT5Y2020.B08301_data_with_ov!AT$3:AT$1334,[1]ACSDT5Y2020.B08301_data_with_ov!$AS$3:$AS$1334,$B8)</f>
        <v>#VALUE!</v>
      </c>
      <c r="M8" s="17" t="e">
        <f>SUMIFS([1]ACSDT5Y2020.B08301_data_with_ov!AU$3:AU$1334,[1]ACSDT5Y2020.B08301_data_with_ov!$AS$3:$AS$1334,$B8)</f>
        <v>#VALUE!</v>
      </c>
      <c r="N8" s="17" t="e">
        <f>SUMIFS([1]ACSDT5Y2020.B08301_data_with_ov!AV$3:AV$1334,[1]ACSDT5Y2020.B08301_data_with_ov!$AS$3:$AS$1334,$B8)</f>
        <v>#VALUE!</v>
      </c>
      <c r="O8" s="17" t="e">
        <f>SUMIFS([1]ACSDT5Y2020.B08301_data_with_ov!AW$3:AW$1334,[1]ACSDT5Y2020.B08301_data_with_ov!$AS$3:$AS$1334,$B8)</f>
        <v>#VALUE!</v>
      </c>
      <c r="P8" s="17" t="e">
        <f>SUMIFS([1]ACSDT5Y2020.B08301_data_with_ov!AX$3:AX$1334,[1]ACSDT5Y2020.B08301_data_with_ov!$AS$3:$AS$1334,$B8)</f>
        <v>#VALUE!</v>
      </c>
      <c r="Q8" s="17" t="e">
        <f>SUMIFS([1]ACSDT5Y2020.B08301_data_with_ov!AY$3:AY$1334,[1]ACSDT5Y2020.B08301_data_with_ov!$AS$3:$AS$1334,$B8)</f>
        <v>#VALUE!</v>
      </c>
      <c r="R8" s="17" t="e">
        <f>SUMIFS([1]ACSDT5Y2020.B08301_data_with_ov!AZ$3:AZ$1334,[1]ACSDT5Y2020.B08301_data_with_ov!$AS$3:$AS$1334,$B8)</f>
        <v>#VALUE!</v>
      </c>
      <c r="S8" s="17" t="e">
        <f>SUMIFS([1]ACSDT5Y2020.B08301_data_with_ov!BA$3:BA$1334,[1]ACSDT5Y2020.B08301_data_with_ov!$AS$3:$AS$1334,$B8)</f>
        <v>#VALUE!</v>
      </c>
      <c r="T8" s="188">
        <v>0.12621796706447608</v>
      </c>
      <c r="U8" s="189" t="e">
        <f t="shared" ref="U8:U70" si="3">(T8/$G8)*$L8</f>
        <v>#VALUE!</v>
      </c>
      <c r="V8" s="188">
        <v>0.12621796706447608</v>
      </c>
      <c r="W8" s="189" t="e">
        <f t="shared" si="0"/>
        <v>#VALUE!</v>
      </c>
      <c r="X8" s="188">
        <v>0.12621796706447608</v>
      </c>
      <c r="Y8" s="189" t="e">
        <f t="shared" si="1"/>
        <v>#VALUE!</v>
      </c>
      <c r="Z8" s="188">
        <v>0.12621796706447608</v>
      </c>
      <c r="AA8" s="189" t="e">
        <f t="shared" si="2"/>
        <v>#VALUE!</v>
      </c>
    </row>
    <row r="9" spans="1:28" x14ac:dyDescent="0.25">
      <c r="A9">
        <v>842000</v>
      </c>
      <c r="B9">
        <v>17031842000</v>
      </c>
      <c r="C9">
        <v>17031</v>
      </c>
      <c r="D9">
        <v>2010</v>
      </c>
      <c r="E9">
        <v>35</v>
      </c>
      <c r="F9">
        <v>6328580.5809083199</v>
      </c>
      <c r="G9" s="45">
        <v>0.22700659223299471</v>
      </c>
      <c r="H9" s="60" t="str">
        <f>_xlfn.IFNA(
INDEX('Community Areas'!B$2:B$78,MATCH($E9,'Community Areas'!$A$2:$A$78,0)),
"")</f>
        <v>DOUGLAS</v>
      </c>
      <c r="I9" s="63" t="str">
        <f>_xlfn.IFNA(
INDEX('Community Areas'!C$2:C$78,MATCH($E9,'Community Areas'!$A$2:$A$78,0)),
"")</f>
        <v>6-A</v>
      </c>
      <c r="J9" s="63">
        <f>_xlfn.IFNA(
INDEX('Community Areas'!D$2:D$78,MATCH($E9,'Community Areas'!$A$2:$A$78,0)),
"")</f>
        <v>6</v>
      </c>
      <c r="K9" s="60" t="str">
        <f>_xlfn.IFNA(
INDEX('Community Areas'!E$2:E$78,MATCH($E9,'Community Areas'!$A$2:$A$78,0)),
"")</f>
        <v>SOUTH</v>
      </c>
      <c r="L9" s="17" t="e">
        <f>SUMIFS([1]ACSDT5Y2020.B08301_data_with_ov!AT$3:AT$1334,[1]ACSDT5Y2020.B08301_data_with_ov!$AS$3:$AS$1334,$B9)</f>
        <v>#VALUE!</v>
      </c>
      <c r="M9" s="17" t="e">
        <f>SUMIFS([1]ACSDT5Y2020.B08301_data_with_ov!AU$3:AU$1334,[1]ACSDT5Y2020.B08301_data_with_ov!$AS$3:$AS$1334,$B9)</f>
        <v>#VALUE!</v>
      </c>
      <c r="N9" s="17" t="e">
        <f>SUMIFS([1]ACSDT5Y2020.B08301_data_with_ov!AV$3:AV$1334,[1]ACSDT5Y2020.B08301_data_with_ov!$AS$3:$AS$1334,$B9)</f>
        <v>#VALUE!</v>
      </c>
      <c r="O9" s="17" t="e">
        <f>SUMIFS([1]ACSDT5Y2020.B08301_data_with_ov!AW$3:AW$1334,[1]ACSDT5Y2020.B08301_data_with_ov!$AS$3:$AS$1334,$B9)</f>
        <v>#VALUE!</v>
      </c>
      <c r="P9" s="17" t="e">
        <f>SUMIFS([1]ACSDT5Y2020.B08301_data_with_ov!AX$3:AX$1334,[1]ACSDT5Y2020.B08301_data_with_ov!$AS$3:$AS$1334,$B9)</f>
        <v>#VALUE!</v>
      </c>
      <c r="Q9" s="17" t="e">
        <f>SUMIFS([1]ACSDT5Y2020.B08301_data_with_ov!AY$3:AY$1334,[1]ACSDT5Y2020.B08301_data_with_ov!$AS$3:$AS$1334,$B9)</f>
        <v>#VALUE!</v>
      </c>
      <c r="R9" s="17" t="e">
        <f>SUMIFS([1]ACSDT5Y2020.B08301_data_with_ov!AZ$3:AZ$1334,[1]ACSDT5Y2020.B08301_data_with_ov!$AS$3:$AS$1334,$B9)</f>
        <v>#VALUE!</v>
      </c>
      <c r="S9" s="17" t="e">
        <f>SUMIFS([1]ACSDT5Y2020.B08301_data_with_ov!BA$3:BA$1334,[1]ACSDT5Y2020.B08301_data_with_ov!$AS$3:$AS$1334,$B9)</f>
        <v>#VALUE!</v>
      </c>
      <c r="T9" s="188">
        <v>0.22700660160542965</v>
      </c>
      <c r="U9" s="189" t="e">
        <f t="shared" si="3"/>
        <v>#VALUE!</v>
      </c>
      <c r="V9" s="188">
        <v>0.22700660160542965</v>
      </c>
      <c r="W9" s="189" t="e">
        <f t="shared" si="0"/>
        <v>#VALUE!</v>
      </c>
      <c r="X9" s="188">
        <v>0.22700660160542965</v>
      </c>
      <c r="Y9" s="189" t="e">
        <f t="shared" si="1"/>
        <v>#VALUE!</v>
      </c>
      <c r="Z9" s="188">
        <v>0.22700660160542965</v>
      </c>
      <c r="AA9" s="189" t="e">
        <f t="shared" si="2"/>
        <v>#VALUE!</v>
      </c>
    </row>
    <row r="10" spans="1:28" x14ac:dyDescent="0.25">
      <c r="A10">
        <v>839200</v>
      </c>
      <c r="B10">
        <v>17031839200</v>
      </c>
      <c r="C10">
        <v>17031</v>
      </c>
      <c r="D10">
        <v>2010</v>
      </c>
      <c r="E10">
        <v>35</v>
      </c>
      <c r="F10">
        <v>7006617.4484392498</v>
      </c>
      <c r="G10" s="45">
        <v>0.2513278182549662</v>
      </c>
      <c r="H10" s="60" t="str">
        <f>_xlfn.IFNA(
INDEX('Community Areas'!B$2:B$78,MATCH($E10,'Community Areas'!$A$2:$A$78,0)),
"")</f>
        <v>DOUGLAS</v>
      </c>
      <c r="I10" s="63" t="str">
        <f>_xlfn.IFNA(
INDEX('Community Areas'!C$2:C$78,MATCH($E10,'Community Areas'!$A$2:$A$78,0)),
"")</f>
        <v>6-A</v>
      </c>
      <c r="J10" s="63">
        <f>_xlfn.IFNA(
INDEX('Community Areas'!D$2:D$78,MATCH($E10,'Community Areas'!$A$2:$A$78,0)),
"")</f>
        <v>6</v>
      </c>
      <c r="K10" s="60" t="str">
        <f>_xlfn.IFNA(
INDEX('Community Areas'!E$2:E$78,MATCH($E10,'Community Areas'!$A$2:$A$78,0)),
"")</f>
        <v>SOUTH</v>
      </c>
      <c r="L10" s="17" t="e">
        <f>SUMIFS([1]ACSDT5Y2020.B08301_data_with_ov!AT$3:AT$1334,[1]ACSDT5Y2020.B08301_data_with_ov!$AS$3:$AS$1334,$B10)</f>
        <v>#VALUE!</v>
      </c>
      <c r="M10" s="17" t="e">
        <f>SUMIFS([1]ACSDT5Y2020.B08301_data_with_ov!AU$3:AU$1334,[1]ACSDT5Y2020.B08301_data_with_ov!$AS$3:$AS$1334,$B10)</f>
        <v>#VALUE!</v>
      </c>
      <c r="N10" s="17" t="e">
        <f>SUMIFS([1]ACSDT5Y2020.B08301_data_with_ov!AV$3:AV$1334,[1]ACSDT5Y2020.B08301_data_with_ov!$AS$3:$AS$1334,$B10)</f>
        <v>#VALUE!</v>
      </c>
      <c r="O10" s="17" t="e">
        <f>SUMIFS([1]ACSDT5Y2020.B08301_data_with_ov!AW$3:AW$1334,[1]ACSDT5Y2020.B08301_data_with_ov!$AS$3:$AS$1334,$B10)</f>
        <v>#VALUE!</v>
      </c>
      <c r="P10" s="17" t="e">
        <f>SUMIFS([1]ACSDT5Y2020.B08301_data_with_ov!AX$3:AX$1334,[1]ACSDT5Y2020.B08301_data_with_ov!$AS$3:$AS$1334,$B10)</f>
        <v>#VALUE!</v>
      </c>
      <c r="Q10" s="17" t="e">
        <f>SUMIFS([1]ACSDT5Y2020.B08301_data_with_ov!AY$3:AY$1334,[1]ACSDT5Y2020.B08301_data_with_ov!$AS$3:$AS$1334,$B10)</f>
        <v>#VALUE!</v>
      </c>
      <c r="R10" s="17" t="e">
        <f>SUMIFS([1]ACSDT5Y2020.B08301_data_with_ov!AZ$3:AZ$1334,[1]ACSDT5Y2020.B08301_data_with_ov!$AS$3:$AS$1334,$B10)</f>
        <v>#VALUE!</v>
      </c>
      <c r="S10" s="17" t="e">
        <f>SUMIFS([1]ACSDT5Y2020.B08301_data_with_ov!BA$3:BA$1334,[1]ACSDT5Y2020.B08301_data_with_ov!$AS$3:$AS$1334,$B10)</f>
        <v>#VALUE!</v>
      </c>
      <c r="T10" s="188">
        <v>0.25132781706188517</v>
      </c>
      <c r="U10" s="189" t="e">
        <f t="shared" si="3"/>
        <v>#VALUE!</v>
      </c>
      <c r="V10" s="188">
        <v>0.25132781706188517</v>
      </c>
      <c r="W10" s="189" t="e">
        <f t="shared" si="0"/>
        <v>#VALUE!</v>
      </c>
      <c r="X10" s="188">
        <v>0.25132781706188517</v>
      </c>
      <c r="Y10" s="189" t="e">
        <f t="shared" si="1"/>
        <v>#VALUE!</v>
      </c>
      <c r="Z10" s="188">
        <v>0.25132781706188517</v>
      </c>
      <c r="AA10" s="189" t="e">
        <f t="shared" si="2"/>
        <v>#VALUE!</v>
      </c>
    </row>
    <row r="11" spans="1:28" x14ac:dyDescent="0.25">
      <c r="A11">
        <v>351000</v>
      </c>
      <c r="B11">
        <v>17031351000</v>
      </c>
      <c r="C11">
        <v>17031</v>
      </c>
      <c r="D11">
        <v>2010</v>
      </c>
      <c r="E11">
        <v>35</v>
      </c>
      <c r="F11">
        <v>8900946.2418870497</v>
      </c>
      <c r="G11" s="45">
        <v>0.31927751384179326</v>
      </c>
      <c r="H11" s="60" t="str">
        <f>_xlfn.IFNA(
INDEX('Community Areas'!B$2:B$78,MATCH($E11,'Community Areas'!$A$2:$A$78,0)),
"")</f>
        <v>DOUGLAS</v>
      </c>
      <c r="I11" s="63" t="str">
        <f>_xlfn.IFNA(
INDEX('Community Areas'!C$2:C$78,MATCH($E11,'Community Areas'!$A$2:$A$78,0)),
"")</f>
        <v>6-A</v>
      </c>
      <c r="J11" s="63">
        <f>_xlfn.IFNA(
INDEX('Community Areas'!D$2:D$78,MATCH($E11,'Community Areas'!$A$2:$A$78,0)),
"")</f>
        <v>6</v>
      </c>
      <c r="K11" s="60" t="str">
        <f>_xlfn.IFNA(
INDEX('Community Areas'!E$2:E$78,MATCH($E11,'Community Areas'!$A$2:$A$78,0)),
"")</f>
        <v>SOUTH</v>
      </c>
      <c r="L11" s="17" t="e">
        <f>SUMIFS([1]ACSDT5Y2020.B08301_data_with_ov!AT$3:AT$1334,[1]ACSDT5Y2020.B08301_data_with_ov!$AS$3:$AS$1334,$B11)</f>
        <v>#VALUE!</v>
      </c>
      <c r="M11" s="17" t="e">
        <f>SUMIFS([1]ACSDT5Y2020.B08301_data_with_ov!AU$3:AU$1334,[1]ACSDT5Y2020.B08301_data_with_ov!$AS$3:$AS$1334,$B11)</f>
        <v>#VALUE!</v>
      </c>
      <c r="N11" s="17" t="e">
        <f>SUMIFS([1]ACSDT5Y2020.B08301_data_with_ov!AV$3:AV$1334,[1]ACSDT5Y2020.B08301_data_with_ov!$AS$3:$AS$1334,$B11)</f>
        <v>#VALUE!</v>
      </c>
      <c r="O11" s="17" t="e">
        <f>SUMIFS([1]ACSDT5Y2020.B08301_data_with_ov!AW$3:AW$1334,[1]ACSDT5Y2020.B08301_data_with_ov!$AS$3:$AS$1334,$B11)</f>
        <v>#VALUE!</v>
      </c>
      <c r="P11" s="17" t="e">
        <f>SUMIFS([1]ACSDT5Y2020.B08301_data_with_ov!AX$3:AX$1334,[1]ACSDT5Y2020.B08301_data_with_ov!$AS$3:$AS$1334,$B11)</f>
        <v>#VALUE!</v>
      </c>
      <c r="Q11" s="17" t="e">
        <f>SUMIFS([1]ACSDT5Y2020.B08301_data_with_ov!AY$3:AY$1334,[1]ACSDT5Y2020.B08301_data_with_ov!$AS$3:$AS$1334,$B11)</f>
        <v>#VALUE!</v>
      </c>
      <c r="R11" s="17" t="e">
        <f>SUMIFS([1]ACSDT5Y2020.B08301_data_with_ov!AZ$3:AZ$1334,[1]ACSDT5Y2020.B08301_data_with_ov!$AS$3:$AS$1334,$B11)</f>
        <v>#VALUE!</v>
      </c>
      <c r="S11" s="17" t="e">
        <f>SUMIFS([1]ACSDT5Y2020.B08301_data_with_ov!BA$3:BA$1334,[1]ACSDT5Y2020.B08301_data_with_ov!$AS$3:$AS$1334,$B11)</f>
        <v>#VALUE!</v>
      </c>
      <c r="T11" s="188">
        <v>0.31927750873103405</v>
      </c>
      <c r="U11" s="189" t="e">
        <f t="shared" si="3"/>
        <v>#VALUE!</v>
      </c>
      <c r="V11" s="188">
        <v>0.31927750873103405</v>
      </c>
      <c r="W11" s="189" t="e">
        <f t="shared" si="0"/>
        <v>#VALUE!</v>
      </c>
      <c r="X11" s="188">
        <v>0.31927750873103405</v>
      </c>
      <c r="Y11" s="189" t="e">
        <f t="shared" si="1"/>
        <v>#VALUE!</v>
      </c>
      <c r="Z11" s="188">
        <v>0.31927750873103405</v>
      </c>
      <c r="AA11" s="189" t="e">
        <f t="shared" si="2"/>
        <v>#VALUE!</v>
      </c>
    </row>
    <row r="12" spans="1:28" x14ac:dyDescent="0.25">
      <c r="A12">
        <v>351500</v>
      </c>
      <c r="B12">
        <v>17031351500</v>
      </c>
      <c r="C12">
        <v>17031</v>
      </c>
      <c r="D12">
        <v>2010</v>
      </c>
      <c r="E12">
        <v>35</v>
      </c>
      <c r="F12">
        <v>1818880.8282653301</v>
      </c>
      <c r="G12" s="45">
        <v>6.5243372226000421E-2</v>
      </c>
      <c r="H12" s="60" t="str">
        <f>_xlfn.IFNA(
INDEX('Community Areas'!B$2:B$78,MATCH($E12,'Community Areas'!$A$2:$A$78,0)),
"")</f>
        <v>DOUGLAS</v>
      </c>
      <c r="I12" s="63" t="str">
        <f>_xlfn.IFNA(
INDEX('Community Areas'!C$2:C$78,MATCH($E12,'Community Areas'!$A$2:$A$78,0)),
"")</f>
        <v>6-A</v>
      </c>
      <c r="J12" s="63">
        <f>_xlfn.IFNA(
INDEX('Community Areas'!D$2:D$78,MATCH($E12,'Community Areas'!$A$2:$A$78,0)),
"")</f>
        <v>6</v>
      </c>
      <c r="K12" s="60" t="str">
        <f>_xlfn.IFNA(
INDEX('Community Areas'!E$2:E$78,MATCH($E12,'Community Areas'!$A$2:$A$78,0)),
"")</f>
        <v>SOUTH</v>
      </c>
      <c r="L12" s="17" t="e">
        <f>SUMIFS([1]ACSDT5Y2020.B08301_data_with_ov!AT$3:AT$1334,[1]ACSDT5Y2020.B08301_data_with_ov!$AS$3:$AS$1334,$B12)</f>
        <v>#VALUE!</v>
      </c>
      <c r="M12" s="17" t="e">
        <f>SUMIFS([1]ACSDT5Y2020.B08301_data_with_ov!AU$3:AU$1334,[1]ACSDT5Y2020.B08301_data_with_ov!$AS$3:$AS$1334,$B12)</f>
        <v>#VALUE!</v>
      </c>
      <c r="N12" s="17" t="e">
        <f>SUMIFS([1]ACSDT5Y2020.B08301_data_with_ov!AV$3:AV$1334,[1]ACSDT5Y2020.B08301_data_with_ov!$AS$3:$AS$1334,$B12)</f>
        <v>#VALUE!</v>
      </c>
      <c r="O12" s="17" t="e">
        <f>SUMIFS([1]ACSDT5Y2020.B08301_data_with_ov!AW$3:AW$1334,[1]ACSDT5Y2020.B08301_data_with_ov!$AS$3:$AS$1334,$B12)</f>
        <v>#VALUE!</v>
      </c>
      <c r="P12" s="17" t="e">
        <f>SUMIFS([1]ACSDT5Y2020.B08301_data_with_ov!AX$3:AX$1334,[1]ACSDT5Y2020.B08301_data_with_ov!$AS$3:$AS$1334,$B12)</f>
        <v>#VALUE!</v>
      </c>
      <c r="Q12" s="17" t="e">
        <f>SUMIFS([1]ACSDT5Y2020.B08301_data_with_ov!AY$3:AY$1334,[1]ACSDT5Y2020.B08301_data_with_ov!$AS$3:$AS$1334,$B12)</f>
        <v>#VALUE!</v>
      </c>
      <c r="R12" s="17" t="e">
        <f>SUMIFS([1]ACSDT5Y2020.B08301_data_with_ov!AZ$3:AZ$1334,[1]ACSDT5Y2020.B08301_data_with_ov!$AS$3:$AS$1334,$B12)</f>
        <v>#VALUE!</v>
      </c>
      <c r="S12" s="17" t="e">
        <f>SUMIFS([1]ACSDT5Y2020.B08301_data_with_ov!BA$3:BA$1334,[1]ACSDT5Y2020.B08301_data_with_ov!$AS$3:$AS$1334,$B12)</f>
        <v>#VALUE!</v>
      </c>
      <c r="T12" s="188">
        <v>6.5243373195111629E-2</v>
      </c>
      <c r="U12" s="189" t="e">
        <f t="shared" si="3"/>
        <v>#VALUE!</v>
      </c>
      <c r="V12" s="188">
        <v>6.5208649404043278E-2</v>
      </c>
      <c r="W12" s="189" t="e">
        <f t="shared" si="0"/>
        <v>#VALUE!</v>
      </c>
      <c r="X12" s="188">
        <v>6.5208649404043278E-2</v>
      </c>
      <c r="Y12" s="189" t="e">
        <f t="shared" si="1"/>
        <v>#VALUE!</v>
      </c>
      <c r="Z12" s="188">
        <v>6.5208649404043278E-2</v>
      </c>
      <c r="AA12" s="189" t="e">
        <f t="shared" si="2"/>
        <v>#VALUE!</v>
      </c>
    </row>
    <row r="13" spans="1:28" x14ac:dyDescent="0.25">
      <c r="A13">
        <v>351400</v>
      </c>
      <c r="B13">
        <v>17031351400</v>
      </c>
      <c r="C13">
        <v>17031</v>
      </c>
      <c r="D13">
        <v>2010</v>
      </c>
      <c r="E13">
        <v>35</v>
      </c>
      <c r="F13">
        <v>3483715.8369881799</v>
      </c>
      <c r="G13" s="45">
        <v>0.12496111100307693</v>
      </c>
      <c r="H13" s="60" t="str">
        <f>_xlfn.IFNA(
INDEX('Community Areas'!B$2:B$78,MATCH($E13,'Community Areas'!$A$2:$A$78,0)),
"")</f>
        <v>DOUGLAS</v>
      </c>
      <c r="I13" s="63" t="str">
        <f>_xlfn.IFNA(
INDEX('Community Areas'!C$2:C$78,MATCH($E13,'Community Areas'!$A$2:$A$78,0)),
"")</f>
        <v>6-A</v>
      </c>
      <c r="J13" s="63">
        <f>_xlfn.IFNA(
INDEX('Community Areas'!D$2:D$78,MATCH($E13,'Community Areas'!$A$2:$A$78,0)),
"")</f>
        <v>6</v>
      </c>
      <c r="K13" s="60" t="str">
        <f>_xlfn.IFNA(
INDEX('Community Areas'!E$2:E$78,MATCH($E13,'Community Areas'!$A$2:$A$78,0)),
"")</f>
        <v>SOUTH</v>
      </c>
      <c r="L13" s="17" t="e">
        <f>SUMIFS([1]ACSDT5Y2020.B08301_data_with_ov!AT$3:AT$1334,[1]ACSDT5Y2020.B08301_data_with_ov!$AS$3:$AS$1334,$B13)</f>
        <v>#VALUE!</v>
      </c>
      <c r="M13" s="17" t="e">
        <f>SUMIFS([1]ACSDT5Y2020.B08301_data_with_ov!AU$3:AU$1334,[1]ACSDT5Y2020.B08301_data_with_ov!$AS$3:$AS$1334,$B13)</f>
        <v>#VALUE!</v>
      </c>
      <c r="N13" s="17" t="e">
        <f>SUMIFS([1]ACSDT5Y2020.B08301_data_with_ov!AV$3:AV$1334,[1]ACSDT5Y2020.B08301_data_with_ov!$AS$3:$AS$1334,$B13)</f>
        <v>#VALUE!</v>
      </c>
      <c r="O13" s="17" t="e">
        <f>SUMIFS([1]ACSDT5Y2020.B08301_data_with_ov!AW$3:AW$1334,[1]ACSDT5Y2020.B08301_data_with_ov!$AS$3:$AS$1334,$B13)</f>
        <v>#VALUE!</v>
      </c>
      <c r="P13" s="17" t="e">
        <f>SUMIFS([1]ACSDT5Y2020.B08301_data_with_ov!AX$3:AX$1334,[1]ACSDT5Y2020.B08301_data_with_ov!$AS$3:$AS$1334,$B13)</f>
        <v>#VALUE!</v>
      </c>
      <c r="Q13" s="17" t="e">
        <f>SUMIFS([1]ACSDT5Y2020.B08301_data_with_ov!AY$3:AY$1334,[1]ACSDT5Y2020.B08301_data_with_ov!$AS$3:$AS$1334,$B13)</f>
        <v>#VALUE!</v>
      </c>
      <c r="R13" s="17" t="e">
        <f>SUMIFS([1]ACSDT5Y2020.B08301_data_with_ov!AZ$3:AZ$1334,[1]ACSDT5Y2020.B08301_data_with_ov!$AS$3:$AS$1334,$B13)</f>
        <v>#VALUE!</v>
      </c>
      <c r="S13" s="17" t="e">
        <f>SUMIFS([1]ACSDT5Y2020.B08301_data_with_ov!BA$3:BA$1334,[1]ACSDT5Y2020.B08301_data_with_ov!$AS$3:$AS$1334,$B13)</f>
        <v>#VALUE!</v>
      </c>
      <c r="T13" s="188">
        <v>0.12496111132217129</v>
      </c>
      <c r="U13" s="189" t="e">
        <f t="shared" si="3"/>
        <v>#VALUE!</v>
      </c>
      <c r="V13" s="188">
        <v>0.12496111132217129</v>
      </c>
      <c r="W13" s="189" t="e">
        <f t="shared" si="0"/>
        <v>#VALUE!</v>
      </c>
      <c r="X13" s="188">
        <v>0.12496111132217129</v>
      </c>
      <c r="Y13" s="189" t="e">
        <f t="shared" si="1"/>
        <v>#VALUE!</v>
      </c>
      <c r="Z13" s="188">
        <v>0.12496111132217129</v>
      </c>
      <c r="AA13" s="189" t="e">
        <f t="shared" si="2"/>
        <v>#VALUE!</v>
      </c>
    </row>
    <row r="14" spans="1:28" x14ac:dyDescent="0.25">
      <c r="A14">
        <v>351100</v>
      </c>
      <c r="B14">
        <v>17031351100</v>
      </c>
      <c r="C14">
        <v>17031</v>
      </c>
      <c r="D14">
        <v>2010</v>
      </c>
      <c r="E14">
        <v>35</v>
      </c>
      <c r="F14">
        <v>3776863.5608112998</v>
      </c>
      <c r="G14" s="45">
        <v>0.13547633869990028</v>
      </c>
      <c r="H14" s="60" t="str">
        <f>_xlfn.IFNA(
INDEX('Community Areas'!B$2:B$78,MATCH($E14,'Community Areas'!$A$2:$A$78,0)),
"")</f>
        <v>DOUGLAS</v>
      </c>
      <c r="I14" s="63" t="str">
        <f>_xlfn.IFNA(
INDEX('Community Areas'!C$2:C$78,MATCH($E14,'Community Areas'!$A$2:$A$78,0)),
"")</f>
        <v>6-A</v>
      </c>
      <c r="J14" s="63">
        <f>_xlfn.IFNA(
INDEX('Community Areas'!D$2:D$78,MATCH($E14,'Community Areas'!$A$2:$A$78,0)),
"")</f>
        <v>6</v>
      </c>
      <c r="K14" s="60" t="str">
        <f>_xlfn.IFNA(
INDEX('Community Areas'!E$2:E$78,MATCH($E14,'Community Areas'!$A$2:$A$78,0)),
"")</f>
        <v>SOUTH</v>
      </c>
      <c r="L14" s="17" t="e">
        <f>SUMIFS([1]ACSDT5Y2020.B08301_data_with_ov!AT$3:AT$1334,[1]ACSDT5Y2020.B08301_data_with_ov!$AS$3:$AS$1334,$B14)</f>
        <v>#VALUE!</v>
      </c>
      <c r="M14" s="17" t="e">
        <f>SUMIFS([1]ACSDT5Y2020.B08301_data_with_ov!AU$3:AU$1334,[1]ACSDT5Y2020.B08301_data_with_ov!$AS$3:$AS$1334,$B14)</f>
        <v>#VALUE!</v>
      </c>
      <c r="N14" s="17" t="e">
        <f>SUMIFS([1]ACSDT5Y2020.B08301_data_with_ov!AV$3:AV$1334,[1]ACSDT5Y2020.B08301_data_with_ov!$AS$3:$AS$1334,$B14)</f>
        <v>#VALUE!</v>
      </c>
      <c r="O14" s="17" t="e">
        <f>SUMIFS([1]ACSDT5Y2020.B08301_data_with_ov!AW$3:AW$1334,[1]ACSDT5Y2020.B08301_data_with_ov!$AS$3:$AS$1334,$B14)</f>
        <v>#VALUE!</v>
      </c>
      <c r="P14" s="17" t="e">
        <f>SUMIFS([1]ACSDT5Y2020.B08301_data_with_ov!AX$3:AX$1334,[1]ACSDT5Y2020.B08301_data_with_ov!$AS$3:$AS$1334,$B14)</f>
        <v>#VALUE!</v>
      </c>
      <c r="Q14" s="17" t="e">
        <f>SUMIFS([1]ACSDT5Y2020.B08301_data_with_ov!AY$3:AY$1334,[1]ACSDT5Y2020.B08301_data_with_ov!$AS$3:$AS$1334,$B14)</f>
        <v>#VALUE!</v>
      </c>
      <c r="R14" s="17" t="e">
        <f>SUMIFS([1]ACSDT5Y2020.B08301_data_with_ov!AZ$3:AZ$1334,[1]ACSDT5Y2020.B08301_data_with_ov!$AS$3:$AS$1334,$B14)</f>
        <v>#VALUE!</v>
      </c>
      <c r="S14" s="17" t="e">
        <f>SUMIFS([1]ACSDT5Y2020.B08301_data_with_ov!BA$3:BA$1334,[1]ACSDT5Y2020.B08301_data_with_ov!$AS$3:$AS$1334,$B14)</f>
        <v>#VALUE!</v>
      </c>
      <c r="T14" s="188">
        <v>0.1354763397244885</v>
      </c>
      <c r="U14" s="189" t="e">
        <f t="shared" si="3"/>
        <v>#VALUE!</v>
      </c>
      <c r="V14" s="188">
        <v>0.1354763397244885</v>
      </c>
      <c r="W14" s="189" t="e">
        <f t="shared" si="0"/>
        <v>#VALUE!</v>
      </c>
      <c r="X14" s="188">
        <v>0.1354763397244885</v>
      </c>
      <c r="Y14" s="189" t="e">
        <f t="shared" si="1"/>
        <v>#VALUE!</v>
      </c>
      <c r="Z14" s="188">
        <v>0.1354763397244885</v>
      </c>
      <c r="AA14" s="189" t="e">
        <f t="shared" si="2"/>
        <v>#VALUE!</v>
      </c>
    </row>
    <row r="15" spans="1:28" x14ac:dyDescent="0.25">
      <c r="A15">
        <v>836500</v>
      </c>
      <c r="B15">
        <v>17031836500</v>
      </c>
      <c r="C15">
        <v>17031</v>
      </c>
      <c r="D15">
        <v>2010</v>
      </c>
      <c r="E15">
        <v>36</v>
      </c>
      <c r="F15">
        <v>5521904.7157822102</v>
      </c>
      <c r="G15" s="45">
        <v>0.19807107709847804</v>
      </c>
      <c r="H15" s="60" t="str">
        <f>_xlfn.IFNA(
INDEX('Community Areas'!B$2:B$78,MATCH($E15,'Community Areas'!$A$2:$A$78,0)),
"")</f>
        <v>OAKLAND</v>
      </c>
      <c r="I15" s="63" t="str">
        <f>_xlfn.IFNA(
INDEX('Community Areas'!C$2:C$78,MATCH($E15,'Community Areas'!$A$2:$A$78,0)),
"")</f>
        <v>6-A</v>
      </c>
      <c r="J15" s="63">
        <f>_xlfn.IFNA(
INDEX('Community Areas'!D$2:D$78,MATCH($E15,'Community Areas'!$A$2:$A$78,0)),
"")</f>
        <v>6</v>
      </c>
      <c r="K15" s="60" t="str">
        <f>_xlfn.IFNA(
INDEX('Community Areas'!E$2:E$78,MATCH($E15,'Community Areas'!$A$2:$A$78,0)),
"")</f>
        <v>SOUTH</v>
      </c>
      <c r="L15" s="17" t="e">
        <f>SUMIFS([1]ACSDT5Y2020.B08301_data_with_ov!AT$3:AT$1334,[1]ACSDT5Y2020.B08301_data_with_ov!$AS$3:$AS$1334,$B15)</f>
        <v>#VALUE!</v>
      </c>
      <c r="M15" s="17" t="e">
        <f>SUMIFS([1]ACSDT5Y2020.B08301_data_with_ov!AU$3:AU$1334,[1]ACSDT5Y2020.B08301_data_with_ov!$AS$3:$AS$1334,$B15)</f>
        <v>#VALUE!</v>
      </c>
      <c r="N15" s="17" t="e">
        <f>SUMIFS([1]ACSDT5Y2020.B08301_data_with_ov!AV$3:AV$1334,[1]ACSDT5Y2020.B08301_data_with_ov!$AS$3:$AS$1334,$B15)</f>
        <v>#VALUE!</v>
      </c>
      <c r="O15" s="17" t="e">
        <f>SUMIFS([1]ACSDT5Y2020.B08301_data_with_ov!AW$3:AW$1334,[1]ACSDT5Y2020.B08301_data_with_ov!$AS$3:$AS$1334,$B15)</f>
        <v>#VALUE!</v>
      </c>
      <c r="P15" s="17" t="e">
        <f>SUMIFS([1]ACSDT5Y2020.B08301_data_with_ov!AX$3:AX$1334,[1]ACSDT5Y2020.B08301_data_with_ov!$AS$3:$AS$1334,$B15)</f>
        <v>#VALUE!</v>
      </c>
      <c r="Q15" s="17" t="e">
        <f>SUMIFS([1]ACSDT5Y2020.B08301_data_with_ov!AY$3:AY$1334,[1]ACSDT5Y2020.B08301_data_with_ov!$AS$3:$AS$1334,$B15)</f>
        <v>#VALUE!</v>
      </c>
      <c r="R15" s="17" t="e">
        <f>SUMIFS([1]ACSDT5Y2020.B08301_data_with_ov!AZ$3:AZ$1334,[1]ACSDT5Y2020.B08301_data_with_ov!$AS$3:$AS$1334,$B15)</f>
        <v>#VALUE!</v>
      </c>
      <c r="S15" s="17" t="e">
        <f>SUMIFS([1]ACSDT5Y2020.B08301_data_with_ov!BA$3:BA$1334,[1]ACSDT5Y2020.B08301_data_with_ov!$AS$3:$AS$1334,$B15)</f>
        <v>#VALUE!</v>
      </c>
      <c r="T15" s="188">
        <v>0.19807108533221454</v>
      </c>
      <c r="U15" s="189" t="e">
        <f t="shared" si="3"/>
        <v>#VALUE!</v>
      </c>
      <c r="V15" s="188">
        <v>0.19807108533221454</v>
      </c>
      <c r="W15" s="189" t="e">
        <f t="shared" si="0"/>
        <v>#VALUE!</v>
      </c>
      <c r="X15" s="188">
        <v>0.19807108533221454</v>
      </c>
      <c r="Y15" s="189" t="e">
        <f t="shared" si="1"/>
        <v>#VALUE!</v>
      </c>
      <c r="Z15" s="188">
        <v>0.19807108533221454</v>
      </c>
      <c r="AA15" s="189" t="e">
        <f t="shared" si="2"/>
        <v>#VALUE!</v>
      </c>
    </row>
    <row r="16" spans="1:28" x14ac:dyDescent="0.25">
      <c r="A16">
        <v>360200</v>
      </c>
      <c r="B16">
        <v>17031360200</v>
      </c>
      <c r="C16">
        <v>17031</v>
      </c>
      <c r="D16">
        <v>2010</v>
      </c>
      <c r="E16">
        <v>36</v>
      </c>
      <c r="F16">
        <v>2514325.24133371</v>
      </c>
      <c r="G16" s="45">
        <v>9.0189008025342562E-2</v>
      </c>
      <c r="H16" s="60" t="str">
        <f>_xlfn.IFNA(
INDEX('Community Areas'!B$2:B$78,MATCH($E16,'Community Areas'!$A$2:$A$78,0)),
"")</f>
        <v>OAKLAND</v>
      </c>
      <c r="I16" s="63" t="str">
        <f>_xlfn.IFNA(
INDEX('Community Areas'!C$2:C$78,MATCH($E16,'Community Areas'!$A$2:$A$78,0)),
"")</f>
        <v>6-A</v>
      </c>
      <c r="J16" s="63">
        <f>_xlfn.IFNA(
INDEX('Community Areas'!D$2:D$78,MATCH($E16,'Community Areas'!$A$2:$A$78,0)),
"")</f>
        <v>6</v>
      </c>
      <c r="K16" s="60" t="str">
        <f>_xlfn.IFNA(
INDEX('Community Areas'!E$2:E$78,MATCH($E16,'Community Areas'!$A$2:$A$78,0)),
"")</f>
        <v>SOUTH</v>
      </c>
      <c r="L16" s="17" t="e">
        <f>SUMIFS([1]ACSDT5Y2020.B08301_data_with_ov!AT$3:AT$1334,[1]ACSDT5Y2020.B08301_data_with_ov!$AS$3:$AS$1334,$B16)</f>
        <v>#VALUE!</v>
      </c>
      <c r="M16" s="17" t="e">
        <f>SUMIFS([1]ACSDT5Y2020.B08301_data_with_ov!AU$3:AU$1334,[1]ACSDT5Y2020.B08301_data_with_ov!$AS$3:$AS$1334,$B16)</f>
        <v>#VALUE!</v>
      </c>
      <c r="N16" s="17" t="e">
        <f>SUMIFS([1]ACSDT5Y2020.B08301_data_with_ov!AV$3:AV$1334,[1]ACSDT5Y2020.B08301_data_with_ov!$AS$3:$AS$1334,$B16)</f>
        <v>#VALUE!</v>
      </c>
      <c r="O16" s="17" t="e">
        <f>SUMIFS([1]ACSDT5Y2020.B08301_data_with_ov!AW$3:AW$1334,[1]ACSDT5Y2020.B08301_data_with_ov!$AS$3:$AS$1334,$B16)</f>
        <v>#VALUE!</v>
      </c>
      <c r="P16" s="17" t="e">
        <f>SUMIFS([1]ACSDT5Y2020.B08301_data_with_ov!AX$3:AX$1334,[1]ACSDT5Y2020.B08301_data_with_ov!$AS$3:$AS$1334,$B16)</f>
        <v>#VALUE!</v>
      </c>
      <c r="Q16" s="17" t="e">
        <f>SUMIFS([1]ACSDT5Y2020.B08301_data_with_ov!AY$3:AY$1334,[1]ACSDT5Y2020.B08301_data_with_ov!$AS$3:$AS$1334,$B16)</f>
        <v>#VALUE!</v>
      </c>
      <c r="R16" s="17" t="e">
        <f>SUMIFS([1]ACSDT5Y2020.B08301_data_with_ov!AZ$3:AZ$1334,[1]ACSDT5Y2020.B08301_data_with_ov!$AS$3:$AS$1334,$B16)</f>
        <v>#VALUE!</v>
      </c>
      <c r="S16" s="17" t="e">
        <f>SUMIFS([1]ACSDT5Y2020.B08301_data_with_ov!BA$3:BA$1334,[1]ACSDT5Y2020.B08301_data_with_ov!$AS$3:$AS$1334,$B16)</f>
        <v>#VALUE!</v>
      </c>
      <c r="T16" s="188">
        <v>9.0189003330650261E-2</v>
      </c>
      <c r="U16" s="189" t="e">
        <f t="shared" si="3"/>
        <v>#VALUE!</v>
      </c>
      <c r="V16" s="188">
        <v>9.0189003330650261E-2</v>
      </c>
      <c r="W16" s="189" t="e">
        <f t="shared" si="0"/>
        <v>#VALUE!</v>
      </c>
      <c r="X16" s="188">
        <v>9.0189003330650261E-2</v>
      </c>
      <c r="Y16" s="189" t="e">
        <f t="shared" si="1"/>
        <v>#VALUE!</v>
      </c>
      <c r="Z16" s="188">
        <v>9.0189003330650261E-2</v>
      </c>
      <c r="AA16" s="189" t="e">
        <f t="shared" si="2"/>
        <v>#VALUE!</v>
      </c>
    </row>
    <row r="17" spans="1:27" x14ac:dyDescent="0.25">
      <c r="A17">
        <v>836400</v>
      </c>
      <c r="B17">
        <v>17031836400</v>
      </c>
      <c r="C17">
        <v>17031</v>
      </c>
      <c r="D17">
        <v>2010</v>
      </c>
      <c r="E17">
        <v>36</v>
      </c>
      <c r="F17">
        <v>8877731.0776548702</v>
      </c>
      <c r="G17" s="45">
        <v>0.31844478440853385</v>
      </c>
      <c r="H17" s="60" t="str">
        <f>_xlfn.IFNA(
INDEX('Community Areas'!B$2:B$78,MATCH($E17,'Community Areas'!$A$2:$A$78,0)),
"")</f>
        <v>OAKLAND</v>
      </c>
      <c r="I17" s="63" t="str">
        <f>_xlfn.IFNA(
INDEX('Community Areas'!C$2:C$78,MATCH($E17,'Community Areas'!$A$2:$A$78,0)),
"")</f>
        <v>6-A</v>
      </c>
      <c r="J17" s="63">
        <f>_xlfn.IFNA(
INDEX('Community Areas'!D$2:D$78,MATCH($E17,'Community Areas'!$A$2:$A$78,0)),
"")</f>
        <v>6</v>
      </c>
      <c r="K17" s="60" t="str">
        <f>_xlfn.IFNA(
INDEX('Community Areas'!E$2:E$78,MATCH($E17,'Community Areas'!$A$2:$A$78,0)),
"")</f>
        <v>SOUTH</v>
      </c>
      <c r="L17" s="17" t="e">
        <f>SUMIFS([1]ACSDT5Y2020.B08301_data_with_ov!AT$3:AT$1334,[1]ACSDT5Y2020.B08301_data_with_ov!$AS$3:$AS$1334,$B17)</f>
        <v>#VALUE!</v>
      </c>
      <c r="M17" s="17" t="e">
        <f>SUMIFS([1]ACSDT5Y2020.B08301_data_with_ov!AU$3:AU$1334,[1]ACSDT5Y2020.B08301_data_with_ov!$AS$3:$AS$1334,$B17)</f>
        <v>#VALUE!</v>
      </c>
      <c r="N17" s="17" t="e">
        <f>SUMIFS([1]ACSDT5Y2020.B08301_data_with_ov!AV$3:AV$1334,[1]ACSDT5Y2020.B08301_data_with_ov!$AS$3:$AS$1334,$B17)</f>
        <v>#VALUE!</v>
      </c>
      <c r="O17" s="17" t="e">
        <f>SUMIFS([1]ACSDT5Y2020.B08301_data_with_ov!AW$3:AW$1334,[1]ACSDT5Y2020.B08301_data_with_ov!$AS$3:$AS$1334,$B17)</f>
        <v>#VALUE!</v>
      </c>
      <c r="P17" s="17" t="e">
        <f>SUMIFS([1]ACSDT5Y2020.B08301_data_with_ov!AX$3:AX$1334,[1]ACSDT5Y2020.B08301_data_with_ov!$AS$3:$AS$1334,$B17)</f>
        <v>#VALUE!</v>
      </c>
      <c r="Q17" s="17" t="e">
        <f>SUMIFS([1]ACSDT5Y2020.B08301_data_with_ov!AY$3:AY$1334,[1]ACSDT5Y2020.B08301_data_with_ov!$AS$3:$AS$1334,$B17)</f>
        <v>#VALUE!</v>
      </c>
      <c r="R17" s="17" t="e">
        <f>SUMIFS([1]ACSDT5Y2020.B08301_data_with_ov!AZ$3:AZ$1334,[1]ACSDT5Y2020.B08301_data_with_ov!$AS$3:$AS$1334,$B17)</f>
        <v>#VALUE!</v>
      </c>
      <c r="S17" s="17" t="e">
        <f>SUMIFS([1]ACSDT5Y2020.B08301_data_with_ov!BA$3:BA$1334,[1]ACSDT5Y2020.B08301_data_with_ov!$AS$3:$AS$1334,$B17)</f>
        <v>#VALUE!</v>
      </c>
      <c r="T17" s="188">
        <v>0.31844478134024229</v>
      </c>
      <c r="U17" s="189" t="e">
        <f t="shared" si="3"/>
        <v>#VALUE!</v>
      </c>
      <c r="V17" s="188">
        <v>0.31844478134024229</v>
      </c>
      <c r="W17" s="189" t="e">
        <f t="shared" si="0"/>
        <v>#VALUE!</v>
      </c>
      <c r="X17" s="188">
        <v>0.31844478134024229</v>
      </c>
      <c r="Y17" s="189" t="e">
        <f t="shared" si="1"/>
        <v>#VALUE!</v>
      </c>
      <c r="Z17" s="188">
        <v>0.31844478134024229</v>
      </c>
      <c r="AA17" s="189" t="e">
        <f t="shared" si="2"/>
        <v>#VALUE!</v>
      </c>
    </row>
    <row r="18" spans="1:27" x14ac:dyDescent="0.25">
      <c r="A18">
        <v>835500</v>
      </c>
      <c r="B18">
        <v>17031835500</v>
      </c>
      <c r="C18">
        <v>17031</v>
      </c>
      <c r="D18">
        <v>2010</v>
      </c>
      <c r="E18">
        <v>37</v>
      </c>
      <c r="F18">
        <v>9933248.9455232602</v>
      </c>
      <c r="G18" s="45">
        <v>0.35630627817676985</v>
      </c>
      <c r="H18" s="60" t="str">
        <f>_xlfn.IFNA(
INDEX('Community Areas'!B$2:B$78,MATCH($E18,'Community Areas'!$A$2:$A$78,0)),
"")</f>
        <v>FULLER PARK</v>
      </c>
      <c r="I18" s="63" t="str">
        <f>_xlfn.IFNA(
INDEX('Community Areas'!C$2:C$78,MATCH($E18,'Community Areas'!$A$2:$A$78,0)),
"")</f>
        <v>6-A</v>
      </c>
      <c r="J18" s="63">
        <f>_xlfn.IFNA(
INDEX('Community Areas'!D$2:D$78,MATCH($E18,'Community Areas'!$A$2:$A$78,0)),
"")</f>
        <v>6</v>
      </c>
      <c r="K18" s="60" t="str">
        <f>_xlfn.IFNA(
INDEX('Community Areas'!E$2:E$78,MATCH($E18,'Community Areas'!$A$2:$A$78,0)),
"")</f>
        <v>SOUTH</v>
      </c>
      <c r="L18" s="17" t="e">
        <f>SUMIFS([1]ACSDT5Y2020.B08301_data_with_ov!AT$3:AT$1334,[1]ACSDT5Y2020.B08301_data_with_ov!$AS$3:$AS$1334,$B18)</f>
        <v>#VALUE!</v>
      </c>
      <c r="M18" s="17" t="e">
        <f>SUMIFS([1]ACSDT5Y2020.B08301_data_with_ov!AU$3:AU$1334,[1]ACSDT5Y2020.B08301_data_with_ov!$AS$3:$AS$1334,$B18)</f>
        <v>#VALUE!</v>
      </c>
      <c r="N18" s="17" t="e">
        <f>SUMIFS([1]ACSDT5Y2020.B08301_data_with_ov!AV$3:AV$1334,[1]ACSDT5Y2020.B08301_data_with_ov!$AS$3:$AS$1334,$B18)</f>
        <v>#VALUE!</v>
      </c>
      <c r="O18" s="17" t="e">
        <f>SUMIFS([1]ACSDT5Y2020.B08301_data_with_ov!AW$3:AW$1334,[1]ACSDT5Y2020.B08301_data_with_ov!$AS$3:$AS$1334,$B18)</f>
        <v>#VALUE!</v>
      </c>
      <c r="P18" s="17" t="e">
        <f>SUMIFS([1]ACSDT5Y2020.B08301_data_with_ov!AX$3:AX$1334,[1]ACSDT5Y2020.B08301_data_with_ov!$AS$3:$AS$1334,$B18)</f>
        <v>#VALUE!</v>
      </c>
      <c r="Q18" s="17" t="e">
        <f>SUMIFS([1]ACSDT5Y2020.B08301_data_with_ov!AY$3:AY$1334,[1]ACSDT5Y2020.B08301_data_with_ov!$AS$3:$AS$1334,$B18)</f>
        <v>#VALUE!</v>
      </c>
      <c r="R18" s="17" t="e">
        <f>SUMIFS([1]ACSDT5Y2020.B08301_data_with_ov!AZ$3:AZ$1334,[1]ACSDT5Y2020.B08301_data_with_ov!$AS$3:$AS$1334,$B18)</f>
        <v>#VALUE!</v>
      </c>
      <c r="S18" s="17" t="e">
        <f>SUMIFS([1]ACSDT5Y2020.B08301_data_with_ov!BA$3:BA$1334,[1]ACSDT5Y2020.B08301_data_with_ov!$AS$3:$AS$1334,$B18)</f>
        <v>#VALUE!</v>
      </c>
      <c r="T18" s="188">
        <v>0.28876074264564322</v>
      </c>
      <c r="U18" s="189" t="e">
        <f t="shared" si="3"/>
        <v>#VALUE!</v>
      </c>
      <c r="V18" s="188">
        <v>0.28876074264564322</v>
      </c>
      <c r="W18" s="189" t="e">
        <f t="shared" si="0"/>
        <v>#VALUE!</v>
      </c>
      <c r="X18" s="188">
        <v>0.28876074264564322</v>
      </c>
      <c r="Y18" s="189" t="e">
        <f t="shared" si="1"/>
        <v>#VALUE!</v>
      </c>
      <c r="Z18" s="188">
        <v>0.28876074264564322</v>
      </c>
      <c r="AA18" s="189" t="e">
        <f t="shared" si="2"/>
        <v>#VALUE!</v>
      </c>
    </row>
    <row r="19" spans="1:27" x14ac:dyDescent="0.25">
      <c r="A19">
        <v>835600</v>
      </c>
      <c r="B19">
        <v>17031835600</v>
      </c>
      <c r="C19">
        <v>17031</v>
      </c>
      <c r="D19">
        <v>2010</v>
      </c>
      <c r="E19">
        <v>37</v>
      </c>
      <c r="F19">
        <v>9933903.8281874806</v>
      </c>
      <c r="G19" s="45">
        <v>0.3563297688600307</v>
      </c>
      <c r="H19" s="60" t="str">
        <f>_xlfn.IFNA(
INDEX('Community Areas'!B$2:B$78,MATCH($E19,'Community Areas'!$A$2:$A$78,0)),
"")</f>
        <v>FULLER PARK</v>
      </c>
      <c r="I19" s="63" t="str">
        <f>_xlfn.IFNA(
INDEX('Community Areas'!C$2:C$78,MATCH($E19,'Community Areas'!$A$2:$A$78,0)),
"")</f>
        <v>6-A</v>
      </c>
      <c r="J19" s="63">
        <f>_xlfn.IFNA(
INDEX('Community Areas'!D$2:D$78,MATCH($E19,'Community Areas'!$A$2:$A$78,0)),
"")</f>
        <v>6</v>
      </c>
      <c r="K19" s="60" t="str">
        <f>_xlfn.IFNA(
INDEX('Community Areas'!E$2:E$78,MATCH($E19,'Community Areas'!$A$2:$A$78,0)),
"")</f>
        <v>SOUTH</v>
      </c>
      <c r="L19" s="17" t="e">
        <f>SUMIFS([1]ACSDT5Y2020.B08301_data_with_ov!AT$3:AT$1334,[1]ACSDT5Y2020.B08301_data_with_ov!$AS$3:$AS$1334,$B19)</f>
        <v>#VALUE!</v>
      </c>
      <c r="M19" s="17" t="e">
        <f>SUMIFS([1]ACSDT5Y2020.B08301_data_with_ov!AU$3:AU$1334,[1]ACSDT5Y2020.B08301_data_with_ov!$AS$3:$AS$1334,$B19)</f>
        <v>#VALUE!</v>
      </c>
      <c r="N19" s="17" t="e">
        <f>SUMIFS([1]ACSDT5Y2020.B08301_data_with_ov!AV$3:AV$1334,[1]ACSDT5Y2020.B08301_data_with_ov!$AS$3:$AS$1334,$B19)</f>
        <v>#VALUE!</v>
      </c>
      <c r="O19" s="17" t="e">
        <f>SUMIFS([1]ACSDT5Y2020.B08301_data_with_ov!AW$3:AW$1334,[1]ACSDT5Y2020.B08301_data_with_ov!$AS$3:$AS$1334,$B19)</f>
        <v>#VALUE!</v>
      </c>
      <c r="P19" s="17" t="e">
        <f>SUMIFS([1]ACSDT5Y2020.B08301_data_with_ov!AX$3:AX$1334,[1]ACSDT5Y2020.B08301_data_with_ov!$AS$3:$AS$1334,$B19)</f>
        <v>#VALUE!</v>
      </c>
      <c r="Q19" s="17" t="e">
        <f>SUMIFS([1]ACSDT5Y2020.B08301_data_with_ov!AY$3:AY$1334,[1]ACSDT5Y2020.B08301_data_with_ov!$AS$3:$AS$1334,$B19)</f>
        <v>#VALUE!</v>
      </c>
      <c r="R19" s="17" t="e">
        <f>SUMIFS([1]ACSDT5Y2020.B08301_data_with_ov!AZ$3:AZ$1334,[1]ACSDT5Y2020.B08301_data_with_ov!$AS$3:$AS$1334,$B19)</f>
        <v>#VALUE!</v>
      </c>
      <c r="S19" s="17" t="e">
        <f>SUMIFS([1]ACSDT5Y2020.B08301_data_with_ov!BA$3:BA$1334,[1]ACSDT5Y2020.B08301_data_with_ov!$AS$3:$AS$1334,$B19)</f>
        <v>#VALUE!</v>
      </c>
      <c r="T19" s="188">
        <v>1.329329742038693E-3</v>
      </c>
      <c r="U19" s="189" t="e">
        <f t="shared" si="3"/>
        <v>#VALUE!</v>
      </c>
      <c r="V19" s="188">
        <v>1.329329742038693E-3</v>
      </c>
      <c r="W19" s="189" t="e">
        <f t="shared" si="0"/>
        <v>#VALUE!</v>
      </c>
      <c r="X19" s="188">
        <v>1.329329742038693E-3</v>
      </c>
      <c r="Y19" s="189" t="e">
        <f t="shared" si="1"/>
        <v>#VALUE!</v>
      </c>
      <c r="Z19" s="188">
        <v>1.329329742038693E-3</v>
      </c>
      <c r="AA19" s="189" t="e">
        <f t="shared" si="2"/>
        <v>#VALUE!</v>
      </c>
    </row>
    <row r="20" spans="1:27" x14ac:dyDescent="0.25">
      <c r="A20">
        <v>835900</v>
      </c>
      <c r="B20">
        <v>17031835900</v>
      </c>
      <c r="C20">
        <v>17031</v>
      </c>
      <c r="D20">
        <v>2010</v>
      </c>
      <c r="E20">
        <v>38</v>
      </c>
      <c r="F20">
        <v>6969371.8062178204</v>
      </c>
      <c r="G20" s="45">
        <v>0.24999181467436513</v>
      </c>
      <c r="H20" s="60" t="str">
        <f>_xlfn.IFNA(
INDEX('Community Areas'!B$2:B$78,MATCH($E20,'Community Areas'!$A$2:$A$78,0)),
"")</f>
        <v>GRAND BOULEVARD</v>
      </c>
      <c r="I20" s="63" t="str">
        <f>_xlfn.IFNA(
INDEX('Community Areas'!C$2:C$78,MATCH($E20,'Community Areas'!$A$2:$A$78,0)),
"")</f>
        <v>6-A</v>
      </c>
      <c r="J20" s="63">
        <f>_xlfn.IFNA(
INDEX('Community Areas'!D$2:D$78,MATCH($E20,'Community Areas'!$A$2:$A$78,0)),
"")</f>
        <v>6</v>
      </c>
      <c r="K20" s="60" t="str">
        <f>_xlfn.IFNA(
INDEX('Community Areas'!E$2:E$78,MATCH($E20,'Community Areas'!$A$2:$A$78,0)),
"")</f>
        <v>SOUTH</v>
      </c>
      <c r="L20" s="17" t="e">
        <f>SUMIFS([1]ACSDT5Y2020.B08301_data_with_ov!AT$3:AT$1334,[1]ACSDT5Y2020.B08301_data_with_ov!$AS$3:$AS$1334,$B20)</f>
        <v>#VALUE!</v>
      </c>
      <c r="M20" s="17" t="e">
        <f>SUMIFS([1]ACSDT5Y2020.B08301_data_with_ov!AU$3:AU$1334,[1]ACSDT5Y2020.B08301_data_with_ov!$AS$3:$AS$1334,$B20)</f>
        <v>#VALUE!</v>
      </c>
      <c r="N20" s="17" t="e">
        <f>SUMIFS([1]ACSDT5Y2020.B08301_data_with_ov!AV$3:AV$1334,[1]ACSDT5Y2020.B08301_data_with_ov!$AS$3:$AS$1334,$B20)</f>
        <v>#VALUE!</v>
      </c>
      <c r="O20" s="17" t="e">
        <f>SUMIFS([1]ACSDT5Y2020.B08301_data_with_ov!AW$3:AW$1334,[1]ACSDT5Y2020.B08301_data_with_ov!$AS$3:$AS$1334,$B20)</f>
        <v>#VALUE!</v>
      </c>
      <c r="P20" s="17" t="e">
        <f>SUMIFS([1]ACSDT5Y2020.B08301_data_with_ov!AX$3:AX$1334,[1]ACSDT5Y2020.B08301_data_with_ov!$AS$3:$AS$1334,$B20)</f>
        <v>#VALUE!</v>
      </c>
      <c r="Q20" s="17" t="e">
        <f>SUMIFS([1]ACSDT5Y2020.B08301_data_with_ov!AY$3:AY$1334,[1]ACSDT5Y2020.B08301_data_with_ov!$AS$3:$AS$1334,$B20)</f>
        <v>#VALUE!</v>
      </c>
      <c r="R20" s="17" t="e">
        <f>SUMIFS([1]ACSDT5Y2020.B08301_data_with_ov!AZ$3:AZ$1334,[1]ACSDT5Y2020.B08301_data_with_ov!$AS$3:$AS$1334,$B20)</f>
        <v>#VALUE!</v>
      </c>
      <c r="S20" s="17" t="e">
        <f>SUMIFS([1]ACSDT5Y2020.B08301_data_with_ov!BA$3:BA$1334,[1]ACSDT5Y2020.B08301_data_with_ov!$AS$3:$AS$1334,$B20)</f>
        <v>#VALUE!</v>
      </c>
      <c r="T20" s="188">
        <v>0.24999181402595522</v>
      </c>
      <c r="U20" s="189" t="e">
        <f t="shared" si="3"/>
        <v>#VALUE!</v>
      </c>
      <c r="V20" s="188">
        <v>0.24999181402595522</v>
      </c>
      <c r="W20" s="189" t="e">
        <f t="shared" si="0"/>
        <v>#VALUE!</v>
      </c>
      <c r="X20" s="188">
        <v>0.24999181402595522</v>
      </c>
      <c r="Y20" s="189" t="e">
        <f t="shared" si="1"/>
        <v>#VALUE!</v>
      </c>
      <c r="Z20" s="188">
        <v>0.24999181402595522</v>
      </c>
      <c r="AA20" s="189" t="e">
        <f t="shared" si="2"/>
        <v>#VALUE!</v>
      </c>
    </row>
    <row r="21" spans="1:27" x14ac:dyDescent="0.25">
      <c r="A21">
        <v>380700</v>
      </c>
      <c r="B21">
        <v>17031380700</v>
      </c>
      <c r="C21">
        <v>17031</v>
      </c>
      <c r="D21">
        <v>2010</v>
      </c>
      <c r="E21">
        <v>38</v>
      </c>
      <c r="F21">
        <v>2631631.35363399</v>
      </c>
      <c r="G21" s="45">
        <v>9.4396785813891396E-2</v>
      </c>
      <c r="H21" s="60" t="str">
        <f>_xlfn.IFNA(
INDEX('Community Areas'!B$2:B$78,MATCH($E21,'Community Areas'!$A$2:$A$78,0)),
"")</f>
        <v>GRAND BOULEVARD</v>
      </c>
      <c r="I21" s="63" t="str">
        <f>_xlfn.IFNA(
INDEX('Community Areas'!C$2:C$78,MATCH($E21,'Community Areas'!$A$2:$A$78,0)),
"")</f>
        <v>6-A</v>
      </c>
      <c r="J21" s="63">
        <f>_xlfn.IFNA(
INDEX('Community Areas'!D$2:D$78,MATCH($E21,'Community Areas'!$A$2:$A$78,0)),
"")</f>
        <v>6</v>
      </c>
      <c r="K21" s="60" t="str">
        <f>_xlfn.IFNA(
INDEX('Community Areas'!E$2:E$78,MATCH($E21,'Community Areas'!$A$2:$A$78,0)),
"")</f>
        <v>SOUTH</v>
      </c>
      <c r="L21" s="17" t="e">
        <f>SUMIFS([1]ACSDT5Y2020.B08301_data_with_ov!AT$3:AT$1334,[1]ACSDT5Y2020.B08301_data_with_ov!$AS$3:$AS$1334,$B21)</f>
        <v>#VALUE!</v>
      </c>
      <c r="M21" s="17" t="e">
        <f>SUMIFS([1]ACSDT5Y2020.B08301_data_with_ov!AU$3:AU$1334,[1]ACSDT5Y2020.B08301_data_with_ov!$AS$3:$AS$1334,$B21)</f>
        <v>#VALUE!</v>
      </c>
      <c r="N21" s="17" t="e">
        <f>SUMIFS([1]ACSDT5Y2020.B08301_data_with_ov!AV$3:AV$1334,[1]ACSDT5Y2020.B08301_data_with_ov!$AS$3:$AS$1334,$B21)</f>
        <v>#VALUE!</v>
      </c>
      <c r="O21" s="17" t="e">
        <f>SUMIFS([1]ACSDT5Y2020.B08301_data_with_ov!AW$3:AW$1334,[1]ACSDT5Y2020.B08301_data_with_ov!$AS$3:$AS$1334,$B21)</f>
        <v>#VALUE!</v>
      </c>
      <c r="P21" s="17" t="e">
        <f>SUMIFS([1]ACSDT5Y2020.B08301_data_with_ov!AX$3:AX$1334,[1]ACSDT5Y2020.B08301_data_with_ov!$AS$3:$AS$1334,$B21)</f>
        <v>#VALUE!</v>
      </c>
      <c r="Q21" s="17" t="e">
        <f>SUMIFS([1]ACSDT5Y2020.B08301_data_with_ov!AY$3:AY$1334,[1]ACSDT5Y2020.B08301_data_with_ov!$AS$3:$AS$1334,$B21)</f>
        <v>#VALUE!</v>
      </c>
      <c r="R21" s="17" t="e">
        <f>SUMIFS([1]ACSDT5Y2020.B08301_data_with_ov!AZ$3:AZ$1334,[1]ACSDT5Y2020.B08301_data_with_ov!$AS$3:$AS$1334,$B21)</f>
        <v>#VALUE!</v>
      </c>
      <c r="S21" s="17" t="e">
        <f>SUMIFS([1]ACSDT5Y2020.B08301_data_with_ov!BA$3:BA$1334,[1]ACSDT5Y2020.B08301_data_with_ov!$AS$3:$AS$1334,$B21)</f>
        <v>#VALUE!</v>
      </c>
      <c r="T21" s="188">
        <v>9.4396785176920475E-2</v>
      </c>
      <c r="U21" s="189" t="e">
        <f t="shared" si="3"/>
        <v>#VALUE!</v>
      </c>
      <c r="V21" s="188">
        <v>9.4396785176920475E-2</v>
      </c>
      <c r="W21" s="189" t="e">
        <f t="shared" si="0"/>
        <v>#VALUE!</v>
      </c>
      <c r="X21" s="188">
        <v>9.4396785176920475E-2</v>
      </c>
      <c r="Y21" s="189" t="e">
        <f t="shared" si="1"/>
        <v>#VALUE!</v>
      </c>
      <c r="Z21" s="188">
        <v>9.4396785176920475E-2</v>
      </c>
      <c r="AA21" s="189" t="e">
        <f t="shared" si="2"/>
        <v>#VALUE!</v>
      </c>
    </row>
    <row r="22" spans="1:27" x14ac:dyDescent="0.25">
      <c r="A22">
        <v>381500</v>
      </c>
      <c r="B22">
        <v>17031381500</v>
      </c>
      <c r="C22">
        <v>17031</v>
      </c>
      <c r="D22">
        <v>2010</v>
      </c>
      <c r="E22">
        <v>38</v>
      </c>
      <c r="F22">
        <v>1169732.56499906</v>
      </c>
      <c r="G22" s="45">
        <v>4.1958382295937353E-2</v>
      </c>
      <c r="H22" s="60" t="str">
        <f>_xlfn.IFNA(
INDEX('Community Areas'!B$2:B$78,MATCH($E22,'Community Areas'!$A$2:$A$78,0)),
"")</f>
        <v>GRAND BOULEVARD</v>
      </c>
      <c r="I22" s="63" t="str">
        <f>_xlfn.IFNA(
INDEX('Community Areas'!C$2:C$78,MATCH($E22,'Community Areas'!$A$2:$A$78,0)),
"")</f>
        <v>6-A</v>
      </c>
      <c r="J22" s="63">
        <f>_xlfn.IFNA(
INDEX('Community Areas'!D$2:D$78,MATCH($E22,'Community Areas'!$A$2:$A$78,0)),
"")</f>
        <v>6</v>
      </c>
      <c r="K22" s="60" t="str">
        <f>_xlfn.IFNA(
INDEX('Community Areas'!E$2:E$78,MATCH($E22,'Community Areas'!$A$2:$A$78,0)),
"")</f>
        <v>SOUTH</v>
      </c>
      <c r="L22" s="17" t="e">
        <f>SUMIFS([1]ACSDT5Y2020.B08301_data_with_ov!AT$3:AT$1334,[1]ACSDT5Y2020.B08301_data_with_ov!$AS$3:$AS$1334,$B22)</f>
        <v>#VALUE!</v>
      </c>
      <c r="M22" s="17" t="e">
        <f>SUMIFS([1]ACSDT5Y2020.B08301_data_with_ov!AU$3:AU$1334,[1]ACSDT5Y2020.B08301_data_with_ov!$AS$3:$AS$1334,$B22)</f>
        <v>#VALUE!</v>
      </c>
      <c r="N22" s="17" t="e">
        <f>SUMIFS([1]ACSDT5Y2020.B08301_data_with_ov!AV$3:AV$1334,[1]ACSDT5Y2020.B08301_data_with_ov!$AS$3:$AS$1334,$B22)</f>
        <v>#VALUE!</v>
      </c>
      <c r="O22" s="17" t="e">
        <f>SUMIFS([1]ACSDT5Y2020.B08301_data_with_ov!AW$3:AW$1334,[1]ACSDT5Y2020.B08301_data_with_ov!$AS$3:$AS$1334,$B22)</f>
        <v>#VALUE!</v>
      </c>
      <c r="P22" s="17" t="e">
        <f>SUMIFS([1]ACSDT5Y2020.B08301_data_with_ov!AX$3:AX$1334,[1]ACSDT5Y2020.B08301_data_with_ov!$AS$3:$AS$1334,$B22)</f>
        <v>#VALUE!</v>
      </c>
      <c r="Q22" s="17" t="e">
        <f>SUMIFS([1]ACSDT5Y2020.B08301_data_with_ov!AY$3:AY$1334,[1]ACSDT5Y2020.B08301_data_with_ov!$AS$3:$AS$1334,$B22)</f>
        <v>#VALUE!</v>
      </c>
      <c r="R22" s="17" t="e">
        <f>SUMIFS([1]ACSDT5Y2020.B08301_data_with_ov!AZ$3:AZ$1334,[1]ACSDT5Y2020.B08301_data_with_ov!$AS$3:$AS$1334,$B22)</f>
        <v>#VALUE!</v>
      </c>
      <c r="S22" s="17" t="e">
        <f>SUMIFS([1]ACSDT5Y2020.B08301_data_with_ov!BA$3:BA$1334,[1]ACSDT5Y2020.B08301_data_with_ov!$AS$3:$AS$1334,$B22)</f>
        <v>#VALUE!</v>
      </c>
      <c r="T22" s="188">
        <v>4.1958384444974961E-2</v>
      </c>
      <c r="U22" s="189" t="e">
        <f t="shared" si="3"/>
        <v>#VALUE!</v>
      </c>
      <c r="V22" s="188">
        <v>4.1958384444974961E-2</v>
      </c>
      <c r="W22" s="189" t="e">
        <f t="shared" si="0"/>
        <v>#VALUE!</v>
      </c>
      <c r="X22" s="188">
        <v>4.1958384444974961E-2</v>
      </c>
      <c r="Y22" s="189" t="e">
        <f t="shared" si="1"/>
        <v>#VALUE!</v>
      </c>
      <c r="Z22" s="188">
        <v>4.1958384444974961E-2</v>
      </c>
      <c r="AA22" s="189" t="e">
        <f t="shared" si="2"/>
        <v>#VALUE!</v>
      </c>
    </row>
    <row r="23" spans="1:27" x14ac:dyDescent="0.25">
      <c r="A23">
        <v>381800</v>
      </c>
      <c r="B23">
        <v>17031381800</v>
      </c>
      <c r="C23">
        <v>17031</v>
      </c>
      <c r="D23">
        <v>2010</v>
      </c>
      <c r="E23">
        <v>38</v>
      </c>
      <c r="F23">
        <v>3412715.0980619998</v>
      </c>
      <c r="G23" s="45">
        <v>0.12241430993392734</v>
      </c>
      <c r="H23" s="60" t="str">
        <f>_xlfn.IFNA(
INDEX('Community Areas'!B$2:B$78,MATCH($E23,'Community Areas'!$A$2:$A$78,0)),
"")</f>
        <v>GRAND BOULEVARD</v>
      </c>
      <c r="I23" s="63" t="str">
        <f>_xlfn.IFNA(
INDEX('Community Areas'!C$2:C$78,MATCH($E23,'Community Areas'!$A$2:$A$78,0)),
"")</f>
        <v>6-A</v>
      </c>
      <c r="J23" s="63">
        <f>_xlfn.IFNA(
INDEX('Community Areas'!D$2:D$78,MATCH($E23,'Community Areas'!$A$2:$A$78,0)),
"")</f>
        <v>6</v>
      </c>
      <c r="K23" s="60" t="str">
        <f>_xlfn.IFNA(
INDEX('Community Areas'!E$2:E$78,MATCH($E23,'Community Areas'!$A$2:$A$78,0)),
"")</f>
        <v>SOUTH</v>
      </c>
      <c r="L23" s="17" t="e">
        <f>SUMIFS([1]ACSDT5Y2020.B08301_data_with_ov!AT$3:AT$1334,[1]ACSDT5Y2020.B08301_data_with_ov!$AS$3:$AS$1334,$B23)</f>
        <v>#VALUE!</v>
      </c>
      <c r="M23" s="17" t="e">
        <f>SUMIFS([1]ACSDT5Y2020.B08301_data_with_ov!AU$3:AU$1334,[1]ACSDT5Y2020.B08301_data_with_ov!$AS$3:$AS$1334,$B23)</f>
        <v>#VALUE!</v>
      </c>
      <c r="N23" s="17" t="e">
        <f>SUMIFS([1]ACSDT5Y2020.B08301_data_with_ov!AV$3:AV$1334,[1]ACSDT5Y2020.B08301_data_with_ov!$AS$3:$AS$1334,$B23)</f>
        <v>#VALUE!</v>
      </c>
      <c r="O23" s="17" t="e">
        <f>SUMIFS([1]ACSDT5Y2020.B08301_data_with_ov!AW$3:AW$1334,[1]ACSDT5Y2020.B08301_data_with_ov!$AS$3:$AS$1334,$B23)</f>
        <v>#VALUE!</v>
      </c>
      <c r="P23" s="17" t="e">
        <f>SUMIFS([1]ACSDT5Y2020.B08301_data_with_ov!AX$3:AX$1334,[1]ACSDT5Y2020.B08301_data_with_ov!$AS$3:$AS$1334,$B23)</f>
        <v>#VALUE!</v>
      </c>
      <c r="Q23" s="17" t="e">
        <f>SUMIFS([1]ACSDT5Y2020.B08301_data_with_ov!AY$3:AY$1334,[1]ACSDT5Y2020.B08301_data_with_ov!$AS$3:$AS$1334,$B23)</f>
        <v>#VALUE!</v>
      </c>
      <c r="R23" s="17" t="e">
        <f>SUMIFS([1]ACSDT5Y2020.B08301_data_with_ov!AZ$3:AZ$1334,[1]ACSDT5Y2020.B08301_data_with_ov!$AS$3:$AS$1334,$B23)</f>
        <v>#VALUE!</v>
      </c>
      <c r="S23" s="17" t="e">
        <f>SUMIFS([1]ACSDT5Y2020.B08301_data_with_ov!BA$3:BA$1334,[1]ACSDT5Y2020.B08301_data_with_ov!$AS$3:$AS$1334,$B23)</f>
        <v>#VALUE!</v>
      </c>
      <c r="T23" s="188">
        <v>0.12241430470238393</v>
      </c>
      <c r="U23" s="189" t="e">
        <f t="shared" si="3"/>
        <v>#VALUE!</v>
      </c>
      <c r="V23" s="188">
        <v>0.12241430470238393</v>
      </c>
      <c r="W23" s="189" t="e">
        <f t="shared" si="0"/>
        <v>#VALUE!</v>
      </c>
      <c r="X23" s="188">
        <v>0.12241430470238393</v>
      </c>
      <c r="Y23" s="189" t="e">
        <f t="shared" si="1"/>
        <v>#VALUE!</v>
      </c>
      <c r="Z23" s="188">
        <v>0.12241430470238393</v>
      </c>
      <c r="AA23" s="189" t="e">
        <f t="shared" si="2"/>
        <v>#VALUE!</v>
      </c>
    </row>
    <row r="24" spans="1:27" x14ac:dyDescent="0.25">
      <c r="A24">
        <v>843600</v>
      </c>
      <c r="B24">
        <v>17031843600</v>
      </c>
      <c r="C24">
        <v>17031</v>
      </c>
      <c r="D24">
        <v>2010</v>
      </c>
      <c r="E24">
        <v>38</v>
      </c>
      <c r="F24">
        <v>4422797.0075238096</v>
      </c>
      <c r="G24" s="45">
        <v>0.15864601295353425</v>
      </c>
      <c r="H24" s="60" t="str">
        <f>_xlfn.IFNA(
INDEX('Community Areas'!B$2:B$78,MATCH($E24,'Community Areas'!$A$2:$A$78,0)),
"")</f>
        <v>GRAND BOULEVARD</v>
      </c>
      <c r="I24" s="63" t="str">
        <f>_xlfn.IFNA(
INDEX('Community Areas'!C$2:C$78,MATCH($E24,'Community Areas'!$A$2:$A$78,0)),
"")</f>
        <v>6-A</v>
      </c>
      <c r="J24" s="63">
        <f>_xlfn.IFNA(
INDEX('Community Areas'!D$2:D$78,MATCH($E24,'Community Areas'!$A$2:$A$78,0)),
"")</f>
        <v>6</v>
      </c>
      <c r="K24" s="60" t="str">
        <f>_xlfn.IFNA(
INDEX('Community Areas'!E$2:E$78,MATCH($E24,'Community Areas'!$A$2:$A$78,0)),
"")</f>
        <v>SOUTH</v>
      </c>
      <c r="L24" s="17" t="e">
        <f>SUMIFS([1]ACSDT5Y2020.B08301_data_with_ov!AT$3:AT$1334,[1]ACSDT5Y2020.B08301_data_with_ov!$AS$3:$AS$1334,$B24)</f>
        <v>#VALUE!</v>
      </c>
      <c r="M24" s="17" t="e">
        <f>SUMIFS([1]ACSDT5Y2020.B08301_data_with_ov!AU$3:AU$1334,[1]ACSDT5Y2020.B08301_data_with_ov!$AS$3:$AS$1334,$B24)</f>
        <v>#VALUE!</v>
      </c>
      <c r="N24" s="17" t="e">
        <f>SUMIFS([1]ACSDT5Y2020.B08301_data_with_ov!AV$3:AV$1334,[1]ACSDT5Y2020.B08301_data_with_ov!$AS$3:$AS$1334,$B24)</f>
        <v>#VALUE!</v>
      </c>
      <c r="O24" s="17" t="e">
        <f>SUMIFS([1]ACSDT5Y2020.B08301_data_with_ov!AW$3:AW$1334,[1]ACSDT5Y2020.B08301_data_with_ov!$AS$3:$AS$1334,$B24)</f>
        <v>#VALUE!</v>
      </c>
      <c r="P24" s="17" t="e">
        <f>SUMIFS([1]ACSDT5Y2020.B08301_data_with_ov!AX$3:AX$1334,[1]ACSDT5Y2020.B08301_data_with_ov!$AS$3:$AS$1334,$B24)</f>
        <v>#VALUE!</v>
      </c>
      <c r="Q24" s="17" t="e">
        <f>SUMIFS([1]ACSDT5Y2020.B08301_data_with_ov!AY$3:AY$1334,[1]ACSDT5Y2020.B08301_data_with_ov!$AS$3:$AS$1334,$B24)</f>
        <v>#VALUE!</v>
      </c>
      <c r="R24" s="17" t="e">
        <f>SUMIFS([1]ACSDT5Y2020.B08301_data_with_ov!AZ$3:AZ$1334,[1]ACSDT5Y2020.B08301_data_with_ov!$AS$3:$AS$1334,$B24)</f>
        <v>#VALUE!</v>
      </c>
      <c r="S24" s="17" t="e">
        <f>SUMIFS([1]ACSDT5Y2020.B08301_data_with_ov!BA$3:BA$1334,[1]ACSDT5Y2020.B08301_data_with_ov!$AS$3:$AS$1334,$B24)</f>
        <v>#VALUE!</v>
      </c>
      <c r="T24" s="188">
        <v>0.15864601445698032</v>
      </c>
      <c r="U24" s="189" t="e">
        <f t="shared" si="3"/>
        <v>#VALUE!</v>
      </c>
      <c r="V24" s="188">
        <v>0.15864601445698032</v>
      </c>
      <c r="W24" s="189" t="e">
        <f t="shared" si="0"/>
        <v>#VALUE!</v>
      </c>
      <c r="X24" s="188">
        <v>0.15864601445698032</v>
      </c>
      <c r="Y24" s="189" t="e">
        <f t="shared" si="1"/>
        <v>#VALUE!</v>
      </c>
      <c r="Z24" s="188">
        <v>0.15864601445698032</v>
      </c>
      <c r="AA24" s="189" t="e">
        <f t="shared" si="2"/>
        <v>#VALUE!</v>
      </c>
    </row>
    <row r="25" spans="1:27" x14ac:dyDescent="0.25">
      <c r="A25">
        <v>381900</v>
      </c>
      <c r="B25">
        <v>17031381900</v>
      </c>
      <c r="C25">
        <v>17031</v>
      </c>
      <c r="D25">
        <v>2010</v>
      </c>
      <c r="E25">
        <v>38</v>
      </c>
      <c r="F25">
        <v>1878841.8082477199</v>
      </c>
      <c r="G25" s="45">
        <v>6.7394176432209879E-2</v>
      </c>
      <c r="H25" s="60" t="str">
        <f>_xlfn.IFNA(
INDEX('Community Areas'!B$2:B$78,MATCH($E25,'Community Areas'!$A$2:$A$78,0)),
"")</f>
        <v>GRAND BOULEVARD</v>
      </c>
      <c r="I25" s="63" t="str">
        <f>_xlfn.IFNA(
INDEX('Community Areas'!C$2:C$78,MATCH($E25,'Community Areas'!$A$2:$A$78,0)),
"")</f>
        <v>6-A</v>
      </c>
      <c r="J25" s="63">
        <f>_xlfn.IFNA(
INDEX('Community Areas'!D$2:D$78,MATCH($E25,'Community Areas'!$A$2:$A$78,0)),
"")</f>
        <v>6</v>
      </c>
      <c r="K25" s="60" t="str">
        <f>_xlfn.IFNA(
INDEX('Community Areas'!E$2:E$78,MATCH($E25,'Community Areas'!$A$2:$A$78,0)),
"")</f>
        <v>SOUTH</v>
      </c>
      <c r="L25" s="17" t="e">
        <f>SUMIFS([1]ACSDT5Y2020.B08301_data_with_ov!AT$3:AT$1334,[1]ACSDT5Y2020.B08301_data_with_ov!$AS$3:$AS$1334,$B25)</f>
        <v>#VALUE!</v>
      </c>
      <c r="M25" s="17" t="e">
        <f>SUMIFS([1]ACSDT5Y2020.B08301_data_with_ov!AU$3:AU$1334,[1]ACSDT5Y2020.B08301_data_with_ov!$AS$3:$AS$1334,$B25)</f>
        <v>#VALUE!</v>
      </c>
      <c r="N25" s="17" t="e">
        <f>SUMIFS([1]ACSDT5Y2020.B08301_data_with_ov!AV$3:AV$1334,[1]ACSDT5Y2020.B08301_data_with_ov!$AS$3:$AS$1334,$B25)</f>
        <v>#VALUE!</v>
      </c>
      <c r="O25" s="17" t="e">
        <f>SUMIFS([1]ACSDT5Y2020.B08301_data_with_ov!AW$3:AW$1334,[1]ACSDT5Y2020.B08301_data_with_ov!$AS$3:$AS$1334,$B25)</f>
        <v>#VALUE!</v>
      </c>
      <c r="P25" s="17" t="e">
        <f>SUMIFS([1]ACSDT5Y2020.B08301_data_with_ov!AX$3:AX$1334,[1]ACSDT5Y2020.B08301_data_with_ov!$AS$3:$AS$1334,$B25)</f>
        <v>#VALUE!</v>
      </c>
      <c r="Q25" s="17" t="e">
        <f>SUMIFS([1]ACSDT5Y2020.B08301_data_with_ov!AY$3:AY$1334,[1]ACSDT5Y2020.B08301_data_with_ov!$AS$3:$AS$1334,$B25)</f>
        <v>#VALUE!</v>
      </c>
      <c r="R25" s="17" t="e">
        <f>SUMIFS([1]ACSDT5Y2020.B08301_data_with_ov!AZ$3:AZ$1334,[1]ACSDT5Y2020.B08301_data_with_ov!$AS$3:$AS$1334,$B25)</f>
        <v>#VALUE!</v>
      </c>
      <c r="S25" s="17" t="e">
        <f>SUMIFS([1]ACSDT5Y2020.B08301_data_with_ov!BA$3:BA$1334,[1]ACSDT5Y2020.B08301_data_with_ov!$AS$3:$AS$1334,$B25)</f>
        <v>#VALUE!</v>
      </c>
      <c r="T25" s="188">
        <v>6.7394180286276473E-2</v>
      </c>
      <c r="U25" s="189" t="e">
        <f t="shared" si="3"/>
        <v>#VALUE!</v>
      </c>
      <c r="V25" s="188">
        <v>6.7394180286276473E-2</v>
      </c>
      <c r="W25" s="189" t="e">
        <f t="shared" si="0"/>
        <v>#VALUE!</v>
      </c>
      <c r="X25" s="188">
        <v>6.7394180286276473E-2</v>
      </c>
      <c r="Y25" s="189" t="e">
        <f t="shared" si="1"/>
        <v>#VALUE!</v>
      </c>
      <c r="Z25" s="188">
        <v>6.7394180286276473E-2</v>
      </c>
      <c r="AA25" s="189" t="e">
        <f t="shared" si="2"/>
        <v>#VALUE!</v>
      </c>
    </row>
    <row r="26" spans="1:27" x14ac:dyDescent="0.25">
      <c r="A26">
        <v>381700</v>
      </c>
      <c r="B26">
        <v>17031381700</v>
      </c>
      <c r="C26">
        <v>17031</v>
      </c>
      <c r="D26">
        <v>2010</v>
      </c>
      <c r="E26">
        <v>38</v>
      </c>
      <c r="F26">
        <v>2147855.7897394402</v>
      </c>
      <c r="G26" s="45">
        <v>7.7043725240309349E-2</v>
      </c>
      <c r="H26" s="60" t="str">
        <f>_xlfn.IFNA(
INDEX('Community Areas'!B$2:B$78,MATCH($E26,'Community Areas'!$A$2:$A$78,0)),
"")</f>
        <v>GRAND BOULEVARD</v>
      </c>
      <c r="I26" s="63" t="str">
        <f>_xlfn.IFNA(
INDEX('Community Areas'!C$2:C$78,MATCH($E26,'Community Areas'!$A$2:$A$78,0)),
"")</f>
        <v>6-A</v>
      </c>
      <c r="J26" s="63">
        <f>_xlfn.IFNA(
INDEX('Community Areas'!D$2:D$78,MATCH($E26,'Community Areas'!$A$2:$A$78,0)),
"")</f>
        <v>6</v>
      </c>
      <c r="K26" s="60" t="str">
        <f>_xlfn.IFNA(
INDEX('Community Areas'!E$2:E$78,MATCH($E26,'Community Areas'!$A$2:$A$78,0)),
"")</f>
        <v>SOUTH</v>
      </c>
      <c r="L26" s="17" t="e">
        <f>SUMIFS([1]ACSDT5Y2020.B08301_data_with_ov!AT$3:AT$1334,[1]ACSDT5Y2020.B08301_data_with_ov!$AS$3:$AS$1334,$B26)</f>
        <v>#VALUE!</v>
      </c>
      <c r="M26" s="17" t="e">
        <f>SUMIFS([1]ACSDT5Y2020.B08301_data_with_ov!AU$3:AU$1334,[1]ACSDT5Y2020.B08301_data_with_ov!$AS$3:$AS$1334,$B26)</f>
        <v>#VALUE!</v>
      </c>
      <c r="N26" s="17" t="e">
        <f>SUMIFS([1]ACSDT5Y2020.B08301_data_with_ov!AV$3:AV$1334,[1]ACSDT5Y2020.B08301_data_with_ov!$AS$3:$AS$1334,$B26)</f>
        <v>#VALUE!</v>
      </c>
      <c r="O26" s="17" t="e">
        <f>SUMIFS([1]ACSDT5Y2020.B08301_data_with_ov!AW$3:AW$1334,[1]ACSDT5Y2020.B08301_data_with_ov!$AS$3:$AS$1334,$B26)</f>
        <v>#VALUE!</v>
      </c>
      <c r="P26" s="17" t="e">
        <f>SUMIFS([1]ACSDT5Y2020.B08301_data_with_ov!AX$3:AX$1334,[1]ACSDT5Y2020.B08301_data_with_ov!$AS$3:$AS$1334,$B26)</f>
        <v>#VALUE!</v>
      </c>
      <c r="Q26" s="17" t="e">
        <f>SUMIFS([1]ACSDT5Y2020.B08301_data_with_ov!AY$3:AY$1334,[1]ACSDT5Y2020.B08301_data_with_ov!$AS$3:$AS$1334,$B26)</f>
        <v>#VALUE!</v>
      </c>
      <c r="R26" s="17" t="e">
        <f>SUMIFS([1]ACSDT5Y2020.B08301_data_with_ov!AZ$3:AZ$1334,[1]ACSDT5Y2020.B08301_data_with_ov!$AS$3:$AS$1334,$B26)</f>
        <v>#VALUE!</v>
      </c>
      <c r="S26" s="17" t="e">
        <f>SUMIFS([1]ACSDT5Y2020.B08301_data_with_ov!BA$3:BA$1334,[1]ACSDT5Y2020.B08301_data_with_ov!$AS$3:$AS$1334,$B26)</f>
        <v>#VALUE!</v>
      </c>
      <c r="T26" s="188">
        <v>4.7460009001283436E-3</v>
      </c>
      <c r="U26" s="189" t="e">
        <f t="shared" si="3"/>
        <v>#VALUE!</v>
      </c>
      <c r="V26" s="188">
        <v>4.7460009001283436E-3</v>
      </c>
      <c r="W26" s="189" t="e">
        <f t="shared" si="0"/>
        <v>#VALUE!</v>
      </c>
      <c r="X26" s="188">
        <v>4.7460009001283436E-3</v>
      </c>
      <c r="Y26" s="189" t="e">
        <f t="shared" si="1"/>
        <v>#VALUE!</v>
      </c>
      <c r="Z26" s="188">
        <v>4.7460009001283436E-3</v>
      </c>
      <c r="AA26" s="189" t="e">
        <f t="shared" si="2"/>
        <v>#VALUE!</v>
      </c>
    </row>
    <row r="27" spans="1:27" x14ac:dyDescent="0.25">
      <c r="A27">
        <v>835800</v>
      </c>
      <c r="B27">
        <v>17031835800</v>
      </c>
      <c r="C27">
        <v>17031</v>
      </c>
      <c r="D27">
        <v>2010</v>
      </c>
      <c r="E27">
        <v>38</v>
      </c>
      <c r="F27">
        <v>3061270.78263332</v>
      </c>
      <c r="G27" s="45">
        <v>0.1098079797489569</v>
      </c>
      <c r="H27" s="60" t="str">
        <f>_xlfn.IFNA(
INDEX('Community Areas'!B$2:B$78,MATCH($E27,'Community Areas'!$A$2:$A$78,0)),
"")</f>
        <v>GRAND BOULEVARD</v>
      </c>
      <c r="I27" s="63" t="str">
        <f>_xlfn.IFNA(
INDEX('Community Areas'!C$2:C$78,MATCH($E27,'Community Areas'!$A$2:$A$78,0)),
"")</f>
        <v>6-A</v>
      </c>
      <c r="J27" s="63">
        <f>_xlfn.IFNA(
INDEX('Community Areas'!D$2:D$78,MATCH($E27,'Community Areas'!$A$2:$A$78,0)),
"")</f>
        <v>6</v>
      </c>
      <c r="K27" s="60" t="str">
        <f>_xlfn.IFNA(
INDEX('Community Areas'!E$2:E$78,MATCH($E27,'Community Areas'!$A$2:$A$78,0)),
"")</f>
        <v>SOUTH</v>
      </c>
      <c r="L27" s="17" t="e">
        <f>SUMIFS([1]ACSDT5Y2020.B08301_data_with_ov!AT$3:AT$1334,[1]ACSDT5Y2020.B08301_data_with_ov!$AS$3:$AS$1334,$B27)</f>
        <v>#VALUE!</v>
      </c>
      <c r="M27" s="17" t="e">
        <f>SUMIFS([1]ACSDT5Y2020.B08301_data_with_ov!AU$3:AU$1334,[1]ACSDT5Y2020.B08301_data_with_ov!$AS$3:$AS$1334,$B27)</f>
        <v>#VALUE!</v>
      </c>
      <c r="N27" s="17" t="e">
        <f>SUMIFS([1]ACSDT5Y2020.B08301_data_with_ov!AV$3:AV$1334,[1]ACSDT5Y2020.B08301_data_with_ov!$AS$3:$AS$1334,$B27)</f>
        <v>#VALUE!</v>
      </c>
      <c r="O27" s="17" t="e">
        <f>SUMIFS([1]ACSDT5Y2020.B08301_data_with_ov!AW$3:AW$1334,[1]ACSDT5Y2020.B08301_data_with_ov!$AS$3:$AS$1334,$B27)</f>
        <v>#VALUE!</v>
      </c>
      <c r="P27" s="17" t="e">
        <f>SUMIFS([1]ACSDT5Y2020.B08301_data_with_ov!AX$3:AX$1334,[1]ACSDT5Y2020.B08301_data_with_ov!$AS$3:$AS$1334,$B27)</f>
        <v>#VALUE!</v>
      </c>
      <c r="Q27" s="17" t="e">
        <f>SUMIFS([1]ACSDT5Y2020.B08301_data_with_ov!AY$3:AY$1334,[1]ACSDT5Y2020.B08301_data_with_ov!$AS$3:$AS$1334,$B27)</f>
        <v>#VALUE!</v>
      </c>
      <c r="R27" s="17" t="e">
        <f>SUMIFS([1]ACSDT5Y2020.B08301_data_with_ov!AZ$3:AZ$1334,[1]ACSDT5Y2020.B08301_data_with_ov!$AS$3:$AS$1334,$B27)</f>
        <v>#VALUE!</v>
      </c>
      <c r="S27" s="17" t="e">
        <f>SUMIFS([1]ACSDT5Y2020.B08301_data_with_ov!BA$3:BA$1334,[1]ACSDT5Y2020.B08301_data_with_ov!$AS$3:$AS$1334,$B27)</f>
        <v>#VALUE!</v>
      </c>
      <c r="T27" s="188">
        <v>0.1098079801542029</v>
      </c>
      <c r="U27" s="189" t="e">
        <f t="shared" si="3"/>
        <v>#VALUE!</v>
      </c>
      <c r="V27" s="188">
        <v>0.1098079801542029</v>
      </c>
      <c r="W27" s="189" t="e">
        <f t="shared" si="0"/>
        <v>#VALUE!</v>
      </c>
      <c r="X27" s="188">
        <v>0.1098079801542029</v>
      </c>
      <c r="Y27" s="189" t="e">
        <f t="shared" si="1"/>
        <v>#VALUE!</v>
      </c>
      <c r="Z27" s="188">
        <v>0.1098079801542029</v>
      </c>
      <c r="AA27" s="189" t="e">
        <f t="shared" si="2"/>
        <v>#VALUE!</v>
      </c>
    </row>
    <row r="28" spans="1:27" x14ac:dyDescent="0.25">
      <c r="A28">
        <v>835700</v>
      </c>
      <c r="B28">
        <v>17031835700</v>
      </c>
      <c r="C28">
        <v>17031</v>
      </c>
      <c r="D28">
        <v>2010</v>
      </c>
      <c r="E28">
        <v>38</v>
      </c>
      <c r="F28">
        <v>2061595.3857603599</v>
      </c>
      <c r="G28" s="45">
        <v>7.3949559004833854E-2</v>
      </c>
      <c r="H28" s="60" t="str">
        <f>_xlfn.IFNA(
INDEX('Community Areas'!B$2:B$78,MATCH($E28,'Community Areas'!$A$2:$A$78,0)),
"")</f>
        <v>GRAND BOULEVARD</v>
      </c>
      <c r="I28" s="63" t="str">
        <f>_xlfn.IFNA(
INDEX('Community Areas'!C$2:C$78,MATCH($E28,'Community Areas'!$A$2:$A$78,0)),
"")</f>
        <v>6-A</v>
      </c>
      <c r="J28" s="63">
        <f>_xlfn.IFNA(
INDEX('Community Areas'!D$2:D$78,MATCH($E28,'Community Areas'!$A$2:$A$78,0)),
"")</f>
        <v>6</v>
      </c>
      <c r="K28" s="60" t="str">
        <f>_xlfn.IFNA(
INDEX('Community Areas'!E$2:E$78,MATCH($E28,'Community Areas'!$A$2:$A$78,0)),
"")</f>
        <v>SOUTH</v>
      </c>
      <c r="L28" s="17" t="e">
        <f>SUMIFS([1]ACSDT5Y2020.B08301_data_with_ov!AT$3:AT$1334,[1]ACSDT5Y2020.B08301_data_with_ov!$AS$3:$AS$1334,$B28)</f>
        <v>#VALUE!</v>
      </c>
      <c r="M28" s="17" t="e">
        <f>SUMIFS([1]ACSDT5Y2020.B08301_data_with_ov!AU$3:AU$1334,[1]ACSDT5Y2020.B08301_data_with_ov!$AS$3:$AS$1334,$B28)</f>
        <v>#VALUE!</v>
      </c>
      <c r="N28" s="17" t="e">
        <f>SUMIFS([1]ACSDT5Y2020.B08301_data_with_ov!AV$3:AV$1334,[1]ACSDT5Y2020.B08301_data_with_ov!$AS$3:$AS$1334,$B28)</f>
        <v>#VALUE!</v>
      </c>
      <c r="O28" s="17" t="e">
        <f>SUMIFS([1]ACSDT5Y2020.B08301_data_with_ov!AW$3:AW$1334,[1]ACSDT5Y2020.B08301_data_with_ov!$AS$3:$AS$1334,$B28)</f>
        <v>#VALUE!</v>
      </c>
      <c r="P28" s="17" t="e">
        <f>SUMIFS([1]ACSDT5Y2020.B08301_data_with_ov!AX$3:AX$1334,[1]ACSDT5Y2020.B08301_data_with_ov!$AS$3:$AS$1334,$B28)</f>
        <v>#VALUE!</v>
      </c>
      <c r="Q28" s="17" t="e">
        <f>SUMIFS([1]ACSDT5Y2020.B08301_data_with_ov!AY$3:AY$1334,[1]ACSDT5Y2020.B08301_data_with_ov!$AS$3:$AS$1334,$B28)</f>
        <v>#VALUE!</v>
      </c>
      <c r="R28" s="17" t="e">
        <f>SUMIFS([1]ACSDT5Y2020.B08301_data_with_ov!AZ$3:AZ$1334,[1]ACSDT5Y2020.B08301_data_with_ov!$AS$3:$AS$1334,$B28)</f>
        <v>#VALUE!</v>
      </c>
      <c r="S28" s="17" t="e">
        <f>SUMIFS([1]ACSDT5Y2020.B08301_data_with_ov!BA$3:BA$1334,[1]ACSDT5Y2020.B08301_data_with_ov!$AS$3:$AS$1334,$B28)</f>
        <v>#VALUE!</v>
      </c>
      <c r="T28" s="188">
        <v>4.3029715907757615E-2</v>
      </c>
      <c r="U28" s="189" t="e">
        <f t="shared" si="3"/>
        <v>#VALUE!</v>
      </c>
      <c r="V28" s="188">
        <v>4.3029715907757615E-2</v>
      </c>
      <c r="W28" s="189" t="e">
        <f t="shared" si="0"/>
        <v>#VALUE!</v>
      </c>
      <c r="X28" s="188">
        <v>4.3029715907757615E-2</v>
      </c>
      <c r="Y28" s="189" t="e">
        <f t="shared" si="1"/>
        <v>#VALUE!</v>
      </c>
      <c r="Z28" s="188">
        <v>4.3029715907757615E-2</v>
      </c>
      <c r="AA28" s="189" t="e">
        <f t="shared" si="2"/>
        <v>#VALUE!</v>
      </c>
    </row>
    <row r="29" spans="1:27" x14ac:dyDescent="0.25">
      <c r="A29">
        <v>380500</v>
      </c>
      <c r="B29">
        <v>17031380500</v>
      </c>
      <c r="C29">
        <v>17031</v>
      </c>
      <c r="D29">
        <v>2010</v>
      </c>
      <c r="E29">
        <v>38</v>
      </c>
      <c r="F29">
        <v>2069207.0473851101</v>
      </c>
      <c r="G29" s="45">
        <v>7.4222589796584817E-2</v>
      </c>
      <c r="H29" s="60" t="str">
        <f>_xlfn.IFNA(
INDEX('Community Areas'!B$2:B$78,MATCH($E29,'Community Areas'!$A$2:$A$78,0)),
"")</f>
        <v>GRAND BOULEVARD</v>
      </c>
      <c r="I29" s="63" t="str">
        <f>_xlfn.IFNA(
INDEX('Community Areas'!C$2:C$78,MATCH($E29,'Community Areas'!$A$2:$A$78,0)),
"")</f>
        <v>6-A</v>
      </c>
      <c r="J29" s="63">
        <f>_xlfn.IFNA(
INDEX('Community Areas'!D$2:D$78,MATCH($E29,'Community Areas'!$A$2:$A$78,0)),
"")</f>
        <v>6</v>
      </c>
      <c r="K29" s="60" t="str">
        <f>_xlfn.IFNA(
INDEX('Community Areas'!E$2:E$78,MATCH($E29,'Community Areas'!$A$2:$A$78,0)),
"")</f>
        <v>SOUTH</v>
      </c>
      <c r="L29" s="17" t="e">
        <f>SUMIFS([1]ACSDT5Y2020.B08301_data_with_ov!AT$3:AT$1334,[1]ACSDT5Y2020.B08301_data_with_ov!$AS$3:$AS$1334,$B29)</f>
        <v>#VALUE!</v>
      </c>
      <c r="M29" s="17" t="e">
        <f>SUMIFS([1]ACSDT5Y2020.B08301_data_with_ov!AU$3:AU$1334,[1]ACSDT5Y2020.B08301_data_with_ov!$AS$3:$AS$1334,$B29)</f>
        <v>#VALUE!</v>
      </c>
      <c r="N29" s="17" t="e">
        <f>SUMIFS([1]ACSDT5Y2020.B08301_data_with_ov!AV$3:AV$1334,[1]ACSDT5Y2020.B08301_data_with_ov!$AS$3:$AS$1334,$B29)</f>
        <v>#VALUE!</v>
      </c>
      <c r="O29" s="17" t="e">
        <f>SUMIFS([1]ACSDT5Y2020.B08301_data_with_ov!AW$3:AW$1334,[1]ACSDT5Y2020.B08301_data_with_ov!$AS$3:$AS$1334,$B29)</f>
        <v>#VALUE!</v>
      </c>
      <c r="P29" s="17" t="e">
        <f>SUMIFS([1]ACSDT5Y2020.B08301_data_with_ov!AX$3:AX$1334,[1]ACSDT5Y2020.B08301_data_with_ov!$AS$3:$AS$1334,$B29)</f>
        <v>#VALUE!</v>
      </c>
      <c r="Q29" s="17" t="e">
        <f>SUMIFS([1]ACSDT5Y2020.B08301_data_with_ov!AY$3:AY$1334,[1]ACSDT5Y2020.B08301_data_with_ov!$AS$3:$AS$1334,$B29)</f>
        <v>#VALUE!</v>
      </c>
      <c r="R29" s="17" t="e">
        <f>SUMIFS([1]ACSDT5Y2020.B08301_data_with_ov!AZ$3:AZ$1334,[1]ACSDT5Y2020.B08301_data_with_ov!$AS$3:$AS$1334,$B29)</f>
        <v>#VALUE!</v>
      </c>
      <c r="S29" s="17" t="e">
        <f>SUMIFS([1]ACSDT5Y2020.B08301_data_with_ov!BA$3:BA$1334,[1]ACSDT5Y2020.B08301_data_with_ov!$AS$3:$AS$1334,$B29)</f>
        <v>#VALUE!</v>
      </c>
      <c r="T29" s="188">
        <v>7.4222587503545753E-2</v>
      </c>
      <c r="U29" s="189" t="e">
        <f t="shared" si="3"/>
        <v>#VALUE!</v>
      </c>
      <c r="V29" s="188">
        <v>7.4222587503545753E-2</v>
      </c>
      <c r="W29" s="189" t="e">
        <f t="shared" si="0"/>
        <v>#VALUE!</v>
      </c>
      <c r="X29" s="188">
        <v>7.4222587503545753E-2</v>
      </c>
      <c r="Y29" s="189" t="e">
        <f t="shared" si="1"/>
        <v>#VALUE!</v>
      </c>
      <c r="Z29" s="188">
        <v>7.4222587503545753E-2</v>
      </c>
      <c r="AA29" s="189" t="e">
        <f t="shared" si="2"/>
        <v>#VALUE!</v>
      </c>
    </row>
    <row r="30" spans="1:27" x14ac:dyDescent="0.25">
      <c r="A30">
        <v>380100</v>
      </c>
      <c r="B30">
        <v>17031380100</v>
      </c>
      <c r="C30">
        <v>17031</v>
      </c>
      <c r="D30">
        <v>2010</v>
      </c>
      <c r="E30">
        <v>38</v>
      </c>
      <c r="F30">
        <v>4710063.8058231799</v>
      </c>
      <c r="G30" s="45">
        <v>0.16895029147379978</v>
      </c>
      <c r="H30" s="60" t="str">
        <f>_xlfn.IFNA(
INDEX('Community Areas'!B$2:B$78,MATCH($E30,'Community Areas'!$A$2:$A$78,0)),
"")</f>
        <v>GRAND BOULEVARD</v>
      </c>
      <c r="I30" s="63" t="str">
        <f>_xlfn.IFNA(
INDEX('Community Areas'!C$2:C$78,MATCH($E30,'Community Areas'!$A$2:$A$78,0)),
"")</f>
        <v>6-A</v>
      </c>
      <c r="J30" s="63">
        <f>_xlfn.IFNA(
INDEX('Community Areas'!D$2:D$78,MATCH($E30,'Community Areas'!$A$2:$A$78,0)),
"")</f>
        <v>6</v>
      </c>
      <c r="K30" s="60" t="str">
        <f>_xlfn.IFNA(
INDEX('Community Areas'!E$2:E$78,MATCH($E30,'Community Areas'!$A$2:$A$78,0)),
"")</f>
        <v>SOUTH</v>
      </c>
      <c r="L30" s="17" t="e">
        <f>SUMIFS([1]ACSDT5Y2020.B08301_data_with_ov!AT$3:AT$1334,[1]ACSDT5Y2020.B08301_data_with_ov!$AS$3:$AS$1334,$B30)</f>
        <v>#VALUE!</v>
      </c>
      <c r="M30" s="17" t="e">
        <f>SUMIFS([1]ACSDT5Y2020.B08301_data_with_ov!AU$3:AU$1334,[1]ACSDT5Y2020.B08301_data_with_ov!$AS$3:$AS$1334,$B30)</f>
        <v>#VALUE!</v>
      </c>
      <c r="N30" s="17" t="e">
        <f>SUMIFS([1]ACSDT5Y2020.B08301_data_with_ov!AV$3:AV$1334,[1]ACSDT5Y2020.B08301_data_with_ov!$AS$3:$AS$1334,$B30)</f>
        <v>#VALUE!</v>
      </c>
      <c r="O30" s="17" t="e">
        <f>SUMIFS([1]ACSDT5Y2020.B08301_data_with_ov!AW$3:AW$1334,[1]ACSDT5Y2020.B08301_data_with_ov!$AS$3:$AS$1334,$B30)</f>
        <v>#VALUE!</v>
      </c>
      <c r="P30" s="17" t="e">
        <f>SUMIFS([1]ACSDT5Y2020.B08301_data_with_ov!AX$3:AX$1334,[1]ACSDT5Y2020.B08301_data_with_ov!$AS$3:$AS$1334,$B30)</f>
        <v>#VALUE!</v>
      </c>
      <c r="Q30" s="17" t="e">
        <f>SUMIFS([1]ACSDT5Y2020.B08301_data_with_ov!AY$3:AY$1334,[1]ACSDT5Y2020.B08301_data_with_ov!$AS$3:$AS$1334,$B30)</f>
        <v>#VALUE!</v>
      </c>
      <c r="R30" s="17" t="e">
        <f>SUMIFS([1]ACSDT5Y2020.B08301_data_with_ov!AZ$3:AZ$1334,[1]ACSDT5Y2020.B08301_data_with_ov!$AS$3:$AS$1334,$B30)</f>
        <v>#VALUE!</v>
      </c>
      <c r="S30" s="17" t="e">
        <f>SUMIFS([1]ACSDT5Y2020.B08301_data_with_ov!BA$3:BA$1334,[1]ACSDT5Y2020.B08301_data_with_ov!$AS$3:$AS$1334,$B30)</f>
        <v>#VALUE!</v>
      </c>
      <c r="T30" s="188">
        <v>0.16895029499867997</v>
      </c>
      <c r="U30" s="189" t="e">
        <f t="shared" si="3"/>
        <v>#VALUE!</v>
      </c>
      <c r="V30" s="188">
        <v>0.16895029499867997</v>
      </c>
      <c r="W30" s="189" t="e">
        <f t="shared" si="0"/>
        <v>#VALUE!</v>
      </c>
      <c r="X30" s="188">
        <v>0.16895029499867997</v>
      </c>
      <c r="Y30" s="189" t="e">
        <f t="shared" si="1"/>
        <v>#VALUE!</v>
      </c>
      <c r="Z30" s="188">
        <v>0.16895029499867997</v>
      </c>
      <c r="AA30" s="189" t="e">
        <f t="shared" si="2"/>
        <v>#VALUE!</v>
      </c>
    </row>
    <row r="31" spans="1:27" x14ac:dyDescent="0.25">
      <c r="A31">
        <v>836000</v>
      </c>
      <c r="B31">
        <v>17031836000</v>
      </c>
      <c r="C31">
        <v>17031</v>
      </c>
      <c r="D31">
        <v>2010</v>
      </c>
      <c r="E31">
        <v>38</v>
      </c>
      <c r="F31">
        <v>5444225.7258380903</v>
      </c>
      <c r="G31" s="45">
        <v>0.19528472673604261</v>
      </c>
      <c r="H31" s="60" t="str">
        <f>_xlfn.IFNA(
INDEX('Community Areas'!B$2:B$78,MATCH($E31,'Community Areas'!$A$2:$A$78,0)),
"")</f>
        <v>GRAND BOULEVARD</v>
      </c>
      <c r="I31" s="63" t="str">
        <f>_xlfn.IFNA(
INDEX('Community Areas'!C$2:C$78,MATCH($E31,'Community Areas'!$A$2:$A$78,0)),
"")</f>
        <v>6-A</v>
      </c>
      <c r="J31" s="63">
        <f>_xlfn.IFNA(
INDEX('Community Areas'!D$2:D$78,MATCH($E31,'Community Areas'!$A$2:$A$78,0)),
"")</f>
        <v>6</v>
      </c>
      <c r="K31" s="60" t="str">
        <f>_xlfn.IFNA(
INDEX('Community Areas'!E$2:E$78,MATCH($E31,'Community Areas'!$A$2:$A$78,0)),
"")</f>
        <v>SOUTH</v>
      </c>
      <c r="L31" s="17" t="e">
        <f>SUMIFS([1]ACSDT5Y2020.B08301_data_with_ov!AT$3:AT$1334,[1]ACSDT5Y2020.B08301_data_with_ov!$AS$3:$AS$1334,$B31)</f>
        <v>#VALUE!</v>
      </c>
      <c r="M31" s="17" t="e">
        <f>SUMIFS([1]ACSDT5Y2020.B08301_data_with_ov!AU$3:AU$1334,[1]ACSDT5Y2020.B08301_data_with_ov!$AS$3:$AS$1334,$B31)</f>
        <v>#VALUE!</v>
      </c>
      <c r="N31" s="17" t="e">
        <f>SUMIFS([1]ACSDT5Y2020.B08301_data_with_ov!AV$3:AV$1334,[1]ACSDT5Y2020.B08301_data_with_ov!$AS$3:$AS$1334,$B31)</f>
        <v>#VALUE!</v>
      </c>
      <c r="O31" s="17" t="e">
        <f>SUMIFS([1]ACSDT5Y2020.B08301_data_with_ov!AW$3:AW$1334,[1]ACSDT5Y2020.B08301_data_with_ov!$AS$3:$AS$1334,$B31)</f>
        <v>#VALUE!</v>
      </c>
      <c r="P31" s="17" t="e">
        <f>SUMIFS([1]ACSDT5Y2020.B08301_data_with_ov!AX$3:AX$1334,[1]ACSDT5Y2020.B08301_data_with_ov!$AS$3:$AS$1334,$B31)</f>
        <v>#VALUE!</v>
      </c>
      <c r="Q31" s="17" t="e">
        <f>SUMIFS([1]ACSDT5Y2020.B08301_data_with_ov!AY$3:AY$1334,[1]ACSDT5Y2020.B08301_data_with_ov!$AS$3:$AS$1334,$B31)</f>
        <v>#VALUE!</v>
      </c>
      <c r="R31" s="17" t="e">
        <f>SUMIFS([1]ACSDT5Y2020.B08301_data_with_ov!AZ$3:AZ$1334,[1]ACSDT5Y2020.B08301_data_with_ov!$AS$3:$AS$1334,$B31)</f>
        <v>#VALUE!</v>
      </c>
      <c r="S31" s="17" t="e">
        <f>SUMIFS([1]ACSDT5Y2020.B08301_data_with_ov!BA$3:BA$1334,[1]ACSDT5Y2020.B08301_data_with_ov!$AS$3:$AS$1334,$B31)</f>
        <v>#VALUE!</v>
      </c>
      <c r="T31" s="188">
        <v>0.19528473001120544</v>
      </c>
      <c r="U31" s="189" t="e">
        <f t="shared" si="3"/>
        <v>#VALUE!</v>
      </c>
      <c r="V31" s="188">
        <v>0.19528473001120544</v>
      </c>
      <c r="W31" s="189" t="e">
        <f t="shared" si="0"/>
        <v>#VALUE!</v>
      </c>
      <c r="X31" s="188">
        <v>0.19528473001120544</v>
      </c>
      <c r="Y31" s="189" t="e">
        <f t="shared" si="1"/>
        <v>#VALUE!</v>
      </c>
      <c r="Z31" s="188">
        <v>0.19528473001120544</v>
      </c>
      <c r="AA31" s="189" t="e">
        <f t="shared" si="2"/>
        <v>#VALUE!</v>
      </c>
    </row>
    <row r="32" spans="1:27" x14ac:dyDescent="0.25">
      <c r="A32">
        <v>381200</v>
      </c>
      <c r="B32">
        <v>17031381200</v>
      </c>
      <c r="C32">
        <v>17031</v>
      </c>
      <c r="D32">
        <v>2010</v>
      </c>
      <c r="E32">
        <v>38</v>
      </c>
      <c r="F32">
        <v>2783257.9336254299</v>
      </c>
      <c r="G32" s="45">
        <v>9.9835640984612811E-2</v>
      </c>
      <c r="H32" s="60" t="str">
        <f>_xlfn.IFNA(
INDEX('Community Areas'!B$2:B$78,MATCH($E32,'Community Areas'!$A$2:$A$78,0)),
"")</f>
        <v>GRAND BOULEVARD</v>
      </c>
      <c r="I32" s="63" t="str">
        <f>_xlfn.IFNA(
INDEX('Community Areas'!C$2:C$78,MATCH($E32,'Community Areas'!$A$2:$A$78,0)),
"")</f>
        <v>6-A</v>
      </c>
      <c r="J32" s="63">
        <f>_xlfn.IFNA(
INDEX('Community Areas'!D$2:D$78,MATCH($E32,'Community Areas'!$A$2:$A$78,0)),
"")</f>
        <v>6</v>
      </c>
      <c r="K32" s="60" t="str">
        <f>_xlfn.IFNA(
INDEX('Community Areas'!E$2:E$78,MATCH($E32,'Community Areas'!$A$2:$A$78,0)),
"")</f>
        <v>SOUTH</v>
      </c>
      <c r="L32" s="17" t="e">
        <f>SUMIFS([1]ACSDT5Y2020.B08301_data_with_ov!AT$3:AT$1334,[1]ACSDT5Y2020.B08301_data_with_ov!$AS$3:$AS$1334,$B32)</f>
        <v>#VALUE!</v>
      </c>
      <c r="M32" s="17" t="e">
        <f>SUMIFS([1]ACSDT5Y2020.B08301_data_with_ov!AU$3:AU$1334,[1]ACSDT5Y2020.B08301_data_with_ov!$AS$3:$AS$1334,$B32)</f>
        <v>#VALUE!</v>
      </c>
      <c r="N32" s="17" t="e">
        <f>SUMIFS([1]ACSDT5Y2020.B08301_data_with_ov!AV$3:AV$1334,[1]ACSDT5Y2020.B08301_data_with_ov!$AS$3:$AS$1334,$B32)</f>
        <v>#VALUE!</v>
      </c>
      <c r="O32" s="17" t="e">
        <f>SUMIFS([1]ACSDT5Y2020.B08301_data_with_ov!AW$3:AW$1334,[1]ACSDT5Y2020.B08301_data_with_ov!$AS$3:$AS$1334,$B32)</f>
        <v>#VALUE!</v>
      </c>
      <c r="P32" s="17" t="e">
        <f>SUMIFS([1]ACSDT5Y2020.B08301_data_with_ov!AX$3:AX$1334,[1]ACSDT5Y2020.B08301_data_with_ov!$AS$3:$AS$1334,$B32)</f>
        <v>#VALUE!</v>
      </c>
      <c r="Q32" s="17" t="e">
        <f>SUMIFS([1]ACSDT5Y2020.B08301_data_with_ov!AY$3:AY$1334,[1]ACSDT5Y2020.B08301_data_with_ov!$AS$3:$AS$1334,$B32)</f>
        <v>#VALUE!</v>
      </c>
      <c r="R32" s="17" t="e">
        <f>SUMIFS([1]ACSDT5Y2020.B08301_data_with_ov!AZ$3:AZ$1334,[1]ACSDT5Y2020.B08301_data_with_ov!$AS$3:$AS$1334,$B32)</f>
        <v>#VALUE!</v>
      </c>
      <c r="S32" s="17" t="e">
        <f>SUMIFS([1]ACSDT5Y2020.B08301_data_with_ov!BA$3:BA$1334,[1]ACSDT5Y2020.B08301_data_with_ov!$AS$3:$AS$1334,$B32)</f>
        <v>#VALUE!</v>
      </c>
      <c r="T32" s="188">
        <v>9.9835640568300188E-2</v>
      </c>
      <c r="U32" s="189" t="e">
        <f t="shared" si="3"/>
        <v>#VALUE!</v>
      </c>
      <c r="V32" s="188">
        <v>9.9835640568300188E-2</v>
      </c>
      <c r="W32" s="189" t="e">
        <f t="shared" si="0"/>
        <v>#VALUE!</v>
      </c>
      <c r="X32" s="188">
        <v>9.9835640568300188E-2</v>
      </c>
      <c r="Y32" s="189" t="e">
        <f t="shared" si="1"/>
        <v>#VALUE!</v>
      </c>
      <c r="Z32" s="188">
        <v>9.9835640568300188E-2</v>
      </c>
      <c r="AA32" s="189" t="e">
        <f t="shared" si="2"/>
        <v>#VALUE!</v>
      </c>
    </row>
    <row r="33" spans="1:27" x14ac:dyDescent="0.25">
      <c r="A33">
        <v>381400</v>
      </c>
      <c r="B33">
        <v>17031381400</v>
      </c>
      <c r="C33">
        <v>17031</v>
      </c>
      <c r="D33">
        <v>2010</v>
      </c>
      <c r="E33">
        <v>38</v>
      </c>
      <c r="F33">
        <v>3414250.8125314601</v>
      </c>
      <c r="G33" s="45">
        <v>0.12246939611066131</v>
      </c>
      <c r="H33" s="60" t="str">
        <f>_xlfn.IFNA(
INDEX('Community Areas'!B$2:B$78,MATCH($E33,'Community Areas'!$A$2:$A$78,0)),
"")</f>
        <v>GRAND BOULEVARD</v>
      </c>
      <c r="I33" s="63" t="str">
        <f>_xlfn.IFNA(
INDEX('Community Areas'!C$2:C$78,MATCH($E33,'Community Areas'!$A$2:$A$78,0)),
"")</f>
        <v>6-A</v>
      </c>
      <c r="J33" s="63">
        <f>_xlfn.IFNA(
INDEX('Community Areas'!D$2:D$78,MATCH($E33,'Community Areas'!$A$2:$A$78,0)),
"")</f>
        <v>6</v>
      </c>
      <c r="K33" s="60" t="str">
        <f>_xlfn.IFNA(
INDEX('Community Areas'!E$2:E$78,MATCH($E33,'Community Areas'!$A$2:$A$78,0)),
"")</f>
        <v>SOUTH</v>
      </c>
      <c r="L33" s="17" t="e">
        <f>SUMIFS([1]ACSDT5Y2020.B08301_data_with_ov!AT$3:AT$1334,[1]ACSDT5Y2020.B08301_data_with_ov!$AS$3:$AS$1334,$B33)</f>
        <v>#VALUE!</v>
      </c>
      <c r="M33" s="17" t="e">
        <f>SUMIFS([1]ACSDT5Y2020.B08301_data_with_ov!AU$3:AU$1334,[1]ACSDT5Y2020.B08301_data_with_ov!$AS$3:$AS$1334,$B33)</f>
        <v>#VALUE!</v>
      </c>
      <c r="N33" s="17" t="e">
        <f>SUMIFS([1]ACSDT5Y2020.B08301_data_with_ov!AV$3:AV$1334,[1]ACSDT5Y2020.B08301_data_with_ov!$AS$3:$AS$1334,$B33)</f>
        <v>#VALUE!</v>
      </c>
      <c r="O33" s="17" t="e">
        <f>SUMIFS([1]ACSDT5Y2020.B08301_data_with_ov!AW$3:AW$1334,[1]ACSDT5Y2020.B08301_data_with_ov!$AS$3:$AS$1334,$B33)</f>
        <v>#VALUE!</v>
      </c>
      <c r="P33" s="17" t="e">
        <f>SUMIFS([1]ACSDT5Y2020.B08301_data_with_ov!AX$3:AX$1334,[1]ACSDT5Y2020.B08301_data_with_ov!$AS$3:$AS$1334,$B33)</f>
        <v>#VALUE!</v>
      </c>
      <c r="Q33" s="17" t="e">
        <f>SUMIFS([1]ACSDT5Y2020.B08301_data_with_ov!AY$3:AY$1334,[1]ACSDT5Y2020.B08301_data_with_ov!$AS$3:$AS$1334,$B33)</f>
        <v>#VALUE!</v>
      </c>
      <c r="R33" s="17" t="e">
        <f>SUMIFS([1]ACSDT5Y2020.B08301_data_with_ov!AZ$3:AZ$1334,[1]ACSDT5Y2020.B08301_data_with_ov!$AS$3:$AS$1334,$B33)</f>
        <v>#VALUE!</v>
      </c>
      <c r="S33" s="17" t="e">
        <f>SUMIFS([1]ACSDT5Y2020.B08301_data_with_ov!BA$3:BA$1334,[1]ACSDT5Y2020.B08301_data_with_ov!$AS$3:$AS$1334,$B33)</f>
        <v>#VALUE!</v>
      </c>
      <c r="T33" s="188">
        <v>0.12246939217558468</v>
      </c>
      <c r="U33" s="189" t="e">
        <f t="shared" si="3"/>
        <v>#VALUE!</v>
      </c>
      <c r="V33" s="188">
        <v>0.12246939217558468</v>
      </c>
      <c r="W33" s="189" t="e">
        <f t="shared" si="0"/>
        <v>#VALUE!</v>
      </c>
      <c r="X33" s="188">
        <v>0.12246939217558468</v>
      </c>
      <c r="Y33" s="189" t="e">
        <f t="shared" si="1"/>
        <v>#VALUE!</v>
      </c>
      <c r="Z33" s="188">
        <v>0.12246939217558468</v>
      </c>
      <c r="AA33" s="189" t="e">
        <f t="shared" si="2"/>
        <v>#VALUE!</v>
      </c>
    </row>
    <row r="34" spans="1:27" x14ac:dyDescent="0.25">
      <c r="A34">
        <v>380200</v>
      </c>
      <c r="B34">
        <v>17031380200</v>
      </c>
      <c r="C34">
        <v>17031</v>
      </c>
      <c r="D34">
        <v>2010</v>
      </c>
      <c r="E34">
        <v>38</v>
      </c>
      <c r="F34">
        <v>2315686.2333612801</v>
      </c>
      <c r="G34" s="45">
        <v>8.3063814041023878E-2</v>
      </c>
      <c r="H34" s="60" t="str">
        <f>_xlfn.IFNA(
INDEX('Community Areas'!B$2:B$78,MATCH($E34,'Community Areas'!$A$2:$A$78,0)),
"")</f>
        <v>GRAND BOULEVARD</v>
      </c>
      <c r="I34" s="63" t="str">
        <f>_xlfn.IFNA(
INDEX('Community Areas'!C$2:C$78,MATCH($E34,'Community Areas'!$A$2:$A$78,0)),
"")</f>
        <v>6-A</v>
      </c>
      <c r="J34" s="63">
        <f>_xlfn.IFNA(
INDEX('Community Areas'!D$2:D$78,MATCH($E34,'Community Areas'!$A$2:$A$78,0)),
"")</f>
        <v>6</v>
      </c>
      <c r="K34" s="60" t="str">
        <f>_xlfn.IFNA(
INDEX('Community Areas'!E$2:E$78,MATCH($E34,'Community Areas'!$A$2:$A$78,0)),
"")</f>
        <v>SOUTH</v>
      </c>
      <c r="L34" s="17" t="e">
        <f>SUMIFS([1]ACSDT5Y2020.B08301_data_with_ov!AT$3:AT$1334,[1]ACSDT5Y2020.B08301_data_with_ov!$AS$3:$AS$1334,$B34)</f>
        <v>#VALUE!</v>
      </c>
      <c r="M34" s="17" t="e">
        <f>SUMIFS([1]ACSDT5Y2020.B08301_data_with_ov!AU$3:AU$1334,[1]ACSDT5Y2020.B08301_data_with_ov!$AS$3:$AS$1334,$B34)</f>
        <v>#VALUE!</v>
      </c>
      <c r="N34" s="17" t="e">
        <f>SUMIFS([1]ACSDT5Y2020.B08301_data_with_ov!AV$3:AV$1334,[1]ACSDT5Y2020.B08301_data_with_ov!$AS$3:$AS$1334,$B34)</f>
        <v>#VALUE!</v>
      </c>
      <c r="O34" s="17" t="e">
        <f>SUMIFS([1]ACSDT5Y2020.B08301_data_with_ov!AW$3:AW$1334,[1]ACSDT5Y2020.B08301_data_with_ov!$AS$3:$AS$1334,$B34)</f>
        <v>#VALUE!</v>
      </c>
      <c r="P34" s="17" t="e">
        <f>SUMIFS([1]ACSDT5Y2020.B08301_data_with_ov!AX$3:AX$1334,[1]ACSDT5Y2020.B08301_data_with_ov!$AS$3:$AS$1334,$B34)</f>
        <v>#VALUE!</v>
      </c>
      <c r="Q34" s="17" t="e">
        <f>SUMIFS([1]ACSDT5Y2020.B08301_data_with_ov!AY$3:AY$1334,[1]ACSDT5Y2020.B08301_data_with_ov!$AS$3:$AS$1334,$B34)</f>
        <v>#VALUE!</v>
      </c>
      <c r="R34" s="17" t="e">
        <f>SUMIFS([1]ACSDT5Y2020.B08301_data_with_ov!AZ$3:AZ$1334,[1]ACSDT5Y2020.B08301_data_with_ov!$AS$3:$AS$1334,$B34)</f>
        <v>#VALUE!</v>
      </c>
      <c r="S34" s="17" t="e">
        <f>SUMIFS([1]ACSDT5Y2020.B08301_data_with_ov!BA$3:BA$1334,[1]ACSDT5Y2020.B08301_data_with_ov!$AS$3:$AS$1334,$B34)</f>
        <v>#VALUE!</v>
      </c>
      <c r="T34" s="188">
        <v>8.3063815100303098E-2</v>
      </c>
      <c r="U34" s="189" t="e">
        <f t="shared" si="3"/>
        <v>#VALUE!</v>
      </c>
      <c r="V34" s="188">
        <v>8.3063815100303098E-2</v>
      </c>
      <c r="W34" s="189" t="e">
        <f t="shared" si="0"/>
        <v>#VALUE!</v>
      </c>
      <c r="X34" s="188">
        <v>8.3063815100303098E-2</v>
      </c>
      <c r="Y34" s="189" t="e">
        <f t="shared" si="1"/>
        <v>#VALUE!</v>
      </c>
      <c r="Z34" s="188">
        <v>8.3063815100303098E-2</v>
      </c>
      <c r="AA34" s="189" t="e">
        <f t="shared" si="2"/>
        <v>#VALUE!</v>
      </c>
    </row>
    <row r="35" spans="1:27" x14ac:dyDescent="0.25">
      <c r="A35">
        <v>390400</v>
      </c>
      <c r="B35">
        <v>17031390400</v>
      </c>
      <c r="C35">
        <v>17031</v>
      </c>
      <c r="D35">
        <v>2010</v>
      </c>
      <c r="E35">
        <v>39</v>
      </c>
      <c r="F35">
        <v>3512353.58533129</v>
      </c>
      <c r="G35" s="45">
        <v>0.12598834887695456</v>
      </c>
      <c r="H35" s="60" t="str">
        <f>_xlfn.IFNA(
INDEX('Community Areas'!B$2:B$78,MATCH($E35,'Community Areas'!$A$2:$A$78,0)),
"")</f>
        <v>KENWOOD</v>
      </c>
      <c r="I35" s="63" t="str">
        <f>_xlfn.IFNA(
INDEX('Community Areas'!C$2:C$78,MATCH($E35,'Community Areas'!$A$2:$A$78,0)),
"")</f>
        <v>6-A</v>
      </c>
      <c r="J35" s="63">
        <f>_xlfn.IFNA(
INDEX('Community Areas'!D$2:D$78,MATCH($E35,'Community Areas'!$A$2:$A$78,0)),
"")</f>
        <v>6</v>
      </c>
      <c r="K35" s="60" t="str">
        <f>_xlfn.IFNA(
INDEX('Community Areas'!E$2:E$78,MATCH($E35,'Community Areas'!$A$2:$A$78,0)),
"")</f>
        <v>SOUTH</v>
      </c>
      <c r="L35" s="17" t="e">
        <f>SUMIFS([1]ACSDT5Y2020.B08301_data_with_ov!AT$3:AT$1334,[1]ACSDT5Y2020.B08301_data_with_ov!$AS$3:$AS$1334,$B35)</f>
        <v>#VALUE!</v>
      </c>
      <c r="M35" s="17" t="e">
        <f>SUMIFS([1]ACSDT5Y2020.B08301_data_with_ov!AU$3:AU$1334,[1]ACSDT5Y2020.B08301_data_with_ov!$AS$3:$AS$1334,$B35)</f>
        <v>#VALUE!</v>
      </c>
      <c r="N35" s="17" t="e">
        <f>SUMIFS([1]ACSDT5Y2020.B08301_data_with_ov!AV$3:AV$1334,[1]ACSDT5Y2020.B08301_data_with_ov!$AS$3:$AS$1334,$B35)</f>
        <v>#VALUE!</v>
      </c>
      <c r="O35" s="17" t="e">
        <f>SUMIFS([1]ACSDT5Y2020.B08301_data_with_ov!AW$3:AW$1334,[1]ACSDT5Y2020.B08301_data_with_ov!$AS$3:$AS$1334,$B35)</f>
        <v>#VALUE!</v>
      </c>
      <c r="P35" s="17" t="e">
        <f>SUMIFS([1]ACSDT5Y2020.B08301_data_with_ov!AX$3:AX$1334,[1]ACSDT5Y2020.B08301_data_with_ov!$AS$3:$AS$1334,$B35)</f>
        <v>#VALUE!</v>
      </c>
      <c r="Q35" s="17" t="e">
        <f>SUMIFS([1]ACSDT5Y2020.B08301_data_with_ov!AY$3:AY$1334,[1]ACSDT5Y2020.B08301_data_with_ov!$AS$3:$AS$1334,$B35)</f>
        <v>#VALUE!</v>
      </c>
      <c r="R35" s="17" t="e">
        <f>SUMIFS([1]ACSDT5Y2020.B08301_data_with_ov!AZ$3:AZ$1334,[1]ACSDT5Y2020.B08301_data_with_ov!$AS$3:$AS$1334,$B35)</f>
        <v>#VALUE!</v>
      </c>
      <c r="S35" s="17" t="e">
        <f>SUMIFS([1]ACSDT5Y2020.B08301_data_with_ov!BA$3:BA$1334,[1]ACSDT5Y2020.B08301_data_with_ov!$AS$3:$AS$1334,$B35)</f>
        <v>#VALUE!</v>
      </c>
      <c r="T35" s="188">
        <v>0.12598834850348656</v>
      </c>
      <c r="U35" s="189" t="e">
        <f t="shared" si="3"/>
        <v>#VALUE!</v>
      </c>
      <c r="V35" s="188">
        <v>0.12598834850348656</v>
      </c>
      <c r="W35" s="189" t="e">
        <f t="shared" si="0"/>
        <v>#VALUE!</v>
      </c>
      <c r="X35" s="188">
        <v>0.12598834850348656</v>
      </c>
      <c r="Y35" s="189" t="e">
        <f t="shared" si="1"/>
        <v>#VALUE!</v>
      </c>
      <c r="Z35" s="188">
        <v>0.12598834850348656</v>
      </c>
      <c r="AA35" s="189" t="e">
        <f t="shared" si="2"/>
        <v>#VALUE!</v>
      </c>
    </row>
    <row r="36" spans="1:27" x14ac:dyDescent="0.25">
      <c r="A36">
        <v>390700</v>
      </c>
      <c r="B36">
        <v>17031390700</v>
      </c>
      <c r="C36">
        <v>17031</v>
      </c>
      <c r="D36">
        <v>2010</v>
      </c>
      <c r="E36">
        <v>39</v>
      </c>
      <c r="F36">
        <v>6583578.2752687996</v>
      </c>
      <c r="G36" s="45">
        <v>0.23615337592074148</v>
      </c>
      <c r="H36" s="60" t="str">
        <f>_xlfn.IFNA(
INDEX('Community Areas'!B$2:B$78,MATCH($E36,'Community Areas'!$A$2:$A$78,0)),
"")</f>
        <v>KENWOOD</v>
      </c>
      <c r="I36" s="63" t="str">
        <f>_xlfn.IFNA(
INDEX('Community Areas'!C$2:C$78,MATCH($E36,'Community Areas'!$A$2:$A$78,0)),
"")</f>
        <v>6-A</v>
      </c>
      <c r="J36" s="63">
        <f>_xlfn.IFNA(
INDEX('Community Areas'!D$2:D$78,MATCH($E36,'Community Areas'!$A$2:$A$78,0)),
"")</f>
        <v>6</v>
      </c>
      <c r="K36" s="60" t="str">
        <f>_xlfn.IFNA(
INDEX('Community Areas'!E$2:E$78,MATCH($E36,'Community Areas'!$A$2:$A$78,0)),
"")</f>
        <v>SOUTH</v>
      </c>
      <c r="L36" s="17" t="e">
        <f>SUMIFS([1]ACSDT5Y2020.B08301_data_with_ov!AT$3:AT$1334,[1]ACSDT5Y2020.B08301_data_with_ov!$AS$3:$AS$1334,$B36)</f>
        <v>#VALUE!</v>
      </c>
      <c r="M36" s="17" t="e">
        <f>SUMIFS([1]ACSDT5Y2020.B08301_data_with_ov!AU$3:AU$1334,[1]ACSDT5Y2020.B08301_data_with_ov!$AS$3:$AS$1334,$B36)</f>
        <v>#VALUE!</v>
      </c>
      <c r="N36" s="17" t="e">
        <f>SUMIFS([1]ACSDT5Y2020.B08301_data_with_ov!AV$3:AV$1334,[1]ACSDT5Y2020.B08301_data_with_ov!$AS$3:$AS$1334,$B36)</f>
        <v>#VALUE!</v>
      </c>
      <c r="O36" s="17" t="e">
        <f>SUMIFS([1]ACSDT5Y2020.B08301_data_with_ov!AW$3:AW$1334,[1]ACSDT5Y2020.B08301_data_with_ov!$AS$3:$AS$1334,$B36)</f>
        <v>#VALUE!</v>
      </c>
      <c r="P36" s="17" t="e">
        <f>SUMIFS([1]ACSDT5Y2020.B08301_data_with_ov!AX$3:AX$1334,[1]ACSDT5Y2020.B08301_data_with_ov!$AS$3:$AS$1334,$B36)</f>
        <v>#VALUE!</v>
      </c>
      <c r="Q36" s="17" t="e">
        <f>SUMIFS([1]ACSDT5Y2020.B08301_data_with_ov!AY$3:AY$1334,[1]ACSDT5Y2020.B08301_data_with_ov!$AS$3:$AS$1334,$B36)</f>
        <v>#VALUE!</v>
      </c>
      <c r="R36" s="17" t="e">
        <f>SUMIFS([1]ACSDT5Y2020.B08301_data_with_ov!AZ$3:AZ$1334,[1]ACSDT5Y2020.B08301_data_with_ov!$AS$3:$AS$1334,$B36)</f>
        <v>#VALUE!</v>
      </c>
      <c r="S36" s="17" t="e">
        <f>SUMIFS([1]ACSDT5Y2020.B08301_data_with_ov!BA$3:BA$1334,[1]ACSDT5Y2020.B08301_data_with_ov!$AS$3:$AS$1334,$B36)</f>
        <v>#VALUE!</v>
      </c>
      <c r="T36" s="188">
        <v>0.23615337170493322</v>
      </c>
      <c r="U36" s="189" t="e">
        <f t="shared" si="3"/>
        <v>#VALUE!</v>
      </c>
      <c r="V36" s="188">
        <v>0.23615337170493322</v>
      </c>
      <c r="W36" s="189" t="e">
        <f t="shared" si="0"/>
        <v>#VALUE!</v>
      </c>
      <c r="X36" s="188">
        <v>0.23615337170493322</v>
      </c>
      <c r="Y36" s="189" t="e">
        <f t="shared" si="1"/>
        <v>#VALUE!</v>
      </c>
      <c r="Z36" s="188">
        <v>0.23615337170493322</v>
      </c>
      <c r="AA36" s="189" t="e">
        <f t="shared" si="2"/>
        <v>#VALUE!</v>
      </c>
    </row>
    <row r="37" spans="1:27" x14ac:dyDescent="0.25">
      <c r="A37">
        <v>390100</v>
      </c>
      <c r="B37">
        <v>17031390100</v>
      </c>
      <c r="C37">
        <v>17031</v>
      </c>
      <c r="D37">
        <v>2010</v>
      </c>
      <c r="E37">
        <v>39</v>
      </c>
      <c r="F37">
        <v>5171567.3746050196</v>
      </c>
      <c r="G37" s="45">
        <v>0.1855044541510639</v>
      </c>
      <c r="H37" s="60" t="str">
        <f>_xlfn.IFNA(
INDEX('Community Areas'!B$2:B$78,MATCH($E37,'Community Areas'!$A$2:$A$78,0)),
"")</f>
        <v>KENWOOD</v>
      </c>
      <c r="I37" s="63" t="str">
        <f>_xlfn.IFNA(
INDEX('Community Areas'!C$2:C$78,MATCH($E37,'Community Areas'!$A$2:$A$78,0)),
"")</f>
        <v>6-A</v>
      </c>
      <c r="J37" s="63">
        <f>_xlfn.IFNA(
INDEX('Community Areas'!D$2:D$78,MATCH($E37,'Community Areas'!$A$2:$A$78,0)),
"")</f>
        <v>6</v>
      </c>
      <c r="K37" s="60" t="str">
        <f>_xlfn.IFNA(
INDEX('Community Areas'!E$2:E$78,MATCH($E37,'Community Areas'!$A$2:$A$78,0)),
"")</f>
        <v>SOUTH</v>
      </c>
      <c r="L37" s="17" t="e">
        <f>SUMIFS([1]ACSDT5Y2020.B08301_data_with_ov!AT$3:AT$1334,[1]ACSDT5Y2020.B08301_data_with_ov!$AS$3:$AS$1334,$B37)</f>
        <v>#VALUE!</v>
      </c>
      <c r="M37" s="17" t="e">
        <f>SUMIFS([1]ACSDT5Y2020.B08301_data_with_ov!AU$3:AU$1334,[1]ACSDT5Y2020.B08301_data_with_ov!$AS$3:$AS$1334,$B37)</f>
        <v>#VALUE!</v>
      </c>
      <c r="N37" s="17" t="e">
        <f>SUMIFS([1]ACSDT5Y2020.B08301_data_with_ov!AV$3:AV$1334,[1]ACSDT5Y2020.B08301_data_with_ov!$AS$3:$AS$1334,$B37)</f>
        <v>#VALUE!</v>
      </c>
      <c r="O37" s="17" t="e">
        <f>SUMIFS([1]ACSDT5Y2020.B08301_data_with_ov!AW$3:AW$1334,[1]ACSDT5Y2020.B08301_data_with_ov!$AS$3:$AS$1334,$B37)</f>
        <v>#VALUE!</v>
      </c>
      <c r="P37" s="17" t="e">
        <f>SUMIFS([1]ACSDT5Y2020.B08301_data_with_ov!AX$3:AX$1334,[1]ACSDT5Y2020.B08301_data_with_ov!$AS$3:$AS$1334,$B37)</f>
        <v>#VALUE!</v>
      </c>
      <c r="Q37" s="17" t="e">
        <f>SUMIFS([1]ACSDT5Y2020.B08301_data_with_ov!AY$3:AY$1334,[1]ACSDT5Y2020.B08301_data_with_ov!$AS$3:$AS$1334,$B37)</f>
        <v>#VALUE!</v>
      </c>
      <c r="R37" s="17" t="e">
        <f>SUMIFS([1]ACSDT5Y2020.B08301_data_with_ov!AZ$3:AZ$1334,[1]ACSDT5Y2020.B08301_data_with_ov!$AS$3:$AS$1334,$B37)</f>
        <v>#VALUE!</v>
      </c>
      <c r="S37" s="17" t="e">
        <f>SUMIFS([1]ACSDT5Y2020.B08301_data_with_ov!BA$3:BA$1334,[1]ACSDT5Y2020.B08301_data_with_ov!$AS$3:$AS$1334,$B37)</f>
        <v>#VALUE!</v>
      </c>
      <c r="T37" s="188">
        <v>0.18550445367220894</v>
      </c>
      <c r="U37" s="189" t="e">
        <f t="shared" si="3"/>
        <v>#VALUE!</v>
      </c>
      <c r="V37" s="188">
        <v>0.18550445367220894</v>
      </c>
      <c r="W37" s="189" t="e">
        <f t="shared" si="0"/>
        <v>#VALUE!</v>
      </c>
      <c r="X37" s="188">
        <v>0.18550445367220894</v>
      </c>
      <c r="Y37" s="189" t="e">
        <f t="shared" si="1"/>
        <v>#VALUE!</v>
      </c>
      <c r="Z37" s="188">
        <v>0.18550445367220894</v>
      </c>
      <c r="AA37" s="189" t="e">
        <f t="shared" si="2"/>
        <v>#VALUE!</v>
      </c>
    </row>
    <row r="38" spans="1:27" x14ac:dyDescent="0.25">
      <c r="A38">
        <v>390300</v>
      </c>
      <c r="B38">
        <v>17031390300</v>
      </c>
      <c r="C38">
        <v>17031</v>
      </c>
      <c r="D38">
        <v>2010</v>
      </c>
      <c r="E38">
        <v>39</v>
      </c>
      <c r="F38">
        <v>3520847.7247758601</v>
      </c>
      <c r="G38" s="45">
        <v>0.1262930342048274</v>
      </c>
      <c r="H38" s="60" t="str">
        <f>_xlfn.IFNA(
INDEX('Community Areas'!B$2:B$78,MATCH($E38,'Community Areas'!$A$2:$A$78,0)),
"")</f>
        <v>KENWOOD</v>
      </c>
      <c r="I38" s="63" t="str">
        <f>_xlfn.IFNA(
INDEX('Community Areas'!C$2:C$78,MATCH($E38,'Community Areas'!$A$2:$A$78,0)),
"")</f>
        <v>6-A</v>
      </c>
      <c r="J38" s="63">
        <f>_xlfn.IFNA(
INDEX('Community Areas'!D$2:D$78,MATCH($E38,'Community Areas'!$A$2:$A$78,0)),
"")</f>
        <v>6</v>
      </c>
      <c r="K38" s="60" t="str">
        <f>_xlfn.IFNA(
INDEX('Community Areas'!E$2:E$78,MATCH($E38,'Community Areas'!$A$2:$A$78,0)),
"")</f>
        <v>SOUTH</v>
      </c>
      <c r="L38" s="17" t="e">
        <f>SUMIFS([1]ACSDT5Y2020.B08301_data_with_ov!AT$3:AT$1334,[1]ACSDT5Y2020.B08301_data_with_ov!$AS$3:$AS$1334,$B38)</f>
        <v>#VALUE!</v>
      </c>
      <c r="M38" s="17" t="e">
        <f>SUMIFS([1]ACSDT5Y2020.B08301_data_with_ov!AU$3:AU$1334,[1]ACSDT5Y2020.B08301_data_with_ov!$AS$3:$AS$1334,$B38)</f>
        <v>#VALUE!</v>
      </c>
      <c r="N38" s="17" t="e">
        <f>SUMIFS([1]ACSDT5Y2020.B08301_data_with_ov!AV$3:AV$1334,[1]ACSDT5Y2020.B08301_data_with_ov!$AS$3:$AS$1334,$B38)</f>
        <v>#VALUE!</v>
      </c>
      <c r="O38" s="17" t="e">
        <f>SUMIFS([1]ACSDT5Y2020.B08301_data_with_ov!AW$3:AW$1334,[1]ACSDT5Y2020.B08301_data_with_ov!$AS$3:$AS$1334,$B38)</f>
        <v>#VALUE!</v>
      </c>
      <c r="P38" s="17" t="e">
        <f>SUMIFS([1]ACSDT5Y2020.B08301_data_with_ov!AX$3:AX$1334,[1]ACSDT5Y2020.B08301_data_with_ov!$AS$3:$AS$1334,$B38)</f>
        <v>#VALUE!</v>
      </c>
      <c r="Q38" s="17" t="e">
        <f>SUMIFS([1]ACSDT5Y2020.B08301_data_with_ov!AY$3:AY$1334,[1]ACSDT5Y2020.B08301_data_with_ov!$AS$3:$AS$1334,$B38)</f>
        <v>#VALUE!</v>
      </c>
      <c r="R38" s="17" t="e">
        <f>SUMIFS([1]ACSDT5Y2020.B08301_data_with_ov!AZ$3:AZ$1334,[1]ACSDT5Y2020.B08301_data_with_ov!$AS$3:$AS$1334,$B38)</f>
        <v>#VALUE!</v>
      </c>
      <c r="S38" s="17" t="e">
        <f>SUMIFS([1]ACSDT5Y2020.B08301_data_with_ov!BA$3:BA$1334,[1]ACSDT5Y2020.B08301_data_with_ov!$AS$3:$AS$1334,$B38)</f>
        <v>#VALUE!</v>
      </c>
      <c r="T38" s="188">
        <v>0.1262930340791534</v>
      </c>
      <c r="U38" s="189" t="e">
        <f t="shared" si="3"/>
        <v>#VALUE!</v>
      </c>
      <c r="V38" s="188">
        <v>0.1262930340791534</v>
      </c>
      <c r="W38" s="189" t="e">
        <f t="shared" si="0"/>
        <v>#VALUE!</v>
      </c>
      <c r="X38" s="188">
        <v>0.1262930340791534</v>
      </c>
      <c r="Y38" s="189" t="e">
        <f t="shared" si="1"/>
        <v>#VALUE!</v>
      </c>
      <c r="Z38" s="188">
        <v>0.1262930340791534</v>
      </c>
      <c r="AA38" s="189" t="e">
        <f t="shared" si="2"/>
        <v>#VALUE!</v>
      </c>
    </row>
    <row r="39" spans="1:27" x14ac:dyDescent="0.25">
      <c r="A39">
        <v>390200</v>
      </c>
      <c r="B39">
        <v>17031390200</v>
      </c>
      <c r="C39">
        <v>17031</v>
      </c>
      <c r="D39">
        <v>2010</v>
      </c>
      <c r="E39">
        <v>39</v>
      </c>
      <c r="F39">
        <v>3270131.89720638</v>
      </c>
      <c r="G39" s="45">
        <v>0.11729984135410856</v>
      </c>
      <c r="H39" s="60" t="str">
        <f>_xlfn.IFNA(
INDEX('Community Areas'!B$2:B$78,MATCH($E39,'Community Areas'!$A$2:$A$78,0)),
"")</f>
        <v>KENWOOD</v>
      </c>
      <c r="I39" s="63" t="str">
        <f>_xlfn.IFNA(
INDEX('Community Areas'!C$2:C$78,MATCH($E39,'Community Areas'!$A$2:$A$78,0)),
"")</f>
        <v>6-A</v>
      </c>
      <c r="J39" s="63">
        <f>_xlfn.IFNA(
INDEX('Community Areas'!D$2:D$78,MATCH($E39,'Community Areas'!$A$2:$A$78,0)),
"")</f>
        <v>6</v>
      </c>
      <c r="K39" s="60" t="str">
        <f>_xlfn.IFNA(
INDEX('Community Areas'!E$2:E$78,MATCH($E39,'Community Areas'!$A$2:$A$78,0)),
"")</f>
        <v>SOUTH</v>
      </c>
      <c r="L39" s="17" t="e">
        <f>SUMIFS([1]ACSDT5Y2020.B08301_data_with_ov!AT$3:AT$1334,[1]ACSDT5Y2020.B08301_data_with_ov!$AS$3:$AS$1334,$B39)</f>
        <v>#VALUE!</v>
      </c>
      <c r="M39" s="17" t="e">
        <f>SUMIFS([1]ACSDT5Y2020.B08301_data_with_ov!AU$3:AU$1334,[1]ACSDT5Y2020.B08301_data_with_ov!$AS$3:$AS$1334,$B39)</f>
        <v>#VALUE!</v>
      </c>
      <c r="N39" s="17" t="e">
        <f>SUMIFS([1]ACSDT5Y2020.B08301_data_with_ov!AV$3:AV$1334,[1]ACSDT5Y2020.B08301_data_with_ov!$AS$3:$AS$1334,$B39)</f>
        <v>#VALUE!</v>
      </c>
      <c r="O39" s="17" t="e">
        <f>SUMIFS([1]ACSDT5Y2020.B08301_data_with_ov!AW$3:AW$1334,[1]ACSDT5Y2020.B08301_data_with_ov!$AS$3:$AS$1334,$B39)</f>
        <v>#VALUE!</v>
      </c>
      <c r="P39" s="17" t="e">
        <f>SUMIFS([1]ACSDT5Y2020.B08301_data_with_ov!AX$3:AX$1334,[1]ACSDT5Y2020.B08301_data_with_ov!$AS$3:$AS$1334,$B39)</f>
        <v>#VALUE!</v>
      </c>
      <c r="Q39" s="17" t="e">
        <f>SUMIFS([1]ACSDT5Y2020.B08301_data_with_ov!AY$3:AY$1334,[1]ACSDT5Y2020.B08301_data_with_ov!$AS$3:$AS$1334,$B39)</f>
        <v>#VALUE!</v>
      </c>
      <c r="R39" s="17" t="e">
        <f>SUMIFS([1]ACSDT5Y2020.B08301_data_with_ov!AZ$3:AZ$1334,[1]ACSDT5Y2020.B08301_data_with_ov!$AS$3:$AS$1334,$B39)</f>
        <v>#VALUE!</v>
      </c>
      <c r="S39" s="17" t="e">
        <f>SUMIFS([1]ACSDT5Y2020.B08301_data_with_ov!BA$3:BA$1334,[1]ACSDT5Y2020.B08301_data_with_ov!$AS$3:$AS$1334,$B39)</f>
        <v>#VALUE!</v>
      </c>
      <c r="T39" s="188">
        <v>0.11729984185572666</v>
      </c>
      <c r="U39" s="189" t="e">
        <f t="shared" si="3"/>
        <v>#VALUE!</v>
      </c>
      <c r="V39" s="188">
        <v>0.11729984185572666</v>
      </c>
      <c r="W39" s="189" t="e">
        <f t="shared" si="0"/>
        <v>#VALUE!</v>
      </c>
      <c r="X39" s="188">
        <v>0.11729984185572666</v>
      </c>
      <c r="Y39" s="189" t="e">
        <f t="shared" si="1"/>
        <v>#VALUE!</v>
      </c>
      <c r="Z39" s="188">
        <v>0.11729984185572666</v>
      </c>
      <c r="AA39" s="189" t="e">
        <f t="shared" si="2"/>
        <v>#VALUE!</v>
      </c>
    </row>
    <row r="40" spans="1:27" x14ac:dyDescent="0.25">
      <c r="A40">
        <v>390500</v>
      </c>
      <c r="B40">
        <v>17031390500</v>
      </c>
      <c r="C40">
        <v>17031</v>
      </c>
      <c r="D40">
        <v>2010</v>
      </c>
      <c r="E40">
        <v>39</v>
      </c>
      <c r="F40">
        <v>3514919.1125081098</v>
      </c>
      <c r="G40" s="45">
        <v>0.12608037450169701</v>
      </c>
      <c r="H40" s="60" t="str">
        <f>_xlfn.IFNA(
INDEX('Community Areas'!B$2:B$78,MATCH($E40,'Community Areas'!$A$2:$A$78,0)),
"")</f>
        <v>KENWOOD</v>
      </c>
      <c r="I40" s="63" t="str">
        <f>_xlfn.IFNA(
INDEX('Community Areas'!C$2:C$78,MATCH($E40,'Community Areas'!$A$2:$A$78,0)),
"")</f>
        <v>6-A</v>
      </c>
      <c r="J40" s="63">
        <f>_xlfn.IFNA(
INDEX('Community Areas'!D$2:D$78,MATCH($E40,'Community Areas'!$A$2:$A$78,0)),
"")</f>
        <v>6</v>
      </c>
      <c r="K40" s="60" t="str">
        <f>_xlfn.IFNA(
INDEX('Community Areas'!E$2:E$78,MATCH($E40,'Community Areas'!$A$2:$A$78,0)),
"")</f>
        <v>SOUTH</v>
      </c>
      <c r="L40" s="17" t="e">
        <f>SUMIFS([1]ACSDT5Y2020.B08301_data_with_ov!AT$3:AT$1334,[1]ACSDT5Y2020.B08301_data_with_ov!$AS$3:$AS$1334,$B40)</f>
        <v>#VALUE!</v>
      </c>
      <c r="M40" s="17" t="e">
        <f>SUMIFS([1]ACSDT5Y2020.B08301_data_with_ov!AU$3:AU$1334,[1]ACSDT5Y2020.B08301_data_with_ov!$AS$3:$AS$1334,$B40)</f>
        <v>#VALUE!</v>
      </c>
      <c r="N40" s="17" t="e">
        <f>SUMIFS([1]ACSDT5Y2020.B08301_data_with_ov!AV$3:AV$1334,[1]ACSDT5Y2020.B08301_data_with_ov!$AS$3:$AS$1334,$B40)</f>
        <v>#VALUE!</v>
      </c>
      <c r="O40" s="17" t="e">
        <f>SUMIFS([1]ACSDT5Y2020.B08301_data_with_ov!AW$3:AW$1334,[1]ACSDT5Y2020.B08301_data_with_ov!$AS$3:$AS$1334,$B40)</f>
        <v>#VALUE!</v>
      </c>
      <c r="P40" s="17" t="e">
        <f>SUMIFS([1]ACSDT5Y2020.B08301_data_with_ov!AX$3:AX$1334,[1]ACSDT5Y2020.B08301_data_with_ov!$AS$3:$AS$1334,$B40)</f>
        <v>#VALUE!</v>
      </c>
      <c r="Q40" s="17" t="e">
        <f>SUMIFS([1]ACSDT5Y2020.B08301_data_with_ov!AY$3:AY$1334,[1]ACSDT5Y2020.B08301_data_with_ov!$AS$3:$AS$1334,$B40)</f>
        <v>#VALUE!</v>
      </c>
      <c r="R40" s="17" t="e">
        <f>SUMIFS([1]ACSDT5Y2020.B08301_data_with_ov!AZ$3:AZ$1334,[1]ACSDT5Y2020.B08301_data_with_ov!$AS$3:$AS$1334,$B40)</f>
        <v>#VALUE!</v>
      </c>
      <c r="S40" s="17" t="e">
        <f>SUMIFS([1]ACSDT5Y2020.B08301_data_with_ov!BA$3:BA$1334,[1]ACSDT5Y2020.B08301_data_with_ov!$AS$3:$AS$1334,$B40)</f>
        <v>#VALUE!</v>
      </c>
      <c r="T40" s="188">
        <v>0.12608037456115342</v>
      </c>
      <c r="U40" s="189" t="e">
        <f t="shared" si="3"/>
        <v>#VALUE!</v>
      </c>
      <c r="V40" s="188">
        <v>0.12608037456115342</v>
      </c>
      <c r="W40" s="189" t="e">
        <f t="shared" si="0"/>
        <v>#VALUE!</v>
      </c>
      <c r="X40" s="188">
        <v>0.12608037456115342</v>
      </c>
      <c r="Y40" s="189" t="e">
        <f t="shared" si="1"/>
        <v>#VALUE!</v>
      </c>
      <c r="Z40" s="188">
        <v>0.12608037456115342</v>
      </c>
      <c r="AA40" s="189" t="e">
        <f t="shared" si="2"/>
        <v>#VALUE!</v>
      </c>
    </row>
    <row r="41" spans="1:27" x14ac:dyDescent="0.25">
      <c r="A41">
        <v>390600</v>
      </c>
      <c r="B41">
        <v>17031390600</v>
      </c>
      <c r="C41">
        <v>17031</v>
      </c>
      <c r="D41">
        <v>2010</v>
      </c>
      <c r="E41">
        <v>39</v>
      </c>
      <c r="F41">
        <v>3498343.9947011401</v>
      </c>
      <c r="G41" s="45">
        <v>0.12548582396052643</v>
      </c>
      <c r="H41" s="60" t="str">
        <f>_xlfn.IFNA(
INDEX('Community Areas'!B$2:B$78,MATCH($E41,'Community Areas'!$A$2:$A$78,0)),
"")</f>
        <v>KENWOOD</v>
      </c>
      <c r="I41" s="63" t="str">
        <f>_xlfn.IFNA(
INDEX('Community Areas'!C$2:C$78,MATCH($E41,'Community Areas'!$A$2:$A$78,0)),
"")</f>
        <v>6-A</v>
      </c>
      <c r="J41" s="63">
        <f>_xlfn.IFNA(
INDEX('Community Areas'!D$2:D$78,MATCH($E41,'Community Areas'!$A$2:$A$78,0)),
"")</f>
        <v>6</v>
      </c>
      <c r="K41" s="60" t="str">
        <f>_xlfn.IFNA(
INDEX('Community Areas'!E$2:E$78,MATCH($E41,'Community Areas'!$A$2:$A$78,0)),
"")</f>
        <v>SOUTH</v>
      </c>
      <c r="L41" s="17" t="e">
        <f>SUMIFS([1]ACSDT5Y2020.B08301_data_with_ov!AT$3:AT$1334,[1]ACSDT5Y2020.B08301_data_with_ov!$AS$3:$AS$1334,$B41)</f>
        <v>#VALUE!</v>
      </c>
      <c r="M41" s="17" t="e">
        <f>SUMIFS([1]ACSDT5Y2020.B08301_data_with_ov!AU$3:AU$1334,[1]ACSDT5Y2020.B08301_data_with_ov!$AS$3:$AS$1334,$B41)</f>
        <v>#VALUE!</v>
      </c>
      <c r="N41" s="17" t="e">
        <f>SUMIFS([1]ACSDT5Y2020.B08301_data_with_ov!AV$3:AV$1334,[1]ACSDT5Y2020.B08301_data_with_ov!$AS$3:$AS$1334,$B41)</f>
        <v>#VALUE!</v>
      </c>
      <c r="O41" s="17" t="e">
        <f>SUMIFS([1]ACSDT5Y2020.B08301_data_with_ov!AW$3:AW$1334,[1]ACSDT5Y2020.B08301_data_with_ov!$AS$3:$AS$1334,$B41)</f>
        <v>#VALUE!</v>
      </c>
      <c r="P41" s="17" t="e">
        <f>SUMIFS([1]ACSDT5Y2020.B08301_data_with_ov!AX$3:AX$1334,[1]ACSDT5Y2020.B08301_data_with_ov!$AS$3:$AS$1334,$B41)</f>
        <v>#VALUE!</v>
      </c>
      <c r="Q41" s="17" t="e">
        <f>SUMIFS([1]ACSDT5Y2020.B08301_data_with_ov!AY$3:AY$1334,[1]ACSDT5Y2020.B08301_data_with_ov!$AS$3:$AS$1334,$B41)</f>
        <v>#VALUE!</v>
      </c>
      <c r="R41" s="17" t="e">
        <f>SUMIFS([1]ACSDT5Y2020.B08301_data_with_ov!AZ$3:AZ$1334,[1]ACSDT5Y2020.B08301_data_with_ov!$AS$3:$AS$1334,$B41)</f>
        <v>#VALUE!</v>
      </c>
      <c r="S41" s="17" t="e">
        <f>SUMIFS([1]ACSDT5Y2020.B08301_data_with_ov!BA$3:BA$1334,[1]ACSDT5Y2020.B08301_data_with_ov!$AS$3:$AS$1334,$B41)</f>
        <v>#VALUE!</v>
      </c>
      <c r="T41" s="188">
        <v>0.12384725336381355</v>
      </c>
      <c r="U41" s="189" t="e">
        <f t="shared" si="3"/>
        <v>#VALUE!</v>
      </c>
      <c r="V41" s="188">
        <v>0.12384725336381355</v>
      </c>
      <c r="W41" s="189" t="e">
        <f t="shared" si="0"/>
        <v>#VALUE!</v>
      </c>
      <c r="X41" s="188">
        <v>0.12384725336381355</v>
      </c>
      <c r="Y41" s="189" t="e">
        <f t="shared" si="1"/>
        <v>#VALUE!</v>
      </c>
      <c r="Z41" s="188">
        <v>0.12384725336381355</v>
      </c>
      <c r="AA41" s="189" t="e">
        <f t="shared" si="2"/>
        <v>#VALUE!</v>
      </c>
    </row>
    <row r="42" spans="1:27" x14ac:dyDescent="0.25">
      <c r="A42">
        <v>40100</v>
      </c>
      <c r="B42">
        <v>17031040100</v>
      </c>
      <c r="C42">
        <v>17031</v>
      </c>
      <c r="D42">
        <v>2010</v>
      </c>
      <c r="E42">
        <v>4</v>
      </c>
      <c r="F42">
        <v>21545692.8407005</v>
      </c>
      <c r="G42" s="45">
        <v>0.77284538713486062</v>
      </c>
      <c r="H42" s="60" t="str">
        <f>_xlfn.IFNA(
INDEX('Community Areas'!B$2:B$78,MATCH($E42,'Community Areas'!$A$2:$A$78,0)),
"")</f>
        <v>LINCOLN SQUARE</v>
      </c>
      <c r="I42" s="63" t="str">
        <f>_xlfn.IFNA(
INDEX('Community Areas'!C$2:C$78,MATCH($E42,'Community Areas'!$A$2:$A$78,0)),
"")</f>
        <v>1-A</v>
      </c>
      <c r="J42" s="63">
        <f>_xlfn.IFNA(
INDEX('Community Areas'!D$2:D$78,MATCH($E42,'Community Areas'!$A$2:$A$78,0)),
"")</f>
        <v>1</v>
      </c>
      <c r="K42" s="60" t="str">
        <f>_xlfn.IFNA(
INDEX('Community Areas'!E$2:E$78,MATCH($E42,'Community Areas'!$A$2:$A$78,0)),
"")</f>
        <v>NORTH</v>
      </c>
      <c r="L42" s="17" t="e">
        <f>SUMIFS([1]ACSDT5Y2020.B08301_data_with_ov!AT$3:AT$1334,[1]ACSDT5Y2020.B08301_data_with_ov!$AS$3:$AS$1334,$B42)</f>
        <v>#VALUE!</v>
      </c>
      <c r="M42" s="17" t="e">
        <f>SUMIFS([1]ACSDT5Y2020.B08301_data_with_ov!AU$3:AU$1334,[1]ACSDT5Y2020.B08301_data_with_ov!$AS$3:$AS$1334,$B42)</f>
        <v>#VALUE!</v>
      </c>
      <c r="N42" s="17" t="e">
        <f>SUMIFS([1]ACSDT5Y2020.B08301_data_with_ov!AV$3:AV$1334,[1]ACSDT5Y2020.B08301_data_with_ov!$AS$3:$AS$1334,$B42)</f>
        <v>#VALUE!</v>
      </c>
      <c r="O42" s="17" t="e">
        <f>SUMIFS([1]ACSDT5Y2020.B08301_data_with_ov!AW$3:AW$1334,[1]ACSDT5Y2020.B08301_data_with_ov!$AS$3:$AS$1334,$B42)</f>
        <v>#VALUE!</v>
      </c>
      <c r="P42" s="17" t="e">
        <f>SUMIFS([1]ACSDT5Y2020.B08301_data_with_ov!AX$3:AX$1334,[1]ACSDT5Y2020.B08301_data_with_ov!$AS$3:$AS$1334,$B42)</f>
        <v>#VALUE!</v>
      </c>
      <c r="Q42" s="17" t="e">
        <f>SUMIFS([1]ACSDT5Y2020.B08301_data_with_ov!AY$3:AY$1334,[1]ACSDT5Y2020.B08301_data_with_ov!$AS$3:$AS$1334,$B42)</f>
        <v>#VALUE!</v>
      </c>
      <c r="R42" s="17" t="e">
        <f>SUMIFS([1]ACSDT5Y2020.B08301_data_with_ov!AZ$3:AZ$1334,[1]ACSDT5Y2020.B08301_data_with_ov!$AS$3:$AS$1334,$B42)</f>
        <v>#VALUE!</v>
      </c>
      <c r="S42" s="17" t="e">
        <f>SUMIFS([1]ACSDT5Y2020.B08301_data_with_ov!BA$3:BA$1334,[1]ACSDT5Y2020.B08301_data_with_ov!$AS$3:$AS$1334,$B42)</f>
        <v>#VALUE!</v>
      </c>
      <c r="T42" s="188">
        <v>0.73658240707916878</v>
      </c>
      <c r="U42" s="189" t="e">
        <f t="shared" si="3"/>
        <v>#VALUE!</v>
      </c>
      <c r="V42" s="188">
        <v>0.7345930493893732</v>
      </c>
      <c r="W42" s="189" t="e">
        <f t="shared" si="0"/>
        <v>#VALUE!</v>
      </c>
      <c r="X42" s="188">
        <v>0.7345930493893732</v>
      </c>
      <c r="Y42" s="189" t="e">
        <f t="shared" si="1"/>
        <v>#VALUE!</v>
      </c>
      <c r="Z42" s="188">
        <v>0.7345930493893732</v>
      </c>
      <c r="AA42" s="189" t="e">
        <f t="shared" si="2"/>
        <v>#VALUE!</v>
      </c>
    </row>
    <row r="43" spans="1:27" x14ac:dyDescent="0.25">
      <c r="A43">
        <v>40201</v>
      </c>
      <c r="B43">
        <v>17031040201</v>
      </c>
      <c r="C43">
        <v>17031</v>
      </c>
      <c r="D43">
        <v>2010</v>
      </c>
      <c r="E43">
        <v>4</v>
      </c>
      <c r="F43">
        <v>7765445.6427319497</v>
      </c>
      <c r="G43" s="45">
        <v>0.27854703436108064</v>
      </c>
      <c r="H43" s="60" t="str">
        <f>_xlfn.IFNA(
INDEX('Community Areas'!B$2:B$78,MATCH($E43,'Community Areas'!$A$2:$A$78,0)),
"")</f>
        <v>LINCOLN SQUARE</v>
      </c>
      <c r="I43" s="63" t="str">
        <f>_xlfn.IFNA(
INDEX('Community Areas'!C$2:C$78,MATCH($E43,'Community Areas'!$A$2:$A$78,0)),
"")</f>
        <v>1-A</v>
      </c>
      <c r="J43" s="63">
        <f>_xlfn.IFNA(
INDEX('Community Areas'!D$2:D$78,MATCH($E43,'Community Areas'!$A$2:$A$78,0)),
"")</f>
        <v>1</v>
      </c>
      <c r="K43" s="60" t="str">
        <f>_xlfn.IFNA(
INDEX('Community Areas'!E$2:E$78,MATCH($E43,'Community Areas'!$A$2:$A$78,0)),
"")</f>
        <v>NORTH</v>
      </c>
      <c r="L43" s="17" t="e">
        <f>SUMIFS([1]ACSDT5Y2020.B08301_data_with_ov!AT$3:AT$1334,[1]ACSDT5Y2020.B08301_data_with_ov!$AS$3:$AS$1334,$B43)</f>
        <v>#VALUE!</v>
      </c>
      <c r="M43" s="17" t="e">
        <f>SUMIFS([1]ACSDT5Y2020.B08301_data_with_ov!AU$3:AU$1334,[1]ACSDT5Y2020.B08301_data_with_ov!$AS$3:$AS$1334,$B43)</f>
        <v>#VALUE!</v>
      </c>
      <c r="N43" s="17" t="e">
        <f>SUMIFS([1]ACSDT5Y2020.B08301_data_with_ov!AV$3:AV$1334,[1]ACSDT5Y2020.B08301_data_with_ov!$AS$3:$AS$1334,$B43)</f>
        <v>#VALUE!</v>
      </c>
      <c r="O43" s="17" t="e">
        <f>SUMIFS([1]ACSDT5Y2020.B08301_data_with_ov!AW$3:AW$1334,[1]ACSDT5Y2020.B08301_data_with_ov!$AS$3:$AS$1334,$B43)</f>
        <v>#VALUE!</v>
      </c>
      <c r="P43" s="17" t="e">
        <f>SUMIFS([1]ACSDT5Y2020.B08301_data_with_ov!AX$3:AX$1334,[1]ACSDT5Y2020.B08301_data_with_ov!$AS$3:$AS$1334,$B43)</f>
        <v>#VALUE!</v>
      </c>
      <c r="Q43" s="17" t="e">
        <f>SUMIFS([1]ACSDT5Y2020.B08301_data_with_ov!AY$3:AY$1334,[1]ACSDT5Y2020.B08301_data_with_ov!$AS$3:$AS$1334,$B43)</f>
        <v>#VALUE!</v>
      </c>
      <c r="R43" s="17" t="e">
        <f>SUMIFS([1]ACSDT5Y2020.B08301_data_with_ov!AZ$3:AZ$1334,[1]ACSDT5Y2020.B08301_data_with_ov!$AS$3:$AS$1334,$B43)</f>
        <v>#VALUE!</v>
      </c>
      <c r="S43" s="17" t="e">
        <f>SUMIFS([1]ACSDT5Y2020.B08301_data_with_ov!BA$3:BA$1334,[1]ACSDT5Y2020.B08301_data_with_ov!$AS$3:$AS$1334,$B43)</f>
        <v>#VALUE!</v>
      </c>
      <c r="T43" s="188">
        <v>0.27485944324445449</v>
      </c>
      <c r="U43" s="189" t="e">
        <f t="shared" si="3"/>
        <v>#VALUE!</v>
      </c>
      <c r="V43" s="188">
        <v>0.274856287261948</v>
      </c>
      <c r="W43" s="189" t="e">
        <f t="shared" si="0"/>
        <v>#VALUE!</v>
      </c>
      <c r="X43" s="188">
        <v>0.274856287261948</v>
      </c>
      <c r="Y43" s="189" t="e">
        <f t="shared" si="1"/>
        <v>#VALUE!</v>
      </c>
      <c r="Z43" s="188">
        <v>0.274856287261948</v>
      </c>
      <c r="AA43" s="189" t="e">
        <f t="shared" si="2"/>
        <v>#VALUE!</v>
      </c>
    </row>
    <row r="44" spans="1:27" x14ac:dyDescent="0.25">
      <c r="A44">
        <v>40300</v>
      </c>
      <c r="B44">
        <v>17031040300</v>
      </c>
      <c r="C44">
        <v>17031</v>
      </c>
      <c r="D44">
        <v>2010</v>
      </c>
      <c r="E44">
        <v>4</v>
      </c>
      <c r="F44">
        <v>8156570.8290910497</v>
      </c>
      <c r="G44" s="45">
        <v>0.29257671993697809</v>
      </c>
      <c r="H44" s="60" t="str">
        <f>_xlfn.IFNA(
INDEX('Community Areas'!B$2:B$78,MATCH($E44,'Community Areas'!$A$2:$A$78,0)),
"")</f>
        <v>LINCOLN SQUARE</v>
      </c>
      <c r="I44" s="63" t="str">
        <f>_xlfn.IFNA(
INDEX('Community Areas'!C$2:C$78,MATCH($E44,'Community Areas'!$A$2:$A$78,0)),
"")</f>
        <v>1-A</v>
      </c>
      <c r="J44" s="63">
        <f>_xlfn.IFNA(
INDEX('Community Areas'!D$2:D$78,MATCH($E44,'Community Areas'!$A$2:$A$78,0)),
"")</f>
        <v>1</v>
      </c>
      <c r="K44" s="60" t="str">
        <f>_xlfn.IFNA(
INDEX('Community Areas'!E$2:E$78,MATCH($E44,'Community Areas'!$A$2:$A$78,0)),
"")</f>
        <v>NORTH</v>
      </c>
      <c r="L44" s="17" t="e">
        <f>SUMIFS([1]ACSDT5Y2020.B08301_data_with_ov!AT$3:AT$1334,[1]ACSDT5Y2020.B08301_data_with_ov!$AS$3:$AS$1334,$B44)</f>
        <v>#VALUE!</v>
      </c>
      <c r="M44" s="17" t="e">
        <f>SUMIFS([1]ACSDT5Y2020.B08301_data_with_ov!AU$3:AU$1334,[1]ACSDT5Y2020.B08301_data_with_ov!$AS$3:$AS$1334,$B44)</f>
        <v>#VALUE!</v>
      </c>
      <c r="N44" s="17" t="e">
        <f>SUMIFS([1]ACSDT5Y2020.B08301_data_with_ov!AV$3:AV$1334,[1]ACSDT5Y2020.B08301_data_with_ov!$AS$3:$AS$1334,$B44)</f>
        <v>#VALUE!</v>
      </c>
      <c r="O44" s="17" t="e">
        <f>SUMIFS([1]ACSDT5Y2020.B08301_data_with_ov!AW$3:AW$1334,[1]ACSDT5Y2020.B08301_data_with_ov!$AS$3:$AS$1334,$B44)</f>
        <v>#VALUE!</v>
      </c>
      <c r="P44" s="17" t="e">
        <f>SUMIFS([1]ACSDT5Y2020.B08301_data_with_ov!AX$3:AX$1334,[1]ACSDT5Y2020.B08301_data_with_ov!$AS$3:$AS$1334,$B44)</f>
        <v>#VALUE!</v>
      </c>
      <c r="Q44" s="17" t="e">
        <f>SUMIFS([1]ACSDT5Y2020.B08301_data_with_ov!AY$3:AY$1334,[1]ACSDT5Y2020.B08301_data_with_ov!$AS$3:$AS$1334,$B44)</f>
        <v>#VALUE!</v>
      </c>
      <c r="R44" s="17" t="e">
        <f>SUMIFS([1]ACSDT5Y2020.B08301_data_with_ov!AZ$3:AZ$1334,[1]ACSDT5Y2020.B08301_data_with_ov!$AS$3:$AS$1334,$B44)</f>
        <v>#VALUE!</v>
      </c>
      <c r="S44" s="17" t="e">
        <f>SUMIFS([1]ACSDT5Y2020.B08301_data_with_ov!BA$3:BA$1334,[1]ACSDT5Y2020.B08301_data_with_ov!$AS$3:$AS$1334,$B44)</f>
        <v>#VALUE!</v>
      </c>
      <c r="T44" s="188">
        <v>0.29257672302743559</v>
      </c>
      <c r="U44" s="189" t="e">
        <f t="shared" si="3"/>
        <v>#VALUE!</v>
      </c>
      <c r="V44" s="188">
        <v>0.29257672302743559</v>
      </c>
      <c r="W44" s="189" t="e">
        <f t="shared" si="0"/>
        <v>#VALUE!</v>
      </c>
      <c r="X44" s="188">
        <v>0.29257672302743559</v>
      </c>
      <c r="Y44" s="189" t="e">
        <f t="shared" si="1"/>
        <v>#VALUE!</v>
      </c>
      <c r="Z44" s="188">
        <v>0.29257672302743559</v>
      </c>
      <c r="AA44" s="189" t="e">
        <f t="shared" si="2"/>
        <v>#VALUE!</v>
      </c>
    </row>
    <row r="45" spans="1:27" x14ac:dyDescent="0.25">
      <c r="A45">
        <v>40700</v>
      </c>
      <c r="B45">
        <v>17031040700</v>
      </c>
      <c r="C45">
        <v>17031</v>
      </c>
      <c r="D45">
        <v>2010</v>
      </c>
      <c r="E45">
        <v>4</v>
      </c>
      <c r="F45">
        <v>3806514.9657587199</v>
      </c>
      <c r="G45" s="45">
        <v>0.1365399365013315</v>
      </c>
      <c r="H45" s="60" t="str">
        <f>_xlfn.IFNA(
INDEX('Community Areas'!B$2:B$78,MATCH($E45,'Community Areas'!$A$2:$A$78,0)),
"")</f>
        <v>LINCOLN SQUARE</v>
      </c>
      <c r="I45" s="63" t="str">
        <f>_xlfn.IFNA(
INDEX('Community Areas'!C$2:C$78,MATCH($E45,'Community Areas'!$A$2:$A$78,0)),
"")</f>
        <v>1-A</v>
      </c>
      <c r="J45" s="63">
        <f>_xlfn.IFNA(
INDEX('Community Areas'!D$2:D$78,MATCH($E45,'Community Areas'!$A$2:$A$78,0)),
"")</f>
        <v>1</v>
      </c>
      <c r="K45" s="60" t="str">
        <f>_xlfn.IFNA(
INDEX('Community Areas'!E$2:E$78,MATCH($E45,'Community Areas'!$A$2:$A$78,0)),
"")</f>
        <v>NORTH</v>
      </c>
      <c r="L45" s="17" t="e">
        <f>SUMIFS([1]ACSDT5Y2020.B08301_data_with_ov!AT$3:AT$1334,[1]ACSDT5Y2020.B08301_data_with_ov!$AS$3:$AS$1334,$B45)</f>
        <v>#VALUE!</v>
      </c>
      <c r="M45" s="17" t="e">
        <f>SUMIFS([1]ACSDT5Y2020.B08301_data_with_ov!AU$3:AU$1334,[1]ACSDT5Y2020.B08301_data_with_ov!$AS$3:$AS$1334,$B45)</f>
        <v>#VALUE!</v>
      </c>
      <c r="N45" s="17" t="e">
        <f>SUMIFS([1]ACSDT5Y2020.B08301_data_with_ov!AV$3:AV$1334,[1]ACSDT5Y2020.B08301_data_with_ov!$AS$3:$AS$1334,$B45)</f>
        <v>#VALUE!</v>
      </c>
      <c r="O45" s="17" t="e">
        <f>SUMIFS([1]ACSDT5Y2020.B08301_data_with_ov!AW$3:AW$1334,[1]ACSDT5Y2020.B08301_data_with_ov!$AS$3:$AS$1334,$B45)</f>
        <v>#VALUE!</v>
      </c>
      <c r="P45" s="17" t="e">
        <f>SUMIFS([1]ACSDT5Y2020.B08301_data_with_ov!AX$3:AX$1334,[1]ACSDT5Y2020.B08301_data_with_ov!$AS$3:$AS$1334,$B45)</f>
        <v>#VALUE!</v>
      </c>
      <c r="Q45" s="17" t="e">
        <f>SUMIFS([1]ACSDT5Y2020.B08301_data_with_ov!AY$3:AY$1334,[1]ACSDT5Y2020.B08301_data_with_ov!$AS$3:$AS$1334,$B45)</f>
        <v>#VALUE!</v>
      </c>
      <c r="R45" s="17" t="e">
        <f>SUMIFS([1]ACSDT5Y2020.B08301_data_with_ov!AZ$3:AZ$1334,[1]ACSDT5Y2020.B08301_data_with_ov!$AS$3:$AS$1334,$B45)</f>
        <v>#VALUE!</v>
      </c>
      <c r="S45" s="17" t="e">
        <f>SUMIFS([1]ACSDT5Y2020.B08301_data_with_ov!BA$3:BA$1334,[1]ACSDT5Y2020.B08301_data_with_ov!$AS$3:$AS$1334,$B45)</f>
        <v>#VALUE!</v>
      </c>
      <c r="T45" s="188">
        <v>0.13653993624418473</v>
      </c>
      <c r="U45" s="189" t="e">
        <f t="shared" si="3"/>
        <v>#VALUE!</v>
      </c>
      <c r="V45" s="188">
        <v>0.13653993624418473</v>
      </c>
      <c r="W45" s="189" t="e">
        <f t="shared" si="0"/>
        <v>#VALUE!</v>
      </c>
      <c r="X45" s="188">
        <v>0.13653993624418473</v>
      </c>
      <c r="Y45" s="189" t="e">
        <f t="shared" si="1"/>
        <v>#VALUE!</v>
      </c>
      <c r="Z45" s="188">
        <v>0.13653993624418473</v>
      </c>
      <c r="AA45" s="189" t="e">
        <f t="shared" si="2"/>
        <v>#VALUE!</v>
      </c>
    </row>
    <row r="46" spans="1:27" x14ac:dyDescent="0.25">
      <c r="A46">
        <v>40900</v>
      </c>
      <c r="B46">
        <v>17031040900</v>
      </c>
      <c r="C46">
        <v>17031</v>
      </c>
      <c r="D46">
        <v>2010</v>
      </c>
      <c r="E46">
        <v>4</v>
      </c>
      <c r="F46">
        <v>3464112.9286965802</v>
      </c>
      <c r="G46" s="45">
        <v>0.12425795342259886</v>
      </c>
      <c r="H46" s="60" t="str">
        <f>_xlfn.IFNA(
INDEX('Community Areas'!B$2:B$78,MATCH($E46,'Community Areas'!$A$2:$A$78,0)),
"")</f>
        <v>LINCOLN SQUARE</v>
      </c>
      <c r="I46" s="63" t="str">
        <f>_xlfn.IFNA(
INDEX('Community Areas'!C$2:C$78,MATCH($E46,'Community Areas'!$A$2:$A$78,0)),
"")</f>
        <v>1-A</v>
      </c>
      <c r="J46" s="63">
        <f>_xlfn.IFNA(
INDEX('Community Areas'!D$2:D$78,MATCH($E46,'Community Areas'!$A$2:$A$78,0)),
"")</f>
        <v>1</v>
      </c>
      <c r="K46" s="60" t="str">
        <f>_xlfn.IFNA(
INDEX('Community Areas'!E$2:E$78,MATCH($E46,'Community Areas'!$A$2:$A$78,0)),
"")</f>
        <v>NORTH</v>
      </c>
      <c r="L46" s="17" t="e">
        <f>SUMIFS([1]ACSDT5Y2020.B08301_data_with_ov!AT$3:AT$1334,[1]ACSDT5Y2020.B08301_data_with_ov!$AS$3:$AS$1334,$B46)</f>
        <v>#VALUE!</v>
      </c>
      <c r="M46" s="17" t="e">
        <f>SUMIFS([1]ACSDT5Y2020.B08301_data_with_ov!AU$3:AU$1334,[1]ACSDT5Y2020.B08301_data_with_ov!$AS$3:$AS$1334,$B46)</f>
        <v>#VALUE!</v>
      </c>
      <c r="N46" s="17" t="e">
        <f>SUMIFS([1]ACSDT5Y2020.B08301_data_with_ov!AV$3:AV$1334,[1]ACSDT5Y2020.B08301_data_with_ov!$AS$3:$AS$1334,$B46)</f>
        <v>#VALUE!</v>
      </c>
      <c r="O46" s="17" t="e">
        <f>SUMIFS([1]ACSDT5Y2020.B08301_data_with_ov!AW$3:AW$1334,[1]ACSDT5Y2020.B08301_data_with_ov!$AS$3:$AS$1334,$B46)</f>
        <v>#VALUE!</v>
      </c>
      <c r="P46" s="17" t="e">
        <f>SUMIFS([1]ACSDT5Y2020.B08301_data_with_ov!AX$3:AX$1334,[1]ACSDT5Y2020.B08301_data_with_ov!$AS$3:$AS$1334,$B46)</f>
        <v>#VALUE!</v>
      </c>
      <c r="Q46" s="17" t="e">
        <f>SUMIFS([1]ACSDT5Y2020.B08301_data_with_ov!AY$3:AY$1334,[1]ACSDT5Y2020.B08301_data_with_ov!$AS$3:$AS$1334,$B46)</f>
        <v>#VALUE!</v>
      </c>
      <c r="R46" s="17" t="e">
        <f>SUMIFS([1]ACSDT5Y2020.B08301_data_with_ov!AZ$3:AZ$1334,[1]ACSDT5Y2020.B08301_data_with_ov!$AS$3:$AS$1334,$B46)</f>
        <v>#VALUE!</v>
      </c>
      <c r="S46" s="17" t="e">
        <f>SUMIFS([1]ACSDT5Y2020.B08301_data_with_ov!BA$3:BA$1334,[1]ACSDT5Y2020.B08301_data_with_ov!$AS$3:$AS$1334,$B46)</f>
        <v>#VALUE!</v>
      </c>
      <c r="T46" s="188">
        <v>0.12425795138629764</v>
      </c>
      <c r="U46" s="189" t="e">
        <f t="shared" si="3"/>
        <v>#VALUE!</v>
      </c>
      <c r="V46" s="188">
        <v>0.12425795138629764</v>
      </c>
      <c r="W46" s="189" t="e">
        <f t="shared" si="0"/>
        <v>#VALUE!</v>
      </c>
      <c r="X46" s="188">
        <v>0.12425795138629764</v>
      </c>
      <c r="Y46" s="189" t="e">
        <f t="shared" si="1"/>
        <v>#VALUE!</v>
      </c>
      <c r="Z46" s="188">
        <v>0.12425795138629764</v>
      </c>
      <c r="AA46" s="189" t="e">
        <f t="shared" si="2"/>
        <v>#VALUE!</v>
      </c>
    </row>
    <row r="47" spans="1:27" x14ac:dyDescent="0.25">
      <c r="A47">
        <v>40600</v>
      </c>
      <c r="B47">
        <v>17031040600</v>
      </c>
      <c r="C47">
        <v>17031</v>
      </c>
      <c r="D47">
        <v>2010</v>
      </c>
      <c r="E47">
        <v>4</v>
      </c>
      <c r="F47">
        <v>3565481.5581336701</v>
      </c>
      <c r="G47" s="45">
        <v>0.12789405267639714</v>
      </c>
      <c r="H47" s="60" t="str">
        <f>_xlfn.IFNA(
INDEX('Community Areas'!B$2:B$78,MATCH($E47,'Community Areas'!$A$2:$A$78,0)),
"")</f>
        <v>LINCOLN SQUARE</v>
      </c>
      <c r="I47" s="63" t="str">
        <f>_xlfn.IFNA(
INDEX('Community Areas'!C$2:C$78,MATCH($E47,'Community Areas'!$A$2:$A$78,0)),
"")</f>
        <v>1-A</v>
      </c>
      <c r="J47" s="63">
        <f>_xlfn.IFNA(
INDEX('Community Areas'!D$2:D$78,MATCH($E47,'Community Areas'!$A$2:$A$78,0)),
"")</f>
        <v>1</v>
      </c>
      <c r="K47" s="60" t="str">
        <f>_xlfn.IFNA(
INDEX('Community Areas'!E$2:E$78,MATCH($E47,'Community Areas'!$A$2:$A$78,0)),
"")</f>
        <v>NORTH</v>
      </c>
      <c r="L47" s="17" t="e">
        <f>SUMIFS([1]ACSDT5Y2020.B08301_data_with_ov!AT$3:AT$1334,[1]ACSDT5Y2020.B08301_data_with_ov!$AS$3:$AS$1334,$B47)</f>
        <v>#VALUE!</v>
      </c>
      <c r="M47" s="17" t="e">
        <f>SUMIFS([1]ACSDT5Y2020.B08301_data_with_ov!AU$3:AU$1334,[1]ACSDT5Y2020.B08301_data_with_ov!$AS$3:$AS$1334,$B47)</f>
        <v>#VALUE!</v>
      </c>
      <c r="N47" s="17" t="e">
        <f>SUMIFS([1]ACSDT5Y2020.B08301_data_with_ov!AV$3:AV$1334,[1]ACSDT5Y2020.B08301_data_with_ov!$AS$3:$AS$1334,$B47)</f>
        <v>#VALUE!</v>
      </c>
      <c r="O47" s="17" t="e">
        <f>SUMIFS([1]ACSDT5Y2020.B08301_data_with_ov!AW$3:AW$1334,[1]ACSDT5Y2020.B08301_data_with_ov!$AS$3:$AS$1334,$B47)</f>
        <v>#VALUE!</v>
      </c>
      <c r="P47" s="17" t="e">
        <f>SUMIFS([1]ACSDT5Y2020.B08301_data_with_ov!AX$3:AX$1334,[1]ACSDT5Y2020.B08301_data_with_ov!$AS$3:$AS$1334,$B47)</f>
        <v>#VALUE!</v>
      </c>
      <c r="Q47" s="17" t="e">
        <f>SUMIFS([1]ACSDT5Y2020.B08301_data_with_ov!AY$3:AY$1334,[1]ACSDT5Y2020.B08301_data_with_ov!$AS$3:$AS$1334,$B47)</f>
        <v>#VALUE!</v>
      </c>
      <c r="R47" s="17" t="e">
        <f>SUMIFS([1]ACSDT5Y2020.B08301_data_with_ov!AZ$3:AZ$1334,[1]ACSDT5Y2020.B08301_data_with_ov!$AS$3:$AS$1334,$B47)</f>
        <v>#VALUE!</v>
      </c>
      <c r="S47" s="17" t="e">
        <f>SUMIFS([1]ACSDT5Y2020.B08301_data_with_ov!BA$3:BA$1334,[1]ACSDT5Y2020.B08301_data_with_ov!$AS$3:$AS$1334,$B47)</f>
        <v>#VALUE!</v>
      </c>
      <c r="T47" s="188">
        <v>0.12789404927672607</v>
      </c>
      <c r="U47" s="189" t="e">
        <f t="shared" si="3"/>
        <v>#VALUE!</v>
      </c>
      <c r="V47" s="188">
        <v>0.12789404927672607</v>
      </c>
      <c r="W47" s="189" t="e">
        <f t="shared" si="0"/>
        <v>#VALUE!</v>
      </c>
      <c r="X47" s="188">
        <v>0.12789404927672607</v>
      </c>
      <c r="Y47" s="189" t="e">
        <f t="shared" si="1"/>
        <v>#VALUE!</v>
      </c>
      <c r="Z47" s="188">
        <v>0.12789404927672607</v>
      </c>
      <c r="AA47" s="189" t="e">
        <f t="shared" si="2"/>
        <v>#VALUE!</v>
      </c>
    </row>
    <row r="48" spans="1:27" x14ac:dyDescent="0.25">
      <c r="A48">
        <v>40402</v>
      </c>
      <c r="B48">
        <v>17031040402</v>
      </c>
      <c r="C48">
        <v>17031</v>
      </c>
      <c r="D48">
        <v>2010</v>
      </c>
      <c r="E48">
        <v>4</v>
      </c>
      <c r="F48">
        <v>6521020.0233904002</v>
      </c>
      <c r="G48" s="45">
        <v>0.23390940740467173</v>
      </c>
      <c r="H48" s="60" t="str">
        <f>_xlfn.IFNA(
INDEX('Community Areas'!B$2:B$78,MATCH($E48,'Community Areas'!$A$2:$A$78,0)),
"")</f>
        <v>LINCOLN SQUARE</v>
      </c>
      <c r="I48" s="63" t="str">
        <f>_xlfn.IFNA(
INDEX('Community Areas'!C$2:C$78,MATCH($E48,'Community Areas'!$A$2:$A$78,0)),
"")</f>
        <v>1-A</v>
      </c>
      <c r="J48" s="63">
        <f>_xlfn.IFNA(
INDEX('Community Areas'!D$2:D$78,MATCH($E48,'Community Areas'!$A$2:$A$78,0)),
"")</f>
        <v>1</v>
      </c>
      <c r="K48" s="60" t="str">
        <f>_xlfn.IFNA(
INDEX('Community Areas'!E$2:E$78,MATCH($E48,'Community Areas'!$A$2:$A$78,0)),
"")</f>
        <v>NORTH</v>
      </c>
      <c r="L48" s="17" t="e">
        <f>SUMIFS([1]ACSDT5Y2020.B08301_data_with_ov!AT$3:AT$1334,[1]ACSDT5Y2020.B08301_data_with_ov!$AS$3:$AS$1334,$B48)</f>
        <v>#VALUE!</v>
      </c>
      <c r="M48" s="17" t="e">
        <f>SUMIFS([1]ACSDT5Y2020.B08301_data_with_ov!AU$3:AU$1334,[1]ACSDT5Y2020.B08301_data_with_ov!$AS$3:$AS$1334,$B48)</f>
        <v>#VALUE!</v>
      </c>
      <c r="N48" s="17" t="e">
        <f>SUMIFS([1]ACSDT5Y2020.B08301_data_with_ov!AV$3:AV$1334,[1]ACSDT5Y2020.B08301_data_with_ov!$AS$3:$AS$1334,$B48)</f>
        <v>#VALUE!</v>
      </c>
      <c r="O48" s="17" t="e">
        <f>SUMIFS([1]ACSDT5Y2020.B08301_data_with_ov!AW$3:AW$1334,[1]ACSDT5Y2020.B08301_data_with_ov!$AS$3:$AS$1334,$B48)</f>
        <v>#VALUE!</v>
      </c>
      <c r="P48" s="17" t="e">
        <f>SUMIFS([1]ACSDT5Y2020.B08301_data_with_ov!AX$3:AX$1334,[1]ACSDT5Y2020.B08301_data_with_ov!$AS$3:$AS$1334,$B48)</f>
        <v>#VALUE!</v>
      </c>
      <c r="Q48" s="17" t="e">
        <f>SUMIFS([1]ACSDT5Y2020.B08301_data_with_ov!AY$3:AY$1334,[1]ACSDT5Y2020.B08301_data_with_ov!$AS$3:$AS$1334,$B48)</f>
        <v>#VALUE!</v>
      </c>
      <c r="R48" s="17" t="e">
        <f>SUMIFS([1]ACSDT5Y2020.B08301_data_with_ov!AZ$3:AZ$1334,[1]ACSDT5Y2020.B08301_data_with_ov!$AS$3:$AS$1334,$B48)</f>
        <v>#VALUE!</v>
      </c>
      <c r="S48" s="17" t="e">
        <f>SUMIFS([1]ACSDT5Y2020.B08301_data_with_ov!BA$3:BA$1334,[1]ACSDT5Y2020.B08301_data_with_ov!$AS$3:$AS$1334,$B48)</f>
        <v>#VALUE!</v>
      </c>
      <c r="T48" s="188">
        <v>0.23390940821105227</v>
      </c>
      <c r="U48" s="189" t="e">
        <f t="shared" si="3"/>
        <v>#VALUE!</v>
      </c>
      <c r="V48" s="188">
        <v>0.23390940821105227</v>
      </c>
      <c r="W48" s="189" t="e">
        <f t="shared" si="0"/>
        <v>#VALUE!</v>
      </c>
      <c r="X48" s="188">
        <v>0.23390940821105227</v>
      </c>
      <c r="Y48" s="189" t="e">
        <f t="shared" si="1"/>
        <v>#VALUE!</v>
      </c>
      <c r="Z48" s="188">
        <v>0.23390940821105227</v>
      </c>
      <c r="AA48" s="189" t="e">
        <f t="shared" si="2"/>
        <v>#VALUE!</v>
      </c>
    </row>
    <row r="49" spans="1:27" x14ac:dyDescent="0.25">
      <c r="A49">
        <v>830800</v>
      </c>
      <c r="B49">
        <v>17031830800</v>
      </c>
      <c r="C49">
        <v>17031</v>
      </c>
      <c r="D49">
        <v>2010</v>
      </c>
      <c r="E49">
        <v>4</v>
      </c>
      <c r="F49">
        <v>3622478.9243036699</v>
      </c>
      <c r="G49" s="45">
        <v>0.12993855186465758</v>
      </c>
      <c r="H49" s="60" t="str">
        <f>_xlfn.IFNA(
INDEX('Community Areas'!B$2:B$78,MATCH($E49,'Community Areas'!$A$2:$A$78,0)),
"")</f>
        <v>LINCOLN SQUARE</v>
      </c>
      <c r="I49" s="63" t="str">
        <f>_xlfn.IFNA(
INDEX('Community Areas'!C$2:C$78,MATCH($E49,'Community Areas'!$A$2:$A$78,0)),
"")</f>
        <v>1-A</v>
      </c>
      <c r="J49" s="63">
        <f>_xlfn.IFNA(
INDEX('Community Areas'!D$2:D$78,MATCH($E49,'Community Areas'!$A$2:$A$78,0)),
"")</f>
        <v>1</v>
      </c>
      <c r="K49" s="60" t="str">
        <f>_xlfn.IFNA(
INDEX('Community Areas'!E$2:E$78,MATCH($E49,'Community Areas'!$A$2:$A$78,0)),
"")</f>
        <v>NORTH</v>
      </c>
      <c r="L49" s="17" t="e">
        <f>SUMIFS([1]ACSDT5Y2020.B08301_data_with_ov!AT$3:AT$1334,[1]ACSDT5Y2020.B08301_data_with_ov!$AS$3:$AS$1334,$B49)</f>
        <v>#VALUE!</v>
      </c>
      <c r="M49" s="17" t="e">
        <f>SUMIFS([1]ACSDT5Y2020.B08301_data_with_ov!AU$3:AU$1334,[1]ACSDT5Y2020.B08301_data_with_ov!$AS$3:$AS$1334,$B49)</f>
        <v>#VALUE!</v>
      </c>
      <c r="N49" s="17" t="e">
        <f>SUMIFS([1]ACSDT5Y2020.B08301_data_with_ov!AV$3:AV$1334,[1]ACSDT5Y2020.B08301_data_with_ov!$AS$3:$AS$1334,$B49)</f>
        <v>#VALUE!</v>
      </c>
      <c r="O49" s="17" t="e">
        <f>SUMIFS([1]ACSDT5Y2020.B08301_data_with_ov!AW$3:AW$1334,[1]ACSDT5Y2020.B08301_data_with_ov!$AS$3:$AS$1334,$B49)</f>
        <v>#VALUE!</v>
      </c>
      <c r="P49" s="17" t="e">
        <f>SUMIFS([1]ACSDT5Y2020.B08301_data_with_ov!AX$3:AX$1334,[1]ACSDT5Y2020.B08301_data_with_ov!$AS$3:$AS$1334,$B49)</f>
        <v>#VALUE!</v>
      </c>
      <c r="Q49" s="17" t="e">
        <f>SUMIFS([1]ACSDT5Y2020.B08301_data_with_ov!AY$3:AY$1334,[1]ACSDT5Y2020.B08301_data_with_ov!$AS$3:$AS$1334,$B49)</f>
        <v>#VALUE!</v>
      </c>
      <c r="R49" s="17" t="e">
        <f>SUMIFS([1]ACSDT5Y2020.B08301_data_with_ov!AZ$3:AZ$1334,[1]ACSDT5Y2020.B08301_data_with_ov!$AS$3:$AS$1334,$B49)</f>
        <v>#VALUE!</v>
      </c>
      <c r="S49" s="17" t="e">
        <f>SUMIFS([1]ACSDT5Y2020.B08301_data_with_ov!BA$3:BA$1334,[1]ACSDT5Y2020.B08301_data_with_ov!$AS$3:$AS$1334,$B49)</f>
        <v>#VALUE!</v>
      </c>
      <c r="T49" s="188">
        <v>0.12993855401326762</v>
      </c>
      <c r="U49" s="189" t="e">
        <f t="shared" si="3"/>
        <v>#VALUE!</v>
      </c>
      <c r="V49" s="188">
        <v>0.12993855401326762</v>
      </c>
      <c r="W49" s="189" t="e">
        <f t="shared" si="0"/>
        <v>#VALUE!</v>
      </c>
      <c r="X49" s="188">
        <v>0.12993855401326762</v>
      </c>
      <c r="Y49" s="189" t="e">
        <f t="shared" si="1"/>
        <v>#VALUE!</v>
      </c>
      <c r="Z49" s="188">
        <v>0.12993855401326762</v>
      </c>
      <c r="AA49" s="189" t="e">
        <f t="shared" si="2"/>
        <v>#VALUE!</v>
      </c>
    </row>
    <row r="50" spans="1:27" x14ac:dyDescent="0.25">
      <c r="A50">
        <v>40401</v>
      </c>
      <c r="B50">
        <v>17031040401</v>
      </c>
      <c r="C50">
        <v>17031</v>
      </c>
      <c r="D50">
        <v>2010</v>
      </c>
      <c r="E50">
        <v>4</v>
      </c>
      <c r="F50">
        <v>4118151.4362222501</v>
      </c>
      <c r="G50" s="45">
        <v>0.14771835672858738</v>
      </c>
      <c r="H50" s="60" t="str">
        <f>_xlfn.IFNA(
INDEX('Community Areas'!B$2:B$78,MATCH($E50,'Community Areas'!$A$2:$A$78,0)),
"")</f>
        <v>LINCOLN SQUARE</v>
      </c>
      <c r="I50" s="63" t="str">
        <f>_xlfn.IFNA(
INDEX('Community Areas'!C$2:C$78,MATCH($E50,'Community Areas'!$A$2:$A$78,0)),
"")</f>
        <v>1-A</v>
      </c>
      <c r="J50" s="63">
        <f>_xlfn.IFNA(
INDEX('Community Areas'!D$2:D$78,MATCH($E50,'Community Areas'!$A$2:$A$78,0)),
"")</f>
        <v>1</v>
      </c>
      <c r="K50" s="60" t="str">
        <f>_xlfn.IFNA(
INDEX('Community Areas'!E$2:E$78,MATCH($E50,'Community Areas'!$A$2:$A$78,0)),
"")</f>
        <v>NORTH</v>
      </c>
      <c r="L50" s="17" t="e">
        <f>SUMIFS([1]ACSDT5Y2020.B08301_data_with_ov!AT$3:AT$1334,[1]ACSDT5Y2020.B08301_data_with_ov!$AS$3:$AS$1334,$B50)</f>
        <v>#VALUE!</v>
      </c>
      <c r="M50" s="17" t="e">
        <f>SUMIFS([1]ACSDT5Y2020.B08301_data_with_ov!AU$3:AU$1334,[1]ACSDT5Y2020.B08301_data_with_ov!$AS$3:$AS$1334,$B50)</f>
        <v>#VALUE!</v>
      </c>
      <c r="N50" s="17" t="e">
        <f>SUMIFS([1]ACSDT5Y2020.B08301_data_with_ov!AV$3:AV$1334,[1]ACSDT5Y2020.B08301_data_with_ov!$AS$3:$AS$1334,$B50)</f>
        <v>#VALUE!</v>
      </c>
      <c r="O50" s="17" t="e">
        <f>SUMIFS([1]ACSDT5Y2020.B08301_data_with_ov!AW$3:AW$1334,[1]ACSDT5Y2020.B08301_data_with_ov!$AS$3:$AS$1334,$B50)</f>
        <v>#VALUE!</v>
      </c>
      <c r="P50" s="17" t="e">
        <f>SUMIFS([1]ACSDT5Y2020.B08301_data_with_ov!AX$3:AX$1334,[1]ACSDT5Y2020.B08301_data_with_ov!$AS$3:$AS$1334,$B50)</f>
        <v>#VALUE!</v>
      </c>
      <c r="Q50" s="17" t="e">
        <f>SUMIFS([1]ACSDT5Y2020.B08301_data_with_ov!AY$3:AY$1334,[1]ACSDT5Y2020.B08301_data_with_ov!$AS$3:$AS$1334,$B50)</f>
        <v>#VALUE!</v>
      </c>
      <c r="R50" s="17" t="e">
        <f>SUMIFS([1]ACSDT5Y2020.B08301_data_with_ov!AZ$3:AZ$1334,[1]ACSDT5Y2020.B08301_data_with_ov!$AS$3:$AS$1334,$B50)</f>
        <v>#VALUE!</v>
      </c>
      <c r="S50" s="17" t="e">
        <f>SUMIFS([1]ACSDT5Y2020.B08301_data_with_ov!BA$3:BA$1334,[1]ACSDT5Y2020.B08301_data_with_ov!$AS$3:$AS$1334,$B50)</f>
        <v>#VALUE!</v>
      </c>
      <c r="T50" s="188">
        <v>0.14771531440156538</v>
      </c>
      <c r="U50" s="189" t="e">
        <f t="shared" si="3"/>
        <v>#VALUE!</v>
      </c>
      <c r="V50" s="188">
        <v>0.14771513951612897</v>
      </c>
      <c r="W50" s="189" t="e">
        <f t="shared" si="0"/>
        <v>#VALUE!</v>
      </c>
      <c r="X50" s="188">
        <v>0.14771513951612897</v>
      </c>
      <c r="Y50" s="189" t="e">
        <f t="shared" si="1"/>
        <v>#VALUE!</v>
      </c>
      <c r="Z50" s="188">
        <v>0.14771513951612897</v>
      </c>
      <c r="AA50" s="189" t="e">
        <f t="shared" si="2"/>
        <v>#VALUE!</v>
      </c>
    </row>
    <row r="51" spans="1:27" x14ac:dyDescent="0.25">
      <c r="A51">
        <v>40202</v>
      </c>
      <c r="B51">
        <v>17031040202</v>
      </c>
      <c r="C51">
        <v>17031</v>
      </c>
      <c r="D51">
        <v>2010</v>
      </c>
      <c r="E51">
        <v>4</v>
      </c>
      <c r="F51">
        <v>6336751.4003361696</v>
      </c>
      <c r="G51" s="45">
        <v>0.22729968005108506</v>
      </c>
      <c r="H51" s="60" t="str">
        <f>_xlfn.IFNA(
INDEX('Community Areas'!B$2:B$78,MATCH($E51,'Community Areas'!$A$2:$A$78,0)),
"")</f>
        <v>LINCOLN SQUARE</v>
      </c>
      <c r="I51" s="63" t="str">
        <f>_xlfn.IFNA(
INDEX('Community Areas'!C$2:C$78,MATCH($E51,'Community Areas'!$A$2:$A$78,0)),
"")</f>
        <v>1-A</v>
      </c>
      <c r="J51" s="63">
        <f>_xlfn.IFNA(
INDEX('Community Areas'!D$2:D$78,MATCH($E51,'Community Areas'!$A$2:$A$78,0)),
"")</f>
        <v>1</v>
      </c>
      <c r="K51" s="60" t="str">
        <f>_xlfn.IFNA(
INDEX('Community Areas'!E$2:E$78,MATCH($E51,'Community Areas'!$A$2:$A$78,0)),
"")</f>
        <v>NORTH</v>
      </c>
      <c r="L51" s="17" t="e">
        <f>SUMIFS([1]ACSDT5Y2020.B08301_data_with_ov!AT$3:AT$1334,[1]ACSDT5Y2020.B08301_data_with_ov!$AS$3:$AS$1334,$B51)</f>
        <v>#VALUE!</v>
      </c>
      <c r="M51" s="17" t="e">
        <f>SUMIFS([1]ACSDT5Y2020.B08301_data_with_ov!AU$3:AU$1334,[1]ACSDT5Y2020.B08301_data_with_ov!$AS$3:$AS$1334,$B51)</f>
        <v>#VALUE!</v>
      </c>
      <c r="N51" s="17" t="e">
        <f>SUMIFS([1]ACSDT5Y2020.B08301_data_with_ov!AV$3:AV$1334,[1]ACSDT5Y2020.B08301_data_with_ov!$AS$3:$AS$1334,$B51)</f>
        <v>#VALUE!</v>
      </c>
      <c r="O51" s="17" t="e">
        <f>SUMIFS([1]ACSDT5Y2020.B08301_data_with_ov!AW$3:AW$1334,[1]ACSDT5Y2020.B08301_data_with_ov!$AS$3:$AS$1334,$B51)</f>
        <v>#VALUE!</v>
      </c>
      <c r="P51" s="17" t="e">
        <f>SUMIFS([1]ACSDT5Y2020.B08301_data_with_ov!AX$3:AX$1334,[1]ACSDT5Y2020.B08301_data_with_ov!$AS$3:$AS$1334,$B51)</f>
        <v>#VALUE!</v>
      </c>
      <c r="Q51" s="17" t="e">
        <f>SUMIFS([1]ACSDT5Y2020.B08301_data_with_ov!AY$3:AY$1334,[1]ACSDT5Y2020.B08301_data_with_ov!$AS$3:$AS$1334,$B51)</f>
        <v>#VALUE!</v>
      </c>
      <c r="R51" s="17" t="e">
        <f>SUMIFS([1]ACSDT5Y2020.B08301_data_with_ov!AZ$3:AZ$1334,[1]ACSDT5Y2020.B08301_data_with_ov!$AS$3:$AS$1334,$B51)</f>
        <v>#VALUE!</v>
      </c>
      <c r="S51" s="17" t="e">
        <f>SUMIFS([1]ACSDT5Y2020.B08301_data_with_ov!BA$3:BA$1334,[1]ACSDT5Y2020.B08301_data_with_ov!$AS$3:$AS$1334,$B51)</f>
        <v>#VALUE!</v>
      </c>
      <c r="T51" s="188">
        <v>0.22687284422318929</v>
      </c>
      <c r="U51" s="189" t="e">
        <f t="shared" si="3"/>
        <v>#VALUE!</v>
      </c>
      <c r="V51" s="188">
        <v>0.22687284422318929</v>
      </c>
      <c r="W51" s="189" t="e">
        <f t="shared" si="0"/>
        <v>#VALUE!</v>
      </c>
      <c r="X51" s="188">
        <v>0.22687284422318929</v>
      </c>
      <c r="Y51" s="189" t="e">
        <f t="shared" si="1"/>
        <v>#VALUE!</v>
      </c>
      <c r="Z51" s="188">
        <v>0.22687284422318929</v>
      </c>
      <c r="AA51" s="189" t="e">
        <f t="shared" si="2"/>
        <v>#VALUE!</v>
      </c>
    </row>
    <row r="52" spans="1:27" x14ac:dyDescent="0.25">
      <c r="A52">
        <v>40800</v>
      </c>
      <c r="B52">
        <v>17031040800</v>
      </c>
      <c r="C52">
        <v>17031</v>
      </c>
      <c r="D52">
        <v>2010</v>
      </c>
      <c r="E52">
        <v>4</v>
      </c>
      <c r="F52">
        <v>2450107.6949073798</v>
      </c>
      <c r="G52" s="45">
        <v>8.7885520507180459E-2</v>
      </c>
      <c r="H52" s="60" t="str">
        <f>_xlfn.IFNA(
INDEX('Community Areas'!B$2:B$78,MATCH($E52,'Community Areas'!$A$2:$A$78,0)),
"")</f>
        <v>LINCOLN SQUARE</v>
      </c>
      <c r="I52" s="63" t="str">
        <f>_xlfn.IFNA(
INDEX('Community Areas'!C$2:C$78,MATCH($E52,'Community Areas'!$A$2:$A$78,0)),
"")</f>
        <v>1-A</v>
      </c>
      <c r="J52" s="63">
        <f>_xlfn.IFNA(
INDEX('Community Areas'!D$2:D$78,MATCH($E52,'Community Areas'!$A$2:$A$78,0)),
"")</f>
        <v>1</v>
      </c>
      <c r="K52" s="60" t="str">
        <f>_xlfn.IFNA(
INDEX('Community Areas'!E$2:E$78,MATCH($E52,'Community Areas'!$A$2:$A$78,0)),
"")</f>
        <v>NORTH</v>
      </c>
      <c r="L52" s="17" t="e">
        <f>SUMIFS([1]ACSDT5Y2020.B08301_data_with_ov!AT$3:AT$1334,[1]ACSDT5Y2020.B08301_data_with_ov!$AS$3:$AS$1334,$B52)</f>
        <v>#VALUE!</v>
      </c>
      <c r="M52" s="17" t="e">
        <f>SUMIFS([1]ACSDT5Y2020.B08301_data_with_ov!AU$3:AU$1334,[1]ACSDT5Y2020.B08301_data_with_ov!$AS$3:$AS$1334,$B52)</f>
        <v>#VALUE!</v>
      </c>
      <c r="N52" s="17" t="e">
        <f>SUMIFS([1]ACSDT5Y2020.B08301_data_with_ov!AV$3:AV$1334,[1]ACSDT5Y2020.B08301_data_with_ov!$AS$3:$AS$1334,$B52)</f>
        <v>#VALUE!</v>
      </c>
      <c r="O52" s="17" t="e">
        <f>SUMIFS([1]ACSDT5Y2020.B08301_data_with_ov!AW$3:AW$1334,[1]ACSDT5Y2020.B08301_data_with_ov!$AS$3:$AS$1334,$B52)</f>
        <v>#VALUE!</v>
      </c>
      <c r="P52" s="17" t="e">
        <f>SUMIFS([1]ACSDT5Y2020.B08301_data_with_ov!AX$3:AX$1334,[1]ACSDT5Y2020.B08301_data_with_ov!$AS$3:$AS$1334,$B52)</f>
        <v>#VALUE!</v>
      </c>
      <c r="Q52" s="17" t="e">
        <f>SUMIFS([1]ACSDT5Y2020.B08301_data_with_ov!AY$3:AY$1334,[1]ACSDT5Y2020.B08301_data_with_ov!$AS$3:$AS$1334,$B52)</f>
        <v>#VALUE!</v>
      </c>
      <c r="R52" s="17" t="e">
        <f>SUMIFS([1]ACSDT5Y2020.B08301_data_with_ov!AZ$3:AZ$1334,[1]ACSDT5Y2020.B08301_data_with_ov!$AS$3:$AS$1334,$B52)</f>
        <v>#VALUE!</v>
      </c>
      <c r="S52" s="17" t="e">
        <f>SUMIFS([1]ACSDT5Y2020.B08301_data_with_ov!BA$3:BA$1334,[1]ACSDT5Y2020.B08301_data_with_ov!$AS$3:$AS$1334,$B52)</f>
        <v>#VALUE!</v>
      </c>
      <c r="T52" s="188">
        <v>8.7885524043970958E-2</v>
      </c>
      <c r="U52" s="189" t="e">
        <f t="shared" si="3"/>
        <v>#VALUE!</v>
      </c>
      <c r="V52" s="188">
        <v>8.7885524043970958E-2</v>
      </c>
      <c r="W52" s="189" t="e">
        <f t="shared" si="0"/>
        <v>#VALUE!</v>
      </c>
      <c r="X52" s="188">
        <v>8.7885524043970958E-2</v>
      </c>
      <c r="Y52" s="189" t="e">
        <f t="shared" si="1"/>
        <v>#VALUE!</v>
      </c>
      <c r="Z52" s="188">
        <v>8.7885524043970958E-2</v>
      </c>
      <c r="AA52" s="189" t="e">
        <f t="shared" si="2"/>
        <v>#VALUE!</v>
      </c>
    </row>
    <row r="53" spans="1:27" x14ac:dyDescent="0.25">
      <c r="A53">
        <v>400300</v>
      </c>
      <c r="B53">
        <v>17031400300</v>
      </c>
      <c r="C53">
        <v>17031</v>
      </c>
      <c r="D53">
        <v>2010</v>
      </c>
      <c r="E53">
        <v>40</v>
      </c>
      <c r="F53">
        <v>15747612.788386701</v>
      </c>
      <c r="G53" s="45">
        <v>0.5648678829626772</v>
      </c>
      <c r="H53" s="60" t="str">
        <f>_xlfn.IFNA(
INDEX('Community Areas'!B$2:B$78,MATCH($E53,'Community Areas'!$A$2:$A$78,0)),
"")</f>
        <v>WASHINGTON PARK</v>
      </c>
      <c r="I53" s="63" t="str">
        <f>_xlfn.IFNA(
INDEX('Community Areas'!C$2:C$78,MATCH($E53,'Community Areas'!$A$2:$A$78,0)),
"")</f>
        <v>6-B</v>
      </c>
      <c r="J53" s="63">
        <f>_xlfn.IFNA(
INDEX('Community Areas'!D$2:D$78,MATCH($E53,'Community Areas'!$A$2:$A$78,0)),
"")</f>
        <v>6</v>
      </c>
      <c r="K53" s="60" t="str">
        <f>_xlfn.IFNA(
INDEX('Community Areas'!E$2:E$78,MATCH($E53,'Community Areas'!$A$2:$A$78,0)),
"")</f>
        <v>SOUTH</v>
      </c>
      <c r="L53" s="17" t="e">
        <f>SUMIFS([1]ACSDT5Y2020.B08301_data_with_ov!AT$3:AT$1334,[1]ACSDT5Y2020.B08301_data_with_ov!$AS$3:$AS$1334,$B53)</f>
        <v>#VALUE!</v>
      </c>
      <c r="M53" s="17" t="e">
        <f>SUMIFS([1]ACSDT5Y2020.B08301_data_with_ov!AU$3:AU$1334,[1]ACSDT5Y2020.B08301_data_with_ov!$AS$3:$AS$1334,$B53)</f>
        <v>#VALUE!</v>
      </c>
      <c r="N53" s="17" t="e">
        <f>SUMIFS([1]ACSDT5Y2020.B08301_data_with_ov!AV$3:AV$1334,[1]ACSDT5Y2020.B08301_data_with_ov!$AS$3:$AS$1334,$B53)</f>
        <v>#VALUE!</v>
      </c>
      <c r="O53" s="17" t="e">
        <f>SUMIFS([1]ACSDT5Y2020.B08301_data_with_ov!AW$3:AW$1334,[1]ACSDT5Y2020.B08301_data_with_ov!$AS$3:$AS$1334,$B53)</f>
        <v>#VALUE!</v>
      </c>
      <c r="P53" s="17" t="e">
        <f>SUMIFS([1]ACSDT5Y2020.B08301_data_with_ov!AX$3:AX$1334,[1]ACSDT5Y2020.B08301_data_with_ov!$AS$3:$AS$1334,$B53)</f>
        <v>#VALUE!</v>
      </c>
      <c r="Q53" s="17" t="e">
        <f>SUMIFS([1]ACSDT5Y2020.B08301_data_with_ov!AY$3:AY$1334,[1]ACSDT5Y2020.B08301_data_with_ov!$AS$3:$AS$1334,$B53)</f>
        <v>#VALUE!</v>
      </c>
      <c r="R53" s="17" t="e">
        <f>SUMIFS([1]ACSDT5Y2020.B08301_data_with_ov!AZ$3:AZ$1334,[1]ACSDT5Y2020.B08301_data_with_ov!$AS$3:$AS$1334,$B53)</f>
        <v>#VALUE!</v>
      </c>
      <c r="S53" s="17" t="e">
        <f>SUMIFS([1]ACSDT5Y2020.B08301_data_with_ov!BA$3:BA$1334,[1]ACSDT5Y2020.B08301_data_with_ov!$AS$3:$AS$1334,$B53)</f>
        <v>#VALUE!</v>
      </c>
      <c r="T53" s="188">
        <v>0.5642180246492553</v>
      </c>
      <c r="U53" s="189" t="e">
        <f t="shared" si="3"/>
        <v>#VALUE!</v>
      </c>
      <c r="V53" s="188">
        <v>0.5642180246492553</v>
      </c>
      <c r="W53" s="189" t="e">
        <f t="shared" si="0"/>
        <v>#VALUE!</v>
      </c>
      <c r="X53" s="188">
        <v>0.5642180246492553</v>
      </c>
      <c r="Y53" s="189" t="e">
        <f t="shared" si="1"/>
        <v>#VALUE!</v>
      </c>
      <c r="Z53" s="188">
        <v>0.5642180246492553</v>
      </c>
      <c r="AA53" s="189" t="e">
        <f t="shared" si="2"/>
        <v>#VALUE!</v>
      </c>
    </row>
    <row r="54" spans="1:27" x14ac:dyDescent="0.25">
      <c r="A54">
        <v>400500</v>
      </c>
      <c r="B54">
        <v>17031400500</v>
      </c>
      <c r="C54">
        <v>17031</v>
      </c>
      <c r="D54">
        <v>2010</v>
      </c>
      <c r="E54">
        <v>40</v>
      </c>
      <c r="F54">
        <v>3510729.2834389601</v>
      </c>
      <c r="G54" s="45">
        <v>0.12593008506366793</v>
      </c>
      <c r="H54" s="60" t="str">
        <f>_xlfn.IFNA(
INDEX('Community Areas'!B$2:B$78,MATCH($E54,'Community Areas'!$A$2:$A$78,0)),
"")</f>
        <v>WASHINGTON PARK</v>
      </c>
      <c r="I54" s="63" t="str">
        <f>_xlfn.IFNA(
INDEX('Community Areas'!C$2:C$78,MATCH($E54,'Community Areas'!$A$2:$A$78,0)),
"")</f>
        <v>6-B</v>
      </c>
      <c r="J54" s="63">
        <f>_xlfn.IFNA(
INDEX('Community Areas'!D$2:D$78,MATCH($E54,'Community Areas'!$A$2:$A$78,0)),
"")</f>
        <v>6</v>
      </c>
      <c r="K54" s="60" t="str">
        <f>_xlfn.IFNA(
INDEX('Community Areas'!E$2:E$78,MATCH($E54,'Community Areas'!$A$2:$A$78,0)),
"")</f>
        <v>SOUTH</v>
      </c>
      <c r="L54" s="17" t="e">
        <f>SUMIFS([1]ACSDT5Y2020.B08301_data_with_ov!AT$3:AT$1334,[1]ACSDT5Y2020.B08301_data_with_ov!$AS$3:$AS$1334,$B54)</f>
        <v>#VALUE!</v>
      </c>
      <c r="M54" s="17" t="e">
        <f>SUMIFS([1]ACSDT5Y2020.B08301_data_with_ov!AU$3:AU$1334,[1]ACSDT5Y2020.B08301_data_with_ov!$AS$3:$AS$1334,$B54)</f>
        <v>#VALUE!</v>
      </c>
      <c r="N54" s="17" t="e">
        <f>SUMIFS([1]ACSDT5Y2020.B08301_data_with_ov!AV$3:AV$1334,[1]ACSDT5Y2020.B08301_data_with_ov!$AS$3:$AS$1334,$B54)</f>
        <v>#VALUE!</v>
      </c>
      <c r="O54" s="17" t="e">
        <f>SUMIFS([1]ACSDT5Y2020.B08301_data_with_ov!AW$3:AW$1334,[1]ACSDT5Y2020.B08301_data_with_ov!$AS$3:$AS$1334,$B54)</f>
        <v>#VALUE!</v>
      </c>
      <c r="P54" s="17" t="e">
        <f>SUMIFS([1]ACSDT5Y2020.B08301_data_with_ov!AX$3:AX$1334,[1]ACSDT5Y2020.B08301_data_with_ov!$AS$3:$AS$1334,$B54)</f>
        <v>#VALUE!</v>
      </c>
      <c r="Q54" s="17" t="e">
        <f>SUMIFS([1]ACSDT5Y2020.B08301_data_with_ov!AY$3:AY$1334,[1]ACSDT5Y2020.B08301_data_with_ov!$AS$3:$AS$1334,$B54)</f>
        <v>#VALUE!</v>
      </c>
      <c r="R54" s="17" t="e">
        <f>SUMIFS([1]ACSDT5Y2020.B08301_data_with_ov!AZ$3:AZ$1334,[1]ACSDT5Y2020.B08301_data_with_ov!$AS$3:$AS$1334,$B54)</f>
        <v>#VALUE!</v>
      </c>
      <c r="S54" s="17" t="e">
        <f>SUMIFS([1]ACSDT5Y2020.B08301_data_with_ov!BA$3:BA$1334,[1]ACSDT5Y2020.B08301_data_with_ov!$AS$3:$AS$1334,$B54)</f>
        <v>#VALUE!</v>
      </c>
      <c r="T54" s="188">
        <v>0.124947194567812</v>
      </c>
      <c r="U54" s="189" t="e">
        <f t="shared" si="3"/>
        <v>#VALUE!</v>
      </c>
      <c r="V54" s="188">
        <v>0.124947194567812</v>
      </c>
      <c r="W54" s="189" t="e">
        <f t="shared" si="0"/>
        <v>#VALUE!</v>
      </c>
      <c r="X54" s="188">
        <v>0.124947194567812</v>
      </c>
      <c r="Y54" s="189" t="e">
        <f t="shared" si="1"/>
        <v>#VALUE!</v>
      </c>
      <c r="Z54" s="188">
        <v>0.124947194567812</v>
      </c>
      <c r="AA54" s="189" t="e">
        <f t="shared" si="2"/>
        <v>#VALUE!</v>
      </c>
    </row>
    <row r="55" spans="1:27" x14ac:dyDescent="0.25">
      <c r="A55">
        <v>836100</v>
      </c>
      <c r="B55">
        <v>17031836100</v>
      </c>
      <c r="C55">
        <v>17031</v>
      </c>
      <c r="D55">
        <v>2010</v>
      </c>
      <c r="E55">
        <v>40</v>
      </c>
      <c r="F55">
        <v>9283256.5808077306</v>
      </c>
      <c r="G55" s="45">
        <v>0.33299101027346373</v>
      </c>
      <c r="H55" s="60" t="str">
        <f>_xlfn.IFNA(
INDEX('Community Areas'!B$2:B$78,MATCH($E55,'Community Areas'!$A$2:$A$78,0)),
"")</f>
        <v>WASHINGTON PARK</v>
      </c>
      <c r="I55" s="63" t="str">
        <f>_xlfn.IFNA(
INDEX('Community Areas'!C$2:C$78,MATCH($E55,'Community Areas'!$A$2:$A$78,0)),
"")</f>
        <v>6-B</v>
      </c>
      <c r="J55" s="63">
        <f>_xlfn.IFNA(
INDEX('Community Areas'!D$2:D$78,MATCH($E55,'Community Areas'!$A$2:$A$78,0)),
"")</f>
        <v>6</v>
      </c>
      <c r="K55" s="60" t="str">
        <f>_xlfn.IFNA(
INDEX('Community Areas'!E$2:E$78,MATCH($E55,'Community Areas'!$A$2:$A$78,0)),
"")</f>
        <v>SOUTH</v>
      </c>
      <c r="L55" s="17" t="e">
        <f>SUMIFS([1]ACSDT5Y2020.B08301_data_with_ov!AT$3:AT$1334,[1]ACSDT5Y2020.B08301_data_with_ov!$AS$3:$AS$1334,$B55)</f>
        <v>#VALUE!</v>
      </c>
      <c r="M55" s="17" t="e">
        <f>SUMIFS([1]ACSDT5Y2020.B08301_data_with_ov!AU$3:AU$1334,[1]ACSDT5Y2020.B08301_data_with_ov!$AS$3:$AS$1334,$B55)</f>
        <v>#VALUE!</v>
      </c>
      <c r="N55" s="17" t="e">
        <f>SUMIFS([1]ACSDT5Y2020.B08301_data_with_ov!AV$3:AV$1334,[1]ACSDT5Y2020.B08301_data_with_ov!$AS$3:$AS$1334,$B55)</f>
        <v>#VALUE!</v>
      </c>
      <c r="O55" s="17" t="e">
        <f>SUMIFS([1]ACSDT5Y2020.B08301_data_with_ov!AW$3:AW$1334,[1]ACSDT5Y2020.B08301_data_with_ov!$AS$3:$AS$1334,$B55)</f>
        <v>#VALUE!</v>
      </c>
      <c r="P55" s="17" t="e">
        <f>SUMIFS([1]ACSDT5Y2020.B08301_data_with_ov!AX$3:AX$1334,[1]ACSDT5Y2020.B08301_data_with_ov!$AS$3:$AS$1334,$B55)</f>
        <v>#VALUE!</v>
      </c>
      <c r="Q55" s="17" t="e">
        <f>SUMIFS([1]ACSDT5Y2020.B08301_data_with_ov!AY$3:AY$1334,[1]ACSDT5Y2020.B08301_data_with_ov!$AS$3:$AS$1334,$B55)</f>
        <v>#VALUE!</v>
      </c>
      <c r="R55" s="17" t="e">
        <f>SUMIFS([1]ACSDT5Y2020.B08301_data_with_ov!AZ$3:AZ$1334,[1]ACSDT5Y2020.B08301_data_with_ov!$AS$3:$AS$1334,$B55)</f>
        <v>#VALUE!</v>
      </c>
      <c r="S55" s="17" t="e">
        <f>SUMIFS([1]ACSDT5Y2020.B08301_data_with_ov!BA$3:BA$1334,[1]ACSDT5Y2020.B08301_data_with_ov!$AS$3:$AS$1334,$B55)</f>
        <v>#VALUE!</v>
      </c>
      <c r="T55" s="188">
        <v>0.25709781236901547</v>
      </c>
      <c r="U55" s="189" t="e">
        <f t="shared" si="3"/>
        <v>#VALUE!</v>
      </c>
      <c r="V55" s="188">
        <v>0.25709781236901547</v>
      </c>
      <c r="W55" s="189" t="e">
        <f t="shared" si="0"/>
        <v>#VALUE!</v>
      </c>
      <c r="X55" s="188">
        <v>0.25709781236901547</v>
      </c>
      <c r="Y55" s="189" t="e">
        <f t="shared" si="1"/>
        <v>#VALUE!</v>
      </c>
      <c r="Z55" s="188">
        <v>0.25709781236901547</v>
      </c>
      <c r="AA55" s="189" t="e">
        <f t="shared" si="2"/>
        <v>#VALUE!</v>
      </c>
    </row>
    <row r="56" spans="1:27" x14ac:dyDescent="0.25">
      <c r="A56">
        <v>400400</v>
      </c>
      <c r="B56">
        <v>17031400400</v>
      </c>
      <c r="C56">
        <v>17031</v>
      </c>
      <c r="D56">
        <v>2010</v>
      </c>
      <c r="E56">
        <v>40</v>
      </c>
      <c r="F56">
        <v>3519116.8112254501</v>
      </c>
      <c r="G56" s="45">
        <v>0.12623094622451253</v>
      </c>
      <c r="H56" s="60" t="str">
        <f>_xlfn.IFNA(
INDEX('Community Areas'!B$2:B$78,MATCH($E56,'Community Areas'!$A$2:$A$78,0)),
"")</f>
        <v>WASHINGTON PARK</v>
      </c>
      <c r="I56" s="63" t="str">
        <f>_xlfn.IFNA(
INDEX('Community Areas'!C$2:C$78,MATCH($E56,'Community Areas'!$A$2:$A$78,0)),
"")</f>
        <v>6-B</v>
      </c>
      <c r="J56" s="63">
        <f>_xlfn.IFNA(
INDEX('Community Areas'!D$2:D$78,MATCH($E56,'Community Areas'!$A$2:$A$78,0)),
"")</f>
        <v>6</v>
      </c>
      <c r="K56" s="60" t="str">
        <f>_xlfn.IFNA(
INDEX('Community Areas'!E$2:E$78,MATCH($E56,'Community Areas'!$A$2:$A$78,0)),
"")</f>
        <v>SOUTH</v>
      </c>
      <c r="L56" s="17" t="e">
        <f>SUMIFS([1]ACSDT5Y2020.B08301_data_with_ov!AT$3:AT$1334,[1]ACSDT5Y2020.B08301_data_with_ov!$AS$3:$AS$1334,$B56)</f>
        <v>#VALUE!</v>
      </c>
      <c r="M56" s="17" t="e">
        <f>SUMIFS([1]ACSDT5Y2020.B08301_data_with_ov!AU$3:AU$1334,[1]ACSDT5Y2020.B08301_data_with_ov!$AS$3:$AS$1334,$B56)</f>
        <v>#VALUE!</v>
      </c>
      <c r="N56" s="17" t="e">
        <f>SUMIFS([1]ACSDT5Y2020.B08301_data_with_ov!AV$3:AV$1334,[1]ACSDT5Y2020.B08301_data_with_ov!$AS$3:$AS$1334,$B56)</f>
        <v>#VALUE!</v>
      </c>
      <c r="O56" s="17" t="e">
        <f>SUMIFS([1]ACSDT5Y2020.B08301_data_with_ov!AW$3:AW$1334,[1]ACSDT5Y2020.B08301_data_with_ov!$AS$3:$AS$1334,$B56)</f>
        <v>#VALUE!</v>
      </c>
      <c r="P56" s="17" t="e">
        <f>SUMIFS([1]ACSDT5Y2020.B08301_data_with_ov!AX$3:AX$1334,[1]ACSDT5Y2020.B08301_data_with_ov!$AS$3:$AS$1334,$B56)</f>
        <v>#VALUE!</v>
      </c>
      <c r="Q56" s="17" t="e">
        <f>SUMIFS([1]ACSDT5Y2020.B08301_data_with_ov!AY$3:AY$1334,[1]ACSDT5Y2020.B08301_data_with_ov!$AS$3:$AS$1334,$B56)</f>
        <v>#VALUE!</v>
      </c>
      <c r="R56" s="17" t="e">
        <f>SUMIFS([1]ACSDT5Y2020.B08301_data_with_ov!AZ$3:AZ$1334,[1]ACSDT5Y2020.B08301_data_with_ov!$AS$3:$AS$1334,$B56)</f>
        <v>#VALUE!</v>
      </c>
      <c r="S56" s="17" t="e">
        <f>SUMIFS([1]ACSDT5Y2020.B08301_data_with_ov!BA$3:BA$1334,[1]ACSDT5Y2020.B08301_data_with_ov!$AS$3:$AS$1334,$B56)</f>
        <v>#VALUE!</v>
      </c>
      <c r="T56" s="188">
        <v>0.12623095218619648</v>
      </c>
      <c r="U56" s="189" t="e">
        <f t="shared" si="3"/>
        <v>#VALUE!</v>
      </c>
      <c r="V56" s="188">
        <v>0.12623095218619648</v>
      </c>
      <c r="W56" s="189" t="e">
        <f t="shared" si="0"/>
        <v>#VALUE!</v>
      </c>
      <c r="X56" s="188">
        <v>0.12623095218619648</v>
      </c>
      <c r="Y56" s="189" t="e">
        <f t="shared" si="1"/>
        <v>#VALUE!</v>
      </c>
      <c r="Z56" s="188">
        <v>0.12623095218619648</v>
      </c>
      <c r="AA56" s="189" t="e">
        <f t="shared" si="2"/>
        <v>#VALUE!</v>
      </c>
    </row>
    <row r="57" spans="1:27" x14ac:dyDescent="0.25">
      <c r="A57">
        <v>400800</v>
      </c>
      <c r="B57">
        <v>17031400800</v>
      </c>
      <c r="C57">
        <v>17031</v>
      </c>
      <c r="D57">
        <v>2010</v>
      </c>
      <c r="E57">
        <v>40</v>
      </c>
      <c r="F57">
        <v>5309752.8397975201</v>
      </c>
      <c r="G57" s="45">
        <v>0.19046117566996384</v>
      </c>
      <c r="H57" s="60" t="str">
        <f>_xlfn.IFNA(
INDEX('Community Areas'!B$2:B$78,MATCH($E57,'Community Areas'!$A$2:$A$78,0)),
"")</f>
        <v>WASHINGTON PARK</v>
      </c>
      <c r="I57" s="63" t="str">
        <f>_xlfn.IFNA(
INDEX('Community Areas'!C$2:C$78,MATCH($E57,'Community Areas'!$A$2:$A$78,0)),
"")</f>
        <v>6-B</v>
      </c>
      <c r="J57" s="63">
        <f>_xlfn.IFNA(
INDEX('Community Areas'!D$2:D$78,MATCH($E57,'Community Areas'!$A$2:$A$78,0)),
"")</f>
        <v>6</v>
      </c>
      <c r="K57" s="60" t="str">
        <f>_xlfn.IFNA(
INDEX('Community Areas'!E$2:E$78,MATCH($E57,'Community Areas'!$A$2:$A$78,0)),
"")</f>
        <v>SOUTH</v>
      </c>
      <c r="L57" s="17" t="e">
        <f>SUMIFS([1]ACSDT5Y2020.B08301_data_with_ov!AT$3:AT$1334,[1]ACSDT5Y2020.B08301_data_with_ov!$AS$3:$AS$1334,$B57)</f>
        <v>#VALUE!</v>
      </c>
      <c r="M57" s="17" t="e">
        <f>SUMIFS([1]ACSDT5Y2020.B08301_data_with_ov!AU$3:AU$1334,[1]ACSDT5Y2020.B08301_data_with_ov!$AS$3:$AS$1334,$B57)</f>
        <v>#VALUE!</v>
      </c>
      <c r="N57" s="17" t="e">
        <f>SUMIFS([1]ACSDT5Y2020.B08301_data_with_ov!AV$3:AV$1334,[1]ACSDT5Y2020.B08301_data_with_ov!$AS$3:$AS$1334,$B57)</f>
        <v>#VALUE!</v>
      </c>
      <c r="O57" s="17" t="e">
        <f>SUMIFS([1]ACSDT5Y2020.B08301_data_with_ov!AW$3:AW$1334,[1]ACSDT5Y2020.B08301_data_with_ov!$AS$3:$AS$1334,$B57)</f>
        <v>#VALUE!</v>
      </c>
      <c r="P57" s="17" t="e">
        <f>SUMIFS([1]ACSDT5Y2020.B08301_data_with_ov!AX$3:AX$1334,[1]ACSDT5Y2020.B08301_data_with_ov!$AS$3:$AS$1334,$B57)</f>
        <v>#VALUE!</v>
      </c>
      <c r="Q57" s="17" t="e">
        <f>SUMIFS([1]ACSDT5Y2020.B08301_data_with_ov!AY$3:AY$1334,[1]ACSDT5Y2020.B08301_data_with_ov!$AS$3:$AS$1334,$B57)</f>
        <v>#VALUE!</v>
      </c>
      <c r="R57" s="17" t="e">
        <f>SUMIFS([1]ACSDT5Y2020.B08301_data_with_ov!AZ$3:AZ$1334,[1]ACSDT5Y2020.B08301_data_with_ov!$AS$3:$AS$1334,$B57)</f>
        <v>#VALUE!</v>
      </c>
      <c r="S57" s="17" t="e">
        <f>SUMIFS([1]ACSDT5Y2020.B08301_data_with_ov!BA$3:BA$1334,[1]ACSDT5Y2020.B08301_data_with_ov!$AS$3:$AS$1334,$B57)</f>
        <v>#VALUE!</v>
      </c>
      <c r="T57" s="188">
        <v>0.18986775131361375</v>
      </c>
      <c r="U57" s="189" t="e">
        <f t="shared" si="3"/>
        <v>#VALUE!</v>
      </c>
      <c r="V57" s="188">
        <v>0.18523500773405646</v>
      </c>
      <c r="W57" s="189" t="e">
        <f t="shared" si="0"/>
        <v>#VALUE!</v>
      </c>
      <c r="X57" s="188">
        <v>0.18523500773405646</v>
      </c>
      <c r="Y57" s="189" t="e">
        <f t="shared" si="1"/>
        <v>#VALUE!</v>
      </c>
      <c r="Z57" s="188">
        <v>0.18523500773405646</v>
      </c>
      <c r="AA57" s="189" t="e">
        <f t="shared" si="2"/>
        <v>#VALUE!</v>
      </c>
    </row>
    <row r="58" spans="1:27" x14ac:dyDescent="0.25">
      <c r="A58">
        <v>834500</v>
      </c>
      <c r="B58">
        <v>17031834500</v>
      </c>
      <c r="C58">
        <v>17031</v>
      </c>
      <c r="D58">
        <v>2010</v>
      </c>
      <c r="E58">
        <v>40</v>
      </c>
      <c r="F58">
        <v>5003413.18061567</v>
      </c>
      <c r="G58" s="45">
        <v>0.17947275240385641</v>
      </c>
      <c r="H58" s="60" t="str">
        <f>_xlfn.IFNA(
INDEX('Community Areas'!B$2:B$78,MATCH($E58,'Community Areas'!$A$2:$A$78,0)),
"")</f>
        <v>WASHINGTON PARK</v>
      </c>
      <c r="I58" s="63" t="str">
        <f>_xlfn.IFNA(
INDEX('Community Areas'!C$2:C$78,MATCH($E58,'Community Areas'!$A$2:$A$78,0)),
"")</f>
        <v>6-B</v>
      </c>
      <c r="J58" s="63">
        <f>_xlfn.IFNA(
INDEX('Community Areas'!D$2:D$78,MATCH($E58,'Community Areas'!$A$2:$A$78,0)),
"")</f>
        <v>6</v>
      </c>
      <c r="K58" s="60" t="str">
        <f>_xlfn.IFNA(
INDEX('Community Areas'!E$2:E$78,MATCH($E58,'Community Areas'!$A$2:$A$78,0)),
"")</f>
        <v>SOUTH</v>
      </c>
      <c r="L58" s="17" t="e">
        <f>SUMIFS([1]ACSDT5Y2020.B08301_data_with_ov!AT$3:AT$1334,[1]ACSDT5Y2020.B08301_data_with_ov!$AS$3:$AS$1334,$B58)</f>
        <v>#VALUE!</v>
      </c>
      <c r="M58" s="17" t="e">
        <f>SUMIFS([1]ACSDT5Y2020.B08301_data_with_ov!AU$3:AU$1334,[1]ACSDT5Y2020.B08301_data_with_ov!$AS$3:$AS$1334,$B58)</f>
        <v>#VALUE!</v>
      </c>
      <c r="N58" s="17" t="e">
        <f>SUMIFS([1]ACSDT5Y2020.B08301_data_with_ov!AV$3:AV$1334,[1]ACSDT5Y2020.B08301_data_with_ov!$AS$3:$AS$1334,$B58)</f>
        <v>#VALUE!</v>
      </c>
      <c r="O58" s="17" t="e">
        <f>SUMIFS([1]ACSDT5Y2020.B08301_data_with_ov!AW$3:AW$1334,[1]ACSDT5Y2020.B08301_data_with_ov!$AS$3:$AS$1334,$B58)</f>
        <v>#VALUE!</v>
      </c>
      <c r="P58" s="17" t="e">
        <f>SUMIFS([1]ACSDT5Y2020.B08301_data_with_ov!AX$3:AX$1334,[1]ACSDT5Y2020.B08301_data_with_ov!$AS$3:$AS$1334,$B58)</f>
        <v>#VALUE!</v>
      </c>
      <c r="Q58" s="17" t="e">
        <f>SUMIFS([1]ACSDT5Y2020.B08301_data_with_ov!AY$3:AY$1334,[1]ACSDT5Y2020.B08301_data_with_ov!$AS$3:$AS$1334,$B58)</f>
        <v>#VALUE!</v>
      </c>
      <c r="R58" s="17" t="e">
        <f>SUMIFS([1]ACSDT5Y2020.B08301_data_with_ov!AZ$3:AZ$1334,[1]ACSDT5Y2020.B08301_data_with_ov!$AS$3:$AS$1334,$B58)</f>
        <v>#VALUE!</v>
      </c>
      <c r="S58" s="17" t="e">
        <f>SUMIFS([1]ACSDT5Y2020.B08301_data_with_ov!BA$3:BA$1334,[1]ACSDT5Y2020.B08301_data_with_ov!$AS$3:$AS$1334,$B58)</f>
        <v>#VALUE!</v>
      </c>
      <c r="T58" s="188">
        <v>6.3136335413461669E-2</v>
      </c>
      <c r="U58" s="189" t="e">
        <f t="shared" si="3"/>
        <v>#VALUE!</v>
      </c>
      <c r="V58" s="188">
        <v>6.3136315899749273E-2</v>
      </c>
      <c r="W58" s="189" t="e">
        <f t="shared" si="0"/>
        <v>#VALUE!</v>
      </c>
      <c r="X58" s="188">
        <v>6.3136315899749273E-2</v>
      </c>
      <c r="Y58" s="189" t="e">
        <f t="shared" si="1"/>
        <v>#VALUE!</v>
      </c>
      <c r="Z58" s="188">
        <v>6.3136315899749273E-2</v>
      </c>
      <c r="AA58" s="189" t="e">
        <f t="shared" si="2"/>
        <v>#VALUE!</v>
      </c>
    </row>
    <row r="59" spans="1:27" x14ac:dyDescent="0.25">
      <c r="A59">
        <v>411000</v>
      </c>
      <c r="B59">
        <v>17031411000</v>
      </c>
      <c r="C59">
        <v>17031</v>
      </c>
      <c r="D59">
        <v>2010</v>
      </c>
      <c r="E59">
        <v>41</v>
      </c>
      <c r="F59">
        <v>8998191.3578475099</v>
      </c>
      <c r="G59" s="45">
        <v>0.32276570240212887</v>
      </c>
      <c r="H59" s="60" t="str">
        <f>_xlfn.IFNA(
INDEX('Community Areas'!B$2:B$78,MATCH($E59,'Community Areas'!$A$2:$A$78,0)),
"")</f>
        <v>HYDE PARK</v>
      </c>
      <c r="I59" s="63" t="str">
        <f>_xlfn.IFNA(
INDEX('Community Areas'!C$2:C$78,MATCH($E59,'Community Areas'!$A$2:$A$78,0)),
"")</f>
        <v>6-B</v>
      </c>
      <c r="J59" s="63">
        <f>_xlfn.IFNA(
INDEX('Community Areas'!D$2:D$78,MATCH($E59,'Community Areas'!$A$2:$A$78,0)),
"")</f>
        <v>6</v>
      </c>
      <c r="K59" s="60" t="str">
        <f>_xlfn.IFNA(
INDEX('Community Areas'!E$2:E$78,MATCH($E59,'Community Areas'!$A$2:$A$78,0)),
"")</f>
        <v>SOUTH</v>
      </c>
      <c r="L59" s="17" t="e">
        <f>SUMIFS([1]ACSDT5Y2020.B08301_data_with_ov!AT$3:AT$1334,[1]ACSDT5Y2020.B08301_data_with_ov!$AS$3:$AS$1334,$B59)</f>
        <v>#VALUE!</v>
      </c>
      <c r="M59" s="17" t="e">
        <f>SUMIFS([1]ACSDT5Y2020.B08301_data_with_ov!AU$3:AU$1334,[1]ACSDT5Y2020.B08301_data_with_ov!$AS$3:$AS$1334,$B59)</f>
        <v>#VALUE!</v>
      </c>
      <c r="N59" s="17" t="e">
        <f>SUMIFS([1]ACSDT5Y2020.B08301_data_with_ov!AV$3:AV$1334,[1]ACSDT5Y2020.B08301_data_with_ov!$AS$3:$AS$1334,$B59)</f>
        <v>#VALUE!</v>
      </c>
      <c r="O59" s="17" t="e">
        <f>SUMIFS([1]ACSDT5Y2020.B08301_data_with_ov!AW$3:AW$1334,[1]ACSDT5Y2020.B08301_data_with_ov!$AS$3:$AS$1334,$B59)</f>
        <v>#VALUE!</v>
      </c>
      <c r="P59" s="17" t="e">
        <f>SUMIFS([1]ACSDT5Y2020.B08301_data_with_ov!AX$3:AX$1334,[1]ACSDT5Y2020.B08301_data_with_ov!$AS$3:$AS$1334,$B59)</f>
        <v>#VALUE!</v>
      </c>
      <c r="Q59" s="17" t="e">
        <f>SUMIFS([1]ACSDT5Y2020.B08301_data_with_ov!AY$3:AY$1334,[1]ACSDT5Y2020.B08301_data_with_ov!$AS$3:$AS$1334,$B59)</f>
        <v>#VALUE!</v>
      </c>
      <c r="R59" s="17" t="e">
        <f>SUMIFS([1]ACSDT5Y2020.B08301_data_with_ov!AZ$3:AZ$1334,[1]ACSDT5Y2020.B08301_data_with_ov!$AS$3:$AS$1334,$B59)</f>
        <v>#VALUE!</v>
      </c>
      <c r="S59" s="17" t="e">
        <f>SUMIFS([1]ACSDT5Y2020.B08301_data_with_ov!BA$3:BA$1334,[1]ACSDT5Y2020.B08301_data_with_ov!$AS$3:$AS$1334,$B59)</f>
        <v>#VALUE!</v>
      </c>
      <c r="T59" s="188">
        <v>0.32276570107691438</v>
      </c>
      <c r="U59" s="189" t="e">
        <f t="shared" si="3"/>
        <v>#VALUE!</v>
      </c>
      <c r="V59" s="188">
        <v>0.32276570107691438</v>
      </c>
      <c r="W59" s="189" t="e">
        <f t="shared" si="0"/>
        <v>#VALUE!</v>
      </c>
      <c r="X59" s="188">
        <v>0.32276570107691438</v>
      </c>
      <c r="Y59" s="189" t="e">
        <f t="shared" si="1"/>
        <v>#VALUE!</v>
      </c>
      <c r="Z59" s="188">
        <v>0.32276570107691438</v>
      </c>
      <c r="AA59" s="189" t="e">
        <f t="shared" si="2"/>
        <v>#VALUE!</v>
      </c>
    </row>
    <row r="60" spans="1:27" x14ac:dyDescent="0.25">
      <c r="A60">
        <v>836200</v>
      </c>
      <c r="B60">
        <v>17031836200</v>
      </c>
      <c r="C60">
        <v>17031</v>
      </c>
      <c r="D60">
        <v>2010</v>
      </c>
      <c r="E60">
        <v>41</v>
      </c>
      <c r="F60">
        <v>8757872.4141925499</v>
      </c>
      <c r="G60" s="45">
        <v>0.31414544644572678</v>
      </c>
      <c r="H60" s="60" t="str">
        <f>_xlfn.IFNA(
INDEX('Community Areas'!B$2:B$78,MATCH($E60,'Community Areas'!$A$2:$A$78,0)),
"")</f>
        <v>HYDE PARK</v>
      </c>
      <c r="I60" s="63" t="str">
        <f>_xlfn.IFNA(
INDEX('Community Areas'!C$2:C$78,MATCH($E60,'Community Areas'!$A$2:$A$78,0)),
"")</f>
        <v>6-B</v>
      </c>
      <c r="J60" s="63">
        <f>_xlfn.IFNA(
INDEX('Community Areas'!D$2:D$78,MATCH($E60,'Community Areas'!$A$2:$A$78,0)),
"")</f>
        <v>6</v>
      </c>
      <c r="K60" s="60" t="str">
        <f>_xlfn.IFNA(
INDEX('Community Areas'!E$2:E$78,MATCH($E60,'Community Areas'!$A$2:$A$78,0)),
"")</f>
        <v>SOUTH</v>
      </c>
      <c r="L60" s="17" t="e">
        <f>SUMIFS([1]ACSDT5Y2020.B08301_data_with_ov!AT$3:AT$1334,[1]ACSDT5Y2020.B08301_data_with_ov!$AS$3:$AS$1334,$B60)</f>
        <v>#VALUE!</v>
      </c>
      <c r="M60" s="17" t="e">
        <f>SUMIFS([1]ACSDT5Y2020.B08301_data_with_ov!AU$3:AU$1334,[1]ACSDT5Y2020.B08301_data_with_ov!$AS$3:$AS$1334,$B60)</f>
        <v>#VALUE!</v>
      </c>
      <c r="N60" s="17" t="e">
        <f>SUMIFS([1]ACSDT5Y2020.B08301_data_with_ov!AV$3:AV$1334,[1]ACSDT5Y2020.B08301_data_with_ov!$AS$3:$AS$1334,$B60)</f>
        <v>#VALUE!</v>
      </c>
      <c r="O60" s="17" t="e">
        <f>SUMIFS([1]ACSDT5Y2020.B08301_data_with_ov!AW$3:AW$1334,[1]ACSDT5Y2020.B08301_data_with_ov!$AS$3:$AS$1334,$B60)</f>
        <v>#VALUE!</v>
      </c>
      <c r="P60" s="17" t="e">
        <f>SUMIFS([1]ACSDT5Y2020.B08301_data_with_ov!AX$3:AX$1334,[1]ACSDT5Y2020.B08301_data_with_ov!$AS$3:$AS$1334,$B60)</f>
        <v>#VALUE!</v>
      </c>
      <c r="Q60" s="17" t="e">
        <f>SUMIFS([1]ACSDT5Y2020.B08301_data_with_ov!AY$3:AY$1334,[1]ACSDT5Y2020.B08301_data_with_ov!$AS$3:$AS$1334,$B60)</f>
        <v>#VALUE!</v>
      </c>
      <c r="R60" s="17" t="e">
        <f>SUMIFS([1]ACSDT5Y2020.B08301_data_with_ov!AZ$3:AZ$1334,[1]ACSDT5Y2020.B08301_data_with_ov!$AS$3:$AS$1334,$B60)</f>
        <v>#VALUE!</v>
      </c>
      <c r="S60" s="17" t="e">
        <f>SUMIFS([1]ACSDT5Y2020.B08301_data_with_ov!BA$3:BA$1334,[1]ACSDT5Y2020.B08301_data_with_ov!$AS$3:$AS$1334,$B60)</f>
        <v>#VALUE!</v>
      </c>
      <c r="T60" s="188">
        <v>0.2565440642598345</v>
      </c>
      <c r="U60" s="189" t="e">
        <f t="shared" si="3"/>
        <v>#VALUE!</v>
      </c>
      <c r="V60" s="188">
        <v>0.2565440642598345</v>
      </c>
      <c r="W60" s="189" t="e">
        <f t="shared" si="0"/>
        <v>#VALUE!</v>
      </c>
      <c r="X60" s="188">
        <v>0.2565440642598345</v>
      </c>
      <c r="Y60" s="189" t="e">
        <f t="shared" si="1"/>
        <v>#VALUE!</v>
      </c>
      <c r="Z60" s="188">
        <v>0.2565440642598345</v>
      </c>
      <c r="AA60" s="189" t="e">
        <f t="shared" si="2"/>
        <v>#VALUE!</v>
      </c>
    </row>
    <row r="61" spans="1:27" x14ac:dyDescent="0.25">
      <c r="A61">
        <v>836300</v>
      </c>
      <c r="B61">
        <v>17031836300</v>
      </c>
      <c r="C61">
        <v>17031</v>
      </c>
      <c r="D61">
        <v>2010</v>
      </c>
      <c r="E61">
        <v>41</v>
      </c>
      <c r="F61">
        <v>1480287.98335286</v>
      </c>
      <c r="G61" s="45">
        <v>5.3098025114528095E-2</v>
      </c>
      <c r="H61" s="60" t="str">
        <f>_xlfn.IFNA(
INDEX('Community Areas'!B$2:B$78,MATCH($E61,'Community Areas'!$A$2:$A$78,0)),
"")</f>
        <v>HYDE PARK</v>
      </c>
      <c r="I61" s="63" t="str">
        <f>_xlfn.IFNA(
INDEX('Community Areas'!C$2:C$78,MATCH($E61,'Community Areas'!$A$2:$A$78,0)),
"")</f>
        <v>6-B</v>
      </c>
      <c r="J61" s="63">
        <f>_xlfn.IFNA(
INDEX('Community Areas'!D$2:D$78,MATCH($E61,'Community Areas'!$A$2:$A$78,0)),
"")</f>
        <v>6</v>
      </c>
      <c r="K61" s="60" t="str">
        <f>_xlfn.IFNA(
INDEX('Community Areas'!E$2:E$78,MATCH($E61,'Community Areas'!$A$2:$A$78,0)),
"")</f>
        <v>SOUTH</v>
      </c>
      <c r="L61" s="17" t="e">
        <f>SUMIFS([1]ACSDT5Y2020.B08301_data_with_ov!AT$3:AT$1334,[1]ACSDT5Y2020.B08301_data_with_ov!$AS$3:$AS$1334,$B61)</f>
        <v>#VALUE!</v>
      </c>
      <c r="M61" s="17" t="e">
        <f>SUMIFS([1]ACSDT5Y2020.B08301_data_with_ov!AU$3:AU$1334,[1]ACSDT5Y2020.B08301_data_with_ov!$AS$3:$AS$1334,$B61)</f>
        <v>#VALUE!</v>
      </c>
      <c r="N61" s="17" t="e">
        <f>SUMIFS([1]ACSDT5Y2020.B08301_data_with_ov!AV$3:AV$1334,[1]ACSDT5Y2020.B08301_data_with_ov!$AS$3:$AS$1334,$B61)</f>
        <v>#VALUE!</v>
      </c>
      <c r="O61" s="17" t="e">
        <f>SUMIFS([1]ACSDT5Y2020.B08301_data_with_ov!AW$3:AW$1334,[1]ACSDT5Y2020.B08301_data_with_ov!$AS$3:$AS$1334,$B61)</f>
        <v>#VALUE!</v>
      </c>
      <c r="P61" s="17" t="e">
        <f>SUMIFS([1]ACSDT5Y2020.B08301_data_with_ov!AX$3:AX$1334,[1]ACSDT5Y2020.B08301_data_with_ov!$AS$3:$AS$1334,$B61)</f>
        <v>#VALUE!</v>
      </c>
      <c r="Q61" s="17" t="e">
        <f>SUMIFS([1]ACSDT5Y2020.B08301_data_with_ov!AY$3:AY$1334,[1]ACSDT5Y2020.B08301_data_with_ov!$AS$3:$AS$1334,$B61)</f>
        <v>#VALUE!</v>
      </c>
      <c r="R61" s="17" t="e">
        <f>SUMIFS([1]ACSDT5Y2020.B08301_data_with_ov!AZ$3:AZ$1334,[1]ACSDT5Y2020.B08301_data_with_ov!$AS$3:$AS$1334,$B61)</f>
        <v>#VALUE!</v>
      </c>
      <c r="S61" s="17" t="e">
        <f>SUMIFS([1]ACSDT5Y2020.B08301_data_with_ov!BA$3:BA$1334,[1]ACSDT5Y2020.B08301_data_with_ov!$AS$3:$AS$1334,$B61)</f>
        <v>#VALUE!</v>
      </c>
      <c r="T61" s="188">
        <v>5.3098025859157627E-2</v>
      </c>
      <c r="U61" s="189" t="e">
        <f t="shared" si="3"/>
        <v>#VALUE!</v>
      </c>
      <c r="V61" s="188">
        <v>5.3098025859157627E-2</v>
      </c>
      <c r="W61" s="189" t="e">
        <f t="shared" si="0"/>
        <v>#VALUE!</v>
      </c>
      <c r="X61" s="188">
        <v>5.3098025859157627E-2</v>
      </c>
      <c r="Y61" s="189" t="e">
        <f t="shared" si="1"/>
        <v>#VALUE!</v>
      </c>
      <c r="Z61" s="188">
        <v>5.3098025859157627E-2</v>
      </c>
      <c r="AA61" s="189" t="e">
        <f t="shared" si="2"/>
        <v>#VALUE!</v>
      </c>
    </row>
    <row r="62" spans="1:27" x14ac:dyDescent="0.25">
      <c r="A62">
        <v>410700</v>
      </c>
      <c r="B62">
        <v>17031410700</v>
      </c>
      <c r="C62">
        <v>17031</v>
      </c>
      <c r="D62">
        <v>2010</v>
      </c>
      <c r="E62">
        <v>41</v>
      </c>
      <c r="F62">
        <v>2805419.5038999799</v>
      </c>
      <c r="G62" s="45">
        <v>0.10063057793488794</v>
      </c>
      <c r="H62" s="60" t="str">
        <f>_xlfn.IFNA(
INDEX('Community Areas'!B$2:B$78,MATCH($E62,'Community Areas'!$A$2:$A$78,0)),
"")</f>
        <v>HYDE PARK</v>
      </c>
      <c r="I62" s="63" t="str">
        <f>_xlfn.IFNA(
INDEX('Community Areas'!C$2:C$78,MATCH($E62,'Community Areas'!$A$2:$A$78,0)),
"")</f>
        <v>6-B</v>
      </c>
      <c r="J62" s="63">
        <f>_xlfn.IFNA(
INDEX('Community Areas'!D$2:D$78,MATCH($E62,'Community Areas'!$A$2:$A$78,0)),
"")</f>
        <v>6</v>
      </c>
      <c r="K62" s="60" t="str">
        <f>_xlfn.IFNA(
INDEX('Community Areas'!E$2:E$78,MATCH($E62,'Community Areas'!$A$2:$A$78,0)),
"")</f>
        <v>SOUTH</v>
      </c>
      <c r="L62" s="17" t="e">
        <f>SUMIFS([1]ACSDT5Y2020.B08301_data_with_ov!AT$3:AT$1334,[1]ACSDT5Y2020.B08301_data_with_ov!$AS$3:$AS$1334,$B62)</f>
        <v>#VALUE!</v>
      </c>
      <c r="M62" s="17" t="e">
        <f>SUMIFS([1]ACSDT5Y2020.B08301_data_with_ov!AU$3:AU$1334,[1]ACSDT5Y2020.B08301_data_with_ov!$AS$3:$AS$1334,$B62)</f>
        <v>#VALUE!</v>
      </c>
      <c r="N62" s="17" t="e">
        <f>SUMIFS([1]ACSDT5Y2020.B08301_data_with_ov!AV$3:AV$1334,[1]ACSDT5Y2020.B08301_data_with_ov!$AS$3:$AS$1334,$B62)</f>
        <v>#VALUE!</v>
      </c>
      <c r="O62" s="17" t="e">
        <f>SUMIFS([1]ACSDT5Y2020.B08301_data_with_ov!AW$3:AW$1334,[1]ACSDT5Y2020.B08301_data_with_ov!$AS$3:$AS$1334,$B62)</f>
        <v>#VALUE!</v>
      </c>
      <c r="P62" s="17" t="e">
        <f>SUMIFS([1]ACSDT5Y2020.B08301_data_with_ov!AX$3:AX$1334,[1]ACSDT5Y2020.B08301_data_with_ov!$AS$3:$AS$1334,$B62)</f>
        <v>#VALUE!</v>
      </c>
      <c r="Q62" s="17" t="e">
        <f>SUMIFS([1]ACSDT5Y2020.B08301_data_with_ov!AY$3:AY$1334,[1]ACSDT5Y2020.B08301_data_with_ov!$AS$3:$AS$1334,$B62)</f>
        <v>#VALUE!</v>
      </c>
      <c r="R62" s="17" t="e">
        <f>SUMIFS([1]ACSDT5Y2020.B08301_data_with_ov!AZ$3:AZ$1334,[1]ACSDT5Y2020.B08301_data_with_ov!$AS$3:$AS$1334,$B62)</f>
        <v>#VALUE!</v>
      </c>
      <c r="S62" s="17" t="e">
        <f>SUMIFS([1]ACSDT5Y2020.B08301_data_with_ov!BA$3:BA$1334,[1]ACSDT5Y2020.B08301_data_with_ov!$AS$3:$AS$1334,$B62)</f>
        <v>#VALUE!</v>
      </c>
      <c r="T62" s="188">
        <v>0.10063057485075542</v>
      </c>
      <c r="U62" s="189" t="e">
        <f t="shared" si="3"/>
        <v>#VALUE!</v>
      </c>
      <c r="V62" s="188">
        <v>0.10063057485075542</v>
      </c>
      <c r="W62" s="189" t="e">
        <f t="shared" si="0"/>
        <v>#VALUE!</v>
      </c>
      <c r="X62" s="188">
        <v>0.10063057485075542</v>
      </c>
      <c r="Y62" s="189" t="e">
        <f t="shared" si="1"/>
        <v>#VALUE!</v>
      </c>
      <c r="Z62" s="188">
        <v>0.10063057485075542</v>
      </c>
      <c r="AA62" s="189" t="e">
        <f t="shared" si="2"/>
        <v>#VALUE!</v>
      </c>
    </row>
    <row r="63" spans="1:27" x14ac:dyDescent="0.25">
      <c r="A63">
        <v>410900</v>
      </c>
      <c r="B63">
        <v>17031410900</v>
      </c>
      <c r="C63">
        <v>17031</v>
      </c>
      <c r="D63">
        <v>2010</v>
      </c>
      <c r="E63">
        <v>41</v>
      </c>
      <c r="F63">
        <v>4108766.36342414</v>
      </c>
      <c r="G63" s="45">
        <v>0.14738171356405461</v>
      </c>
      <c r="H63" s="60" t="str">
        <f>_xlfn.IFNA(
INDEX('Community Areas'!B$2:B$78,MATCH($E63,'Community Areas'!$A$2:$A$78,0)),
"")</f>
        <v>HYDE PARK</v>
      </c>
      <c r="I63" s="63" t="str">
        <f>_xlfn.IFNA(
INDEX('Community Areas'!C$2:C$78,MATCH($E63,'Community Areas'!$A$2:$A$78,0)),
"")</f>
        <v>6-B</v>
      </c>
      <c r="J63" s="63">
        <f>_xlfn.IFNA(
INDEX('Community Areas'!D$2:D$78,MATCH($E63,'Community Areas'!$A$2:$A$78,0)),
"")</f>
        <v>6</v>
      </c>
      <c r="K63" s="60" t="str">
        <f>_xlfn.IFNA(
INDEX('Community Areas'!E$2:E$78,MATCH($E63,'Community Areas'!$A$2:$A$78,0)),
"")</f>
        <v>SOUTH</v>
      </c>
      <c r="L63" s="17" t="e">
        <f>SUMIFS([1]ACSDT5Y2020.B08301_data_with_ov!AT$3:AT$1334,[1]ACSDT5Y2020.B08301_data_with_ov!$AS$3:$AS$1334,$B63)</f>
        <v>#VALUE!</v>
      </c>
      <c r="M63" s="17" t="e">
        <f>SUMIFS([1]ACSDT5Y2020.B08301_data_with_ov!AU$3:AU$1334,[1]ACSDT5Y2020.B08301_data_with_ov!$AS$3:$AS$1334,$B63)</f>
        <v>#VALUE!</v>
      </c>
      <c r="N63" s="17" t="e">
        <f>SUMIFS([1]ACSDT5Y2020.B08301_data_with_ov!AV$3:AV$1334,[1]ACSDT5Y2020.B08301_data_with_ov!$AS$3:$AS$1334,$B63)</f>
        <v>#VALUE!</v>
      </c>
      <c r="O63" s="17" t="e">
        <f>SUMIFS([1]ACSDT5Y2020.B08301_data_with_ov!AW$3:AW$1334,[1]ACSDT5Y2020.B08301_data_with_ov!$AS$3:$AS$1334,$B63)</f>
        <v>#VALUE!</v>
      </c>
      <c r="P63" s="17" t="e">
        <f>SUMIFS([1]ACSDT5Y2020.B08301_data_with_ov!AX$3:AX$1334,[1]ACSDT5Y2020.B08301_data_with_ov!$AS$3:$AS$1334,$B63)</f>
        <v>#VALUE!</v>
      </c>
      <c r="Q63" s="17" t="e">
        <f>SUMIFS([1]ACSDT5Y2020.B08301_data_with_ov!AY$3:AY$1334,[1]ACSDT5Y2020.B08301_data_with_ov!$AS$3:$AS$1334,$B63)</f>
        <v>#VALUE!</v>
      </c>
      <c r="R63" s="17" t="e">
        <f>SUMIFS([1]ACSDT5Y2020.B08301_data_with_ov!AZ$3:AZ$1334,[1]ACSDT5Y2020.B08301_data_with_ov!$AS$3:$AS$1334,$B63)</f>
        <v>#VALUE!</v>
      </c>
      <c r="S63" s="17" t="e">
        <f>SUMIFS([1]ACSDT5Y2020.B08301_data_with_ov!BA$3:BA$1334,[1]ACSDT5Y2020.B08301_data_with_ov!$AS$3:$AS$1334,$B63)</f>
        <v>#VALUE!</v>
      </c>
      <c r="T63" s="188">
        <v>0.14738171761038474</v>
      </c>
      <c r="U63" s="189" t="e">
        <f t="shared" si="3"/>
        <v>#VALUE!</v>
      </c>
      <c r="V63" s="188">
        <v>0.14738171761038474</v>
      </c>
      <c r="W63" s="189" t="e">
        <f t="shared" si="0"/>
        <v>#VALUE!</v>
      </c>
      <c r="X63" s="188">
        <v>0.14738171761038474</v>
      </c>
      <c r="Y63" s="189" t="e">
        <f t="shared" si="1"/>
        <v>#VALUE!</v>
      </c>
      <c r="Z63" s="188">
        <v>0.14738171761038474</v>
      </c>
      <c r="AA63" s="189" t="e">
        <f t="shared" si="2"/>
        <v>#VALUE!</v>
      </c>
    </row>
    <row r="64" spans="1:27" x14ac:dyDescent="0.25">
      <c r="A64">
        <v>410800</v>
      </c>
      <c r="B64">
        <v>17031410800</v>
      </c>
      <c r="C64">
        <v>17031</v>
      </c>
      <c r="D64">
        <v>2010</v>
      </c>
      <c r="E64">
        <v>41</v>
      </c>
      <c r="F64">
        <v>2682843.96377538</v>
      </c>
      <c r="G64" s="45">
        <v>9.6233785431566382E-2</v>
      </c>
      <c r="H64" s="60" t="str">
        <f>_xlfn.IFNA(
INDEX('Community Areas'!B$2:B$78,MATCH($E64,'Community Areas'!$A$2:$A$78,0)),
"")</f>
        <v>HYDE PARK</v>
      </c>
      <c r="I64" s="63" t="str">
        <f>_xlfn.IFNA(
INDEX('Community Areas'!C$2:C$78,MATCH($E64,'Community Areas'!$A$2:$A$78,0)),
"")</f>
        <v>6-B</v>
      </c>
      <c r="J64" s="63">
        <f>_xlfn.IFNA(
INDEX('Community Areas'!D$2:D$78,MATCH($E64,'Community Areas'!$A$2:$A$78,0)),
"")</f>
        <v>6</v>
      </c>
      <c r="K64" s="60" t="str">
        <f>_xlfn.IFNA(
INDEX('Community Areas'!E$2:E$78,MATCH($E64,'Community Areas'!$A$2:$A$78,0)),
"")</f>
        <v>SOUTH</v>
      </c>
      <c r="L64" s="17" t="e">
        <f>SUMIFS([1]ACSDT5Y2020.B08301_data_with_ov!AT$3:AT$1334,[1]ACSDT5Y2020.B08301_data_with_ov!$AS$3:$AS$1334,$B64)</f>
        <v>#VALUE!</v>
      </c>
      <c r="M64" s="17" t="e">
        <f>SUMIFS([1]ACSDT5Y2020.B08301_data_with_ov!AU$3:AU$1334,[1]ACSDT5Y2020.B08301_data_with_ov!$AS$3:$AS$1334,$B64)</f>
        <v>#VALUE!</v>
      </c>
      <c r="N64" s="17" t="e">
        <f>SUMIFS([1]ACSDT5Y2020.B08301_data_with_ov!AV$3:AV$1334,[1]ACSDT5Y2020.B08301_data_with_ov!$AS$3:$AS$1334,$B64)</f>
        <v>#VALUE!</v>
      </c>
      <c r="O64" s="17" t="e">
        <f>SUMIFS([1]ACSDT5Y2020.B08301_data_with_ov!AW$3:AW$1334,[1]ACSDT5Y2020.B08301_data_with_ov!$AS$3:$AS$1334,$B64)</f>
        <v>#VALUE!</v>
      </c>
      <c r="P64" s="17" t="e">
        <f>SUMIFS([1]ACSDT5Y2020.B08301_data_with_ov!AX$3:AX$1334,[1]ACSDT5Y2020.B08301_data_with_ov!$AS$3:$AS$1334,$B64)</f>
        <v>#VALUE!</v>
      </c>
      <c r="Q64" s="17" t="e">
        <f>SUMIFS([1]ACSDT5Y2020.B08301_data_with_ov!AY$3:AY$1334,[1]ACSDT5Y2020.B08301_data_with_ov!$AS$3:$AS$1334,$B64)</f>
        <v>#VALUE!</v>
      </c>
      <c r="R64" s="17" t="e">
        <f>SUMIFS([1]ACSDT5Y2020.B08301_data_with_ov!AZ$3:AZ$1334,[1]ACSDT5Y2020.B08301_data_with_ov!$AS$3:$AS$1334,$B64)</f>
        <v>#VALUE!</v>
      </c>
      <c r="S64" s="17" t="e">
        <f>SUMIFS([1]ACSDT5Y2020.B08301_data_with_ov!BA$3:BA$1334,[1]ACSDT5Y2020.B08301_data_with_ov!$AS$3:$AS$1334,$B64)</f>
        <v>#VALUE!</v>
      </c>
      <c r="T64" s="188">
        <v>9.6233787227662987E-2</v>
      </c>
      <c r="U64" s="189" t="e">
        <f t="shared" si="3"/>
        <v>#VALUE!</v>
      </c>
      <c r="V64" s="188">
        <v>9.6233787227662987E-2</v>
      </c>
      <c r="W64" s="189" t="e">
        <f t="shared" si="0"/>
        <v>#VALUE!</v>
      </c>
      <c r="X64" s="188">
        <v>9.6233787227662987E-2</v>
      </c>
      <c r="Y64" s="189" t="e">
        <f t="shared" si="1"/>
        <v>#VALUE!</v>
      </c>
      <c r="Z64" s="188">
        <v>9.6233787227662987E-2</v>
      </c>
      <c r="AA64" s="189" t="e">
        <f t="shared" si="2"/>
        <v>#VALUE!</v>
      </c>
    </row>
    <row r="65" spans="1:27" x14ac:dyDescent="0.25">
      <c r="A65">
        <v>411100</v>
      </c>
      <c r="B65">
        <v>17031411100</v>
      </c>
      <c r="C65">
        <v>17031</v>
      </c>
      <c r="D65">
        <v>2010</v>
      </c>
      <c r="E65">
        <v>41</v>
      </c>
      <c r="F65">
        <v>3041434.5695413798</v>
      </c>
      <c r="G65" s="45">
        <v>0.10909645351029398</v>
      </c>
      <c r="H65" s="60" t="str">
        <f>_xlfn.IFNA(
INDEX('Community Areas'!B$2:B$78,MATCH($E65,'Community Areas'!$A$2:$A$78,0)),
"")</f>
        <v>HYDE PARK</v>
      </c>
      <c r="I65" s="63" t="str">
        <f>_xlfn.IFNA(
INDEX('Community Areas'!C$2:C$78,MATCH($E65,'Community Areas'!$A$2:$A$78,0)),
"")</f>
        <v>6-B</v>
      </c>
      <c r="J65" s="63">
        <f>_xlfn.IFNA(
INDEX('Community Areas'!D$2:D$78,MATCH($E65,'Community Areas'!$A$2:$A$78,0)),
"")</f>
        <v>6</v>
      </c>
      <c r="K65" s="60" t="str">
        <f>_xlfn.IFNA(
INDEX('Community Areas'!E$2:E$78,MATCH($E65,'Community Areas'!$A$2:$A$78,0)),
"")</f>
        <v>SOUTH</v>
      </c>
      <c r="L65" s="17" t="e">
        <f>SUMIFS([1]ACSDT5Y2020.B08301_data_with_ov!AT$3:AT$1334,[1]ACSDT5Y2020.B08301_data_with_ov!$AS$3:$AS$1334,$B65)</f>
        <v>#VALUE!</v>
      </c>
      <c r="M65" s="17" t="e">
        <f>SUMIFS([1]ACSDT5Y2020.B08301_data_with_ov!AU$3:AU$1334,[1]ACSDT5Y2020.B08301_data_with_ov!$AS$3:$AS$1334,$B65)</f>
        <v>#VALUE!</v>
      </c>
      <c r="N65" s="17" t="e">
        <f>SUMIFS([1]ACSDT5Y2020.B08301_data_with_ov!AV$3:AV$1334,[1]ACSDT5Y2020.B08301_data_with_ov!$AS$3:$AS$1334,$B65)</f>
        <v>#VALUE!</v>
      </c>
      <c r="O65" s="17" t="e">
        <f>SUMIFS([1]ACSDT5Y2020.B08301_data_with_ov!AW$3:AW$1334,[1]ACSDT5Y2020.B08301_data_with_ov!$AS$3:$AS$1334,$B65)</f>
        <v>#VALUE!</v>
      </c>
      <c r="P65" s="17" t="e">
        <f>SUMIFS([1]ACSDT5Y2020.B08301_data_with_ov!AX$3:AX$1334,[1]ACSDT5Y2020.B08301_data_with_ov!$AS$3:$AS$1334,$B65)</f>
        <v>#VALUE!</v>
      </c>
      <c r="Q65" s="17" t="e">
        <f>SUMIFS([1]ACSDT5Y2020.B08301_data_with_ov!AY$3:AY$1334,[1]ACSDT5Y2020.B08301_data_with_ov!$AS$3:$AS$1334,$B65)</f>
        <v>#VALUE!</v>
      </c>
      <c r="R65" s="17" t="e">
        <f>SUMIFS([1]ACSDT5Y2020.B08301_data_with_ov!AZ$3:AZ$1334,[1]ACSDT5Y2020.B08301_data_with_ov!$AS$3:$AS$1334,$B65)</f>
        <v>#VALUE!</v>
      </c>
      <c r="S65" s="17" t="e">
        <f>SUMIFS([1]ACSDT5Y2020.B08301_data_with_ov!BA$3:BA$1334,[1]ACSDT5Y2020.B08301_data_with_ov!$AS$3:$AS$1334,$B65)</f>
        <v>#VALUE!</v>
      </c>
      <c r="T65" s="188">
        <v>0.1090964530161566</v>
      </c>
      <c r="U65" s="189" t="e">
        <f t="shared" si="3"/>
        <v>#VALUE!</v>
      </c>
      <c r="V65" s="188">
        <v>0.1090964530161566</v>
      </c>
      <c r="W65" s="189" t="e">
        <f t="shared" si="0"/>
        <v>#VALUE!</v>
      </c>
      <c r="X65" s="188">
        <v>0.1090964530161566</v>
      </c>
      <c r="Y65" s="189" t="e">
        <f t="shared" si="1"/>
        <v>#VALUE!</v>
      </c>
      <c r="Z65" s="188">
        <v>0.1090964530161566</v>
      </c>
      <c r="AA65" s="189" t="e">
        <f t="shared" si="2"/>
        <v>#VALUE!</v>
      </c>
    </row>
    <row r="66" spans="1:27" x14ac:dyDescent="0.25">
      <c r="A66">
        <v>410600</v>
      </c>
      <c r="B66">
        <v>17031410600</v>
      </c>
      <c r="C66">
        <v>17031</v>
      </c>
      <c r="D66">
        <v>2010</v>
      </c>
      <c r="E66">
        <v>41</v>
      </c>
      <c r="F66">
        <v>2718067.1689149602</v>
      </c>
      <c r="G66" s="45">
        <v>9.7497244064040992E-2</v>
      </c>
      <c r="H66" s="60" t="str">
        <f>_xlfn.IFNA(
INDEX('Community Areas'!B$2:B$78,MATCH($E66,'Community Areas'!$A$2:$A$78,0)),
"")</f>
        <v>HYDE PARK</v>
      </c>
      <c r="I66" s="63" t="str">
        <f>_xlfn.IFNA(
INDEX('Community Areas'!C$2:C$78,MATCH($E66,'Community Areas'!$A$2:$A$78,0)),
"")</f>
        <v>6-B</v>
      </c>
      <c r="J66" s="63">
        <f>_xlfn.IFNA(
INDEX('Community Areas'!D$2:D$78,MATCH($E66,'Community Areas'!$A$2:$A$78,0)),
"")</f>
        <v>6</v>
      </c>
      <c r="K66" s="60" t="str">
        <f>_xlfn.IFNA(
INDEX('Community Areas'!E$2:E$78,MATCH($E66,'Community Areas'!$A$2:$A$78,0)),
"")</f>
        <v>SOUTH</v>
      </c>
      <c r="L66" s="17" t="e">
        <f>SUMIFS([1]ACSDT5Y2020.B08301_data_with_ov!AT$3:AT$1334,[1]ACSDT5Y2020.B08301_data_with_ov!$AS$3:$AS$1334,$B66)</f>
        <v>#VALUE!</v>
      </c>
      <c r="M66" s="17" t="e">
        <f>SUMIFS([1]ACSDT5Y2020.B08301_data_with_ov!AU$3:AU$1334,[1]ACSDT5Y2020.B08301_data_with_ov!$AS$3:$AS$1334,$B66)</f>
        <v>#VALUE!</v>
      </c>
      <c r="N66" s="17" t="e">
        <f>SUMIFS([1]ACSDT5Y2020.B08301_data_with_ov!AV$3:AV$1334,[1]ACSDT5Y2020.B08301_data_with_ov!$AS$3:$AS$1334,$B66)</f>
        <v>#VALUE!</v>
      </c>
      <c r="O66" s="17" t="e">
        <f>SUMIFS([1]ACSDT5Y2020.B08301_data_with_ov!AW$3:AW$1334,[1]ACSDT5Y2020.B08301_data_with_ov!$AS$3:$AS$1334,$B66)</f>
        <v>#VALUE!</v>
      </c>
      <c r="P66" s="17" t="e">
        <f>SUMIFS([1]ACSDT5Y2020.B08301_data_with_ov!AX$3:AX$1334,[1]ACSDT5Y2020.B08301_data_with_ov!$AS$3:$AS$1334,$B66)</f>
        <v>#VALUE!</v>
      </c>
      <c r="Q66" s="17" t="e">
        <f>SUMIFS([1]ACSDT5Y2020.B08301_data_with_ov!AY$3:AY$1334,[1]ACSDT5Y2020.B08301_data_with_ov!$AS$3:$AS$1334,$B66)</f>
        <v>#VALUE!</v>
      </c>
      <c r="R66" s="17" t="e">
        <f>SUMIFS([1]ACSDT5Y2020.B08301_data_with_ov!AZ$3:AZ$1334,[1]ACSDT5Y2020.B08301_data_with_ov!$AS$3:$AS$1334,$B66)</f>
        <v>#VALUE!</v>
      </c>
      <c r="S66" s="17" t="e">
        <f>SUMIFS([1]ACSDT5Y2020.B08301_data_with_ov!BA$3:BA$1334,[1]ACSDT5Y2020.B08301_data_with_ov!$AS$3:$AS$1334,$B66)</f>
        <v>#VALUE!</v>
      </c>
      <c r="T66" s="188">
        <v>9.7497244750462009E-2</v>
      </c>
      <c r="U66" s="189" t="e">
        <f t="shared" si="3"/>
        <v>#VALUE!</v>
      </c>
      <c r="V66" s="188">
        <v>9.7497244750462009E-2</v>
      </c>
      <c r="W66" s="189" t="e">
        <f t="shared" si="0"/>
        <v>#VALUE!</v>
      </c>
      <c r="X66" s="188">
        <v>9.7497244750462009E-2</v>
      </c>
      <c r="Y66" s="189" t="e">
        <f t="shared" si="1"/>
        <v>#VALUE!</v>
      </c>
      <c r="Z66" s="188">
        <v>9.7497244750462009E-2</v>
      </c>
      <c r="AA66" s="189" t="e">
        <f t="shared" si="2"/>
        <v>#VALUE!</v>
      </c>
    </row>
    <row r="67" spans="1:27" x14ac:dyDescent="0.25">
      <c r="A67">
        <v>410200</v>
      </c>
      <c r="B67">
        <v>17031410200</v>
      </c>
      <c r="C67">
        <v>17031</v>
      </c>
      <c r="D67">
        <v>2010</v>
      </c>
      <c r="E67">
        <v>41</v>
      </c>
      <c r="F67">
        <v>697941.31742076296</v>
      </c>
      <c r="G67" s="45">
        <v>2.5035199918961023E-2</v>
      </c>
      <c r="H67" s="60" t="str">
        <f>_xlfn.IFNA(
INDEX('Community Areas'!B$2:B$78,MATCH($E67,'Community Areas'!$A$2:$A$78,0)),
"")</f>
        <v>HYDE PARK</v>
      </c>
      <c r="I67" s="63" t="str">
        <f>_xlfn.IFNA(
INDEX('Community Areas'!C$2:C$78,MATCH($E67,'Community Areas'!$A$2:$A$78,0)),
"")</f>
        <v>6-B</v>
      </c>
      <c r="J67" s="63">
        <f>_xlfn.IFNA(
INDEX('Community Areas'!D$2:D$78,MATCH($E67,'Community Areas'!$A$2:$A$78,0)),
"")</f>
        <v>6</v>
      </c>
      <c r="K67" s="60" t="str">
        <f>_xlfn.IFNA(
INDEX('Community Areas'!E$2:E$78,MATCH($E67,'Community Areas'!$A$2:$A$78,0)),
"")</f>
        <v>SOUTH</v>
      </c>
      <c r="L67" s="17" t="e">
        <f>SUMIFS([1]ACSDT5Y2020.B08301_data_with_ov!AT$3:AT$1334,[1]ACSDT5Y2020.B08301_data_with_ov!$AS$3:$AS$1334,$B67)</f>
        <v>#VALUE!</v>
      </c>
      <c r="M67" s="17" t="e">
        <f>SUMIFS([1]ACSDT5Y2020.B08301_data_with_ov!AU$3:AU$1334,[1]ACSDT5Y2020.B08301_data_with_ov!$AS$3:$AS$1334,$B67)</f>
        <v>#VALUE!</v>
      </c>
      <c r="N67" s="17" t="e">
        <f>SUMIFS([1]ACSDT5Y2020.B08301_data_with_ov!AV$3:AV$1334,[1]ACSDT5Y2020.B08301_data_with_ov!$AS$3:$AS$1334,$B67)</f>
        <v>#VALUE!</v>
      </c>
      <c r="O67" s="17" t="e">
        <f>SUMIFS([1]ACSDT5Y2020.B08301_data_with_ov!AW$3:AW$1334,[1]ACSDT5Y2020.B08301_data_with_ov!$AS$3:$AS$1334,$B67)</f>
        <v>#VALUE!</v>
      </c>
      <c r="P67" s="17" t="e">
        <f>SUMIFS([1]ACSDT5Y2020.B08301_data_with_ov!AX$3:AX$1334,[1]ACSDT5Y2020.B08301_data_with_ov!$AS$3:$AS$1334,$B67)</f>
        <v>#VALUE!</v>
      </c>
      <c r="Q67" s="17" t="e">
        <f>SUMIFS([1]ACSDT5Y2020.B08301_data_with_ov!AY$3:AY$1334,[1]ACSDT5Y2020.B08301_data_with_ov!$AS$3:$AS$1334,$B67)</f>
        <v>#VALUE!</v>
      </c>
      <c r="R67" s="17" t="e">
        <f>SUMIFS([1]ACSDT5Y2020.B08301_data_with_ov!AZ$3:AZ$1334,[1]ACSDT5Y2020.B08301_data_with_ov!$AS$3:$AS$1334,$B67)</f>
        <v>#VALUE!</v>
      </c>
      <c r="S67" s="17" t="e">
        <f>SUMIFS([1]ACSDT5Y2020.B08301_data_with_ov!BA$3:BA$1334,[1]ACSDT5Y2020.B08301_data_with_ov!$AS$3:$AS$1334,$B67)</f>
        <v>#VALUE!</v>
      </c>
      <c r="T67" s="188">
        <v>2.5035201208177409E-2</v>
      </c>
      <c r="U67" s="189" t="e">
        <f t="shared" si="3"/>
        <v>#VALUE!</v>
      </c>
      <c r="V67" s="188">
        <v>2.5035201208177409E-2</v>
      </c>
      <c r="W67" s="189" t="e">
        <f t="shared" si="0"/>
        <v>#VALUE!</v>
      </c>
      <c r="X67" s="188">
        <v>2.5035201208177409E-2</v>
      </c>
      <c r="Y67" s="189" t="e">
        <f t="shared" si="1"/>
        <v>#VALUE!</v>
      </c>
      <c r="Z67" s="188">
        <v>2.5035201208177409E-2</v>
      </c>
      <c r="AA67" s="189" t="e">
        <f t="shared" si="2"/>
        <v>#VALUE!</v>
      </c>
    </row>
    <row r="68" spans="1:27" x14ac:dyDescent="0.25">
      <c r="A68">
        <v>410100</v>
      </c>
      <c r="B68">
        <v>17031410100</v>
      </c>
      <c r="C68">
        <v>17031</v>
      </c>
      <c r="D68">
        <v>2010</v>
      </c>
      <c r="E68">
        <v>41</v>
      </c>
      <c r="F68">
        <v>2640910.15871504</v>
      </c>
      <c r="G68" s="45">
        <v>9.4729617148582412E-2</v>
      </c>
      <c r="H68" s="60" t="str">
        <f>_xlfn.IFNA(
INDEX('Community Areas'!B$2:B$78,MATCH($E68,'Community Areas'!$A$2:$A$78,0)),
"")</f>
        <v>HYDE PARK</v>
      </c>
      <c r="I68" s="63" t="str">
        <f>_xlfn.IFNA(
INDEX('Community Areas'!C$2:C$78,MATCH($E68,'Community Areas'!$A$2:$A$78,0)),
"")</f>
        <v>6-B</v>
      </c>
      <c r="J68" s="63">
        <f>_xlfn.IFNA(
INDEX('Community Areas'!D$2:D$78,MATCH($E68,'Community Areas'!$A$2:$A$78,0)),
"")</f>
        <v>6</v>
      </c>
      <c r="K68" s="60" t="str">
        <f>_xlfn.IFNA(
INDEX('Community Areas'!E$2:E$78,MATCH($E68,'Community Areas'!$A$2:$A$78,0)),
"")</f>
        <v>SOUTH</v>
      </c>
      <c r="L68" s="17" t="e">
        <f>SUMIFS([1]ACSDT5Y2020.B08301_data_with_ov!AT$3:AT$1334,[1]ACSDT5Y2020.B08301_data_with_ov!$AS$3:$AS$1334,$B68)</f>
        <v>#VALUE!</v>
      </c>
      <c r="M68" s="17" t="e">
        <f>SUMIFS([1]ACSDT5Y2020.B08301_data_with_ov!AU$3:AU$1334,[1]ACSDT5Y2020.B08301_data_with_ov!$AS$3:$AS$1334,$B68)</f>
        <v>#VALUE!</v>
      </c>
      <c r="N68" s="17" t="e">
        <f>SUMIFS([1]ACSDT5Y2020.B08301_data_with_ov!AV$3:AV$1334,[1]ACSDT5Y2020.B08301_data_with_ov!$AS$3:$AS$1334,$B68)</f>
        <v>#VALUE!</v>
      </c>
      <c r="O68" s="17" t="e">
        <f>SUMIFS([1]ACSDT5Y2020.B08301_data_with_ov!AW$3:AW$1334,[1]ACSDT5Y2020.B08301_data_with_ov!$AS$3:$AS$1334,$B68)</f>
        <v>#VALUE!</v>
      </c>
      <c r="P68" s="17" t="e">
        <f>SUMIFS([1]ACSDT5Y2020.B08301_data_with_ov!AX$3:AX$1334,[1]ACSDT5Y2020.B08301_data_with_ov!$AS$3:$AS$1334,$B68)</f>
        <v>#VALUE!</v>
      </c>
      <c r="Q68" s="17" t="e">
        <f>SUMIFS([1]ACSDT5Y2020.B08301_data_with_ov!AY$3:AY$1334,[1]ACSDT5Y2020.B08301_data_with_ov!$AS$3:$AS$1334,$B68)</f>
        <v>#VALUE!</v>
      </c>
      <c r="R68" s="17" t="e">
        <f>SUMIFS([1]ACSDT5Y2020.B08301_data_with_ov!AZ$3:AZ$1334,[1]ACSDT5Y2020.B08301_data_with_ov!$AS$3:$AS$1334,$B68)</f>
        <v>#VALUE!</v>
      </c>
      <c r="S68" s="17" t="e">
        <f>SUMIFS([1]ACSDT5Y2020.B08301_data_with_ov!BA$3:BA$1334,[1]ACSDT5Y2020.B08301_data_with_ov!$AS$3:$AS$1334,$B68)</f>
        <v>#VALUE!</v>
      </c>
      <c r="T68" s="188">
        <v>9.4729617644958811E-2</v>
      </c>
      <c r="U68" s="189" t="e">
        <f t="shared" si="3"/>
        <v>#VALUE!</v>
      </c>
      <c r="V68" s="188">
        <v>9.4729617644958811E-2</v>
      </c>
      <c r="W68" s="189" t="e">
        <f t="shared" si="0"/>
        <v>#VALUE!</v>
      </c>
      <c r="X68" s="188">
        <v>9.4729617644958811E-2</v>
      </c>
      <c r="Y68" s="189" t="e">
        <f t="shared" si="1"/>
        <v>#VALUE!</v>
      </c>
      <c r="Z68" s="188">
        <v>9.4729617644958811E-2</v>
      </c>
      <c r="AA68" s="189" t="e">
        <f t="shared" si="2"/>
        <v>#VALUE!</v>
      </c>
    </row>
    <row r="69" spans="1:27" x14ac:dyDescent="0.25">
      <c r="A69">
        <v>411200</v>
      </c>
      <c r="B69">
        <v>17031411200</v>
      </c>
      <c r="C69">
        <v>17031</v>
      </c>
      <c r="D69">
        <v>2010</v>
      </c>
      <c r="E69">
        <v>41</v>
      </c>
      <c r="F69">
        <v>4343092.66323986</v>
      </c>
      <c r="G69" s="45">
        <v>0.15578701300074108</v>
      </c>
      <c r="H69" s="60" t="str">
        <f>_xlfn.IFNA(
INDEX('Community Areas'!B$2:B$78,MATCH($E69,'Community Areas'!$A$2:$A$78,0)),
"")</f>
        <v>HYDE PARK</v>
      </c>
      <c r="I69" s="63" t="str">
        <f>_xlfn.IFNA(
INDEX('Community Areas'!C$2:C$78,MATCH($E69,'Community Areas'!$A$2:$A$78,0)),
"")</f>
        <v>6-B</v>
      </c>
      <c r="J69" s="63">
        <f>_xlfn.IFNA(
INDEX('Community Areas'!D$2:D$78,MATCH($E69,'Community Areas'!$A$2:$A$78,0)),
"")</f>
        <v>6</v>
      </c>
      <c r="K69" s="60" t="str">
        <f>_xlfn.IFNA(
INDEX('Community Areas'!E$2:E$78,MATCH($E69,'Community Areas'!$A$2:$A$78,0)),
"")</f>
        <v>SOUTH</v>
      </c>
      <c r="L69" s="17" t="e">
        <f>SUMIFS([1]ACSDT5Y2020.B08301_data_with_ov!AT$3:AT$1334,[1]ACSDT5Y2020.B08301_data_with_ov!$AS$3:$AS$1334,$B69)</f>
        <v>#VALUE!</v>
      </c>
      <c r="M69" s="17" t="e">
        <f>SUMIFS([1]ACSDT5Y2020.B08301_data_with_ov!AU$3:AU$1334,[1]ACSDT5Y2020.B08301_data_with_ov!$AS$3:$AS$1334,$B69)</f>
        <v>#VALUE!</v>
      </c>
      <c r="N69" s="17" t="e">
        <f>SUMIFS([1]ACSDT5Y2020.B08301_data_with_ov!AV$3:AV$1334,[1]ACSDT5Y2020.B08301_data_with_ov!$AS$3:$AS$1334,$B69)</f>
        <v>#VALUE!</v>
      </c>
      <c r="O69" s="17" t="e">
        <f>SUMIFS([1]ACSDT5Y2020.B08301_data_with_ov!AW$3:AW$1334,[1]ACSDT5Y2020.B08301_data_with_ov!$AS$3:$AS$1334,$B69)</f>
        <v>#VALUE!</v>
      </c>
      <c r="P69" s="17" t="e">
        <f>SUMIFS([1]ACSDT5Y2020.B08301_data_with_ov!AX$3:AX$1334,[1]ACSDT5Y2020.B08301_data_with_ov!$AS$3:$AS$1334,$B69)</f>
        <v>#VALUE!</v>
      </c>
      <c r="Q69" s="17" t="e">
        <f>SUMIFS([1]ACSDT5Y2020.B08301_data_with_ov!AY$3:AY$1334,[1]ACSDT5Y2020.B08301_data_with_ov!$AS$3:$AS$1334,$B69)</f>
        <v>#VALUE!</v>
      </c>
      <c r="R69" s="17" t="e">
        <f>SUMIFS([1]ACSDT5Y2020.B08301_data_with_ov!AZ$3:AZ$1334,[1]ACSDT5Y2020.B08301_data_with_ov!$AS$3:$AS$1334,$B69)</f>
        <v>#VALUE!</v>
      </c>
      <c r="S69" s="17" t="e">
        <f>SUMIFS([1]ACSDT5Y2020.B08301_data_with_ov!BA$3:BA$1334,[1]ACSDT5Y2020.B08301_data_with_ov!$AS$3:$AS$1334,$B69)</f>
        <v>#VALUE!</v>
      </c>
      <c r="T69" s="188">
        <v>0.15246502697005782</v>
      </c>
      <c r="U69" s="189" t="e">
        <f t="shared" si="3"/>
        <v>#VALUE!</v>
      </c>
      <c r="V69" s="188">
        <v>0.15246502697005782</v>
      </c>
      <c r="W69" s="189" t="e">
        <f t="shared" si="0"/>
        <v>#VALUE!</v>
      </c>
      <c r="X69" s="188">
        <v>0.15246502697005782</v>
      </c>
      <c r="Y69" s="189" t="e">
        <f t="shared" si="1"/>
        <v>#VALUE!</v>
      </c>
      <c r="Z69" s="188">
        <v>0.15246502697005782</v>
      </c>
      <c r="AA69" s="189" t="e">
        <f t="shared" si="2"/>
        <v>#VALUE!</v>
      </c>
    </row>
    <row r="70" spans="1:27" x14ac:dyDescent="0.25">
      <c r="A70">
        <v>410500</v>
      </c>
      <c r="B70">
        <v>17031410500</v>
      </c>
      <c r="C70">
        <v>17031</v>
      </c>
      <c r="D70">
        <v>2010</v>
      </c>
      <c r="E70">
        <v>41</v>
      </c>
      <c r="F70">
        <v>2830552.76562683</v>
      </c>
      <c r="G70" s="45">
        <v>0.10153210964857488</v>
      </c>
      <c r="H70" s="60" t="str">
        <f>_xlfn.IFNA(
INDEX('Community Areas'!B$2:B$78,MATCH($E70,'Community Areas'!$A$2:$A$78,0)),
"")</f>
        <v>HYDE PARK</v>
      </c>
      <c r="I70" s="63" t="str">
        <f>_xlfn.IFNA(
INDEX('Community Areas'!C$2:C$78,MATCH($E70,'Community Areas'!$A$2:$A$78,0)),
"")</f>
        <v>6-B</v>
      </c>
      <c r="J70" s="63">
        <f>_xlfn.IFNA(
INDEX('Community Areas'!D$2:D$78,MATCH($E70,'Community Areas'!$A$2:$A$78,0)),
"")</f>
        <v>6</v>
      </c>
      <c r="K70" s="60" t="str">
        <f>_xlfn.IFNA(
INDEX('Community Areas'!E$2:E$78,MATCH($E70,'Community Areas'!$A$2:$A$78,0)),
"")</f>
        <v>SOUTH</v>
      </c>
      <c r="L70" s="17" t="e">
        <f>SUMIFS([1]ACSDT5Y2020.B08301_data_with_ov!AT$3:AT$1334,[1]ACSDT5Y2020.B08301_data_with_ov!$AS$3:$AS$1334,$B70)</f>
        <v>#VALUE!</v>
      </c>
      <c r="M70" s="17" t="e">
        <f>SUMIFS([1]ACSDT5Y2020.B08301_data_with_ov!AU$3:AU$1334,[1]ACSDT5Y2020.B08301_data_with_ov!$AS$3:$AS$1334,$B70)</f>
        <v>#VALUE!</v>
      </c>
      <c r="N70" s="17" t="e">
        <f>SUMIFS([1]ACSDT5Y2020.B08301_data_with_ov!AV$3:AV$1334,[1]ACSDT5Y2020.B08301_data_with_ov!$AS$3:$AS$1334,$B70)</f>
        <v>#VALUE!</v>
      </c>
      <c r="O70" s="17" t="e">
        <f>SUMIFS([1]ACSDT5Y2020.B08301_data_with_ov!AW$3:AW$1334,[1]ACSDT5Y2020.B08301_data_with_ov!$AS$3:$AS$1334,$B70)</f>
        <v>#VALUE!</v>
      </c>
      <c r="P70" s="17" t="e">
        <f>SUMIFS([1]ACSDT5Y2020.B08301_data_with_ov!AX$3:AX$1334,[1]ACSDT5Y2020.B08301_data_with_ov!$AS$3:$AS$1334,$B70)</f>
        <v>#VALUE!</v>
      </c>
      <c r="Q70" s="17" t="e">
        <f>SUMIFS([1]ACSDT5Y2020.B08301_data_with_ov!AY$3:AY$1334,[1]ACSDT5Y2020.B08301_data_with_ov!$AS$3:$AS$1334,$B70)</f>
        <v>#VALUE!</v>
      </c>
      <c r="R70" s="17" t="e">
        <f>SUMIFS([1]ACSDT5Y2020.B08301_data_with_ov!AZ$3:AZ$1334,[1]ACSDT5Y2020.B08301_data_with_ov!$AS$3:$AS$1334,$B70)</f>
        <v>#VALUE!</v>
      </c>
      <c r="S70" s="17" t="e">
        <f>SUMIFS([1]ACSDT5Y2020.B08301_data_with_ov!BA$3:BA$1334,[1]ACSDT5Y2020.B08301_data_with_ov!$AS$3:$AS$1334,$B70)</f>
        <v>#VALUE!</v>
      </c>
      <c r="T70" s="188">
        <v>0.1015321088161401</v>
      </c>
      <c r="U70" s="189" t="e">
        <f t="shared" si="3"/>
        <v>#VALUE!</v>
      </c>
      <c r="V70" s="188">
        <v>0.1015321088161401</v>
      </c>
      <c r="W70" s="189" t="e">
        <f t="shared" ref="W70:W133" si="4">(V70/$G70)*$L70</f>
        <v>#VALUE!</v>
      </c>
      <c r="X70" s="188">
        <v>0.1015321088161401</v>
      </c>
      <c r="Y70" s="189" t="e">
        <f t="shared" ref="Y70:Y133" si="5">(X70/$G70)*$L70</f>
        <v>#VALUE!</v>
      </c>
      <c r="Z70" s="188">
        <v>0.1015321088161401</v>
      </c>
      <c r="AA70" s="189" t="e">
        <f t="shared" ref="AA70:AA133" si="6">(Z70/$G70)*$L70</f>
        <v>#VALUE!</v>
      </c>
    </row>
    <row r="71" spans="1:27" x14ac:dyDescent="0.25">
      <c r="A71">
        <v>420800</v>
      </c>
      <c r="B71">
        <v>17031420800</v>
      </c>
      <c r="C71">
        <v>17031</v>
      </c>
      <c r="D71">
        <v>2010</v>
      </c>
      <c r="E71">
        <v>42</v>
      </c>
      <c r="F71">
        <v>3741634.9054544801</v>
      </c>
      <c r="G71" s="45">
        <v>0.13421268456778296</v>
      </c>
      <c r="H71" s="60" t="str">
        <f>_xlfn.IFNA(
INDEX('Community Areas'!B$2:B$78,MATCH($E71,'Community Areas'!$A$2:$A$78,0)),
"")</f>
        <v>WOODLAWN</v>
      </c>
      <c r="I71" s="63" t="str">
        <f>_xlfn.IFNA(
INDEX('Community Areas'!C$2:C$78,MATCH($E71,'Community Areas'!$A$2:$A$78,0)),
"")</f>
        <v>6-B</v>
      </c>
      <c r="J71" s="63">
        <f>_xlfn.IFNA(
INDEX('Community Areas'!D$2:D$78,MATCH($E71,'Community Areas'!$A$2:$A$78,0)),
"")</f>
        <v>6</v>
      </c>
      <c r="K71" s="60" t="str">
        <f>_xlfn.IFNA(
INDEX('Community Areas'!E$2:E$78,MATCH($E71,'Community Areas'!$A$2:$A$78,0)),
"")</f>
        <v>SOUTH</v>
      </c>
      <c r="L71" s="17" t="e">
        <f>SUMIFS([1]ACSDT5Y2020.B08301_data_with_ov!AT$3:AT$1334,[1]ACSDT5Y2020.B08301_data_with_ov!$AS$3:$AS$1334,$B71)</f>
        <v>#VALUE!</v>
      </c>
      <c r="M71" s="17" t="e">
        <f>SUMIFS([1]ACSDT5Y2020.B08301_data_with_ov!AU$3:AU$1334,[1]ACSDT5Y2020.B08301_data_with_ov!$AS$3:$AS$1334,$B71)</f>
        <v>#VALUE!</v>
      </c>
      <c r="N71" s="17" t="e">
        <f>SUMIFS([1]ACSDT5Y2020.B08301_data_with_ov!AV$3:AV$1334,[1]ACSDT5Y2020.B08301_data_with_ov!$AS$3:$AS$1334,$B71)</f>
        <v>#VALUE!</v>
      </c>
      <c r="O71" s="17" t="e">
        <f>SUMIFS([1]ACSDT5Y2020.B08301_data_with_ov!AW$3:AW$1334,[1]ACSDT5Y2020.B08301_data_with_ov!$AS$3:$AS$1334,$B71)</f>
        <v>#VALUE!</v>
      </c>
      <c r="P71" s="17" t="e">
        <f>SUMIFS([1]ACSDT5Y2020.B08301_data_with_ov!AX$3:AX$1334,[1]ACSDT5Y2020.B08301_data_with_ov!$AS$3:$AS$1334,$B71)</f>
        <v>#VALUE!</v>
      </c>
      <c r="Q71" s="17" t="e">
        <f>SUMIFS([1]ACSDT5Y2020.B08301_data_with_ov!AY$3:AY$1334,[1]ACSDT5Y2020.B08301_data_with_ov!$AS$3:$AS$1334,$B71)</f>
        <v>#VALUE!</v>
      </c>
      <c r="R71" s="17" t="e">
        <f>SUMIFS([1]ACSDT5Y2020.B08301_data_with_ov!AZ$3:AZ$1334,[1]ACSDT5Y2020.B08301_data_with_ov!$AS$3:$AS$1334,$B71)</f>
        <v>#VALUE!</v>
      </c>
      <c r="S71" s="17" t="e">
        <f>SUMIFS([1]ACSDT5Y2020.B08301_data_with_ov!BA$3:BA$1334,[1]ACSDT5Y2020.B08301_data_with_ov!$AS$3:$AS$1334,$B71)</f>
        <v>#VALUE!</v>
      </c>
      <c r="T71" s="188">
        <v>0.13421268297473063</v>
      </c>
      <c r="U71" s="189" t="e">
        <f t="shared" ref="U71:U134" si="7">(T71/$G71)*$L71</f>
        <v>#VALUE!</v>
      </c>
      <c r="V71" s="188">
        <v>0.13421268297473063</v>
      </c>
      <c r="W71" s="189" t="e">
        <f t="shared" si="4"/>
        <v>#VALUE!</v>
      </c>
      <c r="X71" s="188">
        <v>0.13421268297473063</v>
      </c>
      <c r="Y71" s="189" t="e">
        <f t="shared" si="5"/>
        <v>#VALUE!</v>
      </c>
      <c r="Z71" s="188">
        <v>0.13421268297473063</v>
      </c>
      <c r="AA71" s="189" t="e">
        <f t="shared" si="6"/>
        <v>#VALUE!</v>
      </c>
    </row>
    <row r="72" spans="1:27" x14ac:dyDescent="0.25">
      <c r="A72">
        <v>420300</v>
      </c>
      <c r="B72">
        <v>17031420300</v>
      </c>
      <c r="C72">
        <v>17031</v>
      </c>
      <c r="D72">
        <v>2010</v>
      </c>
      <c r="E72">
        <v>42</v>
      </c>
      <c r="F72">
        <v>2638410.7422330701</v>
      </c>
      <c r="G72" s="45">
        <v>9.463996291871378E-2</v>
      </c>
      <c r="H72" s="60" t="str">
        <f>_xlfn.IFNA(
INDEX('Community Areas'!B$2:B$78,MATCH($E72,'Community Areas'!$A$2:$A$78,0)),
"")</f>
        <v>WOODLAWN</v>
      </c>
      <c r="I72" s="63" t="str">
        <f>_xlfn.IFNA(
INDEX('Community Areas'!C$2:C$78,MATCH($E72,'Community Areas'!$A$2:$A$78,0)),
"")</f>
        <v>6-B</v>
      </c>
      <c r="J72" s="63">
        <f>_xlfn.IFNA(
INDEX('Community Areas'!D$2:D$78,MATCH($E72,'Community Areas'!$A$2:$A$78,0)),
"")</f>
        <v>6</v>
      </c>
      <c r="K72" s="60" t="str">
        <f>_xlfn.IFNA(
INDEX('Community Areas'!E$2:E$78,MATCH($E72,'Community Areas'!$A$2:$A$78,0)),
"")</f>
        <v>SOUTH</v>
      </c>
      <c r="L72" s="17" t="e">
        <f>SUMIFS([1]ACSDT5Y2020.B08301_data_with_ov!AT$3:AT$1334,[1]ACSDT5Y2020.B08301_data_with_ov!$AS$3:$AS$1334,$B72)</f>
        <v>#VALUE!</v>
      </c>
      <c r="M72" s="17" t="e">
        <f>SUMIFS([1]ACSDT5Y2020.B08301_data_with_ov!AU$3:AU$1334,[1]ACSDT5Y2020.B08301_data_with_ov!$AS$3:$AS$1334,$B72)</f>
        <v>#VALUE!</v>
      </c>
      <c r="N72" s="17" t="e">
        <f>SUMIFS([1]ACSDT5Y2020.B08301_data_with_ov!AV$3:AV$1334,[1]ACSDT5Y2020.B08301_data_with_ov!$AS$3:$AS$1334,$B72)</f>
        <v>#VALUE!</v>
      </c>
      <c r="O72" s="17" t="e">
        <f>SUMIFS([1]ACSDT5Y2020.B08301_data_with_ov!AW$3:AW$1334,[1]ACSDT5Y2020.B08301_data_with_ov!$AS$3:$AS$1334,$B72)</f>
        <v>#VALUE!</v>
      </c>
      <c r="P72" s="17" t="e">
        <f>SUMIFS([1]ACSDT5Y2020.B08301_data_with_ov!AX$3:AX$1334,[1]ACSDT5Y2020.B08301_data_with_ov!$AS$3:$AS$1334,$B72)</f>
        <v>#VALUE!</v>
      </c>
      <c r="Q72" s="17" t="e">
        <f>SUMIFS([1]ACSDT5Y2020.B08301_data_with_ov!AY$3:AY$1334,[1]ACSDT5Y2020.B08301_data_with_ov!$AS$3:$AS$1334,$B72)</f>
        <v>#VALUE!</v>
      </c>
      <c r="R72" s="17" t="e">
        <f>SUMIFS([1]ACSDT5Y2020.B08301_data_with_ov!AZ$3:AZ$1334,[1]ACSDT5Y2020.B08301_data_with_ov!$AS$3:$AS$1334,$B72)</f>
        <v>#VALUE!</v>
      </c>
      <c r="S72" s="17" t="e">
        <f>SUMIFS([1]ACSDT5Y2020.B08301_data_with_ov!BA$3:BA$1334,[1]ACSDT5Y2020.B08301_data_with_ov!$AS$3:$AS$1334,$B72)</f>
        <v>#VALUE!</v>
      </c>
      <c r="T72" s="188">
        <v>3.0943801640888717E-2</v>
      </c>
      <c r="U72" s="189" t="e">
        <f t="shared" si="7"/>
        <v>#VALUE!</v>
      </c>
      <c r="V72" s="188">
        <v>3.0943801640888717E-2</v>
      </c>
      <c r="W72" s="189" t="e">
        <f t="shared" si="4"/>
        <v>#VALUE!</v>
      </c>
      <c r="X72" s="188">
        <v>3.0943801640888717E-2</v>
      </c>
      <c r="Y72" s="189" t="e">
        <f t="shared" si="5"/>
        <v>#VALUE!</v>
      </c>
      <c r="Z72" s="188">
        <v>3.0943801640888717E-2</v>
      </c>
      <c r="AA72" s="189" t="e">
        <f t="shared" si="6"/>
        <v>#VALUE!</v>
      </c>
    </row>
    <row r="73" spans="1:27" x14ac:dyDescent="0.25">
      <c r="A73">
        <v>834400</v>
      </c>
      <c r="B73">
        <v>17031834400</v>
      </c>
      <c r="C73">
        <v>17031</v>
      </c>
      <c r="D73">
        <v>2010</v>
      </c>
      <c r="E73">
        <v>42</v>
      </c>
      <c r="F73">
        <v>6313636.356439</v>
      </c>
      <c r="G73" s="45">
        <v>0.22647054194067809</v>
      </c>
      <c r="H73" s="60" t="str">
        <f>_xlfn.IFNA(
INDEX('Community Areas'!B$2:B$78,MATCH($E73,'Community Areas'!$A$2:$A$78,0)),
"")</f>
        <v>WOODLAWN</v>
      </c>
      <c r="I73" s="63" t="str">
        <f>_xlfn.IFNA(
INDEX('Community Areas'!C$2:C$78,MATCH($E73,'Community Areas'!$A$2:$A$78,0)),
"")</f>
        <v>6-B</v>
      </c>
      <c r="J73" s="63">
        <f>_xlfn.IFNA(
INDEX('Community Areas'!D$2:D$78,MATCH($E73,'Community Areas'!$A$2:$A$78,0)),
"")</f>
        <v>6</v>
      </c>
      <c r="K73" s="60" t="str">
        <f>_xlfn.IFNA(
INDEX('Community Areas'!E$2:E$78,MATCH($E73,'Community Areas'!$A$2:$A$78,0)),
"")</f>
        <v>SOUTH</v>
      </c>
      <c r="L73" s="17" t="e">
        <f>SUMIFS([1]ACSDT5Y2020.B08301_data_with_ov!AT$3:AT$1334,[1]ACSDT5Y2020.B08301_data_with_ov!$AS$3:$AS$1334,$B73)</f>
        <v>#VALUE!</v>
      </c>
      <c r="M73" s="17" t="e">
        <f>SUMIFS([1]ACSDT5Y2020.B08301_data_with_ov!AU$3:AU$1334,[1]ACSDT5Y2020.B08301_data_with_ov!$AS$3:$AS$1334,$B73)</f>
        <v>#VALUE!</v>
      </c>
      <c r="N73" s="17" t="e">
        <f>SUMIFS([1]ACSDT5Y2020.B08301_data_with_ov!AV$3:AV$1334,[1]ACSDT5Y2020.B08301_data_with_ov!$AS$3:$AS$1334,$B73)</f>
        <v>#VALUE!</v>
      </c>
      <c r="O73" s="17" t="e">
        <f>SUMIFS([1]ACSDT5Y2020.B08301_data_with_ov!AW$3:AW$1334,[1]ACSDT5Y2020.B08301_data_with_ov!$AS$3:$AS$1334,$B73)</f>
        <v>#VALUE!</v>
      </c>
      <c r="P73" s="17" t="e">
        <f>SUMIFS([1]ACSDT5Y2020.B08301_data_with_ov!AX$3:AX$1334,[1]ACSDT5Y2020.B08301_data_with_ov!$AS$3:$AS$1334,$B73)</f>
        <v>#VALUE!</v>
      </c>
      <c r="Q73" s="17" t="e">
        <f>SUMIFS([1]ACSDT5Y2020.B08301_data_with_ov!AY$3:AY$1334,[1]ACSDT5Y2020.B08301_data_with_ov!$AS$3:$AS$1334,$B73)</f>
        <v>#VALUE!</v>
      </c>
      <c r="R73" s="17" t="e">
        <f>SUMIFS([1]ACSDT5Y2020.B08301_data_with_ov!AZ$3:AZ$1334,[1]ACSDT5Y2020.B08301_data_with_ov!$AS$3:$AS$1334,$B73)</f>
        <v>#VALUE!</v>
      </c>
      <c r="S73" s="17" t="e">
        <f>SUMIFS([1]ACSDT5Y2020.B08301_data_with_ov!BA$3:BA$1334,[1]ACSDT5Y2020.B08301_data_with_ov!$AS$3:$AS$1334,$B73)</f>
        <v>#VALUE!</v>
      </c>
      <c r="T73" s="188">
        <v>0.22647054463606914</v>
      </c>
      <c r="U73" s="189" t="e">
        <f t="shared" si="7"/>
        <v>#VALUE!</v>
      </c>
      <c r="V73" s="188">
        <v>0.22647054463606914</v>
      </c>
      <c r="W73" s="189" t="e">
        <f t="shared" si="4"/>
        <v>#VALUE!</v>
      </c>
      <c r="X73" s="188">
        <v>0.22647054463606914</v>
      </c>
      <c r="Y73" s="189" t="e">
        <f t="shared" si="5"/>
        <v>#VALUE!</v>
      </c>
      <c r="Z73" s="188">
        <v>0.22647054463606914</v>
      </c>
      <c r="AA73" s="189" t="e">
        <f t="shared" si="6"/>
        <v>#VALUE!</v>
      </c>
    </row>
    <row r="74" spans="1:27" x14ac:dyDescent="0.25">
      <c r="A74">
        <v>420600</v>
      </c>
      <c r="B74">
        <v>17031420600</v>
      </c>
      <c r="C74">
        <v>17031</v>
      </c>
      <c r="D74">
        <v>2010</v>
      </c>
      <c r="E74">
        <v>42</v>
      </c>
      <c r="F74">
        <v>2622599.08761199</v>
      </c>
      <c r="G74" s="45">
        <v>9.4072797851095832E-2</v>
      </c>
      <c r="H74" s="60" t="str">
        <f>_xlfn.IFNA(
INDEX('Community Areas'!B$2:B$78,MATCH($E74,'Community Areas'!$A$2:$A$78,0)),
"")</f>
        <v>WOODLAWN</v>
      </c>
      <c r="I74" s="63" t="str">
        <f>_xlfn.IFNA(
INDEX('Community Areas'!C$2:C$78,MATCH($E74,'Community Areas'!$A$2:$A$78,0)),
"")</f>
        <v>6-B</v>
      </c>
      <c r="J74" s="63">
        <f>_xlfn.IFNA(
INDEX('Community Areas'!D$2:D$78,MATCH($E74,'Community Areas'!$A$2:$A$78,0)),
"")</f>
        <v>6</v>
      </c>
      <c r="K74" s="60" t="str">
        <f>_xlfn.IFNA(
INDEX('Community Areas'!E$2:E$78,MATCH($E74,'Community Areas'!$A$2:$A$78,0)),
"")</f>
        <v>SOUTH</v>
      </c>
      <c r="L74" s="17" t="e">
        <f>SUMIFS([1]ACSDT5Y2020.B08301_data_with_ov!AT$3:AT$1334,[1]ACSDT5Y2020.B08301_data_with_ov!$AS$3:$AS$1334,$B74)</f>
        <v>#VALUE!</v>
      </c>
      <c r="M74" s="17" t="e">
        <f>SUMIFS([1]ACSDT5Y2020.B08301_data_with_ov!AU$3:AU$1334,[1]ACSDT5Y2020.B08301_data_with_ov!$AS$3:$AS$1334,$B74)</f>
        <v>#VALUE!</v>
      </c>
      <c r="N74" s="17" t="e">
        <f>SUMIFS([1]ACSDT5Y2020.B08301_data_with_ov!AV$3:AV$1334,[1]ACSDT5Y2020.B08301_data_with_ov!$AS$3:$AS$1334,$B74)</f>
        <v>#VALUE!</v>
      </c>
      <c r="O74" s="17" t="e">
        <f>SUMIFS([1]ACSDT5Y2020.B08301_data_with_ov!AW$3:AW$1334,[1]ACSDT5Y2020.B08301_data_with_ov!$AS$3:$AS$1334,$B74)</f>
        <v>#VALUE!</v>
      </c>
      <c r="P74" s="17" t="e">
        <f>SUMIFS([1]ACSDT5Y2020.B08301_data_with_ov!AX$3:AX$1334,[1]ACSDT5Y2020.B08301_data_with_ov!$AS$3:$AS$1334,$B74)</f>
        <v>#VALUE!</v>
      </c>
      <c r="Q74" s="17" t="e">
        <f>SUMIFS([1]ACSDT5Y2020.B08301_data_with_ov!AY$3:AY$1334,[1]ACSDT5Y2020.B08301_data_with_ov!$AS$3:$AS$1334,$B74)</f>
        <v>#VALUE!</v>
      </c>
      <c r="R74" s="17" t="e">
        <f>SUMIFS([1]ACSDT5Y2020.B08301_data_with_ov!AZ$3:AZ$1334,[1]ACSDT5Y2020.B08301_data_with_ov!$AS$3:$AS$1334,$B74)</f>
        <v>#VALUE!</v>
      </c>
      <c r="S74" s="17" t="e">
        <f>SUMIFS([1]ACSDT5Y2020.B08301_data_with_ov!BA$3:BA$1334,[1]ACSDT5Y2020.B08301_data_with_ov!$AS$3:$AS$1334,$B74)</f>
        <v>#VALUE!</v>
      </c>
      <c r="T74" s="188">
        <v>9.4072800388717792E-2</v>
      </c>
      <c r="U74" s="189" t="e">
        <f t="shared" si="7"/>
        <v>#VALUE!</v>
      </c>
      <c r="V74" s="188">
        <v>9.4072800388717792E-2</v>
      </c>
      <c r="W74" s="189" t="e">
        <f t="shared" si="4"/>
        <v>#VALUE!</v>
      </c>
      <c r="X74" s="188">
        <v>9.4072800388717792E-2</v>
      </c>
      <c r="Y74" s="189" t="e">
        <f t="shared" si="5"/>
        <v>#VALUE!</v>
      </c>
      <c r="Z74" s="188">
        <v>9.4072800388717792E-2</v>
      </c>
      <c r="AA74" s="189" t="e">
        <f t="shared" si="6"/>
        <v>#VALUE!</v>
      </c>
    </row>
    <row r="75" spans="1:27" x14ac:dyDescent="0.25">
      <c r="A75">
        <v>420700</v>
      </c>
      <c r="B75">
        <v>17031420700</v>
      </c>
      <c r="C75">
        <v>17031</v>
      </c>
      <c r="D75">
        <v>2010</v>
      </c>
      <c r="E75">
        <v>42</v>
      </c>
      <c r="F75">
        <v>7002808.7911511399</v>
      </c>
      <c r="G75" s="45">
        <v>0.25119120147322443</v>
      </c>
      <c r="H75" s="60" t="str">
        <f>_xlfn.IFNA(
INDEX('Community Areas'!B$2:B$78,MATCH($E75,'Community Areas'!$A$2:$A$78,0)),
"")</f>
        <v>WOODLAWN</v>
      </c>
      <c r="I75" s="63" t="str">
        <f>_xlfn.IFNA(
INDEX('Community Areas'!C$2:C$78,MATCH($E75,'Community Areas'!$A$2:$A$78,0)),
"")</f>
        <v>6-B</v>
      </c>
      <c r="J75" s="63">
        <f>_xlfn.IFNA(
INDEX('Community Areas'!D$2:D$78,MATCH($E75,'Community Areas'!$A$2:$A$78,0)),
"")</f>
        <v>6</v>
      </c>
      <c r="K75" s="60" t="str">
        <f>_xlfn.IFNA(
INDEX('Community Areas'!E$2:E$78,MATCH($E75,'Community Areas'!$A$2:$A$78,0)),
"")</f>
        <v>SOUTH</v>
      </c>
      <c r="L75" s="17" t="e">
        <f>SUMIFS([1]ACSDT5Y2020.B08301_data_with_ov!AT$3:AT$1334,[1]ACSDT5Y2020.B08301_data_with_ov!$AS$3:$AS$1334,$B75)</f>
        <v>#VALUE!</v>
      </c>
      <c r="M75" s="17" t="e">
        <f>SUMIFS([1]ACSDT5Y2020.B08301_data_with_ov!AU$3:AU$1334,[1]ACSDT5Y2020.B08301_data_with_ov!$AS$3:$AS$1334,$B75)</f>
        <v>#VALUE!</v>
      </c>
      <c r="N75" s="17" t="e">
        <f>SUMIFS([1]ACSDT5Y2020.B08301_data_with_ov!AV$3:AV$1334,[1]ACSDT5Y2020.B08301_data_with_ov!$AS$3:$AS$1334,$B75)</f>
        <v>#VALUE!</v>
      </c>
      <c r="O75" s="17" t="e">
        <f>SUMIFS([1]ACSDT5Y2020.B08301_data_with_ov!AW$3:AW$1334,[1]ACSDT5Y2020.B08301_data_with_ov!$AS$3:$AS$1334,$B75)</f>
        <v>#VALUE!</v>
      </c>
      <c r="P75" s="17" t="e">
        <f>SUMIFS([1]ACSDT5Y2020.B08301_data_with_ov!AX$3:AX$1334,[1]ACSDT5Y2020.B08301_data_with_ov!$AS$3:$AS$1334,$B75)</f>
        <v>#VALUE!</v>
      </c>
      <c r="Q75" s="17" t="e">
        <f>SUMIFS([1]ACSDT5Y2020.B08301_data_with_ov!AY$3:AY$1334,[1]ACSDT5Y2020.B08301_data_with_ov!$AS$3:$AS$1334,$B75)</f>
        <v>#VALUE!</v>
      </c>
      <c r="R75" s="17" t="e">
        <f>SUMIFS([1]ACSDT5Y2020.B08301_data_with_ov!AZ$3:AZ$1334,[1]ACSDT5Y2020.B08301_data_with_ov!$AS$3:$AS$1334,$B75)</f>
        <v>#VALUE!</v>
      </c>
      <c r="S75" s="17" t="e">
        <f>SUMIFS([1]ACSDT5Y2020.B08301_data_with_ov!BA$3:BA$1334,[1]ACSDT5Y2020.B08301_data_with_ov!$AS$3:$AS$1334,$B75)</f>
        <v>#VALUE!</v>
      </c>
      <c r="T75" s="188">
        <v>0.2511911977464521</v>
      </c>
      <c r="U75" s="189" t="e">
        <f t="shared" si="7"/>
        <v>#VALUE!</v>
      </c>
      <c r="V75" s="188">
        <v>0.2511911977464521</v>
      </c>
      <c r="W75" s="189" t="e">
        <f t="shared" si="4"/>
        <v>#VALUE!</v>
      </c>
      <c r="X75" s="188">
        <v>0.2511911977464521</v>
      </c>
      <c r="Y75" s="189" t="e">
        <f t="shared" si="5"/>
        <v>#VALUE!</v>
      </c>
      <c r="Z75" s="188">
        <v>0.2511911977464521</v>
      </c>
      <c r="AA75" s="189" t="e">
        <f t="shared" si="6"/>
        <v>#VALUE!</v>
      </c>
    </row>
    <row r="76" spans="1:27" x14ac:dyDescent="0.25">
      <c r="A76">
        <v>421200</v>
      </c>
      <c r="B76">
        <v>17031421200</v>
      </c>
      <c r="C76">
        <v>17031</v>
      </c>
      <c r="D76">
        <v>2010</v>
      </c>
      <c r="E76">
        <v>42</v>
      </c>
      <c r="F76">
        <v>3504678.09555774</v>
      </c>
      <c r="G76" s="45">
        <v>0.12571302856540331</v>
      </c>
      <c r="H76" s="60" t="str">
        <f>_xlfn.IFNA(
INDEX('Community Areas'!B$2:B$78,MATCH($E76,'Community Areas'!$A$2:$A$78,0)),
"")</f>
        <v>WOODLAWN</v>
      </c>
      <c r="I76" s="63" t="str">
        <f>_xlfn.IFNA(
INDEX('Community Areas'!C$2:C$78,MATCH($E76,'Community Areas'!$A$2:$A$78,0)),
"")</f>
        <v>6-B</v>
      </c>
      <c r="J76" s="63">
        <f>_xlfn.IFNA(
INDEX('Community Areas'!D$2:D$78,MATCH($E76,'Community Areas'!$A$2:$A$78,0)),
"")</f>
        <v>6</v>
      </c>
      <c r="K76" s="60" t="str">
        <f>_xlfn.IFNA(
INDEX('Community Areas'!E$2:E$78,MATCH($E76,'Community Areas'!$A$2:$A$78,0)),
"")</f>
        <v>SOUTH</v>
      </c>
      <c r="L76" s="17" t="e">
        <f>SUMIFS([1]ACSDT5Y2020.B08301_data_with_ov!AT$3:AT$1334,[1]ACSDT5Y2020.B08301_data_with_ov!$AS$3:$AS$1334,$B76)</f>
        <v>#VALUE!</v>
      </c>
      <c r="M76" s="17" t="e">
        <f>SUMIFS([1]ACSDT5Y2020.B08301_data_with_ov!AU$3:AU$1334,[1]ACSDT5Y2020.B08301_data_with_ov!$AS$3:$AS$1334,$B76)</f>
        <v>#VALUE!</v>
      </c>
      <c r="N76" s="17" t="e">
        <f>SUMIFS([1]ACSDT5Y2020.B08301_data_with_ov!AV$3:AV$1334,[1]ACSDT5Y2020.B08301_data_with_ov!$AS$3:$AS$1334,$B76)</f>
        <v>#VALUE!</v>
      </c>
      <c r="O76" s="17" t="e">
        <f>SUMIFS([1]ACSDT5Y2020.B08301_data_with_ov!AW$3:AW$1334,[1]ACSDT5Y2020.B08301_data_with_ov!$AS$3:$AS$1334,$B76)</f>
        <v>#VALUE!</v>
      </c>
      <c r="P76" s="17" t="e">
        <f>SUMIFS([1]ACSDT5Y2020.B08301_data_with_ov!AX$3:AX$1334,[1]ACSDT5Y2020.B08301_data_with_ov!$AS$3:$AS$1334,$B76)</f>
        <v>#VALUE!</v>
      </c>
      <c r="Q76" s="17" t="e">
        <f>SUMIFS([1]ACSDT5Y2020.B08301_data_with_ov!AY$3:AY$1334,[1]ACSDT5Y2020.B08301_data_with_ov!$AS$3:$AS$1334,$B76)</f>
        <v>#VALUE!</v>
      </c>
      <c r="R76" s="17" t="e">
        <f>SUMIFS([1]ACSDT5Y2020.B08301_data_with_ov!AZ$3:AZ$1334,[1]ACSDT5Y2020.B08301_data_with_ov!$AS$3:$AS$1334,$B76)</f>
        <v>#VALUE!</v>
      </c>
      <c r="S76" s="17" t="e">
        <f>SUMIFS([1]ACSDT5Y2020.B08301_data_with_ov!BA$3:BA$1334,[1]ACSDT5Y2020.B08301_data_with_ov!$AS$3:$AS$1334,$B76)</f>
        <v>#VALUE!</v>
      </c>
      <c r="T76" s="188">
        <v>0.12571303111153223</v>
      </c>
      <c r="U76" s="189" t="e">
        <f t="shared" si="7"/>
        <v>#VALUE!</v>
      </c>
      <c r="V76" s="188">
        <v>0.12571303111153223</v>
      </c>
      <c r="W76" s="189" t="e">
        <f t="shared" si="4"/>
        <v>#VALUE!</v>
      </c>
      <c r="X76" s="188">
        <v>0.12571303111153223</v>
      </c>
      <c r="Y76" s="189" t="e">
        <f t="shared" si="5"/>
        <v>#VALUE!</v>
      </c>
      <c r="Z76" s="188">
        <v>0.12571303111153223</v>
      </c>
      <c r="AA76" s="189" t="e">
        <f t="shared" si="6"/>
        <v>#VALUE!</v>
      </c>
    </row>
    <row r="77" spans="1:27" x14ac:dyDescent="0.25">
      <c r="A77">
        <v>420100</v>
      </c>
      <c r="B77">
        <v>17031420100</v>
      </c>
      <c r="C77">
        <v>17031</v>
      </c>
      <c r="D77">
        <v>2010</v>
      </c>
      <c r="E77">
        <v>42</v>
      </c>
      <c r="F77">
        <v>8951212.3606753703</v>
      </c>
      <c r="G77" s="45">
        <v>0.32108056275379399</v>
      </c>
      <c r="H77" s="60" t="str">
        <f>_xlfn.IFNA(
INDEX('Community Areas'!B$2:B$78,MATCH($E77,'Community Areas'!$A$2:$A$78,0)),
"")</f>
        <v>WOODLAWN</v>
      </c>
      <c r="I77" s="63" t="str">
        <f>_xlfn.IFNA(
INDEX('Community Areas'!C$2:C$78,MATCH($E77,'Community Areas'!$A$2:$A$78,0)),
"")</f>
        <v>6-B</v>
      </c>
      <c r="J77" s="63">
        <f>_xlfn.IFNA(
INDEX('Community Areas'!D$2:D$78,MATCH($E77,'Community Areas'!$A$2:$A$78,0)),
"")</f>
        <v>6</v>
      </c>
      <c r="K77" s="60" t="str">
        <f>_xlfn.IFNA(
INDEX('Community Areas'!E$2:E$78,MATCH($E77,'Community Areas'!$A$2:$A$78,0)),
"")</f>
        <v>SOUTH</v>
      </c>
      <c r="L77" s="17" t="e">
        <f>SUMIFS([1]ACSDT5Y2020.B08301_data_with_ov!AT$3:AT$1334,[1]ACSDT5Y2020.B08301_data_with_ov!$AS$3:$AS$1334,$B77)</f>
        <v>#VALUE!</v>
      </c>
      <c r="M77" s="17" t="e">
        <f>SUMIFS([1]ACSDT5Y2020.B08301_data_with_ov!AU$3:AU$1334,[1]ACSDT5Y2020.B08301_data_with_ov!$AS$3:$AS$1334,$B77)</f>
        <v>#VALUE!</v>
      </c>
      <c r="N77" s="17" t="e">
        <f>SUMIFS([1]ACSDT5Y2020.B08301_data_with_ov!AV$3:AV$1334,[1]ACSDT5Y2020.B08301_data_with_ov!$AS$3:$AS$1334,$B77)</f>
        <v>#VALUE!</v>
      </c>
      <c r="O77" s="17" t="e">
        <f>SUMIFS([1]ACSDT5Y2020.B08301_data_with_ov!AW$3:AW$1334,[1]ACSDT5Y2020.B08301_data_with_ov!$AS$3:$AS$1334,$B77)</f>
        <v>#VALUE!</v>
      </c>
      <c r="P77" s="17" t="e">
        <f>SUMIFS([1]ACSDT5Y2020.B08301_data_with_ov!AX$3:AX$1334,[1]ACSDT5Y2020.B08301_data_with_ov!$AS$3:$AS$1334,$B77)</f>
        <v>#VALUE!</v>
      </c>
      <c r="Q77" s="17" t="e">
        <f>SUMIFS([1]ACSDT5Y2020.B08301_data_with_ov!AY$3:AY$1334,[1]ACSDT5Y2020.B08301_data_with_ov!$AS$3:$AS$1334,$B77)</f>
        <v>#VALUE!</v>
      </c>
      <c r="R77" s="17" t="e">
        <f>SUMIFS([1]ACSDT5Y2020.B08301_data_with_ov!AZ$3:AZ$1334,[1]ACSDT5Y2020.B08301_data_with_ov!$AS$3:$AS$1334,$B77)</f>
        <v>#VALUE!</v>
      </c>
      <c r="S77" s="17" t="e">
        <f>SUMIFS([1]ACSDT5Y2020.B08301_data_with_ov!BA$3:BA$1334,[1]ACSDT5Y2020.B08301_data_with_ov!$AS$3:$AS$1334,$B77)</f>
        <v>#VALUE!</v>
      </c>
      <c r="T77" s="188">
        <v>0.31988554083998078</v>
      </c>
      <c r="U77" s="189" t="e">
        <f t="shared" si="7"/>
        <v>#VALUE!</v>
      </c>
      <c r="V77" s="188">
        <v>0.31988554083998078</v>
      </c>
      <c r="W77" s="189" t="e">
        <f t="shared" si="4"/>
        <v>#VALUE!</v>
      </c>
      <c r="X77" s="188">
        <v>0.31988554083998078</v>
      </c>
      <c r="Y77" s="189" t="e">
        <f t="shared" si="5"/>
        <v>#VALUE!</v>
      </c>
      <c r="Z77" s="188">
        <v>0.31988554083998078</v>
      </c>
      <c r="AA77" s="189" t="e">
        <f t="shared" si="6"/>
        <v>#VALUE!</v>
      </c>
    </row>
    <row r="78" spans="1:27" x14ac:dyDescent="0.25">
      <c r="A78">
        <v>420400</v>
      </c>
      <c r="B78">
        <v>17031420400</v>
      </c>
      <c r="C78">
        <v>17031</v>
      </c>
      <c r="D78">
        <v>2010</v>
      </c>
      <c r="E78">
        <v>42</v>
      </c>
      <c r="F78">
        <v>2639089.2436639201</v>
      </c>
      <c r="G78" s="45">
        <v>9.4664300808651861E-2</v>
      </c>
      <c r="H78" s="60" t="str">
        <f>_xlfn.IFNA(
INDEX('Community Areas'!B$2:B$78,MATCH($E78,'Community Areas'!$A$2:$A$78,0)),
"")</f>
        <v>WOODLAWN</v>
      </c>
      <c r="I78" s="63" t="str">
        <f>_xlfn.IFNA(
INDEX('Community Areas'!C$2:C$78,MATCH($E78,'Community Areas'!$A$2:$A$78,0)),
"")</f>
        <v>6-B</v>
      </c>
      <c r="J78" s="63">
        <f>_xlfn.IFNA(
INDEX('Community Areas'!D$2:D$78,MATCH($E78,'Community Areas'!$A$2:$A$78,0)),
"")</f>
        <v>6</v>
      </c>
      <c r="K78" s="60" t="str">
        <f>_xlfn.IFNA(
INDEX('Community Areas'!E$2:E$78,MATCH($E78,'Community Areas'!$A$2:$A$78,0)),
"")</f>
        <v>SOUTH</v>
      </c>
      <c r="L78" s="17" t="e">
        <f>SUMIFS([1]ACSDT5Y2020.B08301_data_with_ov!AT$3:AT$1334,[1]ACSDT5Y2020.B08301_data_with_ov!$AS$3:$AS$1334,$B78)</f>
        <v>#VALUE!</v>
      </c>
      <c r="M78" s="17" t="e">
        <f>SUMIFS([1]ACSDT5Y2020.B08301_data_with_ov!AU$3:AU$1334,[1]ACSDT5Y2020.B08301_data_with_ov!$AS$3:$AS$1334,$B78)</f>
        <v>#VALUE!</v>
      </c>
      <c r="N78" s="17" t="e">
        <f>SUMIFS([1]ACSDT5Y2020.B08301_data_with_ov!AV$3:AV$1334,[1]ACSDT5Y2020.B08301_data_with_ov!$AS$3:$AS$1334,$B78)</f>
        <v>#VALUE!</v>
      </c>
      <c r="O78" s="17" t="e">
        <f>SUMIFS([1]ACSDT5Y2020.B08301_data_with_ov!AW$3:AW$1334,[1]ACSDT5Y2020.B08301_data_with_ov!$AS$3:$AS$1334,$B78)</f>
        <v>#VALUE!</v>
      </c>
      <c r="P78" s="17" t="e">
        <f>SUMIFS([1]ACSDT5Y2020.B08301_data_with_ov!AX$3:AX$1334,[1]ACSDT5Y2020.B08301_data_with_ov!$AS$3:$AS$1334,$B78)</f>
        <v>#VALUE!</v>
      </c>
      <c r="Q78" s="17" t="e">
        <f>SUMIFS([1]ACSDT5Y2020.B08301_data_with_ov!AY$3:AY$1334,[1]ACSDT5Y2020.B08301_data_with_ov!$AS$3:$AS$1334,$B78)</f>
        <v>#VALUE!</v>
      </c>
      <c r="R78" s="17" t="e">
        <f>SUMIFS([1]ACSDT5Y2020.B08301_data_with_ov!AZ$3:AZ$1334,[1]ACSDT5Y2020.B08301_data_with_ov!$AS$3:$AS$1334,$B78)</f>
        <v>#VALUE!</v>
      </c>
      <c r="S78" s="17" t="e">
        <f>SUMIFS([1]ACSDT5Y2020.B08301_data_with_ov!BA$3:BA$1334,[1]ACSDT5Y2020.B08301_data_with_ov!$AS$3:$AS$1334,$B78)</f>
        <v>#VALUE!</v>
      </c>
      <c r="T78" s="188">
        <v>3.1024814335685297E-2</v>
      </c>
      <c r="U78" s="189" t="e">
        <f t="shared" si="7"/>
        <v>#VALUE!</v>
      </c>
      <c r="V78" s="188">
        <v>3.1024825138290826E-2</v>
      </c>
      <c r="W78" s="189" t="e">
        <f t="shared" si="4"/>
        <v>#VALUE!</v>
      </c>
      <c r="X78" s="188">
        <v>3.1024825138290826E-2</v>
      </c>
      <c r="Y78" s="189" t="e">
        <f t="shared" si="5"/>
        <v>#VALUE!</v>
      </c>
      <c r="Z78" s="188">
        <v>3.1024825138290826E-2</v>
      </c>
      <c r="AA78" s="189" t="e">
        <f t="shared" si="6"/>
        <v>#VALUE!</v>
      </c>
    </row>
    <row r="79" spans="1:27" x14ac:dyDescent="0.25">
      <c r="A79">
        <v>420200</v>
      </c>
      <c r="B79">
        <v>17031420200</v>
      </c>
      <c r="C79">
        <v>17031</v>
      </c>
      <c r="D79">
        <v>2010</v>
      </c>
      <c r="E79">
        <v>42</v>
      </c>
      <c r="F79">
        <v>2969877.33797576</v>
      </c>
      <c r="G79" s="45">
        <v>0.10652969101439681</v>
      </c>
      <c r="H79" s="60" t="str">
        <f>_xlfn.IFNA(
INDEX('Community Areas'!B$2:B$78,MATCH($E79,'Community Areas'!$A$2:$A$78,0)),
"")</f>
        <v>WOODLAWN</v>
      </c>
      <c r="I79" s="63" t="str">
        <f>_xlfn.IFNA(
INDEX('Community Areas'!C$2:C$78,MATCH($E79,'Community Areas'!$A$2:$A$78,0)),
"")</f>
        <v>6-B</v>
      </c>
      <c r="J79" s="63">
        <f>_xlfn.IFNA(
INDEX('Community Areas'!D$2:D$78,MATCH($E79,'Community Areas'!$A$2:$A$78,0)),
"")</f>
        <v>6</v>
      </c>
      <c r="K79" s="60" t="str">
        <f>_xlfn.IFNA(
INDEX('Community Areas'!E$2:E$78,MATCH($E79,'Community Areas'!$A$2:$A$78,0)),
"")</f>
        <v>SOUTH</v>
      </c>
      <c r="L79" s="17" t="e">
        <f>SUMIFS([1]ACSDT5Y2020.B08301_data_with_ov!AT$3:AT$1334,[1]ACSDT5Y2020.B08301_data_with_ov!$AS$3:$AS$1334,$B79)</f>
        <v>#VALUE!</v>
      </c>
      <c r="M79" s="17" t="e">
        <f>SUMIFS([1]ACSDT5Y2020.B08301_data_with_ov!AU$3:AU$1334,[1]ACSDT5Y2020.B08301_data_with_ov!$AS$3:$AS$1334,$B79)</f>
        <v>#VALUE!</v>
      </c>
      <c r="N79" s="17" t="e">
        <f>SUMIFS([1]ACSDT5Y2020.B08301_data_with_ov!AV$3:AV$1334,[1]ACSDT5Y2020.B08301_data_with_ov!$AS$3:$AS$1334,$B79)</f>
        <v>#VALUE!</v>
      </c>
      <c r="O79" s="17" t="e">
        <f>SUMIFS([1]ACSDT5Y2020.B08301_data_with_ov!AW$3:AW$1334,[1]ACSDT5Y2020.B08301_data_with_ov!$AS$3:$AS$1334,$B79)</f>
        <v>#VALUE!</v>
      </c>
      <c r="P79" s="17" t="e">
        <f>SUMIFS([1]ACSDT5Y2020.B08301_data_with_ov!AX$3:AX$1334,[1]ACSDT5Y2020.B08301_data_with_ov!$AS$3:$AS$1334,$B79)</f>
        <v>#VALUE!</v>
      </c>
      <c r="Q79" s="17" t="e">
        <f>SUMIFS([1]ACSDT5Y2020.B08301_data_with_ov!AY$3:AY$1334,[1]ACSDT5Y2020.B08301_data_with_ov!$AS$3:$AS$1334,$B79)</f>
        <v>#VALUE!</v>
      </c>
      <c r="R79" s="17" t="e">
        <f>SUMIFS([1]ACSDT5Y2020.B08301_data_with_ov!AZ$3:AZ$1334,[1]ACSDT5Y2020.B08301_data_with_ov!$AS$3:$AS$1334,$B79)</f>
        <v>#VALUE!</v>
      </c>
      <c r="S79" s="17" t="e">
        <f>SUMIFS([1]ACSDT5Y2020.B08301_data_with_ov!BA$3:BA$1334,[1]ACSDT5Y2020.B08301_data_with_ov!$AS$3:$AS$1334,$B79)</f>
        <v>#VALUE!</v>
      </c>
      <c r="T79" s="188">
        <v>6.8744237804704719E-2</v>
      </c>
      <c r="U79" s="189" t="e">
        <f t="shared" si="7"/>
        <v>#VALUE!</v>
      </c>
      <c r="V79" s="188">
        <v>6.8744237804704719E-2</v>
      </c>
      <c r="W79" s="189" t="e">
        <f t="shared" si="4"/>
        <v>#VALUE!</v>
      </c>
      <c r="X79" s="188">
        <v>6.8744237804704719E-2</v>
      </c>
      <c r="Y79" s="189" t="e">
        <f t="shared" si="5"/>
        <v>#VALUE!</v>
      </c>
      <c r="Z79" s="188">
        <v>6.8744237804704719E-2</v>
      </c>
      <c r="AA79" s="189" t="e">
        <f t="shared" si="6"/>
        <v>#VALUE!</v>
      </c>
    </row>
    <row r="80" spans="1:27" x14ac:dyDescent="0.25">
      <c r="A80">
        <v>420500</v>
      </c>
      <c r="B80">
        <v>17031420500</v>
      </c>
      <c r="C80">
        <v>17031</v>
      </c>
      <c r="D80">
        <v>2010</v>
      </c>
      <c r="E80">
        <v>42</v>
      </c>
      <c r="F80">
        <v>2647610.96637059</v>
      </c>
      <c r="G80" s="45">
        <v>9.4969975549909255E-2</v>
      </c>
      <c r="H80" s="60" t="str">
        <f>_xlfn.IFNA(
INDEX('Community Areas'!B$2:B$78,MATCH($E80,'Community Areas'!$A$2:$A$78,0)),
"")</f>
        <v>WOODLAWN</v>
      </c>
      <c r="I80" s="63" t="str">
        <f>_xlfn.IFNA(
INDEX('Community Areas'!C$2:C$78,MATCH($E80,'Community Areas'!$A$2:$A$78,0)),
"")</f>
        <v>6-B</v>
      </c>
      <c r="J80" s="63">
        <f>_xlfn.IFNA(
INDEX('Community Areas'!D$2:D$78,MATCH($E80,'Community Areas'!$A$2:$A$78,0)),
"")</f>
        <v>6</v>
      </c>
      <c r="K80" s="60" t="str">
        <f>_xlfn.IFNA(
INDEX('Community Areas'!E$2:E$78,MATCH($E80,'Community Areas'!$A$2:$A$78,0)),
"")</f>
        <v>SOUTH</v>
      </c>
      <c r="L80" s="17" t="e">
        <f>SUMIFS([1]ACSDT5Y2020.B08301_data_with_ov!AT$3:AT$1334,[1]ACSDT5Y2020.B08301_data_with_ov!$AS$3:$AS$1334,$B80)</f>
        <v>#VALUE!</v>
      </c>
      <c r="M80" s="17" t="e">
        <f>SUMIFS([1]ACSDT5Y2020.B08301_data_with_ov!AU$3:AU$1334,[1]ACSDT5Y2020.B08301_data_with_ov!$AS$3:$AS$1334,$B80)</f>
        <v>#VALUE!</v>
      </c>
      <c r="N80" s="17" t="e">
        <f>SUMIFS([1]ACSDT5Y2020.B08301_data_with_ov!AV$3:AV$1334,[1]ACSDT5Y2020.B08301_data_with_ov!$AS$3:$AS$1334,$B80)</f>
        <v>#VALUE!</v>
      </c>
      <c r="O80" s="17" t="e">
        <f>SUMIFS([1]ACSDT5Y2020.B08301_data_with_ov!AW$3:AW$1334,[1]ACSDT5Y2020.B08301_data_with_ov!$AS$3:$AS$1334,$B80)</f>
        <v>#VALUE!</v>
      </c>
      <c r="P80" s="17" t="e">
        <f>SUMIFS([1]ACSDT5Y2020.B08301_data_with_ov!AX$3:AX$1334,[1]ACSDT5Y2020.B08301_data_with_ov!$AS$3:$AS$1334,$B80)</f>
        <v>#VALUE!</v>
      </c>
      <c r="Q80" s="17" t="e">
        <f>SUMIFS([1]ACSDT5Y2020.B08301_data_with_ov!AY$3:AY$1334,[1]ACSDT5Y2020.B08301_data_with_ov!$AS$3:$AS$1334,$B80)</f>
        <v>#VALUE!</v>
      </c>
      <c r="R80" s="17" t="e">
        <f>SUMIFS([1]ACSDT5Y2020.B08301_data_with_ov!AZ$3:AZ$1334,[1]ACSDT5Y2020.B08301_data_with_ov!$AS$3:$AS$1334,$B80)</f>
        <v>#VALUE!</v>
      </c>
      <c r="S80" s="17" t="e">
        <f>SUMIFS([1]ACSDT5Y2020.B08301_data_with_ov!BA$3:BA$1334,[1]ACSDT5Y2020.B08301_data_with_ov!$AS$3:$AS$1334,$B80)</f>
        <v>#VALUE!</v>
      </c>
      <c r="T80" s="188">
        <v>9.4587041204291483E-2</v>
      </c>
      <c r="U80" s="189" t="e">
        <f t="shared" si="7"/>
        <v>#VALUE!</v>
      </c>
      <c r="V80" s="188">
        <v>9.0680564839632119E-2</v>
      </c>
      <c r="W80" s="189" t="e">
        <f t="shared" si="4"/>
        <v>#VALUE!</v>
      </c>
      <c r="X80" s="188">
        <v>9.0680564839632119E-2</v>
      </c>
      <c r="Y80" s="189" t="e">
        <f t="shared" si="5"/>
        <v>#VALUE!</v>
      </c>
      <c r="Z80" s="188">
        <v>9.0680564839632119E-2</v>
      </c>
      <c r="AA80" s="189" t="e">
        <f t="shared" si="6"/>
        <v>#VALUE!</v>
      </c>
    </row>
    <row r="81" spans="1:27" x14ac:dyDescent="0.25">
      <c r="A81">
        <v>10503</v>
      </c>
      <c r="B81">
        <v>17031010503</v>
      </c>
      <c r="C81">
        <v>17031</v>
      </c>
      <c r="D81">
        <v>2010</v>
      </c>
      <c r="E81">
        <v>1</v>
      </c>
      <c r="F81">
        <v>2091682.0660276399</v>
      </c>
      <c r="G81" s="45">
        <v>7.5028770159967575E-2</v>
      </c>
      <c r="H81" s="60" t="str">
        <f>_xlfn.IFNA(
INDEX('Community Areas'!B$2:B$78,MATCH($E81,'Community Areas'!$A$2:$A$78,0)),
"")</f>
        <v>ROGERS PARK</v>
      </c>
      <c r="I81" s="63" t="str">
        <f>_xlfn.IFNA(
INDEX('Community Areas'!C$2:C$78,MATCH($E81,'Community Areas'!$A$2:$A$78,0)),
"")</f>
        <v>1-A</v>
      </c>
      <c r="J81" s="63">
        <f>_xlfn.IFNA(
INDEX('Community Areas'!D$2:D$78,MATCH($E81,'Community Areas'!$A$2:$A$78,0)),
"")</f>
        <v>1</v>
      </c>
      <c r="K81" s="60" t="str">
        <f>_xlfn.IFNA(
INDEX('Community Areas'!E$2:E$78,MATCH($E81,'Community Areas'!$A$2:$A$78,0)),
"")</f>
        <v>NORTH</v>
      </c>
      <c r="L81" s="17" t="e">
        <f>SUMIFS([1]ACSDT5Y2020.B08301_data_with_ov!AT$3:AT$1334,[1]ACSDT5Y2020.B08301_data_with_ov!$AS$3:$AS$1334,$B81)</f>
        <v>#VALUE!</v>
      </c>
      <c r="M81" s="17" t="e">
        <f>SUMIFS([1]ACSDT5Y2020.B08301_data_with_ov!AU$3:AU$1334,[1]ACSDT5Y2020.B08301_data_with_ov!$AS$3:$AS$1334,$B81)</f>
        <v>#VALUE!</v>
      </c>
      <c r="N81" s="17" t="e">
        <f>SUMIFS([1]ACSDT5Y2020.B08301_data_with_ov!AV$3:AV$1334,[1]ACSDT5Y2020.B08301_data_with_ov!$AS$3:$AS$1334,$B81)</f>
        <v>#VALUE!</v>
      </c>
      <c r="O81" s="17" t="e">
        <f>SUMIFS([1]ACSDT5Y2020.B08301_data_with_ov!AW$3:AW$1334,[1]ACSDT5Y2020.B08301_data_with_ov!$AS$3:$AS$1334,$B81)</f>
        <v>#VALUE!</v>
      </c>
      <c r="P81" s="17" t="e">
        <f>SUMIFS([1]ACSDT5Y2020.B08301_data_with_ov!AX$3:AX$1334,[1]ACSDT5Y2020.B08301_data_with_ov!$AS$3:$AS$1334,$B81)</f>
        <v>#VALUE!</v>
      </c>
      <c r="Q81" s="17" t="e">
        <f>SUMIFS([1]ACSDT5Y2020.B08301_data_with_ov!AY$3:AY$1334,[1]ACSDT5Y2020.B08301_data_with_ov!$AS$3:$AS$1334,$B81)</f>
        <v>#VALUE!</v>
      </c>
      <c r="R81" s="17" t="e">
        <f>SUMIFS([1]ACSDT5Y2020.B08301_data_with_ov!AZ$3:AZ$1334,[1]ACSDT5Y2020.B08301_data_with_ov!$AS$3:$AS$1334,$B81)</f>
        <v>#VALUE!</v>
      </c>
      <c r="S81" s="17" t="e">
        <f>SUMIFS([1]ACSDT5Y2020.B08301_data_with_ov!BA$3:BA$1334,[1]ACSDT5Y2020.B08301_data_with_ov!$AS$3:$AS$1334,$B81)</f>
        <v>#VALUE!</v>
      </c>
      <c r="T81" s="188">
        <v>7.5028770626127048E-2</v>
      </c>
      <c r="U81" s="189" t="e">
        <f t="shared" si="7"/>
        <v>#VALUE!</v>
      </c>
      <c r="V81" s="188">
        <v>7.5028770626127048E-2</v>
      </c>
      <c r="W81" s="189" t="e">
        <f t="shared" si="4"/>
        <v>#VALUE!</v>
      </c>
      <c r="X81" s="188">
        <v>7.5028770626127048E-2</v>
      </c>
      <c r="Y81" s="189" t="e">
        <f t="shared" si="5"/>
        <v>#VALUE!</v>
      </c>
      <c r="Z81" s="188">
        <v>7.5028770626127048E-2</v>
      </c>
      <c r="AA81" s="189" t="e">
        <f t="shared" si="6"/>
        <v>#VALUE!</v>
      </c>
    </row>
    <row r="82" spans="1:27" x14ac:dyDescent="0.25">
      <c r="A82">
        <v>10600</v>
      </c>
      <c r="B82">
        <v>17031010600</v>
      </c>
      <c r="C82">
        <v>17031</v>
      </c>
      <c r="D82">
        <v>2010</v>
      </c>
      <c r="E82">
        <v>1</v>
      </c>
      <c r="F82">
        <v>5328195.73839691</v>
      </c>
      <c r="G82" s="45">
        <v>0.19112272362821792</v>
      </c>
      <c r="H82" s="60" t="str">
        <f>_xlfn.IFNA(
INDEX('Community Areas'!B$2:B$78,MATCH($E82,'Community Areas'!$A$2:$A$78,0)),
"")</f>
        <v>ROGERS PARK</v>
      </c>
      <c r="I82" s="63" t="str">
        <f>_xlfn.IFNA(
INDEX('Community Areas'!C$2:C$78,MATCH($E82,'Community Areas'!$A$2:$A$78,0)),
"")</f>
        <v>1-A</v>
      </c>
      <c r="J82" s="63">
        <f>_xlfn.IFNA(
INDEX('Community Areas'!D$2:D$78,MATCH($E82,'Community Areas'!$A$2:$A$78,0)),
"")</f>
        <v>1</v>
      </c>
      <c r="K82" s="60" t="str">
        <f>_xlfn.IFNA(
INDEX('Community Areas'!E$2:E$78,MATCH($E82,'Community Areas'!$A$2:$A$78,0)),
"")</f>
        <v>NORTH</v>
      </c>
      <c r="L82" s="17" t="e">
        <f>SUMIFS([1]ACSDT5Y2020.B08301_data_with_ov!AT$3:AT$1334,[1]ACSDT5Y2020.B08301_data_with_ov!$AS$3:$AS$1334,$B82)</f>
        <v>#VALUE!</v>
      </c>
      <c r="M82" s="17" t="e">
        <f>SUMIFS([1]ACSDT5Y2020.B08301_data_with_ov!AU$3:AU$1334,[1]ACSDT5Y2020.B08301_data_with_ov!$AS$3:$AS$1334,$B82)</f>
        <v>#VALUE!</v>
      </c>
      <c r="N82" s="17" t="e">
        <f>SUMIFS([1]ACSDT5Y2020.B08301_data_with_ov!AV$3:AV$1334,[1]ACSDT5Y2020.B08301_data_with_ov!$AS$3:$AS$1334,$B82)</f>
        <v>#VALUE!</v>
      </c>
      <c r="O82" s="17" t="e">
        <f>SUMIFS([1]ACSDT5Y2020.B08301_data_with_ov!AW$3:AW$1334,[1]ACSDT5Y2020.B08301_data_with_ov!$AS$3:$AS$1334,$B82)</f>
        <v>#VALUE!</v>
      </c>
      <c r="P82" s="17" t="e">
        <f>SUMIFS([1]ACSDT5Y2020.B08301_data_with_ov!AX$3:AX$1334,[1]ACSDT5Y2020.B08301_data_with_ov!$AS$3:$AS$1334,$B82)</f>
        <v>#VALUE!</v>
      </c>
      <c r="Q82" s="17" t="e">
        <f>SUMIFS([1]ACSDT5Y2020.B08301_data_with_ov!AY$3:AY$1334,[1]ACSDT5Y2020.B08301_data_with_ov!$AS$3:$AS$1334,$B82)</f>
        <v>#VALUE!</v>
      </c>
      <c r="R82" s="17" t="e">
        <f>SUMIFS([1]ACSDT5Y2020.B08301_data_with_ov!AZ$3:AZ$1334,[1]ACSDT5Y2020.B08301_data_with_ov!$AS$3:$AS$1334,$B82)</f>
        <v>#VALUE!</v>
      </c>
      <c r="S82" s="17" t="e">
        <f>SUMIFS([1]ACSDT5Y2020.B08301_data_with_ov!BA$3:BA$1334,[1]ACSDT5Y2020.B08301_data_with_ov!$AS$3:$AS$1334,$B82)</f>
        <v>#VALUE!</v>
      </c>
      <c r="T82" s="188">
        <v>0.19112272469286795</v>
      </c>
      <c r="U82" s="189" t="e">
        <f t="shared" si="7"/>
        <v>#VALUE!</v>
      </c>
      <c r="V82" s="188">
        <v>0.19112272469286795</v>
      </c>
      <c r="W82" s="189" t="e">
        <f t="shared" si="4"/>
        <v>#VALUE!</v>
      </c>
      <c r="X82" s="188">
        <v>0.19112272469286795</v>
      </c>
      <c r="Y82" s="189" t="e">
        <f t="shared" si="5"/>
        <v>#VALUE!</v>
      </c>
      <c r="Z82" s="188">
        <v>0.19112272469286795</v>
      </c>
      <c r="AA82" s="189" t="e">
        <f t="shared" si="6"/>
        <v>#VALUE!</v>
      </c>
    </row>
    <row r="83" spans="1:27" x14ac:dyDescent="0.25">
      <c r="A83">
        <v>10701</v>
      </c>
      <c r="B83">
        <v>17031010701</v>
      </c>
      <c r="C83">
        <v>17031</v>
      </c>
      <c r="D83">
        <v>2010</v>
      </c>
      <c r="E83">
        <v>1</v>
      </c>
      <c r="F83">
        <v>4627996.2857850902</v>
      </c>
      <c r="G83" s="45">
        <v>0.16600652425480264</v>
      </c>
      <c r="H83" s="60" t="str">
        <f>_xlfn.IFNA(
INDEX('Community Areas'!B$2:B$78,MATCH($E83,'Community Areas'!$A$2:$A$78,0)),
"")</f>
        <v>ROGERS PARK</v>
      </c>
      <c r="I83" s="63" t="str">
        <f>_xlfn.IFNA(
INDEX('Community Areas'!C$2:C$78,MATCH($E83,'Community Areas'!$A$2:$A$78,0)),
"")</f>
        <v>1-A</v>
      </c>
      <c r="J83" s="63">
        <f>_xlfn.IFNA(
INDEX('Community Areas'!D$2:D$78,MATCH($E83,'Community Areas'!$A$2:$A$78,0)),
"")</f>
        <v>1</v>
      </c>
      <c r="K83" s="60" t="str">
        <f>_xlfn.IFNA(
INDEX('Community Areas'!E$2:E$78,MATCH($E83,'Community Areas'!$A$2:$A$78,0)),
"")</f>
        <v>NORTH</v>
      </c>
      <c r="L83" s="17" t="e">
        <f>SUMIFS([1]ACSDT5Y2020.B08301_data_with_ov!AT$3:AT$1334,[1]ACSDT5Y2020.B08301_data_with_ov!$AS$3:$AS$1334,$B83)</f>
        <v>#VALUE!</v>
      </c>
      <c r="M83" s="17" t="e">
        <f>SUMIFS([1]ACSDT5Y2020.B08301_data_with_ov!AU$3:AU$1334,[1]ACSDT5Y2020.B08301_data_with_ov!$AS$3:$AS$1334,$B83)</f>
        <v>#VALUE!</v>
      </c>
      <c r="N83" s="17" t="e">
        <f>SUMIFS([1]ACSDT5Y2020.B08301_data_with_ov!AV$3:AV$1334,[1]ACSDT5Y2020.B08301_data_with_ov!$AS$3:$AS$1334,$B83)</f>
        <v>#VALUE!</v>
      </c>
      <c r="O83" s="17" t="e">
        <f>SUMIFS([1]ACSDT5Y2020.B08301_data_with_ov!AW$3:AW$1334,[1]ACSDT5Y2020.B08301_data_with_ov!$AS$3:$AS$1334,$B83)</f>
        <v>#VALUE!</v>
      </c>
      <c r="P83" s="17" t="e">
        <f>SUMIFS([1]ACSDT5Y2020.B08301_data_with_ov!AX$3:AX$1334,[1]ACSDT5Y2020.B08301_data_with_ov!$AS$3:$AS$1334,$B83)</f>
        <v>#VALUE!</v>
      </c>
      <c r="Q83" s="17" t="e">
        <f>SUMIFS([1]ACSDT5Y2020.B08301_data_with_ov!AY$3:AY$1334,[1]ACSDT5Y2020.B08301_data_with_ov!$AS$3:$AS$1334,$B83)</f>
        <v>#VALUE!</v>
      </c>
      <c r="R83" s="17" t="e">
        <f>SUMIFS([1]ACSDT5Y2020.B08301_data_with_ov!AZ$3:AZ$1334,[1]ACSDT5Y2020.B08301_data_with_ov!$AS$3:$AS$1334,$B83)</f>
        <v>#VALUE!</v>
      </c>
      <c r="S83" s="17" t="e">
        <f>SUMIFS([1]ACSDT5Y2020.B08301_data_with_ov!BA$3:BA$1334,[1]ACSDT5Y2020.B08301_data_with_ov!$AS$3:$AS$1334,$B83)</f>
        <v>#VALUE!</v>
      </c>
      <c r="T83" s="188">
        <v>0.16600652457295575</v>
      </c>
      <c r="U83" s="189" t="e">
        <f t="shared" si="7"/>
        <v>#VALUE!</v>
      </c>
      <c r="V83" s="188">
        <v>0.16600652457295575</v>
      </c>
      <c r="W83" s="189" t="e">
        <f t="shared" si="4"/>
        <v>#VALUE!</v>
      </c>
      <c r="X83" s="188">
        <v>0.16600652457295575</v>
      </c>
      <c r="Y83" s="189" t="e">
        <f t="shared" si="5"/>
        <v>#VALUE!</v>
      </c>
      <c r="Z83" s="188">
        <v>0.16600652457295575</v>
      </c>
      <c r="AA83" s="189" t="e">
        <f t="shared" si="6"/>
        <v>#VALUE!</v>
      </c>
    </row>
    <row r="84" spans="1:27" x14ac:dyDescent="0.25">
      <c r="A84">
        <v>830600</v>
      </c>
      <c r="B84">
        <v>17031830600</v>
      </c>
      <c r="C84">
        <v>17031</v>
      </c>
      <c r="D84">
        <v>2010</v>
      </c>
      <c r="E84">
        <v>1</v>
      </c>
      <c r="F84">
        <v>7118680.5115948403</v>
      </c>
      <c r="G84" s="45">
        <v>0.25534752753367629</v>
      </c>
      <c r="H84" s="60" t="str">
        <f>_xlfn.IFNA(
INDEX('Community Areas'!B$2:B$78,MATCH($E84,'Community Areas'!$A$2:$A$78,0)),
"")</f>
        <v>ROGERS PARK</v>
      </c>
      <c r="I84" s="63" t="str">
        <f>_xlfn.IFNA(
INDEX('Community Areas'!C$2:C$78,MATCH($E84,'Community Areas'!$A$2:$A$78,0)),
"")</f>
        <v>1-A</v>
      </c>
      <c r="J84" s="63">
        <f>_xlfn.IFNA(
INDEX('Community Areas'!D$2:D$78,MATCH($E84,'Community Areas'!$A$2:$A$78,0)),
"")</f>
        <v>1</v>
      </c>
      <c r="K84" s="60" t="str">
        <f>_xlfn.IFNA(
INDEX('Community Areas'!E$2:E$78,MATCH($E84,'Community Areas'!$A$2:$A$78,0)),
"")</f>
        <v>NORTH</v>
      </c>
      <c r="L84" s="17" t="e">
        <f>SUMIFS([1]ACSDT5Y2020.B08301_data_with_ov!AT$3:AT$1334,[1]ACSDT5Y2020.B08301_data_with_ov!$AS$3:$AS$1334,$B84)</f>
        <v>#VALUE!</v>
      </c>
      <c r="M84" s="17" t="e">
        <f>SUMIFS([1]ACSDT5Y2020.B08301_data_with_ov!AU$3:AU$1334,[1]ACSDT5Y2020.B08301_data_with_ov!$AS$3:$AS$1334,$B84)</f>
        <v>#VALUE!</v>
      </c>
      <c r="N84" s="17" t="e">
        <f>SUMIFS([1]ACSDT5Y2020.B08301_data_with_ov!AV$3:AV$1334,[1]ACSDT5Y2020.B08301_data_with_ov!$AS$3:$AS$1334,$B84)</f>
        <v>#VALUE!</v>
      </c>
      <c r="O84" s="17" t="e">
        <f>SUMIFS([1]ACSDT5Y2020.B08301_data_with_ov!AW$3:AW$1334,[1]ACSDT5Y2020.B08301_data_with_ov!$AS$3:$AS$1334,$B84)</f>
        <v>#VALUE!</v>
      </c>
      <c r="P84" s="17" t="e">
        <f>SUMIFS([1]ACSDT5Y2020.B08301_data_with_ov!AX$3:AX$1334,[1]ACSDT5Y2020.B08301_data_with_ov!$AS$3:$AS$1334,$B84)</f>
        <v>#VALUE!</v>
      </c>
      <c r="Q84" s="17" t="e">
        <f>SUMIFS([1]ACSDT5Y2020.B08301_data_with_ov!AY$3:AY$1334,[1]ACSDT5Y2020.B08301_data_with_ov!$AS$3:$AS$1334,$B84)</f>
        <v>#VALUE!</v>
      </c>
      <c r="R84" s="17" t="e">
        <f>SUMIFS([1]ACSDT5Y2020.B08301_data_with_ov!AZ$3:AZ$1334,[1]ACSDT5Y2020.B08301_data_with_ov!$AS$3:$AS$1334,$B84)</f>
        <v>#VALUE!</v>
      </c>
      <c r="S84" s="17" t="e">
        <f>SUMIFS([1]ACSDT5Y2020.B08301_data_with_ov!BA$3:BA$1334,[1]ACSDT5Y2020.B08301_data_with_ov!$AS$3:$AS$1334,$B84)</f>
        <v>#VALUE!</v>
      </c>
      <c r="T84" s="188">
        <v>0.25534752262486121</v>
      </c>
      <c r="U84" s="189" t="e">
        <f t="shared" si="7"/>
        <v>#VALUE!</v>
      </c>
      <c r="V84" s="188">
        <v>0.25534752262486121</v>
      </c>
      <c r="W84" s="189" t="e">
        <f t="shared" si="4"/>
        <v>#VALUE!</v>
      </c>
      <c r="X84" s="188">
        <v>0.25534752262486121</v>
      </c>
      <c r="Y84" s="189" t="e">
        <f t="shared" si="5"/>
        <v>#VALUE!</v>
      </c>
      <c r="Z84" s="188">
        <v>0.25534752262486121</v>
      </c>
      <c r="AA84" s="189" t="e">
        <f t="shared" si="6"/>
        <v>#VALUE!</v>
      </c>
    </row>
    <row r="85" spans="1:27" x14ac:dyDescent="0.25">
      <c r="A85">
        <v>10100</v>
      </c>
      <c r="B85">
        <v>17031010100</v>
      </c>
      <c r="C85">
        <v>17031</v>
      </c>
      <c r="D85">
        <v>2010</v>
      </c>
      <c r="E85">
        <v>1</v>
      </c>
      <c r="F85">
        <v>3968181.93282658</v>
      </c>
      <c r="G85" s="45">
        <v>0.14233894100187169</v>
      </c>
      <c r="H85" s="60" t="str">
        <f>_xlfn.IFNA(
INDEX('Community Areas'!B$2:B$78,MATCH($E85,'Community Areas'!$A$2:$A$78,0)),
"")</f>
        <v>ROGERS PARK</v>
      </c>
      <c r="I85" s="63" t="str">
        <f>_xlfn.IFNA(
INDEX('Community Areas'!C$2:C$78,MATCH($E85,'Community Areas'!$A$2:$A$78,0)),
"")</f>
        <v>1-A</v>
      </c>
      <c r="J85" s="63">
        <f>_xlfn.IFNA(
INDEX('Community Areas'!D$2:D$78,MATCH($E85,'Community Areas'!$A$2:$A$78,0)),
"")</f>
        <v>1</v>
      </c>
      <c r="K85" s="60" t="str">
        <f>_xlfn.IFNA(
INDEX('Community Areas'!E$2:E$78,MATCH($E85,'Community Areas'!$A$2:$A$78,0)),
"")</f>
        <v>NORTH</v>
      </c>
      <c r="L85" s="17" t="e">
        <f>SUMIFS([1]ACSDT5Y2020.B08301_data_with_ov!AT$3:AT$1334,[1]ACSDT5Y2020.B08301_data_with_ov!$AS$3:$AS$1334,$B85)</f>
        <v>#VALUE!</v>
      </c>
      <c r="M85" s="17" t="e">
        <f>SUMIFS([1]ACSDT5Y2020.B08301_data_with_ov!AU$3:AU$1334,[1]ACSDT5Y2020.B08301_data_with_ov!$AS$3:$AS$1334,$B85)</f>
        <v>#VALUE!</v>
      </c>
      <c r="N85" s="17" t="e">
        <f>SUMIFS([1]ACSDT5Y2020.B08301_data_with_ov!AV$3:AV$1334,[1]ACSDT5Y2020.B08301_data_with_ov!$AS$3:$AS$1334,$B85)</f>
        <v>#VALUE!</v>
      </c>
      <c r="O85" s="17" t="e">
        <f>SUMIFS([1]ACSDT5Y2020.B08301_data_with_ov!AW$3:AW$1334,[1]ACSDT5Y2020.B08301_data_with_ov!$AS$3:$AS$1334,$B85)</f>
        <v>#VALUE!</v>
      </c>
      <c r="P85" s="17" t="e">
        <f>SUMIFS([1]ACSDT5Y2020.B08301_data_with_ov!AX$3:AX$1334,[1]ACSDT5Y2020.B08301_data_with_ov!$AS$3:$AS$1334,$B85)</f>
        <v>#VALUE!</v>
      </c>
      <c r="Q85" s="17" t="e">
        <f>SUMIFS([1]ACSDT5Y2020.B08301_data_with_ov!AY$3:AY$1334,[1]ACSDT5Y2020.B08301_data_with_ov!$AS$3:$AS$1334,$B85)</f>
        <v>#VALUE!</v>
      </c>
      <c r="R85" s="17" t="e">
        <f>SUMIFS([1]ACSDT5Y2020.B08301_data_with_ov!AZ$3:AZ$1334,[1]ACSDT5Y2020.B08301_data_with_ov!$AS$3:$AS$1334,$B85)</f>
        <v>#VALUE!</v>
      </c>
      <c r="S85" s="17" t="e">
        <f>SUMIFS([1]ACSDT5Y2020.B08301_data_with_ov!BA$3:BA$1334,[1]ACSDT5Y2020.B08301_data_with_ov!$AS$3:$AS$1334,$B85)</f>
        <v>#VALUE!</v>
      </c>
      <c r="T85" s="188">
        <v>0.142338935372714</v>
      </c>
      <c r="U85" s="189" t="e">
        <f t="shared" si="7"/>
        <v>#VALUE!</v>
      </c>
      <c r="V85" s="188">
        <v>0.142338935372714</v>
      </c>
      <c r="W85" s="189" t="e">
        <f t="shared" si="4"/>
        <v>#VALUE!</v>
      </c>
      <c r="X85" s="188">
        <v>0.142338935372714</v>
      </c>
      <c r="Y85" s="189" t="e">
        <f t="shared" si="5"/>
        <v>#VALUE!</v>
      </c>
      <c r="Z85" s="188">
        <v>0.142338935372714</v>
      </c>
      <c r="AA85" s="189" t="e">
        <f t="shared" si="6"/>
        <v>#VALUE!</v>
      </c>
    </row>
    <row r="86" spans="1:27" x14ac:dyDescent="0.25">
      <c r="A86">
        <v>10201</v>
      </c>
      <c r="B86">
        <v>17031010201</v>
      </c>
      <c r="C86">
        <v>17031</v>
      </c>
      <c r="D86">
        <v>2010</v>
      </c>
      <c r="E86">
        <v>1</v>
      </c>
      <c r="F86">
        <v>5413492.03968246</v>
      </c>
      <c r="G86" s="45">
        <v>0.19418230743810477</v>
      </c>
      <c r="H86" s="60" t="str">
        <f>_xlfn.IFNA(
INDEX('Community Areas'!B$2:B$78,MATCH($E86,'Community Areas'!$A$2:$A$78,0)),
"")</f>
        <v>ROGERS PARK</v>
      </c>
      <c r="I86" s="63" t="str">
        <f>_xlfn.IFNA(
INDEX('Community Areas'!C$2:C$78,MATCH($E86,'Community Areas'!$A$2:$A$78,0)),
"")</f>
        <v>1-A</v>
      </c>
      <c r="J86" s="63">
        <f>_xlfn.IFNA(
INDEX('Community Areas'!D$2:D$78,MATCH($E86,'Community Areas'!$A$2:$A$78,0)),
"")</f>
        <v>1</v>
      </c>
      <c r="K86" s="60" t="str">
        <f>_xlfn.IFNA(
INDEX('Community Areas'!E$2:E$78,MATCH($E86,'Community Areas'!$A$2:$A$78,0)),
"")</f>
        <v>NORTH</v>
      </c>
      <c r="L86" s="17" t="e">
        <f>SUMIFS([1]ACSDT5Y2020.B08301_data_with_ov!AT$3:AT$1334,[1]ACSDT5Y2020.B08301_data_with_ov!$AS$3:$AS$1334,$B86)</f>
        <v>#VALUE!</v>
      </c>
      <c r="M86" s="17" t="e">
        <f>SUMIFS([1]ACSDT5Y2020.B08301_data_with_ov!AU$3:AU$1334,[1]ACSDT5Y2020.B08301_data_with_ov!$AS$3:$AS$1334,$B86)</f>
        <v>#VALUE!</v>
      </c>
      <c r="N86" s="17" t="e">
        <f>SUMIFS([1]ACSDT5Y2020.B08301_data_with_ov!AV$3:AV$1334,[1]ACSDT5Y2020.B08301_data_with_ov!$AS$3:$AS$1334,$B86)</f>
        <v>#VALUE!</v>
      </c>
      <c r="O86" s="17" t="e">
        <f>SUMIFS([1]ACSDT5Y2020.B08301_data_with_ov!AW$3:AW$1334,[1]ACSDT5Y2020.B08301_data_with_ov!$AS$3:$AS$1334,$B86)</f>
        <v>#VALUE!</v>
      </c>
      <c r="P86" s="17" t="e">
        <f>SUMIFS([1]ACSDT5Y2020.B08301_data_with_ov!AX$3:AX$1334,[1]ACSDT5Y2020.B08301_data_with_ov!$AS$3:$AS$1334,$B86)</f>
        <v>#VALUE!</v>
      </c>
      <c r="Q86" s="17" t="e">
        <f>SUMIFS([1]ACSDT5Y2020.B08301_data_with_ov!AY$3:AY$1334,[1]ACSDT5Y2020.B08301_data_with_ov!$AS$3:$AS$1334,$B86)</f>
        <v>#VALUE!</v>
      </c>
      <c r="R86" s="17" t="e">
        <f>SUMIFS([1]ACSDT5Y2020.B08301_data_with_ov!AZ$3:AZ$1334,[1]ACSDT5Y2020.B08301_data_with_ov!$AS$3:$AS$1334,$B86)</f>
        <v>#VALUE!</v>
      </c>
      <c r="S86" s="17" t="e">
        <f>SUMIFS([1]ACSDT5Y2020.B08301_data_with_ov!BA$3:BA$1334,[1]ACSDT5Y2020.B08301_data_with_ov!$AS$3:$AS$1334,$B86)</f>
        <v>#VALUE!</v>
      </c>
      <c r="T86" s="188">
        <v>0.19418231699078536</v>
      </c>
      <c r="U86" s="189" t="e">
        <f t="shared" si="7"/>
        <v>#VALUE!</v>
      </c>
      <c r="V86" s="188">
        <v>0.19418231699078536</v>
      </c>
      <c r="W86" s="189" t="e">
        <f t="shared" si="4"/>
        <v>#VALUE!</v>
      </c>
      <c r="X86" s="188">
        <v>0.19418231699078536</v>
      </c>
      <c r="Y86" s="189" t="e">
        <f t="shared" si="5"/>
        <v>#VALUE!</v>
      </c>
      <c r="Z86" s="188">
        <v>0.19418231699078536</v>
      </c>
      <c r="AA86" s="189" t="e">
        <f t="shared" si="6"/>
        <v>#VALUE!</v>
      </c>
    </row>
    <row r="87" spans="1:27" x14ac:dyDescent="0.25">
      <c r="A87">
        <v>10702</v>
      </c>
      <c r="B87">
        <v>17031010702</v>
      </c>
      <c r="C87">
        <v>17031</v>
      </c>
      <c r="D87">
        <v>2010</v>
      </c>
      <c r="E87">
        <v>1</v>
      </c>
      <c r="F87">
        <v>3846327.7044362398</v>
      </c>
      <c r="G87" s="45">
        <v>0.13796802199682334</v>
      </c>
      <c r="H87" s="60" t="str">
        <f>_xlfn.IFNA(
INDEX('Community Areas'!B$2:B$78,MATCH($E87,'Community Areas'!$A$2:$A$78,0)),
"")</f>
        <v>ROGERS PARK</v>
      </c>
      <c r="I87" s="63" t="str">
        <f>_xlfn.IFNA(
INDEX('Community Areas'!C$2:C$78,MATCH($E87,'Community Areas'!$A$2:$A$78,0)),
"")</f>
        <v>1-A</v>
      </c>
      <c r="J87" s="63">
        <f>_xlfn.IFNA(
INDEX('Community Areas'!D$2:D$78,MATCH($E87,'Community Areas'!$A$2:$A$78,0)),
"")</f>
        <v>1</v>
      </c>
      <c r="K87" s="60" t="str">
        <f>_xlfn.IFNA(
INDEX('Community Areas'!E$2:E$78,MATCH($E87,'Community Areas'!$A$2:$A$78,0)),
"")</f>
        <v>NORTH</v>
      </c>
      <c r="L87" s="17" t="e">
        <f>SUMIFS([1]ACSDT5Y2020.B08301_data_with_ov!AT$3:AT$1334,[1]ACSDT5Y2020.B08301_data_with_ov!$AS$3:$AS$1334,$B87)</f>
        <v>#VALUE!</v>
      </c>
      <c r="M87" s="17" t="e">
        <f>SUMIFS([1]ACSDT5Y2020.B08301_data_with_ov!AU$3:AU$1334,[1]ACSDT5Y2020.B08301_data_with_ov!$AS$3:$AS$1334,$B87)</f>
        <v>#VALUE!</v>
      </c>
      <c r="N87" s="17" t="e">
        <f>SUMIFS([1]ACSDT5Y2020.B08301_data_with_ov!AV$3:AV$1334,[1]ACSDT5Y2020.B08301_data_with_ov!$AS$3:$AS$1334,$B87)</f>
        <v>#VALUE!</v>
      </c>
      <c r="O87" s="17" t="e">
        <f>SUMIFS([1]ACSDT5Y2020.B08301_data_with_ov!AW$3:AW$1334,[1]ACSDT5Y2020.B08301_data_with_ov!$AS$3:$AS$1334,$B87)</f>
        <v>#VALUE!</v>
      </c>
      <c r="P87" s="17" t="e">
        <f>SUMIFS([1]ACSDT5Y2020.B08301_data_with_ov!AX$3:AX$1334,[1]ACSDT5Y2020.B08301_data_with_ov!$AS$3:$AS$1334,$B87)</f>
        <v>#VALUE!</v>
      </c>
      <c r="Q87" s="17" t="e">
        <f>SUMIFS([1]ACSDT5Y2020.B08301_data_with_ov!AY$3:AY$1334,[1]ACSDT5Y2020.B08301_data_with_ov!$AS$3:$AS$1334,$B87)</f>
        <v>#VALUE!</v>
      </c>
      <c r="R87" s="17" t="e">
        <f>SUMIFS([1]ACSDT5Y2020.B08301_data_with_ov!AZ$3:AZ$1334,[1]ACSDT5Y2020.B08301_data_with_ov!$AS$3:$AS$1334,$B87)</f>
        <v>#VALUE!</v>
      </c>
      <c r="S87" s="17" t="e">
        <f>SUMIFS([1]ACSDT5Y2020.B08301_data_with_ov!BA$3:BA$1334,[1]ACSDT5Y2020.B08301_data_with_ov!$AS$3:$AS$1334,$B87)</f>
        <v>#VALUE!</v>
      </c>
      <c r="T87" s="188">
        <v>0.1379680239985695</v>
      </c>
      <c r="U87" s="189" t="e">
        <f t="shared" si="7"/>
        <v>#VALUE!</v>
      </c>
      <c r="V87" s="188">
        <v>0.1379680239985695</v>
      </c>
      <c r="W87" s="189" t="e">
        <f t="shared" si="4"/>
        <v>#VALUE!</v>
      </c>
      <c r="X87" s="188">
        <v>0.1379680239985695</v>
      </c>
      <c r="Y87" s="189" t="e">
        <f t="shared" si="5"/>
        <v>#VALUE!</v>
      </c>
      <c r="Z87" s="188">
        <v>0.1379680239985695</v>
      </c>
      <c r="AA87" s="189" t="e">
        <f t="shared" si="6"/>
        <v>#VALUE!</v>
      </c>
    </row>
    <row r="88" spans="1:27" x14ac:dyDescent="0.25">
      <c r="A88">
        <v>10501</v>
      </c>
      <c r="B88">
        <v>17031010501</v>
      </c>
      <c r="C88">
        <v>17031</v>
      </c>
      <c r="D88">
        <v>2010</v>
      </c>
      <c r="E88">
        <v>1</v>
      </c>
      <c r="F88">
        <v>2176280.98250718</v>
      </c>
      <c r="G88" s="45">
        <v>7.8063338732035553E-2</v>
      </c>
      <c r="H88" s="60" t="str">
        <f>_xlfn.IFNA(
INDEX('Community Areas'!B$2:B$78,MATCH($E88,'Community Areas'!$A$2:$A$78,0)),
"")</f>
        <v>ROGERS PARK</v>
      </c>
      <c r="I88" s="63" t="str">
        <f>_xlfn.IFNA(
INDEX('Community Areas'!C$2:C$78,MATCH($E88,'Community Areas'!$A$2:$A$78,0)),
"")</f>
        <v>1-A</v>
      </c>
      <c r="J88" s="63">
        <f>_xlfn.IFNA(
INDEX('Community Areas'!D$2:D$78,MATCH($E88,'Community Areas'!$A$2:$A$78,0)),
"")</f>
        <v>1</v>
      </c>
      <c r="K88" s="60" t="str">
        <f>_xlfn.IFNA(
INDEX('Community Areas'!E$2:E$78,MATCH($E88,'Community Areas'!$A$2:$A$78,0)),
"")</f>
        <v>NORTH</v>
      </c>
      <c r="L88" s="17" t="e">
        <f>SUMIFS([1]ACSDT5Y2020.B08301_data_with_ov!AT$3:AT$1334,[1]ACSDT5Y2020.B08301_data_with_ov!$AS$3:$AS$1334,$B88)</f>
        <v>#VALUE!</v>
      </c>
      <c r="M88" s="17" t="e">
        <f>SUMIFS([1]ACSDT5Y2020.B08301_data_with_ov!AU$3:AU$1334,[1]ACSDT5Y2020.B08301_data_with_ov!$AS$3:$AS$1334,$B88)</f>
        <v>#VALUE!</v>
      </c>
      <c r="N88" s="17" t="e">
        <f>SUMIFS([1]ACSDT5Y2020.B08301_data_with_ov!AV$3:AV$1334,[1]ACSDT5Y2020.B08301_data_with_ov!$AS$3:$AS$1334,$B88)</f>
        <v>#VALUE!</v>
      </c>
      <c r="O88" s="17" t="e">
        <f>SUMIFS([1]ACSDT5Y2020.B08301_data_with_ov!AW$3:AW$1334,[1]ACSDT5Y2020.B08301_data_with_ov!$AS$3:$AS$1334,$B88)</f>
        <v>#VALUE!</v>
      </c>
      <c r="P88" s="17" t="e">
        <f>SUMIFS([1]ACSDT5Y2020.B08301_data_with_ov!AX$3:AX$1334,[1]ACSDT5Y2020.B08301_data_with_ov!$AS$3:$AS$1334,$B88)</f>
        <v>#VALUE!</v>
      </c>
      <c r="Q88" s="17" t="e">
        <f>SUMIFS([1]ACSDT5Y2020.B08301_data_with_ov!AY$3:AY$1334,[1]ACSDT5Y2020.B08301_data_with_ov!$AS$3:$AS$1334,$B88)</f>
        <v>#VALUE!</v>
      </c>
      <c r="R88" s="17" t="e">
        <f>SUMIFS([1]ACSDT5Y2020.B08301_data_with_ov!AZ$3:AZ$1334,[1]ACSDT5Y2020.B08301_data_with_ov!$AS$3:$AS$1334,$B88)</f>
        <v>#VALUE!</v>
      </c>
      <c r="S88" s="17" t="e">
        <f>SUMIFS([1]ACSDT5Y2020.B08301_data_with_ov!BA$3:BA$1334,[1]ACSDT5Y2020.B08301_data_with_ov!$AS$3:$AS$1334,$B88)</f>
        <v>#VALUE!</v>
      </c>
      <c r="T88" s="188">
        <v>7.8063340143977422E-2</v>
      </c>
      <c r="U88" s="189" t="e">
        <f t="shared" si="7"/>
        <v>#VALUE!</v>
      </c>
      <c r="V88" s="188">
        <v>7.8063340143977422E-2</v>
      </c>
      <c r="W88" s="189" t="e">
        <f t="shared" si="4"/>
        <v>#VALUE!</v>
      </c>
      <c r="X88" s="188">
        <v>7.8063340143977422E-2</v>
      </c>
      <c r="Y88" s="189" t="e">
        <f t="shared" si="5"/>
        <v>#VALUE!</v>
      </c>
      <c r="Z88" s="188">
        <v>7.8063340143977422E-2</v>
      </c>
      <c r="AA88" s="189" t="e">
        <f t="shared" si="6"/>
        <v>#VALUE!</v>
      </c>
    </row>
    <row r="89" spans="1:27" x14ac:dyDescent="0.25">
      <c r="A89">
        <v>10300</v>
      </c>
      <c r="B89">
        <v>17031010300</v>
      </c>
      <c r="C89">
        <v>17031</v>
      </c>
      <c r="D89">
        <v>2010</v>
      </c>
      <c r="E89">
        <v>1</v>
      </c>
      <c r="F89">
        <v>5075522.3074266296</v>
      </c>
      <c r="G89" s="45">
        <v>0.18205931141767925</v>
      </c>
      <c r="H89" s="60" t="str">
        <f>_xlfn.IFNA(
INDEX('Community Areas'!B$2:B$78,MATCH($E89,'Community Areas'!$A$2:$A$78,0)),
"")</f>
        <v>ROGERS PARK</v>
      </c>
      <c r="I89" s="63" t="str">
        <f>_xlfn.IFNA(
INDEX('Community Areas'!C$2:C$78,MATCH($E89,'Community Areas'!$A$2:$A$78,0)),
"")</f>
        <v>1-A</v>
      </c>
      <c r="J89" s="63">
        <f>_xlfn.IFNA(
INDEX('Community Areas'!D$2:D$78,MATCH($E89,'Community Areas'!$A$2:$A$78,0)),
"")</f>
        <v>1</v>
      </c>
      <c r="K89" s="60" t="str">
        <f>_xlfn.IFNA(
INDEX('Community Areas'!E$2:E$78,MATCH($E89,'Community Areas'!$A$2:$A$78,0)),
"")</f>
        <v>NORTH</v>
      </c>
      <c r="L89" s="17" t="e">
        <f>SUMIFS([1]ACSDT5Y2020.B08301_data_with_ov!AT$3:AT$1334,[1]ACSDT5Y2020.B08301_data_with_ov!$AS$3:$AS$1334,$B89)</f>
        <v>#VALUE!</v>
      </c>
      <c r="M89" s="17" t="e">
        <f>SUMIFS([1]ACSDT5Y2020.B08301_data_with_ov!AU$3:AU$1334,[1]ACSDT5Y2020.B08301_data_with_ov!$AS$3:$AS$1334,$B89)</f>
        <v>#VALUE!</v>
      </c>
      <c r="N89" s="17" t="e">
        <f>SUMIFS([1]ACSDT5Y2020.B08301_data_with_ov!AV$3:AV$1334,[1]ACSDT5Y2020.B08301_data_with_ov!$AS$3:$AS$1334,$B89)</f>
        <v>#VALUE!</v>
      </c>
      <c r="O89" s="17" t="e">
        <f>SUMIFS([1]ACSDT5Y2020.B08301_data_with_ov!AW$3:AW$1334,[1]ACSDT5Y2020.B08301_data_with_ov!$AS$3:$AS$1334,$B89)</f>
        <v>#VALUE!</v>
      </c>
      <c r="P89" s="17" t="e">
        <f>SUMIFS([1]ACSDT5Y2020.B08301_data_with_ov!AX$3:AX$1334,[1]ACSDT5Y2020.B08301_data_with_ov!$AS$3:$AS$1334,$B89)</f>
        <v>#VALUE!</v>
      </c>
      <c r="Q89" s="17" t="e">
        <f>SUMIFS([1]ACSDT5Y2020.B08301_data_with_ov!AY$3:AY$1334,[1]ACSDT5Y2020.B08301_data_with_ov!$AS$3:$AS$1334,$B89)</f>
        <v>#VALUE!</v>
      </c>
      <c r="R89" s="17" t="e">
        <f>SUMIFS([1]ACSDT5Y2020.B08301_data_with_ov!AZ$3:AZ$1334,[1]ACSDT5Y2020.B08301_data_with_ov!$AS$3:$AS$1334,$B89)</f>
        <v>#VALUE!</v>
      </c>
      <c r="S89" s="17" t="e">
        <f>SUMIFS([1]ACSDT5Y2020.B08301_data_with_ov!BA$3:BA$1334,[1]ACSDT5Y2020.B08301_data_with_ov!$AS$3:$AS$1334,$B89)</f>
        <v>#VALUE!</v>
      </c>
      <c r="T89" s="188">
        <v>0.18205932265165325</v>
      </c>
      <c r="U89" s="189" t="e">
        <f t="shared" si="7"/>
        <v>#VALUE!</v>
      </c>
      <c r="V89" s="188">
        <v>0.18205932265165325</v>
      </c>
      <c r="W89" s="189" t="e">
        <f t="shared" si="4"/>
        <v>#VALUE!</v>
      </c>
      <c r="X89" s="188">
        <v>0.18205932265165325</v>
      </c>
      <c r="Y89" s="189" t="e">
        <f t="shared" si="5"/>
        <v>#VALUE!</v>
      </c>
      <c r="Z89" s="188">
        <v>0.18205932265165325</v>
      </c>
      <c r="AA89" s="189" t="e">
        <f t="shared" si="6"/>
        <v>#VALUE!</v>
      </c>
    </row>
    <row r="90" spans="1:27" x14ac:dyDescent="0.25">
      <c r="A90">
        <v>10502</v>
      </c>
      <c r="B90">
        <v>17031010502</v>
      </c>
      <c r="C90">
        <v>17031</v>
      </c>
      <c r="D90">
        <v>2010</v>
      </c>
      <c r="E90">
        <v>1</v>
      </c>
      <c r="F90">
        <v>1941541.75404433</v>
      </c>
      <c r="G90" s="45">
        <v>6.9643227518233833E-2</v>
      </c>
      <c r="H90" s="60" t="str">
        <f>_xlfn.IFNA(
INDEX('Community Areas'!B$2:B$78,MATCH($E90,'Community Areas'!$A$2:$A$78,0)),
"")</f>
        <v>ROGERS PARK</v>
      </c>
      <c r="I90" s="63" t="str">
        <f>_xlfn.IFNA(
INDEX('Community Areas'!C$2:C$78,MATCH($E90,'Community Areas'!$A$2:$A$78,0)),
"")</f>
        <v>1-A</v>
      </c>
      <c r="J90" s="63">
        <f>_xlfn.IFNA(
INDEX('Community Areas'!D$2:D$78,MATCH($E90,'Community Areas'!$A$2:$A$78,0)),
"")</f>
        <v>1</v>
      </c>
      <c r="K90" s="60" t="str">
        <f>_xlfn.IFNA(
INDEX('Community Areas'!E$2:E$78,MATCH($E90,'Community Areas'!$A$2:$A$78,0)),
"")</f>
        <v>NORTH</v>
      </c>
      <c r="L90" s="17" t="e">
        <f>SUMIFS([1]ACSDT5Y2020.B08301_data_with_ov!AT$3:AT$1334,[1]ACSDT5Y2020.B08301_data_with_ov!$AS$3:$AS$1334,$B90)</f>
        <v>#VALUE!</v>
      </c>
      <c r="M90" s="17" t="e">
        <f>SUMIFS([1]ACSDT5Y2020.B08301_data_with_ov!AU$3:AU$1334,[1]ACSDT5Y2020.B08301_data_with_ov!$AS$3:$AS$1334,$B90)</f>
        <v>#VALUE!</v>
      </c>
      <c r="N90" s="17" t="e">
        <f>SUMIFS([1]ACSDT5Y2020.B08301_data_with_ov!AV$3:AV$1334,[1]ACSDT5Y2020.B08301_data_with_ov!$AS$3:$AS$1334,$B90)</f>
        <v>#VALUE!</v>
      </c>
      <c r="O90" s="17" t="e">
        <f>SUMIFS([1]ACSDT5Y2020.B08301_data_with_ov!AW$3:AW$1334,[1]ACSDT5Y2020.B08301_data_with_ov!$AS$3:$AS$1334,$B90)</f>
        <v>#VALUE!</v>
      </c>
      <c r="P90" s="17" t="e">
        <f>SUMIFS([1]ACSDT5Y2020.B08301_data_with_ov!AX$3:AX$1334,[1]ACSDT5Y2020.B08301_data_with_ov!$AS$3:$AS$1334,$B90)</f>
        <v>#VALUE!</v>
      </c>
      <c r="Q90" s="17" t="e">
        <f>SUMIFS([1]ACSDT5Y2020.B08301_data_with_ov!AY$3:AY$1334,[1]ACSDT5Y2020.B08301_data_with_ov!$AS$3:$AS$1334,$B90)</f>
        <v>#VALUE!</v>
      </c>
      <c r="R90" s="17" t="e">
        <f>SUMIFS([1]ACSDT5Y2020.B08301_data_with_ov!AZ$3:AZ$1334,[1]ACSDT5Y2020.B08301_data_with_ov!$AS$3:$AS$1334,$B90)</f>
        <v>#VALUE!</v>
      </c>
      <c r="S90" s="17" t="e">
        <f>SUMIFS([1]ACSDT5Y2020.B08301_data_with_ov!BA$3:BA$1334,[1]ACSDT5Y2020.B08301_data_with_ov!$AS$3:$AS$1334,$B90)</f>
        <v>#VALUE!</v>
      </c>
      <c r="T90" s="188">
        <v>6.9643225889488639E-2</v>
      </c>
      <c r="U90" s="189" t="e">
        <f t="shared" si="7"/>
        <v>#VALUE!</v>
      </c>
      <c r="V90" s="188">
        <v>6.9643225889488639E-2</v>
      </c>
      <c r="W90" s="189" t="e">
        <f t="shared" si="4"/>
        <v>#VALUE!</v>
      </c>
      <c r="X90" s="188">
        <v>6.9643225889488639E-2</v>
      </c>
      <c r="Y90" s="189" t="e">
        <f t="shared" si="5"/>
        <v>#VALUE!</v>
      </c>
      <c r="Z90" s="188">
        <v>6.9643225889488639E-2</v>
      </c>
      <c r="AA90" s="189" t="e">
        <f t="shared" si="6"/>
        <v>#VALUE!</v>
      </c>
    </row>
    <row r="91" spans="1:27" x14ac:dyDescent="0.25">
      <c r="A91">
        <v>10202</v>
      </c>
      <c r="B91">
        <v>17031010202</v>
      </c>
      <c r="C91">
        <v>17031</v>
      </c>
      <c r="D91">
        <v>2010</v>
      </c>
      <c r="E91">
        <v>1</v>
      </c>
      <c r="F91">
        <v>3803049.85417601</v>
      </c>
      <c r="G91" s="45">
        <v>0.13641564272612525</v>
      </c>
      <c r="H91" s="60" t="str">
        <f>_xlfn.IFNA(
INDEX('Community Areas'!B$2:B$78,MATCH($E91,'Community Areas'!$A$2:$A$78,0)),
"")</f>
        <v>ROGERS PARK</v>
      </c>
      <c r="I91" s="63" t="str">
        <f>_xlfn.IFNA(
INDEX('Community Areas'!C$2:C$78,MATCH($E91,'Community Areas'!$A$2:$A$78,0)),
"")</f>
        <v>1-A</v>
      </c>
      <c r="J91" s="63">
        <f>_xlfn.IFNA(
INDEX('Community Areas'!D$2:D$78,MATCH($E91,'Community Areas'!$A$2:$A$78,0)),
"")</f>
        <v>1</v>
      </c>
      <c r="K91" s="60" t="str">
        <f>_xlfn.IFNA(
INDEX('Community Areas'!E$2:E$78,MATCH($E91,'Community Areas'!$A$2:$A$78,0)),
"")</f>
        <v>NORTH</v>
      </c>
      <c r="L91" s="17" t="e">
        <f>SUMIFS([1]ACSDT5Y2020.B08301_data_with_ov!AT$3:AT$1334,[1]ACSDT5Y2020.B08301_data_with_ov!$AS$3:$AS$1334,$B91)</f>
        <v>#VALUE!</v>
      </c>
      <c r="M91" s="17" t="e">
        <f>SUMIFS([1]ACSDT5Y2020.B08301_data_with_ov!AU$3:AU$1334,[1]ACSDT5Y2020.B08301_data_with_ov!$AS$3:$AS$1334,$B91)</f>
        <v>#VALUE!</v>
      </c>
      <c r="N91" s="17" t="e">
        <f>SUMIFS([1]ACSDT5Y2020.B08301_data_with_ov!AV$3:AV$1334,[1]ACSDT5Y2020.B08301_data_with_ov!$AS$3:$AS$1334,$B91)</f>
        <v>#VALUE!</v>
      </c>
      <c r="O91" s="17" t="e">
        <f>SUMIFS([1]ACSDT5Y2020.B08301_data_with_ov!AW$3:AW$1334,[1]ACSDT5Y2020.B08301_data_with_ov!$AS$3:$AS$1334,$B91)</f>
        <v>#VALUE!</v>
      </c>
      <c r="P91" s="17" t="e">
        <f>SUMIFS([1]ACSDT5Y2020.B08301_data_with_ov!AX$3:AX$1334,[1]ACSDT5Y2020.B08301_data_with_ov!$AS$3:$AS$1334,$B91)</f>
        <v>#VALUE!</v>
      </c>
      <c r="Q91" s="17" t="e">
        <f>SUMIFS([1]ACSDT5Y2020.B08301_data_with_ov!AY$3:AY$1334,[1]ACSDT5Y2020.B08301_data_with_ov!$AS$3:$AS$1334,$B91)</f>
        <v>#VALUE!</v>
      </c>
      <c r="R91" s="17" t="e">
        <f>SUMIFS([1]ACSDT5Y2020.B08301_data_with_ov!AZ$3:AZ$1334,[1]ACSDT5Y2020.B08301_data_with_ov!$AS$3:$AS$1334,$B91)</f>
        <v>#VALUE!</v>
      </c>
      <c r="S91" s="17" t="e">
        <f>SUMIFS([1]ACSDT5Y2020.B08301_data_with_ov!BA$3:BA$1334,[1]ACSDT5Y2020.B08301_data_with_ov!$AS$3:$AS$1334,$B91)</f>
        <v>#VALUE!</v>
      </c>
      <c r="T91" s="188">
        <v>0.13641563931155123</v>
      </c>
      <c r="U91" s="189" t="e">
        <f t="shared" si="7"/>
        <v>#VALUE!</v>
      </c>
      <c r="V91" s="188">
        <v>0.13641563931155123</v>
      </c>
      <c r="W91" s="189" t="e">
        <f t="shared" si="4"/>
        <v>#VALUE!</v>
      </c>
      <c r="X91" s="188">
        <v>0.13641563931155123</v>
      </c>
      <c r="Y91" s="189" t="e">
        <f t="shared" si="5"/>
        <v>#VALUE!</v>
      </c>
      <c r="Z91" s="188">
        <v>0.13641563931155123</v>
      </c>
      <c r="AA91" s="189" t="e">
        <f t="shared" si="6"/>
        <v>#VALUE!</v>
      </c>
    </row>
    <row r="92" spans="1:27" x14ac:dyDescent="0.25">
      <c r="A92">
        <v>10400</v>
      </c>
      <c r="B92">
        <v>17031010400</v>
      </c>
      <c r="C92">
        <v>17031</v>
      </c>
      <c r="D92">
        <v>2010</v>
      </c>
      <c r="E92">
        <v>1</v>
      </c>
      <c r="F92">
        <v>5868951.4538228996</v>
      </c>
      <c r="G92" s="45">
        <v>0.2105196658998687</v>
      </c>
      <c r="H92" s="60" t="str">
        <f>_xlfn.IFNA(
INDEX('Community Areas'!B$2:B$78,MATCH($E92,'Community Areas'!$A$2:$A$78,0)),
"")</f>
        <v>ROGERS PARK</v>
      </c>
      <c r="I92" s="63" t="str">
        <f>_xlfn.IFNA(
INDEX('Community Areas'!C$2:C$78,MATCH($E92,'Community Areas'!$A$2:$A$78,0)),
"")</f>
        <v>1-A</v>
      </c>
      <c r="J92" s="63">
        <f>_xlfn.IFNA(
INDEX('Community Areas'!D$2:D$78,MATCH($E92,'Community Areas'!$A$2:$A$78,0)),
"")</f>
        <v>1</v>
      </c>
      <c r="K92" s="60" t="str">
        <f>_xlfn.IFNA(
INDEX('Community Areas'!E$2:E$78,MATCH($E92,'Community Areas'!$A$2:$A$78,0)),
"")</f>
        <v>NORTH</v>
      </c>
      <c r="L92" s="17" t="e">
        <f>SUMIFS([1]ACSDT5Y2020.B08301_data_with_ov!AT$3:AT$1334,[1]ACSDT5Y2020.B08301_data_with_ov!$AS$3:$AS$1334,$B92)</f>
        <v>#VALUE!</v>
      </c>
      <c r="M92" s="17" t="e">
        <f>SUMIFS([1]ACSDT5Y2020.B08301_data_with_ov!AU$3:AU$1334,[1]ACSDT5Y2020.B08301_data_with_ov!$AS$3:$AS$1334,$B92)</f>
        <v>#VALUE!</v>
      </c>
      <c r="N92" s="17" t="e">
        <f>SUMIFS([1]ACSDT5Y2020.B08301_data_with_ov!AV$3:AV$1334,[1]ACSDT5Y2020.B08301_data_with_ov!$AS$3:$AS$1334,$B92)</f>
        <v>#VALUE!</v>
      </c>
      <c r="O92" s="17" t="e">
        <f>SUMIFS([1]ACSDT5Y2020.B08301_data_with_ov!AW$3:AW$1334,[1]ACSDT5Y2020.B08301_data_with_ov!$AS$3:$AS$1334,$B92)</f>
        <v>#VALUE!</v>
      </c>
      <c r="P92" s="17" t="e">
        <f>SUMIFS([1]ACSDT5Y2020.B08301_data_with_ov!AX$3:AX$1334,[1]ACSDT5Y2020.B08301_data_with_ov!$AS$3:$AS$1334,$B92)</f>
        <v>#VALUE!</v>
      </c>
      <c r="Q92" s="17" t="e">
        <f>SUMIFS([1]ACSDT5Y2020.B08301_data_with_ov!AY$3:AY$1334,[1]ACSDT5Y2020.B08301_data_with_ov!$AS$3:$AS$1334,$B92)</f>
        <v>#VALUE!</v>
      </c>
      <c r="R92" s="17" t="e">
        <f>SUMIFS([1]ACSDT5Y2020.B08301_data_with_ov!AZ$3:AZ$1334,[1]ACSDT5Y2020.B08301_data_with_ov!$AS$3:$AS$1334,$B92)</f>
        <v>#VALUE!</v>
      </c>
      <c r="S92" s="17" t="e">
        <f>SUMIFS([1]ACSDT5Y2020.B08301_data_with_ov!BA$3:BA$1334,[1]ACSDT5Y2020.B08301_data_with_ov!$AS$3:$AS$1334,$B92)</f>
        <v>#VALUE!</v>
      </c>
      <c r="T92" s="188">
        <v>0.21051967155392598</v>
      </c>
      <c r="U92" s="189" t="e">
        <f t="shared" si="7"/>
        <v>#VALUE!</v>
      </c>
      <c r="V92" s="188">
        <v>0.21051967155392598</v>
      </c>
      <c r="W92" s="189" t="e">
        <f t="shared" si="4"/>
        <v>#VALUE!</v>
      </c>
      <c r="X92" s="188">
        <v>0.21051967155392598</v>
      </c>
      <c r="Y92" s="189" t="e">
        <f t="shared" si="5"/>
        <v>#VALUE!</v>
      </c>
      <c r="Z92" s="188">
        <v>0.21051967155392598</v>
      </c>
      <c r="AA92" s="189" t="e">
        <f t="shared" si="6"/>
        <v>#VALUE!</v>
      </c>
    </row>
    <row r="93" spans="1:27" x14ac:dyDescent="0.25">
      <c r="A93">
        <v>110501</v>
      </c>
      <c r="B93">
        <v>17031110501</v>
      </c>
      <c r="C93">
        <v>17031</v>
      </c>
      <c r="D93">
        <v>2010</v>
      </c>
      <c r="E93">
        <v>11</v>
      </c>
      <c r="F93">
        <v>8521228.6253883801</v>
      </c>
      <c r="G93" s="45">
        <v>0.30565701853005839</v>
      </c>
      <c r="H93" s="60" t="str">
        <f>_xlfn.IFNA(
INDEX('Community Areas'!B$2:B$78,MATCH($E93,'Community Areas'!$A$2:$A$78,0)),
"")</f>
        <v>JEFFERSON PARK</v>
      </c>
      <c r="I93" s="63" t="str">
        <f>_xlfn.IFNA(
INDEX('Community Areas'!C$2:C$78,MATCH($E93,'Community Areas'!$A$2:$A$78,0)),
"")</f>
        <v>2-A</v>
      </c>
      <c r="J93" s="63">
        <f>_xlfn.IFNA(
INDEX('Community Areas'!D$2:D$78,MATCH($E93,'Community Areas'!$A$2:$A$78,0)),
"")</f>
        <v>2</v>
      </c>
      <c r="K93" s="60" t="str">
        <f>_xlfn.IFNA(
INDEX('Community Areas'!E$2:E$78,MATCH($E93,'Community Areas'!$A$2:$A$78,0)),
"")</f>
        <v>NORTHWEST</v>
      </c>
      <c r="L93" s="17" t="e">
        <f>SUMIFS([1]ACSDT5Y2020.B08301_data_with_ov!AT$3:AT$1334,[1]ACSDT5Y2020.B08301_data_with_ov!$AS$3:$AS$1334,$B93)</f>
        <v>#VALUE!</v>
      </c>
      <c r="M93" s="17" t="e">
        <f>SUMIFS([1]ACSDT5Y2020.B08301_data_with_ov!AU$3:AU$1334,[1]ACSDT5Y2020.B08301_data_with_ov!$AS$3:$AS$1334,$B93)</f>
        <v>#VALUE!</v>
      </c>
      <c r="N93" s="17" t="e">
        <f>SUMIFS([1]ACSDT5Y2020.B08301_data_with_ov!AV$3:AV$1334,[1]ACSDT5Y2020.B08301_data_with_ov!$AS$3:$AS$1334,$B93)</f>
        <v>#VALUE!</v>
      </c>
      <c r="O93" s="17" t="e">
        <f>SUMIFS([1]ACSDT5Y2020.B08301_data_with_ov!AW$3:AW$1334,[1]ACSDT5Y2020.B08301_data_with_ov!$AS$3:$AS$1334,$B93)</f>
        <v>#VALUE!</v>
      </c>
      <c r="P93" s="17" t="e">
        <f>SUMIFS([1]ACSDT5Y2020.B08301_data_with_ov!AX$3:AX$1334,[1]ACSDT5Y2020.B08301_data_with_ov!$AS$3:$AS$1334,$B93)</f>
        <v>#VALUE!</v>
      </c>
      <c r="Q93" s="17" t="e">
        <f>SUMIFS([1]ACSDT5Y2020.B08301_data_with_ov!AY$3:AY$1334,[1]ACSDT5Y2020.B08301_data_with_ov!$AS$3:$AS$1334,$B93)</f>
        <v>#VALUE!</v>
      </c>
      <c r="R93" s="17" t="e">
        <f>SUMIFS([1]ACSDT5Y2020.B08301_data_with_ov!AZ$3:AZ$1334,[1]ACSDT5Y2020.B08301_data_with_ov!$AS$3:$AS$1334,$B93)</f>
        <v>#VALUE!</v>
      </c>
      <c r="S93" s="17" t="e">
        <f>SUMIFS([1]ACSDT5Y2020.B08301_data_with_ov!BA$3:BA$1334,[1]ACSDT5Y2020.B08301_data_with_ov!$AS$3:$AS$1334,$B93)</f>
        <v>#VALUE!</v>
      </c>
      <c r="T93" s="188">
        <v>0.30565701814451762</v>
      </c>
      <c r="U93" s="189" t="e">
        <f t="shared" si="7"/>
        <v>#VALUE!</v>
      </c>
      <c r="V93" s="188">
        <v>0.30565701814451762</v>
      </c>
      <c r="W93" s="189" t="e">
        <f t="shared" si="4"/>
        <v>#VALUE!</v>
      </c>
      <c r="X93" s="188">
        <v>0.30565701814451762</v>
      </c>
      <c r="Y93" s="189" t="e">
        <f t="shared" si="5"/>
        <v>#VALUE!</v>
      </c>
      <c r="Z93" s="188">
        <v>0.30565701814451762</v>
      </c>
      <c r="AA93" s="189" t="e">
        <f t="shared" si="6"/>
        <v>#VALUE!</v>
      </c>
    </row>
    <row r="94" spans="1:27" x14ac:dyDescent="0.25">
      <c r="A94">
        <v>110502</v>
      </c>
      <c r="B94">
        <v>17031110502</v>
      </c>
      <c r="C94">
        <v>17031</v>
      </c>
      <c r="D94">
        <v>2010</v>
      </c>
      <c r="E94">
        <v>11</v>
      </c>
      <c r="F94">
        <v>6997404.8771438804</v>
      </c>
      <c r="G94" s="45">
        <v>0.250997362730425</v>
      </c>
      <c r="H94" s="60" t="str">
        <f>_xlfn.IFNA(
INDEX('Community Areas'!B$2:B$78,MATCH($E94,'Community Areas'!$A$2:$A$78,0)),
"")</f>
        <v>JEFFERSON PARK</v>
      </c>
      <c r="I94" s="63" t="str">
        <f>_xlfn.IFNA(
INDEX('Community Areas'!C$2:C$78,MATCH($E94,'Community Areas'!$A$2:$A$78,0)),
"")</f>
        <v>2-A</v>
      </c>
      <c r="J94" s="63">
        <f>_xlfn.IFNA(
INDEX('Community Areas'!D$2:D$78,MATCH($E94,'Community Areas'!$A$2:$A$78,0)),
"")</f>
        <v>2</v>
      </c>
      <c r="K94" s="60" t="str">
        <f>_xlfn.IFNA(
INDEX('Community Areas'!E$2:E$78,MATCH($E94,'Community Areas'!$A$2:$A$78,0)),
"")</f>
        <v>NORTHWEST</v>
      </c>
      <c r="L94" s="17" t="e">
        <f>SUMIFS([1]ACSDT5Y2020.B08301_data_with_ov!AT$3:AT$1334,[1]ACSDT5Y2020.B08301_data_with_ov!$AS$3:$AS$1334,$B94)</f>
        <v>#VALUE!</v>
      </c>
      <c r="M94" s="17" t="e">
        <f>SUMIFS([1]ACSDT5Y2020.B08301_data_with_ov!AU$3:AU$1334,[1]ACSDT5Y2020.B08301_data_with_ov!$AS$3:$AS$1334,$B94)</f>
        <v>#VALUE!</v>
      </c>
      <c r="N94" s="17" t="e">
        <f>SUMIFS([1]ACSDT5Y2020.B08301_data_with_ov!AV$3:AV$1334,[1]ACSDT5Y2020.B08301_data_with_ov!$AS$3:$AS$1334,$B94)</f>
        <v>#VALUE!</v>
      </c>
      <c r="O94" s="17" t="e">
        <f>SUMIFS([1]ACSDT5Y2020.B08301_data_with_ov!AW$3:AW$1334,[1]ACSDT5Y2020.B08301_data_with_ov!$AS$3:$AS$1334,$B94)</f>
        <v>#VALUE!</v>
      </c>
      <c r="P94" s="17" t="e">
        <f>SUMIFS([1]ACSDT5Y2020.B08301_data_with_ov!AX$3:AX$1334,[1]ACSDT5Y2020.B08301_data_with_ov!$AS$3:$AS$1334,$B94)</f>
        <v>#VALUE!</v>
      </c>
      <c r="Q94" s="17" t="e">
        <f>SUMIFS([1]ACSDT5Y2020.B08301_data_with_ov!AY$3:AY$1334,[1]ACSDT5Y2020.B08301_data_with_ov!$AS$3:$AS$1334,$B94)</f>
        <v>#VALUE!</v>
      </c>
      <c r="R94" s="17" t="e">
        <f>SUMIFS([1]ACSDT5Y2020.B08301_data_with_ov!AZ$3:AZ$1334,[1]ACSDT5Y2020.B08301_data_with_ov!$AS$3:$AS$1334,$B94)</f>
        <v>#VALUE!</v>
      </c>
      <c r="S94" s="17" t="e">
        <f>SUMIFS([1]ACSDT5Y2020.B08301_data_with_ov!BA$3:BA$1334,[1]ACSDT5Y2020.B08301_data_with_ov!$AS$3:$AS$1334,$B94)</f>
        <v>#VALUE!</v>
      </c>
      <c r="T94" s="188">
        <v>0.25099736470585182</v>
      </c>
      <c r="U94" s="189" t="e">
        <f t="shared" si="7"/>
        <v>#VALUE!</v>
      </c>
      <c r="V94" s="188">
        <v>0.25099736470585182</v>
      </c>
      <c r="W94" s="189" t="e">
        <f t="shared" si="4"/>
        <v>#VALUE!</v>
      </c>
      <c r="X94" s="188">
        <v>0.25099736470585182</v>
      </c>
      <c r="Y94" s="189" t="e">
        <f t="shared" si="5"/>
        <v>#VALUE!</v>
      </c>
      <c r="Z94" s="188">
        <v>0.25099736470585182</v>
      </c>
      <c r="AA94" s="189" t="e">
        <f t="shared" si="6"/>
        <v>#VALUE!</v>
      </c>
    </row>
    <row r="95" spans="1:27" x14ac:dyDescent="0.25">
      <c r="A95">
        <v>110100</v>
      </c>
      <c r="B95">
        <v>17031110100</v>
      </c>
      <c r="C95">
        <v>17031</v>
      </c>
      <c r="D95">
        <v>2010</v>
      </c>
      <c r="E95">
        <v>11</v>
      </c>
      <c r="F95">
        <v>19855898.4223422</v>
      </c>
      <c r="G95" s="45">
        <v>0.7122323527297908</v>
      </c>
      <c r="H95" s="60" t="str">
        <f>_xlfn.IFNA(
INDEX('Community Areas'!B$2:B$78,MATCH($E95,'Community Areas'!$A$2:$A$78,0)),
"")</f>
        <v>JEFFERSON PARK</v>
      </c>
      <c r="I95" s="63" t="str">
        <f>_xlfn.IFNA(
INDEX('Community Areas'!C$2:C$78,MATCH($E95,'Community Areas'!$A$2:$A$78,0)),
"")</f>
        <v>2-A</v>
      </c>
      <c r="J95" s="63">
        <f>_xlfn.IFNA(
INDEX('Community Areas'!D$2:D$78,MATCH($E95,'Community Areas'!$A$2:$A$78,0)),
"")</f>
        <v>2</v>
      </c>
      <c r="K95" s="60" t="str">
        <f>_xlfn.IFNA(
INDEX('Community Areas'!E$2:E$78,MATCH($E95,'Community Areas'!$A$2:$A$78,0)),
"")</f>
        <v>NORTHWEST</v>
      </c>
      <c r="L95" s="17" t="e">
        <f>SUMIFS([1]ACSDT5Y2020.B08301_data_with_ov!AT$3:AT$1334,[1]ACSDT5Y2020.B08301_data_with_ov!$AS$3:$AS$1334,$B95)</f>
        <v>#VALUE!</v>
      </c>
      <c r="M95" s="17" t="e">
        <f>SUMIFS([1]ACSDT5Y2020.B08301_data_with_ov!AU$3:AU$1334,[1]ACSDT5Y2020.B08301_data_with_ov!$AS$3:$AS$1334,$B95)</f>
        <v>#VALUE!</v>
      </c>
      <c r="N95" s="17" t="e">
        <f>SUMIFS([1]ACSDT5Y2020.B08301_data_with_ov!AV$3:AV$1334,[1]ACSDT5Y2020.B08301_data_with_ov!$AS$3:$AS$1334,$B95)</f>
        <v>#VALUE!</v>
      </c>
      <c r="O95" s="17" t="e">
        <f>SUMIFS([1]ACSDT5Y2020.B08301_data_with_ov!AW$3:AW$1334,[1]ACSDT5Y2020.B08301_data_with_ov!$AS$3:$AS$1334,$B95)</f>
        <v>#VALUE!</v>
      </c>
      <c r="P95" s="17" t="e">
        <f>SUMIFS([1]ACSDT5Y2020.B08301_data_with_ov!AX$3:AX$1334,[1]ACSDT5Y2020.B08301_data_with_ov!$AS$3:$AS$1334,$B95)</f>
        <v>#VALUE!</v>
      </c>
      <c r="Q95" s="17" t="e">
        <f>SUMIFS([1]ACSDT5Y2020.B08301_data_with_ov!AY$3:AY$1334,[1]ACSDT5Y2020.B08301_data_with_ov!$AS$3:$AS$1334,$B95)</f>
        <v>#VALUE!</v>
      </c>
      <c r="R95" s="17" t="e">
        <f>SUMIFS([1]ACSDT5Y2020.B08301_data_with_ov!AZ$3:AZ$1334,[1]ACSDT5Y2020.B08301_data_with_ov!$AS$3:$AS$1334,$B95)</f>
        <v>#VALUE!</v>
      </c>
      <c r="S95" s="17" t="e">
        <f>SUMIFS([1]ACSDT5Y2020.B08301_data_with_ov!BA$3:BA$1334,[1]ACSDT5Y2020.B08301_data_with_ov!$AS$3:$AS$1334,$B95)</f>
        <v>#VALUE!</v>
      </c>
      <c r="T95" s="188">
        <v>0.71223235434249821</v>
      </c>
      <c r="U95" s="189" t="e">
        <f t="shared" si="7"/>
        <v>#VALUE!</v>
      </c>
      <c r="V95" s="188">
        <v>0.71223235434249821</v>
      </c>
      <c r="W95" s="189" t="e">
        <f t="shared" si="4"/>
        <v>#VALUE!</v>
      </c>
      <c r="X95" s="188">
        <v>0.71223235434249821</v>
      </c>
      <c r="Y95" s="189" t="e">
        <f t="shared" si="5"/>
        <v>#VALUE!</v>
      </c>
      <c r="Z95" s="188">
        <v>0.71223235434249821</v>
      </c>
      <c r="AA95" s="189" t="e">
        <f t="shared" si="6"/>
        <v>#VALUE!</v>
      </c>
    </row>
    <row r="96" spans="1:27" x14ac:dyDescent="0.25">
      <c r="A96">
        <v>110200</v>
      </c>
      <c r="B96">
        <v>17031110200</v>
      </c>
      <c r="C96">
        <v>17031</v>
      </c>
      <c r="D96">
        <v>2010</v>
      </c>
      <c r="E96">
        <v>11</v>
      </c>
      <c r="F96">
        <v>6434181.5074040797</v>
      </c>
      <c r="G96" s="45">
        <v>0.23079450425433595</v>
      </c>
      <c r="H96" s="60" t="str">
        <f>_xlfn.IFNA(
INDEX('Community Areas'!B$2:B$78,MATCH($E96,'Community Areas'!$A$2:$A$78,0)),
"")</f>
        <v>JEFFERSON PARK</v>
      </c>
      <c r="I96" s="63" t="str">
        <f>_xlfn.IFNA(
INDEX('Community Areas'!C$2:C$78,MATCH($E96,'Community Areas'!$A$2:$A$78,0)),
"")</f>
        <v>2-A</v>
      </c>
      <c r="J96" s="63">
        <f>_xlfn.IFNA(
INDEX('Community Areas'!D$2:D$78,MATCH($E96,'Community Areas'!$A$2:$A$78,0)),
"")</f>
        <v>2</v>
      </c>
      <c r="K96" s="60" t="str">
        <f>_xlfn.IFNA(
INDEX('Community Areas'!E$2:E$78,MATCH($E96,'Community Areas'!$A$2:$A$78,0)),
"")</f>
        <v>NORTHWEST</v>
      </c>
      <c r="L96" s="17" t="e">
        <f>SUMIFS([1]ACSDT5Y2020.B08301_data_with_ov!AT$3:AT$1334,[1]ACSDT5Y2020.B08301_data_with_ov!$AS$3:$AS$1334,$B96)</f>
        <v>#VALUE!</v>
      </c>
      <c r="M96" s="17" t="e">
        <f>SUMIFS([1]ACSDT5Y2020.B08301_data_with_ov!AU$3:AU$1334,[1]ACSDT5Y2020.B08301_data_with_ov!$AS$3:$AS$1334,$B96)</f>
        <v>#VALUE!</v>
      </c>
      <c r="N96" s="17" t="e">
        <f>SUMIFS([1]ACSDT5Y2020.B08301_data_with_ov!AV$3:AV$1334,[1]ACSDT5Y2020.B08301_data_with_ov!$AS$3:$AS$1334,$B96)</f>
        <v>#VALUE!</v>
      </c>
      <c r="O96" s="17" t="e">
        <f>SUMIFS([1]ACSDT5Y2020.B08301_data_with_ov!AW$3:AW$1334,[1]ACSDT5Y2020.B08301_data_with_ov!$AS$3:$AS$1334,$B96)</f>
        <v>#VALUE!</v>
      </c>
      <c r="P96" s="17" t="e">
        <f>SUMIFS([1]ACSDT5Y2020.B08301_data_with_ov!AX$3:AX$1334,[1]ACSDT5Y2020.B08301_data_with_ov!$AS$3:$AS$1334,$B96)</f>
        <v>#VALUE!</v>
      </c>
      <c r="Q96" s="17" t="e">
        <f>SUMIFS([1]ACSDT5Y2020.B08301_data_with_ov!AY$3:AY$1334,[1]ACSDT5Y2020.B08301_data_with_ov!$AS$3:$AS$1334,$B96)</f>
        <v>#VALUE!</v>
      </c>
      <c r="R96" s="17" t="e">
        <f>SUMIFS([1]ACSDT5Y2020.B08301_data_with_ov!AZ$3:AZ$1334,[1]ACSDT5Y2020.B08301_data_with_ov!$AS$3:$AS$1334,$B96)</f>
        <v>#VALUE!</v>
      </c>
      <c r="S96" s="17" t="e">
        <f>SUMIFS([1]ACSDT5Y2020.B08301_data_with_ov!BA$3:BA$1334,[1]ACSDT5Y2020.B08301_data_with_ov!$AS$3:$AS$1334,$B96)</f>
        <v>#VALUE!</v>
      </c>
      <c r="T96" s="188">
        <v>0.2307944957406397</v>
      </c>
      <c r="U96" s="189" t="e">
        <f t="shared" si="7"/>
        <v>#VALUE!</v>
      </c>
      <c r="V96" s="188">
        <v>0.2307944957406397</v>
      </c>
      <c r="W96" s="189" t="e">
        <f t="shared" si="4"/>
        <v>#VALUE!</v>
      </c>
      <c r="X96" s="188">
        <v>0.2307944957406397</v>
      </c>
      <c r="Y96" s="189" t="e">
        <f t="shared" si="5"/>
        <v>#VALUE!</v>
      </c>
      <c r="Z96" s="188">
        <v>0.2307944957406397</v>
      </c>
      <c r="AA96" s="189" t="e">
        <f t="shared" si="6"/>
        <v>#VALUE!</v>
      </c>
    </row>
    <row r="97" spans="1:27" x14ac:dyDescent="0.25">
      <c r="A97">
        <v>110300</v>
      </c>
      <c r="B97">
        <v>17031110300</v>
      </c>
      <c r="C97">
        <v>17031</v>
      </c>
      <c r="D97">
        <v>2010</v>
      </c>
      <c r="E97">
        <v>11</v>
      </c>
      <c r="F97">
        <v>13012577.529173</v>
      </c>
      <c r="G97" s="45">
        <v>0.46676199240892591</v>
      </c>
      <c r="H97" s="60" t="str">
        <f>_xlfn.IFNA(
INDEX('Community Areas'!B$2:B$78,MATCH($E97,'Community Areas'!$A$2:$A$78,0)),
"")</f>
        <v>JEFFERSON PARK</v>
      </c>
      <c r="I97" s="63" t="str">
        <f>_xlfn.IFNA(
INDEX('Community Areas'!C$2:C$78,MATCH($E97,'Community Areas'!$A$2:$A$78,0)),
"")</f>
        <v>2-A</v>
      </c>
      <c r="J97" s="63">
        <f>_xlfn.IFNA(
INDEX('Community Areas'!D$2:D$78,MATCH($E97,'Community Areas'!$A$2:$A$78,0)),
"")</f>
        <v>2</v>
      </c>
      <c r="K97" s="60" t="str">
        <f>_xlfn.IFNA(
INDEX('Community Areas'!E$2:E$78,MATCH($E97,'Community Areas'!$A$2:$A$78,0)),
"")</f>
        <v>NORTHWEST</v>
      </c>
      <c r="L97" s="17" t="e">
        <f>SUMIFS([1]ACSDT5Y2020.B08301_data_with_ov!AT$3:AT$1334,[1]ACSDT5Y2020.B08301_data_with_ov!$AS$3:$AS$1334,$B97)</f>
        <v>#VALUE!</v>
      </c>
      <c r="M97" s="17" t="e">
        <f>SUMIFS([1]ACSDT5Y2020.B08301_data_with_ov!AU$3:AU$1334,[1]ACSDT5Y2020.B08301_data_with_ov!$AS$3:$AS$1334,$B97)</f>
        <v>#VALUE!</v>
      </c>
      <c r="N97" s="17" t="e">
        <f>SUMIFS([1]ACSDT5Y2020.B08301_data_with_ov!AV$3:AV$1334,[1]ACSDT5Y2020.B08301_data_with_ov!$AS$3:$AS$1334,$B97)</f>
        <v>#VALUE!</v>
      </c>
      <c r="O97" s="17" t="e">
        <f>SUMIFS([1]ACSDT5Y2020.B08301_data_with_ov!AW$3:AW$1334,[1]ACSDT5Y2020.B08301_data_with_ov!$AS$3:$AS$1334,$B97)</f>
        <v>#VALUE!</v>
      </c>
      <c r="P97" s="17" t="e">
        <f>SUMIFS([1]ACSDT5Y2020.B08301_data_with_ov!AX$3:AX$1334,[1]ACSDT5Y2020.B08301_data_with_ov!$AS$3:$AS$1334,$B97)</f>
        <v>#VALUE!</v>
      </c>
      <c r="Q97" s="17" t="e">
        <f>SUMIFS([1]ACSDT5Y2020.B08301_data_with_ov!AY$3:AY$1334,[1]ACSDT5Y2020.B08301_data_with_ov!$AS$3:$AS$1334,$B97)</f>
        <v>#VALUE!</v>
      </c>
      <c r="R97" s="17" t="e">
        <f>SUMIFS([1]ACSDT5Y2020.B08301_data_with_ov!AZ$3:AZ$1334,[1]ACSDT5Y2020.B08301_data_with_ov!$AS$3:$AS$1334,$B97)</f>
        <v>#VALUE!</v>
      </c>
      <c r="S97" s="17" t="e">
        <f>SUMIFS([1]ACSDT5Y2020.B08301_data_with_ov!BA$3:BA$1334,[1]ACSDT5Y2020.B08301_data_with_ov!$AS$3:$AS$1334,$B97)</f>
        <v>#VALUE!</v>
      </c>
      <c r="T97" s="188">
        <v>0.46116442437742122</v>
      </c>
      <c r="U97" s="189" t="e">
        <f t="shared" si="7"/>
        <v>#VALUE!</v>
      </c>
      <c r="V97" s="188">
        <v>0.26542353154635556</v>
      </c>
      <c r="W97" s="189" t="e">
        <f t="shared" si="4"/>
        <v>#VALUE!</v>
      </c>
      <c r="X97" s="188">
        <v>0.26542353154635556</v>
      </c>
      <c r="Y97" s="189" t="e">
        <f t="shared" si="5"/>
        <v>#VALUE!</v>
      </c>
      <c r="Z97" s="188">
        <v>0.26542353154635556</v>
      </c>
      <c r="AA97" s="189" t="e">
        <f t="shared" si="6"/>
        <v>#VALUE!</v>
      </c>
    </row>
    <row r="98" spans="1:27" x14ac:dyDescent="0.25">
      <c r="A98">
        <v>110400</v>
      </c>
      <c r="B98">
        <v>17031110400</v>
      </c>
      <c r="C98">
        <v>17031</v>
      </c>
      <c r="D98">
        <v>2010</v>
      </c>
      <c r="E98">
        <v>11</v>
      </c>
      <c r="F98">
        <v>10046870.7141113</v>
      </c>
      <c r="G98" s="45">
        <v>0.3603818983195341</v>
      </c>
      <c r="H98" s="60" t="str">
        <f>_xlfn.IFNA(
INDEX('Community Areas'!B$2:B$78,MATCH($E98,'Community Areas'!$A$2:$A$78,0)),
"")</f>
        <v>JEFFERSON PARK</v>
      </c>
      <c r="I98" s="63" t="str">
        <f>_xlfn.IFNA(
INDEX('Community Areas'!C$2:C$78,MATCH($E98,'Community Areas'!$A$2:$A$78,0)),
"")</f>
        <v>2-A</v>
      </c>
      <c r="J98" s="63">
        <f>_xlfn.IFNA(
INDEX('Community Areas'!D$2:D$78,MATCH($E98,'Community Areas'!$A$2:$A$78,0)),
"")</f>
        <v>2</v>
      </c>
      <c r="K98" s="60" t="str">
        <f>_xlfn.IFNA(
INDEX('Community Areas'!E$2:E$78,MATCH($E98,'Community Areas'!$A$2:$A$78,0)),
"")</f>
        <v>NORTHWEST</v>
      </c>
      <c r="L98" s="17" t="e">
        <f>SUMIFS([1]ACSDT5Y2020.B08301_data_with_ov!AT$3:AT$1334,[1]ACSDT5Y2020.B08301_data_with_ov!$AS$3:$AS$1334,$B98)</f>
        <v>#VALUE!</v>
      </c>
      <c r="M98" s="17" t="e">
        <f>SUMIFS([1]ACSDT5Y2020.B08301_data_with_ov!AU$3:AU$1334,[1]ACSDT5Y2020.B08301_data_with_ov!$AS$3:$AS$1334,$B98)</f>
        <v>#VALUE!</v>
      </c>
      <c r="N98" s="17" t="e">
        <f>SUMIFS([1]ACSDT5Y2020.B08301_data_with_ov!AV$3:AV$1334,[1]ACSDT5Y2020.B08301_data_with_ov!$AS$3:$AS$1334,$B98)</f>
        <v>#VALUE!</v>
      </c>
      <c r="O98" s="17" t="e">
        <f>SUMIFS([1]ACSDT5Y2020.B08301_data_with_ov!AW$3:AW$1334,[1]ACSDT5Y2020.B08301_data_with_ov!$AS$3:$AS$1334,$B98)</f>
        <v>#VALUE!</v>
      </c>
      <c r="P98" s="17" t="e">
        <f>SUMIFS([1]ACSDT5Y2020.B08301_data_with_ov!AX$3:AX$1334,[1]ACSDT5Y2020.B08301_data_with_ov!$AS$3:$AS$1334,$B98)</f>
        <v>#VALUE!</v>
      </c>
      <c r="Q98" s="17" t="e">
        <f>SUMIFS([1]ACSDT5Y2020.B08301_data_with_ov!AY$3:AY$1334,[1]ACSDT5Y2020.B08301_data_with_ov!$AS$3:$AS$1334,$B98)</f>
        <v>#VALUE!</v>
      </c>
      <c r="R98" s="17" t="e">
        <f>SUMIFS([1]ACSDT5Y2020.B08301_data_with_ov!AZ$3:AZ$1334,[1]ACSDT5Y2020.B08301_data_with_ov!$AS$3:$AS$1334,$B98)</f>
        <v>#VALUE!</v>
      </c>
      <c r="S98" s="17" t="e">
        <f>SUMIFS([1]ACSDT5Y2020.B08301_data_with_ov!BA$3:BA$1334,[1]ACSDT5Y2020.B08301_data_with_ov!$AS$3:$AS$1334,$B98)</f>
        <v>#VALUE!</v>
      </c>
      <c r="T98" s="188">
        <v>0.36038190032564993</v>
      </c>
      <c r="U98" s="189" t="e">
        <f t="shared" si="7"/>
        <v>#VALUE!</v>
      </c>
      <c r="V98" s="188">
        <v>0.35004983064560413</v>
      </c>
      <c r="W98" s="189" t="e">
        <f t="shared" si="4"/>
        <v>#VALUE!</v>
      </c>
      <c r="X98" s="188">
        <v>0.35004983064560413</v>
      </c>
      <c r="Y98" s="189" t="e">
        <f t="shared" si="5"/>
        <v>#VALUE!</v>
      </c>
      <c r="Z98" s="188">
        <v>0.35004983064560413</v>
      </c>
      <c r="AA98" s="189" t="e">
        <f t="shared" si="6"/>
        <v>#VALUE!</v>
      </c>
    </row>
    <row r="99" spans="1:27" x14ac:dyDescent="0.25">
      <c r="A99">
        <v>120400</v>
      </c>
      <c r="B99">
        <v>17031120400</v>
      </c>
      <c r="C99">
        <v>17031</v>
      </c>
      <c r="D99">
        <v>2010</v>
      </c>
      <c r="E99">
        <v>12</v>
      </c>
      <c r="F99">
        <v>11627763.4434561</v>
      </c>
      <c r="G99" s="45">
        <v>0.4170886221395812</v>
      </c>
      <c r="H99" s="60" t="str">
        <f>_xlfn.IFNA(
INDEX('Community Areas'!B$2:B$78,MATCH($E99,'Community Areas'!$A$2:$A$78,0)),
"")</f>
        <v>FOREST GLEN</v>
      </c>
      <c r="I99" s="63" t="str">
        <f>_xlfn.IFNA(
INDEX('Community Areas'!C$2:C$78,MATCH($E99,'Community Areas'!$A$2:$A$78,0)),
"")</f>
        <v>2-A</v>
      </c>
      <c r="J99" s="63">
        <f>_xlfn.IFNA(
INDEX('Community Areas'!D$2:D$78,MATCH($E99,'Community Areas'!$A$2:$A$78,0)),
"")</f>
        <v>2</v>
      </c>
      <c r="K99" s="60" t="str">
        <f>_xlfn.IFNA(
INDEX('Community Areas'!E$2:E$78,MATCH($E99,'Community Areas'!$A$2:$A$78,0)),
"")</f>
        <v>NORTHWEST</v>
      </c>
      <c r="L99" s="17" t="e">
        <f>SUMIFS([1]ACSDT5Y2020.B08301_data_with_ov!AT$3:AT$1334,[1]ACSDT5Y2020.B08301_data_with_ov!$AS$3:$AS$1334,$B99)</f>
        <v>#VALUE!</v>
      </c>
      <c r="M99" s="17" t="e">
        <f>SUMIFS([1]ACSDT5Y2020.B08301_data_with_ov!AU$3:AU$1334,[1]ACSDT5Y2020.B08301_data_with_ov!$AS$3:$AS$1334,$B99)</f>
        <v>#VALUE!</v>
      </c>
      <c r="N99" s="17" t="e">
        <f>SUMIFS([1]ACSDT5Y2020.B08301_data_with_ov!AV$3:AV$1334,[1]ACSDT5Y2020.B08301_data_with_ov!$AS$3:$AS$1334,$B99)</f>
        <v>#VALUE!</v>
      </c>
      <c r="O99" s="17" t="e">
        <f>SUMIFS([1]ACSDT5Y2020.B08301_data_with_ov!AW$3:AW$1334,[1]ACSDT5Y2020.B08301_data_with_ov!$AS$3:$AS$1334,$B99)</f>
        <v>#VALUE!</v>
      </c>
      <c r="P99" s="17" t="e">
        <f>SUMIFS([1]ACSDT5Y2020.B08301_data_with_ov!AX$3:AX$1334,[1]ACSDT5Y2020.B08301_data_with_ov!$AS$3:$AS$1334,$B99)</f>
        <v>#VALUE!</v>
      </c>
      <c r="Q99" s="17" t="e">
        <f>SUMIFS([1]ACSDT5Y2020.B08301_data_with_ov!AY$3:AY$1334,[1]ACSDT5Y2020.B08301_data_with_ov!$AS$3:$AS$1334,$B99)</f>
        <v>#VALUE!</v>
      </c>
      <c r="R99" s="17" t="e">
        <f>SUMIFS([1]ACSDT5Y2020.B08301_data_with_ov!AZ$3:AZ$1334,[1]ACSDT5Y2020.B08301_data_with_ov!$AS$3:$AS$1334,$B99)</f>
        <v>#VALUE!</v>
      </c>
      <c r="S99" s="17" t="e">
        <f>SUMIFS([1]ACSDT5Y2020.B08301_data_with_ov!BA$3:BA$1334,[1]ACSDT5Y2020.B08301_data_with_ov!$AS$3:$AS$1334,$B99)</f>
        <v>#VALUE!</v>
      </c>
      <c r="T99" s="188">
        <v>0.41708861922025653</v>
      </c>
      <c r="U99" s="189" t="e">
        <f t="shared" si="7"/>
        <v>#VALUE!</v>
      </c>
      <c r="V99" s="188">
        <v>0.41708861922025653</v>
      </c>
      <c r="W99" s="189" t="e">
        <f t="shared" si="4"/>
        <v>#VALUE!</v>
      </c>
      <c r="X99" s="188">
        <v>0.41708861922025653</v>
      </c>
      <c r="Y99" s="189" t="e">
        <f t="shared" si="5"/>
        <v>#VALUE!</v>
      </c>
      <c r="Z99" s="188">
        <v>0.41708861922025653</v>
      </c>
      <c r="AA99" s="189" t="e">
        <f t="shared" si="6"/>
        <v>#VALUE!</v>
      </c>
    </row>
    <row r="100" spans="1:27" x14ac:dyDescent="0.25">
      <c r="A100">
        <v>120200</v>
      </c>
      <c r="B100">
        <v>17031120200</v>
      </c>
      <c r="C100">
        <v>17031</v>
      </c>
      <c r="D100">
        <v>2010</v>
      </c>
      <c r="E100">
        <v>12</v>
      </c>
      <c r="F100">
        <v>25645811.717586402</v>
      </c>
      <c r="G100" s="45">
        <v>0.91991691480093551</v>
      </c>
      <c r="H100" s="60" t="str">
        <f>_xlfn.IFNA(
INDEX('Community Areas'!B$2:B$78,MATCH($E100,'Community Areas'!$A$2:$A$78,0)),
"")</f>
        <v>FOREST GLEN</v>
      </c>
      <c r="I100" s="63" t="str">
        <f>_xlfn.IFNA(
INDEX('Community Areas'!C$2:C$78,MATCH($E100,'Community Areas'!$A$2:$A$78,0)),
"")</f>
        <v>2-A</v>
      </c>
      <c r="J100" s="63">
        <f>_xlfn.IFNA(
INDEX('Community Areas'!D$2:D$78,MATCH($E100,'Community Areas'!$A$2:$A$78,0)),
"")</f>
        <v>2</v>
      </c>
      <c r="K100" s="60" t="str">
        <f>_xlfn.IFNA(
INDEX('Community Areas'!E$2:E$78,MATCH($E100,'Community Areas'!$A$2:$A$78,0)),
"")</f>
        <v>NORTHWEST</v>
      </c>
      <c r="L100" s="17" t="e">
        <f>SUMIFS([1]ACSDT5Y2020.B08301_data_with_ov!AT$3:AT$1334,[1]ACSDT5Y2020.B08301_data_with_ov!$AS$3:$AS$1334,$B100)</f>
        <v>#VALUE!</v>
      </c>
      <c r="M100" s="17" t="e">
        <f>SUMIFS([1]ACSDT5Y2020.B08301_data_with_ov!AU$3:AU$1334,[1]ACSDT5Y2020.B08301_data_with_ov!$AS$3:$AS$1334,$B100)</f>
        <v>#VALUE!</v>
      </c>
      <c r="N100" s="17" t="e">
        <f>SUMIFS([1]ACSDT5Y2020.B08301_data_with_ov!AV$3:AV$1334,[1]ACSDT5Y2020.B08301_data_with_ov!$AS$3:$AS$1334,$B100)</f>
        <v>#VALUE!</v>
      </c>
      <c r="O100" s="17" t="e">
        <f>SUMIFS([1]ACSDT5Y2020.B08301_data_with_ov!AW$3:AW$1334,[1]ACSDT5Y2020.B08301_data_with_ov!$AS$3:$AS$1334,$B100)</f>
        <v>#VALUE!</v>
      </c>
      <c r="P100" s="17" t="e">
        <f>SUMIFS([1]ACSDT5Y2020.B08301_data_with_ov!AX$3:AX$1334,[1]ACSDT5Y2020.B08301_data_with_ov!$AS$3:$AS$1334,$B100)</f>
        <v>#VALUE!</v>
      </c>
      <c r="Q100" s="17" t="e">
        <f>SUMIFS([1]ACSDT5Y2020.B08301_data_with_ov!AY$3:AY$1334,[1]ACSDT5Y2020.B08301_data_with_ov!$AS$3:$AS$1334,$B100)</f>
        <v>#VALUE!</v>
      </c>
      <c r="R100" s="17" t="e">
        <f>SUMIFS([1]ACSDT5Y2020.B08301_data_with_ov!AZ$3:AZ$1334,[1]ACSDT5Y2020.B08301_data_with_ov!$AS$3:$AS$1334,$B100)</f>
        <v>#VALUE!</v>
      </c>
      <c r="S100" s="17" t="e">
        <f>SUMIFS([1]ACSDT5Y2020.B08301_data_with_ov!BA$3:BA$1334,[1]ACSDT5Y2020.B08301_data_with_ov!$AS$3:$AS$1334,$B100)</f>
        <v>#VALUE!</v>
      </c>
      <c r="T100" s="188">
        <v>0.67461793448072338</v>
      </c>
      <c r="U100" s="189" t="e">
        <f t="shared" si="7"/>
        <v>#VALUE!</v>
      </c>
      <c r="V100" s="188">
        <v>0.67461793448072338</v>
      </c>
      <c r="W100" s="189" t="e">
        <f t="shared" si="4"/>
        <v>#VALUE!</v>
      </c>
      <c r="X100" s="188">
        <v>0.67461793448072338</v>
      </c>
      <c r="Y100" s="189" t="e">
        <f t="shared" si="5"/>
        <v>#VALUE!</v>
      </c>
      <c r="Z100" s="188">
        <v>0.67461793448072338</v>
      </c>
      <c r="AA100" s="189" t="e">
        <f t="shared" si="6"/>
        <v>#VALUE!</v>
      </c>
    </row>
    <row r="101" spans="1:27" x14ac:dyDescent="0.25">
      <c r="A101">
        <v>120300</v>
      </c>
      <c r="B101">
        <v>17031120300</v>
      </c>
      <c r="C101">
        <v>17031</v>
      </c>
      <c r="D101">
        <v>2010</v>
      </c>
      <c r="E101">
        <v>12</v>
      </c>
      <c r="F101">
        <v>22100921.7388984</v>
      </c>
      <c r="G101" s="45">
        <v>0.7927614834028639</v>
      </c>
      <c r="H101" s="60" t="str">
        <f>_xlfn.IFNA(
INDEX('Community Areas'!B$2:B$78,MATCH($E101,'Community Areas'!$A$2:$A$78,0)),
"")</f>
        <v>FOREST GLEN</v>
      </c>
      <c r="I101" s="63" t="str">
        <f>_xlfn.IFNA(
INDEX('Community Areas'!C$2:C$78,MATCH($E101,'Community Areas'!$A$2:$A$78,0)),
"")</f>
        <v>2-A</v>
      </c>
      <c r="J101" s="63">
        <f>_xlfn.IFNA(
INDEX('Community Areas'!D$2:D$78,MATCH($E101,'Community Areas'!$A$2:$A$78,0)),
"")</f>
        <v>2</v>
      </c>
      <c r="K101" s="60" t="str">
        <f>_xlfn.IFNA(
INDEX('Community Areas'!E$2:E$78,MATCH($E101,'Community Areas'!$A$2:$A$78,0)),
"")</f>
        <v>NORTHWEST</v>
      </c>
      <c r="L101" s="17" t="e">
        <f>SUMIFS([1]ACSDT5Y2020.B08301_data_with_ov!AT$3:AT$1334,[1]ACSDT5Y2020.B08301_data_with_ov!$AS$3:$AS$1334,$B101)</f>
        <v>#VALUE!</v>
      </c>
      <c r="M101" s="17" t="e">
        <f>SUMIFS([1]ACSDT5Y2020.B08301_data_with_ov!AU$3:AU$1334,[1]ACSDT5Y2020.B08301_data_with_ov!$AS$3:$AS$1334,$B101)</f>
        <v>#VALUE!</v>
      </c>
      <c r="N101" s="17" t="e">
        <f>SUMIFS([1]ACSDT5Y2020.B08301_data_with_ov!AV$3:AV$1334,[1]ACSDT5Y2020.B08301_data_with_ov!$AS$3:$AS$1334,$B101)</f>
        <v>#VALUE!</v>
      </c>
      <c r="O101" s="17" t="e">
        <f>SUMIFS([1]ACSDT5Y2020.B08301_data_with_ov!AW$3:AW$1334,[1]ACSDT5Y2020.B08301_data_with_ov!$AS$3:$AS$1334,$B101)</f>
        <v>#VALUE!</v>
      </c>
      <c r="P101" s="17" t="e">
        <f>SUMIFS([1]ACSDT5Y2020.B08301_data_with_ov!AX$3:AX$1334,[1]ACSDT5Y2020.B08301_data_with_ov!$AS$3:$AS$1334,$B101)</f>
        <v>#VALUE!</v>
      </c>
      <c r="Q101" s="17" t="e">
        <f>SUMIFS([1]ACSDT5Y2020.B08301_data_with_ov!AY$3:AY$1334,[1]ACSDT5Y2020.B08301_data_with_ov!$AS$3:$AS$1334,$B101)</f>
        <v>#VALUE!</v>
      </c>
      <c r="R101" s="17" t="e">
        <f>SUMIFS([1]ACSDT5Y2020.B08301_data_with_ov!AZ$3:AZ$1334,[1]ACSDT5Y2020.B08301_data_with_ov!$AS$3:$AS$1334,$B101)</f>
        <v>#VALUE!</v>
      </c>
      <c r="S101" s="17" t="e">
        <f>SUMIFS([1]ACSDT5Y2020.B08301_data_with_ov!BA$3:BA$1334,[1]ACSDT5Y2020.B08301_data_with_ov!$AS$3:$AS$1334,$B101)</f>
        <v>#VALUE!</v>
      </c>
      <c r="T101" s="188">
        <v>0.77129667510033928</v>
      </c>
      <c r="U101" s="189" t="e">
        <f t="shared" si="7"/>
        <v>#VALUE!</v>
      </c>
      <c r="V101" s="188">
        <v>0.77129667510033928</v>
      </c>
      <c r="W101" s="189" t="e">
        <f t="shared" si="4"/>
        <v>#VALUE!</v>
      </c>
      <c r="X101" s="188">
        <v>0.77129667510033928</v>
      </c>
      <c r="Y101" s="189" t="e">
        <f t="shared" si="5"/>
        <v>#VALUE!</v>
      </c>
      <c r="Z101" s="188">
        <v>0.77129667510033928</v>
      </c>
      <c r="AA101" s="189" t="e">
        <f t="shared" si="6"/>
        <v>#VALUE!</v>
      </c>
    </row>
    <row r="102" spans="1:27" x14ac:dyDescent="0.25">
      <c r="A102">
        <v>120100</v>
      </c>
      <c r="B102">
        <v>17031120100</v>
      </c>
      <c r="C102">
        <v>17031</v>
      </c>
      <c r="D102">
        <v>2010</v>
      </c>
      <c r="E102">
        <v>12</v>
      </c>
      <c r="F102">
        <v>29756396.911329899</v>
      </c>
      <c r="G102" s="45">
        <v>1.0673638699254584</v>
      </c>
      <c r="H102" s="60" t="str">
        <f>_xlfn.IFNA(
INDEX('Community Areas'!B$2:B$78,MATCH($E102,'Community Areas'!$A$2:$A$78,0)),
"")</f>
        <v>FOREST GLEN</v>
      </c>
      <c r="I102" s="63" t="str">
        <f>_xlfn.IFNA(
INDEX('Community Areas'!C$2:C$78,MATCH($E102,'Community Areas'!$A$2:$A$78,0)),
"")</f>
        <v>2-A</v>
      </c>
      <c r="J102" s="63">
        <f>_xlfn.IFNA(
INDEX('Community Areas'!D$2:D$78,MATCH($E102,'Community Areas'!$A$2:$A$78,0)),
"")</f>
        <v>2</v>
      </c>
      <c r="K102" s="60" t="str">
        <f>_xlfn.IFNA(
INDEX('Community Areas'!E$2:E$78,MATCH($E102,'Community Areas'!$A$2:$A$78,0)),
"")</f>
        <v>NORTHWEST</v>
      </c>
      <c r="L102" s="17" t="e">
        <f>SUMIFS([1]ACSDT5Y2020.B08301_data_with_ov!AT$3:AT$1334,[1]ACSDT5Y2020.B08301_data_with_ov!$AS$3:$AS$1334,$B102)</f>
        <v>#VALUE!</v>
      </c>
      <c r="M102" s="17" t="e">
        <f>SUMIFS([1]ACSDT5Y2020.B08301_data_with_ov!AU$3:AU$1334,[1]ACSDT5Y2020.B08301_data_with_ov!$AS$3:$AS$1334,$B102)</f>
        <v>#VALUE!</v>
      </c>
      <c r="N102" s="17" t="e">
        <f>SUMIFS([1]ACSDT5Y2020.B08301_data_with_ov!AV$3:AV$1334,[1]ACSDT5Y2020.B08301_data_with_ov!$AS$3:$AS$1334,$B102)</f>
        <v>#VALUE!</v>
      </c>
      <c r="O102" s="17" t="e">
        <f>SUMIFS([1]ACSDT5Y2020.B08301_data_with_ov!AW$3:AW$1334,[1]ACSDT5Y2020.B08301_data_with_ov!$AS$3:$AS$1334,$B102)</f>
        <v>#VALUE!</v>
      </c>
      <c r="P102" s="17" t="e">
        <f>SUMIFS([1]ACSDT5Y2020.B08301_data_with_ov!AX$3:AX$1334,[1]ACSDT5Y2020.B08301_data_with_ov!$AS$3:$AS$1334,$B102)</f>
        <v>#VALUE!</v>
      </c>
      <c r="Q102" s="17" t="e">
        <f>SUMIFS([1]ACSDT5Y2020.B08301_data_with_ov!AY$3:AY$1334,[1]ACSDT5Y2020.B08301_data_with_ov!$AS$3:$AS$1334,$B102)</f>
        <v>#VALUE!</v>
      </c>
      <c r="R102" s="17" t="e">
        <f>SUMIFS([1]ACSDT5Y2020.B08301_data_with_ov!AZ$3:AZ$1334,[1]ACSDT5Y2020.B08301_data_with_ov!$AS$3:$AS$1334,$B102)</f>
        <v>#VALUE!</v>
      </c>
      <c r="S102" s="17" t="e">
        <f>SUMIFS([1]ACSDT5Y2020.B08301_data_with_ov!BA$3:BA$1334,[1]ACSDT5Y2020.B08301_data_with_ov!$AS$3:$AS$1334,$B102)</f>
        <v>#VALUE!</v>
      </c>
      <c r="T102" s="188">
        <v>0.90822428385926746</v>
      </c>
      <c r="U102" s="189" t="e">
        <f t="shared" si="7"/>
        <v>#VALUE!</v>
      </c>
      <c r="V102" s="188">
        <v>0.90822428385926746</v>
      </c>
      <c r="W102" s="189" t="e">
        <f t="shared" si="4"/>
        <v>#VALUE!</v>
      </c>
      <c r="X102" s="188">
        <v>0.90822428385926746</v>
      </c>
      <c r="Y102" s="189" t="e">
        <f t="shared" si="5"/>
        <v>#VALUE!</v>
      </c>
      <c r="Z102" s="188">
        <v>0.90822428385926746</v>
      </c>
      <c r="AA102" s="189" t="e">
        <f t="shared" si="6"/>
        <v>#VALUE!</v>
      </c>
    </row>
    <row r="103" spans="1:27" x14ac:dyDescent="0.25">
      <c r="A103">
        <v>831800</v>
      </c>
      <c r="B103">
        <v>17031831800</v>
      </c>
      <c r="C103">
        <v>17031</v>
      </c>
      <c r="D103">
        <v>2010</v>
      </c>
      <c r="E103">
        <v>13</v>
      </c>
      <c r="F103">
        <v>20281970.8775842</v>
      </c>
      <c r="G103" s="45">
        <v>0.72751559908689878</v>
      </c>
      <c r="H103" s="60" t="str">
        <f>_xlfn.IFNA(
INDEX('Community Areas'!B$2:B$78,MATCH($E103,'Community Areas'!$A$2:$A$78,0)),
"")</f>
        <v>NORTH PARK</v>
      </c>
      <c r="I103" s="63" t="str">
        <f>_xlfn.IFNA(
INDEX('Community Areas'!C$2:C$78,MATCH($E103,'Community Areas'!$A$2:$A$78,0)),
"")</f>
        <v>2-A</v>
      </c>
      <c r="J103" s="63">
        <f>_xlfn.IFNA(
INDEX('Community Areas'!D$2:D$78,MATCH($E103,'Community Areas'!$A$2:$A$78,0)),
"")</f>
        <v>2</v>
      </c>
      <c r="K103" s="60" t="str">
        <f>_xlfn.IFNA(
INDEX('Community Areas'!E$2:E$78,MATCH($E103,'Community Areas'!$A$2:$A$78,0)),
"")</f>
        <v>NORTHWEST</v>
      </c>
      <c r="L103" s="17" t="e">
        <f>SUMIFS([1]ACSDT5Y2020.B08301_data_with_ov!AT$3:AT$1334,[1]ACSDT5Y2020.B08301_data_with_ov!$AS$3:$AS$1334,$B103)</f>
        <v>#VALUE!</v>
      </c>
      <c r="M103" s="17" t="e">
        <f>SUMIFS([1]ACSDT5Y2020.B08301_data_with_ov!AU$3:AU$1334,[1]ACSDT5Y2020.B08301_data_with_ov!$AS$3:$AS$1334,$B103)</f>
        <v>#VALUE!</v>
      </c>
      <c r="N103" s="17" t="e">
        <f>SUMIFS([1]ACSDT5Y2020.B08301_data_with_ov!AV$3:AV$1334,[1]ACSDT5Y2020.B08301_data_with_ov!$AS$3:$AS$1334,$B103)</f>
        <v>#VALUE!</v>
      </c>
      <c r="O103" s="17" t="e">
        <f>SUMIFS([1]ACSDT5Y2020.B08301_data_with_ov!AW$3:AW$1334,[1]ACSDT5Y2020.B08301_data_with_ov!$AS$3:$AS$1334,$B103)</f>
        <v>#VALUE!</v>
      </c>
      <c r="P103" s="17" t="e">
        <f>SUMIFS([1]ACSDT5Y2020.B08301_data_with_ov!AX$3:AX$1334,[1]ACSDT5Y2020.B08301_data_with_ov!$AS$3:$AS$1334,$B103)</f>
        <v>#VALUE!</v>
      </c>
      <c r="Q103" s="17" t="e">
        <f>SUMIFS([1]ACSDT5Y2020.B08301_data_with_ov!AY$3:AY$1334,[1]ACSDT5Y2020.B08301_data_with_ov!$AS$3:$AS$1334,$B103)</f>
        <v>#VALUE!</v>
      </c>
      <c r="R103" s="17" t="e">
        <f>SUMIFS([1]ACSDT5Y2020.B08301_data_with_ov!AZ$3:AZ$1334,[1]ACSDT5Y2020.B08301_data_with_ov!$AS$3:$AS$1334,$B103)</f>
        <v>#VALUE!</v>
      </c>
      <c r="S103" s="17" t="e">
        <f>SUMIFS([1]ACSDT5Y2020.B08301_data_with_ov!BA$3:BA$1334,[1]ACSDT5Y2020.B08301_data_with_ov!$AS$3:$AS$1334,$B103)</f>
        <v>#VALUE!</v>
      </c>
      <c r="T103" s="188">
        <v>0.69360630141616453</v>
      </c>
      <c r="U103" s="189" t="e">
        <f t="shared" si="7"/>
        <v>#VALUE!</v>
      </c>
      <c r="V103" s="188">
        <v>0.65543838092770035</v>
      </c>
      <c r="W103" s="189" t="e">
        <f t="shared" si="4"/>
        <v>#VALUE!</v>
      </c>
      <c r="X103" s="188">
        <v>0.65543838092770035</v>
      </c>
      <c r="Y103" s="189" t="e">
        <f t="shared" si="5"/>
        <v>#VALUE!</v>
      </c>
      <c r="Z103" s="188">
        <v>0.65543838092770035</v>
      </c>
      <c r="AA103" s="189" t="e">
        <f t="shared" si="6"/>
        <v>#VALUE!</v>
      </c>
    </row>
    <row r="104" spans="1:27" x14ac:dyDescent="0.25">
      <c r="A104">
        <v>130100</v>
      </c>
      <c r="B104">
        <v>17031130100</v>
      </c>
      <c r="C104">
        <v>17031</v>
      </c>
      <c r="D104">
        <v>2010</v>
      </c>
      <c r="E104">
        <v>13</v>
      </c>
      <c r="F104">
        <v>19824694.144980401</v>
      </c>
      <c r="G104" s="45">
        <v>0.71111305329503849</v>
      </c>
      <c r="H104" s="60" t="str">
        <f>_xlfn.IFNA(
INDEX('Community Areas'!B$2:B$78,MATCH($E104,'Community Areas'!$A$2:$A$78,0)),
"")</f>
        <v>NORTH PARK</v>
      </c>
      <c r="I104" s="63" t="str">
        <f>_xlfn.IFNA(
INDEX('Community Areas'!C$2:C$78,MATCH($E104,'Community Areas'!$A$2:$A$78,0)),
"")</f>
        <v>2-A</v>
      </c>
      <c r="J104" s="63">
        <f>_xlfn.IFNA(
INDEX('Community Areas'!D$2:D$78,MATCH($E104,'Community Areas'!$A$2:$A$78,0)),
"")</f>
        <v>2</v>
      </c>
      <c r="K104" s="60" t="str">
        <f>_xlfn.IFNA(
INDEX('Community Areas'!E$2:E$78,MATCH($E104,'Community Areas'!$A$2:$A$78,0)),
"")</f>
        <v>NORTHWEST</v>
      </c>
      <c r="L104" s="17" t="e">
        <f>SUMIFS([1]ACSDT5Y2020.B08301_data_with_ov!AT$3:AT$1334,[1]ACSDT5Y2020.B08301_data_with_ov!$AS$3:$AS$1334,$B104)</f>
        <v>#VALUE!</v>
      </c>
      <c r="M104" s="17" t="e">
        <f>SUMIFS([1]ACSDT5Y2020.B08301_data_with_ov!AU$3:AU$1334,[1]ACSDT5Y2020.B08301_data_with_ov!$AS$3:$AS$1334,$B104)</f>
        <v>#VALUE!</v>
      </c>
      <c r="N104" s="17" t="e">
        <f>SUMIFS([1]ACSDT5Y2020.B08301_data_with_ov!AV$3:AV$1334,[1]ACSDT5Y2020.B08301_data_with_ov!$AS$3:$AS$1334,$B104)</f>
        <v>#VALUE!</v>
      </c>
      <c r="O104" s="17" t="e">
        <f>SUMIFS([1]ACSDT5Y2020.B08301_data_with_ov!AW$3:AW$1334,[1]ACSDT5Y2020.B08301_data_with_ov!$AS$3:$AS$1334,$B104)</f>
        <v>#VALUE!</v>
      </c>
      <c r="P104" s="17" t="e">
        <f>SUMIFS([1]ACSDT5Y2020.B08301_data_with_ov!AX$3:AX$1334,[1]ACSDT5Y2020.B08301_data_with_ov!$AS$3:$AS$1334,$B104)</f>
        <v>#VALUE!</v>
      </c>
      <c r="Q104" s="17" t="e">
        <f>SUMIFS([1]ACSDT5Y2020.B08301_data_with_ov!AY$3:AY$1334,[1]ACSDT5Y2020.B08301_data_with_ov!$AS$3:$AS$1334,$B104)</f>
        <v>#VALUE!</v>
      </c>
      <c r="R104" s="17" t="e">
        <f>SUMIFS([1]ACSDT5Y2020.B08301_data_with_ov!AZ$3:AZ$1334,[1]ACSDT5Y2020.B08301_data_with_ov!$AS$3:$AS$1334,$B104)</f>
        <v>#VALUE!</v>
      </c>
      <c r="S104" s="17" t="e">
        <f>SUMIFS([1]ACSDT5Y2020.B08301_data_with_ov!BA$3:BA$1334,[1]ACSDT5Y2020.B08301_data_with_ov!$AS$3:$AS$1334,$B104)</f>
        <v>#VALUE!</v>
      </c>
      <c r="T104" s="188">
        <v>0.42095247015919851</v>
      </c>
      <c r="U104" s="189" t="e">
        <f t="shared" si="7"/>
        <v>#VALUE!</v>
      </c>
      <c r="V104" s="188">
        <v>0.31833462231253662</v>
      </c>
      <c r="W104" s="189" t="e">
        <f t="shared" si="4"/>
        <v>#VALUE!</v>
      </c>
      <c r="X104" s="188">
        <v>0.31833462231253662</v>
      </c>
      <c r="Y104" s="189" t="e">
        <f t="shared" si="5"/>
        <v>#VALUE!</v>
      </c>
      <c r="Z104" s="188">
        <v>0.31833462231253662</v>
      </c>
      <c r="AA104" s="189" t="e">
        <f t="shared" si="6"/>
        <v>#VALUE!</v>
      </c>
    </row>
    <row r="105" spans="1:27" x14ac:dyDescent="0.25">
      <c r="A105">
        <v>130300</v>
      </c>
      <c r="B105">
        <v>17031130300</v>
      </c>
      <c r="C105">
        <v>17031</v>
      </c>
      <c r="D105">
        <v>2010</v>
      </c>
      <c r="E105">
        <v>13</v>
      </c>
      <c r="F105">
        <v>7794513.6354732402</v>
      </c>
      <c r="G105" s="45">
        <v>0.27958970512917669</v>
      </c>
      <c r="H105" s="60" t="str">
        <f>_xlfn.IFNA(
INDEX('Community Areas'!B$2:B$78,MATCH($E105,'Community Areas'!$A$2:$A$78,0)),
"")</f>
        <v>NORTH PARK</v>
      </c>
      <c r="I105" s="63" t="str">
        <f>_xlfn.IFNA(
INDEX('Community Areas'!C$2:C$78,MATCH($E105,'Community Areas'!$A$2:$A$78,0)),
"")</f>
        <v>2-A</v>
      </c>
      <c r="J105" s="63">
        <f>_xlfn.IFNA(
INDEX('Community Areas'!D$2:D$78,MATCH($E105,'Community Areas'!$A$2:$A$78,0)),
"")</f>
        <v>2</v>
      </c>
      <c r="K105" s="60" t="str">
        <f>_xlfn.IFNA(
INDEX('Community Areas'!E$2:E$78,MATCH($E105,'Community Areas'!$A$2:$A$78,0)),
"")</f>
        <v>NORTHWEST</v>
      </c>
      <c r="L105" s="17" t="e">
        <f>SUMIFS([1]ACSDT5Y2020.B08301_data_with_ov!AT$3:AT$1334,[1]ACSDT5Y2020.B08301_data_with_ov!$AS$3:$AS$1334,$B105)</f>
        <v>#VALUE!</v>
      </c>
      <c r="M105" s="17" t="e">
        <f>SUMIFS([1]ACSDT5Y2020.B08301_data_with_ov!AU$3:AU$1334,[1]ACSDT5Y2020.B08301_data_with_ov!$AS$3:$AS$1334,$B105)</f>
        <v>#VALUE!</v>
      </c>
      <c r="N105" s="17" t="e">
        <f>SUMIFS([1]ACSDT5Y2020.B08301_data_with_ov!AV$3:AV$1334,[1]ACSDT5Y2020.B08301_data_with_ov!$AS$3:$AS$1334,$B105)</f>
        <v>#VALUE!</v>
      </c>
      <c r="O105" s="17" t="e">
        <f>SUMIFS([1]ACSDT5Y2020.B08301_data_with_ov!AW$3:AW$1334,[1]ACSDT5Y2020.B08301_data_with_ov!$AS$3:$AS$1334,$B105)</f>
        <v>#VALUE!</v>
      </c>
      <c r="P105" s="17" t="e">
        <f>SUMIFS([1]ACSDT5Y2020.B08301_data_with_ov!AX$3:AX$1334,[1]ACSDT5Y2020.B08301_data_with_ov!$AS$3:$AS$1334,$B105)</f>
        <v>#VALUE!</v>
      </c>
      <c r="Q105" s="17" t="e">
        <f>SUMIFS([1]ACSDT5Y2020.B08301_data_with_ov!AY$3:AY$1334,[1]ACSDT5Y2020.B08301_data_with_ov!$AS$3:$AS$1334,$B105)</f>
        <v>#VALUE!</v>
      </c>
      <c r="R105" s="17" t="e">
        <f>SUMIFS([1]ACSDT5Y2020.B08301_data_with_ov!AZ$3:AZ$1334,[1]ACSDT5Y2020.B08301_data_with_ov!$AS$3:$AS$1334,$B105)</f>
        <v>#VALUE!</v>
      </c>
      <c r="S105" s="17" t="e">
        <f>SUMIFS([1]ACSDT5Y2020.B08301_data_with_ov!BA$3:BA$1334,[1]ACSDT5Y2020.B08301_data_with_ov!$AS$3:$AS$1334,$B105)</f>
        <v>#VALUE!</v>
      </c>
      <c r="T105" s="188">
        <v>0.27958970639666048</v>
      </c>
      <c r="U105" s="189" t="e">
        <f t="shared" si="7"/>
        <v>#VALUE!</v>
      </c>
      <c r="V105" s="188">
        <v>0.26729054228185373</v>
      </c>
      <c r="W105" s="189" t="e">
        <f t="shared" si="4"/>
        <v>#VALUE!</v>
      </c>
      <c r="X105" s="188">
        <v>0.26729054228185373</v>
      </c>
      <c r="Y105" s="189" t="e">
        <f t="shared" si="5"/>
        <v>#VALUE!</v>
      </c>
      <c r="Z105" s="188">
        <v>0.26729054228185373</v>
      </c>
      <c r="AA105" s="189" t="e">
        <f t="shared" si="6"/>
        <v>#VALUE!</v>
      </c>
    </row>
    <row r="106" spans="1:27" x14ac:dyDescent="0.25">
      <c r="A106">
        <v>130200</v>
      </c>
      <c r="B106">
        <v>17031130200</v>
      </c>
      <c r="C106">
        <v>17031</v>
      </c>
      <c r="D106">
        <v>2010</v>
      </c>
      <c r="E106">
        <v>13</v>
      </c>
      <c r="F106">
        <v>22387527.964819402</v>
      </c>
      <c r="G106" s="45">
        <v>0.80304206714945625</v>
      </c>
      <c r="H106" s="60" t="str">
        <f>_xlfn.IFNA(
INDEX('Community Areas'!B$2:B$78,MATCH($E106,'Community Areas'!$A$2:$A$78,0)),
"")</f>
        <v>NORTH PARK</v>
      </c>
      <c r="I106" s="63" t="str">
        <f>_xlfn.IFNA(
INDEX('Community Areas'!C$2:C$78,MATCH($E106,'Community Areas'!$A$2:$A$78,0)),
"")</f>
        <v>2-A</v>
      </c>
      <c r="J106" s="63">
        <f>_xlfn.IFNA(
INDEX('Community Areas'!D$2:D$78,MATCH($E106,'Community Areas'!$A$2:$A$78,0)),
"")</f>
        <v>2</v>
      </c>
      <c r="K106" s="60" t="str">
        <f>_xlfn.IFNA(
INDEX('Community Areas'!E$2:E$78,MATCH($E106,'Community Areas'!$A$2:$A$78,0)),
"")</f>
        <v>NORTHWEST</v>
      </c>
      <c r="L106" s="17" t="e">
        <f>SUMIFS([1]ACSDT5Y2020.B08301_data_with_ov!AT$3:AT$1334,[1]ACSDT5Y2020.B08301_data_with_ov!$AS$3:$AS$1334,$B106)</f>
        <v>#VALUE!</v>
      </c>
      <c r="M106" s="17" t="e">
        <f>SUMIFS([1]ACSDT5Y2020.B08301_data_with_ov!AU$3:AU$1334,[1]ACSDT5Y2020.B08301_data_with_ov!$AS$3:$AS$1334,$B106)</f>
        <v>#VALUE!</v>
      </c>
      <c r="N106" s="17" t="e">
        <f>SUMIFS([1]ACSDT5Y2020.B08301_data_with_ov!AV$3:AV$1334,[1]ACSDT5Y2020.B08301_data_with_ov!$AS$3:$AS$1334,$B106)</f>
        <v>#VALUE!</v>
      </c>
      <c r="O106" s="17" t="e">
        <f>SUMIFS([1]ACSDT5Y2020.B08301_data_with_ov!AW$3:AW$1334,[1]ACSDT5Y2020.B08301_data_with_ov!$AS$3:$AS$1334,$B106)</f>
        <v>#VALUE!</v>
      </c>
      <c r="P106" s="17" t="e">
        <f>SUMIFS([1]ACSDT5Y2020.B08301_data_with_ov!AX$3:AX$1334,[1]ACSDT5Y2020.B08301_data_with_ov!$AS$3:$AS$1334,$B106)</f>
        <v>#VALUE!</v>
      </c>
      <c r="Q106" s="17" t="e">
        <f>SUMIFS([1]ACSDT5Y2020.B08301_data_with_ov!AY$3:AY$1334,[1]ACSDT5Y2020.B08301_data_with_ov!$AS$3:$AS$1334,$B106)</f>
        <v>#VALUE!</v>
      </c>
      <c r="R106" s="17" t="e">
        <f>SUMIFS([1]ACSDT5Y2020.B08301_data_with_ov!AZ$3:AZ$1334,[1]ACSDT5Y2020.B08301_data_with_ov!$AS$3:$AS$1334,$B106)</f>
        <v>#VALUE!</v>
      </c>
      <c r="S106" s="17" t="e">
        <f>SUMIFS([1]ACSDT5Y2020.B08301_data_with_ov!BA$3:BA$1334,[1]ACSDT5Y2020.B08301_data_with_ov!$AS$3:$AS$1334,$B106)</f>
        <v>#VALUE!</v>
      </c>
      <c r="T106" s="188">
        <v>0.7993508787371657</v>
      </c>
      <c r="U106" s="189" t="e">
        <f t="shared" si="7"/>
        <v>#VALUE!</v>
      </c>
      <c r="V106" s="188">
        <v>0.7993508787371657</v>
      </c>
      <c r="W106" s="189" t="e">
        <f t="shared" si="4"/>
        <v>#VALUE!</v>
      </c>
      <c r="X106" s="188">
        <v>0.7993508787371657</v>
      </c>
      <c r="Y106" s="189" t="e">
        <f t="shared" si="5"/>
        <v>#VALUE!</v>
      </c>
      <c r="Z106" s="188">
        <v>0.7993508787371657</v>
      </c>
      <c r="AA106" s="189" t="e">
        <f t="shared" si="6"/>
        <v>#VALUE!</v>
      </c>
    </row>
    <row r="107" spans="1:27" x14ac:dyDescent="0.25">
      <c r="A107">
        <v>140200</v>
      </c>
      <c r="B107">
        <v>17031140200</v>
      </c>
      <c r="C107">
        <v>17031</v>
      </c>
      <c r="D107">
        <v>2010</v>
      </c>
      <c r="E107">
        <v>14</v>
      </c>
      <c r="F107">
        <v>4367300.6699096896</v>
      </c>
      <c r="G107" s="45">
        <v>0.15665535575605807</v>
      </c>
      <c r="H107" s="60" t="str">
        <f>_xlfn.IFNA(
INDEX('Community Areas'!B$2:B$78,MATCH($E107,'Community Areas'!$A$2:$A$78,0)),
"")</f>
        <v>ALBANY PARK</v>
      </c>
      <c r="I107" s="63" t="str">
        <f>_xlfn.IFNA(
INDEX('Community Areas'!C$2:C$78,MATCH($E107,'Community Areas'!$A$2:$A$78,0)),
"")</f>
        <v>2-A</v>
      </c>
      <c r="J107" s="63">
        <f>_xlfn.IFNA(
INDEX('Community Areas'!D$2:D$78,MATCH($E107,'Community Areas'!$A$2:$A$78,0)),
"")</f>
        <v>2</v>
      </c>
      <c r="K107" s="60" t="str">
        <f>_xlfn.IFNA(
INDEX('Community Areas'!E$2:E$78,MATCH($E107,'Community Areas'!$A$2:$A$78,0)),
"")</f>
        <v>NORTHWEST</v>
      </c>
      <c r="L107" s="17" t="e">
        <f>SUMIFS([1]ACSDT5Y2020.B08301_data_with_ov!AT$3:AT$1334,[1]ACSDT5Y2020.B08301_data_with_ov!$AS$3:$AS$1334,$B107)</f>
        <v>#VALUE!</v>
      </c>
      <c r="M107" s="17" t="e">
        <f>SUMIFS([1]ACSDT5Y2020.B08301_data_with_ov!AU$3:AU$1334,[1]ACSDT5Y2020.B08301_data_with_ov!$AS$3:$AS$1334,$B107)</f>
        <v>#VALUE!</v>
      </c>
      <c r="N107" s="17" t="e">
        <f>SUMIFS([1]ACSDT5Y2020.B08301_data_with_ov!AV$3:AV$1334,[1]ACSDT5Y2020.B08301_data_with_ov!$AS$3:$AS$1334,$B107)</f>
        <v>#VALUE!</v>
      </c>
      <c r="O107" s="17" t="e">
        <f>SUMIFS([1]ACSDT5Y2020.B08301_data_with_ov!AW$3:AW$1334,[1]ACSDT5Y2020.B08301_data_with_ov!$AS$3:$AS$1334,$B107)</f>
        <v>#VALUE!</v>
      </c>
      <c r="P107" s="17" t="e">
        <f>SUMIFS([1]ACSDT5Y2020.B08301_data_with_ov!AX$3:AX$1334,[1]ACSDT5Y2020.B08301_data_with_ov!$AS$3:$AS$1334,$B107)</f>
        <v>#VALUE!</v>
      </c>
      <c r="Q107" s="17" t="e">
        <f>SUMIFS([1]ACSDT5Y2020.B08301_data_with_ov!AY$3:AY$1334,[1]ACSDT5Y2020.B08301_data_with_ov!$AS$3:$AS$1334,$B107)</f>
        <v>#VALUE!</v>
      </c>
      <c r="R107" s="17" t="e">
        <f>SUMIFS([1]ACSDT5Y2020.B08301_data_with_ov!AZ$3:AZ$1334,[1]ACSDT5Y2020.B08301_data_with_ov!$AS$3:$AS$1334,$B107)</f>
        <v>#VALUE!</v>
      </c>
      <c r="S107" s="17" t="e">
        <f>SUMIFS([1]ACSDT5Y2020.B08301_data_with_ov!BA$3:BA$1334,[1]ACSDT5Y2020.B08301_data_with_ov!$AS$3:$AS$1334,$B107)</f>
        <v>#VALUE!</v>
      </c>
      <c r="T107" s="188">
        <v>0.15665535575309095</v>
      </c>
      <c r="U107" s="189" t="e">
        <f t="shared" si="7"/>
        <v>#VALUE!</v>
      </c>
      <c r="V107" s="188">
        <v>0.15665535575309095</v>
      </c>
      <c r="W107" s="189" t="e">
        <f t="shared" si="4"/>
        <v>#VALUE!</v>
      </c>
      <c r="X107" s="188">
        <v>0.15665535575309095</v>
      </c>
      <c r="Y107" s="189" t="e">
        <f t="shared" si="5"/>
        <v>#VALUE!</v>
      </c>
      <c r="Z107" s="188">
        <v>0.15665535575309095</v>
      </c>
      <c r="AA107" s="189" t="e">
        <f t="shared" si="6"/>
        <v>#VALUE!</v>
      </c>
    </row>
    <row r="108" spans="1:27" x14ac:dyDescent="0.25">
      <c r="A108">
        <v>140400</v>
      </c>
      <c r="B108">
        <v>17031140400</v>
      </c>
      <c r="C108">
        <v>17031</v>
      </c>
      <c r="D108">
        <v>2010</v>
      </c>
      <c r="E108">
        <v>14</v>
      </c>
      <c r="F108">
        <v>12708655.9271711</v>
      </c>
      <c r="G108" s="45">
        <v>0.45586030500929392</v>
      </c>
      <c r="H108" s="60" t="str">
        <f>_xlfn.IFNA(
INDEX('Community Areas'!B$2:B$78,MATCH($E108,'Community Areas'!$A$2:$A$78,0)),
"")</f>
        <v>ALBANY PARK</v>
      </c>
      <c r="I108" s="63" t="str">
        <f>_xlfn.IFNA(
INDEX('Community Areas'!C$2:C$78,MATCH($E108,'Community Areas'!$A$2:$A$78,0)),
"")</f>
        <v>2-A</v>
      </c>
      <c r="J108" s="63">
        <f>_xlfn.IFNA(
INDEX('Community Areas'!D$2:D$78,MATCH($E108,'Community Areas'!$A$2:$A$78,0)),
"")</f>
        <v>2</v>
      </c>
      <c r="K108" s="60" t="str">
        <f>_xlfn.IFNA(
INDEX('Community Areas'!E$2:E$78,MATCH($E108,'Community Areas'!$A$2:$A$78,0)),
"")</f>
        <v>NORTHWEST</v>
      </c>
      <c r="L108" s="17" t="e">
        <f>SUMIFS([1]ACSDT5Y2020.B08301_data_with_ov!AT$3:AT$1334,[1]ACSDT5Y2020.B08301_data_with_ov!$AS$3:$AS$1334,$B108)</f>
        <v>#VALUE!</v>
      </c>
      <c r="M108" s="17" t="e">
        <f>SUMIFS([1]ACSDT5Y2020.B08301_data_with_ov!AU$3:AU$1334,[1]ACSDT5Y2020.B08301_data_with_ov!$AS$3:$AS$1334,$B108)</f>
        <v>#VALUE!</v>
      </c>
      <c r="N108" s="17" t="e">
        <f>SUMIFS([1]ACSDT5Y2020.B08301_data_with_ov!AV$3:AV$1334,[1]ACSDT5Y2020.B08301_data_with_ov!$AS$3:$AS$1334,$B108)</f>
        <v>#VALUE!</v>
      </c>
      <c r="O108" s="17" t="e">
        <f>SUMIFS([1]ACSDT5Y2020.B08301_data_with_ov!AW$3:AW$1334,[1]ACSDT5Y2020.B08301_data_with_ov!$AS$3:$AS$1334,$B108)</f>
        <v>#VALUE!</v>
      </c>
      <c r="P108" s="17" t="e">
        <f>SUMIFS([1]ACSDT5Y2020.B08301_data_with_ov!AX$3:AX$1334,[1]ACSDT5Y2020.B08301_data_with_ov!$AS$3:$AS$1334,$B108)</f>
        <v>#VALUE!</v>
      </c>
      <c r="Q108" s="17" t="e">
        <f>SUMIFS([1]ACSDT5Y2020.B08301_data_with_ov!AY$3:AY$1334,[1]ACSDT5Y2020.B08301_data_with_ov!$AS$3:$AS$1334,$B108)</f>
        <v>#VALUE!</v>
      </c>
      <c r="R108" s="17" t="e">
        <f>SUMIFS([1]ACSDT5Y2020.B08301_data_with_ov!AZ$3:AZ$1334,[1]ACSDT5Y2020.B08301_data_with_ov!$AS$3:$AS$1334,$B108)</f>
        <v>#VALUE!</v>
      </c>
      <c r="S108" s="17" t="e">
        <f>SUMIFS([1]ACSDT5Y2020.B08301_data_with_ov!BA$3:BA$1334,[1]ACSDT5Y2020.B08301_data_with_ov!$AS$3:$AS$1334,$B108)</f>
        <v>#VALUE!</v>
      </c>
      <c r="T108" s="188">
        <v>0.45586030355445079</v>
      </c>
      <c r="U108" s="189" t="e">
        <f t="shared" si="7"/>
        <v>#VALUE!</v>
      </c>
      <c r="V108" s="188">
        <v>0.45586030355445079</v>
      </c>
      <c r="W108" s="189" t="e">
        <f t="shared" si="4"/>
        <v>#VALUE!</v>
      </c>
      <c r="X108" s="188">
        <v>0.45586030355445079</v>
      </c>
      <c r="Y108" s="189" t="e">
        <f t="shared" si="5"/>
        <v>#VALUE!</v>
      </c>
      <c r="Z108" s="188">
        <v>0.45586030355445079</v>
      </c>
      <c r="AA108" s="189" t="e">
        <f t="shared" si="6"/>
        <v>#VALUE!</v>
      </c>
    </row>
    <row r="109" spans="1:27" x14ac:dyDescent="0.25">
      <c r="A109">
        <v>140702</v>
      </c>
      <c r="B109">
        <v>17031140702</v>
      </c>
      <c r="C109">
        <v>17031</v>
      </c>
      <c r="D109">
        <v>2010</v>
      </c>
      <c r="E109">
        <v>14</v>
      </c>
      <c r="F109">
        <v>4596612.2960073901</v>
      </c>
      <c r="G109" s="45">
        <v>0.16488077852414021</v>
      </c>
      <c r="H109" s="60" t="str">
        <f>_xlfn.IFNA(
INDEX('Community Areas'!B$2:B$78,MATCH($E109,'Community Areas'!$A$2:$A$78,0)),
"")</f>
        <v>ALBANY PARK</v>
      </c>
      <c r="I109" s="63" t="str">
        <f>_xlfn.IFNA(
INDEX('Community Areas'!C$2:C$78,MATCH($E109,'Community Areas'!$A$2:$A$78,0)),
"")</f>
        <v>2-A</v>
      </c>
      <c r="J109" s="63">
        <f>_xlfn.IFNA(
INDEX('Community Areas'!D$2:D$78,MATCH($E109,'Community Areas'!$A$2:$A$78,0)),
"")</f>
        <v>2</v>
      </c>
      <c r="K109" s="60" t="str">
        <f>_xlfn.IFNA(
INDEX('Community Areas'!E$2:E$78,MATCH($E109,'Community Areas'!$A$2:$A$78,0)),
"")</f>
        <v>NORTHWEST</v>
      </c>
      <c r="L109" s="17" t="e">
        <f>SUMIFS([1]ACSDT5Y2020.B08301_data_with_ov!AT$3:AT$1334,[1]ACSDT5Y2020.B08301_data_with_ov!$AS$3:$AS$1334,$B109)</f>
        <v>#VALUE!</v>
      </c>
      <c r="M109" s="17" t="e">
        <f>SUMIFS([1]ACSDT5Y2020.B08301_data_with_ov!AU$3:AU$1334,[1]ACSDT5Y2020.B08301_data_with_ov!$AS$3:$AS$1334,$B109)</f>
        <v>#VALUE!</v>
      </c>
      <c r="N109" s="17" t="e">
        <f>SUMIFS([1]ACSDT5Y2020.B08301_data_with_ov!AV$3:AV$1334,[1]ACSDT5Y2020.B08301_data_with_ov!$AS$3:$AS$1334,$B109)</f>
        <v>#VALUE!</v>
      </c>
      <c r="O109" s="17" t="e">
        <f>SUMIFS([1]ACSDT5Y2020.B08301_data_with_ov!AW$3:AW$1334,[1]ACSDT5Y2020.B08301_data_with_ov!$AS$3:$AS$1334,$B109)</f>
        <v>#VALUE!</v>
      </c>
      <c r="P109" s="17" t="e">
        <f>SUMIFS([1]ACSDT5Y2020.B08301_data_with_ov!AX$3:AX$1334,[1]ACSDT5Y2020.B08301_data_with_ov!$AS$3:$AS$1334,$B109)</f>
        <v>#VALUE!</v>
      </c>
      <c r="Q109" s="17" t="e">
        <f>SUMIFS([1]ACSDT5Y2020.B08301_data_with_ov!AY$3:AY$1334,[1]ACSDT5Y2020.B08301_data_with_ov!$AS$3:$AS$1334,$B109)</f>
        <v>#VALUE!</v>
      </c>
      <c r="R109" s="17" t="e">
        <f>SUMIFS([1]ACSDT5Y2020.B08301_data_with_ov!AZ$3:AZ$1334,[1]ACSDT5Y2020.B08301_data_with_ov!$AS$3:$AS$1334,$B109)</f>
        <v>#VALUE!</v>
      </c>
      <c r="S109" s="17" t="e">
        <f>SUMIFS([1]ACSDT5Y2020.B08301_data_with_ov!BA$3:BA$1334,[1]ACSDT5Y2020.B08301_data_with_ov!$AS$3:$AS$1334,$B109)</f>
        <v>#VALUE!</v>
      </c>
      <c r="T109" s="188">
        <v>0.16488077716595895</v>
      </c>
      <c r="U109" s="189" t="e">
        <f t="shared" si="7"/>
        <v>#VALUE!</v>
      </c>
      <c r="V109" s="188">
        <v>0.1324751226282197</v>
      </c>
      <c r="W109" s="189" t="e">
        <f t="shared" si="4"/>
        <v>#VALUE!</v>
      </c>
      <c r="X109" s="188">
        <v>0.1324751226282197</v>
      </c>
      <c r="Y109" s="189" t="e">
        <f t="shared" si="5"/>
        <v>#VALUE!</v>
      </c>
      <c r="Z109" s="188">
        <v>0.1324751226282197</v>
      </c>
      <c r="AA109" s="189" t="e">
        <f t="shared" si="6"/>
        <v>#VALUE!</v>
      </c>
    </row>
    <row r="110" spans="1:27" x14ac:dyDescent="0.25">
      <c r="A110">
        <v>140601</v>
      </c>
      <c r="B110">
        <v>17031140601</v>
      </c>
      <c r="C110">
        <v>17031</v>
      </c>
      <c r="D110">
        <v>2010</v>
      </c>
      <c r="E110">
        <v>14</v>
      </c>
      <c r="F110">
        <v>2929667.3929960099</v>
      </c>
      <c r="G110" s="45">
        <v>0.10508735770331187</v>
      </c>
      <c r="H110" s="60" t="str">
        <f>_xlfn.IFNA(
INDEX('Community Areas'!B$2:B$78,MATCH($E110,'Community Areas'!$A$2:$A$78,0)),
"")</f>
        <v>ALBANY PARK</v>
      </c>
      <c r="I110" s="63" t="str">
        <f>_xlfn.IFNA(
INDEX('Community Areas'!C$2:C$78,MATCH($E110,'Community Areas'!$A$2:$A$78,0)),
"")</f>
        <v>2-A</v>
      </c>
      <c r="J110" s="63">
        <f>_xlfn.IFNA(
INDEX('Community Areas'!D$2:D$78,MATCH($E110,'Community Areas'!$A$2:$A$78,0)),
"")</f>
        <v>2</v>
      </c>
      <c r="K110" s="60" t="str">
        <f>_xlfn.IFNA(
INDEX('Community Areas'!E$2:E$78,MATCH($E110,'Community Areas'!$A$2:$A$78,0)),
"")</f>
        <v>NORTHWEST</v>
      </c>
      <c r="L110" s="17" t="e">
        <f>SUMIFS([1]ACSDT5Y2020.B08301_data_with_ov!AT$3:AT$1334,[1]ACSDT5Y2020.B08301_data_with_ov!$AS$3:$AS$1334,$B110)</f>
        <v>#VALUE!</v>
      </c>
      <c r="M110" s="17" t="e">
        <f>SUMIFS([1]ACSDT5Y2020.B08301_data_with_ov!AU$3:AU$1334,[1]ACSDT5Y2020.B08301_data_with_ov!$AS$3:$AS$1334,$B110)</f>
        <v>#VALUE!</v>
      </c>
      <c r="N110" s="17" t="e">
        <f>SUMIFS([1]ACSDT5Y2020.B08301_data_with_ov!AV$3:AV$1334,[1]ACSDT5Y2020.B08301_data_with_ov!$AS$3:$AS$1334,$B110)</f>
        <v>#VALUE!</v>
      </c>
      <c r="O110" s="17" t="e">
        <f>SUMIFS([1]ACSDT5Y2020.B08301_data_with_ov!AW$3:AW$1334,[1]ACSDT5Y2020.B08301_data_with_ov!$AS$3:$AS$1334,$B110)</f>
        <v>#VALUE!</v>
      </c>
      <c r="P110" s="17" t="e">
        <f>SUMIFS([1]ACSDT5Y2020.B08301_data_with_ov!AX$3:AX$1334,[1]ACSDT5Y2020.B08301_data_with_ov!$AS$3:$AS$1334,$B110)</f>
        <v>#VALUE!</v>
      </c>
      <c r="Q110" s="17" t="e">
        <f>SUMIFS([1]ACSDT5Y2020.B08301_data_with_ov!AY$3:AY$1334,[1]ACSDT5Y2020.B08301_data_with_ov!$AS$3:$AS$1334,$B110)</f>
        <v>#VALUE!</v>
      </c>
      <c r="R110" s="17" t="e">
        <f>SUMIFS([1]ACSDT5Y2020.B08301_data_with_ov!AZ$3:AZ$1334,[1]ACSDT5Y2020.B08301_data_with_ov!$AS$3:$AS$1334,$B110)</f>
        <v>#VALUE!</v>
      </c>
      <c r="S110" s="17" t="e">
        <f>SUMIFS([1]ACSDT5Y2020.B08301_data_with_ov!BA$3:BA$1334,[1]ACSDT5Y2020.B08301_data_with_ov!$AS$3:$AS$1334,$B110)</f>
        <v>#VALUE!</v>
      </c>
      <c r="T110" s="188">
        <v>0.10508735972417248</v>
      </c>
      <c r="U110" s="189" t="e">
        <f t="shared" si="7"/>
        <v>#VALUE!</v>
      </c>
      <c r="V110" s="188">
        <v>0.10508735972417248</v>
      </c>
      <c r="W110" s="189" t="e">
        <f t="shared" si="4"/>
        <v>#VALUE!</v>
      </c>
      <c r="X110" s="188">
        <v>0.10508735972417248</v>
      </c>
      <c r="Y110" s="189" t="e">
        <f t="shared" si="5"/>
        <v>#VALUE!</v>
      </c>
      <c r="Z110" s="188">
        <v>0.10508735972417248</v>
      </c>
      <c r="AA110" s="189" t="e">
        <f t="shared" si="6"/>
        <v>#VALUE!</v>
      </c>
    </row>
    <row r="111" spans="1:27" x14ac:dyDescent="0.25">
      <c r="A111">
        <v>140302</v>
      </c>
      <c r="B111">
        <v>17031140302</v>
      </c>
      <c r="C111">
        <v>17031</v>
      </c>
      <c r="D111">
        <v>2010</v>
      </c>
      <c r="E111">
        <v>14</v>
      </c>
      <c r="F111">
        <v>4635127.3754408304</v>
      </c>
      <c r="G111" s="45">
        <v>0.16626231689913445</v>
      </c>
      <c r="H111" s="60" t="str">
        <f>_xlfn.IFNA(
INDEX('Community Areas'!B$2:B$78,MATCH($E111,'Community Areas'!$A$2:$A$78,0)),
"")</f>
        <v>ALBANY PARK</v>
      </c>
      <c r="I111" s="63" t="str">
        <f>_xlfn.IFNA(
INDEX('Community Areas'!C$2:C$78,MATCH($E111,'Community Areas'!$A$2:$A$78,0)),
"")</f>
        <v>2-A</v>
      </c>
      <c r="J111" s="63">
        <f>_xlfn.IFNA(
INDEX('Community Areas'!D$2:D$78,MATCH($E111,'Community Areas'!$A$2:$A$78,0)),
"")</f>
        <v>2</v>
      </c>
      <c r="K111" s="60" t="str">
        <f>_xlfn.IFNA(
INDEX('Community Areas'!E$2:E$78,MATCH($E111,'Community Areas'!$A$2:$A$78,0)),
"")</f>
        <v>NORTHWEST</v>
      </c>
      <c r="L111" s="17" t="e">
        <f>SUMIFS([1]ACSDT5Y2020.B08301_data_with_ov!AT$3:AT$1334,[1]ACSDT5Y2020.B08301_data_with_ov!$AS$3:$AS$1334,$B111)</f>
        <v>#VALUE!</v>
      </c>
      <c r="M111" s="17" t="e">
        <f>SUMIFS([1]ACSDT5Y2020.B08301_data_with_ov!AU$3:AU$1334,[1]ACSDT5Y2020.B08301_data_with_ov!$AS$3:$AS$1334,$B111)</f>
        <v>#VALUE!</v>
      </c>
      <c r="N111" s="17" t="e">
        <f>SUMIFS([1]ACSDT5Y2020.B08301_data_with_ov!AV$3:AV$1334,[1]ACSDT5Y2020.B08301_data_with_ov!$AS$3:$AS$1334,$B111)</f>
        <v>#VALUE!</v>
      </c>
      <c r="O111" s="17" t="e">
        <f>SUMIFS([1]ACSDT5Y2020.B08301_data_with_ov!AW$3:AW$1334,[1]ACSDT5Y2020.B08301_data_with_ov!$AS$3:$AS$1334,$B111)</f>
        <v>#VALUE!</v>
      </c>
      <c r="P111" s="17" t="e">
        <f>SUMIFS([1]ACSDT5Y2020.B08301_data_with_ov!AX$3:AX$1334,[1]ACSDT5Y2020.B08301_data_with_ov!$AS$3:$AS$1334,$B111)</f>
        <v>#VALUE!</v>
      </c>
      <c r="Q111" s="17" t="e">
        <f>SUMIFS([1]ACSDT5Y2020.B08301_data_with_ov!AY$3:AY$1334,[1]ACSDT5Y2020.B08301_data_with_ov!$AS$3:$AS$1334,$B111)</f>
        <v>#VALUE!</v>
      </c>
      <c r="R111" s="17" t="e">
        <f>SUMIFS([1]ACSDT5Y2020.B08301_data_with_ov!AZ$3:AZ$1334,[1]ACSDT5Y2020.B08301_data_with_ov!$AS$3:$AS$1334,$B111)</f>
        <v>#VALUE!</v>
      </c>
      <c r="S111" s="17" t="e">
        <f>SUMIFS([1]ACSDT5Y2020.B08301_data_with_ov!BA$3:BA$1334,[1]ACSDT5Y2020.B08301_data_with_ov!$AS$3:$AS$1334,$B111)</f>
        <v>#VALUE!</v>
      </c>
      <c r="T111" s="188">
        <v>0.16626231851522791</v>
      </c>
      <c r="U111" s="189" t="e">
        <f t="shared" si="7"/>
        <v>#VALUE!</v>
      </c>
      <c r="V111" s="188">
        <v>0.16626231851522791</v>
      </c>
      <c r="W111" s="189" t="e">
        <f t="shared" si="4"/>
        <v>#VALUE!</v>
      </c>
      <c r="X111" s="188">
        <v>0.16626231851522791</v>
      </c>
      <c r="Y111" s="189" t="e">
        <f t="shared" si="5"/>
        <v>#VALUE!</v>
      </c>
      <c r="Z111" s="188">
        <v>0.16626231851522791</v>
      </c>
      <c r="AA111" s="189" t="e">
        <f t="shared" si="6"/>
        <v>#VALUE!</v>
      </c>
    </row>
    <row r="112" spans="1:27" x14ac:dyDescent="0.25">
      <c r="A112">
        <v>140500</v>
      </c>
      <c r="B112">
        <v>17031140500</v>
      </c>
      <c r="C112">
        <v>17031</v>
      </c>
      <c r="D112">
        <v>2010</v>
      </c>
      <c r="E112">
        <v>14</v>
      </c>
      <c r="F112">
        <v>4874471.6951517798</v>
      </c>
      <c r="G112" s="45">
        <v>0.1748476130320169</v>
      </c>
      <c r="H112" s="60" t="str">
        <f>_xlfn.IFNA(
INDEX('Community Areas'!B$2:B$78,MATCH($E112,'Community Areas'!$A$2:$A$78,0)),
"")</f>
        <v>ALBANY PARK</v>
      </c>
      <c r="I112" s="63" t="str">
        <f>_xlfn.IFNA(
INDEX('Community Areas'!C$2:C$78,MATCH($E112,'Community Areas'!$A$2:$A$78,0)),
"")</f>
        <v>2-A</v>
      </c>
      <c r="J112" s="63">
        <f>_xlfn.IFNA(
INDEX('Community Areas'!D$2:D$78,MATCH($E112,'Community Areas'!$A$2:$A$78,0)),
"")</f>
        <v>2</v>
      </c>
      <c r="K112" s="60" t="str">
        <f>_xlfn.IFNA(
INDEX('Community Areas'!E$2:E$78,MATCH($E112,'Community Areas'!$A$2:$A$78,0)),
"")</f>
        <v>NORTHWEST</v>
      </c>
      <c r="L112" s="17" t="e">
        <f>SUMIFS([1]ACSDT5Y2020.B08301_data_with_ov!AT$3:AT$1334,[1]ACSDT5Y2020.B08301_data_with_ov!$AS$3:$AS$1334,$B112)</f>
        <v>#VALUE!</v>
      </c>
      <c r="M112" s="17" t="e">
        <f>SUMIFS([1]ACSDT5Y2020.B08301_data_with_ov!AU$3:AU$1334,[1]ACSDT5Y2020.B08301_data_with_ov!$AS$3:$AS$1334,$B112)</f>
        <v>#VALUE!</v>
      </c>
      <c r="N112" s="17" t="e">
        <f>SUMIFS([1]ACSDT5Y2020.B08301_data_with_ov!AV$3:AV$1334,[1]ACSDT5Y2020.B08301_data_with_ov!$AS$3:$AS$1334,$B112)</f>
        <v>#VALUE!</v>
      </c>
      <c r="O112" s="17" t="e">
        <f>SUMIFS([1]ACSDT5Y2020.B08301_data_with_ov!AW$3:AW$1334,[1]ACSDT5Y2020.B08301_data_with_ov!$AS$3:$AS$1334,$B112)</f>
        <v>#VALUE!</v>
      </c>
      <c r="P112" s="17" t="e">
        <f>SUMIFS([1]ACSDT5Y2020.B08301_data_with_ov!AX$3:AX$1334,[1]ACSDT5Y2020.B08301_data_with_ov!$AS$3:$AS$1334,$B112)</f>
        <v>#VALUE!</v>
      </c>
      <c r="Q112" s="17" t="e">
        <f>SUMIFS([1]ACSDT5Y2020.B08301_data_with_ov!AY$3:AY$1334,[1]ACSDT5Y2020.B08301_data_with_ov!$AS$3:$AS$1334,$B112)</f>
        <v>#VALUE!</v>
      </c>
      <c r="R112" s="17" t="e">
        <f>SUMIFS([1]ACSDT5Y2020.B08301_data_with_ov!AZ$3:AZ$1334,[1]ACSDT5Y2020.B08301_data_with_ov!$AS$3:$AS$1334,$B112)</f>
        <v>#VALUE!</v>
      </c>
      <c r="S112" s="17" t="e">
        <f>SUMIFS([1]ACSDT5Y2020.B08301_data_with_ov!BA$3:BA$1334,[1]ACSDT5Y2020.B08301_data_with_ov!$AS$3:$AS$1334,$B112)</f>
        <v>#VALUE!</v>
      </c>
      <c r="T112" s="188">
        <v>0.17484761103534779</v>
      </c>
      <c r="U112" s="189" t="e">
        <f t="shared" si="7"/>
        <v>#VALUE!</v>
      </c>
      <c r="V112" s="188">
        <v>0.17484761103534779</v>
      </c>
      <c r="W112" s="189" t="e">
        <f t="shared" si="4"/>
        <v>#VALUE!</v>
      </c>
      <c r="X112" s="188">
        <v>0.17484761103534779</v>
      </c>
      <c r="Y112" s="189" t="e">
        <f t="shared" si="5"/>
        <v>#VALUE!</v>
      </c>
      <c r="Z112" s="188">
        <v>0.17484761103534779</v>
      </c>
      <c r="AA112" s="189" t="e">
        <f t="shared" si="6"/>
        <v>#VALUE!</v>
      </c>
    </row>
    <row r="113" spans="1:27" x14ac:dyDescent="0.25">
      <c r="A113">
        <v>140800</v>
      </c>
      <c r="B113">
        <v>17031140800</v>
      </c>
      <c r="C113">
        <v>17031</v>
      </c>
      <c r="D113">
        <v>2010</v>
      </c>
      <c r="E113">
        <v>14</v>
      </c>
      <c r="F113">
        <v>7871760.5260656802</v>
      </c>
      <c r="G113" s="45">
        <v>0.28236055606009242</v>
      </c>
      <c r="H113" s="60" t="str">
        <f>_xlfn.IFNA(
INDEX('Community Areas'!B$2:B$78,MATCH($E113,'Community Areas'!$A$2:$A$78,0)),
"")</f>
        <v>ALBANY PARK</v>
      </c>
      <c r="I113" s="63" t="str">
        <f>_xlfn.IFNA(
INDEX('Community Areas'!C$2:C$78,MATCH($E113,'Community Areas'!$A$2:$A$78,0)),
"")</f>
        <v>2-A</v>
      </c>
      <c r="J113" s="63">
        <f>_xlfn.IFNA(
INDEX('Community Areas'!D$2:D$78,MATCH($E113,'Community Areas'!$A$2:$A$78,0)),
"")</f>
        <v>2</v>
      </c>
      <c r="K113" s="60" t="str">
        <f>_xlfn.IFNA(
INDEX('Community Areas'!E$2:E$78,MATCH($E113,'Community Areas'!$A$2:$A$78,0)),
"")</f>
        <v>NORTHWEST</v>
      </c>
      <c r="L113" s="17" t="e">
        <f>SUMIFS([1]ACSDT5Y2020.B08301_data_with_ov!AT$3:AT$1334,[1]ACSDT5Y2020.B08301_data_with_ov!$AS$3:$AS$1334,$B113)</f>
        <v>#VALUE!</v>
      </c>
      <c r="M113" s="17" t="e">
        <f>SUMIFS([1]ACSDT5Y2020.B08301_data_with_ov!AU$3:AU$1334,[1]ACSDT5Y2020.B08301_data_with_ov!$AS$3:$AS$1334,$B113)</f>
        <v>#VALUE!</v>
      </c>
      <c r="N113" s="17" t="e">
        <f>SUMIFS([1]ACSDT5Y2020.B08301_data_with_ov!AV$3:AV$1334,[1]ACSDT5Y2020.B08301_data_with_ov!$AS$3:$AS$1334,$B113)</f>
        <v>#VALUE!</v>
      </c>
      <c r="O113" s="17" t="e">
        <f>SUMIFS([1]ACSDT5Y2020.B08301_data_with_ov!AW$3:AW$1334,[1]ACSDT5Y2020.B08301_data_with_ov!$AS$3:$AS$1334,$B113)</f>
        <v>#VALUE!</v>
      </c>
      <c r="P113" s="17" t="e">
        <f>SUMIFS([1]ACSDT5Y2020.B08301_data_with_ov!AX$3:AX$1334,[1]ACSDT5Y2020.B08301_data_with_ov!$AS$3:$AS$1334,$B113)</f>
        <v>#VALUE!</v>
      </c>
      <c r="Q113" s="17" t="e">
        <f>SUMIFS([1]ACSDT5Y2020.B08301_data_with_ov!AY$3:AY$1334,[1]ACSDT5Y2020.B08301_data_with_ov!$AS$3:$AS$1334,$B113)</f>
        <v>#VALUE!</v>
      </c>
      <c r="R113" s="17" t="e">
        <f>SUMIFS([1]ACSDT5Y2020.B08301_data_with_ov!AZ$3:AZ$1334,[1]ACSDT5Y2020.B08301_data_with_ov!$AS$3:$AS$1334,$B113)</f>
        <v>#VALUE!</v>
      </c>
      <c r="S113" s="17" t="e">
        <f>SUMIFS([1]ACSDT5Y2020.B08301_data_with_ov!BA$3:BA$1334,[1]ACSDT5Y2020.B08301_data_with_ov!$AS$3:$AS$1334,$B113)</f>
        <v>#VALUE!</v>
      </c>
      <c r="T113" s="188">
        <v>0.28236055593891363</v>
      </c>
      <c r="U113" s="189" t="e">
        <f t="shared" si="7"/>
        <v>#VALUE!</v>
      </c>
      <c r="V113" s="188">
        <v>0.28234559191215314</v>
      </c>
      <c r="W113" s="189" t="e">
        <f t="shared" si="4"/>
        <v>#VALUE!</v>
      </c>
      <c r="X113" s="188">
        <v>0.28234559191215314</v>
      </c>
      <c r="Y113" s="189" t="e">
        <f t="shared" si="5"/>
        <v>#VALUE!</v>
      </c>
      <c r="Z113" s="188">
        <v>0.28234559191215314</v>
      </c>
      <c r="AA113" s="189" t="e">
        <f t="shared" si="6"/>
        <v>#VALUE!</v>
      </c>
    </row>
    <row r="114" spans="1:27" x14ac:dyDescent="0.25">
      <c r="A114">
        <v>140301</v>
      </c>
      <c r="B114">
        <v>17031140301</v>
      </c>
      <c r="C114">
        <v>17031</v>
      </c>
      <c r="D114">
        <v>2010</v>
      </c>
      <c r="E114">
        <v>14</v>
      </c>
      <c r="F114">
        <v>1766177.6063033901</v>
      </c>
      <c r="G114" s="45">
        <v>6.3352904266507054E-2</v>
      </c>
      <c r="H114" s="60" t="str">
        <f>_xlfn.IFNA(
INDEX('Community Areas'!B$2:B$78,MATCH($E114,'Community Areas'!$A$2:$A$78,0)),
"")</f>
        <v>ALBANY PARK</v>
      </c>
      <c r="I114" s="63" t="str">
        <f>_xlfn.IFNA(
INDEX('Community Areas'!C$2:C$78,MATCH($E114,'Community Areas'!$A$2:$A$78,0)),
"")</f>
        <v>2-A</v>
      </c>
      <c r="J114" s="63">
        <f>_xlfn.IFNA(
INDEX('Community Areas'!D$2:D$78,MATCH($E114,'Community Areas'!$A$2:$A$78,0)),
"")</f>
        <v>2</v>
      </c>
      <c r="K114" s="60" t="str">
        <f>_xlfn.IFNA(
INDEX('Community Areas'!E$2:E$78,MATCH($E114,'Community Areas'!$A$2:$A$78,0)),
"")</f>
        <v>NORTHWEST</v>
      </c>
      <c r="L114" s="17" t="e">
        <f>SUMIFS([1]ACSDT5Y2020.B08301_data_with_ov!AT$3:AT$1334,[1]ACSDT5Y2020.B08301_data_with_ov!$AS$3:$AS$1334,$B114)</f>
        <v>#VALUE!</v>
      </c>
      <c r="M114" s="17" t="e">
        <f>SUMIFS([1]ACSDT5Y2020.B08301_data_with_ov!AU$3:AU$1334,[1]ACSDT5Y2020.B08301_data_with_ov!$AS$3:$AS$1334,$B114)</f>
        <v>#VALUE!</v>
      </c>
      <c r="N114" s="17" t="e">
        <f>SUMIFS([1]ACSDT5Y2020.B08301_data_with_ov!AV$3:AV$1334,[1]ACSDT5Y2020.B08301_data_with_ov!$AS$3:$AS$1334,$B114)</f>
        <v>#VALUE!</v>
      </c>
      <c r="O114" s="17" t="e">
        <f>SUMIFS([1]ACSDT5Y2020.B08301_data_with_ov!AW$3:AW$1334,[1]ACSDT5Y2020.B08301_data_with_ov!$AS$3:$AS$1334,$B114)</f>
        <v>#VALUE!</v>
      </c>
      <c r="P114" s="17" t="e">
        <f>SUMIFS([1]ACSDT5Y2020.B08301_data_with_ov!AX$3:AX$1334,[1]ACSDT5Y2020.B08301_data_with_ov!$AS$3:$AS$1334,$B114)</f>
        <v>#VALUE!</v>
      </c>
      <c r="Q114" s="17" t="e">
        <f>SUMIFS([1]ACSDT5Y2020.B08301_data_with_ov!AY$3:AY$1334,[1]ACSDT5Y2020.B08301_data_with_ov!$AS$3:$AS$1334,$B114)</f>
        <v>#VALUE!</v>
      </c>
      <c r="R114" s="17" t="e">
        <f>SUMIFS([1]ACSDT5Y2020.B08301_data_with_ov!AZ$3:AZ$1334,[1]ACSDT5Y2020.B08301_data_with_ov!$AS$3:$AS$1334,$B114)</f>
        <v>#VALUE!</v>
      </c>
      <c r="S114" s="17" t="e">
        <f>SUMIFS([1]ACSDT5Y2020.B08301_data_with_ov!BA$3:BA$1334,[1]ACSDT5Y2020.B08301_data_with_ov!$AS$3:$AS$1334,$B114)</f>
        <v>#VALUE!</v>
      </c>
      <c r="T114" s="188">
        <v>6.3352912212897794E-2</v>
      </c>
      <c r="U114" s="189" t="e">
        <f t="shared" si="7"/>
        <v>#VALUE!</v>
      </c>
      <c r="V114" s="188">
        <v>6.3352912212897794E-2</v>
      </c>
      <c r="W114" s="189" t="e">
        <f t="shared" si="4"/>
        <v>#VALUE!</v>
      </c>
      <c r="X114" s="188">
        <v>6.3352912212897794E-2</v>
      </c>
      <c r="Y114" s="189" t="e">
        <f t="shared" si="5"/>
        <v>#VALUE!</v>
      </c>
      <c r="Z114" s="188">
        <v>6.3352912212897794E-2</v>
      </c>
      <c r="AA114" s="189" t="e">
        <f t="shared" si="6"/>
        <v>#VALUE!</v>
      </c>
    </row>
    <row r="115" spans="1:27" x14ac:dyDescent="0.25">
      <c r="A115">
        <v>140602</v>
      </c>
      <c r="B115">
        <v>17031140602</v>
      </c>
      <c r="C115">
        <v>17031</v>
      </c>
      <c r="D115">
        <v>2010</v>
      </c>
      <c r="E115">
        <v>14</v>
      </c>
      <c r="F115">
        <v>4137466.0351931402</v>
      </c>
      <c r="G115" s="45">
        <v>0.14841117263519929</v>
      </c>
      <c r="H115" s="60" t="str">
        <f>_xlfn.IFNA(
INDEX('Community Areas'!B$2:B$78,MATCH($E115,'Community Areas'!$A$2:$A$78,0)),
"")</f>
        <v>ALBANY PARK</v>
      </c>
      <c r="I115" s="63" t="str">
        <f>_xlfn.IFNA(
INDEX('Community Areas'!C$2:C$78,MATCH($E115,'Community Areas'!$A$2:$A$78,0)),
"")</f>
        <v>2-A</v>
      </c>
      <c r="J115" s="63">
        <f>_xlfn.IFNA(
INDEX('Community Areas'!D$2:D$78,MATCH($E115,'Community Areas'!$A$2:$A$78,0)),
"")</f>
        <v>2</v>
      </c>
      <c r="K115" s="60" t="str">
        <f>_xlfn.IFNA(
INDEX('Community Areas'!E$2:E$78,MATCH($E115,'Community Areas'!$A$2:$A$78,0)),
"")</f>
        <v>NORTHWEST</v>
      </c>
      <c r="L115" s="17" t="e">
        <f>SUMIFS([1]ACSDT5Y2020.B08301_data_with_ov!AT$3:AT$1334,[1]ACSDT5Y2020.B08301_data_with_ov!$AS$3:$AS$1334,$B115)</f>
        <v>#VALUE!</v>
      </c>
      <c r="M115" s="17" t="e">
        <f>SUMIFS([1]ACSDT5Y2020.B08301_data_with_ov!AU$3:AU$1334,[1]ACSDT5Y2020.B08301_data_with_ov!$AS$3:$AS$1334,$B115)</f>
        <v>#VALUE!</v>
      </c>
      <c r="N115" s="17" t="e">
        <f>SUMIFS([1]ACSDT5Y2020.B08301_data_with_ov!AV$3:AV$1334,[1]ACSDT5Y2020.B08301_data_with_ov!$AS$3:$AS$1334,$B115)</f>
        <v>#VALUE!</v>
      </c>
      <c r="O115" s="17" t="e">
        <f>SUMIFS([1]ACSDT5Y2020.B08301_data_with_ov!AW$3:AW$1334,[1]ACSDT5Y2020.B08301_data_with_ov!$AS$3:$AS$1334,$B115)</f>
        <v>#VALUE!</v>
      </c>
      <c r="P115" s="17" t="e">
        <f>SUMIFS([1]ACSDT5Y2020.B08301_data_with_ov!AX$3:AX$1334,[1]ACSDT5Y2020.B08301_data_with_ov!$AS$3:$AS$1334,$B115)</f>
        <v>#VALUE!</v>
      </c>
      <c r="Q115" s="17" t="e">
        <f>SUMIFS([1]ACSDT5Y2020.B08301_data_with_ov!AY$3:AY$1334,[1]ACSDT5Y2020.B08301_data_with_ov!$AS$3:$AS$1334,$B115)</f>
        <v>#VALUE!</v>
      </c>
      <c r="R115" s="17" t="e">
        <f>SUMIFS([1]ACSDT5Y2020.B08301_data_with_ov!AZ$3:AZ$1334,[1]ACSDT5Y2020.B08301_data_with_ov!$AS$3:$AS$1334,$B115)</f>
        <v>#VALUE!</v>
      </c>
      <c r="S115" s="17" t="e">
        <f>SUMIFS([1]ACSDT5Y2020.B08301_data_with_ov!BA$3:BA$1334,[1]ACSDT5Y2020.B08301_data_with_ov!$AS$3:$AS$1334,$B115)</f>
        <v>#VALUE!</v>
      </c>
      <c r="T115" s="188">
        <v>0.14841117095826661</v>
      </c>
      <c r="U115" s="189" t="e">
        <f t="shared" si="7"/>
        <v>#VALUE!</v>
      </c>
      <c r="V115" s="188">
        <v>0.14841117095826661</v>
      </c>
      <c r="W115" s="189" t="e">
        <f t="shared" si="4"/>
        <v>#VALUE!</v>
      </c>
      <c r="X115" s="188">
        <v>0.14841117095826661</v>
      </c>
      <c r="Y115" s="189" t="e">
        <f t="shared" si="5"/>
        <v>#VALUE!</v>
      </c>
      <c r="Z115" s="188">
        <v>0.14841117095826661</v>
      </c>
      <c r="AA115" s="189" t="e">
        <f t="shared" si="6"/>
        <v>#VALUE!</v>
      </c>
    </row>
    <row r="116" spans="1:27" x14ac:dyDescent="0.25">
      <c r="A116">
        <v>140701</v>
      </c>
      <c r="B116">
        <v>17031140701</v>
      </c>
      <c r="C116">
        <v>17031</v>
      </c>
      <c r="D116">
        <v>2010</v>
      </c>
      <c r="E116">
        <v>14</v>
      </c>
      <c r="F116">
        <v>2458536.2850422501</v>
      </c>
      <c r="G116" s="45">
        <v>8.8187854577100919E-2</v>
      </c>
      <c r="H116" s="60" t="str">
        <f>_xlfn.IFNA(
INDEX('Community Areas'!B$2:B$78,MATCH($E116,'Community Areas'!$A$2:$A$78,0)),
"")</f>
        <v>ALBANY PARK</v>
      </c>
      <c r="I116" s="63" t="str">
        <f>_xlfn.IFNA(
INDEX('Community Areas'!C$2:C$78,MATCH($E116,'Community Areas'!$A$2:$A$78,0)),
"")</f>
        <v>2-A</v>
      </c>
      <c r="J116" s="63">
        <f>_xlfn.IFNA(
INDEX('Community Areas'!D$2:D$78,MATCH($E116,'Community Areas'!$A$2:$A$78,0)),
"")</f>
        <v>2</v>
      </c>
      <c r="K116" s="60" t="str">
        <f>_xlfn.IFNA(
INDEX('Community Areas'!E$2:E$78,MATCH($E116,'Community Areas'!$A$2:$A$78,0)),
"")</f>
        <v>NORTHWEST</v>
      </c>
      <c r="L116" s="17" t="e">
        <f>SUMIFS([1]ACSDT5Y2020.B08301_data_with_ov!AT$3:AT$1334,[1]ACSDT5Y2020.B08301_data_with_ov!$AS$3:$AS$1334,$B116)</f>
        <v>#VALUE!</v>
      </c>
      <c r="M116" s="17" t="e">
        <f>SUMIFS([1]ACSDT5Y2020.B08301_data_with_ov!AU$3:AU$1334,[1]ACSDT5Y2020.B08301_data_with_ov!$AS$3:$AS$1334,$B116)</f>
        <v>#VALUE!</v>
      </c>
      <c r="N116" s="17" t="e">
        <f>SUMIFS([1]ACSDT5Y2020.B08301_data_with_ov!AV$3:AV$1334,[1]ACSDT5Y2020.B08301_data_with_ov!$AS$3:$AS$1334,$B116)</f>
        <v>#VALUE!</v>
      </c>
      <c r="O116" s="17" t="e">
        <f>SUMIFS([1]ACSDT5Y2020.B08301_data_with_ov!AW$3:AW$1334,[1]ACSDT5Y2020.B08301_data_with_ov!$AS$3:$AS$1334,$B116)</f>
        <v>#VALUE!</v>
      </c>
      <c r="P116" s="17" t="e">
        <f>SUMIFS([1]ACSDT5Y2020.B08301_data_with_ov!AX$3:AX$1334,[1]ACSDT5Y2020.B08301_data_with_ov!$AS$3:$AS$1334,$B116)</f>
        <v>#VALUE!</v>
      </c>
      <c r="Q116" s="17" t="e">
        <f>SUMIFS([1]ACSDT5Y2020.B08301_data_with_ov!AY$3:AY$1334,[1]ACSDT5Y2020.B08301_data_with_ov!$AS$3:$AS$1334,$B116)</f>
        <v>#VALUE!</v>
      </c>
      <c r="R116" s="17" t="e">
        <f>SUMIFS([1]ACSDT5Y2020.B08301_data_with_ov!AZ$3:AZ$1334,[1]ACSDT5Y2020.B08301_data_with_ov!$AS$3:$AS$1334,$B116)</f>
        <v>#VALUE!</v>
      </c>
      <c r="S116" s="17" t="e">
        <f>SUMIFS([1]ACSDT5Y2020.B08301_data_with_ov!BA$3:BA$1334,[1]ACSDT5Y2020.B08301_data_with_ov!$AS$3:$AS$1334,$B116)</f>
        <v>#VALUE!</v>
      </c>
      <c r="T116" s="188">
        <v>8.8187855962868739E-2</v>
      </c>
      <c r="U116" s="189" t="e">
        <f t="shared" si="7"/>
        <v>#VALUE!</v>
      </c>
      <c r="V116" s="188">
        <v>8.8187855962868739E-2</v>
      </c>
      <c r="W116" s="189" t="e">
        <f t="shared" si="4"/>
        <v>#VALUE!</v>
      </c>
      <c r="X116" s="188">
        <v>8.8187855962868739E-2</v>
      </c>
      <c r="Y116" s="189" t="e">
        <f t="shared" si="5"/>
        <v>#VALUE!</v>
      </c>
      <c r="Z116" s="188">
        <v>8.8187855962868739E-2</v>
      </c>
      <c r="AA116" s="189" t="e">
        <f t="shared" si="6"/>
        <v>#VALUE!</v>
      </c>
    </row>
    <row r="117" spans="1:27" x14ac:dyDescent="0.25">
      <c r="A117">
        <v>140100</v>
      </c>
      <c r="B117">
        <v>17031140100</v>
      </c>
      <c r="C117">
        <v>17031</v>
      </c>
      <c r="D117">
        <v>2010</v>
      </c>
      <c r="E117">
        <v>14</v>
      </c>
      <c r="F117">
        <v>3196455.0098400698</v>
      </c>
      <c r="G117" s="45">
        <v>0.11465704666839094</v>
      </c>
      <c r="H117" s="60" t="str">
        <f>_xlfn.IFNA(
INDEX('Community Areas'!B$2:B$78,MATCH($E117,'Community Areas'!$A$2:$A$78,0)),
"")</f>
        <v>ALBANY PARK</v>
      </c>
      <c r="I117" s="63" t="str">
        <f>_xlfn.IFNA(
INDEX('Community Areas'!C$2:C$78,MATCH($E117,'Community Areas'!$A$2:$A$78,0)),
"")</f>
        <v>2-A</v>
      </c>
      <c r="J117" s="63">
        <f>_xlfn.IFNA(
INDEX('Community Areas'!D$2:D$78,MATCH($E117,'Community Areas'!$A$2:$A$78,0)),
"")</f>
        <v>2</v>
      </c>
      <c r="K117" s="60" t="str">
        <f>_xlfn.IFNA(
INDEX('Community Areas'!E$2:E$78,MATCH($E117,'Community Areas'!$A$2:$A$78,0)),
"")</f>
        <v>NORTHWEST</v>
      </c>
      <c r="L117" s="17" t="e">
        <f>SUMIFS([1]ACSDT5Y2020.B08301_data_with_ov!AT$3:AT$1334,[1]ACSDT5Y2020.B08301_data_with_ov!$AS$3:$AS$1334,$B117)</f>
        <v>#VALUE!</v>
      </c>
      <c r="M117" s="17" t="e">
        <f>SUMIFS([1]ACSDT5Y2020.B08301_data_with_ov!AU$3:AU$1334,[1]ACSDT5Y2020.B08301_data_with_ov!$AS$3:$AS$1334,$B117)</f>
        <v>#VALUE!</v>
      </c>
      <c r="N117" s="17" t="e">
        <f>SUMIFS([1]ACSDT5Y2020.B08301_data_with_ov!AV$3:AV$1334,[1]ACSDT5Y2020.B08301_data_with_ov!$AS$3:$AS$1334,$B117)</f>
        <v>#VALUE!</v>
      </c>
      <c r="O117" s="17" t="e">
        <f>SUMIFS([1]ACSDT5Y2020.B08301_data_with_ov!AW$3:AW$1334,[1]ACSDT5Y2020.B08301_data_with_ov!$AS$3:$AS$1334,$B117)</f>
        <v>#VALUE!</v>
      </c>
      <c r="P117" s="17" t="e">
        <f>SUMIFS([1]ACSDT5Y2020.B08301_data_with_ov!AX$3:AX$1334,[1]ACSDT5Y2020.B08301_data_with_ov!$AS$3:$AS$1334,$B117)</f>
        <v>#VALUE!</v>
      </c>
      <c r="Q117" s="17" t="e">
        <f>SUMIFS([1]ACSDT5Y2020.B08301_data_with_ov!AY$3:AY$1334,[1]ACSDT5Y2020.B08301_data_with_ov!$AS$3:$AS$1334,$B117)</f>
        <v>#VALUE!</v>
      </c>
      <c r="R117" s="17" t="e">
        <f>SUMIFS([1]ACSDT5Y2020.B08301_data_with_ov!AZ$3:AZ$1334,[1]ACSDT5Y2020.B08301_data_with_ov!$AS$3:$AS$1334,$B117)</f>
        <v>#VALUE!</v>
      </c>
      <c r="S117" s="17" t="e">
        <f>SUMIFS([1]ACSDT5Y2020.B08301_data_with_ov!BA$3:BA$1334,[1]ACSDT5Y2020.B08301_data_with_ov!$AS$3:$AS$1334,$B117)</f>
        <v>#VALUE!</v>
      </c>
      <c r="T117" s="188">
        <v>0.11465704464576984</v>
      </c>
      <c r="U117" s="189" t="e">
        <f t="shared" si="7"/>
        <v>#VALUE!</v>
      </c>
      <c r="V117" s="188">
        <v>0.11465704464576984</v>
      </c>
      <c r="W117" s="189" t="e">
        <f t="shared" si="4"/>
        <v>#VALUE!</v>
      </c>
      <c r="X117" s="188">
        <v>0.11465704464576984</v>
      </c>
      <c r="Y117" s="189" t="e">
        <f t="shared" si="5"/>
        <v>#VALUE!</v>
      </c>
      <c r="Z117" s="188">
        <v>0.11465704464576984</v>
      </c>
      <c r="AA117" s="189" t="e">
        <f t="shared" si="6"/>
        <v>#VALUE!</v>
      </c>
    </row>
    <row r="118" spans="1:27" x14ac:dyDescent="0.25">
      <c r="A118">
        <v>150800</v>
      </c>
      <c r="B118">
        <v>17031150800</v>
      </c>
      <c r="C118">
        <v>17031</v>
      </c>
      <c r="D118">
        <v>2010</v>
      </c>
      <c r="E118">
        <v>15</v>
      </c>
      <c r="F118">
        <v>7115286.7044255696</v>
      </c>
      <c r="G118" s="45">
        <v>0.25522579145236346</v>
      </c>
      <c r="H118" s="60" t="str">
        <f>_xlfn.IFNA(
INDEX('Community Areas'!B$2:B$78,MATCH($E118,'Community Areas'!$A$2:$A$78,0)),
"")</f>
        <v>PORTAGE PARK</v>
      </c>
      <c r="I118" s="63" t="str">
        <f>_xlfn.IFNA(
INDEX('Community Areas'!C$2:C$78,MATCH($E118,'Community Areas'!$A$2:$A$78,0)),
"")</f>
        <v>2-C</v>
      </c>
      <c r="J118" s="63">
        <f>_xlfn.IFNA(
INDEX('Community Areas'!D$2:D$78,MATCH($E118,'Community Areas'!$A$2:$A$78,0)),
"")</f>
        <v>2</v>
      </c>
      <c r="K118" s="60" t="str">
        <f>_xlfn.IFNA(
INDEX('Community Areas'!E$2:E$78,MATCH($E118,'Community Areas'!$A$2:$A$78,0)),
"")</f>
        <v>NORTHWEST</v>
      </c>
      <c r="L118" s="17" t="e">
        <f>SUMIFS([1]ACSDT5Y2020.B08301_data_with_ov!AT$3:AT$1334,[1]ACSDT5Y2020.B08301_data_with_ov!$AS$3:$AS$1334,$B118)</f>
        <v>#VALUE!</v>
      </c>
      <c r="M118" s="17" t="e">
        <f>SUMIFS([1]ACSDT5Y2020.B08301_data_with_ov!AU$3:AU$1334,[1]ACSDT5Y2020.B08301_data_with_ov!$AS$3:$AS$1334,$B118)</f>
        <v>#VALUE!</v>
      </c>
      <c r="N118" s="17" t="e">
        <f>SUMIFS([1]ACSDT5Y2020.B08301_data_with_ov!AV$3:AV$1334,[1]ACSDT5Y2020.B08301_data_with_ov!$AS$3:$AS$1334,$B118)</f>
        <v>#VALUE!</v>
      </c>
      <c r="O118" s="17" t="e">
        <f>SUMIFS([1]ACSDT5Y2020.B08301_data_with_ov!AW$3:AW$1334,[1]ACSDT5Y2020.B08301_data_with_ov!$AS$3:$AS$1334,$B118)</f>
        <v>#VALUE!</v>
      </c>
      <c r="P118" s="17" t="e">
        <f>SUMIFS([1]ACSDT5Y2020.B08301_data_with_ov!AX$3:AX$1334,[1]ACSDT5Y2020.B08301_data_with_ov!$AS$3:$AS$1334,$B118)</f>
        <v>#VALUE!</v>
      </c>
      <c r="Q118" s="17" t="e">
        <f>SUMIFS([1]ACSDT5Y2020.B08301_data_with_ov!AY$3:AY$1334,[1]ACSDT5Y2020.B08301_data_with_ov!$AS$3:$AS$1334,$B118)</f>
        <v>#VALUE!</v>
      </c>
      <c r="R118" s="17" t="e">
        <f>SUMIFS([1]ACSDT5Y2020.B08301_data_with_ov!AZ$3:AZ$1334,[1]ACSDT5Y2020.B08301_data_with_ov!$AS$3:$AS$1334,$B118)</f>
        <v>#VALUE!</v>
      </c>
      <c r="S118" s="17" t="e">
        <f>SUMIFS([1]ACSDT5Y2020.B08301_data_with_ov!BA$3:BA$1334,[1]ACSDT5Y2020.B08301_data_with_ov!$AS$3:$AS$1334,$B118)</f>
        <v>#VALUE!</v>
      </c>
      <c r="T118" s="188">
        <v>0.21010276062802635</v>
      </c>
      <c r="U118" s="189" t="e">
        <f t="shared" si="7"/>
        <v>#VALUE!</v>
      </c>
      <c r="V118" s="188">
        <v>0.20158729757527227</v>
      </c>
      <c r="W118" s="189" t="e">
        <f t="shared" si="4"/>
        <v>#VALUE!</v>
      </c>
      <c r="X118" s="188">
        <v>0.20158729757527227</v>
      </c>
      <c r="Y118" s="189" t="e">
        <f t="shared" si="5"/>
        <v>#VALUE!</v>
      </c>
      <c r="Z118" s="188">
        <v>0.20158729757527227</v>
      </c>
      <c r="AA118" s="189" t="e">
        <f t="shared" si="6"/>
        <v>#VALUE!</v>
      </c>
    </row>
    <row r="119" spans="1:27" x14ac:dyDescent="0.25">
      <c r="A119">
        <v>831700</v>
      </c>
      <c r="B119">
        <v>17031831700</v>
      </c>
      <c r="C119">
        <v>17031</v>
      </c>
      <c r="D119">
        <v>2010</v>
      </c>
      <c r="E119">
        <v>15</v>
      </c>
      <c r="F119">
        <v>5767866.5643259296</v>
      </c>
      <c r="G119" s="45">
        <v>0.20689374441596109</v>
      </c>
      <c r="H119" s="60" t="str">
        <f>_xlfn.IFNA(
INDEX('Community Areas'!B$2:B$78,MATCH($E119,'Community Areas'!$A$2:$A$78,0)),
"")</f>
        <v>PORTAGE PARK</v>
      </c>
      <c r="I119" s="63" t="str">
        <f>_xlfn.IFNA(
INDEX('Community Areas'!C$2:C$78,MATCH($E119,'Community Areas'!$A$2:$A$78,0)),
"")</f>
        <v>2-C</v>
      </c>
      <c r="J119" s="63">
        <f>_xlfn.IFNA(
INDEX('Community Areas'!D$2:D$78,MATCH($E119,'Community Areas'!$A$2:$A$78,0)),
"")</f>
        <v>2</v>
      </c>
      <c r="K119" s="60" t="str">
        <f>_xlfn.IFNA(
INDEX('Community Areas'!E$2:E$78,MATCH($E119,'Community Areas'!$A$2:$A$78,0)),
"")</f>
        <v>NORTHWEST</v>
      </c>
      <c r="L119" s="17" t="e">
        <f>SUMIFS([1]ACSDT5Y2020.B08301_data_with_ov!AT$3:AT$1334,[1]ACSDT5Y2020.B08301_data_with_ov!$AS$3:$AS$1334,$B119)</f>
        <v>#VALUE!</v>
      </c>
      <c r="M119" s="17" t="e">
        <f>SUMIFS([1]ACSDT5Y2020.B08301_data_with_ov!AU$3:AU$1334,[1]ACSDT5Y2020.B08301_data_with_ov!$AS$3:$AS$1334,$B119)</f>
        <v>#VALUE!</v>
      </c>
      <c r="N119" s="17" t="e">
        <f>SUMIFS([1]ACSDT5Y2020.B08301_data_with_ov!AV$3:AV$1334,[1]ACSDT5Y2020.B08301_data_with_ov!$AS$3:$AS$1334,$B119)</f>
        <v>#VALUE!</v>
      </c>
      <c r="O119" s="17" t="e">
        <f>SUMIFS([1]ACSDT5Y2020.B08301_data_with_ov!AW$3:AW$1334,[1]ACSDT5Y2020.B08301_data_with_ov!$AS$3:$AS$1334,$B119)</f>
        <v>#VALUE!</v>
      </c>
      <c r="P119" s="17" t="e">
        <f>SUMIFS([1]ACSDT5Y2020.B08301_data_with_ov!AX$3:AX$1334,[1]ACSDT5Y2020.B08301_data_with_ov!$AS$3:$AS$1334,$B119)</f>
        <v>#VALUE!</v>
      </c>
      <c r="Q119" s="17" t="e">
        <f>SUMIFS([1]ACSDT5Y2020.B08301_data_with_ov!AY$3:AY$1334,[1]ACSDT5Y2020.B08301_data_with_ov!$AS$3:$AS$1334,$B119)</f>
        <v>#VALUE!</v>
      </c>
      <c r="R119" s="17" t="e">
        <f>SUMIFS([1]ACSDT5Y2020.B08301_data_with_ov!AZ$3:AZ$1334,[1]ACSDT5Y2020.B08301_data_with_ov!$AS$3:$AS$1334,$B119)</f>
        <v>#VALUE!</v>
      </c>
      <c r="S119" s="17" t="e">
        <f>SUMIFS([1]ACSDT5Y2020.B08301_data_with_ov!BA$3:BA$1334,[1]ACSDT5Y2020.B08301_data_with_ov!$AS$3:$AS$1334,$B119)</f>
        <v>#VALUE!</v>
      </c>
      <c r="T119" s="188">
        <v>0.2068937516974744</v>
      </c>
      <c r="U119" s="189" t="e">
        <f t="shared" si="7"/>
        <v>#VALUE!</v>
      </c>
      <c r="V119" s="188">
        <v>0.20593794316040986</v>
      </c>
      <c r="W119" s="189" t="e">
        <f t="shared" si="4"/>
        <v>#VALUE!</v>
      </c>
      <c r="X119" s="188">
        <v>0.20593794316040986</v>
      </c>
      <c r="Y119" s="189" t="e">
        <f t="shared" si="5"/>
        <v>#VALUE!</v>
      </c>
      <c r="Z119" s="188">
        <v>0.20593794316040986</v>
      </c>
      <c r="AA119" s="189" t="e">
        <f t="shared" si="6"/>
        <v>#VALUE!</v>
      </c>
    </row>
    <row r="120" spans="1:27" x14ac:dyDescent="0.25">
      <c r="A120">
        <v>150200</v>
      </c>
      <c r="B120">
        <v>17031150200</v>
      </c>
      <c r="C120">
        <v>17031</v>
      </c>
      <c r="D120">
        <v>2010</v>
      </c>
      <c r="E120">
        <v>15</v>
      </c>
      <c r="F120">
        <v>14291051.594907399</v>
      </c>
      <c r="G120" s="45">
        <v>0.51262093932605168</v>
      </c>
      <c r="H120" s="60" t="str">
        <f>_xlfn.IFNA(
INDEX('Community Areas'!B$2:B$78,MATCH($E120,'Community Areas'!$A$2:$A$78,0)),
"")</f>
        <v>PORTAGE PARK</v>
      </c>
      <c r="I120" s="63" t="str">
        <f>_xlfn.IFNA(
INDEX('Community Areas'!C$2:C$78,MATCH($E120,'Community Areas'!$A$2:$A$78,0)),
"")</f>
        <v>2-C</v>
      </c>
      <c r="J120" s="63">
        <f>_xlfn.IFNA(
INDEX('Community Areas'!D$2:D$78,MATCH($E120,'Community Areas'!$A$2:$A$78,0)),
"")</f>
        <v>2</v>
      </c>
      <c r="K120" s="60" t="str">
        <f>_xlfn.IFNA(
INDEX('Community Areas'!E$2:E$78,MATCH($E120,'Community Areas'!$A$2:$A$78,0)),
"")</f>
        <v>NORTHWEST</v>
      </c>
      <c r="L120" s="17" t="e">
        <f>SUMIFS([1]ACSDT5Y2020.B08301_data_with_ov!AT$3:AT$1334,[1]ACSDT5Y2020.B08301_data_with_ov!$AS$3:$AS$1334,$B120)</f>
        <v>#VALUE!</v>
      </c>
      <c r="M120" s="17" t="e">
        <f>SUMIFS([1]ACSDT5Y2020.B08301_data_with_ov!AU$3:AU$1334,[1]ACSDT5Y2020.B08301_data_with_ov!$AS$3:$AS$1334,$B120)</f>
        <v>#VALUE!</v>
      </c>
      <c r="N120" s="17" t="e">
        <f>SUMIFS([1]ACSDT5Y2020.B08301_data_with_ov!AV$3:AV$1334,[1]ACSDT5Y2020.B08301_data_with_ov!$AS$3:$AS$1334,$B120)</f>
        <v>#VALUE!</v>
      </c>
      <c r="O120" s="17" t="e">
        <f>SUMIFS([1]ACSDT5Y2020.B08301_data_with_ov!AW$3:AW$1334,[1]ACSDT5Y2020.B08301_data_with_ov!$AS$3:$AS$1334,$B120)</f>
        <v>#VALUE!</v>
      </c>
      <c r="P120" s="17" t="e">
        <f>SUMIFS([1]ACSDT5Y2020.B08301_data_with_ov!AX$3:AX$1334,[1]ACSDT5Y2020.B08301_data_with_ov!$AS$3:$AS$1334,$B120)</f>
        <v>#VALUE!</v>
      </c>
      <c r="Q120" s="17" t="e">
        <f>SUMIFS([1]ACSDT5Y2020.B08301_data_with_ov!AY$3:AY$1334,[1]ACSDT5Y2020.B08301_data_with_ov!$AS$3:$AS$1334,$B120)</f>
        <v>#VALUE!</v>
      </c>
      <c r="R120" s="17" t="e">
        <f>SUMIFS([1]ACSDT5Y2020.B08301_data_with_ov!AZ$3:AZ$1334,[1]ACSDT5Y2020.B08301_data_with_ov!$AS$3:$AS$1334,$B120)</f>
        <v>#VALUE!</v>
      </c>
      <c r="S120" s="17" t="e">
        <f>SUMIFS([1]ACSDT5Y2020.B08301_data_with_ov!BA$3:BA$1334,[1]ACSDT5Y2020.B08301_data_with_ov!$AS$3:$AS$1334,$B120)</f>
        <v>#VALUE!</v>
      </c>
      <c r="T120" s="188">
        <v>0.5126209411249677</v>
      </c>
      <c r="U120" s="189" t="e">
        <f t="shared" si="7"/>
        <v>#VALUE!</v>
      </c>
      <c r="V120" s="188">
        <v>0.45001617970500457</v>
      </c>
      <c r="W120" s="189" t="e">
        <f t="shared" si="4"/>
        <v>#VALUE!</v>
      </c>
      <c r="X120" s="188">
        <v>0.45001617970500457</v>
      </c>
      <c r="Y120" s="189" t="e">
        <f t="shared" si="5"/>
        <v>#VALUE!</v>
      </c>
      <c r="Z120" s="188">
        <v>0.45001617970500457</v>
      </c>
      <c r="AA120" s="189" t="e">
        <f t="shared" si="6"/>
        <v>#VALUE!</v>
      </c>
    </row>
    <row r="121" spans="1:27" x14ac:dyDescent="0.25">
      <c r="A121">
        <v>151002</v>
      </c>
      <c r="B121">
        <v>17031151002</v>
      </c>
      <c r="C121">
        <v>17031</v>
      </c>
      <c r="D121">
        <v>2010</v>
      </c>
      <c r="E121">
        <v>15</v>
      </c>
      <c r="F121">
        <v>6860428.9421929503</v>
      </c>
      <c r="G121" s="45">
        <v>0.24608402713903776</v>
      </c>
      <c r="H121" s="60" t="str">
        <f>_xlfn.IFNA(
INDEX('Community Areas'!B$2:B$78,MATCH($E121,'Community Areas'!$A$2:$A$78,0)),
"")</f>
        <v>PORTAGE PARK</v>
      </c>
      <c r="I121" s="63" t="str">
        <f>_xlfn.IFNA(
INDEX('Community Areas'!C$2:C$78,MATCH($E121,'Community Areas'!$A$2:$A$78,0)),
"")</f>
        <v>2-C</v>
      </c>
      <c r="J121" s="63">
        <f>_xlfn.IFNA(
INDEX('Community Areas'!D$2:D$78,MATCH($E121,'Community Areas'!$A$2:$A$78,0)),
"")</f>
        <v>2</v>
      </c>
      <c r="K121" s="60" t="str">
        <f>_xlfn.IFNA(
INDEX('Community Areas'!E$2:E$78,MATCH($E121,'Community Areas'!$A$2:$A$78,0)),
"")</f>
        <v>NORTHWEST</v>
      </c>
      <c r="L121" s="17" t="e">
        <f>SUMIFS([1]ACSDT5Y2020.B08301_data_with_ov!AT$3:AT$1334,[1]ACSDT5Y2020.B08301_data_with_ov!$AS$3:$AS$1334,$B121)</f>
        <v>#VALUE!</v>
      </c>
      <c r="M121" s="17" t="e">
        <f>SUMIFS([1]ACSDT5Y2020.B08301_data_with_ov!AU$3:AU$1334,[1]ACSDT5Y2020.B08301_data_with_ov!$AS$3:$AS$1334,$B121)</f>
        <v>#VALUE!</v>
      </c>
      <c r="N121" s="17" t="e">
        <f>SUMIFS([1]ACSDT5Y2020.B08301_data_with_ov!AV$3:AV$1334,[1]ACSDT5Y2020.B08301_data_with_ov!$AS$3:$AS$1334,$B121)</f>
        <v>#VALUE!</v>
      </c>
      <c r="O121" s="17" t="e">
        <f>SUMIFS([1]ACSDT5Y2020.B08301_data_with_ov!AW$3:AW$1334,[1]ACSDT5Y2020.B08301_data_with_ov!$AS$3:$AS$1334,$B121)</f>
        <v>#VALUE!</v>
      </c>
      <c r="P121" s="17" t="e">
        <f>SUMIFS([1]ACSDT5Y2020.B08301_data_with_ov!AX$3:AX$1334,[1]ACSDT5Y2020.B08301_data_with_ov!$AS$3:$AS$1334,$B121)</f>
        <v>#VALUE!</v>
      </c>
      <c r="Q121" s="17" t="e">
        <f>SUMIFS([1]ACSDT5Y2020.B08301_data_with_ov!AY$3:AY$1334,[1]ACSDT5Y2020.B08301_data_with_ov!$AS$3:$AS$1334,$B121)</f>
        <v>#VALUE!</v>
      </c>
      <c r="R121" s="17" t="e">
        <f>SUMIFS([1]ACSDT5Y2020.B08301_data_with_ov!AZ$3:AZ$1334,[1]ACSDT5Y2020.B08301_data_with_ov!$AS$3:$AS$1334,$B121)</f>
        <v>#VALUE!</v>
      </c>
      <c r="S121" s="17" t="e">
        <f>SUMIFS([1]ACSDT5Y2020.B08301_data_with_ov!BA$3:BA$1334,[1]ACSDT5Y2020.B08301_data_with_ov!$AS$3:$AS$1334,$B121)</f>
        <v>#VALUE!</v>
      </c>
      <c r="T121" s="188">
        <v>7.4033228960380795E-2</v>
      </c>
      <c r="U121" s="189" t="e">
        <f t="shared" si="7"/>
        <v>#VALUE!</v>
      </c>
      <c r="V121" s="188">
        <v>7.4033228960380795E-2</v>
      </c>
      <c r="W121" s="189" t="e">
        <f t="shared" si="4"/>
        <v>#VALUE!</v>
      </c>
      <c r="X121" s="188">
        <v>7.4033228960380795E-2</v>
      </c>
      <c r="Y121" s="189" t="e">
        <f t="shared" si="5"/>
        <v>#VALUE!</v>
      </c>
      <c r="Z121" s="188">
        <v>7.4033228960380795E-2</v>
      </c>
      <c r="AA121" s="189" t="e">
        <f t="shared" si="6"/>
        <v>#VALUE!</v>
      </c>
    </row>
    <row r="122" spans="1:27" x14ac:dyDescent="0.25">
      <c r="A122">
        <v>150502</v>
      </c>
      <c r="B122">
        <v>17031150502</v>
      </c>
      <c r="C122">
        <v>17031</v>
      </c>
      <c r="D122">
        <v>2010</v>
      </c>
      <c r="E122">
        <v>15</v>
      </c>
      <c r="F122">
        <v>7368690.1081146197</v>
      </c>
      <c r="G122" s="45">
        <v>0.26431538783124642</v>
      </c>
      <c r="H122" s="60" t="str">
        <f>_xlfn.IFNA(
INDEX('Community Areas'!B$2:B$78,MATCH($E122,'Community Areas'!$A$2:$A$78,0)),
"")</f>
        <v>PORTAGE PARK</v>
      </c>
      <c r="I122" s="63" t="str">
        <f>_xlfn.IFNA(
INDEX('Community Areas'!C$2:C$78,MATCH($E122,'Community Areas'!$A$2:$A$78,0)),
"")</f>
        <v>2-C</v>
      </c>
      <c r="J122" s="63">
        <f>_xlfn.IFNA(
INDEX('Community Areas'!D$2:D$78,MATCH($E122,'Community Areas'!$A$2:$A$78,0)),
"")</f>
        <v>2</v>
      </c>
      <c r="K122" s="60" t="str">
        <f>_xlfn.IFNA(
INDEX('Community Areas'!E$2:E$78,MATCH($E122,'Community Areas'!$A$2:$A$78,0)),
"")</f>
        <v>NORTHWEST</v>
      </c>
      <c r="L122" s="17" t="e">
        <f>SUMIFS([1]ACSDT5Y2020.B08301_data_with_ov!AT$3:AT$1334,[1]ACSDT5Y2020.B08301_data_with_ov!$AS$3:$AS$1334,$B122)</f>
        <v>#VALUE!</v>
      </c>
      <c r="M122" s="17" t="e">
        <f>SUMIFS([1]ACSDT5Y2020.B08301_data_with_ov!AU$3:AU$1334,[1]ACSDT5Y2020.B08301_data_with_ov!$AS$3:$AS$1334,$B122)</f>
        <v>#VALUE!</v>
      </c>
      <c r="N122" s="17" t="e">
        <f>SUMIFS([1]ACSDT5Y2020.B08301_data_with_ov!AV$3:AV$1334,[1]ACSDT5Y2020.B08301_data_with_ov!$AS$3:$AS$1334,$B122)</f>
        <v>#VALUE!</v>
      </c>
      <c r="O122" s="17" t="e">
        <f>SUMIFS([1]ACSDT5Y2020.B08301_data_with_ov!AW$3:AW$1334,[1]ACSDT5Y2020.B08301_data_with_ov!$AS$3:$AS$1334,$B122)</f>
        <v>#VALUE!</v>
      </c>
      <c r="P122" s="17" t="e">
        <f>SUMIFS([1]ACSDT5Y2020.B08301_data_with_ov!AX$3:AX$1334,[1]ACSDT5Y2020.B08301_data_with_ov!$AS$3:$AS$1334,$B122)</f>
        <v>#VALUE!</v>
      </c>
      <c r="Q122" s="17" t="e">
        <f>SUMIFS([1]ACSDT5Y2020.B08301_data_with_ov!AY$3:AY$1334,[1]ACSDT5Y2020.B08301_data_with_ov!$AS$3:$AS$1334,$B122)</f>
        <v>#VALUE!</v>
      </c>
      <c r="R122" s="17" t="e">
        <f>SUMIFS([1]ACSDT5Y2020.B08301_data_with_ov!AZ$3:AZ$1334,[1]ACSDT5Y2020.B08301_data_with_ov!$AS$3:$AS$1334,$B122)</f>
        <v>#VALUE!</v>
      </c>
      <c r="S122" s="17" t="e">
        <f>SUMIFS([1]ACSDT5Y2020.B08301_data_with_ov!BA$3:BA$1334,[1]ACSDT5Y2020.B08301_data_with_ov!$AS$3:$AS$1334,$B122)</f>
        <v>#VALUE!</v>
      </c>
      <c r="T122" s="188">
        <v>0.19909437919844036</v>
      </c>
      <c r="U122" s="189" t="e">
        <f t="shared" si="7"/>
        <v>#VALUE!</v>
      </c>
      <c r="V122" s="188">
        <v>7.7844653666649444E-2</v>
      </c>
      <c r="W122" s="189" t="e">
        <f t="shared" si="4"/>
        <v>#VALUE!</v>
      </c>
      <c r="X122" s="188">
        <v>7.7844653666649444E-2</v>
      </c>
      <c r="Y122" s="189" t="e">
        <f t="shared" si="5"/>
        <v>#VALUE!</v>
      </c>
      <c r="Z122" s="188">
        <v>7.7844653666649444E-2</v>
      </c>
      <c r="AA122" s="189" t="e">
        <f t="shared" si="6"/>
        <v>#VALUE!</v>
      </c>
    </row>
    <row r="123" spans="1:27" x14ac:dyDescent="0.25">
      <c r="A123">
        <v>150401</v>
      </c>
      <c r="B123">
        <v>17031150401</v>
      </c>
      <c r="C123">
        <v>17031</v>
      </c>
      <c r="D123">
        <v>2010</v>
      </c>
      <c r="E123">
        <v>15</v>
      </c>
      <c r="F123">
        <v>7943593.5264015896</v>
      </c>
      <c r="G123" s="45">
        <v>0.28493721039950604</v>
      </c>
      <c r="H123" s="60" t="str">
        <f>_xlfn.IFNA(
INDEX('Community Areas'!B$2:B$78,MATCH($E123,'Community Areas'!$A$2:$A$78,0)),
"")</f>
        <v>PORTAGE PARK</v>
      </c>
      <c r="I123" s="63" t="str">
        <f>_xlfn.IFNA(
INDEX('Community Areas'!C$2:C$78,MATCH($E123,'Community Areas'!$A$2:$A$78,0)),
"")</f>
        <v>2-C</v>
      </c>
      <c r="J123" s="63">
        <f>_xlfn.IFNA(
INDEX('Community Areas'!D$2:D$78,MATCH($E123,'Community Areas'!$A$2:$A$78,0)),
"")</f>
        <v>2</v>
      </c>
      <c r="K123" s="60" t="str">
        <f>_xlfn.IFNA(
INDEX('Community Areas'!E$2:E$78,MATCH($E123,'Community Areas'!$A$2:$A$78,0)),
"")</f>
        <v>NORTHWEST</v>
      </c>
      <c r="L123" s="17" t="e">
        <f>SUMIFS([1]ACSDT5Y2020.B08301_data_with_ov!AT$3:AT$1334,[1]ACSDT5Y2020.B08301_data_with_ov!$AS$3:$AS$1334,$B123)</f>
        <v>#VALUE!</v>
      </c>
      <c r="M123" s="17" t="e">
        <f>SUMIFS([1]ACSDT5Y2020.B08301_data_with_ov!AU$3:AU$1334,[1]ACSDT5Y2020.B08301_data_with_ov!$AS$3:$AS$1334,$B123)</f>
        <v>#VALUE!</v>
      </c>
      <c r="N123" s="17" t="e">
        <f>SUMIFS([1]ACSDT5Y2020.B08301_data_with_ov!AV$3:AV$1334,[1]ACSDT5Y2020.B08301_data_with_ov!$AS$3:$AS$1334,$B123)</f>
        <v>#VALUE!</v>
      </c>
      <c r="O123" s="17" t="e">
        <f>SUMIFS([1]ACSDT5Y2020.B08301_data_with_ov!AW$3:AW$1334,[1]ACSDT5Y2020.B08301_data_with_ov!$AS$3:$AS$1334,$B123)</f>
        <v>#VALUE!</v>
      </c>
      <c r="P123" s="17" t="e">
        <f>SUMIFS([1]ACSDT5Y2020.B08301_data_with_ov!AX$3:AX$1334,[1]ACSDT5Y2020.B08301_data_with_ov!$AS$3:$AS$1334,$B123)</f>
        <v>#VALUE!</v>
      </c>
      <c r="Q123" s="17" t="e">
        <f>SUMIFS([1]ACSDT5Y2020.B08301_data_with_ov!AY$3:AY$1334,[1]ACSDT5Y2020.B08301_data_with_ov!$AS$3:$AS$1334,$B123)</f>
        <v>#VALUE!</v>
      </c>
      <c r="R123" s="17" t="e">
        <f>SUMIFS([1]ACSDT5Y2020.B08301_data_with_ov!AZ$3:AZ$1334,[1]ACSDT5Y2020.B08301_data_with_ov!$AS$3:$AS$1334,$B123)</f>
        <v>#VALUE!</v>
      </c>
      <c r="S123" s="17" t="e">
        <f>SUMIFS([1]ACSDT5Y2020.B08301_data_with_ov!BA$3:BA$1334,[1]ACSDT5Y2020.B08301_data_with_ov!$AS$3:$AS$1334,$B123)</f>
        <v>#VALUE!</v>
      </c>
      <c r="T123" s="188">
        <v>0.28493720679110424</v>
      </c>
      <c r="U123" s="189" t="e">
        <f t="shared" si="7"/>
        <v>#VALUE!</v>
      </c>
      <c r="V123" s="188">
        <v>0.22824412286651063</v>
      </c>
      <c r="W123" s="189" t="e">
        <f t="shared" si="4"/>
        <v>#VALUE!</v>
      </c>
      <c r="X123" s="188">
        <v>0.22824412286651063</v>
      </c>
      <c r="Y123" s="189" t="e">
        <f t="shared" si="5"/>
        <v>#VALUE!</v>
      </c>
      <c r="Z123" s="188">
        <v>0.22824412286651063</v>
      </c>
      <c r="AA123" s="189" t="e">
        <f t="shared" si="6"/>
        <v>#VALUE!</v>
      </c>
    </row>
    <row r="124" spans="1:27" x14ac:dyDescent="0.25">
      <c r="A124">
        <v>150600</v>
      </c>
      <c r="B124">
        <v>17031150600</v>
      </c>
      <c r="C124">
        <v>17031</v>
      </c>
      <c r="D124">
        <v>2010</v>
      </c>
      <c r="E124">
        <v>15</v>
      </c>
      <c r="F124">
        <v>7062461.3246619897</v>
      </c>
      <c r="G124" s="45">
        <v>0.25333094168467307</v>
      </c>
      <c r="H124" s="60" t="str">
        <f>_xlfn.IFNA(
INDEX('Community Areas'!B$2:B$78,MATCH($E124,'Community Areas'!$A$2:$A$78,0)),
"")</f>
        <v>PORTAGE PARK</v>
      </c>
      <c r="I124" s="63" t="str">
        <f>_xlfn.IFNA(
INDEX('Community Areas'!C$2:C$78,MATCH($E124,'Community Areas'!$A$2:$A$78,0)),
"")</f>
        <v>2-C</v>
      </c>
      <c r="J124" s="63">
        <f>_xlfn.IFNA(
INDEX('Community Areas'!D$2:D$78,MATCH($E124,'Community Areas'!$A$2:$A$78,0)),
"")</f>
        <v>2</v>
      </c>
      <c r="K124" s="60" t="str">
        <f>_xlfn.IFNA(
INDEX('Community Areas'!E$2:E$78,MATCH($E124,'Community Areas'!$A$2:$A$78,0)),
"")</f>
        <v>NORTHWEST</v>
      </c>
      <c r="L124" s="17" t="e">
        <f>SUMIFS([1]ACSDT5Y2020.B08301_data_with_ov!AT$3:AT$1334,[1]ACSDT5Y2020.B08301_data_with_ov!$AS$3:$AS$1334,$B124)</f>
        <v>#VALUE!</v>
      </c>
      <c r="M124" s="17" t="e">
        <f>SUMIFS([1]ACSDT5Y2020.B08301_data_with_ov!AU$3:AU$1334,[1]ACSDT5Y2020.B08301_data_with_ov!$AS$3:$AS$1334,$B124)</f>
        <v>#VALUE!</v>
      </c>
      <c r="N124" s="17" t="e">
        <f>SUMIFS([1]ACSDT5Y2020.B08301_data_with_ov!AV$3:AV$1334,[1]ACSDT5Y2020.B08301_data_with_ov!$AS$3:$AS$1334,$B124)</f>
        <v>#VALUE!</v>
      </c>
      <c r="O124" s="17" t="e">
        <f>SUMIFS([1]ACSDT5Y2020.B08301_data_with_ov!AW$3:AW$1334,[1]ACSDT5Y2020.B08301_data_with_ov!$AS$3:$AS$1334,$B124)</f>
        <v>#VALUE!</v>
      </c>
      <c r="P124" s="17" t="e">
        <f>SUMIFS([1]ACSDT5Y2020.B08301_data_with_ov!AX$3:AX$1334,[1]ACSDT5Y2020.B08301_data_with_ov!$AS$3:$AS$1334,$B124)</f>
        <v>#VALUE!</v>
      </c>
      <c r="Q124" s="17" t="e">
        <f>SUMIFS([1]ACSDT5Y2020.B08301_data_with_ov!AY$3:AY$1334,[1]ACSDT5Y2020.B08301_data_with_ov!$AS$3:$AS$1334,$B124)</f>
        <v>#VALUE!</v>
      </c>
      <c r="R124" s="17" t="e">
        <f>SUMIFS([1]ACSDT5Y2020.B08301_data_with_ov!AZ$3:AZ$1334,[1]ACSDT5Y2020.B08301_data_with_ov!$AS$3:$AS$1334,$B124)</f>
        <v>#VALUE!</v>
      </c>
      <c r="S124" s="17" t="e">
        <f>SUMIFS([1]ACSDT5Y2020.B08301_data_with_ov!BA$3:BA$1334,[1]ACSDT5Y2020.B08301_data_with_ov!$AS$3:$AS$1334,$B124)</f>
        <v>#VALUE!</v>
      </c>
      <c r="T124" s="188">
        <v>0</v>
      </c>
      <c r="U124" s="189" t="e">
        <f t="shared" si="7"/>
        <v>#VALUE!</v>
      </c>
      <c r="V124" s="188">
        <v>0</v>
      </c>
      <c r="W124" s="189" t="e">
        <f t="shared" si="4"/>
        <v>#VALUE!</v>
      </c>
      <c r="X124" s="188">
        <v>0</v>
      </c>
      <c r="Y124" s="189" t="e">
        <f t="shared" si="5"/>
        <v>#VALUE!</v>
      </c>
      <c r="Z124" s="188">
        <v>0</v>
      </c>
      <c r="AA124" s="189" t="e">
        <f t="shared" si="6"/>
        <v>#VALUE!</v>
      </c>
    </row>
    <row r="125" spans="1:27" x14ac:dyDescent="0.25">
      <c r="A125">
        <v>150501</v>
      </c>
      <c r="B125">
        <v>17031150501</v>
      </c>
      <c r="C125">
        <v>17031</v>
      </c>
      <c r="D125">
        <v>2010</v>
      </c>
      <c r="E125">
        <v>15</v>
      </c>
      <c r="F125">
        <v>7522239.1744157001</v>
      </c>
      <c r="G125" s="45">
        <v>0.26982320270947041</v>
      </c>
      <c r="H125" s="60" t="str">
        <f>_xlfn.IFNA(
INDEX('Community Areas'!B$2:B$78,MATCH($E125,'Community Areas'!$A$2:$A$78,0)),
"")</f>
        <v>PORTAGE PARK</v>
      </c>
      <c r="I125" s="63" t="str">
        <f>_xlfn.IFNA(
INDEX('Community Areas'!C$2:C$78,MATCH($E125,'Community Areas'!$A$2:$A$78,0)),
"")</f>
        <v>2-C</v>
      </c>
      <c r="J125" s="63">
        <f>_xlfn.IFNA(
INDEX('Community Areas'!D$2:D$78,MATCH($E125,'Community Areas'!$A$2:$A$78,0)),
"")</f>
        <v>2</v>
      </c>
      <c r="K125" s="60" t="str">
        <f>_xlfn.IFNA(
INDEX('Community Areas'!E$2:E$78,MATCH($E125,'Community Areas'!$A$2:$A$78,0)),
"")</f>
        <v>NORTHWEST</v>
      </c>
      <c r="L125" s="17" t="e">
        <f>SUMIFS([1]ACSDT5Y2020.B08301_data_with_ov!AT$3:AT$1334,[1]ACSDT5Y2020.B08301_data_with_ov!$AS$3:$AS$1334,$B125)</f>
        <v>#VALUE!</v>
      </c>
      <c r="M125" s="17" t="e">
        <f>SUMIFS([1]ACSDT5Y2020.B08301_data_with_ov!AU$3:AU$1334,[1]ACSDT5Y2020.B08301_data_with_ov!$AS$3:$AS$1334,$B125)</f>
        <v>#VALUE!</v>
      </c>
      <c r="N125" s="17" t="e">
        <f>SUMIFS([1]ACSDT5Y2020.B08301_data_with_ov!AV$3:AV$1334,[1]ACSDT5Y2020.B08301_data_with_ov!$AS$3:$AS$1334,$B125)</f>
        <v>#VALUE!</v>
      </c>
      <c r="O125" s="17" t="e">
        <f>SUMIFS([1]ACSDT5Y2020.B08301_data_with_ov!AW$3:AW$1334,[1]ACSDT5Y2020.B08301_data_with_ov!$AS$3:$AS$1334,$B125)</f>
        <v>#VALUE!</v>
      </c>
      <c r="P125" s="17" t="e">
        <f>SUMIFS([1]ACSDT5Y2020.B08301_data_with_ov!AX$3:AX$1334,[1]ACSDT5Y2020.B08301_data_with_ov!$AS$3:$AS$1334,$B125)</f>
        <v>#VALUE!</v>
      </c>
      <c r="Q125" s="17" t="e">
        <f>SUMIFS([1]ACSDT5Y2020.B08301_data_with_ov!AY$3:AY$1334,[1]ACSDT5Y2020.B08301_data_with_ov!$AS$3:$AS$1334,$B125)</f>
        <v>#VALUE!</v>
      </c>
      <c r="R125" s="17" t="e">
        <f>SUMIFS([1]ACSDT5Y2020.B08301_data_with_ov!AZ$3:AZ$1334,[1]ACSDT5Y2020.B08301_data_with_ov!$AS$3:$AS$1334,$B125)</f>
        <v>#VALUE!</v>
      </c>
      <c r="S125" s="17" t="e">
        <f>SUMIFS([1]ACSDT5Y2020.B08301_data_with_ov!BA$3:BA$1334,[1]ACSDT5Y2020.B08301_data_with_ov!$AS$3:$AS$1334,$B125)</f>
        <v>#VALUE!</v>
      </c>
      <c r="T125" s="188">
        <v>0.25502968559296735</v>
      </c>
      <c r="U125" s="189" t="e">
        <f t="shared" si="7"/>
        <v>#VALUE!</v>
      </c>
      <c r="V125" s="188">
        <v>0</v>
      </c>
      <c r="W125" s="189" t="e">
        <f t="shared" si="4"/>
        <v>#VALUE!</v>
      </c>
      <c r="X125" s="188">
        <v>0</v>
      </c>
      <c r="Y125" s="189" t="e">
        <f t="shared" si="5"/>
        <v>#VALUE!</v>
      </c>
      <c r="Z125" s="188">
        <v>0</v>
      </c>
      <c r="AA125" s="189" t="e">
        <f t="shared" si="6"/>
        <v>#VALUE!</v>
      </c>
    </row>
    <row r="126" spans="1:27" x14ac:dyDescent="0.25">
      <c r="A126">
        <v>150700</v>
      </c>
      <c r="B126">
        <v>17031150700</v>
      </c>
      <c r="C126">
        <v>17031</v>
      </c>
      <c r="D126">
        <v>2010</v>
      </c>
      <c r="E126">
        <v>15</v>
      </c>
      <c r="F126">
        <v>7130303.9596162103</v>
      </c>
      <c r="G126" s="45">
        <v>0.25576446136134823</v>
      </c>
      <c r="H126" s="60" t="str">
        <f>_xlfn.IFNA(
INDEX('Community Areas'!B$2:B$78,MATCH($E126,'Community Areas'!$A$2:$A$78,0)),
"")</f>
        <v>PORTAGE PARK</v>
      </c>
      <c r="I126" s="63" t="str">
        <f>_xlfn.IFNA(
INDEX('Community Areas'!C$2:C$78,MATCH($E126,'Community Areas'!$A$2:$A$78,0)),
"")</f>
        <v>2-C</v>
      </c>
      <c r="J126" s="63">
        <f>_xlfn.IFNA(
INDEX('Community Areas'!D$2:D$78,MATCH($E126,'Community Areas'!$A$2:$A$78,0)),
"")</f>
        <v>2</v>
      </c>
      <c r="K126" s="60" t="str">
        <f>_xlfn.IFNA(
INDEX('Community Areas'!E$2:E$78,MATCH($E126,'Community Areas'!$A$2:$A$78,0)),
"")</f>
        <v>NORTHWEST</v>
      </c>
      <c r="L126" s="17" t="e">
        <f>SUMIFS([1]ACSDT5Y2020.B08301_data_with_ov!AT$3:AT$1334,[1]ACSDT5Y2020.B08301_data_with_ov!$AS$3:$AS$1334,$B126)</f>
        <v>#VALUE!</v>
      </c>
      <c r="M126" s="17" t="e">
        <f>SUMIFS([1]ACSDT5Y2020.B08301_data_with_ov!AU$3:AU$1334,[1]ACSDT5Y2020.B08301_data_with_ov!$AS$3:$AS$1334,$B126)</f>
        <v>#VALUE!</v>
      </c>
      <c r="N126" s="17" t="e">
        <f>SUMIFS([1]ACSDT5Y2020.B08301_data_with_ov!AV$3:AV$1334,[1]ACSDT5Y2020.B08301_data_with_ov!$AS$3:$AS$1334,$B126)</f>
        <v>#VALUE!</v>
      </c>
      <c r="O126" s="17" t="e">
        <f>SUMIFS([1]ACSDT5Y2020.B08301_data_with_ov!AW$3:AW$1334,[1]ACSDT5Y2020.B08301_data_with_ov!$AS$3:$AS$1334,$B126)</f>
        <v>#VALUE!</v>
      </c>
      <c r="P126" s="17" t="e">
        <f>SUMIFS([1]ACSDT5Y2020.B08301_data_with_ov!AX$3:AX$1334,[1]ACSDT5Y2020.B08301_data_with_ov!$AS$3:$AS$1334,$B126)</f>
        <v>#VALUE!</v>
      </c>
      <c r="Q126" s="17" t="e">
        <f>SUMIFS([1]ACSDT5Y2020.B08301_data_with_ov!AY$3:AY$1334,[1]ACSDT5Y2020.B08301_data_with_ov!$AS$3:$AS$1334,$B126)</f>
        <v>#VALUE!</v>
      </c>
      <c r="R126" s="17" t="e">
        <f>SUMIFS([1]ACSDT5Y2020.B08301_data_with_ov!AZ$3:AZ$1334,[1]ACSDT5Y2020.B08301_data_with_ov!$AS$3:$AS$1334,$B126)</f>
        <v>#VALUE!</v>
      </c>
      <c r="S126" s="17" t="e">
        <f>SUMIFS([1]ACSDT5Y2020.B08301_data_with_ov!BA$3:BA$1334,[1]ACSDT5Y2020.B08301_data_with_ov!$AS$3:$AS$1334,$B126)</f>
        <v>#VALUE!</v>
      </c>
      <c r="T126" s="188">
        <v>1.3556321566576346E-2</v>
      </c>
      <c r="U126" s="189" t="e">
        <f t="shared" si="7"/>
        <v>#VALUE!</v>
      </c>
      <c r="V126" s="188">
        <v>0</v>
      </c>
      <c r="W126" s="189" t="e">
        <f t="shared" si="4"/>
        <v>#VALUE!</v>
      </c>
      <c r="X126" s="188">
        <v>0</v>
      </c>
      <c r="Y126" s="189" t="e">
        <f t="shared" si="5"/>
        <v>#VALUE!</v>
      </c>
      <c r="Z126" s="188">
        <v>0</v>
      </c>
      <c r="AA126" s="189" t="e">
        <f t="shared" si="6"/>
        <v>#VALUE!</v>
      </c>
    </row>
    <row r="127" spans="1:27" x14ac:dyDescent="0.25">
      <c r="A127">
        <v>151001</v>
      </c>
      <c r="B127">
        <v>17031151001</v>
      </c>
      <c r="C127">
        <v>17031</v>
      </c>
      <c r="D127">
        <v>2010</v>
      </c>
      <c r="E127">
        <v>15</v>
      </c>
      <c r="F127">
        <v>3553158.7935861298</v>
      </c>
      <c r="G127" s="45">
        <v>0.12745203431997998</v>
      </c>
      <c r="H127" s="60" t="str">
        <f>_xlfn.IFNA(
INDEX('Community Areas'!B$2:B$78,MATCH($E127,'Community Areas'!$A$2:$A$78,0)),
"")</f>
        <v>PORTAGE PARK</v>
      </c>
      <c r="I127" s="63" t="str">
        <f>_xlfn.IFNA(
INDEX('Community Areas'!C$2:C$78,MATCH($E127,'Community Areas'!$A$2:$A$78,0)),
"")</f>
        <v>2-C</v>
      </c>
      <c r="J127" s="63">
        <f>_xlfn.IFNA(
INDEX('Community Areas'!D$2:D$78,MATCH($E127,'Community Areas'!$A$2:$A$78,0)),
"")</f>
        <v>2</v>
      </c>
      <c r="K127" s="60" t="str">
        <f>_xlfn.IFNA(
INDEX('Community Areas'!E$2:E$78,MATCH($E127,'Community Areas'!$A$2:$A$78,0)),
"")</f>
        <v>NORTHWEST</v>
      </c>
      <c r="L127" s="17" t="e">
        <f>SUMIFS([1]ACSDT5Y2020.B08301_data_with_ov!AT$3:AT$1334,[1]ACSDT5Y2020.B08301_data_with_ov!$AS$3:$AS$1334,$B127)</f>
        <v>#VALUE!</v>
      </c>
      <c r="M127" s="17" t="e">
        <f>SUMIFS([1]ACSDT5Y2020.B08301_data_with_ov!AU$3:AU$1334,[1]ACSDT5Y2020.B08301_data_with_ov!$AS$3:$AS$1334,$B127)</f>
        <v>#VALUE!</v>
      </c>
      <c r="N127" s="17" t="e">
        <f>SUMIFS([1]ACSDT5Y2020.B08301_data_with_ov!AV$3:AV$1334,[1]ACSDT5Y2020.B08301_data_with_ov!$AS$3:$AS$1334,$B127)</f>
        <v>#VALUE!</v>
      </c>
      <c r="O127" s="17" t="e">
        <f>SUMIFS([1]ACSDT5Y2020.B08301_data_with_ov!AW$3:AW$1334,[1]ACSDT5Y2020.B08301_data_with_ov!$AS$3:$AS$1334,$B127)</f>
        <v>#VALUE!</v>
      </c>
      <c r="P127" s="17" t="e">
        <f>SUMIFS([1]ACSDT5Y2020.B08301_data_with_ov!AX$3:AX$1334,[1]ACSDT5Y2020.B08301_data_with_ov!$AS$3:$AS$1334,$B127)</f>
        <v>#VALUE!</v>
      </c>
      <c r="Q127" s="17" t="e">
        <f>SUMIFS([1]ACSDT5Y2020.B08301_data_with_ov!AY$3:AY$1334,[1]ACSDT5Y2020.B08301_data_with_ov!$AS$3:$AS$1334,$B127)</f>
        <v>#VALUE!</v>
      </c>
      <c r="R127" s="17" t="e">
        <f>SUMIFS([1]ACSDT5Y2020.B08301_data_with_ov!AZ$3:AZ$1334,[1]ACSDT5Y2020.B08301_data_with_ov!$AS$3:$AS$1334,$B127)</f>
        <v>#VALUE!</v>
      </c>
      <c r="S127" s="17" t="e">
        <f>SUMIFS([1]ACSDT5Y2020.B08301_data_with_ov!BA$3:BA$1334,[1]ACSDT5Y2020.B08301_data_with_ov!$AS$3:$AS$1334,$B127)</f>
        <v>#VALUE!</v>
      </c>
      <c r="T127" s="188">
        <v>0</v>
      </c>
      <c r="U127" s="189" t="e">
        <f t="shared" si="7"/>
        <v>#VALUE!</v>
      </c>
      <c r="V127" s="188">
        <v>0</v>
      </c>
      <c r="W127" s="189" t="e">
        <f t="shared" si="4"/>
        <v>#VALUE!</v>
      </c>
      <c r="X127" s="188">
        <v>0</v>
      </c>
      <c r="Y127" s="189" t="e">
        <f t="shared" si="5"/>
        <v>#VALUE!</v>
      </c>
      <c r="Z127" s="188">
        <v>0</v>
      </c>
      <c r="AA127" s="189" t="e">
        <f t="shared" si="6"/>
        <v>#VALUE!</v>
      </c>
    </row>
    <row r="128" spans="1:27" x14ac:dyDescent="0.25">
      <c r="A128">
        <v>151200</v>
      </c>
      <c r="B128">
        <v>17031151200</v>
      </c>
      <c r="C128">
        <v>17031</v>
      </c>
      <c r="D128">
        <v>2010</v>
      </c>
      <c r="E128">
        <v>15</v>
      </c>
      <c r="F128">
        <v>7056560.9173635803</v>
      </c>
      <c r="G128" s="45">
        <v>0.25311929369560593</v>
      </c>
      <c r="H128" s="60" t="str">
        <f>_xlfn.IFNA(
INDEX('Community Areas'!B$2:B$78,MATCH($E128,'Community Areas'!$A$2:$A$78,0)),
"")</f>
        <v>PORTAGE PARK</v>
      </c>
      <c r="I128" s="63" t="str">
        <f>_xlfn.IFNA(
INDEX('Community Areas'!C$2:C$78,MATCH($E128,'Community Areas'!$A$2:$A$78,0)),
"")</f>
        <v>2-C</v>
      </c>
      <c r="J128" s="63">
        <f>_xlfn.IFNA(
INDEX('Community Areas'!D$2:D$78,MATCH($E128,'Community Areas'!$A$2:$A$78,0)),
"")</f>
        <v>2</v>
      </c>
      <c r="K128" s="60" t="str">
        <f>_xlfn.IFNA(
INDEX('Community Areas'!E$2:E$78,MATCH($E128,'Community Areas'!$A$2:$A$78,0)),
"")</f>
        <v>NORTHWEST</v>
      </c>
      <c r="L128" s="17" t="e">
        <f>SUMIFS([1]ACSDT5Y2020.B08301_data_with_ov!AT$3:AT$1334,[1]ACSDT5Y2020.B08301_data_with_ov!$AS$3:$AS$1334,$B128)</f>
        <v>#VALUE!</v>
      </c>
      <c r="M128" s="17" t="e">
        <f>SUMIFS([1]ACSDT5Y2020.B08301_data_with_ov!AU$3:AU$1334,[1]ACSDT5Y2020.B08301_data_with_ov!$AS$3:$AS$1334,$B128)</f>
        <v>#VALUE!</v>
      </c>
      <c r="N128" s="17" t="e">
        <f>SUMIFS([1]ACSDT5Y2020.B08301_data_with_ov!AV$3:AV$1334,[1]ACSDT5Y2020.B08301_data_with_ov!$AS$3:$AS$1334,$B128)</f>
        <v>#VALUE!</v>
      </c>
      <c r="O128" s="17" t="e">
        <f>SUMIFS([1]ACSDT5Y2020.B08301_data_with_ov!AW$3:AW$1334,[1]ACSDT5Y2020.B08301_data_with_ov!$AS$3:$AS$1334,$B128)</f>
        <v>#VALUE!</v>
      </c>
      <c r="P128" s="17" t="e">
        <f>SUMIFS([1]ACSDT5Y2020.B08301_data_with_ov!AX$3:AX$1334,[1]ACSDT5Y2020.B08301_data_with_ov!$AS$3:$AS$1334,$B128)</f>
        <v>#VALUE!</v>
      </c>
      <c r="Q128" s="17" t="e">
        <f>SUMIFS([1]ACSDT5Y2020.B08301_data_with_ov!AY$3:AY$1334,[1]ACSDT5Y2020.B08301_data_with_ov!$AS$3:$AS$1334,$B128)</f>
        <v>#VALUE!</v>
      </c>
      <c r="R128" s="17" t="e">
        <f>SUMIFS([1]ACSDT5Y2020.B08301_data_with_ov!AZ$3:AZ$1334,[1]ACSDT5Y2020.B08301_data_with_ov!$AS$3:$AS$1334,$B128)</f>
        <v>#VALUE!</v>
      </c>
      <c r="S128" s="17" t="e">
        <f>SUMIFS([1]ACSDT5Y2020.B08301_data_with_ov!BA$3:BA$1334,[1]ACSDT5Y2020.B08301_data_with_ov!$AS$3:$AS$1334,$B128)</f>
        <v>#VALUE!</v>
      </c>
      <c r="T128" s="188">
        <v>0</v>
      </c>
      <c r="U128" s="189" t="e">
        <f t="shared" si="7"/>
        <v>#VALUE!</v>
      </c>
      <c r="V128" s="188">
        <v>0</v>
      </c>
      <c r="W128" s="189" t="e">
        <f t="shared" si="4"/>
        <v>#VALUE!</v>
      </c>
      <c r="X128" s="188">
        <v>0</v>
      </c>
      <c r="Y128" s="189" t="e">
        <f t="shared" si="5"/>
        <v>#VALUE!</v>
      </c>
      <c r="Z128" s="188">
        <v>0</v>
      </c>
      <c r="AA128" s="189" t="e">
        <f t="shared" si="6"/>
        <v>#VALUE!</v>
      </c>
    </row>
    <row r="129" spans="1:27" x14ac:dyDescent="0.25">
      <c r="A129">
        <v>150402</v>
      </c>
      <c r="B129">
        <v>17031150402</v>
      </c>
      <c r="C129">
        <v>17031</v>
      </c>
      <c r="D129">
        <v>2010</v>
      </c>
      <c r="E129">
        <v>15</v>
      </c>
      <c r="F129">
        <v>7132069.6813779296</v>
      </c>
      <c r="G129" s="45">
        <v>0.25582779791444021</v>
      </c>
      <c r="H129" s="60" t="str">
        <f>_xlfn.IFNA(
INDEX('Community Areas'!B$2:B$78,MATCH($E129,'Community Areas'!$A$2:$A$78,0)),
"")</f>
        <v>PORTAGE PARK</v>
      </c>
      <c r="I129" s="63" t="str">
        <f>_xlfn.IFNA(
INDEX('Community Areas'!C$2:C$78,MATCH($E129,'Community Areas'!$A$2:$A$78,0)),
"")</f>
        <v>2-C</v>
      </c>
      <c r="J129" s="63">
        <f>_xlfn.IFNA(
INDEX('Community Areas'!D$2:D$78,MATCH($E129,'Community Areas'!$A$2:$A$78,0)),
"")</f>
        <v>2</v>
      </c>
      <c r="K129" s="60" t="str">
        <f>_xlfn.IFNA(
INDEX('Community Areas'!E$2:E$78,MATCH($E129,'Community Areas'!$A$2:$A$78,0)),
"")</f>
        <v>NORTHWEST</v>
      </c>
      <c r="L129" s="17" t="e">
        <f>SUMIFS([1]ACSDT5Y2020.B08301_data_with_ov!AT$3:AT$1334,[1]ACSDT5Y2020.B08301_data_with_ov!$AS$3:$AS$1334,$B129)</f>
        <v>#VALUE!</v>
      </c>
      <c r="M129" s="17" t="e">
        <f>SUMIFS([1]ACSDT5Y2020.B08301_data_with_ov!AU$3:AU$1334,[1]ACSDT5Y2020.B08301_data_with_ov!$AS$3:$AS$1334,$B129)</f>
        <v>#VALUE!</v>
      </c>
      <c r="N129" s="17" t="e">
        <f>SUMIFS([1]ACSDT5Y2020.B08301_data_with_ov!AV$3:AV$1334,[1]ACSDT5Y2020.B08301_data_with_ov!$AS$3:$AS$1334,$B129)</f>
        <v>#VALUE!</v>
      </c>
      <c r="O129" s="17" t="e">
        <f>SUMIFS([1]ACSDT5Y2020.B08301_data_with_ov!AW$3:AW$1334,[1]ACSDT5Y2020.B08301_data_with_ov!$AS$3:$AS$1334,$B129)</f>
        <v>#VALUE!</v>
      </c>
      <c r="P129" s="17" t="e">
        <f>SUMIFS([1]ACSDT5Y2020.B08301_data_with_ov!AX$3:AX$1334,[1]ACSDT5Y2020.B08301_data_with_ov!$AS$3:$AS$1334,$B129)</f>
        <v>#VALUE!</v>
      </c>
      <c r="Q129" s="17" t="e">
        <f>SUMIFS([1]ACSDT5Y2020.B08301_data_with_ov!AY$3:AY$1334,[1]ACSDT5Y2020.B08301_data_with_ov!$AS$3:$AS$1334,$B129)</f>
        <v>#VALUE!</v>
      </c>
      <c r="R129" s="17" t="e">
        <f>SUMIFS([1]ACSDT5Y2020.B08301_data_with_ov!AZ$3:AZ$1334,[1]ACSDT5Y2020.B08301_data_with_ov!$AS$3:$AS$1334,$B129)</f>
        <v>#VALUE!</v>
      </c>
      <c r="S129" s="17" t="e">
        <f>SUMIFS([1]ACSDT5Y2020.B08301_data_with_ov!BA$3:BA$1334,[1]ACSDT5Y2020.B08301_data_with_ov!$AS$3:$AS$1334,$B129)</f>
        <v>#VALUE!</v>
      </c>
      <c r="T129" s="188">
        <v>0.13508049560128452</v>
      </c>
      <c r="U129" s="189" t="e">
        <f t="shared" si="7"/>
        <v>#VALUE!</v>
      </c>
      <c r="V129" s="188">
        <v>0</v>
      </c>
      <c r="W129" s="189" t="e">
        <f t="shared" si="4"/>
        <v>#VALUE!</v>
      </c>
      <c r="X129" s="188">
        <v>0</v>
      </c>
      <c r="Y129" s="189" t="e">
        <f t="shared" si="5"/>
        <v>#VALUE!</v>
      </c>
      <c r="Z129" s="188">
        <v>0</v>
      </c>
      <c r="AA129" s="189" t="e">
        <f t="shared" si="6"/>
        <v>#VALUE!</v>
      </c>
    </row>
    <row r="130" spans="1:27" x14ac:dyDescent="0.25">
      <c r="A130">
        <v>151100</v>
      </c>
      <c r="B130">
        <v>17031151100</v>
      </c>
      <c r="C130">
        <v>17031</v>
      </c>
      <c r="D130">
        <v>2010</v>
      </c>
      <c r="E130">
        <v>15</v>
      </c>
      <c r="F130">
        <v>7113336.2662517102</v>
      </c>
      <c r="G130" s="45">
        <v>0.25515582910969459</v>
      </c>
      <c r="H130" s="60" t="str">
        <f>_xlfn.IFNA(
INDEX('Community Areas'!B$2:B$78,MATCH($E130,'Community Areas'!$A$2:$A$78,0)),
"")</f>
        <v>PORTAGE PARK</v>
      </c>
      <c r="I130" s="63" t="str">
        <f>_xlfn.IFNA(
INDEX('Community Areas'!C$2:C$78,MATCH($E130,'Community Areas'!$A$2:$A$78,0)),
"")</f>
        <v>2-C</v>
      </c>
      <c r="J130" s="63">
        <f>_xlfn.IFNA(
INDEX('Community Areas'!D$2:D$78,MATCH($E130,'Community Areas'!$A$2:$A$78,0)),
"")</f>
        <v>2</v>
      </c>
      <c r="K130" s="60" t="str">
        <f>_xlfn.IFNA(
INDEX('Community Areas'!E$2:E$78,MATCH($E130,'Community Areas'!$A$2:$A$78,0)),
"")</f>
        <v>NORTHWEST</v>
      </c>
      <c r="L130" s="17" t="e">
        <f>SUMIFS([1]ACSDT5Y2020.B08301_data_with_ov!AT$3:AT$1334,[1]ACSDT5Y2020.B08301_data_with_ov!$AS$3:$AS$1334,$B130)</f>
        <v>#VALUE!</v>
      </c>
      <c r="M130" s="17" t="e">
        <f>SUMIFS([1]ACSDT5Y2020.B08301_data_with_ov!AU$3:AU$1334,[1]ACSDT5Y2020.B08301_data_with_ov!$AS$3:$AS$1334,$B130)</f>
        <v>#VALUE!</v>
      </c>
      <c r="N130" s="17" t="e">
        <f>SUMIFS([1]ACSDT5Y2020.B08301_data_with_ov!AV$3:AV$1334,[1]ACSDT5Y2020.B08301_data_with_ov!$AS$3:$AS$1334,$B130)</f>
        <v>#VALUE!</v>
      </c>
      <c r="O130" s="17" t="e">
        <f>SUMIFS([1]ACSDT5Y2020.B08301_data_with_ov!AW$3:AW$1334,[1]ACSDT5Y2020.B08301_data_with_ov!$AS$3:$AS$1334,$B130)</f>
        <v>#VALUE!</v>
      </c>
      <c r="P130" s="17" t="e">
        <f>SUMIFS([1]ACSDT5Y2020.B08301_data_with_ov!AX$3:AX$1334,[1]ACSDT5Y2020.B08301_data_with_ov!$AS$3:$AS$1334,$B130)</f>
        <v>#VALUE!</v>
      </c>
      <c r="Q130" s="17" t="e">
        <f>SUMIFS([1]ACSDT5Y2020.B08301_data_with_ov!AY$3:AY$1334,[1]ACSDT5Y2020.B08301_data_with_ov!$AS$3:$AS$1334,$B130)</f>
        <v>#VALUE!</v>
      </c>
      <c r="R130" s="17" t="e">
        <f>SUMIFS([1]ACSDT5Y2020.B08301_data_with_ov!AZ$3:AZ$1334,[1]ACSDT5Y2020.B08301_data_with_ov!$AS$3:$AS$1334,$B130)</f>
        <v>#VALUE!</v>
      </c>
      <c r="S130" s="17" t="e">
        <f>SUMIFS([1]ACSDT5Y2020.B08301_data_with_ov!BA$3:BA$1334,[1]ACSDT5Y2020.B08301_data_with_ov!$AS$3:$AS$1334,$B130)</f>
        <v>#VALUE!</v>
      </c>
      <c r="T130" s="188">
        <v>0</v>
      </c>
      <c r="U130" s="189" t="e">
        <f t="shared" si="7"/>
        <v>#VALUE!</v>
      </c>
      <c r="V130" s="188">
        <v>0</v>
      </c>
      <c r="W130" s="189" t="e">
        <f t="shared" si="4"/>
        <v>#VALUE!</v>
      </c>
      <c r="X130" s="188">
        <v>0</v>
      </c>
      <c r="Y130" s="189" t="e">
        <f t="shared" si="5"/>
        <v>#VALUE!</v>
      </c>
      <c r="Z130" s="188">
        <v>0</v>
      </c>
      <c r="AA130" s="189" t="e">
        <f t="shared" si="6"/>
        <v>#VALUE!</v>
      </c>
    </row>
    <row r="131" spans="1:27" x14ac:dyDescent="0.25">
      <c r="A131">
        <v>150300</v>
      </c>
      <c r="B131">
        <v>17031150300</v>
      </c>
      <c r="C131">
        <v>17031</v>
      </c>
      <c r="D131">
        <v>2010</v>
      </c>
      <c r="E131">
        <v>15</v>
      </c>
      <c r="F131">
        <v>14279049.5979826</v>
      </c>
      <c r="G131" s="45">
        <v>0.51219042692488093</v>
      </c>
      <c r="H131" s="60" t="str">
        <f>_xlfn.IFNA(
INDEX('Community Areas'!B$2:B$78,MATCH($E131,'Community Areas'!$A$2:$A$78,0)),
"")</f>
        <v>PORTAGE PARK</v>
      </c>
      <c r="I131" s="63" t="str">
        <f>_xlfn.IFNA(
INDEX('Community Areas'!C$2:C$78,MATCH($E131,'Community Areas'!$A$2:$A$78,0)),
"")</f>
        <v>2-C</v>
      </c>
      <c r="J131" s="63">
        <f>_xlfn.IFNA(
INDEX('Community Areas'!D$2:D$78,MATCH($E131,'Community Areas'!$A$2:$A$78,0)),
"")</f>
        <v>2</v>
      </c>
      <c r="K131" s="60" t="str">
        <f>_xlfn.IFNA(
INDEX('Community Areas'!E$2:E$78,MATCH($E131,'Community Areas'!$A$2:$A$78,0)),
"")</f>
        <v>NORTHWEST</v>
      </c>
      <c r="L131" s="17" t="e">
        <f>SUMIFS([1]ACSDT5Y2020.B08301_data_with_ov!AT$3:AT$1334,[1]ACSDT5Y2020.B08301_data_with_ov!$AS$3:$AS$1334,$B131)</f>
        <v>#VALUE!</v>
      </c>
      <c r="M131" s="17" t="e">
        <f>SUMIFS([1]ACSDT5Y2020.B08301_data_with_ov!AU$3:AU$1334,[1]ACSDT5Y2020.B08301_data_with_ov!$AS$3:$AS$1334,$B131)</f>
        <v>#VALUE!</v>
      </c>
      <c r="N131" s="17" t="e">
        <f>SUMIFS([1]ACSDT5Y2020.B08301_data_with_ov!AV$3:AV$1334,[1]ACSDT5Y2020.B08301_data_with_ov!$AS$3:$AS$1334,$B131)</f>
        <v>#VALUE!</v>
      </c>
      <c r="O131" s="17" t="e">
        <f>SUMIFS([1]ACSDT5Y2020.B08301_data_with_ov!AW$3:AW$1334,[1]ACSDT5Y2020.B08301_data_with_ov!$AS$3:$AS$1334,$B131)</f>
        <v>#VALUE!</v>
      </c>
      <c r="P131" s="17" t="e">
        <f>SUMIFS([1]ACSDT5Y2020.B08301_data_with_ov!AX$3:AX$1334,[1]ACSDT5Y2020.B08301_data_with_ov!$AS$3:$AS$1334,$B131)</f>
        <v>#VALUE!</v>
      </c>
      <c r="Q131" s="17" t="e">
        <f>SUMIFS([1]ACSDT5Y2020.B08301_data_with_ov!AY$3:AY$1334,[1]ACSDT5Y2020.B08301_data_with_ov!$AS$3:$AS$1334,$B131)</f>
        <v>#VALUE!</v>
      </c>
      <c r="R131" s="17" t="e">
        <f>SUMIFS([1]ACSDT5Y2020.B08301_data_with_ov!AZ$3:AZ$1334,[1]ACSDT5Y2020.B08301_data_with_ov!$AS$3:$AS$1334,$B131)</f>
        <v>#VALUE!</v>
      </c>
      <c r="S131" s="17" t="e">
        <f>SUMIFS([1]ACSDT5Y2020.B08301_data_with_ov!BA$3:BA$1334,[1]ACSDT5Y2020.B08301_data_with_ov!$AS$3:$AS$1334,$B131)</f>
        <v>#VALUE!</v>
      </c>
      <c r="T131" s="188">
        <v>0.45987407391198204</v>
      </c>
      <c r="U131" s="189" t="e">
        <f t="shared" si="7"/>
        <v>#VALUE!</v>
      </c>
      <c r="V131" s="188">
        <v>0.25800596157834704</v>
      </c>
      <c r="W131" s="189" t="e">
        <f t="shared" si="4"/>
        <v>#VALUE!</v>
      </c>
      <c r="X131" s="188">
        <v>0.25800596157834704</v>
      </c>
      <c r="Y131" s="189" t="e">
        <f t="shared" si="5"/>
        <v>#VALUE!</v>
      </c>
      <c r="Z131" s="188">
        <v>0.25800596157834704</v>
      </c>
      <c r="AA131" s="189" t="e">
        <f t="shared" si="6"/>
        <v>#VALUE!</v>
      </c>
    </row>
    <row r="132" spans="1:27" x14ac:dyDescent="0.25">
      <c r="A132">
        <v>160800</v>
      </c>
      <c r="B132">
        <v>17031160800</v>
      </c>
      <c r="C132">
        <v>17031</v>
      </c>
      <c r="D132">
        <v>2010</v>
      </c>
      <c r="E132">
        <v>16</v>
      </c>
      <c r="F132">
        <v>7080076.2386456802</v>
      </c>
      <c r="G132" s="45">
        <v>0.25396278978153985</v>
      </c>
      <c r="H132" s="60" t="str">
        <f>_xlfn.IFNA(
INDEX('Community Areas'!B$2:B$78,MATCH($E132,'Community Areas'!$A$2:$A$78,0)),
"")</f>
        <v>IRVING PARK</v>
      </c>
      <c r="I132" s="63" t="str">
        <f>_xlfn.IFNA(
INDEX('Community Areas'!C$2:C$78,MATCH($E132,'Community Areas'!$A$2:$A$78,0)),
"")</f>
        <v>2-A</v>
      </c>
      <c r="J132" s="63">
        <f>_xlfn.IFNA(
INDEX('Community Areas'!D$2:D$78,MATCH($E132,'Community Areas'!$A$2:$A$78,0)),
"")</f>
        <v>2</v>
      </c>
      <c r="K132" s="60" t="str">
        <f>_xlfn.IFNA(
INDEX('Community Areas'!E$2:E$78,MATCH($E132,'Community Areas'!$A$2:$A$78,0)),
"")</f>
        <v>NORTHWEST</v>
      </c>
      <c r="L132" s="17" t="e">
        <f>SUMIFS([1]ACSDT5Y2020.B08301_data_with_ov!AT$3:AT$1334,[1]ACSDT5Y2020.B08301_data_with_ov!$AS$3:$AS$1334,$B132)</f>
        <v>#VALUE!</v>
      </c>
      <c r="M132" s="17" t="e">
        <f>SUMIFS([1]ACSDT5Y2020.B08301_data_with_ov!AU$3:AU$1334,[1]ACSDT5Y2020.B08301_data_with_ov!$AS$3:$AS$1334,$B132)</f>
        <v>#VALUE!</v>
      </c>
      <c r="N132" s="17" t="e">
        <f>SUMIFS([1]ACSDT5Y2020.B08301_data_with_ov!AV$3:AV$1334,[1]ACSDT5Y2020.B08301_data_with_ov!$AS$3:$AS$1334,$B132)</f>
        <v>#VALUE!</v>
      </c>
      <c r="O132" s="17" t="e">
        <f>SUMIFS([1]ACSDT5Y2020.B08301_data_with_ov!AW$3:AW$1334,[1]ACSDT5Y2020.B08301_data_with_ov!$AS$3:$AS$1334,$B132)</f>
        <v>#VALUE!</v>
      </c>
      <c r="P132" s="17" t="e">
        <f>SUMIFS([1]ACSDT5Y2020.B08301_data_with_ov!AX$3:AX$1334,[1]ACSDT5Y2020.B08301_data_with_ov!$AS$3:$AS$1334,$B132)</f>
        <v>#VALUE!</v>
      </c>
      <c r="Q132" s="17" t="e">
        <f>SUMIFS([1]ACSDT5Y2020.B08301_data_with_ov!AY$3:AY$1334,[1]ACSDT5Y2020.B08301_data_with_ov!$AS$3:$AS$1334,$B132)</f>
        <v>#VALUE!</v>
      </c>
      <c r="R132" s="17" t="e">
        <f>SUMIFS([1]ACSDT5Y2020.B08301_data_with_ov!AZ$3:AZ$1334,[1]ACSDT5Y2020.B08301_data_with_ov!$AS$3:$AS$1334,$B132)</f>
        <v>#VALUE!</v>
      </c>
      <c r="S132" s="17" t="e">
        <f>SUMIFS([1]ACSDT5Y2020.B08301_data_with_ov!BA$3:BA$1334,[1]ACSDT5Y2020.B08301_data_with_ov!$AS$3:$AS$1334,$B132)</f>
        <v>#VALUE!</v>
      </c>
      <c r="T132" s="188">
        <v>0.25396279481606365</v>
      </c>
      <c r="U132" s="189" t="e">
        <f t="shared" si="7"/>
        <v>#VALUE!</v>
      </c>
      <c r="V132" s="188">
        <v>0.25396279481606365</v>
      </c>
      <c r="W132" s="189" t="e">
        <f t="shared" si="4"/>
        <v>#VALUE!</v>
      </c>
      <c r="X132" s="188">
        <v>0.25396279481606365</v>
      </c>
      <c r="Y132" s="189" t="e">
        <f t="shared" si="5"/>
        <v>#VALUE!</v>
      </c>
      <c r="Z132" s="188">
        <v>0.25396279481606365</v>
      </c>
      <c r="AA132" s="189" t="e">
        <f t="shared" si="6"/>
        <v>#VALUE!</v>
      </c>
    </row>
    <row r="133" spans="1:27" x14ac:dyDescent="0.25">
      <c r="A133">
        <v>161100</v>
      </c>
      <c r="B133">
        <v>17031161100</v>
      </c>
      <c r="C133">
        <v>17031</v>
      </c>
      <c r="D133">
        <v>2010</v>
      </c>
      <c r="E133">
        <v>16</v>
      </c>
      <c r="F133">
        <v>6190214.5800150698</v>
      </c>
      <c r="G133" s="45">
        <v>0.22204339488690419</v>
      </c>
      <c r="H133" s="60" t="str">
        <f>_xlfn.IFNA(
INDEX('Community Areas'!B$2:B$78,MATCH($E133,'Community Areas'!$A$2:$A$78,0)),
"")</f>
        <v>IRVING PARK</v>
      </c>
      <c r="I133" s="63" t="str">
        <f>_xlfn.IFNA(
INDEX('Community Areas'!C$2:C$78,MATCH($E133,'Community Areas'!$A$2:$A$78,0)),
"")</f>
        <v>2-A</v>
      </c>
      <c r="J133" s="63">
        <f>_xlfn.IFNA(
INDEX('Community Areas'!D$2:D$78,MATCH($E133,'Community Areas'!$A$2:$A$78,0)),
"")</f>
        <v>2</v>
      </c>
      <c r="K133" s="60" t="str">
        <f>_xlfn.IFNA(
INDEX('Community Areas'!E$2:E$78,MATCH($E133,'Community Areas'!$A$2:$A$78,0)),
"")</f>
        <v>NORTHWEST</v>
      </c>
      <c r="L133" s="17" t="e">
        <f>SUMIFS([1]ACSDT5Y2020.B08301_data_with_ov!AT$3:AT$1334,[1]ACSDT5Y2020.B08301_data_with_ov!$AS$3:$AS$1334,$B133)</f>
        <v>#VALUE!</v>
      </c>
      <c r="M133" s="17" t="e">
        <f>SUMIFS([1]ACSDT5Y2020.B08301_data_with_ov!AU$3:AU$1334,[1]ACSDT5Y2020.B08301_data_with_ov!$AS$3:$AS$1334,$B133)</f>
        <v>#VALUE!</v>
      </c>
      <c r="N133" s="17" t="e">
        <f>SUMIFS([1]ACSDT5Y2020.B08301_data_with_ov!AV$3:AV$1334,[1]ACSDT5Y2020.B08301_data_with_ov!$AS$3:$AS$1334,$B133)</f>
        <v>#VALUE!</v>
      </c>
      <c r="O133" s="17" t="e">
        <f>SUMIFS([1]ACSDT5Y2020.B08301_data_with_ov!AW$3:AW$1334,[1]ACSDT5Y2020.B08301_data_with_ov!$AS$3:$AS$1334,$B133)</f>
        <v>#VALUE!</v>
      </c>
      <c r="P133" s="17" t="e">
        <f>SUMIFS([1]ACSDT5Y2020.B08301_data_with_ov!AX$3:AX$1334,[1]ACSDT5Y2020.B08301_data_with_ov!$AS$3:$AS$1334,$B133)</f>
        <v>#VALUE!</v>
      </c>
      <c r="Q133" s="17" t="e">
        <f>SUMIFS([1]ACSDT5Y2020.B08301_data_with_ov!AY$3:AY$1334,[1]ACSDT5Y2020.B08301_data_with_ov!$AS$3:$AS$1334,$B133)</f>
        <v>#VALUE!</v>
      </c>
      <c r="R133" s="17" t="e">
        <f>SUMIFS([1]ACSDT5Y2020.B08301_data_with_ov!AZ$3:AZ$1334,[1]ACSDT5Y2020.B08301_data_with_ov!$AS$3:$AS$1334,$B133)</f>
        <v>#VALUE!</v>
      </c>
      <c r="S133" s="17" t="e">
        <f>SUMIFS([1]ACSDT5Y2020.B08301_data_with_ov!BA$3:BA$1334,[1]ACSDT5Y2020.B08301_data_with_ov!$AS$3:$AS$1334,$B133)</f>
        <v>#VALUE!</v>
      </c>
      <c r="T133" s="188">
        <v>0.22204339373902302</v>
      </c>
      <c r="U133" s="189" t="e">
        <f t="shared" si="7"/>
        <v>#VALUE!</v>
      </c>
      <c r="V133" s="188">
        <v>0.22204339373902302</v>
      </c>
      <c r="W133" s="189" t="e">
        <f t="shared" si="4"/>
        <v>#VALUE!</v>
      </c>
      <c r="X133" s="188">
        <v>0.22204339373902302</v>
      </c>
      <c r="Y133" s="189" t="e">
        <f t="shared" si="5"/>
        <v>#VALUE!</v>
      </c>
      <c r="Z133" s="188">
        <v>0.22204339373902302</v>
      </c>
      <c r="AA133" s="189" t="e">
        <f t="shared" si="6"/>
        <v>#VALUE!</v>
      </c>
    </row>
    <row r="134" spans="1:27" x14ac:dyDescent="0.25">
      <c r="A134">
        <v>161300</v>
      </c>
      <c r="B134">
        <v>17031161300</v>
      </c>
      <c r="C134">
        <v>17031</v>
      </c>
      <c r="D134">
        <v>2010</v>
      </c>
      <c r="E134">
        <v>16</v>
      </c>
      <c r="F134">
        <v>5355536.1203330001</v>
      </c>
      <c r="G134" s="45">
        <v>0.19210342488568211</v>
      </c>
      <c r="H134" s="60" t="str">
        <f>_xlfn.IFNA(
INDEX('Community Areas'!B$2:B$78,MATCH($E134,'Community Areas'!$A$2:$A$78,0)),
"")</f>
        <v>IRVING PARK</v>
      </c>
      <c r="I134" s="63" t="str">
        <f>_xlfn.IFNA(
INDEX('Community Areas'!C$2:C$78,MATCH($E134,'Community Areas'!$A$2:$A$78,0)),
"")</f>
        <v>2-A</v>
      </c>
      <c r="J134" s="63">
        <f>_xlfn.IFNA(
INDEX('Community Areas'!D$2:D$78,MATCH($E134,'Community Areas'!$A$2:$A$78,0)),
"")</f>
        <v>2</v>
      </c>
      <c r="K134" s="60" t="str">
        <f>_xlfn.IFNA(
INDEX('Community Areas'!E$2:E$78,MATCH($E134,'Community Areas'!$A$2:$A$78,0)),
"")</f>
        <v>NORTHWEST</v>
      </c>
      <c r="L134" s="17" t="e">
        <f>SUMIFS([1]ACSDT5Y2020.B08301_data_with_ov!AT$3:AT$1334,[1]ACSDT5Y2020.B08301_data_with_ov!$AS$3:$AS$1334,$B134)</f>
        <v>#VALUE!</v>
      </c>
      <c r="M134" s="17" t="e">
        <f>SUMIFS([1]ACSDT5Y2020.B08301_data_with_ov!AU$3:AU$1334,[1]ACSDT5Y2020.B08301_data_with_ov!$AS$3:$AS$1334,$B134)</f>
        <v>#VALUE!</v>
      </c>
      <c r="N134" s="17" t="e">
        <f>SUMIFS([1]ACSDT5Y2020.B08301_data_with_ov!AV$3:AV$1334,[1]ACSDT5Y2020.B08301_data_with_ov!$AS$3:$AS$1334,$B134)</f>
        <v>#VALUE!</v>
      </c>
      <c r="O134" s="17" t="e">
        <f>SUMIFS([1]ACSDT5Y2020.B08301_data_with_ov!AW$3:AW$1334,[1]ACSDT5Y2020.B08301_data_with_ov!$AS$3:$AS$1334,$B134)</f>
        <v>#VALUE!</v>
      </c>
      <c r="P134" s="17" t="e">
        <f>SUMIFS([1]ACSDT5Y2020.B08301_data_with_ov!AX$3:AX$1334,[1]ACSDT5Y2020.B08301_data_with_ov!$AS$3:$AS$1334,$B134)</f>
        <v>#VALUE!</v>
      </c>
      <c r="Q134" s="17" t="e">
        <f>SUMIFS([1]ACSDT5Y2020.B08301_data_with_ov!AY$3:AY$1334,[1]ACSDT5Y2020.B08301_data_with_ov!$AS$3:$AS$1334,$B134)</f>
        <v>#VALUE!</v>
      </c>
      <c r="R134" s="17" t="e">
        <f>SUMIFS([1]ACSDT5Y2020.B08301_data_with_ov!AZ$3:AZ$1334,[1]ACSDT5Y2020.B08301_data_with_ov!$AS$3:$AS$1334,$B134)</f>
        <v>#VALUE!</v>
      </c>
      <c r="S134" s="17" t="e">
        <f>SUMIFS([1]ACSDT5Y2020.B08301_data_with_ov!BA$3:BA$1334,[1]ACSDT5Y2020.B08301_data_with_ov!$AS$3:$AS$1334,$B134)</f>
        <v>#VALUE!</v>
      </c>
      <c r="T134" s="188">
        <v>0.16136932750521371</v>
      </c>
      <c r="U134" s="189" t="e">
        <f t="shared" si="7"/>
        <v>#VALUE!</v>
      </c>
      <c r="V134" s="188">
        <v>0.16136932750521371</v>
      </c>
      <c r="W134" s="189" t="e">
        <f t="shared" ref="W134:W197" si="8">(V134/$G134)*$L134</f>
        <v>#VALUE!</v>
      </c>
      <c r="X134" s="188">
        <v>0.16136932750521371</v>
      </c>
      <c r="Y134" s="189" t="e">
        <f t="shared" ref="Y134:Y197" si="9">(X134/$G134)*$L134</f>
        <v>#VALUE!</v>
      </c>
      <c r="Z134" s="188">
        <v>0.16136932750521371</v>
      </c>
      <c r="AA134" s="189" t="e">
        <f t="shared" ref="AA134:AA197" si="10">(Z134/$G134)*$L134</f>
        <v>#VALUE!</v>
      </c>
    </row>
    <row r="135" spans="1:27" x14ac:dyDescent="0.25">
      <c r="A135">
        <v>160200</v>
      </c>
      <c r="B135">
        <v>17031160200</v>
      </c>
      <c r="C135">
        <v>17031</v>
      </c>
      <c r="D135">
        <v>2010</v>
      </c>
      <c r="E135">
        <v>16</v>
      </c>
      <c r="F135">
        <v>10282044.4927583</v>
      </c>
      <c r="G135" s="45">
        <v>0.36881759687637383</v>
      </c>
      <c r="H135" s="60" t="str">
        <f>_xlfn.IFNA(
INDEX('Community Areas'!B$2:B$78,MATCH($E135,'Community Areas'!$A$2:$A$78,0)),
"")</f>
        <v>IRVING PARK</v>
      </c>
      <c r="I135" s="63" t="str">
        <f>_xlfn.IFNA(
INDEX('Community Areas'!C$2:C$78,MATCH($E135,'Community Areas'!$A$2:$A$78,0)),
"")</f>
        <v>2-A</v>
      </c>
      <c r="J135" s="63">
        <f>_xlfn.IFNA(
INDEX('Community Areas'!D$2:D$78,MATCH($E135,'Community Areas'!$A$2:$A$78,0)),
"")</f>
        <v>2</v>
      </c>
      <c r="K135" s="60" t="str">
        <f>_xlfn.IFNA(
INDEX('Community Areas'!E$2:E$78,MATCH($E135,'Community Areas'!$A$2:$A$78,0)),
"")</f>
        <v>NORTHWEST</v>
      </c>
      <c r="L135" s="17" t="e">
        <f>SUMIFS([1]ACSDT5Y2020.B08301_data_with_ov!AT$3:AT$1334,[1]ACSDT5Y2020.B08301_data_with_ov!$AS$3:$AS$1334,$B135)</f>
        <v>#VALUE!</v>
      </c>
      <c r="M135" s="17" t="e">
        <f>SUMIFS([1]ACSDT5Y2020.B08301_data_with_ov!AU$3:AU$1334,[1]ACSDT5Y2020.B08301_data_with_ov!$AS$3:$AS$1334,$B135)</f>
        <v>#VALUE!</v>
      </c>
      <c r="N135" s="17" t="e">
        <f>SUMIFS([1]ACSDT5Y2020.B08301_data_with_ov!AV$3:AV$1334,[1]ACSDT5Y2020.B08301_data_with_ov!$AS$3:$AS$1334,$B135)</f>
        <v>#VALUE!</v>
      </c>
      <c r="O135" s="17" t="e">
        <f>SUMIFS([1]ACSDT5Y2020.B08301_data_with_ov!AW$3:AW$1334,[1]ACSDT5Y2020.B08301_data_with_ov!$AS$3:$AS$1334,$B135)</f>
        <v>#VALUE!</v>
      </c>
      <c r="P135" s="17" t="e">
        <f>SUMIFS([1]ACSDT5Y2020.B08301_data_with_ov!AX$3:AX$1334,[1]ACSDT5Y2020.B08301_data_with_ov!$AS$3:$AS$1334,$B135)</f>
        <v>#VALUE!</v>
      </c>
      <c r="Q135" s="17" t="e">
        <f>SUMIFS([1]ACSDT5Y2020.B08301_data_with_ov!AY$3:AY$1334,[1]ACSDT5Y2020.B08301_data_with_ov!$AS$3:$AS$1334,$B135)</f>
        <v>#VALUE!</v>
      </c>
      <c r="R135" s="17" t="e">
        <f>SUMIFS([1]ACSDT5Y2020.B08301_data_with_ov!AZ$3:AZ$1334,[1]ACSDT5Y2020.B08301_data_with_ov!$AS$3:$AS$1334,$B135)</f>
        <v>#VALUE!</v>
      </c>
      <c r="S135" s="17" t="e">
        <f>SUMIFS([1]ACSDT5Y2020.B08301_data_with_ov!BA$3:BA$1334,[1]ACSDT5Y2020.B08301_data_with_ov!$AS$3:$AS$1334,$B135)</f>
        <v>#VALUE!</v>
      </c>
      <c r="T135" s="188">
        <v>0.3688141176626959</v>
      </c>
      <c r="U135" s="189" t="e">
        <f t="shared" ref="U135:U198" si="11">(T135/$G135)*$L135</f>
        <v>#VALUE!</v>
      </c>
      <c r="V135" s="188">
        <v>0.36403705014013715</v>
      </c>
      <c r="W135" s="189" t="e">
        <f t="shared" si="8"/>
        <v>#VALUE!</v>
      </c>
      <c r="X135" s="188">
        <v>0.36403705014013715</v>
      </c>
      <c r="Y135" s="189" t="e">
        <f t="shared" si="9"/>
        <v>#VALUE!</v>
      </c>
      <c r="Z135" s="188">
        <v>0.36403705014013715</v>
      </c>
      <c r="AA135" s="189" t="e">
        <f t="shared" si="10"/>
        <v>#VALUE!</v>
      </c>
    </row>
    <row r="136" spans="1:27" x14ac:dyDescent="0.25">
      <c r="A136">
        <v>160100</v>
      </c>
      <c r="B136">
        <v>17031160100</v>
      </c>
      <c r="C136">
        <v>17031</v>
      </c>
      <c r="D136">
        <v>2010</v>
      </c>
      <c r="E136">
        <v>16</v>
      </c>
      <c r="F136">
        <v>6374388.2669359101</v>
      </c>
      <c r="G136" s="45">
        <v>0.22864971687528374</v>
      </c>
      <c r="H136" s="60" t="str">
        <f>_xlfn.IFNA(
INDEX('Community Areas'!B$2:B$78,MATCH($E136,'Community Areas'!$A$2:$A$78,0)),
"")</f>
        <v>IRVING PARK</v>
      </c>
      <c r="I136" s="63" t="str">
        <f>_xlfn.IFNA(
INDEX('Community Areas'!C$2:C$78,MATCH($E136,'Community Areas'!$A$2:$A$78,0)),
"")</f>
        <v>2-A</v>
      </c>
      <c r="J136" s="63">
        <f>_xlfn.IFNA(
INDEX('Community Areas'!D$2:D$78,MATCH($E136,'Community Areas'!$A$2:$A$78,0)),
"")</f>
        <v>2</v>
      </c>
      <c r="K136" s="60" t="str">
        <f>_xlfn.IFNA(
INDEX('Community Areas'!E$2:E$78,MATCH($E136,'Community Areas'!$A$2:$A$78,0)),
"")</f>
        <v>NORTHWEST</v>
      </c>
      <c r="L136" s="17" t="e">
        <f>SUMIFS([1]ACSDT5Y2020.B08301_data_with_ov!AT$3:AT$1334,[1]ACSDT5Y2020.B08301_data_with_ov!$AS$3:$AS$1334,$B136)</f>
        <v>#VALUE!</v>
      </c>
      <c r="M136" s="17" t="e">
        <f>SUMIFS([1]ACSDT5Y2020.B08301_data_with_ov!AU$3:AU$1334,[1]ACSDT5Y2020.B08301_data_with_ov!$AS$3:$AS$1334,$B136)</f>
        <v>#VALUE!</v>
      </c>
      <c r="N136" s="17" t="e">
        <f>SUMIFS([1]ACSDT5Y2020.B08301_data_with_ov!AV$3:AV$1334,[1]ACSDT5Y2020.B08301_data_with_ov!$AS$3:$AS$1334,$B136)</f>
        <v>#VALUE!</v>
      </c>
      <c r="O136" s="17" t="e">
        <f>SUMIFS([1]ACSDT5Y2020.B08301_data_with_ov!AW$3:AW$1334,[1]ACSDT5Y2020.B08301_data_with_ov!$AS$3:$AS$1334,$B136)</f>
        <v>#VALUE!</v>
      </c>
      <c r="P136" s="17" t="e">
        <f>SUMIFS([1]ACSDT5Y2020.B08301_data_with_ov!AX$3:AX$1334,[1]ACSDT5Y2020.B08301_data_with_ov!$AS$3:$AS$1334,$B136)</f>
        <v>#VALUE!</v>
      </c>
      <c r="Q136" s="17" t="e">
        <f>SUMIFS([1]ACSDT5Y2020.B08301_data_with_ov!AY$3:AY$1334,[1]ACSDT5Y2020.B08301_data_with_ov!$AS$3:$AS$1334,$B136)</f>
        <v>#VALUE!</v>
      </c>
      <c r="R136" s="17" t="e">
        <f>SUMIFS([1]ACSDT5Y2020.B08301_data_with_ov!AZ$3:AZ$1334,[1]ACSDT5Y2020.B08301_data_with_ov!$AS$3:$AS$1334,$B136)</f>
        <v>#VALUE!</v>
      </c>
      <c r="S136" s="17" t="e">
        <f>SUMIFS([1]ACSDT5Y2020.B08301_data_with_ov!BA$3:BA$1334,[1]ACSDT5Y2020.B08301_data_with_ov!$AS$3:$AS$1334,$B136)</f>
        <v>#VALUE!</v>
      </c>
      <c r="T136" s="188">
        <v>0.22864971481225896</v>
      </c>
      <c r="U136" s="189" t="e">
        <f t="shared" si="11"/>
        <v>#VALUE!</v>
      </c>
      <c r="V136" s="188">
        <v>0.22849940264162111</v>
      </c>
      <c r="W136" s="189" t="e">
        <f t="shared" si="8"/>
        <v>#VALUE!</v>
      </c>
      <c r="X136" s="188">
        <v>0.22849940264162111</v>
      </c>
      <c r="Y136" s="189" t="e">
        <f t="shared" si="9"/>
        <v>#VALUE!</v>
      </c>
      <c r="Z136" s="188">
        <v>0.22849940264162111</v>
      </c>
      <c r="AA136" s="189" t="e">
        <f t="shared" si="10"/>
        <v>#VALUE!</v>
      </c>
    </row>
    <row r="137" spans="1:27" x14ac:dyDescent="0.25">
      <c r="A137">
        <v>160300</v>
      </c>
      <c r="B137">
        <v>17031160300</v>
      </c>
      <c r="C137">
        <v>17031</v>
      </c>
      <c r="D137">
        <v>2010</v>
      </c>
      <c r="E137">
        <v>16</v>
      </c>
      <c r="F137">
        <v>4595878.6161902202</v>
      </c>
      <c r="G137" s="45">
        <v>0.16485446138193799</v>
      </c>
      <c r="H137" s="60" t="str">
        <f>_xlfn.IFNA(
INDEX('Community Areas'!B$2:B$78,MATCH($E137,'Community Areas'!$A$2:$A$78,0)),
"")</f>
        <v>IRVING PARK</v>
      </c>
      <c r="I137" s="63" t="str">
        <f>_xlfn.IFNA(
INDEX('Community Areas'!C$2:C$78,MATCH($E137,'Community Areas'!$A$2:$A$78,0)),
"")</f>
        <v>2-A</v>
      </c>
      <c r="J137" s="63">
        <f>_xlfn.IFNA(
INDEX('Community Areas'!D$2:D$78,MATCH($E137,'Community Areas'!$A$2:$A$78,0)),
"")</f>
        <v>2</v>
      </c>
      <c r="K137" s="60" t="str">
        <f>_xlfn.IFNA(
INDEX('Community Areas'!E$2:E$78,MATCH($E137,'Community Areas'!$A$2:$A$78,0)),
"")</f>
        <v>NORTHWEST</v>
      </c>
      <c r="L137" s="17" t="e">
        <f>SUMIFS([1]ACSDT5Y2020.B08301_data_with_ov!AT$3:AT$1334,[1]ACSDT5Y2020.B08301_data_with_ov!$AS$3:$AS$1334,$B137)</f>
        <v>#VALUE!</v>
      </c>
      <c r="M137" s="17" t="e">
        <f>SUMIFS([1]ACSDT5Y2020.B08301_data_with_ov!AU$3:AU$1334,[1]ACSDT5Y2020.B08301_data_with_ov!$AS$3:$AS$1334,$B137)</f>
        <v>#VALUE!</v>
      </c>
      <c r="N137" s="17" t="e">
        <f>SUMIFS([1]ACSDT5Y2020.B08301_data_with_ov!AV$3:AV$1334,[1]ACSDT5Y2020.B08301_data_with_ov!$AS$3:$AS$1334,$B137)</f>
        <v>#VALUE!</v>
      </c>
      <c r="O137" s="17" t="e">
        <f>SUMIFS([1]ACSDT5Y2020.B08301_data_with_ov!AW$3:AW$1334,[1]ACSDT5Y2020.B08301_data_with_ov!$AS$3:$AS$1334,$B137)</f>
        <v>#VALUE!</v>
      </c>
      <c r="P137" s="17" t="e">
        <f>SUMIFS([1]ACSDT5Y2020.B08301_data_with_ov!AX$3:AX$1334,[1]ACSDT5Y2020.B08301_data_with_ov!$AS$3:$AS$1334,$B137)</f>
        <v>#VALUE!</v>
      </c>
      <c r="Q137" s="17" t="e">
        <f>SUMIFS([1]ACSDT5Y2020.B08301_data_with_ov!AY$3:AY$1334,[1]ACSDT5Y2020.B08301_data_with_ov!$AS$3:$AS$1334,$B137)</f>
        <v>#VALUE!</v>
      </c>
      <c r="R137" s="17" t="e">
        <f>SUMIFS([1]ACSDT5Y2020.B08301_data_with_ov!AZ$3:AZ$1334,[1]ACSDT5Y2020.B08301_data_with_ov!$AS$3:$AS$1334,$B137)</f>
        <v>#VALUE!</v>
      </c>
      <c r="S137" s="17" t="e">
        <f>SUMIFS([1]ACSDT5Y2020.B08301_data_with_ov!BA$3:BA$1334,[1]ACSDT5Y2020.B08301_data_with_ov!$AS$3:$AS$1334,$B137)</f>
        <v>#VALUE!</v>
      </c>
      <c r="T137" s="188">
        <v>0.16485446324721828</v>
      </c>
      <c r="U137" s="189" t="e">
        <f t="shared" si="11"/>
        <v>#VALUE!</v>
      </c>
      <c r="V137" s="188">
        <v>0.16485446324721828</v>
      </c>
      <c r="W137" s="189" t="e">
        <f t="shared" si="8"/>
        <v>#VALUE!</v>
      </c>
      <c r="X137" s="188">
        <v>0.16485446324721828</v>
      </c>
      <c r="Y137" s="189" t="e">
        <f t="shared" si="9"/>
        <v>#VALUE!</v>
      </c>
      <c r="Z137" s="188">
        <v>0.16485446324721828</v>
      </c>
      <c r="AA137" s="189" t="e">
        <f t="shared" si="10"/>
        <v>#VALUE!</v>
      </c>
    </row>
    <row r="138" spans="1:27" x14ac:dyDescent="0.25">
      <c r="A138">
        <v>160501</v>
      </c>
      <c r="B138">
        <v>17031160501</v>
      </c>
      <c r="C138">
        <v>17031</v>
      </c>
      <c r="D138">
        <v>2010</v>
      </c>
      <c r="E138">
        <v>16</v>
      </c>
      <c r="F138">
        <v>3716274.1574826399</v>
      </c>
      <c r="G138" s="45">
        <v>0.1333029929078656</v>
      </c>
      <c r="H138" s="60" t="str">
        <f>_xlfn.IFNA(
INDEX('Community Areas'!B$2:B$78,MATCH($E138,'Community Areas'!$A$2:$A$78,0)),
"")</f>
        <v>IRVING PARK</v>
      </c>
      <c r="I138" s="63" t="str">
        <f>_xlfn.IFNA(
INDEX('Community Areas'!C$2:C$78,MATCH($E138,'Community Areas'!$A$2:$A$78,0)),
"")</f>
        <v>2-A</v>
      </c>
      <c r="J138" s="63">
        <f>_xlfn.IFNA(
INDEX('Community Areas'!D$2:D$78,MATCH($E138,'Community Areas'!$A$2:$A$78,0)),
"")</f>
        <v>2</v>
      </c>
      <c r="K138" s="60" t="str">
        <f>_xlfn.IFNA(
INDEX('Community Areas'!E$2:E$78,MATCH($E138,'Community Areas'!$A$2:$A$78,0)),
"")</f>
        <v>NORTHWEST</v>
      </c>
      <c r="L138" s="17" t="e">
        <f>SUMIFS([1]ACSDT5Y2020.B08301_data_with_ov!AT$3:AT$1334,[1]ACSDT5Y2020.B08301_data_with_ov!$AS$3:$AS$1334,$B138)</f>
        <v>#VALUE!</v>
      </c>
      <c r="M138" s="17" t="e">
        <f>SUMIFS([1]ACSDT5Y2020.B08301_data_with_ov!AU$3:AU$1334,[1]ACSDT5Y2020.B08301_data_with_ov!$AS$3:$AS$1334,$B138)</f>
        <v>#VALUE!</v>
      </c>
      <c r="N138" s="17" t="e">
        <f>SUMIFS([1]ACSDT5Y2020.B08301_data_with_ov!AV$3:AV$1334,[1]ACSDT5Y2020.B08301_data_with_ov!$AS$3:$AS$1334,$B138)</f>
        <v>#VALUE!</v>
      </c>
      <c r="O138" s="17" t="e">
        <f>SUMIFS([1]ACSDT5Y2020.B08301_data_with_ov!AW$3:AW$1334,[1]ACSDT5Y2020.B08301_data_with_ov!$AS$3:$AS$1334,$B138)</f>
        <v>#VALUE!</v>
      </c>
      <c r="P138" s="17" t="e">
        <f>SUMIFS([1]ACSDT5Y2020.B08301_data_with_ov!AX$3:AX$1334,[1]ACSDT5Y2020.B08301_data_with_ov!$AS$3:$AS$1334,$B138)</f>
        <v>#VALUE!</v>
      </c>
      <c r="Q138" s="17" t="e">
        <f>SUMIFS([1]ACSDT5Y2020.B08301_data_with_ov!AY$3:AY$1334,[1]ACSDT5Y2020.B08301_data_with_ov!$AS$3:$AS$1334,$B138)</f>
        <v>#VALUE!</v>
      </c>
      <c r="R138" s="17" t="e">
        <f>SUMIFS([1]ACSDT5Y2020.B08301_data_with_ov!AZ$3:AZ$1334,[1]ACSDT5Y2020.B08301_data_with_ov!$AS$3:$AS$1334,$B138)</f>
        <v>#VALUE!</v>
      </c>
      <c r="S138" s="17" t="e">
        <f>SUMIFS([1]ACSDT5Y2020.B08301_data_with_ov!BA$3:BA$1334,[1]ACSDT5Y2020.B08301_data_with_ov!$AS$3:$AS$1334,$B138)</f>
        <v>#VALUE!</v>
      </c>
      <c r="T138" s="188">
        <v>0.1333029971831364</v>
      </c>
      <c r="U138" s="189" t="e">
        <f t="shared" si="11"/>
        <v>#VALUE!</v>
      </c>
      <c r="V138" s="188">
        <v>6.9321325367706535E-2</v>
      </c>
      <c r="W138" s="189" t="e">
        <f t="shared" si="8"/>
        <v>#VALUE!</v>
      </c>
      <c r="X138" s="188">
        <v>6.9321325367706535E-2</v>
      </c>
      <c r="Y138" s="189" t="e">
        <f t="shared" si="9"/>
        <v>#VALUE!</v>
      </c>
      <c r="Z138" s="188">
        <v>6.9321325367706535E-2</v>
      </c>
      <c r="AA138" s="189" t="e">
        <f t="shared" si="10"/>
        <v>#VALUE!</v>
      </c>
    </row>
    <row r="139" spans="1:27" x14ac:dyDescent="0.25">
      <c r="A139">
        <v>160602</v>
      </c>
      <c r="B139">
        <v>17031160602</v>
      </c>
      <c r="C139">
        <v>17031</v>
      </c>
      <c r="D139">
        <v>2010</v>
      </c>
      <c r="E139">
        <v>16</v>
      </c>
      <c r="F139">
        <v>5514412.1644967804</v>
      </c>
      <c r="G139" s="45">
        <v>0.1978023188022548</v>
      </c>
      <c r="H139" s="60" t="str">
        <f>_xlfn.IFNA(
INDEX('Community Areas'!B$2:B$78,MATCH($E139,'Community Areas'!$A$2:$A$78,0)),
"")</f>
        <v>IRVING PARK</v>
      </c>
      <c r="I139" s="63" t="str">
        <f>_xlfn.IFNA(
INDEX('Community Areas'!C$2:C$78,MATCH($E139,'Community Areas'!$A$2:$A$78,0)),
"")</f>
        <v>2-A</v>
      </c>
      <c r="J139" s="63">
        <f>_xlfn.IFNA(
INDEX('Community Areas'!D$2:D$78,MATCH($E139,'Community Areas'!$A$2:$A$78,0)),
"")</f>
        <v>2</v>
      </c>
      <c r="K139" s="60" t="str">
        <f>_xlfn.IFNA(
INDEX('Community Areas'!E$2:E$78,MATCH($E139,'Community Areas'!$A$2:$A$78,0)),
"")</f>
        <v>NORTHWEST</v>
      </c>
      <c r="L139" s="17" t="e">
        <f>SUMIFS([1]ACSDT5Y2020.B08301_data_with_ov!AT$3:AT$1334,[1]ACSDT5Y2020.B08301_data_with_ov!$AS$3:$AS$1334,$B139)</f>
        <v>#VALUE!</v>
      </c>
      <c r="M139" s="17" t="e">
        <f>SUMIFS([1]ACSDT5Y2020.B08301_data_with_ov!AU$3:AU$1334,[1]ACSDT5Y2020.B08301_data_with_ov!$AS$3:$AS$1334,$B139)</f>
        <v>#VALUE!</v>
      </c>
      <c r="N139" s="17" t="e">
        <f>SUMIFS([1]ACSDT5Y2020.B08301_data_with_ov!AV$3:AV$1334,[1]ACSDT5Y2020.B08301_data_with_ov!$AS$3:$AS$1334,$B139)</f>
        <v>#VALUE!</v>
      </c>
      <c r="O139" s="17" t="e">
        <f>SUMIFS([1]ACSDT5Y2020.B08301_data_with_ov!AW$3:AW$1334,[1]ACSDT5Y2020.B08301_data_with_ov!$AS$3:$AS$1334,$B139)</f>
        <v>#VALUE!</v>
      </c>
      <c r="P139" s="17" t="e">
        <f>SUMIFS([1]ACSDT5Y2020.B08301_data_with_ov!AX$3:AX$1334,[1]ACSDT5Y2020.B08301_data_with_ov!$AS$3:$AS$1334,$B139)</f>
        <v>#VALUE!</v>
      </c>
      <c r="Q139" s="17" t="e">
        <f>SUMIFS([1]ACSDT5Y2020.B08301_data_with_ov!AY$3:AY$1334,[1]ACSDT5Y2020.B08301_data_with_ov!$AS$3:$AS$1334,$B139)</f>
        <v>#VALUE!</v>
      </c>
      <c r="R139" s="17" t="e">
        <f>SUMIFS([1]ACSDT5Y2020.B08301_data_with_ov!AZ$3:AZ$1334,[1]ACSDT5Y2020.B08301_data_with_ov!$AS$3:$AS$1334,$B139)</f>
        <v>#VALUE!</v>
      </c>
      <c r="S139" s="17" t="e">
        <f>SUMIFS([1]ACSDT5Y2020.B08301_data_with_ov!BA$3:BA$1334,[1]ACSDT5Y2020.B08301_data_with_ov!$AS$3:$AS$1334,$B139)</f>
        <v>#VALUE!</v>
      </c>
      <c r="T139" s="188">
        <v>0.19780232118794192</v>
      </c>
      <c r="U139" s="189" t="e">
        <f t="shared" si="11"/>
        <v>#VALUE!</v>
      </c>
      <c r="V139" s="188">
        <v>0.19448295410845456</v>
      </c>
      <c r="W139" s="189" t="e">
        <f t="shared" si="8"/>
        <v>#VALUE!</v>
      </c>
      <c r="X139" s="188">
        <v>0.19448295410845456</v>
      </c>
      <c r="Y139" s="189" t="e">
        <f t="shared" si="9"/>
        <v>#VALUE!</v>
      </c>
      <c r="Z139" s="188">
        <v>0.19448295410845456</v>
      </c>
      <c r="AA139" s="189" t="e">
        <f t="shared" si="10"/>
        <v>#VALUE!</v>
      </c>
    </row>
    <row r="140" spans="1:27" x14ac:dyDescent="0.25">
      <c r="A140">
        <v>160601</v>
      </c>
      <c r="B140">
        <v>17031160601</v>
      </c>
      <c r="C140">
        <v>17031</v>
      </c>
      <c r="D140">
        <v>2010</v>
      </c>
      <c r="E140">
        <v>16</v>
      </c>
      <c r="F140">
        <v>4319984.7093799999</v>
      </c>
      <c r="G140" s="45">
        <v>0.15495812921042815</v>
      </c>
      <c r="H140" s="60" t="str">
        <f>_xlfn.IFNA(
INDEX('Community Areas'!B$2:B$78,MATCH($E140,'Community Areas'!$A$2:$A$78,0)),
"")</f>
        <v>IRVING PARK</v>
      </c>
      <c r="I140" s="63" t="str">
        <f>_xlfn.IFNA(
INDEX('Community Areas'!C$2:C$78,MATCH($E140,'Community Areas'!$A$2:$A$78,0)),
"")</f>
        <v>2-A</v>
      </c>
      <c r="J140" s="63">
        <f>_xlfn.IFNA(
INDEX('Community Areas'!D$2:D$78,MATCH($E140,'Community Areas'!$A$2:$A$78,0)),
"")</f>
        <v>2</v>
      </c>
      <c r="K140" s="60" t="str">
        <f>_xlfn.IFNA(
INDEX('Community Areas'!E$2:E$78,MATCH($E140,'Community Areas'!$A$2:$A$78,0)),
"")</f>
        <v>NORTHWEST</v>
      </c>
      <c r="L140" s="17" t="e">
        <f>SUMIFS([1]ACSDT5Y2020.B08301_data_with_ov!AT$3:AT$1334,[1]ACSDT5Y2020.B08301_data_with_ov!$AS$3:$AS$1334,$B140)</f>
        <v>#VALUE!</v>
      </c>
      <c r="M140" s="17" t="e">
        <f>SUMIFS([1]ACSDT5Y2020.B08301_data_with_ov!AU$3:AU$1334,[1]ACSDT5Y2020.B08301_data_with_ov!$AS$3:$AS$1334,$B140)</f>
        <v>#VALUE!</v>
      </c>
      <c r="N140" s="17" t="e">
        <f>SUMIFS([1]ACSDT5Y2020.B08301_data_with_ov!AV$3:AV$1334,[1]ACSDT5Y2020.B08301_data_with_ov!$AS$3:$AS$1334,$B140)</f>
        <v>#VALUE!</v>
      </c>
      <c r="O140" s="17" t="e">
        <f>SUMIFS([1]ACSDT5Y2020.B08301_data_with_ov!AW$3:AW$1334,[1]ACSDT5Y2020.B08301_data_with_ov!$AS$3:$AS$1334,$B140)</f>
        <v>#VALUE!</v>
      </c>
      <c r="P140" s="17" t="e">
        <f>SUMIFS([1]ACSDT5Y2020.B08301_data_with_ov!AX$3:AX$1334,[1]ACSDT5Y2020.B08301_data_with_ov!$AS$3:$AS$1334,$B140)</f>
        <v>#VALUE!</v>
      </c>
      <c r="Q140" s="17" t="e">
        <f>SUMIFS([1]ACSDT5Y2020.B08301_data_with_ov!AY$3:AY$1334,[1]ACSDT5Y2020.B08301_data_with_ov!$AS$3:$AS$1334,$B140)</f>
        <v>#VALUE!</v>
      </c>
      <c r="R140" s="17" t="e">
        <f>SUMIFS([1]ACSDT5Y2020.B08301_data_with_ov!AZ$3:AZ$1334,[1]ACSDT5Y2020.B08301_data_with_ov!$AS$3:$AS$1334,$B140)</f>
        <v>#VALUE!</v>
      </c>
      <c r="S140" s="17" t="e">
        <f>SUMIFS([1]ACSDT5Y2020.B08301_data_with_ov!BA$3:BA$1334,[1]ACSDT5Y2020.B08301_data_with_ov!$AS$3:$AS$1334,$B140)</f>
        <v>#VALUE!</v>
      </c>
      <c r="T140" s="188">
        <v>0.15495812527206765</v>
      </c>
      <c r="U140" s="189" t="e">
        <f t="shared" si="11"/>
        <v>#VALUE!</v>
      </c>
      <c r="V140" s="188">
        <v>0.15280088700784406</v>
      </c>
      <c r="W140" s="189" t="e">
        <f t="shared" si="8"/>
        <v>#VALUE!</v>
      </c>
      <c r="X140" s="188">
        <v>0.15280088700784406</v>
      </c>
      <c r="Y140" s="189" t="e">
        <f t="shared" si="9"/>
        <v>#VALUE!</v>
      </c>
      <c r="Z140" s="188">
        <v>0.15280088700784406</v>
      </c>
      <c r="AA140" s="189" t="e">
        <f t="shared" si="10"/>
        <v>#VALUE!</v>
      </c>
    </row>
    <row r="141" spans="1:27" x14ac:dyDescent="0.25">
      <c r="A141">
        <v>160400</v>
      </c>
      <c r="B141">
        <v>17031160400</v>
      </c>
      <c r="C141">
        <v>17031</v>
      </c>
      <c r="D141">
        <v>2010</v>
      </c>
      <c r="E141">
        <v>16</v>
      </c>
      <c r="F141">
        <v>7086478.1444504298</v>
      </c>
      <c r="G141" s="45">
        <v>0.25419242655426533</v>
      </c>
      <c r="H141" s="60" t="str">
        <f>_xlfn.IFNA(
INDEX('Community Areas'!B$2:B$78,MATCH($E141,'Community Areas'!$A$2:$A$78,0)),
"")</f>
        <v>IRVING PARK</v>
      </c>
      <c r="I141" s="63" t="str">
        <f>_xlfn.IFNA(
INDEX('Community Areas'!C$2:C$78,MATCH($E141,'Community Areas'!$A$2:$A$78,0)),
"")</f>
        <v>2-A</v>
      </c>
      <c r="J141" s="63">
        <f>_xlfn.IFNA(
INDEX('Community Areas'!D$2:D$78,MATCH($E141,'Community Areas'!$A$2:$A$78,0)),
"")</f>
        <v>2</v>
      </c>
      <c r="K141" s="60" t="str">
        <f>_xlfn.IFNA(
INDEX('Community Areas'!E$2:E$78,MATCH($E141,'Community Areas'!$A$2:$A$78,0)),
"")</f>
        <v>NORTHWEST</v>
      </c>
      <c r="L141" s="17" t="e">
        <f>SUMIFS([1]ACSDT5Y2020.B08301_data_with_ov!AT$3:AT$1334,[1]ACSDT5Y2020.B08301_data_with_ov!$AS$3:$AS$1334,$B141)</f>
        <v>#VALUE!</v>
      </c>
      <c r="M141" s="17" t="e">
        <f>SUMIFS([1]ACSDT5Y2020.B08301_data_with_ov!AU$3:AU$1334,[1]ACSDT5Y2020.B08301_data_with_ov!$AS$3:$AS$1334,$B141)</f>
        <v>#VALUE!</v>
      </c>
      <c r="N141" s="17" t="e">
        <f>SUMIFS([1]ACSDT5Y2020.B08301_data_with_ov!AV$3:AV$1334,[1]ACSDT5Y2020.B08301_data_with_ov!$AS$3:$AS$1334,$B141)</f>
        <v>#VALUE!</v>
      </c>
      <c r="O141" s="17" t="e">
        <f>SUMIFS([1]ACSDT5Y2020.B08301_data_with_ov!AW$3:AW$1334,[1]ACSDT5Y2020.B08301_data_with_ov!$AS$3:$AS$1334,$B141)</f>
        <v>#VALUE!</v>
      </c>
      <c r="P141" s="17" t="e">
        <f>SUMIFS([1]ACSDT5Y2020.B08301_data_with_ov!AX$3:AX$1334,[1]ACSDT5Y2020.B08301_data_with_ov!$AS$3:$AS$1334,$B141)</f>
        <v>#VALUE!</v>
      </c>
      <c r="Q141" s="17" t="e">
        <f>SUMIFS([1]ACSDT5Y2020.B08301_data_with_ov!AY$3:AY$1334,[1]ACSDT5Y2020.B08301_data_with_ov!$AS$3:$AS$1334,$B141)</f>
        <v>#VALUE!</v>
      </c>
      <c r="R141" s="17" t="e">
        <f>SUMIFS([1]ACSDT5Y2020.B08301_data_with_ov!AZ$3:AZ$1334,[1]ACSDT5Y2020.B08301_data_with_ov!$AS$3:$AS$1334,$B141)</f>
        <v>#VALUE!</v>
      </c>
      <c r="S141" s="17" t="e">
        <f>SUMIFS([1]ACSDT5Y2020.B08301_data_with_ov!BA$3:BA$1334,[1]ACSDT5Y2020.B08301_data_with_ov!$AS$3:$AS$1334,$B141)</f>
        <v>#VALUE!</v>
      </c>
      <c r="T141" s="188">
        <v>0.25419242862688463</v>
      </c>
      <c r="U141" s="189" t="e">
        <f t="shared" si="11"/>
        <v>#VALUE!</v>
      </c>
      <c r="V141" s="188">
        <v>0.25419242862688463</v>
      </c>
      <c r="W141" s="189" t="e">
        <f t="shared" si="8"/>
        <v>#VALUE!</v>
      </c>
      <c r="X141" s="188">
        <v>0.25419242862688463</v>
      </c>
      <c r="Y141" s="189" t="e">
        <f t="shared" si="9"/>
        <v>#VALUE!</v>
      </c>
      <c r="Z141" s="188">
        <v>0.25419242862688463</v>
      </c>
      <c r="AA141" s="189" t="e">
        <f t="shared" si="10"/>
        <v>#VALUE!</v>
      </c>
    </row>
    <row r="142" spans="1:27" x14ac:dyDescent="0.25">
      <c r="A142">
        <v>160502</v>
      </c>
      <c r="B142">
        <v>17031160502</v>
      </c>
      <c r="C142">
        <v>17031</v>
      </c>
      <c r="D142">
        <v>2010</v>
      </c>
      <c r="E142">
        <v>16</v>
      </c>
      <c r="F142">
        <v>3346850.37175088</v>
      </c>
      <c r="G142" s="45">
        <v>0.1200517379674185</v>
      </c>
      <c r="H142" s="60" t="str">
        <f>_xlfn.IFNA(
INDEX('Community Areas'!B$2:B$78,MATCH($E142,'Community Areas'!$A$2:$A$78,0)),
"")</f>
        <v>IRVING PARK</v>
      </c>
      <c r="I142" s="63" t="str">
        <f>_xlfn.IFNA(
INDEX('Community Areas'!C$2:C$78,MATCH($E142,'Community Areas'!$A$2:$A$78,0)),
"")</f>
        <v>2-A</v>
      </c>
      <c r="J142" s="63">
        <f>_xlfn.IFNA(
INDEX('Community Areas'!D$2:D$78,MATCH($E142,'Community Areas'!$A$2:$A$78,0)),
"")</f>
        <v>2</v>
      </c>
      <c r="K142" s="60" t="str">
        <f>_xlfn.IFNA(
INDEX('Community Areas'!E$2:E$78,MATCH($E142,'Community Areas'!$A$2:$A$78,0)),
"")</f>
        <v>NORTHWEST</v>
      </c>
      <c r="L142" s="17" t="e">
        <f>SUMIFS([1]ACSDT5Y2020.B08301_data_with_ov!AT$3:AT$1334,[1]ACSDT5Y2020.B08301_data_with_ov!$AS$3:$AS$1334,$B142)</f>
        <v>#VALUE!</v>
      </c>
      <c r="M142" s="17" t="e">
        <f>SUMIFS([1]ACSDT5Y2020.B08301_data_with_ov!AU$3:AU$1334,[1]ACSDT5Y2020.B08301_data_with_ov!$AS$3:$AS$1334,$B142)</f>
        <v>#VALUE!</v>
      </c>
      <c r="N142" s="17" t="e">
        <f>SUMIFS([1]ACSDT5Y2020.B08301_data_with_ov!AV$3:AV$1334,[1]ACSDT5Y2020.B08301_data_with_ov!$AS$3:$AS$1334,$B142)</f>
        <v>#VALUE!</v>
      </c>
      <c r="O142" s="17" t="e">
        <f>SUMIFS([1]ACSDT5Y2020.B08301_data_with_ov!AW$3:AW$1334,[1]ACSDT5Y2020.B08301_data_with_ov!$AS$3:$AS$1334,$B142)</f>
        <v>#VALUE!</v>
      </c>
      <c r="P142" s="17" t="e">
        <f>SUMIFS([1]ACSDT5Y2020.B08301_data_with_ov!AX$3:AX$1334,[1]ACSDT5Y2020.B08301_data_with_ov!$AS$3:$AS$1334,$B142)</f>
        <v>#VALUE!</v>
      </c>
      <c r="Q142" s="17" t="e">
        <f>SUMIFS([1]ACSDT5Y2020.B08301_data_with_ov!AY$3:AY$1334,[1]ACSDT5Y2020.B08301_data_with_ov!$AS$3:$AS$1334,$B142)</f>
        <v>#VALUE!</v>
      </c>
      <c r="R142" s="17" t="e">
        <f>SUMIFS([1]ACSDT5Y2020.B08301_data_with_ov!AZ$3:AZ$1334,[1]ACSDT5Y2020.B08301_data_with_ov!$AS$3:$AS$1334,$B142)</f>
        <v>#VALUE!</v>
      </c>
      <c r="S142" s="17" t="e">
        <f>SUMIFS([1]ACSDT5Y2020.B08301_data_with_ov!BA$3:BA$1334,[1]ACSDT5Y2020.B08301_data_with_ov!$AS$3:$AS$1334,$B142)</f>
        <v>#VALUE!</v>
      </c>
      <c r="T142" s="188">
        <v>0.12005173389687643</v>
      </c>
      <c r="U142" s="189" t="e">
        <f t="shared" si="11"/>
        <v>#VALUE!</v>
      </c>
      <c r="V142" s="188">
        <v>0.11568231261965607</v>
      </c>
      <c r="W142" s="189" t="e">
        <f t="shared" si="8"/>
        <v>#VALUE!</v>
      </c>
      <c r="X142" s="188">
        <v>0.11568231261965607</v>
      </c>
      <c r="Y142" s="189" t="e">
        <f t="shared" si="9"/>
        <v>#VALUE!</v>
      </c>
      <c r="Z142" s="188">
        <v>0.11568231261965607</v>
      </c>
      <c r="AA142" s="189" t="e">
        <f t="shared" si="10"/>
        <v>#VALUE!</v>
      </c>
    </row>
    <row r="143" spans="1:27" x14ac:dyDescent="0.25">
      <c r="A143">
        <v>160700</v>
      </c>
      <c r="B143">
        <v>17031160700</v>
      </c>
      <c r="C143">
        <v>17031</v>
      </c>
      <c r="D143">
        <v>2010</v>
      </c>
      <c r="E143">
        <v>16</v>
      </c>
      <c r="F143">
        <v>8520763.4417107403</v>
      </c>
      <c r="G143" s="45">
        <v>0.30564033236163984</v>
      </c>
      <c r="H143" s="60" t="str">
        <f>_xlfn.IFNA(
INDEX('Community Areas'!B$2:B$78,MATCH($E143,'Community Areas'!$A$2:$A$78,0)),
"")</f>
        <v>IRVING PARK</v>
      </c>
      <c r="I143" s="63" t="str">
        <f>_xlfn.IFNA(
INDEX('Community Areas'!C$2:C$78,MATCH($E143,'Community Areas'!$A$2:$A$78,0)),
"")</f>
        <v>2-A</v>
      </c>
      <c r="J143" s="63">
        <f>_xlfn.IFNA(
INDEX('Community Areas'!D$2:D$78,MATCH($E143,'Community Areas'!$A$2:$A$78,0)),
"")</f>
        <v>2</v>
      </c>
      <c r="K143" s="60" t="str">
        <f>_xlfn.IFNA(
INDEX('Community Areas'!E$2:E$78,MATCH($E143,'Community Areas'!$A$2:$A$78,0)),
"")</f>
        <v>NORTHWEST</v>
      </c>
      <c r="L143" s="17" t="e">
        <f>SUMIFS([1]ACSDT5Y2020.B08301_data_with_ov!AT$3:AT$1334,[1]ACSDT5Y2020.B08301_data_with_ov!$AS$3:$AS$1334,$B143)</f>
        <v>#VALUE!</v>
      </c>
      <c r="M143" s="17" t="e">
        <f>SUMIFS([1]ACSDT5Y2020.B08301_data_with_ov!AU$3:AU$1334,[1]ACSDT5Y2020.B08301_data_with_ov!$AS$3:$AS$1334,$B143)</f>
        <v>#VALUE!</v>
      </c>
      <c r="N143" s="17" t="e">
        <f>SUMIFS([1]ACSDT5Y2020.B08301_data_with_ov!AV$3:AV$1334,[1]ACSDT5Y2020.B08301_data_with_ov!$AS$3:$AS$1334,$B143)</f>
        <v>#VALUE!</v>
      </c>
      <c r="O143" s="17" t="e">
        <f>SUMIFS([1]ACSDT5Y2020.B08301_data_with_ov!AW$3:AW$1334,[1]ACSDT5Y2020.B08301_data_with_ov!$AS$3:$AS$1334,$B143)</f>
        <v>#VALUE!</v>
      </c>
      <c r="P143" s="17" t="e">
        <f>SUMIFS([1]ACSDT5Y2020.B08301_data_with_ov!AX$3:AX$1334,[1]ACSDT5Y2020.B08301_data_with_ov!$AS$3:$AS$1334,$B143)</f>
        <v>#VALUE!</v>
      </c>
      <c r="Q143" s="17" t="e">
        <f>SUMIFS([1]ACSDT5Y2020.B08301_data_with_ov!AY$3:AY$1334,[1]ACSDT5Y2020.B08301_data_with_ov!$AS$3:$AS$1334,$B143)</f>
        <v>#VALUE!</v>
      </c>
      <c r="R143" s="17" t="e">
        <f>SUMIFS([1]ACSDT5Y2020.B08301_data_with_ov!AZ$3:AZ$1334,[1]ACSDT5Y2020.B08301_data_with_ov!$AS$3:$AS$1334,$B143)</f>
        <v>#VALUE!</v>
      </c>
      <c r="S143" s="17" t="e">
        <f>SUMIFS([1]ACSDT5Y2020.B08301_data_with_ov!BA$3:BA$1334,[1]ACSDT5Y2020.B08301_data_with_ov!$AS$3:$AS$1334,$B143)</f>
        <v>#VALUE!</v>
      </c>
      <c r="T143" s="188">
        <v>0.30564033617105646</v>
      </c>
      <c r="U143" s="189" t="e">
        <f t="shared" si="11"/>
        <v>#VALUE!</v>
      </c>
      <c r="V143" s="188">
        <v>0.30564033617105646</v>
      </c>
      <c r="W143" s="189" t="e">
        <f t="shared" si="8"/>
        <v>#VALUE!</v>
      </c>
      <c r="X143" s="188">
        <v>0.30564033617105646</v>
      </c>
      <c r="Y143" s="189" t="e">
        <f t="shared" si="9"/>
        <v>#VALUE!</v>
      </c>
      <c r="Z143" s="188">
        <v>0.30564033617105646</v>
      </c>
      <c r="AA143" s="189" t="e">
        <f t="shared" si="10"/>
        <v>#VALUE!</v>
      </c>
    </row>
    <row r="144" spans="1:27" x14ac:dyDescent="0.25">
      <c r="A144">
        <v>161000</v>
      </c>
      <c r="B144">
        <v>17031161000</v>
      </c>
      <c r="C144">
        <v>17031</v>
      </c>
      <c r="D144">
        <v>2010</v>
      </c>
      <c r="E144">
        <v>16</v>
      </c>
      <c r="F144">
        <v>4588196.6698553301</v>
      </c>
      <c r="G144" s="45">
        <v>0.16457890947311646</v>
      </c>
      <c r="H144" s="60" t="str">
        <f>_xlfn.IFNA(
INDEX('Community Areas'!B$2:B$78,MATCH($E144,'Community Areas'!$A$2:$A$78,0)),
"")</f>
        <v>IRVING PARK</v>
      </c>
      <c r="I144" s="63" t="str">
        <f>_xlfn.IFNA(
INDEX('Community Areas'!C$2:C$78,MATCH($E144,'Community Areas'!$A$2:$A$78,0)),
"")</f>
        <v>2-A</v>
      </c>
      <c r="J144" s="63">
        <f>_xlfn.IFNA(
INDEX('Community Areas'!D$2:D$78,MATCH($E144,'Community Areas'!$A$2:$A$78,0)),
"")</f>
        <v>2</v>
      </c>
      <c r="K144" s="60" t="str">
        <f>_xlfn.IFNA(
INDEX('Community Areas'!E$2:E$78,MATCH($E144,'Community Areas'!$A$2:$A$78,0)),
"")</f>
        <v>NORTHWEST</v>
      </c>
      <c r="L144" s="17" t="e">
        <f>SUMIFS([1]ACSDT5Y2020.B08301_data_with_ov!AT$3:AT$1334,[1]ACSDT5Y2020.B08301_data_with_ov!$AS$3:$AS$1334,$B144)</f>
        <v>#VALUE!</v>
      </c>
      <c r="M144" s="17" t="e">
        <f>SUMIFS([1]ACSDT5Y2020.B08301_data_with_ov!AU$3:AU$1334,[1]ACSDT5Y2020.B08301_data_with_ov!$AS$3:$AS$1334,$B144)</f>
        <v>#VALUE!</v>
      </c>
      <c r="N144" s="17" t="e">
        <f>SUMIFS([1]ACSDT5Y2020.B08301_data_with_ov!AV$3:AV$1334,[1]ACSDT5Y2020.B08301_data_with_ov!$AS$3:$AS$1334,$B144)</f>
        <v>#VALUE!</v>
      </c>
      <c r="O144" s="17" t="e">
        <f>SUMIFS([1]ACSDT5Y2020.B08301_data_with_ov!AW$3:AW$1334,[1]ACSDT5Y2020.B08301_data_with_ov!$AS$3:$AS$1334,$B144)</f>
        <v>#VALUE!</v>
      </c>
      <c r="P144" s="17" t="e">
        <f>SUMIFS([1]ACSDT5Y2020.B08301_data_with_ov!AX$3:AX$1334,[1]ACSDT5Y2020.B08301_data_with_ov!$AS$3:$AS$1334,$B144)</f>
        <v>#VALUE!</v>
      </c>
      <c r="Q144" s="17" t="e">
        <f>SUMIFS([1]ACSDT5Y2020.B08301_data_with_ov!AY$3:AY$1334,[1]ACSDT5Y2020.B08301_data_with_ov!$AS$3:$AS$1334,$B144)</f>
        <v>#VALUE!</v>
      </c>
      <c r="R144" s="17" t="e">
        <f>SUMIFS([1]ACSDT5Y2020.B08301_data_with_ov!AZ$3:AZ$1334,[1]ACSDT5Y2020.B08301_data_with_ov!$AS$3:$AS$1334,$B144)</f>
        <v>#VALUE!</v>
      </c>
      <c r="S144" s="17" t="e">
        <f>SUMIFS([1]ACSDT5Y2020.B08301_data_with_ov!BA$3:BA$1334,[1]ACSDT5Y2020.B08301_data_with_ov!$AS$3:$AS$1334,$B144)</f>
        <v>#VALUE!</v>
      </c>
      <c r="T144" s="188">
        <v>0.1645789118102603</v>
      </c>
      <c r="U144" s="189" t="e">
        <f t="shared" si="11"/>
        <v>#VALUE!</v>
      </c>
      <c r="V144" s="188">
        <v>0.1645789118102603</v>
      </c>
      <c r="W144" s="189" t="e">
        <f t="shared" si="8"/>
        <v>#VALUE!</v>
      </c>
      <c r="X144" s="188">
        <v>0.1645789118102603</v>
      </c>
      <c r="Y144" s="189" t="e">
        <f t="shared" si="9"/>
        <v>#VALUE!</v>
      </c>
      <c r="Z144" s="188">
        <v>0.1645789118102603</v>
      </c>
      <c r="AA144" s="189" t="e">
        <f t="shared" si="10"/>
        <v>#VALUE!</v>
      </c>
    </row>
    <row r="145" spans="1:27" x14ac:dyDescent="0.25">
      <c r="A145">
        <v>161200</v>
      </c>
      <c r="B145">
        <v>17031161200</v>
      </c>
      <c r="C145">
        <v>17031</v>
      </c>
      <c r="D145">
        <v>2010</v>
      </c>
      <c r="E145">
        <v>16</v>
      </c>
      <c r="F145">
        <v>5572129.7227632403</v>
      </c>
      <c r="G145" s="45">
        <v>0.19987265132730861</v>
      </c>
      <c r="H145" s="60" t="str">
        <f>_xlfn.IFNA(
INDEX('Community Areas'!B$2:B$78,MATCH($E145,'Community Areas'!$A$2:$A$78,0)),
"")</f>
        <v>IRVING PARK</v>
      </c>
      <c r="I145" s="63" t="str">
        <f>_xlfn.IFNA(
INDEX('Community Areas'!C$2:C$78,MATCH($E145,'Community Areas'!$A$2:$A$78,0)),
"")</f>
        <v>2-A</v>
      </c>
      <c r="J145" s="63">
        <f>_xlfn.IFNA(
INDEX('Community Areas'!D$2:D$78,MATCH($E145,'Community Areas'!$A$2:$A$78,0)),
"")</f>
        <v>2</v>
      </c>
      <c r="K145" s="60" t="str">
        <f>_xlfn.IFNA(
INDEX('Community Areas'!E$2:E$78,MATCH($E145,'Community Areas'!$A$2:$A$78,0)),
"")</f>
        <v>NORTHWEST</v>
      </c>
      <c r="L145" s="17" t="e">
        <f>SUMIFS([1]ACSDT5Y2020.B08301_data_with_ov!AT$3:AT$1334,[1]ACSDT5Y2020.B08301_data_with_ov!$AS$3:$AS$1334,$B145)</f>
        <v>#VALUE!</v>
      </c>
      <c r="M145" s="17" t="e">
        <f>SUMIFS([1]ACSDT5Y2020.B08301_data_with_ov!AU$3:AU$1334,[1]ACSDT5Y2020.B08301_data_with_ov!$AS$3:$AS$1334,$B145)</f>
        <v>#VALUE!</v>
      </c>
      <c r="N145" s="17" t="e">
        <f>SUMIFS([1]ACSDT5Y2020.B08301_data_with_ov!AV$3:AV$1334,[1]ACSDT5Y2020.B08301_data_with_ov!$AS$3:$AS$1334,$B145)</f>
        <v>#VALUE!</v>
      </c>
      <c r="O145" s="17" t="e">
        <f>SUMIFS([1]ACSDT5Y2020.B08301_data_with_ov!AW$3:AW$1334,[1]ACSDT5Y2020.B08301_data_with_ov!$AS$3:$AS$1334,$B145)</f>
        <v>#VALUE!</v>
      </c>
      <c r="P145" s="17" t="e">
        <f>SUMIFS([1]ACSDT5Y2020.B08301_data_with_ov!AX$3:AX$1334,[1]ACSDT5Y2020.B08301_data_with_ov!$AS$3:$AS$1334,$B145)</f>
        <v>#VALUE!</v>
      </c>
      <c r="Q145" s="17" t="e">
        <f>SUMIFS([1]ACSDT5Y2020.B08301_data_with_ov!AY$3:AY$1334,[1]ACSDT5Y2020.B08301_data_with_ov!$AS$3:$AS$1334,$B145)</f>
        <v>#VALUE!</v>
      </c>
      <c r="R145" s="17" t="e">
        <f>SUMIFS([1]ACSDT5Y2020.B08301_data_with_ov!AZ$3:AZ$1334,[1]ACSDT5Y2020.B08301_data_with_ov!$AS$3:$AS$1334,$B145)</f>
        <v>#VALUE!</v>
      </c>
      <c r="S145" s="17" t="e">
        <f>SUMIFS([1]ACSDT5Y2020.B08301_data_with_ov!BA$3:BA$1334,[1]ACSDT5Y2020.B08301_data_with_ov!$AS$3:$AS$1334,$B145)</f>
        <v>#VALUE!</v>
      </c>
      <c r="T145" s="188">
        <v>0.18291623676263485</v>
      </c>
      <c r="U145" s="189" t="e">
        <f t="shared" si="11"/>
        <v>#VALUE!</v>
      </c>
      <c r="V145" s="188">
        <v>0.18291623676263485</v>
      </c>
      <c r="W145" s="189" t="e">
        <f t="shared" si="8"/>
        <v>#VALUE!</v>
      </c>
      <c r="X145" s="188">
        <v>0.18291623676263485</v>
      </c>
      <c r="Y145" s="189" t="e">
        <f t="shared" si="9"/>
        <v>#VALUE!</v>
      </c>
      <c r="Z145" s="188">
        <v>0.18291623676263485</v>
      </c>
      <c r="AA145" s="189" t="e">
        <f t="shared" si="10"/>
        <v>#VALUE!</v>
      </c>
    </row>
    <row r="146" spans="1:27" x14ac:dyDescent="0.25">
      <c r="A146">
        <v>160900</v>
      </c>
      <c r="B146">
        <v>17031160900</v>
      </c>
      <c r="C146">
        <v>17031</v>
      </c>
      <c r="D146">
        <v>2010</v>
      </c>
      <c r="E146">
        <v>16</v>
      </c>
      <c r="F146">
        <v>7068154.6138654398</v>
      </c>
      <c r="G146" s="45">
        <v>0.25353516033436063</v>
      </c>
      <c r="H146" s="60" t="str">
        <f>_xlfn.IFNA(
INDEX('Community Areas'!B$2:B$78,MATCH($E146,'Community Areas'!$A$2:$A$78,0)),
"")</f>
        <v>IRVING PARK</v>
      </c>
      <c r="I146" s="63" t="str">
        <f>_xlfn.IFNA(
INDEX('Community Areas'!C$2:C$78,MATCH($E146,'Community Areas'!$A$2:$A$78,0)),
"")</f>
        <v>2-A</v>
      </c>
      <c r="J146" s="63">
        <f>_xlfn.IFNA(
INDEX('Community Areas'!D$2:D$78,MATCH($E146,'Community Areas'!$A$2:$A$78,0)),
"")</f>
        <v>2</v>
      </c>
      <c r="K146" s="60" t="str">
        <f>_xlfn.IFNA(
INDEX('Community Areas'!E$2:E$78,MATCH($E146,'Community Areas'!$A$2:$A$78,0)),
"")</f>
        <v>NORTHWEST</v>
      </c>
      <c r="L146" s="17" t="e">
        <f>SUMIFS([1]ACSDT5Y2020.B08301_data_with_ov!AT$3:AT$1334,[1]ACSDT5Y2020.B08301_data_with_ov!$AS$3:$AS$1334,$B146)</f>
        <v>#VALUE!</v>
      </c>
      <c r="M146" s="17" t="e">
        <f>SUMIFS([1]ACSDT5Y2020.B08301_data_with_ov!AU$3:AU$1334,[1]ACSDT5Y2020.B08301_data_with_ov!$AS$3:$AS$1334,$B146)</f>
        <v>#VALUE!</v>
      </c>
      <c r="N146" s="17" t="e">
        <f>SUMIFS([1]ACSDT5Y2020.B08301_data_with_ov!AV$3:AV$1334,[1]ACSDT5Y2020.B08301_data_with_ov!$AS$3:$AS$1334,$B146)</f>
        <v>#VALUE!</v>
      </c>
      <c r="O146" s="17" t="e">
        <f>SUMIFS([1]ACSDT5Y2020.B08301_data_with_ov!AW$3:AW$1334,[1]ACSDT5Y2020.B08301_data_with_ov!$AS$3:$AS$1334,$B146)</f>
        <v>#VALUE!</v>
      </c>
      <c r="P146" s="17" t="e">
        <f>SUMIFS([1]ACSDT5Y2020.B08301_data_with_ov!AX$3:AX$1334,[1]ACSDT5Y2020.B08301_data_with_ov!$AS$3:$AS$1334,$B146)</f>
        <v>#VALUE!</v>
      </c>
      <c r="Q146" s="17" t="e">
        <f>SUMIFS([1]ACSDT5Y2020.B08301_data_with_ov!AY$3:AY$1334,[1]ACSDT5Y2020.B08301_data_with_ov!$AS$3:$AS$1334,$B146)</f>
        <v>#VALUE!</v>
      </c>
      <c r="R146" s="17" t="e">
        <f>SUMIFS([1]ACSDT5Y2020.B08301_data_with_ov!AZ$3:AZ$1334,[1]ACSDT5Y2020.B08301_data_with_ov!$AS$3:$AS$1334,$B146)</f>
        <v>#VALUE!</v>
      </c>
      <c r="S146" s="17" t="e">
        <f>SUMIFS([1]ACSDT5Y2020.B08301_data_with_ov!BA$3:BA$1334,[1]ACSDT5Y2020.B08301_data_with_ov!$AS$3:$AS$1334,$B146)</f>
        <v>#VALUE!</v>
      </c>
      <c r="T146" s="188">
        <v>0.24053327441916503</v>
      </c>
      <c r="U146" s="189" t="e">
        <f t="shared" si="11"/>
        <v>#VALUE!</v>
      </c>
      <c r="V146" s="188">
        <v>0.24053327441916503</v>
      </c>
      <c r="W146" s="189" t="e">
        <f t="shared" si="8"/>
        <v>#VALUE!</v>
      </c>
      <c r="X146" s="188">
        <v>0.24053327441916503</v>
      </c>
      <c r="Y146" s="189" t="e">
        <f t="shared" si="9"/>
        <v>#VALUE!</v>
      </c>
      <c r="Z146" s="188">
        <v>0.24053327441916503</v>
      </c>
      <c r="AA146" s="189" t="e">
        <f t="shared" si="10"/>
        <v>#VALUE!</v>
      </c>
    </row>
    <row r="147" spans="1:27" x14ac:dyDescent="0.25">
      <c r="A147">
        <v>170500</v>
      </c>
      <c r="B147">
        <v>17031170500</v>
      </c>
      <c r="C147">
        <v>17031</v>
      </c>
      <c r="D147">
        <v>2010</v>
      </c>
      <c r="E147">
        <v>17</v>
      </c>
      <c r="F147">
        <v>16497545.6732627</v>
      </c>
      <c r="G147" s="45">
        <v>0.59176802374823168</v>
      </c>
      <c r="H147" s="60" t="str">
        <f>_xlfn.IFNA(
INDEX('Community Areas'!B$2:B$78,MATCH($E147,'Community Areas'!$A$2:$A$78,0)),
"")</f>
        <v>DUNNING</v>
      </c>
      <c r="I147" s="63" t="str">
        <f>_xlfn.IFNA(
INDEX('Community Areas'!C$2:C$78,MATCH($E147,'Community Areas'!$A$2:$A$78,0)),
"")</f>
        <v>2-C</v>
      </c>
      <c r="J147" s="63">
        <f>_xlfn.IFNA(
INDEX('Community Areas'!D$2:D$78,MATCH($E147,'Community Areas'!$A$2:$A$78,0)),
"")</f>
        <v>2</v>
      </c>
      <c r="K147" s="60" t="str">
        <f>_xlfn.IFNA(
INDEX('Community Areas'!E$2:E$78,MATCH($E147,'Community Areas'!$A$2:$A$78,0)),
"")</f>
        <v>NORTHWEST</v>
      </c>
      <c r="L147" s="17" t="e">
        <f>SUMIFS([1]ACSDT5Y2020.B08301_data_with_ov!AT$3:AT$1334,[1]ACSDT5Y2020.B08301_data_with_ov!$AS$3:$AS$1334,$B147)</f>
        <v>#VALUE!</v>
      </c>
      <c r="M147" s="17" t="e">
        <f>SUMIFS([1]ACSDT5Y2020.B08301_data_with_ov!AU$3:AU$1334,[1]ACSDT5Y2020.B08301_data_with_ov!$AS$3:$AS$1334,$B147)</f>
        <v>#VALUE!</v>
      </c>
      <c r="N147" s="17" t="e">
        <f>SUMIFS([1]ACSDT5Y2020.B08301_data_with_ov!AV$3:AV$1334,[1]ACSDT5Y2020.B08301_data_with_ov!$AS$3:$AS$1334,$B147)</f>
        <v>#VALUE!</v>
      </c>
      <c r="O147" s="17" t="e">
        <f>SUMIFS([1]ACSDT5Y2020.B08301_data_with_ov!AW$3:AW$1334,[1]ACSDT5Y2020.B08301_data_with_ov!$AS$3:$AS$1334,$B147)</f>
        <v>#VALUE!</v>
      </c>
      <c r="P147" s="17" t="e">
        <f>SUMIFS([1]ACSDT5Y2020.B08301_data_with_ov!AX$3:AX$1334,[1]ACSDT5Y2020.B08301_data_with_ov!$AS$3:$AS$1334,$B147)</f>
        <v>#VALUE!</v>
      </c>
      <c r="Q147" s="17" t="e">
        <f>SUMIFS([1]ACSDT5Y2020.B08301_data_with_ov!AY$3:AY$1334,[1]ACSDT5Y2020.B08301_data_with_ov!$AS$3:$AS$1334,$B147)</f>
        <v>#VALUE!</v>
      </c>
      <c r="R147" s="17" t="e">
        <f>SUMIFS([1]ACSDT5Y2020.B08301_data_with_ov!AZ$3:AZ$1334,[1]ACSDT5Y2020.B08301_data_with_ov!$AS$3:$AS$1334,$B147)</f>
        <v>#VALUE!</v>
      </c>
      <c r="S147" s="17" t="e">
        <f>SUMIFS([1]ACSDT5Y2020.B08301_data_with_ov!BA$3:BA$1334,[1]ACSDT5Y2020.B08301_data_with_ov!$AS$3:$AS$1334,$B147)</f>
        <v>#VALUE!</v>
      </c>
      <c r="T147" s="188">
        <v>0</v>
      </c>
      <c r="U147" s="189" t="e">
        <f t="shared" si="11"/>
        <v>#VALUE!</v>
      </c>
      <c r="V147" s="188">
        <v>0</v>
      </c>
      <c r="W147" s="189" t="e">
        <f t="shared" si="8"/>
        <v>#VALUE!</v>
      </c>
      <c r="X147" s="188">
        <v>0</v>
      </c>
      <c r="Y147" s="189" t="e">
        <f t="shared" si="9"/>
        <v>#VALUE!</v>
      </c>
      <c r="Z147" s="188">
        <v>0</v>
      </c>
      <c r="AA147" s="189" t="e">
        <f t="shared" si="10"/>
        <v>#VALUE!</v>
      </c>
    </row>
    <row r="148" spans="1:27" x14ac:dyDescent="0.25">
      <c r="A148">
        <v>170800</v>
      </c>
      <c r="B148">
        <v>17031170800</v>
      </c>
      <c r="C148">
        <v>17031</v>
      </c>
      <c r="D148">
        <v>2010</v>
      </c>
      <c r="E148">
        <v>17</v>
      </c>
      <c r="F148">
        <v>7861719.8341017999</v>
      </c>
      <c r="G148" s="45">
        <v>0.28200039579394082</v>
      </c>
      <c r="H148" s="60" t="str">
        <f>_xlfn.IFNA(
INDEX('Community Areas'!B$2:B$78,MATCH($E148,'Community Areas'!$A$2:$A$78,0)),
"")</f>
        <v>DUNNING</v>
      </c>
      <c r="I148" s="63" t="str">
        <f>_xlfn.IFNA(
INDEX('Community Areas'!C$2:C$78,MATCH($E148,'Community Areas'!$A$2:$A$78,0)),
"")</f>
        <v>2-C</v>
      </c>
      <c r="J148" s="63">
        <f>_xlfn.IFNA(
INDEX('Community Areas'!D$2:D$78,MATCH($E148,'Community Areas'!$A$2:$A$78,0)),
"")</f>
        <v>2</v>
      </c>
      <c r="K148" s="60" t="str">
        <f>_xlfn.IFNA(
INDEX('Community Areas'!E$2:E$78,MATCH($E148,'Community Areas'!$A$2:$A$78,0)),
"")</f>
        <v>NORTHWEST</v>
      </c>
      <c r="L148" s="17" t="e">
        <f>SUMIFS([1]ACSDT5Y2020.B08301_data_with_ov!AT$3:AT$1334,[1]ACSDT5Y2020.B08301_data_with_ov!$AS$3:$AS$1334,$B148)</f>
        <v>#VALUE!</v>
      </c>
      <c r="M148" s="17" t="e">
        <f>SUMIFS([1]ACSDT5Y2020.B08301_data_with_ov!AU$3:AU$1334,[1]ACSDT5Y2020.B08301_data_with_ov!$AS$3:$AS$1334,$B148)</f>
        <v>#VALUE!</v>
      </c>
      <c r="N148" s="17" t="e">
        <f>SUMIFS([1]ACSDT5Y2020.B08301_data_with_ov!AV$3:AV$1334,[1]ACSDT5Y2020.B08301_data_with_ov!$AS$3:$AS$1334,$B148)</f>
        <v>#VALUE!</v>
      </c>
      <c r="O148" s="17" t="e">
        <f>SUMIFS([1]ACSDT5Y2020.B08301_data_with_ov!AW$3:AW$1334,[1]ACSDT5Y2020.B08301_data_with_ov!$AS$3:$AS$1334,$B148)</f>
        <v>#VALUE!</v>
      </c>
      <c r="P148" s="17" t="e">
        <f>SUMIFS([1]ACSDT5Y2020.B08301_data_with_ov!AX$3:AX$1334,[1]ACSDT5Y2020.B08301_data_with_ov!$AS$3:$AS$1334,$B148)</f>
        <v>#VALUE!</v>
      </c>
      <c r="Q148" s="17" t="e">
        <f>SUMIFS([1]ACSDT5Y2020.B08301_data_with_ov!AY$3:AY$1334,[1]ACSDT5Y2020.B08301_data_with_ov!$AS$3:$AS$1334,$B148)</f>
        <v>#VALUE!</v>
      </c>
      <c r="R148" s="17" t="e">
        <f>SUMIFS([1]ACSDT5Y2020.B08301_data_with_ov!AZ$3:AZ$1334,[1]ACSDT5Y2020.B08301_data_with_ov!$AS$3:$AS$1334,$B148)</f>
        <v>#VALUE!</v>
      </c>
      <c r="S148" s="17" t="e">
        <f>SUMIFS([1]ACSDT5Y2020.B08301_data_with_ov!BA$3:BA$1334,[1]ACSDT5Y2020.B08301_data_with_ov!$AS$3:$AS$1334,$B148)</f>
        <v>#VALUE!</v>
      </c>
      <c r="T148" s="188">
        <v>0</v>
      </c>
      <c r="U148" s="189" t="e">
        <f t="shared" si="11"/>
        <v>#VALUE!</v>
      </c>
      <c r="V148" s="188">
        <v>0</v>
      </c>
      <c r="W148" s="189" t="e">
        <f t="shared" si="8"/>
        <v>#VALUE!</v>
      </c>
      <c r="X148" s="188">
        <v>0</v>
      </c>
      <c r="Y148" s="189" t="e">
        <f t="shared" si="9"/>
        <v>#VALUE!</v>
      </c>
      <c r="Z148" s="188">
        <v>0</v>
      </c>
      <c r="AA148" s="189" t="e">
        <f t="shared" si="10"/>
        <v>#VALUE!</v>
      </c>
    </row>
    <row r="149" spans="1:27" x14ac:dyDescent="0.25">
      <c r="A149">
        <v>171100</v>
      </c>
      <c r="B149">
        <v>17031171100</v>
      </c>
      <c r="C149">
        <v>17031</v>
      </c>
      <c r="D149">
        <v>2010</v>
      </c>
      <c r="E149">
        <v>17</v>
      </c>
      <c r="F149">
        <v>7170076.4718023399</v>
      </c>
      <c r="G149" s="45">
        <v>0.25719110393000816</v>
      </c>
      <c r="H149" s="60" t="str">
        <f>_xlfn.IFNA(
INDEX('Community Areas'!B$2:B$78,MATCH($E149,'Community Areas'!$A$2:$A$78,0)),
"")</f>
        <v>DUNNING</v>
      </c>
      <c r="I149" s="63" t="str">
        <f>_xlfn.IFNA(
INDEX('Community Areas'!C$2:C$78,MATCH($E149,'Community Areas'!$A$2:$A$78,0)),
"")</f>
        <v>2-C</v>
      </c>
      <c r="J149" s="63">
        <f>_xlfn.IFNA(
INDEX('Community Areas'!D$2:D$78,MATCH($E149,'Community Areas'!$A$2:$A$78,0)),
"")</f>
        <v>2</v>
      </c>
      <c r="K149" s="60" t="str">
        <f>_xlfn.IFNA(
INDEX('Community Areas'!E$2:E$78,MATCH($E149,'Community Areas'!$A$2:$A$78,0)),
"")</f>
        <v>NORTHWEST</v>
      </c>
      <c r="L149" s="17" t="e">
        <f>SUMIFS([1]ACSDT5Y2020.B08301_data_with_ov!AT$3:AT$1334,[1]ACSDT5Y2020.B08301_data_with_ov!$AS$3:$AS$1334,$B149)</f>
        <v>#VALUE!</v>
      </c>
      <c r="M149" s="17" t="e">
        <f>SUMIFS([1]ACSDT5Y2020.B08301_data_with_ov!AU$3:AU$1334,[1]ACSDT5Y2020.B08301_data_with_ov!$AS$3:$AS$1334,$B149)</f>
        <v>#VALUE!</v>
      </c>
      <c r="N149" s="17" t="e">
        <f>SUMIFS([1]ACSDT5Y2020.B08301_data_with_ov!AV$3:AV$1334,[1]ACSDT5Y2020.B08301_data_with_ov!$AS$3:$AS$1334,$B149)</f>
        <v>#VALUE!</v>
      </c>
      <c r="O149" s="17" t="e">
        <f>SUMIFS([1]ACSDT5Y2020.B08301_data_with_ov!AW$3:AW$1334,[1]ACSDT5Y2020.B08301_data_with_ov!$AS$3:$AS$1334,$B149)</f>
        <v>#VALUE!</v>
      </c>
      <c r="P149" s="17" t="e">
        <f>SUMIFS([1]ACSDT5Y2020.B08301_data_with_ov!AX$3:AX$1334,[1]ACSDT5Y2020.B08301_data_with_ov!$AS$3:$AS$1334,$B149)</f>
        <v>#VALUE!</v>
      </c>
      <c r="Q149" s="17" t="e">
        <f>SUMIFS([1]ACSDT5Y2020.B08301_data_with_ov!AY$3:AY$1334,[1]ACSDT5Y2020.B08301_data_with_ov!$AS$3:$AS$1334,$B149)</f>
        <v>#VALUE!</v>
      </c>
      <c r="R149" s="17" t="e">
        <f>SUMIFS([1]ACSDT5Y2020.B08301_data_with_ov!AZ$3:AZ$1334,[1]ACSDT5Y2020.B08301_data_with_ov!$AS$3:$AS$1334,$B149)</f>
        <v>#VALUE!</v>
      </c>
      <c r="S149" s="17" t="e">
        <f>SUMIFS([1]ACSDT5Y2020.B08301_data_with_ov!BA$3:BA$1334,[1]ACSDT5Y2020.B08301_data_with_ov!$AS$3:$AS$1334,$B149)</f>
        <v>#VALUE!</v>
      </c>
      <c r="T149" s="188">
        <v>0.25356751071503925</v>
      </c>
      <c r="U149" s="189" t="e">
        <f t="shared" si="11"/>
        <v>#VALUE!</v>
      </c>
      <c r="V149" s="188">
        <v>0.19586173838991872</v>
      </c>
      <c r="W149" s="189" t="e">
        <f t="shared" si="8"/>
        <v>#VALUE!</v>
      </c>
      <c r="X149" s="188">
        <v>0.19586173838991872</v>
      </c>
      <c r="Y149" s="189" t="e">
        <f t="shared" si="9"/>
        <v>#VALUE!</v>
      </c>
      <c r="Z149" s="188">
        <v>0.19586173838991872</v>
      </c>
      <c r="AA149" s="189" t="e">
        <f t="shared" si="10"/>
        <v>#VALUE!</v>
      </c>
    </row>
    <row r="150" spans="1:27" x14ac:dyDescent="0.25">
      <c r="A150">
        <v>170300</v>
      </c>
      <c r="B150">
        <v>17031170300</v>
      </c>
      <c r="C150">
        <v>17031</v>
      </c>
      <c r="D150">
        <v>2010</v>
      </c>
      <c r="E150">
        <v>17</v>
      </c>
      <c r="F150">
        <v>15057898.628687801</v>
      </c>
      <c r="G150" s="45">
        <v>0.54012779172003422</v>
      </c>
      <c r="H150" s="60" t="str">
        <f>_xlfn.IFNA(
INDEX('Community Areas'!B$2:B$78,MATCH($E150,'Community Areas'!$A$2:$A$78,0)),
"")</f>
        <v>DUNNING</v>
      </c>
      <c r="I150" s="63" t="str">
        <f>_xlfn.IFNA(
INDEX('Community Areas'!C$2:C$78,MATCH($E150,'Community Areas'!$A$2:$A$78,0)),
"")</f>
        <v>2-C</v>
      </c>
      <c r="J150" s="63">
        <f>_xlfn.IFNA(
INDEX('Community Areas'!D$2:D$78,MATCH($E150,'Community Areas'!$A$2:$A$78,0)),
"")</f>
        <v>2</v>
      </c>
      <c r="K150" s="60" t="str">
        <f>_xlfn.IFNA(
INDEX('Community Areas'!E$2:E$78,MATCH($E150,'Community Areas'!$A$2:$A$78,0)),
"")</f>
        <v>NORTHWEST</v>
      </c>
      <c r="L150" s="17" t="e">
        <f>SUMIFS([1]ACSDT5Y2020.B08301_data_with_ov!AT$3:AT$1334,[1]ACSDT5Y2020.B08301_data_with_ov!$AS$3:$AS$1334,$B150)</f>
        <v>#VALUE!</v>
      </c>
      <c r="M150" s="17" t="e">
        <f>SUMIFS([1]ACSDT5Y2020.B08301_data_with_ov!AU$3:AU$1334,[1]ACSDT5Y2020.B08301_data_with_ov!$AS$3:$AS$1334,$B150)</f>
        <v>#VALUE!</v>
      </c>
      <c r="N150" s="17" t="e">
        <f>SUMIFS([1]ACSDT5Y2020.B08301_data_with_ov!AV$3:AV$1334,[1]ACSDT5Y2020.B08301_data_with_ov!$AS$3:$AS$1334,$B150)</f>
        <v>#VALUE!</v>
      </c>
      <c r="O150" s="17" t="e">
        <f>SUMIFS([1]ACSDT5Y2020.B08301_data_with_ov!AW$3:AW$1334,[1]ACSDT5Y2020.B08301_data_with_ov!$AS$3:$AS$1334,$B150)</f>
        <v>#VALUE!</v>
      </c>
      <c r="P150" s="17" t="e">
        <f>SUMIFS([1]ACSDT5Y2020.B08301_data_with_ov!AX$3:AX$1334,[1]ACSDT5Y2020.B08301_data_with_ov!$AS$3:$AS$1334,$B150)</f>
        <v>#VALUE!</v>
      </c>
      <c r="Q150" s="17" t="e">
        <f>SUMIFS([1]ACSDT5Y2020.B08301_data_with_ov!AY$3:AY$1334,[1]ACSDT5Y2020.B08301_data_with_ov!$AS$3:$AS$1334,$B150)</f>
        <v>#VALUE!</v>
      </c>
      <c r="R150" s="17" t="e">
        <f>SUMIFS([1]ACSDT5Y2020.B08301_data_with_ov!AZ$3:AZ$1334,[1]ACSDT5Y2020.B08301_data_with_ov!$AS$3:$AS$1334,$B150)</f>
        <v>#VALUE!</v>
      </c>
      <c r="S150" s="17" t="e">
        <f>SUMIFS([1]ACSDT5Y2020.B08301_data_with_ov!BA$3:BA$1334,[1]ACSDT5Y2020.B08301_data_with_ov!$AS$3:$AS$1334,$B150)</f>
        <v>#VALUE!</v>
      </c>
      <c r="T150" s="188">
        <v>0.45133204278409811</v>
      </c>
      <c r="U150" s="189" t="e">
        <f t="shared" si="11"/>
        <v>#VALUE!</v>
      </c>
      <c r="V150" s="188">
        <v>0.45132824708684499</v>
      </c>
      <c r="W150" s="189" t="e">
        <f t="shared" si="8"/>
        <v>#VALUE!</v>
      </c>
      <c r="X150" s="188">
        <v>0.45132824708684499</v>
      </c>
      <c r="Y150" s="189" t="e">
        <f t="shared" si="9"/>
        <v>#VALUE!</v>
      </c>
      <c r="Z150" s="188">
        <v>0.45132824708684499</v>
      </c>
      <c r="AA150" s="189" t="e">
        <f t="shared" si="10"/>
        <v>#VALUE!</v>
      </c>
    </row>
    <row r="151" spans="1:27" x14ac:dyDescent="0.25">
      <c r="A151">
        <v>170900</v>
      </c>
      <c r="B151">
        <v>17031170900</v>
      </c>
      <c r="C151">
        <v>17031</v>
      </c>
      <c r="D151">
        <v>2010</v>
      </c>
      <c r="E151">
        <v>17</v>
      </c>
      <c r="F151">
        <v>3450673.2510998999</v>
      </c>
      <c r="G151" s="45">
        <v>0.12377587132331482</v>
      </c>
      <c r="H151" s="60" t="str">
        <f>_xlfn.IFNA(
INDEX('Community Areas'!B$2:B$78,MATCH($E151,'Community Areas'!$A$2:$A$78,0)),
"")</f>
        <v>DUNNING</v>
      </c>
      <c r="I151" s="63" t="str">
        <f>_xlfn.IFNA(
INDEX('Community Areas'!C$2:C$78,MATCH($E151,'Community Areas'!$A$2:$A$78,0)),
"")</f>
        <v>2-C</v>
      </c>
      <c r="J151" s="63">
        <f>_xlfn.IFNA(
INDEX('Community Areas'!D$2:D$78,MATCH($E151,'Community Areas'!$A$2:$A$78,0)),
"")</f>
        <v>2</v>
      </c>
      <c r="K151" s="60" t="str">
        <f>_xlfn.IFNA(
INDEX('Community Areas'!E$2:E$78,MATCH($E151,'Community Areas'!$A$2:$A$78,0)),
"")</f>
        <v>NORTHWEST</v>
      </c>
      <c r="L151" s="17" t="e">
        <f>SUMIFS([1]ACSDT5Y2020.B08301_data_with_ov!AT$3:AT$1334,[1]ACSDT5Y2020.B08301_data_with_ov!$AS$3:$AS$1334,$B151)</f>
        <v>#VALUE!</v>
      </c>
      <c r="M151" s="17" t="e">
        <f>SUMIFS([1]ACSDT5Y2020.B08301_data_with_ov!AU$3:AU$1334,[1]ACSDT5Y2020.B08301_data_with_ov!$AS$3:$AS$1334,$B151)</f>
        <v>#VALUE!</v>
      </c>
      <c r="N151" s="17" t="e">
        <f>SUMIFS([1]ACSDT5Y2020.B08301_data_with_ov!AV$3:AV$1334,[1]ACSDT5Y2020.B08301_data_with_ov!$AS$3:$AS$1334,$B151)</f>
        <v>#VALUE!</v>
      </c>
      <c r="O151" s="17" t="e">
        <f>SUMIFS([1]ACSDT5Y2020.B08301_data_with_ov!AW$3:AW$1334,[1]ACSDT5Y2020.B08301_data_with_ov!$AS$3:$AS$1334,$B151)</f>
        <v>#VALUE!</v>
      </c>
      <c r="P151" s="17" t="e">
        <f>SUMIFS([1]ACSDT5Y2020.B08301_data_with_ov!AX$3:AX$1334,[1]ACSDT5Y2020.B08301_data_with_ov!$AS$3:$AS$1334,$B151)</f>
        <v>#VALUE!</v>
      </c>
      <c r="Q151" s="17" t="e">
        <f>SUMIFS([1]ACSDT5Y2020.B08301_data_with_ov!AY$3:AY$1334,[1]ACSDT5Y2020.B08301_data_with_ov!$AS$3:$AS$1334,$B151)</f>
        <v>#VALUE!</v>
      </c>
      <c r="R151" s="17" t="e">
        <f>SUMIFS([1]ACSDT5Y2020.B08301_data_with_ov!AZ$3:AZ$1334,[1]ACSDT5Y2020.B08301_data_with_ov!$AS$3:$AS$1334,$B151)</f>
        <v>#VALUE!</v>
      </c>
      <c r="S151" s="17" t="e">
        <f>SUMIFS([1]ACSDT5Y2020.B08301_data_with_ov!BA$3:BA$1334,[1]ACSDT5Y2020.B08301_data_with_ov!$AS$3:$AS$1334,$B151)</f>
        <v>#VALUE!</v>
      </c>
      <c r="T151" s="188">
        <v>0</v>
      </c>
      <c r="U151" s="189" t="e">
        <f t="shared" si="11"/>
        <v>#VALUE!</v>
      </c>
      <c r="V151" s="188">
        <v>0</v>
      </c>
      <c r="W151" s="189" t="e">
        <f t="shared" si="8"/>
        <v>#VALUE!</v>
      </c>
      <c r="X151" s="188">
        <v>0</v>
      </c>
      <c r="Y151" s="189" t="e">
        <f t="shared" si="9"/>
        <v>#VALUE!</v>
      </c>
      <c r="Z151" s="188">
        <v>0</v>
      </c>
      <c r="AA151" s="189" t="e">
        <f t="shared" si="10"/>
        <v>#VALUE!</v>
      </c>
    </row>
    <row r="152" spans="1:27" x14ac:dyDescent="0.25">
      <c r="A152">
        <v>171000</v>
      </c>
      <c r="B152">
        <v>17031171000</v>
      </c>
      <c r="C152">
        <v>17031</v>
      </c>
      <c r="D152">
        <v>2010</v>
      </c>
      <c r="E152">
        <v>17</v>
      </c>
      <c r="F152">
        <v>14994089.654341299</v>
      </c>
      <c r="G152" s="45">
        <v>0.53783895970863815</v>
      </c>
      <c r="H152" s="60" t="str">
        <f>_xlfn.IFNA(
INDEX('Community Areas'!B$2:B$78,MATCH($E152,'Community Areas'!$A$2:$A$78,0)),
"")</f>
        <v>DUNNING</v>
      </c>
      <c r="I152" s="63" t="str">
        <f>_xlfn.IFNA(
INDEX('Community Areas'!C$2:C$78,MATCH($E152,'Community Areas'!$A$2:$A$78,0)),
"")</f>
        <v>2-C</v>
      </c>
      <c r="J152" s="63">
        <f>_xlfn.IFNA(
INDEX('Community Areas'!D$2:D$78,MATCH($E152,'Community Areas'!$A$2:$A$78,0)),
"")</f>
        <v>2</v>
      </c>
      <c r="K152" s="60" t="str">
        <f>_xlfn.IFNA(
INDEX('Community Areas'!E$2:E$78,MATCH($E152,'Community Areas'!$A$2:$A$78,0)),
"")</f>
        <v>NORTHWEST</v>
      </c>
      <c r="L152" s="17" t="e">
        <f>SUMIFS([1]ACSDT5Y2020.B08301_data_with_ov!AT$3:AT$1334,[1]ACSDT5Y2020.B08301_data_with_ov!$AS$3:$AS$1334,$B152)</f>
        <v>#VALUE!</v>
      </c>
      <c r="M152" s="17" t="e">
        <f>SUMIFS([1]ACSDT5Y2020.B08301_data_with_ov!AU$3:AU$1334,[1]ACSDT5Y2020.B08301_data_with_ov!$AS$3:$AS$1334,$B152)</f>
        <v>#VALUE!</v>
      </c>
      <c r="N152" s="17" t="e">
        <f>SUMIFS([1]ACSDT5Y2020.B08301_data_with_ov!AV$3:AV$1334,[1]ACSDT5Y2020.B08301_data_with_ov!$AS$3:$AS$1334,$B152)</f>
        <v>#VALUE!</v>
      </c>
      <c r="O152" s="17" t="e">
        <f>SUMIFS([1]ACSDT5Y2020.B08301_data_with_ov!AW$3:AW$1334,[1]ACSDT5Y2020.B08301_data_with_ov!$AS$3:$AS$1334,$B152)</f>
        <v>#VALUE!</v>
      </c>
      <c r="P152" s="17" t="e">
        <f>SUMIFS([1]ACSDT5Y2020.B08301_data_with_ov!AX$3:AX$1334,[1]ACSDT5Y2020.B08301_data_with_ov!$AS$3:$AS$1334,$B152)</f>
        <v>#VALUE!</v>
      </c>
      <c r="Q152" s="17" t="e">
        <f>SUMIFS([1]ACSDT5Y2020.B08301_data_with_ov!AY$3:AY$1334,[1]ACSDT5Y2020.B08301_data_with_ov!$AS$3:$AS$1334,$B152)</f>
        <v>#VALUE!</v>
      </c>
      <c r="R152" s="17" t="e">
        <f>SUMIFS([1]ACSDT5Y2020.B08301_data_with_ov!AZ$3:AZ$1334,[1]ACSDT5Y2020.B08301_data_with_ov!$AS$3:$AS$1334,$B152)</f>
        <v>#VALUE!</v>
      </c>
      <c r="S152" s="17" t="e">
        <f>SUMIFS([1]ACSDT5Y2020.B08301_data_with_ov!BA$3:BA$1334,[1]ACSDT5Y2020.B08301_data_with_ov!$AS$3:$AS$1334,$B152)</f>
        <v>#VALUE!</v>
      </c>
      <c r="T152" s="188">
        <v>0.25324915635572304</v>
      </c>
      <c r="U152" s="189" t="e">
        <f t="shared" si="11"/>
        <v>#VALUE!</v>
      </c>
      <c r="V152" s="188">
        <v>0.19556887976421602</v>
      </c>
      <c r="W152" s="189" t="e">
        <f t="shared" si="8"/>
        <v>#VALUE!</v>
      </c>
      <c r="X152" s="188">
        <v>0.19556887976421602</v>
      </c>
      <c r="Y152" s="189" t="e">
        <f t="shared" si="9"/>
        <v>#VALUE!</v>
      </c>
      <c r="Z152" s="188">
        <v>0.19556887976421602</v>
      </c>
      <c r="AA152" s="189" t="e">
        <f t="shared" si="10"/>
        <v>#VALUE!</v>
      </c>
    </row>
    <row r="153" spans="1:27" x14ac:dyDescent="0.25">
      <c r="A153">
        <v>170100</v>
      </c>
      <c r="B153">
        <v>17031170100</v>
      </c>
      <c r="C153">
        <v>17031</v>
      </c>
      <c r="D153">
        <v>2010</v>
      </c>
      <c r="E153">
        <v>17</v>
      </c>
      <c r="F153">
        <v>10918458.2059105</v>
      </c>
      <c r="G153" s="45">
        <v>0.39164579767527907</v>
      </c>
      <c r="H153" s="60" t="str">
        <f>_xlfn.IFNA(
INDEX('Community Areas'!B$2:B$78,MATCH($E153,'Community Areas'!$A$2:$A$78,0)),
"")</f>
        <v>DUNNING</v>
      </c>
      <c r="I153" s="63" t="str">
        <f>_xlfn.IFNA(
INDEX('Community Areas'!C$2:C$78,MATCH($E153,'Community Areas'!$A$2:$A$78,0)),
"")</f>
        <v>2-C</v>
      </c>
      <c r="J153" s="63">
        <f>_xlfn.IFNA(
INDEX('Community Areas'!D$2:D$78,MATCH($E153,'Community Areas'!$A$2:$A$78,0)),
"")</f>
        <v>2</v>
      </c>
      <c r="K153" s="60" t="str">
        <f>_xlfn.IFNA(
INDEX('Community Areas'!E$2:E$78,MATCH($E153,'Community Areas'!$A$2:$A$78,0)),
"")</f>
        <v>NORTHWEST</v>
      </c>
      <c r="L153" s="17" t="e">
        <f>SUMIFS([1]ACSDT5Y2020.B08301_data_with_ov!AT$3:AT$1334,[1]ACSDT5Y2020.B08301_data_with_ov!$AS$3:$AS$1334,$B153)</f>
        <v>#VALUE!</v>
      </c>
      <c r="M153" s="17" t="e">
        <f>SUMIFS([1]ACSDT5Y2020.B08301_data_with_ov!AU$3:AU$1334,[1]ACSDT5Y2020.B08301_data_with_ov!$AS$3:$AS$1334,$B153)</f>
        <v>#VALUE!</v>
      </c>
      <c r="N153" s="17" t="e">
        <f>SUMIFS([1]ACSDT5Y2020.B08301_data_with_ov!AV$3:AV$1334,[1]ACSDT5Y2020.B08301_data_with_ov!$AS$3:$AS$1334,$B153)</f>
        <v>#VALUE!</v>
      </c>
      <c r="O153" s="17" t="e">
        <f>SUMIFS([1]ACSDT5Y2020.B08301_data_with_ov!AW$3:AW$1334,[1]ACSDT5Y2020.B08301_data_with_ov!$AS$3:$AS$1334,$B153)</f>
        <v>#VALUE!</v>
      </c>
      <c r="P153" s="17" t="e">
        <f>SUMIFS([1]ACSDT5Y2020.B08301_data_with_ov!AX$3:AX$1334,[1]ACSDT5Y2020.B08301_data_with_ov!$AS$3:$AS$1334,$B153)</f>
        <v>#VALUE!</v>
      </c>
      <c r="Q153" s="17" t="e">
        <f>SUMIFS([1]ACSDT5Y2020.B08301_data_with_ov!AY$3:AY$1334,[1]ACSDT5Y2020.B08301_data_with_ov!$AS$3:$AS$1334,$B153)</f>
        <v>#VALUE!</v>
      </c>
      <c r="R153" s="17" t="e">
        <f>SUMIFS([1]ACSDT5Y2020.B08301_data_with_ov!AZ$3:AZ$1334,[1]ACSDT5Y2020.B08301_data_with_ov!$AS$3:$AS$1334,$B153)</f>
        <v>#VALUE!</v>
      </c>
      <c r="S153" s="17" t="e">
        <f>SUMIFS([1]ACSDT5Y2020.B08301_data_with_ov!BA$3:BA$1334,[1]ACSDT5Y2020.B08301_data_with_ov!$AS$3:$AS$1334,$B153)</f>
        <v>#VALUE!</v>
      </c>
      <c r="T153" s="188">
        <v>0.38678931395504762</v>
      </c>
      <c r="U153" s="189" t="e">
        <f t="shared" si="11"/>
        <v>#VALUE!</v>
      </c>
      <c r="V153" s="188">
        <v>0.37279338677622459</v>
      </c>
      <c r="W153" s="189" t="e">
        <f t="shared" si="8"/>
        <v>#VALUE!</v>
      </c>
      <c r="X153" s="188">
        <v>0.37279338677622459</v>
      </c>
      <c r="Y153" s="189" t="e">
        <f t="shared" si="9"/>
        <v>#VALUE!</v>
      </c>
      <c r="Z153" s="188">
        <v>0.37279338677622459</v>
      </c>
      <c r="AA153" s="189" t="e">
        <f t="shared" si="10"/>
        <v>#VALUE!</v>
      </c>
    </row>
    <row r="154" spans="1:27" x14ac:dyDescent="0.25">
      <c r="A154">
        <v>170200</v>
      </c>
      <c r="B154">
        <v>17031170200</v>
      </c>
      <c r="C154">
        <v>17031</v>
      </c>
      <c r="D154">
        <v>2010</v>
      </c>
      <c r="E154">
        <v>17</v>
      </c>
      <c r="F154">
        <v>7029100.8870379804</v>
      </c>
      <c r="G154" s="45">
        <v>0.25213430064271913</v>
      </c>
      <c r="H154" s="60" t="str">
        <f>_xlfn.IFNA(
INDEX('Community Areas'!B$2:B$78,MATCH($E154,'Community Areas'!$A$2:$A$78,0)),
"")</f>
        <v>DUNNING</v>
      </c>
      <c r="I154" s="63" t="str">
        <f>_xlfn.IFNA(
INDEX('Community Areas'!C$2:C$78,MATCH($E154,'Community Areas'!$A$2:$A$78,0)),
"")</f>
        <v>2-C</v>
      </c>
      <c r="J154" s="63">
        <f>_xlfn.IFNA(
INDEX('Community Areas'!D$2:D$78,MATCH($E154,'Community Areas'!$A$2:$A$78,0)),
"")</f>
        <v>2</v>
      </c>
      <c r="K154" s="60" t="str">
        <f>_xlfn.IFNA(
INDEX('Community Areas'!E$2:E$78,MATCH($E154,'Community Areas'!$A$2:$A$78,0)),
"")</f>
        <v>NORTHWEST</v>
      </c>
      <c r="L154" s="17" t="e">
        <f>SUMIFS([1]ACSDT5Y2020.B08301_data_with_ov!AT$3:AT$1334,[1]ACSDT5Y2020.B08301_data_with_ov!$AS$3:$AS$1334,$B154)</f>
        <v>#VALUE!</v>
      </c>
      <c r="M154" s="17" t="e">
        <f>SUMIFS([1]ACSDT5Y2020.B08301_data_with_ov!AU$3:AU$1334,[1]ACSDT5Y2020.B08301_data_with_ov!$AS$3:$AS$1334,$B154)</f>
        <v>#VALUE!</v>
      </c>
      <c r="N154" s="17" t="e">
        <f>SUMIFS([1]ACSDT5Y2020.B08301_data_with_ov!AV$3:AV$1334,[1]ACSDT5Y2020.B08301_data_with_ov!$AS$3:$AS$1334,$B154)</f>
        <v>#VALUE!</v>
      </c>
      <c r="O154" s="17" t="e">
        <f>SUMIFS([1]ACSDT5Y2020.B08301_data_with_ov!AW$3:AW$1334,[1]ACSDT5Y2020.B08301_data_with_ov!$AS$3:$AS$1334,$B154)</f>
        <v>#VALUE!</v>
      </c>
      <c r="P154" s="17" t="e">
        <f>SUMIFS([1]ACSDT5Y2020.B08301_data_with_ov!AX$3:AX$1334,[1]ACSDT5Y2020.B08301_data_with_ov!$AS$3:$AS$1334,$B154)</f>
        <v>#VALUE!</v>
      </c>
      <c r="Q154" s="17" t="e">
        <f>SUMIFS([1]ACSDT5Y2020.B08301_data_with_ov!AY$3:AY$1334,[1]ACSDT5Y2020.B08301_data_with_ov!$AS$3:$AS$1334,$B154)</f>
        <v>#VALUE!</v>
      </c>
      <c r="R154" s="17" t="e">
        <f>SUMIFS([1]ACSDT5Y2020.B08301_data_with_ov!AZ$3:AZ$1334,[1]ACSDT5Y2020.B08301_data_with_ov!$AS$3:$AS$1334,$B154)</f>
        <v>#VALUE!</v>
      </c>
      <c r="S154" s="17" t="e">
        <f>SUMIFS([1]ACSDT5Y2020.B08301_data_with_ov!BA$3:BA$1334,[1]ACSDT5Y2020.B08301_data_with_ov!$AS$3:$AS$1334,$B154)</f>
        <v>#VALUE!</v>
      </c>
      <c r="T154" s="188">
        <v>0.25067088010500099</v>
      </c>
      <c r="U154" s="189" t="e">
        <f t="shared" si="11"/>
        <v>#VALUE!</v>
      </c>
      <c r="V154" s="188">
        <v>0.2456253539823921</v>
      </c>
      <c r="W154" s="189" t="e">
        <f t="shared" si="8"/>
        <v>#VALUE!</v>
      </c>
      <c r="X154" s="188">
        <v>0.2456253539823921</v>
      </c>
      <c r="Y154" s="189" t="e">
        <f t="shared" si="9"/>
        <v>#VALUE!</v>
      </c>
      <c r="Z154" s="188">
        <v>0.2456253539823921</v>
      </c>
      <c r="AA154" s="189" t="e">
        <f t="shared" si="10"/>
        <v>#VALUE!</v>
      </c>
    </row>
    <row r="155" spans="1:27" x14ac:dyDescent="0.25">
      <c r="A155">
        <v>170600</v>
      </c>
      <c r="B155">
        <v>17031170600</v>
      </c>
      <c r="C155">
        <v>17031</v>
      </c>
      <c r="D155">
        <v>2010</v>
      </c>
      <c r="E155">
        <v>17</v>
      </c>
      <c r="F155">
        <v>6089395.6793593196</v>
      </c>
      <c r="G155" s="45">
        <v>0.21842701443982868</v>
      </c>
      <c r="H155" s="60" t="str">
        <f>_xlfn.IFNA(
INDEX('Community Areas'!B$2:B$78,MATCH($E155,'Community Areas'!$A$2:$A$78,0)),
"")</f>
        <v>DUNNING</v>
      </c>
      <c r="I155" s="63" t="str">
        <f>_xlfn.IFNA(
INDEX('Community Areas'!C$2:C$78,MATCH($E155,'Community Areas'!$A$2:$A$78,0)),
"")</f>
        <v>2-C</v>
      </c>
      <c r="J155" s="63">
        <f>_xlfn.IFNA(
INDEX('Community Areas'!D$2:D$78,MATCH($E155,'Community Areas'!$A$2:$A$78,0)),
"")</f>
        <v>2</v>
      </c>
      <c r="K155" s="60" t="str">
        <f>_xlfn.IFNA(
INDEX('Community Areas'!E$2:E$78,MATCH($E155,'Community Areas'!$A$2:$A$78,0)),
"")</f>
        <v>NORTHWEST</v>
      </c>
      <c r="L155" s="17" t="e">
        <f>SUMIFS([1]ACSDT5Y2020.B08301_data_with_ov!AT$3:AT$1334,[1]ACSDT5Y2020.B08301_data_with_ov!$AS$3:$AS$1334,$B155)</f>
        <v>#VALUE!</v>
      </c>
      <c r="M155" s="17" t="e">
        <f>SUMIFS([1]ACSDT5Y2020.B08301_data_with_ov!AU$3:AU$1334,[1]ACSDT5Y2020.B08301_data_with_ov!$AS$3:$AS$1334,$B155)</f>
        <v>#VALUE!</v>
      </c>
      <c r="N155" s="17" t="e">
        <f>SUMIFS([1]ACSDT5Y2020.B08301_data_with_ov!AV$3:AV$1334,[1]ACSDT5Y2020.B08301_data_with_ov!$AS$3:$AS$1334,$B155)</f>
        <v>#VALUE!</v>
      </c>
      <c r="O155" s="17" t="e">
        <f>SUMIFS([1]ACSDT5Y2020.B08301_data_with_ov!AW$3:AW$1334,[1]ACSDT5Y2020.B08301_data_with_ov!$AS$3:$AS$1334,$B155)</f>
        <v>#VALUE!</v>
      </c>
      <c r="P155" s="17" t="e">
        <f>SUMIFS([1]ACSDT5Y2020.B08301_data_with_ov!AX$3:AX$1334,[1]ACSDT5Y2020.B08301_data_with_ov!$AS$3:$AS$1334,$B155)</f>
        <v>#VALUE!</v>
      </c>
      <c r="Q155" s="17" t="e">
        <f>SUMIFS([1]ACSDT5Y2020.B08301_data_with_ov!AY$3:AY$1334,[1]ACSDT5Y2020.B08301_data_with_ov!$AS$3:$AS$1334,$B155)</f>
        <v>#VALUE!</v>
      </c>
      <c r="R155" s="17" t="e">
        <f>SUMIFS([1]ACSDT5Y2020.B08301_data_with_ov!AZ$3:AZ$1334,[1]ACSDT5Y2020.B08301_data_with_ov!$AS$3:$AS$1334,$B155)</f>
        <v>#VALUE!</v>
      </c>
      <c r="S155" s="17" t="e">
        <f>SUMIFS([1]ACSDT5Y2020.B08301_data_with_ov!BA$3:BA$1334,[1]ACSDT5Y2020.B08301_data_with_ov!$AS$3:$AS$1334,$B155)</f>
        <v>#VALUE!</v>
      </c>
      <c r="T155" s="188">
        <v>0</v>
      </c>
      <c r="U155" s="189" t="e">
        <f t="shared" si="11"/>
        <v>#VALUE!</v>
      </c>
      <c r="V155" s="188">
        <v>0</v>
      </c>
      <c r="W155" s="189" t="e">
        <f t="shared" si="8"/>
        <v>#VALUE!</v>
      </c>
      <c r="X155" s="188">
        <v>0</v>
      </c>
      <c r="Y155" s="189" t="e">
        <f t="shared" si="9"/>
        <v>#VALUE!</v>
      </c>
      <c r="Z155" s="188">
        <v>0</v>
      </c>
      <c r="AA155" s="189" t="e">
        <f t="shared" si="10"/>
        <v>#VALUE!</v>
      </c>
    </row>
    <row r="156" spans="1:27" x14ac:dyDescent="0.25">
      <c r="A156">
        <v>170400</v>
      </c>
      <c r="B156">
        <v>17031170400</v>
      </c>
      <c r="C156">
        <v>17031</v>
      </c>
      <c r="D156">
        <v>2010</v>
      </c>
      <c r="E156">
        <v>17</v>
      </c>
      <c r="F156">
        <v>8277949.5021973997</v>
      </c>
      <c r="G156" s="45">
        <v>0.29693058074342144</v>
      </c>
      <c r="H156" s="60" t="str">
        <f>_xlfn.IFNA(
INDEX('Community Areas'!B$2:B$78,MATCH($E156,'Community Areas'!$A$2:$A$78,0)),
"")</f>
        <v>DUNNING</v>
      </c>
      <c r="I156" s="63" t="str">
        <f>_xlfn.IFNA(
INDEX('Community Areas'!C$2:C$78,MATCH($E156,'Community Areas'!$A$2:$A$78,0)),
"")</f>
        <v>2-C</v>
      </c>
      <c r="J156" s="63">
        <f>_xlfn.IFNA(
INDEX('Community Areas'!D$2:D$78,MATCH($E156,'Community Areas'!$A$2:$A$78,0)),
"")</f>
        <v>2</v>
      </c>
      <c r="K156" s="60" t="str">
        <f>_xlfn.IFNA(
INDEX('Community Areas'!E$2:E$78,MATCH($E156,'Community Areas'!$A$2:$A$78,0)),
"")</f>
        <v>NORTHWEST</v>
      </c>
      <c r="L156" s="17" t="e">
        <f>SUMIFS([1]ACSDT5Y2020.B08301_data_with_ov!AT$3:AT$1334,[1]ACSDT5Y2020.B08301_data_with_ov!$AS$3:$AS$1334,$B156)</f>
        <v>#VALUE!</v>
      </c>
      <c r="M156" s="17" t="e">
        <f>SUMIFS([1]ACSDT5Y2020.B08301_data_with_ov!AU$3:AU$1334,[1]ACSDT5Y2020.B08301_data_with_ov!$AS$3:$AS$1334,$B156)</f>
        <v>#VALUE!</v>
      </c>
      <c r="N156" s="17" t="e">
        <f>SUMIFS([1]ACSDT5Y2020.B08301_data_with_ov!AV$3:AV$1334,[1]ACSDT5Y2020.B08301_data_with_ov!$AS$3:$AS$1334,$B156)</f>
        <v>#VALUE!</v>
      </c>
      <c r="O156" s="17" t="e">
        <f>SUMIFS([1]ACSDT5Y2020.B08301_data_with_ov!AW$3:AW$1334,[1]ACSDT5Y2020.B08301_data_with_ov!$AS$3:$AS$1334,$B156)</f>
        <v>#VALUE!</v>
      </c>
      <c r="P156" s="17" t="e">
        <f>SUMIFS([1]ACSDT5Y2020.B08301_data_with_ov!AX$3:AX$1334,[1]ACSDT5Y2020.B08301_data_with_ov!$AS$3:$AS$1334,$B156)</f>
        <v>#VALUE!</v>
      </c>
      <c r="Q156" s="17" t="e">
        <f>SUMIFS([1]ACSDT5Y2020.B08301_data_with_ov!AY$3:AY$1334,[1]ACSDT5Y2020.B08301_data_with_ov!$AS$3:$AS$1334,$B156)</f>
        <v>#VALUE!</v>
      </c>
      <c r="R156" s="17" t="e">
        <f>SUMIFS([1]ACSDT5Y2020.B08301_data_with_ov!AZ$3:AZ$1334,[1]ACSDT5Y2020.B08301_data_with_ov!$AS$3:$AS$1334,$B156)</f>
        <v>#VALUE!</v>
      </c>
      <c r="S156" s="17" t="e">
        <f>SUMIFS([1]ACSDT5Y2020.B08301_data_with_ov!BA$3:BA$1334,[1]ACSDT5Y2020.B08301_data_with_ov!$AS$3:$AS$1334,$B156)</f>
        <v>#VALUE!</v>
      </c>
      <c r="T156" s="188">
        <v>0</v>
      </c>
      <c r="U156" s="189" t="e">
        <f t="shared" si="11"/>
        <v>#VALUE!</v>
      </c>
      <c r="V156" s="188">
        <v>0</v>
      </c>
      <c r="W156" s="189" t="e">
        <f t="shared" si="8"/>
        <v>#VALUE!</v>
      </c>
      <c r="X156" s="188">
        <v>0</v>
      </c>
      <c r="Y156" s="189" t="e">
        <f t="shared" si="9"/>
        <v>#VALUE!</v>
      </c>
      <c r="Z156" s="188">
        <v>0</v>
      </c>
      <c r="AA156" s="189" t="e">
        <f t="shared" si="10"/>
        <v>#VALUE!</v>
      </c>
    </row>
    <row r="157" spans="1:27" x14ac:dyDescent="0.25">
      <c r="A157">
        <v>170700</v>
      </c>
      <c r="B157">
        <v>17031170700</v>
      </c>
      <c r="C157">
        <v>17031</v>
      </c>
      <c r="D157">
        <v>2010</v>
      </c>
      <c r="E157">
        <v>17</v>
      </c>
      <c r="F157">
        <v>6248093.3906342797</v>
      </c>
      <c r="G157" s="45">
        <v>0.2241195115442163</v>
      </c>
      <c r="H157" s="60" t="str">
        <f>_xlfn.IFNA(
INDEX('Community Areas'!B$2:B$78,MATCH($E157,'Community Areas'!$A$2:$A$78,0)),
"")</f>
        <v>DUNNING</v>
      </c>
      <c r="I157" s="63" t="str">
        <f>_xlfn.IFNA(
INDEX('Community Areas'!C$2:C$78,MATCH($E157,'Community Areas'!$A$2:$A$78,0)),
"")</f>
        <v>2-C</v>
      </c>
      <c r="J157" s="63">
        <f>_xlfn.IFNA(
INDEX('Community Areas'!D$2:D$78,MATCH($E157,'Community Areas'!$A$2:$A$78,0)),
"")</f>
        <v>2</v>
      </c>
      <c r="K157" s="60" t="str">
        <f>_xlfn.IFNA(
INDEX('Community Areas'!E$2:E$78,MATCH($E157,'Community Areas'!$A$2:$A$78,0)),
"")</f>
        <v>NORTHWEST</v>
      </c>
      <c r="L157" s="17" t="e">
        <f>SUMIFS([1]ACSDT5Y2020.B08301_data_with_ov!AT$3:AT$1334,[1]ACSDT5Y2020.B08301_data_with_ov!$AS$3:$AS$1334,$B157)</f>
        <v>#VALUE!</v>
      </c>
      <c r="M157" s="17" t="e">
        <f>SUMIFS([1]ACSDT5Y2020.B08301_data_with_ov!AU$3:AU$1334,[1]ACSDT5Y2020.B08301_data_with_ov!$AS$3:$AS$1334,$B157)</f>
        <v>#VALUE!</v>
      </c>
      <c r="N157" s="17" t="e">
        <f>SUMIFS([1]ACSDT5Y2020.B08301_data_with_ov!AV$3:AV$1334,[1]ACSDT5Y2020.B08301_data_with_ov!$AS$3:$AS$1334,$B157)</f>
        <v>#VALUE!</v>
      </c>
      <c r="O157" s="17" t="e">
        <f>SUMIFS([1]ACSDT5Y2020.B08301_data_with_ov!AW$3:AW$1334,[1]ACSDT5Y2020.B08301_data_with_ov!$AS$3:$AS$1334,$B157)</f>
        <v>#VALUE!</v>
      </c>
      <c r="P157" s="17" t="e">
        <f>SUMIFS([1]ACSDT5Y2020.B08301_data_with_ov!AX$3:AX$1334,[1]ACSDT5Y2020.B08301_data_with_ov!$AS$3:$AS$1334,$B157)</f>
        <v>#VALUE!</v>
      </c>
      <c r="Q157" s="17" t="e">
        <f>SUMIFS([1]ACSDT5Y2020.B08301_data_with_ov!AY$3:AY$1334,[1]ACSDT5Y2020.B08301_data_with_ov!$AS$3:$AS$1334,$B157)</f>
        <v>#VALUE!</v>
      </c>
      <c r="R157" s="17" t="e">
        <f>SUMIFS([1]ACSDT5Y2020.B08301_data_with_ov!AZ$3:AZ$1334,[1]ACSDT5Y2020.B08301_data_with_ov!$AS$3:$AS$1334,$B157)</f>
        <v>#VALUE!</v>
      </c>
      <c r="S157" s="17" t="e">
        <f>SUMIFS([1]ACSDT5Y2020.B08301_data_with_ov!BA$3:BA$1334,[1]ACSDT5Y2020.B08301_data_with_ov!$AS$3:$AS$1334,$B157)</f>
        <v>#VALUE!</v>
      </c>
      <c r="T157" s="188">
        <v>0</v>
      </c>
      <c r="U157" s="189" t="e">
        <f t="shared" si="11"/>
        <v>#VALUE!</v>
      </c>
      <c r="V157" s="188">
        <v>0</v>
      </c>
      <c r="W157" s="189" t="e">
        <f t="shared" si="8"/>
        <v>#VALUE!</v>
      </c>
      <c r="X157" s="188">
        <v>0</v>
      </c>
      <c r="Y157" s="189" t="e">
        <f t="shared" si="9"/>
        <v>#VALUE!</v>
      </c>
      <c r="Z157" s="188">
        <v>0</v>
      </c>
      <c r="AA157" s="189" t="e">
        <f t="shared" si="10"/>
        <v>#VALUE!</v>
      </c>
    </row>
    <row r="158" spans="1:27" x14ac:dyDescent="0.25">
      <c r="A158">
        <v>180100</v>
      </c>
      <c r="B158">
        <v>17031180100</v>
      </c>
      <c r="C158">
        <v>17031</v>
      </c>
      <c r="D158">
        <v>2010</v>
      </c>
      <c r="E158">
        <v>18</v>
      </c>
      <c r="F158">
        <v>11494660.3218973</v>
      </c>
      <c r="G158" s="45">
        <v>0.41231420461351082</v>
      </c>
      <c r="H158" s="60" t="str">
        <f>_xlfn.IFNA(
INDEX('Community Areas'!B$2:B$78,MATCH($E158,'Community Areas'!$A$2:$A$78,0)),
"")</f>
        <v>MONTCLARE</v>
      </c>
      <c r="I158" s="63" t="str">
        <f>_xlfn.IFNA(
INDEX('Community Areas'!C$2:C$78,MATCH($E158,'Community Areas'!$A$2:$A$78,0)),
"")</f>
        <v>2-B</v>
      </c>
      <c r="J158" s="63">
        <f>_xlfn.IFNA(
INDEX('Community Areas'!D$2:D$78,MATCH($E158,'Community Areas'!$A$2:$A$78,0)),
"")</f>
        <v>2</v>
      </c>
      <c r="K158" s="60" t="str">
        <f>_xlfn.IFNA(
INDEX('Community Areas'!E$2:E$78,MATCH($E158,'Community Areas'!$A$2:$A$78,0)),
"")</f>
        <v>NORTHWEST</v>
      </c>
      <c r="L158" s="17" t="e">
        <f>SUMIFS([1]ACSDT5Y2020.B08301_data_with_ov!AT$3:AT$1334,[1]ACSDT5Y2020.B08301_data_with_ov!$AS$3:$AS$1334,$B158)</f>
        <v>#VALUE!</v>
      </c>
      <c r="M158" s="17" t="e">
        <f>SUMIFS([1]ACSDT5Y2020.B08301_data_with_ov!AU$3:AU$1334,[1]ACSDT5Y2020.B08301_data_with_ov!$AS$3:$AS$1334,$B158)</f>
        <v>#VALUE!</v>
      </c>
      <c r="N158" s="17" t="e">
        <f>SUMIFS([1]ACSDT5Y2020.B08301_data_with_ov!AV$3:AV$1334,[1]ACSDT5Y2020.B08301_data_with_ov!$AS$3:$AS$1334,$B158)</f>
        <v>#VALUE!</v>
      </c>
      <c r="O158" s="17" t="e">
        <f>SUMIFS([1]ACSDT5Y2020.B08301_data_with_ov!AW$3:AW$1334,[1]ACSDT5Y2020.B08301_data_with_ov!$AS$3:$AS$1334,$B158)</f>
        <v>#VALUE!</v>
      </c>
      <c r="P158" s="17" t="e">
        <f>SUMIFS([1]ACSDT5Y2020.B08301_data_with_ov!AX$3:AX$1334,[1]ACSDT5Y2020.B08301_data_with_ov!$AS$3:$AS$1334,$B158)</f>
        <v>#VALUE!</v>
      </c>
      <c r="Q158" s="17" t="e">
        <f>SUMIFS([1]ACSDT5Y2020.B08301_data_with_ov!AY$3:AY$1334,[1]ACSDT5Y2020.B08301_data_with_ov!$AS$3:$AS$1334,$B158)</f>
        <v>#VALUE!</v>
      </c>
      <c r="R158" s="17" t="e">
        <f>SUMIFS([1]ACSDT5Y2020.B08301_data_with_ov!AZ$3:AZ$1334,[1]ACSDT5Y2020.B08301_data_with_ov!$AS$3:$AS$1334,$B158)</f>
        <v>#VALUE!</v>
      </c>
      <c r="S158" s="17" t="e">
        <f>SUMIFS([1]ACSDT5Y2020.B08301_data_with_ov!BA$3:BA$1334,[1]ACSDT5Y2020.B08301_data_with_ov!$AS$3:$AS$1334,$B158)</f>
        <v>#VALUE!</v>
      </c>
      <c r="T158" s="188">
        <v>0.12574606933197241</v>
      </c>
      <c r="U158" s="189" t="e">
        <f t="shared" si="11"/>
        <v>#VALUE!</v>
      </c>
      <c r="V158" s="188">
        <v>7.5542043249847909E-2</v>
      </c>
      <c r="W158" s="189" t="e">
        <f t="shared" si="8"/>
        <v>#VALUE!</v>
      </c>
      <c r="X158" s="188">
        <v>7.5542043249847909E-2</v>
      </c>
      <c r="Y158" s="189" t="e">
        <f t="shared" si="9"/>
        <v>#VALUE!</v>
      </c>
      <c r="Z158" s="188">
        <v>7.5542043249847909E-2</v>
      </c>
      <c r="AA158" s="189" t="e">
        <f t="shared" si="10"/>
        <v>#VALUE!</v>
      </c>
    </row>
    <row r="159" spans="1:27" x14ac:dyDescent="0.25">
      <c r="A159">
        <v>831600</v>
      </c>
      <c r="B159">
        <v>17031831600</v>
      </c>
      <c r="C159">
        <v>17031</v>
      </c>
      <c r="D159">
        <v>2010</v>
      </c>
      <c r="E159">
        <v>18</v>
      </c>
      <c r="F159">
        <v>16081733.300935199</v>
      </c>
      <c r="G159" s="45">
        <v>0.57685280722477617</v>
      </c>
      <c r="H159" s="60" t="str">
        <f>_xlfn.IFNA(
INDEX('Community Areas'!B$2:B$78,MATCH($E159,'Community Areas'!$A$2:$A$78,0)),
"")</f>
        <v>MONTCLARE</v>
      </c>
      <c r="I159" s="63" t="str">
        <f>_xlfn.IFNA(
INDEX('Community Areas'!C$2:C$78,MATCH($E159,'Community Areas'!$A$2:$A$78,0)),
"")</f>
        <v>2-B</v>
      </c>
      <c r="J159" s="63">
        <f>_xlfn.IFNA(
INDEX('Community Areas'!D$2:D$78,MATCH($E159,'Community Areas'!$A$2:$A$78,0)),
"")</f>
        <v>2</v>
      </c>
      <c r="K159" s="60" t="str">
        <f>_xlfn.IFNA(
INDEX('Community Areas'!E$2:E$78,MATCH($E159,'Community Areas'!$A$2:$A$78,0)),
"")</f>
        <v>NORTHWEST</v>
      </c>
      <c r="L159" s="17" t="e">
        <f>SUMIFS([1]ACSDT5Y2020.B08301_data_with_ov!AT$3:AT$1334,[1]ACSDT5Y2020.B08301_data_with_ov!$AS$3:$AS$1334,$B159)</f>
        <v>#VALUE!</v>
      </c>
      <c r="M159" s="17" t="e">
        <f>SUMIFS([1]ACSDT5Y2020.B08301_data_with_ov!AU$3:AU$1334,[1]ACSDT5Y2020.B08301_data_with_ov!$AS$3:$AS$1334,$B159)</f>
        <v>#VALUE!</v>
      </c>
      <c r="N159" s="17" t="e">
        <f>SUMIFS([1]ACSDT5Y2020.B08301_data_with_ov!AV$3:AV$1334,[1]ACSDT5Y2020.B08301_data_with_ov!$AS$3:$AS$1334,$B159)</f>
        <v>#VALUE!</v>
      </c>
      <c r="O159" s="17" t="e">
        <f>SUMIFS([1]ACSDT5Y2020.B08301_data_with_ov!AW$3:AW$1334,[1]ACSDT5Y2020.B08301_data_with_ov!$AS$3:$AS$1334,$B159)</f>
        <v>#VALUE!</v>
      </c>
      <c r="P159" s="17" t="e">
        <f>SUMIFS([1]ACSDT5Y2020.B08301_data_with_ov!AX$3:AX$1334,[1]ACSDT5Y2020.B08301_data_with_ov!$AS$3:$AS$1334,$B159)</f>
        <v>#VALUE!</v>
      </c>
      <c r="Q159" s="17" t="e">
        <f>SUMIFS([1]ACSDT5Y2020.B08301_data_with_ov!AY$3:AY$1334,[1]ACSDT5Y2020.B08301_data_with_ov!$AS$3:$AS$1334,$B159)</f>
        <v>#VALUE!</v>
      </c>
      <c r="R159" s="17" t="e">
        <f>SUMIFS([1]ACSDT5Y2020.B08301_data_with_ov!AZ$3:AZ$1334,[1]ACSDT5Y2020.B08301_data_with_ov!$AS$3:$AS$1334,$B159)</f>
        <v>#VALUE!</v>
      </c>
      <c r="S159" s="17" t="e">
        <f>SUMIFS([1]ACSDT5Y2020.B08301_data_with_ov!BA$3:BA$1334,[1]ACSDT5Y2020.B08301_data_with_ov!$AS$3:$AS$1334,$B159)</f>
        <v>#VALUE!</v>
      </c>
      <c r="T159" s="188">
        <v>0.20994528260209086</v>
      </c>
      <c r="U159" s="189" t="e">
        <f t="shared" si="11"/>
        <v>#VALUE!</v>
      </c>
      <c r="V159" s="188">
        <v>0.19843839026319407</v>
      </c>
      <c r="W159" s="189" t="e">
        <f t="shared" si="8"/>
        <v>#VALUE!</v>
      </c>
      <c r="X159" s="188">
        <v>0.19843839026319407</v>
      </c>
      <c r="Y159" s="189" t="e">
        <f t="shared" si="9"/>
        <v>#VALUE!</v>
      </c>
      <c r="Z159" s="188">
        <v>0.19843839026319407</v>
      </c>
      <c r="AA159" s="189" t="e">
        <f t="shared" si="10"/>
        <v>#VALUE!</v>
      </c>
    </row>
    <row r="160" spans="1:27" x14ac:dyDescent="0.25">
      <c r="A160">
        <v>190800</v>
      </c>
      <c r="B160">
        <v>17031190800</v>
      </c>
      <c r="C160">
        <v>17031</v>
      </c>
      <c r="D160">
        <v>2010</v>
      </c>
      <c r="E160">
        <v>19</v>
      </c>
      <c r="F160">
        <v>7118165.56539582</v>
      </c>
      <c r="G160" s="45">
        <v>0.25532905638041709</v>
      </c>
      <c r="H160" s="60" t="str">
        <f>_xlfn.IFNA(
INDEX('Community Areas'!B$2:B$78,MATCH($E160,'Community Areas'!$A$2:$A$78,0)),
"")</f>
        <v>BELMONT CRAGIN</v>
      </c>
      <c r="I160" s="63" t="str">
        <f>_xlfn.IFNA(
INDEX('Community Areas'!C$2:C$78,MATCH($E160,'Community Areas'!$A$2:$A$78,0)),
"")</f>
        <v>2-B</v>
      </c>
      <c r="J160" s="63">
        <f>_xlfn.IFNA(
INDEX('Community Areas'!D$2:D$78,MATCH($E160,'Community Areas'!$A$2:$A$78,0)),
"")</f>
        <v>2</v>
      </c>
      <c r="K160" s="60" t="str">
        <f>_xlfn.IFNA(
INDEX('Community Areas'!E$2:E$78,MATCH($E160,'Community Areas'!$A$2:$A$78,0)),
"")</f>
        <v>NORTHWEST</v>
      </c>
      <c r="L160" s="17" t="e">
        <f>SUMIFS([1]ACSDT5Y2020.B08301_data_with_ov!AT$3:AT$1334,[1]ACSDT5Y2020.B08301_data_with_ov!$AS$3:$AS$1334,$B160)</f>
        <v>#VALUE!</v>
      </c>
      <c r="M160" s="17" t="e">
        <f>SUMIFS([1]ACSDT5Y2020.B08301_data_with_ov!AU$3:AU$1334,[1]ACSDT5Y2020.B08301_data_with_ov!$AS$3:$AS$1334,$B160)</f>
        <v>#VALUE!</v>
      </c>
      <c r="N160" s="17" t="e">
        <f>SUMIFS([1]ACSDT5Y2020.B08301_data_with_ov!AV$3:AV$1334,[1]ACSDT5Y2020.B08301_data_with_ov!$AS$3:$AS$1334,$B160)</f>
        <v>#VALUE!</v>
      </c>
      <c r="O160" s="17" t="e">
        <f>SUMIFS([1]ACSDT5Y2020.B08301_data_with_ov!AW$3:AW$1334,[1]ACSDT5Y2020.B08301_data_with_ov!$AS$3:$AS$1334,$B160)</f>
        <v>#VALUE!</v>
      </c>
      <c r="P160" s="17" t="e">
        <f>SUMIFS([1]ACSDT5Y2020.B08301_data_with_ov!AX$3:AX$1334,[1]ACSDT5Y2020.B08301_data_with_ov!$AS$3:$AS$1334,$B160)</f>
        <v>#VALUE!</v>
      </c>
      <c r="Q160" s="17" t="e">
        <f>SUMIFS([1]ACSDT5Y2020.B08301_data_with_ov!AY$3:AY$1334,[1]ACSDT5Y2020.B08301_data_with_ov!$AS$3:$AS$1334,$B160)</f>
        <v>#VALUE!</v>
      </c>
      <c r="R160" s="17" t="e">
        <f>SUMIFS([1]ACSDT5Y2020.B08301_data_with_ov!AZ$3:AZ$1334,[1]ACSDT5Y2020.B08301_data_with_ov!$AS$3:$AS$1334,$B160)</f>
        <v>#VALUE!</v>
      </c>
      <c r="S160" s="17" t="e">
        <f>SUMIFS([1]ACSDT5Y2020.B08301_data_with_ov!BA$3:BA$1334,[1]ACSDT5Y2020.B08301_data_with_ov!$AS$3:$AS$1334,$B160)</f>
        <v>#VALUE!</v>
      </c>
      <c r="T160" s="188">
        <v>0.2535397648891432</v>
      </c>
      <c r="U160" s="189" t="e">
        <f t="shared" si="11"/>
        <v>#VALUE!</v>
      </c>
      <c r="V160" s="188">
        <v>0.25353977041942649</v>
      </c>
      <c r="W160" s="189" t="e">
        <f t="shared" si="8"/>
        <v>#VALUE!</v>
      </c>
      <c r="X160" s="188">
        <v>0.25353977041942649</v>
      </c>
      <c r="Y160" s="189" t="e">
        <f t="shared" si="9"/>
        <v>#VALUE!</v>
      </c>
      <c r="Z160" s="188">
        <v>0.25353977041942649</v>
      </c>
      <c r="AA160" s="189" t="e">
        <f t="shared" si="10"/>
        <v>#VALUE!</v>
      </c>
    </row>
    <row r="161" spans="1:27" x14ac:dyDescent="0.25">
      <c r="A161">
        <v>190900</v>
      </c>
      <c r="B161">
        <v>17031190900</v>
      </c>
      <c r="C161">
        <v>17031</v>
      </c>
      <c r="D161">
        <v>2010</v>
      </c>
      <c r="E161">
        <v>19</v>
      </c>
      <c r="F161">
        <v>3383150.04988492</v>
      </c>
      <c r="G161" s="45">
        <v>0.12135380975539917</v>
      </c>
      <c r="H161" s="60" t="str">
        <f>_xlfn.IFNA(
INDEX('Community Areas'!B$2:B$78,MATCH($E161,'Community Areas'!$A$2:$A$78,0)),
"")</f>
        <v>BELMONT CRAGIN</v>
      </c>
      <c r="I161" s="63" t="str">
        <f>_xlfn.IFNA(
INDEX('Community Areas'!C$2:C$78,MATCH($E161,'Community Areas'!$A$2:$A$78,0)),
"")</f>
        <v>2-B</v>
      </c>
      <c r="J161" s="63">
        <f>_xlfn.IFNA(
INDEX('Community Areas'!D$2:D$78,MATCH($E161,'Community Areas'!$A$2:$A$78,0)),
"")</f>
        <v>2</v>
      </c>
      <c r="K161" s="60" t="str">
        <f>_xlfn.IFNA(
INDEX('Community Areas'!E$2:E$78,MATCH($E161,'Community Areas'!$A$2:$A$78,0)),
"")</f>
        <v>NORTHWEST</v>
      </c>
      <c r="L161" s="17" t="e">
        <f>SUMIFS([1]ACSDT5Y2020.B08301_data_with_ov!AT$3:AT$1334,[1]ACSDT5Y2020.B08301_data_with_ov!$AS$3:$AS$1334,$B161)</f>
        <v>#VALUE!</v>
      </c>
      <c r="M161" s="17" t="e">
        <f>SUMIFS([1]ACSDT5Y2020.B08301_data_with_ov!AU$3:AU$1334,[1]ACSDT5Y2020.B08301_data_with_ov!$AS$3:$AS$1334,$B161)</f>
        <v>#VALUE!</v>
      </c>
      <c r="N161" s="17" t="e">
        <f>SUMIFS([1]ACSDT5Y2020.B08301_data_with_ov!AV$3:AV$1334,[1]ACSDT5Y2020.B08301_data_with_ov!$AS$3:$AS$1334,$B161)</f>
        <v>#VALUE!</v>
      </c>
      <c r="O161" s="17" t="e">
        <f>SUMIFS([1]ACSDT5Y2020.B08301_data_with_ov!AW$3:AW$1334,[1]ACSDT5Y2020.B08301_data_with_ov!$AS$3:$AS$1334,$B161)</f>
        <v>#VALUE!</v>
      </c>
      <c r="P161" s="17" t="e">
        <f>SUMIFS([1]ACSDT5Y2020.B08301_data_with_ov!AX$3:AX$1334,[1]ACSDT5Y2020.B08301_data_with_ov!$AS$3:$AS$1334,$B161)</f>
        <v>#VALUE!</v>
      </c>
      <c r="Q161" s="17" t="e">
        <f>SUMIFS([1]ACSDT5Y2020.B08301_data_with_ov!AY$3:AY$1334,[1]ACSDT5Y2020.B08301_data_with_ov!$AS$3:$AS$1334,$B161)</f>
        <v>#VALUE!</v>
      </c>
      <c r="R161" s="17" t="e">
        <f>SUMIFS([1]ACSDT5Y2020.B08301_data_with_ov!AZ$3:AZ$1334,[1]ACSDT5Y2020.B08301_data_with_ov!$AS$3:$AS$1334,$B161)</f>
        <v>#VALUE!</v>
      </c>
      <c r="S161" s="17" t="e">
        <f>SUMIFS([1]ACSDT5Y2020.B08301_data_with_ov!BA$3:BA$1334,[1]ACSDT5Y2020.B08301_data_with_ov!$AS$3:$AS$1334,$B161)</f>
        <v>#VALUE!</v>
      </c>
      <c r="T161" s="188">
        <v>0.11527873740492711</v>
      </c>
      <c r="U161" s="189" t="e">
        <f t="shared" si="11"/>
        <v>#VALUE!</v>
      </c>
      <c r="V161" s="188">
        <v>0.11527873740492711</v>
      </c>
      <c r="W161" s="189" t="e">
        <f t="shared" si="8"/>
        <v>#VALUE!</v>
      </c>
      <c r="X161" s="188">
        <v>0.11527873740492711</v>
      </c>
      <c r="Y161" s="189" t="e">
        <f t="shared" si="9"/>
        <v>#VALUE!</v>
      </c>
      <c r="Z161" s="188">
        <v>0.11527873740492711</v>
      </c>
      <c r="AA161" s="189" t="e">
        <f t="shared" si="10"/>
        <v>#VALUE!</v>
      </c>
    </row>
    <row r="162" spans="1:27" x14ac:dyDescent="0.25">
      <c r="A162">
        <v>831500</v>
      </c>
      <c r="B162">
        <v>17031831500</v>
      </c>
      <c r="C162">
        <v>17031</v>
      </c>
      <c r="D162">
        <v>2010</v>
      </c>
      <c r="E162">
        <v>19</v>
      </c>
      <c r="F162">
        <v>10384180.4512391</v>
      </c>
      <c r="G162" s="45">
        <v>0.37248122027229325</v>
      </c>
      <c r="H162" s="60" t="str">
        <f>_xlfn.IFNA(
INDEX('Community Areas'!B$2:B$78,MATCH($E162,'Community Areas'!$A$2:$A$78,0)),
"")</f>
        <v>BELMONT CRAGIN</v>
      </c>
      <c r="I162" s="63" t="str">
        <f>_xlfn.IFNA(
INDEX('Community Areas'!C$2:C$78,MATCH($E162,'Community Areas'!$A$2:$A$78,0)),
"")</f>
        <v>2-B</v>
      </c>
      <c r="J162" s="63">
        <f>_xlfn.IFNA(
INDEX('Community Areas'!D$2:D$78,MATCH($E162,'Community Areas'!$A$2:$A$78,0)),
"")</f>
        <v>2</v>
      </c>
      <c r="K162" s="60" t="str">
        <f>_xlfn.IFNA(
INDEX('Community Areas'!E$2:E$78,MATCH($E162,'Community Areas'!$A$2:$A$78,0)),
"")</f>
        <v>NORTHWEST</v>
      </c>
      <c r="L162" s="17" t="e">
        <f>SUMIFS([1]ACSDT5Y2020.B08301_data_with_ov!AT$3:AT$1334,[1]ACSDT5Y2020.B08301_data_with_ov!$AS$3:$AS$1334,$B162)</f>
        <v>#VALUE!</v>
      </c>
      <c r="M162" s="17" t="e">
        <f>SUMIFS([1]ACSDT5Y2020.B08301_data_with_ov!AU$3:AU$1334,[1]ACSDT5Y2020.B08301_data_with_ov!$AS$3:$AS$1334,$B162)</f>
        <v>#VALUE!</v>
      </c>
      <c r="N162" s="17" t="e">
        <f>SUMIFS([1]ACSDT5Y2020.B08301_data_with_ov!AV$3:AV$1334,[1]ACSDT5Y2020.B08301_data_with_ov!$AS$3:$AS$1334,$B162)</f>
        <v>#VALUE!</v>
      </c>
      <c r="O162" s="17" t="e">
        <f>SUMIFS([1]ACSDT5Y2020.B08301_data_with_ov!AW$3:AW$1334,[1]ACSDT5Y2020.B08301_data_with_ov!$AS$3:$AS$1334,$B162)</f>
        <v>#VALUE!</v>
      </c>
      <c r="P162" s="17" t="e">
        <f>SUMIFS([1]ACSDT5Y2020.B08301_data_with_ov!AX$3:AX$1334,[1]ACSDT5Y2020.B08301_data_with_ov!$AS$3:$AS$1334,$B162)</f>
        <v>#VALUE!</v>
      </c>
      <c r="Q162" s="17" t="e">
        <f>SUMIFS([1]ACSDT5Y2020.B08301_data_with_ov!AY$3:AY$1334,[1]ACSDT5Y2020.B08301_data_with_ov!$AS$3:$AS$1334,$B162)</f>
        <v>#VALUE!</v>
      </c>
      <c r="R162" s="17" t="e">
        <f>SUMIFS([1]ACSDT5Y2020.B08301_data_with_ov!AZ$3:AZ$1334,[1]ACSDT5Y2020.B08301_data_with_ov!$AS$3:$AS$1334,$B162)</f>
        <v>#VALUE!</v>
      </c>
      <c r="S162" s="17" t="e">
        <f>SUMIFS([1]ACSDT5Y2020.B08301_data_with_ov!BA$3:BA$1334,[1]ACSDT5Y2020.B08301_data_with_ov!$AS$3:$AS$1334,$B162)</f>
        <v>#VALUE!</v>
      </c>
      <c r="T162" s="188">
        <v>0.37248122355528296</v>
      </c>
      <c r="U162" s="189" t="e">
        <f t="shared" si="11"/>
        <v>#VALUE!</v>
      </c>
      <c r="V162" s="188">
        <v>0.36570209379219754</v>
      </c>
      <c r="W162" s="189" t="e">
        <f t="shared" si="8"/>
        <v>#VALUE!</v>
      </c>
      <c r="X162" s="188">
        <v>0.36570209379219754</v>
      </c>
      <c r="Y162" s="189" t="e">
        <f t="shared" si="9"/>
        <v>#VALUE!</v>
      </c>
      <c r="Z162" s="188">
        <v>0.36570209379219754</v>
      </c>
      <c r="AA162" s="189" t="e">
        <f t="shared" si="10"/>
        <v>#VALUE!</v>
      </c>
    </row>
    <row r="163" spans="1:27" x14ac:dyDescent="0.25">
      <c r="A163">
        <v>190300</v>
      </c>
      <c r="B163">
        <v>17031190300</v>
      </c>
      <c r="C163">
        <v>17031</v>
      </c>
      <c r="D163">
        <v>2010</v>
      </c>
      <c r="E163">
        <v>19</v>
      </c>
      <c r="F163">
        <v>7107346.5108315405</v>
      </c>
      <c r="G163" s="45">
        <v>0.25494097619775669</v>
      </c>
      <c r="H163" s="60" t="str">
        <f>_xlfn.IFNA(
INDEX('Community Areas'!B$2:B$78,MATCH($E163,'Community Areas'!$A$2:$A$78,0)),
"")</f>
        <v>BELMONT CRAGIN</v>
      </c>
      <c r="I163" s="63" t="str">
        <f>_xlfn.IFNA(
INDEX('Community Areas'!C$2:C$78,MATCH($E163,'Community Areas'!$A$2:$A$78,0)),
"")</f>
        <v>2-B</v>
      </c>
      <c r="J163" s="63">
        <f>_xlfn.IFNA(
INDEX('Community Areas'!D$2:D$78,MATCH($E163,'Community Areas'!$A$2:$A$78,0)),
"")</f>
        <v>2</v>
      </c>
      <c r="K163" s="60" t="str">
        <f>_xlfn.IFNA(
INDEX('Community Areas'!E$2:E$78,MATCH($E163,'Community Areas'!$A$2:$A$78,0)),
"")</f>
        <v>NORTHWEST</v>
      </c>
      <c r="L163" s="17" t="e">
        <f>SUMIFS([1]ACSDT5Y2020.B08301_data_with_ov!AT$3:AT$1334,[1]ACSDT5Y2020.B08301_data_with_ov!$AS$3:$AS$1334,$B163)</f>
        <v>#VALUE!</v>
      </c>
      <c r="M163" s="17" t="e">
        <f>SUMIFS([1]ACSDT5Y2020.B08301_data_with_ov!AU$3:AU$1334,[1]ACSDT5Y2020.B08301_data_with_ov!$AS$3:$AS$1334,$B163)</f>
        <v>#VALUE!</v>
      </c>
      <c r="N163" s="17" t="e">
        <f>SUMIFS([1]ACSDT5Y2020.B08301_data_with_ov!AV$3:AV$1334,[1]ACSDT5Y2020.B08301_data_with_ov!$AS$3:$AS$1334,$B163)</f>
        <v>#VALUE!</v>
      </c>
      <c r="O163" s="17" t="e">
        <f>SUMIFS([1]ACSDT5Y2020.B08301_data_with_ov!AW$3:AW$1334,[1]ACSDT5Y2020.B08301_data_with_ov!$AS$3:$AS$1334,$B163)</f>
        <v>#VALUE!</v>
      </c>
      <c r="P163" s="17" t="e">
        <f>SUMIFS([1]ACSDT5Y2020.B08301_data_with_ov!AX$3:AX$1334,[1]ACSDT5Y2020.B08301_data_with_ov!$AS$3:$AS$1334,$B163)</f>
        <v>#VALUE!</v>
      </c>
      <c r="Q163" s="17" t="e">
        <f>SUMIFS([1]ACSDT5Y2020.B08301_data_with_ov!AY$3:AY$1334,[1]ACSDT5Y2020.B08301_data_with_ov!$AS$3:$AS$1334,$B163)</f>
        <v>#VALUE!</v>
      </c>
      <c r="R163" s="17" t="e">
        <f>SUMIFS([1]ACSDT5Y2020.B08301_data_with_ov!AZ$3:AZ$1334,[1]ACSDT5Y2020.B08301_data_with_ov!$AS$3:$AS$1334,$B163)</f>
        <v>#VALUE!</v>
      </c>
      <c r="S163" s="17" t="e">
        <f>SUMIFS([1]ACSDT5Y2020.B08301_data_with_ov!BA$3:BA$1334,[1]ACSDT5Y2020.B08301_data_with_ov!$AS$3:$AS$1334,$B163)</f>
        <v>#VALUE!</v>
      </c>
      <c r="T163" s="188">
        <v>0.25296736685795851</v>
      </c>
      <c r="U163" s="189" t="e">
        <f t="shared" si="11"/>
        <v>#VALUE!</v>
      </c>
      <c r="V163" s="188">
        <v>0.1948458673494293</v>
      </c>
      <c r="W163" s="189" t="e">
        <f t="shared" si="8"/>
        <v>#VALUE!</v>
      </c>
      <c r="X163" s="188">
        <v>0.1948458673494293</v>
      </c>
      <c r="Y163" s="189" t="e">
        <f t="shared" si="9"/>
        <v>#VALUE!</v>
      </c>
      <c r="Z163" s="188">
        <v>0.1948458673494293</v>
      </c>
      <c r="AA163" s="189" t="e">
        <f t="shared" si="10"/>
        <v>#VALUE!</v>
      </c>
    </row>
    <row r="164" spans="1:27" x14ac:dyDescent="0.25">
      <c r="A164">
        <v>191000</v>
      </c>
      <c r="B164">
        <v>17031191000</v>
      </c>
      <c r="C164">
        <v>17031</v>
      </c>
      <c r="D164">
        <v>2010</v>
      </c>
      <c r="E164">
        <v>19</v>
      </c>
      <c r="F164">
        <v>4676487.0544717601</v>
      </c>
      <c r="G164" s="45">
        <v>0.16774589124453915</v>
      </c>
      <c r="H164" s="60" t="str">
        <f>_xlfn.IFNA(
INDEX('Community Areas'!B$2:B$78,MATCH($E164,'Community Areas'!$A$2:$A$78,0)),
"")</f>
        <v>BELMONT CRAGIN</v>
      </c>
      <c r="I164" s="63" t="str">
        <f>_xlfn.IFNA(
INDEX('Community Areas'!C$2:C$78,MATCH($E164,'Community Areas'!$A$2:$A$78,0)),
"")</f>
        <v>2-B</v>
      </c>
      <c r="J164" s="63">
        <f>_xlfn.IFNA(
INDEX('Community Areas'!D$2:D$78,MATCH($E164,'Community Areas'!$A$2:$A$78,0)),
"")</f>
        <v>2</v>
      </c>
      <c r="K164" s="60" t="str">
        <f>_xlfn.IFNA(
INDEX('Community Areas'!E$2:E$78,MATCH($E164,'Community Areas'!$A$2:$A$78,0)),
"")</f>
        <v>NORTHWEST</v>
      </c>
      <c r="L164" s="17" t="e">
        <f>SUMIFS([1]ACSDT5Y2020.B08301_data_with_ov!AT$3:AT$1334,[1]ACSDT5Y2020.B08301_data_with_ov!$AS$3:$AS$1334,$B164)</f>
        <v>#VALUE!</v>
      </c>
      <c r="M164" s="17" t="e">
        <f>SUMIFS([1]ACSDT5Y2020.B08301_data_with_ov!AU$3:AU$1334,[1]ACSDT5Y2020.B08301_data_with_ov!$AS$3:$AS$1334,$B164)</f>
        <v>#VALUE!</v>
      </c>
      <c r="N164" s="17" t="e">
        <f>SUMIFS([1]ACSDT5Y2020.B08301_data_with_ov!AV$3:AV$1334,[1]ACSDT5Y2020.B08301_data_with_ov!$AS$3:$AS$1334,$B164)</f>
        <v>#VALUE!</v>
      </c>
      <c r="O164" s="17" t="e">
        <f>SUMIFS([1]ACSDT5Y2020.B08301_data_with_ov!AW$3:AW$1334,[1]ACSDT5Y2020.B08301_data_with_ov!$AS$3:$AS$1334,$B164)</f>
        <v>#VALUE!</v>
      </c>
      <c r="P164" s="17" t="e">
        <f>SUMIFS([1]ACSDT5Y2020.B08301_data_with_ov!AX$3:AX$1334,[1]ACSDT5Y2020.B08301_data_with_ov!$AS$3:$AS$1334,$B164)</f>
        <v>#VALUE!</v>
      </c>
      <c r="Q164" s="17" t="e">
        <f>SUMIFS([1]ACSDT5Y2020.B08301_data_with_ov!AY$3:AY$1334,[1]ACSDT5Y2020.B08301_data_with_ov!$AS$3:$AS$1334,$B164)</f>
        <v>#VALUE!</v>
      </c>
      <c r="R164" s="17" t="e">
        <f>SUMIFS([1]ACSDT5Y2020.B08301_data_with_ov!AZ$3:AZ$1334,[1]ACSDT5Y2020.B08301_data_with_ov!$AS$3:$AS$1334,$B164)</f>
        <v>#VALUE!</v>
      </c>
      <c r="S164" s="17" t="e">
        <f>SUMIFS([1]ACSDT5Y2020.B08301_data_with_ov!BA$3:BA$1334,[1]ACSDT5Y2020.B08301_data_with_ov!$AS$3:$AS$1334,$B164)</f>
        <v>#VALUE!</v>
      </c>
      <c r="T164" s="188">
        <v>0</v>
      </c>
      <c r="U164" s="189" t="e">
        <f t="shared" si="11"/>
        <v>#VALUE!</v>
      </c>
      <c r="V164" s="188">
        <v>0</v>
      </c>
      <c r="W164" s="189" t="e">
        <f t="shared" si="8"/>
        <v>#VALUE!</v>
      </c>
      <c r="X164" s="188">
        <v>0</v>
      </c>
      <c r="Y164" s="189" t="e">
        <f t="shared" si="9"/>
        <v>#VALUE!</v>
      </c>
      <c r="Z164" s="188">
        <v>0</v>
      </c>
      <c r="AA164" s="189" t="e">
        <f t="shared" si="10"/>
        <v>#VALUE!</v>
      </c>
    </row>
    <row r="165" spans="1:27" x14ac:dyDescent="0.25">
      <c r="A165">
        <v>190601</v>
      </c>
      <c r="B165">
        <v>17031190601</v>
      </c>
      <c r="C165">
        <v>17031</v>
      </c>
      <c r="D165">
        <v>2010</v>
      </c>
      <c r="E165">
        <v>19</v>
      </c>
      <c r="F165">
        <v>7427141.6105198804</v>
      </c>
      <c r="G165" s="45">
        <v>0.26641204697973631</v>
      </c>
      <c r="H165" s="60" t="str">
        <f>_xlfn.IFNA(
INDEX('Community Areas'!B$2:B$78,MATCH($E165,'Community Areas'!$A$2:$A$78,0)),
"")</f>
        <v>BELMONT CRAGIN</v>
      </c>
      <c r="I165" s="63" t="str">
        <f>_xlfn.IFNA(
INDEX('Community Areas'!C$2:C$78,MATCH($E165,'Community Areas'!$A$2:$A$78,0)),
"")</f>
        <v>2-B</v>
      </c>
      <c r="J165" s="63">
        <f>_xlfn.IFNA(
INDEX('Community Areas'!D$2:D$78,MATCH($E165,'Community Areas'!$A$2:$A$78,0)),
"")</f>
        <v>2</v>
      </c>
      <c r="K165" s="60" t="str">
        <f>_xlfn.IFNA(
INDEX('Community Areas'!E$2:E$78,MATCH($E165,'Community Areas'!$A$2:$A$78,0)),
"")</f>
        <v>NORTHWEST</v>
      </c>
      <c r="L165" s="17" t="e">
        <f>SUMIFS([1]ACSDT5Y2020.B08301_data_with_ov!AT$3:AT$1334,[1]ACSDT5Y2020.B08301_data_with_ov!$AS$3:$AS$1334,$B165)</f>
        <v>#VALUE!</v>
      </c>
      <c r="M165" s="17" t="e">
        <f>SUMIFS([1]ACSDT5Y2020.B08301_data_with_ov!AU$3:AU$1334,[1]ACSDT5Y2020.B08301_data_with_ov!$AS$3:$AS$1334,$B165)</f>
        <v>#VALUE!</v>
      </c>
      <c r="N165" s="17" t="e">
        <f>SUMIFS([1]ACSDT5Y2020.B08301_data_with_ov!AV$3:AV$1334,[1]ACSDT5Y2020.B08301_data_with_ov!$AS$3:$AS$1334,$B165)</f>
        <v>#VALUE!</v>
      </c>
      <c r="O165" s="17" t="e">
        <f>SUMIFS([1]ACSDT5Y2020.B08301_data_with_ov!AW$3:AW$1334,[1]ACSDT5Y2020.B08301_data_with_ov!$AS$3:$AS$1334,$B165)</f>
        <v>#VALUE!</v>
      </c>
      <c r="P165" s="17" t="e">
        <f>SUMIFS([1]ACSDT5Y2020.B08301_data_with_ov!AX$3:AX$1334,[1]ACSDT5Y2020.B08301_data_with_ov!$AS$3:$AS$1334,$B165)</f>
        <v>#VALUE!</v>
      </c>
      <c r="Q165" s="17" t="e">
        <f>SUMIFS([1]ACSDT5Y2020.B08301_data_with_ov!AY$3:AY$1334,[1]ACSDT5Y2020.B08301_data_with_ov!$AS$3:$AS$1334,$B165)</f>
        <v>#VALUE!</v>
      </c>
      <c r="R165" s="17" t="e">
        <f>SUMIFS([1]ACSDT5Y2020.B08301_data_with_ov!AZ$3:AZ$1334,[1]ACSDT5Y2020.B08301_data_with_ov!$AS$3:$AS$1334,$B165)</f>
        <v>#VALUE!</v>
      </c>
      <c r="S165" s="17" t="e">
        <f>SUMIFS([1]ACSDT5Y2020.B08301_data_with_ov!BA$3:BA$1334,[1]ACSDT5Y2020.B08301_data_with_ov!$AS$3:$AS$1334,$B165)</f>
        <v>#VALUE!</v>
      </c>
      <c r="T165" s="188">
        <v>0.26640498262830542</v>
      </c>
      <c r="U165" s="189" t="e">
        <f t="shared" si="11"/>
        <v>#VALUE!</v>
      </c>
      <c r="V165" s="188">
        <v>0.25263301970761198</v>
      </c>
      <c r="W165" s="189" t="e">
        <f t="shared" si="8"/>
        <v>#VALUE!</v>
      </c>
      <c r="X165" s="188">
        <v>0.25263301970761198</v>
      </c>
      <c r="Y165" s="189" t="e">
        <f t="shared" si="9"/>
        <v>#VALUE!</v>
      </c>
      <c r="Z165" s="188">
        <v>0.25263301970761198</v>
      </c>
      <c r="AA165" s="189" t="e">
        <f t="shared" si="10"/>
        <v>#VALUE!</v>
      </c>
    </row>
    <row r="166" spans="1:27" x14ac:dyDescent="0.25">
      <c r="A166">
        <v>190402</v>
      </c>
      <c r="B166">
        <v>17031190402</v>
      </c>
      <c r="C166">
        <v>17031</v>
      </c>
      <c r="D166">
        <v>2010</v>
      </c>
      <c r="E166">
        <v>19</v>
      </c>
      <c r="F166">
        <v>7039853.4307249896</v>
      </c>
      <c r="G166" s="45">
        <v>0.25251999507593653</v>
      </c>
      <c r="H166" s="60" t="str">
        <f>_xlfn.IFNA(
INDEX('Community Areas'!B$2:B$78,MATCH($E166,'Community Areas'!$A$2:$A$78,0)),
"")</f>
        <v>BELMONT CRAGIN</v>
      </c>
      <c r="I166" s="63" t="str">
        <f>_xlfn.IFNA(
INDEX('Community Areas'!C$2:C$78,MATCH($E166,'Community Areas'!$A$2:$A$78,0)),
"")</f>
        <v>2-B</v>
      </c>
      <c r="J166" s="63">
        <f>_xlfn.IFNA(
INDEX('Community Areas'!D$2:D$78,MATCH($E166,'Community Areas'!$A$2:$A$78,0)),
"")</f>
        <v>2</v>
      </c>
      <c r="K166" s="60" t="str">
        <f>_xlfn.IFNA(
INDEX('Community Areas'!E$2:E$78,MATCH($E166,'Community Areas'!$A$2:$A$78,0)),
"")</f>
        <v>NORTHWEST</v>
      </c>
      <c r="L166" s="17" t="e">
        <f>SUMIFS([1]ACSDT5Y2020.B08301_data_with_ov!AT$3:AT$1334,[1]ACSDT5Y2020.B08301_data_with_ov!$AS$3:$AS$1334,$B166)</f>
        <v>#VALUE!</v>
      </c>
      <c r="M166" s="17" t="e">
        <f>SUMIFS([1]ACSDT5Y2020.B08301_data_with_ov!AU$3:AU$1334,[1]ACSDT5Y2020.B08301_data_with_ov!$AS$3:$AS$1334,$B166)</f>
        <v>#VALUE!</v>
      </c>
      <c r="N166" s="17" t="e">
        <f>SUMIFS([1]ACSDT5Y2020.B08301_data_with_ov!AV$3:AV$1334,[1]ACSDT5Y2020.B08301_data_with_ov!$AS$3:$AS$1334,$B166)</f>
        <v>#VALUE!</v>
      </c>
      <c r="O166" s="17" t="e">
        <f>SUMIFS([1]ACSDT5Y2020.B08301_data_with_ov!AW$3:AW$1334,[1]ACSDT5Y2020.B08301_data_with_ov!$AS$3:$AS$1334,$B166)</f>
        <v>#VALUE!</v>
      </c>
      <c r="P166" s="17" t="e">
        <f>SUMIFS([1]ACSDT5Y2020.B08301_data_with_ov!AX$3:AX$1334,[1]ACSDT5Y2020.B08301_data_with_ov!$AS$3:$AS$1334,$B166)</f>
        <v>#VALUE!</v>
      </c>
      <c r="Q166" s="17" t="e">
        <f>SUMIFS([1]ACSDT5Y2020.B08301_data_with_ov!AY$3:AY$1334,[1]ACSDT5Y2020.B08301_data_with_ov!$AS$3:$AS$1334,$B166)</f>
        <v>#VALUE!</v>
      </c>
      <c r="R166" s="17" t="e">
        <f>SUMIFS([1]ACSDT5Y2020.B08301_data_with_ov!AZ$3:AZ$1334,[1]ACSDT5Y2020.B08301_data_with_ov!$AS$3:$AS$1334,$B166)</f>
        <v>#VALUE!</v>
      </c>
      <c r="S166" s="17" t="e">
        <f>SUMIFS([1]ACSDT5Y2020.B08301_data_with_ov!BA$3:BA$1334,[1]ACSDT5Y2020.B08301_data_with_ov!$AS$3:$AS$1334,$B166)</f>
        <v>#VALUE!</v>
      </c>
      <c r="T166" s="188">
        <v>0.25043028302252535</v>
      </c>
      <c r="U166" s="189" t="e">
        <f t="shared" si="11"/>
        <v>#VALUE!</v>
      </c>
      <c r="V166" s="188">
        <v>0</v>
      </c>
      <c r="W166" s="189" t="e">
        <f t="shared" si="8"/>
        <v>#VALUE!</v>
      </c>
      <c r="X166" s="188">
        <v>0</v>
      </c>
      <c r="Y166" s="189" t="e">
        <f t="shared" si="9"/>
        <v>#VALUE!</v>
      </c>
      <c r="Z166" s="188">
        <v>0</v>
      </c>
      <c r="AA166" s="189" t="e">
        <f t="shared" si="10"/>
        <v>#VALUE!</v>
      </c>
    </row>
    <row r="167" spans="1:27" x14ac:dyDescent="0.25">
      <c r="A167">
        <v>191301</v>
      </c>
      <c r="B167">
        <v>17031191301</v>
      </c>
      <c r="C167">
        <v>17031</v>
      </c>
      <c r="D167">
        <v>2010</v>
      </c>
      <c r="E167">
        <v>19</v>
      </c>
      <c r="F167">
        <v>7265548.0021337401</v>
      </c>
      <c r="G167" s="45">
        <v>0.26061567385982481</v>
      </c>
      <c r="H167" s="60" t="str">
        <f>_xlfn.IFNA(
INDEX('Community Areas'!B$2:B$78,MATCH($E167,'Community Areas'!$A$2:$A$78,0)),
"")</f>
        <v>BELMONT CRAGIN</v>
      </c>
      <c r="I167" s="63" t="str">
        <f>_xlfn.IFNA(
INDEX('Community Areas'!C$2:C$78,MATCH($E167,'Community Areas'!$A$2:$A$78,0)),
"")</f>
        <v>2-B</v>
      </c>
      <c r="J167" s="63">
        <f>_xlfn.IFNA(
INDEX('Community Areas'!D$2:D$78,MATCH($E167,'Community Areas'!$A$2:$A$78,0)),
"")</f>
        <v>2</v>
      </c>
      <c r="K167" s="60" t="str">
        <f>_xlfn.IFNA(
INDEX('Community Areas'!E$2:E$78,MATCH($E167,'Community Areas'!$A$2:$A$78,0)),
"")</f>
        <v>NORTHWEST</v>
      </c>
      <c r="L167" s="17" t="e">
        <f>SUMIFS([1]ACSDT5Y2020.B08301_data_with_ov!AT$3:AT$1334,[1]ACSDT5Y2020.B08301_data_with_ov!$AS$3:$AS$1334,$B167)</f>
        <v>#VALUE!</v>
      </c>
      <c r="M167" s="17" t="e">
        <f>SUMIFS([1]ACSDT5Y2020.B08301_data_with_ov!AU$3:AU$1334,[1]ACSDT5Y2020.B08301_data_with_ov!$AS$3:$AS$1334,$B167)</f>
        <v>#VALUE!</v>
      </c>
      <c r="N167" s="17" t="e">
        <f>SUMIFS([1]ACSDT5Y2020.B08301_data_with_ov!AV$3:AV$1334,[1]ACSDT5Y2020.B08301_data_with_ov!$AS$3:$AS$1334,$B167)</f>
        <v>#VALUE!</v>
      </c>
      <c r="O167" s="17" t="e">
        <f>SUMIFS([1]ACSDT5Y2020.B08301_data_with_ov!AW$3:AW$1334,[1]ACSDT5Y2020.B08301_data_with_ov!$AS$3:$AS$1334,$B167)</f>
        <v>#VALUE!</v>
      </c>
      <c r="P167" s="17" t="e">
        <f>SUMIFS([1]ACSDT5Y2020.B08301_data_with_ov!AX$3:AX$1334,[1]ACSDT5Y2020.B08301_data_with_ov!$AS$3:$AS$1334,$B167)</f>
        <v>#VALUE!</v>
      </c>
      <c r="Q167" s="17" t="e">
        <f>SUMIFS([1]ACSDT5Y2020.B08301_data_with_ov!AY$3:AY$1334,[1]ACSDT5Y2020.B08301_data_with_ov!$AS$3:$AS$1334,$B167)</f>
        <v>#VALUE!</v>
      </c>
      <c r="R167" s="17" t="e">
        <f>SUMIFS([1]ACSDT5Y2020.B08301_data_with_ov!AZ$3:AZ$1334,[1]ACSDT5Y2020.B08301_data_with_ov!$AS$3:$AS$1334,$B167)</f>
        <v>#VALUE!</v>
      </c>
      <c r="S167" s="17" t="e">
        <f>SUMIFS([1]ACSDT5Y2020.B08301_data_with_ov!BA$3:BA$1334,[1]ACSDT5Y2020.B08301_data_with_ov!$AS$3:$AS$1334,$B167)</f>
        <v>#VALUE!</v>
      </c>
      <c r="T167" s="188">
        <v>0.24978435530978285</v>
      </c>
      <c r="U167" s="189" t="e">
        <f t="shared" si="11"/>
        <v>#VALUE!</v>
      </c>
      <c r="V167" s="188">
        <v>0.19599048324155152</v>
      </c>
      <c r="W167" s="189" t="e">
        <f t="shared" si="8"/>
        <v>#VALUE!</v>
      </c>
      <c r="X167" s="188">
        <v>0.19599048324155152</v>
      </c>
      <c r="Y167" s="189" t="e">
        <f t="shared" si="9"/>
        <v>#VALUE!</v>
      </c>
      <c r="Z167" s="188">
        <v>0.19599048324155152</v>
      </c>
      <c r="AA167" s="189" t="e">
        <f t="shared" si="10"/>
        <v>#VALUE!</v>
      </c>
    </row>
    <row r="168" spans="1:27" x14ac:dyDescent="0.25">
      <c r="A168">
        <v>191302</v>
      </c>
      <c r="B168">
        <v>17031191302</v>
      </c>
      <c r="C168">
        <v>17031</v>
      </c>
      <c r="D168">
        <v>2010</v>
      </c>
      <c r="E168">
        <v>19</v>
      </c>
      <c r="F168">
        <v>6728715.09515882</v>
      </c>
      <c r="G168" s="45">
        <v>0.24135944297946868</v>
      </c>
      <c r="H168" s="60" t="str">
        <f>_xlfn.IFNA(
INDEX('Community Areas'!B$2:B$78,MATCH($E168,'Community Areas'!$A$2:$A$78,0)),
"")</f>
        <v>BELMONT CRAGIN</v>
      </c>
      <c r="I168" s="63" t="str">
        <f>_xlfn.IFNA(
INDEX('Community Areas'!C$2:C$78,MATCH($E168,'Community Areas'!$A$2:$A$78,0)),
"")</f>
        <v>2-B</v>
      </c>
      <c r="J168" s="63">
        <f>_xlfn.IFNA(
INDEX('Community Areas'!D$2:D$78,MATCH($E168,'Community Areas'!$A$2:$A$78,0)),
"")</f>
        <v>2</v>
      </c>
      <c r="K168" s="60" t="str">
        <f>_xlfn.IFNA(
INDEX('Community Areas'!E$2:E$78,MATCH($E168,'Community Areas'!$A$2:$A$78,0)),
"")</f>
        <v>NORTHWEST</v>
      </c>
      <c r="L168" s="17" t="e">
        <f>SUMIFS([1]ACSDT5Y2020.B08301_data_with_ov!AT$3:AT$1334,[1]ACSDT5Y2020.B08301_data_with_ov!$AS$3:$AS$1334,$B168)</f>
        <v>#VALUE!</v>
      </c>
      <c r="M168" s="17" t="e">
        <f>SUMIFS([1]ACSDT5Y2020.B08301_data_with_ov!AU$3:AU$1334,[1]ACSDT5Y2020.B08301_data_with_ov!$AS$3:$AS$1334,$B168)</f>
        <v>#VALUE!</v>
      </c>
      <c r="N168" s="17" t="e">
        <f>SUMIFS([1]ACSDT5Y2020.B08301_data_with_ov!AV$3:AV$1334,[1]ACSDT5Y2020.B08301_data_with_ov!$AS$3:$AS$1334,$B168)</f>
        <v>#VALUE!</v>
      </c>
      <c r="O168" s="17" t="e">
        <f>SUMIFS([1]ACSDT5Y2020.B08301_data_with_ov!AW$3:AW$1334,[1]ACSDT5Y2020.B08301_data_with_ov!$AS$3:$AS$1334,$B168)</f>
        <v>#VALUE!</v>
      </c>
      <c r="P168" s="17" t="e">
        <f>SUMIFS([1]ACSDT5Y2020.B08301_data_with_ov!AX$3:AX$1334,[1]ACSDT5Y2020.B08301_data_with_ov!$AS$3:$AS$1334,$B168)</f>
        <v>#VALUE!</v>
      </c>
      <c r="Q168" s="17" t="e">
        <f>SUMIFS([1]ACSDT5Y2020.B08301_data_with_ov!AY$3:AY$1334,[1]ACSDT5Y2020.B08301_data_with_ov!$AS$3:$AS$1334,$B168)</f>
        <v>#VALUE!</v>
      </c>
      <c r="R168" s="17" t="e">
        <f>SUMIFS([1]ACSDT5Y2020.B08301_data_with_ov!AZ$3:AZ$1334,[1]ACSDT5Y2020.B08301_data_with_ov!$AS$3:$AS$1334,$B168)</f>
        <v>#VALUE!</v>
      </c>
      <c r="S168" s="17" t="e">
        <f>SUMIFS([1]ACSDT5Y2020.B08301_data_with_ov!BA$3:BA$1334,[1]ACSDT5Y2020.B08301_data_with_ov!$AS$3:$AS$1334,$B168)</f>
        <v>#VALUE!</v>
      </c>
      <c r="T168" s="188">
        <v>0</v>
      </c>
      <c r="U168" s="189" t="e">
        <f t="shared" si="11"/>
        <v>#VALUE!</v>
      </c>
      <c r="V168" s="188">
        <v>0</v>
      </c>
      <c r="W168" s="189" t="e">
        <f t="shared" si="8"/>
        <v>#VALUE!</v>
      </c>
      <c r="X168" s="188">
        <v>0</v>
      </c>
      <c r="Y168" s="189" t="e">
        <f t="shared" si="9"/>
        <v>#VALUE!</v>
      </c>
      <c r="Z168" s="188">
        <v>0</v>
      </c>
      <c r="AA168" s="189" t="e">
        <f t="shared" si="10"/>
        <v>#VALUE!</v>
      </c>
    </row>
    <row r="169" spans="1:27" x14ac:dyDescent="0.25">
      <c r="A169">
        <v>190701</v>
      </c>
      <c r="B169">
        <v>17031190701</v>
      </c>
      <c r="C169">
        <v>17031</v>
      </c>
      <c r="D169">
        <v>2010</v>
      </c>
      <c r="E169">
        <v>19</v>
      </c>
      <c r="F169">
        <v>2991439.6685200101</v>
      </c>
      <c r="G169" s="45">
        <v>0.10730313319702744</v>
      </c>
      <c r="H169" s="60" t="str">
        <f>_xlfn.IFNA(
INDEX('Community Areas'!B$2:B$78,MATCH($E169,'Community Areas'!$A$2:$A$78,0)),
"")</f>
        <v>BELMONT CRAGIN</v>
      </c>
      <c r="I169" s="63" t="str">
        <f>_xlfn.IFNA(
INDEX('Community Areas'!C$2:C$78,MATCH($E169,'Community Areas'!$A$2:$A$78,0)),
"")</f>
        <v>2-B</v>
      </c>
      <c r="J169" s="63">
        <f>_xlfn.IFNA(
INDEX('Community Areas'!D$2:D$78,MATCH($E169,'Community Areas'!$A$2:$A$78,0)),
"")</f>
        <v>2</v>
      </c>
      <c r="K169" s="60" t="str">
        <f>_xlfn.IFNA(
INDEX('Community Areas'!E$2:E$78,MATCH($E169,'Community Areas'!$A$2:$A$78,0)),
"")</f>
        <v>NORTHWEST</v>
      </c>
      <c r="L169" s="17" t="e">
        <f>SUMIFS([1]ACSDT5Y2020.B08301_data_with_ov!AT$3:AT$1334,[1]ACSDT5Y2020.B08301_data_with_ov!$AS$3:$AS$1334,$B169)</f>
        <v>#VALUE!</v>
      </c>
      <c r="M169" s="17" t="e">
        <f>SUMIFS([1]ACSDT5Y2020.B08301_data_with_ov!AU$3:AU$1334,[1]ACSDT5Y2020.B08301_data_with_ov!$AS$3:$AS$1334,$B169)</f>
        <v>#VALUE!</v>
      </c>
      <c r="N169" s="17" t="e">
        <f>SUMIFS([1]ACSDT5Y2020.B08301_data_with_ov!AV$3:AV$1334,[1]ACSDT5Y2020.B08301_data_with_ov!$AS$3:$AS$1334,$B169)</f>
        <v>#VALUE!</v>
      </c>
      <c r="O169" s="17" t="e">
        <f>SUMIFS([1]ACSDT5Y2020.B08301_data_with_ov!AW$3:AW$1334,[1]ACSDT5Y2020.B08301_data_with_ov!$AS$3:$AS$1334,$B169)</f>
        <v>#VALUE!</v>
      </c>
      <c r="P169" s="17" t="e">
        <f>SUMIFS([1]ACSDT5Y2020.B08301_data_with_ov!AX$3:AX$1334,[1]ACSDT5Y2020.B08301_data_with_ov!$AS$3:$AS$1334,$B169)</f>
        <v>#VALUE!</v>
      </c>
      <c r="Q169" s="17" t="e">
        <f>SUMIFS([1]ACSDT5Y2020.B08301_data_with_ov!AY$3:AY$1334,[1]ACSDT5Y2020.B08301_data_with_ov!$AS$3:$AS$1334,$B169)</f>
        <v>#VALUE!</v>
      </c>
      <c r="R169" s="17" t="e">
        <f>SUMIFS([1]ACSDT5Y2020.B08301_data_with_ov!AZ$3:AZ$1334,[1]ACSDT5Y2020.B08301_data_with_ov!$AS$3:$AS$1334,$B169)</f>
        <v>#VALUE!</v>
      </c>
      <c r="S169" s="17" t="e">
        <f>SUMIFS([1]ACSDT5Y2020.B08301_data_with_ov!BA$3:BA$1334,[1]ACSDT5Y2020.B08301_data_with_ov!$AS$3:$AS$1334,$B169)</f>
        <v>#VALUE!</v>
      </c>
      <c r="T169" s="188">
        <v>0.10730313383932148</v>
      </c>
      <c r="U169" s="189" t="e">
        <f t="shared" si="11"/>
        <v>#VALUE!</v>
      </c>
      <c r="V169" s="188">
        <v>0.1024208865992679</v>
      </c>
      <c r="W169" s="189" t="e">
        <f t="shared" si="8"/>
        <v>#VALUE!</v>
      </c>
      <c r="X169" s="188">
        <v>0.1024208865992679</v>
      </c>
      <c r="Y169" s="189" t="e">
        <f t="shared" si="9"/>
        <v>#VALUE!</v>
      </c>
      <c r="Z169" s="188">
        <v>0.1024208865992679</v>
      </c>
      <c r="AA169" s="189" t="e">
        <f t="shared" si="10"/>
        <v>#VALUE!</v>
      </c>
    </row>
    <row r="170" spans="1:27" x14ac:dyDescent="0.25">
      <c r="A170">
        <v>190200</v>
      </c>
      <c r="B170">
        <v>17031190200</v>
      </c>
      <c r="C170">
        <v>17031</v>
      </c>
      <c r="D170">
        <v>2010</v>
      </c>
      <c r="E170">
        <v>19</v>
      </c>
      <c r="F170">
        <v>7105231.4429142596</v>
      </c>
      <c r="G170" s="45">
        <v>0.25486510857560907</v>
      </c>
      <c r="H170" s="60" t="str">
        <f>_xlfn.IFNA(
INDEX('Community Areas'!B$2:B$78,MATCH($E170,'Community Areas'!$A$2:$A$78,0)),
"")</f>
        <v>BELMONT CRAGIN</v>
      </c>
      <c r="I170" s="63" t="str">
        <f>_xlfn.IFNA(
INDEX('Community Areas'!C$2:C$78,MATCH($E170,'Community Areas'!$A$2:$A$78,0)),
"")</f>
        <v>2-B</v>
      </c>
      <c r="J170" s="63">
        <f>_xlfn.IFNA(
INDEX('Community Areas'!D$2:D$78,MATCH($E170,'Community Areas'!$A$2:$A$78,0)),
"")</f>
        <v>2</v>
      </c>
      <c r="K170" s="60" t="str">
        <f>_xlfn.IFNA(
INDEX('Community Areas'!E$2:E$78,MATCH($E170,'Community Areas'!$A$2:$A$78,0)),
"")</f>
        <v>NORTHWEST</v>
      </c>
      <c r="L170" s="17" t="e">
        <f>SUMIFS([1]ACSDT5Y2020.B08301_data_with_ov!AT$3:AT$1334,[1]ACSDT5Y2020.B08301_data_with_ov!$AS$3:$AS$1334,$B170)</f>
        <v>#VALUE!</v>
      </c>
      <c r="M170" s="17" t="e">
        <f>SUMIFS([1]ACSDT5Y2020.B08301_data_with_ov!AU$3:AU$1334,[1]ACSDT5Y2020.B08301_data_with_ov!$AS$3:$AS$1334,$B170)</f>
        <v>#VALUE!</v>
      </c>
      <c r="N170" s="17" t="e">
        <f>SUMIFS([1]ACSDT5Y2020.B08301_data_with_ov!AV$3:AV$1334,[1]ACSDT5Y2020.B08301_data_with_ov!$AS$3:$AS$1334,$B170)</f>
        <v>#VALUE!</v>
      </c>
      <c r="O170" s="17" t="e">
        <f>SUMIFS([1]ACSDT5Y2020.B08301_data_with_ov!AW$3:AW$1334,[1]ACSDT5Y2020.B08301_data_with_ov!$AS$3:$AS$1334,$B170)</f>
        <v>#VALUE!</v>
      </c>
      <c r="P170" s="17" t="e">
        <f>SUMIFS([1]ACSDT5Y2020.B08301_data_with_ov!AX$3:AX$1334,[1]ACSDT5Y2020.B08301_data_with_ov!$AS$3:$AS$1334,$B170)</f>
        <v>#VALUE!</v>
      </c>
      <c r="Q170" s="17" t="e">
        <f>SUMIFS([1]ACSDT5Y2020.B08301_data_with_ov!AY$3:AY$1334,[1]ACSDT5Y2020.B08301_data_with_ov!$AS$3:$AS$1334,$B170)</f>
        <v>#VALUE!</v>
      </c>
      <c r="R170" s="17" t="e">
        <f>SUMIFS([1]ACSDT5Y2020.B08301_data_with_ov!AZ$3:AZ$1334,[1]ACSDT5Y2020.B08301_data_with_ov!$AS$3:$AS$1334,$B170)</f>
        <v>#VALUE!</v>
      </c>
      <c r="S170" s="17" t="e">
        <f>SUMIFS([1]ACSDT5Y2020.B08301_data_with_ov!BA$3:BA$1334,[1]ACSDT5Y2020.B08301_data_with_ov!$AS$3:$AS$1334,$B170)</f>
        <v>#VALUE!</v>
      </c>
      <c r="T170" s="188">
        <v>0.25295597798854846</v>
      </c>
      <c r="U170" s="189" t="e">
        <f t="shared" si="11"/>
        <v>#VALUE!</v>
      </c>
      <c r="V170" s="188">
        <v>0.25295574674014615</v>
      </c>
      <c r="W170" s="189" t="e">
        <f t="shared" si="8"/>
        <v>#VALUE!</v>
      </c>
      <c r="X170" s="188">
        <v>0.25295574674014615</v>
      </c>
      <c r="Y170" s="189" t="e">
        <f t="shared" si="9"/>
        <v>#VALUE!</v>
      </c>
      <c r="Z170" s="188">
        <v>0.25295574674014615</v>
      </c>
      <c r="AA170" s="189" t="e">
        <f t="shared" si="10"/>
        <v>#VALUE!</v>
      </c>
    </row>
    <row r="171" spans="1:27" x14ac:dyDescent="0.25">
      <c r="A171">
        <v>190702</v>
      </c>
      <c r="B171">
        <v>17031190702</v>
      </c>
      <c r="C171">
        <v>17031</v>
      </c>
      <c r="D171">
        <v>2010</v>
      </c>
      <c r="E171">
        <v>19</v>
      </c>
      <c r="F171">
        <v>4127442.5548152002</v>
      </c>
      <c r="G171" s="45">
        <v>0.14805162974974173</v>
      </c>
      <c r="H171" s="60" t="str">
        <f>_xlfn.IFNA(
INDEX('Community Areas'!B$2:B$78,MATCH($E171,'Community Areas'!$A$2:$A$78,0)),
"")</f>
        <v>BELMONT CRAGIN</v>
      </c>
      <c r="I171" s="63" t="str">
        <f>_xlfn.IFNA(
INDEX('Community Areas'!C$2:C$78,MATCH($E171,'Community Areas'!$A$2:$A$78,0)),
"")</f>
        <v>2-B</v>
      </c>
      <c r="J171" s="63">
        <f>_xlfn.IFNA(
INDEX('Community Areas'!D$2:D$78,MATCH($E171,'Community Areas'!$A$2:$A$78,0)),
"")</f>
        <v>2</v>
      </c>
      <c r="K171" s="60" t="str">
        <f>_xlfn.IFNA(
INDEX('Community Areas'!E$2:E$78,MATCH($E171,'Community Areas'!$A$2:$A$78,0)),
"")</f>
        <v>NORTHWEST</v>
      </c>
      <c r="L171" s="17" t="e">
        <f>SUMIFS([1]ACSDT5Y2020.B08301_data_with_ov!AT$3:AT$1334,[1]ACSDT5Y2020.B08301_data_with_ov!$AS$3:$AS$1334,$B171)</f>
        <v>#VALUE!</v>
      </c>
      <c r="M171" s="17" t="e">
        <f>SUMIFS([1]ACSDT5Y2020.B08301_data_with_ov!AU$3:AU$1334,[1]ACSDT5Y2020.B08301_data_with_ov!$AS$3:$AS$1334,$B171)</f>
        <v>#VALUE!</v>
      </c>
      <c r="N171" s="17" t="e">
        <f>SUMIFS([1]ACSDT5Y2020.B08301_data_with_ov!AV$3:AV$1334,[1]ACSDT5Y2020.B08301_data_with_ov!$AS$3:$AS$1334,$B171)</f>
        <v>#VALUE!</v>
      </c>
      <c r="O171" s="17" t="e">
        <f>SUMIFS([1]ACSDT5Y2020.B08301_data_with_ov!AW$3:AW$1334,[1]ACSDT5Y2020.B08301_data_with_ov!$AS$3:$AS$1334,$B171)</f>
        <v>#VALUE!</v>
      </c>
      <c r="P171" s="17" t="e">
        <f>SUMIFS([1]ACSDT5Y2020.B08301_data_with_ov!AX$3:AX$1334,[1]ACSDT5Y2020.B08301_data_with_ov!$AS$3:$AS$1334,$B171)</f>
        <v>#VALUE!</v>
      </c>
      <c r="Q171" s="17" t="e">
        <f>SUMIFS([1]ACSDT5Y2020.B08301_data_with_ov!AY$3:AY$1334,[1]ACSDT5Y2020.B08301_data_with_ov!$AS$3:$AS$1334,$B171)</f>
        <v>#VALUE!</v>
      </c>
      <c r="R171" s="17" t="e">
        <f>SUMIFS([1]ACSDT5Y2020.B08301_data_with_ov!AZ$3:AZ$1334,[1]ACSDT5Y2020.B08301_data_with_ov!$AS$3:$AS$1334,$B171)</f>
        <v>#VALUE!</v>
      </c>
      <c r="S171" s="17" t="e">
        <f>SUMIFS([1]ACSDT5Y2020.B08301_data_with_ov!BA$3:BA$1334,[1]ACSDT5Y2020.B08301_data_with_ov!$AS$3:$AS$1334,$B171)</f>
        <v>#VALUE!</v>
      </c>
      <c r="T171" s="188">
        <v>0.14620390520553656</v>
      </c>
      <c r="U171" s="189" t="e">
        <f t="shared" si="11"/>
        <v>#VALUE!</v>
      </c>
      <c r="V171" s="188">
        <v>9.5309307830231643E-2</v>
      </c>
      <c r="W171" s="189" t="e">
        <f t="shared" si="8"/>
        <v>#VALUE!</v>
      </c>
      <c r="X171" s="188">
        <v>9.5309307830231643E-2</v>
      </c>
      <c r="Y171" s="189" t="e">
        <f t="shared" si="9"/>
        <v>#VALUE!</v>
      </c>
      <c r="Z171" s="188">
        <v>9.5309307830231643E-2</v>
      </c>
      <c r="AA171" s="189" t="e">
        <f t="shared" si="10"/>
        <v>#VALUE!</v>
      </c>
    </row>
    <row r="172" spans="1:27" x14ac:dyDescent="0.25">
      <c r="A172">
        <v>191200</v>
      </c>
      <c r="B172">
        <v>17031191200</v>
      </c>
      <c r="C172">
        <v>17031</v>
      </c>
      <c r="D172">
        <v>2010</v>
      </c>
      <c r="E172">
        <v>19</v>
      </c>
      <c r="F172">
        <v>7617170.57477534</v>
      </c>
      <c r="G172" s="45">
        <v>0.2732283981424809</v>
      </c>
      <c r="H172" s="60" t="str">
        <f>_xlfn.IFNA(
INDEX('Community Areas'!B$2:B$78,MATCH($E172,'Community Areas'!$A$2:$A$78,0)),
"")</f>
        <v>BELMONT CRAGIN</v>
      </c>
      <c r="I172" s="63" t="str">
        <f>_xlfn.IFNA(
INDEX('Community Areas'!C$2:C$78,MATCH($E172,'Community Areas'!$A$2:$A$78,0)),
"")</f>
        <v>2-B</v>
      </c>
      <c r="J172" s="63">
        <f>_xlfn.IFNA(
INDEX('Community Areas'!D$2:D$78,MATCH($E172,'Community Areas'!$A$2:$A$78,0)),
"")</f>
        <v>2</v>
      </c>
      <c r="K172" s="60" t="str">
        <f>_xlfn.IFNA(
INDEX('Community Areas'!E$2:E$78,MATCH($E172,'Community Areas'!$A$2:$A$78,0)),
"")</f>
        <v>NORTHWEST</v>
      </c>
      <c r="L172" s="17" t="e">
        <f>SUMIFS([1]ACSDT5Y2020.B08301_data_with_ov!AT$3:AT$1334,[1]ACSDT5Y2020.B08301_data_with_ov!$AS$3:$AS$1334,$B172)</f>
        <v>#VALUE!</v>
      </c>
      <c r="M172" s="17" t="e">
        <f>SUMIFS([1]ACSDT5Y2020.B08301_data_with_ov!AU$3:AU$1334,[1]ACSDT5Y2020.B08301_data_with_ov!$AS$3:$AS$1334,$B172)</f>
        <v>#VALUE!</v>
      </c>
      <c r="N172" s="17" t="e">
        <f>SUMIFS([1]ACSDT5Y2020.B08301_data_with_ov!AV$3:AV$1334,[1]ACSDT5Y2020.B08301_data_with_ov!$AS$3:$AS$1334,$B172)</f>
        <v>#VALUE!</v>
      </c>
      <c r="O172" s="17" t="e">
        <f>SUMIFS([1]ACSDT5Y2020.B08301_data_with_ov!AW$3:AW$1334,[1]ACSDT5Y2020.B08301_data_with_ov!$AS$3:$AS$1334,$B172)</f>
        <v>#VALUE!</v>
      </c>
      <c r="P172" s="17" t="e">
        <f>SUMIFS([1]ACSDT5Y2020.B08301_data_with_ov!AX$3:AX$1334,[1]ACSDT5Y2020.B08301_data_with_ov!$AS$3:$AS$1334,$B172)</f>
        <v>#VALUE!</v>
      </c>
      <c r="Q172" s="17" t="e">
        <f>SUMIFS([1]ACSDT5Y2020.B08301_data_with_ov!AY$3:AY$1334,[1]ACSDT5Y2020.B08301_data_with_ov!$AS$3:$AS$1334,$B172)</f>
        <v>#VALUE!</v>
      </c>
      <c r="R172" s="17" t="e">
        <f>SUMIFS([1]ACSDT5Y2020.B08301_data_with_ov!AZ$3:AZ$1334,[1]ACSDT5Y2020.B08301_data_with_ov!$AS$3:$AS$1334,$B172)</f>
        <v>#VALUE!</v>
      </c>
      <c r="S172" s="17" t="e">
        <f>SUMIFS([1]ACSDT5Y2020.B08301_data_with_ov!BA$3:BA$1334,[1]ACSDT5Y2020.B08301_data_with_ov!$AS$3:$AS$1334,$B172)</f>
        <v>#VALUE!</v>
      </c>
      <c r="T172" s="188">
        <v>0</v>
      </c>
      <c r="U172" s="189" t="e">
        <f t="shared" si="11"/>
        <v>#VALUE!</v>
      </c>
      <c r="V172" s="188">
        <v>0</v>
      </c>
      <c r="W172" s="189" t="e">
        <f t="shared" si="8"/>
        <v>#VALUE!</v>
      </c>
      <c r="X172" s="188">
        <v>0</v>
      </c>
      <c r="Y172" s="189" t="e">
        <f t="shared" si="9"/>
        <v>#VALUE!</v>
      </c>
      <c r="Z172" s="188">
        <v>0</v>
      </c>
      <c r="AA172" s="189" t="e">
        <f t="shared" si="10"/>
        <v>#VALUE!</v>
      </c>
    </row>
    <row r="173" spans="1:27" x14ac:dyDescent="0.25">
      <c r="A173">
        <v>191100</v>
      </c>
      <c r="B173">
        <v>17031191100</v>
      </c>
      <c r="C173">
        <v>17031</v>
      </c>
      <c r="D173">
        <v>2010</v>
      </c>
      <c r="E173">
        <v>19</v>
      </c>
      <c r="F173">
        <v>8981432.49748745</v>
      </c>
      <c r="G173" s="45">
        <v>0.32216456100376817</v>
      </c>
      <c r="H173" s="60" t="str">
        <f>_xlfn.IFNA(
INDEX('Community Areas'!B$2:B$78,MATCH($E173,'Community Areas'!$A$2:$A$78,0)),
"")</f>
        <v>BELMONT CRAGIN</v>
      </c>
      <c r="I173" s="63" t="str">
        <f>_xlfn.IFNA(
INDEX('Community Areas'!C$2:C$78,MATCH($E173,'Community Areas'!$A$2:$A$78,0)),
"")</f>
        <v>2-B</v>
      </c>
      <c r="J173" s="63">
        <f>_xlfn.IFNA(
INDEX('Community Areas'!D$2:D$78,MATCH($E173,'Community Areas'!$A$2:$A$78,0)),
"")</f>
        <v>2</v>
      </c>
      <c r="K173" s="60" t="str">
        <f>_xlfn.IFNA(
INDEX('Community Areas'!E$2:E$78,MATCH($E173,'Community Areas'!$A$2:$A$78,0)),
"")</f>
        <v>NORTHWEST</v>
      </c>
      <c r="L173" s="17" t="e">
        <f>SUMIFS([1]ACSDT5Y2020.B08301_data_with_ov!AT$3:AT$1334,[1]ACSDT5Y2020.B08301_data_with_ov!$AS$3:$AS$1334,$B173)</f>
        <v>#VALUE!</v>
      </c>
      <c r="M173" s="17" t="e">
        <f>SUMIFS([1]ACSDT5Y2020.B08301_data_with_ov!AU$3:AU$1334,[1]ACSDT5Y2020.B08301_data_with_ov!$AS$3:$AS$1334,$B173)</f>
        <v>#VALUE!</v>
      </c>
      <c r="N173" s="17" t="e">
        <f>SUMIFS([1]ACSDT5Y2020.B08301_data_with_ov!AV$3:AV$1334,[1]ACSDT5Y2020.B08301_data_with_ov!$AS$3:$AS$1334,$B173)</f>
        <v>#VALUE!</v>
      </c>
      <c r="O173" s="17" t="e">
        <f>SUMIFS([1]ACSDT5Y2020.B08301_data_with_ov!AW$3:AW$1334,[1]ACSDT5Y2020.B08301_data_with_ov!$AS$3:$AS$1334,$B173)</f>
        <v>#VALUE!</v>
      </c>
      <c r="P173" s="17" t="e">
        <f>SUMIFS([1]ACSDT5Y2020.B08301_data_with_ov!AX$3:AX$1334,[1]ACSDT5Y2020.B08301_data_with_ov!$AS$3:$AS$1334,$B173)</f>
        <v>#VALUE!</v>
      </c>
      <c r="Q173" s="17" t="e">
        <f>SUMIFS([1]ACSDT5Y2020.B08301_data_with_ov!AY$3:AY$1334,[1]ACSDT5Y2020.B08301_data_with_ov!$AS$3:$AS$1334,$B173)</f>
        <v>#VALUE!</v>
      </c>
      <c r="R173" s="17" t="e">
        <f>SUMIFS([1]ACSDT5Y2020.B08301_data_with_ov!AZ$3:AZ$1334,[1]ACSDT5Y2020.B08301_data_with_ov!$AS$3:$AS$1334,$B173)</f>
        <v>#VALUE!</v>
      </c>
      <c r="S173" s="17" t="e">
        <f>SUMIFS([1]ACSDT5Y2020.B08301_data_with_ov!BA$3:BA$1334,[1]ACSDT5Y2020.B08301_data_with_ov!$AS$3:$AS$1334,$B173)</f>
        <v>#VALUE!</v>
      </c>
      <c r="T173" s="188">
        <v>0</v>
      </c>
      <c r="U173" s="189" t="e">
        <f t="shared" si="11"/>
        <v>#VALUE!</v>
      </c>
      <c r="V173" s="188">
        <v>0</v>
      </c>
      <c r="W173" s="189" t="e">
        <f t="shared" si="8"/>
        <v>#VALUE!</v>
      </c>
      <c r="X173" s="188">
        <v>0</v>
      </c>
      <c r="Y173" s="189" t="e">
        <f t="shared" si="9"/>
        <v>#VALUE!</v>
      </c>
      <c r="Z173" s="188">
        <v>0</v>
      </c>
      <c r="AA173" s="189" t="e">
        <f t="shared" si="10"/>
        <v>#VALUE!</v>
      </c>
    </row>
    <row r="174" spans="1:27" x14ac:dyDescent="0.25">
      <c r="A174">
        <v>190401</v>
      </c>
      <c r="B174">
        <v>17031190401</v>
      </c>
      <c r="C174">
        <v>17031</v>
      </c>
      <c r="D174">
        <v>2010</v>
      </c>
      <c r="E174">
        <v>19</v>
      </c>
      <c r="F174">
        <v>7055926.2749540601</v>
      </c>
      <c r="G174" s="45">
        <v>0.25309652903158214</v>
      </c>
      <c r="H174" s="60" t="str">
        <f>_xlfn.IFNA(
INDEX('Community Areas'!B$2:B$78,MATCH($E174,'Community Areas'!$A$2:$A$78,0)),
"")</f>
        <v>BELMONT CRAGIN</v>
      </c>
      <c r="I174" s="63" t="str">
        <f>_xlfn.IFNA(
INDEX('Community Areas'!C$2:C$78,MATCH($E174,'Community Areas'!$A$2:$A$78,0)),
"")</f>
        <v>2-B</v>
      </c>
      <c r="J174" s="63">
        <f>_xlfn.IFNA(
INDEX('Community Areas'!D$2:D$78,MATCH($E174,'Community Areas'!$A$2:$A$78,0)),
"")</f>
        <v>2</v>
      </c>
      <c r="K174" s="60" t="str">
        <f>_xlfn.IFNA(
INDEX('Community Areas'!E$2:E$78,MATCH($E174,'Community Areas'!$A$2:$A$78,0)),
"")</f>
        <v>NORTHWEST</v>
      </c>
      <c r="L174" s="17" t="e">
        <f>SUMIFS([1]ACSDT5Y2020.B08301_data_with_ov!AT$3:AT$1334,[1]ACSDT5Y2020.B08301_data_with_ov!$AS$3:$AS$1334,$B174)</f>
        <v>#VALUE!</v>
      </c>
      <c r="M174" s="17" t="e">
        <f>SUMIFS([1]ACSDT5Y2020.B08301_data_with_ov!AU$3:AU$1334,[1]ACSDT5Y2020.B08301_data_with_ov!$AS$3:$AS$1334,$B174)</f>
        <v>#VALUE!</v>
      </c>
      <c r="N174" s="17" t="e">
        <f>SUMIFS([1]ACSDT5Y2020.B08301_data_with_ov!AV$3:AV$1334,[1]ACSDT5Y2020.B08301_data_with_ov!$AS$3:$AS$1334,$B174)</f>
        <v>#VALUE!</v>
      </c>
      <c r="O174" s="17" t="e">
        <f>SUMIFS([1]ACSDT5Y2020.B08301_data_with_ov!AW$3:AW$1334,[1]ACSDT5Y2020.B08301_data_with_ov!$AS$3:$AS$1334,$B174)</f>
        <v>#VALUE!</v>
      </c>
      <c r="P174" s="17" t="e">
        <f>SUMIFS([1]ACSDT5Y2020.B08301_data_with_ov!AX$3:AX$1334,[1]ACSDT5Y2020.B08301_data_with_ov!$AS$3:$AS$1334,$B174)</f>
        <v>#VALUE!</v>
      </c>
      <c r="Q174" s="17" t="e">
        <f>SUMIFS([1]ACSDT5Y2020.B08301_data_with_ov!AY$3:AY$1334,[1]ACSDT5Y2020.B08301_data_with_ov!$AS$3:$AS$1334,$B174)</f>
        <v>#VALUE!</v>
      </c>
      <c r="R174" s="17" t="e">
        <f>SUMIFS([1]ACSDT5Y2020.B08301_data_with_ov!AZ$3:AZ$1334,[1]ACSDT5Y2020.B08301_data_with_ov!$AS$3:$AS$1334,$B174)</f>
        <v>#VALUE!</v>
      </c>
      <c r="S174" s="17" t="e">
        <f>SUMIFS([1]ACSDT5Y2020.B08301_data_with_ov!BA$3:BA$1334,[1]ACSDT5Y2020.B08301_data_with_ov!$AS$3:$AS$1334,$B174)</f>
        <v>#VALUE!</v>
      </c>
      <c r="T174" s="188">
        <v>0.25308770641691564</v>
      </c>
      <c r="U174" s="189" t="e">
        <f t="shared" si="11"/>
        <v>#VALUE!</v>
      </c>
      <c r="V174" s="188">
        <v>0.19704082816911192</v>
      </c>
      <c r="W174" s="189" t="e">
        <f t="shared" si="8"/>
        <v>#VALUE!</v>
      </c>
      <c r="X174" s="188">
        <v>0.19704082816911192</v>
      </c>
      <c r="Y174" s="189" t="e">
        <f t="shared" si="9"/>
        <v>#VALUE!</v>
      </c>
      <c r="Z174" s="188">
        <v>0.19704082816911192</v>
      </c>
      <c r="AA174" s="189" t="e">
        <f t="shared" si="10"/>
        <v>#VALUE!</v>
      </c>
    </row>
    <row r="175" spans="1:27" x14ac:dyDescent="0.25">
      <c r="A175">
        <v>190100</v>
      </c>
      <c r="B175">
        <v>17031190100</v>
      </c>
      <c r="C175">
        <v>17031</v>
      </c>
      <c r="D175">
        <v>2010</v>
      </c>
      <c r="E175">
        <v>19</v>
      </c>
      <c r="F175">
        <v>3402122.0432771002</v>
      </c>
      <c r="G175" s="45">
        <v>0.12203433637788037</v>
      </c>
      <c r="H175" s="60" t="str">
        <f>_xlfn.IFNA(
INDEX('Community Areas'!B$2:B$78,MATCH($E175,'Community Areas'!$A$2:$A$78,0)),
"")</f>
        <v>BELMONT CRAGIN</v>
      </c>
      <c r="I175" s="63" t="str">
        <f>_xlfn.IFNA(
INDEX('Community Areas'!C$2:C$78,MATCH($E175,'Community Areas'!$A$2:$A$78,0)),
"")</f>
        <v>2-B</v>
      </c>
      <c r="J175" s="63">
        <f>_xlfn.IFNA(
INDEX('Community Areas'!D$2:D$78,MATCH($E175,'Community Areas'!$A$2:$A$78,0)),
"")</f>
        <v>2</v>
      </c>
      <c r="K175" s="60" t="str">
        <f>_xlfn.IFNA(
INDEX('Community Areas'!E$2:E$78,MATCH($E175,'Community Areas'!$A$2:$A$78,0)),
"")</f>
        <v>NORTHWEST</v>
      </c>
      <c r="L175" s="17" t="e">
        <f>SUMIFS([1]ACSDT5Y2020.B08301_data_with_ov!AT$3:AT$1334,[1]ACSDT5Y2020.B08301_data_with_ov!$AS$3:$AS$1334,$B175)</f>
        <v>#VALUE!</v>
      </c>
      <c r="M175" s="17" t="e">
        <f>SUMIFS([1]ACSDT5Y2020.B08301_data_with_ov!AU$3:AU$1334,[1]ACSDT5Y2020.B08301_data_with_ov!$AS$3:$AS$1334,$B175)</f>
        <v>#VALUE!</v>
      </c>
      <c r="N175" s="17" t="e">
        <f>SUMIFS([1]ACSDT5Y2020.B08301_data_with_ov!AV$3:AV$1334,[1]ACSDT5Y2020.B08301_data_with_ov!$AS$3:$AS$1334,$B175)</f>
        <v>#VALUE!</v>
      </c>
      <c r="O175" s="17" t="e">
        <f>SUMIFS([1]ACSDT5Y2020.B08301_data_with_ov!AW$3:AW$1334,[1]ACSDT5Y2020.B08301_data_with_ov!$AS$3:$AS$1334,$B175)</f>
        <v>#VALUE!</v>
      </c>
      <c r="P175" s="17" t="e">
        <f>SUMIFS([1]ACSDT5Y2020.B08301_data_with_ov!AX$3:AX$1334,[1]ACSDT5Y2020.B08301_data_with_ov!$AS$3:$AS$1334,$B175)</f>
        <v>#VALUE!</v>
      </c>
      <c r="Q175" s="17" t="e">
        <f>SUMIFS([1]ACSDT5Y2020.B08301_data_with_ov!AY$3:AY$1334,[1]ACSDT5Y2020.B08301_data_with_ov!$AS$3:$AS$1334,$B175)</f>
        <v>#VALUE!</v>
      </c>
      <c r="R175" s="17" t="e">
        <f>SUMIFS([1]ACSDT5Y2020.B08301_data_with_ov!AZ$3:AZ$1334,[1]ACSDT5Y2020.B08301_data_with_ov!$AS$3:$AS$1334,$B175)</f>
        <v>#VALUE!</v>
      </c>
      <c r="S175" s="17" t="e">
        <f>SUMIFS([1]ACSDT5Y2020.B08301_data_with_ov!BA$3:BA$1334,[1]ACSDT5Y2020.B08301_data_with_ov!$AS$3:$AS$1334,$B175)</f>
        <v>#VALUE!</v>
      </c>
      <c r="T175" s="188">
        <v>0.11651618535410642</v>
      </c>
      <c r="U175" s="189" t="e">
        <f t="shared" si="11"/>
        <v>#VALUE!</v>
      </c>
      <c r="V175" s="188">
        <v>0.11651618535410642</v>
      </c>
      <c r="W175" s="189" t="e">
        <f t="shared" si="8"/>
        <v>#VALUE!</v>
      </c>
      <c r="X175" s="188">
        <v>0.11651618535410642</v>
      </c>
      <c r="Y175" s="189" t="e">
        <f t="shared" si="9"/>
        <v>#VALUE!</v>
      </c>
      <c r="Z175" s="188">
        <v>0.11651618535410642</v>
      </c>
      <c r="AA175" s="189" t="e">
        <f t="shared" si="10"/>
        <v>#VALUE!</v>
      </c>
    </row>
    <row r="176" spans="1:27" x14ac:dyDescent="0.25">
      <c r="A176">
        <v>190602</v>
      </c>
      <c r="B176">
        <v>17031190602</v>
      </c>
      <c r="C176">
        <v>17031</v>
      </c>
      <c r="D176">
        <v>2010</v>
      </c>
      <c r="E176">
        <v>19</v>
      </c>
      <c r="F176">
        <v>6688061.86200184</v>
      </c>
      <c r="G176" s="45">
        <v>0.23990120889297234</v>
      </c>
      <c r="H176" s="60" t="str">
        <f>_xlfn.IFNA(
INDEX('Community Areas'!B$2:B$78,MATCH($E176,'Community Areas'!$A$2:$A$78,0)),
"")</f>
        <v>BELMONT CRAGIN</v>
      </c>
      <c r="I176" s="63" t="str">
        <f>_xlfn.IFNA(
INDEX('Community Areas'!C$2:C$78,MATCH($E176,'Community Areas'!$A$2:$A$78,0)),
"")</f>
        <v>2-B</v>
      </c>
      <c r="J176" s="63">
        <f>_xlfn.IFNA(
INDEX('Community Areas'!D$2:D$78,MATCH($E176,'Community Areas'!$A$2:$A$78,0)),
"")</f>
        <v>2</v>
      </c>
      <c r="K176" s="60" t="str">
        <f>_xlfn.IFNA(
INDEX('Community Areas'!E$2:E$78,MATCH($E176,'Community Areas'!$A$2:$A$78,0)),
"")</f>
        <v>NORTHWEST</v>
      </c>
      <c r="L176" s="17" t="e">
        <f>SUMIFS([1]ACSDT5Y2020.B08301_data_with_ov!AT$3:AT$1334,[1]ACSDT5Y2020.B08301_data_with_ov!$AS$3:$AS$1334,$B176)</f>
        <v>#VALUE!</v>
      </c>
      <c r="M176" s="17" t="e">
        <f>SUMIFS([1]ACSDT5Y2020.B08301_data_with_ov!AU$3:AU$1334,[1]ACSDT5Y2020.B08301_data_with_ov!$AS$3:$AS$1334,$B176)</f>
        <v>#VALUE!</v>
      </c>
      <c r="N176" s="17" t="e">
        <f>SUMIFS([1]ACSDT5Y2020.B08301_data_with_ov!AV$3:AV$1334,[1]ACSDT5Y2020.B08301_data_with_ov!$AS$3:$AS$1334,$B176)</f>
        <v>#VALUE!</v>
      </c>
      <c r="O176" s="17" t="e">
        <f>SUMIFS([1]ACSDT5Y2020.B08301_data_with_ov!AW$3:AW$1334,[1]ACSDT5Y2020.B08301_data_with_ov!$AS$3:$AS$1334,$B176)</f>
        <v>#VALUE!</v>
      </c>
      <c r="P176" s="17" t="e">
        <f>SUMIFS([1]ACSDT5Y2020.B08301_data_with_ov!AX$3:AX$1334,[1]ACSDT5Y2020.B08301_data_with_ov!$AS$3:$AS$1334,$B176)</f>
        <v>#VALUE!</v>
      </c>
      <c r="Q176" s="17" t="e">
        <f>SUMIFS([1]ACSDT5Y2020.B08301_data_with_ov!AY$3:AY$1334,[1]ACSDT5Y2020.B08301_data_with_ov!$AS$3:$AS$1334,$B176)</f>
        <v>#VALUE!</v>
      </c>
      <c r="R176" s="17" t="e">
        <f>SUMIFS([1]ACSDT5Y2020.B08301_data_with_ov!AZ$3:AZ$1334,[1]ACSDT5Y2020.B08301_data_with_ov!$AS$3:$AS$1334,$B176)</f>
        <v>#VALUE!</v>
      </c>
      <c r="S176" s="17" t="e">
        <f>SUMIFS([1]ACSDT5Y2020.B08301_data_with_ov!BA$3:BA$1334,[1]ACSDT5Y2020.B08301_data_with_ov!$AS$3:$AS$1334,$B176)</f>
        <v>#VALUE!</v>
      </c>
      <c r="T176" s="188">
        <v>0.23776405392166911</v>
      </c>
      <c r="U176" s="189" t="e">
        <f t="shared" si="11"/>
        <v>#VALUE!</v>
      </c>
      <c r="V176" s="188">
        <v>0</v>
      </c>
      <c r="W176" s="189" t="e">
        <f t="shared" si="8"/>
        <v>#VALUE!</v>
      </c>
      <c r="X176" s="188">
        <v>0</v>
      </c>
      <c r="Y176" s="189" t="e">
        <f t="shared" si="9"/>
        <v>#VALUE!</v>
      </c>
      <c r="Z176" s="188">
        <v>0</v>
      </c>
      <c r="AA176" s="189" t="e">
        <f t="shared" si="10"/>
        <v>#VALUE!</v>
      </c>
    </row>
    <row r="177" spans="1:27" x14ac:dyDescent="0.25">
      <c r="A177">
        <v>20601</v>
      </c>
      <c r="B177">
        <v>17031020601</v>
      </c>
      <c r="C177">
        <v>17031</v>
      </c>
      <c r="D177">
        <v>2010</v>
      </c>
      <c r="E177">
        <v>2</v>
      </c>
      <c r="F177">
        <v>6365332.2870667698</v>
      </c>
      <c r="G177" s="45">
        <v>0.22832487829526693</v>
      </c>
      <c r="H177" s="60" t="str">
        <f>_xlfn.IFNA(
INDEX('Community Areas'!B$2:B$78,MATCH($E177,'Community Areas'!$A$2:$A$78,0)),
"")</f>
        <v>WEST RIDGE</v>
      </c>
      <c r="I177" s="63" t="str">
        <f>_xlfn.IFNA(
INDEX('Community Areas'!C$2:C$78,MATCH($E177,'Community Areas'!$A$2:$A$78,0)),
"")</f>
        <v>1-A</v>
      </c>
      <c r="J177" s="63">
        <f>_xlfn.IFNA(
INDEX('Community Areas'!D$2:D$78,MATCH($E177,'Community Areas'!$A$2:$A$78,0)),
"")</f>
        <v>1</v>
      </c>
      <c r="K177" s="60" t="str">
        <f>_xlfn.IFNA(
INDEX('Community Areas'!E$2:E$78,MATCH($E177,'Community Areas'!$A$2:$A$78,0)),
"")</f>
        <v>NORTH</v>
      </c>
      <c r="L177" s="17" t="e">
        <f>SUMIFS([1]ACSDT5Y2020.B08301_data_with_ov!AT$3:AT$1334,[1]ACSDT5Y2020.B08301_data_with_ov!$AS$3:$AS$1334,$B177)</f>
        <v>#VALUE!</v>
      </c>
      <c r="M177" s="17" t="e">
        <f>SUMIFS([1]ACSDT5Y2020.B08301_data_with_ov!AU$3:AU$1334,[1]ACSDT5Y2020.B08301_data_with_ov!$AS$3:$AS$1334,$B177)</f>
        <v>#VALUE!</v>
      </c>
      <c r="N177" s="17" t="e">
        <f>SUMIFS([1]ACSDT5Y2020.B08301_data_with_ov!AV$3:AV$1334,[1]ACSDT5Y2020.B08301_data_with_ov!$AS$3:$AS$1334,$B177)</f>
        <v>#VALUE!</v>
      </c>
      <c r="O177" s="17" t="e">
        <f>SUMIFS([1]ACSDT5Y2020.B08301_data_with_ov!AW$3:AW$1334,[1]ACSDT5Y2020.B08301_data_with_ov!$AS$3:$AS$1334,$B177)</f>
        <v>#VALUE!</v>
      </c>
      <c r="P177" s="17" t="e">
        <f>SUMIFS([1]ACSDT5Y2020.B08301_data_with_ov!AX$3:AX$1334,[1]ACSDT5Y2020.B08301_data_with_ov!$AS$3:$AS$1334,$B177)</f>
        <v>#VALUE!</v>
      </c>
      <c r="Q177" s="17" t="e">
        <f>SUMIFS([1]ACSDT5Y2020.B08301_data_with_ov!AY$3:AY$1334,[1]ACSDT5Y2020.B08301_data_with_ov!$AS$3:$AS$1334,$B177)</f>
        <v>#VALUE!</v>
      </c>
      <c r="R177" s="17" t="e">
        <f>SUMIFS([1]ACSDT5Y2020.B08301_data_with_ov!AZ$3:AZ$1334,[1]ACSDT5Y2020.B08301_data_with_ov!$AS$3:$AS$1334,$B177)</f>
        <v>#VALUE!</v>
      </c>
      <c r="S177" s="17" t="e">
        <f>SUMIFS([1]ACSDT5Y2020.B08301_data_with_ov!BA$3:BA$1334,[1]ACSDT5Y2020.B08301_data_with_ov!$AS$3:$AS$1334,$B177)</f>
        <v>#VALUE!</v>
      </c>
      <c r="T177" s="188">
        <v>0.22790682464541939</v>
      </c>
      <c r="U177" s="189" t="e">
        <f t="shared" si="11"/>
        <v>#VALUE!</v>
      </c>
      <c r="V177" s="188">
        <v>0.22790682464541939</v>
      </c>
      <c r="W177" s="189" t="e">
        <f t="shared" si="8"/>
        <v>#VALUE!</v>
      </c>
      <c r="X177" s="188">
        <v>0.22790682464541939</v>
      </c>
      <c r="Y177" s="189" t="e">
        <f t="shared" si="9"/>
        <v>#VALUE!</v>
      </c>
      <c r="Z177" s="188">
        <v>0.22790682464541939</v>
      </c>
      <c r="AA177" s="189" t="e">
        <f t="shared" si="10"/>
        <v>#VALUE!</v>
      </c>
    </row>
    <row r="178" spans="1:27" x14ac:dyDescent="0.25">
      <c r="A178">
        <v>20701</v>
      </c>
      <c r="B178">
        <v>17031020701</v>
      </c>
      <c r="C178">
        <v>17031</v>
      </c>
      <c r="D178">
        <v>2010</v>
      </c>
      <c r="E178">
        <v>2</v>
      </c>
      <c r="F178">
        <v>6333227.2898468701</v>
      </c>
      <c r="G178" s="45">
        <v>0.22717326998130705</v>
      </c>
      <c r="H178" s="60" t="str">
        <f>_xlfn.IFNA(
INDEX('Community Areas'!B$2:B$78,MATCH($E178,'Community Areas'!$A$2:$A$78,0)),
"")</f>
        <v>WEST RIDGE</v>
      </c>
      <c r="I178" s="63" t="str">
        <f>_xlfn.IFNA(
INDEX('Community Areas'!C$2:C$78,MATCH($E178,'Community Areas'!$A$2:$A$78,0)),
"")</f>
        <v>1-A</v>
      </c>
      <c r="J178" s="63">
        <f>_xlfn.IFNA(
INDEX('Community Areas'!D$2:D$78,MATCH($E178,'Community Areas'!$A$2:$A$78,0)),
"")</f>
        <v>1</v>
      </c>
      <c r="K178" s="60" t="str">
        <f>_xlfn.IFNA(
INDEX('Community Areas'!E$2:E$78,MATCH($E178,'Community Areas'!$A$2:$A$78,0)),
"")</f>
        <v>NORTH</v>
      </c>
      <c r="L178" s="17" t="e">
        <f>SUMIFS([1]ACSDT5Y2020.B08301_data_with_ov!AT$3:AT$1334,[1]ACSDT5Y2020.B08301_data_with_ov!$AS$3:$AS$1334,$B178)</f>
        <v>#VALUE!</v>
      </c>
      <c r="M178" s="17" t="e">
        <f>SUMIFS([1]ACSDT5Y2020.B08301_data_with_ov!AU$3:AU$1334,[1]ACSDT5Y2020.B08301_data_with_ov!$AS$3:$AS$1334,$B178)</f>
        <v>#VALUE!</v>
      </c>
      <c r="N178" s="17" t="e">
        <f>SUMIFS([1]ACSDT5Y2020.B08301_data_with_ov!AV$3:AV$1334,[1]ACSDT5Y2020.B08301_data_with_ov!$AS$3:$AS$1334,$B178)</f>
        <v>#VALUE!</v>
      </c>
      <c r="O178" s="17" t="e">
        <f>SUMIFS([1]ACSDT5Y2020.B08301_data_with_ov!AW$3:AW$1334,[1]ACSDT5Y2020.B08301_data_with_ov!$AS$3:$AS$1334,$B178)</f>
        <v>#VALUE!</v>
      </c>
      <c r="P178" s="17" t="e">
        <f>SUMIFS([1]ACSDT5Y2020.B08301_data_with_ov!AX$3:AX$1334,[1]ACSDT5Y2020.B08301_data_with_ov!$AS$3:$AS$1334,$B178)</f>
        <v>#VALUE!</v>
      </c>
      <c r="Q178" s="17" t="e">
        <f>SUMIFS([1]ACSDT5Y2020.B08301_data_with_ov!AY$3:AY$1334,[1]ACSDT5Y2020.B08301_data_with_ov!$AS$3:$AS$1334,$B178)</f>
        <v>#VALUE!</v>
      </c>
      <c r="R178" s="17" t="e">
        <f>SUMIFS([1]ACSDT5Y2020.B08301_data_with_ov!AZ$3:AZ$1334,[1]ACSDT5Y2020.B08301_data_with_ov!$AS$3:$AS$1334,$B178)</f>
        <v>#VALUE!</v>
      </c>
      <c r="S178" s="17" t="e">
        <f>SUMIFS([1]ACSDT5Y2020.B08301_data_with_ov!BA$3:BA$1334,[1]ACSDT5Y2020.B08301_data_with_ov!$AS$3:$AS$1334,$B178)</f>
        <v>#VALUE!</v>
      </c>
      <c r="T178" s="188">
        <v>0.22717326592362616</v>
      </c>
      <c r="U178" s="189" t="e">
        <f t="shared" si="11"/>
        <v>#VALUE!</v>
      </c>
      <c r="V178" s="188">
        <v>0.22717326592362616</v>
      </c>
      <c r="W178" s="189" t="e">
        <f t="shared" si="8"/>
        <v>#VALUE!</v>
      </c>
      <c r="X178" s="188">
        <v>0.22717326592362616</v>
      </c>
      <c r="Y178" s="189" t="e">
        <f t="shared" si="9"/>
        <v>#VALUE!</v>
      </c>
      <c r="Z178" s="188">
        <v>0.22717326592362616</v>
      </c>
      <c r="AA178" s="189" t="e">
        <f t="shared" si="10"/>
        <v>#VALUE!</v>
      </c>
    </row>
    <row r="179" spans="1:27" x14ac:dyDescent="0.25">
      <c r="A179">
        <v>20301</v>
      </c>
      <c r="B179">
        <v>17031020301</v>
      </c>
      <c r="C179">
        <v>17031</v>
      </c>
      <c r="D179">
        <v>2010</v>
      </c>
      <c r="E179">
        <v>2</v>
      </c>
      <c r="F179">
        <v>9036934.1917300802</v>
      </c>
      <c r="G179" s="45">
        <v>0.32415541034385331</v>
      </c>
      <c r="H179" s="60" t="str">
        <f>_xlfn.IFNA(
INDEX('Community Areas'!B$2:B$78,MATCH($E179,'Community Areas'!$A$2:$A$78,0)),
"")</f>
        <v>WEST RIDGE</v>
      </c>
      <c r="I179" s="63" t="str">
        <f>_xlfn.IFNA(
INDEX('Community Areas'!C$2:C$78,MATCH($E179,'Community Areas'!$A$2:$A$78,0)),
"")</f>
        <v>1-A</v>
      </c>
      <c r="J179" s="63">
        <f>_xlfn.IFNA(
INDEX('Community Areas'!D$2:D$78,MATCH($E179,'Community Areas'!$A$2:$A$78,0)),
"")</f>
        <v>1</v>
      </c>
      <c r="K179" s="60" t="str">
        <f>_xlfn.IFNA(
INDEX('Community Areas'!E$2:E$78,MATCH($E179,'Community Areas'!$A$2:$A$78,0)),
"")</f>
        <v>NORTH</v>
      </c>
      <c r="L179" s="17" t="e">
        <f>SUMIFS([1]ACSDT5Y2020.B08301_data_with_ov!AT$3:AT$1334,[1]ACSDT5Y2020.B08301_data_with_ov!$AS$3:$AS$1334,$B179)</f>
        <v>#VALUE!</v>
      </c>
      <c r="M179" s="17" t="e">
        <f>SUMIFS([1]ACSDT5Y2020.B08301_data_with_ov!AU$3:AU$1334,[1]ACSDT5Y2020.B08301_data_with_ov!$AS$3:$AS$1334,$B179)</f>
        <v>#VALUE!</v>
      </c>
      <c r="N179" s="17" t="e">
        <f>SUMIFS([1]ACSDT5Y2020.B08301_data_with_ov!AV$3:AV$1334,[1]ACSDT5Y2020.B08301_data_with_ov!$AS$3:$AS$1334,$B179)</f>
        <v>#VALUE!</v>
      </c>
      <c r="O179" s="17" t="e">
        <f>SUMIFS([1]ACSDT5Y2020.B08301_data_with_ov!AW$3:AW$1334,[1]ACSDT5Y2020.B08301_data_with_ov!$AS$3:$AS$1334,$B179)</f>
        <v>#VALUE!</v>
      </c>
      <c r="P179" s="17" t="e">
        <f>SUMIFS([1]ACSDT5Y2020.B08301_data_with_ov!AX$3:AX$1334,[1]ACSDT5Y2020.B08301_data_with_ov!$AS$3:$AS$1334,$B179)</f>
        <v>#VALUE!</v>
      </c>
      <c r="Q179" s="17" t="e">
        <f>SUMIFS([1]ACSDT5Y2020.B08301_data_with_ov!AY$3:AY$1334,[1]ACSDT5Y2020.B08301_data_with_ov!$AS$3:$AS$1334,$B179)</f>
        <v>#VALUE!</v>
      </c>
      <c r="R179" s="17" t="e">
        <f>SUMIFS([1]ACSDT5Y2020.B08301_data_with_ov!AZ$3:AZ$1334,[1]ACSDT5Y2020.B08301_data_with_ov!$AS$3:$AS$1334,$B179)</f>
        <v>#VALUE!</v>
      </c>
      <c r="S179" s="17" t="e">
        <f>SUMIFS([1]ACSDT5Y2020.B08301_data_with_ov!BA$3:BA$1334,[1]ACSDT5Y2020.B08301_data_with_ov!$AS$3:$AS$1334,$B179)</f>
        <v>#VALUE!</v>
      </c>
      <c r="T179" s="188">
        <v>0.32415542402248659</v>
      </c>
      <c r="U179" s="189" t="e">
        <f t="shared" si="11"/>
        <v>#VALUE!</v>
      </c>
      <c r="V179" s="188">
        <v>0.32415542402248659</v>
      </c>
      <c r="W179" s="189" t="e">
        <f t="shared" si="8"/>
        <v>#VALUE!</v>
      </c>
      <c r="X179" s="188">
        <v>0.32415542402248659</v>
      </c>
      <c r="Y179" s="189" t="e">
        <f t="shared" si="9"/>
        <v>#VALUE!</v>
      </c>
      <c r="Z179" s="188">
        <v>0.32415542402248659</v>
      </c>
      <c r="AA179" s="189" t="e">
        <f t="shared" si="10"/>
        <v>#VALUE!</v>
      </c>
    </row>
    <row r="180" spans="1:27" x14ac:dyDescent="0.25">
      <c r="A180">
        <v>20400</v>
      </c>
      <c r="B180">
        <v>17031020400</v>
      </c>
      <c r="C180">
        <v>17031</v>
      </c>
      <c r="D180">
        <v>2010</v>
      </c>
      <c r="E180">
        <v>2</v>
      </c>
      <c r="F180">
        <v>5978507.9605580997</v>
      </c>
      <c r="G180" s="45">
        <v>0.21444946483866004</v>
      </c>
      <c r="H180" s="60" t="str">
        <f>_xlfn.IFNA(
INDEX('Community Areas'!B$2:B$78,MATCH($E180,'Community Areas'!$A$2:$A$78,0)),
"")</f>
        <v>WEST RIDGE</v>
      </c>
      <c r="I180" s="63" t="str">
        <f>_xlfn.IFNA(
INDEX('Community Areas'!C$2:C$78,MATCH($E180,'Community Areas'!$A$2:$A$78,0)),
"")</f>
        <v>1-A</v>
      </c>
      <c r="J180" s="63">
        <f>_xlfn.IFNA(
INDEX('Community Areas'!D$2:D$78,MATCH($E180,'Community Areas'!$A$2:$A$78,0)),
"")</f>
        <v>1</v>
      </c>
      <c r="K180" s="60" t="str">
        <f>_xlfn.IFNA(
INDEX('Community Areas'!E$2:E$78,MATCH($E180,'Community Areas'!$A$2:$A$78,0)),
"")</f>
        <v>NORTH</v>
      </c>
      <c r="L180" s="17" t="e">
        <f>SUMIFS([1]ACSDT5Y2020.B08301_data_with_ov!AT$3:AT$1334,[1]ACSDT5Y2020.B08301_data_with_ov!$AS$3:$AS$1334,$B180)</f>
        <v>#VALUE!</v>
      </c>
      <c r="M180" s="17" t="e">
        <f>SUMIFS([1]ACSDT5Y2020.B08301_data_with_ov!AU$3:AU$1334,[1]ACSDT5Y2020.B08301_data_with_ov!$AS$3:$AS$1334,$B180)</f>
        <v>#VALUE!</v>
      </c>
      <c r="N180" s="17" t="e">
        <f>SUMIFS([1]ACSDT5Y2020.B08301_data_with_ov!AV$3:AV$1334,[1]ACSDT5Y2020.B08301_data_with_ov!$AS$3:$AS$1334,$B180)</f>
        <v>#VALUE!</v>
      </c>
      <c r="O180" s="17" t="e">
        <f>SUMIFS([1]ACSDT5Y2020.B08301_data_with_ov!AW$3:AW$1334,[1]ACSDT5Y2020.B08301_data_with_ov!$AS$3:$AS$1334,$B180)</f>
        <v>#VALUE!</v>
      </c>
      <c r="P180" s="17" t="e">
        <f>SUMIFS([1]ACSDT5Y2020.B08301_data_with_ov!AX$3:AX$1334,[1]ACSDT5Y2020.B08301_data_with_ov!$AS$3:$AS$1334,$B180)</f>
        <v>#VALUE!</v>
      </c>
      <c r="Q180" s="17" t="e">
        <f>SUMIFS([1]ACSDT5Y2020.B08301_data_with_ov!AY$3:AY$1334,[1]ACSDT5Y2020.B08301_data_with_ov!$AS$3:$AS$1334,$B180)</f>
        <v>#VALUE!</v>
      </c>
      <c r="R180" s="17" t="e">
        <f>SUMIFS([1]ACSDT5Y2020.B08301_data_with_ov!AZ$3:AZ$1334,[1]ACSDT5Y2020.B08301_data_with_ov!$AS$3:$AS$1334,$B180)</f>
        <v>#VALUE!</v>
      </c>
      <c r="S180" s="17" t="e">
        <f>SUMIFS([1]ACSDT5Y2020.B08301_data_with_ov!BA$3:BA$1334,[1]ACSDT5Y2020.B08301_data_with_ov!$AS$3:$AS$1334,$B180)</f>
        <v>#VALUE!</v>
      </c>
      <c r="T180" s="188">
        <v>0.21444946360345427</v>
      </c>
      <c r="U180" s="189" t="e">
        <f t="shared" si="11"/>
        <v>#VALUE!</v>
      </c>
      <c r="V180" s="188">
        <v>0.21444946360345427</v>
      </c>
      <c r="W180" s="189" t="e">
        <f t="shared" si="8"/>
        <v>#VALUE!</v>
      </c>
      <c r="X180" s="188">
        <v>0.21444946360345427</v>
      </c>
      <c r="Y180" s="189" t="e">
        <f t="shared" si="9"/>
        <v>#VALUE!</v>
      </c>
      <c r="Z180" s="188">
        <v>0.21444946360345427</v>
      </c>
      <c r="AA180" s="189" t="e">
        <f t="shared" si="10"/>
        <v>#VALUE!</v>
      </c>
    </row>
    <row r="181" spans="1:27" x14ac:dyDescent="0.25">
      <c r="A181">
        <v>20200</v>
      </c>
      <c r="B181">
        <v>17031020200</v>
      </c>
      <c r="C181">
        <v>17031</v>
      </c>
      <c r="D181">
        <v>2010</v>
      </c>
      <c r="E181">
        <v>2</v>
      </c>
      <c r="F181">
        <v>13576513.526670201</v>
      </c>
      <c r="G181" s="45">
        <v>0.48699041288848</v>
      </c>
      <c r="H181" s="60" t="str">
        <f>_xlfn.IFNA(
INDEX('Community Areas'!B$2:B$78,MATCH($E181,'Community Areas'!$A$2:$A$78,0)),
"")</f>
        <v>WEST RIDGE</v>
      </c>
      <c r="I181" s="63" t="str">
        <f>_xlfn.IFNA(
INDEX('Community Areas'!C$2:C$78,MATCH($E181,'Community Areas'!$A$2:$A$78,0)),
"")</f>
        <v>1-A</v>
      </c>
      <c r="J181" s="63">
        <f>_xlfn.IFNA(
INDEX('Community Areas'!D$2:D$78,MATCH($E181,'Community Areas'!$A$2:$A$78,0)),
"")</f>
        <v>1</v>
      </c>
      <c r="K181" s="60" t="str">
        <f>_xlfn.IFNA(
INDEX('Community Areas'!E$2:E$78,MATCH($E181,'Community Areas'!$A$2:$A$78,0)),
"")</f>
        <v>NORTH</v>
      </c>
      <c r="L181" s="17" t="e">
        <f>SUMIFS([1]ACSDT5Y2020.B08301_data_with_ov!AT$3:AT$1334,[1]ACSDT5Y2020.B08301_data_with_ov!$AS$3:$AS$1334,$B181)</f>
        <v>#VALUE!</v>
      </c>
      <c r="M181" s="17" t="e">
        <f>SUMIFS([1]ACSDT5Y2020.B08301_data_with_ov!AU$3:AU$1334,[1]ACSDT5Y2020.B08301_data_with_ov!$AS$3:$AS$1334,$B181)</f>
        <v>#VALUE!</v>
      </c>
      <c r="N181" s="17" t="e">
        <f>SUMIFS([1]ACSDT5Y2020.B08301_data_with_ov!AV$3:AV$1334,[1]ACSDT5Y2020.B08301_data_with_ov!$AS$3:$AS$1334,$B181)</f>
        <v>#VALUE!</v>
      </c>
      <c r="O181" s="17" t="e">
        <f>SUMIFS([1]ACSDT5Y2020.B08301_data_with_ov!AW$3:AW$1334,[1]ACSDT5Y2020.B08301_data_with_ov!$AS$3:$AS$1334,$B181)</f>
        <v>#VALUE!</v>
      </c>
      <c r="P181" s="17" t="e">
        <f>SUMIFS([1]ACSDT5Y2020.B08301_data_with_ov!AX$3:AX$1334,[1]ACSDT5Y2020.B08301_data_with_ov!$AS$3:$AS$1334,$B181)</f>
        <v>#VALUE!</v>
      </c>
      <c r="Q181" s="17" t="e">
        <f>SUMIFS([1]ACSDT5Y2020.B08301_data_with_ov!AY$3:AY$1334,[1]ACSDT5Y2020.B08301_data_with_ov!$AS$3:$AS$1334,$B181)</f>
        <v>#VALUE!</v>
      </c>
      <c r="R181" s="17" t="e">
        <f>SUMIFS([1]ACSDT5Y2020.B08301_data_with_ov!AZ$3:AZ$1334,[1]ACSDT5Y2020.B08301_data_with_ov!$AS$3:$AS$1334,$B181)</f>
        <v>#VALUE!</v>
      </c>
      <c r="S181" s="17" t="e">
        <f>SUMIFS([1]ACSDT5Y2020.B08301_data_with_ov!BA$3:BA$1334,[1]ACSDT5Y2020.B08301_data_with_ov!$AS$3:$AS$1334,$B181)</f>
        <v>#VALUE!</v>
      </c>
      <c r="T181" s="188">
        <v>0.486990414736025</v>
      </c>
      <c r="U181" s="189" t="e">
        <f t="shared" si="11"/>
        <v>#VALUE!</v>
      </c>
      <c r="V181" s="188">
        <v>0.47691522074821008</v>
      </c>
      <c r="W181" s="189" t="e">
        <f t="shared" si="8"/>
        <v>#VALUE!</v>
      </c>
      <c r="X181" s="188">
        <v>0.47691522074821008</v>
      </c>
      <c r="Y181" s="189" t="e">
        <f t="shared" si="9"/>
        <v>#VALUE!</v>
      </c>
      <c r="Z181" s="188">
        <v>0.47691522074821008</v>
      </c>
      <c r="AA181" s="189" t="e">
        <f t="shared" si="10"/>
        <v>#VALUE!</v>
      </c>
    </row>
    <row r="182" spans="1:27" x14ac:dyDescent="0.25">
      <c r="A182">
        <v>20100</v>
      </c>
      <c r="B182">
        <v>17031020100</v>
      </c>
      <c r="C182">
        <v>17031</v>
      </c>
      <c r="D182">
        <v>2010</v>
      </c>
      <c r="E182">
        <v>2</v>
      </c>
      <c r="F182">
        <v>4426977.8411358101</v>
      </c>
      <c r="G182" s="45">
        <v>0.15879597972393716</v>
      </c>
      <c r="H182" s="60" t="str">
        <f>_xlfn.IFNA(
INDEX('Community Areas'!B$2:B$78,MATCH($E182,'Community Areas'!$A$2:$A$78,0)),
"")</f>
        <v>WEST RIDGE</v>
      </c>
      <c r="I182" s="63" t="str">
        <f>_xlfn.IFNA(
INDEX('Community Areas'!C$2:C$78,MATCH($E182,'Community Areas'!$A$2:$A$78,0)),
"")</f>
        <v>1-A</v>
      </c>
      <c r="J182" s="63">
        <f>_xlfn.IFNA(
INDEX('Community Areas'!D$2:D$78,MATCH($E182,'Community Areas'!$A$2:$A$78,0)),
"")</f>
        <v>1</v>
      </c>
      <c r="K182" s="60" t="str">
        <f>_xlfn.IFNA(
INDEX('Community Areas'!E$2:E$78,MATCH($E182,'Community Areas'!$A$2:$A$78,0)),
"")</f>
        <v>NORTH</v>
      </c>
      <c r="L182" s="17" t="e">
        <f>SUMIFS([1]ACSDT5Y2020.B08301_data_with_ov!AT$3:AT$1334,[1]ACSDT5Y2020.B08301_data_with_ov!$AS$3:$AS$1334,$B182)</f>
        <v>#VALUE!</v>
      </c>
      <c r="M182" s="17" t="e">
        <f>SUMIFS([1]ACSDT5Y2020.B08301_data_with_ov!AU$3:AU$1334,[1]ACSDT5Y2020.B08301_data_with_ov!$AS$3:$AS$1334,$B182)</f>
        <v>#VALUE!</v>
      </c>
      <c r="N182" s="17" t="e">
        <f>SUMIFS([1]ACSDT5Y2020.B08301_data_with_ov!AV$3:AV$1334,[1]ACSDT5Y2020.B08301_data_with_ov!$AS$3:$AS$1334,$B182)</f>
        <v>#VALUE!</v>
      </c>
      <c r="O182" s="17" t="e">
        <f>SUMIFS([1]ACSDT5Y2020.B08301_data_with_ov!AW$3:AW$1334,[1]ACSDT5Y2020.B08301_data_with_ov!$AS$3:$AS$1334,$B182)</f>
        <v>#VALUE!</v>
      </c>
      <c r="P182" s="17" t="e">
        <f>SUMIFS([1]ACSDT5Y2020.B08301_data_with_ov!AX$3:AX$1334,[1]ACSDT5Y2020.B08301_data_with_ov!$AS$3:$AS$1334,$B182)</f>
        <v>#VALUE!</v>
      </c>
      <c r="Q182" s="17" t="e">
        <f>SUMIFS([1]ACSDT5Y2020.B08301_data_with_ov!AY$3:AY$1334,[1]ACSDT5Y2020.B08301_data_with_ov!$AS$3:$AS$1334,$B182)</f>
        <v>#VALUE!</v>
      </c>
      <c r="R182" s="17" t="e">
        <f>SUMIFS([1]ACSDT5Y2020.B08301_data_with_ov!AZ$3:AZ$1334,[1]ACSDT5Y2020.B08301_data_with_ov!$AS$3:$AS$1334,$B182)</f>
        <v>#VALUE!</v>
      </c>
      <c r="S182" s="17" t="e">
        <f>SUMIFS([1]ACSDT5Y2020.B08301_data_with_ov!BA$3:BA$1334,[1]ACSDT5Y2020.B08301_data_with_ov!$AS$3:$AS$1334,$B182)</f>
        <v>#VALUE!</v>
      </c>
      <c r="T182" s="188">
        <v>0.15879597030892376</v>
      </c>
      <c r="U182" s="189" t="e">
        <f t="shared" si="11"/>
        <v>#VALUE!</v>
      </c>
      <c r="V182" s="188">
        <v>0.15879597030892376</v>
      </c>
      <c r="W182" s="189" t="e">
        <f t="shared" si="8"/>
        <v>#VALUE!</v>
      </c>
      <c r="X182" s="188">
        <v>0.15879597030892376</v>
      </c>
      <c r="Y182" s="189" t="e">
        <f t="shared" si="9"/>
        <v>#VALUE!</v>
      </c>
      <c r="Z182" s="188">
        <v>0.15879597030892376</v>
      </c>
      <c r="AA182" s="189" t="e">
        <f t="shared" si="10"/>
        <v>#VALUE!</v>
      </c>
    </row>
    <row r="183" spans="1:27" x14ac:dyDescent="0.25">
      <c r="A183">
        <v>20302</v>
      </c>
      <c r="B183">
        <v>17031020302</v>
      </c>
      <c r="C183">
        <v>17031</v>
      </c>
      <c r="D183">
        <v>2010</v>
      </c>
      <c r="E183">
        <v>2</v>
      </c>
      <c r="F183">
        <v>6888043.2780317003</v>
      </c>
      <c r="G183" s="45">
        <v>0.24707455514059989</v>
      </c>
      <c r="H183" s="60" t="str">
        <f>_xlfn.IFNA(
INDEX('Community Areas'!B$2:B$78,MATCH($E183,'Community Areas'!$A$2:$A$78,0)),
"")</f>
        <v>WEST RIDGE</v>
      </c>
      <c r="I183" s="63" t="str">
        <f>_xlfn.IFNA(
INDEX('Community Areas'!C$2:C$78,MATCH($E183,'Community Areas'!$A$2:$A$78,0)),
"")</f>
        <v>1-A</v>
      </c>
      <c r="J183" s="63">
        <f>_xlfn.IFNA(
INDEX('Community Areas'!D$2:D$78,MATCH($E183,'Community Areas'!$A$2:$A$78,0)),
"")</f>
        <v>1</v>
      </c>
      <c r="K183" s="60" t="str">
        <f>_xlfn.IFNA(
INDEX('Community Areas'!E$2:E$78,MATCH($E183,'Community Areas'!$A$2:$A$78,0)),
"")</f>
        <v>NORTH</v>
      </c>
      <c r="L183" s="17" t="e">
        <f>SUMIFS([1]ACSDT5Y2020.B08301_data_with_ov!AT$3:AT$1334,[1]ACSDT5Y2020.B08301_data_with_ov!$AS$3:$AS$1334,$B183)</f>
        <v>#VALUE!</v>
      </c>
      <c r="M183" s="17" t="e">
        <f>SUMIFS([1]ACSDT5Y2020.B08301_data_with_ov!AU$3:AU$1334,[1]ACSDT5Y2020.B08301_data_with_ov!$AS$3:$AS$1334,$B183)</f>
        <v>#VALUE!</v>
      </c>
      <c r="N183" s="17" t="e">
        <f>SUMIFS([1]ACSDT5Y2020.B08301_data_with_ov!AV$3:AV$1334,[1]ACSDT5Y2020.B08301_data_with_ov!$AS$3:$AS$1334,$B183)</f>
        <v>#VALUE!</v>
      </c>
      <c r="O183" s="17" t="e">
        <f>SUMIFS([1]ACSDT5Y2020.B08301_data_with_ov!AW$3:AW$1334,[1]ACSDT5Y2020.B08301_data_with_ov!$AS$3:$AS$1334,$B183)</f>
        <v>#VALUE!</v>
      </c>
      <c r="P183" s="17" t="e">
        <f>SUMIFS([1]ACSDT5Y2020.B08301_data_with_ov!AX$3:AX$1334,[1]ACSDT5Y2020.B08301_data_with_ov!$AS$3:$AS$1334,$B183)</f>
        <v>#VALUE!</v>
      </c>
      <c r="Q183" s="17" t="e">
        <f>SUMIFS([1]ACSDT5Y2020.B08301_data_with_ov!AY$3:AY$1334,[1]ACSDT5Y2020.B08301_data_with_ov!$AS$3:$AS$1334,$B183)</f>
        <v>#VALUE!</v>
      </c>
      <c r="R183" s="17" t="e">
        <f>SUMIFS([1]ACSDT5Y2020.B08301_data_with_ov!AZ$3:AZ$1334,[1]ACSDT5Y2020.B08301_data_with_ov!$AS$3:$AS$1334,$B183)</f>
        <v>#VALUE!</v>
      </c>
      <c r="S183" s="17" t="e">
        <f>SUMIFS([1]ACSDT5Y2020.B08301_data_with_ov!BA$3:BA$1334,[1]ACSDT5Y2020.B08301_data_with_ov!$AS$3:$AS$1334,$B183)</f>
        <v>#VALUE!</v>
      </c>
      <c r="T183" s="188">
        <v>0.24707455564836647</v>
      </c>
      <c r="U183" s="189" t="e">
        <f t="shared" si="11"/>
        <v>#VALUE!</v>
      </c>
      <c r="V183" s="188">
        <v>0.24707455564836647</v>
      </c>
      <c r="W183" s="189" t="e">
        <f t="shared" si="8"/>
        <v>#VALUE!</v>
      </c>
      <c r="X183" s="188">
        <v>0.24707455564836647</v>
      </c>
      <c r="Y183" s="189" t="e">
        <f t="shared" si="9"/>
        <v>#VALUE!</v>
      </c>
      <c r="Z183" s="188">
        <v>0.24707455564836647</v>
      </c>
      <c r="AA183" s="189" t="e">
        <f t="shared" si="10"/>
        <v>#VALUE!</v>
      </c>
    </row>
    <row r="184" spans="1:27" x14ac:dyDescent="0.25">
      <c r="A184">
        <v>20602</v>
      </c>
      <c r="B184">
        <v>17031020602</v>
      </c>
      <c r="C184">
        <v>17031</v>
      </c>
      <c r="D184">
        <v>2010</v>
      </c>
      <c r="E184">
        <v>2</v>
      </c>
      <c r="F184">
        <v>5295535.0313025098</v>
      </c>
      <c r="G184" s="45">
        <v>0.18995118196533911</v>
      </c>
      <c r="H184" s="60" t="str">
        <f>_xlfn.IFNA(
INDEX('Community Areas'!B$2:B$78,MATCH($E184,'Community Areas'!$A$2:$A$78,0)),
"")</f>
        <v>WEST RIDGE</v>
      </c>
      <c r="I184" s="63" t="str">
        <f>_xlfn.IFNA(
INDEX('Community Areas'!C$2:C$78,MATCH($E184,'Community Areas'!$A$2:$A$78,0)),
"")</f>
        <v>1-A</v>
      </c>
      <c r="J184" s="63">
        <f>_xlfn.IFNA(
INDEX('Community Areas'!D$2:D$78,MATCH($E184,'Community Areas'!$A$2:$A$78,0)),
"")</f>
        <v>1</v>
      </c>
      <c r="K184" s="60" t="str">
        <f>_xlfn.IFNA(
INDEX('Community Areas'!E$2:E$78,MATCH($E184,'Community Areas'!$A$2:$A$78,0)),
"")</f>
        <v>NORTH</v>
      </c>
      <c r="L184" s="17" t="e">
        <f>SUMIFS([1]ACSDT5Y2020.B08301_data_with_ov!AT$3:AT$1334,[1]ACSDT5Y2020.B08301_data_with_ov!$AS$3:$AS$1334,$B184)</f>
        <v>#VALUE!</v>
      </c>
      <c r="M184" s="17" t="e">
        <f>SUMIFS([1]ACSDT5Y2020.B08301_data_with_ov!AU$3:AU$1334,[1]ACSDT5Y2020.B08301_data_with_ov!$AS$3:$AS$1334,$B184)</f>
        <v>#VALUE!</v>
      </c>
      <c r="N184" s="17" t="e">
        <f>SUMIFS([1]ACSDT5Y2020.B08301_data_with_ov!AV$3:AV$1334,[1]ACSDT5Y2020.B08301_data_with_ov!$AS$3:$AS$1334,$B184)</f>
        <v>#VALUE!</v>
      </c>
      <c r="O184" s="17" t="e">
        <f>SUMIFS([1]ACSDT5Y2020.B08301_data_with_ov!AW$3:AW$1334,[1]ACSDT5Y2020.B08301_data_with_ov!$AS$3:$AS$1334,$B184)</f>
        <v>#VALUE!</v>
      </c>
      <c r="P184" s="17" t="e">
        <f>SUMIFS([1]ACSDT5Y2020.B08301_data_with_ov!AX$3:AX$1334,[1]ACSDT5Y2020.B08301_data_with_ov!$AS$3:$AS$1334,$B184)</f>
        <v>#VALUE!</v>
      </c>
      <c r="Q184" s="17" t="e">
        <f>SUMIFS([1]ACSDT5Y2020.B08301_data_with_ov!AY$3:AY$1334,[1]ACSDT5Y2020.B08301_data_with_ov!$AS$3:$AS$1334,$B184)</f>
        <v>#VALUE!</v>
      </c>
      <c r="R184" s="17" t="e">
        <f>SUMIFS([1]ACSDT5Y2020.B08301_data_with_ov!AZ$3:AZ$1334,[1]ACSDT5Y2020.B08301_data_with_ov!$AS$3:$AS$1334,$B184)</f>
        <v>#VALUE!</v>
      </c>
      <c r="S184" s="17" t="e">
        <f>SUMIFS([1]ACSDT5Y2020.B08301_data_with_ov!BA$3:BA$1334,[1]ACSDT5Y2020.B08301_data_with_ov!$AS$3:$AS$1334,$B184)</f>
        <v>#VALUE!</v>
      </c>
      <c r="T184" s="188">
        <v>0.1885145435688271</v>
      </c>
      <c r="U184" s="189" t="e">
        <f t="shared" si="11"/>
        <v>#VALUE!</v>
      </c>
      <c r="V184" s="188">
        <v>0.1885145435688271</v>
      </c>
      <c r="W184" s="189" t="e">
        <f t="shared" si="8"/>
        <v>#VALUE!</v>
      </c>
      <c r="X184" s="188">
        <v>0.1885145435688271</v>
      </c>
      <c r="Y184" s="189" t="e">
        <f t="shared" si="9"/>
        <v>#VALUE!</v>
      </c>
      <c r="Z184" s="188">
        <v>0.1885145435688271</v>
      </c>
      <c r="AA184" s="189" t="e">
        <f t="shared" si="10"/>
        <v>#VALUE!</v>
      </c>
    </row>
    <row r="185" spans="1:27" x14ac:dyDescent="0.25">
      <c r="A185">
        <v>20500</v>
      </c>
      <c r="B185">
        <v>17031020500</v>
      </c>
      <c r="C185">
        <v>17031</v>
      </c>
      <c r="D185">
        <v>2010</v>
      </c>
      <c r="E185">
        <v>2</v>
      </c>
      <c r="F185">
        <v>8306114.0365496902</v>
      </c>
      <c r="G185" s="45">
        <v>0.29794084440103058</v>
      </c>
      <c r="H185" s="60" t="str">
        <f>_xlfn.IFNA(
INDEX('Community Areas'!B$2:B$78,MATCH($E185,'Community Areas'!$A$2:$A$78,0)),
"")</f>
        <v>WEST RIDGE</v>
      </c>
      <c r="I185" s="63" t="str">
        <f>_xlfn.IFNA(
INDEX('Community Areas'!C$2:C$78,MATCH($E185,'Community Areas'!$A$2:$A$78,0)),
"")</f>
        <v>1-A</v>
      </c>
      <c r="J185" s="63">
        <f>_xlfn.IFNA(
INDEX('Community Areas'!D$2:D$78,MATCH($E185,'Community Areas'!$A$2:$A$78,0)),
"")</f>
        <v>1</v>
      </c>
      <c r="K185" s="60" t="str">
        <f>_xlfn.IFNA(
INDEX('Community Areas'!E$2:E$78,MATCH($E185,'Community Areas'!$A$2:$A$78,0)),
"")</f>
        <v>NORTH</v>
      </c>
      <c r="L185" s="17" t="e">
        <f>SUMIFS([1]ACSDT5Y2020.B08301_data_with_ov!AT$3:AT$1334,[1]ACSDT5Y2020.B08301_data_with_ov!$AS$3:$AS$1334,$B185)</f>
        <v>#VALUE!</v>
      </c>
      <c r="M185" s="17" t="e">
        <f>SUMIFS([1]ACSDT5Y2020.B08301_data_with_ov!AU$3:AU$1334,[1]ACSDT5Y2020.B08301_data_with_ov!$AS$3:$AS$1334,$B185)</f>
        <v>#VALUE!</v>
      </c>
      <c r="N185" s="17" t="e">
        <f>SUMIFS([1]ACSDT5Y2020.B08301_data_with_ov!AV$3:AV$1334,[1]ACSDT5Y2020.B08301_data_with_ov!$AS$3:$AS$1334,$B185)</f>
        <v>#VALUE!</v>
      </c>
      <c r="O185" s="17" t="e">
        <f>SUMIFS([1]ACSDT5Y2020.B08301_data_with_ov!AW$3:AW$1334,[1]ACSDT5Y2020.B08301_data_with_ov!$AS$3:$AS$1334,$B185)</f>
        <v>#VALUE!</v>
      </c>
      <c r="P185" s="17" t="e">
        <f>SUMIFS([1]ACSDT5Y2020.B08301_data_with_ov!AX$3:AX$1334,[1]ACSDT5Y2020.B08301_data_with_ov!$AS$3:$AS$1334,$B185)</f>
        <v>#VALUE!</v>
      </c>
      <c r="Q185" s="17" t="e">
        <f>SUMIFS([1]ACSDT5Y2020.B08301_data_with_ov!AY$3:AY$1334,[1]ACSDT5Y2020.B08301_data_with_ov!$AS$3:$AS$1334,$B185)</f>
        <v>#VALUE!</v>
      </c>
      <c r="R185" s="17" t="e">
        <f>SUMIFS([1]ACSDT5Y2020.B08301_data_with_ov!AZ$3:AZ$1334,[1]ACSDT5Y2020.B08301_data_with_ov!$AS$3:$AS$1334,$B185)</f>
        <v>#VALUE!</v>
      </c>
      <c r="S185" s="17" t="e">
        <f>SUMIFS([1]ACSDT5Y2020.B08301_data_with_ov!BA$3:BA$1334,[1]ACSDT5Y2020.B08301_data_with_ov!$AS$3:$AS$1334,$B185)</f>
        <v>#VALUE!</v>
      </c>
      <c r="T185" s="188">
        <v>0.29589336984359932</v>
      </c>
      <c r="U185" s="189" t="e">
        <f t="shared" si="11"/>
        <v>#VALUE!</v>
      </c>
      <c r="V185" s="188">
        <v>0.29589796450637518</v>
      </c>
      <c r="W185" s="189" t="e">
        <f t="shared" si="8"/>
        <v>#VALUE!</v>
      </c>
      <c r="X185" s="188">
        <v>0.29589796450637518</v>
      </c>
      <c r="Y185" s="189" t="e">
        <f t="shared" si="9"/>
        <v>#VALUE!</v>
      </c>
      <c r="Z185" s="188">
        <v>0.29589796450637518</v>
      </c>
      <c r="AA185" s="189" t="e">
        <f t="shared" si="10"/>
        <v>#VALUE!</v>
      </c>
    </row>
    <row r="186" spans="1:27" x14ac:dyDescent="0.25">
      <c r="A186">
        <v>20702</v>
      </c>
      <c r="B186">
        <v>17031020702</v>
      </c>
      <c r="C186">
        <v>17031</v>
      </c>
      <c r="D186">
        <v>2010</v>
      </c>
      <c r="E186">
        <v>2</v>
      </c>
      <c r="F186">
        <v>7580059.3908688296</v>
      </c>
      <c r="G186" s="45">
        <v>0.27189721759027885</v>
      </c>
      <c r="H186" s="60" t="str">
        <f>_xlfn.IFNA(
INDEX('Community Areas'!B$2:B$78,MATCH($E186,'Community Areas'!$A$2:$A$78,0)),
"")</f>
        <v>WEST RIDGE</v>
      </c>
      <c r="I186" s="63" t="str">
        <f>_xlfn.IFNA(
INDEX('Community Areas'!C$2:C$78,MATCH($E186,'Community Areas'!$A$2:$A$78,0)),
"")</f>
        <v>1-A</v>
      </c>
      <c r="J186" s="63">
        <f>_xlfn.IFNA(
INDEX('Community Areas'!D$2:D$78,MATCH($E186,'Community Areas'!$A$2:$A$78,0)),
"")</f>
        <v>1</v>
      </c>
      <c r="K186" s="60" t="str">
        <f>_xlfn.IFNA(
INDEX('Community Areas'!E$2:E$78,MATCH($E186,'Community Areas'!$A$2:$A$78,0)),
"")</f>
        <v>NORTH</v>
      </c>
      <c r="L186" s="17" t="e">
        <f>SUMIFS([1]ACSDT5Y2020.B08301_data_with_ov!AT$3:AT$1334,[1]ACSDT5Y2020.B08301_data_with_ov!$AS$3:$AS$1334,$B186)</f>
        <v>#VALUE!</v>
      </c>
      <c r="M186" s="17" t="e">
        <f>SUMIFS([1]ACSDT5Y2020.B08301_data_with_ov!AU$3:AU$1334,[1]ACSDT5Y2020.B08301_data_with_ov!$AS$3:$AS$1334,$B186)</f>
        <v>#VALUE!</v>
      </c>
      <c r="N186" s="17" t="e">
        <f>SUMIFS([1]ACSDT5Y2020.B08301_data_with_ov!AV$3:AV$1334,[1]ACSDT5Y2020.B08301_data_with_ov!$AS$3:$AS$1334,$B186)</f>
        <v>#VALUE!</v>
      </c>
      <c r="O186" s="17" t="e">
        <f>SUMIFS([1]ACSDT5Y2020.B08301_data_with_ov!AW$3:AW$1334,[1]ACSDT5Y2020.B08301_data_with_ov!$AS$3:$AS$1334,$B186)</f>
        <v>#VALUE!</v>
      </c>
      <c r="P186" s="17" t="e">
        <f>SUMIFS([1]ACSDT5Y2020.B08301_data_with_ov!AX$3:AX$1334,[1]ACSDT5Y2020.B08301_data_with_ov!$AS$3:$AS$1334,$B186)</f>
        <v>#VALUE!</v>
      </c>
      <c r="Q186" s="17" t="e">
        <f>SUMIFS([1]ACSDT5Y2020.B08301_data_with_ov!AY$3:AY$1334,[1]ACSDT5Y2020.B08301_data_with_ov!$AS$3:$AS$1334,$B186)</f>
        <v>#VALUE!</v>
      </c>
      <c r="R186" s="17" t="e">
        <f>SUMIFS([1]ACSDT5Y2020.B08301_data_with_ov!AZ$3:AZ$1334,[1]ACSDT5Y2020.B08301_data_with_ov!$AS$3:$AS$1334,$B186)</f>
        <v>#VALUE!</v>
      </c>
      <c r="S186" s="17" t="e">
        <f>SUMIFS([1]ACSDT5Y2020.B08301_data_with_ov!BA$3:BA$1334,[1]ACSDT5Y2020.B08301_data_with_ov!$AS$3:$AS$1334,$B186)</f>
        <v>#VALUE!</v>
      </c>
      <c r="T186" s="188">
        <v>0.27172947656224677</v>
      </c>
      <c r="U186" s="189" t="e">
        <f t="shared" si="11"/>
        <v>#VALUE!</v>
      </c>
      <c r="V186" s="188">
        <v>0.27172947656224677</v>
      </c>
      <c r="W186" s="189" t="e">
        <f t="shared" si="8"/>
        <v>#VALUE!</v>
      </c>
      <c r="X186" s="188">
        <v>0.27172947656224677</v>
      </c>
      <c r="Y186" s="189" t="e">
        <f t="shared" si="9"/>
        <v>#VALUE!</v>
      </c>
      <c r="Z186" s="188">
        <v>0.27172947656224677</v>
      </c>
      <c r="AA186" s="189" t="e">
        <f t="shared" si="10"/>
        <v>#VALUE!</v>
      </c>
    </row>
    <row r="187" spans="1:27" x14ac:dyDescent="0.25">
      <c r="A187">
        <v>20802</v>
      </c>
      <c r="B187">
        <v>17031020802</v>
      </c>
      <c r="C187">
        <v>17031</v>
      </c>
      <c r="D187">
        <v>2010</v>
      </c>
      <c r="E187">
        <v>2</v>
      </c>
      <c r="F187">
        <v>6932555.3450592496</v>
      </c>
      <c r="G187" s="45">
        <v>0.24867120584607616</v>
      </c>
      <c r="H187" s="60" t="str">
        <f>_xlfn.IFNA(
INDEX('Community Areas'!B$2:B$78,MATCH($E187,'Community Areas'!$A$2:$A$78,0)),
"")</f>
        <v>WEST RIDGE</v>
      </c>
      <c r="I187" s="63" t="str">
        <f>_xlfn.IFNA(
INDEX('Community Areas'!C$2:C$78,MATCH($E187,'Community Areas'!$A$2:$A$78,0)),
"")</f>
        <v>1-A</v>
      </c>
      <c r="J187" s="63">
        <f>_xlfn.IFNA(
INDEX('Community Areas'!D$2:D$78,MATCH($E187,'Community Areas'!$A$2:$A$78,0)),
"")</f>
        <v>1</v>
      </c>
      <c r="K187" s="60" t="str">
        <f>_xlfn.IFNA(
INDEX('Community Areas'!E$2:E$78,MATCH($E187,'Community Areas'!$A$2:$A$78,0)),
"")</f>
        <v>NORTH</v>
      </c>
      <c r="L187" s="17" t="e">
        <f>SUMIFS([1]ACSDT5Y2020.B08301_data_with_ov!AT$3:AT$1334,[1]ACSDT5Y2020.B08301_data_with_ov!$AS$3:$AS$1334,$B187)</f>
        <v>#VALUE!</v>
      </c>
      <c r="M187" s="17" t="e">
        <f>SUMIFS([1]ACSDT5Y2020.B08301_data_with_ov!AU$3:AU$1334,[1]ACSDT5Y2020.B08301_data_with_ov!$AS$3:$AS$1334,$B187)</f>
        <v>#VALUE!</v>
      </c>
      <c r="N187" s="17" t="e">
        <f>SUMIFS([1]ACSDT5Y2020.B08301_data_with_ov!AV$3:AV$1334,[1]ACSDT5Y2020.B08301_data_with_ov!$AS$3:$AS$1334,$B187)</f>
        <v>#VALUE!</v>
      </c>
      <c r="O187" s="17" t="e">
        <f>SUMIFS([1]ACSDT5Y2020.B08301_data_with_ov!AW$3:AW$1334,[1]ACSDT5Y2020.B08301_data_with_ov!$AS$3:$AS$1334,$B187)</f>
        <v>#VALUE!</v>
      </c>
      <c r="P187" s="17" t="e">
        <f>SUMIFS([1]ACSDT5Y2020.B08301_data_with_ov!AX$3:AX$1334,[1]ACSDT5Y2020.B08301_data_with_ov!$AS$3:$AS$1334,$B187)</f>
        <v>#VALUE!</v>
      </c>
      <c r="Q187" s="17" t="e">
        <f>SUMIFS([1]ACSDT5Y2020.B08301_data_with_ov!AY$3:AY$1334,[1]ACSDT5Y2020.B08301_data_with_ov!$AS$3:$AS$1334,$B187)</f>
        <v>#VALUE!</v>
      </c>
      <c r="R187" s="17" t="e">
        <f>SUMIFS([1]ACSDT5Y2020.B08301_data_with_ov!AZ$3:AZ$1334,[1]ACSDT5Y2020.B08301_data_with_ov!$AS$3:$AS$1334,$B187)</f>
        <v>#VALUE!</v>
      </c>
      <c r="S187" s="17" t="e">
        <f>SUMIFS([1]ACSDT5Y2020.B08301_data_with_ov!BA$3:BA$1334,[1]ACSDT5Y2020.B08301_data_with_ov!$AS$3:$AS$1334,$B187)</f>
        <v>#VALUE!</v>
      </c>
      <c r="T187" s="188">
        <v>3.328661453494921E-3</v>
      </c>
      <c r="U187" s="189" t="e">
        <f t="shared" si="11"/>
        <v>#VALUE!</v>
      </c>
      <c r="V187" s="188">
        <v>3.328661453494921E-3</v>
      </c>
      <c r="W187" s="189" t="e">
        <f t="shared" si="8"/>
        <v>#VALUE!</v>
      </c>
      <c r="X187" s="188">
        <v>3.328661453494921E-3</v>
      </c>
      <c r="Y187" s="189" t="e">
        <f t="shared" si="9"/>
        <v>#VALUE!</v>
      </c>
      <c r="Z187" s="188">
        <v>3.328661453494921E-3</v>
      </c>
      <c r="AA187" s="189" t="e">
        <f t="shared" si="10"/>
        <v>#VALUE!</v>
      </c>
    </row>
    <row r="188" spans="1:27" x14ac:dyDescent="0.25">
      <c r="A188">
        <v>20901</v>
      </c>
      <c r="B188">
        <v>17031020901</v>
      </c>
      <c r="C188">
        <v>17031</v>
      </c>
      <c r="D188">
        <v>2010</v>
      </c>
      <c r="E188">
        <v>2</v>
      </c>
      <c r="F188">
        <v>5258896.5978436098</v>
      </c>
      <c r="G188" s="45">
        <v>0.1886369590020808</v>
      </c>
      <c r="H188" s="60" t="str">
        <f>_xlfn.IFNA(
INDEX('Community Areas'!B$2:B$78,MATCH($E188,'Community Areas'!$A$2:$A$78,0)),
"")</f>
        <v>WEST RIDGE</v>
      </c>
      <c r="I188" s="63" t="str">
        <f>_xlfn.IFNA(
INDEX('Community Areas'!C$2:C$78,MATCH($E188,'Community Areas'!$A$2:$A$78,0)),
"")</f>
        <v>1-A</v>
      </c>
      <c r="J188" s="63">
        <f>_xlfn.IFNA(
INDEX('Community Areas'!D$2:D$78,MATCH($E188,'Community Areas'!$A$2:$A$78,0)),
"")</f>
        <v>1</v>
      </c>
      <c r="K188" s="60" t="str">
        <f>_xlfn.IFNA(
INDEX('Community Areas'!E$2:E$78,MATCH($E188,'Community Areas'!$A$2:$A$78,0)),
"")</f>
        <v>NORTH</v>
      </c>
      <c r="L188" s="17" t="e">
        <f>SUMIFS([1]ACSDT5Y2020.B08301_data_with_ov!AT$3:AT$1334,[1]ACSDT5Y2020.B08301_data_with_ov!$AS$3:$AS$1334,$B188)</f>
        <v>#VALUE!</v>
      </c>
      <c r="M188" s="17" t="e">
        <f>SUMIFS([1]ACSDT5Y2020.B08301_data_with_ov!AU$3:AU$1334,[1]ACSDT5Y2020.B08301_data_with_ov!$AS$3:$AS$1334,$B188)</f>
        <v>#VALUE!</v>
      </c>
      <c r="N188" s="17" t="e">
        <f>SUMIFS([1]ACSDT5Y2020.B08301_data_with_ov!AV$3:AV$1334,[1]ACSDT5Y2020.B08301_data_with_ov!$AS$3:$AS$1334,$B188)</f>
        <v>#VALUE!</v>
      </c>
      <c r="O188" s="17" t="e">
        <f>SUMIFS([1]ACSDT5Y2020.B08301_data_with_ov!AW$3:AW$1334,[1]ACSDT5Y2020.B08301_data_with_ov!$AS$3:$AS$1334,$B188)</f>
        <v>#VALUE!</v>
      </c>
      <c r="P188" s="17" t="e">
        <f>SUMIFS([1]ACSDT5Y2020.B08301_data_with_ov!AX$3:AX$1334,[1]ACSDT5Y2020.B08301_data_with_ov!$AS$3:$AS$1334,$B188)</f>
        <v>#VALUE!</v>
      </c>
      <c r="Q188" s="17" t="e">
        <f>SUMIFS([1]ACSDT5Y2020.B08301_data_with_ov!AY$3:AY$1334,[1]ACSDT5Y2020.B08301_data_with_ov!$AS$3:$AS$1334,$B188)</f>
        <v>#VALUE!</v>
      </c>
      <c r="R188" s="17" t="e">
        <f>SUMIFS([1]ACSDT5Y2020.B08301_data_with_ov!AZ$3:AZ$1334,[1]ACSDT5Y2020.B08301_data_with_ov!$AS$3:$AS$1334,$B188)</f>
        <v>#VALUE!</v>
      </c>
      <c r="S188" s="17" t="e">
        <f>SUMIFS([1]ACSDT5Y2020.B08301_data_with_ov!BA$3:BA$1334,[1]ACSDT5Y2020.B08301_data_with_ov!$AS$3:$AS$1334,$B188)</f>
        <v>#VALUE!</v>
      </c>
      <c r="T188" s="188">
        <v>0</v>
      </c>
      <c r="U188" s="189" t="e">
        <f t="shared" si="11"/>
        <v>#VALUE!</v>
      </c>
      <c r="V188" s="188">
        <v>0</v>
      </c>
      <c r="W188" s="189" t="e">
        <f t="shared" si="8"/>
        <v>#VALUE!</v>
      </c>
      <c r="X188" s="188">
        <v>0</v>
      </c>
      <c r="Y188" s="189" t="e">
        <f t="shared" si="9"/>
        <v>#VALUE!</v>
      </c>
      <c r="Z188" s="188">
        <v>0</v>
      </c>
      <c r="AA188" s="189" t="e">
        <f t="shared" si="10"/>
        <v>#VALUE!</v>
      </c>
    </row>
    <row r="189" spans="1:27" x14ac:dyDescent="0.25">
      <c r="A189">
        <v>20902</v>
      </c>
      <c r="B189">
        <v>17031020902</v>
      </c>
      <c r="C189">
        <v>17031</v>
      </c>
      <c r="D189">
        <v>2010</v>
      </c>
      <c r="E189">
        <v>2</v>
      </c>
      <c r="F189">
        <v>5389577.7077994999</v>
      </c>
      <c r="G189" s="45">
        <v>0.19332449881626995</v>
      </c>
      <c r="H189" s="60" t="str">
        <f>_xlfn.IFNA(
INDEX('Community Areas'!B$2:B$78,MATCH($E189,'Community Areas'!$A$2:$A$78,0)),
"")</f>
        <v>WEST RIDGE</v>
      </c>
      <c r="I189" s="63" t="str">
        <f>_xlfn.IFNA(
INDEX('Community Areas'!C$2:C$78,MATCH($E189,'Community Areas'!$A$2:$A$78,0)),
"")</f>
        <v>1-A</v>
      </c>
      <c r="J189" s="63">
        <f>_xlfn.IFNA(
INDEX('Community Areas'!D$2:D$78,MATCH($E189,'Community Areas'!$A$2:$A$78,0)),
"")</f>
        <v>1</v>
      </c>
      <c r="K189" s="60" t="str">
        <f>_xlfn.IFNA(
INDEX('Community Areas'!E$2:E$78,MATCH($E189,'Community Areas'!$A$2:$A$78,0)),
"")</f>
        <v>NORTH</v>
      </c>
      <c r="L189" s="17" t="e">
        <f>SUMIFS([1]ACSDT5Y2020.B08301_data_with_ov!AT$3:AT$1334,[1]ACSDT5Y2020.B08301_data_with_ov!$AS$3:$AS$1334,$B189)</f>
        <v>#VALUE!</v>
      </c>
      <c r="M189" s="17" t="e">
        <f>SUMIFS([1]ACSDT5Y2020.B08301_data_with_ov!AU$3:AU$1334,[1]ACSDT5Y2020.B08301_data_with_ov!$AS$3:$AS$1334,$B189)</f>
        <v>#VALUE!</v>
      </c>
      <c r="N189" s="17" t="e">
        <f>SUMIFS([1]ACSDT5Y2020.B08301_data_with_ov!AV$3:AV$1334,[1]ACSDT5Y2020.B08301_data_with_ov!$AS$3:$AS$1334,$B189)</f>
        <v>#VALUE!</v>
      </c>
      <c r="O189" s="17" t="e">
        <f>SUMIFS([1]ACSDT5Y2020.B08301_data_with_ov!AW$3:AW$1334,[1]ACSDT5Y2020.B08301_data_with_ov!$AS$3:$AS$1334,$B189)</f>
        <v>#VALUE!</v>
      </c>
      <c r="P189" s="17" t="e">
        <f>SUMIFS([1]ACSDT5Y2020.B08301_data_with_ov!AX$3:AX$1334,[1]ACSDT5Y2020.B08301_data_with_ov!$AS$3:$AS$1334,$B189)</f>
        <v>#VALUE!</v>
      </c>
      <c r="Q189" s="17" t="e">
        <f>SUMIFS([1]ACSDT5Y2020.B08301_data_with_ov!AY$3:AY$1334,[1]ACSDT5Y2020.B08301_data_with_ov!$AS$3:$AS$1334,$B189)</f>
        <v>#VALUE!</v>
      </c>
      <c r="R189" s="17" t="e">
        <f>SUMIFS([1]ACSDT5Y2020.B08301_data_with_ov!AZ$3:AZ$1334,[1]ACSDT5Y2020.B08301_data_with_ov!$AS$3:$AS$1334,$B189)</f>
        <v>#VALUE!</v>
      </c>
      <c r="S189" s="17" t="e">
        <f>SUMIFS([1]ACSDT5Y2020.B08301_data_with_ov!BA$3:BA$1334,[1]ACSDT5Y2020.B08301_data_with_ov!$AS$3:$AS$1334,$B189)</f>
        <v>#VALUE!</v>
      </c>
      <c r="T189" s="188">
        <v>9.2135668261435738E-2</v>
      </c>
      <c r="U189" s="189" t="e">
        <f t="shared" si="11"/>
        <v>#VALUE!</v>
      </c>
      <c r="V189" s="188">
        <v>8.6435741822122145E-2</v>
      </c>
      <c r="W189" s="189" t="e">
        <f t="shared" si="8"/>
        <v>#VALUE!</v>
      </c>
      <c r="X189" s="188">
        <v>8.6435741822122145E-2</v>
      </c>
      <c r="Y189" s="189" t="e">
        <f t="shared" si="9"/>
        <v>#VALUE!</v>
      </c>
      <c r="Z189" s="188">
        <v>8.6435741822122145E-2</v>
      </c>
      <c r="AA189" s="189" t="e">
        <f t="shared" si="10"/>
        <v>#VALUE!</v>
      </c>
    </row>
    <row r="190" spans="1:27" x14ac:dyDescent="0.25">
      <c r="A190">
        <v>20801</v>
      </c>
      <c r="B190">
        <v>17031020801</v>
      </c>
      <c r="C190">
        <v>17031</v>
      </c>
      <c r="D190">
        <v>2010</v>
      </c>
      <c r="E190">
        <v>2</v>
      </c>
      <c r="F190">
        <v>7060820.5824015699</v>
      </c>
      <c r="G190" s="45">
        <v>0.25327208815432628</v>
      </c>
      <c r="H190" s="60" t="str">
        <f>_xlfn.IFNA(
INDEX('Community Areas'!B$2:B$78,MATCH($E190,'Community Areas'!$A$2:$A$78,0)),
"")</f>
        <v>WEST RIDGE</v>
      </c>
      <c r="I190" s="63" t="str">
        <f>_xlfn.IFNA(
INDEX('Community Areas'!C$2:C$78,MATCH($E190,'Community Areas'!$A$2:$A$78,0)),
"")</f>
        <v>1-A</v>
      </c>
      <c r="J190" s="63">
        <f>_xlfn.IFNA(
INDEX('Community Areas'!D$2:D$78,MATCH($E190,'Community Areas'!$A$2:$A$78,0)),
"")</f>
        <v>1</v>
      </c>
      <c r="K190" s="60" t="str">
        <f>_xlfn.IFNA(
INDEX('Community Areas'!E$2:E$78,MATCH($E190,'Community Areas'!$A$2:$A$78,0)),
"")</f>
        <v>NORTH</v>
      </c>
      <c r="L190" s="17" t="e">
        <f>SUMIFS([1]ACSDT5Y2020.B08301_data_with_ov!AT$3:AT$1334,[1]ACSDT5Y2020.B08301_data_with_ov!$AS$3:$AS$1334,$B190)</f>
        <v>#VALUE!</v>
      </c>
      <c r="M190" s="17" t="e">
        <f>SUMIFS([1]ACSDT5Y2020.B08301_data_with_ov!AU$3:AU$1334,[1]ACSDT5Y2020.B08301_data_with_ov!$AS$3:$AS$1334,$B190)</f>
        <v>#VALUE!</v>
      </c>
      <c r="N190" s="17" t="e">
        <f>SUMIFS([1]ACSDT5Y2020.B08301_data_with_ov!AV$3:AV$1334,[1]ACSDT5Y2020.B08301_data_with_ov!$AS$3:$AS$1334,$B190)</f>
        <v>#VALUE!</v>
      </c>
      <c r="O190" s="17" t="e">
        <f>SUMIFS([1]ACSDT5Y2020.B08301_data_with_ov!AW$3:AW$1334,[1]ACSDT5Y2020.B08301_data_with_ov!$AS$3:$AS$1334,$B190)</f>
        <v>#VALUE!</v>
      </c>
      <c r="P190" s="17" t="e">
        <f>SUMIFS([1]ACSDT5Y2020.B08301_data_with_ov!AX$3:AX$1334,[1]ACSDT5Y2020.B08301_data_with_ov!$AS$3:$AS$1334,$B190)</f>
        <v>#VALUE!</v>
      </c>
      <c r="Q190" s="17" t="e">
        <f>SUMIFS([1]ACSDT5Y2020.B08301_data_with_ov!AY$3:AY$1334,[1]ACSDT5Y2020.B08301_data_with_ov!$AS$3:$AS$1334,$B190)</f>
        <v>#VALUE!</v>
      </c>
      <c r="R190" s="17" t="e">
        <f>SUMIFS([1]ACSDT5Y2020.B08301_data_with_ov!AZ$3:AZ$1334,[1]ACSDT5Y2020.B08301_data_with_ov!$AS$3:$AS$1334,$B190)</f>
        <v>#VALUE!</v>
      </c>
      <c r="S190" s="17" t="e">
        <f>SUMIFS([1]ACSDT5Y2020.B08301_data_with_ov!BA$3:BA$1334,[1]ACSDT5Y2020.B08301_data_with_ov!$AS$3:$AS$1334,$B190)</f>
        <v>#VALUE!</v>
      </c>
      <c r="T190" s="188">
        <v>0.24870019936600166</v>
      </c>
      <c r="U190" s="189" t="e">
        <f t="shared" si="11"/>
        <v>#VALUE!</v>
      </c>
      <c r="V190" s="188">
        <v>0.24870019936600166</v>
      </c>
      <c r="W190" s="189" t="e">
        <f t="shared" si="8"/>
        <v>#VALUE!</v>
      </c>
      <c r="X190" s="188">
        <v>0.24870019936600166</v>
      </c>
      <c r="Y190" s="189" t="e">
        <f t="shared" si="9"/>
        <v>#VALUE!</v>
      </c>
      <c r="Z190" s="188">
        <v>0.24870019936600166</v>
      </c>
      <c r="AA190" s="189" t="e">
        <f t="shared" si="10"/>
        <v>#VALUE!</v>
      </c>
    </row>
    <row r="191" spans="1:27" x14ac:dyDescent="0.25">
      <c r="A191">
        <v>200401</v>
      </c>
      <c r="B191">
        <v>17031200401</v>
      </c>
      <c r="C191">
        <v>17031</v>
      </c>
      <c r="D191">
        <v>2010</v>
      </c>
      <c r="E191">
        <v>20</v>
      </c>
      <c r="F191">
        <v>4328768.2373668402</v>
      </c>
      <c r="G191" s="45">
        <v>0.15527319492391387</v>
      </c>
      <c r="H191" s="60" t="str">
        <f>_xlfn.IFNA(
INDEX('Community Areas'!B$2:B$78,MATCH($E191,'Community Areas'!$A$2:$A$78,0)),
"")</f>
        <v>HERMOSA</v>
      </c>
      <c r="I191" s="63" t="str">
        <f>_xlfn.IFNA(
INDEX('Community Areas'!C$2:C$78,MATCH($E191,'Community Areas'!$A$2:$A$78,0)),
"")</f>
        <v>2-B</v>
      </c>
      <c r="J191" s="63">
        <f>_xlfn.IFNA(
INDEX('Community Areas'!D$2:D$78,MATCH($E191,'Community Areas'!$A$2:$A$78,0)),
"")</f>
        <v>2</v>
      </c>
      <c r="K191" s="60" t="str">
        <f>_xlfn.IFNA(
INDEX('Community Areas'!E$2:E$78,MATCH($E191,'Community Areas'!$A$2:$A$78,0)),
"")</f>
        <v>NORTHWEST</v>
      </c>
      <c r="L191" s="17" t="e">
        <f>SUMIFS([1]ACSDT5Y2020.B08301_data_with_ov!AT$3:AT$1334,[1]ACSDT5Y2020.B08301_data_with_ov!$AS$3:$AS$1334,$B191)</f>
        <v>#VALUE!</v>
      </c>
      <c r="M191" s="17" t="e">
        <f>SUMIFS([1]ACSDT5Y2020.B08301_data_with_ov!AU$3:AU$1334,[1]ACSDT5Y2020.B08301_data_with_ov!$AS$3:$AS$1334,$B191)</f>
        <v>#VALUE!</v>
      </c>
      <c r="N191" s="17" t="e">
        <f>SUMIFS([1]ACSDT5Y2020.B08301_data_with_ov!AV$3:AV$1334,[1]ACSDT5Y2020.B08301_data_with_ov!$AS$3:$AS$1334,$B191)</f>
        <v>#VALUE!</v>
      </c>
      <c r="O191" s="17" t="e">
        <f>SUMIFS([1]ACSDT5Y2020.B08301_data_with_ov!AW$3:AW$1334,[1]ACSDT5Y2020.B08301_data_with_ov!$AS$3:$AS$1334,$B191)</f>
        <v>#VALUE!</v>
      </c>
      <c r="P191" s="17" t="e">
        <f>SUMIFS([1]ACSDT5Y2020.B08301_data_with_ov!AX$3:AX$1334,[1]ACSDT5Y2020.B08301_data_with_ov!$AS$3:$AS$1334,$B191)</f>
        <v>#VALUE!</v>
      </c>
      <c r="Q191" s="17" t="e">
        <f>SUMIFS([1]ACSDT5Y2020.B08301_data_with_ov!AY$3:AY$1334,[1]ACSDT5Y2020.B08301_data_with_ov!$AS$3:$AS$1334,$B191)</f>
        <v>#VALUE!</v>
      </c>
      <c r="R191" s="17" t="e">
        <f>SUMIFS([1]ACSDT5Y2020.B08301_data_with_ov!AZ$3:AZ$1334,[1]ACSDT5Y2020.B08301_data_with_ov!$AS$3:$AS$1334,$B191)</f>
        <v>#VALUE!</v>
      </c>
      <c r="S191" s="17" t="e">
        <f>SUMIFS([1]ACSDT5Y2020.B08301_data_with_ov!BA$3:BA$1334,[1]ACSDT5Y2020.B08301_data_with_ov!$AS$3:$AS$1334,$B191)</f>
        <v>#VALUE!</v>
      </c>
      <c r="T191" s="188">
        <v>0</v>
      </c>
      <c r="U191" s="189" t="e">
        <f t="shared" si="11"/>
        <v>#VALUE!</v>
      </c>
      <c r="V191" s="188">
        <v>0</v>
      </c>
      <c r="W191" s="189" t="e">
        <f t="shared" si="8"/>
        <v>#VALUE!</v>
      </c>
      <c r="X191" s="188">
        <v>0</v>
      </c>
      <c r="Y191" s="189" t="e">
        <f t="shared" si="9"/>
        <v>#VALUE!</v>
      </c>
      <c r="Z191" s="188">
        <v>0</v>
      </c>
      <c r="AA191" s="189" t="e">
        <f t="shared" si="10"/>
        <v>#VALUE!</v>
      </c>
    </row>
    <row r="192" spans="1:27" x14ac:dyDescent="0.25">
      <c r="A192">
        <v>200200</v>
      </c>
      <c r="B192">
        <v>17031200200</v>
      </c>
      <c r="C192">
        <v>17031</v>
      </c>
      <c r="D192">
        <v>2010</v>
      </c>
      <c r="E192">
        <v>20</v>
      </c>
      <c r="F192">
        <v>8822565.9172843695</v>
      </c>
      <c r="G192" s="45">
        <v>0.31646600656007406</v>
      </c>
      <c r="H192" s="60" t="str">
        <f>_xlfn.IFNA(
INDEX('Community Areas'!B$2:B$78,MATCH($E192,'Community Areas'!$A$2:$A$78,0)),
"")</f>
        <v>HERMOSA</v>
      </c>
      <c r="I192" s="63" t="str">
        <f>_xlfn.IFNA(
INDEX('Community Areas'!C$2:C$78,MATCH($E192,'Community Areas'!$A$2:$A$78,0)),
"")</f>
        <v>2-B</v>
      </c>
      <c r="J192" s="63">
        <f>_xlfn.IFNA(
INDEX('Community Areas'!D$2:D$78,MATCH($E192,'Community Areas'!$A$2:$A$78,0)),
"")</f>
        <v>2</v>
      </c>
      <c r="K192" s="60" t="str">
        <f>_xlfn.IFNA(
INDEX('Community Areas'!E$2:E$78,MATCH($E192,'Community Areas'!$A$2:$A$78,0)),
"")</f>
        <v>NORTHWEST</v>
      </c>
      <c r="L192" s="17" t="e">
        <f>SUMIFS([1]ACSDT5Y2020.B08301_data_with_ov!AT$3:AT$1334,[1]ACSDT5Y2020.B08301_data_with_ov!$AS$3:$AS$1334,$B192)</f>
        <v>#VALUE!</v>
      </c>
      <c r="M192" s="17" t="e">
        <f>SUMIFS([1]ACSDT5Y2020.B08301_data_with_ov!AU$3:AU$1334,[1]ACSDT5Y2020.B08301_data_with_ov!$AS$3:$AS$1334,$B192)</f>
        <v>#VALUE!</v>
      </c>
      <c r="N192" s="17" t="e">
        <f>SUMIFS([1]ACSDT5Y2020.B08301_data_with_ov!AV$3:AV$1334,[1]ACSDT5Y2020.B08301_data_with_ov!$AS$3:$AS$1334,$B192)</f>
        <v>#VALUE!</v>
      </c>
      <c r="O192" s="17" t="e">
        <f>SUMIFS([1]ACSDT5Y2020.B08301_data_with_ov!AW$3:AW$1334,[1]ACSDT5Y2020.B08301_data_with_ov!$AS$3:$AS$1334,$B192)</f>
        <v>#VALUE!</v>
      </c>
      <c r="P192" s="17" t="e">
        <f>SUMIFS([1]ACSDT5Y2020.B08301_data_with_ov!AX$3:AX$1334,[1]ACSDT5Y2020.B08301_data_with_ov!$AS$3:$AS$1334,$B192)</f>
        <v>#VALUE!</v>
      </c>
      <c r="Q192" s="17" t="e">
        <f>SUMIFS([1]ACSDT5Y2020.B08301_data_with_ov!AY$3:AY$1334,[1]ACSDT5Y2020.B08301_data_with_ov!$AS$3:$AS$1334,$B192)</f>
        <v>#VALUE!</v>
      </c>
      <c r="R192" s="17" t="e">
        <f>SUMIFS([1]ACSDT5Y2020.B08301_data_with_ov!AZ$3:AZ$1334,[1]ACSDT5Y2020.B08301_data_with_ov!$AS$3:$AS$1334,$B192)</f>
        <v>#VALUE!</v>
      </c>
      <c r="S192" s="17" t="e">
        <f>SUMIFS([1]ACSDT5Y2020.B08301_data_with_ov!BA$3:BA$1334,[1]ACSDT5Y2020.B08301_data_with_ov!$AS$3:$AS$1334,$B192)</f>
        <v>#VALUE!</v>
      </c>
      <c r="T192" s="188">
        <v>0.30932295978321639</v>
      </c>
      <c r="U192" s="189" t="e">
        <f t="shared" si="11"/>
        <v>#VALUE!</v>
      </c>
      <c r="V192" s="188">
        <v>0.30782090211583163</v>
      </c>
      <c r="W192" s="189" t="e">
        <f t="shared" si="8"/>
        <v>#VALUE!</v>
      </c>
      <c r="X192" s="188">
        <v>0.30782090211583163</v>
      </c>
      <c r="Y192" s="189" t="e">
        <f t="shared" si="9"/>
        <v>#VALUE!</v>
      </c>
      <c r="Z192" s="188">
        <v>0.30782090211583163</v>
      </c>
      <c r="AA192" s="189" t="e">
        <f t="shared" si="10"/>
        <v>#VALUE!</v>
      </c>
    </row>
    <row r="193" spans="1:27" x14ac:dyDescent="0.25">
      <c r="A193">
        <v>831200</v>
      </c>
      <c r="B193">
        <v>17031831200</v>
      </c>
      <c r="C193">
        <v>17031</v>
      </c>
      <c r="D193">
        <v>2010</v>
      </c>
      <c r="E193">
        <v>20</v>
      </c>
      <c r="F193">
        <v>6286463.1835189098</v>
      </c>
      <c r="G193" s="45">
        <v>0.22549583848136587</v>
      </c>
      <c r="H193" s="60" t="str">
        <f>_xlfn.IFNA(
INDEX('Community Areas'!B$2:B$78,MATCH($E193,'Community Areas'!$A$2:$A$78,0)),
"")</f>
        <v>HERMOSA</v>
      </c>
      <c r="I193" s="63" t="str">
        <f>_xlfn.IFNA(
INDEX('Community Areas'!C$2:C$78,MATCH($E193,'Community Areas'!$A$2:$A$78,0)),
"")</f>
        <v>2-B</v>
      </c>
      <c r="J193" s="63">
        <f>_xlfn.IFNA(
INDEX('Community Areas'!D$2:D$78,MATCH($E193,'Community Areas'!$A$2:$A$78,0)),
"")</f>
        <v>2</v>
      </c>
      <c r="K193" s="60" t="str">
        <f>_xlfn.IFNA(
INDEX('Community Areas'!E$2:E$78,MATCH($E193,'Community Areas'!$A$2:$A$78,0)),
"")</f>
        <v>NORTHWEST</v>
      </c>
      <c r="L193" s="17" t="e">
        <f>SUMIFS([1]ACSDT5Y2020.B08301_data_with_ov!AT$3:AT$1334,[1]ACSDT5Y2020.B08301_data_with_ov!$AS$3:$AS$1334,$B193)</f>
        <v>#VALUE!</v>
      </c>
      <c r="M193" s="17" t="e">
        <f>SUMIFS([1]ACSDT5Y2020.B08301_data_with_ov!AU$3:AU$1334,[1]ACSDT5Y2020.B08301_data_with_ov!$AS$3:$AS$1334,$B193)</f>
        <v>#VALUE!</v>
      </c>
      <c r="N193" s="17" t="e">
        <f>SUMIFS([1]ACSDT5Y2020.B08301_data_with_ov!AV$3:AV$1334,[1]ACSDT5Y2020.B08301_data_with_ov!$AS$3:$AS$1334,$B193)</f>
        <v>#VALUE!</v>
      </c>
      <c r="O193" s="17" t="e">
        <f>SUMIFS([1]ACSDT5Y2020.B08301_data_with_ov!AW$3:AW$1334,[1]ACSDT5Y2020.B08301_data_with_ov!$AS$3:$AS$1334,$B193)</f>
        <v>#VALUE!</v>
      </c>
      <c r="P193" s="17" t="e">
        <f>SUMIFS([1]ACSDT5Y2020.B08301_data_with_ov!AX$3:AX$1334,[1]ACSDT5Y2020.B08301_data_with_ov!$AS$3:$AS$1334,$B193)</f>
        <v>#VALUE!</v>
      </c>
      <c r="Q193" s="17" t="e">
        <f>SUMIFS([1]ACSDT5Y2020.B08301_data_with_ov!AY$3:AY$1334,[1]ACSDT5Y2020.B08301_data_with_ov!$AS$3:$AS$1334,$B193)</f>
        <v>#VALUE!</v>
      </c>
      <c r="R193" s="17" t="e">
        <f>SUMIFS([1]ACSDT5Y2020.B08301_data_with_ov!AZ$3:AZ$1334,[1]ACSDT5Y2020.B08301_data_with_ov!$AS$3:$AS$1334,$B193)</f>
        <v>#VALUE!</v>
      </c>
      <c r="S193" s="17" t="e">
        <f>SUMIFS([1]ACSDT5Y2020.B08301_data_with_ov!BA$3:BA$1334,[1]ACSDT5Y2020.B08301_data_with_ov!$AS$3:$AS$1334,$B193)</f>
        <v>#VALUE!</v>
      </c>
      <c r="T193" s="188">
        <v>7.2410969475599746E-2</v>
      </c>
      <c r="U193" s="189" t="e">
        <f t="shared" si="11"/>
        <v>#VALUE!</v>
      </c>
      <c r="V193" s="188">
        <v>7.2410969475599746E-2</v>
      </c>
      <c r="W193" s="189" t="e">
        <f t="shared" si="8"/>
        <v>#VALUE!</v>
      </c>
      <c r="X193" s="188">
        <v>7.2410969475599746E-2</v>
      </c>
      <c r="Y193" s="189" t="e">
        <f t="shared" si="9"/>
        <v>#VALUE!</v>
      </c>
      <c r="Z193" s="188">
        <v>7.2410969475599746E-2</v>
      </c>
      <c r="AA193" s="189" t="e">
        <f t="shared" si="10"/>
        <v>#VALUE!</v>
      </c>
    </row>
    <row r="194" spans="1:27" x14ac:dyDescent="0.25">
      <c r="A194">
        <v>200402</v>
      </c>
      <c r="B194">
        <v>17031200402</v>
      </c>
      <c r="C194">
        <v>17031</v>
      </c>
      <c r="D194">
        <v>2010</v>
      </c>
      <c r="E194">
        <v>20</v>
      </c>
      <c r="F194">
        <v>4156271.9386599902</v>
      </c>
      <c r="G194" s="45">
        <v>0.1490857416013828</v>
      </c>
      <c r="H194" s="60" t="str">
        <f>_xlfn.IFNA(
INDEX('Community Areas'!B$2:B$78,MATCH($E194,'Community Areas'!$A$2:$A$78,0)),
"")</f>
        <v>HERMOSA</v>
      </c>
      <c r="I194" s="63" t="str">
        <f>_xlfn.IFNA(
INDEX('Community Areas'!C$2:C$78,MATCH($E194,'Community Areas'!$A$2:$A$78,0)),
"")</f>
        <v>2-B</v>
      </c>
      <c r="J194" s="63">
        <f>_xlfn.IFNA(
INDEX('Community Areas'!D$2:D$78,MATCH($E194,'Community Areas'!$A$2:$A$78,0)),
"")</f>
        <v>2</v>
      </c>
      <c r="K194" s="60" t="str">
        <f>_xlfn.IFNA(
INDEX('Community Areas'!E$2:E$78,MATCH($E194,'Community Areas'!$A$2:$A$78,0)),
"")</f>
        <v>NORTHWEST</v>
      </c>
      <c r="L194" s="17" t="e">
        <f>SUMIFS([1]ACSDT5Y2020.B08301_data_with_ov!AT$3:AT$1334,[1]ACSDT5Y2020.B08301_data_with_ov!$AS$3:$AS$1334,$B194)</f>
        <v>#VALUE!</v>
      </c>
      <c r="M194" s="17" t="e">
        <f>SUMIFS([1]ACSDT5Y2020.B08301_data_with_ov!AU$3:AU$1334,[1]ACSDT5Y2020.B08301_data_with_ov!$AS$3:$AS$1334,$B194)</f>
        <v>#VALUE!</v>
      </c>
      <c r="N194" s="17" t="e">
        <f>SUMIFS([1]ACSDT5Y2020.B08301_data_with_ov!AV$3:AV$1334,[1]ACSDT5Y2020.B08301_data_with_ov!$AS$3:$AS$1334,$B194)</f>
        <v>#VALUE!</v>
      </c>
      <c r="O194" s="17" t="e">
        <f>SUMIFS([1]ACSDT5Y2020.B08301_data_with_ov!AW$3:AW$1334,[1]ACSDT5Y2020.B08301_data_with_ov!$AS$3:$AS$1334,$B194)</f>
        <v>#VALUE!</v>
      </c>
      <c r="P194" s="17" t="e">
        <f>SUMIFS([1]ACSDT5Y2020.B08301_data_with_ov!AX$3:AX$1334,[1]ACSDT5Y2020.B08301_data_with_ov!$AS$3:$AS$1334,$B194)</f>
        <v>#VALUE!</v>
      </c>
      <c r="Q194" s="17" t="e">
        <f>SUMIFS([1]ACSDT5Y2020.B08301_data_with_ov!AY$3:AY$1334,[1]ACSDT5Y2020.B08301_data_with_ov!$AS$3:$AS$1334,$B194)</f>
        <v>#VALUE!</v>
      </c>
      <c r="R194" s="17" t="e">
        <f>SUMIFS([1]ACSDT5Y2020.B08301_data_with_ov!AZ$3:AZ$1334,[1]ACSDT5Y2020.B08301_data_with_ov!$AS$3:$AS$1334,$B194)</f>
        <v>#VALUE!</v>
      </c>
      <c r="S194" s="17" t="e">
        <f>SUMIFS([1]ACSDT5Y2020.B08301_data_with_ov!BA$3:BA$1334,[1]ACSDT5Y2020.B08301_data_with_ov!$AS$3:$AS$1334,$B194)</f>
        <v>#VALUE!</v>
      </c>
      <c r="T194" s="188">
        <v>4.6539260937912864E-2</v>
      </c>
      <c r="U194" s="189" t="e">
        <f t="shared" si="11"/>
        <v>#VALUE!</v>
      </c>
      <c r="V194" s="188">
        <v>1.9485669751078467E-2</v>
      </c>
      <c r="W194" s="189" t="e">
        <f t="shared" si="8"/>
        <v>#VALUE!</v>
      </c>
      <c r="X194" s="188">
        <v>1.9485669751078467E-2</v>
      </c>
      <c r="Y194" s="189" t="e">
        <f t="shared" si="9"/>
        <v>#VALUE!</v>
      </c>
      <c r="Z194" s="188">
        <v>1.9485669751078467E-2</v>
      </c>
      <c r="AA194" s="189" t="e">
        <f t="shared" si="10"/>
        <v>#VALUE!</v>
      </c>
    </row>
    <row r="195" spans="1:27" x14ac:dyDescent="0.25">
      <c r="A195">
        <v>200100</v>
      </c>
      <c r="B195">
        <v>17031200100</v>
      </c>
      <c r="C195">
        <v>17031</v>
      </c>
      <c r="D195">
        <v>2010</v>
      </c>
      <c r="E195">
        <v>20</v>
      </c>
      <c r="F195">
        <v>6302189.6439792002</v>
      </c>
      <c r="G195" s="45">
        <v>0.22605994762896006</v>
      </c>
      <c r="H195" s="60" t="str">
        <f>_xlfn.IFNA(
INDEX('Community Areas'!B$2:B$78,MATCH($E195,'Community Areas'!$A$2:$A$78,0)),
"")</f>
        <v>HERMOSA</v>
      </c>
      <c r="I195" s="63" t="str">
        <f>_xlfn.IFNA(
INDEX('Community Areas'!C$2:C$78,MATCH($E195,'Community Areas'!$A$2:$A$78,0)),
"")</f>
        <v>2-B</v>
      </c>
      <c r="J195" s="63">
        <f>_xlfn.IFNA(
INDEX('Community Areas'!D$2:D$78,MATCH($E195,'Community Areas'!$A$2:$A$78,0)),
"")</f>
        <v>2</v>
      </c>
      <c r="K195" s="60" t="str">
        <f>_xlfn.IFNA(
INDEX('Community Areas'!E$2:E$78,MATCH($E195,'Community Areas'!$A$2:$A$78,0)),
"")</f>
        <v>NORTHWEST</v>
      </c>
      <c r="L195" s="17" t="e">
        <f>SUMIFS([1]ACSDT5Y2020.B08301_data_with_ov!AT$3:AT$1334,[1]ACSDT5Y2020.B08301_data_with_ov!$AS$3:$AS$1334,$B195)</f>
        <v>#VALUE!</v>
      </c>
      <c r="M195" s="17" t="e">
        <f>SUMIFS([1]ACSDT5Y2020.B08301_data_with_ov!AU$3:AU$1334,[1]ACSDT5Y2020.B08301_data_with_ov!$AS$3:$AS$1334,$B195)</f>
        <v>#VALUE!</v>
      </c>
      <c r="N195" s="17" t="e">
        <f>SUMIFS([1]ACSDT5Y2020.B08301_data_with_ov!AV$3:AV$1334,[1]ACSDT5Y2020.B08301_data_with_ov!$AS$3:$AS$1334,$B195)</f>
        <v>#VALUE!</v>
      </c>
      <c r="O195" s="17" t="e">
        <f>SUMIFS([1]ACSDT5Y2020.B08301_data_with_ov!AW$3:AW$1334,[1]ACSDT5Y2020.B08301_data_with_ov!$AS$3:$AS$1334,$B195)</f>
        <v>#VALUE!</v>
      </c>
      <c r="P195" s="17" t="e">
        <f>SUMIFS([1]ACSDT5Y2020.B08301_data_with_ov!AX$3:AX$1334,[1]ACSDT5Y2020.B08301_data_with_ov!$AS$3:$AS$1334,$B195)</f>
        <v>#VALUE!</v>
      </c>
      <c r="Q195" s="17" t="e">
        <f>SUMIFS([1]ACSDT5Y2020.B08301_data_with_ov!AY$3:AY$1334,[1]ACSDT5Y2020.B08301_data_with_ov!$AS$3:$AS$1334,$B195)</f>
        <v>#VALUE!</v>
      </c>
      <c r="R195" s="17" t="e">
        <f>SUMIFS([1]ACSDT5Y2020.B08301_data_with_ov!AZ$3:AZ$1334,[1]ACSDT5Y2020.B08301_data_with_ov!$AS$3:$AS$1334,$B195)</f>
        <v>#VALUE!</v>
      </c>
      <c r="S195" s="17" t="e">
        <f>SUMIFS([1]ACSDT5Y2020.B08301_data_with_ov!BA$3:BA$1334,[1]ACSDT5Y2020.B08301_data_with_ov!$AS$3:$AS$1334,$B195)</f>
        <v>#VALUE!</v>
      </c>
      <c r="T195" s="188">
        <v>0.21808628982571487</v>
      </c>
      <c r="U195" s="189" t="e">
        <f t="shared" si="11"/>
        <v>#VALUE!</v>
      </c>
      <c r="V195" s="188">
        <v>0.21808628982571487</v>
      </c>
      <c r="W195" s="189" t="e">
        <f t="shared" si="8"/>
        <v>#VALUE!</v>
      </c>
      <c r="X195" s="188">
        <v>0.21808628982571487</v>
      </c>
      <c r="Y195" s="189" t="e">
        <f t="shared" si="9"/>
        <v>#VALUE!</v>
      </c>
      <c r="Z195" s="188">
        <v>0.21808628982571487</v>
      </c>
      <c r="AA195" s="189" t="e">
        <f t="shared" si="10"/>
        <v>#VALUE!</v>
      </c>
    </row>
    <row r="196" spans="1:27" x14ac:dyDescent="0.25">
      <c r="A196">
        <v>200300</v>
      </c>
      <c r="B196">
        <v>17031200300</v>
      </c>
      <c r="C196">
        <v>17031</v>
      </c>
      <c r="D196">
        <v>2010</v>
      </c>
      <c r="E196">
        <v>20</v>
      </c>
      <c r="F196">
        <v>2705800.4847071799</v>
      </c>
      <c r="G196" s="45">
        <v>9.7057237313015812E-2</v>
      </c>
      <c r="H196" s="60" t="str">
        <f>_xlfn.IFNA(
INDEX('Community Areas'!B$2:B$78,MATCH($E196,'Community Areas'!$A$2:$A$78,0)),
"")</f>
        <v>HERMOSA</v>
      </c>
      <c r="I196" s="63" t="str">
        <f>_xlfn.IFNA(
INDEX('Community Areas'!C$2:C$78,MATCH($E196,'Community Areas'!$A$2:$A$78,0)),
"")</f>
        <v>2-B</v>
      </c>
      <c r="J196" s="63">
        <f>_xlfn.IFNA(
INDEX('Community Areas'!D$2:D$78,MATCH($E196,'Community Areas'!$A$2:$A$78,0)),
"")</f>
        <v>2</v>
      </c>
      <c r="K196" s="60" t="str">
        <f>_xlfn.IFNA(
INDEX('Community Areas'!E$2:E$78,MATCH($E196,'Community Areas'!$A$2:$A$78,0)),
"")</f>
        <v>NORTHWEST</v>
      </c>
      <c r="L196" s="17" t="e">
        <f>SUMIFS([1]ACSDT5Y2020.B08301_data_with_ov!AT$3:AT$1334,[1]ACSDT5Y2020.B08301_data_with_ov!$AS$3:$AS$1334,$B196)</f>
        <v>#VALUE!</v>
      </c>
      <c r="M196" s="17" t="e">
        <f>SUMIFS([1]ACSDT5Y2020.B08301_data_with_ov!AU$3:AU$1334,[1]ACSDT5Y2020.B08301_data_with_ov!$AS$3:$AS$1334,$B196)</f>
        <v>#VALUE!</v>
      </c>
      <c r="N196" s="17" t="e">
        <f>SUMIFS([1]ACSDT5Y2020.B08301_data_with_ov!AV$3:AV$1334,[1]ACSDT5Y2020.B08301_data_with_ov!$AS$3:$AS$1334,$B196)</f>
        <v>#VALUE!</v>
      </c>
      <c r="O196" s="17" t="e">
        <f>SUMIFS([1]ACSDT5Y2020.B08301_data_with_ov!AW$3:AW$1334,[1]ACSDT5Y2020.B08301_data_with_ov!$AS$3:$AS$1334,$B196)</f>
        <v>#VALUE!</v>
      </c>
      <c r="P196" s="17" t="e">
        <f>SUMIFS([1]ACSDT5Y2020.B08301_data_with_ov!AX$3:AX$1334,[1]ACSDT5Y2020.B08301_data_with_ov!$AS$3:$AS$1334,$B196)</f>
        <v>#VALUE!</v>
      </c>
      <c r="Q196" s="17" t="e">
        <f>SUMIFS([1]ACSDT5Y2020.B08301_data_with_ov!AY$3:AY$1334,[1]ACSDT5Y2020.B08301_data_with_ov!$AS$3:$AS$1334,$B196)</f>
        <v>#VALUE!</v>
      </c>
      <c r="R196" s="17" t="e">
        <f>SUMIFS([1]ACSDT5Y2020.B08301_data_with_ov!AZ$3:AZ$1334,[1]ACSDT5Y2020.B08301_data_with_ov!$AS$3:$AS$1334,$B196)</f>
        <v>#VALUE!</v>
      </c>
      <c r="S196" s="17" t="e">
        <f>SUMIFS([1]ACSDT5Y2020.B08301_data_with_ov!BA$3:BA$1334,[1]ACSDT5Y2020.B08301_data_with_ov!$AS$3:$AS$1334,$B196)</f>
        <v>#VALUE!</v>
      </c>
      <c r="T196" s="188">
        <v>4.9249823456587537E-2</v>
      </c>
      <c r="U196" s="189" t="e">
        <f t="shared" si="11"/>
        <v>#VALUE!</v>
      </c>
      <c r="V196" s="188">
        <v>0</v>
      </c>
      <c r="W196" s="189" t="e">
        <f t="shared" si="8"/>
        <v>#VALUE!</v>
      </c>
      <c r="X196" s="188">
        <v>0</v>
      </c>
      <c r="Y196" s="189" t="e">
        <f t="shared" si="9"/>
        <v>#VALUE!</v>
      </c>
      <c r="Z196" s="188">
        <v>0</v>
      </c>
      <c r="AA196" s="189" t="e">
        <f t="shared" si="10"/>
        <v>#VALUE!</v>
      </c>
    </row>
    <row r="197" spans="1:27" x14ac:dyDescent="0.25">
      <c r="A197">
        <v>210502</v>
      </c>
      <c r="B197">
        <v>17031210502</v>
      </c>
      <c r="C197">
        <v>17031</v>
      </c>
      <c r="D197">
        <v>2010</v>
      </c>
      <c r="E197">
        <v>21</v>
      </c>
      <c r="F197">
        <v>3723677.0784098199</v>
      </c>
      <c r="G197" s="45">
        <v>0.13356853615737704</v>
      </c>
      <c r="H197" s="60" t="str">
        <f>_xlfn.IFNA(
INDEX('Community Areas'!B$2:B$78,MATCH($E197,'Community Areas'!$A$2:$A$78,0)),
"")</f>
        <v>AVONDALE</v>
      </c>
      <c r="I197" s="63" t="str">
        <f>_xlfn.IFNA(
INDEX('Community Areas'!C$2:C$78,MATCH($E197,'Community Areas'!$A$2:$A$78,0)),
"")</f>
        <v>2-B</v>
      </c>
      <c r="J197" s="63">
        <f>_xlfn.IFNA(
INDEX('Community Areas'!D$2:D$78,MATCH($E197,'Community Areas'!$A$2:$A$78,0)),
"")</f>
        <v>2</v>
      </c>
      <c r="K197" s="60" t="str">
        <f>_xlfn.IFNA(
INDEX('Community Areas'!E$2:E$78,MATCH($E197,'Community Areas'!$A$2:$A$78,0)),
"")</f>
        <v>NORTHWEST</v>
      </c>
      <c r="L197" s="17" t="e">
        <f>SUMIFS([1]ACSDT5Y2020.B08301_data_with_ov!AT$3:AT$1334,[1]ACSDT5Y2020.B08301_data_with_ov!$AS$3:$AS$1334,$B197)</f>
        <v>#VALUE!</v>
      </c>
      <c r="M197" s="17" t="e">
        <f>SUMIFS([1]ACSDT5Y2020.B08301_data_with_ov!AU$3:AU$1334,[1]ACSDT5Y2020.B08301_data_with_ov!$AS$3:$AS$1334,$B197)</f>
        <v>#VALUE!</v>
      </c>
      <c r="N197" s="17" t="e">
        <f>SUMIFS([1]ACSDT5Y2020.B08301_data_with_ov!AV$3:AV$1334,[1]ACSDT5Y2020.B08301_data_with_ov!$AS$3:$AS$1334,$B197)</f>
        <v>#VALUE!</v>
      </c>
      <c r="O197" s="17" t="e">
        <f>SUMIFS([1]ACSDT5Y2020.B08301_data_with_ov!AW$3:AW$1334,[1]ACSDT5Y2020.B08301_data_with_ov!$AS$3:$AS$1334,$B197)</f>
        <v>#VALUE!</v>
      </c>
      <c r="P197" s="17" t="e">
        <f>SUMIFS([1]ACSDT5Y2020.B08301_data_with_ov!AX$3:AX$1334,[1]ACSDT5Y2020.B08301_data_with_ov!$AS$3:$AS$1334,$B197)</f>
        <v>#VALUE!</v>
      </c>
      <c r="Q197" s="17" t="e">
        <f>SUMIFS([1]ACSDT5Y2020.B08301_data_with_ov!AY$3:AY$1334,[1]ACSDT5Y2020.B08301_data_with_ov!$AS$3:$AS$1334,$B197)</f>
        <v>#VALUE!</v>
      </c>
      <c r="R197" s="17" t="e">
        <f>SUMIFS([1]ACSDT5Y2020.B08301_data_with_ov!AZ$3:AZ$1334,[1]ACSDT5Y2020.B08301_data_with_ov!$AS$3:$AS$1334,$B197)</f>
        <v>#VALUE!</v>
      </c>
      <c r="S197" s="17" t="e">
        <f>SUMIFS([1]ACSDT5Y2020.B08301_data_with_ov!BA$3:BA$1334,[1]ACSDT5Y2020.B08301_data_with_ov!$AS$3:$AS$1334,$B197)</f>
        <v>#VALUE!</v>
      </c>
      <c r="T197" s="188">
        <v>0.13356853740495472</v>
      </c>
      <c r="U197" s="189" t="e">
        <f t="shared" si="11"/>
        <v>#VALUE!</v>
      </c>
      <c r="V197" s="188">
        <v>0.13356853740495472</v>
      </c>
      <c r="W197" s="189" t="e">
        <f t="shared" si="8"/>
        <v>#VALUE!</v>
      </c>
      <c r="X197" s="188">
        <v>0.13356853740495472</v>
      </c>
      <c r="Y197" s="189" t="e">
        <f t="shared" si="9"/>
        <v>#VALUE!</v>
      </c>
      <c r="Z197" s="188">
        <v>0.13356853740495472</v>
      </c>
      <c r="AA197" s="189" t="e">
        <f t="shared" si="10"/>
        <v>#VALUE!</v>
      </c>
    </row>
    <row r="198" spans="1:27" x14ac:dyDescent="0.25">
      <c r="A198">
        <v>210700</v>
      </c>
      <c r="B198">
        <v>17031210700</v>
      </c>
      <c r="C198">
        <v>17031</v>
      </c>
      <c r="D198">
        <v>2010</v>
      </c>
      <c r="E198">
        <v>21</v>
      </c>
      <c r="F198">
        <v>5332271.3585854601</v>
      </c>
      <c r="G198" s="45">
        <v>0.19126891638635862</v>
      </c>
      <c r="H198" s="60" t="str">
        <f>_xlfn.IFNA(
INDEX('Community Areas'!B$2:B$78,MATCH($E198,'Community Areas'!$A$2:$A$78,0)),
"")</f>
        <v>AVONDALE</v>
      </c>
      <c r="I198" s="63" t="str">
        <f>_xlfn.IFNA(
INDEX('Community Areas'!C$2:C$78,MATCH($E198,'Community Areas'!$A$2:$A$78,0)),
"")</f>
        <v>2-B</v>
      </c>
      <c r="J198" s="63">
        <f>_xlfn.IFNA(
INDEX('Community Areas'!D$2:D$78,MATCH($E198,'Community Areas'!$A$2:$A$78,0)),
"")</f>
        <v>2</v>
      </c>
      <c r="K198" s="60" t="str">
        <f>_xlfn.IFNA(
INDEX('Community Areas'!E$2:E$78,MATCH($E198,'Community Areas'!$A$2:$A$78,0)),
"")</f>
        <v>NORTHWEST</v>
      </c>
      <c r="L198" s="17" t="e">
        <f>SUMIFS([1]ACSDT5Y2020.B08301_data_with_ov!AT$3:AT$1334,[1]ACSDT5Y2020.B08301_data_with_ov!$AS$3:$AS$1334,$B198)</f>
        <v>#VALUE!</v>
      </c>
      <c r="M198" s="17" t="e">
        <f>SUMIFS([1]ACSDT5Y2020.B08301_data_with_ov!AU$3:AU$1334,[1]ACSDT5Y2020.B08301_data_with_ov!$AS$3:$AS$1334,$B198)</f>
        <v>#VALUE!</v>
      </c>
      <c r="N198" s="17" t="e">
        <f>SUMIFS([1]ACSDT5Y2020.B08301_data_with_ov!AV$3:AV$1334,[1]ACSDT5Y2020.B08301_data_with_ov!$AS$3:$AS$1334,$B198)</f>
        <v>#VALUE!</v>
      </c>
      <c r="O198" s="17" t="e">
        <f>SUMIFS([1]ACSDT5Y2020.B08301_data_with_ov!AW$3:AW$1334,[1]ACSDT5Y2020.B08301_data_with_ov!$AS$3:$AS$1334,$B198)</f>
        <v>#VALUE!</v>
      </c>
      <c r="P198" s="17" t="e">
        <f>SUMIFS([1]ACSDT5Y2020.B08301_data_with_ov!AX$3:AX$1334,[1]ACSDT5Y2020.B08301_data_with_ov!$AS$3:$AS$1334,$B198)</f>
        <v>#VALUE!</v>
      </c>
      <c r="Q198" s="17" t="e">
        <f>SUMIFS([1]ACSDT5Y2020.B08301_data_with_ov!AY$3:AY$1334,[1]ACSDT5Y2020.B08301_data_with_ov!$AS$3:$AS$1334,$B198)</f>
        <v>#VALUE!</v>
      </c>
      <c r="R198" s="17" t="e">
        <f>SUMIFS([1]ACSDT5Y2020.B08301_data_with_ov!AZ$3:AZ$1334,[1]ACSDT5Y2020.B08301_data_with_ov!$AS$3:$AS$1334,$B198)</f>
        <v>#VALUE!</v>
      </c>
      <c r="S198" s="17" t="e">
        <f>SUMIFS([1]ACSDT5Y2020.B08301_data_with_ov!BA$3:BA$1334,[1]ACSDT5Y2020.B08301_data_with_ov!$AS$3:$AS$1334,$B198)</f>
        <v>#VALUE!</v>
      </c>
      <c r="T198" s="188">
        <v>0.1912689177937274</v>
      </c>
      <c r="U198" s="189" t="e">
        <f t="shared" si="11"/>
        <v>#VALUE!</v>
      </c>
      <c r="V198" s="188">
        <v>0.1912689177937274</v>
      </c>
      <c r="W198" s="189" t="e">
        <f t="shared" ref="W198:W261" si="12">(V198/$G198)*$L198</f>
        <v>#VALUE!</v>
      </c>
      <c r="X198" s="188">
        <v>0.1912689177937274</v>
      </c>
      <c r="Y198" s="189" t="e">
        <f t="shared" ref="Y198:Y261" si="13">(X198/$G198)*$L198</f>
        <v>#VALUE!</v>
      </c>
      <c r="Z198" s="188">
        <v>0.1912689177937274</v>
      </c>
      <c r="AA198" s="189" t="e">
        <f t="shared" ref="AA198:AA261" si="14">(Z198/$G198)*$L198</f>
        <v>#VALUE!</v>
      </c>
    </row>
    <row r="199" spans="1:27" x14ac:dyDescent="0.25">
      <c r="A199">
        <v>210900</v>
      </c>
      <c r="B199">
        <v>17031210900</v>
      </c>
      <c r="C199">
        <v>17031</v>
      </c>
      <c r="D199">
        <v>2010</v>
      </c>
      <c r="E199">
        <v>21</v>
      </c>
      <c r="F199">
        <v>6151330.8346332097</v>
      </c>
      <c r="G199" s="45">
        <v>0.22064863244064256</v>
      </c>
      <c r="H199" s="60" t="str">
        <f>_xlfn.IFNA(
INDEX('Community Areas'!B$2:B$78,MATCH($E199,'Community Areas'!$A$2:$A$78,0)),
"")</f>
        <v>AVONDALE</v>
      </c>
      <c r="I199" s="63" t="str">
        <f>_xlfn.IFNA(
INDEX('Community Areas'!C$2:C$78,MATCH($E199,'Community Areas'!$A$2:$A$78,0)),
"")</f>
        <v>2-B</v>
      </c>
      <c r="J199" s="63">
        <f>_xlfn.IFNA(
INDEX('Community Areas'!D$2:D$78,MATCH($E199,'Community Areas'!$A$2:$A$78,0)),
"")</f>
        <v>2</v>
      </c>
      <c r="K199" s="60" t="str">
        <f>_xlfn.IFNA(
INDEX('Community Areas'!E$2:E$78,MATCH($E199,'Community Areas'!$A$2:$A$78,0)),
"")</f>
        <v>NORTHWEST</v>
      </c>
      <c r="L199" s="17" t="e">
        <f>SUMIFS([1]ACSDT5Y2020.B08301_data_with_ov!AT$3:AT$1334,[1]ACSDT5Y2020.B08301_data_with_ov!$AS$3:$AS$1334,$B199)</f>
        <v>#VALUE!</v>
      </c>
      <c r="M199" s="17" t="e">
        <f>SUMIFS([1]ACSDT5Y2020.B08301_data_with_ov!AU$3:AU$1334,[1]ACSDT5Y2020.B08301_data_with_ov!$AS$3:$AS$1334,$B199)</f>
        <v>#VALUE!</v>
      </c>
      <c r="N199" s="17" t="e">
        <f>SUMIFS([1]ACSDT5Y2020.B08301_data_with_ov!AV$3:AV$1334,[1]ACSDT5Y2020.B08301_data_with_ov!$AS$3:$AS$1334,$B199)</f>
        <v>#VALUE!</v>
      </c>
      <c r="O199" s="17" t="e">
        <f>SUMIFS([1]ACSDT5Y2020.B08301_data_with_ov!AW$3:AW$1334,[1]ACSDT5Y2020.B08301_data_with_ov!$AS$3:$AS$1334,$B199)</f>
        <v>#VALUE!</v>
      </c>
      <c r="P199" s="17" t="e">
        <f>SUMIFS([1]ACSDT5Y2020.B08301_data_with_ov!AX$3:AX$1334,[1]ACSDT5Y2020.B08301_data_with_ov!$AS$3:$AS$1334,$B199)</f>
        <v>#VALUE!</v>
      </c>
      <c r="Q199" s="17" t="e">
        <f>SUMIFS([1]ACSDT5Y2020.B08301_data_with_ov!AY$3:AY$1334,[1]ACSDT5Y2020.B08301_data_with_ov!$AS$3:$AS$1334,$B199)</f>
        <v>#VALUE!</v>
      </c>
      <c r="R199" s="17" t="e">
        <f>SUMIFS([1]ACSDT5Y2020.B08301_data_with_ov!AZ$3:AZ$1334,[1]ACSDT5Y2020.B08301_data_with_ov!$AS$3:$AS$1334,$B199)</f>
        <v>#VALUE!</v>
      </c>
      <c r="S199" s="17" t="e">
        <f>SUMIFS([1]ACSDT5Y2020.B08301_data_with_ov!BA$3:BA$1334,[1]ACSDT5Y2020.B08301_data_with_ov!$AS$3:$AS$1334,$B199)</f>
        <v>#VALUE!</v>
      </c>
      <c r="T199" s="188">
        <v>0.22064862727063569</v>
      </c>
      <c r="U199" s="189" t="e">
        <f t="shared" ref="U199:U262" si="15">(T199/$G199)*$L199</f>
        <v>#VALUE!</v>
      </c>
      <c r="V199" s="188">
        <v>0.22064862727063569</v>
      </c>
      <c r="W199" s="189" t="e">
        <f t="shared" si="12"/>
        <v>#VALUE!</v>
      </c>
      <c r="X199" s="188">
        <v>0.22064862727063569</v>
      </c>
      <c r="Y199" s="189" t="e">
        <f t="shared" si="13"/>
        <v>#VALUE!</v>
      </c>
      <c r="Z199" s="188">
        <v>0.22064862727063569</v>
      </c>
      <c r="AA199" s="189" t="e">
        <f t="shared" si="14"/>
        <v>#VALUE!</v>
      </c>
    </row>
    <row r="200" spans="1:27" x14ac:dyDescent="0.25">
      <c r="A200">
        <v>210601</v>
      </c>
      <c r="B200">
        <v>17031210601</v>
      </c>
      <c r="C200">
        <v>17031</v>
      </c>
      <c r="D200">
        <v>2010</v>
      </c>
      <c r="E200">
        <v>21</v>
      </c>
      <c r="F200">
        <v>2957703.27629657</v>
      </c>
      <c r="G200" s="45">
        <v>0.10609300663942586</v>
      </c>
      <c r="H200" s="60" t="str">
        <f>_xlfn.IFNA(
INDEX('Community Areas'!B$2:B$78,MATCH($E200,'Community Areas'!$A$2:$A$78,0)),
"")</f>
        <v>AVONDALE</v>
      </c>
      <c r="I200" s="63" t="str">
        <f>_xlfn.IFNA(
INDEX('Community Areas'!C$2:C$78,MATCH($E200,'Community Areas'!$A$2:$A$78,0)),
"")</f>
        <v>2-B</v>
      </c>
      <c r="J200" s="63">
        <f>_xlfn.IFNA(
INDEX('Community Areas'!D$2:D$78,MATCH($E200,'Community Areas'!$A$2:$A$78,0)),
"")</f>
        <v>2</v>
      </c>
      <c r="K200" s="60" t="str">
        <f>_xlfn.IFNA(
INDEX('Community Areas'!E$2:E$78,MATCH($E200,'Community Areas'!$A$2:$A$78,0)),
"")</f>
        <v>NORTHWEST</v>
      </c>
      <c r="L200" s="17" t="e">
        <f>SUMIFS([1]ACSDT5Y2020.B08301_data_with_ov!AT$3:AT$1334,[1]ACSDT5Y2020.B08301_data_with_ov!$AS$3:$AS$1334,$B200)</f>
        <v>#VALUE!</v>
      </c>
      <c r="M200" s="17" t="e">
        <f>SUMIFS([1]ACSDT5Y2020.B08301_data_with_ov!AU$3:AU$1334,[1]ACSDT5Y2020.B08301_data_with_ov!$AS$3:$AS$1334,$B200)</f>
        <v>#VALUE!</v>
      </c>
      <c r="N200" s="17" t="e">
        <f>SUMIFS([1]ACSDT5Y2020.B08301_data_with_ov!AV$3:AV$1334,[1]ACSDT5Y2020.B08301_data_with_ov!$AS$3:$AS$1334,$B200)</f>
        <v>#VALUE!</v>
      </c>
      <c r="O200" s="17" t="e">
        <f>SUMIFS([1]ACSDT5Y2020.B08301_data_with_ov!AW$3:AW$1334,[1]ACSDT5Y2020.B08301_data_with_ov!$AS$3:$AS$1334,$B200)</f>
        <v>#VALUE!</v>
      </c>
      <c r="P200" s="17" t="e">
        <f>SUMIFS([1]ACSDT5Y2020.B08301_data_with_ov!AX$3:AX$1334,[1]ACSDT5Y2020.B08301_data_with_ov!$AS$3:$AS$1334,$B200)</f>
        <v>#VALUE!</v>
      </c>
      <c r="Q200" s="17" t="e">
        <f>SUMIFS([1]ACSDT5Y2020.B08301_data_with_ov!AY$3:AY$1334,[1]ACSDT5Y2020.B08301_data_with_ov!$AS$3:$AS$1334,$B200)</f>
        <v>#VALUE!</v>
      </c>
      <c r="R200" s="17" t="e">
        <f>SUMIFS([1]ACSDT5Y2020.B08301_data_with_ov!AZ$3:AZ$1334,[1]ACSDT5Y2020.B08301_data_with_ov!$AS$3:$AS$1334,$B200)</f>
        <v>#VALUE!</v>
      </c>
      <c r="S200" s="17" t="e">
        <f>SUMIFS([1]ACSDT5Y2020.B08301_data_with_ov!BA$3:BA$1334,[1]ACSDT5Y2020.B08301_data_with_ov!$AS$3:$AS$1334,$B200)</f>
        <v>#VALUE!</v>
      </c>
      <c r="T200" s="188">
        <v>0.10609300750758113</v>
      </c>
      <c r="U200" s="189" t="e">
        <f t="shared" si="15"/>
        <v>#VALUE!</v>
      </c>
      <c r="V200" s="188">
        <v>0.10609300750758113</v>
      </c>
      <c r="W200" s="189" t="e">
        <f t="shared" si="12"/>
        <v>#VALUE!</v>
      </c>
      <c r="X200" s="188">
        <v>0.10609300750758113</v>
      </c>
      <c r="Y200" s="189" t="e">
        <f t="shared" si="13"/>
        <v>#VALUE!</v>
      </c>
      <c r="Z200" s="188">
        <v>0.10609300750758113</v>
      </c>
      <c r="AA200" s="189" t="e">
        <f t="shared" si="14"/>
        <v>#VALUE!</v>
      </c>
    </row>
    <row r="201" spans="1:27" x14ac:dyDescent="0.25">
      <c r="A201">
        <v>210100</v>
      </c>
      <c r="B201">
        <v>17031210100</v>
      </c>
      <c r="C201">
        <v>17031</v>
      </c>
      <c r="D201">
        <v>2010</v>
      </c>
      <c r="E201">
        <v>21</v>
      </c>
      <c r="F201">
        <v>9198946.6257407404</v>
      </c>
      <c r="G201" s="45">
        <v>0.32996680676583806</v>
      </c>
      <c r="H201" s="60" t="str">
        <f>_xlfn.IFNA(
INDEX('Community Areas'!B$2:B$78,MATCH($E201,'Community Areas'!$A$2:$A$78,0)),
"")</f>
        <v>AVONDALE</v>
      </c>
      <c r="I201" s="63" t="str">
        <f>_xlfn.IFNA(
INDEX('Community Areas'!C$2:C$78,MATCH($E201,'Community Areas'!$A$2:$A$78,0)),
"")</f>
        <v>2-B</v>
      </c>
      <c r="J201" s="63">
        <f>_xlfn.IFNA(
INDEX('Community Areas'!D$2:D$78,MATCH($E201,'Community Areas'!$A$2:$A$78,0)),
"")</f>
        <v>2</v>
      </c>
      <c r="K201" s="60" t="str">
        <f>_xlfn.IFNA(
INDEX('Community Areas'!E$2:E$78,MATCH($E201,'Community Areas'!$A$2:$A$78,0)),
"")</f>
        <v>NORTHWEST</v>
      </c>
      <c r="L201" s="17" t="e">
        <f>SUMIFS([1]ACSDT5Y2020.B08301_data_with_ov!AT$3:AT$1334,[1]ACSDT5Y2020.B08301_data_with_ov!$AS$3:$AS$1334,$B201)</f>
        <v>#VALUE!</v>
      </c>
      <c r="M201" s="17" t="e">
        <f>SUMIFS([1]ACSDT5Y2020.B08301_data_with_ov!AU$3:AU$1334,[1]ACSDT5Y2020.B08301_data_with_ov!$AS$3:$AS$1334,$B201)</f>
        <v>#VALUE!</v>
      </c>
      <c r="N201" s="17" t="e">
        <f>SUMIFS([1]ACSDT5Y2020.B08301_data_with_ov!AV$3:AV$1334,[1]ACSDT5Y2020.B08301_data_with_ov!$AS$3:$AS$1334,$B201)</f>
        <v>#VALUE!</v>
      </c>
      <c r="O201" s="17" t="e">
        <f>SUMIFS([1]ACSDT5Y2020.B08301_data_with_ov!AW$3:AW$1334,[1]ACSDT5Y2020.B08301_data_with_ov!$AS$3:$AS$1334,$B201)</f>
        <v>#VALUE!</v>
      </c>
      <c r="P201" s="17" t="e">
        <f>SUMIFS([1]ACSDT5Y2020.B08301_data_with_ov!AX$3:AX$1334,[1]ACSDT5Y2020.B08301_data_with_ov!$AS$3:$AS$1334,$B201)</f>
        <v>#VALUE!</v>
      </c>
      <c r="Q201" s="17" t="e">
        <f>SUMIFS([1]ACSDT5Y2020.B08301_data_with_ov!AY$3:AY$1334,[1]ACSDT5Y2020.B08301_data_with_ov!$AS$3:$AS$1334,$B201)</f>
        <v>#VALUE!</v>
      </c>
      <c r="R201" s="17" t="e">
        <f>SUMIFS([1]ACSDT5Y2020.B08301_data_with_ov!AZ$3:AZ$1334,[1]ACSDT5Y2020.B08301_data_with_ov!$AS$3:$AS$1334,$B201)</f>
        <v>#VALUE!</v>
      </c>
      <c r="S201" s="17" t="e">
        <f>SUMIFS([1]ACSDT5Y2020.B08301_data_with_ov!BA$3:BA$1334,[1]ACSDT5Y2020.B08301_data_with_ov!$AS$3:$AS$1334,$B201)</f>
        <v>#VALUE!</v>
      </c>
      <c r="T201" s="188">
        <v>0.32996680771152542</v>
      </c>
      <c r="U201" s="189" t="e">
        <f t="shared" si="15"/>
        <v>#VALUE!</v>
      </c>
      <c r="V201" s="188">
        <v>0.32996680771152542</v>
      </c>
      <c r="W201" s="189" t="e">
        <f t="shared" si="12"/>
        <v>#VALUE!</v>
      </c>
      <c r="X201" s="188">
        <v>0.32996680771152542</v>
      </c>
      <c r="Y201" s="189" t="e">
        <f t="shared" si="13"/>
        <v>#VALUE!</v>
      </c>
      <c r="Z201" s="188">
        <v>0.32996680771152542</v>
      </c>
      <c r="AA201" s="189" t="e">
        <f t="shared" si="14"/>
        <v>#VALUE!</v>
      </c>
    </row>
    <row r="202" spans="1:27" x14ac:dyDescent="0.25">
      <c r="A202">
        <v>210400</v>
      </c>
      <c r="B202">
        <v>17031210400</v>
      </c>
      <c r="C202">
        <v>17031</v>
      </c>
      <c r="D202">
        <v>2010</v>
      </c>
      <c r="E202">
        <v>21</v>
      </c>
      <c r="F202">
        <v>4532224.0273695597</v>
      </c>
      <c r="G202" s="45">
        <v>0.16257116718927772</v>
      </c>
      <c r="H202" s="60" t="str">
        <f>_xlfn.IFNA(
INDEX('Community Areas'!B$2:B$78,MATCH($E202,'Community Areas'!$A$2:$A$78,0)),
"")</f>
        <v>AVONDALE</v>
      </c>
      <c r="I202" s="63" t="str">
        <f>_xlfn.IFNA(
INDEX('Community Areas'!C$2:C$78,MATCH($E202,'Community Areas'!$A$2:$A$78,0)),
"")</f>
        <v>2-B</v>
      </c>
      <c r="J202" s="63">
        <f>_xlfn.IFNA(
INDEX('Community Areas'!D$2:D$78,MATCH($E202,'Community Areas'!$A$2:$A$78,0)),
"")</f>
        <v>2</v>
      </c>
      <c r="K202" s="60" t="str">
        <f>_xlfn.IFNA(
INDEX('Community Areas'!E$2:E$78,MATCH($E202,'Community Areas'!$A$2:$A$78,0)),
"")</f>
        <v>NORTHWEST</v>
      </c>
      <c r="L202" s="17" t="e">
        <f>SUMIFS([1]ACSDT5Y2020.B08301_data_with_ov!AT$3:AT$1334,[1]ACSDT5Y2020.B08301_data_with_ov!$AS$3:$AS$1334,$B202)</f>
        <v>#VALUE!</v>
      </c>
      <c r="M202" s="17" t="e">
        <f>SUMIFS([1]ACSDT5Y2020.B08301_data_with_ov!AU$3:AU$1334,[1]ACSDT5Y2020.B08301_data_with_ov!$AS$3:$AS$1334,$B202)</f>
        <v>#VALUE!</v>
      </c>
      <c r="N202" s="17" t="e">
        <f>SUMIFS([1]ACSDT5Y2020.B08301_data_with_ov!AV$3:AV$1334,[1]ACSDT5Y2020.B08301_data_with_ov!$AS$3:$AS$1334,$B202)</f>
        <v>#VALUE!</v>
      </c>
      <c r="O202" s="17" t="e">
        <f>SUMIFS([1]ACSDT5Y2020.B08301_data_with_ov!AW$3:AW$1334,[1]ACSDT5Y2020.B08301_data_with_ov!$AS$3:$AS$1334,$B202)</f>
        <v>#VALUE!</v>
      </c>
      <c r="P202" s="17" t="e">
        <f>SUMIFS([1]ACSDT5Y2020.B08301_data_with_ov!AX$3:AX$1334,[1]ACSDT5Y2020.B08301_data_with_ov!$AS$3:$AS$1334,$B202)</f>
        <v>#VALUE!</v>
      </c>
      <c r="Q202" s="17" t="e">
        <f>SUMIFS([1]ACSDT5Y2020.B08301_data_with_ov!AY$3:AY$1334,[1]ACSDT5Y2020.B08301_data_with_ov!$AS$3:$AS$1334,$B202)</f>
        <v>#VALUE!</v>
      </c>
      <c r="R202" s="17" t="e">
        <f>SUMIFS([1]ACSDT5Y2020.B08301_data_with_ov!AZ$3:AZ$1334,[1]ACSDT5Y2020.B08301_data_with_ov!$AS$3:$AS$1334,$B202)</f>
        <v>#VALUE!</v>
      </c>
      <c r="S202" s="17" t="e">
        <f>SUMIFS([1]ACSDT5Y2020.B08301_data_with_ov!BA$3:BA$1334,[1]ACSDT5Y2020.B08301_data_with_ov!$AS$3:$AS$1334,$B202)</f>
        <v>#VALUE!</v>
      </c>
      <c r="T202" s="188">
        <v>0.16083741795073389</v>
      </c>
      <c r="U202" s="189" t="e">
        <f t="shared" si="15"/>
        <v>#VALUE!</v>
      </c>
      <c r="V202" s="188">
        <v>0.16083741795073389</v>
      </c>
      <c r="W202" s="189" t="e">
        <f t="shared" si="12"/>
        <v>#VALUE!</v>
      </c>
      <c r="X202" s="188">
        <v>0.16083741795073389</v>
      </c>
      <c r="Y202" s="189" t="e">
        <f t="shared" si="13"/>
        <v>#VALUE!</v>
      </c>
      <c r="Z202" s="188">
        <v>0.16083741795073389</v>
      </c>
      <c r="AA202" s="189" t="e">
        <f t="shared" si="14"/>
        <v>#VALUE!</v>
      </c>
    </row>
    <row r="203" spans="1:27" x14ac:dyDescent="0.25">
      <c r="A203">
        <v>210602</v>
      </c>
      <c r="B203">
        <v>17031210602</v>
      </c>
      <c r="C203">
        <v>17031</v>
      </c>
      <c r="D203">
        <v>2010</v>
      </c>
      <c r="E203">
        <v>21</v>
      </c>
      <c r="F203">
        <v>4105886.98956588</v>
      </c>
      <c r="G203" s="45">
        <v>0.1472784302386751</v>
      </c>
      <c r="H203" s="60" t="str">
        <f>_xlfn.IFNA(
INDEX('Community Areas'!B$2:B$78,MATCH($E203,'Community Areas'!$A$2:$A$78,0)),
"")</f>
        <v>AVONDALE</v>
      </c>
      <c r="I203" s="63" t="str">
        <f>_xlfn.IFNA(
INDEX('Community Areas'!C$2:C$78,MATCH($E203,'Community Areas'!$A$2:$A$78,0)),
"")</f>
        <v>2-B</v>
      </c>
      <c r="J203" s="63">
        <f>_xlfn.IFNA(
INDEX('Community Areas'!D$2:D$78,MATCH($E203,'Community Areas'!$A$2:$A$78,0)),
"")</f>
        <v>2</v>
      </c>
      <c r="K203" s="60" t="str">
        <f>_xlfn.IFNA(
INDEX('Community Areas'!E$2:E$78,MATCH($E203,'Community Areas'!$A$2:$A$78,0)),
"")</f>
        <v>NORTHWEST</v>
      </c>
      <c r="L203" s="17" t="e">
        <f>SUMIFS([1]ACSDT5Y2020.B08301_data_with_ov!AT$3:AT$1334,[1]ACSDT5Y2020.B08301_data_with_ov!$AS$3:$AS$1334,$B203)</f>
        <v>#VALUE!</v>
      </c>
      <c r="M203" s="17" t="e">
        <f>SUMIFS([1]ACSDT5Y2020.B08301_data_with_ov!AU$3:AU$1334,[1]ACSDT5Y2020.B08301_data_with_ov!$AS$3:$AS$1334,$B203)</f>
        <v>#VALUE!</v>
      </c>
      <c r="N203" s="17" t="e">
        <f>SUMIFS([1]ACSDT5Y2020.B08301_data_with_ov!AV$3:AV$1334,[1]ACSDT5Y2020.B08301_data_with_ov!$AS$3:$AS$1334,$B203)</f>
        <v>#VALUE!</v>
      </c>
      <c r="O203" s="17" t="e">
        <f>SUMIFS([1]ACSDT5Y2020.B08301_data_with_ov!AW$3:AW$1334,[1]ACSDT5Y2020.B08301_data_with_ov!$AS$3:$AS$1334,$B203)</f>
        <v>#VALUE!</v>
      </c>
      <c r="P203" s="17" t="e">
        <f>SUMIFS([1]ACSDT5Y2020.B08301_data_with_ov!AX$3:AX$1334,[1]ACSDT5Y2020.B08301_data_with_ov!$AS$3:$AS$1334,$B203)</f>
        <v>#VALUE!</v>
      </c>
      <c r="Q203" s="17" t="e">
        <f>SUMIFS([1]ACSDT5Y2020.B08301_data_with_ov!AY$3:AY$1334,[1]ACSDT5Y2020.B08301_data_with_ov!$AS$3:$AS$1334,$B203)</f>
        <v>#VALUE!</v>
      </c>
      <c r="R203" s="17" t="e">
        <f>SUMIFS([1]ACSDT5Y2020.B08301_data_with_ov!AZ$3:AZ$1334,[1]ACSDT5Y2020.B08301_data_with_ov!$AS$3:$AS$1334,$B203)</f>
        <v>#VALUE!</v>
      </c>
      <c r="S203" s="17" t="e">
        <f>SUMIFS([1]ACSDT5Y2020.B08301_data_with_ov!BA$3:BA$1334,[1]ACSDT5Y2020.B08301_data_with_ov!$AS$3:$AS$1334,$B203)</f>
        <v>#VALUE!</v>
      </c>
      <c r="T203" s="188">
        <v>0.14727843114126529</v>
      </c>
      <c r="U203" s="189" t="e">
        <f t="shared" si="15"/>
        <v>#VALUE!</v>
      </c>
      <c r="V203" s="188">
        <v>0.14727843114126529</v>
      </c>
      <c r="W203" s="189" t="e">
        <f t="shared" si="12"/>
        <v>#VALUE!</v>
      </c>
      <c r="X203" s="188">
        <v>0.14727843114126529</v>
      </c>
      <c r="Y203" s="189" t="e">
        <f t="shared" si="13"/>
        <v>#VALUE!</v>
      </c>
      <c r="Z203" s="188">
        <v>0.14727843114126529</v>
      </c>
      <c r="AA203" s="189" t="e">
        <f t="shared" si="14"/>
        <v>#VALUE!</v>
      </c>
    </row>
    <row r="204" spans="1:27" x14ac:dyDescent="0.25">
      <c r="A204">
        <v>210800</v>
      </c>
      <c r="B204">
        <v>17031210800</v>
      </c>
      <c r="C204">
        <v>17031</v>
      </c>
      <c r="D204">
        <v>2010</v>
      </c>
      <c r="E204">
        <v>21</v>
      </c>
      <c r="F204">
        <v>1774424.5019407801</v>
      </c>
      <c r="G204" s="45">
        <v>6.364872094312371E-2</v>
      </c>
      <c r="H204" s="60" t="str">
        <f>_xlfn.IFNA(
INDEX('Community Areas'!B$2:B$78,MATCH($E204,'Community Areas'!$A$2:$A$78,0)),
"")</f>
        <v>AVONDALE</v>
      </c>
      <c r="I204" s="63" t="str">
        <f>_xlfn.IFNA(
INDEX('Community Areas'!C$2:C$78,MATCH($E204,'Community Areas'!$A$2:$A$78,0)),
"")</f>
        <v>2-B</v>
      </c>
      <c r="J204" s="63">
        <f>_xlfn.IFNA(
INDEX('Community Areas'!D$2:D$78,MATCH($E204,'Community Areas'!$A$2:$A$78,0)),
"")</f>
        <v>2</v>
      </c>
      <c r="K204" s="60" t="str">
        <f>_xlfn.IFNA(
INDEX('Community Areas'!E$2:E$78,MATCH($E204,'Community Areas'!$A$2:$A$78,0)),
"")</f>
        <v>NORTHWEST</v>
      </c>
      <c r="L204" s="17" t="e">
        <f>SUMIFS([1]ACSDT5Y2020.B08301_data_with_ov!AT$3:AT$1334,[1]ACSDT5Y2020.B08301_data_with_ov!$AS$3:$AS$1334,$B204)</f>
        <v>#VALUE!</v>
      </c>
      <c r="M204" s="17" t="e">
        <f>SUMIFS([1]ACSDT5Y2020.B08301_data_with_ov!AU$3:AU$1334,[1]ACSDT5Y2020.B08301_data_with_ov!$AS$3:$AS$1334,$B204)</f>
        <v>#VALUE!</v>
      </c>
      <c r="N204" s="17" t="e">
        <f>SUMIFS([1]ACSDT5Y2020.B08301_data_with_ov!AV$3:AV$1334,[1]ACSDT5Y2020.B08301_data_with_ov!$AS$3:$AS$1334,$B204)</f>
        <v>#VALUE!</v>
      </c>
      <c r="O204" s="17" t="e">
        <f>SUMIFS([1]ACSDT5Y2020.B08301_data_with_ov!AW$3:AW$1334,[1]ACSDT5Y2020.B08301_data_with_ov!$AS$3:$AS$1334,$B204)</f>
        <v>#VALUE!</v>
      </c>
      <c r="P204" s="17" t="e">
        <f>SUMIFS([1]ACSDT5Y2020.B08301_data_with_ov!AX$3:AX$1334,[1]ACSDT5Y2020.B08301_data_with_ov!$AS$3:$AS$1334,$B204)</f>
        <v>#VALUE!</v>
      </c>
      <c r="Q204" s="17" t="e">
        <f>SUMIFS([1]ACSDT5Y2020.B08301_data_with_ov!AY$3:AY$1334,[1]ACSDT5Y2020.B08301_data_with_ov!$AS$3:$AS$1334,$B204)</f>
        <v>#VALUE!</v>
      </c>
      <c r="R204" s="17" t="e">
        <f>SUMIFS([1]ACSDT5Y2020.B08301_data_with_ov!AZ$3:AZ$1334,[1]ACSDT5Y2020.B08301_data_with_ov!$AS$3:$AS$1334,$B204)</f>
        <v>#VALUE!</v>
      </c>
      <c r="S204" s="17" t="e">
        <f>SUMIFS([1]ACSDT5Y2020.B08301_data_with_ov!BA$3:BA$1334,[1]ACSDT5Y2020.B08301_data_with_ov!$AS$3:$AS$1334,$B204)</f>
        <v>#VALUE!</v>
      </c>
      <c r="T204" s="188">
        <v>6.3648717900548449E-2</v>
      </c>
      <c r="U204" s="189" t="e">
        <f t="shared" si="15"/>
        <v>#VALUE!</v>
      </c>
      <c r="V204" s="188">
        <v>6.3648717900548449E-2</v>
      </c>
      <c r="W204" s="189" t="e">
        <f t="shared" si="12"/>
        <v>#VALUE!</v>
      </c>
      <c r="X204" s="188">
        <v>6.3648717900548449E-2</v>
      </c>
      <c r="Y204" s="189" t="e">
        <f t="shared" si="13"/>
        <v>#VALUE!</v>
      </c>
      <c r="Z204" s="188">
        <v>6.3648717900548449E-2</v>
      </c>
      <c r="AA204" s="189" t="e">
        <f t="shared" si="14"/>
        <v>#VALUE!</v>
      </c>
    </row>
    <row r="205" spans="1:27" x14ac:dyDescent="0.25">
      <c r="A205">
        <v>831100</v>
      </c>
      <c r="B205">
        <v>17031831100</v>
      </c>
      <c r="C205">
        <v>17031</v>
      </c>
      <c r="D205">
        <v>2010</v>
      </c>
      <c r="E205">
        <v>21</v>
      </c>
      <c r="F205">
        <v>14143812.867406201</v>
      </c>
      <c r="G205" s="45">
        <v>0.50733947670620272</v>
      </c>
      <c r="H205" s="60" t="str">
        <f>_xlfn.IFNA(
INDEX('Community Areas'!B$2:B$78,MATCH($E205,'Community Areas'!$A$2:$A$78,0)),
"")</f>
        <v>AVONDALE</v>
      </c>
      <c r="I205" s="63" t="str">
        <f>_xlfn.IFNA(
INDEX('Community Areas'!C$2:C$78,MATCH($E205,'Community Areas'!$A$2:$A$78,0)),
"")</f>
        <v>2-B</v>
      </c>
      <c r="J205" s="63">
        <f>_xlfn.IFNA(
INDEX('Community Areas'!D$2:D$78,MATCH($E205,'Community Areas'!$A$2:$A$78,0)),
"")</f>
        <v>2</v>
      </c>
      <c r="K205" s="60" t="str">
        <f>_xlfn.IFNA(
INDEX('Community Areas'!E$2:E$78,MATCH($E205,'Community Areas'!$A$2:$A$78,0)),
"")</f>
        <v>NORTHWEST</v>
      </c>
      <c r="L205" s="17" t="e">
        <f>SUMIFS([1]ACSDT5Y2020.B08301_data_with_ov!AT$3:AT$1334,[1]ACSDT5Y2020.B08301_data_with_ov!$AS$3:$AS$1334,$B205)</f>
        <v>#VALUE!</v>
      </c>
      <c r="M205" s="17" t="e">
        <f>SUMIFS([1]ACSDT5Y2020.B08301_data_with_ov!AU$3:AU$1334,[1]ACSDT5Y2020.B08301_data_with_ov!$AS$3:$AS$1334,$B205)</f>
        <v>#VALUE!</v>
      </c>
      <c r="N205" s="17" t="e">
        <f>SUMIFS([1]ACSDT5Y2020.B08301_data_with_ov!AV$3:AV$1334,[1]ACSDT5Y2020.B08301_data_with_ov!$AS$3:$AS$1334,$B205)</f>
        <v>#VALUE!</v>
      </c>
      <c r="O205" s="17" t="e">
        <f>SUMIFS([1]ACSDT5Y2020.B08301_data_with_ov!AW$3:AW$1334,[1]ACSDT5Y2020.B08301_data_with_ov!$AS$3:$AS$1334,$B205)</f>
        <v>#VALUE!</v>
      </c>
      <c r="P205" s="17" t="e">
        <f>SUMIFS([1]ACSDT5Y2020.B08301_data_with_ov!AX$3:AX$1334,[1]ACSDT5Y2020.B08301_data_with_ov!$AS$3:$AS$1334,$B205)</f>
        <v>#VALUE!</v>
      </c>
      <c r="Q205" s="17" t="e">
        <f>SUMIFS([1]ACSDT5Y2020.B08301_data_with_ov!AY$3:AY$1334,[1]ACSDT5Y2020.B08301_data_with_ov!$AS$3:$AS$1334,$B205)</f>
        <v>#VALUE!</v>
      </c>
      <c r="R205" s="17" t="e">
        <f>SUMIFS([1]ACSDT5Y2020.B08301_data_with_ov!AZ$3:AZ$1334,[1]ACSDT5Y2020.B08301_data_with_ov!$AS$3:$AS$1334,$B205)</f>
        <v>#VALUE!</v>
      </c>
      <c r="S205" s="17" t="e">
        <f>SUMIFS([1]ACSDT5Y2020.B08301_data_with_ov!BA$3:BA$1334,[1]ACSDT5Y2020.B08301_data_with_ov!$AS$3:$AS$1334,$B205)</f>
        <v>#VALUE!</v>
      </c>
      <c r="T205" s="188">
        <v>0.3020941059129143</v>
      </c>
      <c r="U205" s="189" t="e">
        <f t="shared" si="15"/>
        <v>#VALUE!</v>
      </c>
      <c r="V205" s="188">
        <v>0.3020941059129143</v>
      </c>
      <c r="W205" s="189" t="e">
        <f t="shared" si="12"/>
        <v>#VALUE!</v>
      </c>
      <c r="X205" s="188">
        <v>0.3020941059129143</v>
      </c>
      <c r="Y205" s="189" t="e">
        <f t="shared" si="13"/>
        <v>#VALUE!</v>
      </c>
      <c r="Z205" s="188">
        <v>0.3020941059129143</v>
      </c>
      <c r="AA205" s="189" t="e">
        <f t="shared" si="14"/>
        <v>#VALUE!</v>
      </c>
    </row>
    <row r="206" spans="1:27" x14ac:dyDescent="0.25">
      <c r="A206">
        <v>210501</v>
      </c>
      <c r="B206">
        <v>17031210501</v>
      </c>
      <c r="C206">
        <v>17031</v>
      </c>
      <c r="D206">
        <v>2010</v>
      </c>
      <c r="E206">
        <v>21</v>
      </c>
      <c r="F206">
        <v>3370317.9130615899</v>
      </c>
      <c r="G206" s="45">
        <v>0.1208935201827074</v>
      </c>
      <c r="H206" s="60" t="str">
        <f>_xlfn.IFNA(
INDEX('Community Areas'!B$2:B$78,MATCH($E206,'Community Areas'!$A$2:$A$78,0)),
"")</f>
        <v>AVONDALE</v>
      </c>
      <c r="I206" s="63" t="str">
        <f>_xlfn.IFNA(
INDEX('Community Areas'!C$2:C$78,MATCH($E206,'Community Areas'!$A$2:$A$78,0)),
"")</f>
        <v>2-B</v>
      </c>
      <c r="J206" s="63">
        <f>_xlfn.IFNA(
INDEX('Community Areas'!D$2:D$78,MATCH($E206,'Community Areas'!$A$2:$A$78,0)),
"")</f>
        <v>2</v>
      </c>
      <c r="K206" s="60" t="str">
        <f>_xlfn.IFNA(
INDEX('Community Areas'!E$2:E$78,MATCH($E206,'Community Areas'!$A$2:$A$78,0)),
"")</f>
        <v>NORTHWEST</v>
      </c>
      <c r="L206" s="17" t="e">
        <f>SUMIFS([1]ACSDT5Y2020.B08301_data_with_ov!AT$3:AT$1334,[1]ACSDT5Y2020.B08301_data_with_ov!$AS$3:$AS$1334,$B206)</f>
        <v>#VALUE!</v>
      </c>
      <c r="M206" s="17" t="e">
        <f>SUMIFS([1]ACSDT5Y2020.B08301_data_with_ov!AU$3:AU$1334,[1]ACSDT5Y2020.B08301_data_with_ov!$AS$3:$AS$1334,$B206)</f>
        <v>#VALUE!</v>
      </c>
      <c r="N206" s="17" t="e">
        <f>SUMIFS([1]ACSDT5Y2020.B08301_data_with_ov!AV$3:AV$1334,[1]ACSDT5Y2020.B08301_data_with_ov!$AS$3:$AS$1334,$B206)</f>
        <v>#VALUE!</v>
      </c>
      <c r="O206" s="17" t="e">
        <f>SUMIFS([1]ACSDT5Y2020.B08301_data_with_ov!AW$3:AW$1334,[1]ACSDT5Y2020.B08301_data_with_ov!$AS$3:$AS$1334,$B206)</f>
        <v>#VALUE!</v>
      </c>
      <c r="P206" s="17" t="e">
        <f>SUMIFS([1]ACSDT5Y2020.B08301_data_with_ov!AX$3:AX$1334,[1]ACSDT5Y2020.B08301_data_with_ov!$AS$3:$AS$1334,$B206)</f>
        <v>#VALUE!</v>
      </c>
      <c r="Q206" s="17" t="e">
        <f>SUMIFS([1]ACSDT5Y2020.B08301_data_with_ov!AY$3:AY$1334,[1]ACSDT5Y2020.B08301_data_with_ov!$AS$3:$AS$1334,$B206)</f>
        <v>#VALUE!</v>
      </c>
      <c r="R206" s="17" t="e">
        <f>SUMIFS([1]ACSDT5Y2020.B08301_data_with_ov!AZ$3:AZ$1334,[1]ACSDT5Y2020.B08301_data_with_ov!$AS$3:$AS$1334,$B206)</f>
        <v>#VALUE!</v>
      </c>
      <c r="S206" s="17" t="e">
        <f>SUMIFS([1]ACSDT5Y2020.B08301_data_with_ov!BA$3:BA$1334,[1]ACSDT5Y2020.B08301_data_with_ov!$AS$3:$AS$1334,$B206)</f>
        <v>#VALUE!</v>
      </c>
      <c r="T206" s="188">
        <v>0.11879184460818627</v>
      </c>
      <c r="U206" s="189" t="e">
        <f t="shared" si="15"/>
        <v>#VALUE!</v>
      </c>
      <c r="V206" s="188">
        <v>0.11879184460818627</v>
      </c>
      <c r="W206" s="189" t="e">
        <f t="shared" si="12"/>
        <v>#VALUE!</v>
      </c>
      <c r="X206" s="188">
        <v>0.11879184460818627</v>
      </c>
      <c r="Y206" s="189" t="e">
        <f t="shared" si="13"/>
        <v>#VALUE!</v>
      </c>
      <c r="Z206" s="188">
        <v>0.11879184460818627</v>
      </c>
      <c r="AA206" s="189" t="e">
        <f t="shared" si="14"/>
        <v>#VALUE!</v>
      </c>
    </row>
    <row r="207" spans="1:27" x14ac:dyDescent="0.25">
      <c r="A207">
        <v>220602</v>
      </c>
      <c r="B207">
        <v>17031220602</v>
      </c>
      <c r="C207">
        <v>17031</v>
      </c>
      <c r="D207">
        <v>2010</v>
      </c>
      <c r="E207">
        <v>22</v>
      </c>
      <c r="F207">
        <v>5002004.1929226397</v>
      </c>
      <c r="G207" s="45">
        <v>0.17942221192473887</v>
      </c>
      <c r="H207" s="60" t="str">
        <f>_xlfn.IFNA(
INDEX('Community Areas'!B$2:B$78,MATCH($E207,'Community Areas'!$A$2:$A$78,0)),
"")</f>
        <v>LOGAN SQUARE</v>
      </c>
      <c r="I207" s="63" t="str">
        <f>_xlfn.IFNA(
INDEX('Community Areas'!C$2:C$78,MATCH($E207,'Community Areas'!$A$2:$A$78,0)),
"")</f>
        <v>2-B</v>
      </c>
      <c r="J207" s="63">
        <f>_xlfn.IFNA(
INDEX('Community Areas'!D$2:D$78,MATCH($E207,'Community Areas'!$A$2:$A$78,0)),
"")</f>
        <v>2</v>
      </c>
      <c r="K207" s="60" t="str">
        <f>_xlfn.IFNA(
INDEX('Community Areas'!E$2:E$78,MATCH($E207,'Community Areas'!$A$2:$A$78,0)),
"")</f>
        <v>NORTHWEST</v>
      </c>
      <c r="L207" s="17" t="e">
        <f>SUMIFS([1]ACSDT5Y2020.B08301_data_with_ov!AT$3:AT$1334,[1]ACSDT5Y2020.B08301_data_with_ov!$AS$3:$AS$1334,$B207)</f>
        <v>#VALUE!</v>
      </c>
      <c r="M207" s="17" t="e">
        <f>SUMIFS([1]ACSDT5Y2020.B08301_data_with_ov!AU$3:AU$1334,[1]ACSDT5Y2020.B08301_data_with_ov!$AS$3:$AS$1334,$B207)</f>
        <v>#VALUE!</v>
      </c>
      <c r="N207" s="17" t="e">
        <f>SUMIFS([1]ACSDT5Y2020.B08301_data_with_ov!AV$3:AV$1334,[1]ACSDT5Y2020.B08301_data_with_ov!$AS$3:$AS$1334,$B207)</f>
        <v>#VALUE!</v>
      </c>
      <c r="O207" s="17" t="e">
        <f>SUMIFS([1]ACSDT5Y2020.B08301_data_with_ov!AW$3:AW$1334,[1]ACSDT5Y2020.B08301_data_with_ov!$AS$3:$AS$1334,$B207)</f>
        <v>#VALUE!</v>
      </c>
      <c r="P207" s="17" t="e">
        <f>SUMIFS([1]ACSDT5Y2020.B08301_data_with_ov!AX$3:AX$1334,[1]ACSDT5Y2020.B08301_data_with_ov!$AS$3:$AS$1334,$B207)</f>
        <v>#VALUE!</v>
      </c>
      <c r="Q207" s="17" t="e">
        <f>SUMIFS([1]ACSDT5Y2020.B08301_data_with_ov!AY$3:AY$1334,[1]ACSDT5Y2020.B08301_data_with_ov!$AS$3:$AS$1334,$B207)</f>
        <v>#VALUE!</v>
      </c>
      <c r="R207" s="17" t="e">
        <f>SUMIFS([1]ACSDT5Y2020.B08301_data_with_ov!AZ$3:AZ$1334,[1]ACSDT5Y2020.B08301_data_with_ov!$AS$3:$AS$1334,$B207)</f>
        <v>#VALUE!</v>
      </c>
      <c r="S207" s="17" t="e">
        <f>SUMIFS([1]ACSDT5Y2020.B08301_data_with_ov!BA$3:BA$1334,[1]ACSDT5Y2020.B08301_data_with_ov!$AS$3:$AS$1334,$B207)</f>
        <v>#VALUE!</v>
      </c>
      <c r="T207" s="188">
        <v>0.17942220734675268</v>
      </c>
      <c r="U207" s="189" t="e">
        <f t="shared" si="15"/>
        <v>#VALUE!</v>
      </c>
      <c r="V207" s="188">
        <v>0.17942220734675268</v>
      </c>
      <c r="W207" s="189" t="e">
        <f t="shared" si="12"/>
        <v>#VALUE!</v>
      </c>
      <c r="X207" s="188">
        <v>0.17942220734675268</v>
      </c>
      <c r="Y207" s="189" t="e">
        <f t="shared" si="13"/>
        <v>#VALUE!</v>
      </c>
      <c r="Z207" s="188">
        <v>0.17942220734675268</v>
      </c>
      <c r="AA207" s="189" t="e">
        <f t="shared" si="14"/>
        <v>#VALUE!</v>
      </c>
    </row>
    <row r="208" spans="1:27" x14ac:dyDescent="0.25">
      <c r="A208">
        <v>220701</v>
      </c>
      <c r="B208">
        <v>17031220701</v>
      </c>
      <c r="C208">
        <v>17031</v>
      </c>
      <c r="D208">
        <v>2010</v>
      </c>
      <c r="E208">
        <v>22</v>
      </c>
      <c r="F208">
        <v>2866951.1391349901</v>
      </c>
      <c r="G208" s="45">
        <v>0.10283772164596929</v>
      </c>
      <c r="H208" s="60" t="str">
        <f>_xlfn.IFNA(
INDEX('Community Areas'!B$2:B$78,MATCH($E208,'Community Areas'!$A$2:$A$78,0)),
"")</f>
        <v>LOGAN SQUARE</v>
      </c>
      <c r="I208" s="63" t="str">
        <f>_xlfn.IFNA(
INDEX('Community Areas'!C$2:C$78,MATCH($E208,'Community Areas'!$A$2:$A$78,0)),
"")</f>
        <v>2-B</v>
      </c>
      <c r="J208" s="63">
        <f>_xlfn.IFNA(
INDEX('Community Areas'!D$2:D$78,MATCH($E208,'Community Areas'!$A$2:$A$78,0)),
"")</f>
        <v>2</v>
      </c>
      <c r="K208" s="60" t="str">
        <f>_xlfn.IFNA(
INDEX('Community Areas'!E$2:E$78,MATCH($E208,'Community Areas'!$A$2:$A$78,0)),
"")</f>
        <v>NORTHWEST</v>
      </c>
      <c r="L208" s="17" t="e">
        <f>SUMIFS([1]ACSDT5Y2020.B08301_data_with_ov!AT$3:AT$1334,[1]ACSDT5Y2020.B08301_data_with_ov!$AS$3:$AS$1334,$B208)</f>
        <v>#VALUE!</v>
      </c>
      <c r="M208" s="17" t="e">
        <f>SUMIFS([1]ACSDT5Y2020.B08301_data_with_ov!AU$3:AU$1334,[1]ACSDT5Y2020.B08301_data_with_ov!$AS$3:$AS$1334,$B208)</f>
        <v>#VALUE!</v>
      </c>
      <c r="N208" s="17" t="e">
        <f>SUMIFS([1]ACSDT5Y2020.B08301_data_with_ov!AV$3:AV$1334,[1]ACSDT5Y2020.B08301_data_with_ov!$AS$3:$AS$1334,$B208)</f>
        <v>#VALUE!</v>
      </c>
      <c r="O208" s="17" t="e">
        <f>SUMIFS([1]ACSDT5Y2020.B08301_data_with_ov!AW$3:AW$1334,[1]ACSDT5Y2020.B08301_data_with_ov!$AS$3:$AS$1334,$B208)</f>
        <v>#VALUE!</v>
      </c>
      <c r="P208" s="17" t="e">
        <f>SUMIFS([1]ACSDT5Y2020.B08301_data_with_ov!AX$3:AX$1334,[1]ACSDT5Y2020.B08301_data_with_ov!$AS$3:$AS$1334,$B208)</f>
        <v>#VALUE!</v>
      </c>
      <c r="Q208" s="17" t="e">
        <f>SUMIFS([1]ACSDT5Y2020.B08301_data_with_ov!AY$3:AY$1334,[1]ACSDT5Y2020.B08301_data_with_ov!$AS$3:$AS$1334,$B208)</f>
        <v>#VALUE!</v>
      </c>
      <c r="R208" s="17" t="e">
        <f>SUMIFS([1]ACSDT5Y2020.B08301_data_with_ov!AZ$3:AZ$1334,[1]ACSDT5Y2020.B08301_data_with_ov!$AS$3:$AS$1334,$B208)</f>
        <v>#VALUE!</v>
      </c>
      <c r="S208" s="17" t="e">
        <f>SUMIFS([1]ACSDT5Y2020.B08301_data_with_ov!BA$3:BA$1334,[1]ACSDT5Y2020.B08301_data_with_ov!$AS$3:$AS$1334,$B208)</f>
        <v>#VALUE!</v>
      </c>
      <c r="T208" s="188">
        <v>0.10283772123610106</v>
      </c>
      <c r="U208" s="189" t="e">
        <f t="shared" si="15"/>
        <v>#VALUE!</v>
      </c>
      <c r="V208" s="188">
        <v>0.10087937497653202</v>
      </c>
      <c r="W208" s="189" t="e">
        <f t="shared" si="12"/>
        <v>#VALUE!</v>
      </c>
      <c r="X208" s="188">
        <v>0.10087937497653202</v>
      </c>
      <c r="Y208" s="189" t="e">
        <f t="shared" si="13"/>
        <v>#VALUE!</v>
      </c>
      <c r="Z208" s="188">
        <v>0.10087937497653202</v>
      </c>
      <c r="AA208" s="189" t="e">
        <f t="shared" si="14"/>
        <v>#VALUE!</v>
      </c>
    </row>
    <row r="209" spans="1:27" x14ac:dyDescent="0.25">
      <c r="A209">
        <v>222800</v>
      </c>
      <c r="B209">
        <v>17031222800</v>
      </c>
      <c r="C209">
        <v>17031</v>
      </c>
      <c r="D209">
        <v>2010</v>
      </c>
      <c r="E209">
        <v>22</v>
      </c>
      <c r="F209">
        <v>1198793.9370174001</v>
      </c>
      <c r="G209" s="45">
        <v>4.3000815578275654E-2</v>
      </c>
      <c r="H209" s="60" t="str">
        <f>_xlfn.IFNA(
INDEX('Community Areas'!B$2:B$78,MATCH($E209,'Community Areas'!$A$2:$A$78,0)),
"")</f>
        <v>LOGAN SQUARE</v>
      </c>
      <c r="I209" s="63" t="str">
        <f>_xlfn.IFNA(
INDEX('Community Areas'!C$2:C$78,MATCH($E209,'Community Areas'!$A$2:$A$78,0)),
"")</f>
        <v>2-B</v>
      </c>
      <c r="J209" s="63">
        <f>_xlfn.IFNA(
INDEX('Community Areas'!D$2:D$78,MATCH($E209,'Community Areas'!$A$2:$A$78,0)),
"")</f>
        <v>2</v>
      </c>
      <c r="K209" s="60" t="str">
        <f>_xlfn.IFNA(
INDEX('Community Areas'!E$2:E$78,MATCH($E209,'Community Areas'!$A$2:$A$78,0)),
"")</f>
        <v>NORTHWEST</v>
      </c>
      <c r="L209" s="17" t="e">
        <f>SUMIFS([1]ACSDT5Y2020.B08301_data_with_ov!AT$3:AT$1334,[1]ACSDT5Y2020.B08301_data_with_ov!$AS$3:$AS$1334,$B209)</f>
        <v>#VALUE!</v>
      </c>
      <c r="M209" s="17" t="e">
        <f>SUMIFS([1]ACSDT5Y2020.B08301_data_with_ov!AU$3:AU$1334,[1]ACSDT5Y2020.B08301_data_with_ov!$AS$3:$AS$1334,$B209)</f>
        <v>#VALUE!</v>
      </c>
      <c r="N209" s="17" t="e">
        <f>SUMIFS([1]ACSDT5Y2020.B08301_data_with_ov!AV$3:AV$1334,[1]ACSDT5Y2020.B08301_data_with_ov!$AS$3:$AS$1334,$B209)</f>
        <v>#VALUE!</v>
      </c>
      <c r="O209" s="17" t="e">
        <f>SUMIFS([1]ACSDT5Y2020.B08301_data_with_ov!AW$3:AW$1334,[1]ACSDT5Y2020.B08301_data_with_ov!$AS$3:$AS$1334,$B209)</f>
        <v>#VALUE!</v>
      </c>
      <c r="P209" s="17" t="e">
        <f>SUMIFS([1]ACSDT5Y2020.B08301_data_with_ov!AX$3:AX$1334,[1]ACSDT5Y2020.B08301_data_with_ov!$AS$3:$AS$1334,$B209)</f>
        <v>#VALUE!</v>
      </c>
      <c r="Q209" s="17" t="e">
        <f>SUMIFS([1]ACSDT5Y2020.B08301_data_with_ov!AY$3:AY$1334,[1]ACSDT5Y2020.B08301_data_with_ov!$AS$3:$AS$1334,$B209)</f>
        <v>#VALUE!</v>
      </c>
      <c r="R209" s="17" t="e">
        <f>SUMIFS([1]ACSDT5Y2020.B08301_data_with_ov!AZ$3:AZ$1334,[1]ACSDT5Y2020.B08301_data_with_ov!$AS$3:$AS$1334,$B209)</f>
        <v>#VALUE!</v>
      </c>
      <c r="S209" s="17" t="e">
        <f>SUMIFS([1]ACSDT5Y2020.B08301_data_with_ov!BA$3:BA$1334,[1]ACSDT5Y2020.B08301_data_with_ov!$AS$3:$AS$1334,$B209)</f>
        <v>#VALUE!</v>
      </c>
      <c r="T209" s="188">
        <v>4.3000815917266053E-2</v>
      </c>
      <c r="U209" s="189" t="e">
        <f t="shared" si="15"/>
        <v>#VALUE!</v>
      </c>
      <c r="V209" s="188">
        <v>4.3000815917266053E-2</v>
      </c>
      <c r="W209" s="189" t="e">
        <f t="shared" si="12"/>
        <v>#VALUE!</v>
      </c>
      <c r="X209" s="188">
        <v>4.3000815917266053E-2</v>
      </c>
      <c r="Y209" s="189" t="e">
        <f t="shared" si="13"/>
        <v>#VALUE!</v>
      </c>
      <c r="Z209" s="188">
        <v>4.3000815917266053E-2</v>
      </c>
      <c r="AA209" s="189" t="e">
        <f t="shared" si="14"/>
        <v>#VALUE!</v>
      </c>
    </row>
    <row r="210" spans="1:27" x14ac:dyDescent="0.25">
      <c r="A210">
        <v>221100</v>
      </c>
      <c r="B210">
        <v>17031221100</v>
      </c>
      <c r="C210">
        <v>17031</v>
      </c>
      <c r="D210">
        <v>2010</v>
      </c>
      <c r="E210">
        <v>22</v>
      </c>
      <c r="F210">
        <v>4739646.3209417099</v>
      </c>
      <c r="G210" s="45">
        <v>0.17001141819264054</v>
      </c>
      <c r="H210" s="60" t="str">
        <f>_xlfn.IFNA(
INDEX('Community Areas'!B$2:B$78,MATCH($E210,'Community Areas'!$A$2:$A$78,0)),
"")</f>
        <v>LOGAN SQUARE</v>
      </c>
      <c r="I210" s="63" t="str">
        <f>_xlfn.IFNA(
INDEX('Community Areas'!C$2:C$78,MATCH($E210,'Community Areas'!$A$2:$A$78,0)),
"")</f>
        <v>2-B</v>
      </c>
      <c r="J210" s="63">
        <f>_xlfn.IFNA(
INDEX('Community Areas'!D$2:D$78,MATCH($E210,'Community Areas'!$A$2:$A$78,0)),
"")</f>
        <v>2</v>
      </c>
      <c r="K210" s="60" t="str">
        <f>_xlfn.IFNA(
INDEX('Community Areas'!E$2:E$78,MATCH($E210,'Community Areas'!$A$2:$A$78,0)),
"")</f>
        <v>NORTHWEST</v>
      </c>
      <c r="L210" s="17" t="e">
        <f>SUMIFS([1]ACSDT5Y2020.B08301_data_with_ov!AT$3:AT$1334,[1]ACSDT5Y2020.B08301_data_with_ov!$AS$3:$AS$1334,$B210)</f>
        <v>#VALUE!</v>
      </c>
      <c r="M210" s="17" t="e">
        <f>SUMIFS([1]ACSDT5Y2020.B08301_data_with_ov!AU$3:AU$1334,[1]ACSDT5Y2020.B08301_data_with_ov!$AS$3:$AS$1334,$B210)</f>
        <v>#VALUE!</v>
      </c>
      <c r="N210" s="17" t="e">
        <f>SUMIFS([1]ACSDT5Y2020.B08301_data_with_ov!AV$3:AV$1334,[1]ACSDT5Y2020.B08301_data_with_ov!$AS$3:$AS$1334,$B210)</f>
        <v>#VALUE!</v>
      </c>
      <c r="O210" s="17" t="e">
        <f>SUMIFS([1]ACSDT5Y2020.B08301_data_with_ov!AW$3:AW$1334,[1]ACSDT5Y2020.B08301_data_with_ov!$AS$3:$AS$1334,$B210)</f>
        <v>#VALUE!</v>
      </c>
      <c r="P210" s="17" t="e">
        <f>SUMIFS([1]ACSDT5Y2020.B08301_data_with_ov!AX$3:AX$1334,[1]ACSDT5Y2020.B08301_data_with_ov!$AS$3:$AS$1334,$B210)</f>
        <v>#VALUE!</v>
      </c>
      <c r="Q210" s="17" t="e">
        <f>SUMIFS([1]ACSDT5Y2020.B08301_data_with_ov!AY$3:AY$1334,[1]ACSDT5Y2020.B08301_data_with_ov!$AS$3:$AS$1334,$B210)</f>
        <v>#VALUE!</v>
      </c>
      <c r="R210" s="17" t="e">
        <f>SUMIFS([1]ACSDT5Y2020.B08301_data_with_ov!AZ$3:AZ$1334,[1]ACSDT5Y2020.B08301_data_with_ov!$AS$3:$AS$1334,$B210)</f>
        <v>#VALUE!</v>
      </c>
      <c r="S210" s="17" t="e">
        <f>SUMIFS([1]ACSDT5Y2020.B08301_data_with_ov!BA$3:BA$1334,[1]ACSDT5Y2020.B08301_data_with_ov!$AS$3:$AS$1334,$B210)</f>
        <v>#VALUE!</v>
      </c>
      <c r="T210" s="188">
        <v>0.17001142045867734</v>
      </c>
      <c r="U210" s="189" t="e">
        <f t="shared" si="15"/>
        <v>#VALUE!</v>
      </c>
      <c r="V210" s="188">
        <v>0.17001142045867734</v>
      </c>
      <c r="W210" s="189" t="e">
        <f t="shared" si="12"/>
        <v>#VALUE!</v>
      </c>
      <c r="X210" s="188">
        <v>0.17001142045867734</v>
      </c>
      <c r="Y210" s="189" t="e">
        <f t="shared" si="13"/>
        <v>#VALUE!</v>
      </c>
      <c r="Z210" s="188">
        <v>0.17001142045867734</v>
      </c>
      <c r="AA210" s="189" t="e">
        <f t="shared" si="14"/>
        <v>#VALUE!</v>
      </c>
    </row>
    <row r="211" spans="1:27" x14ac:dyDescent="0.25">
      <c r="A211">
        <v>832300</v>
      </c>
      <c r="B211">
        <v>17031832300</v>
      </c>
      <c r="C211">
        <v>17031</v>
      </c>
      <c r="D211">
        <v>2010</v>
      </c>
      <c r="E211">
        <v>22</v>
      </c>
      <c r="F211">
        <v>9103247.4130190108</v>
      </c>
      <c r="G211" s="45">
        <v>0.32653406985404509</v>
      </c>
      <c r="H211" s="60" t="str">
        <f>_xlfn.IFNA(
INDEX('Community Areas'!B$2:B$78,MATCH($E211,'Community Areas'!$A$2:$A$78,0)),
"")</f>
        <v>LOGAN SQUARE</v>
      </c>
      <c r="I211" s="63" t="str">
        <f>_xlfn.IFNA(
INDEX('Community Areas'!C$2:C$78,MATCH($E211,'Community Areas'!$A$2:$A$78,0)),
"")</f>
        <v>2-B</v>
      </c>
      <c r="J211" s="63">
        <f>_xlfn.IFNA(
INDEX('Community Areas'!D$2:D$78,MATCH($E211,'Community Areas'!$A$2:$A$78,0)),
"")</f>
        <v>2</v>
      </c>
      <c r="K211" s="60" t="str">
        <f>_xlfn.IFNA(
INDEX('Community Areas'!E$2:E$78,MATCH($E211,'Community Areas'!$A$2:$A$78,0)),
"")</f>
        <v>NORTHWEST</v>
      </c>
      <c r="L211" s="17" t="e">
        <f>SUMIFS([1]ACSDT5Y2020.B08301_data_with_ov!AT$3:AT$1334,[1]ACSDT5Y2020.B08301_data_with_ov!$AS$3:$AS$1334,$B211)</f>
        <v>#VALUE!</v>
      </c>
      <c r="M211" s="17" t="e">
        <f>SUMIFS([1]ACSDT5Y2020.B08301_data_with_ov!AU$3:AU$1334,[1]ACSDT5Y2020.B08301_data_with_ov!$AS$3:$AS$1334,$B211)</f>
        <v>#VALUE!</v>
      </c>
      <c r="N211" s="17" t="e">
        <f>SUMIFS([1]ACSDT5Y2020.B08301_data_with_ov!AV$3:AV$1334,[1]ACSDT5Y2020.B08301_data_with_ov!$AS$3:$AS$1334,$B211)</f>
        <v>#VALUE!</v>
      </c>
      <c r="O211" s="17" t="e">
        <f>SUMIFS([1]ACSDT5Y2020.B08301_data_with_ov!AW$3:AW$1334,[1]ACSDT5Y2020.B08301_data_with_ov!$AS$3:$AS$1334,$B211)</f>
        <v>#VALUE!</v>
      </c>
      <c r="P211" s="17" t="e">
        <f>SUMIFS([1]ACSDT5Y2020.B08301_data_with_ov!AX$3:AX$1334,[1]ACSDT5Y2020.B08301_data_with_ov!$AS$3:$AS$1334,$B211)</f>
        <v>#VALUE!</v>
      </c>
      <c r="Q211" s="17" t="e">
        <f>SUMIFS([1]ACSDT5Y2020.B08301_data_with_ov!AY$3:AY$1334,[1]ACSDT5Y2020.B08301_data_with_ov!$AS$3:$AS$1334,$B211)</f>
        <v>#VALUE!</v>
      </c>
      <c r="R211" s="17" t="e">
        <f>SUMIFS([1]ACSDT5Y2020.B08301_data_with_ov!AZ$3:AZ$1334,[1]ACSDT5Y2020.B08301_data_with_ov!$AS$3:$AS$1334,$B211)</f>
        <v>#VALUE!</v>
      </c>
      <c r="S211" s="17" t="e">
        <f>SUMIFS([1]ACSDT5Y2020.B08301_data_with_ov!BA$3:BA$1334,[1]ACSDT5Y2020.B08301_data_with_ov!$AS$3:$AS$1334,$B211)</f>
        <v>#VALUE!</v>
      </c>
      <c r="T211" s="188">
        <v>0.32653406857545952</v>
      </c>
      <c r="U211" s="189" t="e">
        <f t="shared" si="15"/>
        <v>#VALUE!</v>
      </c>
      <c r="V211" s="188">
        <v>0.32653406857545952</v>
      </c>
      <c r="W211" s="189" t="e">
        <f t="shared" si="12"/>
        <v>#VALUE!</v>
      </c>
      <c r="X211" s="188">
        <v>0.32653406857545952</v>
      </c>
      <c r="Y211" s="189" t="e">
        <f t="shared" si="13"/>
        <v>#VALUE!</v>
      </c>
      <c r="Z211" s="188">
        <v>0.32653406857545952</v>
      </c>
      <c r="AA211" s="189" t="e">
        <f t="shared" si="14"/>
        <v>#VALUE!</v>
      </c>
    </row>
    <row r="212" spans="1:27" x14ac:dyDescent="0.25">
      <c r="A212">
        <v>832400</v>
      </c>
      <c r="B212">
        <v>17031832400</v>
      </c>
      <c r="C212">
        <v>17031</v>
      </c>
      <c r="D212">
        <v>2010</v>
      </c>
      <c r="E212">
        <v>22</v>
      </c>
      <c r="F212">
        <v>3477517.91618879</v>
      </c>
      <c r="G212" s="45">
        <v>0.1247387911856057</v>
      </c>
      <c r="H212" s="60" t="str">
        <f>_xlfn.IFNA(
INDEX('Community Areas'!B$2:B$78,MATCH($E212,'Community Areas'!$A$2:$A$78,0)),
"")</f>
        <v>LOGAN SQUARE</v>
      </c>
      <c r="I212" s="63" t="str">
        <f>_xlfn.IFNA(
INDEX('Community Areas'!C$2:C$78,MATCH($E212,'Community Areas'!$A$2:$A$78,0)),
"")</f>
        <v>2-B</v>
      </c>
      <c r="J212" s="63">
        <f>_xlfn.IFNA(
INDEX('Community Areas'!D$2:D$78,MATCH($E212,'Community Areas'!$A$2:$A$78,0)),
"")</f>
        <v>2</v>
      </c>
      <c r="K212" s="60" t="str">
        <f>_xlfn.IFNA(
INDEX('Community Areas'!E$2:E$78,MATCH($E212,'Community Areas'!$A$2:$A$78,0)),
"")</f>
        <v>NORTHWEST</v>
      </c>
      <c r="L212" s="17" t="e">
        <f>SUMIFS([1]ACSDT5Y2020.B08301_data_with_ov!AT$3:AT$1334,[1]ACSDT5Y2020.B08301_data_with_ov!$AS$3:$AS$1334,$B212)</f>
        <v>#VALUE!</v>
      </c>
      <c r="M212" s="17" t="e">
        <f>SUMIFS([1]ACSDT5Y2020.B08301_data_with_ov!AU$3:AU$1334,[1]ACSDT5Y2020.B08301_data_with_ov!$AS$3:$AS$1334,$B212)</f>
        <v>#VALUE!</v>
      </c>
      <c r="N212" s="17" t="e">
        <f>SUMIFS([1]ACSDT5Y2020.B08301_data_with_ov!AV$3:AV$1334,[1]ACSDT5Y2020.B08301_data_with_ov!$AS$3:$AS$1334,$B212)</f>
        <v>#VALUE!</v>
      </c>
      <c r="O212" s="17" t="e">
        <f>SUMIFS([1]ACSDT5Y2020.B08301_data_with_ov!AW$3:AW$1334,[1]ACSDT5Y2020.B08301_data_with_ov!$AS$3:$AS$1334,$B212)</f>
        <v>#VALUE!</v>
      </c>
      <c r="P212" s="17" t="e">
        <f>SUMIFS([1]ACSDT5Y2020.B08301_data_with_ov!AX$3:AX$1334,[1]ACSDT5Y2020.B08301_data_with_ov!$AS$3:$AS$1334,$B212)</f>
        <v>#VALUE!</v>
      </c>
      <c r="Q212" s="17" t="e">
        <f>SUMIFS([1]ACSDT5Y2020.B08301_data_with_ov!AY$3:AY$1334,[1]ACSDT5Y2020.B08301_data_with_ov!$AS$3:$AS$1334,$B212)</f>
        <v>#VALUE!</v>
      </c>
      <c r="R212" s="17" t="e">
        <f>SUMIFS([1]ACSDT5Y2020.B08301_data_with_ov!AZ$3:AZ$1334,[1]ACSDT5Y2020.B08301_data_with_ov!$AS$3:$AS$1334,$B212)</f>
        <v>#VALUE!</v>
      </c>
      <c r="S212" s="17" t="e">
        <f>SUMIFS([1]ACSDT5Y2020.B08301_data_with_ov!BA$3:BA$1334,[1]ACSDT5Y2020.B08301_data_with_ov!$AS$3:$AS$1334,$B212)</f>
        <v>#VALUE!</v>
      </c>
      <c r="T212" s="188">
        <v>0.12473878987655748</v>
      </c>
      <c r="U212" s="189" t="e">
        <f t="shared" si="15"/>
        <v>#VALUE!</v>
      </c>
      <c r="V212" s="188">
        <v>0.12473878987655748</v>
      </c>
      <c r="W212" s="189" t="e">
        <f t="shared" si="12"/>
        <v>#VALUE!</v>
      </c>
      <c r="X212" s="188">
        <v>0.12473878987655748</v>
      </c>
      <c r="Y212" s="189" t="e">
        <f t="shared" si="13"/>
        <v>#VALUE!</v>
      </c>
      <c r="Z212" s="188">
        <v>0.12473878987655748</v>
      </c>
      <c r="AA212" s="189" t="e">
        <f t="shared" si="14"/>
        <v>#VALUE!</v>
      </c>
    </row>
    <row r="213" spans="1:27" x14ac:dyDescent="0.25">
      <c r="A213">
        <v>830900</v>
      </c>
      <c r="B213">
        <v>17031830900</v>
      </c>
      <c r="C213">
        <v>17031</v>
      </c>
      <c r="D213">
        <v>2010</v>
      </c>
      <c r="E213">
        <v>22</v>
      </c>
      <c r="F213">
        <v>11171752.2743068</v>
      </c>
      <c r="G213" s="45">
        <v>0.40073147219018307</v>
      </c>
      <c r="H213" s="60" t="str">
        <f>_xlfn.IFNA(
INDEX('Community Areas'!B$2:B$78,MATCH($E213,'Community Areas'!$A$2:$A$78,0)),
"")</f>
        <v>LOGAN SQUARE</v>
      </c>
      <c r="I213" s="63" t="str">
        <f>_xlfn.IFNA(
INDEX('Community Areas'!C$2:C$78,MATCH($E213,'Community Areas'!$A$2:$A$78,0)),
"")</f>
        <v>2-B</v>
      </c>
      <c r="J213" s="63">
        <f>_xlfn.IFNA(
INDEX('Community Areas'!D$2:D$78,MATCH($E213,'Community Areas'!$A$2:$A$78,0)),
"")</f>
        <v>2</v>
      </c>
      <c r="K213" s="60" t="str">
        <f>_xlfn.IFNA(
INDEX('Community Areas'!E$2:E$78,MATCH($E213,'Community Areas'!$A$2:$A$78,0)),
"")</f>
        <v>NORTHWEST</v>
      </c>
      <c r="L213" s="17" t="e">
        <f>SUMIFS([1]ACSDT5Y2020.B08301_data_with_ov!AT$3:AT$1334,[1]ACSDT5Y2020.B08301_data_with_ov!$AS$3:$AS$1334,$B213)</f>
        <v>#VALUE!</v>
      </c>
      <c r="M213" s="17" t="e">
        <f>SUMIFS([1]ACSDT5Y2020.B08301_data_with_ov!AU$3:AU$1334,[1]ACSDT5Y2020.B08301_data_with_ov!$AS$3:$AS$1334,$B213)</f>
        <v>#VALUE!</v>
      </c>
      <c r="N213" s="17" t="e">
        <f>SUMIFS([1]ACSDT5Y2020.B08301_data_with_ov!AV$3:AV$1334,[1]ACSDT5Y2020.B08301_data_with_ov!$AS$3:$AS$1334,$B213)</f>
        <v>#VALUE!</v>
      </c>
      <c r="O213" s="17" t="e">
        <f>SUMIFS([1]ACSDT5Y2020.B08301_data_with_ov!AW$3:AW$1334,[1]ACSDT5Y2020.B08301_data_with_ov!$AS$3:$AS$1334,$B213)</f>
        <v>#VALUE!</v>
      </c>
      <c r="P213" s="17" t="e">
        <f>SUMIFS([1]ACSDT5Y2020.B08301_data_with_ov!AX$3:AX$1334,[1]ACSDT5Y2020.B08301_data_with_ov!$AS$3:$AS$1334,$B213)</f>
        <v>#VALUE!</v>
      </c>
      <c r="Q213" s="17" t="e">
        <f>SUMIFS([1]ACSDT5Y2020.B08301_data_with_ov!AY$3:AY$1334,[1]ACSDT5Y2020.B08301_data_with_ov!$AS$3:$AS$1334,$B213)</f>
        <v>#VALUE!</v>
      </c>
      <c r="R213" s="17" t="e">
        <f>SUMIFS([1]ACSDT5Y2020.B08301_data_with_ov!AZ$3:AZ$1334,[1]ACSDT5Y2020.B08301_data_with_ov!$AS$3:$AS$1334,$B213)</f>
        <v>#VALUE!</v>
      </c>
      <c r="S213" s="17" t="e">
        <f>SUMIFS([1]ACSDT5Y2020.B08301_data_with_ov!BA$3:BA$1334,[1]ACSDT5Y2020.B08301_data_with_ov!$AS$3:$AS$1334,$B213)</f>
        <v>#VALUE!</v>
      </c>
      <c r="T213" s="188">
        <v>0.40073148381282997</v>
      </c>
      <c r="U213" s="189" t="e">
        <f t="shared" si="15"/>
        <v>#VALUE!</v>
      </c>
      <c r="V213" s="188">
        <v>0.40073148381282997</v>
      </c>
      <c r="W213" s="189" t="e">
        <f t="shared" si="12"/>
        <v>#VALUE!</v>
      </c>
      <c r="X213" s="188">
        <v>0.40073148381282997</v>
      </c>
      <c r="Y213" s="189" t="e">
        <f t="shared" si="13"/>
        <v>#VALUE!</v>
      </c>
      <c r="Z213" s="188">
        <v>0.40073148381282997</v>
      </c>
      <c r="AA213" s="189" t="e">
        <f t="shared" si="14"/>
        <v>#VALUE!</v>
      </c>
    </row>
    <row r="214" spans="1:27" x14ac:dyDescent="0.25">
      <c r="A214">
        <v>221400</v>
      </c>
      <c r="B214">
        <v>17031221400</v>
      </c>
      <c r="C214">
        <v>17031</v>
      </c>
      <c r="D214">
        <v>2010</v>
      </c>
      <c r="E214">
        <v>22</v>
      </c>
      <c r="F214">
        <v>3821881.6391162202</v>
      </c>
      <c r="G214" s="45">
        <v>0.13709114006242182</v>
      </c>
      <c r="H214" s="60" t="str">
        <f>_xlfn.IFNA(
INDEX('Community Areas'!B$2:B$78,MATCH($E214,'Community Areas'!$A$2:$A$78,0)),
"")</f>
        <v>LOGAN SQUARE</v>
      </c>
      <c r="I214" s="63" t="str">
        <f>_xlfn.IFNA(
INDEX('Community Areas'!C$2:C$78,MATCH($E214,'Community Areas'!$A$2:$A$78,0)),
"")</f>
        <v>2-B</v>
      </c>
      <c r="J214" s="63">
        <f>_xlfn.IFNA(
INDEX('Community Areas'!D$2:D$78,MATCH($E214,'Community Areas'!$A$2:$A$78,0)),
"")</f>
        <v>2</v>
      </c>
      <c r="K214" s="60" t="str">
        <f>_xlfn.IFNA(
INDEX('Community Areas'!E$2:E$78,MATCH($E214,'Community Areas'!$A$2:$A$78,0)),
"")</f>
        <v>NORTHWEST</v>
      </c>
      <c r="L214" s="17" t="e">
        <f>SUMIFS([1]ACSDT5Y2020.B08301_data_with_ov!AT$3:AT$1334,[1]ACSDT5Y2020.B08301_data_with_ov!$AS$3:$AS$1334,$B214)</f>
        <v>#VALUE!</v>
      </c>
      <c r="M214" s="17" t="e">
        <f>SUMIFS([1]ACSDT5Y2020.B08301_data_with_ov!AU$3:AU$1334,[1]ACSDT5Y2020.B08301_data_with_ov!$AS$3:$AS$1334,$B214)</f>
        <v>#VALUE!</v>
      </c>
      <c r="N214" s="17" t="e">
        <f>SUMIFS([1]ACSDT5Y2020.B08301_data_with_ov!AV$3:AV$1334,[1]ACSDT5Y2020.B08301_data_with_ov!$AS$3:$AS$1334,$B214)</f>
        <v>#VALUE!</v>
      </c>
      <c r="O214" s="17" t="e">
        <f>SUMIFS([1]ACSDT5Y2020.B08301_data_with_ov!AW$3:AW$1334,[1]ACSDT5Y2020.B08301_data_with_ov!$AS$3:$AS$1334,$B214)</f>
        <v>#VALUE!</v>
      </c>
      <c r="P214" s="17" t="e">
        <f>SUMIFS([1]ACSDT5Y2020.B08301_data_with_ov!AX$3:AX$1334,[1]ACSDT5Y2020.B08301_data_with_ov!$AS$3:$AS$1334,$B214)</f>
        <v>#VALUE!</v>
      </c>
      <c r="Q214" s="17" t="e">
        <f>SUMIFS([1]ACSDT5Y2020.B08301_data_with_ov!AY$3:AY$1334,[1]ACSDT5Y2020.B08301_data_with_ov!$AS$3:$AS$1334,$B214)</f>
        <v>#VALUE!</v>
      </c>
      <c r="R214" s="17" t="e">
        <f>SUMIFS([1]ACSDT5Y2020.B08301_data_with_ov!AZ$3:AZ$1334,[1]ACSDT5Y2020.B08301_data_with_ov!$AS$3:$AS$1334,$B214)</f>
        <v>#VALUE!</v>
      </c>
      <c r="S214" s="17" t="e">
        <f>SUMIFS([1]ACSDT5Y2020.B08301_data_with_ov!BA$3:BA$1334,[1]ACSDT5Y2020.B08301_data_with_ov!$AS$3:$AS$1334,$B214)</f>
        <v>#VALUE!</v>
      </c>
      <c r="T214" s="188">
        <v>0.13709114116609239</v>
      </c>
      <c r="U214" s="189" t="e">
        <f t="shared" si="15"/>
        <v>#VALUE!</v>
      </c>
      <c r="V214" s="188">
        <v>0.13709114116609239</v>
      </c>
      <c r="W214" s="189" t="e">
        <f t="shared" si="12"/>
        <v>#VALUE!</v>
      </c>
      <c r="X214" s="188">
        <v>0.13709114116609239</v>
      </c>
      <c r="Y214" s="189" t="e">
        <f t="shared" si="13"/>
        <v>#VALUE!</v>
      </c>
      <c r="Z214" s="188">
        <v>0.13709114116609239</v>
      </c>
      <c r="AA214" s="189" t="e">
        <f t="shared" si="14"/>
        <v>#VALUE!</v>
      </c>
    </row>
    <row r="215" spans="1:27" x14ac:dyDescent="0.25">
      <c r="A215">
        <v>220400</v>
      </c>
      <c r="B215">
        <v>17031220400</v>
      </c>
      <c r="C215">
        <v>17031</v>
      </c>
      <c r="D215">
        <v>2010</v>
      </c>
      <c r="E215">
        <v>22</v>
      </c>
      <c r="F215">
        <v>3547318.5701633198</v>
      </c>
      <c r="G215" s="45">
        <v>0.12724254513039915</v>
      </c>
      <c r="H215" s="60" t="str">
        <f>_xlfn.IFNA(
INDEX('Community Areas'!B$2:B$78,MATCH($E215,'Community Areas'!$A$2:$A$78,0)),
"")</f>
        <v>LOGAN SQUARE</v>
      </c>
      <c r="I215" s="63" t="str">
        <f>_xlfn.IFNA(
INDEX('Community Areas'!C$2:C$78,MATCH($E215,'Community Areas'!$A$2:$A$78,0)),
"")</f>
        <v>2-B</v>
      </c>
      <c r="J215" s="63">
        <f>_xlfn.IFNA(
INDEX('Community Areas'!D$2:D$78,MATCH($E215,'Community Areas'!$A$2:$A$78,0)),
"")</f>
        <v>2</v>
      </c>
      <c r="K215" s="60" t="str">
        <f>_xlfn.IFNA(
INDEX('Community Areas'!E$2:E$78,MATCH($E215,'Community Areas'!$A$2:$A$78,0)),
"")</f>
        <v>NORTHWEST</v>
      </c>
      <c r="L215" s="17" t="e">
        <f>SUMIFS([1]ACSDT5Y2020.B08301_data_with_ov!AT$3:AT$1334,[1]ACSDT5Y2020.B08301_data_with_ov!$AS$3:$AS$1334,$B215)</f>
        <v>#VALUE!</v>
      </c>
      <c r="M215" s="17" t="e">
        <f>SUMIFS([1]ACSDT5Y2020.B08301_data_with_ov!AU$3:AU$1334,[1]ACSDT5Y2020.B08301_data_with_ov!$AS$3:$AS$1334,$B215)</f>
        <v>#VALUE!</v>
      </c>
      <c r="N215" s="17" t="e">
        <f>SUMIFS([1]ACSDT5Y2020.B08301_data_with_ov!AV$3:AV$1334,[1]ACSDT5Y2020.B08301_data_with_ov!$AS$3:$AS$1334,$B215)</f>
        <v>#VALUE!</v>
      </c>
      <c r="O215" s="17" t="e">
        <f>SUMIFS([1]ACSDT5Y2020.B08301_data_with_ov!AW$3:AW$1334,[1]ACSDT5Y2020.B08301_data_with_ov!$AS$3:$AS$1334,$B215)</f>
        <v>#VALUE!</v>
      </c>
      <c r="P215" s="17" t="e">
        <f>SUMIFS([1]ACSDT5Y2020.B08301_data_with_ov!AX$3:AX$1334,[1]ACSDT5Y2020.B08301_data_with_ov!$AS$3:$AS$1334,$B215)</f>
        <v>#VALUE!</v>
      </c>
      <c r="Q215" s="17" t="e">
        <f>SUMIFS([1]ACSDT5Y2020.B08301_data_with_ov!AY$3:AY$1334,[1]ACSDT5Y2020.B08301_data_with_ov!$AS$3:$AS$1334,$B215)</f>
        <v>#VALUE!</v>
      </c>
      <c r="R215" s="17" t="e">
        <f>SUMIFS([1]ACSDT5Y2020.B08301_data_with_ov!AZ$3:AZ$1334,[1]ACSDT5Y2020.B08301_data_with_ov!$AS$3:$AS$1334,$B215)</f>
        <v>#VALUE!</v>
      </c>
      <c r="S215" s="17" t="e">
        <f>SUMIFS([1]ACSDT5Y2020.B08301_data_with_ov!BA$3:BA$1334,[1]ACSDT5Y2020.B08301_data_with_ov!$AS$3:$AS$1334,$B215)</f>
        <v>#VALUE!</v>
      </c>
      <c r="T215" s="188">
        <v>0.12724254546551919</v>
      </c>
      <c r="U215" s="189" t="e">
        <f t="shared" si="15"/>
        <v>#VALUE!</v>
      </c>
      <c r="V215" s="188">
        <v>0.12724254546551919</v>
      </c>
      <c r="W215" s="189" t="e">
        <f t="shared" si="12"/>
        <v>#VALUE!</v>
      </c>
      <c r="X215" s="188">
        <v>0.12724254546551919</v>
      </c>
      <c r="Y215" s="189" t="e">
        <f t="shared" si="13"/>
        <v>#VALUE!</v>
      </c>
      <c r="Z215" s="188">
        <v>0.12724254546551919</v>
      </c>
      <c r="AA215" s="189" t="e">
        <f t="shared" si="14"/>
        <v>#VALUE!</v>
      </c>
    </row>
    <row r="216" spans="1:27" x14ac:dyDescent="0.25">
      <c r="A216">
        <v>221600</v>
      </c>
      <c r="B216">
        <v>17031221600</v>
      </c>
      <c r="C216">
        <v>17031</v>
      </c>
      <c r="D216">
        <v>2010</v>
      </c>
      <c r="E216">
        <v>22</v>
      </c>
      <c r="F216">
        <v>3553517.1306062699</v>
      </c>
      <c r="G216" s="45">
        <v>0.127464887891926</v>
      </c>
      <c r="H216" s="60" t="str">
        <f>_xlfn.IFNA(
INDEX('Community Areas'!B$2:B$78,MATCH($E216,'Community Areas'!$A$2:$A$78,0)),
"")</f>
        <v>LOGAN SQUARE</v>
      </c>
      <c r="I216" s="63" t="str">
        <f>_xlfn.IFNA(
INDEX('Community Areas'!C$2:C$78,MATCH($E216,'Community Areas'!$A$2:$A$78,0)),
"")</f>
        <v>2-B</v>
      </c>
      <c r="J216" s="63">
        <f>_xlfn.IFNA(
INDEX('Community Areas'!D$2:D$78,MATCH($E216,'Community Areas'!$A$2:$A$78,0)),
"")</f>
        <v>2</v>
      </c>
      <c r="K216" s="60" t="str">
        <f>_xlfn.IFNA(
INDEX('Community Areas'!E$2:E$78,MATCH($E216,'Community Areas'!$A$2:$A$78,0)),
"")</f>
        <v>NORTHWEST</v>
      </c>
      <c r="L216" s="17" t="e">
        <f>SUMIFS([1]ACSDT5Y2020.B08301_data_with_ov!AT$3:AT$1334,[1]ACSDT5Y2020.B08301_data_with_ov!$AS$3:$AS$1334,$B216)</f>
        <v>#VALUE!</v>
      </c>
      <c r="M216" s="17" t="e">
        <f>SUMIFS([1]ACSDT5Y2020.B08301_data_with_ov!AU$3:AU$1334,[1]ACSDT5Y2020.B08301_data_with_ov!$AS$3:$AS$1334,$B216)</f>
        <v>#VALUE!</v>
      </c>
      <c r="N216" s="17" t="e">
        <f>SUMIFS([1]ACSDT5Y2020.B08301_data_with_ov!AV$3:AV$1334,[1]ACSDT5Y2020.B08301_data_with_ov!$AS$3:$AS$1334,$B216)</f>
        <v>#VALUE!</v>
      </c>
      <c r="O216" s="17" t="e">
        <f>SUMIFS([1]ACSDT5Y2020.B08301_data_with_ov!AW$3:AW$1334,[1]ACSDT5Y2020.B08301_data_with_ov!$AS$3:$AS$1334,$B216)</f>
        <v>#VALUE!</v>
      </c>
      <c r="P216" s="17" t="e">
        <f>SUMIFS([1]ACSDT5Y2020.B08301_data_with_ov!AX$3:AX$1334,[1]ACSDT5Y2020.B08301_data_with_ov!$AS$3:$AS$1334,$B216)</f>
        <v>#VALUE!</v>
      </c>
      <c r="Q216" s="17" t="e">
        <f>SUMIFS([1]ACSDT5Y2020.B08301_data_with_ov!AY$3:AY$1334,[1]ACSDT5Y2020.B08301_data_with_ov!$AS$3:$AS$1334,$B216)</f>
        <v>#VALUE!</v>
      </c>
      <c r="R216" s="17" t="e">
        <f>SUMIFS([1]ACSDT5Y2020.B08301_data_with_ov!AZ$3:AZ$1334,[1]ACSDT5Y2020.B08301_data_with_ov!$AS$3:$AS$1334,$B216)</f>
        <v>#VALUE!</v>
      </c>
      <c r="S216" s="17" t="e">
        <f>SUMIFS([1]ACSDT5Y2020.B08301_data_with_ov!BA$3:BA$1334,[1]ACSDT5Y2020.B08301_data_with_ov!$AS$3:$AS$1334,$B216)</f>
        <v>#VALUE!</v>
      </c>
      <c r="T216" s="188">
        <v>0.12746488964994548</v>
      </c>
      <c r="U216" s="189" t="e">
        <f t="shared" si="15"/>
        <v>#VALUE!</v>
      </c>
      <c r="V216" s="188">
        <v>0.12746488964994548</v>
      </c>
      <c r="W216" s="189" t="e">
        <f t="shared" si="12"/>
        <v>#VALUE!</v>
      </c>
      <c r="X216" s="188">
        <v>0.12746488964994548</v>
      </c>
      <c r="Y216" s="189" t="e">
        <f t="shared" si="13"/>
        <v>#VALUE!</v>
      </c>
      <c r="Z216" s="188">
        <v>0.12746488964994548</v>
      </c>
      <c r="AA216" s="189" t="e">
        <f t="shared" si="14"/>
        <v>#VALUE!</v>
      </c>
    </row>
    <row r="217" spans="1:27" x14ac:dyDescent="0.25">
      <c r="A217">
        <v>222900</v>
      </c>
      <c r="B217">
        <v>17031222900</v>
      </c>
      <c r="C217">
        <v>17031</v>
      </c>
      <c r="D217">
        <v>2010</v>
      </c>
      <c r="E217">
        <v>22</v>
      </c>
      <c r="F217">
        <v>2393672.5791508998</v>
      </c>
      <c r="G217" s="45">
        <v>8.5861189277393959E-2</v>
      </c>
      <c r="H217" s="60" t="str">
        <f>_xlfn.IFNA(
INDEX('Community Areas'!B$2:B$78,MATCH($E217,'Community Areas'!$A$2:$A$78,0)),
"")</f>
        <v>LOGAN SQUARE</v>
      </c>
      <c r="I217" s="63" t="str">
        <f>_xlfn.IFNA(
INDEX('Community Areas'!C$2:C$78,MATCH($E217,'Community Areas'!$A$2:$A$78,0)),
"")</f>
        <v>2-B</v>
      </c>
      <c r="J217" s="63">
        <f>_xlfn.IFNA(
INDEX('Community Areas'!D$2:D$78,MATCH($E217,'Community Areas'!$A$2:$A$78,0)),
"")</f>
        <v>2</v>
      </c>
      <c r="K217" s="60" t="str">
        <f>_xlfn.IFNA(
INDEX('Community Areas'!E$2:E$78,MATCH($E217,'Community Areas'!$A$2:$A$78,0)),
"")</f>
        <v>NORTHWEST</v>
      </c>
      <c r="L217" s="17" t="e">
        <f>SUMIFS([1]ACSDT5Y2020.B08301_data_with_ov!AT$3:AT$1334,[1]ACSDT5Y2020.B08301_data_with_ov!$AS$3:$AS$1334,$B217)</f>
        <v>#VALUE!</v>
      </c>
      <c r="M217" s="17" t="e">
        <f>SUMIFS([1]ACSDT5Y2020.B08301_data_with_ov!AU$3:AU$1334,[1]ACSDT5Y2020.B08301_data_with_ov!$AS$3:$AS$1334,$B217)</f>
        <v>#VALUE!</v>
      </c>
      <c r="N217" s="17" t="e">
        <f>SUMIFS([1]ACSDT5Y2020.B08301_data_with_ov!AV$3:AV$1334,[1]ACSDT5Y2020.B08301_data_with_ov!$AS$3:$AS$1334,$B217)</f>
        <v>#VALUE!</v>
      </c>
      <c r="O217" s="17" t="e">
        <f>SUMIFS([1]ACSDT5Y2020.B08301_data_with_ov!AW$3:AW$1334,[1]ACSDT5Y2020.B08301_data_with_ov!$AS$3:$AS$1334,$B217)</f>
        <v>#VALUE!</v>
      </c>
      <c r="P217" s="17" t="e">
        <f>SUMIFS([1]ACSDT5Y2020.B08301_data_with_ov!AX$3:AX$1334,[1]ACSDT5Y2020.B08301_data_with_ov!$AS$3:$AS$1334,$B217)</f>
        <v>#VALUE!</v>
      </c>
      <c r="Q217" s="17" t="e">
        <f>SUMIFS([1]ACSDT5Y2020.B08301_data_with_ov!AY$3:AY$1334,[1]ACSDT5Y2020.B08301_data_with_ov!$AS$3:$AS$1334,$B217)</f>
        <v>#VALUE!</v>
      </c>
      <c r="R217" s="17" t="e">
        <f>SUMIFS([1]ACSDT5Y2020.B08301_data_with_ov!AZ$3:AZ$1334,[1]ACSDT5Y2020.B08301_data_with_ov!$AS$3:$AS$1334,$B217)</f>
        <v>#VALUE!</v>
      </c>
      <c r="S217" s="17" t="e">
        <f>SUMIFS([1]ACSDT5Y2020.B08301_data_with_ov!BA$3:BA$1334,[1]ACSDT5Y2020.B08301_data_with_ov!$AS$3:$AS$1334,$B217)</f>
        <v>#VALUE!</v>
      </c>
      <c r="T217" s="188">
        <v>8.586118491475013E-2</v>
      </c>
      <c r="U217" s="189" t="e">
        <f t="shared" si="15"/>
        <v>#VALUE!</v>
      </c>
      <c r="V217" s="188">
        <v>8.586118491475013E-2</v>
      </c>
      <c r="W217" s="189" t="e">
        <f t="shared" si="12"/>
        <v>#VALUE!</v>
      </c>
      <c r="X217" s="188">
        <v>8.586118491475013E-2</v>
      </c>
      <c r="Y217" s="189" t="e">
        <f t="shared" si="13"/>
        <v>#VALUE!</v>
      </c>
      <c r="Z217" s="188">
        <v>8.586118491475013E-2</v>
      </c>
      <c r="AA217" s="189" t="e">
        <f t="shared" si="14"/>
        <v>#VALUE!</v>
      </c>
    </row>
    <row r="218" spans="1:27" x14ac:dyDescent="0.25">
      <c r="A218">
        <v>220902</v>
      </c>
      <c r="B218">
        <v>17031220902</v>
      </c>
      <c r="C218">
        <v>17031</v>
      </c>
      <c r="D218">
        <v>2010</v>
      </c>
      <c r="E218">
        <v>22</v>
      </c>
      <c r="F218">
        <v>3555585.6261557299</v>
      </c>
      <c r="G218" s="45">
        <v>0.12753908496024627</v>
      </c>
      <c r="H218" s="60" t="str">
        <f>_xlfn.IFNA(
INDEX('Community Areas'!B$2:B$78,MATCH($E218,'Community Areas'!$A$2:$A$78,0)),
"")</f>
        <v>LOGAN SQUARE</v>
      </c>
      <c r="I218" s="63" t="str">
        <f>_xlfn.IFNA(
INDEX('Community Areas'!C$2:C$78,MATCH($E218,'Community Areas'!$A$2:$A$78,0)),
"")</f>
        <v>2-B</v>
      </c>
      <c r="J218" s="63">
        <f>_xlfn.IFNA(
INDEX('Community Areas'!D$2:D$78,MATCH($E218,'Community Areas'!$A$2:$A$78,0)),
"")</f>
        <v>2</v>
      </c>
      <c r="K218" s="60" t="str">
        <f>_xlfn.IFNA(
INDEX('Community Areas'!E$2:E$78,MATCH($E218,'Community Areas'!$A$2:$A$78,0)),
"")</f>
        <v>NORTHWEST</v>
      </c>
      <c r="L218" s="17" t="e">
        <f>SUMIFS([1]ACSDT5Y2020.B08301_data_with_ov!AT$3:AT$1334,[1]ACSDT5Y2020.B08301_data_with_ov!$AS$3:$AS$1334,$B218)</f>
        <v>#VALUE!</v>
      </c>
      <c r="M218" s="17" t="e">
        <f>SUMIFS([1]ACSDT5Y2020.B08301_data_with_ov!AU$3:AU$1334,[1]ACSDT5Y2020.B08301_data_with_ov!$AS$3:$AS$1334,$B218)</f>
        <v>#VALUE!</v>
      </c>
      <c r="N218" s="17" t="e">
        <f>SUMIFS([1]ACSDT5Y2020.B08301_data_with_ov!AV$3:AV$1334,[1]ACSDT5Y2020.B08301_data_with_ov!$AS$3:$AS$1334,$B218)</f>
        <v>#VALUE!</v>
      </c>
      <c r="O218" s="17" t="e">
        <f>SUMIFS([1]ACSDT5Y2020.B08301_data_with_ov!AW$3:AW$1334,[1]ACSDT5Y2020.B08301_data_with_ov!$AS$3:$AS$1334,$B218)</f>
        <v>#VALUE!</v>
      </c>
      <c r="P218" s="17" t="e">
        <f>SUMIFS([1]ACSDT5Y2020.B08301_data_with_ov!AX$3:AX$1334,[1]ACSDT5Y2020.B08301_data_with_ov!$AS$3:$AS$1334,$B218)</f>
        <v>#VALUE!</v>
      </c>
      <c r="Q218" s="17" t="e">
        <f>SUMIFS([1]ACSDT5Y2020.B08301_data_with_ov!AY$3:AY$1334,[1]ACSDT5Y2020.B08301_data_with_ov!$AS$3:$AS$1334,$B218)</f>
        <v>#VALUE!</v>
      </c>
      <c r="R218" s="17" t="e">
        <f>SUMIFS([1]ACSDT5Y2020.B08301_data_with_ov!AZ$3:AZ$1334,[1]ACSDT5Y2020.B08301_data_with_ov!$AS$3:$AS$1334,$B218)</f>
        <v>#VALUE!</v>
      </c>
      <c r="S218" s="17" t="e">
        <f>SUMIFS([1]ACSDT5Y2020.B08301_data_with_ov!BA$3:BA$1334,[1]ACSDT5Y2020.B08301_data_with_ov!$AS$3:$AS$1334,$B218)</f>
        <v>#VALUE!</v>
      </c>
      <c r="T218" s="188">
        <v>0.12510693011172055</v>
      </c>
      <c r="U218" s="189" t="e">
        <f t="shared" si="15"/>
        <v>#VALUE!</v>
      </c>
      <c r="V218" s="188">
        <v>2.0745466942415957E-3</v>
      </c>
      <c r="W218" s="189" t="e">
        <f t="shared" si="12"/>
        <v>#VALUE!</v>
      </c>
      <c r="X218" s="188">
        <v>2.0745466942415957E-3</v>
      </c>
      <c r="Y218" s="189" t="e">
        <f t="shared" si="13"/>
        <v>#VALUE!</v>
      </c>
      <c r="Z218" s="188">
        <v>2.0745466942415957E-3</v>
      </c>
      <c r="AA218" s="189" t="e">
        <f t="shared" si="14"/>
        <v>#VALUE!</v>
      </c>
    </row>
    <row r="219" spans="1:27" x14ac:dyDescent="0.25">
      <c r="A219">
        <v>220702</v>
      </c>
      <c r="B219">
        <v>17031220702</v>
      </c>
      <c r="C219">
        <v>17031</v>
      </c>
      <c r="D219">
        <v>2010</v>
      </c>
      <c r="E219">
        <v>22</v>
      </c>
      <c r="F219">
        <v>6184604.2910941001</v>
      </c>
      <c r="G219" s="45">
        <v>0.22184215346268438</v>
      </c>
      <c r="H219" s="60" t="str">
        <f>_xlfn.IFNA(
INDEX('Community Areas'!B$2:B$78,MATCH($E219,'Community Areas'!$A$2:$A$78,0)),
"")</f>
        <v>LOGAN SQUARE</v>
      </c>
      <c r="I219" s="63" t="str">
        <f>_xlfn.IFNA(
INDEX('Community Areas'!C$2:C$78,MATCH($E219,'Community Areas'!$A$2:$A$78,0)),
"")</f>
        <v>2-B</v>
      </c>
      <c r="J219" s="63">
        <f>_xlfn.IFNA(
INDEX('Community Areas'!D$2:D$78,MATCH($E219,'Community Areas'!$A$2:$A$78,0)),
"")</f>
        <v>2</v>
      </c>
      <c r="K219" s="60" t="str">
        <f>_xlfn.IFNA(
INDEX('Community Areas'!E$2:E$78,MATCH($E219,'Community Areas'!$A$2:$A$78,0)),
"")</f>
        <v>NORTHWEST</v>
      </c>
      <c r="L219" s="17" t="e">
        <f>SUMIFS([1]ACSDT5Y2020.B08301_data_with_ov!AT$3:AT$1334,[1]ACSDT5Y2020.B08301_data_with_ov!$AS$3:$AS$1334,$B219)</f>
        <v>#VALUE!</v>
      </c>
      <c r="M219" s="17" t="e">
        <f>SUMIFS([1]ACSDT5Y2020.B08301_data_with_ov!AU$3:AU$1334,[1]ACSDT5Y2020.B08301_data_with_ov!$AS$3:$AS$1334,$B219)</f>
        <v>#VALUE!</v>
      </c>
      <c r="N219" s="17" t="e">
        <f>SUMIFS([1]ACSDT5Y2020.B08301_data_with_ov!AV$3:AV$1334,[1]ACSDT5Y2020.B08301_data_with_ov!$AS$3:$AS$1334,$B219)</f>
        <v>#VALUE!</v>
      </c>
      <c r="O219" s="17" t="e">
        <f>SUMIFS([1]ACSDT5Y2020.B08301_data_with_ov!AW$3:AW$1334,[1]ACSDT5Y2020.B08301_data_with_ov!$AS$3:$AS$1334,$B219)</f>
        <v>#VALUE!</v>
      </c>
      <c r="P219" s="17" t="e">
        <f>SUMIFS([1]ACSDT5Y2020.B08301_data_with_ov!AX$3:AX$1334,[1]ACSDT5Y2020.B08301_data_with_ov!$AS$3:$AS$1334,$B219)</f>
        <v>#VALUE!</v>
      </c>
      <c r="Q219" s="17" t="e">
        <f>SUMIFS([1]ACSDT5Y2020.B08301_data_with_ov!AY$3:AY$1334,[1]ACSDT5Y2020.B08301_data_with_ov!$AS$3:$AS$1334,$B219)</f>
        <v>#VALUE!</v>
      </c>
      <c r="R219" s="17" t="e">
        <f>SUMIFS([1]ACSDT5Y2020.B08301_data_with_ov!AZ$3:AZ$1334,[1]ACSDT5Y2020.B08301_data_with_ov!$AS$3:$AS$1334,$B219)</f>
        <v>#VALUE!</v>
      </c>
      <c r="S219" s="17" t="e">
        <f>SUMIFS([1]ACSDT5Y2020.B08301_data_with_ov!BA$3:BA$1334,[1]ACSDT5Y2020.B08301_data_with_ov!$AS$3:$AS$1334,$B219)</f>
        <v>#VALUE!</v>
      </c>
      <c r="T219" s="188">
        <v>0.22184215463826581</v>
      </c>
      <c r="U219" s="189" t="e">
        <f t="shared" si="15"/>
        <v>#VALUE!</v>
      </c>
      <c r="V219" s="188">
        <v>0.22134974786570033</v>
      </c>
      <c r="W219" s="189" t="e">
        <f t="shared" si="12"/>
        <v>#VALUE!</v>
      </c>
      <c r="X219" s="188">
        <v>0.22134974786570033</v>
      </c>
      <c r="Y219" s="189" t="e">
        <f t="shared" si="13"/>
        <v>#VALUE!</v>
      </c>
      <c r="Z219" s="188">
        <v>0.22134974786570033</v>
      </c>
      <c r="AA219" s="189" t="e">
        <f t="shared" si="14"/>
        <v>#VALUE!</v>
      </c>
    </row>
    <row r="220" spans="1:27" x14ac:dyDescent="0.25">
      <c r="A220">
        <v>222200</v>
      </c>
      <c r="B220">
        <v>17031222200</v>
      </c>
      <c r="C220">
        <v>17031</v>
      </c>
      <c r="D220">
        <v>2010</v>
      </c>
      <c r="E220">
        <v>22</v>
      </c>
      <c r="F220">
        <v>2486945.8921548701</v>
      </c>
      <c r="G220" s="45">
        <v>8.9206909010376131E-2</v>
      </c>
      <c r="H220" s="60" t="str">
        <f>_xlfn.IFNA(
INDEX('Community Areas'!B$2:B$78,MATCH($E220,'Community Areas'!$A$2:$A$78,0)),
"")</f>
        <v>LOGAN SQUARE</v>
      </c>
      <c r="I220" s="63" t="str">
        <f>_xlfn.IFNA(
INDEX('Community Areas'!C$2:C$78,MATCH($E220,'Community Areas'!$A$2:$A$78,0)),
"")</f>
        <v>2-B</v>
      </c>
      <c r="J220" s="63">
        <f>_xlfn.IFNA(
INDEX('Community Areas'!D$2:D$78,MATCH($E220,'Community Areas'!$A$2:$A$78,0)),
"")</f>
        <v>2</v>
      </c>
      <c r="K220" s="60" t="str">
        <f>_xlfn.IFNA(
INDEX('Community Areas'!E$2:E$78,MATCH($E220,'Community Areas'!$A$2:$A$78,0)),
"")</f>
        <v>NORTHWEST</v>
      </c>
      <c r="L220" s="17" t="e">
        <f>SUMIFS([1]ACSDT5Y2020.B08301_data_with_ov!AT$3:AT$1334,[1]ACSDT5Y2020.B08301_data_with_ov!$AS$3:$AS$1334,$B220)</f>
        <v>#VALUE!</v>
      </c>
      <c r="M220" s="17" t="e">
        <f>SUMIFS([1]ACSDT5Y2020.B08301_data_with_ov!AU$3:AU$1334,[1]ACSDT5Y2020.B08301_data_with_ov!$AS$3:$AS$1334,$B220)</f>
        <v>#VALUE!</v>
      </c>
      <c r="N220" s="17" t="e">
        <f>SUMIFS([1]ACSDT5Y2020.B08301_data_with_ov!AV$3:AV$1334,[1]ACSDT5Y2020.B08301_data_with_ov!$AS$3:$AS$1334,$B220)</f>
        <v>#VALUE!</v>
      </c>
      <c r="O220" s="17" t="e">
        <f>SUMIFS([1]ACSDT5Y2020.B08301_data_with_ov!AW$3:AW$1334,[1]ACSDT5Y2020.B08301_data_with_ov!$AS$3:$AS$1334,$B220)</f>
        <v>#VALUE!</v>
      </c>
      <c r="P220" s="17" t="e">
        <f>SUMIFS([1]ACSDT5Y2020.B08301_data_with_ov!AX$3:AX$1334,[1]ACSDT5Y2020.B08301_data_with_ov!$AS$3:$AS$1334,$B220)</f>
        <v>#VALUE!</v>
      </c>
      <c r="Q220" s="17" t="e">
        <f>SUMIFS([1]ACSDT5Y2020.B08301_data_with_ov!AY$3:AY$1334,[1]ACSDT5Y2020.B08301_data_with_ov!$AS$3:$AS$1334,$B220)</f>
        <v>#VALUE!</v>
      </c>
      <c r="R220" s="17" t="e">
        <f>SUMIFS([1]ACSDT5Y2020.B08301_data_with_ov!AZ$3:AZ$1334,[1]ACSDT5Y2020.B08301_data_with_ov!$AS$3:$AS$1334,$B220)</f>
        <v>#VALUE!</v>
      </c>
      <c r="S220" s="17" t="e">
        <f>SUMIFS([1]ACSDT5Y2020.B08301_data_with_ov!BA$3:BA$1334,[1]ACSDT5Y2020.B08301_data_with_ov!$AS$3:$AS$1334,$B220)</f>
        <v>#VALUE!</v>
      </c>
      <c r="T220" s="188">
        <v>8.920690934001306E-2</v>
      </c>
      <c r="U220" s="189" t="e">
        <f t="shared" si="15"/>
        <v>#VALUE!</v>
      </c>
      <c r="V220" s="188">
        <v>8.920690934001306E-2</v>
      </c>
      <c r="W220" s="189" t="e">
        <f t="shared" si="12"/>
        <v>#VALUE!</v>
      </c>
      <c r="X220" s="188">
        <v>8.920690934001306E-2</v>
      </c>
      <c r="Y220" s="189" t="e">
        <f t="shared" si="13"/>
        <v>#VALUE!</v>
      </c>
      <c r="Z220" s="188">
        <v>8.920690934001306E-2</v>
      </c>
      <c r="AA220" s="189" t="e">
        <f t="shared" si="14"/>
        <v>#VALUE!</v>
      </c>
    </row>
    <row r="221" spans="1:27" x14ac:dyDescent="0.25">
      <c r="A221">
        <v>221300</v>
      </c>
      <c r="B221">
        <v>17031221300</v>
      </c>
      <c r="C221">
        <v>17031</v>
      </c>
      <c r="D221">
        <v>2010</v>
      </c>
      <c r="E221">
        <v>22</v>
      </c>
      <c r="F221">
        <v>3553343.7835945999</v>
      </c>
      <c r="G221" s="45">
        <v>0.12745866992347479</v>
      </c>
      <c r="H221" s="60" t="str">
        <f>_xlfn.IFNA(
INDEX('Community Areas'!B$2:B$78,MATCH($E221,'Community Areas'!$A$2:$A$78,0)),
"")</f>
        <v>LOGAN SQUARE</v>
      </c>
      <c r="I221" s="63" t="str">
        <f>_xlfn.IFNA(
INDEX('Community Areas'!C$2:C$78,MATCH($E221,'Community Areas'!$A$2:$A$78,0)),
"")</f>
        <v>2-B</v>
      </c>
      <c r="J221" s="63">
        <f>_xlfn.IFNA(
INDEX('Community Areas'!D$2:D$78,MATCH($E221,'Community Areas'!$A$2:$A$78,0)),
"")</f>
        <v>2</v>
      </c>
      <c r="K221" s="60" t="str">
        <f>_xlfn.IFNA(
INDEX('Community Areas'!E$2:E$78,MATCH($E221,'Community Areas'!$A$2:$A$78,0)),
"")</f>
        <v>NORTHWEST</v>
      </c>
      <c r="L221" s="17" t="e">
        <f>SUMIFS([1]ACSDT5Y2020.B08301_data_with_ov!AT$3:AT$1334,[1]ACSDT5Y2020.B08301_data_with_ov!$AS$3:$AS$1334,$B221)</f>
        <v>#VALUE!</v>
      </c>
      <c r="M221" s="17" t="e">
        <f>SUMIFS([1]ACSDT5Y2020.B08301_data_with_ov!AU$3:AU$1334,[1]ACSDT5Y2020.B08301_data_with_ov!$AS$3:$AS$1334,$B221)</f>
        <v>#VALUE!</v>
      </c>
      <c r="N221" s="17" t="e">
        <f>SUMIFS([1]ACSDT5Y2020.B08301_data_with_ov!AV$3:AV$1334,[1]ACSDT5Y2020.B08301_data_with_ov!$AS$3:$AS$1334,$B221)</f>
        <v>#VALUE!</v>
      </c>
      <c r="O221" s="17" t="e">
        <f>SUMIFS([1]ACSDT5Y2020.B08301_data_with_ov!AW$3:AW$1334,[1]ACSDT5Y2020.B08301_data_with_ov!$AS$3:$AS$1334,$B221)</f>
        <v>#VALUE!</v>
      </c>
      <c r="P221" s="17" t="e">
        <f>SUMIFS([1]ACSDT5Y2020.B08301_data_with_ov!AX$3:AX$1334,[1]ACSDT5Y2020.B08301_data_with_ov!$AS$3:$AS$1334,$B221)</f>
        <v>#VALUE!</v>
      </c>
      <c r="Q221" s="17" t="e">
        <f>SUMIFS([1]ACSDT5Y2020.B08301_data_with_ov!AY$3:AY$1334,[1]ACSDT5Y2020.B08301_data_with_ov!$AS$3:$AS$1334,$B221)</f>
        <v>#VALUE!</v>
      </c>
      <c r="R221" s="17" t="e">
        <f>SUMIFS([1]ACSDT5Y2020.B08301_data_with_ov!AZ$3:AZ$1334,[1]ACSDT5Y2020.B08301_data_with_ov!$AS$3:$AS$1334,$B221)</f>
        <v>#VALUE!</v>
      </c>
      <c r="S221" s="17" t="e">
        <f>SUMIFS([1]ACSDT5Y2020.B08301_data_with_ov!BA$3:BA$1334,[1]ACSDT5Y2020.B08301_data_with_ov!$AS$3:$AS$1334,$B221)</f>
        <v>#VALUE!</v>
      </c>
      <c r="T221" s="188">
        <v>0.12745867067741479</v>
      </c>
      <c r="U221" s="189" t="e">
        <f t="shared" si="15"/>
        <v>#VALUE!</v>
      </c>
      <c r="V221" s="188">
        <v>0.12745867067741479</v>
      </c>
      <c r="W221" s="189" t="e">
        <f t="shared" si="12"/>
        <v>#VALUE!</v>
      </c>
      <c r="X221" s="188">
        <v>0.12745867067741479</v>
      </c>
      <c r="Y221" s="189" t="e">
        <f t="shared" si="13"/>
        <v>#VALUE!</v>
      </c>
      <c r="Z221" s="188">
        <v>0.12745867067741479</v>
      </c>
      <c r="AA221" s="189" t="e">
        <f t="shared" si="14"/>
        <v>#VALUE!</v>
      </c>
    </row>
    <row r="222" spans="1:27" x14ac:dyDescent="0.25">
      <c r="A222">
        <v>220901</v>
      </c>
      <c r="B222">
        <v>17031220901</v>
      </c>
      <c r="C222">
        <v>17031</v>
      </c>
      <c r="D222">
        <v>2010</v>
      </c>
      <c r="E222">
        <v>22</v>
      </c>
      <c r="F222">
        <v>3157214.1853880398</v>
      </c>
      <c r="G222" s="45">
        <v>0.11324947577292957</v>
      </c>
      <c r="H222" s="60" t="str">
        <f>_xlfn.IFNA(
INDEX('Community Areas'!B$2:B$78,MATCH($E222,'Community Areas'!$A$2:$A$78,0)),
"")</f>
        <v>LOGAN SQUARE</v>
      </c>
      <c r="I222" s="63" t="str">
        <f>_xlfn.IFNA(
INDEX('Community Areas'!C$2:C$78,MATCH($E222,'Community Areas'!$A$2:$A$78,0)),
"")</f>
        <v>2-B</v>
      </c>
      <c r="J222" s="63">
        <f>_xlfn.IFNA(
INDEX('Community Areas'!D$2:D$78,MATCH($E222,'Community Areas'!$A$2:$A$78,0)),
"")</f>
        <v>2</v>
      </c>
      <c r="K222" s="60" t="str">
        <f>_xlfn.IFNA(
INDEX('Community Areas'!E$2:E$78,MATCH($E222,'Community Areas'!$A$2:$A$78,0)),
"")</f>
        <v>NORTHWEST</v>
      </c>
      <c r="L222" s="17" t="e">
        <f>SUMIFS([1]ACSDT5Y2020.B08301_data_with_ov!AT$3:AT$1334,[1]ACSDT5Y2020.B08301_data_with_ov!$AS$3:$AS$1334,$B222)</f>
        <v>#VALUE!</v>
      </c>
      <c r="M222" s="17" t="e">
        <f>SUMIFS([1]ACSDT5Y2020.B08301_data_with_ov!AU$3:AU$1334,[1]ACSDT5Y2020.B08301_data_with_ov!$AS$3:$AS$1334,$B222)</f>
        <v>#VALUE!</v>
      </c>
      <c r="N222" s="17" t="e">
        <f>SUMIFS([1]ACSDT5Y2020.B08301_data_with_ov!AV$3:AV$1334,[1]ACSDT5Y2020.B08301_data_with_ov!$AS$3:$AS$1334,$B222)</f>
        <v>#VALUE!</v>
      </c>
      <c r="O222" s="17" t="e">
        <f>SUMIFS([1]ACSDT5Y2020.B08301_data_with_ov!AW$3:AW$1334,[1]ACSDT5Y2020.B08301_data_with_ov!$AS$3:$AS$1334,$B222)</f>
        <v>#VALUE!</v>
      </c>
      <c r="P222" s="17" t="e">
        <f>SUMIFS([1]ACSDT5Y2020.B08301_data_with_ov!AX$3:AX$1334,[1]ACSDT5Y2020.B08301_data_with_ov!$AS$3:$AS$1334,$B222)</f>
        <v>#VALUE!</v>
      </c>
      <c r="Q222" s="17" t="e">
        <f>SUMIFS([1]ACSDT5Y2020.B08301_data_with_ov!AY$3:AY$1334,[1]ACSDT5Y2020.B08301_data_with_ov!$AS$3:$AS$1334,$B222)</f>
        <v>#VALUE!</v>
      </c>
      <c r="R222" s="17" t="e">
        <f>SUMIFS([1]ACSDT5Y2020.B08301_data_with_ov!AZ$3:AZ$1334,[1]ACSDT5Y2020.B08301_data_with_ov!$AS$3:$AS$1334,$B222)</f>
        <v>#VALUE!</v>
      </c>
      <c r="S222" s="17" t="e">
        <f>SUMIFS([1]ACSDT5Y2020.B08301_data_with_ov!BA$3:BA$1334,[1]ACSDT5Y2020.B08301_data_with_ov!$AS$3:$AS$1334,$B222)</f>
        <v>#VALUE!</v>
      </c>
      <c r="T222" s="188">
        <v>9.6932413567463696E-2</v>
      </c>
      <c r="U222" s="189" t="e">
        <f t="shared" si="15"/>
        <v>#VALUE!</v>
      </c>
      <c r="V222" s="188">
        <v>9.6932720560944319E-2</v>
      </c>
      <c r="W222" s="189" t="e">
        <f t="shared" si="12"/>
        <v>#VALUE!</v>
      </c>
      <c r="X222" s="188">
        <v>9.6932720560944319E-2</v>
      </c>
      <c r="Y222" s="189" t="e">
        <f t="shared" si="13"/>
        <v>#VALUE!</v>
      </c>
      <c r="Z222" s="188">
        <v>9.6932720560944319E-2</v>
      </c>
      <c r="AA222" s="189" t="e">
        <f t="shared" si="14"/>
        <v>#VALUE!</v>
      </c>
    </row>
    <row r="223" spans="1:27" x14ac:dyDescent="0.25">
      <c r="A223">
        <v>222500</v>
      </c>
      <c r="B223">
        <v>17031222500</v>
      </c>
      <c r="C223">
        <v>17031</v>
      </c>
      <c r="D223">
        <v>2010</v>
      </c>
      <c r="E223">
        <v>22</v>
      </c>
      <c r="F223">
        <v>1705796.69434264</v>
      </c>
      <c r="G223" s="45">
        <v>6.1187037073240934E-2</v>
      </c>
      <c r="H223" s="60" t="str">
        <f>_xlfn.IFNA(
INDEX('Community Areas'!B$2:B$78,MATCH($E223,'Community Areas'!$A$2:$A$78,0)),
"")</f>
        <v>LOGAN SQUARE</v>
      </c>
      <c r="I223" s="63" t="str">
        <f>_xlfn.IFNA(
INDEX('Community Areas'!C$2:C$78,MATCH($E223,'Community Areas'!$A$2:$A$78,0)),
"")</f>
        <v>2-B</v>
      </c>
      <c r="J223" s="63">
        <f>_xlfn.IFNA(
INDEX('Community Areas'!D$2:D$78,MATCH($E223,'Community Areas'!$A$2:$A$78,0)),
"")</f>
        <v>2</v>
      </c>
      <c r="K223" s="60" t="str">
        <f>_xlfn.IFNA(
INDEX('Community Areas'!E$2:E$78,MATCH($E223,'Community Areas'!$A$2:$A$78,0)),
"")</f>
        <v>NORTHWEST</v>
      </c>
      <c r="L223" s="17" t="e">
        <f>SUMIFS([1]ACSDT5Y2020.B08301_data_with_ov!AT$3:AT$1334,[1]ACSDT5Y2020.B08301_data_with_ov!$AS$3:$AS$1334,$B223)</f>
        <v>#VALUE!</v>
      </c>
      <c r="M223" s="17" t="e">
        <f>SUMIFS([1]ACSDT5Y2020.B08301_data_with_ov!AU$3:AU$1334,[1]ACSDT5Y2020.B08301_data_with_ov!$AS$3:$AS$1334,$B223)</f>
        <v>#VALUE!</v>
      </c>
      <c r="N223" s="17" t="e">
        <f>SUMIFS([1]ACSDT5Y2020.B08301_data_with_ov!AV$3:AV$1334,[1]ACSDT5Y2020.B08301_data_with_ov!$AS$3:$AS$1334,$B223)</f>
        <v>#VALUE!</v>
      </c>
      <c r="O223" s="17" t="e">
        <f>SUMIFS([1]ACSDT5Y2020.B08301_data_with_ov!AW$3:AW$1334,[1]ACSDT5Y2020.B08301_data_with_ov!$AS$3:$AS$1334,$B223)</f>
        <v>#VALUE!</v>
      </c>
      <c r="P223" s="17" t="e">
        <f>SUMIFS([1]ACSDT5Y2020.B08301_data_with_ov!AX$3:AX$1334,[1]ACSDT5Y2020.B08301_data_with_ov!$AS$3:$AS$1334,$B223)</f>
        <v>#VALUE!</v>
      </c>
      <c r="Q223" s="17" t="e">
        <f>SUMIFS([1]ACSDT5Y2020.B08301_data_with_ov!AY$3:AY$1334,[1]ACSDT5Y2020.B08301_data_with_ov!$AS$3:$AS$1334,$B223)</f>
        <v>#VALUE!</v>
      </c>
      <c r="R223" s="17" t="e">
        <f>SUMIFS([1]ACSDT5Y2020.B08301_data_with_ov!AZ$3:AZ$1334,[1]ACSDT5Y2020.B08301_data_with_ov!$AS$3:$AS$1334,$B223)</f>
        <v>#VALUE!</v>
      </c>
      <c r="S223" s="17" t="e">
        <f>SUMIFS([1]ACSDT5Y2020.B08301_data_with_ov!BA$3:BA$1334,[1]ACSDT5Y2020.B08301_data_with_ov!$AS$3:$AS$1334,$B223)</f>
        <v>#VALUE!</v>
      </c>
      <c r="T223" s="188">
        <v>6.1187036779799059E-2</v>
      </c>
      <c r="U223" s="189" t="e">
        <f t="shared" si="15"/>
        <v>#VALUE!</v>
      </c>
      <c r="V223" s="188">
        <v>6.1187036779799059E-2</v>
      </c>
      <c r="W223" s="189" t="e">
        <f t="shared" si="12"/>
        <v>#VALUE!</v>
      </c>
      <c r="X223" s="188">
        <v>6.1187036779799059E-2</v>
      </c>
      <c r="Y223" s="189" t="e">
        <f t="shared" si="13"/>
        <v>#VALUE!</v>
      </c>
      <c r="Z223" s="188">
        <v>6.1187036779799059E-2</v>
      </c>
      <c r="AA223" s="189" t="e">
        <f t="shared" si="14"/>
        <v>#VALUE!</v>
      </c>
    </row>
    <row r="224" spans="1:27" x14ac:dyDescent="0.25">
      <c r="A224">
        <v>220500</v>
      </c>
      <c r="B224">
        <v>17031220500</v>
      </c>
      <c r="C224">
        <v>17031</v>
      </c>
      <c r="D224">
        <v>2010</v>
      </c>
      <c r="E224">
        <v>22</v>
      </c>
      <c r="F224">
        <v>3598298.2363546798</v>
      </c>
      <c r="G224" s="45">
        <v>0.12907118903361312</v>
      </c>
      <c r="H224" s="60" t="str">
        <f>_xlfn.IFNA(
INDEX('Community Areas'!B$2:B$78,MATCH($E224,'Community Areas'!$A$2:$A$78,0)),
"")</f>
        <v>LOGAN SQUARE</v>
      </c>
      <c r="I224" s="63" t="str">
        <f>_xlfn.IFNA(
INDEX('Community Areas'!C$2:C$78,MATCH($E224,'Community Areas'!$A$2:$A$78,0)),
"")</f>
        <v>2-B</v>
      </c>
      <c r="J224" s="63">
        <f>_xlfn.IFNA(
INDEX('Community Areas'!D$2:D$78,MATCH($E224,'Community Areas'!$A$2:$A$78,0)),
"")</f>
        <v>2</v>
      </c>
      <c r="K224" s="60" t="str">
        <f>_xlfn.IFNA(
INDEX('Community Areas'!E$2:E$78,MATCH($E224,'Community Areas'!$A$2:$A$78,0)),
"")</f>
        <v>NORTHWEST</v>
      </c>
      <c r="L224" s="17" t="e">
        <f>SUMIFS([1]ACSDT5Y2020.B08301_data_with_ov!AT$3:AT$1334,[1]ACSDT5Y2020.B08301_data_with_ov!$AS$3:$AS$1334,$B224)</f>
        <v>#VALUE!</v>
      </c>
      <c r="M224" s="17" t="e">
        <f>SUMIFS([1]ACSDT5Y2020.B08301_data_with_ov!AU$3:AU$1334,[1]ACSDT5Y2020.B08301_data_with_ov!$AS$3:$AS$1334,$B224)</f>
        <v>#VALUE!</v>
      </c>
      <c r="N224" s="17" t="e">
        <f>SUMIFS([1]ACSDT5Y2020.B08301_data_with_ov!AV$3:AV$1334,[1]ACSDT5Y2020.B08301_data_with_ov!$AS$3:$AS$1334,$B224)</f>
        <v>#VALUE!</v>
      </c>
      <c r="O224" s="17" t="e">
        <f>SUMIFS([1]ACSDT5Y2020.B08301_data_with_ov!AW$3:AW$1334,[1]ACSDT5Y2020.B08301_data_with_ov!$AS$3:$AS$1334,$B224)</f>
        <v>#VALUE!</v>
      </c>
      <c r="P224" s="17" t="e">
        <f>SUMIFS([1]ACSDT5Y2020.B08301_data_with_ov!AX$3:AX$1334,[1]ACSDT5Y2020.B08301_data_with_ov!$AS$3:$AS$1334,$B224)</f>
        <v>#VALUE!</v>
      </c>
      <c r="Q224" s="17" t="e">
        <f>SUMIFS([1]ACSDT5Y2020.B08301_data_with_ov!AY$3:AY$1334,[1]ACSDT5Y2020.B08301_data_with_ov!$AS$3:$AS$1334,$B224)</f>
        <v>#VALUE!</v>
      </c>
      <c r="R224" s="17" t="e">
        <f>SUMIFS([1]ACSDT5Y2020.B08301_data_with_ov!AZ$3:AZ$1334,[1]ACSDT5Y2020.B08301_data_with_ov!$AS$3:$AS$1334,$B224)</f>
        <v>#VALUE!</v>
      </c>
      <c r="S224" s="17" t="e">
        <f>SUMIFS([1]ACSDT5Y2020.B08301_data_with_ov!BA$3:BA$1334,[1]ACSDT5Y2020.B08301_data_with_ov!$AS$3:$AS$1334,$B224)</f>
        <v>#VALUE!</v>
      </c>
      <c r="T224" s="188">
        <v>0.1290711892613701</v>
      </c>
      <c r="U224" s="189" t="e">
        <f t="shared" si="15"/>
        <v>#VALUE!</v>
      </c>
      <c r="V224" s="188">
        <v>0.1290711892613701</v>
      </c>
      <c r="W224" s="189" t="e">
        <f t="shared" si="12"/>
        <v>#VALUE!</v>
      </c>
      <c r="X224" s="188">
        <v>0.1290711892613701</v>
      </c>
      <c r="Y224" s="189" t="e">
        <f t="shared" si="13"/>
        <v>#VALUE!</v>
      </c>
      <c r="Z224" s="188">
        <v>0.1290711892613701</v>
      </c>
      <c r="AA224" s="189" t="e">
        <f t="shared" si="14"/>
        <v>#VALUE!</v>
      </c>
    </row>
    <row r="225" spans="1:27" x14ac:dyDescent="0.25">
      <c r="A225">
        <v>221000</v>
      </c>
      <c r="B225">
        <v>17031221000</v>
      </c>
      <c r="C225">
        <v>17031</v>
      </c>
      <c r="D225">
        <v>2010</v>
      </c>
      <c r="E225">
        <v>22</v>
      </c>
      <c r="F225">
        <v>2369034.77168176</v>
      </c>
      <c r="G225" s="45">
        <v>8.4977429539778465E-2</v>
      </c>
      <c r="H225" s="60" t="str">
        <f>_xlfn.IFNA(
INDEX('Community Areas'!B$2:B$78,MATCH($E225,'Community Areas'!$A$2:$A$78,0)),
"")</f>
        <v>LOGAN SQUARE</v>
      </c>
      <c r="I225" s="63" t="str">
        <f>_xlfn.IFNA(
INDEX('Community Areas'!C$2:C$78,MATCH($E225,'Community Areas'!$A$2:$A$78,0)),
"")</f>
        <v>2-B</v>
      </c>
      <c r="J225" s="63">
        <f>_xlfn.IFNA(
INDEX('Community Areas'!D$2:D$78,MATCH($E225,'Community Areas'!$A$2:$A$78,0)),
"")</f>
        <v>2</v>
      </c>
      <c r="K225" s="60" t="str">
        <f>_xlfn.IFNA(
INDEX('Community Areas'!E$2:E$78,MATCH($E225,'Community Areas'!$A$2:$A$78,0)),
"")</f>
        <v>NORTHWEST</v>
      </c>
      <c r="L225" s="17" t="e">
        <f>SUMIFS([1]ACSDT5Y2020.B08301_data_with_ov!AT$3:AT$1334,[1]ACSDT5Y2020.B08301_data_with_ov!$AS$3:$AS$1334,$B225)</f>
        <v>#VALUE!</v>
      </c>
      <c r="M225" s="17" t="e">
        <f>SUMIFS([1]ACSDT5Y2020.B08301_data_with_ov!AU$3:AU$1334,[1]ACSDT5Y2020.B08301_data_with_ov!$AS$3:$AS$1334,$B225)</f>
        <v>#VALUE!</v>
      </c>
      <c r="N225" s="17" t="e">
        <f>SUMIFS([1]ACSDT5Y2020.B08301_data_with_ov!AV$3:AV$1334,[1]ACSDT5Y2020.B08301_data_with_ov!$AS$3:$AS$1334,$B225)</f>
        <v>#VALUE!</v>
      </c>
      <c r="O225" s="17" t="e">
        <f>SUMIFS([1]ACSDT5Y2020.B08301_data_with_ov!AW$3:AW$1334,[1]ACSDT5Y2020.B08301_data_with_ov!$AS$3:$AS$1334,$B225)</f>
        <v>#VALUE!</v>
      </c>
      <c r="P225" s="17" t="e">
        <f>SUMIFS([1]ACSDT5Y2020.B08301_data_with_ov!AX$3:AX$1334,[1]ACSDT5Y2020.B08301_data_with_ov!$AS$3:$AS$1334,$B225)</f>
        <v>#VALUE!</v>
      </c>
      <c r="Q225" s="17" t="e">
        <f>SUMIFS([1]ACSDT5Y2020.B08301_data_with_ov!AY$3:AY$1334,[1]ACSDT5Y2020.B08301_data_with_ov!$AS$3:$AS$1334,$B225)</f>
        <v>#VALUE!</v>
      </c>
      <c r="R225" s="17" t="e">
        <f>SUMIFS([1]ACSDT5Y2020.B08301_data_with_ov!AZ$3:AZ$1334,[1]ACSDT5Y2020.B08301_data_with_ov!$AS$3:$AS$1334,$B225)</f>
        <v>#VALUE!</v>
      </c>
      <c r="S225" s="17" t="e">
        <f>SUMIFS([1]ACSDT5Y2020.B08301_data_with_ov!BA$3:BA$1334,[1]ACSDT5Y2020.B08301_data_with_ov!$AS$3:$AS$1334,$B225)</f>
        <v>#VALUE!</v>
      </c>
      <c r="T225" s="188">
        <v>8.497742648516092E-2</v>
      </c>
      <c r="U225" s="189" t="e">
        <f t="shared" si="15"/>
        <v>#VALUE!</v>
      </c>
      <c r="V225" s="188">
        <v>8.2792727859270623E-2</v>
      </c>
      <c r="W225" s="189" t="e">
        <f t="shared" si="12"/>
        <v>#VALUE!</v>
      </c>
      <c r="X225" s="188">
        <v>8.2792727859270623E-2</v>
      </c>
      <c r="Y225" s="189" t="e">
        <f t="shared" si="13"/>
        <v>#VALUE!</v>
      </c>
      <c r="Z225" s="188">
        <v>8.2792727859270623E-2</v>
      </c>
      <c r="AA225" s="189" t="e">
        <f t="shared" si="14"/>
        <v>#VALUE!</v>
      </c>
    </row>
    <row r="226" spans="1:27" x14ac:dyDescent="0.25">
      <c r="A226">
        <v>221200</v>
      </c>
      <c r="B226">
        <v>17031221200</v>
      </c>
      <c r="C226">
        <v>17031</v>
      </c>
      <c r="D226">
        <v>2010</v>
      </c>
      <c r="E226">
        <v>22</v>
      </c>
      <c r="F226">
        <v>3553457.6426396002</v>
      </c>
      <c r="G226" s="45">
        <v>0.12746275405473773</v>
      </c>
      <c r="H226" s="60" t="str">
        <f>_xlfn.IFNA(
INDEX('Community Areas'!B$2:B$78,MATCH($E226,'Community Areas'!$A$2:$A$78,0)),
"")</f>
        <v>LOGAN SQUARE</v>
      </c>
      <c r="I226" s="63" t="str">
        <f>_xlfn.IFNA(
INDEX('Community Areas'!C$2:C$78,MATCH($E226,'Community Areas'!$A$2:$A$78,0)),
"")</f>
        <v>2-B</v>
      </c>
      <c r="J226" s="63">
        <f>_xlfn.IFNA(
INDEX('Community Areas'!D$2:D$78,MATCH($E226,'Community Areas'!$A$2:$A$78,0)),
"")</f>
        <v>2</v>
      </c>
      <c r="K226" s="60" t="str">
        <f>_xlfn.IFNA(
INDEX('Community Areas'!E$2:E$78,MATCH($E226,'Community Areas'!$A$2:$A$78,0)),
"")</f>
        <v>NORTHWEST</v>
      </c>
      <c r="L226" s="17" t="e">
        <f>SUMIFS([1]ACSDT5Y2020.B08301_data_with_ov!AT$3:AT$1334,[1]ACSDT5Y2020.B08301_data_with_ov!$AS$3:$AS$1334,$B226)</f>
        <v>#VALUE!</v>
      </c>
      <c r="M226" s="17" t="e">
        <f>SUMIFS([1]ACSDT5Y2020.B08301_data_with_ov!AU$3:AU$1334,[1]ACSDT5Y2020.B08301_data_with_ov!$AS$3:$AS$1334,$B226)</f>
        <v>#VALUE!</v>
      </c>
      <c r="N226" s="17" t="e">
        <f>SUMIFS([1]ACSDT5Y2020.B08301_data_with_ov!AV$3:AV$1334,[1]ACSDT5Y2020.B08301_data_with_ov!$AS$3:$AS$1334,$B226)</f>
        <v>#VALUE!</v>
      </c>
      <c r="O226" s="17" t="e">
        <f>SUMIFS([1]ACSDT5Y2020.B08301_data_with_ov!AW$3:AW$1334,[1]ACSDT5Y2020.B08301_data_with_ov!$AS$3:$AS$1334,$B226)</f>
        <v>#VALUE!</v>
      </c>
      <c r="P226" s="17" t="e">
        <f>SUMIFS([1]ACSDT5Y2020.B08301_data_with_ov!AX$3:AX$1334,[1]ACSDT5Y2020.B08301_data_with_ov!$AS$3:$AS$1334,$B226)</f>
        <v>#VALUE!</v>
      </c>
      <c r="Q226" s="17" t="e">
        <f>SUMIFS([1]ACSDT5Y2020.B08301_data_with_ov!AY$3:AY$1334,[1]ACSDT5Y2020.B08301_data_with_ov!$AS$3:$AS$1334,$B226)</f>
        <v>#VALUE!</v>
      </c>
      <c r="R226" s="17" t="e">
        <f>SUMIFS([1]ACSDT5Y2020.B08301_data_with_ov!AZ$3:AZ$1334,[1]ACSDT5Y2020.B08301_data_with_ov!$AS$3:$AS$1334,$B226)</f>
        <v>#VALUE!</v>
      </c>
      <c r="S226" s="17" t="e">
        <f>SUMIFS([1]ACSDT5Y2020.B08301_data_with_ov!BA$3:BA$1334,[1]ACSDT5Y2020.B08301_data_with_ov!$AS$3:$AS$1334,$B226)</f>
        <v>#VALUE!</v>
      </c>
      <c r="T226" s="188">
        <v>0.12746275132982238</v>
      </c>
      <c r="U226" s="189" t="e">
        <f t="shared" si="15"/>
        <v>#VALUE!</v>
      </c>
      <c r="V226" s="188">
        <v>0.12746275132982238</v>
      </c>
      <c r="W226" s="189" t="e">
        <f t="shared" si="12"/>
        <v>#VALUE!</v>
      </c>
      <c r="X226" s="188">
        <v>0.12746275132982238</v>
      </c>
      <c r="Y226" s="189" t="e">
        <f t="shared" si="13"/>
        <v>#VALUE!</v>
      </c>
      <c r="Z226" s="188">
        <v>0.12746275132982238</v>
      </c>
      <c r="AA226" s="189" t="e">
        <f t="shared" si="14"/>
        <v>#VALUE!</v>
      </c>
    </row>
    <row r="227" spans="1:27" x14ac:dyDescent="0.25">
      <c r="A227">
        <v>221500</v>
      </c>
      <c r="B227">
        <v>17031221500</v>
      </c>
      <c r="C227">
        <v>17031</v>
      </c>
      <c r="D227">
        <v>2010</v>
      </c>
      <c r="E227">
        <v>22</v>
      </c>
      <c r="F227">
        <v>3282111.6899449201</v>
      </c>
      <c r="G227" s="45">
        <v>0.11772955728969095</v>
      </c>
      <c r="H227" s="60" t="str">
        <f>_xlfn.IFNA(
INDEX('Community Areas'!B$2:B$78,MATCH($E227,'Community Areas'!$A$2:$A$78,0)),
"")</f>
        <v>LOGAN SQUARE</v>
      </c>
      <c r="I227" s="63" t="str">
        <f>_xlfn.IFNA(
INDEX('Community Areas'!C$2:C$78,MATCH($E227,'Community Areas'!$A$2:$A$78,0)),
"")</f>
        <v>2-B</v>
      </c>
      <c r="J227" s="63">
        <f>_xlfn.IFNA(
INDEX('Community Areas'!D$2:D$78,MATCH($E227,'Community Areas'!$A$2:$A$78,0)),
"")</f>
        <v>2</v>
      </c>
      <c r="K227" s="60" t="str">
        <f>_xlfn.IFNA(
INDEX('Community Areas'!E$2:E$78,MATCH($E227,'Community Areas'!$A$2:$A$78,0)),
"")</f>
        <v>NORTHWEST</v>
      </c>
      <c r="L227" s="17" t="e">
        <f>SUMIFS([1]ACSDT5Y2020.B08301_data_with_ov!AT$3:AT$1334,[1]ACSDT5Y2020.B08301_data_with_ov!$AS$3:$AS$1334,$B227)</f>
        <v>#VALUE!</v>
      </c>
      <c r="M227" s="17" t="e">
        <f>SUMIFS([1]ACSDT5Y2020.B08301_data_with_ov!AU$3:AU$1334,[1]ACSDT5Y2020.B08301_data_with_ov!$AS$3:$AS$1334,$B227)</f>
        <v>#VALUE!</v>
      </c>
      <c r="N227" s="17" t="e">
        <f>SUMIFS([1]ACSDT5Y2020.B08301_data_with_ov!AV$3:AV$1334,[1]ACSDT5Y2020.B08301_data_with_ov!$AS$3:$AS$1334,$B227)</f>
        <v>#VALUE!</v>
      </c>
      <c r="O227" s="17" t="e">
        <f>SUMIFS([1]ACSDT5Y2020.B08301_data_with_ov!AW$3:AW$1334,[1]ACSDT5Y2020.B08301_data_with_ov!$AS$3:$AS$1334,$B227)</f>
        <v>#VALUE!</v>
      </c>
      <c r="P227" s="17" t="e">
        <f>SUMIFS([1]ACSDT5Y2020.B08301_data_with_ov!AX$3:AX$1334,[1]ACSDT5Y2020.B08301_data_with_ov!$AS$3:$AS$1334,$B227)</f>
        <v>#VALUE!</v>
      </c>
      <c r="Q227" s="17" t="e">
        <f>SUMIFS([1]ACSDT5Y2020.B08301_data_with_ov!AY$3:AY$1334,[1]ACSDT5Y2020.B08301_data_with_ov!$AS$3:$AS$1334,$B227)</f>
        <v>#VALUE!</v>
      </c>
      <c r="R227" s="17" t="e">
        <f>SUMIFS([1]ACSDT5Y2020.B08301_data_with_ov!AZ$3:AZ$1334,[1]ACSDT5Y2020.B08301_data_with_ov!$AS$3:$AS$1334,$B227)</f>
        <v>#VALUE!</v>
      </c>
      <c r="S227" s="17" t="e">
        <f>SUMIFS([1]ACSDT5Y2020.B08301_data_with_ov!BA$3:BA$1334,[1]ACSDT5Y2020.B08301_data_with_ov!$AS$3:$AS$1334,$B227)</f>
        <v>#VALUE!</v>
      </c>
      <c r="T227" s="188">
        <v>0.11772955656519707</v>
      </c>
      <c r="U227" s="189" t="e">
        <f t="shared" si="15"/>
        <v>#VALUE!</v>
      </c>
      <c r="V227" s="188">
        <v>0.11772955656519707</v>
      </c>
      <c r="W227" s="189" t="e">
        <f t="shared" si="12"/>
        <v>#VALUE!</v>
      </c>
      <c r="X227" s="188">
        <v>0.11772955656519707</v>
      </c>
      <c r="Y227" s="189" t="e">
        <f t="shared" si="13"/>
        <v>#VALUE!</v>
      </c>
      <c r="Z227" s="188">
        <v>0.11772955656519707</v>
      </c>
      <c r="AA227" s="189" t="e">
        <f t="shared" si="14"/>
        <v>#VALUE!</v>
      </c>
    </row>
    <row r="228" spans="1:27" x14ac:dyDescent="0.25">
      <c r="A228">
        <v>832200</v>
      </c>
      <c r="B228">
        <v>17031832200</v>
      </c>
      <c r="C228">
        <v>17031</v>
      </c>
      <c r="D228">
        <v>2010</v>
      </c>
      <c r="E228">
        <v>22</v>
      </c>
      <c r="F228">
        <v>4271999.2073427998</v>
      </c>
      <c r="G228" s="45">
        <v>0.15323688616788625</v>
      </c>
      <c r="H228" s="60" t="str">
        <f>_xlfn.IFNA(
INDEX('Community Areas'!B$2:B$78,MATCH($E228,'Community Areas'!$A$2:$A$78,0)),
"")</f>
        <v>LOGAN SQUARE</v>
      </c>
      <c r="I228" s="63" t="str">
        <f>_xlfn.IFNA(
INDEX('Community Areas'!C$2:C$78,MATCH($E228,'Community Areas'!$A$2:$A$78,0)),
"")</f>
        <v>2-B</v>
      </c>
      <c r="J228" s="63">
        <f>_xlfn.IFNA(
INDEX('Community Areas'!D$2:D$78,MATCH($E228,'Community Areas'!$A$2:$A$78,0)),
"")</f>
        <v>2</v>
      </c>
      <c r="K228" s="60" t="str">
        <f>_xlfn.IFNA(
INDEX('Community Areas'!E$2:E$78,MATCH($E228,'Community Areas'!$A$2:$A$78,0)),
"")</f>
        <v>NORTHWEST</v>
      </c>
      <c r="L228" s="17" t="e">
        <f>SUMIFS([1]ACSDT5Y2020.B08301_data_with_ov!AT$3:AT$1334,[1]ACSDT5Y2020.B08301_data_with_ov!$AS$3:$AS$1334,$B228)</f>
        <v>#VALUE!</v>
      </c>
      <c r="M228" s="17" t="e">
        <f>SUMIFS([1]ACSDT5Y2020.B08301_data_with_ov!AU$3:AU$1334,[1]ACSDT5Y2020.B08301_data_with_ov!$AS$3:$AS$1334,$B228)</f>
        <v>#VALUE!</v>
      </c>
      <c r="N228" s="17" t="e">
        <f>SUMIFS([1]ACSDT5Y2020.B08301_data_with_ov!AV$3:AV$1334,[1]ACSDT5Y2020.B08301_data_with_ov!$AS$3:$AS$1334,$B228)</f>
        <v>#VALUE!</v>
      </c>
      <c r="O228" s="17" t="e">
        <f>SUMIFS([1]ACSDT5Y2020.B08301_data_with_ov!AW$3:AW$1334,[1]ACSDT5Y2020.B08301_data_with_ov!$AS$3:$AS$1334,$B228)</f>
        <v>#VALUE!</v>
      </c>
      <c r="P228" s="17" t="e">
        <f>SUMIFS([1]ACSDT5Y2020.B08301_data_with_ov!AX$3:AX$1334,[1]ACSDT5Y2020.B08301_data_with_ov!$AS$3:$AS$1334,$B228)</f>
        <v>#VALUE!</v>
      </c>
      <c r="Q228" s="17" t="e">
        <f>SUMIFS([1]ACSDT5Y2020.B08301_data_with_ov!AY$3:AY$1334,[1]ACSDT5Y2020.B08301_data_with_ov!$AS$3:$AS$1334,$B228)</f>
        <v>#VALUE!</v>
      </c>
      <c r="R228" s="17" t="e">
        <f>SUMIFS([1]ACSDT5Y2020.B08301_data_with_ov!AZ$3:AZ$1334,[1]ACSDT5Y2020.B08301_data_with_ov!$AS$3:$AS$1334,$B228)</f>
        <v>#VALUE!</v>
      </c>
      <c r="S228" s="17" t="e">
        <f>SUMIFS([1]ACSDT5Y2020.B08301_data_with_ov!BA$3:BA$1334,[1]ACSDT5Y2020.B08301_data_with_ov!$AS$3:$AS$1334,$B228)</f>
        <v>#VALUE!</v>
      </c>
      <c r="T228" s="188">
        <v>0.15323688766901722</v>
      </c>
      <c r="U228" s="189" t="e">
        <f t="shared" si="15"/>
        <v>#VALUE!</v>
      </c>
      <c r="V228" s="188">
        <v>0.15323688766901722</v>
      </c>
      <c r="W228" s="189" t="e">
        <f t="shared" si="12"/>
        <v>#VALUE!</v>
      </c>
      <c r="X228" s="188">
        <v>0.15323688766901722</v>
      </c>
      <c r="Y228" s="189" t="e">
        <f t="shared" si="13"/>
        <v>#VALUE!</v>
      </c>
      <c r="Z228" s="188">
        <v>0.15323688766901722</v>
      </c>
      <c r="AA228" s="189" t="e">
        <f t="shared" si="14"/>
        <v>#VALUE!</v>
      </c>
    </row>
    <row r="229" spans="1:27" x14ac:dyDescent="0.25">
      <c r="A229">
        <v>220300</v>
      </c>
      <c r="B229">
        <v>17031220300</v>
      </c>
      <c r="C229">
        <v>17031</v>
      </c>
      <c r="D229">
        <v>2010</v>
      </c>
      <c r="E229">
        <v>22</v>
      </c>
      <c r="F229">
        <v>3509629.21988955</v>
      </c>
      <c r="G229" s="45">
        <v>0.12589062571343942</v>
      </c>
      <c r="H229" s="60" t="str">
        <f>_xlfn.IFNA(
INDEX('Community Areas'!B$2:B$78,MATCH($E229,'Community Areas'!$A$2:$A$78,0)),
"")</f>
        <v>LOGAN SQUARE</v>
      </c>
      <c r="I229" s="63" t="str">
        <f>_xlfn.IFNA(
INDEX('Community Areas'!C$2:C$78,MATCH($E229,'Community Areas'!$A$2:$A$78,0)),
"")</f>
        <v>2-B</v>
      </c>
      <c r="J229" s="63">
        <f>_xlfn.IFNA(
INDEX('Community Areas'!D$2:D$78,MATCH($E229,'Community Areas'!$A$2:$A$78,0)),
"")</f>
        <v>2</v>
      </c>
      <c r="K229" s="60" t="str">
        <f>_xlfn.IFNA(
INDEX('Community Areas'!E$2:E$78,MATCH($E229,'Community Areas'!$A$2:$A$78,0)),
"")</f>
        <v>NORTHWEST</v>
      </c>
      <c r="L229" s="17" t="e">
        <f>SUMIFS([1]ACSDT5Y2020.B08301_data_with_ov!AT$3:AT$1334,[1]ACSDT5Y2020.B08301_data_with_ov!$AS$3:$AS$1334,$B229)</f>
        <v>#VALUE!</v>
      </c>
      <c r="M229" s="17" t="e">
        <f>SUMIFS([1]ACSDT5Y2020.B08301_data_with_ov!AU$3:AU$1334,[1]ACSDT5Y2020.B08301_data_with_ov!$AS$3:$AS$1334,$B229)</f>
        <v>#VALUE!</v>
      </c>
      <c r="N229" s="17" t="e">
        <f>SUMIFS([1]ACSDT5Y2020.B08301_data_with_ov!AV$3:AV$1334,[1]ACSDT5Y2020.B08301_data_with_ov!$AS$3:$AS$1334,$B229)</f>
        <v>#VALUE!</v>
      </c>
      <c r="O229" s="17" t="e">
        <f>SUMIFS([1]ACSDT5Y2020.B08301_data_with_ov!AW$3:AW$1334,[1]ACSDT5Y2020.B08301_data_with_ov!$AS$3:$AS$1334,$B229)</f>
        <v>#VALUE!</v>
      </c>
      <c r="P229" s="17" t="e">
        <f>SUMIFS([1]ACSDT5Y2020.B08301_data_with_ov!AX$3:AX$1334,[1]ACSDT5Y2020.B08301_data_with_ov!$AS$3:$AS$1334,$B229)</f>
        <v>#VALUE!</v>
      </c>
      <c r="Q229" s="17" t="e">
        <f>SUMIFS([1]ACSDT5Y2020.B08301_data_with_ov!AY$3:AY$1334,[1]ACSDT5Y2020.B08301_data_with_ov!$AS$3:$AS$1334,$B229)</f>
        <v>#VALUE!</v>
      </c>
      <c r="R229" s="17" t="e">
        <f>SUMIFS([1]ACSDT5Y2020.B08301_data_with_ov!AZ$3:AZ$1334,[1]ACSDT5Y2020.B08301_data_with_ov!$AS$3:$AS$1334,$B229)</f>
        <v>#VALUE!</v>
      </c>
      <c r="S229" s="17" t="e">
        <f>SUMIFS([1]ACSDT5Y2020.B08301_data_with_ov!BA$3:BA$1334,[1]ACSDT5Y2020.B08301_data_with_ov!$AS$3:$AS$1334,$B229)</f>
        <v>#VALUE!</v>
      </c>
      <c r="T229" s="188">
        <v>0.1258906271492557</v>
      </c>
      <c r="U229" s="189" t="e">
        <f t="shared" si="15"/>
        <v>#VALUE!</v>
      </c>
      <c r="V229" s="188">
        <v>0.1258906271492557</v>
      </c>
      <c r="W229" s="189" t="e">
        <f t="shared" si="12"/>
        <v>#VALUE!</v>
      </c>
      <c r="X229" s="188">
        <v>0.1258906271492557</v>
      </c>
      <c r="Y229" s="189" t="e">
        <f t="shared" si="13"/>
        <v>#VALUE!</v>
      </c>
      <c r="Z229" s="188">
        <v>0.1258906271492557</v>
      </c>
      <c r="AA229" s="189" t="e">
        <f t="shared" si="14"/>
        <v>#VALUE!</v>
      </c>
    </row>
    <row r="230" spans="1:27" x14ac:dyDescent="0.25">
      <c r="A230">
        <v>220601</v>
      </c>
      <c r="B230">
        <v>17031220601</v>
      </c>
      <c r="C230">
        <v>17031</v>
      </c>
      <c r="D230">
        <v>2010</v>
      </c>
      <c r="E230">
        <v>22</v>
      </c>
      <c r="F230">
        <v>2035241.3598060301</v>
      </c>
      <c r="G230" s="45">
        <v>7.3004238399837509E-2</v>
      </c>
      <c r="H230" s="60" t="str">
        <f>_xlfn.IFNA(
INDEX('Community Areas'!B$2:B$78,MATCH($E230,'Community Areas'!$A$2:$A$78,0)),
"")</f>
        <v>LOGAN SQUARE</v>
      </c>
      <c r="I230" s="63" t="str">
        <f>_xlfn.IFNA(
INDEX('Community Areas'!C$2:C$78,MATCH($E230,'Community Areas'!$A$2:$A$78,0)),
"")</f>
        <v>2-B</v>
      </c>
      <c r="J230" s="63">
        <f>_xlfn.IFNA(
INDEX('Community Areas'!D$2:D$78,MATCH($E230,'Community Areas'!$A$2:$A$78,0)),
"")</f>
        <v>2</v>
      </c>
      <c r="K230" s="60" t="str">
        <f>_xlfn.IFNA(
INDEX('Community Areas'!E$2:E$78,MATCH($E230,'Community Areas'!$A$2:$A$78,0)),
"")</f>
        <v>NORTHWEST</v>
      </c>
      <c r="L230" s="17" t="e">
        <f>SUMIFS([1]ACSDT5Y2020.B08301_data_with_ov!AT$3:AT$1334,[1]ACSDT5Y2020.B08301_data_with_ov!$AS$3:$AS$1334,$B230)</f>
        <v>#VALUE!</v>
      </c>
      <c r="M230" s="17" t="e">
        <f>SUMIFS([1]ACSDT5Y2020.B08301_data_with_ov!AU$3:AU$1334,[1]ACSDT5Y2020.B08301_data_with_ov!$AS$3:$AS$1334,$B230)</f>
        <v>#VALUE!</v>
      </c>
      <c r="N230" s="17" t="e">
        <f>SUMIFS([1]ACSDT5Y2020.B08301_data_with_ov!AV$3:AV$1334,[1]ACSDT5Y2020.B08301_data_with_ov!$AS$3:$AS$1334,$B230)</f>
        <v>#VALUE!</v>
      </c>
      <c r="O230" s="17" t="e">
        <f>SUMIFS([1]ACSDT5Y2020.B08301_data_with_ov!AW$3:AW$1334,[1]ACSDT5Y2020.B08301_data_with_ov!$AS$3:$AS$1334,$B230)</f>
        <v>#VALUE!</v>
      </c>
      <c r="P230" s="17" t="e">
        <f>SUMIFS([1]ACSDT5Y2020.B08301_data_with_ov!AX$3:AX$1334,[1]ACSDT5Y2020.B08301_data_with_ov!$AS$3:$AS$1334,$B230)</f>
        <v>#VALUE!</v>
      </c>
      <c r="Q230" s="17" t="e">
        <f>SUMIFS([1]ACSDT5Y2020.B08301_data_with_ov!AY$3:AY$1334,[1]ACSDT5Y2020.B08301_data_with_ov!$AS$3:$AS$1334,$B230)</f>
        <v>#VALUE!</v>
      </c>
      <c r="R230" s="17" t="e">
        <f>SUMIFS([1]ACSDT5Y2020.B08301_data_with_ov!AZ$3:AZ$1334,[1]ACSDT5Y2020.B08301_data_with_ov!$AS$3:$AS$1334,$B230)</f>
        <v>#VALUE!</v>
      </c>
      <c r="S230" s="17" t="e">
        <f>SUMIFS([1]ACSDT5Y2020.B08301_data_with_ov!BA$3:BA$1334,[1]ACSDT5Y2020.B08301_data_with_ov!$AS$3:$AS$1334,$B230)</f>
        <v>#VALUE!</v>
      </c>
      <c r="T230" s="188">
        <v>7.3004239211466579E-2</v>
      </c>
      <c r="U230" s="189" t="e">
        <f t="shared" si="15"/>
        <v>#VALUE!</v>
      </c>
      <c r="V230" s="188">
        <v>7.2802052297747361E-2</v>
      </c>
      <c r="W230" s="189" t="e">
        <f t="shared" si="12"/>
        <v>#VALUE!</v>
      </c>
      <c r="X230" s="188">
        <v>7.2802052297747361E-2</v>
      </c>
      <c r="Y230" s="189" t="e">
        <f t="shared" si="13"/>
        <v>#VALUE!</v>
      </c>
      <c r="Z230" s="188">
        <v>7.2802052297747361E-2</v>
      </c>
      <c r="AA230" s="189" t="e">
        <f t="shared" si="14"/>
        <v>#VALUE!</v>
      </c>
    </row>
    <row r="231" spans="1:27" x14ac:dyDescent="0.25">
      <c r="A231">
        <v>222700</v>
      </c>
      <c r="B231">
        <v>17031222700</v>
      </c>
      <c r="C231">
        <v>17031</v>
      </c>
      <c r="D231">
        <v>2010</v>
      </c>
      <c r="E231">
        <v>22</v>
      </c>
      <c r="F231">
        <v>2430723.0992560298</v>
      </c>
      <c r="G231" s="45">
        <v>8.7190193815141107E-2</v>
      </c>
      <c r="H231" s="60" t="str">
        <f>_xlfn.IFNA(
INDEX('Community Areas'!B$2:B$78,MATCH($E231,'Community Areas'!$A$2:$A$78,0)),
"")</f>
        <v>LOGAN SQUARE</v>
      </c>
      <c r="I231" s="63" t="str">
        <f>_xlfn.IFNA(
INDEX('Community Areas'!C$2:C$78,MATCH($E231,'Community Areas'!$A$2:$A$78,0)),
"")</f>
        <v>2-B</v>
      </c>
      <c r="J231" s="63">
        <f>_xlfn.IFNA(
INDEX('Community Areas'!D$2:D$78,MATCH($E231,'Community Areas'!$A$2:$A$78,0)),
"")</f>
        <v>2</v>
      </c>
      <c r="K231" s="60" t="str">
        <f>_xlfn.IFNA(
INDEX('Community Areas'!E$2:E$78,MATCH($E231,'Community Areas'!$A$2:$A$78,0)),
"")</f>
        <v>NORTHWEST</v>
      </c>
      <c r="L231" s="17" t="e">
        <f>SUMIFS([1]ACSDT5Y2020.B08301_data_with_ov!AT$3:AT$1334,[1]ACSDT5Y2020.B08301_data_with_ov!$AS$3:$AS$1334,$B231)</f>
        <v>#VALUE!</v>
      </c>
      <c r="M231" s="17" t="e">
        <f>SUMIFS([1]ACSDT5Y2020.B08301_data_with_ov!AU$3:AU$1334,[1]ACSDT5Y2020.B08301_data_with_ov!$AS$3:$AS$1334,$B231)</f>
        <v>#VALUE!</v>
      </c>
      <c r="N231" s="17" t="e">
        <f>SUMIFS([1]ACSDT5Y2020.B08301_data_with_ov!AV$3:AV$1334,[1]ACSDT5Y2020.B08301_data_with_ov!$AS$3:$AS$1334,$B231)</f>
        <v>#VALUE!</v>
      </c>
      <c r="O231" s="17" t="e">
        <f>SUMIFS([1]ACSDT5Y2020.B08301_data_with_ov!AW$3:AW$1334,[1]ACSDT5Y2020.B08301_data_with_ov!$AS$3:$AS$1334,$B231)</f>
        <v>#VALUE!</v>
      </c>
      <c r="P231" s="17" t="e">
        <f>SUMIFS([1]ACSDT5Y2020.B08301_data_with_ov!AX$3:AX$1334,[1]ACSDT5Y2020.B08301_data_with_ov!$AS$3:$AS$1334,$B231)</f>
        <v>#VALUE!</v>
      </c>
      <c r="Q231" s="17" t="e">
        <f>SUMIFS([1]ACSDT5Y2020.B08301_data_with_ov!AY$3:AY$1334,[1]ACSDT5Y2020.B08301_data_with_ov!$AS$3:$AS$1334,$B231)</f>
        <v>#VALUE!</v>
      </c>
      <c r="R231" s="17" t="e">
        <f>SUMIFS([1]ACSDT5Y2020.B08301_data_with_ov!AZ$3:AZ$1334,[1]ACSDT5Y2020.B08301_data_with_ov!$AS$3:$AS$1334,$B231)</f>
        <v>#VALUE!</v>
      </c>
      <c r="S231" s="17" t="e">
        <f>SUMIFS([1]ACSDT5Y2020.B08301_data_with_ov!BA$3:BA$1334,[1]ACSDT5Y2020.B08301_data_with_ov!$AS$3:$AS$1334,$B231)</f>
        <v>#VALUE!</v>
      </c>
      <c r="T231" s="188">
        <v>8.7190190570111265E-2</v>
      </c>
      <c r="U231" s="189" t="e">
        <f t="shared" si="15"/>
        <v>#VALUE!</v>
      </c>
      <c r="V231" s="188">
        <v>8.7190190570111265E-2</v>
      </c>
      <c r="W231" s="189" t="e">
        <f t="shared" si="12"/>
        <v>#VALUE!</v>
      </c>
      <c r="X231" s="188">
        <v>8.7190190570111265E-2</v>
      </c>
      <c r="Y231" s="189" t="e">
        <f t="shared" si="13"/>
        <v>#VALUE!</v>
      </c>
      <c r="Z231" s="188">
        <v>8.7190190570111265E-2</v>
      </c>
      <c r="AA231" s="189" t="e">
        <f t="shared" si="14"/>
        <v>#VALUE!</v>
      </c>
    </row>
    <row r="232" spans="1:27" x14ac:dyDescent="0.25">
      <c r="A232">
        <v>222600</v>
      </c>
      <c r="B232">
        <v>17031222600</v>
      </c>
      <c r="C232">
        <v>17031</v>
      </c>
      <c r="D232">
        <v>2010</v>
      </c>
      <c r="E232">
        <v>22</v>
      </c>
      <c r="F232">
        <v>1750654.8526399101</v>
      </c>
      <c r="G232" s="45">
        <v>6.2796102094808529E-2</v>
      </c>
      <c r="H232" s="60" t="str">
        <f>_xlfn.IFNA(
INDEX('Community Areas'!B$2:B$78,MATCH($E232,'Community Areas'!$A$2:$A$78,0)),
"")</f>
        <v>LOGAN SQUARE</v>
      </c>
      <c r="I232" s="63" t="str">
        <f>_xlfn.IFNA(
INDEX('Community Areas'!C$2:C$78,MATCH($E232,'Community Areas'!$A$2:$A$78,0)),
"")</f>
        <v>2-B</v>
      </c>
      <c r="J232" s="63">
        <f>_xlfn.IFNA(
INDEX('Community Areas'!D$2:D$78,MATCH($E232,'Community Areas'!$A$2:$A$78,0)),
"")</f>
        <v>2</v>
      </c>
      <c r="K232" s="60" t="str">
        <f>_xlfn.IFNA(
INDEX('Community Areas'!E$2:E$78,MATCH($E232,'Community Areas'!$A$2:$A$78,0)),
"")</f>
        <v>NORTHWEST</v>
      </c>
      <c r="L232" s="17" t="e">
        <f>SUMIFS([1]ACSDT5Y2020.B08301_data_with_ov!AT$3:AT$1334,[1]ACSDT5Y2020.B08301_data_with_ov!$AS$3:$AS$1334,$B232)</f>
        <v>#VALUE!</v>
      </c>
      <c r="M232" s="17" t="e">
        <f>SUMIFS([1]ACSDT5Y2020.B08301_data_with_ov!AU$3:AU$1334,[1]ACSDT5Y2020.B08301_data_with_ov!$AS$3:$AS$1334,$B232)</f>
        <v>#VALUE!</v>
      </c>
      <c r="N232" s="17" t="e">
        <f>SUMIFS([1]ACSDT5Y2020.B08301_data_with_ov!AV$3:AV$1334,[1]ACSDT5Y2020.B08301_data_with_ov!$AS$3:$AS$1334,$B232)</f>
        <v>#VALUE!</v>
      </c>
      <c r="O232" s="17" t="e">
        <f>SUMIFS([1]ACSDT5Y2020.B08301_data_with_ov!AW$3:AW$1334,[1]ACSDT5Y2020.B08301_data_with_ov!$AS$3:$AS$1334,$B232)</f>
        <v>#VALUE!</v>
      </c>
      <c r="P232" s="17" t="e">
        <f>SUMIFS([1]ACSDT5Y2020.B08301_data_with_ov!AX$3:AX$1334,[1]ACSDT5Y2020.B08301_data_with_ov!$AS$3:$AS$1334,$B232)</f>
        <v>#VALUE!</v>
      </c>
      <c r="Q232" s="17" t="e">
        <f>SUMIFS([1]ACSDT5Y2020.B08301_data_with_ov!AY$3:AY$1334,[1]ACSDT5Y2020.B08301_data_with_ov!$AS$3:$AS$1334,$B232)</f>
        <v>#VALUE!</v>
      </c>
      <c r="R232" s="17" t="e">
        <f>SUMIFS([1]ACSDT5Y2020.B08301_data_with_ov!AZ$3:AZ$1334,[1]ACSDT5Y2020.B08301_data_with_ov!$AS$3:$AS$1334,$B232)</f>
        <v>#VALUE!</v>
      </c>
      <c r="S232" s="17" t="e">
        <f>SUMIFS([1]ACSDT5Y2020.B08301_data_with_ov!BA$3:BA$1334,[1]ACSDT5Y2020.B08301_data_with_ov!$AS$3:$AS$1334,$B232)</f>
        <v>#VALUE!</v>
      </c>
      <c r="T232" s="188">
        <v>6.2796105332690547E-2</v>
      </c>
      <c r="U232" s="189" t="e">
        <f t="shared" si="15"/>
        <v>#VALUE!</v>
      </c>
      <c r="V232" s="188">
        <v>6.2796105332690547E-2</v>
      </c>
      <c r="W232" s="189" t="e">
        <f t="shared" si="12"/>
        <v>#VALUE!</v>
      </c>
      <c r="X232" s="188">
        <v>6.2796105332690547E-2</v>
      </c>
      <c r="Y232" s="189" t="e">
        <f t="shared" si="13"/>
        <v>#VALUE!</v>
      </c>
      <c r="Z232" s="188">
        <v>6.2796105332690547E-2</v>
      </c>
      <c r="AA232" s="189" t="e">
        <f t="shared" si="14"/>
        <v>#VALUE!</v>
      </c>
    </row>
    <row r="233" spans="1:27" x14ac:dyDescent="0.25">
      <c r="A233">
        <v>230700</v>
      </c>
      <c r="B233">
        <v>17031230700</v>
      </c>
      <c r="C233">
        <v>17031</v>
      </c>
      <c r="D233">
        <v>2010</v>
      </c>
      <c r="E233">
        <v>23</v>
      </c>
      <c r="F233">
        <v>6970913.4225766696</v>
      </c>
      <c r="G233" s="45">
        <v>0.25004711255225082</v>
      </c>
      <c r="H233" s="60" t="str">
        <f>_xlfn.IFNA(
INDEX('Community Areas'!B$2:B$78,MATCH($E233,'Community Areas'!$A$2:$A$78,0)),
"")</f>
        <v>HUMBOLDT PARK</v>
      </c>
      <c r="I233" s="63" t="str">
        <f>_xlfn.IFNA(
INDEX('Community Areas'!C$2:C$78,MATCH($E233,'Community Areas'!$A$2:$A$78,0)),
"")</f>
        <v>3-A</v>
      </c>
      <c r="J233" s="63">
        <f>_xlfn.IFNA(
INDEX('Community Areas'!D$2:D$78,MATCH($E233,'Community Areas'!$A$2:$A$78,0)),
"")</f>
        <v>3</v>
      </c>
      <c r="K233" s="60" t="str">
        <f>_xlfn.IFNA(
INDEX('Community Areas'!E$2:E$78,MATCH($E233,'Community Areas'!$A$2:$A$78,0)),
"")</f>
        <v>WEST</v>
      </c>
      <c r="L233" s="17" t="e">
        <f>SUMIFS([1]ACSDT5Y2020.B08301_data_with_ov!AT$3:AT$1334,[1]ACSDT5Y2020.B08301_data_with_ov!$AS$3:$AS$1334,$B233)</f>
        <v>#VALUE!</v>
      </c>
      <c r="M233" s="17" t="e">
        <f>SUMIFS([1]ACSDT5Y2020.B08301_data_with_ov!AU$3:AU$1334,[1]ACSDT5Y2020.B08301_data_with_ov!$AS$3:$AS$1334,$B233)</f>
        <v>#VALUE!</v>
      </c>
      <c r="N233" s="17" t="e">
        <f>SUMIFS([1]ACSDT5Y2020.B08301_data_with_ov!AV$3:AV$1334,[1]ACSDT5Y2020.B08301_data_with_ov!$AS$3:$AS$1334,$B233)</f>
        <v>#VALUE!</v>
      </c>
      <c r="O233" s="17" t="e">
        <f>SUMIFS([1]ACSDT5Y2020.B08301_data_with_ov!AW$3:AW$1334,[1]ACSDT5Y2020.B08301_data_with_ov!$AS$3:$AS$1334,$B233)</f>
        <v>#VALUE!</v>
      </c>
      <c r="P233" s="17" t="e">
        <f>SUMIFS([1]ACSDT5Y2020.B08301_data_with_ov!AX$3:AX$1334,[1]ACSDT5Y2020.B08301_data_with_ov!$AS$3:$AS$1334,$B233)</f>
        <v>#VALUE!</v>
      </c>
      <c r="Q233" s="17" t="e">
        <f>SUMIFS([1]ACSDT5Y2020.B08301_data_with_ov!AY$3:AY$1334,[1]ACSDT5Y2020.B08301_data_with_ov!$AS$3:$AS$1334,$B233)</f>
        <v>#VALUE!</v>
      </c>
      <c r="R233" s="17" t="e">
        <f>SUMIFS([1]ACSDT5Y2020.B08301_data_with_ov!AZ$3:AZ$1334,[1]ACSDT5Y2020.B08301_data_with_ov!$AS$3:$AS$1334,$B233)</f>
        <v>#VALUE!</v>
      </c>
      <c r="S233" s="17" t="e">
        <f>SUMIFS([1]ACSDT5Y2020.B08301_data_with_ov!BA$3:BA$1334,[1]ACSDT5Y2020.B08301_data_with_ov!$AS$3:$AS$1334,$B233)</f>
        <v>#VALUE!</v>
      </c>
      <c r="T233" s="188">
        <v>0.18321111781249244</v>
      </c>
      <c r="U233" s="189" t="e">
        <f t="shared" si="15"/>
        <v>#VALUE!</v>
      </c>
      <c r="V233" s="188">
        <v>0.18321111781249244</v>
      </c>
      <c r="W233" s="189" t="e">
        <f t="shared" si="12"/>
        <v>#VALUE!</v>
      </c>
      <c r="X233" s="188">
        <v>0.18321111781249244</v>
      </c>
      <c r="Y233" s="189" t="e">
        <f t="shared" si="13"/>
        <v>#VALUE!</v>
      </c>
      <c r="Z233" s="188">
        <v>0.18321111781249244</v>
      </c>
      <c r="AA233" s="189" t="e">
        <f t="shared" si="14"/>
        <v>#VALUE!</v>
      </c>
    </row>
    <row r="234" spans="1:27" x14ac:dyDescent="0.25">
      <c r="A234">
        <v>230900</v>
      </c>
      <c r="B234">
        <v>17031230900</v>
      </c>
      <c r="C234">
        <v>17031</v>
      </c>
      <c r="D234">
        <v>2010</v>
      </c>
      <c r="E234">
        <v>23</v>
      </c>
      <c r="F234">
        <v>4850302.3169136904</v>
      </c>
      <c r="G234" s="45">
        <v>0.17398065588102943</v>
      </c>
      <c r="H234" s="60" t="str">
        <f>_xlfn.IFNA(
INDEX('Community Areas'!B$2:B$78,MATCH($E234,'Community Areas'!$A$2:$A$78,0)),
"")</f>
        <v>HUMBOLDT PARK</v>
      </c>
      <c r="I234" s="63" t="str">
        <f>_xlfn.IFNA(
INDEX('Community Areas'!C$2:C$78,MATCH($E234,'Community Areas'!$A$2:$A$78,0)),
"")</f>
        <v>3-A</v>
      </c>
      <c r="J234" s="63">
        <f>_xlfn.IFNA(
INDEX('Community Areas'!D$2:D$78,MATCH($E234,'Community Areas'!$A$2:$A$78,0)),
"")</f>
        <v>3</v>
      </c>
      <c r="K234" s="60" t="str">
        <f>_xlfn.IFNA(
INDEX('Community Areas'!E$2:E$78,MATCH($E234,'Community Areas'!$A$2:$A$78,0)),
"")</f>
        <v>WEST</v>
      </c>
      <c r="L234" s="17" t="e">
        <f>SUMIFS([1]ACSDT5Y2020.B08301_data_with_ov!AT$3:AT$1334,[1]ACSDT5Y2020.B08301_data_with_ov!$AS$3:$AS$1334,$B234)</f>
        <v>#VALUE!</v>
      </c>
      <c r="M234" s="17" t="e">
        <f>SUMIFS([1]ACSDT5Y2020.B08301_data_with_ov!AU$3:AU$1334,[1]ACSDT5Y2020.B08301_data_with_ov!$AS$3:$AS$1334,$B234)</f>
        <v>#VALUE!</v>
      </c>
      <c r="N234" s="17" t="e">
        <f>SUMIFS([1]ACSDT5Y2020.B08301_data_with_ov!AV$3:AV$1334,[1]ACSDT5Y2020.B08301_data_with_ov!$AS$3:$AS$1334,$B234)</f>
        <v>#VALUE!</v>
      </c>
      <c r="O234" s="17" t="e">
        <f>SUMIFS([1]ACSDT5Y2020.B08301_data_with_ov!AW$3:AW$1334,[1]ACSDT5Y2020.B08301_data_with_ov!$AS$3:$AS$1334,$B234)</f>
        <v>#VALUE!</v>
      </c>
      <c r="P234" s="17" t="e">
        <f>SUMIFS([1]ACSDT5Y2020.B08301_data_with_ov!AX$3:AX$1334,[1]ACSDT5Y2020.B08301_data_with_ov!$AS$3:$AS$1334,$B234)</f>
        <v>#VALUE!</v>
      </c>
      <c r="Q234" s="17" t="e">
        <f>SUMIFS([1]ACSDT5Y2020.B08301_data_with_ov!AY$3:AY$1334,[1]ACSDT5Y2020.B08301_data_with_ov!$AS$3:$AS$1334,$B234)</f>
        <v>#VALUE!</v>
      </c>
      <c r="R234" s="17" t="e">
        <f>SUMIFS([1]ACSDT5Y2020.B08301_data_with_ov!AZ$3:AZ$1334,[1]ACSDT5Y2020.B08301_data_with_ov!$AS$3:$AS$1334,$B234)</f>
        <v>#VALUE!</v>
      </c>
      <c r="S234" s="17" t="e">
        <f>SUMIFS([1]ACSDT5Y2020.B08301_data_with_ov!BA$3:BA$1334,[1]ACSDT5Y2020.B08301_data_with_ov!$AS$3:$AS$1334,$B234)</f>
        <v>#VALUE!</v>
      </c>
      <c r="T234" s="188">
        <v>0.17398065468765067</v>
      </c>
      <c r="U234" s="189" t="e">
        <f t="shared" si="15"/>
        <v>#VALUE!</v>
      </c>
      <c r="V234" s="188">
        <v>0.17398065468765067</v>
      </c>
      <c r="W234" s="189" t="e">
        <f t="shared" si="12"/>
        <v>#VALUE!</v>
      </c>
      <c r="X234" s="188">
        <v>0.17398065468765067</v>
      </c>
      <c r="Y234" s="189" t="e">
        <f t="shared" si="13"/>
        <v>#VALUE!</v>
      </c>
      <c r="Z234" s="188">
        <v>0.17398065468765067</v>
      </c>
      <c r="AA234" s="189" t="e">
        <f t="shared" si="14"/>
        <v>#VALUE!</v>
      </c>
    </row>
    <row r="235" spans="1:27" x14ac:dyDescent="0.25">
      <c r="A235">
        <v>231200</v>
      </c>
      <c r="B235">
        <v>17031231200</v>
      </c>
      <c r="C235">
        <v>17031</v>
      </c>
      <c r="D235">
        <v>2010</v>
      </c>
      <c r="E235">
        <v>23</v>
      </c>
      <c r="F235">
        <v>7068625.9737795303</v>
      </c>
      <c r="G235" s="45">
        <v>0.2535520680447777</v>
      </c>
      <c r="H235" s="60" t="str">
        <f>_xlfn.IFNA(
INDEX('Community Areas'!B$2:B$78,MATCH($E235,'Community Areas'!$A$2:$A$78,0)),
"")</f>
        <v>HUMBOLDT PARK</v>
      </c>
      <c r="I235" s="63" t="str">
        <f>_xlfn.IFNA(
INDEX('Community Areas'!C$2:C$78,MATCH($E235,'Community Areas'!$A$2:$A$78,0)),
"")</f>
        <v>3-A</v>
      </c>
      <c r="J235" s="63">
        <f>_xlfn.IFNA(
INDEX('Community Areas'!D$2:D$78,MATCH($E235,'Community Areas'!$A$2:$A$78,0)),
"")</f>
        <v>3</v>
      </c>
      <c r="K235" s="60" t="str">
        <f>_xlfn.IFNA(
INDEX('Community Areas'!E$2:E$78,MATCH($E235,'Community Areas'!$A$2:$A$78,0)),
"")</f>
        <v>WEST</v>
      </c>
      <c r="L235" s="17" t="e">
        <f>SUMIFS([1]ACSDT5Y2020.B08301_data_with_ov!AT$3:AT$1334,[1]ACSDT5Y2020.B08301_data_with_ov!$AS$3:$AS$1334,$B235)</f>
        <v>#VALUE!</v>
      </c>
      <c r="M235" s="17" t="e">
        <f>SUMIFS([1]ACSDT5Y2020.B08301_data_with_ov!AU$3:AU$1334,[1]ACSDT5Y2020.B08301_data_with_ov!$AS$3:$AS$1334,$B235)</f>
        <v>#VALUE!</v>
      </c>
      <c r="N235" s="17" t="e">
        <f>SUMIFS([1]ACSDT5Y2020.B08301_data_with_ov!AV$3:AV$1334,[1]ACSDT5Y2020.B08301_data_with_ov!$AS$3:$AS$1334,$B235)</f>
        <v>#VALUE!</v>
      </c>
      <c r="O235" s="17" t="e">
        <f>SUMIFS([1]ACSDT5Y2020.B08301_data_with_ov!AW$3:AW$1334,[1]ACSDT5Y2020.B08301_data_with_ov!$AS$3:$AS$1334,$B235)</f>
        <v>#VALUE!</v>
      </c>
      <c r="P235" s="17" t="e">
        <f>SUMIFS([1]ACSDT5Y2020.B08301_data_with_ov!AX$3:AX$1334,[1]ACSDT5Y2020.B08301_data_with_ov!$AS$3:$AS$1334,$B235)</f>
        <v>#VALUE!</v>
      </c>
      <c r="Q235" s="17" t="e">
        <f>SUMIFS([1]ACSDT5Y2020.B08301_data_with_ov!AY$3:AY$1334,[1]ACSDT5Y2020.B08301_data_with_ov!$AS$3:$AS$1334,$B235)</f>
        <v>#VALUE!</v>
      </c>
      <c r="R235" s="17" t="e">
        <f>SUMIFS([1]ACSDT5Y2020.B08301_data_with_ov!AZ$3:AZ$1334,[1]ACSDT5Y2020.B08301_data_with_ov!$AS$3:$AS$1334,$B235)</f>
        <v>#VALUE!</v>
      </c>
      <c r="S235" s="17" t="e">
        <f>SUMIFS([1]ACSDT5Y2020.B08301_data_with_ov!BA$3:BA$1334,[1]ACSDT5Y2020.B08301_data_with_ov!$AS$3:$AS$1334,$B235)</f>
        <v>#VALUE!</v>
      </c>
      <c r="T235" s="188">
        <v>0.24070615060400777</v>
      </c>
      <c r="U235" s="189" t="e">
        <f t="shared" si="15"/>
        <v>#VALUE!</v>
      </c>
      <c r="V235" s="188">
        <v>0.24070615060400777</v>
      </c>
      <c r="W235" s="189" t="e">
        <f t="shared" si="12"/>
        <v>#VALUE!</v>
      </c>
      <c r="X235" s="188">
        <v>0.24070615060400777</v>
      </c>
      <c r="Y235" s="189" t="e">
        <f t="shared" si="13"/>
        <v>#VALUE!</v>
      </c>
      <c r="Z235" s="188">
        <v>0.24070615060400777</v>
      </c>
      <c r="AA235" s="189" t="e">
        <f t="shared" si="14"/>
        <v>#VALUE!</v>
      </c>
    </row>
    <row r="236" spans="1:27" x14ac:dyDescent="0.25">
      <c r="A236">
        <v>842100</v>
      </c>
      <c r="B236">
        <v>17031842100</v>
      </c>
      <c r="C236">
        <v>17031</v>
      </c>
      <c r="D236">
        <v>2010</v>
      </c>
      <c r="E236">
        <v>23</v>
      </c>
      <c r="F236">
        <v>21623848.355086401</v>
      </c>
      <c r="G236" s="45">
        <v>0.77564883045965338</v>
      </c>
      <c r="H236" s="60" t="str">
        <f>_xlfn.IFNA(
INDEX('Community Areas'!B$2:B$78,MATCH($E236,'Community Areas'!$A$2:$A$78,0)),
"")</f>
        <v>HUMBOLDT PARK</v>
      </c>
      <c r="I236" s="63" t="str">
        <f>_xlfn.IFNA(
INDEX('Community Areas'!C$2:C$78,MATCH($E236,'Community Areas'!$A$2:$A$78,0)),
"")</f>
        <v>3-A</v>
      </c>
      <c r="J236" s="63">
        <f>_xlfn.IFNA(
INDEX('Community Areas'!D$2:D$78,MATCH($E236,'Community Areas'!$A$2:$A$78,0)),
"")</f>
        <v>3</v>
      </c>
      <c r="K236" s="60" t="str">
        <f>_xlfn.IFNA(
INDEX('Community Areas'!E$2:E$78,MATCH($E236,'Community Areas'!$A$2:$A$78,0)),
"")</f>
        <v>WEST</v>
      </c>
      <c r="L236" s="17" t="e">
        <f>SUMIFS([1]ACSDT5Y2020.B08301_data_with_ov!AT$3:AT$1334,[1]ACSDT5Y2020.B08301_data_with_ov!$AS$3:$AS$1334,$B236)</f>
        <v>#VALUE!</v>
      </c>
      <c r="M236" s="17" t="e">
        <f>SUMIFS([1]ACSDT5Y2020.B08301_data_with_ov!AU$3:AU$1334,[1]ACSDT5Y2020.B08301_data_with_ov!$AS$3:$AS$1334,$B236)</f>
        <v>#VALUE!</v>
      </c>
      <c r="N236" s="17" t="e">
        <f>SUMIFS([1]ACSDT5Y2020.B08301_data_with_ov!AV$3:AV$1334,[1]ACSDT5Y2020.B08301_data_with_ov!$AS$3:$AS$1334,$B236)</f>
        <v>#VALUE!</v>
      </c>
      <c r="O236" s="17" t="e">
        <f>SUMIFS([1]ACSDT5Y2020.B08301_data_with_ov!AW$3:AW$1334,[1]ACSDT5Y2020.B08301_data_with_ov!$AS$3:$AS$1334,$B236)</f>
        <v>#VALUE!</v>
      </c>
      <c r="P236" s="17" t="e">
        <f>SUMIFS([1]ACSDT5Y2020.B08301_data_with_ov!AX$3:AX$1334,[1]ACSDT5Y2020.B08301_data_with_ov!$AS$3:$AS$1334,$B236)</f>
        <v>#VALUE!</v>
      </c>
      <c r="Q236" s="17" t="e">
        <f>SUMIFS([1]ACSDT5Y2020.B08301_data_with_ov!AY$3:AY$1334,[1]ACSDT5Y2020.B08301_data_with_ov!$AS$3:$AS$1334,$B236)</f>
        <v>#VALUE!</v>
      </c>
      <c r="R236" s="17" t="e">
        <f>SUMIFS([1]ACSDT5Y2020.B08301_data_with_ov!AZ$3:AZ$1334,[1]ACSDT5Y2020.B08301_data_with_ov!$AS$3:$AS$1334,$B236)</f>
        <v>#VALUE!</v>
      </c>
      <c r="S236" s="17" t="e">
        <f>SUMIFS([1]ACSDT5Y2020.B08301_data_with_ov!BA$3:BA$1334,[1]ACSDT5Y2020.B08301_data_with_ov!$AS$3:$AS$1334,$B236)</f>
        <v>#VALUE!</v>
      </c>
      <c r="T236" s="188">
        <v>0.27565217797348918</v>
      </c>
      <c r="U236" s="189" t="e">
        <f t="shared" si="15"/>
        <v>#VALUE!</v>
      </c>
      <c r="V236" s="188">
        <v>0.27565217797348918</v>
      </c>
      <c r="W236" s="189" t="e">
        <f t="shared" si="12"/>
        <v>#VALUE!</v>
      </c>
      <c r="X236" s="188">
        <v>0.27565217797348918</v>
      </c>
      <c r="Y236" s="189" t="e">
        <f t="shared" si="13"/>
        <v>#VALUE!</v>
      </c>
      <c r="Z236" s="188">
        <v>0.27565217797348918</v>
      </c>
      <c r="AA236" s="189" t="e">
        <f t="shared" si="14"/>
        <v>#VALUE!</v>
      </c>
    </row>
    <row r="237" spans="1:27" x14ac:dyDescent="0.25">
      <c r="A237">
        <v>230600</v>
      </c>
      <c r="B237">
        <v>17031230600</v>
      </c>
      <c r="C237">
        <v>17031</v>
      </c>
      <c r="D237">
        <v>2010</v>
      </c>
      <c r="E237">
        <v>23</v>
      </c>
      <c r="F237">
        <v>10690725.019616401</v>
      </c>
      <c r="G237" s="45">
        <v>0.3834769936444129</v>
      </c>
      <c r="H237" s="60" t="str">
        <f>_xlfn.IFNA(
INDEX('Community Areas'!B$2:B$78,MATCH($E237,'Community Areas'!$A$2:$A$78,0)),
"")</f>
        <v>HUMBOLDT PARK</v>
      </c>
      <c r="I237" s="63" t="str">
        <f>_xlfn.IFNA(
INDEX('Community Areas'!C$2:C$78,MATCH($E237,'Community Areas'!$A$2:$A$78,0)),
"")</f>
        <v>3-A</v>
      </c>
      <c r="J237" s="63">
        <f>_xlfn.IFNA(
INDEX('Community Areas'!D$2:D$78,MATCH($E237,'Community Areas'!$A$2:$A$78,0)),
"")</f>
        <v>3</v>
      </c>
      <c r="K237" s="60" t="str">
        <f>_xlfn.IFNA(
INDEX('Community Areas'!E$2:E$78,MATCH($E237,'Community Areas'!$A$2:$A$78,0)),
"")</f>
        <v>WEST</v>
      </c>
      <c r="L237" s="17" t="e">
        <f>SUMIFS([1]ACSDT5Y2020.B08301_data_with_ov!AT$3:AT$1334,[1]ACSDT5Y2020.B08301_data_with_ov!$AS$3:$AS$1334,$B237)</f>
        <v>#VALUE!</v>
      </c>
      <c r="M237" s="17" t="e">
        <f>SUMIFS([1]ACSDT5Y2020.B08301_data_with_ov!AU$3:AU$1334,[1]ACSDT5Y2020.B08301_data_with_ov!$AS$3:$AS$1334,$B237)</f>
        <v>#VALUE!</v>
      </c>
      <c r="N237" s="17" t="e">
        <f>SUMIFS([1]ACSDT5Y2020.B08301_data_with_ov!AV$3:AV$1334,[1]ACSDT5Y2020.B08301_data_with_ov!$AS$3:$AS$1334,$B237)</f>
        <v>#VALUE!</v>
      </c>
      <c r="O237" s="17" t="e">
        <f>SUMIFS([1]ACSDT5Y2020.B08301_data_with_ov!AW$3:AW$1334,[1]ACSDT5Y2020.B08301_data_with_ov!$AS$3:$AS$1334,$B237)</f>
        <v>#VALUE!</v>
      </c>
      <c r="P237" s="17" t="e">
        <f>SUMIFS([1]ACSDT5Y2020.B08301_data_with_ov!AX$3:AX$1334,[1]ACSDT5Y2020.B08301_data_with_ov!$AS$3:$AS$1334,$B237)</f>
        <v>#VALUE!</v>
      </c>
      <c r="Q237" s="17" t="e">
        <f>SUMIFS([1]ACSDT5Y2020.B08301_data_with_ov!AY$3:AY$1334,[1]ACSDT5Y2020.B08301_data_with_ov!$AS$3:$AS$1334,$B237)</f>
        <v>#VALUE!</v>
      </c>
      <c r="R237" s="17" t="e">
        <f>SUMIFS([1]ACSDT5Y2020.B08301_data_with_ov!AZ$3:AZ$1334,[1]ACSDT5Y2020.B08301_data_with_ov!$AS$3:$AS$1334,$B237)</f>
        <v>#VALUE!</v>
      </c>
      <c r="S237" s="17" t="e">
        <f>SUMIFS([1]ACSDT5Y2020.B08301_data_with_ov!BA$3:BA$1334,[1]ACSDT5Y2020.B08301_data_with_ov!$AS$3:$AS$1334,$B237)</f>
        <v>#VALUE!</v>
      </c>
      <c r="T237" s="188">
        <v>4.8386603727371006E-3</v>
      </c>
      <c r="U237" s="189" t="e">
        <f t="shared" si="15"/>
        <v>#VALUE!</v>
      </c>
      <c r="V237" s="188">
        <v>4.8386603727371006E-3</v>
      </c>
      <c r="W237" s="189" t="e">
        <f t="shared" si="12"/>
        <v>#VALUE!</v>
      </c>
      <c r="X237" s="188">
        <v>4.8386603727371006E-3</v>
      </c>
      <c r="Y237" s="189" t="e">
        <f t="shared" si="13"/>
        <v>#VALUE!</v>
      </c>
      <c r="Z237" s="188">
        <v>4.8386603727371006E-3</v>
      </c>
      <c r="AA237" s="189" t="e">
        <f t="shared" si="14"/>
        <v>#VALUE!</v>
      </c>
    </row>
    <row r="238" spans="1:27" x14ac:dyDescent="0.25">
      <c r="A238">
        <v>230200</v>
      </c>
      <c r="B238">
        <v>17031230200</v>
      </c>
      <c r="C238">
        <v>17031</v>
      </c>
      <c r="D238">
        <v>2010</v>
      </c>
      <c r="E238">
        <v>23</v>
      </c>
      <c r="F238">
        <v>2310151.2211192702</v>
      </c>
      <c r="G238" s="45">
        <v>8.2865272796117079E-2</v>
      </c>
      <c r="H238" s="60" t="str">
        <f>_xlfn.IFNA(
INDEX('Community Areas'!B$2:B$78,MATCH($E238,'Community Areas'!$A$2:$A$78,0)),
"")</f>
        <v>HUMBOLDT PARK</v>
      </c>
      <c r="I238" s="63" t="str">
        <f>_xlfn.IFNA(
INDEX('Community Areas'!C$2:C$78,MATCH($E238,'Community Areas'!$A$2:$A$78,0)),
"")</f>
        <v>3-A</v>
      </c>
      <c r="J238" s="63">
        <f>_xlfn.IFNA(
INDEX('Community Areas'!D$2:D$78,MATCH($E238,'Community Areas'!$A$2:$A$78,0)),
"")</f>
        <v>3</v>
      </c>
      <c r="K238" s="60" t="str">
        <f>_xlfn.IFNA(
INDEX('Community Areas'!E$2:E$78,MATCH($E238,'Community Areas'!$A$2:$A$78,0)),
"")</f>
        <v>WEST</v>
      </c>
      <c r="L238" s="17" t="e">
        <f>SUMIFS([1]ACSDT5Y2020.B08301_data_with_ov!AT$3:AT$1334,[1]ACSDT5Y2020.B08301_data_with_ov!$AS$3:$AS$1334,$B238)</f>
        <v>#VALUE!</v>
      </c>
      <c r="M238" s="17" t="e">
        <f>SUMIFS([1]ACSDT5Y2020.B08301_data_with_ov!AU$3:AU$1334,[1]ACSDT5Y2020.B08301_data_with_ov!$AS$3:$AS$1334,$B238)</f>
        <v>#VALUE!</v>
      </c>
      <c r="N238" s="17" t="e">
        <f>SUMIFS([1]ACSDT5Y2020.B08301_data_with_ov!AV$3:AV$1334,[1]ACSDT5Y2020.B08301_data_with_ov!$AS$3:$AS$1334,$B238)</f>
        <v>#VALUE!</v>
      </c>
      <c r="O238" s="17" t="e">
        <f>SUMIFS([1]ACSDT5Y2020.B08301_data_with_ov!AW$3:AW$1334,[1]ACSDT5Y2020.B08301_data_with_ov!$AS$3:$AS$1334,$B238)</f>
        <v>#VALUE!</v>
      </c>
      <c r="P238" s="17" t="e">
        <f>SUMIFS([1]ACSDT5Y2020.B08301_data_with_ov!AX$3:AX$1334,[1]ACSDT5Y2020.B08301_data_with_ov!$AS$3:$AS$1334,$B238)</f>
        <v>#VALUE!</v>
      </c>
      <c r="Q238" s="17" t="e">
        <f>SUMIFS([1]ACSDT5Y2020.B08301_data_with_ov!AY$3:AY$1334,[1]ACSDT5Y2020.B08301_data_with_ov!$AS$3:$AS$1334,$B238)</f>
        <v>#VALUE!</v>
      </c>
      <c r="R238" s="17" t="e">
        <f>SUMIFS([1]ACSDT5Y2020.B08301_data_with_ov!AZ$3:AZ$1334,[1]ACSDT5Y2020.B08301_data_with_ov!$AS$3:$AS$1334,$B238)</f>
        <v>#VALUE!</v>
      </c>
      <c r="S238" s="17" t="e">
        <f>SUMIFS([1]ACSDT5Y2020.B08301_data_with_ov!BA$3:BA$1334,[1]ACSDT5Y2020.B08301_data_with_ov!$AS$3:$AS$1334,$B238)</f>
        <v>#VALUE!</v>
      </c>
      <c r="T238" s="188">
        <v>8.2865271979492727E-2</v>
      </c>
      <c r="U238" s="189" t="e">
        <f t="shared" si="15"/>
        <v>#VALUE!</v>
      </c>
      <c r="V238" s="188">
        <v>8.2865271979492727E-2</v>
      </c>
      <c r="W238" s="189" t="e">
        <f t="shared" si="12"/>
        <v>#VALUE!</v>
      </c>
      <c r="X238" s="188">
        <v>8.2865271979492727E-2</v>
      </c>
      <c r="Y238" s="189" t="e">
        <f t="shared" si="13"/>
        <v>#VALUE!</v>
      </c>
      <c r="Z238" s="188">
        <v>8.2865271979492727E-2</v>
      </c>
      <c r="AA238" s="189" t="e">
        <f t="shared" si="14"/>
        <v>#VALUE!</v>
      </c>
    </row>
    <row r="239" spans="1:27" x14ac:dyDescent="0.25">
      <c r="A239">
        <v>230400</v>
      </c>
      <c r="B239">
        <v>17031230400</v>
      </c>
      <c r="C239">
        <v>17031</v>
      </c>
      <c r="D239">
        <v>2010</v>
      </c>
      <c r="E239">
        <v>23</v>
      </c>
      <c r="F239">
        <v>3581395.1397288102</v>
      </c>
      <c r="G239" s="45">
        <v>0.1284648738711264</v>
      </c>
      <c r="H239" s="60" t="str">
        <f>_xlfn.IFNA(
INDEX('Community Areas'!B$2:B$78,MATCH($E239,'Community Areas'!$A$2:$A$78,0)),
"")</f>
        <v>HUMBOLDT PARK</v>
      </c>
      <c r="I239" s="63" t="str">
        <f>_xlfn.IFNA(
INDEX('Community Areas'!C$2:C$78,MATCH($E239,'Community Areas'!$A$2:$A$78,0)),
"")</f>
        <v>3-A</v>
      </c>
      <c r="J239" s="63">
        <f>_xlfn.IFNA(
INDEX('Community Areas'!D$2:D$78,MATCH($E239,'Community Areas'!$A$2:$A$78,0)),
"")</f>
        <v>3</v>
      </c>
      <c r="K239" s="60" t="str">
        <f>_xlfn.IFNA(
INDEX('Community Areas'!E$2:E$78,MATCH($E239,'Community Areas'!$A$2:$A$78,0)),
"")</f>
        <v>WEST</v>
      </c>
      <c r="L239" s="17" t="e">
        <f>SUMIFS([1]ACSDT5Y2020.B08301_data_with_ov!AT$3:AT$1334,[1]ACSDT5Y2020.B08301_data_with_ov!$AS$3:$AS$1334,$B239)</f>
        <v>#VALUE!</v>
      </c>
      <c r="M239" s="17" t="e">
        <f>SUMIFS([1]ACSDT5Y2020.B08301_data_with_ov!AU$3:AU$1334,[1]ACSDT5Y2020.B08301_data_with_ov!$AS$3:$AS$1334,$B239)</f>
        <v>#VALUE!</v>
      </c>
      <c r="N239" s="17" t="e">
        <f>SUMIFS([1]ACSDT5Y2020.B08301_data_with_ov!AV$3:AV$1334,[1]ACSDT5Y2020.B08301_data_with_ov!$AS$3:$AS$1334,$B239)</f>
        <v>#VALUE!</v>
      </c>
      <c r="O239" s="17" t="e">
        <f>SUMIFS([1]ACSDT5Y2020.B08301_data_with_ov!AW$3:AW$1334,[1]ACSDT5Y2020.B08301_data_with_ov!$AS$3:$AS$1334,$B239)</f>
        <v>#VALUE!</v>
      </c>
      <c r="P239" s="17" t="e">
        <f>SUMIFS([1]ACSDT5Y2020.B08301_data_with_ov!AX$3:AX$1334,[1]ACSDT5Y2020.B08301_data_with_ov!$AS$3:$AS$1334,$B239)</f>
        <v>#VALUE!</v>
      </c>
      <c r="Q239" s="17" t="e">
        <f>SUMIFS([1]ACSDT5Y2020.B08301_data_with_ov!AY$3:AY$1334,[1]ACSDT5Y2020.B08301_data_with_ov!$AS$3:$AS$1334,$B239)</f>
        <v>#VALUE!</v>
      </c>
      <c r="R239" s="17" t="e">
        <f>SUMIFS([1]ACSDT5Y2020.B08301_data_with_ov!AZ$3:AZ$1334,[1]ACSDT5Y2020.B08301_data_with_ov!$AS$3:$AS$1334,$B239)</f>
        <v>#VALUE!</v>
      </c>
      <c r="S239" s="17" t="e">
        <f>SUMIFS([1]ACSDT5Y2020.B08301_data_with_ov!BA$3:BA$1334,[1]ACSDT5Y2020.B08301_data_with_ov!$AS$3:$AS$1334,$B239)</f>
        <v>#VALUE!</v>
      </c>
      <c r="T239" s="188">
        <v>0.12846488183605265</v>
      </c>
      <c r="U239" s="189" t="e">
        <f t="shared" si="15"/>
        <v>#VALUE!</v>
      </c>
      <c r="V239" s="188">
        <v>0.12846488183605265</v>
      </c>
      <c r="W239" s="189" t="e">
        <f t="shared" si="12"/>
        <v>#VALUE!</v>
      </c>
      <c r="X239" s="188">
        <v>0.12846488183605265</v>
      </c>
      <c r="Y239" s="189" t="e">
        <f t="shared" si="13"/>
        <v>#VALUE!</v>
      </c>
      <c r="Z239" s="188">
        <v>0.12846488183605265</v>
      </c>
      <c r="AA239" s="189" t="e">
        <f t="shared" si="14"/>
        <v>#VALUE!</v>
      </c>
    </row>
    <row r="240" spans="1:27" x14ac:dyDescent="0.25">
      <c r="A240">
        <v>836700</v>
      </c>
      <c r="B240">
        <v>17031836700</v>
      </c>
      <c r="C240">
        <v>17031</v>
      </c>
      <c r="D240">
        <v>2010</v>
      </c>
      <c r="E240">
        <v>23</v>
      </c>
      <c r="F240">
        <v>13253999.576710699</v>
      </c>
      <c r="G240" s="45">
        <v>0.47542181677250844</v>
      </c>
      <c r="H240" s="60" t="str">
        <f>_xlfn.IFNA(
INDEX('Community Areas'!B$2:B$78,MATCH($E240,'Community Areas'!$A$2:$A$78,0)),
"")</f>
        <v>HUMBOLDT PARK</v>
      </c>
      <c r="I240" s="63" t="str">
        <f>_xlfn.IFNA(
INDEX('Community Areas'!C$2:C$78,MATCH($E240,'Community Areas'!$A$2:$A$78,0)),
"")</f>
        <v>3-A</v>
      </c>
      <c r="J240" s="63">
        <f>_xlfn.IFNA(
INDEX('Community Areas'!D$2:D$78,MATCH($E240,'Community Areas'!$A$2:$A$78,0)),
"")</f>
        <v>3</v>
      </c>
      <c r="K240" s="60" t="str">
        <f>_xlfn.IFNA(
INDEX('Community Areas'!E$2:E$78,MATCH($E240,'Community Areas'!$A$2:$A$78,0)),
"")</f>
        <v>WEST</v>
      </c>
      <c r="L240" s="17" t="e">
        <f>SUMIFS([1]ACSDT5Y2020.B08301_data_with_ov!AT$3:AT$1334,[1]ACSDT5Y2020.B08301_data_with_ov!$AS$3:$AS$1334,$B240)</f>
        <v>#VALUE!</v>
      </c>
      <c r="M240" s="17" t="e">
        <f>SUMIFS([1]ACSDT5Y2020.B08301_data_with_ov!AU$3:AU$1334,[1]ACSDT5Y2020.B08301_data_with_ov!$AS$3:$AS$1334,$B240)</f>
        <v>#VALUE!</v>
      </c>
      <c r="N240" s="17" t="e">
        <f>SUMIFS([1]ACSDT5Y2020.B08301_data_with_ov!AV$3:AV$1334,[1]ACSDT5Y2020.B08301_data_with_ov!$AS$3:$AS$1334,$B240)</f>
        <v>#VALUE!</v>
      </c>
      <c r="O240" s="17" t="e">
        <f>SUMIFS([1]ACSDT5Y2020.B08301_data_with_ov!AW$3:AW$1334,[1]ACSDT5Y2020.B08301_data_with_ov!$AS$3:$AS$1334,$B240)</f>
        <v>#VALUE!</v>
      </c>
      <c r="P240" s="17" t="e">
        <f>SUMIFS([1]ACSDT5Y2020.B08301_data_with_ov!AX$3:AX$1334,[1]ACSDT5Y2020.B08301_data_with_ov!$AS$3:$AS$1334,$B240)</f>
        <v>#VALUE!</v>
      </c>
      <c r="Q240" s="17" t="e">
        <f>SUMIFS([1]ACSDT5Y2020.B08301_data_with_ov!AY$3:AY$1334,[1]ACSDT5Y2020.B08301_data_with_ov!$AS$3:$AS$1334,$B240)</f>
        <v>#VALUE!</v>
      </c>
      <c r="R240" s="17" t="e">
        <f>SUMIFS([1]ACSDT5Y2020.B08301_data_with_ov!AZ$3:AZ$1334,[1]ACSDT5Y2020.B08301_data_with_ov!$AS$3:$AS$1334,$B240)</f>
        <v>#VALUE!</v>
      </c>
      <c r="S240" s="17" t="e">
        <f>SUMIFS([1]ACSDT5Y2020.B08301_data_with_ov!BA$3:BA$1334,[1]ACSDT5Y2020.B08301_data_with_ov!$AS$3:$AS$1334,$B240)</f>
        <v>#VALUE!</v>
      </c>
      <c r="T240" s="188">
        <v>0.47542183359395446</v>
      </c>
      <c r="U240" s="189" t="e">
        <f t="shared" si="15"/>
        <v>#VALUE!</v>
      </c>
      <c r="V240" s="188">
        <v>0.47542183359395446</v>
      </c>
      <c r="W240" s="189" t="e">
        <f t="shared" si="12"/>
        <v>#VALUE!</v>
      </c>
      <c r="X240" s="188">
        <v>0.47542183359395446</v>
      </c>
      <c r="Y240" s="189" t="e">
        <f t="shared" si="13"/>
        <v>#VALUE!</v>
      </c>
      <c r="Z240" s="188">
        <v>0.47542183359395446</v>
      </c>
      <c r="AA240" s="189" t="e">
        <f t="shared" si="14"/>
        <v>#VALUE!</v>
      </c>
    </row>
    <row r="241" spans="1:27" x14ac:dyDescent="0.25">
      <c r="A241">
        <v>230300</v>
      </c>
      <c r="B241">
        <v>17031230300</v>
      </c>
      <c r="C241">
        <v>17031</v>
      </c>
      <c r="D241">
        <v>2010</v>
      </c>
      <c r="E241">
        <v>23</v>
      </c>
      <c r="F241">
        <v>1147298.8889013401</v>
      </c>
      <c r="G241" s="45">
        <v>4.1153684892294394E-2</v>
      </c>
      <c r="H241" s="60" t="str">
        <f>_xlfn.IFNA(
INDEX('Community Areas'!B$2:B$78,MATCH($E241,'Community Areas'!$A$2:$A$78,0)),
"")</f>
        <v>HUMBOLDT PARK</v>
      </c>
      <c r="I241" s="63" t="str">
        <f>_xlfn.IFNA(
INDEX('Community Areas'!C$2:C$78,MATCH($E241,'Community Areas'!$A$2:$A$78,0)),
"")</f>
        <v>3-A</v>
      </c>
      <c r="J241" s="63">
        <f>_xlfn.IFNA(
INDEX('Community Areas'!D$2:D$78,MATCH($E241,'Community Areas'!$A$2:$A$78,0)),
"")</f>
        <v>3</v>
      </c>
      <c r="K241" s="60" t="str">
        <f>_xlfn.IFNA(
INDEX('Community Areas'!E$2:E$78,MATCH($E241,'Community Areas'!$A$2:$A$78,0)),
"")</f>
        <v>WEST</v>
      </c>
      <c r="L241" s="17" t="e">
        <f>SUMIFS([1]ACSDT5Y2020.B08301_data_with_ov!AT$3:AT$1334,[1]ACSDT5Y2020.B08301_data_with_ov!$AS$3:$AS$1334,$B241)</f>
        <v>#VALUE!</v>
      </c>
      <c r="M241" s="17" t="e">
        <f>SUMIFS([1]ACSDT5Y2020.B08301_data_with_ov!AU$3:AU$1334,[1]ACSDT5Y2020.B08301_data_with_ov!$AS$3:$AS$1334,$B241)</f>
        <v>#VALUE!</v>
      </c>
      <c r="N241" s="17" t="e">
        <f>SUMIFS([1]ACSDT5Y2020.B08301_data_with_ov!AV$3:AV$1334,[1]ACSDT5Y2020.B08301_data_with_ov!$AS$3:$AS$1334,$B241)</f>
        <v>#VALUE!</v>
      </c>
      <c r="O241" s="17" t="e">
        <f>SUMIFS([1]ACSDT5Y2020.B08301_data_with_ov!AW$3:AW$1334,[1]ACSDT5Y2020.B08301_data_with_ov!$AS$3:$AS$1334,$B241)</f>
        <v>#VALUE!</v>
      </c>
      <c r="P241" s="17" t="e">
        <f>SUMIFS([1]ACSDT5Y2020.B08301_data_with_ov!AX$3:AX$1334,[1]ACSDT5Y2020.B08301_data_with_ov!$AS$3:$AS$1334,$B241)</f>
        <v>#VALUE!</v>
      </c>
      <c r="Q241" s="17" t="e">
        <f>SUMIFS([1]ACSDT5Y2020.B08301_data_with_ov!AY$3:AY$1334,[1]ACSDT5Y2020.B08301_data_with_ov!$AS$3:$AS$1334,$B241)</f>
        <v>#VALUE!</v>
      </c>
      <c r="R241" s="17" t="e">
        <f>SUMIFS([1]ACSDT5Y2020.B08301_data_with_ov!AZ$3:AZ$1334,[1]ACSDT5Y2020.B08301_data_with_ov!$AS$3:$AS$1334,$B241)</f>
        <v>#VALUE!</v>
      </c>
      <c r="S241" s="17" t="e">
        <f>SUMIFS([1]ACSDT5Y2020.B08301_data_with_ov!BA$3:BA$1334,[1]ACSDT5Y2020.B08301_data_with_ov!$AS$3:$AS$1334,$B241)</f>
        <v>#VALUE!</v>
      </c>
      <c r="T241" s="188">
        <v>4.1153678088842252E-2</v>
      </c>
      <c r="U241" s="189" t="e">
        <f t="shared" si="15"/>
        <v>#VALUE!</v>
      </c>
      <c r="V241" s="188">
        <v>4.1153678088842252E-2</v>
      </c>
      <c r="W241" s="189" t="e">
        <f t="shared" si="12"/>
        <v>#VALUE!</v>
      </c>
      <c r="X241" s="188">
        <v>4.1153678088842252E-2</v>
      </c>
      <c r="Y241" s="189" t="e">
        <f t="shared" si="13"/>
        <v>#VALUE!</v>
      </c>
      <c r="Z241" s="188">
        <v>4.1153678088842252E-2</v>
      </c>
      <c r="AA241" s="189" t="e">
        <f t="shared" si="14"/>
        <v>#VALUE!</v>
      </c>
    </row>
    <row r="242" spans="1:27" x14ac:dyDescent="0.25">
      <c r="A242">
        <v>230800</v>
      </c>
      <c r="B242">
        <v>17031230800</v>
      </c>
      <c r="C242">
        <v>17031</v>
      </c>
      <c r="D242">
        <v>2010</v>
      </c>
      <c r="E242">
        <v>23</v>
      </c>
      <c r="F242">
        <v>2194601.0790440599</v>
      </c>
      <c r="G242" s="45">
        <v>7.8720481772413767E-2</v>
      </c>
      <c r="H242" s="60" t="str">
        <f>_xlfn.IFNA(
INDEX('Community Areas'!B$2:B$78,MATCH($E242,'Community Areas'!$A$2:$A$78,0)),
"")</f>
        <v>HUMBOLDT PARK</v>
      </c>
      <c r="I242" s="63" t="str">
        <f>_xlfn.IFNA(
INDEX('Community Areas'!C$2:C$78,MATCH($E242,'Community Areas'!$A$2:$A$78,0)),
"")</f>
        <v>3-A</v>
      </c>
      <c r="J242" s="63">
        <f>_xlfn.IFNA(
INDEX('Community Areas'!D$2:D$78,MATCH($E242,'Community Areas'!$A$2:$A$78,0)),
"")</f>
        <v>3</v>
      </c>
      <c r="K242" s="60" t="str">
        <f>_xlfn.IFNA(
INDEX('Community Areas'!E$2:E$78,MATCH($E242,'Community Areas'!$A$2:$A$78,0)),
"")</f>
        <v>WEST</v>
      </c>
      <c r="L242" s="17" t="e">
        <f>SUMIFS([1]ACSDT5Y2020.B08301_data_with_ov!AT$3:AT$1334,[1]ACSDT5Y2020.B08301_data_with_ov!$AS$3:$AS$1334,$B242)</f>
        <v>#VALUE!</v>
      </c>
      <c r="M242" s="17" t="e">
        <f>SUMIFS([1]ACSDT5Y2020.B08301_data_with_ov!AU$3:AU$1334,[1]ACSDT5Y2020.B08301_data_with_ov!$AS$3:$AS$1334,$B242)</f>
        <v>#VALUE!</v>
      </c>
      <c r="N242" s="17" t="e">
        <f>SUMIFS([1]ACSDT5Y2020.B08301_data_with_ov!AV$3:AV$1334,[1]ACSDT5Y2020.B08301_data_with_ov!$AS$3:$AS$1334,$B242)</f>
        <v>#VALUE!</v>
      </c>
      <c r="O242" s="17" t="e">
        <f>SUMIFS([1]ACSDT5Y2020.B08301_data_with_ov!AW$3:AW$1334,[1]ACSDT5Y2020.B08301_data_with_ov!$AS$3:$AS$1334,$B242)</f>
        <v>#VALUE!</v>
      </c>
      <c r="P242" s="17" t="e">
        <f>SUMIFS([1]ACSDT5Y2020.B08301_data_with_ov!AX$3:AX$1334,[1]ACSDT5Y2020.B08301_data_with_ov!$AS$3:$AS$1334,$B242)</f>
        <v>#VALUE!</v>
      </c>
      <c r="Q242" s="17" t="e">
        <f>SUMIFS([1]ACSDT5Y2020.B08301_data_with_ov!AY$3:AY$1334,[1]ACSDT5Y2020.B08301_data_with_ov!$AS$3:$AS$1334,$B242)</f>
        <v>#VALUE!</v>
      </c>
      <c r="R242" s="17" t="e">
        <f>SUMIFS([1]ACSDT5Y2020.B08301_data_with_ov!AZ$3:AZ$1334,[1]ACSDT5Y2020.B08301_data_with_ov!$AS$3:$AS$1334,$B242)</f>
        <v>#VALUE!</v>
      </c>
      <c r="S242" s="17" t="e">
        <f>SUMIFS([1]ACSDT5Y2020.B08301_data_with_ov!BA$3:BA$1334,[1]ACSDT5Y2020.B08301_data_with_ov!$AS$3:$AS$1334,$B242)</f>
        <v>#VALUE!</v>
      </c>
      <c r="T242" s="188">
        <v>7.8720489386394477E-2</v>
      </c>
      <c r="U242" s="189" t="e">
        <f t="shared" si="15"/>
        <v>#VALUE!</v>
      </c>
      <c r="V242" s="188">
        <v>7.8720489386394477E-2</v>
      </c>
      <c r="W242" s="189" t="e">
        <f t="shared" si="12"/>
        <v>#VALUE!</v>
      </c>
      <c r="X242" s="188">
        <v>7.8720489386394477E-2</v>
      </c>
      <c r="Y242" s="189" t="e">
        <f t="shared" si="13"/>
        <v>#VALUE!</v>
      </c>
      <c r="Z242" s="188">
        <v>7.8720489386394477E-2</v>
      </c>
      <c r="AA242" s="189" t="e">
        <f t="shared" si="14"/>
        <v>#VALUE!</v>
      </c>
    </row>
    <row r="243" spans="1:27" x14ac:dyDescent="0.25">
      <c r="A243">
        <v>836600</v>
      </c>
      <c r="B243">
        <v>17031836600</v>
      </c>
      <c r="C243">
        <v>17031</v>
      </c>
      <c r="D243">
        <v>2010</v>
      </c>
      <c r="E243">
        <v>23</v>
      </c>
      <c r="F243">
        <v>6830158.6089316802</v>
      </c>
      <c r="G243" s="45">
        <v>0.24499822833920457</v>
      </c>
      <c r="H243" s="60" t="str">
        <f>_xlfn.IFNA(
INDEX('Community Areas'!B$2:B$78,MATCH($E243,'Community Areas'!$A$2:$A$78,0)),
"")</f>
        <v>HUMBOLDT PARK</v>
      </c>
      <c r="I243" s="63" t="str">
        <f>_xlfn.IFNA(
INDEX('Community Areas'!C$2:C$78,MATCH($E243,'Community Areas'!$A$2:$A$78,0)),
"")</f>
        <v>3-A</v>
      </c>
      <c r="J243" s="63">
        <f>_xlfn.IFNA(
INDEX('Community Areas'!D$2:D$78,MATCH($E243,'Community Areas'!$A$2:$A$78,0)),
"")</f>
        <v>3</v>
      </c>
      <c r="K243" s="60" t="str">
        <f>_xlfn.IFNA(
INDEX('Community Areas'!E$2:E$78,MATCH($E243,'Community Areas'!$A$2:$A$78,0)),
"")</f>
        <v>WEST</v>
      </c>
      <c r="L243" s="17" t="e">
        <f>SUMIFS([1]ACSDT5Y2020.B08301_data_with_ov!AT$3:AT$1334,[1]ACSDT5Y2020.B08301_data_with_ov!$AS$3:$AS$1334,$B243)</f>
        <v>#VALUE!</v>
      </c>
      <c r="M243" s="17" t="e">
        <f>SUMIFS([1]ACSDT5Y2020.B08301_data_with_ov!AU$3:AU$1334,[1]ACSDT5Y2020.B08301_data_with_ov!$AS$3:$AS$1334,$B243)</f>
        <v>#VALUE!</v>
      </c>
      <c r="N243" s="17" t="e">
        <f>SUMIFS([1]ACSDT5Y2020.B08301_data_with_ov!AV$3:AV$1334,[1]ACSDT5Y2020.B08301_data_with_ov!$AS$3:$AS$1334,$B243)</f>
        <v>#VALUE!</v>
      </c>
      <c r="O243" s="17" t="e">
        <f>SUMIFS([1]ACSDT5Y2020.B08301_data_with_ov!AW$3:AW$1334,[1]ACSDT5Y2020.B08301_data_with_ov!$AS$3:$AS$1334,$B243)</f>
        <v>#VALUE!</v>
      </c>
      <c r="P243" s="17" t="e">
        <f>SUMIFS([1]ACSDT5Y2020.B08301_data_with_ov!AX$3:AX$1334,[1]ACSDT5Y2020.B08301_data_with_ov!$AS$3:$AS$1334,$B243)</f>
        <v>#VALUE!</v>
      </c>
      <c r="Q243" s="17" t="e">
        <f>SUMIFS([1]ACSDT5Y2020.B08301_data_with_ov!AY$3:AY$1334,[1]ACSDT5Y2020.B08301_data_with_ov!$AS$3:$AS$1334,$B243)</f>
        <v>#VALUE!</v>
      </c>
      <c r="R243" s="17" t="e">
        <f>SUMIFS([1]ACSDT5Y2020.B08301_data_with_ov!AZ$3:AZ$1334,[1]ACSDT5Y2020.B08301_data_with_ov!$AS$3:$AS$1334,$B243)</f>
        <v>#VALUE!</v>
      </c>
      <c r="S243" s="17" t="e">
        <f>SUMIFS([1]ACSDT5Y2020.B08301_data_with_ov!BA$3:BA$1334,[1]ACSDT5Y2020.B08301_data_with_ov!$AS$3:$AS$1334,$B243)</f>
        <v>#VALUE!</v>
      </c>
      <c r="T243" s="188">
        <v>0.24499822357646242</v>
      </c>
      <c r="U243" s="189" t="e">
        <f t="shared" si="15"/>
        <v>#VALUE!</v>
      </c>
      <c r="V243" s="188">
        <v>0.24499822357646242</v>
      </c>
      <c r="W243" s="189" t="e">
        <f t="shared" si="12"/>
        <v>#VALUE!</v>
      </c>
      <c r="X243" s="188">
        <v>0.24499822357646242</v>
      </c>
      <c r="Y243" s="189" t="e">
        <f t="shared" si="13"/>
        <v>#VALUE!</v>
      </c>
      <c r="Z243" s="188">
        <v>0.24499822357646242</v>
      </c>
      <c r="AA243" s="189" t="e">
        <f t="shared" si="14"/>
        <v>#VALUE!</v>
      </c>
    </row>
    <row r="244" spans="1:27" x14ac:dyDescent="0.25">
      <c r="A244">
        <v>230100</v>
      </c>
      <c r="B244">
        <v>17031230100</v>
      </c>
      <c r="C244">
        <v>17031</v>
      </c>
      <c r="D244">
        <v>2010</v>
      </c>
      <c r="E244">
        <v>23</v>
      </c>
      <c r="F244">
        <v>1775376.82677664</v>
      </c>
      <c r="G244" s="45">
        <v>6.3682880896200639E-2</v>
      </c>
      <c r="H244" s="60" t="str">
        <f>_xlfn.IFNA(
INDEX('Community Areas'!B$2:B$78,MATCH($E244,'Community Areas'!$A$2:$A$78,0)),
"")</f>
        <v>HUMBOLDT PARK</v>
      </c>
      <c r="I244" s="63" t="str">
        <f>_xlfn.IFNA(
INDEX('Community Areas'!C$2:C$78,MATCH($E244,'Community Areas'!$A$2:$A$78,0)),
"")</f>
        <v>3-A</v>
      </c>
      <c r="J244" s="63">
        <f>_xlfn.IFNA(
INDEX('Community Areas'!D$2:D$78,MATCH($E244,'Community Areas'!$A$2:$A$78,0)),
"")</f>
        <v>3</v>
      </c>
      <c r="K244" s="60" t="str">
        <f>_xlfn.IFNA(
INDEX('Community Areas'!E$2:E$78,MATCH($E244,'Community Areas'!$A$2:$A$78,0)),
"")</f>
        <v>WEST</v>
      </c>
      <c r="L244" s="17" t="e">
        <f>SUMIFS([1]ACSDT5Y2020.B08301_data_with_ov!AT$3:AT$1334,[1]ACSDT5Y2020.B08301_data_with_ov!$AS$3:$AS$1334,$B244)</f>
        <v>#VALUE!</v>
      </c>
      <c r="M244" s="17" t="e">
        <f>SUMIFS([1]ACSDT5Y2020.B08301_data_with_ov!AU$3:AU$1334,[1]ACSDT5Y2020.B08301_data_with_ov!$AS$3:$AS$1334,$B244)</f>
        <v>#VALUE!</v>
      </c>
      <c r="N244" s="17" t="e">
        <f>SUMIFS([1]ACSDT5Y2020.B08301_data_with_ov!AV$3:AV$1334,[1]ACSDT5Y2020.B08301_data_with_ov!$AS$3:$AS$1334,$B244)</f>
        <v>#VALUE!</v>
      </c>
      <c r="O244" s="17" t="e">
        <f>SUMIFS([1]ACSDT5Y2020.B08301_data_with_ov!AW$3:AW$1334,[1]ACSDT5Y2020.B08301_data_with_ov!$AS$3:$AS$1334,$B244)</f>
        <v>#VALUE!</v>
      </c>
      <c r="P244" s="17" t="e">
        <f>SUMIFS([1]ACSDT5Y2020.B08301_data_with_ov!AX$3:AX$1334,[1]ACSDT5Y2020.B08301_data_with_ov!$AS$3:$AS$1334,$B244)</f>
        <v>#VALUE!</v>
      </c>
      <c r="Q244" s="17" t="e">
        <f>SUMIFS([1]ACSDT5Y2020.B08301_data_with_ov!AY$3:AY$1334,[1]ACSDT5Y2020.B08301_data_with_ov!$AS$3:$AS$1334,$B244)</f>
        <v>#VALUE!</v>
      </c>
      <c r="R244" s="17" t="e">
        <f>SUMIFS([1]ACSDT5Y2020.B08301_data_with_ov!AZ$3:AZ$1334,[1]ACSDT5Y2020.B08301_data_with_ov!$AS$3:$AS$1334,$B244)</f>
        <v>#VALUE!</v>
      </c>
      <c r="S244" s="17" t="e">
        <f>SUMIFS([1]ACSDT5Y2020.B08301_data_with_ov!BA$3:BA$1334,[1]ACSDT5Y2020.B08301_data_with_ov!$AS$3:$AS$1334,$B244)</f>
        <v>#VALUE!</v>
      </c>
      <c r="T244" s="188">
        <v>6.3682873421810435E-2</v>
      </c>
      <c r="U244" s="189" t="e">
        <f t="shared" si="15"/>
        <v>#VALUE!</v>
      </c>
      <c r="V244" s="188">
        <v>6.3682873421810435E-2</v>
      </c>
      <c r="W244" s="189" t="e">
        <f t="shared" si="12"/>
        <v>#VALUE!</v>
      </c>
      <c r="X244" s="188">
        <v>6.3682873421810435E-2</v>
      </c>
      <c r="Y244" s="189" t="e">
        <f t="shared" si="13"/>
        <v>#VALUE!</v>
      </c>
      <c r="Z244" s="188">
        <v>6.3682873421810435E-2</v>
      </c>
      <c r="AA244" s="189" t="e">
        <f t="shared" si="14"/>
        <v>#VALUE!</v>
      </c>
    </row>
    <row r="245" spans="1:27" x14ac:dyDescent="0.25">
      <c r="A245">
        <v>231100</v>
      </c>
      <c r="B245">
        <v>17031231100</v>
      </c>
      <c r="C245">
        <v>17031</v>
      </c>
      <c r="D245">
        <v>2010</v>
      </c>
      <c r="E245">
        <v>23</v>
      </c>
      <c r="F245">
        <v>1895074.15186983</v>
      </c>
      <c r="G245" s="45">
        <v>6.7976431641336307E-2</v>
      </c>
      <c r="H245" s="60" t="str">
        <f>_xlfn.IFNA(
INDEX('Community Areas'!B$2:B$78,MATCH($E245,'Community Areas'!$A$2:$A$78,0)),
"")</f>
        <v>HUMBOLDT PARK</v>
      </c>
      <c r="I245" s="63" t="str">
        <f>_xlfn.IFNA(
INDEX('Community Areas'!C$2:C$78,MATCH($E245,'Community Areas'!$A$2:$A$78,0)),
"")</f>
        <v>3-A</v>
      </c>
      <c r="J245" s="63">
        <f>_xlfn.IFNA(
INDEX('Community Areas'!D$2:D$78,MATCH($E245,'Community Areas'!$A$2:$A$78,0)),
"")</f>
        <v>3</v>
      </c>
      <c r="K245" s="60" t="str">
        <f>_xlfn.IFNA(
INDEX('Community Areas'!E$2:E$78,MATCH($E245,'Community Areas'!$A$2:$A$78,0)),
"")</f>
        <v>WEST</v>
      </c>
      <c r="L245" s="17" t="e">
        <f>SUMIFS([1]ACSDT5Y2020.B08301_data_with_ov!AT$3:AT$1334,[1]ACSDT5Y2020.B08301_data_with_ov!$AS$3:$AS$1334,$B245)</f>
        <v>#VALUE!</v>
      </c>
      <c r="M245" s="17" t="e">
        <f>SUMIFS([1]ACSDT5Y2020.B08301_data_with_ov!AU$3:AU$1334,[1]ACSDT5Y2020.B08301_data_with_ov!$AS$3:$AS$1334,$B245)</f>
        <v>#VALUE!</v>
      </c>
      <c r="N245" s="17" t="e">
        <f>SUMIFS([1]ACSDT5Y2020.B08301_data_with_ov!AV$3:AV$1334,[1]ACSDT5Y2020.B08301_data_with_ov!$AS$3:$AS$1334,$B245)</f>
        <v>#VALUE!</v>
      </c>
      <c r="O245" s="17" t="e">
        <f>SUMIFS([1]ACSDT5Y2020.B08301_data_with_ov!AW$3:AW$1334,[1]ACSDT5Y2020.B08301_data_with_ov!$AS$3:$AS$1334,$B245)</f>
        <v>#VALUE!</v>
      </c>
      <c r="P245" s="17" t="e">
        <f>SUMIFS([1]ACSDT5Y2020.B08301_data_with_ov!AX$3:AX$1334,[1]ACSDT5Y2020.B08301_data_with_ov!$AS$3:$AS$1334,$B245)</f>
        <v>#VALUE!</v>
      </c>
      <c r="Q245" s="17" t="e">
        <f>SUMIFS([1]ACSDT5Y2020.B08301_data_with_ov!AY$3:AY$1334,[1]ACSDT5Y2020.B08301_data_with_ov!$AS$3:$AS$1334,$B245)</f>
        <v>#VALUE!</v>
      </c>
      <c r="R245" s="17" t="e">
        <f>SUMIFS([1]ACSDT5Y2020.B08301_data_with_ov!AZ$3:AZ$1334,[1]ACSDT5Y2020.B08301_data_with_ov!$AS$3:$AS$1334,$B245)</f>
        <v>#VALUE!</v>
      </c>
      <c r="S245" s="17" t="e">
        <f>SUMIFS([1]ACSDT5Y2020.B08301_data_with_ov!BA$3:BA$1334,[1]ACSDT5Y2020.B08301_data_with_ov!$AS$3:$AS$1334,$B245)</f>
        <v>#VALUE!</v>
      </c>
      <c r="T245" s="188">
        <v>6.7976433623348542E-2</v>
      </c>
      <c r="U245" s="189" t="e">
        <f t="shared" si="15"/>
        <v>#VALUE!</v>
      </c>
      <c r="V245" s="188">
        <v>6.7976433623348542E-2</v>
      </c>
      <c r="W245" s="189" t="e">
        <f t="shared" si="12"/>
        <v>#VALUE!</v>
      </c>
      <c r="X245" s="188">
        <v>6.7976433623348542E-2</v>
      </c>
      <c r="Y245" s="189" t="e">
        <f t="shared" si="13"/>
        <v>#VALUE!</v>
      </c>
      <c r="Z245" s="188">
        <v>6.7976433623348542E-2</v>
      </c>
      <c r="AA245" s="189" t="e">
        <f t="shared" si="14"/>
        <v>#VALUE!</v>
      </c>
    </row>
    <row r="246" spans="1:27" x14ac:dyDescent="0.25">
      <c r="A246">
        <v>231500</v>
      </c>
      <c r="B246">
        <v>17031231500</v>
      </c>
      <c r="C246">
        <v>17031</v>
      </c>
      <c r="D246">
        <v>2010</v>
      </c>
      <c r="E246">
        <v>23</v>
      </c>
      <c r="F246">
        <v>10706817.1998515</v>
      </c>
      <c r="G246" s="45">
        <v>0.38405422118383764</v>
      </c>
      <c r="H246" s="60" t="str">
        <f>_xlfn.IFNA(
INDEX('Community Areas'!B$2:B$78,MATCH($E246,'Community Areas'!$A$2:$A$78,0)),
"")</f>
        <v>HUMBOLDT PARK</v>
      </c>
      <c r="I246" s="63" t="str">
        <f>_xlfn.IFNA(
INDEX('Community Areas'!C$2:C$78,MATCH($E246,'Community Areas'!$A$2:$A$78,0)),
"")</f>
        <v>3-A</v>
      </c>
      <c r="J246" s="63">
        <f>_xlfn.IFNA(
INDEX('Community Areas'!D$2:D$78,MATCH($E246,'Community Areas'!$A$2:$A$78,0)),
"")</f>
        <v>3</v>
      </c>
      <c r="K246" s="60" t="str">
        <f>_xlfn.IFNA(
INDEX('Community Areas'!E$2:E$78,MATCH($E246,'Community Areas'!$A$2:$A$78,0)),
"")</f>
        <v>WEST</v>
      </c>
      <c r="L246" s="17" t="e">
        <f>SUMIFS([1]ACSDT5Y2020.B08301_data_with_ov!AT$3:AT$1334,[1]ACSDT5Y2020.B08301_data_with_ov!$AS$3:$AS$1334,$B246)</f>
        <v>#VALUE!</v>
      </c>
      <c r="M246" s="17" t="e">
        <f>SUMIFS([1]ACSDT5Y2020.B08301_data_with_ov!AU$3:AU$1334,[1]ACSDT5Y2020.B08301_data_with_ov!$AS$3:$AS$1334,$B246)</f>
        <v>#VALUE!</v>
      </c>
      <c r="N246" s="17" t="e">
        <f>SUMIFS([1]ACSDT5Y2020.B08301_data_with_ov!AV$3:AV$1334,[1]ACSDT5Y2020.B08301_data_with_ov!$AS$3:$AS$1334,$B246)</f>
        <v>#VALUE!</v>
      </c>
      <c r="O246" s="17" t="e">
        <f>SUMIFS([1]ACSDT5Y2020.B08301_data_with_ov!AW$3:AW$1334,[1]ACSDT5Y2020.B08301_data_with_ov!$AS$3:$AS$1334,$B246)</f>
        <v>#VALUE!</v>
      </c>
      <c r="P246" s="17" t="e">
        <f>SUMIFS([1]ACSDT5Y2020.B08301_data_with_ov!AX$3:AX$1334,[1]ACSDT5Y2020.B08301_data_with_ov!$AS$3:$AS$1334,$B246)</f>
        <v>#VALUE!</v>
      </c>
      <c r="Q246" s="17" t="e">
        <f>SUMIFS([1]ACSDT5Y2020.B08301_data_with_ov!AY$3:AY$1334,[1]ACSDT5Y2020.B08301_data_with_ov!$AS$3:$AS$1334,$B246)</f>
        <v>#VALUE!</v>
      </c>
      <c r="R246" s="17" t="e">
        <f>SUMIFS([1]ACSDT5Y2020.B08301_data_with_ov!AZ$3:AZ$1334,[1]ACSDT5Y2020.B08301_data_with_ov!$AS$3:$AS$1334,$B246)</f>
        <v>#VALUE!</v>
      </c>
      <c r="S246" s="17" t="e">
        <f>SUMIFS([1]ACSDT5Y2020.B08301_data_with_ov!BA$3:BA$1334,[1]ACSDT5Y2020.B08301_data_with_ov!$AS$3:$AS$1334,$B246)</f>
        <v>#VALUE!</v>
      </c>
      <c r="T246" s="188">
        <v>0.37018112344318899</v>
      </c>
      <c r="U246" s="189" t="e">
        <f t="shared" si="15"/>
        <v>#VALUE!</v>
      </c>
      <c r="V246" s="188">
        <v>0.37018112344318899</v>
      </c>
      <c r="W246" s="189" t="e">
        <f t="shared" si="12"/>
        <v>#VALUE!</v>
      </c>
      <c r="X246" s="188">
        <v>0.37018112344318899</v>
      </c>
      <c r="Y246" s="189" t="e">
        <f t="shared" si="13"/>
        <v>#VALUE!</v>
      </c>
      <c r="Z246" s="188">
        <v>0.37018112344318899</v>
      </c>
      <c r="AA246" s="189" t="e">
        <f t="shared" si="14"/>
        <v>#VALUE!</v>
      </c>
    </row>
    <row r="247" spans="1:27" x14ac:dyDescent="0.25">
      <c r="A247">
        <v>230500</v>
      </c>
      <c r="B247">
        <v>17031230500</v>
      </c>
      <c r="C247">
        <v>17031</v>
      </c>
      <c r="D247">
        <v>2010</v>
      </c>
      <c r="E247">
        <v>23</v>
      </c>
      <c r="F247">
        <v>5581588.7213832801</v>
      </c>
      <c r="G247" s="45">
        <v>0.20021194621582589</v>
      </c>
      <c r="H247" s="60" t="str">
        <f>_xlfn.IFNA(
INDEX('Community Areas'!B$2:B$78,MATCH($E247,'Community Areas'!$A$2:$A$78,0)),
"")</f>
        <v>HUMBOLDT PARK</v>
      </c>
      <c r="I247" s="63" t="str">
        <f>_xlfn.IFNA(
INDEX('Community Areas'!C$2:C$78,MATCH($E247,'Community Areas'!$A$2:$A$78,0)),
"")</f>
        <v>3-A</v>
      </c>
      <c r="J247" s="63">
        <f>_xlfn.IFNA(
INDEX('Community Areas'!D$2:D$78,MATCH($E247,'Community Areas'!$A$2:$A$78,0)),
"")</f>
        <v>3</v>
      </c>
      <c r="K247" s="60" t="str">
        <f>_xlfn.IFNA(
INDEX('Community Areas'!E$2:E$78,MATCH($E247,'Community Areas'!$A$2:$A$78,0)),
"")</f>
        <v>WEST</v>
      </c>
      <c r="L247" s="17" t="e">
        <f>SUMIFS([1]ACSDT5Y2020.B08301_data_with_ov!AT$3:AT$1334,[1]ACSDT5Y2020.B08301_data_with_ov!$AS$3:$AS$1334,$B247)</f>
        <v>#VALUE!</v>
      </c>
      <c r="M247" s="17" t="e">
        <f>SUMIFS([1]ACSDT5Y2020.B08301_data_with_ov!AU$3:AU$1334,[1]ACSDT5Y2020.B08301_data_with_ov!$AS$3:$AS$1334,$B247)</f>
        <v>#VALUE!</v>
      </c>
      <c r="N247" s="17" t="e">
        <f>SUMIFS([1]ACSDT5Y2020.B08301_data_with_ov!AV$3:AV$1334,[1]ACSDT5Y2020.B08301_data_with_ov!$AS$3:$AS$1334,$B247)</f>
        <v>#VALUE!</v>
      </c>
      <c r="O247" s="17" t="e">
        <f>SUMIFS([1]ACSDT5Y2020.B08301_data_with_ov!AW$3:AW$1334,[1]ACSDT5Y2020.B08301_data_with_ov!$AS$3:$AS$1334,$B247)</f>
        <v>#VALUE!</v>
      </c>
      <c r="P247" s="17" t="e">
        <f>SUMIFS([1]ACSDT5Y2020.B08301_data_with_ov!AX$3:AX$1334,[1]ACSDT5Y2020.B08301_data_with_ov!$AS$3:$AS$1334,$B247)</f>
        <v>#VALUE!</v>
      </c>
      <c r="Q247" s="17" t="e">
        <f>SUMIFS([1]ACSDT5Y2020.B08301_data_with_ov!AY$3:AY$1334,[1]ACSDT5Y2020.B08301_data_with_ov!$AS$3:$AS$1334,$B247)</f>
        <v>#VALUE!</v>
      </c>
      <c r="R247" s="17" t="e">
        <f>SUMIFS([1]ACSDT5Y2020.B08301_data_with_ov!AZ$3:AZ$1334,[1]ACSDT5Y2020.B08301_data_with_ov!$AS$3:$AS$1334,$B247)</f>
        <v>#VALUE!</v>
      </c>
      <c r="S247" s="17" t="e">
        <f>SUMIFS([1]ACSDT5Y2020.B08301_data_with_ov!BA$3:BA$1334,[1]ACSDT5Y2020.B08301_data_with_ov!$AS$3:$AS$1334,$B247)</f>
        <v>#VALUE!</v>
      </c>
      <c r="T247" s="188">
        <v>3.4883806305128454E-2</v>
      </c>
      <c r="U247" s="189" t="e">
        <f t="shared" si="15"/>
        <v>#VALUE!</v>
      </c>
      <c r="V247" s="188">
        <v>3.4883806305128454E-2</v>
      </c>
      <c r="W247" s="189" t="e">
        <f t="shared" si="12"/>
        <v>#VALUE!</v>
      </c>
      <c r="X247" s="188">
        <v>3.4883806305128454E-2</v>
      </c>
      <c r="Y247" s="189" t="e">
        <f t="shared" si="13"/>
        <v>#VALUE!</v>
      </c>
      <c r="Z247" s="188">
        <v>3.4883806305128454E-2</v>
      </c>
      <c r="AA247" s="189" t="e">
        <f t="shared" si="14"/>
        <v>#VALUE!</v>
      </c>
    </row>
    <row r="248" spans="1:27" x14ac:dyDescent="0.25">
      <c r="A248">
        <v>242100</v>
      </c>
      <c r="B248">
        <v>17031242100</v>
      </c>
      <c r="C248">
        <v>17031</v>
      </c>
      <c r="D248">
        <v>2010</v>
      </c>
      <c r="E248">
        <v>24</v>
      </c>
      <c r="F248">
        <v>3530263.8394004698</v>
      </c>
      <c r="G248" s="45">
        <v>0.12663079084167203</v>
      </c>
      <c r="H248" s="60" t="str">
        <f>_xlfn.IFNA(
INDEX('Community Areas'!B$2:B$78,MATCH($E248,'Community Areas'!$A$2:$A$78,0)),
"")</f>
        <v>WEST TOWN</v>
      </c>
      <c r="I248" s="63" t="str">
        <f>_xlfn.IFNA(
INDEX('Community Areas'!C$2:C$78,MATCH($E248,'Community Areas'!$A$2:$A$78,0)),
"")</f>
        <v>3-B</v>
      </c>
      <c r="J248" s="63">
        <f>_xlfn.IFNA(
INDEX('Community Areas'!D$2:D$78,MATCH($E248,'Community Areas'!$A$2:$A$78,0)),
"")</f>
        <v>7</v>
      </c>
      <c r="K248" s="60" t="str">
        <f>_xlfn.IFNA(
INDEX('Community Areas'!E$2:E$78,MATCH($E248,'Community Areas'!$A$2:$A$78,0)),
"")</f>
        <v>CENTRAL</v>
      </c>
      <c r="L248" s="17" t="e">
        <f>SUMIFS([1]ACSDT5Y2020.B08301_data_with_ov!AT$3:AT$1334,[1]ACSDT5Y2020.B08301_data_with_ov!$AS$3:$AS$1334,$B248)</f>
        <v>#VALUE!</v>
      </c>
      <c r="M248" s="17" t="e">
        <f>SUMIFS([1]ACSDT5Y2020.B08301_data_with_ov!AU$3:AU$1334,[1]ACSDT5Y2020.B08301_data_with_ov!$AS$3:$AS$1334,$B248)</f>
        <v>#VALUE!</v>
      </c>
      <c r="N248" s="17" t="e">
        <f>SUMIFS([1]ACSDT5Y2020.B08301_data_with_ov!AV$3:AV$1334,[1]ACSDT5Y2020.B08301_data_with_ov!$AS$3:$AS$1334,$B248)</f>
        <v>#VALUE!</v>
      </c>
      <c r="O248" s="17" t="e">
        <f>SUMIFS([1]ACSDT5Y2020.B08301_data_with_ov!AW$3:AW$1334,[1]ACSDT5Y2020.B08301_data_with_ov!$AS$3:$AS$1334,$B248)</f>
        <v>#VALUE!</v>
      </c>
      <c r="P248" s="17" t="e">
        <f>SUMIFS([1]ACSDT5Y2020.B08301_data_with_ov!AX$3:AX$1334,[1]ACSDT5Y2020.B08301_data_with_ov!$AS$3:$AS$1334,$B248)</f>
        <v>#VALUE!</v>
      </c>
      <c r="Q248" s="17" t="e">
        <f>SUMIFS([1]ACSDT5Y2020.B08301_data_with_ov!AY$3:AY$1334,[1]ACSDT5Y2020.B08301_data_with_ov!$AS$3:$AS$1334,$B248)</f>
        <v>#VALUE!</v>
      </c>
      <c r="R248" s="17" t="e">
        <f>SUMIFS([1]ACSDT5Y2020.B08301_data_with_ov!AZ$3:AZ$1334,[1]ACSDT5Y2020.B08301_data_with_ov!$AS$3:$AS$1334,$B248)</f>
        <v>#VALUE!</v>
      </c>
      <c r="S248" s="17" t="e">
        <f>SUMIFS([1]ACSDT5Y2020.B08301_data_with_ov!BA$3:BA$1334,[1]ACSDT5Y2020.B08301_data_with_ov!$AS$3:$AS$1334,$B248)</f>
        <v>#VALUE!</v>
      </c>
      <c r="T248" s="188">
        <v>0.12663078950174186</v>
      </c>
      <c r="U248" s="189" t="e">
        <f t="shared" si="15"/>
        <v>#VALUE!</v>
      </c>
      <c r="V248" s="188">
        <v>0.12663078950174186</v>
      </c>
      <c r="W248" s="189" t="e">
        <f t="shared" si="12"/>
        <v>#VALUE!</v>
      </c>
      <c r="X248" s="188">
        <v>0.12663078950174186</v>
      </c>
      <c r="Y248" s="189" t="e">
        <f t="shared" si="13"/>
        <v>#VALUE!</v>
      </c>
      <c r="Z248" s="188">
        <v>0.12663078950174186</v>
      </c>
      <c r="AA248" s="189" t="e">
        <f t="shared" si="14"/>
        <v>#VALUE!</v>
      </c>
    </row>
    <row r="249" spans="1:27" x14ac:dyDescent="0.25">
      <c r="A249">
        <v>242800</v>
      </c>
      <c r="B249">
        <v>17031242800</v>
      </c>
      <c r="C249">
        <v>17031</v>
      </c>
      <c r="D249">
        <v>2010</v>
      </c>
      <c r="E249">
        <v>24</v>
      </c>
      <c r="F249">
        <v>4805619.9230553601</v>
      </c>
      <c r="G249" s="45">
        <v>0.17237789554118457</v>
      </c>
      <c r="H249" s="60" t="str">
        <f>_xlfn.IFNA(
INDEX('Community Areas'!B$2:B$78,MATCH($E249,'Community Areas'!$A$2:$A$78,0)),
"")</f>
        <v>WEST TOWN</v>
      </c>
      <c r="I249" s="63" t="str">
        <f>_xlfn.IFNA(
INDEX('Community Areas'!C$2:C$78,MATCH($E249,'Community Areas'!$A$2:$A$78,0)),
"")</f>
        <v>3-B</v>
      </c>
      <c r="J249" s="63">
        <f>_xlfn.IFNA(
INDEX('Community Areas'!D$2:D$78,MATCH($E249,'Community Areas'!$A$2:$A$78,0)),
"")</f>
        <v>7</v>
      </c>
      <c r="K249" s="60" t="str">
        <f>_xlfn.IFNA(
INDEX('Community Areas'!E$2:E$78,MATCH($E249,'Community Areas'!$A$2:$A$78,0)),
"")</f>
        <v>CENTRAL</v>
      </c>
      <c r="L249" s="17" t="e">
        <f>SUMIFS([1]ACSDT5Y2020.B08301_data_with_ov!AT$3:AT$1334,[1]ACSDT5Y2020.B08301_data_with_ov!$AS$3:$AS$1334,$B249)</f>
        <v>#VALUE!</v>
      </c>
      <c r="M249" s="17" t="e">
        <f>SUMIFS([1]ACSDT5Y2020.B08301_data_with_ov!AU$3:AU$1334,[1]ACSDT5Y2020.B08301_data_with_ov!$AS$3:$AS$1334,$B249)</f>
        <v>#VALUE!</v>
      </c>
      <c r="N249" s="17" t="e">
        <f>SUMIFS([1]ACSDT5Y2020.B08301_data_with_ov!AV$3:AV$1334,[1]ACSDT5Y2020.B08301_data_with_ov!$AS$3:$AS$1334,$B249)</f>
        <v>#VALUE!</v>
      </c>
      <c r="O249" s="17" t="e">
        <f>SUMIFS([1]ACSDT5Y2020.B08301_data_with_ov!AW$3:AW$1334,[1]ACSDT5Y2020.B08301_data_with_ov!$AS$3:$AS$1334,$B249)</f>
        <v>#VALUE!</v>
      </c>
      <c r="P249" s="17" t="e">
        <f>SUMIFS([1]ACSDT5Y2020.B08301_data_with_ov!AX$3:AX$1334,[1]ACSDT5Y2020.B08301_data_with_ov!$AS$3:$AS$1334,$B249)</f>
        <v>#VALUE!</v>
      </c>
      <c r="Q249" s="17" t="e">
        <f>SUMIFS([1]ACSDT5Y2020.B08301_data_with_ov!AY$3:AY$1334,[1]ACSDT5Y2020.B08301_data_with_ov!$AS$3:$AS$1334,$B249)</f>
        <v>#VALUE!</v>
      </c>
      <c r="R249" s="17" t="e">
        <f>SUMIFS([1]ACSDT5Y2020.B08301_data_with_ov!AZ$3:AZ$1334,[1]ACSDT5Y2020.B08301_data_with_ov!$AS$3:$AS$1334,$B249)</f>
        <v>#VALUE!</v>
      </c>
      <c r="S249" s="17" t="e">
        <f>SUMIFS([1]ACSDT5Y2020.B08301_data_with_ov!BA$3:BA$1334,[1]ACSDT5Y2020.B08301_data_with_ov!$AS$3:$AS$1334,$B249)</f>
        <v>#VALUE!</v>
      </c>
      <c r="T249" s="188">
        <v>0.17079773240058899</v>
      </c>
      <c r="U249" s="189" t="e">
        <f t="shared" si="15"/>
        <v>#VALUE!</v>
      </c>
      <c r="V249" s="188">
        <v>0.17079773240058899</v>
      </c>
      <c r="W249" s="189" t="e">
        <f t="shared" si="12"/>
        <v>#VALUE!</v>
      </c>
      <c r="X249" s="188">
        <v>0.17079773240058899</v>
      </c>
      <c r="Y249" s="189" t="e">
        <f t="shared" si="13"/>
        <v>#VALUE!</v>
      </c>
      <c r="Z249" s="188">
        <v>0.17079773240058899</v>
      </c>
      <c r="AA249" s="189" t="e">
        <f t="shared" si="14"/>
        <v>#VALUE!</v>
      </c>
    </row>
    <row r="250" spans="1:27" x14ac:dyDescent="0.25">
      <c r="A250">
        <v>243100</v>
      </c>
      <c r="B250">
        <v>17031243100</v>
      </c>
      <c r="C250">
        <v>17031</v>
      </c>
      <c r="D250">
        <v>2010</v>
      </c>
      <c r="E250">
        <v>24</v>
      </c>
      <c r="F250">
        <v>3487580.5135117699</v>
      </c>
      <c r="G250" s="45">
        <v>0.12509973719839626</v>
      </c>
      <c r="H250" s="60" t="str">
        <f>_xlfn.IFNA(
INDEX('Community Areas'!B$2:B$78,MATCH($E250,'Community Areas'!$A$2:$A$78,0)),
"")</f>
        <v>WEST TOWN</v>
      </c>
      <c r="I250" s="63" t="str">
        <f>_xlfn.IFNA(
INDEX('Community Areas'!C$2:C$78,MATCH($E250,'Community Areas'!$A$2:$A$78,0)),
"")</f>
        <v>3-B</v>
      </c>
      <c r="J250" s="63">
        <f>_xlfn.IFNA(
INDEX('Community Areas'!D$2:D$78,MATCH($E250,'Community Areas'!$A$2:$A$78,0)),
"")</f>
        <v>7</v>
      </c>
      <c r="K250" s="60" t="str">
        <f>_xlfn.IFNA(
INDEX('Community Areas'!E$2:E$78,MATCH($E250,'Community Areas'!$A$2:$A$78,0)),
"")</f>
        <v>CENTRAL</v>
      </c>
      <c r="L250" s="17" t="e">
        <f>SUMIFS([1]ACSDT5Y2020.B08301_data_with_ov!AT$3:AT$1334,[1]ACSDT5Y2020.B08301_data_with_ov!$AS$3:$AS$1334,$B250)</f>
        <v>#VALUE!</v>
      </c>
      <c r="M250" s="17" t="e">
        <f>SUMIFS([1]ACSDT5Y2020.B08301_data_with_ov!AU$3:AU$1334,[1]ACSDT5Y2020.B08301_data_with_ov!$AS$3:$AS$1334,$B250)</f>
        <v>#VALUE!</v>
      </c>
      <c r="N250" s="17" t="e">
        <f>SUMIFS([1]ACSDT5Y2020.B08301_data_with_ov!AV$3:AV$1334,[1]ACSDT5Y2020.B08301_data_with_ov!$AS$3:$AS$1334,$B250)</f>
        <v>#VALUE!</v>
      </c>
      <c r="O250" s="17" t="e">
        <f>SUMIFS([1]ACSDT5Y2020.B08301_data_with_ov!AW$3:AW$1334,[1]ACSDT5Y2020.B08301_data_with_ov!$AS$3:$AS$1334,$B250)</f>
        <v>#VALUE!</v>
      </c>
      <c r="P250" s="17" t="e">
        <f>SUMIFS([1]ACSDT5Y2020.B08301_data_with_ov!AX$3:AX$1334,[1]ACSDT5Y2020.B08301_data_with_ov!$AS$3:$AS$1334,$B250)</f>
        <v>#VALUE!</v>
      </c>
      <c r="Q250" s="17" t="e">
        <f>SUMIFS([1]ACSDT5Y2020.B08301_data_with_ov!AY$3:AY$1334,[1]ACSDT5Y2020.B08301_data_with_ov!$AS$3:$AS$1334,$B250)</f>
        <v>#VALUE!</v>
      </c>
      <c r="R250" s="17" t="e">
        <f>SUMIFS([1]ACSDT5Y2020.B08301_data_with_ov!AZ$3:AZ$1334,[1]ACSDT5Y2020.B08301_data_with_ov!$AS$3:$AS$1334,$B250)</f>
        <v>#VALUE!</v>
      </c>
      <c r="S250" s="17" t="e">
        <f>SUMIFS([1]ACSDT5Y2020.B08301_data_with_ov!BA$3:BA$1334,[1]ACSDT5Y2020.B08301_data_with_ov!$AS$3:$AS$1334,$B250)</f>
        <v>#VALUE!</v>
      </c>
      <c r="T250" s="188">
        <v>0.12509973968815785</v>
      </c>
      <c r="U250" s="189" t="e">
        <f t="shared" si="15"/>
        <v>#VALUE!</v>
      </c>
      <c r="V250" s="188">
        <v>0.12509973968815785</v>
      </c>
      <c r="W250" s="189" t="e">
        <f t="shared" si="12"/>
        <v>#VALUE!</v>
      </c>
      <c r="X250" s="188">
        <v>0.12509973968815785</v>
      </c>
      <c r="Y250" s="189" t="e">
        <f t="shared" si="13"/>
        <v>#VALUE!</v>
      </c>
      <c r="Z250" s="188">
        <v>0.12509973968815785</v>
      </c>
      <c r="AA250" s="189" t="e">
        <f t="shared" si="14"/>
        <v>#VALUE!</v>
      </c>
    </row>
    <row r="251" spans="1:27" x14ac:dyDescent="0.25">
      <c r="A251">
        <v>243500</v>
      </c>
      <c r="B251">
        <v>17031243500</v>
      </c>
      <c r="C251">
        <v>17031</v>
      </c>
      <c r="D251">
        <v>2010</v>
      </c>
      <c r="E251">
        <v>24</v>
      </c>
      <c r="F251">
        <v>7088006.7342959503</v>
      </c>
      <c r="G251" s="45">
        <v>0.25424725717028057</v>
      </c>
      <c r="H251" s="60" t="str">
        <f>_xlfn.IFNA(
INDEX('Community Areas'!B$2:B$78,MATCH($E251,'Community Areas'!$A$2:$A$78,0)),
"")</f>
        <v>WEST TOWN</v>
      </c>
      <c r="I251" s="63" t="str">
        <f>_xlfn.IFNA(
INDEX('Community Areas'!C$2:C$78,MATCH($E251,'Community Areas'!$A$2:$A$78,0)),
"")</f>
        <v>3-B</v>
      </c>
      <c r="J251" s="63">
        <f>_xlfn.IFNA(
INDEX('Community Areas'!D$2:D$78,MATCH($E251,'Community Areas'!$A$2:$A$78,0)),
"")</f>
        <v>7</v>
      </c>
      <c r="K251" s="60" t="str">
        <f>_xlfn.IFNA(
INDEX('Community Areas'!E$2:E$78,MATCH($E251,'Community Areas'!$A$2:$A$78,0)),
"")</f>
        <v>CENTRAL</v>
      </c>
      <c r="L251" s="17" t="e">
        <f>SUMIFS([1]ACSDT5Y2020.B08301_data_with_ov!AT$3:AT$1334,[1]ACSDT5Y2020.B08301_data_with_ov!$AS$3:$AS$1334,$B251)</f>
        <v>#VALUE!</v>
      </c>
      <c r="M251" s="17" t="e">
        <f>SUMIFS([1]ACSDT5Y2020.B08301_data_with_ov!AU$3:AU$1334,[1]ACSDT5Y2020.B08301_data_with_ov!$AS$3:$AS$1334,$B251)</f>
        <v>#VALUE!</v>
      </c>
      <c r="N251" s="17" t="e">
        <f>SUMIFS([1]ACSDT5Y2020.B08301_data_with_ov!AV$3:AV$1334,[1]ACSDT5Y2020.B08301_data_with_ov!$AS$3:$AS$1334,$B251)</f>
        <v>#VALUE!</v>
      </c>
      <c r="O251" s="17" t="e">
        <f>SUMIFS([1]ACSDT5Y2020.B08301_data_with_ov!AW$3:AW$1334,[1]ACSDT5Y2020.B08301_data_with_ov!$AS$3:$AS$1334,$B251)</f>
        <v>#VALUE!</v>
      </c>
      <c r="P251" s="17" t="e">
        <f>SUMIFS([1]ACSDT5Y2020.B08301_data_with_ov!AX$3:AX$1334,[1]ACSDT5Y2020.B08301_data_with_ov!$AS$3:$AS$1334,$B251)</f>
        <v>#VALUE!</v>
      </c>
      <c r="Q251" s="17" t="e">
        <f>SUMIFS([1]ACSDT5Y2020.B08301_data_with_ov!AY$3:AY$1334,[1]ACSDT5Y2020.B08301_data_with_ov!$AS$3:$AS$1334,$B251)</f>
        <v>#VALUE!</v>
      </c>
      <c r="R251" s="17" t="e">
        <f>SUMIFS([1]ACSDT5Y2020.B08301_data_with_ov!AZ$3:AZ$1334,[1]ACSDT5Y2020.B08301_data_with_ov!$AS$3:$AS$1334,$B251)</f>
        <v>#VALUE!</v>
      </c>
      <c r="S251" s="17" t="e">
        <f>SUMIFS([1]ACSDT5Y2020.B08301_data_with_ov!BA$3:BA$1334,[1]ACSDT5Y2020.B08301_data_with_ov!$AS$3:$AS$1334,$B251)</f>
        <v>#VALUE!</v>
      </c>
      <c r="T251" s="188">
        <v>0.25424725619430022</v>
      </c>
      <c r="U251" s="189" t="e">
        <f t="shared" si="15"/>
        <v>#VALUE!</v>
      </c>
      <c r="V251" s="188">
        <v>0.25424725619430022</v>
      </c>
      <c r="W251" s="189" t="e">
        <f t="shared" si="12"/>
        <v>#VALUE!</v>
      </c>
      <c r="X251" s="188">
        <v>0.25424725619430022</v>
      </c>
      <c r="Y251" s="189" t="e">
        <f t="shared" si="13"/>
        <v>#VALUE!</v>
      </c>
      <c r="Z251" s="188">
        <v>0.25424725619430022</v>
      </c>
      <c r="AA251" s="189" t="e">
        <f t="shared" si="14"/>
        <v>#VALUE!</v>
      </c>
    </row>
    <row r="252" spans="1:27" x14ac:dyDescent="0.25">
      <c r="A252">
        <v>842300</v>
      </c>
      <c r="B252">
        <v>17031842300</v>
      </c>
      <c r="C252">
        <v>17031</v>
      </c>
      <c r="D252">
        <v>2010</v>
      </c>
      <c r="E252">
        <v>24</v>
      </c>
      <c r="F252">
        <v>20148455.538192399</v>
      </c>
      <c r="G252" s="45">
        <v>0.72272639528066174</v>
      </c>
      <c r="H252" s="60" t="str">
        <f>_xlfn.IFNA(
INDEX('Community Areas'!B$2:B$78,MATCH($E252,'Community Areas'!$A$2:$A$78,0)),
"")</f>
        <v>WEST TOWN</v>
      </c>
      <c r="I252" s="63" t="str">
        <f>_xlfn.IFNA(
INDEX('Community Areas'!C$2:C$78,MATCH($E252,'Community Areas'!$A$2:$A$78,0)),
"")</f>
        <v>3-B</v>
      </c>
      <c r="J252" s="63">
        <f>_xlfn.IFNA(
INDEX('Community Areas'!D$2:D$78,MATCH($E252,'Community Areas'!$A$2:$A$78,0)),
"")</f>
        <v>7</v>
      </c>
      <c r="K252" s="60" t="str">
        <f>_xlfn.IFNA(
INDEX('Community Areas'!E$2:E$78,MATCH($E252,'Community Areas'!$A$2:$A$78,0)),
"")</f>
        <v>CENTRAL</v>
      </c>
      <c r="L252" s="17" t="e">
        <f>SUMIFS([1]ACSDT5Y2020.B08301_data_with_ov!AT$3:AT$1334,[1]ACSDT5Y2020.B08301_data_with_ov!$AS$3:$AS$1334,$B252)</f>
        <v>#VALUE!</v>
      </c>
      <c r="M252" s="17" t="e">
        <f>SUMIFS([1]ACSDT5Y2020.B08301_data_with_ov!AU$3:AU$1334,[1]ACSDT5Y2020.B08301_data_with_ov!$AS$3:$AS$1334,$B252)</f>
        <v>#VALUE!</v>
      </c>
      <c r="N252" s="17" t="e">
        <f>SUMIFS([1]ACSDT5Y2020.B08301_data_with_ov!AV$3:AV$1334,[1]ACSDT5Y2020.B08301_data_with_ov!$AS$3:$AS$1334,$B252)</f>
        <v>#VALUE!</v>
      </c>
      <c r="O252" s="17" t="e">
        <f>SUMIFS([1]ACSDT5Y2020.B08301_data_with_ov!AW$3:AW$1334,[1]ACSDT5Y2020.B08301_data_with_ov!$AS$3:$AS$1334,$B252)</f>
        <v>#VALUE!</v>
      </c>
      <c r="P252" s="17" t="e">
        <f>SUMIFS([1]ACSDT5Y2020.B08301_data_with_ov!AX$3:AX$1334,[1]ACSDT5Y2020.B08301_data_with_ov!$AS$3:$AS$1334,$B252)</f>
        <v>#VALUE!</v>
      </c>
      <c r="Q252" s="17" t="e">
        <f>SUMIFS([1]ACSDT5Y2020.B08301_data_with_ov!AY$3:AY$1334,[1]ACSDT5Y2020.B08301_data_with_ov!$AS$3:$AS$1334,$B252)</f>
        <v>#VALUE!</v>
      </c>
      <c r="R252" s="17" t="e">
        <f>SUMIFS([1]ACSDT5Y2020.B08301_data_with_ov!AZ$3:AZ$1334,[1]ACSDT5Y2020.B08301_data_with_ov!$AS$3:$AS$1334,$B252)</f>
        <v>#VALUE!</v>
      </c>
      <c r="S252" s="17" t="e">
        <f>SUMIFS([1]ACSDT5Y2020.B08301_data_with_ov!BA$3:BA$1334,[1]ACSDT5Y2020.B08301_data_with_ov!$AS$3:$AS$1334,$B252)</f>
        <v>#VALUE!</v>
      </c>
      <c r="T252" s="188">
        <v>0.72272639559653717</v>
      </c>
      <c r="U252" s="189" t="e">
        <f t="shared" si="15"/>
        <v>#VALUE!</v>
      </c>
      <c r="V252" s="188">
        <v>0.72272639559653717</v>
      </c>
      <c r="W252" s="189" t="e">
        <f t="shared" si="12"/>
        <v>#VALUE!</v>
      </c>
      <c r="X252" s="188">
        <v>0.72272639559653717</v>
      </c>
      <c r="Y252" s="189" t="e">
        <f t="shared" si="13"/>
        <v>#VALUE!</v>
      </c>
      <c r="Z252" s="188">
        <v>0.72272639559653717</v>
      </c>
      <c r="AA252" s="189" t="e">
        <f t="shared" si="14"/>
        <v>#VALUE!</v>
      </c>
    </row>
    <row r="253" spans="1:27" x14ac:dyDescent="0.25">
      <c r="A253">
        <v>240500</v>
      </c>
      <c r="B253">
        <v>17031240500</v>
      </c>
      <c r="C253">
        <v>17031</v>
      </c>
      <c r="D253">
        <v>2010</v>
      </c>
      <c r="E253">
        <v>24</v>
      </c>
      <c r="F253">
        <v>2509349.84908348</v>
      </c>
      <c r="G253" s="45">
        <v>9.0010540385512802E-2</v>
      </c>
      <c r="H253" s="60" t="str">
        <f>_xlfn.IFNA(
INDEX('Community Areas'!B$2:B$78,MATCH($E253,'Community Areas'!$A$2:$A$78,0)),
"")</f>
        <v>WEST TOWN</v>
      </c>
      <c r="I253" s="63" t="str">
        <f>_xlfn.IFNA(
INDEX('Community Areas'!C$2:C$78,MATCH($E253,'Community Areas'!$A$2:$A$78,0)),
"")</f>
        <v>3-B</v>
      </c>
      <c r="J253" s="63">
        <f>_xlfn.IFNA(
INDEX('Community Areas'!D$2:D$78,MATCH($E253,'Community Areas'!$A$2:$A$78,0)),
"")</f>
        <v>7</v>
      </c>
      <c r="K253" s="60" t="str">
        <f>_xlfn.IFNA(
INDEX('Community Areas'!E$2:E$78,MATCH($E253,'Community Areas'!$A$2:$A$78,0)),
"")</f>
        <v>CENTRAL</v>
      </c>
      <c r="L253" s="17" t="e">
        <f>SUMIFS([1]ACSDT5Y2020.B08301_data_with_ov!AT$3:AT$1334,[1]ACSDT5Y2020.B08301_data_with_ov!$AS$3:$AS$1334,$B253)</f>
        <v>#VALUE!</v>
      </c>
      <c r="M253" s="17" t="e">
        <f>SUMIFS([1]ACSDT5Y2020.B08301_data_with_ov!AU$3:AU$1334,[1]ACSDT5Y2020.B08301_data_with_ov!$AS$3:$AS$1334,$B253)</f>
        <v>#VALUE!</v>
      </c>
      <c r="N253" s="17" t="e">
        <f>SUMIFS([1]ACSDT5Y2020.B08301_data_with_ov!AV$3:AV$1334,[1]ACSDT5Y2020.B08301_data_with_ov!$AS$3:$AS$1334,$B253)</f>
        <v>#VALUE!</v>
      </c>
      <c r="O253" s="17" t="e">
        <f>SUMIFS([1]ACSDT5Y2020.B08301_data_with_ov!AW$3:AW$1334,[1]ACSDT5Y2020.B08301_data_with_ov!$AS$3:$AS$1334,$B253)</f>
        <v>#VALUE!</v>
      </c>
      <c r="P253" s="17" t="e">
        <f>SUMIFS([1]ACSDT5Y2020.B08301_data_with_ov!AX$3:AX$1334,[1]ACSDT5Y2020.B08301_data_with_ov!$AS$3:$AS$1334,$B253)</f>
        <v>#VALUE!</v>
      </c>
      <c r="Q253" s="17" t="e">
        <f>SUMIFS([1]ACSDT5Y2020.B08301_data_with_ov!AY$3:AY$1334,[1]ACSDT5Y2020.B08301_data_with_ov!$AS$3:$AS$1334,$B253)</f>
        <v>#VALUE!</v>
      </c>
      <c r="R253" s="17" t="e">
        <f>SUMIFS([1]ACSDT5Y2020.B08301_data_with_ov!AZ$3:AZ$1334,[1]ACSDT5Y2020.B08301_data_with_ov!$AS$3:$AS$1334,$B253)</f>
        <v>#VALUE!</v>
      </c>
      <c r="S253" s="17" t="e">
        <f>SUMIFS([1]ACSDT5Y2020.B08301_data_with_ov!BA$3:BA$1334,[1]ACSDT5Y2020.B08301_data_with_ov!$AS$3:$AS$1334,$B253)</f>
        <v>#VALUE!</v>
      </c>
      <c r="T253" s="188">
        <v>9.0010542183495107E-2</v>
      </c>
      <c r="U253" s="189" t="e">
        <f t="shared" si="15"/>
        <v>#VALUE!</v>
      </c>
      <c r="V253" s="188">
        <v>9.0010542183495107E-2</v>
      </c>
      <c r="W253" s="189" t="e">
        <f t="shared" si="12"/>
        <v>#VALUE!</v>
      </c>
      <c r="X253" s="188">
        <v>9.0010542183495107E-2</v>
      </c>
      <c r="Y253" s="189" t="e">
        <f t="shared" si="13"/>
        <v>#VALUE!</v>
      </c>
      <c r="Z253" s="188">
        <v>9.0010542183495107E-2</v>
      </c>
      <c r="AA253" s="189" t="e">
        <f t="shared" si="14"/>
        <v>#VALUE!</v>
      </c>
    </row>
    <row r="254" spans="1:27" x14ac:dyDescent="0.25">
      <c r="A254">
        <v>241500</v>
      </c>
      <c r="B254">
        <v>17031241500</v>
      </c>
      <c r="C254">
        <v>17031</v>
      </c>
      <c r="D254">
        <v>2010</v>
      </c>
      <c r="E254">
        <v>24</v>
      </c>
      <c r="F254">
        <v>3263725.1380277202</v>
      </c>
      <c r="G254" s="45">
        <v>0.11707003049054895</v>
      </c>
      <c r="H254" s="60" t="str">
        <f>_xlfn.IFNA(
INDEX('Community Areas'!B$2:B$78,MATCH($E254,'Community Areas'!$A$2:$A$78,0)),
"")</f>
        <v>WEST TOWN</v>
      </c>
      <c r="I254" s="63" t="str">
        <f>_xlfn.IFNA(
INDEX('Community Areas'!C$2:C$78,MATCH($E254,'Community Areas'!$A$2:$A$78,0)),
"")</f>
        <v>3-B</v>
      </c>
      <c r="J254" s="63">
        <f>_xlfn.IFNA(
INDEX('Community Areas'!D$2:D$78,MATCH($E254,'Community Areas'!$A$2:$A$78,0)),
"")</f>
        <v>7</v>
      </c>
      <c r="K254" s="60" t="str">
        <f>_xlfn.IFNA(
INDEX('Community Areas'!E$2:E$78,MATCH($E254,'Community Areas'!$A$2:$A$78,0)),
"")</f>
        <v>CENTRAL</v>
      </c>
      <c r="L254" s="17" t="e">
        <f>SUMIFS([1]ACSDT5Y2020.B08301_data_with_ov!AT$3:AT$1334,[1]ACSDT5Y2020.B08301_data_with_ov!$AS$3:$AS$1334,$B254)</f>
        <v>#VALUE!</v>
      </c>
      <c r="M254" s="17" t="e">
        <f>SUMIFS([1]ACSDT5Y2020.B08301_data_with_ov!AU$3:AU$1334,[1]ACSDT5Y2020.B08301_data_with_ov!$AS$3:$AS$1334,$B254)</f>
        <v>#VALUE!</v>
      </c>
      <c r="N254" s="17" t="e">
        <f>SUMIFS([1]ACSDT5Y2020.B08301_data_with_ov!AV$3:AV$1334,[1]ACSDT5Y2020.B08301_data_with_ov!$AS$3:$AS$1334,$B254)</f>
        <v>#VALUE!</v>
      </c>
      <c r="O254" s="17" t="e">
        <f>SUMIFS([1]ACSDT5Y2020.B08301_data_with_ov!AW$3:AW$1334,[1]ACSDT5Y2020.B08301_data_with_ov!$AS$3:$AS$1334,$B254)</f>
        <v>#VALUE!</v>
      </c>
      <c r="P254" s="17" t="e">
        <f>SUMIFS([1]ACSDT5Y2020.B08301_data_with_ov!AX$3:AX$1334,[1]ACSDT5Y2020.B08301_data_with_ov!$AS$3:$AS$1334,$B254)</f>
        <v>#VALUE!</v>
      </c>
      <c r="Q254" s="17" t="e">
        <f>SUMIFS([1]ACSDT5Y2020.B08301_data_with_ov!AY$3:AY$1334,[1]ACSDT5Y2020.B08301_data_with_ov!$AS$3:$AS$1334,$B254)</f>
        <v>#VALUE!</v>
      </c>
      <c r="R254" s="17" t="e">
        <f>SUMIFS([1]ACSDT5Y2020.B08301_data_with_ov!AZ$3:AZ$1334,[1]ACSDT5Y2020.B08301_data_with_ov!$AS$3:$AS$1334,$B254)</f>
        <v>#VALUE!</v>
      </c>
      <c r="S254" s="17" t="e">
        <f>SUMIFS([1]ACSDT5Y2020.B08301_data_with_ov!BA$3:BA$1334,[1]ACSDT5Y2020.B08301_data_with_ov!$AS$3:$AS$1334,$B254)</f>
        <v>#VALUE!</v>
      </c>
      <c r="T254" s="188">
        <v>0.11707002794883387</v>
      </c>
      <c r="U254" s="189" t="e">
        <f t="shared" si="15"/>
        <v>#VALUE!</v>
      </c>
      <c r="V254" s="188">
        <v>0.11707002794883387</v>
      </c>
      <c r="W254" s="189" t="e">
        <f t="shared" si="12"/>
        <v>#VALUE!</v>
      </c>
      <c r="X254" s="188">
        <v>0.11707002794883387</v>
      </c>
      <c r="Y254" s="189" t="e">
        <f t="shared" si="13"/>
        <v>#VALUE!</v>
      </c>
      <c r="Z254" s="188">
        <v>0.11707002794883387</v>
      </c>
      <c r="AA254" s="189" t="e">
        <f t="shared" si="14"/>
        <v>#VALUE!</v>
      </c>
    </row>
    <row r="255" spans="1:27" x14ac:dyDescent="0.25">
      <c r="A255">
        <v>241600</v>
      </c>
      <c r="B255">
        <v>17031241600</v>
      </c>
      <c r="C255">
        <v>17031</v>
      </c>
      <c r="D255">
        <v>2010</v>
      </c>
      <c r="E255">
        <v>24</v>
      </c>
      <c r="F255">
        <v>3106183.4147675401</v>
      </c>
      <c r="G255" s="45">
        <v>0.11141899875055743</v>
      </c>
      <c r="H255" s="60" t="str">
        <f>_xlfn.IFNA(
INDEX('Community Areas'!B$2:B$78,MATCH($E255,'Community Areas'!$A$2:$A$78,0)),
"")</f>
        <v>WEST TOWN</v>
      </c>
      <c r="I255" s="63" t="str">
        <f>_xlfn.IFNA(
INDEX('Community Areas'!C$2:C$78,MATCH($E255,'Community Areas'!$A$2:$A$78,0)),
"")</f>
        <v>3-B</v>
      </c>
      <c r="J255" s="63">
        <f>_xlfn.IFNA(
INDEX('Community Areas'!D$2:D$78,MATCH($E255,'Community Areas'!$A$2:$A$78,0)),
"")</f>
        <v>7</v>
      </c>
      <c r="K255" s="60" t="str">
        <f>_xlfn.IFNA(
INDEX('Community Areas'!E$2:E$78,MATCH($E255,'Community Areas'!$A$2:$A$78,0)),
"")</f>
        <v>CENTRAL</v>
      </c>
      <c r="L255" s="17" t="e">
        <f>SUMIFS([1]ACSDT5Y2020.B08301_data_with_ov!AT$3:AT$1334,[1]ACSDT5Y2020.B08301_data_with_ov!$AS$3:$AS$1334,$B255)</f>
        <v>#VALUE!</v>
      </c>
      <c r="M255" s="17" t="e">
        <f>SUMIFS([1]ACSDT5Y2020.B08301_data_with_ov!AU$3:AU$1334,[1]ACSDT5Y2020.B08301_data_with_ov!$AS$3:$AS$1334,$B255)</f>
        <v>#VALUE!</v>
      </c>
      <c r="N255" s="17" t="e">
        <f>SUMIFS([1]ACSDT5Y2020.B08301_data_with_ov!AV$3:AV$1334,[1]ACSDT5Y2020.B08301_data_with_ov!$AS$3:$AS$1334,$B255)</f>
        <v>#VALUE!</v>
      </c>
      <c r="O255" s="17" t="e">
        <f>SUMIFS([1]ACSDT5Y2020.B08301_data_with_ov!AW$3:AW$1334,[1]ACSDT5Y2020.B08301_data_with_ov!$AS$3:$AS$1334,$B255)</f>
        <v>#VALUE!</v>
      </c>
      <c r="P255" s="17" t="e">
        <f>SUMIFS([1]ACSDT5Y2020.B08301_data_with_ov!AX$3:AX$1334,[1]ACSDT5Y2020.B08301_data_with_ov!$AS$3:$AS$1334,$B255)</f>
        <v>#VALUE!</v>
      </c>
      <c r="Q255" s="17" t="e">
        <f>SUMIFS([1]ACSDT5Y2020.B08301_data_with_ov!AY$3:AY$1334,[1]ACSDT5Y2020.B08301_data_with_ov!$AS$3:$AS$1334,$B255)</f>
        <v>#VALUE!</v>
      </c>
      <c r="R255" s="17" t="e">
        <f>SUMIFS([1]ACSDT5Y2020.B08301_data_with_ov!AZ$3:AZ$1334,[1]ACSDT5Y2020.B08301_data_with_ov!$AS$3:$AS$1334,$B255)</f>
        <v>#VALUE!</v>
      </c>
      <c r="S255" s="17" t="e">
        <f>SUMIFS([1]ACSDT5Y2020.B08301_data_with_ov!BA$3:BA$1334,[1]ACSDT5Y2020.B08301_data_with_ov!$AS$3:$AS$1334,$B255)</f>
        <v>#VALUE!</v>
      </c>
      <c r="T255" s="188">
        <v>0.1114190006509606</v>
      </c>
      <c r="U255" s="189" t="e">
        <f t="shared" si="15"/>
        <v>#VALUE!</v>
      </c>
      <c r="V255" s="188">
        <v>0.1114190006509606</v>
      </c>
      <c r="W255" s="189" t="e">
        <f t="shared" si="12"/>
        <v>#VALUE!</v>
      </c>
      <c r="X255" s="188">
        <v>0.1114190006509606</v>
      </c>
      <c r="Y255" s="189" t="e">
        <f t="shared" si="13"/>
        <v>#VALUE!</v>
      </c>
      <c r="Z255" s="188">
        <v>0.1114190006509606</v>
      </c>
      <c r="AA255" s="189" t="e">
        <f t="shared" si="14"/>
        <v>#VALUE!</v>
      </c>
    </row>
    <row r="256" spans="1:27" x14ac:dyDescent="0.25">
      <c r="A256">
        <v>242600</v>
      </c>
      <c r="B256">
        <v>17031242600</v>
      </c>
      <c r="C256">
        <v>17031</v>
      </c>
      <c r="D256">
        <v>2010</v>
      </c>
      <c r="E256">
        <v>24</v>
      </c>
      <c r="F256">
        <v>5120926.0005925903</v>
      </c>
      <c r="G256" s="45">
        <v>0.18368794481005332</v>
      </c>
      <c r="H256" s="60" t="str">
        <f>_xlfn.IFNA(
INDEX('Community Areas'!B$2:B$78,MATCH($E256,'Community Areas'!$A$2:$A$78,0)),
"")</f>
        <v>WEST TOWN</v>
      </c>
      <c r="I256" s="63" t="str">
        <f>_xlfn.IFNA(
INDEX('Community Areas'!C$2:C$78,MATCH($E256,'Community Areas'!$A$2:$A$78,0)),
"")</f>
        <v>3-B</v>
      </c>
      <c r="J256" s="63">
        <f>_xlfn.IFNA(
INDEX('Community Areas'!D$2:D$78,MATCH($E256,'Community Areas'!$A$2:$A$78,0)),
"")</f>
        <v>7</v>
      </c>
      <c r="K256" s="60" t="str">
        <f>_xlfn.IFNA(
INDEX('Community Areas'!E$2:E$78,MATCH($E256,'Community Areas'!$A$2:$A$78,0)),
"")</f>
        <v>CENTRAL</v>
      </c>
      <c r="L256" s="17" t="e">
        <f>SUMIFS([1]ACSDT5Y2020.B08301_data_with_ov!AT$3:AT$1334,[1]ACSDT5Y2020.B08301_data_with_ov!$AS$3:$AS$1334,$B256)</f>
        <v>#VALUE!</v>
      </c>
      <c r="M256" s="17" t="e">
        <f>SUMIFS([1]ACSDT5Y2020.B08301_data_with_ov!AU$3:AU$1334,[1]ACSDT5Y2020.B08301_data_with_ov!$AS$3:$AS$1334,$B256)</f>
        <v>#VALUE!</v>
      </c>
      <c r="N256" s="17" t="e">
        <f>SUMIFS([1]ACSDT5Y2020.B08301_data_with_ov!AV$3:AV$1334,[1]ACSDT5Y2020.B08301_data_with_ov!$AS$3:$AS$1334,$B256)</f>
        <v>#VALUE!</v>
      </c>
      <c r="O256" s="17" t="e">
        <f>SUMIFS([1]ACSDT5Y2020.B08301_data_with_ov!AW$3:AW$1334,[1]ACSDT5Y2020.B08301_data_with_ov!$AS$3:$AS$1334,$B256)</f>
        <v>#VALUE!</v>
      </c>
      <c r="P256" s="17" t="e">
        <f>SUMIFS([1]ACSDT5Y2020.B08301_data_with_ov!AX$3:AX$1334,[1]ACSDT5Y2020.B08301_data_with_ov!$AS$3:$AS$1334,$B256)</f>
        <v>#VALUE!</v>
      </c>
      <c r="Q256" s="17" t="e">
        <f>SUMIFS([1]ACSDT5Y2020.B08301_data_with_ov!AY$3:AY$1334,[1]ACSDT5Y2020.B08301_data_with_ov!$AS$3:$AS$1334,$B256)</f>
        <v>#VALUE!</v>
      </c>
      <c r="R256" s="17" t="e">
        <f>SUMIFS([1]ACSDT5Y2020.B08301_data_with_ov!AZ$3:AZ$1334,[1]ACSDT5Y2020.B08301_data_with_ov!$AS$3:$AS$1334,$B256)</f>
        <v>#VALUE!</v>
      </c>
      <c r="S256" s="17" t="e">
        <f>SUMIFS([1]ACSDT5Y2020.B08301_data_with_ov!BA$3:BA$1334,[1]ACSDT5Y2020.B08301_data_with_ov!$AS$3:$AS$1334,$B256)</f>
        <v>#VALUE!</v>
      </c>
      <c r="T256" s="188">
        <v>0.18368794401819222</v>
      </c>
      <c r="U256" s="189" t="e">
        <f t="shared" si="15"/>
        <v>#VALUE!</v>
      </c>
      <c r="V256" s="188">
        <v>0.18368794401819222</v>
      </c>
      <c r="W256" s="189" t="e">
        <f t="shared" si="12"/>
        <v>#VALUE!</v>
      </c>
      <c r="X256" s="188">
        <v>0.18368794401819222</v>
      </c>
      <c r="Y256" s="189" t="e">
        <f t="shared" si="13"/>
        <v>#VALUE!</v>
      </c>
      <c r="Z256" s="188">
        <v>0.18368794401819222</v>
      </c>
      <c r="AA256" s="189" t="e">
        <f t="shared" si="14"/>
        <v>#VALUE!</v>
      </c>
    </row>
    <row r="257" spans="1:27" x14ac:dyDescent="0.25">
      <c r="A257">
        <v>240200</v>
      </c>
      <c r="B257">
        <v>17031240200</v>
      </c>
      <c r="C257">
        <v>17031</v>
      </c>
      <c r="D257">
        <v>2010</v>
      </c>
      <c r="E257">
        <v>24</v>
      </c>
      <c r="F257">
        <v>1778208.13183849</v>
      </c>
      <c r="G257" s="45">
        <v>6.3784439990763095E-2</v>
      </c>
      <c r="H257" s="60" t="str">
        <f>_xlfn.IFNA(
INDEX('Community Areas'!B$2:B$78,MATCH($E257,'Community Areas'!$A$2:$A$78,0)),
"")</f>
        <v>WEST TOWN</v>
      </c>
      <c r="I257" s="63" t="str">
        <f>_xlfn.IFNA(
INDEX('Community Areas'!C$2:C$78,MATCH($E257,'Community Areas'!$A$2:$A$78,0)),
"")</f>
        <v>3-B</v>
      </c>
      <c r="J257" s="63">
        <f>_xlfn.IFNA(
INDEX('Community Areas'!D$2:D$78,MATCH($E257,'Community Areas'!$A$2:$A$78,0)),
"")</f>
        <v>7</v>
      </c>
      <c r="K257" s="60" t="str">
        <f>_xlfn.IFNA(
INDEX('Community Areas'!E$2:E$78,MATCH($E257,'Community Areas'!$A$2:$A$78,0)),
"")</f>
        <v>CENTRAL</v>
      </c>
      <c r="L257" s="17" t="e">
        <f>SUMIFS([1]ACSDT5Y2020.B08301_data_with_ov!AT$3:AT$1334,[1]ACSDT5Y2020.B08301_data_with_ov!$AS$3:$AS$1334,$B257)</f>
        <v>#VALUE!</v>
      </c>
      <c r="M257" s="17" t="e">
        <f>SUMIFS([1]ACSDT5Y2020.B08301_data_with_ov!AU$3:AU$1334,[1]ACSDT5Y2020.B08301_data_with_ov!$AS$3:$AS$1334,$B257)</f>
        <v>#VALUE!</v>
      </c>
      <c r="N257" s="17" t="e">
        <f>SUMIFS([1]ACSDT5Y2020.B08301_data_with_ov!AV$3:AV$1334,[1]ACSDT5Y2020.B08301_data_with_ov!$AS$3:$AS$1334,$B257)</f>
        <v>#VALUE!</v>
      </c>
      <c r="O257" s="17" t="e">
        <f>SUMIFS([1]ACSDT5Y2020.B08301_data_with_ov!AW$3:AW$1334,[1]ACSDT5Y2020.B08301_data_with_ov!$AS$3:$AS$1334,$B257)</f>
        <v>#VALUE!</v>
      </c>
      <c r="P257" s="17" t="e">
        <f>SUMIFS([1]ACSDT5Y2020.B08301_data_with_ov!AX$3:AX$1334,[1]ACSDT5Y2020.B08301_data_with_ov!$AS$3:$AS$1334,$B257)</f>
        <v>#VALUE!</v>
      </c>
      <c r="Q257" s="17" t="e">
        <f>SUMIFS([1]ACSDT5Y2020.B08301_data_with_ov!AY$3:AY$1334,[1]ACSDT5Y2020.B08301_data_with_ov!$AS$3:$AS$1334,$B257)</f>
        <v>#VALUE!</v>
      </c>
      <c r="R257" s="17" t="e">
        <f>SUMIFS([1]ACSDT5Y2020.B08301_data_with_ov!AZ$3:AZ$1334,[1]ACSDT5Y2020.B08301_data_with_ov!$AS$3:$AS$1334,$B257)</f>
        <v>#VALUE!</v>
      </c>
      <c r="S257" s="17" t="e">
        <f>SUMIFS([1]ACSDT5Y2020.B08301_data_with_ov!BA$3:BA$1334,[1]ACSDT5Y2020.B08301_data_with_ov!$AS$3:$AS$1334,$B257)</f>
        <v>#VALUE!</v>
      </c>
      <c r="T257" s="188">
        <v>6.3784439379034663E-2</v>
      </c>
      <c r="U257" s="189" t="e">
        <f t="shared" si="15"/>
        <v>#VALUE!</v>
      </c>
      <c r="V257" s="188">
        <v>6.3784439379034663E-2</v>
      </c>
      <c r="W257" s="189" t="e">
        <f t="shared" si="12"/>
        <v>#VALUE!</v>
      </c>
      <c r="X257" s="188">
        <v>6.3784439379034663E-2</v>
      </c>
      <c r="Y257" s="189" t="e">
        <f t="shared" si="13"/>
        <v>#VALUE!</v>
      </c>
      <c r="Z257" s="188">
        <v>6.3784439379034663E-2</v>
      </c>
      <c r="AA257" s="189" t="e">
        <f t="shared" si="14"/>
        <v>#VALUE!</v>
      </c>
    </row>
    <row r="258" spans="1:27" x14ac:dyDescent="0.25">
      <c r="A258">
        <v>242400</v>
      </c>
      <c r="B258">
        <v>17031242400</v>
      </c>
      <c r="C258">
        <v>17031</v>
      </c>
      <c r="D258">
        <v>2010</v>
      </c>
      <c r="E258">
        <v>24</v>
      </c>
      <c r="F258">
        <v>3531250.95905643</v>
      </c>
      <c r="G258" s="45">
        <v>0.12666619888718256</v>
      </c>
      <c r="H258" s="60" t="str">
        <f>_xlfn.IFNA(
INDEX('Community Areas'!B$2:B$78,MATCH($E258,'Community Areas'!$A$2:$A$78,0)),
"")</f>
        <v>WEST TOWN</v>
      </c>
      <c r="I258" s="63" t="str">
        <f>_xlfn.IFNA(
INDEX('Community Areas'!C$2:C$78,MATCH($E258,'Community Areas'!$A$2:$A$78,0)),
"")</f>
        <v>3-B</v>
      </c>
      <c r="J258" s="63">
        <f>_xlfn.IFNA(
INDEX('Community Areas'!D$2:D$78,MATCH($E258,'Community Areas'!$A$2:$A$78,0)),
"")</f>
        <v>7</v>
      </c>
      <c r="K258" s="60" t="str">
        <f>_xlfn.IFNA(
INDEX('Community Areas'!E$2:E$78,MATCH($E258,'Community Areas'!$A$2:$A$78,0)),
"")</f>
        <v>CENTRAL</v>
      </c>
      <c r="L258" s="17" t="e">
        <f>SUMIFS([1]ACSDT5Y2020.B08301_data_with_ov!AT$3:AT$1334,[1]ACSDT5Y2020.B08301_data_with_ov!$AS$3:$AS$1334,$B258)</f>
        <v>#VALUE!</v>
      </c>
      <c r="M258" s="17" t="e">
        <f>SUMIFS([1]ACSDT5Y2020.B08301_data_with_ov!AU$3:AU$1334,[1]ACSDT5Y2020.B08301_data_with_ov!$AS$3:$AS$1334,$B258)</f>
        <v>#VALUE!</v>
      </c>
      <c r="N258" s="17" t="e">
        <f>SUMIFS([1]ACSDT5Y2020.B08301_data_with_ov!AV$3:AV$1334,[1]ACSDT5Y2020.B08301_data_with_ov!$AS$3:$AS$1334,$B258)</f>
        <v>#VALUE!</v>
      </c>
      <c r="O258" s="17" t="e">
        <f>SUMIFS([1]ACSDT5Y2020.B08301_data_with_ov!AW$3:AW$1334,[1]ACSDT5Y2020.B08301_data_with_ov!$AS$3:$AS$1334,$B258)</f>
        <v>#VALUE!</v>
      </c>
      <c r="P258" s="17" t="e">
        <f>SUMIFS([1]ACSDT5Y2020.B08301_data_with_ov!AX$3:AX$1334,[1]ACSDT5Y2020.B08301_data_with_ov!$AS$3:$AS$1334,$B258)</f>
        <v>#VALUE!</v>
      </c>
      <c r="Q258" s="17" t="e">
        <f>SUMIFS([1]ACSDT5Y2020.B08301_data_with_ov!AY$3:AY$1334,[1]ACSDT5Y2020.B08301_data_with_ov!$AS$3:$AS$1334,$B258)</f>
        <v>#VALUE!</v>
      </c>
      <c r="R258" s="17" t="e">
        <f>SUMIFS([1]ACSDT5Y2020.B08301_data_with_ov!AZ$3:AZ$1334,[1]ACSDT5Y2020.B08301_data_with_ov!$AS$3:$AS$1334,$B258)</f>
        <v>#VALUE!</v>
      </c>
      <c r="S258" s="17" t="e">
        <f>SUMIFS([1]ACSDT5Y2020.B08301_data_with_ov!BA$3:BA$1334,[1]ACSDT5Y2020.B08301_data_with_ov!$AS$3:$AS$1334,$B258)</f>
        <v>#VALUE!</v>
      </c>
      <c r="T258" s="188">
        <v>0.1266662002318634</v>
      </c>
      <c r="U258" s="189" t="e">
        <f t="shared" si="15"/>
        <v>#VALUE!</v>
      </c>
      <c r="V258" s="188">
        <v>0.1266662002318634</v>
      </c>
      <c r="W258" s="189" t="e">
        <f t="shared" si="12"/>
        <v>#VALUE!</v>
      </c>
      <c r="X258" s="188">
        <v>0.1266662002318634</v>
      </c>
      <c r="Y258" s="189" t="e">
        <f t="shared" si="13"/>
        <v>#VALUE!</v>
      </c>
      <c r="Z258" s="188">
        <v>0.1266662002318634</v>
      </c>
      <c r="AA258" s="189" t="e">
        <f t="shared" si="14"/>
        <v>#VALUE!</v>
      </c>
    </row>
    <row r="259" spans="1:27" x14ac:dyDescent="0.25">
      <c r="A259">
        <v>240800</v>
      </c>
      <c r="B259">
        <v>17031240800</v>
      </c>
      <c r="C259">
        <v>17031</v>
      </c>
      <c r="D259">
        <v>2010</v>
      </c>
      <c r="E259">
        <v>24</v>
      </c>
      <c r="F259">
        <v>1817219.56038126</v>
      </c>
      <c r="G259" s="45">
        <v>6.518378244021393E-2</v>
      </c>
      <c r="H259" s="60" t="str">
        <f>_xlfn.IFNA(
INDEX('Community Areas'!B$2:B$78,MATCH($E259,'Community Areas'!$A$2:$A$78,0)),
"")</f>
        <v>WEST TOWN</v>
      </c>
      <c r="I259" s="63" t="str">
        <f>_xlfn.IFNA(
INDEX('Community Areas'!C$2:C$78,MATCH($E259,'Community Areas'!$A$2:$A$78,0)),
"")</f>
        <v>3-B</v>
      </c>
      <c r="J259" s="63">
        <f>_xlfn.IFNA(
INDEX('Community Areas'!D$2:D$78,MATCH($E259,'Community Areas'!$A$2:$A$78,0)),
"")</f>
        <v>7</v>
      </c>
      <c r="K259" s="60" t="str">
        <f>_xlfn.IFNA(
INDEX('Community Areas'!E$2:E$78,MATCH($E259,'Community Areas'!$A$2:$A$78,0)),
"")</f>
        <v>CENTRAL</v>
      </c>
      <c r="L259" s="17" t="e">
        <f>SUMIFS([1]ACSDT5Y2020.B08301_data_with_ov!AT$3:AT$1334,[1]ACSDT5Y2020.B08301_data_with_ov!$AS$3:$AS$1334,$B259)</f>
        <v>#VALUE!</v>
      </c>
      <c r="M259" s="17" t="e">
        <f>SUMIFS([1]ACSDT5Y2020.B08301_data_with_ov!AU$3:AU$1334,[1]ACSDT5Y2020.B08301_data_with_ov!$AS$3:$AS$1334,$B259)</f>
        <v>#VALUE!</v>
      </c>
      <c r="N259" s="17" t="e">
        <f>SUMIFS([1]ACSDT5Y2020.B08301_data_with_ov!AV$3:AV$1334,[1]ACSDT5Y2020.B08301_data_with_ov!$AS$3:$AS$1334,$B259)</f>
        <v>#VALUE!</v>
      </c>
      <c r="O259" s="17" t="e">
        <f>SUMIFS([1]ACSDT5Y2020.B08301_data_with_ov!AW$3:AW$1334,[1]ACSDT5Y2020.B08301_data_with_ov!$AS$3:$AS$1334,$B259)</f>
        <v>#VALUE!</v>
      </c>
      <c r="P259" s="17" t="e">
        <f>SUMIFS([1]ACSDT5Y2020.B08301_data_with_ov!AX$3:AX$1334,[1]ACSDT5Y2020.B08301_data_with_ov!$AS$3:$AS$1334,$B259)</f>
        <v>#VALUE!</v>
      </c>
      <c r="Q259" s="17" t="e">
        <f>SUMIFS([1]ACSDT5Y2020.B08301_data_with_ov!AY$3:AY$1334,[1]ACSDT5Y2020.B08301_data_with_ov!$AS$3:$AS$1334,$B259)</f>
        <v>#VALUE!</v>
      </c>
      <c r="R259" s="17" t="e">
        <f>SUMIFS([1]ACSDT5Y2020.B08301_data_with_ov!AZ$3:AZ$1334,[1]ACSDT5Y2020.B08301_data_with_ov!$AS$3:$AS$1334,$B259)</f>
        <v>#VALUE!</v>
      </c>
      <c r="S259" s="17" t="e">
        <f>SUMIFS([1]ACSDT5Y2020.B08301_data_with_ov!BA$3:BA$1334,[1]ACSDT5Y2020.B08301_data_with_ov!$AS$3:$AS$1334,$B259)</f>
        <v>#VALUE!</v>
      </c>
      <c r="T259" s="188">
        <v>6.5183785281431872E-2</v>
      </c>
      <c r="U259" s="189" t="e">
        <f t="shared" si="15"/>
        <v>#VALUE!</v>
      </c>
      <c r="V259" s="188">
        <v>6.5183785281431872E-2</v>
      </c>
      <c r="W259" s="189" t="e">
        <f t="shared" si="12"/>
        <v>#VALUE!</v>
      </c>
      <c r="X259" s="188">
        <v>6.5183785281431872E-2</v>
      </c>
      <c r="Y259" s="189" t="e">
        <f t="shared" si="13"/>
        <v>#VALUE!</v>
      </c>
      <c r="Z259" s="188">
        <v>6.5183785281431872E-2</v>
      </c>
      <c r="AA259" s="189" t="e">
        <f t="shared" si="14"/>
        <v>#VALUE!</v>
      </c>
    </row>
    <row r="260" spans="1:27" x14ac:dyDescent="0.25">
      <c r="A260">
        <v>242500</v>
      </c>
      <c r="B260">
        <v>17031242500</v>
      </c>
      <c r="C260">
        <v>17031</v>
      </c>
      <c r="D260">
        <v>2010</v>
      </c>
      <c r="E260">
        <v>24</v>
      </c>
      <c r="F260">
        <v>3335255.1941927699</v>
      </c>
      <c r="G260" s="45">
        <v>0.11963581820308088</v>
      </c>
      <c r="H260" s="60" t="str">
        <f>_xlfn.IFNA(
INDEX('Community Areas'!B$2:B$78,MATCH($E260,'Community Areas'!$A$2:$A$78,0)),
"")</f>
        <v>WEST TOWN</v>
      </c>
      <c r="I260" s="63" t="str">
        <f>_xlfn.IFNA(
INDEX('Community Areas'!C$2:C$78,MATCH($E260,'Community Areas'!$A$2:$A$78,0)),
"")</f>
        <v>3-B</v>
      </c>
      <c r="J260" s="63">
        <f>_xlfn.IFNA(
INDEX('Community Areas'!D$2:D$78,MATCH($E260,'Community Areas'!$A$2:$A$78,0)),
"")</f>
        <v>7</v>
      </c>
      <c r="K260" s="60" t="str">
        <f>_xlfn.IFNA(
INDEX('Community Areas'!E$2:E$78,MATCH($E260,'Community Areas'!$A$2:$A$78,0)),
"")</f>
        <v>CENTRAL</v>
      </c>
      <c r="L260" s="17" t="e">
        <f>SUMIFS([1]ACSDT5Y2020.B08301_data_with_ov!AT$3:AT$1334,[1]ACSDT5Y2020.B08301_data_with_ov!$AS$3:$AS$1334,$B260)</f>
        <v>#VALUE!</v>
      </c>
      <c r="M260" s="17" t="e">
        <f>SUMIFS([1]ACSDT5Y2020.B08301_data_with_ov!AU$3:AU$1334,[1]ACSDT5Y2020.B08301_data_with_ov!$AS$3:$AS$1334,$B260)</f>
        <v>#VALUE!</v>
      </c>
      <c r="N260" s="17" t="e">
        <f>SUMIFS([1]ACSDT5Y2020.B08301_data_with_ov!AV$3:AV$1334,[1]ACSDT5Y2020.B08301_data_with_ov!$AS$3:$AS$1334,$B260)</f>
        <v>#VALUE!</v>
      </c>
      <c r="O260" s="17" t="e">
        <f>SUMIFS([1]ACSDT5Y2020.B08301_data_with_ov!AW$3:AW$1334,[1]ACSDT5Y2020.B08301_data_with_ov!$AS$3:$AS$1334,$B260)</f>
        <v>#VALUE!</v>
      </c>
      <c r="P260" s="17" t="e">
        <f>SUMIFS([1]ACSDT5Y2020.B08301_data_with_ov!AX$3:AX$1334,[1]ACSDT5Y2020.B08301_data_with_ov!$AS$3:$AS$1334,$B260)</f>
        <v>#VALUE!</v>
      </c>
      <c r="Q260" s="17" t="e">
        <f>SUMIFS([1]ACSDT5Y2020.B08301_data_with_ov!AY$3:AY$1334,[1]ACSDT5Y2020.B08301_data_with_ov!$AS$3:$AS$1334,$B260)</f>
        <v>#VALUE!</v>
      </c>
      <c r="R260" s="17" t="e">
        <f>SUMIFS([1]ACSDT5Y2020.B08301_data_with_ov!AZ$3:AZ$1334,[1]ACSDT5Y2020.B08301_data_with_ov!$AS$3:$AS$1334,$B260)</f>
        <v>#VALUE!</v>
      </c>
      <c r="S260" s="17" t="e">
        <f>SUMIFS([1]ACSDT5Y2020.B08301_data_with_ov!BA$3:BA$1334,[1]ACSDT5Y2020.B08301_data_with_ov!$AS$3:$AS$1334,$B260)</f>
        <v>#VALUE!</v>
      </c>
      <c r="T260" s="188">
        <v>0.11963581849158847</v>
      </c>
      <c r="U260" s="189" t="e">
        <f t="shared" si="15"/>
        <v>#VALUE!</v>
      </c>
      <c r="V260" s="188">
        <v>0.11963581849158847</v>
      </c>
      <c r="W260" s="189" t="e">
        <f t="shared" si="12"/>
        <v>#VALUE!</v>
      </c>
      <c r="X260" s="188">
        <v>0.11963581849158847</v>
      </c>
      <c r="Y260" s="189" t="e">
        <f t="shared" si="13"/>
        <v>#VALUE!</v>
      </c>
      <c r="Z260" s="188">
        <v>0.11963581849158847</v>
      </c>
      <c r="AA260" s="189" t="e">
        <f t="shared" si="14"/>
        <v>#VALUE!</v>
      </c>
    </row>
    <row r="261" spans="1:27" x14ac:dyDescent="0.25">
      <c r="A261">
        <v>241400</v>
      </c>
      <c r="B261">
        <v>17031241400</v>
      </c>
      <c r="C261">
        <v>17031</v>
      </c>
      <c r="D261">
        <v>2010</v>
      </c>
      <c r="E261">
        <v>24</v>
      </c>
      <c r="F261">
        <v>5574876.2391532296</v>
      </c>
      <c r="G261" s="45">
        <v>0.19997116904676127</v>
      </c>
      <c r="H261" s="60" t="str">
        <f>_xlfn.IFNA(
INDEX('Community Areas'!B$2:B$78,MATCH($E261,'Community Areas'!$A$2:$A$78,0)),
"")</f>
        <v>WEST TOWN</v>
      </c>
      <c r="I261" s="63" t="str">
        <f>_xlfn.IFNA(
INDEX('Community Areas'!C$2:C$78,MATCH($E261,'Community Areas'!$A$2:$A$78,0)),
"")</f>
        <v>3-B</v>
      </c>
      <c r="J261" s="63">
        <f>_xlfn.IFNA(
INDEX('Community Areas'!D$2:D$78,MATCH($E261,'Community Areas'!$A$2:$A$78,0)),
"")</f>
        <v>7</v>
      </c>
      <c r="K261" s="60" t="str">
        <f>_xlfn.IFNA(
INDEX('Community Areas'!E$2:E$78,MATCH($E261,'Community Areas'!$A$2:$A$78,0)),
"")</f>
        <v>CENTRAL</v>
      </c>
      <c r="L261" s="17" t="e">
        <f>SUMIFS([1]ACSDT5Y2020.B08301_data_with_ov!AT$3:AT$1334,[1]ACSDT5Y2020.B08301_data_with_ov!$AS$3:$AS$1334,$B261)</f>
        <v>#VALUE!</v>
      </c>
      <c r="M261" s="17" t="e">
        <f>SUMIFS([1]ACSDT5Y2020.B08301_data_with_ov!AU$3:AU$1334,[1]ACSDT5Y2020.B08301_data_with_ov!$AS$3:$AS$1334,$B261)</f>
        <v>#VALUE!</v>
      </c>
      <c r="N261" s="17" t="e">
        <f>SUMIFS([1]ACSDT5Y2020.B08301_data_with_ov!AV$3:AV$1334,[1]ACSDT5Y2020.B08301_data_with_ov!$AS$3:$AS$1334,$B261)</f>
        <v>#VALUE!</v>
      </c>
      <c r="O261" s="17" t="e">
        <f>SUMIFS([1]ACSDT5Y2020.B08301_data_with_ov!AW$3:AW$1334,[1]ACSDT5Y2020.B08301_data_with_ov!$AS$3:$AS$1334,$B261)</f>
        <v>#VALUE!</v>
      </c>
      <c r="P261" s="17" t="e">
        <f>SUMIFS([1]ACSDT5Y2020.B08301_data_with_ov!AX$3:AX$1334,[1]ACSDT5Y2020.B08301_data_with_ov!$AS$3:$AS$1334,$B261)</f>
        <v>#VALUE!</v>
      </c>
      <c r="Q261" s="17" t="e">
        <f>SUMIFS([1]ACSDT5Y2020.B08301_data_with_ov!AY$3:AY$1334,[1]ACSDT5Y2020.B08301_data_with_ov!$AS$3:$AS$1334,$B261)</f>
        <v>#VALUE!</v>
      </c>
      <c r="R261" s="17" t="e">
        <f>SUMIFS([1]ACSDT5Y2020.B08301_data_with_ov!AZ$3:AZ$1334,[1]ACSDT5Y2020.B08301_data_with_ov!$AS$3:$AS$1334,$B261)</f>
        <v>#VALUE!</v>
      </c>
      <c r="S261" s="17" t="e">
        <f>SUMIFS([1]ACSDT5Y2020.B08301_data_with_ov!BA$3:BA$1334,[1]ACSDT5Y2020.B08301_data_with_ov!$AS$3:$AS$1334,$B261)</f>
        <v>#VALUE!</v>
      </c>
      <c r="T261" s="188">
        <v>0.19997117274180334</v>
      </c>
      <c r="U261" s="189" t="e">
        <f t="shared" si="15"/>
        <v>#VALUE!</v>
      </c>
      <c r="V261" s="188">
        <v>0.19997117274180334</v>
      </c>
      <c r="W261" s="189" t="e">
        <f t="shared" si="12"/>
        <v>#VALUE!</v>
      </c>
      <c r="X261" s="188">
        <v>0.19997117274180334</v>
      </c>
      <c r="Y261" s="189" t="e">
        <f t="shared" si="13"/>
        <v>#VALUE!</v>
      </c>
      <c r="Z261" s="188">
        <v>0.19997117274180334</v>
      </c>
      <c r="AA261" s="189" t="e">
        <f t="shared" si="14"/>
        <v>#VALUE!</v>
      </c>
    </row>
    <row r="262" spans="1:27" x14ac:dyDescent="0.25">
      <c r="A262">
        <v>243200</v>
      </c>
      <c r="B262">
        <v>17031243200</v>
      </c>
      <c r="C262">
        <v>17031</v>
      </c>
      <c r="D262">
        <v>2010</v>
      </c>
      <c r="E262">
        <v>24</v>
      </c>
      <c r="F262">
        <v>3486068.89835825</v>
      </c>
      <c r="G262" s="45">
        <v>0.12504551546567413</v>
      </c>
      <c r="H262" s="60" t="str">
        <f>_xlfn.IFNA(
INDEX('Community Areas'!B$2:B$78,MATCH($E262,'Community Areas'!$A$2:$A$78,0)),
"")</f>
        <v>WEST TOWN</v>
      </c>
      <c r="I262" s="63" t="str">
        <f>_xlfn.IFNA(
INDEX('Community Areas'!C$2:C$78,MATCH($E262,'Community Areas'!$A$2:$A$78,0)),
"")</f>
        <v>3-B</v>
      </c>
      <c r="J262" s="63">
        <f>_xlfn.IFNA(
INDEX('Community Areas'!D$2:D$78,MATCH($E262,'Community Areas'!$A$2:$A$78,0)),
"")</f>
        <v>7</v>
      </c>
      <c r="K262" s="60" t="str">
        <f>_xlfn.IFNA(
INDEX('Community Areas'!E$2:E$78,MATCH($E262,'Community Areas'!$A$2:$A$78,0)),
"")</f>
        <v>CENTRAL</v>
      </c>
      <c r="L262" s="17" t="e">
        <f>SUMIFS([1]ACSDT5Y2020.B08301_data_with_ov!AT$3:AT$1334,[1]ACSDT5Y2020.B08301_data_with_ov!$AS$3:$AS$1334,$B262)</f>
        <v>#VALUE!</v>
      </c>
      <c r="M262" s="17" t="e">
        <f>SUMIFS([1]ACSDT5Y2020.B08301_data_with_ov!AU$3:AU$1334,[1]ACSDT5Y2020.B08301_data_with_ov!$AS$3:$AS$1334,$B262)</f>
        <v>#VALUE!</v>
      </c>
      <c r="N262" s="17" t="e">
        <f>SUMIFS([1]ACSDT5Y2020.B08301_data_with_ov!AV$3:AV$1334,[1]ACSDT5Y2020.B08301_data_with_ov!$AS$3:$AS$1334,$B262)</f>
        <v>#VALUE!</v>
      </c>
      <c r="O262" s="17" t="e">
        <f>SUMIFS([1]ACSDT5Y2020.B08301_data_with_ov!AW$3:AW$1334,[1]ACSDT5Y2020.B08301_data_with_ov!$AS$3:$AS$1334,$B262)</f>
        <v>#VALUE!</v>
      </c>
      <c r="P262" s="17" t="e">
        <f>SUMIFS([1]ACSDT5Y2020.B08301_data_with_ov!AX$3:AX$1334,[1]ACSDT5Y2020.B08301_data_with_ov!$AS$3:$AS$1334,$B262)</f>
        <v>#VALUE!</v>
      </c>
      <c r="Q262" s="17" t="e">
        <f>SUMIFS([1]ACSDT5Y2020.B08301_data_with_ov!AY$3:AY$1334,[1]ACSDT5Y2020.B08301_data_with_ov!$AS$3:$AS$1334,$B262)</f>
        <v>#VALUE!</v>
      </c>
      <c r="R262" s="17" t="e">
        <f>SUMIFS([1]ACSDT5Y2020.B08301_data_with_ov!AZ$3:AZ$1334,[1]ACSDT5Y2020.B08301_data_with_ov!$AS$3:$AS$1334,$B262)</f>
        <v>#VALUE!</v>
      </c>
      <c r="S262" s="17" t="e">
        <f>SUMIFS([1]ACSDT5Y2020.B08301_data_with_ov!BA$3:BA$1334,[1]ACSDT5Y2020.B08301_data_with_ov!$AS$3:$AS$1334,$B262)</f>
        <v>#VALUE!</v>
      </c>
      <c r="T262" s="188">
        <v>0.12504551191515259</v>
      </c>
      <c r="U262" s="189" t="e">
        <f t="shared" si="15"/>
        <v>#VALUE!</v>
      </c>
      <c r="V262" s="188">
        <v>0.12504551191515259</v>
      </c>
      <c r="W262" s="189" t="e">
        <f t="shared" ref="W262:W325" si="16">(V262/$G262)*$L262</f>
        <v>#VALUE!</v>
      </c>
      <c r="X262" s="188">
        <v>0.12504551191515259</v>
      </c>
      <c r="Y262" s="189" t="e">
        <f t="shared" ref="Y262:Y325" si="17">(X262/$G262)*$L262</f>
        <v>#VALUE!</v>
      </c>
      <c r="Z262" s="188">
        <v>0.12504551191515259</v>
      </c>
      <c r="AA262" s="189" t="e">
        <f t="shared" ref="AA262:AA325" si="18">(Z262/$G262)*$L262</f>
        <v>#VALUE!</v>
      </c>
    </row>
    <row r="263" spans="1:27" x14ac:dyDescent="0.25">
      <c r="A263">
        <v>241200</v>
      </c>
      <c r="B263">
        <v>17031241200</v>
      </c>
      <c r="C263">
        <v>17031</v>
      </c>
      <c r="D263">
        <v>2010</v>
      </c>
      <c r="E263">
        <v>24</v>
      </c>
      <c r="F263">
        <v>3532061.78632238</v>
      </c>
      <c r="G263" s="45">
        <v>0.12669528331333146</v>
      </c>
      <c r="H263" s="60" t="str">
        <f>_xlfn.IFNA(
INDEX('Community Areas'!B$2:B$78,MATCH($E263,'Community Areas'!$A$2:$A$78,0)),
"")</f>
        <v>WEST TOWN</v>
      </c>
      <c r="I263" s="63" t="str">
        <f>_xlfn.IFNA(
INDEX('Community Areas'!C$2:C$78,MATCH($E263,'Community Areas'!$A$2:$A$78,0)),
"")</f>
        <v>3-B</v>
      </c>
      <c r="J263" s="63">
        <f>_xlfn.IFNA(
INDEX('Community Areas'!D$2:D$78,MATCH($E263,'Community Areas'!$A$2:$A$78,0)),
"")</f>
        <v>7</v>
      </c>
      <c r="K263" s="60" t="str">
        <f>_xlfn.IFNA(
INDEX('Community Areas'!E$2:E$78,MATCH($E263,'Community Areas'!$A$2:$A$78,0)),
"")</f>
        <v>CENTRAL</v>
      </c>
      <c r="L263" s="17" t="e">
        <f>SUMIFS([1]ACSDT5Y2020.B08301_data_with_ov!AT$3:AT$1334,[1]ACSDT5Y2020.B08301_data_with_ov!$AS$3:$AS$1334,$B263)</f>
        <v>#VALUE!</v>
      </c>
      <c r="M263" s="17" t="e">
        <f>SUMIFS([1]ACSDT5Y2020.B08301_data_with_ov!AU$3:AU$1334,[1]ACSDT5Y2020.B08301_data_with_ov!$AS$3:$AS$1334,$B263)</f>
        <v>#VALUE!</v>
      </c>
      <c r="N263" s="17" t="e">
        <f>SUMIFS([1]ACSDT5Y2020.B08301_data_with_ov!AV$3:AV$1334,[1]ACSDT5Y2020.B08301_data_with_ov!$AS$3:$AS$1334,$B263)</f>
        <v>#VALUE!</v>
      </c>
      <c r="O263" s="17" t="e">
        <f>SUMIFS([1]ACSDT5Y2020.B08301_data_with_ov!AW$3:AW$1334,[1]ACSDT5Y2020.B08301_data_with_ov!$AS$3:$AS$1334,$B263)</f>
        <v>#VALUE!</v>
      </c>
      <c r="P263" s="17" t="e">
        <f>SUMIFS([1]ACSDT5Y2020.B08301_data_with_ov!AX$3:AX$1334,[1]ACSDT5Y2020.B08301_data_with_ov!$AS$3:$AS$1334,$B263)</f>
        <v>#VALUE!</v>
      </c>
      <c r="Q263" s="17" t="e">
        <f>SUMIFS([1]ACSDT5Y2020.B08301_data_with_ov!AY$3:AY$1334,[1]ACSDT5Y2020.B08301_data_with_ov!$AS$3:$AS$1334,$B263)</f>
        <v>#VALUE!</v>
      </c>
      <c r="R263" s="17" t="e">
        <f>SUMIFS([1]ACSDT5Y2020.B08301_data_with_ov!AZ$3:AZ$1334,[1]ACSDT5Y2020.B08301_data_with_ov!$AS$3:$AS$1334,$B263)</f>
        <v>#VALUE!</v>
      </c>
      <c r="S263" s="17" t="e">
        <f>SUMIFS([1]ACSDT5Y2020.B08301_data_with_ov!BA$3:BA$1334,[1]ACSDT5Y2020.B08301_data_with_ov!$AS$3:$AS$1334,$B263)</f>
        <v>#VALUE!</v>
      </c>
      <c r="T263" s="188">
        <v>0.1266952841676911</v>
      </c>
      <c r="U263" s="189" t="e">
        <f t="shared" ref="U263:U326" si="19">(T263/$G263)*$L263</f>
        <v>#VALUE!</v>
      </c>
      <c r="V263" s="188">
        <v>0.1266952841676911</v>
      </c>
      <c r="W263" s="189" t="e">
        <f t="shared" si="16"/>
        <v>#VALUE!</v>
      </c>
      <c r="X263" s="188">
        <v>0.1266952841676911</v>
      </c>
      <c r="Y263" s="189" t="e">
        <f t="shared" si="17"/>
        <v>#VALUE!</v>
      </c>
      <c r="Z263" s="188">
        <v>0.1266952841676911</v>
      </c>
      <c r="AA263" s="189" t="e">
        <f t="shared" si="18"/>
        <v>#VALUE!</v>
      </c>
    </row>
    <row r="264" spans="1:27" x14ac:dyDescent="0.25">
      <c r="A264">
        <v>242000</v>
      </c>
      <c r="B264">
        <v>17031242000</v>
      </c>
      <c r="C264">
        <v>17031</v>
      </c>
      <c r="D264">
        <v>2010</v>
      </c>
      <c r="E264">
        <v>24</v>
      </c>
      <c r="F264">
        <v>3517302.16710921</v>
      </c>
      <c r="G264" s="45">
        <v>0.12616585482341922</v>
      </c>
      <c r="H264" s="60" t="str">
        <f>_xlfn.IFNA(
INDEX('Community Areas'!B$2:B$78,MATCH($E264,'Community Areas'!$A$2:$A$78,0)),
"")</f>
        <v>WEST TOWN</v>
      </c>
      <c r="I264" s="63" t="str">
        <f>_xlfn.IFNA(
INDEX('Community Areas'!C$2:C$78,MATCH($E264,'Community Areas'!$A$2:$A$78,0)),
"")</f>
        <v>3-B</v>
      </c>
      <c r="J264" s="63">
        <f>_xlfn.IFNA(
INDEX('Community Areas'!D$2:D$78,MATCH($E264,'Community Areas'!$A$2:$A$78,0)),
"")</f>
        <v>7</v>
      </c>
      <c r="K264" s="60" t="str">
        <f>_xlfn.IFNA(
INDEX('Community Areas'!E$2:E$78,MATCH($E264,'Community Areas'!$A$2:$A$78,0)),
"")</f>
        <v>CENTRAL</v>
      </c>
      <c r="L264" s="17" t="e">
        <f>SUMIFS([1]ACSDT5Y2020.B08301_data_with_ov!AT$3:AT$1334,[1]ACSDT5Y2020.B08301_data_with_ov!$AS$3:$AS$1334,$B264)</f>
        <v>#VALUE!</v>
      </c>
      <c r="M264" s="17" t="e">
        <f>SUMIFS([1]ACSDT5Y2020.B08301_data_with_ov!AU$3:AU$1334,[1]ACSDT5Y2020.B08301_data_with_ov!$AS$3:$AS$1334,$B264)</f>
        <v>#VALUE!</v>
      </c>
      <c r="N264" s="17" t="e">
        <f>SUMIFS([1]ACSDT5Y2020.B08301_data_with_ov!AV$3:AV$1334,[1]ACSDT5Y2020.B08301_data_with_ov!$AS$3:$AS$1334,$B264)</f>
        <v>#VALUE!</v>
      </c>
      <c r="O264" s="17" t="e">
        <f>SUMIFS([1]ACSDT5Y2020.B08301_data_with_ov!AW$3:AW$1334,[1]ACSDT5Y2020.B08301_data_with_ov!$AS$3:$AS$1334,$B264)</f>
        <v>#VALUE!</v>
      </c>
      <c r="P264" s="17" t="e">
        <f>SUMIFS([1]ACSDT5Y2020.B08301_data_with_ov!AX$3:AX$1334,[1]ACSDT5Y2020.B08301_data_with_ov!$AS$3:$AS$1334,$B264)</f>
        <v>#VALUE!</v>
      </c>
      <c r="Q264" s="17" t="e">
        <f>SUMIFS([1]ACSDT5Y2020.B08301_data_with_ov!AY$3:AY$1334,[1]ACSDT5Y2020.B08301_data_with_ov!$AS$3:$AS$1334,$B264)</f>
        <v>#VALUE!</v>
      </c>
      <c r="R264" s="17" t="e">
        <f>SUMIFS([1]ACSDT5Y2020.B08301_data_with_ov!AZ$3:AZ$1334,[1]ACSDT5Y2020.B08301_data_with_ov!$AS$3:$AS$1334,$B264)</f>
        <v>#VALUE!</v>
      </c>
      <c r="S264" s="17" t="e">
        <f>SUMIFS([1]ACSDT5Y2020.B08301_data_with_ov!BA$3:BA$1334,[1]ACSDT5Y2020.B08301_data_with_ov!$AS$3:$AS$1334,$B264)</f>
        <v>#VALUE!</v>
      </c>
      <c r="T264" s="188">
        <v>0.12616585622503909</v>
      </c>
      <c r="U264" s="189" t="e">
        <f t="shared" si="19"/>
        <v>#VALUE!</v>
      </c>
      <c r="V264" s="188">
        <v>0.12616585622503909</v>
      </c>
      <c r="W264" s="189" t="e">
        <f t="shared" si="16"/>
        <v>#VALUE!</v>
      </c>
      <c r="X264" s="188">
        <v>0.12616585622503909</v>
      </c>
      <c r="Y264" s="189" t="e">
        <f t="shared" si="17"/>
        <v>#VALUE!</v>
      </c>
      <c r="Z264" s="188">
        <v>0.12616585622503909</v>
      </c>
      <c r="AA264" s="189" t="e">
        <f t="shared" si="18"/>
        <v>#VALUE!</v>
      </c>
    </row>
    <row r="265" spans="1:27" x14ac:dyDescent="0.25">
      <c r="A265">
        <v>242700</v>
      </c>
      <c r="B265">
        <v>17031242700</v>
      </c>
      <c r="C265">
        <v>17031</v>
      </c>
      <c r="D265">
        <v>2010</v>
      </c>
      <c r="E265">
        <v>24</v>
      </c>
      <c r="F265">
        <v>1889770.5890329101</v>
      </c>
      <c r="G265" s="45">
        <v>6.7786192501467446E-2</v>
      </c>
      <c r="H265" s="60" t="str">
        <f>_xlfn.IFNA(
INDEX('Community Areas'!B$2:B$78,MATCH($E265,'Community Areas'!$A$2:$A$78,0)),
"")</f>
        <v>WEST TOWN</v>
      </c>
      <c r="I265" s="63" t="str">
        <f>_xlfn.IFNA(
INDEX('Community Areas'!C$2:C$78,MATCH($E265,'Community Areas'!$A$2:$A$78,0)),
"")</f>
        <v>3-B</v>
      </c>
      <c r="J265" s="63">
        <f>_xlfn.IFNA(
INDEX('Community Areas'!D$2:D$78,MATCH($E265,'Community Areas'!$A$2:$A$78,0)),
"")</f>
        <v>7</v>
      </c>
      <c r="K265" s="60" t="str">
        <f>_xlfn.IFNA(
INDEX('Community Areas'!E$2:E$78,MATCH($E265,'Community Areas'!$A$2:$A$78,0)),
"")</f>
        <v>CENTRAL</v>
      </c>
      <c r="L265" s="17" t="e">
        <f>SUMIFS([1]ACSDT5Y2020.B08301_data_with_ov!AT$3:AT$1334,[1]ACSDT5Y2020.B08301_data_with_ov!$AS$3:$AS$1334,$B265)</f>
        <v>#VALUE!</v>
      </c>
      <c r="M265" s="17" t="e">
        <f>SUMIFS([1]ACSDT5Y2020.B08301_data_with_ov!AU$3:AU$1334,[1]ACSDT5Y2020.B08301_data_with_ov!$AS$3:$AS$1334,$B265)</f>
        <v>#VALUE!</v>
      </c>
      <c r="N265" s="17" t="e">
        <f>SUMIFS([1]ACSDT5Y2020.B08301_data_with_ov!AV$3:AV$1334,[1]ACSDT5Y2020.B08301_data_with_ov!$AS$3:$AS$1334,$B265)</f>
        <v>#VALUE!</v>
      </c>
      <c r="O265" s="17" t="e">
        <f>SUMIFS([1]ACSDT5Y2020.B08301_data_with_ov!AW$3:AW$1334,[1]ACSDT5Y2020.B08301_data_with_ov!$AS$3:$AS$1334,$B265)</f>
        <v>#VALUE!</v>
      </c>
      <c r="P265" s="17" t="e">
        <f>SUMIFS([1]ACSDT5Y2020.B08301_data_with_ov!AX$3:AX$1334,[1]ACSDT5Y2020.B08301_data_with_ov!$AS$3:$AS$1334,$B265)</f>
        <v>#VALUE!</v>
      </c>
      <c r="Q265" s="17" t="e">
        <f>SUMIFS([1]ACSDT5Y2020.B08301_data_with_ov!AY$3:AY$1334,[1]ACSDT5Y2020.B08301_data_with_ov!$AS$3:$AS$1334,$B265)</f>
        <v>#VALUE!</v>
      </c>
      <c r="R265" s="17" t="e">
        <f>SUMIFS([1]ACSDT5Y2020.B08301_data_with_ov!AZ$3:AZ$1334,[1]ACSDT5Y2020.B08301_data_with_ov!$AS$3:$AS$1334,$B265)</f>
        <v>#VALUE!</v>
      </c>
      <c r="S265" s="17" t="e">
        <f>SUMIFS([1]ACSDT5Y2020.B08301_data_with_ov!BA$3:BA$1334,[1]ACSDT5Y2020.B08301_data_with_ov!$AS$3:$AS$1334,$B265)</f>
        <v>#VALUE!</v>
      </c>
      <c r="T265" s="188">
        <v>6.7786190665975812E-2</v>
      </c>
      <c r="U265" s="189" t="e">
        <f t="shared" si="19"/>
        <v>#VALUE!</v>
      </c>
      <c r="V265" s="188">
        <v>6.7786190665975812E-2</v>
      </c>
      <c r="W265" s="189" t="e">
        <f t="shared" si="16"/>
        <v>#VALUE!</v>
      </c>
      <c r="X265" s="188">
        <v>6.7786190665975812E-2</v>
      </c>
      <c r="Y265" s="189" t="e">
        <f t="shared" si="17"/>
        <v>#VALUE!</v>
      </c>
      <c r="Z265" s="188">
        <v>6.7786190665975812E-2</v>
      </c>
      <c r="AA265" s="189" t="e">
        <f t="shared" si="18"/>
        <v>#VALUE!</v>
      </c>
    </row>
    <row r="266" spans="1:27" x14ac:dyDescent="0.25">
      <c r="A266">
        <v>243000</v>
      </c>
      <c r="B266">
        <v>17031243000</v>
      </c>
      <c r="C266">
        <v>17031</v>
      </c>
      <c r="D266">
        <v>2010</v>
      </c>
      <c r="E266">
        <v>24</v>
      </c>
      <c r="F266">
        <v>3492481.4235025798</v>
      </c>
      <c r="G266" s="45">
        <v>0.12527553315479295</v>
      </c>
      <c r="H266" s="60" t="str">
        <f>_xlfn.IFNA(
INDEX('Community Areas'!B$2:B$78,MATCH($E266,'Community Areas'!$A$2:$A$78,0)),
"")</f>
        <v>WEST TOWN</v>
      </c>
      <c r="I266" s="63" t="str">
        <f>_xlfn.IFNA(
INDEX('Community Areas'!C$2:C$78,MATCH($E266,'Community Areas'!$A$2:$A$78,0)),
"")</f>
        <v>3-B</v>
      </c>
      <c r="J266" s="63">
        <f>_xlfn.IFNA(
INDEX('Community Areas'!D$2:D$78,MATCH($E266,'Community Areas'!$A$2:$A$78,0)),
"")</f>
        <v>7</v>
      </c>
      <c r="K266" s="60" t="str">
        <f>_xlfn.IFNA(
INDEX('Community Areas'!E$2:E$78,MATCH($E266,'Community Areas'!$A$2:$A$78,0)),
"")</f>
        <v>CENTRAL</v>
      </c>
      <c r="L266" s="17" t="e">
        <f>SUMIFS([1]ACSDT5Y2020.B08301_data_with_ov!AT$3:AT$1334,[1]ACSDT5Y2020.B08301_data_with_ov!$AS$3:$AS$1334,$B266)</f>
        <v>#VALUE!</v>
      </c>
      <c r="M266" s="17" t="e">
        <f>SUMIFS([1]ACSDT5Y2020.B08301_data_with_ov!AU$3:AU$1334,[1]ACSDT5Y2020.B08301_data_with_ov!$AS$3:$AS$1334,$B266)</f>
        <v>#VALUE!</v>
      </c>
      <c r="N266" s="17" t="e">
        <f>SUMIFS([1]ACSDT5Y2020.B08301_data_with_ov!AV$3:AV$1334,[1]ACSDT5Y2020.B08301_data_with_ov!$AS$3:$AS$1334,$B266)</f>
        <v>#VALUE!</v>
      </c>
      <c r="O266" s="17" t="e">
        <f>SUMIFS([1]ACSDT5Y2020.B08301_data_with_ov!AW$3:AW$1334,[1]ACSDT5Y2020.B08301_data_with_ov!$AS$3:$AS$1334,$B266)</f>
        <v>#VALUE!</v>
      </c>
      <c r="P266" s="17" t="e">
        <f>SUMIFS([1]ACSDT5Y2020.B08301_data_with_ov!AX$3:AX$1334,[1]ACSDT5Y2020.B08301_data_with_ov!$AS$3:$AS$1334,$B266)</f>
        <v>#VALUE!</v>
      </c>
      <c r="Q266" s="17" t="e">
        <f>SUMIFS([1]ACSDT5Y2020.B08301_data_with_ov!AY$3:AY$1334,[1]ACSDT5Y2020.B08301_data_with_ov!$AS$3:$AS$1334,$B266)</f>
        <v>#VALUE!</v>
      </c>
      <c r="R266" s="17" t="e">
        <f>SUMIFS([1]ACSDT5Y2020.B08301_data_with_ov!AZ$3:AZ$1334,[1]ACSDT5Y2020.B08301_data_with_ov!$AS$3:$AS$1334,$B266)</f>
        <v>#VALUE!</v>
      </c>
      <c r="S266" s="17" t="e">
        <f>SUMIFS([1]ACSDT5Y2020.B08301_data_with_ov!BA$3:BA$1334,[1]ACSDT5Y2020.B08301_data_with_ov!$AS$3:$AS$1334,$B266)</f>
        <v>#VALUE!</v>
      </c>
      <c r="T266" s="188">
        <v>0.12527553059775381</v>
      </c>
      <c r="U266" s="189" t="e">
        <f t="shared" si="19"/>
        <v>#VALUE!</v>
      </c>
      <c r="V266" s="188">
        <v>0.12527553059775381</v>
      </c>
      <c r="W266" s="189" t="e">
        <f t="shared" si="16"/>
        <v>#VALUE!</v>
      </c>
      <c r="X266" s="188">
        <v>0.12527553059775381</v>
      </c>
      <c r="Y266" s="189" t="e">
        <f t="shared" si="17"/>
        <v>#VALUE!</v>
      </c>
      <c r="Z266" s="188">
        <v>0.12527553059775381</v>
      </c>
      <c r="AA266" s="189" t="e">
        <f t="shared" si="18"/>
        <v>#VALUE!</v>
      </c>
    </row>
    <row r="267" spans="1:27" x14ac:dyDescent="0.25">
      <c r="A267">
        <v>243400</v>
      </c>
      <c r="B267">
        <v>17031243400</v>
      </c>
      <c r="C267">
        <v>17031</v>
      </c>
      <c r="D267">
        <v>2010</v>
      </c>
      <c r="E267">
        <v>24</v>
      </c>
      <c r="F267">
        <v>3529015.0451984201</v>
      </c>
      <c r="G267" s="45">
        <v>0.12658599651337307</v>
      </c>
      <c r="H267" s="60" t="str">
        <f>_xlfn.IFNA(
INDEX('Community Areas'!B$2:B$78,MATCH($E267,'Community Areas'!$A$2:$A$78,0)),
"")</f>
        <v>WEST TOWN</v>
      </c>
      <c r="I267" s="63" t="str">
        <f>_xlfn.IFNA(
INDEX('Community Areas'!C$2:C$78,MATCH($E267,'Community Areas'!$A$2:$A$78,0)),
"")</f>
        <v>3-B</v>
      </c>
      <c r="J267" s="63">
        <f>_xlfn.IFNA(
INDEX('Community Areas'!D$2:D$78,MATCH($E267,'Community Areas'!$A$2:$A$78,0)),
"")</f>
        <v>7</v>
      </c>
      <c r="K267" s="60" t="str">
        <f>_xlfn.IFNA(
INDEX('Community Areas'!E$2:E$78,MATCH($E267,'Community Areas'!$A$2:$A$78,0)),
"")</f>
        <v>CENTRAL</v>
      </c>
      <c r="L267" s="17" t="e">
        <f>SUMIFS([1]ACSDT5Y2020.B08301_data_with_ov!AT$3:AT$1334,[1]ACSDT5Y2020.B08301_data_with_ov!$AS$3:$AS$1334,$B267)</f>
        <v>#VALUE!</v>
      </c>
      <c r="M267" s="17" t="e">
        <f>SUMIFS([1]ACSDT5Y2020.B08301_data_with_ov!AU$3:AU$1334,[1]ACSDT5Y2020.B08301_data_with_ov!$AS$3:$AS$1334,$B267)</f>
        <v>#VALUE!</v>
      </c>
      <c r="N267" s="17" t="e">
        <f>SUMIFS([1]ACSDT5Y2020.B08301_data_with_ov!AV$3:AV$1334,[1]ACSDT5Y2020.B08301_data_with_ov!$AS$3:$AS$1334,$B267)</f>
        <v>#VALUE!</v>
      </c>
      <c r="O267" s="17" t="e">
        <f>SUMIFS([1]ACSDT5Y2020.B08301_data_with_ov!AW$3:AW$1334,[1]ACSDT5Y2020.B08301_data_with_ov!$AS$3:$AS$1334,$B267)</f>
        <v>#VALUE!</v>
      </c>
      <c r="P267" s="17" t="e">
        <f>SUMIFS([1]ACSDT5Y2020.B08301_data_with_ov!AX$3:AX$1334,[1]ACSDT5Y2020.B08301_data_with_ov!$AS$3:$AS$1334,$B267)</f>
        <v>#VALUE!</v>
      </c>
      <c r="Q267" s="17" t="e">
        <f>SUMIFS([1]ACSDT5Y2020.B08301_data_with_ov!AY$3:AY$1334,[1]ACSDT5Y2020.B08301_data_with_ov!$AS$3:$AS$1334,$B267)</f>
        <v>#VALUE!</v>
      </c>
      <c r="R267" s="17" t="e">
        <f>SUMIFS([1]ACSDT5Y2020.B08301_data_with_ov!AZ$3:AZ$1334,[1]ACSDT5Y2020.B08301_data_with_ov!$AS$3:$AS$1334,$B267)</f>
        <v>#VALUE!</v>
      </c>
      <c r="S267" s="17" t="e">
        <f>SUMIFS([1]ACSDT5Y2020.B08301_data_with_ov!BA$3:BA$1334,[1]ACSDT5Y2020.B08301_data_with_ov!$AS$3:$AS$1334,$B267)</f>
        <v>#VALUE!</v>
      </c>
      <c r="T267" s="188">
        <v>0.12658599813357402</v>
      </c>
      <c r="U267" s="189" t="e">
        <f t="shared" si="19"/>
        <v>#VALUE!</v>
      </c>
      <c r="V267" s="188">
        <v>0.12658599813357402</v>
      </c>
      <c r="W267" s="189" t="e">
        <f t="shared" si="16"/>
        <v>#VALUE!</v>
      </c>
      <c r="X267" s="188">
        <v>0.12658599813357402</v>
      </c>
      <c r="Y267" s="189" t="e">
        <f t="shared" si="17"/>
        <v>#VALUE!</v>
      </c>
      <c r="Z267" s="188">
        <v>0.12658599813357402</v>
      </c>
      <c r="AA267" s="189" t="e">
        <f t="shared" si="18"/>
        <v>#VALUE!</v>
      </c>
    </row>
    <row r="268" spans="1:27" x14ac:dyDescent="0.25">
      <c r="A268">
        <v>243300</v>
      </c>
      <c r="B268">
        <v>17031243300</v>
      </c>
      <c r="C268">
        <v>17031</v>
      </c>
      <c r="D268">
        <v>2010</v>
      </c>
      <c r="E268">
        <v>24</v>
      </c>
      <c r="F268">
        <v>3506912.0917782499</v>
      </c>
      <c r="G268" s="45">
        <v>0.12579316215343239</v>
      </c>
      <c r="H268" s="60" t="str">
        <f>_xlfn.IFNA(
INDEX('Community Areas'!B$2:B$78,MATCH($E268,'Community Areas'!$A$2:$A$78,0)),
"")</f>
        <v>WEST TOWN</v>
      </c>
      <c r="I268" s="63" t="str">
        <f>_xlfn.IFNA(
INDEX('Community Areas'!C$2:C$78,MATCH($E268,'Community Areas'!$A$2:$A$78,0)),
"")</f>
        <v>3-B</v>
      </c>
      <c r="J268" s="63">
        <f>_xlfn.IFNA(
INDEX('Community Areas'!D$2:D$78,MATCH($E268,'Community Areas'!$A$2:$A$78,0)),
"")</f>
        <v>7</v>
      </c>
      <c r="K268" s="60" t="str">
        <f>_xlfn.IFNA(
INDEX('Community Areas'!E$2:E$78,MATCH($E268,'Community Areas'!$A$2:$A$78,0)),
"")</f>
        <v>CENTRAL</v>
      </c>
      <c r="L268" s="17" t="e">
        <f>SUMIFS([1]ACSDT5Y2020.B08301_data_with_ov!AT$3:AT$1334,[1]ACSDT5Y2020.B08301_data_with_ov!$AS$3:$AS$1334,$B268)</f>
        <v>#VALUE!</v>
      </c>
      <c r="M268" s="17" t="e">
        <f>SUMIFS([1]ACSDT5Y2020.B08301_data_with_ov!AU$3:AU$1334,[1]ACSDT5Y2020.B08301_data_with_ov!$AS$3:$AS$1334,$B268)</f>
        <v>#VALUE!</v>
      </c>
      <c r="N268" s="17" t="e">
        <f>SUMIFS([1]ACSDT5Y2020.B08301_data_with_ov!AV$3:AV$1334,[1]ACSDT5Y2020.B08301_data_with_ov!$AS$3:$AS$1334,$B268)</f>
        <v>#VALUE!</v>
      </c>
      <c r="O268" s="17" t="e">
        <f>SUMIFS([1]ACSDT5Y2020.B08301_data_with_ov!AW$3:AW$1334,[1]ACSDT5Y2020.B08301_data_with_ov!$AS$3:$AS$1334,$B268)</f>
        <v>#VALUE!</v>
      </c>
      <c r="P268" s="17" t="e">
        <f>SUMIFS([1]ACSDT5Y2020.B08301_data_with_ov!AX$3:AX$1334,[1]ACSDT5Y2020.B08301_data_with_ov!$AS$3:$AS$1334,$B268)</f>
        <v>#VALUE!</v>
      </c>
      <c r="Q268" s="17" t="e">
        <f>SUMIFS([1]ACSDT5Y2020.B08301_data_with_ov!AY$3:AY$1334,[1]ACSDT5Y2020.B08301_data_with_ov!$AS$3:$AS$1334,$B268)</f>
        <v>#VALUE!</v>
      </c>
      <c r="R268" s="17" t="e">
        <f>SUMIFS([1]ACSDT5Y2020.B08301_data_with_ov!AZ$3:AZ$1334,[1]ACSDT5Y2020.B08301_data_with_ov!$AS$3:$AS$1334,$B268)</f>
        <v>#VALUE!</v>
      </c>
      <c r="S268" s="17" t="e">
        <f>SUMIFS([1]ACSDT5Y2020.B08301_data_with_ov!BA$3:BA$1334,[1]ACSDT5Y2020.B08301_data_with_ov!$AS$3:$AS$1334,$B268)</f>
        <v>#VALUE!</v>
      </c>
      <c r="T268" s="188">
        <v>0.12579316368543855</v>
      </c>
      <c r="U268" s="189" t="e">
        <f t="shared" si="19"/>
        <v>#VALUE!</v>
      </c>
      <c r="V268" s="188">
        <v>0.12579316368543855</v>
      </c>
      <c r="W268" s="189" t="e">
        <f t="shared" si="16"/>
        <v>#VALUE!</v>
      </c>
      <c r="X268" s="188">
        <v>0.12579316368543855</v>
      </c>
      <c r="Y268" s="189" t="e">
        <f t="shared" si="17"/>
        <v>#VALUE!</v>
      </c>
      <c r="Z268" s="188">
        <v>0.12579316368543855</v>
      </c>
      <c r="AA268" s="189" t="e">
        <f t="shared" si="18"/>
        <v>#VALUE!</v>
      </c>
    </row>
    <row r="269" spans="1:27" x14ac:dyDescent="0.25">
      <c r="A269">
        <v>240300</v>
      </c>
      <c r="B269">
        <v>17031240300</v>
      </c>
      <c r="C269">
        <v>17031</v>
      </c>
      <c r="D269">
        <v>2010</v>
      </c>
      <c r="E269">
        <v>24</v>
      </c>
      <c r="F269">
        <v>1785911.8080408101</v>
      </c>
      <c r="G269" s="45">
        <v>6.4060771351326123E-2</v>
      </c>
      <c r="H269" s="60" t="str">
        <f>_xlfn.IFNA(
INDEX('Community Areas'!B$2:B$78,MATCH($E269,'Community Areas'!$A$2:$A$78,0)),
"")</f>
        <v>WEST TOWN</v>
      </c>
      <c r="I269" s="63" t="str">
        <f>_xlfn.IFNA(
INDEX('Community Areas'!C$2:C$78,MATCH($E269,'Community Areas'!$A$2:$A$78,0)),
"")</f>
        <v>3-B</v>
      </c>
      <c r="J269" s="63">
        <f>_xlfn.IFNA(
INDEX('Community Areas'!D$2:D$78,MATCH($E269,'Community Areas'!$A$2:$A$78,0)),
"")</f>
        <v>7</v>
      </c>
      <c r="K269" s="60" t="str">
        <f>_xlfn.IFNA(
INDEX('Community Areas'!E$2:E$78,MATCH($E269,'Community Areas'!$A$2:$A$78,0)),
"")</f>
        <v>CENTRAL</v>
      </c>
      <c r="L269" s="17" t="e">
        <f>SUMIFS([1]ACSDT5Y2020.B08301_data_with_ov!AT$3:AT$1334,[1]ACSDT5Y2020.B08301_data_with_ov!$AS$3:$AS$1334,$B269)</f>
        <v>#VALUE!</v>
      </c>
      <c r="M269" s="17" t="e">
        <f>SUMIFS([1]ACSDT5Y2020.B08301_data_with_ov!AU$3:AU$1334,[1]ACSDT5Y2020.B08301_data_with_ov!$AS$3:$AS$1334,$B269)</f>
        <v>#VALUE!</v>
      </c>
      <c r="N269" s="17" t="e">
        <f>SUMIFS([1]ACSDT5Y2020.B08301_data_with_ov!AV$3:AV$1334,[1]ACSDT5Y2020.B08301_data_with_ov!$AS$3:$AS$1334,$B269)</f>
        <v>#VALUE!</v>
      </c>
      <c r="O269" s="17" t="e">
        <f>SUMIFS([1]ACSDT5Y2020.B08301_data_with_ov!AW$3:AW$1334,[1]ACSDT5Y2020.B08301_data_with_ov!$AS$3:$AS$1334,$B269)</f>
        <v>#VALUE!</v>
      </c>
      <c r="P269" s="17" t="e">
        <f>SUMIFS([1]ACSDT5Y2020.B08301_data_with_ov!AX$3:AX$1334,[1]ACSDT5Y2020.B08301_data_with_ov!$AS$3:$AS$1334,$B269)</f>
        <v>#VALUE!</v>
      </c>
      <c r="Q269" s="17" t="e">
        <f>SUMIFS([1]ACSDT5Y2020.B08301_data_with_ov!AY$3:AY$1334,[1]ACSDT5Y2020.B08301_data_with_ov!$AS$3:$AS$1334,$B269)</f>
        <v>#VALUE!</v>
      </c>
      <c r="R269" s="17" t="e">
        <f>SUMIFS([1]ACSDT5Y2020.B08301_data_with_ov!AZ$3:AZ$1334,[1]ACSDT5Y2020.B08301_data_with_ov!$AS$3:$AS$1334,$B269)</f>
        <v>#VALUE!</v>
      </c>
      <c r="S269" s="17" t="e">
        <f>SUMIFS([1]ACSDT5Y2020.B08301_data_with_ov!BA$3:BA$1334,[1]ACSDT5Y2020.B08301_data_with_ov!$AS$3:$AS$1334,$B269)</f>
        <v>#VALUE!</v>
      </c>
      <c r="T269" s="188">
        <v>6.4060767888892839E-2</v>
      </c>
      <c r="U269" s="189" t="e">
        <f t="shared" si="19"/>
        <v>#VALUE!</v>
      </c>
      <c r="V269" s="188">
        <v>6.4060767888892839E-2</v>
      </c>
      <c r="W269" s="189" t="e">
        <f t="shared" si="16"/>
        <v>#VALUE!</v>
      </c>
      <c r="X269" s="188">
        <v>6.4060767888892839E-2</v>
      </c>
      <c r="Y269" s="189" t="e">
        <f t="shared" si="17"/>
        <v>#VALUE!</v>
      </c>
      <c r="Z269" s="188">
        <v>6.4060767888892839E-2</v>
      </c>
      <c r="AA269" s="189" t="e">
        <f t="shared" si="18"/>
        <v>#VALUE!</v>
      </c>
    </row>
    <row r="270" spans="1:27" x14ac:dyDescent="0.25">
      <c r="A270">
        <v>240600</v>
      </c>
      <c r="B270">
        <v>17031240600</v>
      </c>
      <c r="C270">
        <v>17031</v>
      </c>
      <c r="D270">
        <v>2010</v>
      </c>
      <c r="E270">
        <v>24</v>
      </c>
      <c r="F270">
        <v>1781524.0314935199</v>
      </c>
      <c r="G270" s="45">
        <v>6.3903381524532246E-2</v>
      </c>
      <c r="H270" s="60" t="str">
        <f>_xlfn.IFNA(
INDEX('Community Areas'!B$2:B$78,MATCH($E270,'Community Areas'!$A$2:$A$78,0)),
"")</f>
        <v>WEST TOWN</v>
      </c>
      <c r="I270" s="63" t="str">
        <f>_xlfn.IFNA(
INDEX('Community Areas'!C$2:C$78,MATCH($E270,'Community Areas'!$A$2:$A$78,0)),
"")</f>
        <v>3-B</v>
      </c>
      <c r="J270" s="63">
        <f>_xlfn.IFNA(
INDEX('Community Areas'!D$2:D$78,MATCH($E270,'Community Areas'!$A$2:$A$78,0)),
"")</f>
        <v>7</v>
      </c>
      <c r="K270" s="60" t="str">
        <f>_xlfn.IFNA(
INDEX('Community Areas'!E$2:E$78,MATCH($E270,'Community Areas'!$A$2:$A$78,0)),
"")</f>
        <v>CENTRAL</v>
      </c>
      <c r="L270" s="17" t="e">
        <f>SUMIFS([1]ACSDT5Y2020.B08301_data_with_ov!AT$3:AT$1334,[1]ACSDT5Y2020.B08301_data_with_ov!$AS$3:$AS$1334,$B270)</f>
        <v>#VALUE!</v>
      </c>
      <c r="M270" s="17" t="e">
        <f>SUMIFS([1]ACSDT5Y2020.B08301_data_with_ov!AU$3:AU$1334,[1]ACSDT5Y2020.B08301_data_with_ov!$AS$3:$AS$1334,$B270)</f>
        <v>#VALUE!</v>
      </c>
      <c r="N270" s="17" t="e">
        <f>SUMIFS([1]ACSDT5Y2020.B08301_data_with_ov!AV$3:AV$1334,[1]ACSDT5Y2020.B08301_data_with_ov!$AS$3:$AS$1334,$B270)</f>
        <v>#VALUE!</v>
      </c>
      <c r="O270" s="17" t="e">
        <f>SUMIFS([1]ACSDT5Y2020.B08301_data_with_ov!AW$3:AW$1334,[1]ACSDT5Y2020.B08301_data_with_ov!$AS$3:$AS$1334,$B270)</f>
        <v>#VALUE!</v>
      </c>
      <c r="P270" s="17" t="e">
        <f>SUMIFS([1]ACSDT5Y2020.B08301_data_with_ov!AX$3:AX$1334,[1]ACSDT5Y2020.B08301_data_with_ov!$AS$3:$AS$1334,$B270)</f>
        <v>#VALUE!</v>
      </c>
      <c r="Q270" s="17" t="e">
        <f>SUMIFS([1]ACSDT5Y2020.B08301_data_with_ov!AY$3:AY$1334,[1]ACSDT5Y2020.B08301_data_with_ov!$AS$3:$AS$1334,$B270)</f>
        <v>#VALUE!</v>
      </c>
      <c r="R270" s="17" t="e">
        <f>SUMIFS([1]ACSDT5Y2020.B08301_data_with_ov!AZ$3:AZ$1334,[1]ACSDT5Y2020.B08301_data_with_ov!$AS$3:$AS$1334,$B270)</f>
        <v>#VALUE!</v>
      </c>
      <c r="S270" s="17" t="e">
        <f>SUMIFS([1]ACSDT5Y2020.B08301_data_with_ov!BA$3:BA$1334,[1]ACSDT5Y2020.B08301_data_with_ov!$AS$3:$AS$1334,$B270)</f>
        <v>#VALUE!</v>
      </c>
      <c r="T270" s="188">
        <v>6.3903382150080706E-2</v>
      </c>
      <c r="U270" s="189" t="e">
        <f t="shared" si="19"/>
        <v>#VALUE!</v>
      </c>
      <c r="V270" s="188">
        <v>6.3903382150080706E-2</v>
      </c>
      <c r="W270" s="189" t="e">
        <f t="shared" si="16"/>
        <v>#VALUE!</v>
      </c>
      <c r="X270" s="188">
        <v>6.3903382150080706E-2</v>
      </c>
      <c r="Y270" s="189" t="e">
        <f t="shared" si="17"/>
        <v>#VALUE!</v>
      </c>
      <c r="Z270" s="188">
        <v>6.3903382150080706E-2</v>
      </c>
      <c r="AA270" s="189" t="e">
        <f t="shared" si="18"/>
        <v>#VALUE!</v>
      </c>
    </row>
    <row r="271" spans="1:27" x14ac:dyDescent="0.25">
      <c r="A271">
        <v>240900</v>
      </c>
      <c r="B271">
        <v>17031240900</v>
      </c>
      <c r="C271">
        <v>17031</v>
      </c>
      <c r="D271">
        <v>2010</v>
      </c>
      <c r="E271">
        <v>24</v>
      </c>
      <c r="F271">
        <v>10759601.989946799</v>
      </c>
      <c r="G271" s="45">
        <v>0.38594761499751778</v>
      </c>
      <c r="H271" s="60" t="str">
        <f>_xlfn.IFNA(
INDEX('Community Areas'!B$2:B$78,MATCH($E271,'Community Areas'!$A$2:$A$78,0)),
"")</f>
        <v>WEST TOWN</v>
      </c>
      <c r="I271" s="63" t="str">
        <f>_xlfn.IFNA(
INDEX('Community Areas'!C$2:C$78,MATCH($E271,'Community Areas'!$A$2:$A$78,0)),
"")</f>
        <v>3-B</v>
      </c>
      <c r="J271" s="63">
        <f>_xlfn.IFNA(
INDEX('Community Areas'!D$2:D$78,MATCH($E271,'Community Areas'!$A$2:$A$78,0)),
"")</f>
        <v>7</v>
      </c>
      <c r="K271" s="60" t="str">
        <f>_xlfn.IFNA(
INDEX('Community Areas'!E$2:E$78,MATCH($E271,'Community Areas'!$A$2:$A$78,0)),
"")</f>
        <v>CENTRAL</v>
      </c>
      <c r="L271" s="17" t="e">
        <f>SUMIFS([1]ACSDT5Y2020.B08301_data_with_ov!AT$3:AT$1334,[1]ACSDT5Y2020.B08301_data_with_ov!$AS$3:$AS$1334,$B271)</f>
        <v>#VALUE!</v>
      </c>
      <c r="M271" s="17" t="e">
        <f>SUMIFS([1]ACSDT5Y2020.B08301_data_with_ov!AU$3:AU$1334,[1]ACSDT5Y2020.B08301_data_with_ov!$AS$3:$AS$1334,$B271)</f>
        <v>#VALUE!</v>
      </c>
      <c r="N271" s="17" t="e">
        <f>SUMIFS([1]ACSDT5Y2020.B08301_data_with_ov!AV$3:AV$1334,[1]ACSDT5Y2020.B08301_data_with_ov!$AS$3:$AS$1334,$B271)</f>
        <v>#VALUE!</v>
      </c>
      <c r="O271" s="17" t="e">
        <f>SUMIFS([1]ACSDT5Y2020.B08301_data_with_ov!AW$3:AW$1334,[1]ACSDT5Y2020.B08301_data_with_ov!$AS$3:$AS$1334,$B271)</f>
        <v>#VALUE!</v>
      </c>
      <c r="P271" s="17" t="e">
        <f>SUMIFS([1]ACSDT5Y2020.B08301_data_with_ov!AX$3:AX$1334,[1]ACSDT5Y2020.B08301_data_with_ov!$AS$3:$AS$1334,$B271)</f>
        <v>#VALUE!</v>
      </c>
      <c r="Q271" s="17" t="e">
        <f>SUMIFS([1]ACSDT5Y2020.B08301_data_with_ov!AY$3:AY$1334,[1]ACSDT5Y2020.B08301_data_with_ov!$AS$3:$AS$1334,$B271)</f>
        <v>#VALUE!</v>
      </c>
      <c r="R271" s="17" t="e">
        <f>SUMIFS([1]ACSDT5Y2020.B08301_data_with_ov!AZ$3:AZ$1334,[1]ACSDT5Y2020.B08301_data_with_ov!$AS$3:$AS$1334,$B271)</f>
        <v>#VALUE!</v>
      </c>
      <c r="S271" s="17" t="e">
        <f>SUMIFS([1]ACSDT5Y2020.B08301_data_with_ov!BA$3:BA$1334,[1]ACSDT5Y2020.B08301_data_with_ov!$AS$3:$AS$1334,$B271)</f>
        <v>#VALUE!</v>
      </c>
      <c r="T271" s="188">
        <v>0.38594761979497388</v>
      </c>
      <c r="U271" s="189" t="e">
        <f t="shared" si="19"/>
        <v>#VALUE!</v>
      </c>
      <c r="V271" s="188">
        <v>0.38594761979497388</v>
      </c>
      <c r="W271" s="189" t="e">
        <f t="shared" si="16"/>
        <v>#VALUE!</v>
      </c>
      <c r="X271" s="188">
        <v>0.38594761979497388</v>
      </c>
      <c r="Y271" s="189" t="e">
        <f t="shared" si="17"/>
        <v>#VALUE!</v>
      </c>
      <c r="Z271" s="188">
        <v>0.38594761979497388</v>
      </c>
      <c r="AA271" s="189" t="e">
        <f t="shared" si="18"/>
        <v>#VALUE!</v>
      </c>
    </row>
    <row r="272" spans="1:27" x14ac:dyDescent="0.25">
      <c r="A272">
        <v>241100</v>
      </c>
      <c r="B272">
        <v>17031241100</v>
      </c>
      <c r="C272">
        <v>17031</v>
      </c>
      <c r="D272">
        <v>2010</v>
      </c>
      <c r="E272">
        <v>24</v>
      </c>
      <c r="F272">
        <v>3558983.2232306302</v>
      </c>
      <c r="G272" s="45">
        <v>0.12766095698571761</v>
      </c>
      <c r="H272" s="60" t="str">
        <f>_xlfn.IFNA(
INDEX('Community Areas'!B$2:B$78,MATCH($E272,'Community Areas'!$A$2:$A$78,0)),
"")</f>
        <v>WEST TOWN</v>
      </c>
      <c r="I272" s="63" t="str">
        <f>_xlfn.IFNA(
INDEX('Community Areas'!C$2:C$78,MATCH($E272,'Community Areas'!$A$2:$A$78,0)),
"")</f>
        <v>3-B</v>
      </c>
      <c r="J272" s="63">
        <f>_xlfn.IFNA(
INDEX('Community Areas'!D$2:D$78,MATCH($E272,'Community Areas'!$A$2:$A$78,0)),
"")</f>
        <v>7</v>
      </c>
      <c r="K272" s="60" t="str">
        <f>_xlfn.IFNA(
INDEX('Community Areas'!E$2:E$78,MATCH($E272,'Community Areas'!$A$2:$A$78,0)),
"")</f>
        <v>CENTRAL</v>
      </c>
      <c r="L272" s="17" t="e">
        <f>SUMIFS([1]ACSDT5Y2020.B08301_data_with_ov!AT$3:AT$1334,[1]ACSDT5Y2020.B08301_data_with_ov!$AS$3:$AS$1334,$B272)</f>
        <v>#VALUE!</v>
      </c>
      <c r="M272" s="17" t="e">
        <f>SUMIFS([1]ACSDT5Y2020.B08301_data_with_ov!AU$3:AU$1334,[1]ACSDT5Y2020.B08301_data_with_ov!$AS$3:$AS$1334,$B272)</f>
        <v>#VALUE!</v>
      </c>
      <c r="N272" s="17" t="e">
        <f>SUMIFS([1]ACSDT5Y2020.B08301_data_with_ov!AV$3:AV$1334,[1]ACSDT5Y2020.B08301_data_with_ov!$AS$3:$AS$1334,$B272)</f>
        <v>#VALUE!</v>
      </c>
      <c r="O272" s="17" t="e">
        <f>SUMIFS([1]ACSDT5Y2020.B08301_data_with_ov!AW$3:AW$1334,[1]ACSDT5Y2020.B08301_data_with_ov!$AS$3:$AS$1334,$B272)</f>
        <v>#VALUE!</v>
      </c>
      <c r="P272" s="17" t="e">
        <f>SUMIFS([1]ACSDT5Y2020.B08301_data_with_ov!AX$3:AX$1334,[1]ACSDT5Y2020.B08301_data_with_ov!$AS$3:$AS$1334,$B272)</f>
        <v>#VALUE!</v>
      </c>
      <c r="Q272" s="17" t="e">
        <f>SUMIFS([1]ACSDT5Y2020.B08301_data_with_ov!AY$3:AY$1334,[1]ACSDT5Y2020.B08301_data_with_ov!$AS$3:$AS$1334,$B272)</f>
        <v>#VALUE!</v>
      </c>
      <c r="R272" s="17" t="e">
        <f>SUMIFS([1]ACSDT5Y2020.B08301_data_with_ov!AZ$3:AZ$1334,[1]ACSDT5Y2020.B08301_data_with_ov!$AS$3:$AS$1334,$B272)</f>
        <v>#VALUE!</v>
      </c>
      <c r="S272" s="17" t="e">
        <f>SUMIFS([1]ACSDT5Y2020.B08301_data_with_ov!BA$3:BA$1334,[1]ACSDT5Y2020.B08301_data_with_ov!$AS$3:$AS$1334,$B272)</f>
        <v>#VALUE!</v>
      </c>
      <c r="T272" s="188">
        <v>0.12766095961426158</v>
      </c>
      <c r="U272" s="189" t="e">
        <f t="shared" si="19"/>
        <v>#VALUE!</v>
      </c>
      <c r="V272" s="188">
        <v>0.12766095961426158</v>
      </c>
      <c r="W272" s="189" t="e">
        <f t="shared" si="16"/>
        <v>#VALUE!</v>
      </c>
      <c r="X272" s="188">
        <v>0.12766095961426158</v>
      </c>
      <c r="Y272" s="189" t="e">
        <f t="shared" si="17"/>
        <v>#VALUE!</v>
      </c>
      <c r="Z272" s="188">
        <v>0.12766095961426158</v>
      </c>
      <c r="AA272" s="189" t="e">
        <f t="shared" si="18"/>
        <v>#VALUE!</v>
      </c>
    </row>
    <row r="273" spans="1:27" x14ac:dyDescent="0.25">
      <c r="A273">
        <v>242300</v>
      </c>
      <c r="B273">
        <v>17031242300</v>
      </c>
      <c r="C273">
        <v>17031</v>
      </c>
      <c r="D273">
        <v>2010</v>
      </c>
      <c r="E273">
        <v>24</v>
      </c>
      <c r="F273">
        <v>3533651.5438801101</v>
      </c>
      <c r="G273" s="45">
        <v>0.12675230801911552</v>
      </c>
      <c r="H273" s="60" t="str">
        <f>_xlfn.IFNA(
INDEX('Community Areas'!B$2:B$78,MATCH($E273,'Community Areas'!$A$2:$A$78,0)),
"")</f>
        <v>WEST TOWN</v>
      </c>
      <c r="I273" s="63" t="str">
        <f>_xlfn.IFNA(
INDEX('Community Areas'!C$2:C$78,MATCH($E273,'Community Areas'!$A$2:$A$78,0)),
"")</f>
        <v>3-B</v>
      </c>
      <c r="J273" s="63">
        <f>_xlfn.IFNA(
INDEX('Community Areas'!D$2:D$78,MATCH($E273,'Community Areas'!$A$2:$A$78,0)),
"")</f>
        <v>7</v>
      </c>
      <c r="K273" s="60" t="str">
        <f>_xlfn.IFNA(
INDEX('Community Areas'!E$2:E$78,MATCH($E273,'Community Areas'!$A$2:$A$78,0)),
"")</f>
        <v>CENTRAL</v>
      </c>
      <c r="L273" s="17" t="e">
        <f>SUMIFS([1]ACSDT5Y2020.B08301_data_with_ov!AT$3:AT$1334,[1]ACSDT5Y2020.B08301_data_with_ov!$AS$3:$AS$1334,$B273)</f>
        <v>#VALUE!</v>
      </c>
      <c r="M273" s="17" t="e">
        <f>SUMIFS([1]ACSDT5Y2020.B08301_data_with_ov!AU$3:AU$1334,[1]ACSDT5Y2020.B08301_data_with_ov!$AS$3:$AS$1334,$B273)</f>
        <v>#VALUE!</v>
      </c>
      <c r="N273" s="17" t="e">
        <f>SUMIFS([1]ACSDT5Y2020.B08301_data_with_ov!AV$3:AV$1334,[1]ACSDT5Y2020.B08301_data_with_ov!$AS$3:$AS$1334,$B273)</f>
        <v>#VALUE!</v>
      </c>
      <c r="O273" s="17" t="e">
        <f>SUMIFS([1]ACSDT5Y2020.B08301_data_with_ov!AW$3:AW$1334,[1]ACSDT5Y2020.B08301_data_with_ov!$AS$3:$AS$1334,$B273)</f>
        <v>#VALUE!</v>
      </c>
      <c r="P273" s="17" t="e">
        <f>SUMIFS([1]ACSDT5Y2020.B08301_data_with_ov!AX$3:AX$1334,[1]ACSDT5Y2020.B08301_data_with_ov!$AS$3:$AS$1334,$B273)</f>
        <v>#VALUE!</v>
      </c>
      <c r="Q273" s="17" t="e">
        <f>SUMIFS([1]ACSDT5Y2020.B08301_data_with_ov!AY$3:AY$1334,[1]ACSDT5Y2020.B08301_data_with_ov!$AS$3:$AS$1334,$B273)</f>
        <v>#VALUE!</v>
      </c>
      <c r="R273" s="17" t="e">
        <f>SUMIFS([1]ACSDT5Y2020.B08301_data_with_ov!AZ$3:AZ$1334,[1]ACSDT5Y2020.B08301_data_with_ov!$AS$3:$AS$1334,$B273)</f>
        <v>#VALUE!</v>
      </c>
      <c r="S273" s="17" t="e">
        <f>SUMIFS([1]ACSDT5Y2020.B08301_data_with_ov!BA$3:BA$1334,[1]ACSDT5Y2020.B08301_data_with_ov!$AS$3:$AS$1334,$B273)</f>
        <v>#VALUE!</v>
      </c>
      <c r="T273" s="188">
        <v>0.12675230550511329</v>
      </c>
      <c r="U273" s="189" t="e">
        <f t="shared" si="19"/>
        <v>#VALUE!</v>
      </c>
      <c r="V273" s="188">
        <v>0.12675230550511329</v>
      </c>
      <c r="W273" s="189" t="e">
        <f t="shared" si="16"/>
        <v>#VALUE!</v>
      </c>
      <c r="X273" s="188">
        <v>0.12675230550511329</v>
      </c>
      <c r="Y273" s="189" t="e">
        <f t="shared" si="17"/>
        <v>#VALUE!</v>
      </c>
      <c r="Z273" s="188">
        <v>0.12675230550511329</v>
      </c>
      <c r="AA273" s="189" t="e">
        <f t="shared" si="18"/>
        <v>#VALUE!</v>
      </c>
    </row>
    <row r="274" spans="1:27" x14ac:dyDescent="0.25">
      <c r="A274">
        <v>242900</v>
      </c>
      <c r="B274">
        <v>17031242900</v>
      </c>
      <c r="C274">
        <v>17031</v>
      </c>
      <c r="D274">
        <v>2010</v>
      </c>
      <c r="E274">
        <v>24</v>
      </c>
      <c r="F274">
        <v>3485130.0848417799</v>
      </c>
      <c r="G274" s="45">
        <v>0.12501184016449221</v>
      </c>
      <c r="H274" s="60" t="str">
        <f>_xlfn.IFNA(
INDEX('Community Areas'!B$2:B$78,MATCH($E274,'Community Areas'!$A$2:$A$78,0)),
"")</f>
        <v>WEST TOWN</v>
      </c>
      <c r="I274" s="63" t="str">
        <f>_xlfn.IFNA(
INDEX('Community Areas'!C$2:C$78,MATCH($E274,'Community Areas'!$A$2:$A$78,0)),
"")</f>
        <v>3-B</v>
      </c>
      <c r="J274" s="63">
        <f>_xlfn.IFNA(
INDEX('Community Areas'!D$2:D$78,MATCH($E274,'Community Areas'!$A$2:$A$78,0)),
"")</f>
        <v>7</v>
      </c>
      <c r="K274" s="60" t="str">
        <f>_xlfn.IFNA(
INDEX('Community Areas'!E$2:E$78,MATCH($E274,'Community Areas'!$A$2:$A$78,0)),
"")</f>
        <v>CENTRAL</v>
      </c>
      <c r="L274" s="17" t="e">
        <f>SUMIFS([1]ACSDT5Y2020.B08301_data_with_ov!AT$3:AT$1334,[1]ACSDT5Y2020.B08301_data_with_ov!$AS$3:$AS$1334,$B274)</f>
        <v>#VALUE!</v>
      </c>
      <c r="M274" s="17" t="e">
        <f>SUMIFS([1]ACSDT5Y2020.B08301_data_with_ov!AU$3:AU$1334,[1]ACSDT5Y2020.B08301_data_with_ov!$AS$3:$AS$1334,$B274)</f>
        <v>#VALUE!</v>
      </c>
      <c r="N274" s="17" t="e">
        <f>SUMIFS([1]ACSDT5Y2020.B08301_data_with_ov!AV$3:AV$1334,[1]ACSDT5Y2020.B08301_data_with_ov!$AS$3:$AS$1334,$B274)</f>
        <v>#VALUE!</v>
      </c>
      <c r="O274" s="17" t="e">
        <f>SUMIFS([1]ACSDT5Y2020.B08301_data_with_ov!AW$3:AW$1334,[1]ACSDT5Y2020.B08301_data_with_ov!$AS$3:$AS$1334,$B274)</f>
        <v>#VALUE!</v>
      </c>
      <c r="P274" s="17" t="e">
        <f>SUMIFS([1]ACSDT5Y2020.B08301_data_with_ov!AX$3:AX$1334,[1]ACSDT5Y2020.B08301_data_with_ov!$AS$3:$AS$1334,$B274)</f>
        <v>#VALUE!</v>
      </c>
      <c r="Q274" s="17" t="e">
        <f>SUMIFS([1]ACSDT5Y2020.B08301_data_with_ov!AY$3:AY$1334,[1]ACSDT5Y2020.B08301_data_with_ov!$AS$3:$AS$1334,$B274)</f>
        <v>#VALUE!</v>
      </c>
      <c r="R274" s="17" t="e">
        <f>SUMIFS([1]ACSDT5Y2020.B08301_data_with_ov!AZ$3:AZ$1334,[1]ACSDT5Y2020.B08301_data_with_ov!$AS$3:$AS$1334,$B274)</f>
        <v>#VALUE!</v>
      </c>
      <c r="S274" s="17" t="e">
        <f>SUMIFS([1]ACSDT5Y2020.B08301_data_with_ov!BA$3:BA$1334,[1]ACSDT5Y2020.B08301_data_with_ov!$AS$3:$AS$1334,$B274)</f>
        <v>#VALUE!</v>
      </c>
      <c r="T274" s="188">
        <v>0.12492322072249412</v>
      </c>
      <c r="U274" s="189" t="e">
        <f t="shared" si="19"/>
        <v>#VALUE!</v>
      </c>
      <c r="V274" s="188">
        <v>0.12492322072249412</v>
      </c>
      <c r="W274" s="189" t="e">
        <f t="shared" si="16"/>
        <v>#VALUE!</v>
      </c>
      <c r="X274" s="188">
        <v>0.12492322072249412</v>
      </c>
      <c r="Y274" s="189" t="e">
        <f t="shared" si="17"/>
        <v>#VALUE!</v>
      </c>
      <c r="Z274" s="188">
        <v>0.12492322072249412</v>
      </c>
      <c r="AA274" s="189" t="e">
        <f t="shared" si="18"/>
        <v>#VALUE!</v>
      </c>
    </row>
    <row r="275" spans="1:27" x14ac:dyDescent="0.25">
      <c r="A275">
        <v>240700</v>
      </c>
      <c r="B275">
        <v>17031240700</v>
      </c>
      <c r="C275">
        <v>17031</v>
      </c>
      <c r="D275">
        <v>2010</v>
      </c>
      <c r="E275">
        <v>24</v>
      </c>
      <c r="F275">
        <v>1789139.80589822</v>
      </c>
      <c r="G275" s="45">
        <v>6.4176559841964395E-2</v>
      </c>
      <c r="H275" s="60" t="str">
        <f>_xlfn.IFNA(
INDEX('Community Areas'!B$2:B$78,MATCH($E275,'Community Areas'!$A$2:$A$78,0)),
"")</f>
        <v>WEST TOWN</v>
      </c>
      <c r="I275" s="63" t="str">
        <f>_xlfn.IFNA(
INDEX('Community Areas'!C$2:C$78,MATCH($E275,'Community Areas'!$A$2:$A$78,0)),
"")</f>
        <v>3-B</v>
      </c>
      <c r="J275" s="63">
        <f>_xlfn.IFNA(
INDEX('Community Areas'!D$2:D$78,MATCH($E275,'Community Areas'!$A$2:$A$78,0)),
"")</f>
        <v>7</v>
      </c>
      <c r="K275" s="60" t="str">
        <f>_xlfn.IFNA(
INDEX('Community Areas'!E$2:E$78,MATCH($E275,'Community Areas'!$A$2:$A$78,0)),
"")</f>
        <v>CENTRAL</v>
      </c>
      <c r="L275" s="17" t="e">
        <f>SUMIFS([1]ACSDT5Y2020.B08301_data_with_ov!AT$3:AT$1334,[1]ACSDT5Y2020.B08301_data_with_ov!$AS$3:$AS$1334,$B275)</f>
        <v>#VALUE!</v>
      </c>
      <c r="M275" s="17" t="e">
        <f>SUMIFS([1]ACSDT5Y2020.B08301_data_with_ov!AU$3:AU$1334,[1]ACSDT5Y2020.B08301_data_with_ov!$AS$3:$AS$1334,$B275)</f>
        <v>#VALUE!</v>
      </c>
      <c r="N275" s="17" t="e">
        <f>SUMIFS([1]ACSDT5Y2020.B08301_data_with_ov!AV$3:AV$1334,[1]ACSDT5Y2020.B08301_data_with_ov!$AS$3:$AS$1334,$B275)</f>
        <v>#VALUE!</v>
      </c>
      <c r="O275" s="17" t="e">
        <f>SUMIFS([1]ACSDT5Y2020.B08301_data_with_ov!AW$3:AW$1334,[1]ACSDT5Y2020.B08301_data_with_ov!$AS$3:$AS$1334,$B275)</f>
        <v>#VALUE!</v>
      </c>
      <c r="P275" s="17" t="e">
        <f>SUMIFS([1]ACSDT5Y2020.B08301_data_with_ov!AX$3:AX$1334,[1]ACSDT5Y2020.B08301_data_with_ov!$AS$3:$AS$1334,$B275)</f>
        <v>#VALUE!</v>
      </c>
      <c r="Q275" s="17" t="e">
        <f>SUMIFS([1]ACSDT5Y2020.B08301_data_with_ov!AY$3:AY$1334,[1]ACSDT5Y2020.B08301_data_with_ov!$AS$3:$AS$1334,$B275)</f>
        <v>#VALUE!</v>
      </c>
      <c r="R275" s="17" t="e">
        <f>SUMIFS([1]ACSDT5Y2020.B08301_data_with_ov!AZ$3:AZ$1334,[1]ACSDT5Y2020.B08301_data_with_ov!$AS$3:$AS$1334,$B275)</f>
        <v>#VALUE!</v>
      </c>
      <c r="S275" s="17" t="e">
        <f>SUMIFS([1]ACSDT5Y2020.B08301_data_with_ov!BA$3:BA$1334,[1]ACSDT5Y2020.B08301_data_with_ov!$AS$3:$AS$1334,$B275)</f>
        <v>#VALUE!</v>
      </c>
      <c r="T275" s="188">
        <v>6.4176556686143388E-2</v>
      </c>
      <c r="U275" s="189" t="e">
        <f t="shared" si="19"/>
        <v>#VALUE!</v>
      </c>
      <c r="V275" s="188">
        <v>6.4176556686143388E-2</v>
      </c>
      <c r="W275" s="189" t="e">
        <f t="shared" si="16"/>
        <v>#VALUE!</v>
      </c>
      <c r="X275" s="188">
        <v>6.4176556686143388E-2</v>
      </c>
      <c r="Y275" s="189" t="e">
        <f t="shared" si="17"/>
        <v>#VALUE!</v>
      </c>
      <c r="Z275" s="188">
        <v>6.4176556686143388E-2</v>
      </c>
      <c r="AA275" s="189" t="e">
        <f t="shared" si="18"/>
        <v>#VALUE!</v>
      </c>
    </row>
    <row r="276" spans="1:27" x14ac:dyDescent="0.25">
      <c r="A276">
        <v>241300</v>
      </c>
      <c r="B276">
        <v>17031241300</v>
      </c>
      <c r="C276">
        <v>17031</v>
      </c>
      <c r="D276">
        <v>2010</v>
      </c>
      <c r="E276">
        <v>24</v>
      </c>
      <c r="F276">
        <v>1766362.4039169201</v>
      </c>
      <c r="G276" s="45">
        <v>6.3359532968783008E-2</v>
      </c>
      <c r="H276" s="60" t="str">
        <f>_xlfn.IFNA(
INDEX('Community Areas'!B$2:B$78,MATCH($E276,'Community Areas'!$A$2:$A$78,0)),
"")</f>
        <v>WEST TOWN</v>
      </c>
      <c r="I276" s="63" t="str">
        <f>_xlfn.IFNA(
INDEX('Community Areas'!C$2:C$78,MATCH($E276,'Community Areas'!$A$2:$A$78,0)),
"")</f>
        <v>3-B</v>
      </c>
      <c r="J276" s="63">
        <f>_xlfn.IFNA(
INDEX('Community Areas'!D$2:D$78,MATCH($E276,'Community Areas'!$A$2:$A$78,0)),
"")</f>
        <v>7</v>
      </c>
      <c r="K276" s="60" t="str">
        <f>_xlfn.IFNA(
INDEX('Community Areas'!E$2:E$78,MATCH($E276,'Community Areas'!$A$2:$A$78,0)),
"")</f>
        <v>CENTRAL</v>
      </c>
      <c r="L276" s="17" t="e">
        <f>SUMIFS([1]ACSDT5Y2020.B08301_data_with_ov!AT$3:AT$1334,[1]ACSDT5Y2020.B08301_data_with_ov!$AS$3:$AS$1334,$B276)</f>
        <v>#VALUE!</v>
      </c>
      <c r="M276" s="17" t="e">
        <f>SUMIFS([1]ACSDT5Y2020.B08301_data_with_ov!AU$3:AU$1334,[1]ACSDT5Y2020.B08301_data_with_ov!$AS$3:$AS$1334,$B276)</f>
        <v>#VALUE!</v>
      </c>
      <c r="N276" s="17" t="e">
        <f>SUMIFS([1]ACSDT5Y2020.B08301_data_with_ov!AV$3:AV$1334,[1]ACSDT5Y2020.B08301_data_with_ov!$AS$3:$AS$1334,$B276)</f>
        <v>#VALUE!</v>
      </c>
      <c r="O276" s="17" t="e">
        <f>SUMIFS([1]ACSDT5Y2020.B08301_data_with_ov!AW$3:AW$1334,[1]ACSDT5Y2020.B08301_data_with_ov!$AS$3:$AS$1334,$B276)</f>
        <v>#VALUE!</v>
      </c>
      <c r="P276" s="17" t="e">
        <f>SUMIFS([1]ACSDT5Y2020.B08301_data_with_ov!AX$3:AX$1334,[1]ACSDT5Y2020.B08301_data_with_ov!$AS$3:$AS$1334,$B276)</f>
        <v>#VALUE!</v>
      </c>
      <c r="Q276" s="17" t="e">
        <f>SUMIFS([1]ACSDT5Y2020.B08301_data_with_ov!AY$3:AY$1334,[1]ACSDT5Y2020.B08301_data_with_ov!$AS$3:$AS$1334,$B276)</f>
        <v>#VALUE!</v>
      </c>
      <c r="R276" s="17" t="e">
        <f>SUMIFS([1]ACSDT5Y2020.B08301_data_with_ov!AZ$3:AZ$1334,[1]ACSDT5Y2020.B08301_data_with_ov!$AS$3:$AS$1334,$B276)</f>
        <v>#VALUE!</v>
      </c>
      <c r="S276" s="17" t="e">
        <f>SUMIFS([1]ACSDT5Y2020.B08301_data_with_ov!BA$3:BA$1334,[1]ACSDT5Y2020.B08301_data_with_ov!$AS$3:$AS$1334,$B276)</f>
        <v>#VALUE!</v>
      </c>
      <c r="T276" s="188">
        <v>6.3359530064200961E-2</v>
      </c>
      <c r="U276" s="189" t="e">
        <f t="shared" si="19"/>
        <v>#VALUE!</v>
      </c>
      <c r="V276" s="188">
        <v>6.3359530064200961E-2</v>
      </c>
      <c r="W276" s="189" t="e">
        <f t="shared" si="16"/>
        <v>#VALUE!</v>
      </c>
      <c r="X276" s="188">
        <v>6.3359530064200961E-2</v>
      </c>
      <c r="Y276" s="189" t="e">
        <f t="shared" si="17"/>
        <v>#VALUE!</v>
      </c>
      <c r="Z276" s="188">
        <v>6.3359530064200961E-2</v>
      </c>
      <c r="AA276" s="189" t="e">
        <f t="shared" si="18"/>
        <v>#VALUE!</v>
      </c>
    </row>
    <row r="277" spans="1:27" x14ac:dyDescent="0.25">
      <c r="A277">
        <v>242200</v>
      </c>
      <c r="B277">
        <v>17031242200</v>
      </c>
      <c r="C277">
        <v>17031</v>
      </c>
      <c r="D277">
        <v>2010</v>
      </c>
      <c r="E277">
        <v>24</v>
      </c>
      <c r="F277">
        <v>3519784.2010192098</v>
      </c>
      <c r="G277" s="45">
        <v>0.12625488553931394</v>
      </c>
      <c r="H277" s="60" t="str">
        <f>_xlfn.IFNA(
INDEX('Community Areas'!B$2:B$78,MATCH($E277,'Community Areas'!$A$2:$A$78,0)),
"")</f>
        <v>WEST TOWN</v>
      </c>
      <c r="I277" s="63" t="str">
        <f>_xlfn.IFNA(
INDEX('Community Areas'!C$2:C$78,MATCH($E277,'Community Areas'!$A$2:$A$78,0)),
"")</f>
        <v>3-B</v>
      </c>
      <c r="J277" s="63">
        <f>_xlfn.IFNA(
INDEX('Community Areas'!D$2:D$78,MATCH($E277,'Community Areas'!$A$2:$A$78,0)),
"")</f>
        <v>7</v>
      </c>
      <c r="K277" s="60" t="str">
        <f>_xlfn.IFNA(
INDEX('Community Areas'!E$2:E$78,MATCH($E277,'Community Areas'!$A$2:$A$78,0)),
"")</f>
        <v>CENTRAL</v>
      </c>
      <c r="L277" s="17" t="e">
        <f>SUMIFS([1]ACSDT5Y2020.B08301_data_with_ov!AT$3:AT$1334,[1]ACSDT5Y2020.B08301_data_with_ov!$AS$3:$AS$1334,$B277)</f>
        <v>#VALUE!</v>
      </c>
      <c r="M277" s="17" t="e">
        <f>SUMIFS([1]ACSDT5Y2020.B08301_data_with_ov!AU$3:AU$1334,[1]ACSDT5Y2020.B08301_data_with_ov!$AS$3:$AS$1334,$B277)</f>
        <v>#VALUE!</v>
      </c>
      <c r="N277" s="17" t="e">
        <f>SUMIFS([1]ACSDT5Y2020.B08301_data_with_ov!AV$3:AV$1334,[1]ACSDT5Y2020.B08301_data_with_ov!$AS$3:$AS$1334,$B277)</f>
        <v>#VALUE!</v>
      </c>
      <c r="O277" s="17" t="e">
        <f>SUMIFS([1]ACSDT5Y2020.B08301_data_with_ov!AW$3:AW$1334,[1]ACSDT5Y2020.B08301_data_with_ov!$AS$3:$AS$1334,$B277)</f>
        <v>#VALUE!</v>
      </c>
      <c r="P277" s="17" t="e">
        <f>SUMIFS([1]ACSDT5Y2020.B08301_data_with_ov!AX$3:AX$1334,[1]ACSDT5Y2020.B08301_data_with_ov!$AS$3:$AS$1334,$B277)</f>
        <v>#VALUE!</v>
      </c>
      <c r="Q277" s="17" t="e">
        <f>SUMIFS([1]ACSDT5Y2020.B08301_data_with_ov!AY$3:AY$1334,[1]ACSDT5Y2020.B08301_data_with_ov!$AS$3:$AS$1334,$B277)</f>
        <v>#VALUE!</v>
      </c>
      <c r="R277" s="17" t="e">
        <f>SUMIFS([1]ACSDT5Y2020.B08301_data_with_ov!AZ$3:AZ$1334,[1]ACSDT5Y2020.B08301_data_with_ov!$AS$3:$AS$1334,$B277)</f>
        <v>#VALUE!</v>
      </c>
      <c r="S277" s="17" t="e">
        <f>SUMIFS([1]ACSDT5Y2020.B08301_data_with_ov!BA$3:BA$1334,[1]ACSDT5Y2020.B08301_data_with_ov!$AS$3:$AS$1334,$B277)</f>
        <v>#VALUE!</v>
      </c>
      <c r="T277" s="188">
        <v>0.12625488449019276</v>
      </c>
      <c r="U277" s="189" t="e">
        <f t="shared" si="19"/>
        <v>#VALUE!</v>
      </c>
      <c r="V277" s="188">
        <v>0.12625488449019276</v>
      </c>
      <c r="W277" s="189" t="e">
        <f t="shared" si="16"/>
        <v>#VALUE!</v>
      </c>
      <c r="X277" s="188">
        <v>0.12625488449019276</v>
      </c>
      <c r="Y277" s="189" t="e">
        <f t="shared" si="17"/>
        <v>#VALUE!</v>
      </c>
      <c r="Z277" s="188">
        <v>0.12625488449019276</v>
      </c>
      <c r="AA277" s="189" t="e">
        <f t="shared" si="18"/>
        <v>#VALUE!</v>
      </c>
    </row>
    <row r="278" spans="1:27" x14ac:dyDescent="0.25">
      <c r="A278">
        <v>241000</v>
      </c>
      <c r="B278">
        <v>17031241000</v>
      </c>
      <c r="C278">
        <v>17031</v>
      </c>
      <c r="D278">
        <v>2010</v>
      </c>
      <c r="E278">
        <v>24</v>
      </c>
      <c r="F278">
        <v>2230091.6014361298</v>
      </c>
      <c r="G278" s="45">
        <v>7.9993529091918106E-2</v>
      </c>
      <c r="H278" s="60" t="str">
        <f>_xlfn.IFNA(
INDEX('Community Areas'!B$2:B$78,MATCH($E278,'Community Areas'!$A$2:$A$78,0)),
"")</f>
        <v>WEST TOWN</v>
      </c>
      <c r="I278" s="63" t="str">
        <f>_xlfn.IFNA(
INDEX('Community Areas'!C$2:C$78,MATCH($E278,'Community Areas'!$A$2:$A$78,0)),
"")</f>
        <v>3-B</v>
      </c>
      <c r="J278" s="63">
        <f>_xlfn.IFNA(
INDEX('Community Areas'!D$2:D$78,MATCH($E278,'Community Areas'!$A$2:$A$78,0)),
"")</f>
        <v>7</v>
      </c>
      <c r="K278" s="60" t="str">
        <f>_xlfn.IFNA(
INDEX('Community Areas'!E$2:E$78,MATCH($E278,'Community Areas'!$A$2:$A$78,0)),
"")</f>
        <v>CENTRAL</v>
      </c>
      <c r="L278" s="17" t="e">
        <f>SUMIFS([1]ACSDT5Y2020.B08301_data_with_ov!AT$3:AT$1334,[1]ACSDT5Y2020.B08301_data_with_ov!$AS$3:$AS$1334,$B278)</f>
        <v>#VALUE!</v>
      </c>
      <c r="M278" s="17" t="e">
        <f>SUMIFS([1]ACSDT5Y2020.B08301_data_with_ov!AU$3:AU$1334,[1]ACSDT5Y2020.B08301_data_with_ov!$AS$3:$AS$1334,$B278)</f>
        <v>#VALUE!</v>
      </c>
      <c r="N278" s="17" t="e">
        <f>SUMIFS([1]ACSDT5Y2020.B08301_data_with_ov!AV$3:AV$1334,[1]ACSDT5Y2020.B08301_data_with_ov!$AS$3:$AS$1334,$B278)</f>
        <v>#VALUE!</v>
      </c>
      <c r="O278" s="17" t="e">
        <f>SUMIFS([1]ACSDT5Y2020.B08301_data_with_ov!AW$3:AW$1334,[1]ACSDT5Y2020.B08301_data_with_ov!$AS$3:$AS$1334,$B278)</f>
        <v>#VALUE!</v>
      </c>
      <c r="P278" s="17" t="e">
        <f>SUMIFS([1]ACSDT5Y2020.B08301_data_with_ov!AX$3:AX$1334,[1]ACSDT5Y2020.B08301_data_with_ov!$AS$3:$AS$1334,$B278)</f>
        <v>#VALUE!</v>
      </c>
      <c r="Q278" s="17" t="e">
        <f>SUMIFS([1]ACSDT5Y2020.B08301_data_with_ov!AY$3:AY$1334,[1]ACSDT5Y2020.B08301_data_with_ov!$AS$3:$AS$1334,$B278)</f>
        <v>#VALUE!</v>
      </c>
      <c r="R278" s="17" t="e">
        <f>SUMIFS([1]ACSDT5Y2020.B08301_data_with_ov!AZ$3:AZ$1334,[1]ACSDT5Y2020.B08301_data_with_ov!$AS$3:$AS$1334,$B278)</f>
        <v>#VALUE!</v>
      </c>
      <c r="S278" s="17" t="e">
        <f>SUMIFS([1]ACSDT5Y2020.B08301_data_with_ov!BA$3:BA$1334,[1]ACSDT5Y2020.B08301_data_with_ov!$AS$3:$AS$1334,$B278)</f>
        <v>#VALUE!</v>
      </c>
      <c r="T278" s="188">
        <v>7.9993530689670495E-2</v>
      </c>
      <c r="U278" s="189" t="e">
        <f t="shared" si="19"/>
        <v>#VALUE!</v>
      </c>
      <c r="V278" s="188">
        <v>7.9993530689670495E-2</v>
      </c>
      <c r="W278" s="189" t="e">
        <f t="shared" si="16"/>
        <v>#VALUE!</v>
      </c>
      <c r="X278" s="188">
        <v>7.9993530689670495E-2</v>
      </c>
      <c r="Y278" s="189" t="e">
        <f t="shared" si="17"/>
        <v>#VALUE!</v>
      </c>
      <c r="Z278" s="188">
        <v>7.9993530689670495E-2</v>
      </c>
      <c r="AA278" s="189" t="e">
        <f t="shared" si="18"/>
        <v>#VALUE!</v>
      </c>
    </row>
    <row r="279" spans="1:27" x14ac:dyDescent="0.25">
      <c r="A279">
        <v>251700</v>
      </c>
      <c r="B279">
        <v>17031251700</v>
      </c>
      <c r="C279">
        <v>17031</v>
      </c>
      <c r="D279">
        <v>2010</v>
      </c>
      <c r="E279">
        <v>25</v>
      </c>
      <c r="F279">
        <v>5309254.4911888996</v>
      </c>
      <c r="G279" s="45">
        <v>0.19044329987333919</v>
      </c>
      <c r="H279" s="60" t="str">
        <f>_xlfn.IFNA(
INDEX('Community Areas'!B$2:B$78,MATCH($E279,'Community Areas'!$A$2:$A$78,0)),
"")</f>
        <v>AUSTIN</v>
      </c>
      <c r="I279" s="63" t="str">
        <f>_xlfn.IFNA(
INDEX('Community Areas'!C$2:C$78,MATCH($E279,'Community Areas'!$A$2:$A$78,0)),
"")</f>
        <v>3-A</v>
      </c>
      <c r="J279" s="63">
        <f>_xlfn.IFNA(
INDEX('Community Areas'!D$2:D$78,MATCH($E279,'Community Areas'!$A$2:$A$78,0)),
"")</f>
        <v>3</v>
      </c>
      <c r="K279" s="60" t="str">
        <f>_xlfn.IFNA(
INDEX('Community Areas'!E$2:E$78,MATCH($E279,'Community Areas'!$A$2:$A$78,0)),
"")</f>
        <v>WEST</v>
      </c>
      <c r="L279" s="17" t="e">
        <f>SUMIFS([1]ACSDT5Y2020.B08301_data_with_ov!AT$3:AT$1334,[1]ACSDT5Y2020.B08301_data_with_ov!$AS$3:$AS$1334,$B279)</f>
        <v>#VALUE!</v>
      </c>
      <c r="M279" s="17" t="e">
        <f>SUMIFS([1]ACSDT5Y2020.B08301_data_with_ov!AU$3:AU$1334,[1]ACSDT5Y2020.B08301_data_with_ov!$AS$3:$AS$1334,$B279)</f>
        <v>#VALUE!</v>
      </c>
      <c r="N279" s="17" t="e">
        <f>SUMIFS([1]ACSDT5Y2020.B08301_data_with_ov!AV$3:AV$1334,[1]ACSDT5Y2020.B08301_data_with_ov!$AS$3:$AS$1334,$B279)</f>
        <v>#VALUE!</v>
      </c>
      <c r="O279" s="17" t="e">
        <f>SUMIFS([1]ACSDT5Y2020.B08301_data_with_ov!AW$3:AW$1334,[1]ACSDT5Y2020.B08301_data_with_ov!$AS$3:$AS$1334,$B279)</f>
        <v>#VALUE!</v>
      </c>
      <c r="P279" s="17" t="e">
        <f>SUMIFS([1]ACSDT5Y2020.B08301_data_with_ov!AX$3:AX$1334,[1]ACSDT5Y2020.B08301_data_with_ov!$AS$3:$AS$1334,$B279)</f>
        <v>#VALUE!</v>
      </c>
      <c r="Q279" s="17" t="e">
        <f>SUMIFS([1]ACSDT5Y2020.B08301_data_with_ov!AY$3:AY$1334,[1]ACSDT5Y2020.B08301_data_with_ov!$AS$3:$AS$1334,$B279)</f>
        <v>#VALUE!</v>
      </c>
      <c r="R279" s="17" t="e">
        <f>SUMIFS([1]ACSDT5Y2020.B08301_data_with_ov!AZ$3:AZ$1334,[1]ACSDT5Y2020.B08301_data_with_ov!$AS$3:$AS$1334,$B279)</f>
        <v>#VALUE!</v>
      </c>
      <c r="S279" s="17" t="e">
        <f>SUMIFS([1]ACSDT5Y2020.B08301_data_with_ov!BA$3:BA$1334,[1]ACSDT5Y2020.B08301_data_with_ov!$AS$3:$AS$1334,$B279)</f>
        <v>#VALUE!</v>
      </c>
      <c r="T279" s="188">
        <v>0.15932226807332808</v>
      </c>
      <c r="U279" s="189" t="e">
        <f t="shared" si="19"/>
        <v>#VALUE!</v>
      </c>
      <c r="V279" s="188">
        <v>0.15932226807332808</v>
      </c>
      <c r="W279" s="189" t="e">
        <f t="shared" si="16"/>
        <v>#VALUE!</v>
      </c>
      <c r="X279" s="188">
        <v>0.15932226807332808</v>
      </c>
      <c r="Y279" s="189" t="e">
        <f t="shared" si="17"/>
        <v>#VALUE!</v>
      </c>
      <c r="Z279" s="188">
        <v>0.15932226807332808</v>
      </c>
      <c r="AA279" s="189" t="e">
        <f t="shared" si="18"/>
        <v>#VALUE!</v>
      </c>
    </row>
    <row r="280" spans="1:27" x14ac:dyDescent="0.25">
      <c r="A280">
        <v>252201</v>
      </c>
      <c r="B280">
        <v>17031252201</v>
      </c>
      <c r="C280">
        <v>17031</v>
      </c>
      <c r="D280">
        <v>2010</v>
      </c>
      <c r="E280">
        <v>25</v>
      </c>
      <c r="F280">
        <v>4163711.7541445098</v>
      </c>
      <c r="G280" s="45">
        <v>0.14935260826103758</v>
      </c>
      <c r="H280" s="60" t="str">
        <f>_xlfn.IFNA(
INDEX('Community Areas'!B$2:B$78,MATCH($E280,'Community Areas'!$A$2:$A$78,0)),
"")</f>
        <v>AUSTIN</v>
      </c>
      <c r="I280" s="63" t="str">
        <f>_xlfn.IFNA(
INDEX('Community Areas'!C$2:C$78,MATCH($E280,'Community Areas'!$A$2:$A$78,0)),
"")</f>
        <v>3-A</v>
      </c>
      <c r="J280" s="63">
        <f>_xlfn.IFNA(
INDEX('Community Areas'!D$2:D$78,MATCH($E280,'Community Areas'!$A$2:$A$78,0)),
"")</f>
        <v>3</v>
      </c>
      <c r="K280" s="60" t="str">
        <f>_xlfn.IFNA(
INDEX('Community Areas'!E$2:E$78,MATCH($E280,'Community Areas'!$A$2:$A$78,0)),
"")</f>
        <v>WEST</v>
      </c>
      <c r="L280" s="17" t="e">
        <f>SUMIFS([1]ACSDT5Y2020.B08301_data_with_ov!AT$3:AT$1334,[1]ACSDT5Y2020.B08301_data_with_ov!$AS$3:$AS$1334,$B280)</f>
        <v>#VALUE!</v>
      </c>
      <c r="M280" s="17" t="e">
        <f>SUMIFS([1]ACSDT5Y2020.B08301_data_with_ov!AU$3:AU$1334,[1]ACSDT5Y2020.B08301_data_with_ov!$AS$3:$AS$1334,$B280)</f>
        <v>#VALUE!</v>
      </c>
      <c r="N280" s="17" t="e">
        <f>SUMIFS([1]ACSDT5Y2020.B08301_data_with_ov!AV$3:AV$1334,[1]ACSDT5Y2020.B08301_data_with_ov!$AS$3:$AS$1334,$B280)</f>
        <v>#VALUE!</v>
      </c>
      <c r="O280" s="17" t="e">
        <f>SUMIFS([1]ACSDT5Y2020.B08301_data_with_ov!AW$3:AW$1334,[1]ACSDT5Y2020.B08301_data_with_ov!$AS$3:$AS$1334,$B280)</f>
        <v>#VALUE!</v>
      </c>
      <c r="P280" s="17" t="e">
        <f>SUMIFS([1]ACSDT5Y2020.B08301_data_with_ov!AX$3:AX$1334,[1]ACSDT5Y2020.B08301_data_with_ov!$AS$3:$AS$1334,$B280)</f>
        <v>#VALUE!</v>
      </c>
      <c r="Q280" s="17" t="e">
        <f>SUMIFS([1]ACSDT5Y2020.B08301_data_with_ov!AY$3:AY$1334,[1]ACSDT5Y2020.B08301_data_with_ov!$AS$3:$AS$1334,$B280)</f>
        <v>#VALUE!</v>
      </c>
      <c r="R280" s="17" t="e">
        <f>SUMIFS([1]ACSDT5Y2020.B08301_data_with_ov!AZ$3:AZ$1334,[1]ACSDT5Y2020.B08301_data_with_ov!$AS$3:$AS$1334,$B280)</f>
        <v>#VALUE!</v>
      </c>
      <c r="S280" s="17" t="e">
        <f>SUMIFS([1]ACSDT5Y2020.B08301_data_with_ov!BA$3:BA$1334,[1]ACSDT5Y2020.B08301_data_with_ov!$AS$3:$AS$1334,$B280)</f>
        <v>#VALUE!</v>
      </c>
      <c r="T280" s="188">
        <v>0.14567265859178574</v>
      </c>
      <c r="U280" s="189" t="e">
        <f t="shared" si="19"/>
        <v>#VALUE!</v>
      </c>
      <c r="V280" s="188">
        <v>0.14567265859178574</v>
      </c>
      <c r="W280" s="189" t="e">
        <f t="shared" si="16"/>
        <v>#VALUE!</v>
      </c>
      <c r="X280" s="188">
        <v>0.14567265859178574</v>
      </c>
      <c r="Y280" s="189" t="e">
        <f t="shared" si="17"/>
        <v>#VALUE!</v>
      </c>
      <c r="Z280" s="188">
        <v>0.14567265859178574</v>
      </c>
      <c r="AA280" s="189" t="e">
        <f t="shared" si="18"/>
        <v>#VALUE!</v>
      </c>
    </row>
    <row r="281" spans="1:27" x14ac:dyDescent="0.25">
      <c r="A281">
        <v>831400</v>
      </c>
      <c r="B281">
        <v>17031831400</v>
      </c>
      <c r="C281">
        <v>17031</v>
      </c>
      <c r="D281">
        <v>2010</v>
      </c>
      <c r="E281">
        <v>25</v>
      </c>
      <c r="F281">
        <v>22730549.693387698</v>
      </c>
      <c r="G281" s="45">
        <v>0.81534627860234798</v>
      </c>
      <c r="H281" s="60" t="str">
        <f>_xlfn.IFNA(
INDEX('Community Areas'!B$2:B$78,MATCH($E281,'Community Areas'!$A$2:$A$78,0)),
"")</f>
        <v>AUSTIN</v>
      </c>
      <c r="I281" s="63" t="str">
        <f>_xlfn.IFNA(
INDEX('Community Areas'!C$2:C$78,MATCH($E281,'Community Areas'!$A$2:$A$78,0)),
"")</f>
        <v>3-A</v>
      </c>
      <c r="J281" s="63">
        <f>_xlfn.IFNA(
INDEX('Community Areas'!D$2:D$78,MATCH($E281,'Community Areas'!$A$2:$A$78,0)),
"")</f>
        <v>3</v>
      </c>
      <c r="K281" s="60" t="str">
        <f>_xlfn.IFNA(
INDEX('Community Areas'!E$2:E$78,MATCH($E281,'Community Areas'!$A$2:$A$78,0)),
"")</f>
        <v>WEST</v>
      </c>
      <c r="L281" s="17" t="e">
        <f>SUMIFS([1]ACSDT5Y2020.B08301_data_with_ov!AT$3:AT$1334,[1]ACSDT5Y2020.B08301_data_with_ov!$AS$3:$AS$1334,$B281)</f>
        <v>#VALUE!</v>
      </c>
      <c r="M281" s="17" t="e">
        <f>SUMIFS([1]ACSDT5Y2020.B08301_data_with_ov!AU$3:AU$1334,[1]ACSDT5Y2020.B08301_data_with_ov!$AS$3:$AS$1334,$B281)</f>
        <v>#VALUE!</v>
      </c>
      <c r="N281" s="17" t="e">
        <f>SUMIFS([1]ACSDT5Y2020.B08301_data_with_ov!AV$3:AV$1334,[1]ACSDT5Y2020.B08301_data_with_ov!$AS$3:$AS$1334,$B281)</f>
        <v>#VALUE!</v>
      </c>
      <c r="O281" s="17" t="e">
        <f>SUMIFS([1]ACSDT5Y2020.B08301_data_with_ov!AW$3:AW$1334,[1]ACSDT5Y2020.B08301_data_with_ov!$AS$3:$AS$1334,$B281)</f>
        <v>#VALUE!</v>
      </c>
      <c r="P281" s="17" t="e">
        <f>SUMIFS([1]ACSDT5Y2020.B08301_data_with_ov!AX$3:AX$1334,[1]ACSDT5Y2020.B08301_data_with_ov!$AS$3:$AS$1334,$B281)</f>
        <v>#VALUE!</v>
      </c>
      <c r="Q281" s="17" t="e">
        <f>SUMIFS([1]ACSDT5Y2020.B08301_data_with_ov!AY$3:AY$1334,[1]ACSDT5Y2020.B08301_data_with_ov!$AS$3:$AS$1334,$B281)</f>
        <v>#VALUE!</v>
      </c>
      <c r="R281" s="17" t="e">
        <f>SUMIFS([1]ACSDT5Y2020.B08301_data_with_ov!AZ$3:AZ$1334,[1]ACSDT5Y2020.B08301_data_with_ov!$AS$3:$AS$1334,$B281)</f>
        <v>#VALUE!</v>
      </c>
      <c r="S281" s="17" t="e">
        <f>SUMIFS([1]ACSDT5Y2020.B08301_data_with_ov!BA$3:BA$1334,[1]ACSDT5Y2020.B08301_data_with_ov!$AS$3:$AS$1334,$B281)</f>
        <v>#VALUE!</v>
      </c>
      <c r="T281" s="188">
        <v>0.38862331945671202</v>
      </c>
      <c r="U281" s="189" t="e">
        <f t="shared" si="19"/>
        <v>#VALUE!</v>
      </c>
      <c r="V281" s="188">
        <v>0.38862331945671202</v>
      </c>
      <c r="W281" s="189" t="e">
        <f t="shared" si="16"/>
        <v>#VALUE!</v>
      </c>
      <c r="X281" s="188">
        <v>0.38862331945671202</v>
      </c>
      <c r="Y281" s="189" t="e">
        <f t="shared" si="17"/>
        <v>#VALUE!</v>
      </c>
      <c r="Z281" s="188">
        <v>0.38862331945671202</v>
      </c>
      <c r="AA281" s="189" t="e">
        <f t="shared" si="18"/>
        <v>#VALUE!</v>
      </c>
    </row>
    <row r="282" spans="1:27" x14ac:dyDescent="0.25">
      <c r="A282">
        <v>250800</v>
      </c>
      <c r="B282">
        <v>17031250800</v>
      </c>
      <c r="C282">
        <v>17031</v>
      </c>
      <c r="D282">
        <v>2010</v>
      </c>
      <c r="E282">
        <v>25</v>
      </c>
      <c r="F282">
        <v>6186020.0335962595</v>
      </c>
      <c r="G282" s="45">
        <v>0.22189293623723957</v>
      </c>
      <c r="H282" s="60" t="str">
        <f>_xlfn.IFNA(
INDEX('Community Areas'!B$2:B$78,MATCH($E282,'Community Areas'!$A$2:$A$78,0)),
"")</f>
        <v>AUSTIN</v>
      </c>
      <c r="I282" s="63" t="str">
        <f>_xlfn.IFNA(
INDEX('Community Areas'!C$2:C$78,MATCH($E282,'Community Areas'!$A$2:$A$78,0)),
"")</f>
        <v>3-A</v>
      </c>
      <c r="J282" s="63">
        <f>_xlfn.IFNA(
INDEX('Community Areas'!D$2:D$78,MATCH($E282,'Community Areas'!$A$2:$A$78,0)),
"")</f>
        <v>3</v>
      </c>
      <c r="K282" s="60" t="str">
        <f>_xlfn.IFNA(
INDEX('Community Areas'!E$2:E$78,MATCH($E282,'Community Areas'!$A$2:$A$78,0)),
"")</f>
        <v>WEST</v>
      </c>
      <c r="L282" s="17" t="e">
        <f>SUMIFS([1]ACSDT5Y2020.B08301_data_with_ov!AT$3:AT$1334,[1]ACSDT5Y2020.B08301_data_with_ov!$AS$3:$AS$1334,$B282)</f>
        <v>#VALUE!</v>
      </c>
      <c r="M282" s="17" t="e">
        <f>SUMIFS([1]ACSDT5Y2020.B08301_data_with_ov!AU$3:AU$1334,[1]ACSDT5Y2020.B08301_data_with_ov!$AS$3:$AS$1334,$B282)</f>
        <v>#VALUE!</v>
      </c>
      <c r="N282" s="17" t="e">
        <f>SUMIFS([1]ACSDT5Y2020.B08301_data_with_ov!AV$3:AV$1334,[1]ACSDT5Y2020.B08301_data_with_ov!$AS$3:$AS$1334,$B282)</f>
        <v>#VALUE!</v>
      </c>
      <c r="O282" s="17" t="e">
        <f>SUMIFS([1]ACSDT5Y2020.B08301_data_with_ov!AW$3:AW$1334,[1]ACSDT5Y2020.B08301_data_with_ov!$AS$3:$AS$1334,$B282)</f>
        <v>#VALUE!</v>
      </c>
      <c r="P282" s="17" t="e">
        <f>SUMIFS([1]ACSDT5Y2020.B08301_data_with_ov!AX$3:AX$1334,[1]ACSDT5Y2020.B08301_data_with_ov!$AS$3:$AS$1334,$B282)</f>
        <v>#VALUE!</v>
      </c>
      <c r="Q282" s="17" t="e">
        <f>SUMIFS([1]ACSDT5Y2020.B08301_data_with_ov!AY$3:AY$1334,[1]ACSDT5Y2020.B08301_data_with_ov!$AS$3:$AS$1334,$B282)</f>
        <v>#VALUE!</v>
      </c>
      <c r="R282" s="17" t="e">
        <f>SUMIFS([1]ACSDT5Y2020.B08301_data_with_ov!AZ$3:AZ$1334,[1]ACSDT5Y2020.B08301_data_with_ov!$AS$3:$AS$1334,$B282)</f>
        <v>#VALUE!</v>
      </c>
      <c r="S282" s="17" t="e">
        <f>SUMIFS([1]ACSDT5Y2020.B08301_data_with_ov!BA$3:BA$1334,[1]ACSDT5Y2020.B08301_data_with_ov!$AS$3:$AS$1334,$B282)</f>
        <v>#VALUE!</v>
      </c>
      <c r="T282" s="188">
        <v>0</v>
      </c>
      <c r="U282" s="189" t="e">
        <f t="shared" si="19"/>
        <v>#VALUE!</v>
      </c>
      <c r="V282" s="188">
        <v>0</v>
      </c>
      <c r="W282" s="189" t="e">
        <f t="shared" si="16"/>
        <v>#VALUE!</v>
      </c>
      <c r="X282" s="188">
        <v>0</v>
      </c>
      <c r="Y282" s="189" t="e">
        <f t="shared" si="17"/>
        <v>#VALUE!</v>
      </c>
      <c r="Z282" s="188">
        <v>0</v>
      </c>
      <c r="AA282" s="189" t="e">
        <f t="shared" si="18"/>
        <v>#VALUE!</v>
      </c>
    </row>
    <row r="283" spans="1:27" x14ac:dyDescent="0.25">
      <c r="A283">
        <v>251100</v>
      </c>
      <c r="B283">
        <v>17031251100</v>
      </c>
      <c r="C283">
        <v>17031</v>
      </c>
      <c r="D283">
        <v>2010</v>
      </c>
      <c r="E283">
        <v>25</v>
      </c>
      <c r="F283">
        <v>5343993.9908154104</v>
      </c>
      <c r="G283" s="45">
        <v>0.19168940795796782</v>
      </c>
      <c r="H283" s="60" t="str">
        <f>_xlfn.IFNA(
INDEX('Community Areas'!B$2:B$78,MATCH($E283,'Community Areas'!$A$2:$A$78,0)),
"")</f>
        <v>AUSTIN</v>
      </c>
      <c r="I283" s="63" t="str">
        <f>_xlfn.IFNA(
INDEX('Community Areas'!C$2:C$78,MATCH($E283,'Community Areas'!$A$2:$A$78,0)),
"")</f>
        <v>3-A</v>
      </c>
      <c r="J283" s="63">
        <f>_xlfn.IFNA(
INDEX('Community Areas'!D$2:D$78,MATCH($E283,'Community Areas'!$A$2:$A$78,0)),
"")</f>
        <v>3</v>
      </c>
      <c r="K283" s="60" t="str">
        <f>_xlfn.IFNA(
INDEX('Community Areas'!E$2:E$78,MATCH($E283,'Community Areas'!$A$2:$A$78,0)),
"")</f>
        <v>WEST</v>
      </c>
      <c r="L283" s="17" t="e">
        <f>SUMIFS([1]ACSDT5Y2020.B08301_data_with_ov!AT$3:AT$1334,[1]ACSDT5Y2020.B08301_data_with_ov!$AS$3:$AS$1334,$B283)</f>
        <v>#VALUE!</v>
      </c>
      <c r="M283" s="17" t="e">
        <f>SUMIFS([1]ACSDT5Y2020.B08301_data_with_ov!AU$3:AU$1334,[1]ACSDT5Y2020.B08301_data_with_ov!$AS$3:$AS$1334,$B283)</f>
        <v>#VALUE!</v>
      </c>
      <c r="N283" s="17" t="e">
        <f>SUMIFS([1]ACSDT5Y2020.B08301_data_with_ov!AV$3:AV$1334,[1]ACSDT5Y2020.B08301_data_with_ov!$AS$3:$AS$1334,$B283)</f>
        <v>#VALUE!</v>
      </c>
      <c r="O283" s="17" t="e">
        <f>SUMIFS([1]ACSDT5Y2020.B08301_data_with_ov!AW$3:AW$1334,[1]ACSDT5Y2020.B08301_data_with_ov!$AS$3:$AS$1334,$B283)</f>
        <v>#VALUE!</v>
      </c>
      <c r="P283" s="17" t="e">
        <f>SUMIFS([1]ACSDT5Y2020.B08301_data_with_ov!AX$3:AX$1334,[1]ACSDT5Y2020.B08301_data_with_ov!$AS$3:$AS$1334,$B283)</f>
        <v>#VALUE!</v>
      </c>
      <c r="Q283" s="17" t="e">
        <f>SUMIFS([1]ACSDT5Y2020.B08301_data_with_ov!AY$3:AY$1334,[1]ACSDT5Y2020.B08301_data_with_ov!$AS$3:$AS$1334,$B283)</f>
        <v>#VALUE!</v>
      </c>
      <c r="R283" s="17" t="e">
        <f>SUMIFS([1]ACSDT5Y2020.B08301_data_with_ov!AZ$3:AZ$1334,[1]ACSDT5Y2020.B08301_data_with_ov!$AS$3:$AS$1334,$B283)</f>
        <v>#VALUE!</v>
      </c>
      <c r="S283" s="17" t="e">
        <f>SUMIFS([1]ACSDT5Y2020.B08301_data_with_ov!BA$3:BA$1334,[1]ACSDT5Y2020.B08301_data_with_ov!$AS$3:$AS$1334,$B283)</f>
        <v>#VALUE!</v>
      </c>
      <c r="T283" s="188">
        <v>0</v>
      </c>
      <c r="U283" s="189" t="e">
        <f t="shared" si="19"/>
        <v>#VALUE!</v>
      </c>
      <c r="V283" s="188">
        <v>0</v>
      </c>
      <c r="W283" s="189" t="e">
        <f t="shared" si="16"/>
        <v>#VALUE!</v>
      </c>
      <c r="X283" s="188">
        <v>0</v>
      </c>
      <c r="Y283" s="189" t="e">
        <f t="shared" si="17"/>
        <v>#VALUE!</v>
      </c>
      <c r="Z283" s="188">
        <v>0</v>
      </c>
      <c r="AA283" s="189" t="e">
        <f t="shared" si="18"/>
        <v>#VALUE!</v>
      </c>
    </row>
    <row r="284" spans="1:27" x14ac:dyDescent="0.25">
      <c r="A284">
        <v>251600</v>
      </c>
      <c r="B284">
        <v>17031251600</v>
      </c>
      <c r="C284">
        <v>17031</v>
      </c>
      <c r="D284">
        <v>2010</v>
      </c>
      <c r="E284">
        <v>25</v>
      </c>
      <c r="F284">
        <v>5175484.8422332499</v>
      </c>
      <c r="G284" s="45">
        <v>0.18564497396670002</v>
      </c>
      <c r="H284" s="60" t="str">
        <f>_xlfn.IFNA(
INDEX('Community Areas'!B$2:B$78,MATCH($E284,'Community Areas'!$A$2:$A$78,0)),
"")</f>
        <v>AUSTIN</v>
      </c>
      <c r="I284" s="63" t="str">
        <f>_xlfn.IFNA(
INDEX('Community Areas'!C$2:C$78,MATCH($E284,'Community Areas'!$A$2:$A$78,0)),
"")</f>
        <v>3-A</v>
      </c>
      <c r="J284" s="63">
        <f>_xlfn.IFNA(
INDEX('Community Areas'!D$2:D$78,MATCH($E284,'Community Areas'!$A$2:$A$78,0)),
"")</f>
        <v>3</v>
      </c>
      <c r="K284" s="60" t="str">
        <f>_xlfn.IFNA(
INDEX('Community Areas'!E$2:E$78,MATCH($E284,'Community Areas'!$A$2:$A$78,0)),
"")</f>
        <v>WEST</v>
      </c>
      <c r="L284" s="17" t="e">
        <f>SUMIFS([1]ACSDT5Y2020.B08301_data_with_ov!AT$3:AT$1334,[1]ACSDT5Y2020.B08301_data_with_ov!$AS$3:$AS$1334,$B284)</f>
        <v>#VALUE!</v>
      </c>
      <c r="M284" s="17" t="e">
        <f>SUMIFS([1]ACSDT5Y2020.B08301_data_with_ov!AU$3:AU$1334,[1]ACSDT5Y2020.B08301_data_with_ov!$AS$3:$AS$1334,$B284)</f>
        <v>#VALUE!</v>
      </c>
      <c r="N284" s="17" t="e">
        <f>SUMIFS([1]ACSDT5Y2020.B08301_data_with_ov!AV$3:AV$1334,[1]ACSDT5Y2020.B08301_data_with_ov!$AS$3:$AS$1334,$B284)</f>
        <v>#VALUE!</v>
      </c>
      <c r="O284" s="17" t="e">
        <f>SUMIFS([1]ACSDT5Y2020.B08301_data_with_ov!AW$3:AW$1334,[1]ACSDT5Y2020.B08301_data_with_ov!$AS$3:$AS$1334,$B284)</f>
        <v>#VALUE!</v>
      </c>
      <c r="P284" s="17" t="e">
        <f>SUMIFS([1]ACSDT5Y2020.B08301_data_with_ov!AX$3:AX$1334,[1]ACSDT5Y2020.B08301_data_with_ov!$AS$3:$AS$1334,$B284)</f>
        <v>#VALUE!</v>
      </c>
      <c r="Q284" s="17" t="e">
        <f>SUMIFS([1]ACSDT5Y2020.B08301_data_with_ov!AY$3:AY$1334,[1]ACSDT5Y2020.B08301_data_with_ov!$AS$3:$AS$1334,$B284)</f>
        <v>#VALUE!</v>
      </c>
      <c r="R284" s="17" t="e">
        <f>SUMIFS([1]ACSDT5Y2020.B08301_data_with_ov!AZ$3:AZ$1334,[1]ACSDT5Y2020.B08301_data_with_ov!$AS$3:$AS$1334,$B284)</f>
        <v>#VALUE!</v>
      </c>
      <c r="S284" s="17" t="e">
        <f>SUMIFS([1]ACSDT5Y2020.B08301_data_with_ov!BA$3:BA$1334,[1]ACSDT5Y2020.B08301_data_with_ov!$AS$3:$AS$1334,$B284)</f>
        <v>#VALUE!</v>
      </c>
      <c r="T284" s="188">
        <v>0.16743740176867972</v>
      </c>
      <c r="U284" s="189" t="e">
        <f t="shared" si="19"/>
        <v>#VALUE!</v>
      </c>
      <c r="V284" s="188">
        <v>0.16743740176867972</v>
      </c>
      <c r="W284" s="189" t="e">
        <f t="shared" si="16"/>
        <v>#VALUE!</v>
      </c>
      <c r="X284" s="188">
        <v>0.16743740176867972</v>
      </c>
      <c r="Y284" s="189" t="e">
        <f t="shared" si="17"/>
        <v>#VALUE!</v>
      </c>
      <c r="Z284" s="188">
        <v>0.16743740176867972</v>
      </c>
      <c r="AA284" s="189" t="e">
        <f t="shared" si="18"/>
        <v>#VALUE!</v>
      </c>
    </row>
    <row r="285" spans="1:27" x14ac:dyDescent="0.25">
      <c r="A285">
        <v>251000</v>
      </c>
      <c r="B285">
        <v>17031251000</v>
      </c>
      <c r="C285">
        <v>17031</v>
      </c>
      <c r="D285">
        <v>2010</v>
      </c>
      <c r="E285">
        <v>25</v>
      </c>
      <c r="F285">
        <v>5223417.1297934698</v>
      </c>
      <c r="G285" s="45">
        <v>0.18736430820253205</v>
      </c>
      <c r="H285" s="60" t="str">
        <f>_xlfn.IFNA(
INDEX('Community Areas'!B$2:B$78,MATCH($E285,'Community Areas'!$A$2:$A$78,0)),
"")</f>
        <v>AUSTIN</v>
      </c>
      <c r="I285" s="63" t="str">
        <f>_xlfn.IFNA(
INDEX('Community Areas'!C$2:C$78,MATCH($E285,'Community Areas'!$A$2:$A$78,0)),
"")</f>
        <v>3-A</v>
      </c>
      <c r="J285" s="63">
        <f>_xlfn.IFNA(
INDEX('Community Areas'!D$2:D$78,MATCH($E285,'Community Areas'!$A$2:$A$78,0)),
"")</f>
        <v>3</v>
      </c>
      <c r="K285" s="60" t="str">
        <f>_xlfn.IFNA(
INDEX('Community Areas'!E$2:E$78,MATCH($E285,'Community Areas'!$A$2:$A$78,0)),
"")</f>
        <v>WEST</v>
      </c>
      <c r="L285" s="17" t="e">
        <f>SUMIFS([1]ACSDT5Y2020.B08301_data_with_ov!AT$3:AT$1334,[1]ACSDT5Y2020.B08301_data_with_ov!$AS$3:$AS$1334,$B285)</f>
        <v>#VALUE!</v>
      </c>
      <c r="M285" s="17" t="e">
        <f>SUMIFS([1]ACSDT5Y2020.B08301_data_with_ov!AU$3:AU$1334,[1]ACSDT5Y2020.B08301_data_with_ov!$AS$3:$AS$1334,$B285)</f>
        <v>#VALUE!</v>
      </c>
      <c r="N285" s="17" t="e">
        <f>SUMIFS([1]ACSDT5Y2020.B08301_data_with_ov!AV$3:AV$1334,[1]ACSDT5Y2020.B08301_data_with_ov!$AS$3:$AS$1334,$B285)</f>
        <v>#VALUE!</v>
      </c>
      <c r="O285" s="17" t="e">
        <f>SUMIFS([1]ACSDT5Y2020.B08301_data_with_ov!AW$3:AW$1334,[1]ACSDT5Y2020.B08301_data_with_ov!$AS$3:$AS$1334,$B285)</f>
        <v>#VALUE!</v>
      </c>
      <c r="P285" s="17" t="e">
        <f>SUMIFS([1]ACSDT5Y2020.B08301_data_with_ov!AX$3:AX$1334,[1]ACSDT5Y2020.B08301_data_with_ov!$AS$3:$AS$1334,$B285)</f>
        <v>#VALUE!</v>
      </c>
      <c r="Q285" s="17" t="e">
        <f>SUMIFS([1]ACSDT5Y2020.B08301_data_with_ov!AY$3:AY$1334,[1]ACSDT5Y2020.B08301_data_with_ov!$AS$3:$AS$1334,$B285)</f>
        <v>#VALUE!</v>
      </c>
      <c r="R285" s="17" t="e">
        <f>SUMIFS([1]ACSDT5Y2020.B08301_data_with_ov!AZ$3:AZ$1334,[1]ACSDT5Y2020.B08301_data_with_ov!$AS$3:$AS$1334,$B285)</f>
        <v>#VALUE!</v>
      </c>
      <c r="S285" s="17" t="e">
        <f>SUMIFS([1]ACSDT5Y2020.B08301_data_with_ov!BA$3:BA$1334,[1]ACSDT5Y2020.B08301_data_with_ov!$AS$3:$AS$1334,$B285)</f>
        <v>#VALUE!</v>
      </c>
      <c r="T285" s="188">
        <v>0</v>
      </c>
      <c r="U285" s="189" t="e">
        <f t="shared" si="19"/>
        <v>#VALUE!</v>
      </c>
      <c r="V285" s="188">
        <v>0</v>
      </c>
      <c r="W285" s="189" t="e">
        <f t="shared" si="16"/>
        <v>#VALUE!</v>
      </c>
      <c r="X285" s="188">
        <v>0</v>
      </c>
      <c r="Y285" s="189" t="e">
        <f t="shared" si="17"/>
        <v>#VALUE!</v>
      </c>
      <c r="Z285" s="188">
        <v>0</v>
      </c>
      <c r="AA285" s="189" t="e">
        <f t="shared" si="18"/>
        <v>#VALUE!</v>
      </c>
    </row>
    <row r="286" spans="1:27" x14ac:dyDescent="0.25">
      <c r="A286">
        <v>250700</v>
      </c>
      <c r="B286">
        <v>17031250700</v>
      </c>
      <c r="C286">
        <v>17031</v>
      </c>
      <c r="D286">
        <v>2010</v>
      </c>
      <c r="E286">
        <v>25</v>
      </c>
      <c r="F286">
        <v>7129488.8640746204</v>
      </c>
      <c r="G286" s="45">
        <v>0.25573522383187774</v>
      </c>
      <c r="H286" s="60" t="str">
        <f>_xlfn.IFNA(
INDEX('Community Areas'!B$2:B$78,MATCH($E286,'Community Areas'!$A$2:$A$78,0)),
"")</f>
        <v>AUSTIN</v>
      </c>
      <c r="I286" s="63" t="str">
        <f>_xlfn.IFNA(
INDEX('Community Areas'!C$2:C$78,MATCH($E286,'Community Areas'!$A$2:$A$78,0)),
"")</f>
        <v>3-A</v>
      </c>
      <c r="J286" s="63">
        <f>_xlfn.IFNA(
INDEX('Community Areas'!D$2:D$78,MATCH($E286,'Community Areas'!$A$2:$A$78,0)),
"")</f>
        <v>3</v>
      </c>
      <c r="K286" s="60" t="str">
        <f>_xlfn.IFNA(
INDEX('Community Areas'!E$2:E$78,MATCH($E286,'Community Areas'!$A$2:$A$78,0)),
"")</f>
        <v>WEST</v>
      </c>
      <c r="L286" s="17" t="e">
        <f>SUMIFS([1]ACSDT5Y2020.B08301_data_with_ov!AT$3:AT$1334,[1]ACSDT5Y2020.B08301_data_with_ov!$AS$3:$AS$1334,$B286)</f>
        <v>#VALUE!</v>
      </c>
      <c r="M286" s="17" t="e">
        <f>SUMIFS([1]ACSDT5Y2020.B08301_data_with_ov!AU$3:AU$1334,[1]ACSDT5Y2020.B08301_data_with_ov!$AS$3:$AS$1334,$B286)</f>
        <v>#VALUE!</v>
      </c>
      <c r="N286" s="17" t="e">
        <f>SUMIFS([1]ACSDT5Y2020.B08301_data_with_ov!AV$3:AV$1334,[1]ACSDT5Y2020.B08301_data_with_ov!$AS$3:$AS$1334,$B286)</f>
        <v>#VALUE!</v>
      </c>
      <c r="O286" s="17" t="e">
        <f>SUMIFS([1]ACSDT5Y2020.B08301_data_with_ov!AW$3:AW$1334,[1]ACSDT5Y2020.B08301_data_with_ov!$AS$3:$AS$1334,$B286)</f>
        <v>#VALUE!</v>
      </c>
      <c r="P286" s="17" t="e">
        <f>SUMIFS([1]ACSDT5Y2020.B08301_data_with_ov!AX$3:AX$1334,[1]ACSDT5Y2020.B08301_data_with_ov!$AS$3:$AS$1334,$B286)</f>
        <v>#VALUE!</v>
      </c>
      <c r="Q286" s="17" t="e">
        <f>SUMIFS([1]ACSDT5Y2020.B08301_data_with_ov!AY$3:AY$1334,[1]ACSDT5Y2020.B08301_data_with_ov!$AS$3:$AS$1334,$B286)</f>
        <v>#VALUE!</v>
      </c>
      <c r="R286" s="17" t="e">
        <f>SUMIFS([1]ACSDT5Y2020.B08301_data_with_ov!AZ$3:AZ$1334,[1]ACSDT5Y2020.B08301_data_with_ov!$AS$3:$AS$1334,$B286)</f>
        <v>#VALUE!</v>
      </c>
      <c r="S286" s="17" t="e">
        <f>SUMIFS([1]ACSDT5Y2020.B08301_data_with_ov!BA$3:BA$1334,[1]ACSDT5Y2020.B08301_data_with_ov!$AS$3:$AS$1334,$B286)</f>
        <v>#VALUE!</v>
      </c>
      <c r="T286" s="188">
        <v>0</v>
      </c>
      <c r="U286" s="189" t="e">
        <f t="shared" si="19"/>
        <v>#VALUE!</v>
      </c>
      <c r="V286" s="188">
        <v>0</v>
      </c>
      <c r="W286" s="189" t="e">
        <f t="shared" si="16"/>
        <v>#VALUE!</v>
      </c>
      <c r="X286" s="188">
        <v>0</v>
      </c>
      <c r="Y286" s="189" t="e">
        <f t="shared" si="17"/>
        <v>#VALUE!</v>
      </c>
      <c r="Z286" s="188">
        <v>0</v>
      </c>
      <c r="AA286" s="189" t="e">
        <f t="shared" si="18"/>
        <v>#VALUE!</v>
      </c>
    </row>
    <row r="287" spans="1:27" x14ac:dyDescent="0.25">
      <c r="A287">
        <v>252102</v>
      </c>
      <c r="B287">
        <v>17031252102</v>
      </c>
      <c r="C287">
        <v>17031</v>
      </c>
      <c r="D287">
        <v>2010</v>
      </c>
      <c r="E287">
        <v>25</v>
      </c>
      <c r="F287">
        <v>7196924.1476283204</v>
      </c>
      <c r="G287" s="45">
        <v>0.25815413178763202</v>
      </c>
      <c r="H287" s="60" t="str">
        <f>_xlfn.IFNA(
INDEX('Community Areas'!B$2:B$78,MATCH($E287,'Community Areas'!$A$2:$A$78,0)),
"")</f>
        <v>AUSTIN</v>
      </c>
      <c r="I287" s="63" t="str">
        <f>_xlfn.IFNA(
INDEX('Community Areas'!C$2:C$78,MATCH($E287,'Community Areas'!$A$2:$A$78,0)),
"")</f>
        <v>3-A</v>
      </c>
      <c r="J287" s="63">
        <f>_xlfn.IFNA(
INDEX('Community Areas'!D$2:D$78,MATCH($E287,'Community Areas'!$A$2:$A$78,0)),
"")</f>
        <v>3</v>
      </c>
      <c r="K287" s="60" t="str">
        <f>_xlfn.IFNA(
INDEX('Community Areas'!E$2:E$78,MATCH($E287,'Community Areas'!$A$2:$A$78,0)),
"")</f>
        <v>WEST</v>
      </c>
      <c r="L287" s="17" t="e">
        <f>SUMIFS([1]ACSDT5Y2020.B08301_data_with_ov!AT$3:AT$1334,[1]ACSDT5Y2020.B08301_data_with_ov!$AS$3:$AS$1334,$B287)</f>
        <v>#VALUE!</v>
      </c>
      <c r="M287" s="17" t="e">
        <f>SUMIFS([1]ACSDT5Y2020.B08301_data_with_ov!AU$3:AU$1334,[1]ACSDT5Y2020.B08301_data_with_ov!$AS$3:$AS$1334,$B287)</f>
        <v>#VALUE!</v>
      </c>
      <c r="N287" s="17" t="e">
        <f>SUMIFS([1]ACSDT5Y2020.B08301_data_with_ov!AV$3:AV$1334,[1]ACSDT5Y2020.B08301_data_with_ov!$AS$3:$AS$1334,$B287)</f>
        <v>#VALUE!</v>
      </c>
      <c r="O287" s="17" t="e">
        <f>SUMIFS([1]ACSDT5Y2020.B08301_data_with_ov!AW$3:AW$1334,[1]ACSDT5Y2020.B08301_data_with_ov!$AS$3:$AS$1334,$B287)</f>
        <v>#VALUE!</v>
      </c>
      <c r="P287" s="17" t="e">
        <f>SUMIFS([1]ACSDT5Y2020.B08301_data_with_ov!AX$3:AX$1334,[1]ACSDT5Y2020.B08301_data_with_ov!$AS$3:$AS$1334,$B287)</f>
        <v>#VALUE!</v>
      </c>
      <c r="Q287" s="17" t="e">
        <f>SUMIFS([1]ACSDT5Y2020.B08301_data_with_ov!AY$3:AY$1334,[1]ACSDT5Y2020.B08301_data_with_ov!$AS$3:$AS$1334,$B287)</f>
        <v>#VALUE!</v>
      </c>
      <c r="R287" s="17" t="e">
        <f>SUMIFS([1]ACSDT5Y2020.B08301_data_with_ov!AZ$3:AZ$1334,[1]ACSDT5Y2020.B08301_data_with_ov!$AS$3:$AS$1334,$B287)</f>
        <v>#VALUE!</v>
      </c>
      <c r="S287" s="17" t="e">
        <f>SUMIFS([1]ACSDT5Y2020.B08301_data_with_ov!BA$3:BA$1334,[1]ACSDT5Y2020.B08301_data_with_ov!$AS$3:$AS$1334,$B287)</f>
        <v>#VALUE!</v>
      </c>
      <c r="T287" s="188">
        <v>0.25800991079190339</v>
      </c>
      <c r="U287" s="189" t="e">
        <f t="shared" si="19"/>
        <v>#VALUE!</v>
      </c>
      <c r="V287" s="188">
        <v>0.25800991079190339</v>
      </c>
      <c r="W287" s="189" t="e">
        <f t="shared" si="16"/>
        <v>#VALUE!</v>
      </c>
      <c r="X287" s="188">
        <v>0.25800991079190339</v>
      </c>
      <c r="Y287" s="189" t="e">
        <f t="shared" si="17"/>
        <v>#VALUE!</v>
      </c>
      <c r="Z287" s="188">
        <v>0.25800991079190339</v>
      </c>
      <c r="AA287" s="189" t="e">
        <f t="shared" si="18"/>
        <v>#VALUE!</v>
      </c>
    </row>
    <row r="288" spans="1:27" x14ac:dyDescent="0.25">
      <c r="A288">
        <v>831300</v>
      </c>
      <c r="B288">
        <v>17031831300</v>
      </c>
      <c r="C288">
        <v>17031</v>
      </c>
      <c r="D288">
        <v>2010</v>
      </c>
      <c r="E288">
        <v>25</v>
      </c>
      <c r="F288">
        <v>6389212.2726931795</v>
      </c>
      <c r="G288" s="45">
        <v>0.22918145491467157</v>
      </c>
      <c r="H288" s="60" t="str">
        <f>_xlfn.IFNA(
INDEX('Community Areas'!B$2:B$78,MATCH($E288,'Community Areas'!$A$2:$A$78,0)),
"")</f>
        <v>AUSTIN</v>
      </c>
      <c r="I288" s="63" t="str">
        <f>_xlfn.IFNA(
INDEX('Community Areas'!C$2:C$78,MATCH($E288,'Community Areas'!$A$2:$A$78,0)),
"")</f>
        <v>3-A</v>
      </c>
      <c r="J288" s="63">
        <f>_xlfn.IFNA(
INDEX('Community Areas'!D$2:D$78,MATCH($E288,'Community Areas'!$A$2:$A$78,0)),
"")</f>
        <v>3</v>
      </c>
      <c r="K288" s="60" t="str">
        <f>_xlfn.IFNA(
INDEX('Community Areas'!E$2:E$78,MATCH($E288,'Community Areas'!$A$2:$A$78,0)),
"")</f>
        <v>WEST</v>
      </c>
      <c r="L288" s="17" t="e">
        <f>SUMIFS([1]ACSDT5Y2020.B08301_data_with_ov!AT$3:AT$1334,[1]ACSDT5Y2020.B08301_data_with_ov!$AS$3:$AS$1334,$B288)</f>
        <v>#VALUE!</v>
      </c>
      <c r="M288" s="17" t="e">
        <f>SUMIFS([1]ACSDT5Y2020.B08301_data_with_ov!AU$3:AU$1334,[1]ACSDT5Y2020.B08301_data_with_ov!$AS$3:$AS$1334,$B288)</f>
        <v>#VALUE!</v>
      </c>
      <c r="N288" s="17" t="e">
        <f>SUMIFS([1]ACSDT5Y2020.B08301_data_with_ov!AV$3:AV$1334,[1]ACSDT5Y2020.B08301_data_with_ov!$AS$3:$AS$1334,$B288)</f>
        <v>#VALUE!</v>
      </c>
      <c r="O288" s="17" t="e">
        <f>SUMIFS([1]ACSDT5Y2020.B08301_data_with_ov!AW$3:AW$1334,[1]ACSDT5Y2020.B08301_data_with_ov!$AS$3:$AS$1334,$B288)</f>
        <v>#VALUE!</v>
      </c>
      <c r="P288" s="17" t="e">
        <f>SUMIFS([1]ACSDT5Y2020.B08301_data_with_ov!AX$3:AX$1334,[1]ACSDT5Y2020.B08301_data_with_ov!$AS$3:$AS$1334,$B288)</f>
        <v>#VALUE!</v>
      </c>
      <c r="Q288" s="17" t="e">
        <f>SUMIFS([1]ACSDT5Y2020.B08301_data_with_ov!AY$3:AY$1334,[1]ACSDT5Y2020.B08301_data_with_ov!$AS$3:$AS$1334,$B288)</f>
        <v>#VALUE!</v>
      </c>
      <c r="R288" s="17" t="e">
        <f>SUMIFS([1]ACSDT5Y2020.B08301_data_with_ov!AZ$3:AZ$1334,[1]ACSDT5Y2020.B08301_data_with_ov!$AS$3:$AS$1334,$B288)</f>
        <v>#VALUE!</v>
      </c>
      <c r="S288" s="17" t="e">
        <f>SUMIFS([1]ACSDT5Y2020.B08301_data_with_ov!BA$3:BA$1334,[1]ACSDT5Y2020.B08301_data_with_ov!$AS$3:$AS$1334,$B288)</f>
        <v>#VALUE!</v>
      </c>
      <c r="T288" s="188">
        <v>0</v>
      </c>
      <c r="U288" s="189" t="e">
        <f t="shared" si="19"/>
        <v>#VALUE!</v>
      </c>
      <c r="V288" s="188">
        <v>0</v>
      </c>
      <c r="W288" s="189" t="e">
        <f t="shared" si="16"/>
        <v>#VALUE!</v>
      </c>
      <c r="X288" s="188">
        <v>0</v>
      </c>
      <c r="Y288" s="189" t="e">
        <f t="shared" si="17"/>
        <v>#VALUE!</v>
      </c>
      <c r="Z288" s="188">
        <v>0</v>
      </c>
      <c r="AA288" s="189" t="e">
        <f t="shared" si="18"/>
        <v>#VALUE!</v>
      </c>
    </row>
    <row r="289" spans="1:27" x14ac:dyDescent="0.25">
      <c r="A289">
        <v>251200</v>
      </c>
      <c r="B289">
        <v>17031251200</v>
      </c>
      <c r="C289">
        <v>17031</v>
      </c>
      <c r="D289">
        <v>2010</v>
      </c>
      <c r="E289">
        <v>25</v>
      </c>
      <c r="F289">
        <v>7129083.5574053098</v>
      </c>
      <c r="G289" s="45">
        <v>0.25572068545559679</v>
      </c>
      <c r="H289" s="60" t="str">
        <f>_xlfn.IFNA(
INDEX('Community Areas'!B$2:B$78,MATCH($E289,'Community Areas'!$A$2:$A$78,0)),
"")</f>
        <v>AUSTIN</v>
      </c>
      <c r="I289" s="63" t="str">
        <f>_xlfn.IFNA(
INDEX('Community Areas'!C$2:C$78,MATCH($E289,'Community Areas'!$A$2:$A$78,0)),
"")</f>
        <v>3-A</v>
      </c>
      <c r="J289" s="63">
        <f>_xlfn.IFNA(
INDEX('Community Areas'!D$2:D$78,MATCH($E289,'Community Areas'!$A$2:$A$78,0)),
"")</f>
        <v>3</v>
      </c>
      <c r="K289" s="60" t="str">
        <f>_xlfn.IFNA(
INDEX('Community Areas'!E$2:E$78,MATCH($E289,'Community Areas'!$A$2:$A$78,0)),
"")</f>
        <v>WEST</v>
      </c>
      <c r="L289" s="17" t="e">
        <f>SUMIFS([1]ACSDT5Y2020.B08301_data_with_ov!AT$3:AT$1334,[1]ACSDT5Y2020.B08301_data_with_ov!$AS$3:$AS$1334,$B289)</f>
        <v>#VALUE!</v>
      </c>
      <c r="M289" s="17" t="e">
        <f>SUMIFS([1]ACSDT5Y2020.B08301_data_with_ov!AU$3:AU$1334,[1]ACSDT5Y2020.B08301_data_with_ov!$AS$3:$AS$1334,$B289)</f>
        <v>#VALUE!</v>
      </c>
      <c r="N289" s="17" t="e">
        <f>SUMIFS([1]ACSDT5Y2020.B08301_data_with_ov!AV$3:AV$1334,[1]ACSDT5Y2020.B08301_data_with_ov!$AS$3:$AS$1334,$B289)</f>
        <v>#VALUE!</v>
      </c>
      <c r="O289" s="17" t="e">
        <f>SUMIFS([1]ACSDT5Y2020.B08301_data_with_ov!AW$3:AW$1334,[1]ACSDT5Y2020.B08301_data_with_ov!$AS$3:$AS$1334,$B289)</f>
        <v>#VALUE!</v>
      </c>
      <c r="P289" s="17" t="e">
        <f>SUMIFS([1]ACSDT5Y2020.B08301_data_with_ov!AX$3:AX$1334,[1]ACSDT5Y2020.B08301_data_with_ov!$AS$3:$AS$1334,$B289)</f>
        <v>#VALUE!</v>
      </c>
      <c r="Q289" s="17" t="e">
        <f>SUMIFS([1]ACSDT5Y2020.B08301_data_with_ov!AY$3:AY$1334,[1]ACSDT5Y2020.B08301_data_with_ov!$AS$3:$AS$1334,$B289)</f>
        <v>#VALUE!</v>
      </c>
      <c r="R289" s="17" t="e">
        <f>SUMIFS([1]ACSDT5Y2020.B08301_data_with_ov!AZ$3:AZ$1334,[1]ACSDT5Y2020.B08301_data_with_ov!$AS$3:$AS$1334,$B289)</f>
        <v>#VALUE!</v>
      </c>
      <c r="S289" s="17" t="e">
        <f>SUMIFS([1]ACSDT5Y2020.B08301_data_with_ov!BA$3:BA$1334,[1]ACSDT5Y2020.B08301_data_with_ov!$AS$3:$AS$1334,$B289)</f>
        <v>#VALUE!</v>
      </c>
      <c r="T289" s="188">
        <v>1.2370597557244606E-3</v>
      </c>
      <c r="U289" s="189" t="e">
        <f t="shared" si="19"/>
        <v>#VALUE!</v>
      </c>
      <c r="V289" s="188">
        <v>2.123605855769983E-4</v>
      </c>
      <c r="W289" s="189" t="e">
        <f t="shared" si="16"/>
        <v>#VALUE!</v>
      </c>
      <c r="X289" s="188">
        <v>2.123605855769983E-4</v>
      </c>
      <c r="Y289" s="189" t="e">
        <f t="shared" si="17"/>
        <v>#VALUE!</v>
      </c>
      <c r="Z289" s="188">
        <v>2.123605855769983E-4</v>
      </c>
      <c r="AA289" s="189" t="e">
        <f t="shared" si="18"/>
        <v>#VALUE!</v>
      </c>
    </row>
    <row r="290" spans="1:27" x14ac:dyDescent="0.25">
      <c r="A290">
        <v>252202</v>
      </c>
      <c r="B290">
        <v>17031252202</v>
      </c>
      <c r="C290">
        <v>17031</v>
      </c>
      <c r="D290">
        <v>2010</v>
      </c>
      <c r="E290">
        <v>25</v>
      </c>
      <c r="F290">
        <v>6874295.8370410604</v>
      </c>
      <c r="G290" s="45">
        <v>0.24658143354859174</v>
      </c>
      <c r="H290" s="60" t="str">
        <f>_xlfn.IFNA(
INDEX('Community Areas'!B$2:B$78,MATCH($E290,'Community Areas'!$A$2:$A$78,0)),
"")</f>
        <v>AUSTIN</v>
      </c>
      <c r="I290" s="63" t="str">
        <f>_xlfn.IFNA(
INDEX('Community Areas'!C$2:C$78,MATCH($E290,'Community Areas'!$A$2:$A$78,0)),
"")</f>
        <v>3-A</v>
      </c>
      <c r="J290" s="63">
        <f>_xlfn.IFNA(
INDEX('Community Areas'!D$2:D$78,MATCH($E290,'Community Areas'!$A$2:$A$78,0)),
"")</f>
        <v>3</v>
      </c>
      <c r="K290" s="60" t="str">
        <f>_xlfn.IFNA(
INDEX('Community Areas'!E$2:E$78,MATCH($E290,'Community Areas'!$A$2:$A$78,0)),
"")</f>
        <v>WEST</v>
      </c>
      <c r="L290" s="17" t="e">
        <f>SUMIFS([1]ACSDT5Y2020.B08301_data_with_ov!AT$3:AT$1334,[1]ACSDT5Y2020.B08301_data_with_ov!$AS$3:$AS$1334,$B290)</f>
        <v>#VALUE!</v>
      </c>
      <c r="M290" s="17" t="e">
        <f>SUMIFS([1]ACSDT5Y2020.B08301_data_with_ov!AU$3:AU$1334,[1]ACSDT5Y2020.B08301_data_with_ov!$AS$3:$AS$1334,$B290)</f>
        <v>#VALUE!</v>
      </c>
      <c r="N290" s="17" t="e">
        <f>SUMIFS([1]ACSDT5Y2020.B08301_data_with_ov!AV$3:AV$1334,[1]ACSDT5Y2020.B08301_data_with_ov!$AS$3:$AS$1334,$B290)</f>
        <v>#VALUE!</v>
      </c>
      <c r="O290" s="17" t="e">
        <f>SUMIFS([1]ACSDT5Y2020.B08301_data_with_ov!AW$3:AW$1334,[1]ACSDT5Y2020.B08301_data_with_ov!$AS$3:$AS$1334,$B290)</f>
        <v>#VALUE!</v>
      </c>
      <c r="P290" s="17" t="e">
        <f>SUMIFS([1]ACSDT5Y2020.B08301_data_with_ov!AX$3:AX$1334,[1]ACSDT5Y2020.B08301_data_with_ov!$AS$3:$AS$1334,$B290)</f>
        <v>#VALUE!</v>
      </c>
      <c r="Q290" s="17" t="e">
        <f>SUMIFS([1]ACSDT5Y2020.B08301_data_with_ov!AY$3:AY$1334,[1]ACSDT5Y2020.B08301_data_with_ov!$AS$3:$AS$1334,$B290)</f>
        <v>#VALUE!</v>
      </c>
      <c r="R290" s="17" t="e">
        <f>SUMIFS([1]ACSDT5Y2020.B08301_data_with_ov!AZ$3:AZ$1334,[1]ACSDT5Y2020.B08301_data_with_ov!$AS$3:$AS$1334,$B290)</f>
        <v>#VALUE!</v>
      </c>
      <c r="S290" s="17" t="e">
        <f>SUMIFS([1]ACSDT5Y2020.B08301_data_with_ov!BA$3:BA$1334,[1]ACSDT5Y2020.B08301_data_with_ov!$AS$3:$AS$1334,$B290)</f>
        <v>#VALUE!</v>
      </c>
      <c r="T290" s="188">
        <v>0.24294742314654824</v>
      </c>
      <c r="U290" s="189" t="e">
        <f t="shared" si="19"/>
        <v>#VALUE!</v>
      </c>
      <c r="V290" s="188">
        <v>0.24294742314654824</v>
      </c>
      <c r="W290" s="189" t="e">
        <f t="shared" si="16"/>
        <v>#VALUE!</v>
      </c>
      <c r="X290" s="188">
        <v>0.24294742314654824</v>
      </c>
      <c r="Y290" s="189" t="e">
        <f t="shared" si="17"/>
        <v>#VALUE!</v>
      </c>
      <c r="Z290" s="188">
        <v>0.24294742314654824</v>
      </c>
      <c r="AA290" s="189" t="e">
        <f t="shared" si="18"/>
        <v>#VALUE!</v>
      </c>
    </row>
    <row r="291" spans="1:27" x14ac:dyDescent="0.25">
      <c r="A291">
        <v>251500</v>
      </c>
      <c r="B291">
        <v>17031251500</v>
      </c>
      <c r="C291">
        <v>17031</v>
      </c>
      <c r="D291">
        <v>2010</v>
      </c>
      <c r="E291">
        <v>25</v>
      </c>
      <c r="F291">
        <v>7397436.84931539</v>
      </c>
      <c r="G291" s="45">
        <v>0.26534653528593427</v>
      </c>
      <c r="H291" s="60" t="str">
        <f>_xlfn.IFNA(
INDEX('Community Areas'!B$2:B$78,MATCH($E291,'Community Areas'!$A$2:$A$78,0)),
"")</f>
        <v>AUSTIN</v>
      </c>
      <c r="I291" s="63" t="str">
        <f>_xlfn.IFNA(
INDEX('Community Areas'!C$2:C$78,MATCH($E291,'Community Areas'!$A$2:$A$78,0)),
"")</f>
        <v>3-A</v>
      </c>
      <c r="J291" s="63">
        <f>_xlfn.IFNA(
INDEX('Community Areas'!D$2:D$78,MATCH($E291,'Community Areas'!$A$2:$A$78,0)),
"")</f>
        <v>3</v>
      </c>
      <c r="K291" s="60" t="str">
        <f>_xlfn.IFNA(
INDEX('Community Areas'!E$2:E$78,MATCH($E291,'Community Areas'!$A$2:$A$78,0)),
"")</f>
        <v>WEST</v>
      </c>
      <c r="L291" s="17" t="e">
        <f>SUMIFS([1]ACSDT5Y2020.B08301_data_with_ov!AT$3:AT$1334,[1]ACSDT5Y2020.B08301_data_with_ov!$AS$3:$AS$1334,$B291)</f>
        <v>#VALUE!</v>
      </c>
      <c r="M291" s="17" t="e">
        <f>SUMIFS([1]ACSDT5Y2020.B08301_data_with_ov!AU$3:AU$1334,[1]ACSDT5Y2020.B08301_data_with_ov!$AS$3:$AS$1334,$B291)</f>
        <v>#VALUE!</v>
      </c>
      <c r="N291" s="17" t="e">
        <f>SUMIFS([1]ACSDT5Y2020.B08301_data_with_ov!AV$3:AV$1334,[1]ACSDT5Y2020.B08301_data_with_ov!$AS$3:$AS$1334,$B291)</f>
        <v>#VALUE!</v>
      </c>
      <c r="O291" s="17" t="e">
        <f>SUMIFS([1]ACSDT5Y2020.B08301_data_with_ov!AW$3:AW$1334,[1]ACSDT5Y2020.B08301_data_with_ov!$AS$3:$AS$1334,$B291)</f>
        <v>#VALUE!</v>
      </c>
      <c r="P291" s="17" t="e">
        <f>SUMIFS([1]ACSDT5Y2020.B08301_data_with_ov!AX$3:AX$1334,[1]ACSDT5Y2020.B08301_data_with_ov!$AS$3:$AS$1334,$B291)</f>
        <v>#VALUE!</v>
      </c>
      <c r="Q291" s="17" t="e">
        <f>SUMIFS([1]ACSDT5Y2020.B08301_data_with_ov!AY$3:AY$1334,[1]ACSDT5Y2020.B08301_data_with_ov!$AS$3:$AS$1334,$B291)</f>
        <v>#VALUE!</v>
      </c>
      <c r="R291" s="17" t="e">
        <f>SUMIFS([1]ACSDT5Y2020.B08301_data_with_ov!AZ$3:AZ$1334,[1]ACSDT5Y2020.B08301_data_with_ov!$AS$3:$AS$1334,$B291)</f>
        <v>#VALUE!</v>
      </c>
      <c r="S291" s="17" t="e">
        <f>SUMIFS([1]ACSDT5Y2020.B08301_data_with_ov!BA$3:BA$1334,[1]ACSDT5Y2020.B08301_data_with_ov!$AS$3:$AS$1334,$B291)</f>
        <v>#VALUE!</v>
      </c>
      <c r="T291" s="188">
        <v>0.25855853372609694</v>
      </c>
      <c r="U291" s="189" t="e">
        <f t="shared" si="19"/>
        <v>#VALUE!</v>
      </c>
      <c r="V291" s="188">
        <v>0.25511276253164245</v>
      </c>
      <c r="W291" s="189" t="e">
        <f t="shared" si="16"/>
        <v>#VALUE!</v>
      </c>
      <c r="X291" s="188">
        <v>0.25511276253164245</v>
      </c>
      <c r="Y291" s="189" t="e">
        <f t="shared" si="17"/>
        <v>#VALUE!</v>
      </c>
      <c r="Z291" s="188">
        <v>0.25511276253164245</v>
      </c>
      <c r="AA291" s="189" t="e">
        <f t="shared" si="18"/>
        <v>#VALUE!</v>
      </c>
    </row>
    <row r="292" spans="1:27" x14ac:dyDescent="0.25">
      <c r="A292">
        <v>251900</v>
      </c>
      <c r="B292">
        <v>17031251900</v>
      </c>
      <c r="C292">
        <v>17031</v>
      </c>
      <c r="D292">
        <v>2010</v>
      </c>
      <c r="E292">
        <v>25</v>
      </c>
      <c r="F292">
        <v>6771460.1526989499</v>
      </c>
      <c r="G292" s="45">
        <v>0.24289271094104933</v>
      </c>
      <c r="H292" s="60" t="str">
        <f>_xlfn.IFNA(
INDEX('Community Areas'!B$2:B$78,MATCH($E292,'Community Areas'!$A$2:$A$78,0)),
"")</f>
        <v>AUSTIN</v>
      </c>
      <c r="I292" s="63" t="str">
        <f>_xlfn.IFNA(
INDEX('Community Areas'!C$2:C$78,MATCH($E292,'Community Areas'!$A$2:$A$78,0)),
"")</f>
        <v>3-A</v>
      </c>
      <c r="J292" s="63">
        <f>_xlfn.IFNA(
INDEX('Community Areas'!D$2:D$78,MATCH($E292,'Community Areas'!$A$2:$A$78,0)),
"")</f>
        <v>3</v>
      </c>
      <c r="K292" s="60" t="str">
        <f>_xlfn.IFNA(
INDEX('Community Areas'!E$2:E$78,MATCH($E292,'Community Areas'!$A$2:$A$78,0)),
"")</f>
        <v>WEST</v>
      </c>
      <c r="L292" s="17" t="e">
        <f>SUMIFS([1]ACSDT5Y2020.B08301_data_with_ov!AT$3:AT$1334,[1]ACSDT5Y2020.B08301_data_with_ov!$AS$3:$AS$1334,$B292)</f>
        <v>#VALUE!</v>
      </c>
      <c r="M292" s="17" t="e">
        <f>SUMIFS([1]ACSDT5Y2020.B08301_data_with_ov!AU$3:AU$1334,[1]ACSDT5Y2020.B08301_data_with_ov!$AS$3:$AS$1334,$B292)</f>
        <v>#VALUE!</v>
      </c>
      <c r="N292" s="17" t="e">
        <f>SUMIFS([1]ACSDT5Y2020.B08301_data_with_ov!AV$3:AV$1334,[1]ACSDT5Y2020.B08301_data_with_ov!$AS$3:$AS$1334,$B292)</f>
        <v>#VALUE!</v>
      </c>
      <c r="O292" s="17" t="e">
        <f>SUMIFS([1]ACSDT5Y2020.B08301_data_with_ov!AW$3:AW$1334,[1]ACSDT5Y2020.B08301_data_with_ov!$AS$3:$AS$1334,$B292)</f>
        <v>#VALUE!</v>
      </c>
      <c r="P292" s="17" t="e">
        <f>SUMIFS([1]ACSDT5Y2020.B08301_data_with_ov!AX$3:AX$1334,[1]ACSDT5Y2020.B08301_data_with_ov!$AS$3:$AS$1334,$B292)</f>
        <v>#VALUE!</v>
      </c>
      <c r="Q292" s="17" t="e">
        <f>SUMIFS([1]ACSDT5Y2020.B08301_data_with_ov!AY$3:AY$1334,[1]ACSDT5Y2020.B08301_data_with_ov!$AS$3:$AS$1334,$B292)</f>
        <v>#VALUE!</v>
      </c>
      <c r="R292" s="17" t="e">
        <f>SUMIFS([1]ACSDT5Y2020.B08301_data_with_ov!AZ$3:AZ$1334,[1]ACSDT5Y2020.B08301_data_with_ov!$AS$3:$AS$1334,$B292)</f>
        <v>#VALUE!</v>
      </c>
      <c r="S292" s="17" t="e">
        <f>SUMIFS([1]ACSDT5Y2020.B08301_data_with_ov!BA$3:BA$1334,[1]ACSDT5Y2020.B08301_data_with_ov!$AS$3:$AS$1334,$B292)</f>
        <v>#VALUE!</v>
      </c>
      <c r="T292" s="188">
        <v>0.24289270955352532</v>
      </c>
      <c r="U292" s="189" t="e">
        <f t="shared" si="19"/>
        <v>#VALUE!</v>
      </c>
      <c r="V292" s="188">
        <v>0.24289270955352532</v>
      </c>
      <c r="W292" s="189" t="e">
        <f t="shared" si="16"/>
        <v>#VALUE!</v>
      </c>
      <c r="X292" s="188">
        <v>0.24289270955352532</v>
      </c>
      <c r="Y292" s="189" t="e">
        <f t="shared" si="17"/>
        <v>#VALUE!</v>
      </c>
      <c r="Z292" s="188">
        <v>0.24289270955352532</v>
      </c>
      <c r="AA292" s="189" t="e">
        <f t="shared" si="18"/>
        <v>#VALUE!</v>
      </c>
    </row>
    <row r="293" spans="1:27" x14ac:dyDescent="0.25">
      <c r="A293">
        <v>252101</v>
      </c>
      <c r="B293">
        <v>17031252101</v>
      </c>
      <c r="C293">
        <v>17031</v>
      </c>
      <c r="D293">
        <v>2010</v>
      </c>
      <c r="E293">
        <v>25</v>
      </c>
      <c r="F293">
        <v>9122901.4580144808</v>
      </c>
      <c r="G293" s="45">
        <v>0.32723906171137801</v>
      </c>
      <c r="H293" s="60" t="str">
        <f>_xlfn.IFNA(
INDEX('Community Areas'!B$2:B$78,MATCH($E293,'Community Areas'!$A$2:$A$78,0)),
"")</f>
        <v>AUSTIN</v>
      </c>
      <c r="I293" s="63" t="str">
        <f>_xlfn.IFNA(
INDEX('Community Areas'!C$2:C$78,MATCH($E293,'Community Areas'!$A$2:$A$78,0)),
"")</f>
        <v>3-A</v>
      </c>
      <c r="J293" s="63">
        <f>_xlfn.IFNA(
INDEX('Community Areas'!D$2:D$78,MATCH($E293,'Community Areas'!$A$2:$A$78,0)),
"")</f>
        <v>3</v>
      </c>
      <c r="K293" s="60" t="str">
        <f>_xlfn.IFNA(
INDEX('Community Areas'!E$2:E$78,MATCH($E293,'Community Areas'!$A$2:$A$78,0)),
"")</f>
        <v>WEST</v>
      </c>
      <c r="L293" s="17" t="e">
        <f>SUMIFS([1]ACSDT5Y2020.B08301_data_with_ov!AT$3:AT$1334,[1]ACSDT5Y2020.B08301_data_with_ov!$AS$3:$AS$1334,$B293)</f>
        <v>#VALUE!</v>
      </c>
      <c r="M293" s="17" t="e">
        <f>SUMIFS([1]ACSDT5Y2020.B08301_data_with_ov!AU$3:AU$1334,[1]ACSDT5Y2020.B08301_data_with_ov!$AS$3:$AS$1334,$B293)</f>
        <v>#VALUE!</v>
      </c>
      <c r="N293" s="17" t="e">
        <f>SUMIFS([1]ACSDT5Y2020.B08301_data_with_ov!AV$3:AV$1334,[1]ACSDT5Y2020.B08301_data_with_ov!$AS$3:$AS$1334,$B293)</f>
        <v>#VALUE!</v>
      </c>
      <c r="O293" s="17" t="e">
        <f>SUMIFS([1]ACSDT5Y2020.B08301_data_with_ov!AW$3:AW$1334,[1]ACSDT5Y2020.B08301_data_with_ov!$AS$3:$AS$1334,$B293)</f>
        <v>#VALUE!</v>
      </c>
      <c r="P293" s="17" t="e">
        <f>SUMIFS([1]ACSDT5Y2020.B08301_data_with_ov!AX$3:AX$1334,[1]ACSDT5Y2020.B08301_data_with_ov!$AS$3:$AS$1334,$B293)</f>
        <v>#VALUE!</v>
      </c>
      <c r="Q293" s="17" t="e">
        <f>SUMIFS([1]ACSDT5Y2020.B08301_data_with_ov!AY$3:AY$1334,[1]ACSDT5Y2020.B08301_data_with_ov!$AS$3:$AS$1334,$B293)</f>
        <v>#VALUE!</v>
      </c>
      <c r="R293" s="17" t="e">
        <f>SUMIFS([1]ACSDT5Y2020.B08301_data_with_ov!AZ$3:AZ$1334,[1]ACSDT5Y2020.B08301_data_with_ov!$AS$3:$AS$1334,$B293)</f>
        <v>#VALUE!</v>
      </c>
      <c r="S293" s="17" t="e">
        <f>SUMIFS([1]ACSDT5Y2020.B08301_data_with_ov!BA$3:BA$1334,[1]ACSDT5Y2020.B08301_data_with_ov!$AS$3:$AS$1334,$B293)</f>
        <v>#VALUE!</v>
      </c>
      <c r="T293" s="188">
        <v>0.32723906211777759</v>
      </c>
      <c r="U293" s="189" t="e">
        <f t="shared" si="19"/>
        <v>#VALUE!</v>
      </c>
      <c r="V293" s="188">
        <v>0.32723906211777759</v>
      </c>
      <c r="W293" s="189" t="e">
        <f t="shared" si="16"/>
        <v>#VALUE!</v>
      </c>
      <c r="X293" s="188">
        <v>0.32723906211777759</v>
      </c>
      <c r="Y293" s="189" t="e">
        <f t="shared" si="17"/>
        <v>#VALUE!</v>
      </c>
      <c r="Z293" s="188">
        <v>0.32723906211777759</v>
      </c>
      <c r="AA293" s="189" t="e">
        <f t="shared" si="18"/>
        <v>#VALUE!</v>
      </c>
    </row>
    <row r="294" spans="1:27" x14ac:dyDescent="0.25">
      <c r="A294">
        <v>250200</v>
      </c>
      <c r="B294">
        <v>17031250200</v>
      </c>
      <c r="C294">
        <v>17031</v>
      </c>
      <c r="D294">
        <v>2010</v>
      </c>
      <c r="E294">
        <v>25</v>
      </c>
      <c r="F294">
        <v>5244786.0938348202</v>
      </c>
      <c r="G294" s="45">
        <v>0.18813081431627426</v>
      </c>
      <c r="H294" s="60" t="str">
        <f>_xlfn.IFNA(
INDEX('Community Areas'!B$2:B$78,MATCH($E294,'Community Areas'!$A$2:$A$78,0)),
"")</f>
        <v>AUSTIN</v>
      </c>
      <c r="I294" s="63" t="str">
        <f>_xlfn.IFNA(
INDEX('Community Areas'!C$2:C$78,MATCH($E294,'Community Areas'!$A$2:$A$78,0)),
"")</f>
        <v>3-A</v>
      </c>
      <c r="J294" s="63">
        <f>_xlfn.IFNA(
INDEX('Community Areas'!D$2:D$78,MATCH($E294,'Community Areas'!$A$2:$A$78,0)),
"")</f>
        <v>3</v>
      </c>
      <c r="K294" s="60" t="str">
        <f>_xlfn.IFNA(
INDEX('Community Areas'!E$2:E$78,MATCH($E294,'Community Areas'!$A$2:$A$78,0)),
"")</f>
        <v>WEST</v>
      </c>
      <c r="L294" s="17" t="e">
        <f>SUMIFS([1]ACSDT5Y2020.B08301_data_with_ov!AT$3:AT$1334,[1]ACSDT5Y2020.B08301_data_with_ov!$AS$3:$AS$1334,$B294)</f>
        <v>#VALUE!</v>
      </c>
      <c r="M294" s="17" t="e">
        <f>SUMIFS([1]ACSDT5Y2020.B08301_data_with_ov!AU$3:AU$1334,[1]ACSDT5Y2020.B08301_data_with_ov!$AS$3:$AS$1334,$B294)</f>
        <v>#VALUE!</v>
      </c>
      <c r="N294" s="17" t="e">
        <f>SUMIFS([1]ACSDT5Y2020.B08301_data_with_ov!AV$3:AV$1334,[1]ACSDT5Y2020.B08301_data_with_ov!$AS$3:$AS$1334,$B294)</f>
        <v>#VALUE!</v>
      </c>
      <c r="O294" s="17" t="e">
        <f>SUMIFS([1]ACSDT5Y2020.B08301_data_with_ov!AW$3:AW$1334,[1]ACSDT5Y2020.B08301_data_with_ov!$AS$3:$AS$1334,$B294)</f>
        <v>#VALUE!</v>
      </c>
      <c r="P294" s="17" t="e">
        <f>SUMIFS([1]ACSDT5Y2020.B08301_data_with_ov!AX$3:AX$1334,[1]ACSDT5Y2020.B08301_data_with_ov!$AS$3:$AS$1334,$B294)</f>
        <v>#VALUE!</v>
      </c>
      <c r="Q294" s="17" t="e">
        <f>SUMIFS([1]ACSDT5Y2020.B08301_data_with_ov!AY$3:AY$1334,[1]ACSDT5Y2020.B08301_data_with_ov!$AS$3:$AS$1334,$B294)</f>
        <v>#VALUE!</v>
      </c>
      <c r="R294" s="17" t="e">
        <f>SUMIFS([1]ACSDT5Y2020.B08301_data_with_ov!AZ$3:AZ$1334,[1]ACSDT5Y2020.B08301_data_with_ov!$AS$3:$AS$1334,$B294)</f>
        <v>#VALUE!</v>
      </c>
      <c r="S294" s="17" t="e">
        <f>SUMIFS([1]ACSDT5Y2020.B08301_data_with_ov!BA$3:BA$1334,[1]ACSDT5Y2020.B08301_data_with_ov!$AS$3:$AS$1334,$B294)</f>
        <v>#VALUE!</v>
      </c>
      <c r="T294" s="188">
        <v>0</v>
      </c>
      <c r="U294" s="189" t="e">
        <f t="shared" si="19"/>
        <v>#VALUE!</v>
      </c>
      <c r="V294" s="188">
        <v>0</v>
      </c>
      <c r="W294" s="189" t="e">
        <f t="shared" si="16"/>
        <v>#VALUE!</v>
      </c>
      <c r="X294" s="188">
        <v>0</v>
      </c>
      <c r="Y294" s="189" t="e">
        <f t="shared" si="17"/>
        <v>#VALUE!</v>
      </c>
      <c r="Z294" s="188">
        <v>0</v>
      </c>
      <c r="AA294" s="189" t="e">
        <f t="shared" si="18"/>
        <v>#VALUE!</v>
      </c>
    </row>
    <row r="295" spans="1:27" x14ac:dyDescent="0.25">
      <c r="A295">
        <v>250400</v>
      </c>
      <c r="B295">
        <v>17031250400</v>
      </c>
      <c r="C295">
        <v>17031</v>
      </c>
      <c r="D295">
        <v>2010</v>
      </c>
      <c r="E295">
        <v>25</v>
      </c>
      <c r="F295">
        <v>14165842.122917701</v>
      </c>
      <c r="G295" s="45">
        <v>0.50812966751742206</v>
      </c>
      <c r="H295" s="60" t="str">
        <f>_xlfn.IFNA(
INDEX('Community Areas'!B$2:B$78,MATCH($E295,'Community Areas'!$A$2:$A$78,0)),
"")</f>
        <v>AUSTIN</v>
      </c>
      <c r="I295" s="63" t="str">
        <f>_xlfn.IFNA(
INDEX('Community Areas'!C$2:C$78,MATCH($E295,'Community Areas'!$A$2:$A$78,0)),
"")</f>
        <v>3-A</v>
      </c>
      <c r="J295" s="63">
        <f>_xlfn.IFNA(
INDEX('Community Areas'!D$2:D$78,MATCH($E295,'Community Areas'!$A$2:$A$78,0)),
"")</f>
        <v>3</v>
      </c>
      <c r="K295" s="60" t="str">
        <f>_xlfn.IFNA(
INDEX('Community Areas'!E$2:E$78,MATCH($E295,'Community Areas'!$A$2:$A$78,0)),
"")</f>
        <v>WEST</v>
      </c>
      <c r="L295" s="17" t="e">
        <f>SUMIFS([1]ACSDT5Y2020.B08301_data_with_ov!AT$3:AT$1334,[1]ACSDT5Y2020.B08301_data_with_ov!$AS$3:$AS$1334,$B295)</f>
        <v>#VALUE!</v>
      </c>
      <c r="M295" s="17" t="e">
        <f>SUMIFS([1]ACSDT5Y2020.B08301_data_with_ov!AU$3:AU$1334,[1]ACSDT5Y2020.B08301_data_with_ov!$AS$3:$AS$1334,$B295)</f>
        <v>#VALUE!</v>
      </c>
      <c r="N295" s="17" t="e">
        <f>SUMIFS([1]ACSDT5Y2020.B08301_data_with_ov!AV$3:AV$1334,[1]ACSDT5Y2020.B08301_data_with_ov!$AS$3:$AS$1334,$B295)</f>
        <v>#VALUE!</v>
      </c>
      <c r="O295" s="17" t="e">
        <f>SUMIFS([1]ACSDT5Y2020.B08301_data_with_ov!AW$3:AW$1334,[1]ACSDT5Y2020.B08301_data_with_ov!$AS$3:$AS$1334,$B295)</f>
        <v>#VALUE!</v>
      </c>
      <c r="P295" s="17" t="e">
        <f>SUMIFS([1]ACSDT5Y2020.B08301_data_with_ov!AX$3:AX$1334,[1]ACSDT5Y2020.B08301_data_with_ov!$AS$3:$AS$1334,$B295)</f>
        <v>#VALUE!</v>
      </c>
      <c r="Q295" s="17" t="e">
        <f>SUMIFS([1]ACSDT5Y2020.B08301_data_with_ov!AY$3:AY$1334,[1]ACSDT5Y2020.B08301_data_with_ov!$AS$3:$AS$1334,$B295)</f>
        <v>#VALUE!</v>
      </c>
      <c r="R295" s="17" t="e">
        <f>SUMIFS([1]ACSDT5Y2020.B08301_data_with_ov!AZ$3:AZ$1334,[1]ACSDT5Y2020.B08301_data_with_ov!$AS$3:$AS$1334,$B295)</f>
        <v>#VALUE!</v>
      </c>
      <c r="S295" s="17" t="e">
        <f>SUMIFS([1]ACSDT5Y2020.B08301_data_with_ov!BA$3:BA$1334,[1]ACSDT5Y2020.B08301_data_with_ov!$AS$3:$AS$1334,$B295)</f>
        <v>#VALUE!</v>
      </c>
      <c r="T295" s="188">
        <v>0.25251430444834677</v>
      </c>
      <c r="U295" s="189" t="e">
        <f t="shared" si="19"/>
        <v>#VALUE!</v>
      </c>
      <c r="V295" s="188">
        <v>9.664564369026809E-6</v>
      </c>
      <c r="W295" s="189" t="e">
        <f t="shared" si="16"/>
        <v>#VALUE!</v>
      </c>
      <c r="X295" s="188">
        <v>9.664564369026809E-6</v>
      </c>
      <c r="Y295" s="189" t="e">
        <f t="shared" si="17"/>
        <v>#VALUE!</v>
      </c>
      <c r="Z295" s="188">
        <v>9.664564369026809E-6</v>
      </c>
      <c r="AA295" s="189" t="e">
        <f t="shared" si="18"/>
        <v>#VALUE!</v>
      </c>
    </row>
    <row r="296" spans="1:27" x14ac:dyDescent="0.25">
      <c r="A296">
        <v>251400</v>
      </c>
      <c r="B296">
        <v>17031251400</v>
      </c>
      <c r="C296">
        <v>17031</v>
      </c>
      <c r="D296">
        <v>2010</v>
      </c>
      <c r="E296">
        <v>25</v>
      </c>
      <c r="F296">
        <v>7382570.3100916203</v>
      </c>
      <c r="G296" s="45">
        <v>0.26481327156836909</v>
      </c>
      <c r="H296" s="60" t="str">
        <f>_xlfn.IFNA(
INDEX('Community Areas'!B$2:B$78,MATCH($E296,'Community Areas'!$A$2:$A$78,0)),
"")</f>
        <v>AUSTIN</v>
      </c>
      <c r="I296" s="63" t="str">
        <f>_xlfn.IFNA(
INDEX('Community Areas'!C$2:C$78,MATCH($E296,'Community Areas'!$A$2:$A$78,0)),
"")</f>
        <v>3-A</v>
      </c>
      <c r="J296" s="63">
        <f>_xlfn.IFNA(
INDEX('Community Areas'!D$2:D$78,MATCH($E296,'Community Areas'!$A$2:$A$78,0)),
"")</f>
        <v>3</v>
      </c>
      <c r="K296" s="60" t="str">
        <f>_xlfn.IFNA(
INDEX('Community Areas'!E$2:E$78,MATCH($E296,'Community Areas'!$A$2:$A$78,0)),
"")</f>
        <v>WEST</v>
      </c>
      <c r="L296" s="17" t="e">
        <f>SUMIFS([1]ACSDT5Y2020.B08301_data_with_ov!AT$3:AT$1334,[1]ACSDT5Y2020.B08301_data_with_ov!$AS$3:$AS$1334,$B296)</f>
        <v>#VALUE!</v>
      </c>
      <c r="M296" s="17" t="e">
        <f>SUMIFS([1]ACSDT5Y2020.B08301_data_with_ov!AU$3:AU$1334,[1]ACSDT5Y2020.B08301_data_with_ov!$AS$3:$AS$1334,$B296)</f>
        <v>#VALUE!</v>
      </c>
      <c r="N296" s="17" t="e">
        <f>SUMIFS([1]ACSDT5Y2020.B08301_data_with_ov!AV$3:AV$1334,[1]ACSDT5Y2020.B08301_data_with_ov!$AS$3:$AS$1334,$B296)</f>
        <v>#VALUE!</v>
      </c>
      <c r="O296" s="17" t="e">
        <f>SUMIFS([1]ACSDT5Y2020.B08301_data_with_ov!AW$3:AW$1334,[1]ACSDT5Y2020.B08301_data_with_ov!$AS$3:$AS$1334,$B296)</f>
        <v>#VALUE!</v>
      </c>
      <c r="P296" s="17" t="e">
        <f>SUMIFS([1]ACSDT5Y2020.B08301_data_with_ov!AX$3:AX$1334,[1]ACSDT5Y2020.B08301_data_with_ov!$AS$3:$AS$1334,$B296)</f>
        <v>#VALUE!</v>
      </c>
      <c r="Q296" s="17" t="e">
        <f>SUMIFS([1]ACSDT5Y2020.B08301_data_with_ov!AY$3:AY$1334,[1]ACSDT5Y2020.B08301_data_with_ov!$AS$3:$AS$1334,$B296)</f>
        <v>#VALUE!</v>
      </c>
      <c r="R296" s="17" t="e">
        <f>SUMIFS([1]ACSDT5Y2020.B08301_data_with_ov!AZ$3:AZ$1334,[1]ACSDT5Y2020.B08301_data_with_ov!$AS$3:$AS$1334,$B296)</f>
        <v>#VALUE!</v>
      </c>
      <c r="S296" s="17" t="e">
        <f>SUMIFS([1]ACSDT5Y2020.B08301_data_with_ov!BA$3:BA$1334,[1]ACSDT5Y2020.B08301_data_with_ov!$AS$3:$AS$1334,$B296)</f>
        <v>#VALUE!</v>
      </c>
      <c r="T296" s="188">
        <v>0.26481326881425188</v>
      </c>
      <c r="U296" s="189" t="e">
        <f t="shared" si="19"/>
        <v>#VALUE!</v>
      </c>
      <c r="V296" s="188">
        <v>0.26481326881425188</v>
      </c>
      <c r="W296" s="189" t="e">
        <f t="shared" si="16"/>
        <v>#VALUE!</v>
      </c>
      <c r="X296" s="188">
        <v>0.26481326881425188</v>
      </c>
      <c r="Y296" s="189" t="e">
        <f t="shared" si="17"/>
        <v>#VALUE!</v>
      </c>
      <c r="Z296" s="188">
        <v>0.26481326881425188</v>
      </c>
      <c r="AA296" s="189" t="e">
        <f t="shared" si="18"/>
        <v>#VALUE!</v>
      </c>
    </row>
    <row r="297" spans="1:27" x14ac:dyDescent="0.25">
      <c r="A297">
        <v>250600</v>
      </c>
      <c r="B297">
        <v>17031250600</v>
      </c>
      <c r="C297">
        <v>17031</v>
      </c>
      <c r="D297">
        <v>2010</v>
      </c>
      <c r="E297">
        <v>25</v>
      </c>
      <c r="F297">
        <v>6975815.5140527701</v>
      </c>
      <c r="G297" s="45">
        <v>0.25022295088860086</v>
      </c>
      <c r="H297" s="60" t="str">
        <f>_xlfn.IFNA(
INDEX('Community Areas'!B$2:B$78,MATCH($E297,'Community Areas'!$A$2:$A$78,0)),
"")</f>
        <v>AUSTIN</v>
      </c>
      <c r="I297" s="63" t="str">
        <f>_xlfn.IFNA(
INDEX('Community Areas'!C$2:C$78,MATCH($E297,'Community Areas'!$A$2:$A$78,0)),
"")</f>
        <v>3-A</v>
      </c>
      <c r="J297" s="63">
        <f>_xlfn.IFNA(
INDEX('Community Areas'!D$2:D$78,MATCH($E297,'Community Areas'!$A$2:$A$78,0)),
"")</f>
        <v>3</v>
      </c>
      <c r="K297" s="60" t="str">
        <f>_xlfn.IFNA(
INDEX('Community Areas'!E$2:E$78,MATCH($E297,'Community Areas'!$A$2:$A$78,0)),
"")</f>
        <v>WEST</v>
      </c>
      <c r="L297" s="17" t="e">
        <f>SUMIFS([1]ACSDT5Y2020.B08301_data_with_ov!AT$3:AT$1334,[1]ACSDT5Y2020.B08301_data_with_ov!$AS$3:$AS$1334,$B297)</f>
        <v>#VALUE!</v>
      </c>
      <c r="M297" s="17" t="e">
        <f>SUMIFS([1]ACSDT5Y2020.B08301_data_with_ov!AU$3:AU$1334,[1]ACSDT5Y2020.B08301_data_with_ov!$AS$3:$AS$1334,$B297)</f>
        <v>#VALUE!</v>
      </c>
      <c r="N297" s="17" t="e">
        <f>SUMIFS([1]ACSDT5Y2020.B08301_data_with_ov!AV$3:AV$1334,[1]ACSDT5Y2020.B08301_data_with_ov!$AS$3:$AS$1334,$B297)</f>
        <v>#VALUE!</v>
      </c>
      <c r="O297" s="17" t="e">
        <f>SUMIFS([1]ACSDT5Y2020.B08301_data_with_ov!AW$3:AW$1334,[1]ACSDT5Y2020.B08301_data_with_ov!$AS$3:$AS$1334,$B297)</f>
        <v>#VALUE!</v>
      </c>
      <c r="P297" s="17" t="e">
        <f>SUMIFS([1]ACSDT5Y2020.B08301_data_with_ov!AX$3:AX$1334,[1]ACSDT5Y2020.B08301_data_with_ov!$AS$3:$AS$1334,$B297)</f>
        <v>#VALUE!</v>
      </c>
      <c r="Q297" s="17" t="e">
        <f>SUMIFS([1]ACSDT5Y2020.B08301_data_with_ov!AY$3:AY$1334,[1]ACSDT5Y2020.B08301_data_with_ov!$AS$3:$AS$1334,$B297)</f>
        <v>#VALUE!</v>
      </c>
      <c r="R297" s="17" t="e">
        <f>SUMIFS([1]ACSDT5Y2020.B08301_data_with_ov!AZ$3:AZ$1334,[1]ACSDT5Y2020.B08301_data_with_ov!$AS$3:$AS$1334,$B297)</f>
        <v>#VALUE!</v>
      </c>
      <c r="S297" s="17" t="e">
        <f>SUMIFS([1]ACSDT5Y2020.B08301_data_with_ov!BA$3:BA$1334,[1]ACSDT5Y2020.B08301_data_with_ov!$AS$3:$AS$1334,$B297)</f>
        <v>#VALUE!</v>
      </c>
      <c r="T297" s="188">
        <v>1.1751223765800261E-3</v>
      </c>
      <c r="U297" s="189" t="e">
        <f t="shared" si="19"/>
        <v>#VALUE!</v>
      </c>
      <c r="V297" s="188">
        <v>0</v>
      </c>
      <c r="W297" s="189" t="e">
        <f t="shared" si="16"/>
        <v>#VALUE!</v>
      </c>
      <c r="X297" s="188">
        <v>0</v>
      </c>
      <c r="Y297" s="189" t="e">
        <f t="shared" si="17"/>
        <v>#VALUE!</v>
      </c>
      <c r="Z297" s="188">
        <v>0</v>
      </c>
      <c r="AA297" s="189" t="e">
        <f t="shared" si="18"/>
        <v>#VALUE!</v>
      </c>
    </row>
    <row r="298" spans="1:27" x14ac:dyDescent="0.25">
      <c r="A298">
        <v>251800</v>
      </c>
      <c r="B298">
        <v>17031251800</v>
      </c>
      <c r="C298">
        <v>17031</v>
      </c>
      <c r="D298">
        <v>2010</v>
      </c>
      <c r="E298">
        <v>25</v>
      </c>
      <c r="F298">
        <v>10760998.0353544</v>
      </c>
      <c r="G298" s="45">
        <v>0.38599769123602501</v>
      </c>
      <c r="H298" s="60" t="str">
        <f>_xlfn.IFNA(
INDEX('Community Areas'!B$2:B$78,MATCH($E298,'Community Areas'!$A$2:$A$78,0)),
"")</f>
        <v>AUSTIN</v>
      </c>
      <c r="I298" s="63" t="str">
        <f>_xlfn.IFNA(
INDEX('Community Areas'!C$2:C$78,MATCH($E298,'Community Areas'!$A$2:$A$78,0)),
"")</f>
        <v>3-A</v>
      </c>
      <c r="J298" s="63">
        <f>_xlfn.IFNA(
INDEX('Community Areas'!D$2:D$78,MATCH($E298,'Community Areas'!$A$2:$A$78,0)),
"")</f>
        <v>3</v>
      </c>
      <c r="K298" s="60" t="str">
        <f>_xlfn.IFNA(
INDEX('Community Areas'!E$2:E$78,MATCH($E298,'Community Areas'!$A$2:$A$78,0)),
"")</f>
        <v>WEST</v>
      </c>
      <c r="L298" s="17" t="e">
        <f>SUMIFS([1]ACSDT5Y2020.B08301_data_with_ov!AT$3:AT$1334,[1]ACSDT5Y2020.B08301_data_with_ov!$AS$3:$AS$1334,$B298)</f>
        <v>#VALUE!</v>
      </c>
      <c r="M298" s="17" t="e">
        <f>SUMIFS([1]ACSDT5Y2020.B08301_data_with_ov!AU$3:AU$1334,[1]ACSDT5Y2020.B08301_data_with_ov!$AS$3:$AS$1334,$B298)</f>
        <v>#VALUE!</v>
      </c>
      <c r="N298" s="17" t="e">
        <f>SUMIFS([1]ACSDT5Y2020.B08301_data_with_ov!AV$3:AV$1334,[1]ACSDT5Y2020.B08301_data_with_ov!$AS$3:$AS$1334,$B298)</f>
        <v>#VALUE!</v>
      </c>
      <c r="O298" s="17" t="e">
        <f>SUMIFS([1]ACSDT5Y2020.B08301_data_with_ov!AW$3:AW$1334,[1]ACSDT5Y2020.B08301_data_with_ov!$AS$3:$AS$1334,$B298)</f>
        <v>#VALUE!</v>
      </c>
      <c r="P298" s="17" t="e">
        <f>SUMIFS([1]ACSDT5Y2020.B08301_data_with_ov!AX$3:AX$1334,[1]ACSDT5Y2020.B08301_data_with_ov!$AS$3:$AS$1334,$B298)</f>
        <v>#VALUE!</v>
      </c>
      <c r="Q298" s="17" t="e">
        <f>SUMIFS([1]ACSDT5Y2020.B08301_data_with_ov!AY$3:AY$1334,[1]ACSDT5Y2020.B08301_data_with_ov!$AS$3:$AS$1334,$B298)</f>
        <v>#VALUE!</v>
      </c>
      <c r="R298" s="17" t="e">
        <f>SUMIFS([1]ACSDT5Y2020.B08301_data_with_ov!AZ$3:AZ$1334,[1]ACSDT5Y2020.B08301_data_with_ov!$AS$3:$AS$1334,$B298)</f>
        <v>#VALUE!</v>
      </c>
      <c r="S298" s="17" t="e">
        <f>SUMIFS([1]ACSDT5Y2020.B08301_data_with_ov!BA$3:BA$1334,[1]ACSDT5Y2020.B08301_data_with_ov!$AS$3:$AS$1334,$B298)</f>
        <v>#VALUE!</v>
      </c>
      <c r="T298" s="188">
        <v>0.38599769518972032</v>
      </c>
      <c r="U298" s="189" t="e">
        <f t="shared" si="19"/>
        <v>#VALUE!</v>
      </c>
      <c r="V298" s="188">
        <v>0.38599769518972032</v>
      </c>
      <c r="W298" s="189" t="e">
        <f t="shared" si="16"/>
        <v>#VALUE!</v>
      </c>
      <c r="X298" s="188">
        <v>0.38599769518972032</v>
      </c>
      <c r="Y298" s="189" t="e">
        <f t="shared" si="17"/>
        <v>#VALUE!</v>
      </c>
      <c r="Z298" s="188">
        <v>0.38599769518972032</v>
      </c>
      <c r="AA298" s="189" t="e">
        <f t="shared" si="18"/>
        <v>#VALUE!</v>
      </c>
    </row>
    <row r="299" spans="1:27" x14ac:dyDescent="0.25">
      <c r="A299">
        <v>250300</v>
      </c>
      <c r="B299">
        <v>17031250300</v>
      </c>
      <c r="C299">
        <v>17031</v>
      </c>
      <c r="D299">
        <v>2010</v>
      </c>
      <c r="E299">
        <v>25</v>
      </c>
      <c r="F299">
        <v>6621328.4529586099</v>
      </c>
      <c r="G299" s="45">
        <v>0.23750747722102453</v>
      </c>
      <c r="H299" s="60" t="str">
        <f>_xlfn.IFNA(
INDEX('Community Areas'!B$2:B$78,MATCH($E299,'Community Areas'!$A$2:$A$78,0)),
"")</f>
        <v>AUSTIN</v>
      </c>
      <c r="I299" s="63" t="str">
        <f>_xlfn.IFNA(
INDEX('Community Areas'!C$2:C$78,MATCH($E299,'Community Areas'!$A$2:$A$78,0)),
"")</f>
        <v>3-A</v>
      </c>
      <c r="J299" s="63">
        <f>_xlfn.IFNA(
INDEX('Community Areas'!D$2:D$78,MATCH($E299,'Community Areas'!$A$2:$A$78,0)),
"")</f>
        <v>3</v>
      </c>
      <c r="K299" s="60" t="str">
        <f>_xlfn.IFNA(
INDEX('Community Areas'!E$2:E$78,MATCH($E299,'Community Areas'!$A$2:$A$78,0)),
"")</f>
        <v>WEST</v>
      </c>
      <c r="L299" s="17" t="e">
        <f>SUMIFS([1]ACSDT5Y2020.B08301_data_with_ov!AT$3:AT$1334,[1]ACSDT5Y2020.B08301_data_with_ov!$AS$3:$AS$1334,$B299)</f>
        <v>#VALUE!</v>
      </c>
      <c r="M299" s="17" t="e">
        <f>SUMIFS([1]ACSDT5Y2020.B08301_data_with_ov!AU$3:AU$1334,[1]ACSDT5Y2020.B08301_data_with_ov!$AS$3:$AS$1334,$B299)</f>
        <v>#VALUE!</v>
      </c>
      <c r="N299" s="17" t="e">
        <f>SUMIFS([1]ACSDT5Y2020.B08301_data_with_ov!AV$3:AV$1334,[1]ACSDT5Y2020.B08301_data_with_ov!$AS$3:$AS$1334,$B299)</f>
        <v>#VALUE!</v>
      </c>
      <c r="O299" s="17" t="e">
        <f>SUMIFS([1]ACSDT5Y2020.B08301_data_with_ov!AW$3:AW$1334,[1]ACSDT5Y2020.B08301_data_with_ov!$AS$3:$AS$1334,$B299)</f>
        <v>#VALUE!</v>
      </c>
      <c r="P299" s="17" t="e">
        <f>SUMIFS([1]ACSDT5Y2020.B08301_data_with_ov!AX$3:AX$1334,[1]ACSDT5Y2020.B08301_data_with_ov!$AS$3:$AS$1334,$B299)</f>
        <v>#VALUE!</v>
      </c>
      <c r="Q299" s="17" t="e">
        <f>SUMIFS([1]ACSDT5Y2020.B08301_data_with_ov!AY$3:AY$1334,[1]ACSDT5Y2020.B08301_data_with_ov!$AS$3:$AS$1334,$B299)</f>
        <v>#VALUE!</v>
      </c>
      <c r="R299" s="17" t="e">
        <f>SUMIFS([1]ACSDT5Y2020.B08301_data_with_ov!AZ$3:AZ$1334,[1]ACSDT5Y2020.B08301_data_with_ov!$AS$3:$AS$1334,$B299)</f>
        <v>#VALUE!</v>
      </c>
      <c r="S299" s="17" t="e">
        <f>SUMIFS([1]ACSDT5Y2020.B08301_data_with_ov!BA$3:BA$1334,[1]ACSDT5Y2020.B08301_data_with_ov!$AS$3:$AS$1334,$B299)</f>
        <v>#VALUE!</v>
      </c>
      <c r="T299" s="188">
        <v>0</v>
      </c>
      <c r="U299" s="189" t="e">
        <f t="shared" si="19"/>
        <v>#VALUE!</v>
      </c>
      <c r="V299" s="188">
        <v>0</v>
      </c>
      <c r="W299" s="189" t="e">
        <f t="shared" si="16"/>
        <v>#VALUE!</v>
      </c>
      <c r="X299" s="188">
        <v>0</v>
      </c>
      <c r="Y299" s="189" t="e">
        <f t="shared" si="17"/>
        <v>#VALUE!</v>
      </c>
      <c r="Z299" s="188">
        <v>0</v>
      </c>
      <c r="AA299" s="189" t="e">
        <f t="shared" si="18"/>
        <v>#VALUE!</v>
      </c>
    </row>
    <row r="300" spans="1:27" x14ac:dyDescent="0.25">
      <c r="A300">
        <v>250500</v>
      </c>
      <c r="B300">
        <v>17031250500</v>
      </c>
      <c r="C300">
        <v>17031</v>
      </c>
      <c r="D300">
        <v>2010</v>
      </c>
      <c r="E300">
        <v>25</v>
      </c>
      <c r="F300">
        <v>22130478.303844601</v>
      </c>
      <c r="G300" s="45">
        <v>0.79382167928735514</v>
      </c>
      <c r="H300" s="60" t="str">
        <f>_xlfn.IFNA(
INDEX('Community Areas'!B$2:B$78,MATCH($E300,'Community Areas'!$A$2:$A$78,0)),
"")</f>
        <v>AUSTIN</v>
      </c>
      <c r="I300" s="63" t="str">
        <f>_xlfn.IFNA(
INDEX('Community Areas'!C$2:C$78,MATCH($E300,'Community Areas'!$A$2:$A$78,0)),
"")</f>
        <v>3-A</v>
      </c>
      <c r="J300" s="63">
        <f>_xlfn.IFNA(
INDEX('Community Areas'!D$2:D$78,MATCH($E300,'Community Areas'!$A$2:$A$78,0)),
"")</f>
        <v>3</v>
      </c>
      <c r="K300" s="60" t="str">
        <f>_xlfn.IFNA(
INDEX('Community Areas'!E$2:E$78,MATCH($E300,'Community Areas'!$A$2:$A$78,0)),
"")</f>
        <v>WEST</v>
      </c>
      <c r="L300" s="17" t="e">
        <f>SUMIFS([1]ACSDT5Y2020.B08301_data_with_ov!AT$3:AT$1334,[1]ACSDT5Y2020.B08301_data_with_ov!$AS$3:$AS$1334,$B300)</f>
        <v>#VALUE!</v>
      </c>
      <c r="M300" s="17" t="e">
        <f>SUMIFS([1]ACSDT5Y2020.B08301_data_with_ov!AU$3:AU$1334,[1]ACSDT5Y2020.B08301_data_with_ov!$AS$3:$AS$1334,$B300)</f>
        <v>#VALUE!</v>
      </c>
      <c r="N300" s="17" t="e">
        <f>SUMIFS([1]ACSDT5Y2020.B08301_data_with_ov!AV$3:AV$1334,[1]ACSDT5Y2020.B08301_data_with_ov!$AS$3:$AS$1334,$B300)</f>
        <v>#VALUE!</v>
      </c>
      <c r="O300" s="17" t="e">
        <f>SUMIFS([1]ACSDT5Y2020.B08301_data_with_ov!AW$3:AW$1334,[1]ACSDT5Y2020.B08301_data_with_ov!$AS$3:$AS$1334,$B300)</f>
        <v>#VALUE!</v>
      </c>
      <c r="P300" s="17" t="e">
        <f>SUMIFS([1]ACSDT5Y2020.B08301_data_with_ov!AX$3:AX$1334,[1]ACSDT5Y2020.B08301_data_with_ov!$AS$3:$AS$1334,$B300)</f>
        <v>#VALUE!</v>
      </c>
      <c r="Q300" s="17" t="e">
        <f>SUMIFS([1]ACSDT5Y2020.B08301_data_with_ov!AY$3:AY$1334,[1]ACSDT5Y2020.B08301_data_with_ov!$AS$3:$AS$1334,$B300)</f>
        <v>#VALUE!</v>
      </c>
      <c r="R300" s="17" t="e">
        <f>SUMIFS([1]ACSDT5Y2020.B08301_data_with_ov!AZ$3:AZ$1334,[1]ACSDT5Y2020.B08301_data_with_ov!$AS$3:$AS$1334,$B300)</f>
        <v>#VALUE!</v>
      </c>
      <c r="S300" s="17" t="e">
        <f>SUMIFS([1]ACSDT5Y2020.B08301_data_with_ov!BA$3:BA$1334,[1]ACSDT5Y2020.B08301_data_with_ov!$AS$3:$AS$1334,$B300)</f>
        <v>#VALUE!</v>
      </c>
      <c r="T300" s="188">
        <v>0.29827918176829193</v>
      </c>
      <c r="U300" s="189" t="e">
        <f t="shared" si="19"/>
        <v>#VALUE!</v>
      </c>
      <c r="V300" s="188">
        <v>5.2935022491933182E-3</v>
      </c>
      <c r="W300" s="189" t="e">
        <f t="shared" si="16"/>
        <v>#VALUE!</v>
      </c>
      <c r="X300" s="188">
        <v>5.2935022491933182E-3</v>
      </c>
      <c r="Y300" s="189" t="e">
        <f t="shared" si="17"/>
        <v>#VALUE!</v>
      </c>
      <c r="Z300" s="188">
        <v>5.2935022491933182E-3</v>
      </c>
      <c r="AA300" s="189" t="e">
        <f t="shared" si="18"/>
        <v>#VALUE!</v>
      </c>
    </row>
    <row r="301" spans="1:27" x14ac:dyDescent="0.25">
      <c r="A301">
        <v>251300</v>
      </c>
      <c r="B301">
        <v>17031251300</v>
      </c>
      <c r="C301">
        <v>17031</v>
      </c>
      <c r="D301">
        <v>2010</v>
      </c>
      <c r="E301">
        <v>25</v>
      </c>
      <c r="F301">
        <v>7033366.0790466899</v>
      </c>
      <c r="G301" s="45">
        <v>0.25228729335423444</v>
      </c>
      <c r="H301" s="60" t="str">
        <f>_xlfn.IFNA(
INDEX('Community Areas'!B$2:B$78,MATCH($E301,'Community Areas'!$A$2:$A$78,0)),
"")</f>
        <v>AUSTIN</v>
      </c>
      <c r="I301" s="63" t="str">
        <f>_xlfn.IFNA(
INDEX('Community Areas'!C$2:C$78,MATCH($E301,'Community Areas'!$A$2:$A$78,0)),
"")</f>
        <v>3-A</v>
      </c>
      <c r="J301" s="63">
        <f>_xlfn.IFNA(
INDEX('Community Areas'!D$2:D$78,MATCH($E301,'Community Areas'!$A$2:$A$78,0)),
"")</f>
        <v>3</v>
      </c>
      <c r="K301" s="60" t="str">
        <f>_xlfn.IFNA(
INDEX('Community Areas'!E$2:E$78,MATCH($E301,'Community Areas'!$A$2:$A$78,0)),
"")</f>
        <v>WEST</v>
      </c>
      <c r="L301" s="17" t="e">
        <f>SUMIFS([1]ACSDT5Y2020.B08301_data_with_ov!AT$3:AT$1334,[1]ACSDT5Y2020.B08301_data_with_ov!$AS$3:$AS$1334,$B301)</f>
        <v>#VALUE!</v>
      </c>
      <c r="M301" s="17" t="e">
        <f>SUMIFS([1]ACSDT5Y2020.B08301_data_with_ov!AU$3:AU$1334,[1]ACSDT5Y2020.B08301_data_with_ov!$AS$3:$AS$1334,$B301)</f>
        <v>#VALUE!</v>
      </c>
      <c r="N301" s="17" t="e">
        <f>SUMIFS([1]ACSDT5Y2020.B08301_data_with_ov!AV$3:AV$1334,[1]ACSDT5Y2020.B08301_data_with_ov!$AS$3:$AS$1334,$B301)</f>
        <v>#VALUE!</v>
      </c>
      <c r="O301" s="17" t="e">
        <f>SUMIFS([1]ACSDT5Y2020.B08301_data_with_ov!AW$3:AW$1334,[1]ACSDT5Y2020.B08301_data_with_ov!$AS$3:$AS$1334,$B301)</f>
        <v>#VALUE!</v>
      </c>
      <c r="P301" s="17" t="e">
        <f>SUMIFS([1]ACSDT5Y2020.B08301_data_with_ov!AX$3:AX$1334,[1]ACSDT5Y2020.B08301_data_with_ov!$AS$3:$AS$1334,$B301)</f>
        <v>#VALUE!</v>
      </c>
      <c r="Q301" s="17" t="e">
        <f>SUMIFS([1]ACSDT5Y2020.B08301_data_with_ov!AY$3:AY$1334,[1]ACSDT5Y2020.B08301_data_with_ov!$AS$3:$AS$1334,$B301)</f>
        <v>#VALUE!</v>
      </c>
      <c r="R301" s="17" t="e">
        <f>SUMIFS([1]ACSDT5Y2020.B08301_data_with_ov!AZ$3:AZ$1334,[1]ACSDT5Y2020.B08301_data_with_ov!$AS$3:$AS$1334,$B301)</f>
        <v>#VALUE!</v>
      </c>
      <c r="S301" s="17" t="e">
        <f>SUMIFS([1]ACSDT5Y2020.B08301_data_with_ov!BA$3:BA$1334,[1]ACSDT5Y2020.B08301_data_with_ov!$AS$3:$AS$1334,$B301)</f>
        <v>#VALUE!</v>
      </c>
      <c r="T301" s="188">
        <v>1.2083062676849747E-2</v>
      </c>
      <c r="U301" s="189" t="e">
        <f t="shared" si="19"/>
        <v>#VALUE!</v>
      </c>
      <c r="V301" s="188">
        <v>1.2078721149939953E-2</v>
      </c>
      <c r="W301" s="189" t="e">
        <f t="shared" si="16"/>
        <v>#VALUE!</v>
      </c>
      <c r="X301" s="188">
        <v>1.2078721149939953E-2</v>
      </c>
      <c r="Y301" s="189" t="e">
        <f t="shared" si="17"/>
        <v>#VALUE!</v>
      </c>
      <c r="Z301" s="188">
        <v>1.2078721149939953E-2</v>
      </c>
      <c r="AA301" s="189" t="e">
        <f t="shared" si="18"/>
        <v>#VALUE!</v>
      </c>
    </row>
    <row r="302" spans="1:27" x14ac:dyDescent="0.25">
      <c r="A302">
        <v>252000</v>
      </c>
      <c r="B302">
        <v>17031252000</v>
      </c>
      <c r="C302">
        <v>17031</v>
      </c>
      <c r="D302">
        <v>2010</v>
      </c>
      <c r="E302">
        <v>25</v>
      </c>
      <c r="F302">
        <v>6795783.3750255397</v>
      </c>
      <c r="G302" s="45">
        <v>0.24376518648938031</v>
      </c>
      <c r="H302" s="60" t="str">
        <f>_xlfn.IFNA(
INDEX('Community Areas'!B$2:B$78,MATCH($E302,'Community Areas'!$A$2:$A$78,0)),
"")</f>
        <v>AUSTIN</v>
      </c>
      <c r="I302" s="63" t="str">
        <f>_xlfn.IFNA(
INDEX('Community Areas'!C$2:C$78,MATCH($E302,'Community Areas'!$A$2:$A$78,0)),
"")</f>
        <v>3-A</v>
      </c>
      <c r="J302" s="63">
        <f>_xlfn.IFNA(
INDEX('Community Areas'!D$2:D$78,MATCH($E302,'Community Areas'!$A$2:$A$78,0)),
"")</f>
        <v>3</v>
      </c>
      <c r="K302" s="60" t="str">
        <f>_xlfn.IFNA(
INDEX('Community Areas'!E$2:E$78,MATCH($E302,'Community Areas'!$A$2:$A$78,0)),
"")</f>
        <v>WEST</v>
      </c>
      <c r="L302" s="17" t="e">
        <f>SUMIFS([1]ACSDT5Y2020.B08301_data_with_ov!AT$3:AT$1334,[1]ACSDT5Y2020.B08301_data_with_ov!$AS$3:$AS$1334,$B302)</f>
        <v>#VALUE!</v>
      </c>
      <c r="M302" s="17" t="e">
        <f>SUMIFS([1]ACSDT5Y2020.B08301_data_with_ov!AU$3:AU$1334,[1]ACSDT5Y2020.B08301_data_with_ov!$AS$3:$AS$1334,$B302)</f>
        <v>#VALUE!</v>
      </c>
      <c r="N302" s="17" t="e">
        <f>SUMIFS([1]ACSDT5Y2020.B08301_data_with_ov!AV$3:AV$1334,[1]ACSDT5Y2020.B08301_data_with_ov!$AS$3:$AS$1334,$B302)</f>
        <v>#VALUE!</v>
      </c>
      <c r="O302" s="17" t="e">
        <f>SUMIFS([1]ACSDT5Y2020.B08301_data_with_ov!AW$3:AW$1334,[1]ACSDT5Y2020.B08301_data_with_ov!$AS$3:$AS$1334,$B302)</f>
        <v>#VALUE!</v>
      </c>
      <c r="P302" s="17" t="e">
        <f>SUMIFS([1]ACSDT5Y2020.B08301_data_with_ov!AX$3:AX$1334,[1]ACSDT5Y2020.B08301_data_with_ov!$AS$3:$AS$1334,$B302)</f>
        <v>#VALUE!</v>
      </c>
      <c r="Q302" s="17" t="e">
        <f>SUMIFS([1]ACSDT5Y2020.B08301_data_with_ov!AY$3:AY$1334,[1]ACSDT5Y2020.B08301_data_with_ov!$AS$3:$AS$1334,$B302)</f>
        <v>#VALUE!</v>
      </c>
      <c r="R302" s="17" t="e">
        <f>SUMIFS([1]ACSDT5Y2020.B08301_data_with_ov!AZ$3:AZ$1334,[1]ACSDT5Y2020.B08301_data_with_ov!$AS$3:$AS$1334,$B302)</f>
        <v>#VALUE!</v>
      </c>
      <c r="S302" s="17" t="e">
        <f>SUMIFS([1]ACSDT5Y2020.B08301_data_with_ov!BA$3:BA$1334,[1]ACSDT5Y2020.B08301_data_with_ov!$AS$3:$AS$1334,$B302)</f>
        <v>#VALUE!</v>
      </c>
      <c r="T302" s="188">
        <v>0.24350342759047791</v>
      </c>
      <c r="U302" s="189" t="e">
        <f t="shared" si="19"/>
        <v>#VALUE!</v>
      </c>
      <c r="V302" s="188">
        <v>0.24350342759047791</v>
      </c>
      <c r="W302" s="189" t="e">
        <f t="shared" si="16"/>
        <v>#VALUE!</v>
      </c>
      <c r="X302" s="188">
        <v>0.24350342759047791</v>
      </c>
      <c r="Y302" s="189" t="e">
        <f t="shared" si="17"/>
        <v>#VALUE!</v>
      </c>
      <c r="Z302" s="188">
        <v>0.24350342759047791</v>
      </c>
      <c r="AA302" s="189" t="e">
        <f t="shared" si="18"/>
        <v>#VALUE!</v>
      </c>
    </row>
    <row r="303" spans="1:27" x14ac:dyDescent="0.25">
      <c r="A303">
        <v>260900</v>
      </c>
      <c r="B303">
        <v>17031260900</v>
      </c>
      <c r="C303">
        <v>17031</v>
      </c>
      <c r="D303">
        <v>2010</v>
      </c>
      <c r="E303">
        <v>26</v>
      </c>
      <c r="F303">
        <v>2473594.50040022</v>
      </c>
      <c r="G303" s="45">
        <v>8.8727993729920657E-2</v>
      </c>
      <c r="H303" s="60" t="str">
        <f>_xlfn.IFNA(
INDEX('Community Areas'!B$2:B$78,MATCH($E303,'Community Areas'!$A$2:$A$78,0)),
"")</f>
        <v>WEST GARFIELD PARK</v>
      </c>
      <c r="I303" s="63" t="str">
        <f>_xlfn.IFNA(
INDEX('Community Areas'!C$2:C$78,MATCH($E303,'Community Areas'!$A$2:$A$78,0)),
"")</f>
        <v>3-A</v>
      </c>
      <c r="J303" s="63">
        <f>_xlfn.IFNA(
INDEX('Community Areas'!D$2:D$78,MATCH($E303,'Community Areas'!$A$2:$A$78,0)),
"")</f>
        <v>3</v>
      </c>
      <c r="K303" s="60" t="str">
        <f>_xlfn.IFNA(
INDEX('Community Areas'!E$2:E$78,MATCH($E303,'Community Areas'!$A$2:$A$78,0)),
"")</f>
        <v>WEST</v>
      </c>
      <c r="L303" s="17" t="e">
        <f>SUMIFS([1]ACSDT5Y2020.B08301_data_with_ov!AT$3:AT$1334,[1]ACSDT5Y2020.B08301_data_with_ov!$AS$3:$AS$1334,$B303)</f>
        <v>#VALUE!</v>
      </c>
      <c r="M303" s="17" t="e">
        <f>SUMIFS([1]ACSDT5Y2020.B08301_data_with_ov!AU$3:AU$1334,[1]ACSDT5Y2020.B08301_data_with_ov!$AS$3:$AS$1334,$B303)</f>
        <v>#VALUE!</v>
      </c>
      <c r="N303" s="17" t="e">
        <f>SUMIFS([1]ACSDT5Y2020.B08301_data_with_ov!AV$3:AV$1334,[1]ACSDT5Y2020.B08301_data_with_ov!$AS$3:$AS$1334,$B303)</f>
        <v>#VALUE!</v>
      </c>
      <c r="O303" s="17" t="e">
        <f>SUMIFS([1]ACSDT5Y2020.B08301_data_with_ov!AW$3:AW$1334,[1]ACSDT5Y2020.B08301_data_with_ov!$AS$3:$AS$1334,$B303)</f>
        <v>#VALUE!</v>
      </c>
      <c r="P303" s="17" t="e">
        <f>SUMIFS([1]ACSDT5Y2020.B08301_data_with_ov!AX$3:AX$1334,[1]ACSDT5Y2020.B08301_data_with_ov!$AS$3:$AS$1334,$B303)</f>
        <v>#VALUE!</v>
      </c>
      <c r="Q303" s="17" t="e">
        <f>SUMIFS([1]ACSDT5Y2020.B08301_data_with_ov!AY$3:AY$1334,[1]ACSDT5Y2020.B08301_data_with_ov!$AS$3:$AS$1334,$B303)</f>
        <v>#VALUE!</v>
      </c>
      <c r="R303" s="17" t="e">
        <f>SUMIFS([1]ACSDT5Y2020.B08301_data_with_ov!AZ$3:AZ$1334,[1]ACSDT5Y2020.B08301_data_with_ov!$AS$3:$AS$1334,$B303)</f>
        <v>#VALUE!</v>
      </c>
      <c r="S303" s="17" t="e">
        <f>SUMIFS([1]ACSDT5Y2020.B08301_data_with_ov!BA$3:BA$1334,[1]ACSDT5Y2020.B08301_data_with_ov!$AS$3:$AS$1334,$B303)</f>
        <v>#VALUE!</v>
      </c>
      <c r="T303" s="188">
        <v>8.8727992289263008E-2</v>
      </c>
      <c r="U303" s="189" t="e">
        <f t="shared" si="19"/>
        <v>#VALUE!</v>
      </c>
      <c r="V303" s="188">
        <v>8.8727992289263008E-2</v>
      </c>
      <c r="W303" s="189" t="e">
        <f t="shared" si="16"/>
        <v>#VALUE!</v>
      </c>
      <c r="X303" s="188">
        <v>8.8727992289263008E-2</v>
      </c>
      <c r="Y303" s="189" t="e">
        <f t="shared" si="17"/>
        <v>#VALUE!</v>
      </c>
      <c r="Z303" s="188">
        <v>8.8727992289263008E-2</v>
      </c>
      <c r="AA303" s="189" t="e">
        <f t="shared" si="18"/>
        <v>#VALUE!</v>
      </c>
    </row>
    <row r="304" spans="1:27" x14ac:dyDescent="0.25">
      <c r="A304">
        <v>260700</v>
      </c>
      <c r="B304">
        <v>17031260700</v>
      </c>
      <c r="C304">
        <v>17031</v>
      </c>
      <c r="D304">
        <v>2010</v>
      </c>
      <c r="E304">
        <v>26</v>
      </c>
      <c r="F304">
        <v>3543453.1173976199</v>
      </c>
      <c r="G304" s="45">
        <v>0.12710389109122547</v>
      </c>
      <c r="H304" s="60" t="str">
        <f>_xlfn.IFNA(
INDEX('Community Areas'!B$2:B$78,MATCH($E304,'Community Areas'!$A$2:$A$78,0)),
"")</f>
        <v>WEST GARFIELD PARK</v>
      </c>
      <c r="I304" s="63" t="str">
        <f>_xlfn.IFNA(
INDEX('Community Areas'!C$2:C$78,MATCH($E304,'Community Areas'!$A$2:$A$78,0)),
"")</f>
        <v>3-A</v>
      </c>
      <c r="J304" s="63">
        <f>_xlfn.IFNA(
INDEX('Community Areas'!D$2:D$78,MATCH($E304,'Community Areas'!$A$2:$A$78,0)),
"")</f>
        <v>3</v>
      </c>
      <c r="K304" s="60" t="str">
        <f>_xlfn.IFNA(
INDEX('Community Areas'!E$2:E$78,MATCH($E304,'Community Areas'!$A$2:$A$78,0)),
"")</f>
        <v>WEST</v>
      </c>
      <c r="L304" s="17" t="e">
        <f>SUMIFS([1]ACSDT5Y2020.B08301_data_with_ov!AT$3:AT$1334,[1]ACSDT5Y2020.B08301_data_with_ov!$AS$3:$AS$1334,$B304)</f>
        <v>#VALUE!</v>
      </c>
      <c r="M304" s="17" t="e">
        <f>SUMIFS([1]ACSDT5Y2020.B08301_data_with_ov!AU$3:AU$1334,[1]ACSDT5Y2020.B08301_data_with_ov!$AS$3:$AS$1334,$B304)</f>
        <v>#VALUE!</v>
      </c>
      <c r="N304" s="17" t="e">
        <f>SUMIFS([1]ACSDT5Y2020.B08301_data_with_ov!AV$3:AV$1334,[1]ACSDT5Y2020.B08301_data_with_ov!$AS$3:$AS$1334,$B304)</f>
        <v>#VALUE!</v>
      </c>
      <c r="O304" s="17" t="e">
        <f>SUMIFS([1]ACSDT5Y2020.B08301_data_with_ov!AW$3:AW$1334,[1]ACSDT5Y2020.B08301_data_with_ov!$AS$3:$AS$1334,$B304)</f>
        <v>#VALUE!</v>
      </c>
      <c r="P304" s="17" t="e">
        <f>SUMIFS([1]ACSDT5Y2020.B08301_data_with_ov!AX$3:AX$1334,[1]ACSDT5Y2020.B08301_data_with_ov!$AS$3:$AS$1334,$B304)</f>
        <v>#VALUE!</v>
      </c>
      <c r="Q304" s="17" t="e">
        <f>SUMIFS([1]ACSDT5Y2020.B08301_data_with_ov!AY$3:AY$1334,[1]ACSDT5Y2020.B08301_data_with_ov!$AS$3:$AS$1334,$B304)</f>
        <v>#VALUE!</v>
      </c>
      <c r="R304" s="17" t="e">
        <f>SUMIFS([1]ACSDT5Y2020.B08301_data_with_ov!AZ$3:AZ$1334,[1]ACSDT5Y2020.B08301_data_with_ov!$AS$3:$AS$1334,$B304)</f>
        <v>#VALUE!</v>
      </c>
      <c r="S304" s="17" t="e">
        <f>SUMIFS([1]ACSDT5Y2020.B08301_data_with_ov!BA$3:BA$1334,[1]ACSDT5Y2020.B08301_data_with_ov!$AS$3:$AS$1334,$B304)</f>
        <v>#VALUE!</v>
      </c>
      <c r="T304" s="188">
        <v>0.12706920480771136</v>
      </c>
      <c r="U304" s="189" t="e">
        <f t="shared" si="19"/>
        <v>#VALUE!</v>
      </c>
      <c r="V304" s="188">
        <v>0.12706920480771136</v>
      </c>
      <c r="W304" s="189" t="e">
        <f t="shared" si="16"/>
        <v>#VALUE!</v>
      </c>
      <c r="X304" s="188">
        <v>0.12706920480771136</v>
      </c>
      <c r="Y304" s="189" t="e">
        <f t="shared" si="17"/>
        <v>#VALUE!</v>
      </c>
      <c r="Z304" s="188">
        <v>0.12706920480771136</v>
      </c>
      <c r="AA304" s="189" t="e">
        <f t="shared" si="18"/>
        <v>#VALUE!</v>
      </c>
    </row>
    <row r="305" spans="1:27" x14ac:dyDescent="0.25">
      <c r="A305">
        <v>260600</v>
      </c>
      <c r="B305">
        <v>17031260600</v>
      </c>
      <c r="C305">
        <v>17031</v>
      </c>
      <c r="D305">
        <v>2010</v>
      </c>
      <c r="E305">
        <v>26</v>
      </c>
      <c r="F305">
        <v>3497008.6426777001</v>
      </c>
      <c r="G305" s="45">
        <v>0.12543792479761035</v>
      </c>
      <c r="H305" s="60" t="str">
        <f>_xlfn.IFNA(
INDEX('Community Areas'!B$2:B$78,MATCH($E305,'Community Areas'!$A$2:$A$78,0)),
"")</f>
        <v>WEST GARFIELD PARK</v>
      </c>
      <c r="I305" s="63" t="str">
        <f>_xlfn.IFNA(
INDEX('Community Areas'!C$2:C$78,MATCH($E305,'Community Areas'!$A$2:$A$78,0)),
"")</f>
        <v>3-A</v>
      </c>
      <c r="J305" s="63">
        <f>_xlfn.IFNA(
INDEX('Community Areas'!D$2:D$78,MATCH($E305,'Community Areas'!$A$2:$A$78,0)),
"")</f>
        <v>3</v>
      </c>
      <c r="K305" s="60" t="str">
        <f>_xlfn.IFNA(
INDEX('Community Areas'!E$2:E$78,MATCH($E305,'Community Areas'!$A$2:$A$78,0)),
"")</f>
        <v>WEST</v>
      </c>
      <c r="L305" s="17" t="e">
        <f>SUMIFS([1]ACSDT5Y2020.B08301_data_with_ov!AT$3:AT$1334,[1]ACSDT5Y2020.B08301_data_with_ov!$AS$3:$AS$1334,$B305)</f>
        <v>#VALUE!</v>
      </c>
      <c r="M305" s="17" t="e">
        <f>SUMIFS([1]ACSDT5Y2020.B08301_data_with_ov!AU$3:AU$1334,[1]ACSDT5Y2020.B08301_data_with_ov!$AS$3:$AS$1334,$B305)</f>
        <v>#VALUE!</v>
      </c>
      <c r="N305" s="17" t="e">
        <f>SUMIFS([1]ACSDT5Y2020.B08301_data_with_ov!AV$3:AV$1334,[1]ACSDT5Y2020.B08301_data_with_ov!$AS$3:$AS$1334,$B305)</f>
        <v>#VALUE!</v>
      </c>
      <c r="O305" s="17" t="e">
        <f>SUMIFS([1]ACSDT5Y2020.B08301_data_with_ov!AW$3:AW$1334,[1]ACSDT5Y2020.B08301_data_with_ov!$AS$3:$AS$1334,$B305)</f>
        <v>#VALUE!</v>
      </c>
      <c r="P305" s="17" t="e">
        <f>SUMIFS([1]ACSDT5Y2020.B08301_data_with_ov!AX$3:AX$1334,[1]ACSDT5Y2020.B08301_data_with_ov!$AS$3:$AS$1334,$B305)</f>
        <v>#VALUE!</v>
      </c>
      <c r="Q305" s="17" t="e">
        <f>SUMIFS([1]ACSDT5Y2020.B08301_data_with_ov!AY$3:AY$1334,[1]ACSDT5Y2020.B08301_data_with_ov!$AS$3:$AS$1334,$B305)</f>
        <v>#VALUE!</v>
      </c>
      <c r="R305" s="17" t="e">
        <f>SUMIFS([1]ACSDT5Y2020.B08301_data_with_ov!AZ$3:AZ$1334,[1]ACSDT5Y2020.B08301_data_with_ov!$AS$3:$AS$1334,$B305)</f>
        <v>#VALUE!</v>
      </c>
      <c r="S305" s="17" t="e">
        <f>SUMIFS([1]ACSDT5Y2020.B08301_data_with_ov!BA$3:BA$1334,[1]ACSDT5Y2020.B08301_data_with_ov!$AS$3:$AS$1334,$B305)</f>
        <v>#VALUE!</v>
      </c>
      <c r="T305" s="188">
        <v>0.12497430742363802</v>
      </c>
      <c r="U305" s="189" t="e">
        <f t="shared" si="19"/>
        <v>#VALUE!</v>
      </c>
      <c r="V305" s="188">
        <v>0.12497430742363802</v>
      </c>
      <c r="W305" s="189" t="e">
        <f t="shared" si="16"/>
        <v>#VALUE!</v>
      </c>
      <c r="X305" s="188">
        <v>0.12497430742363802</v>
      </c>
      <c r="Y305" s="189" t="e">
        <f t="shared" si="17"/>
        <v>#VALUE!</v>
      </c>
      <c r="Z305" s="188">
        <v>0.12497430742363802</v>
      </c>
      <c r="AA305" s="189" t="e">
        <f t="shared" si="18"/>
        <v>#VALUE!</v>
      </c>
    </row>
    <row r="306" spans="1:27" x14ac:dyDescent="0.25">
      <c r="A306">
        <v>260400</v>
      </c>
      <c r="B306">
        <v>17031260400</v>
      </c>
      <c r="C306">
        <v>17031</v>
      </c>
      <c r="D306">
        <v>2010</v>
      </c>
      <c r="E306">
        <v>26</v>
      </c>
      <c r="F306">
        <v>3515572.31618607</v>
      </c>
      <c r="G306" s="45">
        <v>0.12610380495961282</v>
      </c>
      <c r="H306" s="60" t="str">
        <f>_xlfn.IFNA(
INDEX('Community Areas'!B$2:B$78,MATCH($E306,'Community Areas'!$A$2:$A$78,0)),
"")</f>
        <v>WEST GARFIELD PARK</v>
      </c>
      <c r="I306" s="63" t="str">
        <f>_xlfn.IFNA(
INDEX('Community Areas'!C$2:C$78,MATCH($E306,'Community Areas'!$A$2:$A$78,0)),
"")</f>
        <v>3-A</v>
      </c>
      <c r="J306" s="63">
        <f>_xlfn.IFNA(
INDEX('Community Areas'!D$2:D$78,MATCH($E306,'Community Areas'!$A$2:$A$78,0)),
"")</f>
        <v>3</v>
      </c>
      <c r="K306" s="60" t="str">
        <f>_xlfn.IFNA(
INDEX('Community Areas'!E$2:E$78,MATCH($E306,'Community Areas'!$A$2:$A$78,0)),
"")</f>
        <v>WEST</v>
      </c>
      <c r="L306" s="17" t="e">
        <f>SUMIFS([1]ACSDT5Y2020.B08301_data_with_ov!AT$3:AT$1334,[1]ACSDT5Y2020.B08301_data_with_ov!$AS$3:$AS$1334,$B306)</f>
        <v>#VALUE!</v>
      </c>
      <c r="M306" s="17" t="e">
        <f>SUMIFS([1]ACSDT5Y2020.B08301_data_with_ov!AU$3:AU$1334,[1]ACSDT5Y2020.B08301_data_with_ov!$AS$3:$AS$1334,$B306)</f>
        <v>#VALUE!</v>
      </c>
      <c r="N306" s="17" t="e">
        <f>SUMIFS([1]ACSDT5Y2020.B08301_data_with_ov!AV$3:AV$1334,[1]ACSDT5Y2020.B08301_data_with_ov!$AS$3:$AS$1334,$B306)</f>
        <v>#VALUE!</v>
      </c>
      <c r="O306" s="17" t="e">
        <f>SUMIFS([1]ACSDT5Y2020.B08301_data_with_ov!AW$3:AW$1334,[1]ACSDT5Y2020.B08301_data_with_ov!$AS$3:$AS$1334,$B306)</f>
        <v>#VALUE!</v>
      </c>
      <c r="P306" s="17" t="e">
        <f>SUMIFS([1]ACSDT5Y2020.B08301_data_with_ov!AX$3:AX$1334,[1]ACSDT5Y2020.B08301_data_with_ov!$AS$3:$AS$1334,$B306)</f>
        <v>#VALUE!</v>
      </c>
      <c r="Q306" s="17" t="e">
        <f>SUMIFS([1]ACSDT5Y2020.B08301_data_with_ov!AY$3:AY$1334,[1]ACSDT5Y2020.B08301_data_with_ov!$AS$3:$AS$1334,$B306)</f>
        <v>#VALUE!</v>
      </c>
      <c r="R306" s="17" t="e">
        <f>SUMIFS([1]ACSDT5Y2020.B08301_data_with_ov!AZ$3:AZ$1334,[1]ACSDT5Y2020.B08301_data_with_ov!$AS$3:$AS$1334,$B306)</f>
        <v>#VALUE!</v>
      </c>
      <c r="S306" s="17" t="e">
        <f>SUMIFS([1]ACSDT5Y2020.B08301_data_with_ov!BA$3:BA$1334,[1]ACSDT5Y2020.B08301_data_with_ov!$AS$3:$AS$1334,$B306)</f>
        <v>#VALUE!</v>
      </c>
      <c r="T306" s="188">
        <v>0.12610380048952702</v>
      </c>
      <c r="U306" s="189" t="e">
        <f t="shared" si="19"/>
        <v>#VALUE!</v>
      </c>
      <c r="V306" s="188">
        <v>0.12610380048952702</v>
      </c>
      <c r="W306" s="189" t="e">
        <f t="shared" si="16"/>
        <v>#VALUE!</v>
      </c>
      <c r="X306" s="188">
        <v>0.12610380048952702</v>
      </c>
      <c r="Y306" s="189" t="e">
        <f t="shared" si="17"/>
        <v>#VALUE!</v>
      </c>
      <c r="Z306" s="188">
        <v>0.12610380048952702</v>
      </c>
      <c r="AA306" s="189" t="e">
        <f t="shared" si="18"/>
        <v>#VALUE!</v>
      </c>
    </row>
    <row r="307" spans="1:27" x14ac:dyDescent="0.25">
      <c r="A307">
        <v>261000</v>
      </c>
      <c r="B307">
        <v>17031261000</v>
      </c>
      <c r="C307">
        <v>17031</v>
      </c>
      <c r="D307">
        <v>2010</v>
      </c>
      <c r="E307">
        <v>26</v>
      </c>
      <c r="F307">
        <v>5164163.96673855</v>
      </c>
      <c r="G307" s="45">
        <v>0.18523889343500882</v>
      </c>
      <c r="H307" s="60" t="str">
        <f>_xlfn.IFNA(
INDEX('Community Areas'!B$2:B$78,MATCH($E307,'Community Areas'!$A$2:$A$78,0)),
"")</f>
        <v>WEST GARFIELD PARK</v>
      </c>
      <c r="I307" s="63" t="str">
        <f>_xlfn.IFNA(
INDEX('Community Areas'!C$2:C$78,MATCH($E307,'Community Areas'!$A$2:$A$78,0)),
"")</f>
        <v>3-A</v>
      </c>
      <c r="J307" s="63">
        <f>_xlfn.IFNA(
INDEX('Community Areas'!D$2:D$78,MATCH($E307,'Community Areas'!$A$2:$A$78,0)),
"")</f>
        <v>3</v>
      </c>
      <c r="K307" s="60" t="str">
        <f>_xlfn.IFNA(
INDEX('Community Areas'!E$2:E$78,MATCH($E307,'Community Areas'!$A$2:$A$78,0)),
"")</f>
        <v>WEST</v>
      </c>
      <c r="L307" s="17" t="e">
        <f>SUMIFS([1]ACSDT5Y2020.B08301_data_with_ov!AT$3:AT$1334,[1]ACSDT5Y2020.B08301_data_with_ov!$AS$3:$AS$1334,$B307)</f>
        <v>#VALUE!</v>
      </c>
      <c r="M307" s="17" t="e">
        <f>SUMIFS([1]ACSDT5Y2020.B08301_data_with_ov!AU$3:AU$1334,[1]ACSDT5Y2020.B08301_data_with_ov!$AS$3:$AS$1334,$B307)</f>
        <v>#VALUE!</v>
      </c>
      <c r="N307" s="17" t="e">
        <f>SUMIFS([1]ACSDT5Y2020.B08301_data_with_ov!AV$3:AV$1334,[1]ACSDT5Y2020.B08301_data_with_ov!$AS$3:$AS$1334,$B307)</f>
        <v>#VALUE!</v>
      </c>
      <c r="O307" s="17" t="e">
        <f>SUMIFS([1]ACSDT5Y2020.B08301_data_with_ov!AW$3:AW$1334,[1]ACSDT5Y2020.B08301_data_with_ov!$AS$3:$AS$1334,$B307)</f>
        <v>#VALUE!</v>
      </c>
      <c r="P307" s="17" t="e">
        <f>SUMIFS([1]ACSDT5Y2020.B08301_data_with_ov!AX$3:AX$1334,[1]ACSDT5Y2020.B08301_data_with_ov!$AS$3:$AS$1334,$B307)</f>
        <v>#VALUE!</v>
      </c>
      <c r="Q307" s="17" t="e">
        <f>SUMIFS([1]ACSDT5Y2020.B08301_data_with_ov!AY$3:AY$1334,[1]ACSDT5Y2020.B08301_data_with_ov!$AS$3:$AS$1334,$B307)</f>
        <v>#VALUE!</v>
      </c>
      <c r="R307" s="17" t="e">
        <f>SUMIFS([1]ACSDT5Y2020.B08301_data_with_ov!AZ$3:AZ$1334,[1]ACSDT5Y2020.B08301_data_with_ov!$AS$3:$AS$1334,$B307)</f>
        <v>#VALUE!</v>
      </c>
      <c r="S307" s="17" t="e">
        <f>SUMIFS([1]ACSDT5Y2020.B08301_data_with_ov!BA$3:BA$1334,[1]ACSDT5Y2020.B08301_data_with_ov!$AS$3:$AS$1334,$B307)</f>
        <v>#VALUE!</v>
      </c>
      <c r="T307" s="188">
        <v>7.3139170661834244E-2</v>
      </c>
      <c r="U307" s="189" t="e">
        <f t="shared" si="19"/>
        <v>#VALUE!</v>
      </c>
      <c r="V307" s="188">
        <v>7.3139170661834244E-2</v>
      </c>
      <c r="W307" s="189" t="e">
        <f t="shared" si="16"/>
        <v>#VALUE!</v>
      </c>
      <c r="X307" s="188">
        <v>7.3139170661834244E-2</v>
      </c>
      <c r="Y307" s="189" t="e">
        <f t="shared" si="17"/>
        <v>#VALUE!</v>
      </c>
      <c r="Z307" s="188">
        <v>7.3139170661834244E-2</v>
      </c>
      <c r="AA307" s="189" t="e">
        <f t="shared" si="18"/>
        <v>#VALUE!</v>
      </c>
    </row>
    <row r="308" spans="1:27" x14ac:dyDescent="0.25">
      <c r="A308">
        <v>260200</v>
      </c>
      <c r="B308">
        <v>17031260200</v>
      </c>
      <c r="C308">
        <v>17031</v>
      </c>
      <c r="D308">
        <v>2010</v>
      </c>
      <c r="E308">
        <v>26</v>
      </c>
      <c r="F308">
        <v>3544841.8984181602</v>
      </c>
      <c r="G308" s="45">
        <v>0.12715370675570192</v>
      </c>
      <c r="H308" s="60" t="str">
        <f>_xlfn.IFNA(
INDEX('Community Areas'!B$2:B$78,MATCH($E308,'Community Areas'!$A$2:$A$78,0)),
"")</f>
        <v>WEST GARFIELD PARK</v>
      </c>
      <c r="I308" s="63" t="str">
        <f>_xlfn.IFNA(
INDEX('Community Areas'!C$2:C$78,MATCH($E308,'Community Areas'!$A$2:$A$78,0)),
"")</f>
        <v>3-A</v>
      </c>
      <c r="J308" s="63">
        <f>_xlfn.IFNA(
INDEX('Community Areas'!D$2:D$78,MATCH($E308,'Community Areas'!$A$2:$A$78,0)),
"")</f>
        <v>3</v>
      </c>
      <c r="K308" s="60" t="str">
        <f>_xlfn.IFNA(
INDEX('Community Areas'!E$2:E$78,MATCH($E308,'Community Areas'!$A$2:$A$78,0)),
"")</f>
        <v>WEST</v>
      </c>
      <c r="L308" s="17" t="e">
        <f>SUMIFS([1]ACSDT5Y2020.B08301_data_with_ov!AT$3:AT$1334,[1]ACSDT5Y2020.B08301_data_with_ov!$AS$3:$AS$1334,$B308)</f>
        <v>#VALUE!</v>
      </c>
      <c r="M308" s="17" t="e">
        <f>SUMIFS([1]ACSDT5Y2020.B08301_data_with_ov!AU$3:AU$1334,[1]ACSDT5Y2020.B08301_data_with_ov!$AS$3:$AS$1334,$B308)</f>
        <v>#VALUE!</v>
      </c>
      <c r="N308" s="17" t="e">
        <f>SUMIFS([1]ACSDT5Y2020.B08301_data_with_ov!AV$3:AV$1334,[1]ACSDT5Y2020.B08301_data_with_ov!$AS$3:$AS$1334,$B308)</f>
        <v>#VALUE!</v>
      </c>
      <c r="O308" s="17" t="e">
        <f>SUMIFS([1]ACSDT5Y2020.B08301_data_with_ov!AW$3:AW$1334,[1]ACSDT5Y2020.B08301_data_with_ov!$AS$3:$AS$1334,$B308)</f>
        <v>#VALUE!</v>
      </c>
      <c r="P308" s="17" t="e">
        <f>SUMIFS([1]ACSDT5Y2020.B08301_data_with_ov!AX$3:AX$1334,[1]ACSDT5Y2020.B08301_data_with_ov!$AS$3:$AS$1334,$B308)</f>
        <v>#VALUE!</v>
      </c>
      <c r="Q308" s="17" t="e">
        <f>SUMIFS([1]ACSDT5Y2020.B08301_data_with_ov!AY$3:AY$1334,[1]ACSDT5Y2020.B08301_data_with_ov!$AS$3:$AS$1334,$B308)</f>
        <v>#VALUE!</v>
      </c>
      <c r="R308" s="17" t="e">
        <f>SUMIFS([1]ACSDT5Y2020.B08301_data_with_ov!AZ$3:AZ$1334,[1]ACSDT5Y2020.B08301_data_with_ov!$AS$3:$AS$1334,$B308)</f>
        <v>#VALUE!</v>
      </c>
      <c r="S308" s="17" t="e">
        <f>SUMIFS([1]ACSDT5Y2020.B08301_data_with_ov!BA$3:BA$1334,[1]ACSDT5Y2020.B08301_data_with_ov!$AS$3:$AS$1334,$B308)</f>
        <v>#VALUE!</v>
      </c>
      <c r="T308" s="188">
        <v>0.1271537017340848</v>
      </c>
      <c r="U308" s="189" t="e">
        <f t="shared" si="19"/>
        <v>#VALUE!</v>
      </c>
      <c r="V308" s="188">
        <v>0.1271537017340848</v>
      </c>
      <c r="W308" s="189" t="e">
        <f t="shared" si="16"/>
        <v>#VALUE!</v>
      </c>
      <c r="X308" s="188">
        <v>0.1271537017340848</v>
      </c>
      <c r="Y308" s="189" t="e">
        <f t="shared" si="17"/>
        <v>#VALUE!</v>
      </c>
      <c r="Z308" s="188">
        <v>0.1271537017340848</v>
      </c>
      <c r="AA308" s="189" t="e">
        <f t="shared" si="18"/>
        <v>#VALUE!</v>
      </c>
    </row>
    <row r="309" spans="1:27" x14ac:dyDescent="0.25">
      <c r="A309">
        <v>260100</v>
      </c>
      <c r="B309">
        <v>17031260100</v>
      </c>
      <c r="C309">
        <v>17031</v>
      </c>
      <c r="D309">
        <v>2010</v>
      </c>
      <c r="E309">
        <v>26</v>
      </c>
      <c r="F309">
        <v>3504066.9771083598</v>
      </c>
      <c r="G309" s="45">
        <v>0.12569110770734188</v>
      </c>
      <c r="H309" s="60" t="str">
        <f>_xlfn.IFNA(
INDEX('Community Areas'!B$2:B$78,MATCH($E309,'Community Areas'!$A$2:$A$78,0)),
"")</f>
        <v>WEST GARFIELD PARK</v>
      </c>
      <c r="I309" s="63" t="str">
        <f>_xlfn.IFNA(
INDEX('Community Areas'!C$2:C$78,MATCH($E309,'Community Areas'!$A$2:$A$78,0)),
"")</f>
        <v>3-A</v>
      </c>
      <c r="J309" s="63">
        <f>_xlfn.IFNA(
INDEX('Community Areas'!D$2:D$78,MATCH($E309,'Community Areas'!$A$2:$A$78,0)),
"")</f>
        <v>3</v>
      </c>
      <c r="K309" s="60" t="str">
        <f>_xlfn.IFNA(
INDEX('Community Areas'!E$2:E$78,MATCH($E309,'Community Areas'!$A$2:$A$78,0)),
"")</f>
        <v>WEST</v>
      </c>
      <c r="L309" s="17" t="e">
        <f>SUMIFS([1]ACSDT5Y2020.B08301_data_with_ov!AT$3:AT$1334,[1]ACSDT5Y2020.B08301_data_with_ov!$AS$3:$AS$1334,$B309)</f>
        <v>#VALUE!</v>
      </c>
      <c r="M309" s="17" t="e">
        <f>SUMIFS([1]ACSDT5Y2020.B08301_data_with_ov!AU$3:AU$1334,[1]ACSDT5Y2020.B08301_data_with_ov!$AS$3:$AS$1334,$B309)</f>
        <v>#VALUE!</v>
      </c>
      <c r="N309" s="17" t="e">
        <f>SUMIFS([1]ACSDT5Y2020.B08301_data_with_ov!AV$3:AV$1334,[1]ACSDT5Y2020.B08301_data_with_ov!$AS$3:$AS$1334,$B309)</f>
        <v>#VALUE!</v>
      </c>
      <c r="O309" s="17" t="e">
        <f>SUMIFS([1]ACSDT5Y2020.B08301_data_with_ov!AW$3:AW$1334,[1]ACSDT5Y2020.B08301_data_with_ov!$AS$3:$AS$1334,$B309)</f>
        <v>#VALUE!</v>
      </c>
      <c r="P309" s="17" t="e">
        <f>SUMIFS([1]ACSDT5Y2020.B08301_data_with_ov!AX$3:AX$1334,[1]ACSDT5Y2020.B08301_data_with_ov!$AS$3:$AS$1334,$B309)</f>
        <v>#VALUE!</v>
      </c>
      <c r="Q309" s="17" t="e">
        <f>SUMIFS([1]ACSDT5Y2020.B08301_data_with_ov!AY$3:AY$1334,[1]ACSDT5Y2020.B08301_data_with_ov!$AS$3:$AS$1334,$B309)</f>
        <v>#VALUE!</v>
      </c>
      <c r="R309" s="17" t="e">
        <f>SUMIFS([1]ACSDT5Y2020.B08301_data_with_ov!AZ$3:AZ$1334,[1]ACSDT5Y2020.B08301_data_with_ov!$AS$3:$AS$1334,$B309)</f>
        <v>#VALUE!</v>
      </c>
      <c r="S309" s="17" t="e">
        <f>SUMIFS([1]ACSDT5Y2020.B08301_data_with_ov!BA$3:BA$1334,[1]ACSDT5Y2020.B08301_data_with_ov!$AS$3:$AS$1334,$B309)</f>
        <v>#VALUE!</v>
      </c>
      <c r="T309" s="188">
        <v>0.12569111461638008</v>
      </c>
      <c r="U309" s="189" t="e">
        <f t="shared" si="19"/>
        <v>#VALUE!</v>
      </c>
      <c r="V309" s="188">
        <v>0.12569111461638008</v>
      </c>
      <c r="W309" s="189" t="e">
        <f t="shared" si="16"/>
        <v>#VALUE!</v>
      </c>
      <c r="X309" s="188">
        <v>0.12569111461638008</v>
      </c>
      <c r="Y309" s="189" t="e">
        <f t="shared" si="17"/>
        <v>#VALUE!</v>
      </c>
      <c r="Z309" s="188">
        <v>0.12569111461638008</v>
      </c>
      <c r="AA309" s="189" t="e">
        <f t="shared" si="18"/>
        <v>#VALUE!</v>
      </c>
    </row>
    <row r="310" spans="1:27" x14ac:dyDescent="0.25">
      <c r="A310">
        <v>260500</v>
      </c>
      <c r="B310">
        <v>17031260500</v>
      </c>
      <c r="C310">
        <v>17031</v>
      </c>
      <c r="D310">
        <v>2010</v>
      </c>
      <c r="E310">
        <v>26</v>
      </c>
      <c r="F310">
        <v>3740485.6718685902</v>
      </c>
      <c r="G310" s="45">
        <v>0.1341714614851853</v>
      </c>
      <c r="H310" s="60" t="str">
        <f>_xlfn.IFNA(
INDEX('Community Areas'!B$2:B$78,MATCH($E310,'Community Areas'!$A$2:$A$78,0)),
"")</f>
        <v>WEST GARFIELD PARK</v>
      </c>
      <c r="I310" s="63" t="str">
        <f>_xlfn.IFNA(
INDEX('Community Areas'!C$2:C$78,MATCH($E310,'Community Areas'!$A$2:$A$78,0)),
"")</f>
        <v>3-A</v>
      </c>
      <c r="J310" s="63">
        <f>_xlfn.IFNA(
INDEX('Community Areas'!D$2:D$78,MATCH($E310,'Community Areas'!$A$2:$A$78,0)),
"")</f>
        <v>3</v>
      </c>
      <c r="K310" s="60" t="str">
        <f>_xlfn.IFNA(
INDEX('Community Areas'!E$2:E$78,MATCH($E310,'Community Areas'!$A$2:$A$78,0)),
"")</f>
        <v>WEST</v>
      </c>
      <c r="L310" s="17" t="e">
        <f>SUMIFS([1]ACSDT5Y2020.B08301_data_with_ov!AT$3:AT$1334,[1]ACSDT5Y2020.B08301_data_with_ov!$AS$3:$AS$1334,$B310)</f>
        <v>#VALUE!</v>
      </c>
      <c r="M310" s="17" t="e">
        <f>SUMIFS([1]ACSDT5Y2020.B08301_data_with_ov!AU$3:AU$1334,[1]ACSDT5Y2020.B08301_data_with_ov!$AS$3:$AS$1334,$B310)</f>
        <v>#VALUE!</v>
      </c>
      <c r="N310" s="17" t="e">
        <f>SUMIFS([1]ACSDT5Y2020.B08301_data_with_ov!AV$3:AV$1334,[1]ACSDT5Y2020.B08301_data_with_ov!$AS$3:$AS$1334,$B310)</f>
        <v>#VALUE!</v>
      </c>
      <c r="O310" s="17" t="e">
        <f>SUMIFS([1]ACSDT5Y2020.B08301_data_with_ov!AW$3:AW$1334,[1]ACSDT5Y2020.B08301_data_with_ov!$AS$3:$AS$1334,$B310)</f>
        <v>#VALUE!</v>
      </c>
      <c r="P310" s="17" t="e">
        <f>SUMIFS([1]ACSDT5Y2020.B08301_data_with_ov!AX$3:AX$1334,[1]ACSDT5Y2020.B08301_data_with_ov!$AS$3:$AS$1334,$B310)</f>
        <v>#VALUE!</v>
      </c>
      <c r="Q310" s="17" t="e">
        <f>SUMIFS([1]ACSDT5Y2020.B08301_data_with_ov!AY$3:AY$1334,[1]ACSDT5Y2020.B08301_data_with_ov!$AS$3:$AS$1334,$B310)</f>
        <v>#VALUE!</v>
      </c>
      <c r="R310" s="17" t="e">
        <f>SUMIFS([1]ACSDT5Y2020.B08301_data_with_ov!AZ$3:AZ$1334,[1]ACSDT5Y2020.B08301_data_with_ov!$AS$3:$AS$1334,$B310)</f>
        <v>#VALUE!</v>
      </c>
      <c r="S310" s="17" t="e">
        <f>SUMIFS([1]ACSDT5Y2020.B08301_data_with_ov!BA$3:BA$1334,[1]ACSDT5Y2020.B08301_data_with_ov!$AS$3:$AS$1334,$B310)</f>
        <v>#VALUE!</v>
      </c>
      <c r="T310" s="188">
        <v>0.11653323002373593</v>
      </c>
      <c r="U310" s="189" t="e">
        <f t="shared" si="19"/>
        <v>#VALUE!</v>
      </c>
      <c r="V310" s="188">
        <v>0.11653323002373593</v>
      </c>
      <c r="W310" s="189" t="e">
        <f t="shared" si="16"/>
        <v>#VALUE!</v>
      </c>
      <c r="X310" s="188">
        <v>0.11653323002373593</v>
      </c>
      <c r="Y310" s="189" t="e">
        <f t="shared" si="17"/>
        <v>#VALUE!</v>
      </c>
      <c r="Z310" s="188">
        <v>0.11653323002373593</v>
      </c>
      <c r="AA310" s="189" t="e">
        <f t="shared" si="18"/>
        <v>#VALUE!</v>
      </c>
    </row>
    <row r="311" spans="1:27" x14ac:dyDescent="0.25">
      <c r="A311">
        <v>260800</v>
      </c>
      <c r="B311">
        <v>17031260800</v>
      </c>
      <c r="C311">
        <v>17031</v>
      </c>
      <c r="D311">
        <v>2010</v>
      </c>
      <c r="E311">
        <v>26</v>
      </c>
      <c r="F311">
        <v>3571247.3743696599</v>
      </c>
      <c r="G311" s="45">
        <v>0.12810087287540389</v>
      </c>
      <c r="H311" s="60" t="str">
        <f>_xlfn.IFNA(
INDEX('Community Areas'!B$2:B$78,MATCH($E311,'Community Areas'!$A$2:$A$78,0)),
"")</f>
        <v>WEST GARFIELD PARK</v>
      </c>
      <c r="I311" s="63" t="str">
        <f>_xlfn.IFNA(
INDEX('Community Areas'!C$2:C$78,MATCH($E311,'Community Areas'!$A$2:$A$78,0)),
"")</f>
        <v>3-A</v>
      </c>
      <c r="J311" s="63">
        <f>_xlfn.IFNA(
INDEX('Community Areas'!D$2:D$78,MATCH($E311,'Community Areas'!$A$2:$A$78,0)),
"")</f>
        <v>3</v>
      </c>
      <c r="K311" s="60" t="str">
        <f>_xlfn.IFNA(
INDEX('Community Areas'!E$2:E$78,MATCH($E311,'Community Areas'!$A$2:$A$78,0)),
"")</f>
        <v>WEST</v>
      </c>
      <c r="L311" s="17" t="e">
        <f>SUMIFS([1]ACSDT5Y2020.B08301_data_with_ov!AT$3:AT$1334,[1]ACSDT5Y2020.B08301_data_with_ov!$AS$3:$AS$1334,$B311)</f>
        <v>#VALUE!</v>
      </c>
      <c r="M311" s="17" t="e">
        <f>SUMIFS([1]ACSDT5Y2020.B08301_data_with_ov!AU$3:AU$1334,[1]ACSDT5Y2020.B08301_data_with_ov!$AS$3:$AS$1334,$B311)</f>
        <v>#VALUE!</v>
      </c>
      <c r="N311" s="17" t="e">
        <f>SUMIFS([1]ACSDT5Y2020.B08301_data_with_ov!AV$3:AV$1334,[1]ACSDT5Y2020.B08301_data_with_ov!$AS$3:$AS$1334,$B311)</f>
        <v>#VALUE!</v>
      </c>
      <c r="O311" s="17" t="e">
        <f>SUMIFS([1]ACSDT5Y2020.B08301_data_with_ov!AW$3:AW$1334,[1]ACSDT5Y2020.B08301_data_with_ov!$AS$3:$AS$1334,$B311)</f>
        <v>#VALUE!</v>
      </c>
      <c r="P311" s="17" t="e">
        <f>SUMIFS([1]ACSDT5Y2020.B08301_data_with_ov!AX$3:AX$1334,[1]ACSDT5Y2020.B08301_data_with_ov!$AS$3:$AS$1334,$B311)</f>
        <v>#VALUE!</v>
      </c>
      <c r="Q311" s="17" t="e">
        <f>SUMIFS([1]ACSDT5Y2020.B08301_data_with_ov!AY$3:AY$1334,[1]ACSDT5Y2020.B08301_data_with_ov!$AS$3:$AS$1334,$B311)</f>
        <v>#VALUE!</v>
      </c>
      <c r="R311" s="17" t="e">
        <f>SUMIFS([1]ACSDT5Y2020.B08301_data_with_ov!AZ$3:AZ$1334,[1]ACSDT5Y2020.B08301_data_with_ov!$AS$3:$AS$1334,$B311)</f>
        <v>#VALUE!</v>
      </c>
      <c r="S311" s="17" t="e">
        <f>SUMIFS([1]ACSDT5Y2020.B08301_data_with_ov!BA$3:BA$1334,[1]ACSDT5Y2020.B08301_data_with_ov!$AS$3:$AS$1334,$B311)</f>
        <v>#VALUE!</v>
      </c>
      <c r="T311" s="188">
        <v>0.12810087412928253</v>
      </c>
      <c r="U311" s="189" t="e">
        <f t="shared" si="19"/>
        <v>#VALUE!</v>
      </c>
      <c r="V311" s="188">
        <v>0.12810087412928253</v>
      </c>
      <c r="W311" s="189" t="e">
        <f t="shared" si="16"/>
        <v>#VALUE!</v>
      </c>
      <c r="X311" s="188">
        <v>0.12810087412928253</v>
      </c>
      <c r="Y311" s="189" t="e">
        <f t="shared" si="17"/>
        <v>#VALUE!</v>
      </c>
      <c r="Z311" s="188">
        <v>0.12810087412928253</v>
      </c>
      <c r="AA311" s="189" t="e">
        <f t="shared" si="18"/>
        <v>#VALUE!</v>
      </c>
    </row>
    <row r="312" spans="1:27" x14ac:dyDescent="0.25">
      <c r="A312">
        <v>260300</v>
      </c>
      <c r="B312">
        <v>17031260300</v>
      </c>
      <c r="C312">
        <v>17031</v>
      </c>
      <c r="D312">
        <v>2010</v>
      </c>
      <c r="E312">
        <v>26</v>
      </c>
      <c r="F312">
        <v>3538414.3498074198</v>
      </c>
      <c r="G312" s="45">
        <v>0.12692315017387726</v>
      </c>
      <c r="H312" s="60" t="str">
        <f>_xlfn.IFNA(
INDEX('Community Areas'!B$2:B$78,MATCH($E312,'Community Areas'!$A$2:$A$78,0)),
"")</f>
        <v>WEST GARFIELD PARK</v>
      </c>
      <c r="I312" s="63" t="str">
        <f>_xlfn.IFNA(
INDEX('Community Areas'!C$2:C$78,MATCH($E312,'Community Areas'!$A$2:$A$78,0)),
"")</f>
        <v>3-A</v>
      </c>
      <c r="J312" s="63">
        <f>_xlfn.IFNA(
INDEX('Community Areas'!D$2:D$78,MATCH($E312,'Community Areas'!$A$2:$A$78,0)),
"")</f>
        <v>3</v>
      </c>
      <c r="K312" s="60" t="str">
        <f>_xlfn.IFNA(
INDEX('Community Areas'!E$2:E$78,MATCH($E312,'Community Areas'!$A$2:$A$78,0)),
"")</f>
        <v>WEST</v>
      </c>
      <c r="L312" s="17" t="e">
        <f>SUMIFS([1]ACSDT5Y2020.B08301_data_with_ov!AT$3:AT$1334,[1]ACSDT5Y2020.B08301_data_with_ov!$AS$3:$AS$1334,$B312)</f>
        <v>#VALUE!</v>
      </c>
      <c r="M312" s="17" t="e">
        <f>SUMIFS([1]ACSDT5Y2020.B08301_data_with_ov!AU$3:AU$1334,[1]ACSDT5Y2020.B08301_data_with_ov!$AS$3:$AS$1334,$B312)</f>
        <v>#VALUE!</v>
      </c>
      <c r="N312" s="17" t="e">
        <f>SUMIFS([1]ACSDT5Y2020.B08301_data_with_ov!AV$3:AV$1334,[1]ACSDT5Y2020.B08301_data_with_ov!$AS$3:$AS$1334,$B312)</f>
        <v>#VALUE!</v>
      </c>
      <c r="O312" s="17" t="e">
        <f>SUMIFS([1]ACSDT5Y2020.B08301_data_with_ov!AW$3:AW$1334,[1]ACSDT5Y2020.B08301_data_with_ov!$AS$3:$AS$1334,$B312)</f>
        <v>#VALUE!</v>
      </c>
      <c r="P312" s="17" t="e">
        <f>SUMIFS([1]ACSDT5Y2020.B08301_data_with_ov!AX$3:AX$1334,[1]ACSDT5Y2020.B08301_data_with_ov!$AS$3:$AS$1334,$B312)</f>
        <v>#VALUE!</v>
      </c>
      <c r="Q312" s="17" t="e">
        <f>SUMIFS([1]ACSDT5Y2020.B08301_data_with_ov!AY$3:AY$1334,[1]ACSDT5Y2020.B08301_data_with_ov!$AS$3:$AS$1334,$B312)</f>
        <v>#VALUE!</v>
      </c>
      <c r="R312" s="17" t="e">
        <f>SUMIFS([1]ACSDT5Y2020.B08301_data_with_ov!AZ$3:AZ$1334,[1]ACSDT5Y2020.B08301_data_with_ov!$AS$3:$AS$1334,$B312)</f>
        <v>#VALUE!</v>
      </c>
      <c r="S312" s="17" t="e">
        <f>SUMIFS([1]ACSDT5Y2020.B08301_data_with_ov!BA$3:BA$1334,[1]ACSDT5Y2020.B08301_data_with_ov!$AS$3:$AS$1334,$B312)</f>
        <v>#VALUE!</v>
      </c>
      <c r="T312" s="188">
        <v>0.12692315218805239</v>
      </c>
      <c r="U312" s="189" t="e">
        <f t="shared" si="19"/>
        <v>#VALUE!</v>
      </c>
      <c r="V312" s="188">
        <v>0.12692315218805239</v>
      </c>
      <c r="W312" s="189" t="e">
        <f t="shared" si="16"/>
        <v>#VALUE!</v>
      </c>
      <c r="X312" s="188">
        <v>0.12692315218805239</v>
      </c>
      <c r="Y312" s="189" t="e">
        <f t="shared" si="17"/>
        <v>#VALUE!</v>
      </c>
      <c r="Z312" s="188">
        <v>0.12692315218805239</v>
      </c>
      <c r="AA312" s="189" t="e">
        <f t="shared" si="18"/>
        <v>#VALUE!</v>
      </c>
    </row>
    <row r="313" spans="1:27" x14ac:dyDescent="0.25">
      <c r="A313">
        <v>836800</v>
      </c>
      <c r="B313">
        <v>17031836800</v>
      </c>
      <c r="C313">
        <v>17031</v>
      </c>
      <c r="D313">
        <v>2010</v>
      </c>
      <c r="E313">
        <v>27</v>
      </c>
      <c r="F313">
        <v>8871040.9511475805</v>
      </c>
      <c r="G313" s="45">
        <v>0.31820480914068167</v>
      </c>
      <c r="H313" s="60" t="str">
        <f>_xlfn.IFNA(
INDEX('Community Areas'!B$2:B$78,MATCH($E313,'Community Areas'!$A$2:$A$78,0)),
"")</f>
        <v>EAST GARFIELD PARK</v>
      </c>
      <c r="I313" s="63" t="str">
        <f>_xlfn.IFNA(
INDEX('Community Areas'!C$2:C$78,MATCH($E313,'Community Areas'!$A$2:$A$78,0)),
"")</f>
        <v>3-A</v>
      </c>
      <c r="J313" s="63">
        <f>_xlfn.IFNA(
INDEX('Community Areas'!D$2:D$78,MATCH($E313,'Community Areas'!$A$2:$A$78,0)),
"")</f>
        <v>3</v>
      </c>
      <c r="K313" s="60" t="str">
        <f>_xlfn.IFNA(
INDEX('Community Areas'!E$2:E$78,MATCH($E313,'Community Areas'!$A$2:$A$78,0)),
"")</f>
        <v>WEST</v>
      </c>
      <c r="L313" s="17" t="e">
        <f>SUMIFS([1]ACSDT5Y2020.B08301_data_with_ov!AT$3:AT$1334,[1]ACSDT5Y2020.B08301_data_with_ov!$AS$3:$AS$1334,$B313)</f>
        <v>#VALUE!</v>
      </c>
      <c r="M313" s="17" t="e">
        <f>SUMIFS([1]ACSDT5Y2020.B08301_data_with_ov!AU$3:AU$1334,[1]ACSDT5Y2020.B08301_data_with_ov!$AS$3:$AS$1334,$B313)</f>
        <v>#VALUE!</v>
      </c>
      <c r="N313" s="17" t="e">
        <f>SUMIFS([1]ACSDT5Y2020.B08301_data_with_ov!AV$3:AV$1334,[1]ACSDT5Y2020.B08301_data_with_ov!$AS$3:$AS$1334,$B313)</f>
        <v>#VALUE!</v>
      </c>
      <c r="O313" s="17" t="e">
        <f>SUMIFS([1]ACSDT5Y2020.B08301_data_with_ov!AW$3:AW$1334,[1]ACSDT5Y2020.B08301_data_with_ov!$AS$3:$AS$1334,$B313)</f>
        <v>#VALUE!</v>
      </c>
      <c r="P313" s="17" t="e">
        <f>SUMIFS([1]ACSDT5Y2020.B08301_data_with_ov!AX$3:AX$1334,[1]ACSDT5Y2020.B08301_data_with_ov!$AS$3:$AS$1334,$B313)</f>
        <v>#VALUE!</v>
      </c>
      <c r="Q313" s="17" t="e">
        <f>SUMIFS([1]ACSDT5Y2020.B08301_data_with_ov!AY$3:AY$1334,[1]ACSDT5Y2020.B08301_data_with_ov!$AS$3:$AS$1334,$B313)</f>
        <v>#VALUE!</v>
      </c>
      <c r="R313" s="17" t="e">
        <f>SUMIFS([1]ACSDT5Y2020.B08301_data_with_ov!AZ$3:AZ$1334,[1]ACSDT5Y2020.B08301_data_with_ov!$AS$3:$AS$1334,$B313)</f>
        <v>#VALUE!</v>
      </c>
      <c r="S313" s="17" t="e">
        <f>SUMIFS([1]ACSDT5Y2020.B08301_data_with_ov!BA$3:BA$1334,[1]ACSDT5Y2020.B08301_data_with_ov!$AS$3:$AS$1334,$B313)</f>
        <v>#VALUE!</v>
      </c>
      <c r="T313" s="188">
        <v>0.31820480649220323</v>
      </c>
      <c r="U313" s="189" t="e">
        <f t="shared" si="19"/>
        <v>#VALUE!</v>
      </c>
      <c r="V313" s="188">
        <v>0.31820480649220323</v>
      </c>
      <c r="W313" s="189" t="e">
        <f t="shared" si="16"/>
        <v>#VALUE!</v>
      </c>
      <c r="X313" s="188">
        <v>0.31820480649220323</v>
      </c>
      <c r="Y313" s="189" t="e">
        <f t="shared" si="17"/>
        <v>#VALUE!</v>
      </c>
      <c r="Z313" s="188">
        <v>0.31820480649220323</v>
      </c>
      <c r="AA313" s="189" t="e">
        <f t="shared" si="18"/>
        <v>#VALUE!</v>
      </c>
    </row>
    <row r="314" spans="1:27" x14ac:dyDescent="0.25">
      <c r="A314">
        <v>837000</v>
      </c>
      <c r="B314">
        <v>17031837000</v>
      </c>
      <c r="C314">
        <v>17031</v>
      </c>
      <c r="D314">
        <v>2010</v>
      </c>
      <c r="E314">
        <v>27</v>
      </c>
      <c r="F314">
        <v>4440590.5856814301</v>
      </c>
      <c r="G314" s="45">
        <v>0.15928426974580429</v>
      </c>
      <c r="H314" s="60" t="str">
        <f>_xlfn.IFNA(
INDEX('Community Areas'!B$2:B$78,MATCH($E314,'Community Areas'!$A$2:$A$78,0)),
"")</f>
        <v>EAST GARFIELD PARK</v>
      </c>
      <c r="I314" s="63" t="str">
        <f>_xlfn.IFNA(
INDEX('Community Areas'!C$2:C$78,MATCH($E314,'Community Areas'!$A$2:$A$78,0)),
"")</f>
        <v>3-A</v>
      </c>
      <c r="J314" s="63">
        <f>_xlfn.IFNA(
INDEX('Community Areas'!D$2:D$78,MATCH($E314,'Community Areas'!$A$2:$A$78,0)),
"")</f>
        <v>3</v>
      </c>
      <c r="K314" s="60" t="str">
        <f>_xlfn.IFNA(
INDEX('Community Areas'!E$2:E$78,MATCH($E314,'Community Areas'!$A$2:$A$78,0)),
"")</f>
        <v>WEST</v>
      </c>
      <c r="L314" s="17" t="e">
        <f>SUMIFS([1]ACSDT5Y2020.B08301_data_with_ov!AT$3:AT$1334,[1]ACSDT5Y2020.B08301_data_with_ov!$AS$3:$AS$1334,$B314)</f>
        <v>#VALUE!</v>
      </c>
      <c r="M314" s="17" t="e">
        <f>SUMIFS([1]ACSDT5Y2020.B08301_data_with_ov!AU$3:AU$1334,[1]ACSDT5Y2020.B08301_data_with_ov!$AS$3:$AS$1334,$B314)</f>
        <v>#VALUE!</v>
      </c>
      <c r="N314" s="17" t="e">
        <f>SUMIFS([1]ACSDT5Y2020.B08301_data_with_ov!AV$3:AV$1334,[1]ACSDT5Y2020.B08301_data_with_ov!$AS$3:$AS$1334,$B314)</f>
        <v>#VALUE!</v>
      </c>
      <c r="O314" s="17" t="e">
        <f>SUMIFS([1]ACSDT5Y2020.B08301_data_with_ov!AW$3:AW$1334,[1]ACSDT5Y2020.B08301_data_with_ov!$AS$3:$AS$1334,$B314)</f>
        <v>#VALUE!</v>
      </c>
      <c r="P314" s="17" t="e">
        <f>SUMIFS([1]ACSDT5Y2020.B08301_data_with_ov!AX$3:AX$1334,[1]ACSDT5Y2020.B08301_data_with_ov!$AS$3:$AS$1334,$B314)</f>
        <v>#VALUE!</v>
      </c>
      <c r="Q314" s="17" t="e">
        <f>SUMIFS([1]ACSDT5Y2020.B08301_data_with_ov!AY$3:AY$1334,[1]ACSDT5Y2020.B08301_data_with_ov!$AS$3:$AS$1334,$B314)</f>
        <v>#VALUE!</v>
      </c>
      <c r="R314" s="17" t="e">
        <f>SUMIFS([1]ACSDT5Y2020.B08301_data_with_ov!AZ$3:AZ$1334,[1]ACSDT5Y2020.B08301_data_with_ov!$AS$3:$AS$1334,$B314)</f>
        <v>#VALUE!</v>
      </c>
      <c r="S314" s="17" t="e">
        <f>SUMIFS([1]ACSDT5Y2020.B08301_data_with_ov!BA$3:BA$1334,[1]ACSDT5Y2020.B08301_data_with_ov!$AS$3:$AS$1334,$B314)</f>
        <v>#VALUE!</v>
      </c>
      <c r="T314" s="188">
        <v>0.15928426230099074</v>
      </c>
      <c r="U314" s="189" t="e">
        <f t="shared" si="19"/>
        <v>#VALUE!</v>
      </c>
      <c r="V314" s="188">
        <v>0.15928426230099074</v>
      </c>
      <c r="W314" s="189" t="e">
        <f t="shared" si="16"/>
        <v>#VALUE!</v>
      </c>
      <c r="X314" s="188">
        <v>0.15928426230099074</v>
      </c>
      <c r="Y314" s="189" t="e">
        <f t="shared" si="17"/>
        <v>#VALUE!</v>
      </c>
      <c r="Z314" s="188">
        <v>0.15928426230099074</v>
      </c>
      <c r="AA314" s="189" t="e">
        <f t="shared" si="18"/>
        <v>#VALUE!</v>
      </c>
    </row>
    <row r="315" spans="1:27" x14ac:dyDescent="0.25">
      <c r="A315">
        <v>271300</v>
      </c>
      <c r="B315">
        <v>17031271300</v>
      </c>
      <c r="C315">
        <v>17031</v>
      </c>
      <c r="D315">
        <v>2010</v>
      </c>
      <c r="E315">
        <v>27</v>
      </c>
      <c r="F315">
        <v>3523972.3434248902</v>
      </c>
      <c r="G315" s="45">
        <v>0.12640511447661595</v>
      </c>
      <c r="H315" s="60" t="str">
        <f>_xlfn.IFNA(
INDEX('Community Areas'!B$2:B$78,MATCH($E315,'Community Areas'!$A$2:$A$78,0)),
"")</f>
        <v>EAST GARFIELD PARK</v>
      </c>
      <c r="I315" s="63" t="str">
        <f>_xlfn.IFNA(
INDEX('Community Areas'!C$2:C$78,MATCH($E315,'Community Areas'!$A$2:$A$78,0)),
"")</f>
        <v>3-A</v>
      </c>
      <c r="J315" s="63">
        <f>_xlfn.IFNA(
INDEX('Community Areas'!D$2:D$78,MATCH($E315,'Community Areas'!$A$2:$A$78,0)),
"")</f>
        <v>3</v>
      </c>
      <c r="K315" s="60" t="str">
        <f>_xlfn.IFNA(
INDEX('Community Areas'!E$2:E$78,MATCH($E315,'Community Areas'!$A$2:$A$78,0)),
"")</f>
        <v>WEST</v>
      </c>
      <c r="L315" s="17" t="e">
        <f>SUMIFS([1]ACSDT5Y2020.B08301_data_with_ov!AT$3:AT$1334,[1]ACSDT5Y2020.B08301_data_with_ov!$AS$3:$AS$1334,$B315)</f>
        <v>#VALUE!</v>
      </c>
      <c r="M315" s="17" t="e">
        <f>SUMIFS([1]ACSDT5Y2020.B08301_data_with_ov!AU$3:AU$1334,[1]ACSDT5Y2020.B08301_data_with_ov!$AS$3:$AS$1334,$B315)</f>
        <v>#VALUE!</v>
      </c>
      <c r="N315" s="17" t="e">
        <f>SUMIFS([1]ACSDT5Y2020.B08301_data_with_ov!AV$3:AV$1334,[1]ACSDT5Y2020.B08301_data_with_ov!$AS$3:$AS$1334,$B315)</f>
        <v>#VALUE!</v>
      </c>
      <c r="O315" s="17" t="e">
        <f>SUMIFS([1]ACSDT5Y2020.B08301_data_with_ov!AW$3:AW$1334,[1]ACSDT5Y2020.B08301_data_with_ov!$AS$3:$AS$1334,$B315)</f>
        <v>#VALUE!</v>
      </c>
      <c r="P315" s="17" t="e">
        <f>SUMIFS([1]ACSDT5Y2020.B08301_data_with_ov!AX$3:AX$1334,[1]ACSDT5Y2020.B08301_data_with_ov!$AS$3:$AS$1334,$B315)</f>
        <v>#VALUE!</v>
      </c>
      <c r="Q315" s="17" t="e">
        <f>SUMIFS([1]ACSDT5Y2020.B08301_data_with_ov!AY$3:AY$1334,[1]ACSDT5Y2020.B08301_data_with_ov!$AS$3:$AS$1334,$B315)</f>
        <v>#VALUE!</v>
      </c>
      <c r="R315" s="17" t="e">
        <f>SUMIFS([1]ACSDT5Y2020.B08301_data_with_ov!AZ$3:AZ$1334,[1]ACSDT5Y2020.B08301_data_with_ov!$AS$3:$AS$1334,$B315)</f>
        <v>#VALUE!</v>
      </c>
      <c r="S315" s="17" t="e">
        <f>SUMIFS([1]ACSDT5Y2020.B08301_data_with_ov!BA$3:BA$1334,[1]ACSDT5Y2020.B08301_data_with_ov!$AS$3:$AS$1334,$B315)</f>
        <v>#VALUE!</v>
      </c>
      <c r="T315" s="188">
        <v>0.12640511463321963</v>
      </c>
      <c r="U315" s="189" t="e">
        <f t="shared" si="19"/>
        <v>#VALUE!</v>
      </c>
      <c r="V315" s="188">
        <v>0.12640511463321963</v>
      </c>
      <c r="W315" s="189" t="e">
        <f t="shared" si="16"/>
        <v>#VALUE!</v>
      </c>
      <c r="X315" s="188">
        <v>0.12640511463321963</v>
      </c>
      <c r="Y315" s="189" t="e">
        <f t="shared" si="17"/>
        <v>#VALUE!</v>
      </c>
      <c r="Z315" s="188">
        <v>0.12640511463321963</v>
      </c>
      <c r="AA315" s="189" t="e">
        <f t="shared" si="18"/>
        <v>#VALUE!</v>
      </c>
    </row>
    <row r="316" spans="1:27" x14ac:dyDescent="0.25">
      <c r="A316">
        <v>271800</v>
      </c>
      <c r="B316">
        <v>17031271800</v>
      </c>
      <c r="C316">
        <v>17031</v>
      </c>
      <c r="D316">
        <v>2010</v>
      </c>
      <c r="E316">
        <v>27</v>
      </c>
      <c r="F316">
        <v>2217242.9865916702</v>
      </c>
      <c r="G316" s="45">
        <v>7.953264845154924E-2</v>
      </c>
      <c r="H316" s="60" t="str">
        <f>_xlfn.IFNA(
INDEX('Community Areas'!B$2:B$78,MATCH($E316,'Community Areas'!$A$2:$A$78,0)),
"")</f>
        <v>EAST GARFIELD PARK</v>
      </c>
      <c r="I316" s="63" t="str">
        <f>_xlfn.IFNA(
INDEX('Community Areas'!C$2:C$78,MATCH($E316,'Community Areas'!$A$2:$A$78,0)),
"")</f>
        <v>3-A</v>
      </c>
      <c r="J316" s="63">
        <f>_xlfn.IFNA(
INDEX('Community Areas'!D$2:D$78,MATCH($E316,'Community Areas'!$A$2:$A$78,0)),
"")</f>
        <v>3</v>
      </c>
      <c r="K316" s="60" t="str">
        <f>_xlfn.IFNA(
INDEX('Community Areas'!E$2:E$78,MATCH($E316,'Community Areas'!$A$2:$A$78,0)),
"")</f>
        <v>WEST</v>
      </c>
      <c r="L316" s="17" t="e">
        <f>SUMIFS([1]ACSDT5Y2020.B08301_data_with_ov!AT$3:AT$1334,[1]ACSDT5Y2020.B08301_data_with_ov!$AS$3:$AS$1334,$B316)</f>
        <v>#VALUE!</v>
      </c>
      <c r="M316" s="17" t="e">
        <f>SUMIFS([1]ACSDT5Y2020.B08301_data_with_ov!AU$3:AU$1334,[1]ACSDT5Y2020.B08301_data_with_ov!$AS$3:$AS$1334,$B316)</f>
        <v>#VALUE!</v>
      </c>
      <c r="N316" s="17" t="e">
        <f>SUMIFS([1]ACSDT5Y2020.B08301_data_with_ov!AV$3:AV$1334,[1]ACSDT5Y2020.B08301_data_with_ov!$AS$3:$AS$1334,$B316)</f>
        <v>#VALUE!</v>
      </c>
      <c r="O316" s="17" t="e">
        <f>SUMIFS([1]ACSDT5Y2020.B08301_data_with_ov!AW$3:AW$1334,[1]ACSDT5Y2020.B08301_data_with_ov!$AS$3:$AS$1334,$B316)</f>
        <v>#VALUE!</v>
      </c>
      <c r="P316" s="17" t="e">
        <f>SUMIFS([1]ACSDT5Y2020.B08301_data_with_ov!AX$3:AX$1334,[1]ACSDT5Y2020.B08301_data_with_ov!$AS$3:$AS$1334,$B316)</f>
        <v>#VALUE!</v>
      </c>
      <c r="Q316" s="17" t="e">
        <f>SUMIFS([1]ACSDT5Y2020.B08301_data_with_ov!AY$3:AY$1334,[1]ACSDT5Y2020.B08301_data_with_ov!$AS$3:$AS$1334,$B316)</f>
        <v>#VALUE!</v>
      </c>
      <c r="R316" s="17" t="e">
        <f>SUMIFS([1]ACSDT5Y2020.B08301_data_with_ov!AZ$3:AZ$1334,[1]ACSDT5Y2020.B08301_data_with_ov!$AS$3:$AS$1334,$B316)</f>
        <v>#VALUE!</v>
      </c>
      <c r="S316" s="17" t="e">
        <f>SUMIFS([1]ACSDT5Y2020.B08301_data_with_ov!BA$3:BA$1334,[1]ACSDT5Y2020.B08301_data_with_ov!$AS$3:$AS$1334,$B316)</f>
        <v>#VALUE!</v>
      </c>
      <c r="T316" s="188">
        <v>7.953264836212838E-2</v>
      </c>
      <c r="U316" s="189" t="e">
        <f t="shared" si="19"/>
        <v>#VALUE!</v>
      </c>
      <c r="V316" s="188">
        <v>7.953264836212838E-2</v>
      </c>
      <c r="W316" s="189" t="e">
        <f t="shared" si="16"/>
        <v>#VALUE!</v>
      </c>
      <c r="X316" s="188">
        <v>7.953264836212838E-2</v>
      </c>
      <c r="Y316" s="189" t="e">
        <f t="shared" si="17"/>
        <v>#VALUE!</v>
      </c>
      <c r="Z316" s="188">
        <v>7.953264836212838E-2</v>
      </c>
      <c r="AA316" s="189" t="e">
        <f t="shared" si="18"/>
        <v>#VALUE!</v>
      </c>
    </row>
    <row r="317" spans="1:27" x14ac:dyDescent="0.25">
      <c r="A317">
        <v>837100</v>
      </c>
      <c r="B317">
        <v>17031837100</v>
      </c>
      <c r="C317">
        <v>17031</v>
      </c>
      <c r="D317">
        <v>2010</v>
      </c>
      <c r="E317">
        <v>27</v>
      </c>
      <c r="F317">
        <v>7854433.5427268399</v>
      </c>
      <c r="G317" s="45">
        <v>0.28173903605396433</v>
      </c>
      <c r="H317" s="60" t="str">
        <f>_xlfn.IFNA(
INDEX('Community Areas'!B$2:B$78,MATCH($E317,'Community Areas'!$A$2:$A$78,0)),
"")</f>
        <v>EAST GARFIELD PARK</v>
      </c>
      <c r="I317" s="63" t="str">
        <f>_xlfn.IFNA(
INDEX('Community Areas'!C$2:C$78,MATCH($E317,'Community Areas'!$A$2:$A$78,0)),
"")</f>
        <v>3-A</v>
      </c>
      <c r="J317" s="63">
        <f>_xlfn.IFNA(
INDEX('Community Areas'!D$2:D$78,MATCH($E317,'Community Areas'!$A$2:$A$78,0)),
"")</f>
        <v>3</v>
      </c>
      <c r="K317" s="60" t="str">
        <f>_xlfn.IFNA(
INDEX('Community Areas'!E$2:E$78,MATCH($E317,'Community Areas'!$A$2:$A$78,0)),
"")</f>
        <v>WEST</v>
      </c>
      <c r="L317" s="17" t="e">
        <f>SUMIFS([1]ACSDT5Y2020.B08301_data_with_ov!AT$3:AT$1334,[1]ACSDT5Y2020.B08301_data_with_ov!$AS$3:$AS$1334,$B317)</f>
        <v>#VALUE!</v>
      </c>
      <c r="M317" s="17" t="e">
        <f>SUMIFS([1]ACSDT5Y2020.B08301_data_with_ov!AU$3:AU$1334,[1]ACSDT5Y2020.B08301_data_with_ov!$AS$3:$AS$1334,$B317)</f>
        <v>#VALUE!</v>
      </c>
      <c r="N317" s="17" t="e">
        <f>SUMIFS([1]ACSDT5Y2020.B08301_data_with_ov!AV$3:AV$1334,[1]ACSDT5Y2020.B08301_data_with_ov!$AS$3:$AS$1334,$B317)</f>
        <v>#VALUE!</v>
      </c>
      <c r="O317" s="17" t="e">
        <f>SUMIFS([1]ACSDT5Y2020.B08301_data_with_ov!AW$3:AW$1334,[1]ACSDT5Y2020.B08301_data_with_ov!$AS$3:$AS$1334,$B317)</f>
        <v>#VALUE!</v>
      </c>
      <c r="P317" s="17" t="e">
        <f>SUMIFS([1]ACSDT5Y2020.B08301_data_with_ov!AX$3:AX$1334,[1]ACSDT5Y2020.B08301_data_with_ov!$AS$3:$AS$1334,$B317)</f>
        <v>#VALUE!</v>
      </c>
      <c r="Q317" s="17" t="e">
        <f>SUMIFS([1]ACSDT5Y2020.B08301_data_with_ov!AY$3:AY$1334,[1]ACSDT5Y2020.B08301_data_with_ov!$AS$3:$AS$1334,$B317)</f>
        <v>#VALUE!</v>
      </c>
      <c r="R317" s="17" t="e">
        <f>SUMIFS([1]ACSDT5Y2020.B08301_data_with_ov!AZ$3:AZ$1334,[1]ACSDT5Y2020.B08301_data_with_ov!$AS$3:$AS$1334,$B317)</f>
        <v>#VALUE!</v>
      </c>
      <c r="S317" s="17" t="e">
        <f>SUMIFS([1]ACSDT5Y2020.B08301_data_with_ov!BA$3:BA$1334,[1]ACSDT5Y2020.B08301_data_with_ov!$AS$3:$AS$1334,$B317)</f>
        <v>#VALUE!</v>
      </c>
      <c r="T317" s="188">
        <v>0.28173902637316778</v>
      </c>
      <c r="U317" s="189" t="e">
        <f t="shared" si="19"/>
        <v>#VALUE!</v>
      </c>
      <c r="V317" s="188">
        <v>0.28173902637316778</v>
      </c>
      <c r="W317" s="189" t="e">
        <f t="shared" si="16"/>
        <v>#VALUE!</v>
      </c>
      <c r="X317" s="188">
        <v>0.28173902637316778</v>
      </c>
      <c r="Y317" s="189" t="e">
        <f t="shared" si="17"/>
        <v>#VALUE!</v>
      </c>
      <c r="Z317" s="188">
        <v>0.28173902637316778</v>
      </c>
      <c r="AA317" s="189" t="e">
        <f t="shared" si="18"/>
        <v>#VALUE!</v>
      </c>
    </row>
    <row r="318" spans="1:27" x14ac:dyDescent="0.25">
      <c r="A318">
        <v>837300</v>
      </c>
      <c r="B318">
        <v>17031837300</v>
      </c>
      <c r="C318">
        <v>17031</v>
      </c>
      <c r="D318">
        <v>2010</v>
      </c>
      <c r="E318">
        <v>27</v>
      </c>
      <c r="F318">
        <v>3966788.93444758</v>
      </c>
      <c r="G318" s="45">
        <v>0.14228897406047622</v>
      </c>
      <c r="H318" s="60" t="str">
        <f>_xlfn.IFNA(
INDEX('Community Areas'!B$2:B$78,MATCH($E318,'Community Areas'!$A$2:$A$78,0)),
"")</f>
        <v>EAST GARFIELD PARK</v>
      </c>
      <c r="I318" s="63" t="str">
        <f>_xlfn.IFNA(
INDEX('Community Areas'!C$2:C$78,MATCH($E318,'Community Areas'!$A$2:$A$78,0)),
"")</f>
        <v>3-A</v>
      </c>
      <c r="J318" s="63">
        <f>_xlfn.IFNA(
INDEX('Community Areas'!D$2:D$78,MATCH($E318,'Community Areas'!$A$2:$A$78,0)),
"")</f>
        <v>3</v>
      </c>
      <c r="K318" s="60" t="str">
        <f>_xlfn.IFNA(
INDEX('Community Areas'!E$2:E$78,MATCH($E318,'Community Areas'!$A$2:$A$78,0)),
"")</f>
        <v>WEST</v>
      </c>
      <c r="L318" s="17" t="e">
        <f>SUMIFS([1]ACSDT5Y2020.B08301_data_with_ov!AT$3:AT$1334,[1]ACSDT5Y2020.B08301_data_with_ov!$AS$3:$AS$1334,$B318)</f>
        <v>#VALUE!</v>
      </c>
      <c r="M318" s="17" t="e">
        <f>SUMIFS([1]ACSDT5Y2020.B08301_data_with_ov!AU$3:AU$1334,[1]ACSDT5Y2020.B08301_data_with_ov!$AS$3:$AS$1334,$B318)</f>
        <v>#VALUE!</v>
      </c>
      <c r="N318" s="17" t="e">
        <f>SUMIFS([1]ACSDT5Y2020.B08301_data_with_ov!AV$3:AV$1334,[1]ACSDT5Y2020.B08301_data_with_ov!$AS$3:$AS$1334,$B318)</f>
        <v>#VALUE!</v>
      </c>
      <c r="O318" s="17" t="e">
        <f>SUMIFS([1]ACSDT5Y2020.B08301_data_with_ov!AW$3:AW$1334,[1]ACSDT5Y2020.B08301_data_with_ov!$AS$3:$AS$1334,$B318)</f>
        <v>#VALUE!</v>
      </c>
      <c r="P318" s="17" t="e">
        <f>SUMIFS([1]ACSDT5Y2020.B08301_data_with_ov!AX$3:AX$1334,[1]ACSDT5Y2020.B08301_data_with_ov!$AS$3:$AS$1334,$B318)</f>
        <v>#VALUE!</v>
      </c>
      <c r="Q318" s="17" t="e">
        <f>SUMIFS([1]ACSDT5Y2020.B08301_data_with_ov!AY$3:AY$1334,[1]ACSDT5Y2020.B08301_data_with_ov!$AS$3:$AS$1334,$B318)</f>
        <v>#VALUE!</v>
      </c>
      <c r="R318" s="17" t="e">
        <f>SUMIFS([1]ACSDT5Y2020.B08301_data_with_ov!AZ$3:AZ$1334,[1]ACSDT5Y2020.B08301_data_with_ov!$AS$3:$AS$1334,$B318)</f>
        <v>#VALUE!</v>
      </c>
      <c r="S318" s="17" t="e">
        <f>SUMIFS([1]ACSDT5Y2020.B08301_data_with_ov!BA$3:BA$1334,[1]ACSDT5Y2020.B08301_data_with_ov!$AS$3:$AS$1334,$B318)</f>
        <v>#VALUE!</v>
      </c>
      <c r="T318" s="188">
        <v>0.14228897568772525</v>
      </c>
      <c r="U318" s="189" t="e">
        <f t="shared" si="19"/>
        <v>#VALUE!</v>
      </c>
      <c r="V318" s="188">
        <v>0.14228897568772525</v>
      </c>
      <c r="W318" s="189" t="e">
        <f t="shared" si="16"/>
        <v>#VALUE!</v>
      </c>
      <c r="X318" s="188">
        <v>0.14228897568772525</v>
      </c>
      <c r="Y318" s="189" t="e">
        <f t="shared" si="17"/>
        <v>#VALUE!</v>
      </c>
      <c r="Z318" s="188">
        <v>0.14228897568772525</v>
      </c>
      <c r="AA318" s="189" t="e">
        <f t="shared" si="18"/>
        <v>#VALUE!</v>
      </c>
    </row>
    <row r="319" spans="1:27" x14ac:dyDescent="0.25">
      <c r="A319">
        <v>836900</v>
      </c>
      <c r="B319">
        <v>17031836900</v>
      </c>
      <c r="C319">
        <v>17031</v>
      </c>
      <c r="D319">
        <v>2010</v>
      </c>
      <c r="E319">
        <v>27</v>
      </c>
      <c r="F319">
        <v>1773167.6360345699</v>
      </c>
      <c r="G319" s="45">
        <v>6.3603637082277675E-2</v>
      </c>
      <c r="H319" s="60" t="str">
        <f>_xlfn.IFNA(
INDEX('Community Areas'!B$2:B$78,MATCH($E319,'Community Areas'!$A$2:$A$78,0)),
"")</f>
        <v>EAST GARFIELD PARK</v>
      </c>
      <c r="I319" s="63" t="str">
        <f>_xlfn.IFNA(
INDEX('Community Areas'!C$2:C$78,MATCH($E319,'Community Areas'!$A$2:$A$78,0)),
"")</f>
        <v>3-A</v>
      </c>
      <c r="J319" s="63">
        <f>_xlfn.IFNA(
INDEX('Community Areas'!D$2:D$78,MATCH($E319,'Community Areas'!$A$2:$A$78,0)),
"")</f>
        <v>3</v>
      </c>
      <c r="K319" s="60" t="str">
        <f>_xlfn.IFNA(
INDEX('Community Areas'!E$2:E$78,MATCH($E319,'Community Areas'!$A$2:$A$78,0)),
"")</f>
        <v>WEST</v>
      </c>
      <c r="L319" s="17" t="e">
        <f>SUMIFS([1]ACSDT5Y2020.B08301_data_with_ov!AT$3:AT$1334,[1]ACSDT5Y2020.B08301_data_with_ov!$AS$3:$AS$1334,$B319)</f>
        <v>#VALUE!</v>
      </c>
      <c r="M319" s="17" t="e">
        <f>SUMIFS([1]ACSDT5Y2020.B08301_data_with_ov!AU$3:AU$1334,[1]ACSDT5Y2020.B08301_data_with_ov!$AS$3:$AS$1334,$B319)</f>
        <v>#VALUE!</v>
      </c>
      <c r="N319" s="17" t="e">
        <f>SUMIFS([1]ACSDT5Y2020.B08301_data_with_ov!AV$3:AV$1334,[1]ACSDT5Y2020.B08301_data_with_ov!$AS$3:$AS$1334,$B319)</f>
        <v>#VALUE!</v>
      </c>
      <c r="O319" s="17" t="e">
        <f>SUMIFS([1]ACSDT5Y2020.B08301_data_with_ov!AW$3:AW$1334,[1]ACSDT5Y2020.B08301_data_with_ov!$AS$3:$AS$1334,$B319)</f>
        <v>#VALUE!</v>
      </c>
      <c r="P319" s="17" t="e">
        <f>SUMIFS([1]ACSDT5Y2020.B08301_data_with_ov!AX$3:AX$1334,[1]ACSDT5Y2020.B08301_data_with_ov!$AS$3:$AS$1334,$B319)</f>
        <v>#VALUE!</v>
      </c>
      <c r="Q319" s="17" t="e">
        <f>SUMIFS([1]ACSDT5Y2020.B08301_data_with_ov!AY$3:AY$1334,[1]ACSDT5Y2020.B08301_data_with_ov!$AS$3:$AS$1334,$B319)</f>
        <v>#VALUE!</v>
      </c>
      <c r="R319" s="17" t="e">
        <f>SUMIFS([1]ACSDT5Y2020.B08301_data_with_ov!AZ$3:AZ$1334,[1]ACSDT5Y2020.B08301_data_with_ov!$AS$3:$AS$1334,$B319)</f>
        <v>#VALUE!</v>
      </c>
      <c r="S319" s="17" t="e">
        <f>SUMIFS([1]ACSDT5Y2020.B08301_data_with_ov!BA$3:BA$1334,[1]ACSDT5Y2020.B08301_data_with_ov!$AS$3:$AS$1334,$B319)</f>
        <v>#VALUE!</v>
      </c>
      <c r="T319" s="188">
        <v>6.3603638022015255E-2</v>
      </c>
      <c r="U319" s="189" t="e">
        <f t="shared" si="19"/>
        <v>#VALUE!</v>
      </c>
      <c r="V319" s="188">
        <v>6.3603638022015255E-2</v>
      </c>
      <c r="W319" s="189" t="e">
        <f t="shared" si="16"/>
        <v>#VALUE!</v>
      </c>
      <c r="X319" s="188">
        <v>6.3603638022015255E-2</v>
      </c>
      <c r="Y319" s="189" t="e">
        <f t="shared" si="17"/>
        <v>#VALUE!</v>
      </c>
      <c r="Z319" s="188">
        <v>6.3603638022015255E-2</v>
      </c>
      <c r="AA319" s="189" t="e">
        <f t="shared" si="18"/>
        <v>#VALUE!</v>
      </c>
    </row>
    <row r="320" spans="1:27" x14ac:dyDescent="0.25">
      <c r="A320">
        <v>837400</v>
      </c>
      <c r="B320">
        <v>17031837400</v>
      </c>
      <c r="C320">
        <v>17031</v>
      </c>
      <c r="D320">
        <v>2010</v>
      </c>
      <c r="E320">
        <v>27</v>
      </c>
      <c r="F320">
        <v>6385200.3433295097</v>
      </c>
      <c r="G320" s="45">
        <v>0.2290375467505133</v>
      </c>
      <c r="H320" s="60" t="str">
        <f>_xlfn.IFNA(
INDEX('Community Areas'!B$2:B$78,MATCH($E320,'Community Areas'!$A$2:$A$78,0)),
"")</f>
        <v>EAST GARFIELD PARK</v>
      </c>
      <c r="I320" s="63" t="str">
        <f>_xlfn.IFNA(
INDEX('Community Areas'!C$2:C$78,MATCH($E320,'Community Areas'!$A$2:$A$78,0)),
"")</f>
        <v>3-A</v>
      </c>
      <c r="J320" s="63">
        <f>_xlfn.IFNA(
INDEX('Community Areas'!D$2:D$78,MATCH($E320,'Community Areas'!$A$2:$A$78,0)),
"")</f>
        <v>3</v>
      </c>
      <c r="K320" s="60" t="str">
        <f>_xlfn.IFNA(
INDEX('Community Areas'!E$2:E$78,MATCH($E320,'Community Areas'!$A$2:$A$78,0)),
"")</f>
        <v>WEST</v>
      </c>
      <c r="L320" s="17" t="e">
        <f>SUMIFS([1]ACSDT5Y2020.B08301_data_with_ov!AT$3:AT$1334,[1]ACSDT5Y2020.B08301_data_with_ov!$AS$3:$AS$1334,$B320)</f>
        <v>#VALUE!</v>
      </c>
      <c r="M320" s="17" t="e">
        <f>SUMIFS([1]ACSDT5Y2020.B08301_data_with_ov!AU$3:AU$1334,[1]ACSDT5Y2020.B08301_data_with_ov!$AS$3:$AS$1334,$B320)</f>
        <v>#VALUE!</v>
      </c>
      <c r="N320" s="17" t="e">
        <f>SUMIFS([1]ACSDT5Y2020.B08301_data_with_ov!AV$3:AV$1334,[1]ACSDT5Y2020.B08301_data_with_ov!$AS$3:$AS$1334,$B320)</f>
        <v>#VALUE!</v>
      </c>
      <c r="O320" s="17" t="e">
        <f>SUMIFS([1]ACSDT5Y2020.B08301_data_with_ov!AW$3:AW$1334,[1]ACSDT5Y2020.B08301_data_with_ov!$AS$3:$AS$1334,$B320)</f>
        <v>#VALUE!</v>
      </c>
      <c r="P320" s="17" t="e">
        <f>SUMIFS([1]ACSDT5Y2020.B08301_data_with_ov!AX$3:AX$1334,[1]ACSDT5Y2020.B08301_data_with_ov!$AS$3:$AS$1334,$B320)</f>
        <v>#VALUE!</v>
      </c>
      <c r="Q320" s="17" t="e">
        <f>SUMIFS([1]ACSDT5Y2020.B08301_data_with_ov!AY$3:AY$1334,[1]ACSDT5Y2020.B08301_data_with_ov!$AS$3:$AS$1334,$B320)</f>
        <v>#VALUE!</v>
      </c>
      <c r="R320" s="17" t="e">
        <f>SUMIFS([1]ACSDT5Y2020.B08301_data_with_ov!AZ$3:AZ$1334,[1]ACSDT5Y2020.B08301_data_with_ov!$AS$3:$AS$1334,$B320)</f>
        <v>#VALUE!</v>
      </c>
      <c r="S320" s="17" t="e">
        <f>SUMIFS([1]ACSDT5Y2020.B08301_data_with_ov!BA$3:BA$1334,[1]ACSDT5Y2020.B08301_data_with_ov!$AS$3:$AS$1334,$B320)</f>
        <v>#VALUE!</v>
      </c>
      <c r="T320" s="188">
        <v>0.22903754474889915</v>
      </c>
      <c r="U320" s="189" t="e">
        <f t="shared" si="19"/>
        <v>#VALUE!</v>
      </c>
      <c r="V320" s="188">
        <v>0.22903754474889915</v>
      </c>
      <c r="W320" s="189" t="e">
        <f t="shared" si="16"/>
        <v>#VALUE!</v>
      </c>
      <c r="X320" s="188">
        <v>0.22903754474889915</v>
      </c>
      <c r="Y320" s="189" t="e">
        <f t="shared" si="17"/>
        <v>#VALUE!</v>
      </c>
      <c r="Z320" s="188">
        <v>0.22903754474889915</v>
      </c>
      <c r="AA320" s="189" t="e">
        <f t="shared" si="18"/>
        <v>#VALUE!</v>
      </c>
    </row>
    <row r="321" spans="1:27" x14ac:dyDescent="0.25">
      <c r="A321">
        <v>270500</v>
      </c>
      <c r="B321">
        <v>17031270500</v>
      </c>
      <c r="C321">
        <v>17031</v>
      </c>
      <c r="D321">
        <v>2010</v>
      </c>
      <c r="E321">
        <v>27</v>
      </c>
      <c r="F321">
        <v>6013218.99074395</v>
      </c>
      <c r="G321" s="45">
        <v>0.21569455172262217</v>
      </c>
      <c r="H321" s="60" t="str">
        <f>_xlfn.IFNA(
INDEX('Community Areas'!B$2:B$78,MATCH($E321,'Community Areas'!$A$2:$A$78,0)),
"")</f>
        <v>EAST GARFIELD PARK</v>
      </c>
      <c r="I321" s="63" t="str">
        <f>_xlfn.IFNA(
INDEX('Community Areas'!C$2:C$78,MATCH($E321,'Community Areas'!$A$2:$A$78,0)),
"")</f>
        <v>3-A</v>
      </c>
      <c r="J321" s="63">
        <f>_xlfn.IFNA(
INDEX('Community Areas'!D$2:D$78,MATCH($E321,'Community Areas'!$A$2:$A$78,0)),
"")</f>
        <v>3</v>
      </c>
      <c r="K321" s="60" t="str">
        <f>_xlfn.IFNA(
INDEX('Community Areas'!E$2:E$78,MATCH($E321,'Community Areas'!$A$2:$A$78,0)),
"")</f>
        <v>WEST</v>
      </c>
      <c r="L321" s="17" t="e">
        <f>SUMIFS([1]ACSDT5Y2020.B08301_data_with_ov!AT$3:AT$1334,[1]ACSDT5Y2020.B08301_data_with_ov!$AS$3:$AS$1334,$B321)</f>
        <v>#VALUE!</v>
      </c>
      <c r="M321" s="17" t="e">
        <f>SUMIFS([1]ACSDT5Y2020.B08301_data_with_ov!AU$3:AU$1334,[1]ACSDT5Y2020.B08301_data_with_ov!$AS$3:$AS$1334,$B321)</f>
        <v>#VALUE!</v>
      </c>
      <c r="N321" s="17" t="e">
        <f>SUMIFS([1]ACSDT5Y2020.B08301_data_with_ov!AV$3:AV$1334,[1]ACSDT5Y2020.B08301_data_with_ov!$AS$3:$AS$1334,$B321)</f>
        <v>#VALUE!</v>
      </c>
      <c r="O321" s="17" t="e">
        <f>SUMIFS([1]ACSDT5Y2020.B08301_data_with_ov!AW$3:AW$1334,[1]ACSDT5Y2020.B08301_data_with_ov!$AS$3:$AS$1334,$B321)</f>
        <v>#VALUE!</v>
      </c>
      <c r="P321" s="17" t="e">
        <f>SUMIFS([1]ACSDT5Y2020.B08301_data_with_ov!AX$3:AX$1334,[1]ACSDT5Y2020.B08301_data_with_ov!$AS$3:$AS$1334,$B321)</f>
        <v>#VALUE!</v>
      </c>
      <c r="Q321" s="17" t="e">
        <f>SUMIFS([1]ACSDT5Y2020.B08301_data_with_ov!AY$3:AY$1334,[1]ACSDT5Y2020.B08301_data_with_ov!$AS$3:$AS$1334,$B321)</f>
        <v>#VALUE!</v>
      </c>
      <c r="R321" s="17" t="e">
        <f>SUMIFS([1]ACSDT5Y2020.B08301_data_with_ov!AZ$3:AZ$1334,[1]ACSDT5Y2020.B08301_data_with_ov!$AS$3:$AS$1334,$B321)</f>
        <v>#VALUE!</v>
      </c>
      <c r="S321" s="17" t="e">
        <f>SUMIFS([1]ACSDT5Y2020.B08301_data_with_ov!BA$3:BA$1334,[1]ACSDT5Y2020.B08301_data_with_ov!$AS$3:$AS$1334,$B321)</f>
        <v>#VALUE!</v>
      </c>
      <c r="T321" s="188">
        <v>0.21569454605892771</v>
      </c>
      <c r="U321" s="189" t="e">
        <f t="shared" si="19"/>
        <v>#VALUE!</v>
      </c>
      <c r="V321" s="188">
        <v>0.21569454605892771</v>
      </c>
      <c r="W321" s="189" t="e">
        <f t="shared" si="16"/>
        <v>#VALUE!</v>
      </c>
      <c r="X321" s="188">
        <v>0.21569454605892771</v>
      </c>
      <c r="Y321" s="189" t="e">
        <f t="shared" si="17"/>
        <v>#VALUE!</v>
      </c>
      <c r="Z321" s="188">
        <v>0.21569454605892771</v>
      </c>
      <c r="AA321" s="189" t="e">
        <f t="shared" si="18"/>
        <v>#VALUE!</v>
      </c>
    </row>
    <row r="322" spans="1:27" x14ac:dyDescent="0.25">
      <c r="A322">
        <v>271200</v>
      </c>
      <c r="B322">
        <v>17031271200</v>
      </c>
      <c r="C322">
        <v>17031</v>
      </c>
      <c r="D322">
        <v>2010</v>
      </c>
      <c r="E322">
        <v>27</v>
      </c>
      <c r="F322">
        <v>3549996.5874554301</v>
      </c>
      <c r="G322" s="45">
        <v>0.12733860578280784</v>
      </c>
      <c r="H322" s="60" t="str">
        <f>_xlfn.IFNA(
INDEX('Community Areas'!B$2:B$78,MATCH($E322,'Community Areas'!$A$2:$A$78,0)),
"")</f>
        <v>EAST GARFIELD PARK</v>
      </c>
      <c r="I322" s="63" t="str">
        <f>_xlfn.IFNA(
INDEX('Community Areas'!C$2:C$78,MATCH($E322,'Community Areas'!$A$2:$A$78,0)),
"")</f>
        <v>3-A</v>
      </c>
      <c r="J322" s="63">
        <f>_xlfn.IFNA(
INDEX('Community Areas'!D$2:D$78,MATCH($E322,'Community Areas'!$A$2:$A$78,0)),
"")</f>
        <v>3</v>
      </c>
      <c r="K322" s="60" t="str">
        <f>_xlfn.IFNA(
INDEX('Community Areas'!E$2:E$78,MATCH($E322,'Community Areas'!$A$2:$A$78,0)),
"")</f>
        <v>WEST</v>
      </c>
      <c r="L322" s="17" t="e">
        <f>SUMIFS([1]ACSDT5Y2020.B08301_data_with_ov!AT$3:AT$1334,[1]ACSDT5Y2020.B08301_data_with_ov!$AS$3:$AS$1334,$B322)</f>
        <v>#VALUE!</v>
      </c>
      <c r="M322" s="17" t="e">
        <f>SUMIFS([1]ACSDT5Y2020.B08301_data_with_ov!AU$3:AU$1334,[1]ACSDT5Y2020.B08301_data_with_ov!$AS$3:$AS$1334,$B322)</f>
        <v>#VALUE!</v>
      </c>
      <c r="N322" s="17" t="e">
        <f>SUMIFS([1]ACSDT5Y2020.B08301_data_with_ov!AV$3:AV$1334,[1]ACSDT5Y2020.B08301_data_with_ov!$AS$3:$AS$1334,$B322)</f>
        <v>#VALUE!</v>
      </c>
      <c r="O322" s="17" t="e">
        <f>SUMIFS([1]ACSDT5Y2020.B08301_data_with_ov!AW$3:AW$1334,[1]ACSDT5Y2020.B08301_data_with_ov!$AS$3:$AS$1334,$B322)</f>
        <v>#VALUE!</v>
      </c>
      <c r="P322" s="17" t="e">
        <f>SUMIFS([1]ACSDT5Y2020.B08301_data_with_ov!AX$3:AX$1334,[1]ACSDT5Y2020.B08301_data_with_ov!$AS$3:$AS$1334,$B322)</f>
        <v>#VALUE!</v>
      </c>
      <c r="Q322" s="17" t="e">
        <f>SUMIFS([1]ACSDT5Y2020.B08301_data_with_ov!AY$3:AY$1334,[1]ACSDT5Y2020.B08301_data_with_ov!$AS$3:$AS$1334,$B322)</f>
        <v>#VALUE!</v>
      </c>
      <c r="R322" s="17" t="e">
        <f>SUMIFS([1]ACSDT5Y2020.B08301_data_with_ov!AZ$3:AZ$1334,[1]ACSDT5Y2020.B08301_data_with_ov!$AS$3:$AS$1334,$B322)</f>
        <v>#VALUE!</v>
      </c>
      <c r="S322" s="17" t="e">
        <f>SUMIFS([1]ACSDT5Y2020.B08301_data_with_ov!BA$3:BA$1334,[1]ACSDT5Y2020.B08301_data_with_ov!$AS$3:$AS$1334,$B322)</f>
        <v>#VALUE!</v>
      </c>
      <c r="T322" s="188">
        <v>0.12733860794513638</v>
      </c>
      <c r="U322" s="189" t="e">
        <f t="shared" si="19"/>
        <v>#VALUE!</v>
      </c>
      <c r="V322" s="188">
        <v>0.12733860794513638</v>
      </c>
      <c r="W322" s="189" t="e">
        <f t="shared" si="16"/>
        <v>#VALUE!</v>
      </c>
      <c r="X322" s="188">
        <v>0.12733860794513638</v>
      </c>
      <c r="Y322" s="189" t="e">
        <f t="shared" si="17"/>
        <v>#VALUE!</v>
      </c>
      <c r="Z322" s="188">
        <v>0.12733860794513638</v>
      </c>
      <c r="AA322" s="189" t="e">
        <f t="shared" si="18"/>
        <v>#VALUE!</v>
      </c>
    </row>
    <row r="323" spans="1:27" x14ac:dyDescent="0.25">
      <c r="A323">
        <v>271500</v>
      </c>
      <c r="B323">
        <v>17031271500</v>
      </c>
      <c r="C323">
        <v>17031</v>
      </c>
      <c r="D323">
        <v>2010</v>
      </c>
      <c r="E323">
        <v>27</v>
      </c>
      <c r="F323">
        <v>1752954.7099580199</v>
      </c>
      <c r="G323" s="45">
        <v>6.2878598124642013E-2</v>
      </c>
      <c r="H323" s="60" t="str">
        <f>_xlfn.IFNA(
INDEX('Community Areas'!B$2:B$78,MATCH($E323,'Community Areas'!$A$2:$A$78,0)),
"")</f>
        <v>EAST GARFIELD PARK</v>
      </c>
      <c r="I323" s="63" t="str">
        <f>_xlfn.IFNA(
INDEX('Community Areas'!C$2:C$78,MATCH($E323,'Community Areas'!$A$2:$A$78,0)),
"")</f>
        <v>3-A</v>
      </c>
      <c r="J323" s="63">
        <f>_xlfn.IFNA(
INDEX('Community Areas'!D$2:D$78,MATCH($E323,'Community Areas'!$A$2:$A$78,0)),
"")</f>
        <v>3</v>
      </c>
      <c r="K323" s="60" t="str">
        <f>_xlfn.IFNA(
INDEX('Community Areas'!E$2:E$78,MATCH($E323,'Community Areas'!$A$2:$A$78,0)),
"")</f>
        <v>WEST</v>
      </c>
      <c r="L323" s="17" t="e">
        <f>SUMIFS([1]ACSDT5Y2020.B08301_data_with_ov!AT$3:AT$1334,[1]ACSDT5Y2020.B08301_data_with_ov!$AS$3:$AS$1334,$B323)</f>
        <v>#VALUE!</v>
      </c>
      <c r="M323" s="17" t="e">
        <f>SUMIFS([1]ACSDT5Y2020.B08301_data_with_ov!AU$3:AU$1334,[1]ACSDT5Y2020.B08301_data_with_ov!$AS$3:$AS$1334,$B323)</f>
        <v>#VALUE!</v>
      </c>
      <c r="N323" s="17" t="e">
        <f>SUMIFS([1]ACSDT5Y2020.B08301_data_with_ov!AV$3:AV$1334,[1]ACSDT5Y2020.B08301_data_with_ov!$AS$3:$AS$1334,$B323)</f>
        <v>#VALUE!</v>
      </c>
      <c r="O323" s="17" t="e">
        <f>SUMIFS([1]ACSDT5Y2020.B08301_data_with_ov!AW$3:AW$1334,[1]ACSDT5Y2020.B08301_data_with_ov!$AS$3:$AS$1334,$B323)</f>
        <v>#VALUE!</v>
      </c>
      <c r="P323" s="17" t="e">
        <f>SUMIFS([1]ACSDT5Y2020.B08301_data_with_ov!AX$3:AX$1334,[1]ACSDT5Y2020.B08301_data_with_ov!$AS$3:$AS$1334,$B323)</f>
        <v>#VALUE!</v>
      </c>
      <c r="Q323" s="17" t="e">
        <f>SUMIFS([1]ACSDT5Y2020.B08301_data_with_ov!AY$3:AY$1334,[1]ACSDT5Y2020.B08301_data_with_ov!$AS$3:$AS$1334,$B323)</f>
        <v>#VALUE!</v>
      </c>
      <c r="R323" s="17" t="e">
        <f>SUMIFS([1]ACSDT5Y2020.B08301_data_with_ov!AZ$3:AZ$1334,[1]ACSDT5Y2020.B08301_data_with_ov!$AS$3:$AS$1334,$B323)</f>
        <v>#VALUE!</v>
      </c>
      <c r="S323" s="17" t="e">
        <f>SUMIFS([1]ACSDT5Y2020.B08301_data_with_ov!BA$3:BA$1334,[1]ACSDT5Y2020.B08301_data_with_ov!$AS$3:$AS$1334,$B323)</f>
        <v>#VALUE!</v>
      </c>
      <c r="T323" s="188">
        <v>6.2878597280357551E-2</v>
      </c>
      <c r="U323" s="189" t="e">
        <f t="shared" si="19"/>
        <v>#VALUE!</v>
      </c>
      <c r="V323" s="188">
        <v>6.2878597280357551E-2</v>
      </c>
      <c r="W323" s="189" t="e">
        <f t="shared" si="16"/>
        <v>#VALUE!</v>
      </c>
      <c r="X323" s="188">
        <v>6.2878597280357551E-2</v>
      </c>
      <c r="Y323" s="189" t="e">
        <f t="shared" si="17"/>
        <v>#VALUE!</v>
      </c>
      <c r="Z323" s="188">
        <v>6.2878597280357551E-2</v>
      </c>
      <c r="AA323" s="189" t="e">
        <f t="shared" si="18"/>
        <v>#VALUE!</v>
      </c>
    </row>
    <row r="324" spans="1:27" x14ac:dyDescent="0.25">
      <c r="A324">
        <v>271400</v>
      </c>
      <c r="B324">
        <v>17031271400</v>
      </c>
      <c r="C324">
        <v>17031</v>
      </c>
      <c r="D324">
        <v>2010</v>
      </c>
      <c r="E324">
        <v>27</v>
      </c>
      <c r="F324">
        <v>3534613.2346790298</v>
      </c>
      <c r="G324" s="45">
        <v>0.12678680392988945</v>
      </c>
      <c r="H324" s="60" t="str">
        <f>_xlfn.IFNA(
INDEX('Community Areas'!B$2:B$78,MATCH($E324,'Community Areas'!$A$2:$A$78,0)),
"")</f>
        <v>EAST GARFIELD PARK</v>
      </c>
      <c r="I324" s="63" t="str">
        <f>_xlfn.IFNA(
INDEX('Community Areas'!C$2:C$78,MATCH($E324,'Community Areas'!$A$2:$A$78,0)),
"")</f>
        <v>3-A</v>
      </c>
      <c r="J324" s="63">
        <f>_xlfn.IFNA(
INDEX('Community Areas'!D$2:D$78,MATCH($E324,'Community Areas'!$A$2:$A$78,0)),
"")</f>
        <v>3</v>
      </c>
      <c r="K324" s="60" t="str">
        <f>_xlfn.IFNA(
INDEX('Community Areas'!E$2:E$78,MATCH($E324,'Community Areas'!$A$2:$A$78,0)),
"")</f>
        <v>WEST</v>
      </c>
      <c r="L324" s="17" t="e">
        <f>SUMIFS([1]ACSDT5Y2020.B08301_data_with_ov!AT$3:AT$1334,[1]ACSDT5Y2020.B08301_data_with_ov!$AS$3:$AS$1334,$B324)</f>
        <v>#VALUE!</v>
      </c>
      <c r="M324" s="17" t="e">
        <f>SUMIFS([1]ACSDT5Y2020.B08301_data_with_ov!AU$3:AU$1334,[1]ACSDT5Y2020.B08301_data_with_ov!$AS$3:$AS$1334,$B324)</f>
        <v>#VALUE!</v>
      </c>
      <c r="N324" s="17" t="e">
        <f>SUMIFS([1]ACSDT5Y2020.B08301_data_with_ov!AV$3:AV$1334,[1]ACSDT5Y2020.B08301_data_with_ov!$AS$3:$AS$1334,$B324)</f>
        <v>#VALUE!</v>
      </c>
      <c r="O324" s="17" t="e">
        <f>SUMIFS([1]ACSDT5Y2020.B08301_data_with_ov!AW$3:AW$1334,[1]ACSDT5Y2020.B08301_data_with_ov!$AS$3:$AS$1334,$B324)</f>
        <v>#VALUE!</v>
      </c>
      <c r="P324" s="17" t="e">
        <f>SUMIFS([1]ACSDT5Y2020.B08301_data_with_ov!AX$3:AX$1334,[1]ACSDT5Y2020.B08301_data_with_ov!$AS$3:$AS$1334,$B324)</f>
        <v>#VALUE!</v>
      </c>
      <c r="Q324" s="17" t="e">
        <f>SUMIFS([1]ACSDT5Y2020.B08301_data_with_ov!AY$3:AY$1334,[1]ACSDT5Y2020.B08301_data_with_ov!$AS$3:$AS$1334,$B324)</f>
        <v>#VALUE!</v>
      </c>
      <c r="R324" s="17" t="e">
        <f>SUMIFS([1]ACSDT5Y2020.B08301_data_with_ov!AZ$3:AZ$1334,[1]ACSDT5Y2020.B08301_data_with_ov!$AS$3:$AS$1334,$B324)</f>
        <v>#VALUE!</v>
      </c>
      <c r="S324" s="17" t="e">
        <f>SUMIFS([1]ACSDT5Y2020.B08301_data_with_ov!BA$3:BA$1334,[1]ACSDT5Y2020.B08301_data_with_ov!$AS$3:$AS$1334,$B324)</f>
        <v>#VALUE!</v>
      </c>
      <c r="T324" s="188">
        <v>0.12678680287461547</v>
      </c>
      <c r="U324" s="189" t="e">
        <f t="shared" si="19"/>
        <v>#VALUE!</v>
      </c>
      <c r="V324" s="188">
        <v>0.12678680287461547</v>
      </c>
      <c r="W324" s="189" t="e">
        <f t="shared" si="16"/>
        <v>#VALUE!</v>
      </c>
      <c r="X324" s="188">
        <v>0.12678680287461547</v>
      </c>
      <c r="Y324" s="189" t="e">
        <f t="shared" si="17"/>
        <v>#VALUE!</v>
      </c>
      <c r="Z324" s="188">
        <v>0.12678680287461547</v>
      </c>
      <c r="AA324" s="189" t="e">
        <f t="shared" si="18"/>
        <v>#VALUE!</v>
      </c>
    </row>
    <row r="325" spans="1:27" x14ac:dyDescent="0.25">
      <c r="A325">
        <v>842900</v>
      </c>
      <c r="B325">
        <v>17031842900</v>
      </c>
      <c r="C325">
        <v>17031</v>
      </c>
      <c r="D325">
        <v>2010</v>
      </c>
      <c r="E325">
        <v>28</v>
      </c>
      <c r="F325">
        <v>23735248.851977799</v>
      </c>
      <c r="G325" s="45">
        <v>0.85138490200218808</v>
      </c>
      <c r="H325" s="60" t="str">
        <f>_xlfn.IFNA(
INDEX('Community Areas'!B$2:B$78,MATCH($E325,'Community Areas'!$A$2:$A$78,0)),
"")</f>
        <v>NEAR WEST SIDE</v>
      </c>
      <c r="I325" s="63" t="str">
        <f>_xlfn.IFNA(
INDEX('Community Areas'!C$2:C$78,MATCH($E325,'Community Areas'!$A$2:$A$78,0)),
"")</f>
        <v>3-B</v>
      </c>
      <c r="J325" s="63">
        <f>_xlfn.IFNA(
INDEX('Community Areas'!D$2:D$78,MATCH($E325,'Community Areas'!$A$2:$A$78,0)),
"")</f>
        <v>7</v>
      </c>
      <c r="K325" s="60" t="str">
        <f>_xlfn.IFNA(
INDEX('Community Areas'!E$2:E$78,MATCH($E325,'Community Areas'!$A$2:$A$78,0)),
"")</f>
        <v>CENTRAL</v>
      </c>
      <c r="L325" s="17" t="e">
        <f>SUMIFS([1]ACSDT5Y2020.B08301_data_with_ov!AT$3:AT$1334,[1]ACSDT5Y2020.B08301_data_with_ov!$AS$3:$AS$1334,$B325)</f>
        <v>#VALUE!</v>
      </c>
      <c r="M325" s="17" t="e">
        <f>SUMIFS([1]ACSDT5Y2020.B08301_data_with_ov!AU$3:AU$1334,[1]ACSDT5Y2020.B08301_data_with_ov!$AS$3:$AS$1334,$B325)</f>
        <v>#VALUE!</v>
      </c>
      <c r="N325" s="17" t="e">
        <f>SUMIFS([1]ACSDT5Y2020.B08301_data_with_ov!AV$3:AV$1334,[1]ACSDT5Y2020.B08301_data_with_ov!$AS$3:$AS$1334,$B325)</f>
        <v>#VALUE!</v>
      </c>
      <c r="O325" s="17" t="e">
        <f>SUMIFS([1]ACSDT5Y2020.B08301_data_with_ov!AW$3:AW$1334,[1]ACSDT5Y2020.B08301_data_with_ov!$AS$3:$AS$1334,$B325)</f>
        <v>#VALUE!</v>
      </c>
      <c r="P325" s="17" t="e">
        <f>SUMIFS([1]ACSDT5Y2020.B08301_data_with_ov!AX$3:AX$1334,[1]ACSDT5Y2020.B08301_data_with_ov!$AS$3:$AS$1334,$B325)</f>
        <v>#VALUE!</v>
      </c>
      <c r="Q325" s="17" t="e">
        <f>SUMIFS([1]ACSDT5Y2020.B08301_data_with_ov!AY$3:AY$1334,[1]ACSDT5Y2020.B08301_data_with_ov!$AS$3:$AS$1334,$B325)</f>
        <v>#VALUE!</v>
      </c>
      <c r="R325" s="17" t="e">
        <f>SUMIFS([1]ACSDT5Y2020.B08301_data_with_ov!AZ$3:AZ$1334,[1]ACSDT5Y2020.B08301_data_with_ov!$AS$3:$AS$1334,$B325)</f>
        <v>#VALUE!</v>
      </c>
      <c r="S325" s="17" t="e">
        <f>SUMIFS([1]ACSDT5Y2020.B08301_data_with_ov!BA$3:BA$1334,[1]ACSDT5Y2020.B08301_data_with_ov!$AS$3:$AS$1334,$B325)</f>
        <v>#VALUE!</v>
      </c>
      <c r="T325" s="188">
        <v>0.85138488593880213</v>
      </c>
      <c r="U325" s="189" t="e">
        <f t="shared" si="19"/>
        <v>#VALUE!</v>
      </c>
      <c r="V325" s="188">
        <v>0.85138488593880213</v>
      </c>
      <c r="W325" s="189" t="e">
        <f t="shared" si="16"/>
        <v>#VALUE!</v>
      </c>
      <c r="X325" s="188">
        <v>0.85138488593880213</v>
      </c>
      <c r="Y325" s="189" t="e">
        <f t="shared" si="17"/>
        <v>#VALUE!</v>
      </c>
      <c r="Z325" s="188">
        <v>0.85138488593880213</v>
      </c>
      <c r="AA325" s="189" t="e">
        <f t="shared" si="18"/>
        <v>#VALUE!</v>
      </c>
    </row>
    <row r="326" spans="1:27" x14ac:dyDescent="0.25">
      <c r="A326">
        <v>283200</v>
      </c>
      <c r="B326">
        <v>17031283200</v>
      </c>
      <c r="C326">
        <v>17031</v>
      </c>
      <c r="D326">
        <v>2010</v>
      </c>
      <c r="E326">
        <v>28</v>
      </c>
      <c r="F326">
        <v>2550523.53289739</v>
      </c>
      <c r="G326" s="45">
        <v>9.1487443070527363E-2</v>
      </c>
      <c r="H326" s="60" t="str">
        <f>_xlfn.IFNA(
INDEX('Community Areas'!B$2:B$78,MATCH($E326,'Community Areas'!$A$2:$A$78,0)),
"")</f>
        <v>NEAR WEST SIDE</v>
      </c>
      <c r="I326" s="63" t="str">
        <f>_xlfn.IFNA(
INDEX('Community Areas'!C$2:C$78,MATCH($E326,'Community Areas'!$A$2:$A$78,0)),
"")</f>
        <v>3-B</v>
      </c>
      <c r="J326" s="63">
        <f>_xlfn.IFNA(
INDEX('Community Areas'!D$2:D$78,MATCH($E326,'Community Areas'!$A$2:$A$78,0)),
"")</f>
        <v>7</v>
      </c>
      <c r="K326" s="60" t="str">
        <f>_xlfn.IFNA(
INDEX('Community Areas'!E$2:E$78,MATCH($E326,'Community Areas'!$A$2:$A$78,0)),
"")</f>
        <v>CENTRAL</v>
      </c>
      <c r="L326" s="17" t="e">
        <f>SUMIFS([1]ACSDT5Y2020.B08301_data_with_ov!AT$3:AT$1334,[1]ACSDT5Y2020.B08301_data_with_ov!$AS$3:$AS$1334,$B326)</f>
        <v>#VALUE!</v>
      </c>
      <c r="M326" s="17" t="e">
        <f>SUMIFS([1]ACSDT5Y2020.B08301_data_with_ov!AU$3:AU$1334,[1]ACSDT5Y2020.B08301_data_with_ov!$AS$3:$AS$1334,$B326)</f>
        <v>#VALUE!</v>
      </c>
      <c r="N326" s="17" t="e">
        <f>SUMIFS([1]ACSDT5Y2020.B08301_data_with_ov!AV$3:AV$1334,[1]ACSDT5Y2020.B08301_data_with_ov!$AS$3:$AS$1334,$B326)</f>
        <v>#VALUE!</v>
      </c>
      <c r="O326" s="17" t="e">
        <f>SUMIFS([1]ACSDT5Y2020.B08301_data_with_ov!AW$3:AW$1334,[1]ACSDT5Y2020.B08301_data_with_ov!$AS$3:$AS$1334,$B326)</f>
        <v>#VALUE!</v>
      </c>
      <c r="P326" s="17" t="e">
        <f>SUMIFS([1]ACSDT5Y2020.B08301_data_with_ov!AX$3:AX$1334,[1]ACSDT5Y2020.B08301_data_with_ov!$AS$3:$AS$1334,$B326)</f>
        <v>#VALUE!</v>
      </c>
      <c r="Q326" s="17" t="e">
        <f>SUMIFS([1]ACSDT5Y2020.B08301_data_with_ov!AY$3:AY$1334,[1]ACSDT5Y2020.B08301_data_with_ov!$AS$3:$AS$1334,$B326)</f>
        <v>#VALUE!</v>
      </c>
      <c r="R326" s="17" t="e">
        <f>SUMIFS([1]ACSDT5Y2020.B08301_data_with_ov!AZ$3:AZ$1334,[1]ACSDT5Y2020.B08301_data_with_ov!$AS$3:$AS$1334,$B326)</f>
        <v>#VALUE!</v>
      </c>
      <c r="S326" s="17" t="e">
        <f>SUMIFS([1]ACSDT5Y2020.B08301_data_with_ov!BA$3:BA$1334,[1]ACSDT5Y2020.B08301_data_with_ov!$AS$3:$AS$1334,$B326)</f>
        <v>#VALUE!</v>
      </c>
      <c r="T326" s="188">
        <v>9.1487443412509681E-2</v>
      </c>
      <c r="U326" s="189" t="e">
        <f t="shared" si="19"/>
        <v>#VALUE!</v>
      </c>
      <c r="V326" s="188">
        <v>9.1487443412509681E-2</v>
      </c>
      <c r="W326" s="189" t="e">
        <f t="shared" ref="W326:W389" si="20">(V326/$G326)*$L326</f>
        <v>#VALUE!</v>
      </c>
      <c r="X326" s="188">
        <v>9.1487443412509681E-2</v>
      </c>
      <c r="Y326" s="189" t="e">
        <f t="shared" ref="Y326:Y389" si="21">(X326/$G326)*$L326</f>
        <v>#VALUE!</v>
      </c>
      <c r="Z326" s="188">
        <v>9.1487443412509681E-2</v>
      </c>
      <c r="AA326" s="189" t="e">
        <f t="shared" ref="AA326:AA389" si="22">(Z326/$G326)*$L326</f>
        <v>#VALUE!</v>
      </c>
    </row>
    <row r="327" spans="1:27" x14ac:dyDescent="0.25">
      <c r="A327">
        <v>841900</v>
      </c>
      <c r="B327">
        <v>17031841900</v>
      </c>
      <c r="C327">
        <v>17031</v>
      </c>
      <c r="D327">
        <v>2010</v>
      </c>
      <c r="E327">
        <v>28</v>
      </c>
      <c r="F327">
        <v>27591101.3132619</v>
      </c>
      <c r="G327" s="45">
        <v>0.98969457763938751</v>
      </c>
      <c r="H327" s="60" t="str">
        <f>_xlfn.IFNA(
INDEX('Community Areas'!B$2:B$78,MATCH($E327,'Community Areas'!$A$2:$A$78,0)),
"")</f>
        <v>NEAR WEST SIDE</v>
      </c>
      <c r="I327" s="63" t="str">
        <f>_xlfn.IFNA(
INDEX('Community Areas'!C$2:C$78,MATCH($E327,'Community Areas'!$A$2:$A$78,0)),
"")</f>
        <v>3-B</v>
      </c>
      <c r="J327" s="63">
        <f>_xlfn.IFNA(
INDEX('Community Areas'!D$2:D$78,MATCH($E327,'Community Areas'!$A$2:$A$78,0)),
"")</f>
        <v>7</v>
      </c>
      <c r="K327" s="60" t="str">
        <f>_xlfn.IFNA(
INDEX('Community Areas'!E$2:E$78,MATCH($E327,'Community Areas'!$A$2:$A$78,0)),
"")</f>
        <v>CENTRAL</v>
      </c>
      <c r="L327" s="17" t="e">
        <f>SUMIFS([1]ACSDT5Y2020.B08301_data_with_ov!AT$3:AT$1334,[1]ACSDT5Y2020.B08301_data_with_ov!$AS$3:$AS$1334,$B327)</f>
        <v>#VALUE!</v>
      </c>
      <c r="M327" s="17" t="e">
        <f>SUMIFS([1]ACSDT5Y2020.B08301_data_with_ov!AU$3:AU$1334,[1]ACSDT5Y2020.B08301_data_with_ov!$AS$3:$AS$1334,$B327)</f>
        <v>#VALUE!</v>
      </c>
      <c r="N327" s="17" t="e">
        <f>SUMIFS([1]ACSDT5Y2020.B08301_data_with_ov!AV$3:AV$1334,[1]ACSDT5Y2020.B08301_data_with_ov!$AS$3:$AS$1334,$B327)</f>
        <v>#VALUE!</v>
      </c>
      <c r="O327" s="17" t="e">
        <f>SUMIFS([1]ACSDT5Y2020.B08301_data_with_ov!AW$3:AW$1334,[1]ACSDT5Y2020.B08301_data_with_ov!$AS$3:$AS$1334,$B327)</f>
        <v>#VALUE!</v>
      </c>
      <c r="P327" s="17" t="e">
        <f>SUMIFS([1]ACSDT5Y2020.B08301_data_with_ov!AX$3:AX$1334,[1]ACSDT5Y2020.B08301_data_with_ov!$AS$3:$AS$1334,$B327)</f>
        <v>#VALUE!</v>
      </c>
      <c r="Q327" s="17" t="e">
        <f>SUMIFS([1]ACSDT5Y2020.B08301_data_with_ov!AY$3:AY$1334,[1]ACSDT5Y2020.B08301_data_with_ov!$AS$3:$AS$1334,$B327)</f>
        <v>#VALUE!</v>
      </c>
      <c r="R327" s="17" t="e">
        <f>SUMIFS([1]ACSDT5Y2020.B08301_data_with_ov!AZ$3:AZ$1334,[1]ACSDT5Y2020.B08301_data_with_ov!$AS$3:$AS$1334,$B327)</f>
        <v>#VALUE!</v>
      </c>
      <c r="S327" s="17" t="e">
        <f>SUMIFS([1]ACSDT5Y2020.B08301_data_with_ov!BA$3:BA$1334,[1]ACSDT5Y2020.B08301_data_with_ov!$AS$3:$AS$1334,$B327)</f>
        <v>#VALUE!</v>
      </c>
      <c r="T327" s="188">
        <v>0.98969457384247306</v>
      </c>
      <c r="U327" s="189" t="e">
        <f t="shared" ref="U327:U390" si="23">(T327/$G327)*$L327</f>
        <v>#VALUE!</v>
      </c>
      <c r="V327" s="188">
        <v>0.98969457384247306</v>
      </c>
      <c r="W327" s="189" t="e">
        <f t="shared" si="20"/>
        <v>#VALUE!</v>
      </c>
      <c r="X327" s="188">
        <v>0.98969457384247306</v>
      </c>
      <c r="Y327" s="189" t="e">
        <f t="shared" si="21"/>
        <v>#VALUE!</v>
      </c>
      <c r="Z327" s="188">
        <v>0.98969457384247306</v>
      </c>
      <c r="AA327" s="189" t="e">
        <f t="shared" si="22"/>
        <v>#VALUE!</v>
      </c>
    </row>
    <row r="328" spans="1:27" x14ac:dyDescent="0.25">
      <c r="A328">
        <v>280100</v>
      </c>
      <c r="B328">
        <v>17031280100</v>
      </c>
      <c r="C328">
        <v>17031</v>
      </c>
      <c r="D328">
        <v>2010</v>
      </c>
      <c r="E328">
        <v>28</v>
      </c>
      <c r="F328">
        <v>6410129.7257524999</v>
      </c>
      <c r="G328" s="45">
        <v>0.22993176530046558</v>
      </c>
      <c r="H328" s="60" t="str">
        <f>_xlfn.IFNA(
INDEX('Community Areas'!B$2:B$78,MATCH($E328,'Community Areas'!$A$2:$A$78,0)),
"")</f>
        <v>NEAR WEST SIDE</v>
      </c>
      <c r="I328" s="63" t="str">
        <f>_xlfn.IFNA(
INDEX('Community Areas'!C$2:C$78,MATCH($E328,'Community Areas'!$A$2:$A$78,0)),
"")</f>
        <v>3-B</v>
      </c>
      <c r="J328" s="63">
        <f>_xlfn.IFNA(
INDEX('Community Areas'!D$2:D$78,MATCH($E328,'Community Areas'!$A$2:$A$78,0)),
"")</f>
        <v>7</v>
      </c>
      <c r="K328" s="60" t="str">
        <f>_xlfn.IFNA(
INDEX('Community Areas'!E$2:E$78,MATCH($E328,'Community Areas'!$A$2:$A$78,0)),
"")</f>
        <v>CENTRAL</v>
      </c>
      <c r="L328" s="17" t="e">
        <f>SUMIFS([1]ACSDT5Y2020.B08301_data_with_ov!AT$3:AT$1334,[1]ACSDT5Y2020.B08301_data_with_ov!$AS$3:$AS$1334,$B328)</f>
        <v>#VALUE!</v>
      </c>
      <c r="M328" s="17" t="e">
        <f>SUMIFS([1]ACSDT5Y2020.B08301_data_with_ov!AU$3:AU$1334,[1]ACSDT5Y2020.B08301_data_with_ov!$AS$3:$AS$1334,$B328)</f>
        <v>#VALUE!</v>
      </c>
      <c r="N328" s="17" t="e">
        <f>SUMIFS([1]ACSDT5Y2020.B08301_data_with_ov!AV$3:AV$1334,[1]ACSDT5Y2020.B08301_data_with_ov!$AS$3:$AS$1334,$B328)</f>
        <v>#VALUE!</v>
      </c>
      <c r="O328" s="17" t="e">
        <f>SUMIFS([1]ACSDT5Y2020.B08301_data_with_ov!AW$3:AW$1334,[1]ACSDT5Y2020.B08301_data_with_ov!$AS$3:$AS$1334,$B328)</f>
        <v>#VALUE!</v>
      </c>
      <c r="P328" s="17" t="e">
        <f>SUMIFS([1]ACSDT5Y2020.B08301_data_with_ov!AX$3:AX$1334,[1]ACSDT5Y2020.B08301_data_with_ov!$AS$3:$AS$1334,$B328)</f>
        <v>#VALUE!</v>
      </c>
      <c r="Q328" s="17" t="e">
        <f>SUMIFS([1]ACSDT5Y2020.B08301_data_with_ov!AY$3:AY$1334,[1]ACSDT5Y2020.B08301_data_with_ov!$AS$3:$AS$1334,$B328)</f>
        <v>#VALUE!</v>
      </c>
      <c r="R328" s="17" t="e">
        <f>SUMIFS([1]ACSDT5Y2020.B08301_data_with_ov!AZ$3:AZ$1334,[1]ACSDT5Y2020.B08301_data_with_ov!$AS$3:$AS$1334,$B328)</f>
        <v>#VALUE!</v>
      </c>
      <c r="S328" s="17" t="e">
        <f>SUMIFS([1]ACSDT5Y2020.B08301_data_with_ov!BA$3:BA$1334,[1]ACSDT5Y2020.B08301_data_with_ov!$AS$3:$AS$1334,$B328)</f>
        <v>#VALUE!</v>
      </c>
      <c r="T328" s="188">
        <v>0.22993176571486706</v>
      </c>
      <c r="U328" s="189" t="e">
        <f t="shared" si="23"/>
        <v>#VALUE!</v>
      </c>
      <c r="V328" s="188">
        <v>0.22993176571486706</v>
      </c>
      <c r="W328" s="189" t="e">
        <f t="shared" si="20"/>
        <v>#VALUE!</v>
      </c>
      <c r="X328" s="188">
        <v>0.22993176571486706</v>
      </c>
      <c r="Y328" s="189" t="e">
        <f t="shared" si="21"/>
        <v>#VALUE!</v>
      </c>
      <c r="Z328" s="188">
        <v>0.22993176571486706</v>
      </c>
      <c r="AA328" s="189" t="e">
        <f t="shared" si="22"/>
        <v>#VALUE!</v>
      </c>
    </row>
    <row r="329" spans="1:27" x14ac:dyDescent="0.25">
      <c r="A329">
        <v>837800</v>
      </c>
      <c r="B329">
        <v>17031837800</v>
      </c>
      <c r="C329">
        <v>17031</v>
      </c>
      <c r="D329">
        <v>2010</v>
      </c>
      <c r="E329">
        <v>28</v>
      </c>
      <c r="F329">
        <v>10814517.467966899</v>
      </c>
      <c r="G329" s="45">
        <v>0.38791743672401929</v>
      </c>
      <c r="H329" s="60" t="str">
        <f>_xlfn.IFNA(
INDEX('Community Areas'!B$2:B$78,MATCH($E329,'Community Areas'!$A$2:$A$78,0)),
"")</f>
        <v>NEAR WEST SIDE</v>
      </c>
      <c r="I329" s="63" t="str">
        <f>_xlfn.IFNA(
INDEX('Community Areas'!C$2:C$78,MATCH($E329,'Community Areas'!$A$2:$A$78,0)),
"")</f>
        <v>3-B</v>
      </c>
      <c r="J329" s="63">
        <f>_xlfn.IFNA(
INDEX('Community Areas'!D$2:D$78,MATCH($E329,'Community Areas'!$A$2:$A$78,0)),
"")</f>
        <v>7</v>
      </c>
      <c r="K329" s="60" t="str">
        <f>_xlfn.IFNA(
INDEX('Community Areas'!E$2:E$78,MATCH($E329,'Community Areas'!$A$2:$A$78,0)),
"")</f>
        <v>CENTRAL</v>
      </c>
      <c r="L329" s="17" t="e">
        <f>SUMIFS([1]ACSDT5Y2020.B08301_data_with_ov!AT$3:AT$1334,[1]ACSDT5Y2020.B08301_data_with_ov!$AS$3:$AS$1334,$B329)</f>
        <v>#VALUE!</v>
      </c>
      <c r="M329" s="17" t="e">
        <f>SUMIFS([1]ACSDT5Y2020.B08301_data_with_ov!AU$3:AU$1334,[1]ACSDT5Y2020.B08301_data_with_ov!$AS$3:$AS$1334,$B329)</f>
        <v>#VALUE!</v>
      </c>
      <c r="N329" s="17" t="e">
        <f>SUMIFS([1]ACSDT5Y2020.B08301_data_with_ov!AV$3:AV$1334,[1]ACSDT5Y2020.B08301_data_with_ov!$AS$3:$AS$1334,$B329)</f>
        <v>#VALUE!</v>
      </c>
      <c r="O329" s="17" t="e">
        <f>SUMIFS([1]ACSDT5Y2020.B08301_data_with_ov!AW$3:AW$1334,[1]ACSDT5Y2020.B08301_data_with_ov!$AS$3:$AS$1334,$B329)</f>
        <v>#VALUE!</v>
      </c>
      <c r="P329" s="17" t="e">
        <f>SUMIFS([1]ACSDT5Y2020.B08301_data_with_ov!AX$3:AX$1334,[1]ACSDT5Y2020.B08301_data_with_ov!$AS$3:$AS$1334,$B329)</f>
        <v>#VALUE!</v>
      </c>
      <c r="Q329" s="17" t="e">
        <f>SUMIFS([1]ACSDT5Y2020.B08301_data_with_ov!AY$3:AY$1334,[1]ACSDT5Y2020.B08301_data_with_ov!$AS$3:$AS$1334,$B329)</f>
        <v>#VALUE!</v>
      </c>
      <c r="R329" s="17" t="e">
        <f>SUMIFS([1]ACSDT5Y2020.B08301_data_with_ov!AZ$3:AZ$1334,[1]ACSDT5Y2020.B08301_data_with_ov!$AS$3:$AS$1334,$B329)</f>
        <v>#VALUE!</v>
      </c>
      <c r="S329" s="17" t="e">
        <f>SUMIFS([1]ACSDT5Y2020.B08301_data_with_ov!BA$3:BA$1334,[1]ACSDT5Y2020.B08301_data_with_ov!$AS$3:$AS$1334,$B329)</f>
        <v>#VALUE!</v>
      </c>
      <c r="T329" s="188">
        <v>0.38791743436189308</v>
      </c>
      <c r="U329" s="189" t="e">
        <f t="shared" si="23"/>
        <v>#VALUE!</v>
      </c>
      <c r="V329" s="188">
        <v>0.38791743436189308</v>
      </c>
      <c r="W329" s="189" t="e">
        <f t="shared" si="20"/>
        <v>#VALUE!</v>
      </c>
      <c r="X329" s="188">
        <v>0.38791743436189308</v>
      </c>
      <c r="Y329" s="189" t="e">
        <f t="shared" si="21"/>
        <v>#VALUE!</v>
      </c>
      <c r="Z329" s="188">
        <v>0.38791743436189308</v>
      </c>
      <c r="AA329" s="189" t="e">
        <f t="shared" si="22"/>
        <v>#VALUE!</v>
      </c>
    </row>
    <row r="330" spans="1:27" x14ac:dyDescent="0.25">
      <c r="A330">
        <v>833100</v>
      </c>
      <c r="B330">
        <v>17031833100</v>
      </c>
      <c r="C330">
        <v>17031</v>
      </c>
      <c r="D330">
        <v>2010</v>
      </c>
      <c r="E330">
        <v>28</v>
      </c>
      <c r="F330">
        <v>9847152.9865306001</v>
      </c>
      <c r="G330" s="45">
        <v>0.35321801059352759</v>
      </c>
      <c r="H330" s="60" t="str">
        <f>_xlfn.IFNA(
INDEX('Community Areas'!B$2:B$78,MATCH($E330,'Community Areas'!$A$2:$A$78,0)),
"")</f>
        <v>NEAR WEST SIDE</v>
      </c>
      <c r="I330" s="63" t="str">
        <f>_xlfn.IFNA(
INDEX('Community Areas'!C$2:C$78,MATCH($E330,'Community Areas'!$A$2:$A$78,0)),
"")</f>
        <v>3-B</v>
      </c>
      <c r="J330" s="63">
        <f>_xlfn.IFNA(
INDEX('Community Areas'!D$2:D$78,MATCH($E330,'Community Areas'!$A$2:$A$78,0)),
"")</f>
        <v>7</v>
      </c>
      <c r="K330" s="60" t="str">
        <f>_xlfn.IFNA(
INDEX('Community Areas'!E$2:E$78,MATCH($E330,'Community Areas'!$A$2:$A$78,0)),
"")</f>
        <v>CENTRAL</v>
      </c>
      <c r="L330" s="17" t="e">
        <f>SUMIFS([1]ACSDT5Y2020.B08301_data_with_ov!AT$3:AT$1334,[1]ACSDT5Y2020.B08301_data_with_ov!$AS$3:$AS$1334,$B330)</f>
        <v>#VALUE!</v>
      </c>
      <c r="M330" s="17" t="e">
        <f>SUMIFS([1]ACSDT5Y2020.B08301_data_with_ov!AU$3:AU$1334,[1]ACSDT5Y2020.B08301_data_with_ov!$AS$3:$AS$1334,$B330)</f>
        <v>#VALUE!</v>
      </c>
      <c r="N330" s="17" t="e">
        <f>SUMIFS([1]ACSDT5Y2020.B08301_data_with_ov!AV$3:AV$1334,[1]ACSDT5Y2020.B08301_data_with_ov!$AS$3:$AS$1334,$B330)</f>
        <v>#VALUE!</v>
      </c>
      <c r="O330" s="17" t="e">
        <f>SUMIFS([1]ACSDT5Y2020.B08301_data_with_ov!AW$3:AW$1334,[1]ACSDT5Y2020.B08301_data_with_ov!$AS$3:$AS$1334,$B330)</f>
        <v>#VALUE!</v>
      </c>
      <c r="P330" s="17" t="e">
        <f>SUMIFS([1]ACSDT5Y2020.B08301_data_with_ov!AX$3:AX$1334,[1]ACSDT5Y2020.B08301_data_with_ov!$AS$3:$AS$1334,$B330)</f>
        <v>#VALUE!</v>
      </c>
      <c r="Q330" s="17" t="e">
        <f>SUMIFS([1]ACSDT5Y2020.B08301_data_with_ov!AY$3:AY$1334,[1]ACSDT5Y2020.B08301_data_with_ov!$AS$3:$AS$1334,$B330)</f>
        <v>#VALUE!</v>
      </c>
      <c r="R330" s="17" t="e">
        <f>SUMIFS([1]ACSDT5Y2020.B08301_data_with_ov!AZ$3:AZ$1334,[1]ACSDT5Y2020.B08301_data_with_ov!$AS$3:$AS$1334,$B330)</f>
        <v>#VALUE!</v>
      </c>
      <c r="S330" s="17" t="e">
        <f>SUMIFS([1]ACSDT5Y2020.B08301_data_with_ov!BA$3:BA$1334,[1]ACSDT5Y2020.B08301_data_with_ov!$AS$3:$AS$1334,$B330)</f>
        <v>#VALUE!</v>
      </c>
      <c r="T330" s="188">
        <v>0.35321800437779566</v>
      </c>
      <c r="U330" s="189" t="e">
        <f t="shared" si="23"/>
        <v>#VALUE!</v>
      </c>
      <c r="V330" s="188">
        <v>0.35321800437779566</v>
      </c>
      <c r="W330" s="189" t="e">
        <f t="shared" si="20"/>
        <v>#VALUE!</v>
      </c>
      <c r="X330" s="188">
        <v>0.35321800437779566</v>
      </c>
      <c r="Y330" s="189" t="e">
        <f t="shared" si="21"/>
        <v>#VALUE!</v>
      </c>
      <c r="Z330" s="188">
        <v>0.35321800437779566</v>
      </c>
      <c r="AA330" s="189" t="e">
        <f t="shared" si="22"/>
        <v>#VALUE!</v>
      </c>
    </row>
    <row r="331" spans="1:27" x14ac:dyDescent="0.25">
      <c r="A331">
        <v>281900</v>
      </c>
      <c r="B331">
        <v>17031281900</v>
      </c>
      <c r="C331">
        <v>17031</v>
      </c>
      <c r="D331">
        <v>2010</v>
      </c>
      <c r="E331">
        <v>28</v>
      </c>
      <c r="F331">
        <v>4693398.3155723102</v>
      </c>
      <c r="G331" s="45">
        <v>0.16835249926725745</v>
      </c>
      <c r="H331" s="60" t="str">
        <f>_xlfn.IFNA(
INDEX('Community Areas'!B$2:B$78,MATCH($E331,'Community Areas'!$A$2:$A$78,0)),
"")</f>
        <v>NEAR WEST SIDE</v>
      </c>
      <c r="I331" s="63" t="str">
        <f>_xlfn.IFNA(
INDEX('Community Areas'!C$2:C$78,MATCH($E331,'Community Areas'!$A$2:$A$78,0)),
"")</f>
        <v>3-B</v>
      </c>
      <c r="J331" s="63">
        <f>_xlfn.IFNA(
INDEX('Community Areas'!D$2:D$78,MATCH($E331,'Community Areas'!$A$2:$A$78,0)),
"")</f>
        <v>7</v>
      </c>
      <c r="K331" s="60" t="str">
        <f>_xlfn.IFNA(
INDEX('Community Areas'!E$2:E$78,MATCH($E331,'Community Areas'!$A$2:$A$78,0)),
"")</f>
        <v>CENTRAL</v>
      </c>
      <c r="L331" s="17" t="e">
        <f>SUMIFS([1]ACSDT5Y2020.B08301_data_with_ov!AT$3:AT$1334,[1]ACSDT5Y2020.B08301_data_with_ov!$AS$3:$AS$1334,$B331)</f>
        <v>#VALUE!</v>
      </c>
      <c r="M331" s="17" t="e">
        <f>SUMIFS([1]ACSDT5Y2020.B08301_data_with_ov!AU$3:AU$1334,[1]ACSDT5Y2020.B08301_data_with_ov!$AS$3:$AS$1334,$B331)</f>
        <v>#VALUE!</v>
      </c>
      <c r="N331" s="17" t="e">
        <f>SUMIFS([1]ACSDT5Y2020.B08301_data_with_ov!AV$3:AV$1334,[1]ACSDT5Y2020.B08301_data_with_ov!$AS$3:$AS$1334,$B331)</f>
        <v>#VALUE!</v>
      </c>
      <c r="O331" s="17" t="e">
        <f>SUMIFS([1]ACSDT5Y2020.B08301_data_with_ov!AW$3:AW$1334,[1]ACSDT5Y2020.B08301_data_with_ov!$AS$3:$AS$1334,$B331)</f>
        <v>#VALUE!</v>
      </c>
      <c r="P331" s="17" t="e">
        <f>SUMIFS([1]ACSDT5Y2020.B08301_data_with_ov!AX$3:AX$1334,[1]ACSDT5Y2020.B08301_data_with_ov!$AS$3:$AS$1334,$B331)</f>
        <v>#VALUE!</v>
      </c>
      <c r="Q331" s="17" t="e">
        <f>SUMIFS([1]ACSDT5Y2020.B08301_data_with_ov!AY$3:AY$1334,[1]ACSDT5Y2020.B08301_data_with_ov!$AS$3:$AS$1334,$B331)</f>
        <v>#VALUE!</v>
      </c>
      <c r="R331" s="17" t="e">
        <f>SUMIFS([1]ACSDT5Y2020.B08301_data_with_ov!AZ$3:AZ$1334,[1]ACSDT5Y2020.B08301_data_with_ov!$AS$3:$AS$1334,$B331)</f>
        <v>#VALUE!</v>
      </c>
      <c r="S331" s="17" t="e">
        <f>SUMIFS([1]ACSDT5Y2020.B08301_data_with_ov!BA$3:BA$1334,[1]ACSDT5Y2020.B08301_data_with_ov!$AS$3:$AS$1334,$B331)</f>
        <v>#VALUE!</v>
      </c>
      <c r="T331" s="188">
        <v>0.16835250110789857</v>
      </c>
      <c r="U331" s="189" t="e">
        <f t="shared" si="23"/>
        <v>#VALUE!</v>
      </c>
      <c r="V331" s="188">
        <v>0.16835250110789857</v>
      </c>
      <c r="W331" s="189" t="e">
        <f t="shared" si="20"/>
        <v>#VALUE!</v>
      </c>
      <c r="X331" s="188">
        <v>0.16835250110789857</v>
      </c>
      <c r="Y331" s="189" t="e">
        <f t="shared" si="21"/>
        <v>#VALUE!</v>
      </c>
      <c r="Z331" s="188">
        <v>0.16835250110789857</v>
      </c>
      <c r="AA331" s="189" t="e">
        <f t="shared" si="22"/>
        <v>#VALUE!</v>
      </c>
    </row>
    <row r="332" spans="1:27" x14ac:dyDescent="0.25">
      <c r="A332">
        <v>832900</v>
      </c>
      <c r="B332">
        <v>17031832900</v>
      </c>
      <c r="C332">
        <v>17031</v>
      </c>
      <c r="D332">
        <v>2010</v>
      </c>
      <c r="E332">
        <v>28</v>
      </c>
      <c r="F332">
        <v>4341710.9982893001</v>
      </c>
      <c r="G332" s="45">
        <v>0.15573745259015223</v>
      </c>
      <c r="H332" s="60" t="str">
        <f>_xlfn.IFNA(
INDEX('Community Areas'!B$2:B$78,MATCH($E332,'Community Areas'!$A$2:$A$78,0)),
"")</f>
        <v>NEAR WEST SIDE</v>
      </c>
      <c r="I332" s="63" t="str">
        <f>_xlfn.IFNA(
INDEX('Community Areas'!C$2:C$78,MATCH($E332,'Community Areas'!$A$2:$A$78,0)),
"")</f>
        <v>3-B</v>
      </c>
      <c r="J332" s="63">
        <f>_xlfn.IFNA(
INDEX('Community Areas'!D$2:D$78,MATCH($E332,'Community Areas'!$A$2:$A$78,0)),
"")</f>
        <v>7</v>
      </c>
      <c r="K332" s="60" t="str">
        <f>_xlfn.IFNA(
INDEX('Community Areas'!E$2:E$78,MATCH($E332,'Community Areas'!$A$2:$A$78,0)),
"")</f>
        <v>CENTRAL</v>
      </c>
      <c r="L332" s="17" t="e">
        <f>SUMIFS([1]ACSDT5Y2020.B08301_data_with_ov!AT$3:AT$1334,[1]ACSDT5Y2020.B08301_data_with_ov!$AS$3:$AS$1334,$B332)</f>
        <v>#VALUE!</v>
      </c>
      <c r="M332" s="17" t="e">
        <f>SUMIFS([1]ACSDT5Y2020.B08301_data_with_ov!AU$3:AU$1334,[1]ACSDT5Y2020.B08301_data_with_ov!$AS$3:$AS$1334,$B332)</f>
        <v>#VALUE!</v>
      </c>
      <c r="N332" s="17" t="e">
        <f>SUMIFS([1]ACSDT5Y2020.B08301_data_with_ov!AV$3:AV$1334,[1]ACSDT5Y2020.B08301_data_with_ov!$AS$3:$AS$1334,$B332)</f>
        <v>#VALUE!</v>
      </c>
      <c r="O332" s="17" t="e">
        <f>SUMIFS([1]ACSDT5Y2020.B08301_data_with_ov!AW$3:AW$1334,[1]ACSDT5Y2020.B08301_data_with_ov!$AS$3:$AS$1334,$B332)</f>
        <v>#VALUE!</v>
      </c>
      <c r="P332" s="17" t="e">
        <f>SUMIFS([1]ACSDT5Y2020.B08301_data_with_ov!AX$3:AX$1334,[1]ACSDT5Y2020.B08301_data_with_ov!$AS$3:$AS$1334,$B332)</f>
        <v>#VALUE!</v>
      </c>
      <c r="Q332" s="17" t="e">
        <f>SUMIFS([1]ACSDT5Y2020.B08301_data_with_ov!AY$3:AY$1334,[1]ACSDT5Y2020.B08301_data_with_ov!$AS$3:$AS$1334,$B332)</f>
        <v>#VALUE!</v>
      </c>
      <c r="R332" s="17" t="e">
        <f>SUMIFS([1]ACSDT5Y2020.B08301_data_with_ov!AZ$3:AZ$1334,[1]ACSDT5Y2020.B08301_data_with_ov!$AS$3:$AS$1334,$B332)</f>
        <v>#VALUE!</v>
      </c>
      <c r="S332" s="17" t="e">
        <f>SUMIFS([1]ACSDT5Y2020.B08301_data_with_ov!BA$3:BA$1334,[1]ACSDT5Y2020.B08301_data_with_ov!$AS$3:$AS$1334,$B332)</f>
        <v>#VALUE!</v>
      </c>
      <c r="T332" s="188">
        <v>0.15573745117601154</v>
      </c>
      <c r="U332" s="189" t="e">
        <f t="shared" si="23"/>
        <v>#VALUE!</v>
      </c>
      <c r="V332" s="188">
        <v>0.15573745117601154</v>
      </c>
      <c r="W332" s="189" t="e">
        <f t="shared" si="20"/>
        <v>#VALUE!</v>
      </c>
      <c r="X332" s="188">
        <v>0.15573745117601154</v>
      </c>
      <c r="Y332" s="189" t="e">
        <f t="shared" si="21"/>
        <v>#VALUE!</v>
      </c>
      <c r="Z332" s="188">
        <v>0.15573745117601154</v>
      </c>
      <c r="AA332" s="189" t="e">
        <f t="shared" si="22"/>
        <v>#VALUE!</v>
      </c>
    </row>
    <row r="333" spans="1:27" x14ac:dyDescent="0.25">
      <c r="A333">
        <v>833000</v>
      </c>
      <c r="B333">
        <v>17031833000</v>
      </c>
      <c r="C333">
        <v>17031</v>
      </c>
      <c r="D333">
        <v>2010</v>
      </c>
      <c r="E333">
        <v>28</v>
      </c>
      <c r="F333">
        <v>14163619.590779901</v>
      </c>
      <c r="G333" s="45">
        <v>0.5080499451467767</v>
      </c>
      <c r="H333" s="60" t="str">
        <f>_xlfn.IFNA(
INDEX('Community Areas'!B$2:B$78,MATCH($E333,'Community Areas'!$A$2:$A$78,0)),
"")</f>
        <v>NEAR WEST SIDE</v>
      </c>
      <c r="I333" s="63" t="str">
        <f>_xlfn.IFNA(
INDEX('Community Areas'!C$2:C$78,MATCH($E333,'Community Areas'!$A$2:$A$78,0)),
"")</f>
        <v>3-B</v>
      </c>
      <c r="J333" s="63">
        <f>_xlfn.IFNA(
INDEX('Community Areas'!D$2:D$78,MATCH($E333,'Community Areas'!$A$2:$A$78,0)),
"")</f>
        <v>7</v>
      </c>
      <c r="K333" s="60" t="str">
        <f>_xlfn.IFNA(
INDEX('Community Areas'!E$2:E$78,MATCH($E333,'Community Areas'!$A$2:$A$78,0)),
"")</f>
        <v>CENTRAL</v>
      </c>
      <c r="L333" s="17" t="e">
        <f>SUMIFS([1]ACSDT5Y2020.B08301_data_with_ov!AT$3:AT$1334,[1]ACSDT5Y2020.B08301_data_with_ov!$AS$3:$AS$1334,$B333)</f>
        <v>#VALUE!</v>
      </c>
      <c r="M333" s="17" t="e">
        <f>SUMIFS([1]ACSDT5Y2020.B08301_data_with_ov!AU$3:AU$1334,[1]ACSDT5Y2020.B08301_data_with_ov!$AS$3:$AS$1334,$B333)</f>
        <v>#VALUE!</v>
      </c>
      <c r="N333" s="17" t="e">
        <f>SUMIFS([1]ACSDT5Y2020.B08301_data_with_ov!AV$3:AV$1334,[1]ACSDT5Y2020.B08301_data_with_ov!$AS$3:$AS$1334,$B333)</f>
        <v>#VALUE!</v>
      </c>
      <c r="O333" s="17" t="e">
        <f>SUMIFS([1]ACSDT5Y2020.B08301_data_with_ov!AW$3:AW$1334,[1]ACSDT5Y2020.B08301_data_with_ov!$AS$3:$AS$1334,$B333)</f>
        <v>#VALUE!</v>
      </c>
      <c r="P333" s="17" t="e">
        <f>SUMIFS([1]ACSDT5Y2020.B08301_data_with_ov!AX$3:AX$1334,[1]ACSDT5Y2020.B08301_data_with_ov!$AS$3:$AS$1334,$B333)</f>
        <v>#VALUE!</v>
      </c>
      <c r="Q333" s="17" t="e">
        <f>SUMIFS([1]ACSDT5Y2020.B08301_data_with_ov!AY$3:AY$1334,[1]ACSDT5Y2020.B08301_data_with_ov!$AS$3:$AS$1334,$B333)</f>
        <v>#VALUE!</v>
      </c>
      <c r="R333" s="17" t="e">
        <f>SUMIFS([1]ACSDT5Y2020.B08301_data_with_ov!AZ$3:AZ$1334,[1]ACSDT5Y2020.B08301_data_with_ov!$AS$3:$AS$1334,$B333)</f>
        <v>#VALUE!</v>
      </c>
      <c r="S333" s="17" t="e">
        <f>SUMIFS([1]ACSDT5Y2020.B08301_data_with_ov!BA$3:BA$1334,[1]ACSDT5Y2020.B08301_data_with_ov!$AS$3:$AS$1334,$B333)</f>
        <v>#VALUE!</v>
      </c>
      <c r="T333" s="188">
        <v>0.50804994785395141</v>
      </c>
      <c r="U333" s="189" t="e">
        <f t="shared" si="23"/>
        <v>#VALUE!</v>
      </c>
      <c r="V333" s="188">
        <v>0.50804994785395141</v>
      </c>
      <c r="W333" s="189" t="e">
        <f t="shared" si="20"/>
        <v>#VALUE!</v>
      </c>
      <c r="X333" s="188">
        <v>0.50804994785395141</v>
      </c>
      <c r="Y333" s="189" t="e">
        <f t="shared" si="21"/>
        <v>#VALUE!</v>
      </c>
      <c r="Z333" s="188">
        <v>0.50804994785395141</v>
      </c>
      <c r="AA333" s="189" t="e">
        <f t="shared" si="22"/>
        <v>#VALUE!</v>
      </c>
    </row>
    <row r="334" spans="1:27" x14ac:dyDescent="0.25">
      <c r="A334">
        <v>283100</v>
      </c>
      <c r="B334">
        <v>17031283100</v>
      </c>
      <c r="C334">
        <v>17031</v>
      </c>
      <c r="D334">
        <v>2010</v>
      </c>
      <c r="E334">
        <v>28</v>
      </c>
      <c r="F334">
        <v>2287246.4237585901</v>
      </c>
      <c r="G334" s="45">
        <v>8.2043676242488456E-2</v>
      </c>
      <c r="H334" s="60" t="str">
        <f>_xlfn.IFNA(
INDEX('Community Areas'!B$2:B$78,MATCH($E334,'Community Areas'!$A$2:$A$78,0)),
"")</f>
        <v>NEAR WEST SIDE</v>
      </c>
      <c r="I334" s="63" t="str">
        <f>_xlfn.IFNA(
INDEX('Community Areas'!C$2:C$78,MATCH($E334,'Community Areas'!$A$2:$A$78,0)),
"")</f>
        <v>3-B</v>
      </c>
      <c r="J334" s="63">
        <f>_xlfn.IFNA(
INDEX('Community Areas'!D$2:D$78,MATCH($E334,'Community Areas'!$A$2:$A$78,0)),
"")</f>
        <v>7</v>
      </c>
      <c r="K334" s="60" t="str">
        <f>_xlfn.IFNA(
INDEX('Community Areas'!E$2:E$78,MATCH($E334,'Community Areas'!$A$2:$A$78,0)),
"")</f>
        <v>CENTRAL</v>
      </c>
      <c r="L334" s="17" t="e">
        <f>SUMIFS([1]ACSDT5Y2020.B08301_data_with_ov!AT$3:AT$1334,[1]ACSDT5Y2020.B08301_data_with_ov!$AS$3:$AS$1334,$B334)</f>
        <v>#VALUE!</v>
      </c>
      <c r="M334" s="17" t="e">
        <f>SUMIFS([1]ACSDT5Y2020.B08301_data_with_ov!AU$3:AU$1334,[1]ACSDT5Y2020.B08301_data_with_ov!$AS$3:$AS$1334,$B334)</f>
        <v>#VALUE!</v>
      </c>
      <c r="N334" s="17" t="e">
        <f>SUMIFS([1]ACSDT5Y2020.B08301_data_with_ov!AV$3:AV$1334,[1]ACSDT5Y2020.B08301_data_with_ov!$AS$3:$AS$1334,$B334)</f>
        <v>#VALUE!</v>
      </c>
      <c r="O334" s="17" t="e">
        <f>SUMIFS([1]ACSDT5Y2020.B08301_data_with_ov!AW$3:AW$1334,[1]ACSDT5Y2020.B08301_data_with_ov!$AS$3:$AS$1334,$B334)</f>
        <v>#VALUE!</v>
      </c>
      <c r="P334" s="17" t="e">
        <f>SUMIFS([1]ACSDT5Y2020.B08301_data_with_ov!AX$3:AX$1334,[1]ACSDT5Y2020.B08301_data_with_ov!$AS$3:$AS$1334,$B334)</f>
        <v>#VALUE!</v>
      </c>
      <c r="Q334" s="17" t="e">
        <f>SUMIFS([1]ACSDT5Y2020.B08301_data_with_ov!AY$3:AY$1334,[1]ACSDT5Y2020.B08301_data_with_ov!$AS$3:$AS$1334,$B334)</f>
        <v>#VALUE!</v>
      </c>
      <c r="R334" s="17" t="e">
        <f>SUMIFS([1]ACSDT5Y2020.B08301_data_with_ov!AZ$3:AZ$1334,[1]ACSDT5Y2020.B08301_data_with_ov!$AS$3:$AS$1334,$B334)</f>
        <v>#VALUE!</v>
      </c>
      <c r="S334" s="17" t="e">
        <f>SUMIFS([1]ACSDT5Y2020.B08301_data_with_ov!BA$3:BA$1334,[1]ACSDT5Y2020.B08301_data_with_ov!$AS$3:$AS$1334,$B334)</f>
        <v>#VALUE!</v>
      </c>
      <c r="T334" s="188">
        <v>8.2043677060070874E-2</v>
      </c>
      <c r="U334" s="189" t="e">
        <f t="shared" si="23"/>
        <v>#VALUE!</v>
      </c>
      <c r="V334" s="188">
        <v>8.2043677060070874E-2</v>
      </c>
      <c r="W334" s="189" t="e">
        <f t="shared" si="20"/>
        <v>#VALUE!</v>
      </c>
      <c r="X334" s="188">
        <v>8.2043677060070874E-2</v>
      </c>
      <c r="Y334" s="189" t="e">
        <f t="shared" si="21"/>
        <v>#VALUE!</v>
      </c>
      <c r="Z334" s="188">
        <v>8.2043677060070874E-2</v>
      </c>
      <c r="AA334" s="189" t="e">
        <f t="shared" si="22"/>
        <v>#VALUE!</v>
      </c>
    </row>
    <row r="335" spans="1:27" x14ac:dyDescent="0.25">
      <c r="A335">
        <v>838000</v>
      </c>
      <c r="B335">
        <v>17031838000</v>
      </c>
      <c r="C335">
        <v>17031</v>
      </c>
      <c r="D335">
        <v>2010</v>
      </c>
      <c r="E335">
        <v>28</v>
      </c>
      <c r="F335">
        <v>5818511.1475140797</v>
      </c>
      <c r="G335" s="45">
        <v>0.20871036887031105</v>
      </c>
      <c r="H335" s="60" t="str">
        <f>_xlfn.IFNA(
INDEX('Community Areas'!B$2:B$78,MATCH($E335,'Community Areas'!$A$2:$A$78,0)),
"")</f>
        <v>NEAR WEST SIDE</v>
      </c>
      <c r="I335" s="63" t="str">
        <f>_xlfn.IFNA(
INDEX('Community Areas'!C$2:C$78,MATCH($E335,'Community Areas'!$A$2:$A$78,0)),
"")</f>
        <v>3-B</v>
      </c>
      <c r="J335" s="63">
        <f>_xlfn.IFNA(
INDEX('Community Areas'!D$2:D$78,MATCH($E335,'Community Areas'!$A$2:$A$78,0)),
"")</f>
        <v>7</v>
      </c>
      <c r="K335" s="60" t="str">
        <f>_xlfn.IFNA(
INDEX('Community Areas'!E$2:E$78,MATCH($E335,'Community Areas'!$A$2:$A$78,0)),
"")</f>
        <v>CENTRAL</v>
      </c>
      <c r="L335" s="17" t="e">
        <f>SUMIFS([1]ACSDT5Y2020.B08301_data_with_ov!AT$3:AT$1334,[1]ACSDT5Y2020.B08301_data_with_ov!$AS$3:$AS$1334,$B335)</f>
        <v>#VALUE!</v>
      </c>
      <c r="M335" s="17" t="e">
        <f>SUMIFS([1]ACSDT5Y2020.B08301_data_with_ov!AU$3:AU$1334,[1]ACSDT5Y2020.B08301_data_with_ov!$AS$3:$AS$1334,$B335)</f>
        <v>#VALUE!</v>
      </c>
      <c r="N335" s="17" t="e">
        <f>SUMIFS([1]ACSDT5Y2020.B08301_data_with_ov!AV$3:AV$1334,[1]ACSDT5Y2020.B08301_data_with_ov!$AS$3:$AS$1334,$B335)</f>
        <v>#VALUE!</v>
      </c>
      <c r="O335" s="17" t="e">
        <f>SUMIFS([1]ACSDT5Y2020.B08301_data_with_ov!AW$3:AW$1334,[1]ACSDT5Y2020.B08301_data_with_ov!$AS$3:$AS$1334,$B335)</f>
        <v>#VALUE!</v>
      </c>
      <c r="P335" s="17" t="e">
        <f>SUMIFS([1]ACSDT5Y2020.B08301_data_with_ov!AX$3:AX$1334,[1]ACSDT5Y2020.B08301_data_with_ov!$AS$3:$AS$1334,$B335)</f>
        <v>#VALUE!</v>
      </c>
      <c r="Q335" s="17" t="e">
        <f>SUMIFS([1]ACSDT5Y2020.B08301_data_with_ov!AY$3:AY$1334,[1]ACSDT5Y2020.B08301_data_with_ov!$AS$3:$AS$1334,$B335)</f>
        <v>#VALUE!</v>
      </c>
      <c r="R335" s="17" t="e">
        <f>SUMIFS([1]ACSDT5Y2020.B08301_data_with_ov!AZ$3:AZ$1334,[1]ACSDT5Y2020.B08301_data_with_ov!$AS$3:$AS$1334,$B335)</f>
        <v>#VALUE!</v>
      </c>
      <c r="S335" s="17" t="e">
        <f>SUMIFS([1]ACSDT5Y2020.B08301_data_with_ov!BA$3:BA$1334,[1]ACSDT5Y2020.B08301_data_with_ov!$AS$3:$AS$1334,$B335)</f>
        <v>#VALUE!</v>
      </c>
      <c r="T335" s="188">
        <v>0.20871037322467931</v>
      </c>
      <c r="U335" s="189" t="e">
        <f t="shared" si="23"/>
        <v>#VALUE!</v>
      </c>
      <c r="V335" s="188">
        <v>0.20871037322467931</v>
      </c>
      <c r="W335" s="189" t="e">
        <f t="shared" si="20"/>
        <v>#VALUE!</v>
      </c>
      <c r="X335" s="188">
        <v>0.20871037322467931</v>
      </c>
      <c r="Y335" s="189" t="e">
        <f t="shared" si="21"/>
        <v>#VALUE!</v>
      </c>
      <c r="Z335" s="188">
        <v>0.20871037322467931</v>
      </c>
      <c r="AA335" s="189" t="e">
        <f t="shared" si="22"/>
        <v>#VALUE!</v>
      </c>
    </row>
    <row r="336" spans="1:27" x14ac:dyDescent="0.25">
      <c r="A336">
        <v>833300</v>
      </c>
      <c r="B336">
        <v>17031833300</v>
      </c>
      <c r="C336">
        <v>17031</v>
      </c>
      <c r="D336">
        <v>2010</v>
      </c>
      <c r="E336">
        <v>28</v>
      </c>
      <c r="F336">
        <v>5128698.1579719</v>
      </c>
      <c r="G336" s="45">
        <v>0.18396673259483687</v>
      </c>
      <c r="H336" s="60" t="str">
        <f>_xlfn.IFNA(
INDEX('Community Areas'!B$2:B$78,MATCH($E336,'Community Areas'!$A$2:$A$78,0)),
"")</f>
        <v>NEAR WEST SIDE</v>
      </c>
      <c r="I336" s="63" t="str">
        <f>_xlfn.IFNA(
INDEX('Community Areas'!C$2:C$78,MATCH($E336,'Community Areas'!$A$2:$A$78,0)),
"")</f>
        <v>3-B</v>
      </c>
      <c r="J336" s="63">
        <f>_xlfn.IFNA(
INDEX('Community Areas'!D$2:D$78,MATCH($E336,'Community Areas'!$A$2:$A$78,0)),
"")</f>
        <v>7</v>
      </c>
      <c r="K336" s="60" t="str">
        <f>_xlfn.IFNA(
INDEX('Community Areas'!E$2:E$78,MATCH($E336,'Community Areas'!$A$2:$A$78,0)),
"")</f>
        <v>CENTRAL</v>
      </c>
      <c r="L336" s="17" t="e">
        <f>SUMIFS([1]ACSDT5Y2020.B08301_data_with_ov!AT$3:AT$1334,[1]ACSDT5Y2020.B08301_data_with_ov!$AS$3:$AS$1334,$B336)</f>
        <v>#VALUE!</v>
      </c>
      <c r="M336" s="17" t="e">
        <f>SUMIFS([1]ACSDT5Y2020.B08301_data_with_ov!AU$3:AU$1334,[1]ACSDT5Y2020.B08301_data_with_ov!$AS$3:$AS$1334,$B336)</f>
        <v>#VALUE!</v>
      </c>
      <c r="N336" s="17" t="e">
        <f>SUMIFS([1]ACSDT5Y2020.B08301_data_with_ov!AV$3:AV$1334,[1]ACSDT5Y2020.B08301_data_with_ov!$AS$3:$AS$1334,$B336)</f>
        <v>#VALUE!</v>
      </c>
      <c r="O336" s="17" t="e">
        <f>SUMIFS([1]ACSDT5Y2020.B08301_data_with_ov!AW$3:AW$1334,[1]ACSDT5Y2020.B08301_data_with_ov!$AS$3:$AS$1334,$B336)</f>
        <v>#VALUE!</v>
      </c>
      <c r="P336" s="17" t="e">
        <f>SUMIFS([1]ACSDT5Y2020.B08301_data_with_ov!AX$3:AX$1334,[1]ACSDT5Y2020.B08301_data_with_ov!$AS$3:$AS$1334,$B336)</f>
        <v>#VALUE!</v>
      </c>
      <c r="Q336" s="17" t="e">
        <f>SUMIFS([1]ACSDT5Y2020.B08301_data_with_ov!AY$3:AY$1334,[1]ACSDT5Y2020.B08301_data_with_ov!$AS$3:$AS$1334,$B336)</f>
        <v>#VALUE!</v>
      </c>
      <c r="R336" s="17" t="e">
        <f>SUMIFS([1]ACSDT5Y2020.B08301_data_with_ov!AZ$3:AZ$1334,[1]ACSDT5Y2020.B08301_data_with_ov!$AS$3:$AS$1334,$B336)</f>
        <v>#VALUE!</v>
      </c>
      <c r="S336" s="17" t="e">
        <f>SUMIFS([1]ACSDT5Y2020.B08301_data_with_ov!BA$3:BA$1334,[1]ACSDT5Y2020.B08301_data_with_ov!$AS$3:$AS$1334,$B336)</f>
        <v>#VALUE!</v>
      </c>
      <c r="T336" s="188">
        <v>0.18396673233673383</v>
      </c>
      <c r="U336" s="189" t="e">
        <f t="shared" si="23"/>
        <v>#VALUE!</v>
      </c>
      <c r="V336" s="188">
        <v>0.18396673233673383</v>
      </c>
      <c r="W336" s="189" t="e">
        <f t="shared" si="20"/>
        <v>#VALUE!</v>
      </c>
      <c r="X336" s="188">
        <v>0.18396673233673383</v>
      </c>
      <c r="Y336" s="189" t="e">
        <f t="shared" si="21"/>
        <v>#VALUE!</v>
      </c>
      <c r="Z336" s="188">
        <v>0.18396673233673383</v>
      </c>
      <c r="AA336" s="189" t="e">
        <f t="shared" si="22"/>
        <v>#VALUE!</v>
      </c>
    </row>
    <row r="337" spans="1:27" x14ac:dyDescent="0.25">
      <c r="A337">
        <v>283800</v>
      </c>
      <c r="B337">
        <v>17031283800</v>
      </c>
      <c r="C337">
        <v>17031</v>
      </c>
      <c r="D337">
        <v>2010</v>
      </c>
      <c r="E337">
        <v>28</v>
      </c>
      <c r="F337">
        <v>4056166.4747371501</v>
      </c>
      <c r="G337" s="45">
        <v>0.14549495217577588</v>
      </c>
      <c r="H337" s="60" t="str">
        <f>_xlfn.IFNA(
INDEX('Community Areas'!B$2:B$78,MATCH($E337,'Community Areas'!$A$2:$A$78,0)),
"")</f>
        <v>NEAR WEST SIDE</v>
      </c>
      <c r="I337" s="63" t="str">
        <f>_xlfn.IFNA(
INDEX('Community Areas'!C$2:C$78,MATCH($E337,'Community Areas'!$A$2:$A$78,0)),
"")</f>
        <v>3-B</v>
      </c>
      <c r="J337" s="63">
        <f>_xlfn.IFNA(
INDEX('Community Areas'!D$2:D$78,MATCH($E337,'Community Areas'!$A$2:$A$78,0)),
"")</f>
        <v>7</v>
      </c>
      <c r="K337" s="60" t="str">
        <f>_xlfn.IFNA(
INDEX('Community Areas'!E$2:E$78,MATCH($E337,'Community Areas'!$A$2:$A$78,0)),
"")</f>
        <v>CENTRAL</v>
      </c>
      <c r="L337" s="17" t="e">
        <f>SUMIFS([1]ACSDT5Y2020.B08301_data_with_ov!AT$3:AT$1334,[1]ACSDT5Y2020.B08301_data_with_ov!$AS$3:$AS$1334,$B337)</f>
        <v>#VALUE!</v>
      </c>
      <c r="M337" s="17" t="e">
        <f>SUMIFS([1]ACSDT5Y2020.B08301_data_with_ov!AU$3:AU$1334,[1]ACSDT5Y2020.B08301_data_with_ov!$AS$3:$AS$1334,$B337)</f>
        <v>#VALUE!</v>
      </c>
      <c r="N337" s="17" t="e">
        <f>SUMIFS([1]ACSDT5Y2020.B08301_data_with_ov!AV$3:AV$1334,[1]ACSDT5Y2020.B08301_data_with_ov!$AS$3:$AS$1334,$B337)</f>
        <v>#VALUE!</v>
      </c>
      <c r="O337" s="17" t="e">
        <f>SUMIFS([1]ACSDT5Y2020.B08301_data_with_ov!AW$3:AW$1334,[1]ACSDT5Y2020.B08301_data_with_ov!$AS$3:$AS$1334,$B337)</f>
        <v>#VALUE!</v>
      </c>
      <c r="P337" s="17" t="e">
        <f>SUMIFS([1]ACSDT5Y2020.B08301_data_with_ov!AX$3:AX$1334,[1]ACSDT5Y2020.B08301_data_with_ov!$AS$3:$AS$1334,$B337)</f>
        <v>#VALUE!</v>
      </c>
      <c r="Q337" s="17" t="e">
        <f>SUMIFS([1]ACSDT5Y2020.B08301_data_with_ov!AY$3:AY$1334,[1]ACSDT5Y2020.B08301_data_with_ov!$AS$3:$AS$1334,$B337)</f>
        <v>#VALUE!</v>
      </c>
      <c r="R337" s="17" t="e">
        <f>SUMIFS([1]ACSDT5Y2020.B08301_data_with_ov!AZ$3:AZ$1334,[1]ACSDT5Y2020.B08301_data_with_ov!$AS$3:$AS$1334,$B337)</f>
        <v>#VALUE!</v>
      </c>
      <c r="S337" s="17" t="e">
        <f>SUMIFS([1]ACSDT5Y2020.B08301_data_with_ov!BA$3:BA$1334,[1]ACSDT5Y2020.B08301_data_with_ov!$AS$3:$AS$1334,$B337)</f>
        <v>#VALUE!</v>
      </c>
      <c r="T337" s="188">
        <v>0.14549495166168899</v>
      </c>
      <c r="U337" s="189" t="e">
        <f t="shared" si="23"/>
        <v>#VALUE!</v>
      </c>
      <c r="V337" s="188">
        <v>0.14549495166168899</v>
      </c>
      <c r="W337" s="189" t="e">
        <f t="shared" si="20"/>
        <v>#VALUE!</v>
      </c>
      <c r="X337" s="188">
        <v>0.14549495166168899</v>
      </c>
      <c r="Y337" s="189" t="e">
        <f t="shared" si="21"/>
        <v>#VALUE!</v>
      </c>
      <c r="Z337" s="188">
        <v>0.14549495166168899</v>
      </c>
      <c r="AA337" s="189" t="e">
        <f t="shared" si="22"/>
        <v>#VALUE!</v>
      </c>
    </row>
    <row r="338" spans="1:27" x14ac:dyDescent="0.25">
      <c r="A338">
        <v>280800</v>
      </c>
      <c r="B338">
        <v>17031280800</v>
      </c>
      <c r="C338">
        <v>17031</v>
      </c>
      <c r="D338">
        <v>2010</v>
      </c>
      <c r="E338">
        <v>28</v>
      </c>
      <c r="F338">
        <v>2556183.8645959501</v>
      </c>
      <c r="G338" s="45">
        <v>9.1690479532396049E-2</v>
      </c>
      <c r="H338" s="60" t="str">
        <f>_xlfn.IFNA(
INDEX('Community Areas'!B$2:B$78,MATCH($E338,'Community Areas'!$A$2:$A$78,0)),
"")</f>
        <v>NEAR WEST SIDE</v>
      </c>
      <c r="I338" s="63" t="str">
        <f>_xlfn.IFNA(
INDEX('Community Areas'!C$2:C$78,MATCH($E338,'Community Areas'!$A$2:$A$78,0)),
"")</f>
        <v>3-B</v>
      </c>
      <c r="J338" s="63">
        <f>_xlfn.IFNA(
INDEX('Community Areas'!D$2:D$78,MATCH($E338,'Community Areas'!$A$2:$A$78,0)),
"")</f>
        <v>7</v>
      </c>
      <c r="K338" s="60" t="str">
        <f>_xlfn.IFNA(
INDEX('Community Areas'!E$2:E$78,MATCH($E338,'Community Areas'!$A$2:$A$78,0)),
"")</f>
        <v>CENTRAL</v>
      </c>
      <c r="L338" s="17" t="e">
        <f>SUMIFS([1]ACSDT5Y2020.B08301_data_with_ov!AT$3:AT$1334,[1]ACSDT5Y2020.B08301_data_with_ov!$AS$3:$AS$1334,$B338)</f>
        <v>#VALUE!</v>
      </c>
      <c r="M338" s="17" t="e">
        <f>SUMIFS([1]ACSDT5Y2020.B08301_data_with_ov!AU$3:AU$1334,[1]ACSDT5Y2020.B08301_data_with_ov!$AS$3:$AS$1334,$B338)</f>
        <v>#VALUE!</v>
      </c>
      <c r="N338" s="17" t="e">
        <f>SUMIFS([1]ACSDT5Y2020.B08301_data_with_ov!AV$3:AV$1334,[1]ACSDT5Y2020.B08301_data_with_ov!$AS$3:$AS$1334,$B338)</f>
        <v>#VALUE!</v>
      </c>
      <c r="O338" s="17" t="e">
        <f>SUMIFS([1]ACSDT5Y2020.B08301_data_with_ov!AW$3:AW$1334,[1]ACSDT5Y2020.B08301_data_with_ov!$AS$3:$AS$1334,$B338)</f>
        <v>#VALUE!</v>
      </c>
      <c r="P338" s="17" t="e">
        <f>SUMIFS([1]ACSDT5Y2020.B08301_data_with_ov!AX$3:AX$1334,[1]ACSDT5Y2020.B08301_data_with_ov!$AS$3:$AS$1334,$B338)</f>
        <v>#VALUE!</v>
      </c>
      <c r="Q338" s="17" t="e">
        <f>SUMIFS([1]ACSDT5Y2020.B08301_data_with_ov!AY$3:AY$1334,[1]ACSDT5Y2020.B08301_data_with_ov!$AS$3:$AS$1334,$B338)</f>
        <v>#VALUE!</v>
      </c>
      <c r="R338" s="17" t="e">
        <f>SUMIFS([1]ACSDT5Y2020.B08301_data_with_ov!AZ$3:AZ$1334,[1]ACSDT5Y2020.B08301_data_with_ov!$AS$3:$AS$1334,$B338)</f>
        <v>#VALUE!</v>
      </c>
      <c r="S338" s="17" t="e">
        <f>SUMIFS([1]ACSDT5Y2020.B08301_data_with_ov!BA$3:BA$1334,[1]ACSDT5Y2020.B08301_data_with_ov!$AS$3:$AS$1334,$B338)</f>
        <v>#VALUE!</v>
      </c>
      <c r="T338" s="188">
        <v>9.1690482407771251E-2</v>
      </c>
      <c r="U338" s="189" t="e">
        <f t="shared" si="23"/>
        <v>#VALUE!</v>
      </c>
      <c r="V338" s="188">
        <v>9.1690482407771251E-2</v>
      </c>
      <c r="W338" s="189" t="e">
        <f t="shared" si="20"/>
        <v>#VALUE!</v>
      </c>
      <c r="X338" s="188">
        <v>9.1690482407771251E-2</v>
      </c>
      <c r="Y338" s="189" t="e">
        <f t="shared" si="21"/>
        <v>#VALUE!</v>
      </c>
      <c r="Z338" s="188">
        <v>9.1690482407771251E-2</v>
      </c>
      <c r="AA338" s="189" t="e">
        <f t="shared" si="22"/>
        <v>#VALUE!</v>
      </c>
    </row>
    <row r="339" spans="1:27" x14ac:dyDescent="0.25">
      <c r="A339">
        <v>282700</v>
      </c>
      <c r="B339">
        <v>17031282700</v>
      </c>
      <c r="C339">
        <v>17031</v>
      </c>
      <c r="D339">
        <v>2010</v>
      </c>
      <c r="E339">
        <v>28</v>
      </c>
      <c r="F339">
        <v>4717644.5823092302</v>
      </c>
      <c r="G339" s="45">
        <v>0.16922221441364033</v>
      </c>
      <c r="H339" s="60" t="str">
        <f>_xlfn.IFNA(
INDEX('Community Areas'!B$2:B$78,MATCH($E339,'Community Areas'!$A$2:$A$78,0)),
"")</f>
        <v>NEAR WEST SIDE</v>
      </c>
      <c r="I339" s="63" t="str">
        <f>_xlfn.IFNA(
INDEX('Community Areas'!C$2:C$78,MATCH($E339,'Community Areas'!$A$2:$A$78,0)),
"")</f>
        <v>3-B</v>
      </c>
      <c r="J339" s="63">
        <f>_xlfn.IFNA(
INDEX('Community Areas'!D$2:D$78,MATCH($E339,'Community Areas'!$A$2:$A$78,0)),
"")</f>
        <v>7</v>
      </c>
      <c r="K339" s="60" t="str">
        <f>_xlfn.IFNA(
INDEX('Community Areas'!E$2:E$78,MATCH($E339,'Community Areas'!$A$2:$A$78,0)),
"")</f>
        <v>CENTRAL</v>
      </c>
      <c r="L339" s="17" t="e">
        <f>SUMIFS([1]ACSDT5Y2020.B08301_data_with_ov!AT$3:AT$1334,[1]ACSDT5Y2020.B08301_data_with_ov!$AS$3:$AS$1334,$B339)</f>
        <v>#VALUE!</v>
      </c>
      <c r="M339" s="17" t="e">
        <f>SUMIFS([1]ACSDT5Y2020.B08301_data_with_ov!AU$3:AU$1334,[1]ACSDT5Y2020.B08301_data_with_ov!$AS$3:$AS$1334,$B339)</f>
        <v>#VALUE!</v>
      </c>
      <c r="N339" s="17" t="e">
        <f>SUMIFS([1]ACSDT5Y2020.B08301_data_with_ov!AV$3:AV$1334,[1]ACSDT5Y2020.B08301_data_with_ov!$AS$3:$AS$1334,$B339)</f>
        <v>#VALUE!</v>
      </c>
      <c r="O339" s="17" t="e">
        <f>SUMIFS([1]ACSDT5Y2020.B08301_data_with_ov!AW$3:AW$1334,[1]ACSDT5Y2020.B08301_data_with_ov!$AS$3:$AS$1334,$B339)</f>
        <v>#VALUE!</v>
      </c>
      <c r="P339" s="17" t="e">
        <f>SUMIFS([1]ACSDT5Y2020.B08301_data_with_ov!AX$3:AX$1334,[1]ACSDT5Y2020.B08301_data_with_ov!$AS$3:$AS$1334,$B339)</f>
        <v>#VALUE!</v>
      </c>
      <c r="Q339" s="17" t="e">
        <f>SUMIFS([1]ACSDT5Y2020.B08301_data_with_ov!AY$3:AY$1334,[1]ACSDT5Y2020.B08301_data_with_ov!$AS$3:$AS$1334,$B339)</f>
        <v>#VALUE!</v>
      </c>
      <c r="R339" s="17" t="e">
        <f>SUMIFS([1]ACSDT5Y2020.B08301_data_with_ov!AZ$3:AZ$1334,[1]ACSDT5Y2020.B08301_data_with_ov!$AS$3:$AS$1334,$B339)</f>
        <v>#VALUE!</v>
      </c>
      <c r="S339" s="17" t="e">
        <f>SUMIFS([1]ACSDT5Y2020.B08301_data_with_ov!BA$3:BA$1334,[1]ACSDT5Y2020.B08301_data_with_ov!$AS$3:$AS$1334,$B339)</f>
        <v>#VALUE!</v>
      </c>
      <c r="T339" s="188">
        <v>0.16922221490000824</v>
      </c>
      <c r="U339" s="189" t="e">
        <f t="shared" si="23"/>
        <v>#VALUE!</v>
      </c>
      <c r="V339" s="188">
        <v>0.16922221490000824</v>
      </c>
      <c r="W339" s="189" t="e">
        <f t="shared" si="20"/>
        <v>#VALUE!</v>
      </c>
      <c r="X339" s="188">
        <v>0.16922221490000824</v>
      </c>
      <c r="Y339" s="189" t="e">
        <f t="shared" si="21"/>
        <v>#VALUE!</v>
      </c>
      <c r="Z339" s="188">
        <v>0.16922221490000824</v>
      </c>
      <c r="AA339" s="189" t="e">
        <f t="shared" si="22"/>
        <v>#VALUE!</v>
      </c>
    </row>
    <row r="340" spans="1:27" x14ac:dyDescent="0.25">
      <c r="A340">
        <v>280400</v>
      </c>
      <c r="B340">
        <v>17031280400</v>
      </c>
      <c r="C340">
        <v>17031</v>
      </c>
      <c r="D340">
        <v>2010</v>
      </c>
      <c r="E340">
        <v>28</v>
      </c>
      <c r="F340">
        <v>5417686.1154500404</v>
      </c>
      <c r="G340" s="45">
        <v>0.19433274920547952</v>
      </c>
      <c r="H340" s="60" t="str">
        <f>_xlfn.IFNA(
INDEX('Community Areas'!B$2:B$78,MATCH($E340,'Community Areas'!$A$2:$A$78,0)),
"")</f>
        <v>NEAR WEST SIDE</v>
      </c>
      <c r="I340" s="63" t="str">
        <f>_xlfn.IFNA(
INDEX('Community Areas'!C$2:C$78,MATCH($E340,'Community Areas'!$A$2:$A$78,0)),
"")</f>
        <v>3-B</v>
      </c>
      <c r="J340" s="63">
        <f>_xlfn.IFNA(
INDEX('Community Areas'!D$2:D$78,MATCH($E340,'Community Areas'!$A$2:$A$78,0)),
"")</f>
        <v>7</v>
      </c>
      <c r="K340" s="60" t="str">
        <f>_xlfn.IFNA(
INDEX('Community Areas'!E$2:E$78,MATCH($E340,'Community Areas'!$A$2:$A$78,0)),
"")</f>
        <v>CENTRAL</v>
      </c>
      <c r="L340" s="17" t="e">
        <f>SUMIFS([1]ACSDT5Y2020.B08301_data_with_ov!AT$3:AT$1334,[1]ACSDT5Y2020.B08301_data_with_ov!$AS$3:$AS$1334,$B340)</f>
        <v>#VALUE!</v>
      </c>
      <c r="M340" s="17" t="e">
        <f>SUMIFS([1]ACSDT5Y2020.B08301_data_with_ov!AU$3:AU$1334,[1]ACSDT5Y2020.B08301_data_with_ov!$AS$3:$AS$1334,$B340)</f>
        <v>#VALUE!</v>
      </c>
      <c r="N340" s="17" t="e">
        <f>SUMIFS([1]ACSDT5Y2020.B08301_data_with_ov!AV$3:AV$1334,[1]ACSDT5Y2020.B08301_data_with_ov!$AS$3:$AS$1334,$B340)</f>
        <v>#VALUE!</v>
      </c>
      <c r="O340" s="17" t="e">
        <f>SUMIFS([1]ACSDT5Y2020.B08301_data_with_ov!AW$3:AW$1334,[1]ACSDT5Y2020.B08301_data_with_ov!$AS$3:$AS$1334,$B340)</f>
        <v>#VALUE!</v>
      </c>
      <c r="P340" s="17" t="e">
        <f>SUMIFS([1]ACSDT5Y2020.B08301_data_with_ov!AX$3:AX$1334,[1]ACSDT5Y2020.B08301_data_with_ov!$AS$3:$AS$1334,$B340)</f>
        <v>#VALUE!</v>
      </c>
      <c r="Q340" s="17" t="e">
        <f>SUMIFS([1]ACSDT5Y2020.B08301_data_with_ov!AY$3:AY$1334,[1]ACSDT5Y2020.B08301_data_with_ov!$AS$3:$AS$1334,$B340)</f>
        <v>#VALUE!</v>
      </c>
      <c r="R340" s="17" t="e">
        <f>SUMIFS([1]ACSDT5Y2020.B08301_data_with_ov!AZ$3:AZ$1334,[1]ACSDT5Y2020.B08301_data_with_ov!$AS$3:$AS$1334,$B340)</f>
        <v>#VALUE!</v>
      </c>
      <c r="S340" s="17" t="e">
        <f>SUMIFS([1]ACSDT5Y2020.B08301_data_with_ov!BA$3:BA$1334,[1]ACSDT5Y2020.B08301_data_with_ov!$AS$3:$AS$1334,$B340)</f>
        <v>#VALUE!</v>
      </c>
      <c r="T340" s="188">
        <v>0.19433274840176229</v>
      </c>
      <c r="U340" s="189" t="e">
        <f t="shared" si="23"/>
        <v>#VALUE!</v>
      </c>
      <c r="V340" s="188">
        <v>0.19433274840176229</v>
      </c>
      <c r="W340" s="189" t="e">
        <f t="shared" si="20"/>
        <v>#VALUE!</v>
      </c>
      <c r="X340" s="188">
        <v>0.19433274840176229</v>
      </c>
      <c r="Y340" s="189" t="e">
        <f t="shared" si="21"/>
        <v>#VALUE!</v>
      </c>
      <c r="Z340" s="188">
        <v>0.19433274840176229</v>
      </c>
      <c r="AA340" s="189" t="e">
        <f t="shared" si="22"/>
        <v>#VALUE!</v>
      </c>
    </row>
    <row r="341" spans="1:27" x14ac:dyDescent="0.25">
      <c r="A341">
        <v>280900</v>
      </c>
      <c r="B341">
        <v>17031280900</v>
      </c>
      <c r="C341">
        <v>17031</v>
      </c>
      <c r="D341">
        <v>2010</v>
      </c>
      <c r="E341">
        <v>28</v>
      </c>
      <c r="F341">
        <v>1242963.7330547301</v>
      </c>
      <c r="G341" s="45">
        <v>4.4585189001331862E-2</v>
      </c>
      <c r="H341" s="60" t="str">
        <f>_xlfn.IFNA(
INDEX('Community Areas'!B$2:B$78,MATCH($E341,'Community Areas'!$A$2:$A$78,0)),
"")</f>
        <v>NEAR WEST SIDE</v>
      </c>
      <c r="I341" s="63" t="str">
        <f>_xlfn.IFNA(
INDEX('Community Areas'!C$2:C$78,MATCH($E341,'Community Areas'!$A$2:$A$78,0)),
"")</f>
        <v>3-B</v>
      </c>
      <c r="J341" s="63">
        <f>_xlfn.IFNA(
INDEX('Community Areas'!D$2:D$78,MATCH($E341,'Community Areas'!$A$2:$A$78,0)),
"")</f>
        <v>7</v>
      </c>
      <c r="K341" s="60" t="str">
        <f>_xlfn.IFNA(
INDEX('Community Areas'!E$2:E$78,MATCH($E341,'Community Areas'!$A$2:$A$78,0)),
"")</f>
        <v>CENTRAL</v>
      </c>
      <c r="L341" s="17" t="e">
        <f>SUMIFS([1]ACSDT5Y2020.B08301_data_with_ov!AT$3:AT$1334,[1]ACSDT5Y2020.B08301_data_with_ov!$AS$3:$AS$1334,$B341)</f>
        <v>#VALUE!</v>
      </c>
      <c r="M341" s="17" t="e">
        <f>SUMIFS([1]ACSDT5Y2020.B08301_data_with_ov!AU$3:AU$1334,[1]ACSDT5Y2020.B08301_data_with_ov!$AS$3:$AS$1334,$B341)</f>
        <v>#VALUE!</v>
      </c>
      <c r="N341" s="17" t="e">
        <f>SUMIFS([1]ACSDT5Y2020.B08301_data_with_ov!AV$3:AV$1334,[1]ACSDT5Y2020.B08301_data_with_ov!$AS$3:$AS$1334,$B341)</f>
        <v>#VALUE!</v>
      </c>
      <c r="O341" s="17" t="e">
        <f>SUMIFS([1]ACSDT5Y2020.B08301_data_with_ov!AW$3:AW$1334,[1]ACSDT5Y2020.B08301_data_with_ov!$AS$3:$AS$1334,$B341)</f>
        <v>#VALUE!</v>
      </c>
      <c r="P341" s="17" t="e">
        <f>SUMIFS([1]ACSDT5Y2020.B08301_data_with_ov!AX$3:AX$1334,[1]ACSDT5Y2020.B08301_data_with_ov!$AS$3:$AS$1334,$B341)</f>
        <v>#VALUE!</v>
      </c>
      <c r="Q341" s="17" t="e">
        <f>SUMIFS([1]ACSDT5Y2020.B08301_data_with_ov!AY$3:AY$1334,[1]ACSDT5Y2020.B08301_data_with_ov!$AS$3:$AS$1334,$B341)</f>
        <v>#VALUE!</v>
      </c>
      <c r="R341" s="17" t="e">
        <f>SUMIFS([1]ACSDT5Y2020.B08301_data_with_ov!AZ$3:AZ$1334,[1]ACSDT5Y2020.B08301_data_with_ov!$AS$3:$AS$1334,$B341)</f>
        <v>#VALUE!</v>
      </c>
      <c r="S341" s="17" t="e">
        <f>SUMIFS([1]ACSDT5Y2020.B08301_data_with_ov!BA$3:BA$1334,[1]ACSDT5Y2020.B08301_data_with_ov!$AS$3:$AS$1334,$B341)</f>
        <v>#VALUE!</v>
      </c>
      <c r="T341" s="188">
        <v>4.4585190967419218E-2</v>
      </c>
      <c r="U341" s="189" t="e">
        <f t="shared" si="23"/>
        <v>#VALUE!</v>
      </c>
      <c r="V341" s="188">
        <v>4.4585190967419218E-2</v>
      </c>
      <c r="W341" s="189" t="e">
        <f t="shared" si="20"/>
        <v>#VALUE!</v>
      </c>
      <c r="X341" s="188">
        <v>4.4585190967419218E-2</v>
      </c>
      <c r="Y341" s="189" t="e">
        <f t="shared" si="21"/>
        <v>#VALUE!</v>
      </c>
      <c r="Z341" s="188">
        <v>4.4585190967419218E-2</v>
      </c>
      <c r="AA341" s="189" t="e">
        <f t="shared" si="22"/>
        <v>#VALUE!</v>
      </c>
    </row>
    <row r="342" spans="1:27" x14ac:dyDescent="0.25">
      <c r="A342">
        <v>838100</v>
      </c>
      <c r="B342">
        <v>17031838100</v>
      </c>
      <c r="C342">
        <v>17031</v>
      </c>
      <c r="D342">
        <v>2010</v>
      </c>
      <c r="E342">
        <v>28</v>
      </c>
      <c r="F342">
        <v>8898892.4152752701</v>
      </c>
      <c r="G342" s="45">
        <v>0.3192038429492105</v>
      </c>
      <c r="H342" s="60" t="str">
        <f>_xlfn.IFNA(
INDEX('Community Areas'!B$2:B$78,MATCH($E342,'Community Areas'!$A$2:$A$78,0)),
"")</f>
        <v>NEAR WEST SIDE</v>
      </c>
      <c r="I342" s="63" t="str">
        <f>_xlfn.IFNA(
INDEX('Community Areas'!C$2:C$78,MATCH($E342,'Community Areas'!$A$2:$A$78,0)),
"")</f>
        <v>3-B</v>
      </c>
      <c r="J342" s="63">
        <f>_xlfn.IFNA(
INDEX('Community Areas'!D$2:D$78,MATCH($E342,'Community Areas'!$A$2:$A$78,0)),
"")</f>
        <v>7</v>
      </c>
      <c r="K342" s="60" t="str">
        <f>_xlfn.IFNA(
INDEX('Community Areas'!E$2:E$78,MATCH($E342,'Community Areas'!$A$2:$A$78,0)),
"")</f>
        <v>CENTRAL</v>
      </c>
      <c r="L342" s="17" t="e">
        <f>SUMIFS([1]ACSDT5Y2020.B08301_data_with_ov!AT$3:AT$1334,[1]ACSDT5Y2020.B08301_data_with_ov!$AS$3:$AS$1334,$B342)</f>
        <v>#VALUE!</v>
      </c>
      <c r="M342" s="17" t="e">
        <f>SUMIFS([1]ACSDT5Y2020.B08301_data_with_ov!AU$3:AU$1334,[1]ACSDT5Y2020.B08301_data_with_ov!$AS$3:$AS$1334,$B342)</f>
        <v>#VALUE!</v>
      </c>
      <c r="N342" s="17" t="e">
        <f>SUMIFS([1]ACSDT5Y2020.B08301_data_with_ov!AV$3:AV$1334,[1]ACSDT5Y2020.B08301_data_with_ov!$AS$3:$AS$1334,$B342)</f>
        <v>#VALUE!</v>
      </c>
      <c r="O342" s="17" t="e">
        <f>SUMIFS([1]ACSDT5Y2020.B08301_data_with_ov!AW$3:AW$1334,[1]ACSDT5Y2020.B08301_data_with_ov!$AS$3:$AS$1334,$B342)</f>
        <v>#VALUE!</v>
      </c>
      <c r="P342" s="17" t="e">
        <f>SUMIFS([1]ACSDT5Y2020.B08301_data_with_ov!AX$3:AX$1334,[1]ACSDT5Y2020.B08301_data_with_ov!$AS$3:$AS$1334,$B342)</f>
        <v>#VALUE!</v>
      </c>
      <c r="Q342" s="17" t="e">
        <f>SUMIFS([1]ACSDT5Y2020.B08301_data_with_ov!AY$3:AY$1334,[1]ACSDT5Y2020.B08301_data_with_ov!$AS$3:$AS$1334,$B342)</f>
        <v>#VALUE!</v>
      </c>
      <c r="R342" s="17" t="e">
        <f>SUMIFS([1]ACSDT5Y2020.B08301_data_with_ov!AZ$3:AZ$1334,[1]ACSDT5Y2020.B08301_data_with_ov!$AS$3:$AS$1334,$B342)</f>
        <v>#VALUE!</v>
      </c>
      <c r="S342" s="17" t="e">
        <f>SUMIFS([1]ACSDT5Y2020.B08301_data_with_ov!BA$3:BA$1334,[1]ACSDT5Y2020.B08301_data_with_ov!$AS$3:$AS$1334,$B342)</f>
        <v>#VALUE!</v>
      </c>
      <c r="T342" s="188">
        <v>0.31920384489118925</v>
      </c>
      <c r="U342" s="189" t="e">
        <f t="shared" si="23"/>
        <v>#VALUE!</v>
      </c>
      <c r="V342" s="188">
        <v>0.31920384489118925</v>
      </c>
      <c r="W342" s="189" t="e">
        <f t="shared" si="20"/>
        <v>#VALUE!</v>
      </c>
      <c r="X342" s="188">
        <v>0.31920384489118925</v>
      </c>
      <c r="Y342" s="189" t="e">
        <f t="shared" si="21"/>
        <v>#VALUE!</v>
      </c>
      <c r="Z342" s="188">
        <v>0.31920384489118925</v>
      </c>
      <c r="AA342" s="189" t="e">
        <f t="shared" si="22"/>
        <v>#VALUE!</v>
      </c>
    </row>
    <row r="343" spans="1:27" x14ac:dyDescent="0.25">
      <c r="A343">
        <v>282800</v>
      </c>
      <c r="B343">
        <v>17031282800</v>
      </c>
      <c r="C343">
        <v>17031</v>
      </c>
      <c r="D343">
        <v>2010</v>
      </c>
      <c r="E343">
        <v>28</v>
      </c>
      <c r="F343">
        <v>1769622.3159538701</v>
      </c>
      <c r="G343" s="45">
        <v>6.347646622309279E-2</v>
      </c>
      <c r="H343" s="60" t="str">
        <f>_xlfn.IFNA(
INDEX('Community Areas'!B$2:B$78,MATCH($E343,'Community Areas'!$A$2:$A$78,0)),
"")</f>
        <v>NEAR WEST SIDE</v>
      </c>
      <c r="I343" s="63" t="str">
        <f>_xlfn.IFNA(
INDEX('Community Areas'!C$2:C$78,MATCH($E343,'Community Areas'!$A$2:$A$78,0)),
"")</f>
        <v>3-B</v>
      </c>
      <c r="J343" s="63">
        <f>_xlfn.IFNA(
INDEX('Community Areas'!D$2:D$78,MATCH($E343,'Community Areas'!$A$2:$A$78,0)),
"")</f>
        <v>7</v>
      </c>
      <c r="K343" s="60" t="str">
        <f>_xlfn.IFNA(
INDEX('Community Areas'!E$2:E$78,MATCH($E343,'Community Areas'!$A$2:$A$78,0)),
"")</f>
        <v>CENTRAL</v>
      </c>
      <c r="L343" s="17" t="e">
        <f>SUMIFS([1]ACSDT5Y2020.B08301_data_with_ov!AT$3:AT$1334,[1]ACSDT5Y2020.B08301_data_with_ov!$AS$3:$AS$1334,$B343)</f>
        <v>#VALUE!</v>
      </c>
      <c r="M343" s="17" t="e">
        <f>SUMIFS([1]ACSDT5Y2020.B08301_data_with_ov!AU$3:AU$1334,[1]ACSDT5Y2020.B08301_data_with_ov!$AS$3:$AS$1334,$B343)</f>
        <v>#VALUE!</v>
      </c>
      <c r="N343" s="17" t="e">
        <f>SUMIFS([1]ACSDT5Y2020.B08301_data_with_ov!AV$3:AV$1334,[1]ACSDT5Y2020.B08301_data_with_ov!$AS$3:$AS$1334,$B343)</f>
        <v>#VALUE!</v>
      </c>
      <c r="O343" s="17" t="e">
        <f>SUMIFS([1]ACSDT5Y2020.B08301_data_with_ov!AW$3:AW$1334,[1]ACSDT5Y2020.B08301_data_with_ov!$AS$3:$AS$1334,$B343)</f>
        <v>#VALUE!</v>
      </c>
      <c r="P343" s="17" t="e">
        <f>SUMIFS([1]ACSDT5Y2020.B08301_data_with_ov!AX$3:AX$1334,[1]ACSDT5Y2020.B08301_data_with_ov!$AS$3:$AS$1334,$B343)</f>
        <v>#VALUE!</v>
      </c>
      <c r="Q343" s="17" t="e">
        <f>SUMIFS([1]ACSDT5Y2020.B08301_data_with_ov!AY$3:AY$1334,[1]ACSDT5Y2020.B08301_data_with_ov!$AS$3:$AS$1334,$B343)</f>
        <v>#VALUE!</v>
      </c>
      <c r="R343" s="17" t="e">
        <f>SUMIFS([1]ACSDT5Y2020.B08301_data_with_ov!AZ$3:AZ$1334,[1]ACSDT5Y2020.B08301_data_with_ov!$AS$3:$AS$1334,$B343)</f>
        <v>#VALUE!</v>
      </c>
      <c r="S343" s="17" t="e">
        <f>SUMIFS([1]ACSDT5Y2020.B08301_data_with_ov!BA$3:BA$1334,[1]ACSDT5Y2020.B08301_data_with_ov!$AS$3:$AS$1334,$B343)</f>
        <v>#VALUE!</v>
      </c>
      <c r="T343" s="188">
        <v>6.347646624107553E-2</v>
      </c>
      <c r="U343" s="189" t="e">
        <f t="shared" si="23"/>
        <v>#VALUE!</v>
      </c>
      <c r="V343" s="188">
        <v>6.347646624107553E-2</v>
      </c>
      <c r="W343" s="189" t="e">
        <f t="shared" si="20"/>
        <v>#VALUE!</v>
      </c>
      <c r="X343" s="188">
        <v>6.347646624107553E-2</v>
      </c>
      <c r="Y343" s="189" t="e">
        <f t="shared" si="21"/>
        <v>#VALUE!</v>
      </c>
      <c r="Z343" s="188">
        <v>6.347646624107553E-2</v>
      </c>
      <c r="AA343" s="189" t="e">
        <f t="shared" si="22"/>
        <v>#VALUE!</v>
      </c>
    </row>
    <row r="344" spans="1:27" x14ac:dyDescent="0.25">
      <c r="A344">
        <v>838200</v>
      </c>
      <c r="B344">
        <v>17031838200</v>
      </c>
      <c r="C344">
        <v>17031</v>
      </c>
      <c r="D344">
        <v>2010</v>
      </c>
      <c r="E344">
        <v>28</v>
      </c>
      <c r="F344">
        <v>12451448.531065701</v>
      </c>
      <c r="G344" s="45">
        <v>0.4466342591779191</v>
      </c>
      <c r="H344" s="60" t="str">
        <f>_xlfn.IFNA(
INDEX('Community Areas'!B$2:B$78,MATCH($E344,'Community Areas'!$A$2:$A$78,0)),
"")</f>
        <v>NEAR WEST SIDE</v>
      </c>
      <c r="I344" s="63" t="str">
        <f>_xlfn.IFNA(
INDEX('Community Areas'!C$2:C$78,MATCH($E344,'Community Areas'!$A$2:$A$78,0)),
"")</f>
        <v>3-B</v>
      </c>
      <c r="J344" s="63">
        <f>_xlfn.IFNA(
INDEX('Community Areas'!D$2:D$78,MATCH($E344,'Community Areas'!$A$2:$A$78,0)),
"")</f>
        <v>7</v>
      </c>
      <c r="K344" s="60" t="str">
        <f>_xlfn.IFNA(
INDEX('Community Areas'!E$2:E$78,MATCH($E344,'Community Areas'!$A$2:$A$78,0)),
"")</f>
        <v>CENTRAL</v>
      </c>
      <c r="L344" s="17" t="e">
        <f>SUMIFS([1]ACSDT5Y2020.B08301_data_with_ov!AT$3:AT$1334,[1]ACSDT5Y2020.B08301_data_with_ov!$AS$3:$AS$1334,$B344)</f>
        <v>#VALUE!</v>
      </c>
      <c r="M344" s="17" t="e">
        <f>SUMIFS([1]ACSDT5Y2020.B08301_data_with_ov!AU$3:AU$1334,[1]ACSDT5Y2020.B08301_data_with_ov!$AS$3:$AS$1334,$B344)</f>
        <v>#VALUE!</v>
      </c>
      <c r="N344" s="17" t="e">
        <f>SUMIFS([1]ACSDT5Y2020.B08301_data_with_ov!AV$3:AV$1334,[1]ACSDT5Y2020.B08301_data_with_ov!$AS$3:$AS$1334,$B344)</f>
        <v>#VALUE!</v>
      </c>
      <c r="O344" s="17" t="e">
        <f>SUMIFS([1]ACSDT5Y2020.B08301_data_with_ov!AW$3:AW$1334,[1]ACSDT5Y2020.B08301_data_with_ov!$AS$3:$AS$1334,$B344)</f>
        <v>#VALUE!</v>
      </c>
      <c r="P344" s="17" t="e">
        <f>SUMIFS([1]ACSDT5Y2020.B08301_data_with_ov!AX$3:AX$1334,[1]ACSDT5Y2020.B08301_data_with_ov!$AS$3:$AS$1334,$B344)</f>
        <v>#VALUE!</v>
      </c>
      <c r="Q344" s="17" t="e">
        <f>SUMIFS([1]ACSDT5Y2020.B08301_data_with_ov!AY$3:AY$1334,[1]ACSDT5Y2020.B08301_data_with_ov!$AS$3:$AS$1334,$B344)</f>
        <v>#VALUE!</v>
      </c>
      <c r="R344" s="17" t="e">
        <f>SUMIFS([1]ACSDT5Y2020.B08301_data_with_ov!AZ$3:AZ$1334,[1]ACSDT5Y2020.B08301_data_with_ov!$AS$3:$AS$1334,$B344)</f>
        <v>#VALUE!</v>
      </c>
      <c r="S344" s="17" t="e">
        <f>SUMIFS([1]ACSDT5Y2020.B08301_data_with_ov!BA$3:BA$1334,[1]ACSDT5Y2020.B08301_data_with_ov!$AS$3:$AS$1334,$B344)</f>
        <v>#VALUE!</v>
      </c>
      <c r="T344" s="188">
        <v>0.4466342602737926</v>
      </c>
      <c r="U344" s="189" t="e">
        <f t="shared" si="23"/>
        <v>#VALUE!</v>
      </c>
      <c r="V344" s="188">
        <v>0.4466342602737926</v>
      </c>
      <c r="W344" s="189" t="e">
        <f t="shared" si="20"/>
        <v>#VALUE!</v>
      </c>
      <c r="X344" s="188">
        <v>0.4466342602737926</v>
      </c>
      <c r="Y344" s="189" t="e">
        <f t="shared" si="21"/>
        <v>#VALUE!</v>
      </c>
      <c r="Z344" s="188">
        <v>0.4466342602737926</v>
      </c>
      <c r="AA344" s="189" t="e">
        <f t="shared" si="22"/>
        <v>#VALUE!</v>
      </c>
    </row>
    <row r="345" spans="1:27" x14ac:dyDescent="0.25">
      <c r="A345">
        <v>843400</v>
      </c>
      <c r="B345">
        <v>17031843400</v>
      </c>
      <c r="C345">
        <v>17031</v>
      </c>
      <c r="D345">
        <v>2010</v>
      </c>
      <c r="E345">
        <v>29</v>
      </c>
      <c r="F345">
        <v>6855296.5556254098</v>
      </c>
      <c r="G345" s="45">
        <v>0.24589992810295461</v>
      </c>
      <c r="H345" s="60" t="str">
        <f>_xlfn.IFNA(
INDEX('Community Areas'!B$2:B$78,MATCH($E345,'Community Areas'!$A$2:$A$78,0)),
"")</f>
        <v>NORTH LAWNDALE</v>
      </c>
      <c r="I345" s="63" t="str">
        <f>_xlfn.IFNA(
INDEX('Community Areas'!C$2:C$78,MATCH($E345,'Community Areas'!$A$2:$A$78,0)),
"")</f>
        <v>3-A</v>
      </c>
      <c r="J345" s="63">
        <f>_xlfn.IFNA(
INDEX('Community Areas'!D$2:D$78,MATCH($E345,'Community Areas'!$A$2:$A$78,0)),
"")</f>
        <v>3</v>
      </c>
      <c r="K345" s="60" t="str">
        <f>_xlfn.IFNA(
INDEX('Community Areas'!E$2:E$78,MATCH($E345,'Community Areas'!$A$2:$A$78,0)),
"")</f>
        <v>WEST</v>
      </c>
      <c r="L345" s="17" t="e">
        <f>SUMIFS([1]ACSDT5Y2020.B08301_data_with_ov!AT$3:AT$1334,[1]ACSDT5Y2020.B08301_data_with_ov!$AS$3:$AS$1334,$B345)</f>
        <v>#VALUE!</v>
      </c>
      <c r="M345" s="17" t="e">
        <f>SUMIFS([1]ACSDT5Y2020.B08301_data_with_ov!AU$3:AU$1334,[1]ACSDT5Y2020.B08301_data_with_ov!$AS$3:$AS$1334,$B345)</f>
        <v>#VALUE!</v>
      </c>
      <c r="N345" s="17" t="e">
        <f>SUMIFS([1]ACSDT5Y2020.B08301_data_with_ov!AV$3:AV$1334,[1]ACSDT5Y2020.B08301_data_with_ov!$AS$3:$AS$1334,$B345)</f>
        <v>#VALUE!</v>
      </c>
      <c r="O345" s="17" t="e">
        <f>SUMIFS([1]ACSDT5Y2020.B08301_data_with_ov!AW$3:AW$1334,[1]ACSDT5Y2020.B08301_data_with_ov!$AS$3:$AS$1334,$B345)</f>
        <v>#VALUE!</v>
      </c>
      <c r="P345" s="17" t="e">
        <f>SUMIFS([1]ACSDT5Y2020.B08301_data_with_ov!AX$3:AX$1334,[1]ACSDT5Y2020.B08301_data_with_ov!$AS$3:$AS$1334,$B345)</f>
        <v>#VALUE!</v>
      </c>
      <c r="Q345" s="17" t="e">
        <f>SUMIFS([1]ACSDT5Y2020.B08301_data_with_ov!AY$3:AY$1334,[1]ACSDT5Y2020.B08301_data_with_ov!$AS$3:$AS$1334,$B345)</f>
        <v>#VALUE!</v>
      </c>
      <c r="R345" s="17" t="e">
        <f>SUMIFS([1]ACSDT5Y2020.B08301_data_with_ov!AZ$3:AZ$1334,[1]ACSDT5Y2020.B08301_data_with_ov!$AS$3:$AS$1334,$B345)</f>
        <v>#VALUE!</v>
      </c>
      <c r="S345" s="17" t="e">
        <f>SUMIFS([1]ACSDT5Y2020.B08301_data_with_ov!BA$3:BA$1334,[1]ACSDT5Y2020.B08301_data_with_ov!$AS$3:$AS$1334,$B345)</f>
        <v>#VALUE!</v>
      </c>
      <c r="T345" s="188">
        <v>0.23720985760078234</v>
      </c>
      <c r="U345" s="189" t="e">
        <f t="shared" si="23"/>
        <v>#VALUE!</v>
      </c>
      <c r="V345" s="188">
        <v>0.23720985771979813</v>
      </c>
      <c r="W345" s="189" t="e">
        <f t="shared" si="20"/>
        <v>#VALUE!</v>
      </c>
      <c r="X345" s="188">
        <v>0.23720985771979813</v>
      </c>
      <c r="Y345" s="189" t="e">
        <f t="shared" si="21"/>
        <v>#VALUE!</v>
      </c>
      <c r="Z345" s="188">
        <v>0.23720985771979813</v>
      </c>
      <c r="AA345" s="189" t="e">
        <f t="shared" si="22"/>
        <v>#VALUE!</v>
      </c>
    </row>
    <row r="346" spans="1:27" x14ac:dyDescent="0.25">
      <c r="A346">
        <v>290900</v>
      </c>
      <c r="B346">
        <v>17031290900</v>
      </c>
      <c r="C346">
        <v>17031</v>
      </c>
      <c r="D346">
        <v>2010</v>
      </c>
      <c r="E346">
        <v>29</v>
      </c>
      <c r="F346">
        <v>10744506.3828467</v>
      </c>
      <c r="G346" s="45">
        <v>0.38540613460050432</v>
      </c>
      <c r="H346" s="60" t="str">
        <f>_xlfn.IFNA(
INDEX('Community Areas'!B$2:B$78,MATCH($E346,'Community Areas'!$A$2:$A$78,0)),
"")</f>
        <v>NORTH LAWNDALE</v>
      </c>
      <c r="I346" s="63" t="str">
        <f>_xlfn.IFNA(
INDEX('Community Areas'!C$2:C$78,MATCH($E346,'Community Areas'!$A$2:$A$78,0)),
"")</f>
        <v>3-A</v>
      </c>
      <c r="J346" s="63">
        <f>_xlfn.IFNA(
INDEX('Community Areas'!D$2:D$78,MATCH($E346,'Community Areas'!$A$2:$A$78,0)),
"")</f>
        <v>3</v>
      </c>
      <c r="K346" s="60" t="str">
        <f>_xlfn.IFNA(
INDEX('Community Areas'!E$2:E$78,MATCH($E346,'Community Areas'!$A$2:$A$78,0)),
"")</f>
        <v>WEST</v>
      </c>
      <c r="L346" s="17" t="e">
        <f>SUMIFS([1]ACSDT5Y2020.B08301_data_with_ov!AT$3:AT$1334,[1]ACSDT5Y2020.B08301_data_with_ov!$AS$3:$AS$1334,$B346)</f>
        <v>#VALUE!</v>
      </c>
      <c r="M346" s="17" t="e">
        <f>SUMIFS([1]ACSDT5Y2020.B08301_data_with_ov!AU$3:AU$1334,[1]ACSDT5Y2020.B08301_data_with_ov!$AS$3:$AS$1334,$B346)</f>
        <v>#VALUE!</v>
      </c>
      <c r="N346" s="17" t="e">
        <f>SUMIFS([1]ACSDT5Y2020.B08301_data_with_ov!AV$3:AV$1334,[1]ACSDT5Y2020.B08301_data_with_ov!$AS$3:$AS$1334,$B346)</f>
        <v>#VALUE!</v>
      </c>
      <c r="O346" s="17" t="e">
        <f>SUMIFS([1]ACSDT5Y2020.B08301_data_with_ov!AW$3:AW$1334,[1]ACSDT5Y2020.B08301_data_with_ov!$AS$3:$AS$1334,$B346)</f>
        <v>#VALUE!</v>
      </c>
      <c r="P346" s="17" t="e">
        <f>SUMIFS([1]ACSDT5Y2020.B08301_data_with_ov!AX$3:AX$1334,[1]ACSDT5Y2020.B08301_data_with_ov!$AS$3:$AS$1334,$B346)</f>
        <v>#VALUE!</v>
      </c>
      <c r="Q346" s="17" t="e">
        <f>SUMIFS([1]ACSDT5Y2020.B08301_data_with_ov!AY$3:AY$1334,[1]ACSDT5Y2020.B08301_data_with_ov!$AS$3:$AS$1334,$B346)</f>
        <v>#VALUE!</v>
      </c>
      <c r="R346" s="17" t="e">
        <f>SUMIFS([1]ACSDT5Y2020.B08301_data_with_ov!AZ$3:AZ$1334,[1]ACSDT5Y2020.B08301_data_with_ov!$AS$3:$AS$1334,$B346)</f>
        <v>#VALUE!</v>
      </c>
      <c r="S346" s="17" t="e">
        <f>SUMIFS([1]ACSDT5Y2020.B08301_data_with_ov!BA$3:BA$1334,[1]ACSDT5Y2020.B08301_data_with_ov!$AS$3:$AS$1334,$B346)</f>
        <v>#VALUE!</v>
      </c>
      <c r="T346" s="188">
        <v>0.11310199133962996</v>
      </c>
      <c r="U346" s="189" t="e">
        <f t="shared" si="23"/>
        <v>#VALUE!</v>
      </c>
      <c r="V346" s="188">
        <v>0.11310199133962996</v>
      </c>
      <c r="W346" s="189" t="e">
        <f t="shared" si="20"/>
        <v>#VALUE!</v>
      </c>
      <c r="X346" s="188">
        <v>0.11310199133962996</v>
      </c>
      <c r="Y346" s="189" t="e">
        <f t="shared" si="21"/>
        <v>#VALUE!</v>
      </c>
      <c r="Z346" s="188">
        <v>0.11310199133962996</v>
      </c>
      <c r="AA346" s="189" t="e">
        <f t="shared" si="22"/>
        <v>#VALUE!</v>
      </c>
    </row>
    <row r="347" spans="1:27" x14ac:dyDescent="0.25">
      <c r="A347">
        <v>841600</v>
      </c>
      <c r="B347">
        <v>17031841600</v>
      </c>
      <c r="C347">
        <v>17031</v>
      </c>
      <c r="D347">
        <v>2010</v>
      </c>
      <c r="E347">
        <v>29</v>
      </c>
      <c r="F347">
        <v>1715435.18428545</v>
      </c>
      <c r="G347" s="45">
        <v>6.1532770327043518E-2</v>
      </c>
      <c r="H347" s="60" t="str">
        <f>_xlfn.IFNA(
INDEX('Community Areas'!B$2:B$78,MATCH($E347,'Community Areas'!$A$2:$A$78,0)),
"")</f>
        <v>NORTH LAWNDALE</v>
      </c>
      <c r="I347" s="63" t="str">
        <f>_xlfn.IFNA(
INDEX('Community Areas'!C$2:C$78,MATCH($E347,'Community Areas'!$A$2:$A$78,0)),
"")</f>
        <v>3-A</v>
      </c>
      <c r="J347" s="63">
        <f>_xlfn.IFNA(
INDEX('Community Areas'!D$2:D$78,MATCH($E347,'Community Areas'!$A$2:$A$78,0)),
"")</f>
        <v>3</v>
      </c>
      <c r="K347" s="60" t="str">
        <f>_xlfn.IFNA(
INDEX('Community Areas'!E$2:E$78,MATCH($E347,'Community Areas'!$A$2:$A$78,0)),
"")</f>
        <v>WEST</v>
      </c>
      <c r="L347" s="17" t="e">
        <f>SUMIFS([1]ACSDT5Y2020.B08301_data_with_ov!AT$3:AT$1334,[1]ACSDT5Y2020.B08301_data_with_ov!$AS$3:$AS$1334,$B347)</f>
        <v>#VALUE!</v>
      </c>
      <c r="M347" s="17" t="e">
        <f>SUMIFS([1]ACSDT5Y2020.B08301_data_with_ov!AU$3:AU$1334,[1]ACSDT5Y2020.B08301_data_with_ov!$AS$3:$AS$1334,$B347)</f>
        <v>#VALUE!</v>
      </c>
      <c r="N347" s="17" t="e">
        <f>SUMIFS([1]ACSDT5Y2020.B08301_data_with_ov!AV$3:AV$1334,[1]ACSDT5Y2020.B08301_data_with_ov!$AS$3:$AS$1334,$B347)</f>
        <v>#VALUE!</v>
      </c>
      <c r="O347" s="17" t="e">
        <f>SUMIFS([1]ACSDT5Y2020.B08301_data_with_ov!AW$3:AW$1334,[1]ACSDT5Y2020.B08301_data_with_ov!$AS$3:$AS$1334,$B347)</f>
        <v>#VALUE!</v>
      </c>
      <c r="P347" s="17" t="e">
        <f>SUMIFS([1]ACSDT5Y2020.B08301_data_with_ov!AX$3:AX$1334,[1]ACSDT5Y2020.B08301_data_with_ov!$AS$3:$AS$1334,$B347)</f>
        <v>#VALUE!</v>
      </c>
      <c r="Q347" s="17" t="e">
        <f>SUMIFS([1]ACSDT5Y2020.B08301_data_with_ov!AY$3:AY$1334,[1]ACSDT5Y2020.B08301_data_with_ov!$AS$3:$AS$1334,$B347)</f>
        <v>#VALUE!</v>
      </c>
      <c r="R347" s="17" t="e">
        <f>SUMIFS([1]ACSDT5Y2020.B08301_data_with_ov!AZ$3:AZ$1334,[1]ACSDT5Y2020.B08301_data_with_ov!$AS$3:$AS$1334,$B347)</f>
        <v>#VALUE!</v>
      </c>
      <c r="S347" s="17" t="e">
        <f>SUMIFS([1]ACSDT5Y2020.B08301_data_with_ov!BA$3:BA$1334,[1]ACSDT5Y2020.B08301_data_with_ov!$AS$3:$AS$1334,$B347)</f>
        <v>#VALUE!</v>
      </c>
      <c r="T347" s="188">
        <v>6.1532770910981617E-2</v>
      </c>
      <c r="U347" s="189" t="e">
        <f t="shared" si="23"/>
        <v>#VALUE!</v>
      </c>
      <c r="V347" s="188">
        <v>6.1532770910981617E-2</v>
      </c>
      <c r="W347" s="189" t="e">
        <f t="shared" si="20"/>
        <v>#VALUE!</v>
      </c>
      <c r="X347" s="188">
        <v>6.1532770910981617E-2</v>
      </c>
      <c r="Y347" s="189" t="e">
        <f t="shared" si="21"/>
        <v>#VALUE!</v>
      </c>
      <c r="Z347" s="188">
        <v>6.1532770910981617E-2</v>
      </c>
      <c r="AA347" s="189" t="e">
        <f t="shared" si="22"/>
        <v>#VALUE!</v>
      </c>
    </row>
    <row r="348" spans="1:27" x14ac:dyDescent="0.25">
      <c r="A348">
        <v>291200</v>
      </c>
      <c r="B348">
        <v>17031291200</v>
      </c>
      <c r="C348">
        <v>17031</v>
      </c>
      <c r="D348">
        <v>2010</v>
      </c>
      <c r="E348">
        <v>29</v>
      </c>
      <c r="F348">
        <v>3542839.3911678898</v>
      </c>
      <c r="G348" s="45">
        <v>0.12708187669191523</v>
      </c>
      <c r="H348" s="60" t="str">
        <f>_xlfn.IFNA(
INDEX('Community Areas'!B$2:B$78,MATCH($E348,'Community Areas'!$A$2:$A$78,0)),
"")</f>
        <v>NORTH LAWNDALE</v>
      </c>
      <c r="I348" s="63" t="str">
        <f>_xlfn.IFNA(
INDEX('Community Areas'!C$2:C$78,MATCH($E348,'Community Areas'!$A$2:$A$78,0)),
"")</f>
        <v>3-A</v>
      </c>
      <c r="J348" s="63">
        <f>_xlfn.IFNA(
INDEX('Community Areas'!D$2:D$78,MATCH($E348,'Community Areas'!$A$2:$A$78,0)),
"")</f>
        <v>3</v>
      </c>
      <c r="K348" s="60" t="str">
        <f>_xlfn.IFNA(
INDEX('Community Areas'!E$2:E$78,MATCH($E348,'Community Areas'!$A$2:$A$78,0)),
"")</f>
        <v>WEST</v>
      </c>
      <c r="L348" s="17" t="e">
        <f>SUMIFS([1]ACSDT5Y2020.B08301_data_with_ov!AT$3:AT$1334,[1]ACSDT5Y2020.B08301_data_with_ov!$AS$3:$AS$1334,$B348)</f>
        <v>#VALUE!</v>
      </c>
      <c r="M348" s="17" t="e">
        <f>SUMIFS([1]ACSDT5Y2020.B08301_data_with_ov!AU$3:AU$1334,[1]ACSDT5Y2020.B08301_data_with_ov!$AS$3:$AS$1334,$B348)</f>
        <v>#VALUE!</v>
      </c>
      <c r="N348" s="17" t="e">
        <f>SUMIFS([1]ACSDT5Y2020.B08301_data_with_ov!AV$3:AV$1334,[1]ACSDT5Y2020.B08301_data_with_ov!$AS$3:$AS$1334,$B348)</f>
        <v>#VALUE!</v>
      </c>
      <c r="O348" s="17" t="e">
        <f>SUMIFS([1]ACSDT5Y2020.B08301_data_with_ov!AW$3:AW$1334,[1]ACSDT5Y2020.B08301_data_with_ov!$AS$3:$AS$1334,$B348)</f>
        <v>#VALUE!</v>
      </c>
      <c r="P348" s="17" t="e">
        <f>SUMIFS([1]ACSDT5Y2020.B08301_data_with_ov!AX$3:AX$1334,[1]ACSDT5Y2020.B08301_data_with_ov!$AS$3:$AS$1334,$B348)</f>
        <v>#VALUE!</v>
      </c>
      <c r="Q348" s="17" t="e">
        <f>SUMIFS([1]ACSDT5Y2020.B08301_data_with_ov!AY$3:AY$1334,[1]ACSDT5Y2020.B08301_data_with_ov!$AS$3:$AS$1334,$B348)</f>
        <v>#VALUE!</v>
      </c>
      <c r="R348" s="17" t="e">
        <f>SUMIFS([1]ACSDT5Y2020.B08301_data_with_ov!AZ$3:AZ$1334,[1]ACSDT5Y2020.B08301_data_with_ov!$AS$3:$AS$1334,$B348)</f>
        <v>#VALUE!</v>
      </c>
      <c r="S348" s="17" t="e">
        <f>SUMIFS([1]ACSDT5Y2020.B08301_data_with_ov!BA$3:BA$1334,[1]ACSDT5Y2020.B08301_data_with_ov!$AS$3:$AS$1334,$B348)</f>
        <v>#VALUE!</v>
      </c>
      <c r="T348" s="188">
        <v>0.12708188022957273</v>
      </c>
      <c r="U348" s="189" t="e">
        <f t="shared" si="23"/>
        <v>#VALUE!</v>
      </c>
      <c r="V348" s="188">
        <v>0.12708188022957273</v>
      </c>
      <c r="W348" s="189" t="e">
        <f t="shared" si="20"/>
        <v>#VALUE!</v>
      </c>
      <c r="X348" s="188">
        <v>0.12708188022957273</v>
      </c>
      <c r="Y348" s="189" t="e">
        <f t="shared" si="21"/>
        <v>#VALUE!</v>
      </c>
      <c r="Z348" s="188">
        <v>0.12708188022957273</v>
      </c>
      <c r="AA348" s="189" t="e">
        <f t="shared" si="22"/>
        <v>#VALUE!</v>
      </c>
    </row>
    <row r="349" spans="1:27" x14ac:dyDescent="0.25">
      <c r="A349">
        <v>291600</v>
      </c>
      <c r="B349">
        <v>17031291600</v>
      </c>
      <c r="C349">
        <v>17031</v>
      </c>
      <c r="D349">
        <v>2010</v>
      </c>
      <c r="E349">
        <v>29</v>
      </c>
      <c r="F349">
        <v>2376805.6047521001</v>
      </c>
      <c r="G349" s="45">
        <v>8.5256169821514155E-2</v>
      </c>
      <c r="H349" s="60" t="str">
        <f>_xlfn.IFNA(
INDEX('Community Areas'!B$2:B$78,MATCH($E349,'Community Areas'!$A$2:$A$78,0)),
"")</f>
        <v>NORTH LAWNDALE</v>
      </c>
      <c r="I349" s="63" t="str">
        <f>_xlfn.IFNA(
INDEX('Community Areas'!C$2:C$78,MATCH($E349,'Community Areas'!$A$2:$A$78,0)),
"")</f>
        <v>3-A</v>
      </c>
      <c r="J349" s="63">
        <f>_xlfn.IFNA(
INDEX('Community Areas'!D$2:D$78,MATCH($E349,'Community Areas'!$A$2:$A$78,0)),
"")</f>
        <v>3</v>
      </c>
      <c r="K349" s="60" t="str">
        <f>_xlfn.IFNA(
INDEX('Community Areas'!E$2:E$78,MATCH($E349,'Community Areas'!$A$2:$A$78,0)),
"")</f>
        <v>WEST</v>
      </c>
      <c r="L349" s="17" t="e">
        <f>SUMIFS([1]ACSDT5Y2020.B08301_data_with_ov!AT$3:AT$1334,[1]ACSDT5Y2020.B08301_data_with_ov!$AS$3:$AS$1334,$B349)</f>
        <v>#VALUE!</v>
      </c>
      <c r="M349" s="17" t="e">
        <f>SUMIFS([1]ACSDT5Y2020.B08301_data_with_ov!AU$3:AU$1334,[1]ACSDT5Y2020.B08301_data_with_ov!$AS$3:$AS$1334,$B349)</f>
        <v>#VALUE!</v>
      </c>
      <c r="N349" s="17" t="e">
        <f>SUMIFS([1]ACSDT5Y2020.B08301_data_with_ov!AV$3:AV$1334,[1]ACSDT5Y2020.B08301_data_with_ov!$AS$3:$AS$1334,$B349)</f>
        <v>#VALUE!</v>
      </c>
      <c r="O349" s="17" t="e">
        <f>SUMIFS([1]ACSDT5Y2020.B08301_data_with_ov!AW$3:AW$1334,[1]ACSDT5Y2020.B08301_data_with_ov!$AS$3:$AS$1334,$B349)</f>
        <v>#VALUE!</v>
      </c>
      <c r="P349" s="17" t="e">
        <f>SUMIFS([1]ACSDT5Y2020.B08301_data_with_ov!AX$3:AX$1334,[1]ACSDT5Y2020.B08301_data_with_ov!$AS$3:$AS$1334,$B349)</f>
        <v>#VALUE!</v>
      </c>
      <c r="Q349" s="17" t="e">
        <f>SUMIFS([1]ACSDT5Y2020.B08301_data_with_ov!AY$3:AY$1334,[1]ACSDT5Y2020.B08301_data_with_ov!$AS$3:$AS$1334,$B349)</f>
        <v>#VALUE!</v>
      </c>
      <c r="R349" s="17" t="e">
        <f>SUMIFS([1]ACSDT5Y2020.B08301_data_with_ov!AZ$3:AZ$1334,[1]ACSDT5Y2020.B08301_data_with_ov!$AS$3:$AS$1334,$B349)</f>
        <v>#VALUE!</v>
      </c>
      <c r="S349" s="17" t="e">
        <f>SUMIFS([1]ACSDT5Y2020.B08301_data_with_ov!BA$3:BA$1334,[1]ACSDT5Y2020.B08301_data_with_ov!$AS$3:$AS$1334,$B349)</f>
        <v>#VALUE!</v>
      </c>
      <c r="T349" s="188">
        <v>8.5256170742443613E-2</v>
      </c>
      <c r="U349" s="189" t="e">
        <f t="shared" si="23"/>
        <v>#VALUE!</v>
      </c>
      <c r="V349" s="188">
        <v>8.5256170742443613E-2</v>
      </c>
      <c r="W349" s="189" t="e">
        <f t="shared" si="20"/>
        <v>#VALUE!</v>
      </c>
      <c r="X349" s="188">
        <v>8.5256170742443613E-2</v>
      </c>
      <c r="Y349" s="189" t="e">
        <f t="shared" si="21"/>
        <v>#VALUE!</v>
      </c>
      <c r="Z349" s="188">
        <v>8.5256170742443613E-2</v>
      </c>
      <c r="AA349" s="189" t="e">
        <f t="shared" si="22"/>
        <v>#VALUE!</v>
      </c>
    </row>
    <row r="350" spans="1:27" x14ac:dyDescent="0.25">
      <c r="A350">
        <v>841400</v>
      </c>
      <c r="B350">
        <v>17031841400</v>
      </c>
      <c r="C350">
        <v>17031</v>
      </c>
      <c r="D350">
        <v>2010</v>
      </c>
      <c r="E350">
        <v>29</v>
      </c>
      <c r="F350">
        <v>2596681.6643055798</v>
      </c>
      <c r="G350" s="45">
        <v>9.3143138211144824E-2</v>
      </c>
      <c r="H350" s="60" t="str">
        <f>_xlfn.IFNA(
INDEX('Community Areas'!B$2:B$78,MATCH($E350,'Community Areas'!$A$2:$A$78,0)),
"")</f>
        <v>NORTH LAWNDALE</v>
      </c>
      <c r="I350" s="63" t="str">
        <f>_xlfn.IFNA(
INDEX('Community Areas'!C$2:C$78,MATCH($E350,'Community Areas'!$A$2:$A$78,0)),
"")</f>
        <v>3-A</v>
      </c>
      <c r="J350" s="63">
        <f>_xlfn.IFNA(
INDEX('Community Areas'!D$2:D$78,MATCH($E350,'Community Areas'!$A$2:$A$78,0)),
"")</f>
        <v>3</v>
      </c>
      <c r="K350" s="60" t="str">
        <f>_xlfn.IFNA(
INDEX('Community Areas'!E$2:E$78,MATCH($E350,'Community Areas'!$A$2:$A$78,0)),
"")</f>
        <v>WEST</v>
      </c>
      <c r="L350" s="17" t="e">
        <f>SUMIFS([1]ACSDT5Y2020.B08301_data_with_ov!AT$3:AT$1334,[1]ACSDT5Y2020.B08301_data_with_ov!$AS$3:$AS$1334,$B350)</f>
        <v>#VALUE!</v>
      </c>
      <c r="M350" s="17" t="e">
        <f>SUMIFS([1]ACSDT5Y2020.B08301_data_with_ov!AU$3:AU$1334,[1]ACSDT5Y2020.B08301_data_with_ov!$AS$3:$AS$1334,$B350)</f>
        <v>#VALUE!</v>
      </c>
      <c r="N350" s="17" t="e">
        <f>SUMIFS([1]ACSDT5Y2020.B08301_data_with_ov!AV$3:AV$1334,[1]ACSDT5Y2020.B08301_data_with_ov!$AS$3:$AS$1334,$B350)</f>
        <v>#VALUE!</v>
      </c>
      <c r="O350" s="17" t="e">
        <f>SUMIFS([1]ACSDT5Y2020.B08301_data_with_ov!AW$3:AW$1334,[1]ACSDT5Y2020.B08301_data_with_ov!$AS$3:$AS$1334,$B350)</f>
        <v>#VALUE!</v>
      </c>
      <c r="P350" s="17" t="e">
        <f>SUMIFS([1]ACSDT5Y2020.B08301_data_with_ov!AX$3:AX$1334,[1]ACSDT5Y2020.B08301_data_with_ov!$AS$3:$AS$1334,$B350)</f>
        <v>#VALUE!</v>
      </c>
      <c r="Q350" s="17" t="e">
        <f>SUMIFS([1]ACSDT5Y2020.B08301_data_with_ov!AY$3:AY$1334,[1]ACSDT5Y2020.B08301_data_with_ov!$AS$3:$AS$1334,$B350)</f>
        <v>#VALUE!</v>
      </c>
      <c r="R350" s="17" t="e">
        <f>SUMIFS([1]ACSDT5Y2020.B08301_data_with_ov!AZ$3:AZ$1334,[1]ACSDT5Y2020.B08301_data_with_ov!$AS$3:$AS$1334,$B350)</f>
        <v>#VALUE!</v>
      </c>
      <c r="S350" s="17" t="e">
        <f>SUMIFS([1]ACSDT5Y2020.B08301_data_with_ov!BA$3:BA$1334,[1]ACSDT5Y2020.B08301_data_with_ov!$AS$3:$AS$1334,$B350)</f>
        <v>#VALUE!</v>
      </c>
      <c r="T350" s="188">
        <v>9.3143137600160353E-2</v>
      </c>
      <c r="U350" s="189" t="e">
        <f t="shared" si="23"/>
        <v>#VALUE!</v>
      </c>
      <c r="V350" s="188">
        <v>9.3143137600160353E-2</v>
      </c>
      <c r="W350" s="189" t="e">
        <f t="shared" si="20"/>
        <v>#VALUE!</v>
      </c>
      <c r="X350" s="188">
        <v>9.3143137600160353E-2</v>
      </c>
      <c r="Y350" s="189" t="e">
        <f t="shared" si="21"/>
        <v>#VALUE!</v>
      </c>
      <c r="Z350" s="188">
        <v>9.3143137600160353E-2</v>
      </c>
      <c r="AA350" s="189" t="e">
        <f t="shared" si="22"/>
        <v>#VALUE!</v>
      </c>
    </row>
    <row r="351" spans="1:27" x14ac:dyDescent="0.25">
      <c r="A351">
        <v>838600</v>
      </c>
      <c r="B351">
        <v>17031838600</v>
      </c>
      <c r="C351">
        <v>17031</v>
      </c>
      <c r="D351">
        <v>2010</v>
      </c>
      <c r="E351">
        <v>29</v>
      </c>
      <c r="F351">
        <v>2650804.15023873</v>
      </c>
      <c r="G351" s="45">
        <v>9.508451526051459E-2</v>
      </c>
      <c r="H351" s="60" t="str">
        <f>_xlfn.IFNA(
INDEX('Community Areas'!B$2:B$78,MATCH($E351,'Community Areas'!$A$2:$A$78,0)),
"")</f>
        <v>NORTH LAWNDALE</v>
      </c>
      <c r="I351" s="63" t="str">
        <f>_xlfn.IFNA(
INDEX('Community Areas'!C$2:C$78,MATCH($E351,'Community Areas'!$A$2:$A$78,0)),
"")</f>
        <v>3-A</v>
      </c>
      <c r="J351" s="63">
        <f>_xlfn.IFNA(
INDEX('Community Areas'!D$2:D$78,MATCH($E351,'Community Areas'!$A$2:$A$78,0)),
"")</f>
        <v>3</v>
      </c>
      <c r="K351" s="60" t="str">
        <f>_xlfn.IFNA(
INDEX('Community Areas'!E$2:E$78,MATCH($E351,'Community Areas'!$A$2:$A$78,0)),
"")</f>
        <v>WEST</v>
      </c>
      <c r="L351" s="17" t="e">
        <f>SUMIFS([1]ACSDT5Y2020.B08301_data_with_ov!AT$3:AT$1334,[1]ACSDT5Y2020.B08301_data_with_ov!$AS$3:$AS$1334,$B351)</f>
        <v>#VALUE!</v>
      </c>
      <c r="M351" s="17" t="e">
        <f>SUMIFS([1]ACSDT5Y2020.B08301_data_with_ov!AU$3:AU$1334,[1]ACSDT5Y2020.B08301_data_with_ov!$AS$3:$AS$1334,$B351)</f>
        <v>#VALUE!</v>
      </c>
      <c r="N351" s="17" t="e">
        <f>SUMIFS([1]ACSDT5Y2020.B08301_data_with_ov!AV$3:AV$1334,[1]ACSDT5Y2020.B08301_data_with_ov!$AS$3:$AS$1334,$B351)</f>
        <v>#VALUE!</v>
      </c>
      <c r="O351" s="17" t="e">
        <f>SUMIFS([1]ACSDT5Y2020.B08301_data_with_ov!AW$3:AW$1334,[1]ACSDT5Y2020.B08301_data_with_ov!$AS$3:$AS$1334,$B351)</f>
        <v>#VALUE!</v>
      </c>
      <c r="P351" s="17" t="e">
        <f>SUMIFS([1]ACSDT5Y2020.B08301_data_with_ov!AX$3:AX$1334,[1]ACSDT5Y2020.B08301_data_with_ov!$AS$3:$AS$1334,$B351)</f>
        <v>#VALUE!</v>
      </c>
      <c r="Q351" s="17" t="e">
        <f>SUMIFS([1]ACSDT5Y2020.B08301_data_with_ov!AY$3:AY$1334,[1]ACSDT5Y2020.B08301_data_with_ov!$AS$3:$AS$1334,$B351)</f>
        <v>#VALUE!</v>
      </c>
      <c r="R351" s="17" t="e">
        <f>SUMIFS([1]ACSDT5Y2020.B08301_data_with_ov!AZ$3:AZ$1334,[1]ACSDT5Y2020.B08301_data_with_ov!$AS$3:$AS$1334,$B351)</f>
        <v>#VALUE!</v>
      </c>
      <c r="S351" s="17" t="e">
        <f>SUMIFS([1]ACSDT5Y2020.B08301_data_with_ov!BA$3:BA$1334,[1]ACSDT5Y2020.B08301_data_with_ov!$AS$3:$AS$1334,$B351)</f>
        <v>#VALUE!</v>
      </c>
      <c r="T351" s="188">
        <v>9.5084511438260452E-2</v>
      </c>
      <c r="U351" s="189" t="e">
        <f t="shared" si="23"/>
        <v>#VALUE!</v>
      </c>
      <c r="V351" s="188">
        <v>9.5084511438260452E-2</v>
      </c>
      <c r="W351" s="189" t="e">
        <f t="shared" si="20"/>
        <v>#VALUE!</v>
      </c>
      <c r="X351" s="188">
        <v>9.5084511438260452E-2</v>
      </c>
      <c r="Y351" s="189" t="e">
        <f t="shared" si="21"/>
        <v>#VALUE!</v>
      </c>
      <c r="Z351" s="188">
        <v>9.5084511438260452E-2</v>
      </c>
      <c r="AA351" s="189" t="e">
        <f t="shared" si="22"/>
        <v>#VALUE!</v>
      </c>
    </row>
    <row r="352" spans="1:27" x14ac:dyDescent="0.25">
      <c r="A352">
        <v>843100</v>
      </c>
      <c r="B352">
        <v>17031843100</v>
      </c>
      <c r="C352">
        <v>17031</v>
      </c>
      <c r="D352">
        <v>2010</v>
      </c>
      <c r="E352">
        <v>29</v>
      </c>
      <c r="F352">
        <v>10844863.999245601</v>
      </c>
      <c r="G352" s="45">
        <v>0.38900596875163568</v>
      </c>
      <c r="H352" s="60" t="str">
        <f>_xlfn.IFNA(
INDEX('Community Areas'!B$2:B$78,MATCH($E352,'Community Areas'!$A$2:$A$78,0)),
"")</f>
        <v>NORTH LAWNDALE</v>
      </c>
      <c r="I352" s="63" t="str">
        <f>_xlfn.IFNA(
INDEX('Community Areas'!C$2:C$78,MATCH($E352,'Community Areas'!$A$2:$A$78,0)),
"")</f>
        <v>3-A</v>
      </c>
      <c r="J352" s="63">
        <f>_xlfn.IFNA(
INDEX('Community Areas'!D$2:D$78,MATCH($E352,'Community Areas'!$A$2:$A$78,0)),
"")</f>
        <v>3</v>
      </c>
      <c r="K352" s="60" t="str">
        <f>_xlfn.IFNA(
INDEX('Community Areas'!E$2:E$78,MATCH($E352,'Community Areas'!$A$2:$A$78,0)),
"")</f>
        <v>WEST</v>
      </c>
      <c r="L352" s="17" t="e">
        <f>SUMIFS([1]ACSDT5Y2020.B08301_data_with_ov!AT$3:AT$1334,[1]ACSDT5Y2020.B08301_data_with_ov!$AS$3:$AS$1334,$B352)</f>
        <v>#VALUE!</v>
      </c>
      <c r="M352" s="17" t="e">
        <f>SUMIFS([1]ACSDT5Y2020.B08301_data_with_ov!AU$3:AU$1334,[1]ACSDT5Y2020.B08301_data_with_ov!$AS$3:$AS$1334,$B352)</f>
        <v>#VALUE!</v>
      </c>
      <c r="N352" s="17" t="e">
        <f>SUMIFS([1]ACSDT5Y2020.B08301_data_with_ov!AV$3:AV$1334,[1]ACSDT5Y2020.B08301_data_with_ov!$AS$3:$AS$1334,$B352)</f>
        <v>#VALUE!</v>
      </c>
      <c r="O352" s="17" t="e">
        <f>SUMIFS([1]ACSDT5Y2020.B08301_data_with_ov!AW$3:AW$1334,[1]ACSDT5Y2020.B08301_data_with_ov!$AS$3:$AS$1334,$B352)</f>
        <v>#VALUE!</v>
      </c>
      <c r="P352" s="17" t="e">
        <f>SUMIFS([1]ACSDT5Y2020.B08301_data_with_ov!AX$3:AX$1334,[1]ACSDT5Y2020.B08301_data_with_ov!$AS$3:$AS$1334,$B352)</f>
        <v>#VALUE!</v>
      </c>
      <c r="Q352" s="17" t="e">
        <f>SUMIFS([1]ACSDT5Y2020.B08301_data_with_ov!AY$3:AY$1334,[1]ACSDT5Y2020.B08301_data_with_ov!$AS$3:$AS$1334,$B352)</f>
        <v>#VALUE!</v>
      </c>
      <c r="R352" s="17" t="e">
        <f>SUMIFS([1]ACSDT5Y2020.B08301_data_with_ov!AZ$3:AZ$1334,[1]ACSDT5Y2020.B08301_data_with_ov!$AS$3:$AS$1334,$B352)</f>
        <v>#VALUE!</v>
      </c>
      <c r="S352" s="17" t="e">
        <f>SUMIFS([1]ACSDT5Y2020.B08301_data_with_ov!BA$3:BA$1334,[1]ACSDT5Y2020.B08301_data_with_ov!$AS$3:$AS$1334,$B352)</f>
        <v>#VALUE!</v>
      </c>
      <c r="T352" s="188">
        <v>0.38900596369352258</v>
      </c>
      <c r="U352" s="189" t="e">
        <f t="shared" si="23"/>
        <v>#VALUE!</v>
      </c>
      <c r="V352" s="188">
        <v>0.38900596369352258</v>
      </c>
      <c r="W352" s="189" t="e">
        <f t="shared" si="20"/>
        <v>#VALUE!</v>
      </c>
      <c r="X352" s="188">
        <v>0.38900596369352258</v>
      </c>
      <c r="Y352" s="189" t="e">
        <f t="shared" si="21"/>
        <v>#VALUE!</v>
      </c>
      <c r="Z352" s="188">
        <v>0.38900596369352258</v>
      </c>
      <c r="AA352" s="189" t="e">
        <f t="shared" si="22"/>
        <v>#VALUE!</v>
      </c>
    </row>
    <row r="353" spans="1:27" x14ac:dyDescent="0.25">
      <c r="A353">
        <v>843300</v>
      </c>
      <c r="B353">
        <v>17031843300</v>
      </c>
      <c r="C353">
        <v>17031</v>
      </c>
      <c r="D353">
        <v>2010</v>
      </c>
      <c r="E353">
        <v>29</v>
      </c>
      <c r="F353">
        <v>6376550.6477005603</v>
      </c>
      <c r="G353" s="45">
        <v>0.22872728161230774</v>
      </c>
      <c r="H353" s="60" t="str">
        <f>_xlfn.IFNA(
INDEX('Community Areas'!B$2:B$78,MATCH($E353,'Community Areas'!$A$2:$A$78,0)),
"")</f>
        <v>NORTH LAWNDALE</v>
      </c>
      <c r="I353" s="63" t="str">
        <f>_xlfn.IFNA(
INDEX('Community Areas'!C$2:C$78,MATCH($E353,'Community Areas'!$A$2:$A$78,0)),
"")</f>
        <v>3-A</v>
      </c>
      <c r="J353" s="63">
        <f>_xlfn.IFNA(
INDEX('Community Areas'!D$2:D$78,MATCH($E353,'Community Areas'!$A$2:$A$78,0)),
"")</f>
        <v>3</v>
      </c>
      <c r="K353" s="60" t="str">
        <f>_xlfn.IFNA(
INDEX('Community Areas'!E$2:E$78,MATCH($E353,'Community Areas'!$A$2:$A$78,0)),
"")</f>
        <v>WEST</v>
      </c>
      <c r="L353" s="17" t="e">
        <f>SUMIFS([1]ACSDT5Y2020.B08301_data_with_ov!AT$3:AT$1334,[1]ACSDT5Y2020.B08301_data_with_ov!$AS$3:$AS$1334,$B353)</f>
        <v>#VALUE!</v>
      </c>
      <c r="M353" s="17" t="e">
        <f>SUMIFS([1]ACSDT5Y2020.B08301_data_with_ov!AU$3:AU$1334,[1]ACSDT5Y2020.B08301_data_with_ov!$AS$3:$AS$1334,$B353)</f>
        <v>#VALUE!</v>
      </c>
      <c r="N353" s="17" t="e">
        <f>SUMIFS([1]ACSDT5Y2020.B08301_data_with_ov!AV$3:AV$1334,[1]ACSDT5Y2020.B08301_data_with_ov!$AS$3:$AS$1334,$B353)</f>
        <v>#VALUE!</v>
      </c>
      <c r="O353" s="17" t="e">
        <f>SUMIFS([1]ACSDT5Y2020.B08301_data_with_ov!AW$3:AW$1334,[1]ACSDT5Y2020.B08301_data_with_ov!$AS$3:$AS$1334,$B353)</f>
        <v>#VALUE!</v>
      </c>
      <c r="P353" s="17" t="e">
        <f>SUMIFS([1]ACSDT5Y2020.B08301_data_with_ov!AX$3:AX$1334,[1]ACSDT5Y2020.B08301_data_with_ov!$AS$3:$AS$1334,$B353)</f>
        <v>#VALUE!</v>
      </c>
      <c r="Q353" s="17" t="e">
        <f>SUMIFS([1]ACSDT5Y2020.B08301_data_with_ov!AY$3:AY$1334,[1]ACSDT5Y2020.B08301_data_with_ov!$AS$3:$AS$1334,$B353)</f>
        <v>#VALUE!</v>
      </c>
      <c r="R353" s="17" t="e">
        <f>SUMIFS([1]ACSDT5Y2020.B08301_data_with_ov!AZ$3:AZ$1334,[1]ACSDT5Y2020.B08301_data_with_ov!$AS$3:$AS$1334,$B353)</f>
        <v>#VALUE!</v>
      </c>
      <c r="S353" s="17" t="e">
        <f>SUMIFS([1]ACSDT5Y2020.B08301_data_with_ov!BA$3:BA$1334,[1]ACSDT5Y2020.B08301_data_with_ov!$AS$3:$AS$1334,$B353)</f>
        <v>#VALUE!</v>
      </c>
      <c r="T353" s="188">
        <v>0.22872728221035354</v>
      </c>
      <c r="U353" s="189" t="e">
        <f t="shared" si="23"/>
        <v>#VALUE!</v>
      </c>
      <c r="V353" s="188">
        <v>0.22872728221035354</v>
      </c>
      <c r="W353" s="189" t="e">
        <f t="shared" si="20"/>
        <v>#VALUE!</v>
      </c>
      <c r="X353" s="188">
        <v>0.22872728221035354</v>
      </c>
      <c r="Y353" s="189" t="e">
        <f t="shared" si="21"/>
        <v>#VALUE!</v>
      </c>
      <c r="Z353" s="188">
        <v>0.22872728221035354</v>
      </c>
      <c r="AA353" s="189" t="e">
        <f t="shared" si="22"/>
        <v>#VALUE!</v>
      </c>
    </row>
    <row r="354" spans="1:27" x14ac:dyDescent="0.25">
      <c r="A354">
        <v>838700</v>
      </c>
      <c r="B354">
        <v>17031838700</v>
      </c>
      <c r="C354">
        <v>17031</v>
      </c>
      <c r="D354">
        <v>2010</v>
      </c>
      <c r="E354">
        <v>29</v>
      </c>
      <c r="F354">
        <v>7083629.0813018903</v>
      </c>
      <c r="G354" s="45">
        <v>0.25409023047599183</v>
      </c>
      <c r="H354" s="60" t="str">
        <f>_xlfn.IFNA(
INDEX('Community Areas'!B$2:B$78,MATCH($E354,'Community Areas'!$A$2:$A$78,0)),
"")</f>
        <v>NORTH LAWNDALE</v>
      </c>
      <c r="I354" s="63" t="str">
        <f>_xlfn.IFNA(
INDEX('Community Areas'!C$2:C$78,MATCH($E354,'Community Areas'!$A$2:$A$78,0)),
"")</f>
        <v>3-A</v>
      </c>
      <c r="J354" s="63">
        <f>_xlfn.IFNA(
INDEX('Community Areas'!D$2:D$78,MATCH($E354,'Community Areas'!$A$2:$A$78,0)),
"")</f>
        <v>3</v>
      </c>
      <c r="K354" s="60" t="str">
        <f>_xlfn.IFNA(
INDEX('Community Areas'!E$2:E$78,MATCH($E354,'Community Areas'!$A$2:$A$78,0)),
"")</f>
        <v>WEST</v>
      </c>
      <c r="L354" s="17" t="e">
        <f>SUMIFS([1]ACSDT5Y2020.B08301_data_with_ov!AT$3:AT$1334,[1]ACSDT5Y2020.B08301_data_with_ov!$AS$3:$AS$1334,$B354)</f>
        <v>#VALUE!</v>
      </c>
      <c r="M354" s="17" t="e">
        <f>SUMIFS([1]ACSDT5Y2020.B08301_data_with_ov!AU$3:AU$1334,[1]ACSDT5Y2020.B08301_data_with_ov!$AS$3:$AS$1334,$B354)</f>
        <v>#VALUE!</v>
      </c>
      <c r="N354" s="17" t="e">
        <f>SUMIFS([1]ACSDT5Y2020.B08301_data_with_ov!AV$3:AV$1334,[1]ACSDT5Y2020.B08301_data_with_ov!$AS$3:$AS$1334,$B354)</f>
        <v>#VALUE!</v>
      </c>
      <c r="O354" s="17" t="e">
        <f>SUMIFS([1]ACSDT5Y2020.B08301_data_with_ov!AW$3:AW$1334,[1]ACSDT5Y2020.B08301_data_with_ov!$AS$3:$AS$1334,$B354)</f>
        <v>#VALUE!</v>
      </c>
      <c r="P354" s="17" t="e">
        <f>SUMIFS([1]ACSDT5Y2020.B08301_data_with_ov!AX$3:AX$1334,[1]ACSDT5Y2020.B08301_data_with_ov!$AS$3:$AS$1334,$B354)</f>
        <v>#VALUE!</v>
      </c>
      <c r="Q354" s="17" t="e">
        <f>SUMIFS([1]ACSDT5Y2020.B08301_data_with_ov!AY$3:AY$1334,[1]ACSDT5Y2020.B08301_data_with_ov!$AS$3:$AS$1334,$B354)</f>
        <v>#VALUE!</v>
      </c>
      <c r="R354" s="17" t="e">
        <f>SUMIFS([1]ACSDT5Y2020.B08301_data_with_ov!AZ$3:AZ$1334,[1]ACSDT5Y2020.B08301_data_with_ov!$AS$3:$AS$1334,$B354)</f>
        <v>#VALUE!</v>
      </c>
      <c r="S354" s="17" t="e">
        <f>SUMIFS([1]ACSDT5Y2020.B08301_data_with_ov!BA$3:BA$1334,[1]ACSDT5Y2020.B08301_data_with_ov!$AS$3:$AS$1334,$B354)</f>
        <v>#VALUE!</v>
      </c>
      <c r="T354" s="188">
        <v>0.25409022529425251</v>
      </c>
      <c r="U354" s="189" t="e">
        <f t="shared" si="23"/>
        <v>#VALUE!</v>
      </c>
      <c r="V354" s="188">
        <v>0.25409022529425251</v>
      </c>
      <c r="W354" s="189" t="e">
        <f t="shared" si="20"/>
        <v>#VALUE!</v>
      </c>
      <c r="X354" s="188">
        <v>0.25409022529425251</v>
      </c>
      <c r="Y354" s="189" t="e">
        <f t="shared" si="21"/>
        <v>#VALUE!</v>
      </c>
      <c r="Z354" s="188">
        <v>0.25409022529425251</v>
      </c>
      <c r="AA354" s="189" t="e">
        <f t="shared" si="22"/>
        <v>#VALUE!</v>
      </c>
    </row>
    <row r="355" spans="1:27" x14ac:dyDescent="0.25">
      <c r="A355">
        <v>292500</v>
      </c>
      <c r="B355">
        <v>17031292500</v>
      </c>
      <c r="C355">
        <v>17031</v>
      </c>
      <c r="D355">
        <v>2010</v>
      </c>
      <c r="E355">
        <v>29</v>
      </c>
      <c r="F355">
        <v>10751827.100140501</v>
      </c>
      <c r="G355" s="45">
        <v>0.38566872920040252</v>
      </c>
      <c r="H355" s="60" t="str">
        <f>_xlfn.IFNA(
INDEX('Community Areas'!B$2:B$78,MATCH($E355,'Community Areas'!$A$2:$A$78,0)),
"")</f>
        <v>NORTH LAWNDALE</v>
      </c>
      <c r="I355" s="63" t="str">
        <f>_xlfn.IFNA(
INDEX('Community Areas'!C$2:C$78,MATCH($E355,'Community Areas'!$A$2:$A$78,0)),
"")</f>
        <v>3-A</v>
      </c>
      <c r="J355" s="63">
        <f>_xlfn.IFNA(
INDEX('Community Areas'!D$2:D$78,MATCH($E355,'Community Areas'!$A$2:$A$78,0)),
"")</f>
        <v>3</v>
      </c>
      <c r="K355" s="60" t="str">
        <f>_xlfn.IFNA(
INDEX('Community Areas'!E$2:E$78,MATCH($E355,'Community Areas'!$A$2:$A$78,0)),
"")</f>
        <v>WEST</v>
      </c>
      <c r="L355" s="17" t="e">
        <f>SUMIFS([1]ACSDT5Y2020.B08301_data_with_ov!AT$3:AT$1334,[1]ACSDT5Y2020.B08301_data_with_ov!$AS$3:$AS$1334,$B355)</f>
        <v>#VALUE!</v>
      </c>
      <c r="M355" s="17" t="e">
        <f>SUMIFS([1]ACSDT5Y2020.B08301_data_with_ov!AU$3:AU$1334,[1]ACSDT5Y2020.B08301_data_with_ov!$AS$3:$AS$1334,$B355)</f>
        <v>#VALUE!</v>
      </c>
      <c r="N355" s="17" t="e">
        <f>SUMIFS([1]ACSDT5Y2020.B08301_data_with_ov!AV$3:AV$1334,[1]ACSDT5Y2020.B08301_data_with_ov!$AS$3:$AS$1334,$B355)</f>
        <v>#VALUE!</v>
      </c>
      <c r="O355" s="17" t="e">
        <f>SUMIFS([1]ACSDT5Y2020.B08301_data_with_ov!AW$3:AW$1334,[1]ACSDT5Y2020.B08301_data_with_ov!$AS$3:$AS$1334,$B355)</f>
        <v>#VALUE!</v>
      </c>
      <c r="P355" s="17" t="e">
        <f>SUMIFS([1]ACSDT5Y2020.B08301_data_with_ov!AX$3:AX$1334,[1]ACSDT5Y2020.B08301_data_with_ov!$AS$3:$AS$1334,$B355)</f>
        <v>#VALUE!</v>
      </c>
      <c r="Q355" s="17" t="e">
        <f>SUMIFS([1]ACSDT5Y2020.B08301_data_with_ov!AY$3:AY$1334,[1]ACSDT5Y2020.B08301_data_with_ov!$AS$3:$AS$1334,$B355)</f>
        <v>#VALUE!</v>
      </c>
      <c r="R355" s="17" t="e">
        <f>SUMIFS([1]ACSDT5Y2020.B08301_data_with_ov!AZ$3:AZ$1334,[1]ACSDT5Y2020.B08301_data_with_ov!$AS$3:$AS$1334,$B355)</f>
        <v>#VALUE!</v>
      </c>
      <c r="S355" s="17" t="e">
        <f>SUMIFS([1]ACSDT5Y2020.B08301_data_with_ov!BA$3:BA$1334,[1]ACSDT5Y2020.B08301_data_with_ov!$AS$3:$AS$1334,$B355)</f>
        <v>#VALUE!</v>
      </c>
      <c r="T355" s="188">
        <v>1.5244699763864784E-2</v>
      </c>
      <c r="U355" s="189" t="e">
        <f t="shared" si="23"/>
        <v>#VALUE!</v>
      </c>
      <c r="V355" s="188">
        <v>1.5244699763864784E-2</v>
      </c>
      <c r="W355" s="189" t="e">
        <f t="shared" si="20"/>
        <v>#VALUE!</v>
      </c>
      <c r="X355" s="188">
        <v>1.5244699763864784E-2</v>
      </c>
      <c r="Y355" s="189" t="e">
        <f t="shared" si="21"/>
        <v>#VALUE!</v>
      </c>
      <c r="Z355" s="188">
        <v>1.5244699763864784E-2</v>
      </c>
      <c r="AA355" s="189" t="e">
        <f t="shared" si="22"/>
        <v>#VALUE!</v>
      </c>
    </row>
    <row r="356" spans="1:27" x14ac:dyDescent="0.25">
      <c r="A356">
        <v>843000</v>
      </c>
      <c r="B356">
        <v>17031843000</v>
      </c>
      <c r="C356">
        <v>17031</v>
      </c>
      <c r="D356">
        <v>2010</v>
      </c>
      <c r="E356">
        <v>29</v>
      </c>
      <c r="F356">
        <v>11417806.763133099</v>
      </c>
      <c r="G356" s="45">
        <v>0.40955746252055714</v>
      </c>
      <c r="H356" s="60" t="str">
        <f>_xlfn.IFNA(
INDEX('Community Areas'!B$2:B$78,MATCH($E356,'Community Areas'!$A$2:$A$78,0)),
"")</f>
        <v>NORTH LAWNDALE</v>
      </c>
      <c r="I356" s="63" t="str">
        <f>_xlfn.IFNA(
INDEX('Community Areas'!C$2:C$78,MATCH($E356,'Community Areas'!$A$2:$A$78,0)),
"")</f>
        <v>3-A</v>
      </c>
      <c r="J356" s="63">
        <f>_xlfn.IFNA(
INDEX('Community Areas'!D$2:D$78,MATCH($E356,'Community Areas'!$A$2:$A$78,0)),
"")</f>
        <v>3</v>
      </c>
      <c r="K356" s="60" t="str">
        <f>_xlfn.IFNA(
INDEX('Community Areas'!E$2:E$78,MATCH($E356,'Community Areas'!$A$2:$A$78,0)),
"")</f>
        <v>WEST</v>
      </c>
      <c r="L356" s="17" t="e">
        <f>SUMIFS([1]ACSDT5Y2020.B08301_data_with_ov!AT$3:AT$1334,[1]ACSDT5Y2020.B08301_data_with_ov!$AS$3:$AS$1334,$B356)</f>
        <v>#VALUE!</v>
      </c>
      <c r="M356" s="17" t="e">
        <f>SUMIFS([1]ACSDT5Y2020.B08301_data_with_ov!AU$3:AU$1334,[1]ACSDT5Y2020.B08301_data_with_ov!$AS$3:$AS$1334,$B356)</f>
        <v>#VALUE!</v>
      </c>
      <c r="N356" s="17" t="e">
        <f>SUMIFS([1]ACSDT5Y2020.B08301_data_with_ov!AV$3:AV$1334,[1]ACSDT5Y2020.B08301_data_with_ov!$AS$3:$AS$1334,$B356)</f>
        <v>#VALUE!</v>
      </c>
      <c r="O356" s="17" t="e">
        <f>SUMIFS([1]ACSDT5Y2020.B08301_data_with_ov!AW$3:AW$1334,[1]ACSDT5Y2020.B08301_data_with_ov!$AS$3:$AS$1334,$B356)</f>
        <v>#VALUE!</v>
      </c>
      <c r="P356" s="17" t="e">
        <f>SUMIFS([1]ACSDT5Y2020.B08301_data_with_ov!AX$3:AX$1334,[1]ACSDT5Y2020.B08301_data_with_ov!$AS$3:$AS$1334,$B356)</f>
        <v>#VALUE!</v>
      </c>
      <c r="Q356" s="17" t="e">
        <f>SUMIFS([1]ACSDT5Y2020.B08301_data_with_ov!AY$3:AY$1334,[1]ACSDT5Y2020.B08301_data_with_ov!$AS$3:$AS$1334,$B356)</f>
        <v>#VALUE!</v>
      </c>
      <c r="R356" s="17" t="e">
        <f>SUMIFS([1]ACSDT5Y2020.B08301_data_with_ov!AZ$3:AZ$1334,[1]ACSDT5Y2020.B08301_data_with_ov!$AS$3:$AS$1334,$B356)</f>
        <v>#VALUE!</v>
      </c>
      <c r="S356" s="17" t="e">
        <f>SUMIFS([1]ACSDT5Y2020.B08301_data_with_ov!BA$3:BA$1334,[1]ACSDT5Y2020.B08301_data_with_ov!$AS$3:$AS$1334,$B356)</f>
        <v>#VALUE!</v>
      </c>
      <c r="T356" s="188">
        <v>0.27854526014924175</v>
      </c>
      <c r="U356" s="189" t="e">
        <f t="shared" si="23"/>
        <v>#VALUE!</v>
      </c>
      <c r="V356" s="188">
        <v>0.27854526014924175</v>
      </c>
      <c r="W356" s="189" t="e">
        <f t="shared" si="20"/>
        <v>#VALUE!</v>
      </c>
      <c r="X356" s="188">
        <v>0.27854526014924175</v>
      </c>
      <c r="Y356" s="189" t="e">
        <f t="shared" si="21"/>
        <v>#VALUE!</v>
      </c>
      <c r="Z356" s="188">
        <v>0.27854526014924175</v>
      </c>
      <c r="AA356" s="189" t="e">
        <f t="shared" si="22"/>
        <v>#VALUE!</v>
      </c>
    </row>
    <row r="357" spans="1:27" x14ac:dyDescent="0.25">
      <c r="A357">
        <v>292400</v>
      </c>
      <c r="B357">
        <v>17031292400</v>
      </c>
      <c r="C357">
        <v>17031</v>
      </c>
      <c r="D357">
        <v>2010</v>
      </c>
      <c r="E357">
        <v>29</v>
      </c>
      <c r="F357">
        <v>3561491.1461907201</v>
      </c>
      <c r="G357" s="45">
        <v>0.12775091634350322</v>
      </c>
      <c r="H357" s="60" t="str">
        <f>_xlfn.IFNA(
INDEX('Community Areas'!B$2:B$78,MATCH($E357,'Community Areas'!$A$2:$A$78,0)),
"")</f>
        <v>NORTH LAWNDALE</v>
      </c>
      <c r="I357" s="63" t="str">
        <f>_xlfn.IFNA(
INDEX('Community Areas'!C$2:C$78,MATCH($E357,'Community Areas'!$A$2:$A$78,0)),
"")</f>
        <v>3-A</v>
      </c>
      <c r="J357" s="63">
        <f>_xlfn.IFNA(
INDEX('Community Areas'!D$2:D$78,MATCH($E357,'Community Areas'!$A$2:$A$78,0)),
"")</f>
        <v>3</v>
      </c>
      <c r="K357" s="60" t="str">
        <f>_xlfn.IFNA(
INDEX('Community Areas'!E$2:E$78,MATCH($E357,'Community Areas'!$A$2:$A$78,0)),
"")</f>
        <v>WEST</v>
      </c>
      <c r="L357" s="17" t="e">
        <f>SUMIFS([1]ACSDT5Y2020.B08301_data_with_ov!AT$3:AT$1334,[1]ACSDT5Y2020.B08301_data_with_ov!$AS$3:$AS$1334,$B357)</f>
        <v>#VALUE!</v>
      </c>
      <c r="M357" s="17" t="e">
        <f>SUMIFS([1]ACSDT5Y2020.B08301_data_with_ov!AU$3:AU$1334,[1]ACSDT5Y2020.B08301_data_with_ov!$AS$3:$AS$1334,$B357)</f>
        <v>#VALUE!</v>
      </c>
      <c r="N357" s="17" t="e">
        <f>SUMIFS([1]ACSDT5Y2020.B08301_data_with_ov!AV$3:AV$1334,[1]ACSDT5Y2020.B08301_data_with_ov!$AS$3:$AS$1334,$B357)</f>
        <v>#VALUE!</v>
      </c>
      <c r="O357" s="17" t="e">
        <f>SUMIFS([1]ACSDT5Y2020.B08301_data_with_ov!AW$3:AW$1334,[1]ACSDT5Y2020.B08301_data_with_ov!$AS$3:$AS$1334,$B357)</f>
        <v>#VALUE!</v>
      </c>
      <c r="P357" s="17" t="e">
        <f>SUMIFS([1]ACSDT5Y2020.B08301_data_with_ov!AX$3:AX$1334,[1]ACSDT5Y2020.B08301_data_with_ov!$AS$3:$AS$1334,$B357)</f>
        <v>#VALUE!</v>
      </c>
      <c r="Q357" s="17" t="e">
        <f>SUMIFS([1]ACSDT5Y2020.B08301_data_with_ov!AY$3:AY$1334,[1]ACSDT5Y2020.B08301_data_with_ov!$AS$3:$AS$1334,$B357)</f>
        <v>#VALUE!</v>
      </c>
      <c r="R357" s="17" t="e">
        <f>SUMIFS([1]ACSDT5Y2020.B08301_data_with_ov!AZ$3:AZ$1334,[1]ACSDT5Y2020.B08301_data_with_ov!$AS$3:$AS$1334,$B357)</f>
        <v>#VALUE!</v>
      </c>
      <c r="S357" s="17" t="e">
        <f>SUMIFS([1]ACSDT5Y2020.B08301_data_with_ov!BA$3:BA$1334,[1]ACSDT5Y2020.B08301_data_with_ov!$AS$3:$AS$1334,$B357)</f>
        <v>#VALUE!</v>
      </c>
      <c r="T357" s="188">
        <v>0.12664983128899221</v>
      </c>
      <c r="U357" s="189" t="e">
        <f t="shared" si="23"/>
        <v>#VALUE!</v>
      </c>
      <c r="V357" s="188">
        <v>0.12664983128899221</v>
      </c>
      <c r="W357" s="189" t="e">
        <f t="shared" si="20"/>
        <v>#VALUE!</v>
      </c>
      <c r="X357" s="188">
        <v>0.12664983128899221</v>
      </c>
      <c r="Y357" s="189" t="e">
        <f t="shared" si="21"/>
        <v>#VALUE!</v>
      </c>
      <c r="Z357" s="188">
        <v>0.12664983128899221</v>
      </c>
      <c r="AA357" s="189" t="e">
        <f t="shared" si="22"/>
        <v>#VALUE!</v>
      </c>
    </row>
    <row r="358" spans="1:27" x14ac:dyDescent="0.25">
      <c r="A358">
        <v>841500</v>
      </c>
      <c r="B358">
        <v>17031841500</v>
      </c>
      <c r="C358">
        <v>17031</v>
      </c>
      <c r="D358">
        <v>2010</v>
      </c>
      <c r="E358">
        <v>29</v>
      </c>
      <c r="F358">
        <v>4712673.8696518596</v>
      </c>
      <c r="G358" s="45">
        <v>0.16904391463110721</v>
      </c>
      <c r="H358" s="60" t="str">
        <f>_xlfn.IFNA(
INDEX('Community Areas'!B$2:B$78,MATCH($E358,'Community Areas'!$A$2:$A$78,0)),
"")</f>
        <v>NORTH LAWNDALE</v>
      </c>
      <c r="I358" s="63" t="str">
        <f>_xlfn.IFNA(
INDEX('Community Areas'!C$2:C$78,MATCH($E358,'Community Areas'!$A$2:$A$78,0)),
"")</f>
        <v>3-A</v>
      </c>
      <c r="J358" s="63">
        <f>_xlfn.IFNA(
INDEX('Community Areas'!D$2:D$78,MATCH($E358,'Community Areas'!$A$2:$A$78,0)),
"")</f>
        <v>3</v>
      </c>
      <c r="K358" s="60" t="str">
        <f>_xlfn.IFNA(
INDEX('Community Areas'!E$2:E$78,MATCH($E358,'Community Areas'!$A$2:$A$78,0)),
"")</f>
        <v>WEST</v>
      </c>
      <c r="L358" s="17" t="e">
        <f>SUMIFS([1]ACSDT5Y2020.B08301_data_with_ov!AT$3:AT$1334,[1]ACSDT5Y2020.B08301_data_with_ov!$AS$3:$AS$1334,$B358)</f>
        <v>#VALUE!</v>
      </c>
      <c r="M358" s="17" t="e">
        <f>SUMIFS([1]ACSDT5Y2020.B08301_data_with_ov!AU$3:AU$1334,[1]ACSDT5Y2020.B08301_data_with_ov!$AS$3:$AS$1334,$B358)</f>
        <v>#VALUE!</v>
      </c>
      <c r="N358" s="17" t="e">
        <f>SUMIFS([1]ACSDT5Y2020.B08301_data_with_ov!AV$3:AV$1334,[1]ACSDT5Y2020.B08301_data_with_ov!$AS$3:$AS$1334,$B358)</f>
        <v>#VALUE!</v>
      </c>
      <c r="O358" s="17" t="e">
        <f>SUMIFS([1]ACSDT5Y2020.B08301_data_with_ov!AW$3:AW$1334,[1]ACSDT5Y2020.B08301_data_with_ov!$AS$3:$AS$1334,$B358)</f>
        <v>#VALUE!</v>
      </c>
      <c r="P358" s="17" t="e">
        <f>SUMIFS([1]ACSDT5Y2020.B08301_data_with_ov!AX$3:AX$1334,[1]ACSDT5Y2020.B08301_data_with_ov!$AS$3:$AS$1334,$B358)</f>
        <v>#VALUE!</v>
      </c>
      <c r="Q358" s="17" t="e">
        <f>SUMIFS([1]ACSDT5Y2020.B08301_data_with_ov!AY$3:AY$1334,[1]ACSDT5Y2020.B08301_data_with_ov!$AS$3:$AS$1334,$B358)</f>
        <v>#VALUE!</v>
      </c>
      <c r="R358" s="17" t="e">
        <f>SUMIFS([1]ACSDT5Y2020.B08301_data_with_ov!AZ$3:AZ$1334,[1]ACSDT5Y2020.B08301_data_with_ov!$AS$3:$AS$1334,$B358)</f>
        <v>#VALUE!</v>
      </c>
      <c r="S358" s="17" t="e">
        <f>SUMIFS([1]ACSDT5Y2020.B08301_data_with_ov!BA$3:BA$1334,[1]ACSDT5Y2020.B08301_data_with_ov!$AS$3:$AS$1334,$B358)</f>
        <v>#VALUE!</v>
      </c>
      <c r="T358" s="188">
        <v>0.16904391873790606</v>
      </c>
      <c r="U358" s="189" t="e">
        <f t="shared" si="23"/>
        <v>#VALUE!</v>
      </c>
      <c r="V358" s="188">
        <v>0.16904391873790606</v>
      </c>
      <c r="W358" s="189" t="e">
        <f t="shared" si="20"/>
        <v>#VALUE!</v>
      </c>
      <c r="X358" s="188">
        <v>0.16904391873790606</v>
      </c>
      <c r="Y358" s="189" t="e">
        <f t="shared" si="21"/>
        <v>#VALUE!</v>
      </c>
      <c r="Z358" s="188">
        <v>0.16904391873790606</v>
      </c>
      <c r="AA358" s="189" t="e">
        <f t="shared" si="22"/>
        <v>#VALUE!</v>
      </c>
    </row>
    <row r="359" spans="1:27" x14ac:dyDescent="0.25">
      <c r="A359">
        <v>292200</v>
      </c>
      <c r="B359">
        <v>17031292200</v>
      </c>
      <c r="C359">
        <v>17031</v>
      </c>
      <c r="D359">
        <v>2010</v>
      </c>
      <c r="E359">
        <v>29</v>
      </c>
      <c r="F359">
        <v>4256210.4734648503</v>
      </c>
      <c r="G359" s="45">
        <v>0.15267054326879773</v>
      </c>
      <c r="H359" s="60" t="str">
        <f>_xlfn.IFNA(
INDEX('Community Areas'!B$2:B$78,MATCH($E359,'Community Areas'!$A$2:$A$78,0)),
"")</f>
        <v>NORTH LAWNDALE</v>
      </c>
      <c r="I359" s="63" t="str">
        <f>_xlfn.IFNA(
INDEX('Community Areas'!C$2:C$78,MATCH($E359,'Community Areas'!$A$2:$A$78,0)),
"")</f>
        <v>3-A</v>
      </c>
      <c r="J359" s="63">
        <f>_xlfn.IFNA(
INDEX('Community Areas'!D$2:D$78,MATCH($E359,'Community Areas'!$A$2:$A$78,0)),
"")</f>
        <v>3</v>
      </c>
      <c r="K359" s="60" t="str">
        <f>_xlfn.IFNA(
INDEX('Community Areas'!E$2:E$78,MATCH($E359,'Community Areas'!$A$2:$A$78,0)),
"")</f>
        <v>WEST</v>
      </c>
      <c r="L359" s="17" t="e">
        <f>SUMIFS([1]ACSDT5Y2020.B08301_data_with_ov!AT$3:AT$1334,[1]ACSDT5Y2020.B08301_data_with_ov!$AS$3:$AS$1334,$B359)</f>
        <v>#VALUE!</v>
      </c>
      <c r="M359" s="17" t="e">
        <f>SUMIFS([1]ACSDT5Y2020.B08301_data_with_ov!AU$3:AU$1334,[1]ACSDT5Y2020.B08301_data_with_ov!$AS$3:$AS$1334,$B359)</f>
        <v>#VALUE!</v>
      </c>
      <c r="N359" s="17" t="e">
        <f>SUMIFS([1]ACSDT5Y2020.B08301_data_with_ov!AV$3:AV$1334,[1]ACSDT5Y2020.B08301_data_with_ov!$AS$3:$AS$1334,$B359)</f>
        <v>#VALUE!</v>
      </c>
      <c r="O359" s="17" t="e">
        <f>SUMIFS([1]ACSDT5Y2020.B08301_data_with_ov!AW$3:AW$1334,[1]ACSDT5Y2020.B08301_data_with_ov!$AS$3:$AS$1334,$B359)</f>
        <v>#VALUE!</v>
      </c>
      <c r="P359" s="17" t="e">
        <f>SUMIFS([1]ACSDT5Y2020.B08301_data_with_ov!AX$3:AX$1334,[1]ACSDT5Y2020.B08301_data_with_ov!$AS$3:$AS$1334,$B359)</f>
        <v>#VALUE!</v>
      </c>
      <c r="Q359" s="17" t="e">
        <f>SUMIFS([1]ACSDT5Y2020.B08301_data_with_ov!AY$3:AY$1334,[1]ACSDT5Y2020.B08301_data_with_ov!$AS$3:$AS$1334,$B359)</f>
        <v>#VALUE!</v>
      </c>
      <c r="R359" s="17" t="e">
        <f>SUMIFS([1]ACSDT5Y2020.B08301_data_with_ov!AZ$3:AZ$1334,[1]ACSDT5Y2020.B08301_data_with_ov!$AS$3:$AS$1334,$B359)</f>
        <v>#VALUE!</v>
      </c>
      <c r="S359" s="17" t="e">
        <f>SUMIFS([1]ACSDT5Y2020.B08301_data_with_ov!BA$3:BA$1334,[1]ACSDT5Y2020.B08301_data_with_ov!$AS$3:$AS$1334,$B359)</f>
        <v>#VALUE!</v>
      </c>
      <c r="T359" s="188">
        <v>0.15267054263748567</v>
      </c>
      <c r="U359" s="189" t="e">
        <f t="shared" si="23"/>
        <v>#VALUE!</v>
      </c>
      <c r="V359" s="188">
        <v>0.15267054263748567</v>
      </c>
      <c r="W359" s="189" t="e">
        <f t="shared" si="20"/>
        <v>#VALUE!</v>
      </c>
      <c r="X359" s="188">
        <v>0.15267054263748567</v>
      </c>
      <c r="Y359" s="189" t="e">
        <f t="shared" si="21"/>
        <v>#VALUE!</v>
      </c>
      <c r="Z359" s="188">
        <v>0.15267054263748567</v>
      </c>
      <c r="AA359" s="189" t="e">
        <f t="shared" si="22"/>
        <v>#VALUE!</v>
      </c>
    </row>
    <row r="360" spans="1:27" x14ac:dyDescent="0.25">
      <c r="A360">
        <v>31000</v>
      </c>
      <c r="B360">
        <v>17031031000</v>
      </c>
      <c r="C360">
        <v>17031</v>
      </c>
      <c r="D360">
        <v>2010</v>
      </c>
      <c r="E360">
        <v>3</v>
      </c>
      <c r="F360">
        <v>4573936.1953534801</v>
      </c>
      <c r="G360" s="45">
        <v>0.16406738533608387</v>
      </c>
      <c r="H360" s="60" t="str">
        <f>_xlfn.IFNA(
INDEX('Community Areas'!B$2:B$78,MATCH($E360,'Community Areas'!$A$2:$A$78,0)),
"")</f>
        <v>UPTOWN</v>
      </c>
      <c r="I360" s="63" t="str">
        <f>_xlfn.IFNA(
INDEX('Community Areas'!C$2:C$78,MATCH($E360,'Community Areas'!$A$2:$A$78,0)),
"")</f>
        <v>1-A</v>
      </c>
      <c r="J360" s="63">
        <f>_xlfn.IFNA(
INDEX('Community Areas'!D$2:D$78,MATCH($E360,'Community Areas'!$A$2:$A$78,0)),
"")</f>
        <v>1</v>
      </c>
      <c r="K360" s="60" t="str">
        <f>_xlfn.IFNA(
INDEX('Community Areas'!E$2:E$78,MATCH($E360,'Community Areas'!$A$2:$A$78,0)),
"")</f>
        <v>NORTH</v>
      </c>
      <c r="L360" s="17" t="e">
        <f>SUMIFS([1]ACSDT5Y2020.B08301_data_with_ov!AT$3:AT$1334,[1]ACSDT5Y2020.B08301_data_with_ov!$AS$3:$AS$1334,$B360)</f>
        <v>#VALUE!</v>
      </c>
      <c r="M360" s="17" t="e">
        <f>SUMIFS([1]ACSDT5Y2020.B08301_data_with_ov!AU$3:AU$1334,[1]ACSDT5Y2020.B08301_data_with_ov!$AS$3:$AS$1334,$B360)</f>
        <v>#VALUE!</v>
      </c>
      <c r="N360" s="17" t="e">
        <f>SUMIFS([1]ACSDT5Y2020.B08301_data_with_ov!AV$3:AV$1334,[1]ACSDT5Y2020.B08301_data_with_ov!$AS$3:$AS$1334,$B360)</f>
        <v>#VALUE!</v>
      </c>
      <c r="O360" s="17" t="e">
        <f>SUMIFS([1]ACSDT5Y2020.B08301_data_with_ov!AW$3:AW$1334,[1]ACSDT5Y2020.B08301_data_with_ov!$AS$3:$AS$1334,$B360)</f>
        <v>#VALUE!</v>
      </c>
      <c r="P360" s="17" t="e">
        <f>SUMIFS([1]ACSDT5Y2020.B08301_data_with_ov!AX$3:AX$1334,[1]ACSDT5Y2020.B08301_data_with_ov!$AS$3:$AS$1334,$B360)</f>
        <v>#VALUE!</v>
      </c>
      <c r="Q360" s="17" t="e">
        <f>SUMIFS([1]ACSDT5Y2020.B08301_data_with_ov!AY$3:AY$1334,[1]ACSDT5Y2020.B08301_data_with_ov!$AS$3:$AS$1334,$B360)</f>
        <v>#VALUE!</v>
      </c>
      <c r="R360" s="17" t="e">
        <f>SUMIFS([1]ACSDT5Y2020.B08301_data_with_ov!AZ$3:AZ$1334,[1]ACSDT5Y2020.B08301_data_with_ov!$AS$3:$AS$1334,$B360)</f>
        <v>#VALUE!</v>
      </c>
      <c r="S360" s="17" t="e">
        <f>SUMIFS([1]ACSDT5Y2020.B08301_data_with_ov!BA$3:BA$1334,[1]ACSDT5Y2020.B08301_data_with_ov!$AS$3:$AS$1334,$B360)</f>
        <v>#VALUE!</v>
      </c>
      <c r="T360" s="188">
        <v>0.16406737985024999</v>
      </c>
      <c r="U360" s="189" t="e">
        <f t="shared" si="23"/>
        <v>#VALUE!</v>
      </c>
      <c r="V360" s="188">
        <v>0.16406737985024999</v>
      </c>
      <c r="W360" s="189" t="e">
        <f t="shared" si="20"/>
        <v>#VALUE!</v>
      </c>
      <c r="X360" s="188">
        <v>0.16406737985024999</v>
      </c>
      <c r="Y360" s="189" t="e">
        <f t="shared" si="21"/>
        <v>#VALUE!</v>
      </c>
      <c r="Z360" s="188">
        <v>0.16406737985024999</v>
      </c>
      <c r="AA360" s="189" t="e">
        <f t="shared" si="22"/>
        <v>#VALUE!</v>
      </c>
    </row>
    <row r="361" spans="1:27" x14ac:dyDescent="0.25">
      <c r="A361">
        <v>31100</v>
      </c>
      <c r="B361">
        <v>17031031100</v>
      </c>
      <c r="C361">
        <v>17031</v>
      </c>
      <c r="D361">
        <v>2010</v>
      </c>
      <c r="E361">
        <v>3</v>
      </c>
      <c r="F361">
        <v>5921329.2876184704</v>
      </c>
      <c r="G361" s="45">
        <v>0.21239846216491873</v>
      </c>
      <c r="H361" s="60" t="str">
        <f>_xlfn.IFNA(
INDEX('Community Areas'!B$2:B$78,MATCH($E361,'Community Areas'!$A$2:$A$78,0)),
"")</f>
        <v>UPTOWN</v>
      </c>
      <c r="I361" s="63" t="str">
        <f>_xlfn.IFNA(
INDEX('Community Areas'!C$2:C$78,MATCH($E361,'Community Areas'!$A$2:$A$78,0)),
"")</f>
        <v>1-A</v>
      </c>
      <c r="J361" s="63">
        <f>_xlfn.IFNA(
INDEX('Community Areas'!D$2:D$78,MATCH($E361,'Community Areas'!$A$2:$A$78,0)),
"")</f>
        <v>1</v>
      </c>
      <c r="K361" s="60" t="str">
        <f>_xlfn.IFNA(
INDEX('Community Areas'!E$2:E$78,MATCH($E361,'Community Areas'!$A$2:$A$78,0)),
"")</f>
        <v>NORTH</v>
      </c>
      <c r="L361" s="17" t="e">
        <f>SUMIFS([1]ACSDT5Y2020.B08301_data_with_ov!AT$3:AT$1334,[1]ACSDT5Y2020.B08301_data_with_ov!$AS$3:$AS$1334,$B361)</f>
        <v>#VALUE!</v>
      </c>
      <c r="M361" s="17" t="e">
        <f>SUMIFS([1]ACSDT5Y2020.B08301_data_with_ov!AU$3:AU$1334,[1]ACSDT5Y2020.B08301_data_with_ov!$AS$3:$AS$1334,$B361)</f>
        <v>#VALUE!</v>
      </c>
      <c r="N361" s="17" t="e">
        <f>SUMIFS([1]ACSDT5Y2020.B08301_data_with_ov!AV$3:AV$1334,[1]ACSDT5Y2020.B08301_data_with_ov!$AS$3:$AS$1334,$B361)</f>
        <v>#VALUE!</v>
      </c>
      <c r="O361" s="17" t="e">
        <f>SUMIFS([1]ACSDT5Y2020.B08301_data_with_ov!AW$3:AW$1334,[1]ACSDT5Y2020.B08301_data_with_ov!$AS$3:$AS$1334,$B361)</f>
        <v>#VALUE!</v>
      </c>
      <c r="P361" s="17" t="e">
        <f>SUMIFS([1]ACSDT5Y2020.B08301_data_with_ov!AX$3:AX$1334,[1]ACSDT5Y2020.B08301_data_with_ov!$AS$3:$AS$1334,$B361)</f>
        <v>#VALUE!</v>
      </c>
      <c r="Q361" s="17" t="e">
        <f>SUMIFS([1]ACSDT5Y2020.B08301_data_with_ov!AY$3:AY$1334,[1]ACSDT5Y2020.B08301_data_with_ov!$AS$3:$AS$1334,$B361)</f>
        <v>#VALUE!</v>
      </c>
      <c r="R361" s="17" t="e">
        <f>SUMIFS([1]ACSDT5Y2020.B08301_data_with_ov!AZ$3:AZ$1334,[1]ACSDT5Y2020.B08301_data_with_ov!$AS$3:$AS$1334,$B361)</f>
        <v>#VALUE!</v>
      </c>
      <c r="S361" s="17" t="e">
        <f>SUMIFS([1]ACSDT5Y2020.B08301_data_with_ov!BA$3:BA$1334,[1]ACSDT5Y2020.B08301_data_with_ov!$AS$3:$AS$1334,$B361)</f>
        <v>#VALUE!</v>
      </c>
      <c r="T361" s="188">
        <v>0.21239846635915549</v>
      </c>
      <c r="U361" s="189" t="e">
        <f t="shared" si="23"/>
        <v>#VALUE!</v>
      </c>
      <c r="V361" s="188">
        <v>0.21239846635915549</v>
      </c>
      <c r="W361" s="189" t="e">
        <f t="shared" si="20"/>
        <v>#VALUE!</v>
      </c>
      <c r="X361" s="188">
        <v>0.21239846635915549</v>
      </c>
      <c r="Y361" s="189" t="e">
        <f t="shared" si="21"/>
        <v>#VALUE!</v>
      </c>
      <c r="Z361" s="188">
        <v>0.21239846635915549</v>
      </c>
      <c r="AA361" s="189" t="e">
        <f t="shared" si="22"/>
        <v>#VALUE!</v>
      </c>
    </row>
    <row r="362" spans="1:27" x14ac:dyDescent="0.25">
      <c r="A362">
        <v>31200</v>
      </c>
      <c r="B362">
        <v>17031031200</v>
      </c>
      <c r="C362">
        <v>17031</v>
      </c>
      <c r="D362">
        <v>2010</v>
      </c>
      <c r="E362">
        <v>3</v>
      </c>
      <c r="F362">
        <v>3513608.4973658002</v>
      </c>
      <c r="G362" s="45">
        <v>0.12603336265229712</v>
      </c>
      <c r="H362" s="60" t="str">
        <f>_xlfn.IFNA(
INDEX('Community Areas'!B$2:B$78,MATCH($E362,'Community Areas'!$A$2:$A$78,0)),
"")</f>
        <v>UPTOWN</v>
      </c>
      <c r="I362" s="63" t="str">
        <f>_xlfn.IFNA(
INDEX('Community Areas'!C$2:C$78,MATCH($E362,'Community Areas'!$A$2:$A$78,0)),
"")</f>
        <v>1-A</v>
      </c>
      <c r="J362" s="63">
        <f>_xlfn.IFNA(
INDEX('Community Areas'!D$2:D$78,MATCH($E362,'Community Areas'!$A$2:$A$78,0)),
"")</f>
        <v>1</v>
      </c>
      <c r="K362" s="60" t="str">
        <f>_xlfn.IFNA(
INDEX('Community Areas'!E$2:E$78,MATCH($E362,'Community Areas'!$A$2:$A$78,0)),
"")</f>
        <v>NORTH</v>
      </c>
      <c r="L362" s="17" t="e">
        <f>SUMIFS([1]ACSDT5Y2020.B08301_data_with_ov!AT$3:AT$1334,[1]ACSDT5Y2020.B08301_data_with_ov!$AS$3:$AS$1334,$B362)</f>
        <v>#VALUE!</v>
      </c>
      <c r="M362" s="17" t="e">
        <f>SUMIFS([1]ACSDT5Y2020.B08301_data_with_ov!AU$3:AU$1334,[1]ACSDT5Y2020.B08301_data_with_ov!$AS$3:$AS$1334,$B362)</f>
        <v>#VALUE!</v>
      </c>
      <c r="N362" s="17" t="e">
        <f>SUMIFS([1]ACSDT5Y2020.B08301_data_with_ov!AV$3:AV$1334,[1]ACSDT5Y2020.B08301_data_with_ov!$AS$3:$AS$1334,$B362)</f>
        <v>#VALUE!</v>
      </c>
      <c r="O362" s="17" t="e">
        <f>SUMIFS([1]ACSDT5Y2020.B08301_data_with_ov!AW$3:AW$1334,[1]ACSDT5Y2020.B08301_data_with_ov!$AS$3:$AS$1334,$B362)</f>
        <v>#VALUE!</v>
      </c>
      <c r="P362" s="17" t="e">
        <f>SUMIFS([1]ACSDT5Y2020.B08301_data_with_ov!AX$3:AX$1334,[1]ACSDT5Y2020.B08301_data_with_ov!$AS$3:$AS$1334,$B362)</f>
        <v>#VALUE!</v>
      </c>
      <c r="Q362" s="17" t="e">
        <f>SUMIFS([1]ACSDT5Y2020.B08301_data_with_ov!AY$3:AY$1334,[1]ACSDT5Y2020.B08301_data_with_ov!$AS$3:$AS$1334,$B362)</f>
        <v>#VALUE!</v>
      </c>
      <c r="R362" s="17" t="e">
        <f>SUMIFS([1]ACSDT5Y2020.B08301_data_with_ov!AZ$3:AZ$1334,[1]ACSDT5Y2020.B08301_data_with_ov!$AS$3:$AS$1334,$B362)</f>
        <v>#VALUE!</v>
      </c>
      <c r="S362" s="17" t="e">
        <f>SUMIFS([1]ACSDT5Y2020.B08301_data_with_ov!BA$3:BA$1334,[1]ACSDT5Y2020.B08301_data_with_ov!$AS$3:$AS$1334,$B362)</f>
        <v>#VALUE!</v>
      </c>
      <c r="T362" s="188">
        <v>0.12603336225478901</v>
      </c>
      <c r="U362" s="189" t="e">
        <f t="shared" si="23"/>
        <v>#VALUE!</v>
      </c>
      <c r="V362" s="188">
        <v>0.12603336225478901</v>
      </c>
      <c r="W362" s="189" t="e">
        <f t="shared" si="20"/>
        <v>#VALUE!</v>
      </c>
      <c r="X362" s="188">
        <v>0.12603336225478901</v>
      </c>
      <c r="Y362" s="189" t="e">
        <f t="shared" si="21"/>
        <v>#VALUE!</v>
      </c>
      <c r="Z362" s="188">
        <v>0.12603336225478901</v>
      </c>
      <c r="AA362" s="189" t="e">
        <f t="shared" si="22"/>
        <v>#VALUE!</v>
      </c>
    </row>
    <row r="363" spans="1:27" x14ac:dyDescent="0.25">
      <c r="A363">
        <v>31400</v>
      </c>
      <c r="B363">
        <v>17031031400</v>
      </c>
      <c r="C363">
        <v>17031</v>
      </c>
      <c r="D363">
        <v>2010</v>
      </c>
      <c r="E363">
        <v>3</v>
      </c>
      <c r="F363">
        <v>16395461.7401012</v>
      </c>
      <c r="G363" s="45">
        <v>0.58810626650385955</v>
      </c>
      <c r="H363" s="60" t="str">
        <f>_xlfn.IFNA(
INDEX('Community Areas'!B$2:B$78,MATCH($E363,'Community Areas'!$A$2:$A$78,0)),
"")</f>
        <v>UPTOWN</v>
      </c>
      <c r="I363" s="63" t="str">
        <f>_xlfn.IFNA(
INDEX('Community Areas'!C$2:C$78,MATCH($E363,'Community Areas'!$A$2:$A$78,0)),
"")</f>
        <v>1-A</v>
      </c>
      <c r="J363" s="63">
        <f>_xlfn.IFNA(
INDEX('Community Areas'!D$2:D$78,MATCH($E363,'Community Areas'!$A$2:$A$78,0)),
"")</f>
        <v>1</v>
      </c>
      <c r="K363" s="60" t="str">
        <f>_xlfn.IFNA(
INDEX('Community Areas'!E$2:E$78,MATCH($E363,'Community Areas'!$A$2:$A$78,0)),
"")</f>
        <v>NORTH</v>
      </c>
      <c r="L363" s="17" t="e">
        <f>SUMIFS([1]ACSDT5Y2020.B08301_data_with_ov!AT$3:AT$1334,[1]ACSDT5Y2020.B08301_data_with_ov!$AS$3:$AS$1334,$B363)</f>
        <v>#VALUE!</v>
      </c>
      <c r="M363" s="17" t="e">
        <f>SUMIFS([1]ACSDT5Y2020.B08301_data_with_ov!AU$3:AU$1334,[1]ACSDT5Y2020.B08301_data_with_ov!$AS$3:$AS$1334,$B363)</f>
        <v>#VALUE!</v>
      </c>
      <c r="N363" s="17" t="e">
        <f>SUMIFS([1]ACSDT5Y2020.B08301_data_with_ov!AV$3:AV$1334,[1]ACSDT5Y2020.B08301_data_with_ov!$AS$3:$AS$1334,$B363)</f>
        <v>#VALUE!</v>
      </c>
      <c r="O363" s="17" t="e">
        <f>SUMIFS([1]ACSDT5Y2020.B08301_data_with_ov!AW$3:AW$1334,[1]ACSDT5Y2020.B08301_data_with_ov!$AS$3:$AS$1334,$B363)</f>
        <v>#VALUE!</v>
      </c>
      <c r="P363" s="17" t="e">
        <f>SUMIFS([1]ACSDT5Y2020.B08301_data_with_ov!AX$3:AX$1334,[1]ACSDT5Y2020.B08301_data_with_ov!$AS$3:$AS$1334,$B363)</f>
        <v>#VALUE!</v>
      </c>
      <c r="Q363" s="17" t="e">
        <f>SUMIFS([1]ACSDT5Y2020.B08301_data_with_ov!AY$3:AY$1334,[1]ACSDT5Y2020.B08301_data_with_ov!$AS$3:$AS$1334,$B363)</f>
        <v>#VALUE!</v>
      </c>
      <c r="R363" s="17" t="e">
        <f>SUMIFS([1]ACSDT5Y2020.B08301_data_with_ov!AZ$3:AZ$1334,[1]ACSDT5Y2020.B08301_data_with_ov!$AS$3:$AS$1334,$B363)</f>
        <v>#VALUE!</v>
      </c>
      <c r="S363" s="17" t="e">
        <f>SUMIFS([1]ACSDT5Y2020.B08301_data_with_ov!BA$3:BA$1334,[1]ACSDT5Y2020.B08301_data_with_ov!$AS$3:$AS$1334,$B363)</f>
        <v>#VALUE!</v>
      </c>
      <c r="T363" s="188">
        <v>0.52686496004509942</v>
      </c>
      <c r="U363" s="189" t="e">
        <f t="shared" si="23"/>
        <v>#VALUE!</v>
      </c>
      <c r="V363" s="188">
        <v>0.52686496004509942</v>
      </c>
      <c r="W363" s="189" t="e">
        <f t="shared" si="20"/>
        <v>#VALUE!</v>
      </c>
      <c r="X363" s="188">
        <v>0.52686496004509942</v>
      </c>
      <c r="Y363" s="189" t="e">
        <f t="shared" si="21"/>
        <v>#VALUE!</v>
      </c>
      <c r="Z363" s="188">
        <v>0.52686496004509942</v>
      </c>
      <c r="AA363" s="189" t="e">
        <f t="shared" si="22"/>
        <v>#VALUE!</v>
      </c>
    </row>
    <row r="364" spans="1:27" x14ac:dyDescent="0.25">
      <c r="A364">
        <v>31700</v>
      </c>
      <c r="B364">
        <v>17031031700</v>
      </c>
      <c r="C364">
        <v>17031</v>
      </c>
      <c r="D364">
        <v>2010</v>
      </c>
      <c r="E364">
        <v>3</v>
      </c>
      <c r="F364">
        <v>5138944.7464356096</v>
      </c>
      <c r="G364" s="45">
        <v>0.18433427838167218</v>
      </c>
      <c r="H364" s="60" t="str">
        <f>_xlfn.IFNA(
INDEX('Community Areas'!B$2:B$78,MATCH($E364,'Community Areas'!$A$2:$A$78,0)),
"")</f>
        <v>UPTOWN</v>
      </c>
      <c r="I364" s="63" t="str">
        <f>_xlfn.IFNA(
INDEX('Community Areas'!C$2:C$78,MATCH($E364,'Community Areas'!$A$2:$A$78,0)),
"")</f>
        <v>1-A</v>
      </c>
      <c r="J364" s="63">
        <f>_xlfn.IFNA(
INDEX('Community Areas'!D$2:D$78,MATCH($E364,'Community Areas'!$A$2:$A$78,0)),
"")</f>
        <v>1</v>
      </c>
      <c r="K364" s="60" t="str">
        <f>_xlfn.IFNA(
INDEX('Community Areas'!E$2:E$78,MATCH($E364,'Community Areas'!$A$2:$A$78,0)),
"")</f>
        <v>NORTH</v>
      </c>
      <c r="L364" s="17" t="e">
        <f>SUMIFS([1]ACSDT5Y2020.B08301_data_with_ov!AT$3:AT$1334,[1]ACSDT5Y2020.B08301_data_with_ov!$AS$3:$AS$1334,$B364)</f>
        <v>#VALUE!</v>
      </c>
      <c r="M364" s="17" t="e">
        <f>SUMIFS([1]ACSDT5Y2020.B08301_data_with_ov!AU$3:AU$1334,[1]ACSDT5Y2020.B08301_data_with_ov!$AS$3:$AS$1334,$B364)</f>
        <v>#VALUE!</v>
      </c>
      <c r="N364" s="17" t="e">
        <f>SUMIFS([1]ACSDT5Y2020.B08301_data_with_ov!AV$3:AV$1334,[1]ACSDT5Y2020.B08301_data_with_ov!$AS$3:$AS$1334,$B364)</f>
        <v>#VALUE!</v>
      </c>
      <c r="O364" s="17" t="e">
        <f>SUMIFS([1]ACSDT5Y2020.B08301_data_with_ov!AW$3:AW$1334,[1]ACSDT5Y2020.B08301_data_with_ov!$AS$3:$AS$1334,$B364)</f>
        <v>#VALUE!</v>
      </c>
      <c r="P364" s="17" t="e">
        <f>SUMIFS([1]ACSDT5Y2020.B08301_data_with_ov!AX$3:AX$1334,[1]ACSDT5Y2020.B08301_data_with_ov!$AS$3:$AS$1334,$B364)</f>
        <v>#VALUE!</v>
      </c>
      <c r="Q364" s="17" t="e">
        <f>SUMIFS([1]ACSDT5Y2020.B08301_data_with_ov!AY$3:AY$1334,[1]ACSDT5Y2020.B08301_data_with_ov!$AS$3:$AS$1334,$B364)</f>
        <v>#VALUE!</v>
      </c>
      <c r="R364" s="17" t="e">
        <f>SUMIFS([1]ACSDT5Y2020.B08301_data_with_ov!AZ$3:AZ$1334,[1]ACSDT5Y2020.B08301_data_with_ov!$AS$3:$AS$1334,$B364)</f>
        <v>#VALUE!</v>
      </c>
      <c r="S364" s="17" t="e">
        <f>SUMIFS([1]ACSDT5Y2020.B08301_data_with_ov!BA$3:BA$1334,[1]ACSDT5Y2020.B08301_data_with_ov!$AS$3:$AS$1334,$B364)</f>
        <v>#VALUE!</v>
      </c>
      <c r="T364" s="188">
        <v>0.18433427605270533</v>
      </c>
      <c r="U364" s="189" t="e">
        <f t="shared" si="23"/>
        <v>#VALUE!</v>
      </c>
      <c r="V364" s="188">
        <v>0.18433427605270533</v>
      </c>
      <c r="W364" s="189" t="e">
        <f t="shared" si="20"/>
        <v>#VALUE!</v>
      </c>
      <c r="X364" s="188">
        <v>0.18433427605270533</v>
      </c>
      <c r="Y364" s="189" t="e">
        <f t="shared" si="21"/>
        <v>#VALUE!</v>
      </c>
      <c r="Z364" s="188">
        <v>0.18433427605270533</v>
      </c>
      <c r="AA364" s="189" t="e">
        <f t="shared" si="22"/>
        <v>#VALUE!</v>
      </c>
    </row>
    <row r="365" spans="1:27" x14ac:dyDescent="0.25">
      <c r="A365">
        <v>31800</v>
      </c>
      <c r="B365">
        <v>17031031800</v>
      </c>
      <c r="C365">
        <v>17031</v>
      </c>
      <c r="D365">
        <v>2010</v>
      </c>
      <c r="E365">
        <v>3</v>
      </c>
      <c r="F365">
        <v>2531147.7320449501</v>
      </c>
      <c r="G365" s="45">
        <v>9.0792431848490229E-2</v>
      </c>
      <c r="H365" s="60" t="str">
        <f>_xlfn.IFNA(
INDEX('Community Areas'!B$2:B$78,MATCH($E365,'Community Areas'!$A$2:$A$78,0)),
"")</f>
        <v>UPTOWN</v>
      </c>
      <c r="I365" s="63" t="str">
        <f>_xlfn.IFNA(
INDEX('Community Areas'!C$2:C$78,MATCH($E365,'Community Areas'!$A$2:$A$78,0)),
"")</f>
        <v>1-A</v>
      </c>
      <c r="J365" s="63">
        <f>_xlfn.IFNA(
INDEX('Community Areas'!D$2:D$78,MATCH($E365,'Community Areas'!$A$2:$A$78,0)),
"")</f>
        <v>1</v>
      </c>
      <c r="K365" s="60" t="str">
        <f>_xlfn.IFNA(
INDEX('Community Areas'!E$2:E$78,MATCH($E365,'Community Areas'!$A$2:$A$78,0)),
"")</f>
        <v>NORTH</v>
      </c>
      <c r="L365" s="17" t="e">
        <f>SUMIFS([1]ACSDT5Y2020.B08301_data_with_ov!AT$3:AT$1334,[1]ACSDT5Y2020.B08301_data_with_ov!$AS$3:$AS$1334,$B365)</f>
        <v>#VALUE!</v>
      </c>
      <c r="M365" s="17" t="e">
        <f>SUMIFS([1]ACSDT5Y2020.B08301_data_with_ov!AU$3:AU$1334,[1]ACSDT5Y2020.B08301_data_with_ov!$AS$3:$AS$1334,$B365)</f>
        <v>#VALUE!</v>
      </c>
      <c r="N365" s="17" t="e">
        <f>SUMIFS([1]ACSDT5Y2020.B08301_data_with_ov!AV$3:AV$1334,[1]ACSDT5Y2020.B08301_data_with_ov!$AS$3:$AS$1334,$B365)</f>
        <v>#VALUE!</v>
      </c>
      <c r="O365" s="17" t="e">
        <f>SUMIFS([1]ACSDT5Y2020.B08301_data_with_ov!AW$3:AW$1334,[1]ACSDT5Y2020.B08301_data_with_ov!$AS$3:$AS$1334,$B365)</f>
        <v>#VALUE!</v>
      </c>
      <c r="P365" s="17" t="e">
        <f>SUMIFS([1]ACSDT5Y2020.B08301_data_with_ov!AX$3:AX$1334,[1]ACSDT5Y2020.B08301_data_with_ov!$AS$3:$AS$1334,$B365)</f>
        <v>#VALUE!</v>
      </c>
      <c r="Q365" s="17" t="e">
        <f>SUMIFS([1]ACSDT5Y2020.B08301_data_with_ov!AY$3:AY$1334,[1]ACSDT5Y2020.B08301_data_with_ov!$AS$3:$AS$1334,$B365)</f>
        <v>#VALUE!</v>
      </c>
      <c r="R365" s="17" t="e">
        <f>SUMIFS([1]ACSDT5Y2020.B08301_data_with_ov!AZ$3:AZ$1334,[1]ACSDT5Y2020.B08301_data_with_ov!$AS$3:$AS$1334,$B365)</f>
        <v>#VALUE!</v>
      </c>
      <c r="S365" s="17" t="e">
        <f>SUMIFS([1]ACSDT5Y2020.B08301_data_with_ov!BA$3:BA$1334,[1]ACSDT5Y2020.B08301_data_with_ov!$AS$3:$AS$1334,$B365)</f>
        <v>#VALUE!</v>
      </c>
      <c r="T365" s="188">
        <v>9.0792431592174955E-2</v>
      </c>
      <c r="U365" s="189" t="e">
        <f t="shared" si="23"/>
        <v>#VALUE!</v>
      </c>
      <c r="V365" s="188">
        <v>9.0792431592174955E-2</v>
      </c>
      <c r="W365" s="189" t="e">
        <f t="shared" si="20"/>
        <v>#VALUE!</v>
      </c>
      <c r="X365" s="188">
        <v>9.0792431592174955E-2</v>
      </c>
      <c r="Y365" s="189" t="e">
        <f t="shared" si="21"/>
        <v>#VALUE!</v>
      </c>
      <c r="Z365" s="188">
        <v>9.0792431592174955E-2</v>
      </c>
      <c r="AA365" s="189" t="e">
        <f t="shared" si="22"/>
        <v>#VALUE!</v>
      </c>
    </row>
    <row r="366" spans="1:27" x14ac:dyDescent="0.25">
      <c r="A366">
        <v>31900</v>
      </c>
      <c r="B366">
        <v>17031031900</v>
      </c>
      <c r="C366">
        <v>17031</v>
      </c>
      <c r="D366">
        <v>2010</v>
      </c>
      <c r="E366">
        <v>3</v>
      </c>
      <c r="F366">
        <v>2773683.8061837298</v>
      </c>
      <c r="G366" s="45">
        <v>9.9492216417862211E-2</v>
      </c>
      <c r="H366" s="60" t="str">
        <f>_xlfn.IFNA(
INDEX('Community Areas'!B$2:B$78,MATCH($E366,'Community Areas'!$A$2:$A$78,0)),
"")</f>
        <v>UPTOWN</v>
      </c>
      <c r="I366" s="63" t="str">
        <f>_xlfn.IFNA(
INDEX('Community Areas'!C$2:C$78,MATCH($E366,'Community Areas'!$A$2:$A$78,0)),
"")</f>
        <v>1-A</v>
      </c>
      <c r="J366" s="63">
        <f>_xlfn.IFNA(
INDEX('Community Areas'!D$2:D$78,MATCH($E366,'Community Areas'!$A$2:$A$78,0)),
"")</f>
        <v>1</v>
      </c>
      <c r="K366" s="60" t="str">
        <f>_xlfn.IFNA(
INDEX('Community Areas'!E$2:E$78,MATCH($E366,'Community Areas'!$A$2:$A$78,0)),
"")</f>
        <v>NORTH</v>
      </c>
      <c r="L366" s="17" t="e">
        <f>SUMIFS([1]ACSDT5Y2020.B08301_data_with_ov!AT$3:AT$1334,[1]ACSDT5Y2020.B08301_data_with_ov!$AS$3:$AS$1334,$B366)</f>
        <v>#VALUE!</v>
      </c>
      <c r="M366" s="17" t="e">
        <f>SUMIFS([1]ACSDT5Y2020.B08301_data_with_ov!AU$3:AU$1334,[1]ACSDT5Y2020.B08301_data_with_ov!$AS$3:$AS$1334,$B366)</f>
        <v>#VALUE!</v>
      </c>
      <c r="N366" s="17" t="e">
        <f>SUMIFS([1]ACSDT5Y2020.B08301_data_with_ov!AV$3:AV$1334,[1]ACSDT5Y2020.B08301_data_with_ov!$AS$3:$AS$1334,$B366)</f>
        <v>#VALUE!</v>
      </c>
      <c r="O366" s="17" t="e">
        <f>SUMIFS([1]ACSDT5Y2020.B08301_data_with_ov!AW$3:AW$1334,[1]ACSDT5Y2020.B08301_data_with_ov!$AS$3:$AS$1334,$B366)</f>
        <v>#VALUE!</v>
      </c>
      <c r="P366" s="17" t="e">
        <f>SUMIFS([1]ACSDT5Y2020.B08301_data_with_ov!AX$3:AX$1334,[1]ACSDT5Y2020.B08301_data_with_ov!$AS$3:$AS$1334,$B366)</f>
        <v>#VALUE!</v>
      </c>
      <c r="Q366" s="17" t="e">
        <f>SUMIFS([1]ACSDT5Y2020.B08301_data_with_ov!AY$3:AY$1334,[1]ACSDT5Y2020.B08301_data_with_ov!$AS$3:$AS$1334,$B366)</f>
        <v>#VALUE!</v>
      </c>
      <c r="R366" s="17" t="e">
        <f>SUMIFS([1]ACSDT5Y2020.B08301_data_with_ov!AZ$3:AZ$1334,[1]ACSDT5Y2020.B08301_data_with_ov!$AS$3:$AS$1334,$B366)</f>
        <v>#VALUE!</v>
      </c>
      <c r="S366" s="17" t="e">
        <f>SUMIFS([1]ACSDT5Y2020.B08301_data_with_ov!BA$3:BA$1334,[1]ACSDT5Y2020.B08301_data_with_ov!$AS$3:$AS$1334,$B366)</f>
        <v>#VALUE!</v>
      </c>
      <c r="T366" s="188">
        <v>9.9492213108163668E-2</v>
      </c>
      <c r="U366" s="189" t="e">
        <f t="shared" si="23"/>
        <v>#VALUE!</v>
      </c>
      <c r="V366" s="188">
        <v>9.9492213108163668E-2</v>
      </c>
      <c r="W366" s="189" t="e">
        <f t="shared" si="20"/>
        <v>#VALUE!</v>
      </c>
      <c r="X366" s="188">
        <v>9.9492213108163668E-2</v>
      </c>
      <c r="Y366" s="189" t="e">
        <f t="shared" si="21"/>
        <v>#VALUE!</v>
      </c>
      <c r="Z366" s="188">
        <v>9.9492213108163668E-2</v>
      </c>
      <c r="AA366" s="189" t="e">
        <f t="shared" si="22"/>
        <v>#VALUE!</v>
      </c>
    </row>
    <row r="367" spans="1:27" x14ac:dyDescent="0.25">
      <c r="A367">
        <v>32100</v>
      </c>
      <c r="B367">
        <v>17031032100</v>
      </c>
      <c r="C367">
        <v>17031</v>
      </c>
      <c r="D367">
        <v>2010</v>
      </c>
      <c r="E367">
        <v>3</v>
      </c>
      <c r="F367">
        <v>4645213.0235406496</v>
      </c>
      <c r="G367" s="45">
        <v>0.16662408974477191</v>
      </c>
      <c r="H367" s="60" t="str">
        <f>_xlfn.IFNA(
INDEX('Community Areas'!B$2:B$78,MATCH($E367,'Community Areas'!$A$2:$A$78,0)),
"")</f>
        <v>UPTOWN</v>
      </c>
      <c r="I367" s="63" t="str">
        <f>_xlfn.IFNA(
INDEX('Community Areas'!C$2:C$78,MATCH($E367,'Community Areas'!$A$2:$A$78,0)),
"")</f>
        <v>1-A</v>
      </c>
      <c r="J367" s="63">
        <f>_xlfn.IFNA(
INDEX('Community Areas'!D$2:D$78,MATCH($E367,'Community Areas'!$A$2:$A$78,0)),
"")</f>
        <v>1</v>
      </c>
      <c r="K367" s="60" t="str">
        <f>_xlfn.IFNA(
INDEX('Community Areas'!E$2:E$78,MATCH($E367,'Community Areas'!$A$2:$A$78,0)),
"")</f>
        <v>NORTH</v>
      </c>
      <c r="L367" s="17" t="e">
        <f>SUMIFS([1]ACSDT5Y2020.B08301_data_with_ov!AT$3:AT$1334,[1]ACSDT5Y2020.B08301_data_with_ov!$AS$3:$AS$1334,$B367)</f>
        <v>#VALUE!</v>
      </c>
      <c r="M367" s="17" t="e">
        <f>SUMIFS([1]ACSDT5Y2020.B08301_data_with_ov!AU$3:AU$1334,[1]ACSDT5Y2020.B08301_data_with_ov!$AS$3:$AS$1334,$B367)</f>
        <v>#VALUE!</v>
      </c>
      <c r="N367" s="17" t="e">
        <f>SUMIFS([1]ACSDT5Y2020.B08301_data_with_ov!AV$3:AV$1334,[1]ACSDT5Y2020.B08301_data_with_ov!$AS$3:$AS$1334,$B367)</f>
        <v>#VALUE!</v>
      </c>
      <c r="O367" s="17" t="e">
        <f>SUMIFS([1]ACSDT5Y2020.B08301_data_with_ov!AW$3:AW$1334,[1]ACSDT5Y2020.B08301_data_with_ov!$AS$3:$AS$1334,$B367)</f>
        <v>#VALUE!</v>
      </c>
      <c r="P367" s="17" t="e">
        <f>SUMIFS([1]ACSDT5Y2020.B08301_data_with_ov!AX$3:AX$1334,[1]ACSDT5Y2020.B08301_data_with_ov!$AS$3:$AS$1334,$B367)</f>
        <v>#VALUE!</v>
      </c>
      <c r="Q367" s="17" t="e">
        <f>SUMIFS([1]ACSDT5Y2020.B08301_data_with_ov!AY$3:AY$1334,[1]ACSDT5Y2020.B08301_data_with_ov!$AS$3:$AS$1334,$B367)</f>
        <v>#VALUE!</v>
      </c>
      <c r="R367" s="17" t="e">
        <f>SUMIFS([1]ACSDT5Y2020.B08301_data_with_ov!AZ$3:AZ$1334,[1]ACSDT5Y2020.B08301_data_with_ov!$AS$3:$AS$1334,$B367)</f>
        <v>#VALUE!</v>
      </c>
      <c r="S367" s="17" t="e">
        <f>SUMIFS([1]ACSDT5Y2020.B08301_data_with_ov!BA$3:BA$1334,[1]ACSDT5Y2020.B08301_data_with_ov!$AS$3:$AS$1334,$B367)</f>
        <v>#VALUE!</v>
      </c>
      <c r="T367" s="188">
        <v>0.16662409006029724</v>
      </c>
      <c r="U367" s="189" t="e">
        <f t="shared" si="23"/>
        <v>#VALUE!</v>
      </c>
      <c r="V367" s="188">
        <v>0.16662409006029724</v>
      </c>
      <c r="W367" s="189" t="e">
        <f t="shared" si="20"/>
        <v>#VALUE!</v>
      </c>
      <c r="X367" s="188">
        <v>0.16662409006029724</v>
      </c>
      <c r="Y367" s="189" t="e">
        <f t="shared" si="21"/>
        <v>#VALUE!</v>
      </c>
      <c r="Z367" s="188">
        <v>0.16662409006029724</v>
      </c>
      <c r="AA367" s="189" t="e">
        <f t="shared" si="22"/>
        <v>#VALUE!</v>
      </c>
    </row>
    <row r="368" spans="1:27" x14ac:dyDescent="0.25">
      <c r="A368">
        <v>31502</v>
      </c>
      <c r="B368">
        <v>17031031502</v>
      </c>
      <c r="C368">
        <v>17031</v>
      </c>
      <c r="D368">
        <v>2010</v>
      </c>
      <c r="E368">
        <v>3</v>
      </c>
      <c r="F368">
        <v>1740369.52826211</v>
      </c>
      <c r="G368" s="45">
        <v>6.2427166848244876E-2</v>
      </c>
      <c r="H368" s="60" t="str">
        <f>_xlfn.IFNA(
INDEX('Community Areas'!B$2:B$78,MATCH($E368,'Community Areas'!$A$2:$A$78,0)),
"")</f>
        <v>UPTOWN</v>
      </c>
      <c r="I368" s="63" t="str">
        <f>_xlfn.IFNA(
INDEX('Community Areas'!C$2:C$78,MATCH($E368,'Community Areas'!$A$2:$A$78,0)),
"")</f>
        <v>1-A</v>
      </c>
      <c r="J368" s="63">
        <f>_xlfn.IFNA(
INDEX('Community Areas'!D$2:D$78,MATCH($E368,'Community Areas'!$A$2:$A$78,0)),
"")</f>
        <v>1</v>
      </c>
      <c r="K368" s="60" t="str">
        <f>_xlfn.IFNA(
INDEX('Community Areas'!E$2:E$78,MATCH($E368,'Community Areas'!$A$2:$A$78,0)),
"")</f>
        <v>NORTH</v>
      </c>
      <c r="L368" s="17" t="e">
        <f>SUMIFS([1]ACSDT5Y2020.B08301_data_with_ov!AT$3:AT$1334,[1]ACSDT5Y2020.B08301_data_with_ov!$AS$3:$AS$1334,$B368)</f>
        <v>#VALUE!</v>
      </c>
      <c r="M368" s="17" t="e">
        <f>SUMIFS([1]ACSDT5Y2020.B08301_data_with_ov!AU$3:AU$1334,[1]ACSDT5Y2020.B08301_data_with_ov!$AS$3:$AS$1334,$B368)</f>
        <v>#VALUE!</v>
      </c>
      <c r="N368" s="17" t="e">
        <f>SUMIFS([1]ACSDT5Y2020.B08301_data_with_ov!AV$3:AV$1334,[1]ACSDT5Y2020.B08301_data_with_ov!$AS$3:$AS$1334,$B368)</f>
        <v>#VALUE!</v>
      </c>
      <c r="O368" s="17" t="e">
        <f>SUMIFS([1]ACSDT5Y2020.B08301_data_with_ov!AW$3:AW$1334,[1]ACSDT5Y2020.B08301_data_with_ov!$AS$3:$AS$1334,$B368)</f>
        <v>#VALUE!</v>
      </c>
      <c r="P368" s="17" t="e">
        <f>SUMIFS([1]ACSDT5Y2020.B08301_data_with_ov!AX$3:AX$1334,[1]ACSDT5Y2020.B08301_data_with_ov!$AS$3:$AS$1334,$B368)</f>
        <v>#VALUE!</v>
      </c>
      <c r="Q368" s="17" t="e">
        <f>SUMIFS([1]ACSDT5Y2020.B08301_data_with_ov!AY$3:AY$1334,[1]ACSDT5Y2020.B08301_data_with_ov!$AS$3:$AS$1334,$B368)</f>
        <v>#VALUE!</v>
      </c>
      <c r="R368" s="17" t="e">
        <f>SUMIFS([1]ACSDT5Y2020.B08301_data_with_ov!AZ$3:AZ$1334,[1]ACSDT5Y2020.B08301_data_with_ov!$AS$3:$AS$1334,$B368)</f>
        <v>#VALUE!</v>
      </c>
      <c r="S368" s="17" t="e">
        <f>SUMIFS([1]ACSDT5Y2020.B08301_data_with_ov!BA$3:BA$1334,[1]ACSDT5Y2020.B08301_data_with_ov!$AS$3:$AS$1334,$B368)</f>
        <v>#VALUE!</v>
      </c>
      <c r="T368" s="188">
        <v>6.2427169080195057E-2</v>
      </c>
      <c r="U368" s="189" t="e">
        <f t="shared" si="23"/>
        <v>#VALUE!</v>
      </c>
      <c r="V368" s="188">
        <v>6.2427169080195057E-2</v>
      </c>
      <c r="W368" s="189" t="e">
        <f t="shared" si="20"/>
        <v>#VALUE!</v>
      </c>
      <c r="X368" s="188">
        <v>6.2427169080195057E-2</v>
      </c>
      <c r="Y368" s="189" t="e">
        <f t="shared" si="21"/>
        <v>#VALUE!</v>
      </c>
      <c r="Z368" s="188">
        <v>6.2427169080195057E-2</v>
      </c>
      <c r="AA368" s="189" t="e">
        <f t="shared" si="22"/>
        <v>#VALUE!</v>
      </c>
    </row>
    <row r="369" spans="1:27" x14ac:dyDescent="0.25">
      <c r="A369">
        <v>31300</v>
      </c>
      <c r="B369">
        <v>17031031300</v>
      </c>
      <c r="C369">
        <v>17031</v>
      </c>
      <c r="D369">
        <v>2010</v>
      </c>
      <c r="E369">
        <v>3</v>
      </c>
      <c r="F369">
        <v>6788224.6496266304</v>
      </c>
      <c r="G369" s="45">
        <v>0.24349405452345294</v>
      </c>
      <c r="H369" s="60" t="str">
        <f>_xlfn.IFNA(
INDEX('Community Areas'!B$2:B$78,MATCH($E369,'Community Areas'!$A$2:$A$78,0)),
"")</f>
        <v>UPTOWN</v>
      </c>
      <c r="I369" s="63" t="str">
        <f>_xlfn.IFNA(
INDEX('Community Areas'!C$2:C$78,MATCH($E369,'Community Areas'!$A$2:$A$78,0)),
"")</f>
        <v>1-A</v>
      </c>
      <c r="J369" s="63">
        <f>_xlfn.IFNA(
INDEX('Community Areas'!D$2:D$78,MATCH($E369,'Community Areas'!$A$2:$A$78,0)),
"")</f>
        <v>1</v>
      </c>
      <c r="K369" s="60" t="str">
        <f>_xlfn.IFNA(
INDEX('Community Areas'!E$2:E$78,MATCH($E369,'Community Areas'!$A$2:$A$78,0)),
"")</f>
        <v>NORTH</v>
      </c>
      <c r="L369" s="17" t="e">
        <f>SUMIFS([1]ACSDT5Y2020.B08301_data_with_ov!AT$3:AT$1334,[1]ACSDT5Y2020.B08301_data_with_ov!$AS$3:$AS$1334,$B369)</f>
        <v>#VALUE!</v>
      </c>
      <c r="M369" s="17" t="e">
        <f>SUMIFS([1]ACSDT5Y2020.B08301_data_with_ov!AU$3:AU$1334,[1]ACSDT5Y2020.B08301_data_with_ov!$AS$3:$AS$1334,$B369)</f>
        <v>#VALUE!</v>
      </c>
      <c r="N369" s="17" t="e">
        <f>SUMIFS([1]ACSDT5Y2020.B08301_data_with_ov!AV$3:AV$1334,[1]ACSDT5Y2020.B08301_data_with_ov!$AS$3:$AS$1334,$B369)</f>
        <v>#VALUE!</v>
      </c>
      <c r="O369" s="17" t="e">
        <f>SUMIFS([1]ACSDT5Y2020.B08301_data_with_ov!AW$3:AW$1334,[1]ACSDT5Y2020.B08301_data_with_ov!$AS$3:$AS$1334,$B369)</f>
        <v>#VALUE!</v>
      </c>
      <c r="P369" s="17" t="e">
        <f>SUMIFS([1]ACSDT5Y2020.B08301_data_with_ov!AX$3:AX$1334,[1]ACSDT5Y2020.B08301_data_with_ov!$AS$3:$AS$1334,$B369)</f>
        <v>#VALUE!</v>
      </c>
      <c r="Q369" s="17" t="e">
        <f>SUMIFS([1]ACSDT5Y2020.B08301_data_with_ov!AY$3:AY$1334,[1]ACSDT5Y2020.B08301_data_with_ov!$AS$3:$AS$1334,$B369)</f>
        <v>#VALUE!</v>
      </c>
      <c r="R369" s="17" t="e">
        <f>SUMIFS([1]ACSDT5Y2020.B08301_data_with_ov!AZ$3:AZ$1334,[1]ACSDT5Y2020.B08301_data_with_ov!$AS$3:$AS$1334,$B369)</f>
        <v>#VALUE!</v>
      </c>
      <c r="S369" s="17" t="e">
        <f>SUMIFS([1]ACSDT5Y2020.B08301_data_with_ov!BA$3:BA$1334,[1]ACSDT5Y2020.B08301_data_with_ov!$AS$3:$AS$1334,$B369)</f>
        <v>#VALUE!</v>
      </c>
      <c r="T369" s="188">
        <v>0.24349405664034629</v>
      </c>
      <c r="U369" s="189" t="e">
        <f t="shared" si="23"/>
        <v>#VALUE!</v>
      </c>
      <c r="V369" s="188">
        <v>0.24349405664034629</v>
      </c>
      <c r="W369" s="189" t="e">
        <f t="shared" si="20"/>
        <v>#VALUE!</v>
      </c>
      <c r="X369" s="188">
        <v>0.24349405664034629</v>
      </c>
      <c r="Y369" s="189" t="e">
        <f t="shared" si="21"/>
        <v>#VALUE!</v>
      </c>
      <c r="Z369" s="188">
        <v>0.24349405664034629</v>
      </c>
      <c r="AA369" s="189" t="e">
        <f t="shared" si="22"/>
        <v>#VALUE!</v>
      </c>
    </row>
    <row r="370" spans="1:27" x14ac:dyDescent="0.25">
      <c r="A370">
        <v>31501</v>
      </c>
      <c r="B370">
        <v>17031031501</v>
      </c>
      <c r="C370">
        <v>17031</v>
      </c>
      <c r="D370">
        <v>2010</v>
      </c>
      <c r="E370">
        <v>3</v>
      </c>
      <c r="F370">
        <v>1715487.0608407799</v>
      </c>
      <c r="G370" s="45">
        <v>6.1534631142417785E-2</v>
      </c>
      <c r="H370" s="60" t="str">
        <f>_xlfn.IFNA(
INDEX('Community Areas'!B$2:B$78,MATCH($E370,'Community Areas'!$A$2:$A$78,0)),
"")</f>
        <v>UPTOWN</v>
      </c>
      <c r="I370" s="63" t="str">
        <f>_xlfn.IFNA(
INDEX('Community Areas'!C$2:C$78,MATCH($E370,'Community Areas'!$A$2:$A$78,0)),
"")</f>
        <v>1-A</v>
      </c>
      <c r="J370" s="63">
        <f>_xlfn.IFNA(
INDEX('Community Areas'!D$2:D$78,MATCH($E370,'Community Areas'!$A$2:$A$78,0)),
"")</f>
        <v>1</v>
      </c>
      <c r="K370" s="60" t="str">
        <f>_xlfn.IFNA(
INDEX('Community Areas'!E$2:E$78,MATCH($E370,'Community Areas'!$A$2:$A$78,0)),
"")</f>
        <v>NORTH</v>
      </c>
      <c r="L370" s="17" t="e">
        <f>SUMIFS([1]ACSDT5Y2020.B08301_data_with_ov!AT$3:AT$1334,[1]ACSDT5Y2020.B08301_data_with_ov!$AS$3:$AS$1334,$B370)</f>
        <v>#VALUE!</v>
      </c>
      <c r="M370" s="17" t="e">
        <f>SUMIFS([1]ACSDT5Y2020.B08301_data_with_ov!AU$3:AU$1334,[1]ACSDT5Y2020.B08301_data_with_ov!$AS$3:$AS$1334,$B370)</f>
        <v>#VALUE!</v>
      </c>
      <c r="N370" s="17" t="e">
        <f>SUMIFS([1]ACSDT5Y2020.B08301_data_with_ov!AV$3:AV$1334,[1]ACSDT5Y2020.B08301_data_with_ov!$AS$3:$AS$1334,$B370)</f>
        <v>#VALUE!</v>
      </c>
      <c r="O370" s="17" t="e">
        <f>SUMIFS([1]ACSDT5Y2020.B08301_data_with_ov!AW$3:AW$1334,[1]ACSDT5Y2020.B08301_data_with_ov!$AS$3:$AS$1334,$B370)</f>
        <v>#VALUE!</v>
      </c>
      <c r="P370" s="17" t="e">
        <f>SUMIFS([1]ACSDT5Y2020.B08301_data_with_ov!AX$3:AX$1334,[1]ACSDT5Y2020.B08301_data_with_ov!$AS$3:$AS$1334,$B370)</f>
        <v>#VALUE!</v>
      </c>
      <c r="Q370" s="17" t="e">
        <f>SUMIFS([1]ACSDT5Y2020.B08301_data_with_ov!AY$3:AY$1334,[1]ACSDT5Y2020.B08301_data_with_ov!$AS$3:$AS$1334,$B370)</f>
        <v>#VALUE!</v>
      </c>
      <c r="R370" s="17" t="e">
        <f>SUMIFS([1]ACSDT5Y2020.B08301_data_with_ov!AZ$3:AZ$1334,[1]ACSDT5Y2020.B08301_data_with_ov!$AS$3:$AS$1334,$B370)</f>
        <v>#VALUE!</v>
      </c>
      <c r="S370" s="17" t="e">
        <f>SUMIFS([1]ACSDT5Y2020.B08301_data_with_ov!BA$3:BA$1334,[1]ACSDT5Y2020.B08301_data_with_ov!$AS$3:$AS$1334,$B370)</f>
        <v>#VALUE!</v>
      </c>
      <c r="T370" s="188">
        <v>6.1534628364857735E-2</v>
      </c>
      <c r="U370" s="189" t="e">
        <f t="shared" si="23"/>
        <v>#VALUE!</v>
      </c>
      <c r="V370" s="188">
        <v>6.1534628364857735E-2</v>
      </c>
      <c r="W370" s="189" t="e">
        <f t="shared" si="20"/>
        <v>#VALUE!</v>
      </c>
      <c r="X370" s="188">
        <v>6.1534628364857735E-2</v>
      </c>
      <c r="Y370" s="189" t="e">
        <f t="shared" si="21"/>
        <v>#VALUE!</v>
      </c>
      <c r="Z370" s="188">
        <v>6.1534628364857735E-2</v>
      </c>
      <c r="AA370" s="189" t="e">
        <f t="shared" si="22"/>
        <v>#VALUE!</v>
      </c>
    </row>
    <row r="371" spans="1:27" x14ac:dyDescent="0.25">
      <c r="A371">
        <v>830700</v>
      </c>
      <c r="B371">
        <v>17031830700</v>
      </c>
      <c r="C371">
        <v>17031</v>
      </c>
      <c r="D371">
        <v>2010</v>
      </c>
      <c r="E371">
        <v>3</v>
      </c>
      <c r="F371">
        <v>9358236.6465323307</v>
      </c>
      <c r="G371" s="45">
        <v>0.33568055005066039</v>
      </c>
      <c r="H371" s="60" t="str">
        <f>_xlfn.IFNA(
INDEX('Community Areas'!B$2:B$78,MATCH($E371,'Community Areas'!$A$2:$A$78,0)),
"")</f>
        <v>UPTOWN</v>
      </c>
      <c r="I371" s="63" t="str">
        <f>_xlfn.IFNA(
INDEX('Community Areas'!C$2:C$78,MATCH($E371,'Community Areas'!$A$2:$A$78,0)),
"")</f>
        <v>1-A</v>
      </c>
      <c r="J371" s="63">
        <f>_xlfn.IFNA(
INDEX('Community Areas'!D$2:D$78,MATCH($E371,'Community Areas'!$A$2:$A$78,0)),
"")</f>
        <v>1</v>
      </c>
      <c r="K371" s="60" t="str">
        <f>_xlfn.IFNA(
INDEX('Community Areas'!E$2:E$78,MATCH($E371,'Community Areas'!$A$2:$A$78,0)),
"")</f>
        <v>NORTH</v>
      </c>
      <c r="L371" s="17" t="e">
        <f>SUMIFS([1]ACSDT5Y2020.B08301_data_with_ov!AT$3:AT$1334,[1]ACSDT5Y2020.B08301_data_with_ov!$AS$3:$AS$1334,$B371)</f>
        <v>#VALUE!</v>
      </c>
      <c r="M371" s="17" t="e">
        <f>SUMIFS([1]ACSDT5Y2020.B08301_data_with_ov!AU$3:AU$1334,[1]ACSDT5Y2020.B08301_data_with_ov!$AS$3:$AS$1334,$B371)</f>
        <v>#VALUE!</v>
      </c>
      <c r="N371" s="17" t="e">
        <f>SUMIFS([1]ACSDT5Y2020.B08301_data_with_ov!AV$3:AV$1334,[1]ACSDT5Y2020.B08301_data_with_ov!$AS$3:$AS$1334,$B371)</f>
        <v>#VALUE!</v>
      </c>
      <c r="O371" s="17" t="e">
        <f>SUMIFS([1]ACSDT5Y2020.B08301_data_with_ov!AW$3:AW$1334,[1]ACSDT5Y2020.B08301_data_with_ov!$AS$3:$AS$1334,$B371)</f>
        <v>#VALUE!</v>
      </c>
      <c r="P371" s="17" t="e">
        <f>SUMIFS([1]ACSDT5Y2020.B08301_data_with_ov!AX$3:AX$1334,[1]ACSDT5Y2020.B08301_data_with_ov!$AS$3:$AS$1334,$B371)</f>
        <v>#VALUE!</v>
      </c>
      <c r="Q371" s="17" t="e">
        <f>SUMIFS([1]ACSDT5Y2020.B08301_data_with_ov!AY$3:AY$1334,[1]ACSDT5Y2020.B08301_data_with_ov!$AS$3:$AS$1334,$B371)</f>
        <v>#VALUE!</v>
      </c>
      <c r="R371" s="17" t="e">
        <f>SUMIFS([1]ACSDT5Y2020.B08301_data_with_ov!AZ$3:AZ$1334,[1]ACSDT5Y2020.B08301_data_with_ov!$AS$3:$AS$1334,$B371)</f>
        <v>#VALUE!</v>
      </c>
      <c r="S371" s="17" t="e">
        <f>SUMIFS([1]ACSDT5Y2020.B08301_data_with_ov!BA$3:BA$1334,[1]ACSDT5Y2020.B08301_data_with_ov!$AS$3:$AS$1334,$B371)</f>
        <v>#VALUE!</v>
      </c>
      <c r="T371" s="188">
        <v>0.33568055490594406</v>
      </c>
      <c r="U371" s="189" t="e">
        <f t="shared" si="23"/>
        <v>#VALUE!</v>
      </c>
      <c r="V371" s="188">
        <v>0.33568055490594406</v>
      </c>
      <c r="W371" s="189" t="e">
        <f t="shared" si="20"/>
        <v>#VALUE!</v>
      </c>
      <c r="X371" s="188">
        <v>0.33568055490594406</v>
      </c>
      <c r="Y371" s="189" t="e">
        <f t="shared" si="21"/>
        <v>#VALUE!</v>
      </c>
      <c r="Z371" s="188">
        <v>0.33568055490594406</v>
      </c>
      <c r="AA371" s="189" t="e">
        <f t="shared" si="22"/>
        <v>#VALUE!</v>
      </c>
    </row>
    <row r="372" spans="1:27" x14ac:dyDescent="0.25">
      <c r="A372">
        <v>301801</v>
      </c>
      <c r="B372">
        <v>17031301801</v>
      </c>
      <c r="C372">
        <v>17031</v>
      </c>
      <c r="D372">
        <v>2010</v>
      </c>
      <c r="E372">
        <v>30</v>
      </c>
      <c r="F372">
        <v>7613901.2039691098</v>
      </c>
      <c r="G372" s="45">
        <v>0.27311112560150902</v>
      </c>
      <c r="H372" s="60" t="str">
        <f>_xlfn.IFNA(
INDEX('Community Areas'!B$2:B$78,MATCH($E372,'Community Areas'!$A$2:$A$78,0)),
"")</f>
        <v>SOUTH LAWNDALE</v>
      </c>
      <c r="I372" s="63" t="str">
        <f>_xlfn.IFNA(
INDEX('Community Areas'!C$2:C$78,MATCH($E372,'Community Areas'!$A$2:$A$78,0)),
"")</f>
        <v>3-A</v>
      </c>
      <c r="J372" s="63">
        <f>_xlfn.IFNA(
INDEX('Community Areas'!D$2:D$78,MATCH($E372,'Community Areas'!$A$2:$A$78,0)),
"")</f>
        <v>3</v>
      </c>
      <c r="K372" s="60" t="str">
        <f>_xlfn.IFNA(
INDEX('Community Areas'!E$2:E$78,MATCH($E372,'Community Areas'!$A$2:$A$78,0)),
"")</f>
        <v>WEST</v>
      </c>
      <c r="L372" s="17" t="e">
        <f>SUMIFS([1]ACSDT5Y2020.B08301_data_with_ov!AT$3:AT$1334,[1]ACSDT5Y2020.B08301_data_with_ov!$AS$3:$AS$1334,$B372)</f>
        <v>#VALUE!</v>
      </c>
      <c r="M372" s="17" t="e">
        <f>SUMIFS([1]ACSDT5Y2020.B08301_data_with_ov!AU$3:AU$1334,[1]ACSDT5Y2020.B08301_data_with_ov!$AS$3:$AS$1334,$B372)</f>
        <v>#VALUE!</v>
      </c>
      <c r="N372" s="17" t="e">
        <f>SUMIFS([1]ACSDT5Y2020.B08301_data_with_ov!AV$3:AV$1334,[1]ACSDT5Y2020.B08301_data_with_ov!$AS$3:$AS$1334,$B372)</f>
        <v>#VALUE!</v>
      </c>
      <c r="O372" s="17" t="e">
        <f>SUMIFS([1]ACSDT5Y2020.B08301_data_with_ov!AW$3:AW$1334,[1]ACSDT5Y2020.B08301_data_with_ov!$AS$3:$AS$1334,$B372)</f>
        <v>#VALUE!</v>
      </c>
      <c r="P372" s="17" t="e">
        <f>SUMIFS([1]ACSDT5Y2020.B08301_data_with_ov!AX$3:AX$1334,[1]ACSDT5Y2020.B08301_data_with_ov!$AS$3:$AS$1334,$B372)</f>
        <v>#VALUE!</v>
      </c>
      <c r="Q372" s="17" t="e">
        <f>SUMIFS([1]ACSDT5Y2020.B08301_data_with_ov!AY$3:AY$1334,[1]ACSDT5Y2020.B08301_data_with_ov!$AS$3:$AS$1334,$B372)</f>
        <v>#VALUE!</v>
      </c>
      <c r="R372" s="17" t="e">
        <f>SUMIFS([1]ACSDT5Y2020.B08301_data_with_ov!AZ$3:AZ$1334,[1]ACSDT5Y2020.B08301_data_with_ov!$AS$3:$AS$1334,$B372)</f>
        <v>#VALUE!</v>
      </c>
      <c r="S372" s="17" t="e">
        <f>SUMIFS([1]ACSDT5Y2020.B08301_data_with_ov!BA$3:BA$1334,[1]ACSDT5Y2020.B08301_data_with_ov!$AS$3:$AS$1334,$B372)</f>
        <v>#VALUE!</v>
      </c>
      <c r="T372" s="188">
        <v>0.26525994561152394</v>
      </c>
      <c r="U372" s="189" t="e">
        <f t="shared" si="23"/>
        <v>#VALUE!</v>
      </c>
      <c r="V372" s="188">
        <v>0.26525994561152394</v>
      </c>
      <c r="W372" s="189" t="e">
        <f t="shared" si="20"/>
        <v>#VALUE!</v>
      </c>
      <c r="X372" s="188">
        <v>0.26525994561152394</v>
      </c>
      <c r="Y372" s="189" t="e">
        <f t="shared" si="21"/>
        <v>#VALUE!</v>
      </c>
      <c r="Z372" s="188">
        <v>0.26525994561152394</v>
      </c>
      <c r="AA372" s="189" t="e">
        <f t="shared" si="22"/>
        <v>#VALUE!</v>
      </c>
    </row>
    <row r="373" spans="1:27" x14ac:dyDescent="0.25">
      <c r="A373">
        <v>301701</v>
      </c>
      <c r="B373">
        <v>17031301701</v>
      </c>
      <c r="C373">
        <v>17031</v>
      </c>
      <c r="D373">
        <v>2010</v>
      </c>
      <c r="E373">
        <v>30</v>
      </c>
      <c r="F373">
        <v>3560771.22565663</v>
      </c>
      <c r="G373" s="45">
        <v>0.12772509274766952</v>
      </c>
      <c r="H373" s="60" t="str">
        <f>_xlfn.IFNA(
INDEX('Community Areas'!B$2:B$78,MATCH($E373,'Community Areas'!$A$2:$A$78,0)),
"")</f>
        <v>SOUTH LAWNDALE</v>
      </c>
      <c r="I373" s="63" t="str">
        <f>_xlfn.IFNA(
INDEX('Community Areas'!C$2:C$78,MATCH($E373,'Community Areas'!$A$2:$A$78,0)),
"")</f>
        <v>3-A</v>
      </c>
      <c r="J373" s="63">
        <f>_xlfn.IFNA(
INDEX('Community Areas'!D$2:D$78,MATCH($E373,'Community Areas'!$A$2:$A$78,0)),
"")</f>
        <v>3</v>
      </c>
      <c r="K373" s="60" t="str">
        <f>_xlfn.IFNA(
INDEX('Community Areas'!E$2:E$78,MATCH($E373,'Community Areas'!$A$2:$A$78,0)),
"")</f>
        <v>WEST</v>
      </c>
      <c r="L373" s="17" t="e">
        <f>SUMIFS([1]ACSDT5Y2020.B08301_data_with_ov!AT$3:AT$1334,[1]ACSDT5Y2020.B08301_data_with_ov!$AS$3:$AS$1334,$B373)</f>
        <v>#VALUE!</v>
      </c>
      <c r="M373" s="17" t="e">
        <f>SUMIFS([1]ACSDT5Y2020.B08301_data_with_ov!AU$3:AU$1334,[1]ACSDT5Y2020.B08301_data_with_ov!$AS$3:$AS$1334,$B373)</f>
        <v>#VALUE!</v>
      </c>
      <c r="N373" s="17" t="e">
        <f>SUMIFS([1]ACSDT5Y2020.B08301_data_with_ov!AV$3:AV$1334,[1]ACSDT5Y2020.B08301_data_with_ov!$AS$3:$AS$1334,$B373)</f>
        <v>#VALUE!</v>
      </c>
      <c r="O373" s="17" t="e">
        <f>SUMIFS([1]ACSDT5Y2020.B08301_data_with_ov!AW$3:AW$1334,[1]ACSDT5Y2020.B08301_data_with_ov!$AS$3:$AS$1334,$B373)</f>
        <v>#VALUE!</v>
      </c>
      <c r="P373" s="17" t="e">
        <f>SUMIFS([1]ACSDT5Y2020.B08301_data_with_ov!AX$3:AX$1334,[1]ACSDT5Y2020.B08301_data_with_ov!$AS$3:$AS$1334,$B373)</f>
        <v>#VALUE!</v>
      </c>
      <c r="Q373" s="17" t="e">
        <f>SUMIFS([1]ACSDT5Y2020.B08301_data_with_ov!AY$3:AY$1334,[1]ACSDT5Y2020.B08301_data_with_ov!$AS$3:$AS$1334,$B373)</f>
        <v>#VALUE!</v>
      </c>
      <c r="R373" s="17" t="e">
        <f>SUMIFS([1]ACSDT5Y2020.B08301_data_with_ov!AZ$3:AZ$1334,[1]ACSDT5Y2020.B08301_data_with_ov!$AS$3:$AS$1334,$B373)</f>
        <v>#VALUE!</v>
      </c>
      <c r="S373" s="17" t="e">
        <f>SUMIFS([1]ACSDT5Y2020.B08301_data_with_ov!BA$3:BA$1334,[1]ACSDT5Y2020.B08301_data_with_ov!$AS$3:$AS$1334,$B373)</f>
        <v>#VALUE!</v>
      </c>
      <c r="T373" s="188">
        <v>0.12772509161499368</v>
      </c>
      <c r="U373" s="189" t="e">
        <f t="shared" si="23"/>
        <v>#VALUE!</v>
      </c>
      <c r="V373" s="188">
        <v>0.12772509161499368</v>
      </c>
      <c r="W373" s="189" t="e">
        <f t="shared" si="20"/>
        <v>#VALUE!</v>
      </c>
      <c r="X373" s="188">
        <v>0.12772509161499368</v>
      </c>
      <c r="Y373" s="189" t="e">
        <f t="shared" si="21"/>
        <v>#VALUE!</v>
      </c>
      <c r="Z373" s="188">
        <v>0.12772509161499368</v>
      </c>
      <c r="AA373" s="189" t="e">
        <f t="shared" si="22"/>
        <v>#VALUE!</v>
      </c>
    </row>
    <row r="374" spans="1:27" x14ac:dyDescent="0.25">
      <c r="A374">
        <v>840700</v>
      </c>
      <c r="B374">
        <v>17031840700</v>
      </c>
      <c r="C374">
        <v>17031</v>
      </c>
      <c r="D374">
        <v>2010</v>
      </c>
      <c r="E374">
        <v>30</v>
      </c>
      <c r="F374">
        <v>5913193.3119831001</v>
      </c>
      <c r="G374" s="45">
        <v>0.21210662419590437</v>
      </c>
      <c r="H374" s="60" t="str">
        <f>_xlfn.IFNA(
INDEX('Community Areas'!B$2:B$78,MATCH($E374,'Community Areas'!$A$2:$A$78,0)),
"")</f>
        <v>SOUTH LAWNDALE</v>
      </c>
      <c r="I374" s="63" t="str">
        <f>_xlfn.IFNA(
INDEX('Community Areas'!C$2:C$78,MATCH($E374,'Community Areas'!$A$2:$A$78,0)),
"")</f>
        <v>3-A</v>
      </c>
      <c r="J374" s="63">
        <f>_xlfn.IFNA(
INDEX('Community Areas'!D$2:D$78,MATCH($E374,'Community Areas'!$A$2:$A$78,0)),
"")</f>
        <v>3</v>
      </c>
      <c r="K374" s="60" t="str">
        <f>_xlfn.IFNA(
INDEX('Community Areas'!E$2:E$78,MATCH($E374,'Community Areas'!$A$2:$A$78,0)),
"")</f>
        <v>WEST</v>
      </c>
      <c r="L374" s="17" t="e">
        <f>SUMIFS([1]ACSDT5Y2020.B08301_data_with_ov!AT$3:AT$1334,[1]ACSDT5Y2020.B08301_data_with_ov!$AS$3:$AS$1334,$B374)</f>
        <v>#VALUE!</v>
      </c>
      <c r="M374" s="17" t="e">
        <f>SUMIFS([1]ACSDT5Y2020.B08301_data_with_ov!AU$3:AU$1334,[1]ACSDT5Y2020.B08301_data_with_ov!$AS$3:$AS$1334,$B374)</f>
        <v>#VALUE!</v>
      </c>
      <c r="N374" s="17" t="e">
        <f>SUMIFS([1]ACSDT5Y2020.B08301_data_with_ov!AV$3:AV$1334,[1]ACSDT5Y2020.B08301_data_with_ov!$AS$3:$AS$1334,$B374)</f>
        <v>#VALUE!</v>
      </c>
      <c r="O374" s="17" t="e">
        <f>SUMIFS([1]ACSDT5Y2020.B08301_data_with_ov!AW$3:AW$1334,[1]ACSDT5Y2020.B08301_data_with_ov!$AS$3:$AS$1334,$B374)</f>
        <v>#VALUE!</v>
      </c>
      <c r="P374" s="17" t="e">
        <f>SUMIFS([1]ACSDT5Y2020.B08301_data_with_ov!AX$3:AX$1334,[1]ACSDT5Y2020.B08301_data_with_ov!$AS$3:$AS$1334,$B374)</f>
        <v>#VALUE!</v>
      </c>
      <c r="Q374" s="17" t="e">
        <f>SUMIFS([1]ACSDT5Y2020.B08301_data_with_ov!AY$3:AY$1334,[1]ACSDT5Y2020.B08301_data_with_ov!$AS$3:$AS$1334,$B374)</f>
        <v>#VALUE!</v>
      </c>
      <c r="R374" s="17" t="e">
        <f>SUMIFS([1]ACSDT5Y2020.B08301_data_with_ov!AZ$3:AZ$1334,[1]ACSDT5Y2020.B08301_data_with_ov!$AS$3:$AS$1334,$B374)</f>
        <v>#VALUE!</v>
      </c>
      <c r="S374" s="17" t="e">
        <f>SUMIFS([1]ACSDT5Y2020.B08301_data_with_ov!BA$3:BA$1334,[1]ACSDT5Y2020.B08301_data_with_ov!$AS$3:$AS$1334,$B374)</f>
        <v>#VALUE!</v>
      </c>
      <c r="T374" s="188">
        <v>0.21210662692551149</v>
      </c>
      <c r="U374" s="189" t="e">
        <f t="shared" si="23"/>
        <v>#VALUE!</v>
      </c>
      <c r="V374" s="188">
        <v>0.21210662692551149</v>
      </c>
      <c r="W374" s="189" t="e">
        <f t="shared" si="20"/>
        <v>#VALUE!</v>
      </c>
      <c r="X374" s="188">
        <v>0.21210662692551149</v>
      </c>
      <c r="Y374" s="189" t="e">
        <f t="shared" si="21"/>
        <v>#VALUE!</v>
      </c>
      <c r="Z374" s="188">
        <v>0.21210662692551149</v>
      </c>
      <c r="AA374" s="189" t="e">
        <f t="shared" si="22"/>
        <v>#VALUE!</v>
      </c>
    </row>
    <row r="375" spans="1:27" x14ac:dyDescent="0.25">
      <c r="A375">
        <v>840800</v>
      </c>
      <c r="B375">
        <v>17031840800</v>
      </c>
      <c r="C375">
        <v>17031</v>
      </c>
      <c r="D375">
        <v>2010</v>
      </c>
      <c r="E375">
        <v>30</v>
      </c>
      <c r="F375">
        <v>3537721.34772781</v>
      </c>
      <c r="G375" s="45">
        <v>0.12689829214473608</v>
      </c>
      <c r="H375" s="60" t="str">
        <f>_xlfn.IFNA(
INDEX('Community Areas'!B$2:B$78,MATCH($E375,'Community Areas'!$A$2:$A$78,0)),
"")</f>
        <v>SOUTH LAWNDALE</v>
      </c>
      <c r="I375" s="63" t="str">
        <f>_xlfn.IFNA(
INDEX('Community Areas'!C$2:C$78,MATCH($E375,'Community Areas'!$A$2:$A$78,0)),
"")</f>
        <v>3-A</v>
      </c>
      <c r="J375" s="63">
        <f>_xlfn.IFNA(
INDEX('Community Areas'!D$2:D$78,MATCH($E375,'Community Areas'!$A$2:$A$78,0)),
"")</f>
        <v>3</v>
      </c>
      <c r="K375" s="60" t="str">
        <f>_xlfn.IFNA(
INDEX('Community Areas'!E$2:E$78,MATCH($E375,'Community Areas'!$A$2:$A$78,0)),
"")</f>
        <v>WEST</v>
      </c>
      <c r="L375" s="17" t="e">
        <f>SUMIFS([1]ACSDT5Y2020.B08301_data_with_ov!AT$3:AT$1334,[1]ACSDT5Y2020.B08301_data_with_ov!$AS$3:$AS$1334,$B375)</f>
        <v>#VALUE!</v>
      </c>
      <c r="M375" s="17" t="e">
        <f>SUMIFS([1]ACSDT5Y2020.B08301_data_with_ov!AU$3:AU$1334,[1]ACSDT5Y2020.B08301_data_with_ov!$AS$3:$AS$1334,$B375)</f>
        <v>#VALUE!</v>
      </c>
      <c r="N375" s="17" t="e">
        <f>SUMIFS([1]ACSDT5Y2020.B08301_data_with_ov!AV$3:AV$1334,[1]ACSDT5Y2020.B08301_data_with_ov!$AS$3:$AS$1334,$B375)</f>
        <v>#VALUE!</v>
      </c>
      <c r="O375" s="17" t="e">
        <f>SUMIFS([1]ACSDT5Y2020.B08301_data_with_ov!AW$3:AW$1334,[1]ACSDT5Y2020.B08301_data_with_ov!$AS$3:$AS$1334,$B375)</f>
        <v>#VALUE!</v>
      </c>
      <c r="P375" s="17" t="e">
        <f>SUMIFS([1]ACSDT5Y2020.B08301_data_with_ov!AX$3:AX$1334,[1]ACSDT5Y2020.B08301_data_with_ov!$AS$3:$AS$1334,$B375)</f>
        <v>#VALUE!</v>
      </c>
      <c r="Q375" s="17" t="e">
        <f>SUMIFS([1]ACSDT5Y2020.B08301_data_with_ov!AY$3:AY$1334,[1]ACSDT5Y2020.B08301_data_with_ov!$AS$3:$AS$1334,$B375)</f>
        <v>#VALUE!</v>
      </c>
      <c r="R375" s="17" t="e">
        <f>SUMIFS([1]ACSDT5Y2020.B08301_data_with_ov!AZ$3:AZ$1334,[1]ACSDT5Y2020.B08301_data_with_ov!$AS$3:$AS$1334,$B375)</f>
        <v>#VALUE!</v>
      </c>
      <c r="S375" s="17" t="e">
        <f>SUMIFS([1]ACSDT5Y2020.B08301_data_with_ov!BA$3:BA$1334,[1]ACSDT5Y2020.B08301_data_with_ov!$AS$3:$AS$1334,$B375)</f>
        <v>#VALUE!</v>
      </c>
      <c r="T375" s="188">
        <v>0.12594774288213312</v>
      </c>
      <c r="U375" s="189" t="e">
        <f t="shared" si="23"/>
        <v>#VALUE!</v>
      </c>
      <c r="V375" s="188">
        <v>7.7195496674146658E-2</v>
      </c>
      <c r="W375" s="189" t="e">
        <f t="shared" si="20"/>
        <v>#VALUE!</v>
      </c>
      <c r="X375" s="188">
        <v>7.7195496674146658E-2</v>
      </c>
      <c r="Y375" s="189" t="e">
        <f t="shared" si="21"/>
        <v>#VALUE!</v>
      </c>
      <c r="Z375" s="188">
        <v>7.7195496674146658E-2</v>
      </c>
      <c r="AA375" s="189" t="e">
        <f t="shared" si="22"/>
        <v>#VALUE!</v>
      </c>
    </row>
    <row r="376" spans="1:27" x14ac:dyDescent="0.25">
      <c r="A376">
        <v>301200</v>
      </c>
      <c r="B376">
        <v>17031301200</v>
      </c>
      <c r="C376">
        <v>17031</v>
      </c>
      <c r="D376">
        <v>2010</v>
      </c>
      <c r="E376">
        <v>30</v>
      </c>
      <c r="F376">
        <v>5257049.3279705904</v>
      </c>
      <c r="G376" s="45">
        <v>0.18857069731299467</v>
      </c>
      <c r="H376" s="60" t="str">
        <f>_xlfn.IFNA(
INDEX('Community Areas'!B$2:B$78,MATCH($E376,'Community Areas'!$A$2:$A$78,0)),
"")</f>
        <v>SOUTH LAWNDALE</v>
      </c>
      <c r="I376" s="63" t="str">
        <f>_xlfn.IFNA(
INDEX('Community Areas'!C$2:C$78,MATCH($E376,'Community Areas'!$A$2:$A$78,0)),
"")</f>
        <v>3-A</v>
      </c>
      <c r="J376" s="63">
        <f>_xlfn.IFNA(
INDEX('Community Areas'!D$2:D$78,MATCH($E376,'Community Areas'!$A$2:$A$78,0)),
"")</f>
        <v>3</v>
      </c>
      <c r="K376" s="60" t="str">
        <f>_xlfn.IFNA(
INDEX('Community Areas'!E$2:E$78,MATCH($E376,'Community Areas'!$A$2:$A$78,0)),
"")</f>
        <v>WEST</v>
      </c>
      <c r="L376" s="17" t="e">
        <f>SUMIFS([1]ACSDT5Y2020.B08301_data_with_ov!AT$3:AT$1334,[1]ACSDT5Y2020.B08301_data_with_ov!$AS$3:$AS$1334,$B376)</f>
        <v>#VALUE!</v>
      </c>
      <c r="M376" s="17" t="e">
        <f>SUMIFS([1]ACSDT5Y2020.B08301_data_with_ov!AU$3:AU$1334,[1]ACSDT5Y2020.B08301_data_with_ov!$AS$3:$AS$1334,$B376)</f>
        <v>#VALUE!</v>
      </c>
      <c r="N376" s="17" t="e">
        <f>SUMIFS([1]ACSDT5Y2020.B08301_data_with_ov!AV$3:AV$1334,[1]ACSDT5Y2020.B08301_data_with_ov!$AS$3:$AS$1334,$B376)</f>
        <v>#VALUE!</v>
      </c>
      <c r="O376" s="17" t="e">
        <f>SUMIFS([1]ACSDT5Y2020.B08301_data_with_ov!AW$3:AW$1334,[1]ACSDT5Y2020.B08301_data_with_ov!$AS$3:$AS$1334,$B376)</f>
        <v>#VALUE!</v>
      </c>
      <c r="P376" s="17" t="e">
        <f>SUMIFS([1]ACSDT5Y2020.B08301_data_with_ov!AX$3:AX$1334,[1]ACSDT5Y2020.B08301_data_with_ov!$AS$3:$AS$1334,$B376)</f>
        <v>#VALUE!</v>
      </c>
      <c r="Q376" s="17" t="e">
        <f>SUMIFS([1]ACSDT5Y2020.B08301_data_with_ov!AY$3:AY$1334,[1]ACSDT5Y2020.B08301_data_with_ov!$AS$3:$AS$1334,$B376)</f>
        <v>#VALUE!</v>
      </c>
      <c r="R376" s="17" t="e">
        <f>SUMIFS([1]ACSDT5Y2020.B08301_data_with_ov!AZ$3:AZ$1334,[1]ACSDT5Y2020.B08301_data_with_ov!$AS$3:$AS$1334,$B376)</f>
        <v>#VALUE!</v>
      </c>
      <c r="S376" s="17" t="e">
        <f>SUMIFS([1]ACSDT5Y2020.B08301_data_with_ov!BA$3:BA$1334,[1]ACSDT5Y2020.B08301_data_with_ov!$AS$3:$AS$1334,$B376)</f>
        <v>#VALUE!</v>
      </c>
      <c r="T376" s="188">
        <v>0.18857069910432089</v>
      </c>
      <c r="U376" s="189" t="e">
        <f t="shared" si="23"/>
        <v>#VALUE!</v>
      </c>
      <c r="V376" s="188">
        <v>0.18857069910432089</v>
      </c>
      <c r="W376" s="189" t="e">
        <f t="shared" si="20"/>
        <v>#VALUE!</v>
      </c>
      <c r="X376" s="188">
        <v>0.18857069910432089</v>
      </c>
      <c r="Y376" s="189" t="e">
        <f t="shared" si="21"/>
        <v>#VALUE!</v>
      </c>
      <c r="Z376" s="188">
        <v>0.18857069910432089</v>
      </c>
      <c r="AA376" s="189" t="e">
        <f t="shared" si="22"/>
        <v>#VALUE!</v>
      </c>
    </row>
    <row r="377" spans="1:27" x14ac:dyDescent="0.25">
      <c r="A377">
        <v>830500</v>
      </c>
      <c r="B377">
        <v>17031830500</v>
      </c>
      <c r="C377">
        <v>17031</v>
      </c>
      <c r="D377">
        <v>2010</v>
      </c>
      <c r="E377">
        <v>30</v>
      </c>
      <c r="F377">
        <v>43835915.182571597</v>
      </c>
      <c r="G377" s="45">
        <v>1.5723970953344379</v>
      </c>
      <c r="H377" s="60" t="str">
        <f>_xlfn.IFNA(
INDEX('Community Areas'!B$2:B$78,MATCH($E377,'Community Areas'!$A$2:$A$78,0)),
"")</f>
        <v>SOUTH LAWNDALE</v>
      </c>
      <c r="I377" s="63" t="str">
        <f>_xlfn.IFNA(
INDEX('Community Areas'!C$2:C$78,MATCH($E377,'Community Areas'!$A$2:$A$78,0)),
"")</f>
        <v>3-A</v>
      </c>
      <c r="J377" s="63">
        <f>_xlfn.IFNA(
INDEX('Community Areas'!D$2:D$78,MATCH($E377,'Community Areas'!$A$2:$A$78,0)),
"")</f>
        <v>3</v>
      </c>
      <c r="K377" s="60" t="str">
        <f>_xlfn.IFNA(
INDEX('Community Areas'!E$2:E$78,MATCH($E377,'Community Areas'!$A$2:$A$78,0)),
"")</f>
        <v>WEST</v>
      </c>
      <c r="L377" s="17" t="e">
        <f>SUMIFS([1]ACSDT5Y2020.B08301_data_with_ov!AT$3:AT$1334,[1]ACSDT5Y2020.B08301_data_with_ov!$AS$3:$AS$1334,$B377)</f>
        <v>#VALUE!</v>
      </c>
      <c r="M377" s="17" t="e">
        <f>SUMIFS([1]ACSDT5Y2020.B08301_data_with_ov!AU$3:AU$1334,[1]ACSDT5Y2020.B08301_data_with_ov!$AS$3:$AS$1334,$B377)</f>
        <v>#VALUE!</v>
      </c>
      <c r="N377" s="17" t="e">
        <f>SUMIFS([1]ACSDT5Y2020.B08301_data_with_ov!AV$3:AV$1334,[1]ACSDT5Y2020.B08301_data_with_ov!$AS$3:$AS$1334,$B377)</f>
        <v>#VALUE!</v>
      </c>
      <c r="O377" s="17" t="e">
        <f>SUMIFS([1]ACSDT5Y2020.B08301_data_with_ov!AW$3:AW$1334,[1]ACSDT5Y2020.B08301_data_with_ov!$AS$3:$AS$1334,$B377)</f>
        <v>#VALUE!</v>
      </c>
      <c r="P377" s="17" t="e">
        <f>SUMIFS([1]ACSDT5Y2020.B08301_data_with_ov!AX$3:AX$1334,[1]ACSDT5Y2020.B08301_data_with_ov!$AS$3:$AS$1334,$B377)</f>
        <v>#VALUE!</v>
      </c>
      <c r="Q377" s="17" t="e">
        <f>SUMIFS([1]ACSDT5Y2020.B08301_data_with_ov!AY$3:AY$1334,[1]ACSDT5Y2020.B08301_data_with_ov!$AS$3:$AS$1334,$B377)</f>
        <v>#VALUE!</v>
      </c>
      <c r="R377" s="17" t="e">
        <f>SUMIFS([1]ACSDT5Y2020.B08301_data_with_ov!AZ$3:AZ$1334,[1]ACSDT5Y2020.B08301_data_with_ov!$AS$3:$AS$1334,$B377)</f>
        <v>#VALUE!</v>
      </c>
      <c r="S377" s="17" t="e">
        <f>SUMIFS([1]ACSDT5Y2020.B08301_data_with_ov!BA$3:BA$1334,[1]ACSDT5Y2020.B08301_data_with_ov!$AS$3:$AS$1334,$B377)</f>
        <v>#VALUE!</v>
      </c>
      <c r="T377" s="188">
        <v>0</v>
      </c>
      <c r="U377" s="189" t="e">
        <f t="shared" si="23"/>
        <v>#VALUE!</v>
      </c>
      <c r="V377" s="188">
        <v>0</v>
      </c>
      <c r="W377" s="189" t="e">
        <f t="shared" si="20"/>
        <v>#VALUE!</v>
      </c>
      <c r="X377" s="188">
        <v>0</v>
      </c>
      <c r="Y377" s="189" t="e">
        <f t="shared" si="21"/>
        <v>#VALUE!</v>
      </c>
      <c r="Z377" s="188">
        <v>0</v>
      </c>
      <c r="AA377" s="189" t="e">
        <f t="shared" si="22"/>
        <v>#VALUE!</v>
      </c>
    </row>
    <row r="378" spans="1:27" x14ac:dyDescent="0.25">
      <c r="A378">
        <v>300900</v>
      </c>
      <c r="B378">
        <v>17031300900</v>
      </c>
      <c r="C378">
        <v>17031</v>
      </c>
      <c r="D378">
        <v>2010</v>
      </c>
      <c r="E378">
        <v>30</v>
      </c>
      <c r="F378">
        <v>3522917.1171651399</v>
      </c>
      <c r="G378" s="45">
        <v>0.12636726344284965</v>
      </c>
      <c r="H378" s="60" t="str">
        <f>_xlfn.IFNA(
INDEX('Community Areas'!B$2:B$78,MATCH($E378,'Community Areas'!$A$2:$A$78,0)),
"")</f>
        <v>SOUTH LAWNDALE</v>
      </c>
      <c r="I378" s="63" t="str">
        <f>_xlfn.IFNA(
INDEX('Community Areas'!C$2:C$78,MATCH($E378,'Community Areas'!$A$2:$A$78,0)),
"")</f>
        <v>3-A</v>
      </c>
      <c r="J378" s="63">
        <f>_xlfn.IFNA(
INDEX('Community Areas'!D$2:D$78,MATCH($E378,'Community Areas'!$A$2:$A$78,0)),
"")</f>
        <v>3</v>
      </c>
      <c r="K378" s="60" t="str">
        <f>_xlfn.IFNA(
INDEX('Community Areas'!E$2:E$78,MATCH($E378,'Community Areas'!$A$2:$A$78,0)),
"")</f>
        <v>WEST</v>
      </c>
      <c r="L378" s="17" t="e">
        <f>SUMIFS([1]ACSDT5Y2020.B08301_data_with_ov!AT$3:AT$1334,[1]ACSDT5Y2020.B08301_data_with_ov!$AS$3:$AS$1334,$B378)</f>
        <v>#VALUE!</v>
      </c>
      <c r="M378" s="17" t="e">
        <f>SUMIFS([1]ACSDT5Y2020.B08301_data_with_ov!AU$3:AU$1334,[1]ACSDT5Y2020.B08301_data_with_ov!$AS$3:$AS$1334,$B378)</f>
        <v>#VALUE!</v>
      </c>
      <c r="N378" s="17" t="e">
        <f>SUMIFS([1]ACSDT5Y2020.B08301_data_with_ov!AV$3:AV$1334,[1]ACSDT5Y2020.B08301_data_with_ov!$AS$3:$AS$1334,$B378)</f>
        <v>#VALUE!</v>
      </c>
      <c r="O378" s="17" t="e">
        <f>SUMIFS([1]ACSDT5Y2020.B08301_data_with_ov!AW$3:AW$1334,[1]ACSDT5Y2020.B08301_data_with_ov!$AS$3:$AS$1334,$B378)</f>
        <v>#VALUE!</v>
      </c>
      <c r="P378" s="17" t="e">
        <f>SUMIFS([1]ACSDT5Y2020.B08301_data_with_ov!AX$3:AX$1334,[1]ACSDT5Y2020.B08301_data_with_ov!$AS$3:$AS$1334,$B378)</f>
        <v>#VALUE!</v>
      </c>
      <c r="Q378" s="17" t="e">
        <f>SUMIFS([1]ACSDT5Y2020.B08301_data_with_ov!AY$3:AY$1334,[1]ACSDT5Y2020.B08301_data_with_ov!$AS$3:$AS$1334,$B378)</f>
        <v>#VALUE!</v>
      </c>
      <c r="R378" s="17" t="e">
        <f>SUMIFS([1]ACSDT5Y2020.B08301_data_with_ov!AZ$3:AZ$1334,[1]ACSDT5Y2020.B08301_data_with_ov!$AS$3:$AS$1334,$B378)</f>
        <v>#VALUE!</v>
      </c>
      <c r="S378" s="17" t="e">
        <f>SUMIFS([1]ACSDT5Y2020.B08301_data_with_ov!BA$3:BA$1334,[1]ACSDT5Y2020.B08301_data_with_ov!$AS$3:$AS$1334,$B378)</f>
        <v>#VALUE!</v>
      </c>
      <c r="T378" s="188">
        <v>0.12636725657562989</v>
      </c>
      <c r="U378" s="189" t="e">
        <f t="shared" si="23"/>
        <v>#VALUE!</v>
      </c>
      <c r="V378" s="188">
        <v>0.12636725657562989</v>
      </c>
      <c r="W378" s="189" t="e">
        <f t="shared" si="20"/>
        <v>#VALUE!</v>
      </c>
      <c r="X378" s="188">
        <v>0.12636725657562989</v>
      </c>
      <c r="Y378" s="189" t="e">
        <f t="shared" si="21"/>
        <v>#VALUE!</v>
      </c>
      <c r="Z378" s="188">
        <v>0.12636725657562989</v>
      </c>
      <c r="AA378" s="189" t="e">
        <f t="shared" si="22"/>
        <v>#VALUE!</v>
      </c>
    </row>
    <row r="379" spans="1:27" x14ac:dyDescent="0.25">
      <c r="A379">
        <v>300600</v>
      </c>
      <c r="B379">
        <v>17031300600</v>
      </c>
      <c r="C379">
        <v>17031</v>
      </c>
      <c r="D379">
        <v>2010</v>
      </c>
      <c r="E379">
        <v>30</v>
      </c>
      <c r="F379">
        <v>3533251.3364504799</v>
      </c>
      <c r="G379" s="45">
        <v>0.12673795255288969</v>
      </c>
      <c r="H379" s="60" t="str">
        <f>_xlfn.IFNA(
INDEX('Community Areas'!B$2:B$78,MATCH($E379,'Community Areas'!$A$2:$A$78,0)),
"")</f>
        <v>SOUTH LAWNDALE</v>
      </c>
      <c r="I379" s="63" t="str">
        <f>_xlfn.IFNA(
INDEX('Community Areas'!C$2:C$78,MATCH($E379,'Community Areas'!$A$2:$A$78,0)),
"")</f>
        <v>3-A</v>
      </c>
      <c r="J379" s="63">
        <f>_xlfn.IFNA(
INDEX('Community Areas'!D$2:D$78,MATCH($E379,'Community Areas'!$A$2:$A$78,0)),
"")</f>
        <v>3</v>
      </c>
      <c r="K379" s="60" t="str">
        <f>_xlfn.IFNA(
INDEX('Community Areas'!E$2:E$78,MATCH($E379,'Community Areas'!$A$2:$A$78,0)),
"")</f>
        <v>WEST</v>
      </c>
      <c r="L379" s="17" t="e">
        <f>SUMIFS([1]ACSDT5Y2020.B08301_data_with_ov!AT$3:AT$1334,[1]ACSDT5Y2020.B08301_data_with_ov!$AS$3:$AS$1334,$B379)</f>
        <v>#VALUE!</v>
      </c>
      <c r="M379" s="17" t="e">
        <f>SUMIFS([1]ACSDT5Y2020.B08301_data_with_ov!AU$3:AU$1334,[1]ACSDT5Y2020.B08301_data_with_ov!$AS$3:$AS$1334,$B379)</f>
        <v>#VALUE!</v>
      </c>
      <c r="N379" s="17" t="e">
        <f>SUMIFS([1]ACSDT5Y2020.B08301_data_with_ov!AV$3:AV$1334,[1]ACSDT5Y2020.B08301_data_with_ov!$AS$3:$AS$1334,$B379)</f>
        <v>#VALUE!</v>
      </c>
      <c r="O379" s="17" t="e">
        <f>SUMIFS([1]ACSDT5Y2020.B08301_data_with_ov!AW$3:AW$1334,[1]ACSDT5Y2020.B08301_data_with_ov!$AS$3:$AS$1334,$B379)</f>
        <v>#VALUE!</v>
      </c>
      <c r="P379" s="17" t="e">
        <f>SUMIFS([1]ACSDT5Y2020.B08301_data_with_ov!AX$3:AX$1334,[1]ACSDT5Y2020.B08301_data_with_ov!$AS$3:$AS$1334,$B379)</f>
        <v>#VALUE!</v>
      </c>
      <c r="Q379" s="17" t="e">
        <f>SUMIFS([1]ACSDT5Y2020.B08301_data_with_ov!AY$3:AY$1334,[1]ACSDT5Y2020.B08301_data_with_ov!$AS$3:$AS$1334,$B379)</f>
        <v>#VALUE!</v>
      </c>
      <c r="R379" s="17" t="e">
        <f>SUMIFS([1]ACSDT5Y2020.B08301_data_with_ov!AZ$3:AZ$1334,[1]ACSDT5Y2020.B08301_data_with_ov!$AS$3:$AS$1334,$B379)</f>
        <v>#VALUE!</v>
      </c>
      <c r="S379" s="17" t="e">
        <f>SUMIFS([1]ACSDT5Y2020.B08301_data_with_ov!BA$3:BA$1334,[1]ACSDT5Y2020.B08301_data_with_ov!$AS$3:$AS$1334,$B379)</f>
        <v>#VALUE!</v>
      </c>
      <c r="T379" s="188">
        <v>0.12673795271502131</v>
      </c>
      <c r="U379" s="189" t="e">
        <f t="shared" si="23"/>
        <v>#VALUE!</v>
      </c>
      <c r="V379" s="188">
        <v>0.12673795271502131</v>
      </c>
      <c r="W379" s="189" t="e">
        <f t="shared" si="20"/>
        <v>#VALUE!</v>
      </c>
      <c r="X379" s="188">
        <v>0.12673795271502131</v>
      </c>
      <c r="Y379" s="189" t="e">
        <f t="shared" si="21"/>
        <v>#VALUE!</v>
      </c>
      <c r="Z379" s="188">
        <v>0.12673795271502131</v>
      </c>
      <c r="AA379" s="189" t="e">
        <f t="shared" si="22"/>
        <v>#VALUE!</v>
      </c>
    </row>
    <row r="380" spans="1:27" x14ac:dyDescent="0.25">
      <c r="A380">
        <v>301702</v>
      </c>
      <c r="B380">
        <v>17031301702</v>
      </c>
      <c r="C380">
        <v>17031</v>
      </c>
      <c r="D380">
        <v>2010</v>
      </c>
      <c r="E380">
        <v>30</v>
      </c>
      <c r="F380">
        <v>3563012.1168807698</v>
      </c>
      <c r="G380" s="45">
        <v>0.12780547365992201</v>
      </c>
      <c r="H380" s="60" t="str">
        <f>_xlfn.IFNA(
INDEX('Community Areas'!B$2:B$78,MATCH($E380,'Community Areas'!$A$2:$A$78,0)),
"")</f>
        <v>SOUTH LAWNDALE</v>
      </c>
      <c r="I380" s="63" t="str">
        <f>_xlfn.IFNA(
INDEX('Community Areas'!C$2:C$78,MATCH($E380,'Community Areas'!$A$2:$A$78,0)),
"")</f>
        <v>3-A</v>
      </c>
      <c r="J380" s="63">
        <f>_xlfn.IFNA(
INDEX('Community Areas'!D$2:D$78,MATCH($E380,'Community Areas'!$A$2:$A$78,0)),
"")</f>
        <v>3</v>
      </c>
      <c r="K380" s="60" t="str">
        <f>_xlfn.IFNA(
INDEX('Community Areas'!E$2:E$78,MATCH($E380,'Community Areas'!$A$2:$A$78,0)),
"")</f>
        <v>WEST</v>
      </c>
      <c r="L380" s="17" t="e">
        <f>SUMIFS([1]ACSDT5Y2020.B08301_data_with_ov!AT$3:AT$1334,[1]ACSDT5Y2020.B08301_data_with_ov!$AS$3:$AS$1334,$B380)</f>
        <v>#VALUE!</v>
      </c>
      <c r="M380" s="17" t="e">
        <f>SUMIFS([1]ACSDT5Y2020.B08301_data_with_ov!AU$3:AU$1334,[1]ACSDT5Y2020.B08301_data_with_ov!$AS$3:$AS$1334,$B380)</f>
        <v>#VALUE!</v>
      </c>
      <c r="N380" s="17" t="e">
        <f>SUMIFS([1]ACSDT5Y2020.B08301_data_with_ov!AV$3:AV$1334,[1]ACSDT5Y2020.B08301_data_with_ov!$AS$3:$AS$1334,$B380)</f>
        <v>#VALUE!</v>
      </c>
      <c r="O380" s="17" t="e">
        <f>SUMIFS([1]ACSDT5Y2020.B08301_data_with_ov!AW$3:AW$1334,[1]ACSDT5Y2020.B08301_data_with_ov!$AS$3:$AS$1334,$B380)</f>
        <v>#VALUE!</v>
      </c>
      <c r="P380" s="17" t="e">
        <f>SUMIFS([1]ACSDT5Y2020.B08301_data_with_ov!AX$3:AX$1334,[1]ACSDT5Y2020.B08301_data_with_ov!$AS$3:$AS$1334,$B380)</f>
        <v>#VALUE!</v>
      </c>
      <c r="Q380" s="17" t="e">
        <f>SUMIFS([1]ACSDT5Y2020.B08301_data_with_ov!AY$3:AY$1334,[1]ACSDT5Y2020.B08301_data_with_ov!$AS$3:$AS$1334,$B380)</f>
        <v>#VALUE!</v>
      </c>
      <c r="R380" s="17" t="e">
        <f>SUMIFS([1]ACSDT5Y2020.B08301_data_with_ov!AZ$3:AZ$1334,[1]ACSDT5Y2020.B08301_data_with_ov!$AS$3:$AS$1334,$B380)</f>
        <v>#VALUE!</v>
      </c>
      <c r="S380" s="17" t="e">
        <f>SUMIFS([1]ACSDT5Y2020.B08301_data_with_ov!BA$3:BA$1334,[1]ACSDT5Y2020.B08301_data_with_ov!$AS$3:$AS$1334,$B380)</f>
        <v>#VALUE!</v>
      </c>
      <c r="T380" s="188">
        <v>0.1241429414301061</v>
      </c>
      <c r="U380" s="189" t="e">
        <f t="shared" si="23"/>
        <v>#VALUE!</v>
      </c>
      <c r="V380" s="188">
        <v>0.11283659071901903</v>
      </c>
      <c r="W380" s="189" t="e">
        <f t="shared" si="20"/>
        <v>#VALUE!</v>
      </c>
      <c r="X380" s="188">
        <v>0.11283659071901903</v>
      </c>
      <c r="Y380" s="189" t="e">
        <f t="shared" si="21"/>
        <v>#VALUE!</v>
      </c>
      <c r="Z380" s="188">
        <v>0.11283659071901903</v>
      </c>
      <c r="AA380" s="189" t="e">
        <f t="shared" si="22"/>
        <v>#VALUE!</v>
      </c>
    </row>
    <row r="381" spans="1:27" x14ac:dyDescent="0.25">
      <c r="A381">
        <v>300700</v>
      </c>
      <c r="B381">
        <v>17031300700</v>
      </c>
      <c r="C381">
        <v>17031</v>
      </c>
      <c r="D381">
        <v>2010</v>
      </c>
      <c r="E381">
        <v>30</v>
      </c>
      <c r="F381">
        <v>3542348.66308374</v>
      </c>
      <c r="G381" s="45">
        <v>0.12706427424399319</v>
      </c>
      <c r="H381" s="60" t="str">
        <f>_xlfn.IFNA(
INDEX('Community Areas'!B$2:B$78,MATCH($E381,'Community Areas'!$A$2:$A$78,0)),
"")</f>
        <v>SOUTH LAWNDALE</v>
      </c>
      <c r="I381" s="63" t="str">
        <f>_xlfn.IFNA(
INDEX('Community Areas'!C$2:C$78,MATCH($E381,'Community Areas'!$A$2:$A$78,0)),
"")</f>
        <v>3-A</v>
      </c>
      <c r="J381" s="63">
        <f>_xlfn.IFNA(
INDEX('Community Areas'!D$2:D$78,MATCH($E381,'Community Areas'!$A$2:$A$78,0)),
"")</f>
        <v>3</v>
      </c>
      <c r="K381" s="60" t="str">
        <f>_xlfn.IFNA(
INDEX('Community Areas'!E$2:E$78,MATCH($E381,'Community Areas'!$A$2:$A$78,0)),
"")</f>
        <v>WEST</v>
      </c>
      <c r="L381" s="17" t="e">
        <f>SUMIFS([1]ACSDT5Y2020.B08301_data_with_ov!AT$3:AT$1334,[1]ACSDT5Y2020.B08301_data_with_ov!$AS$3:$AS$1334,$B381)</f>
        <v>#VALUE!</v>
      </c>
      <c r="M381" s="17" t="e">
        <f>SUMIFS([1]ACSDT5Y2020.B08301_data_with_ov!AU$3:AU$1334,[1]ACSDT5Y2020.B08301_data_with_ov!$AS$3:$AS$1334,$B381)</f>
        <v>#VALUE!</v>
      </c>
      <c r="N381" s="17" t="e">
        <f>SUMIFS([1]ACSDT5Y2020.B08301_data_with_ov!AV$3:AV$1334,[1]ACSDT5Y2020.B08301_data_with_ov!$AS$3:$AS$1334,$B381)</f>
        <v>#VALUE!</v>
      </c>
      <c r="O381" s="17" t="e">
        <f>SUMIFS([1]ACSDT5Y2020.B08301_data_with_ov!AW$3:AW$1334,[1]ACSDT5Y2020.B08301_data_with_ov!$AS$3:$AS$1334,$B381)</f>
        <v>#VALUE!</v>
      </c>
      <c r="P381" s="17" t="e">
        <f>SUMIFS([1]ACSDT5Y2020.B08301_data_with_ov!AX$3:AX$1334,[1]ACSDT5Y2020.B08301_data_with_ov!$AS$3:$AS$1334,$B381)</f>
        <v>#VALUE!</v>
      </c>
      <c r="Q381" s="17" t="e">
        <f>SUMIFS([1]ACSDT5Y2020.B08301_data_with_ov!AY$3:AY$1334,[1]ACSDT5Y2020.B08301_data_with_ov!$AS$3:$AS$1334,$B381)</f>
        <v>#VALUE!</v>
      </c>
      <c r="R381" s="17" t="e">
        <f>SUMIFS([1]ACSDT5Y2020.B08301_data_with_ov!AZ$3:AZ$1334,[1]ACSDT5Y2020.B08301_data_with_ov!$AS$3:$AS$1334,$B381)</f>
        <v>#VALUE!</v>
      </c>
      <c r="S381" s="17" t="e">
        <f>SUMIFS([1]ACSDT5Y2020.B08301_data_with_ov!BA$3:BA$1334,[1]ACSDT5Y2020.B08301_data_with_ov!$AS$3:$AS$1334,$B381)</f>
        <v>#VALUE!</v>
      </c>
      <c r="T381" s="188">
        <v>0.12706427364081904</v>
      </c>
      <c r="U381" s="189" t="e">
        <f t="shared" si="23"/>
        <v>#VALUE!</v>
      </c>
      <c r="V381" s="188">
        <v>0.12706427364081904</v>
      </c>
      <c r="W381" s="189" t="e">
        <f t="shared" si="20"/>
        <v>#VALUE!</v>
      </c>
      <c r="X381" s="188">
        <v>0.12706427364081904</v>
      </c>
      <c r="Y381" s="189" t="e">
        <f t="shared" si="21"/>
        <v>#VALUE!</v>
      </c>
      <c r="Z381" s="188">
        <v>0.12706427364081904</v>
      </c>
      <c r="AA381" s="189" t="e">
        <f t="shared" si="22"/>
        <v>#VALUE!</v>
      </c>
    </row>
    <row r="382" spans="1:27" x14ac:dyDescent="0.25">
      <c r="A382">
        <v>301803</v>
      </c>
      <c r="B382">
        <v>17031301803</v>
      </c>
      <c r="C382">
        <v>17031</v>
      </c>
      <c r="D382">
        <v>2010</v>
      </c>
      <c r="E382">
        <v>30</v>
      </c>
      <c r="F382">
        <v>3778666.85338199</v>
      </c>
      <c r="G382" s="45">
        <v>0.13554102292032505</v>
      </c>
      <c r="H382" s="60" t="str">
        <f>_xlfn.IFNA(
INDEX('Community Areas'!B$2:B$78,MATCH($E382,'Community Areas'!$A$2:$A$78,0)),
"")</f>
        <v>SOUTH LAWNDALE</v>
      </c>
      <c r="I382" s="63" t="str">
        <f>_xlfn.IFNA(
INDEX('Community Areas'!C$2:C$78,MATCH($E382,'Community Areas'!$A$2:$A$78,0)),
"")</f>
        <v>3-A</v>
      </c>
      <c r="J382" s="63">
        <f>_xlfn.IFNA(
INDEX('Community Areas'!D$2:D$78,MATCH($E382,'Community Areas'!$A$2:$A$78,0)),
"")</f>
        <v>3</v>
      </c>
      <c r="K382" s="60" t="str">
        <f>_xlfn.IFNA(
INDEX('Community Areas'!E$2:E$78,MATCH($E382,'Community Areas'!$A$2:$A$78,0)),
"")</f>
        <v>WEST</v>
      </c>
      <c r="L382" s="17" t="e">
        <f>SUMIFS([1]ACSDT5Y2020.B08301_data_with_ov!AT$3:AT$1334,[1]ACSDT5Y2020.B08301_data_with_ov!$AS$3:$AS$1334,$B382)</f>
        <v>#VALUE!</v>
      </c>
      <c r="M382" s="17" t="e">
        <f>SUMIFS([1]ACSDT5Y2020.B08301_data_with_ov!AU$3:AU$1334,[1]ACSDT5Y2020.B08301_data_with_ov!$AS$3:$AS$1334,$B382)</f>
        <v>#VALUE!</v>
      </c>
      <c r="N382" s="17" t="e">
        <f>SUMIFS([1]ACSDT5Y2020.B08301_data_with_ov!AV$3:AV$1334,[1]ACSDT5Y2020.B08301_data_with_ov!$AS$3:$AS$1334,$B382)</f>
        <v>#VALUE!</v>
      </c>
      <c r="O382" s="17" t="e">
        <f>SUMIFS([1]ACSDT5Y2020.B08301_data_with_ov!AW$3:AW$1334,[1]ACSDT5Y2020.B08301_data_with_ov!$AS$3:$AS$1334,$B382)</f>
        <v>#VALUE!</v>
      </c>
      <c r="P382" s="17" t="e">
        <f>SUMIFS([1]ACSDT5Y2020.B08301_data_with_ov!AX$3:AX$1334,[1]ACSDT5Y2020.B08301_data_with_ov!$AS$3:$AS$1334,$B382)</f>
        <v>#VALUE!</v>
      </c>
      <c r="Q382" s="17" t="e">
        <f>SUMIFS([1]ACSDT5Y2020.B08301_data_with_ov!AY$3:AY$1334,[1]ACSDT5Y2020.B08301_data_with_ov!$AS$3:$AS$1334,$B382)</f>
        <v>#VALUE!</v>
      </c>
      <c r="R382" s="17" t="e">
        <f>SUMIFS([1]ACSDT5Y2020.B08301_data_with_ov!AZ$3:AZ$1334,[1]ACSDT5Y2020.B08301_data_with_ov!$AS$3:$AS$1334,$B382)</f>
        <v>#VALUE!</v>
      </c>
      <c r="S382" s="17" t="e">
        <f>SUMIFS([1]ACSDT5Y2020.B08301_data_with_ov!BA$3:BA$1334,[1]ACSDT5Y2020.B08301_data_with_ov!$AS$3:$AS$1334,$B382)</f>
        <v>#VALUE!</v>
      </c>
      <c r="T382" s="188">
        <v>0.132425580308484</v>
      </c>
      <c r="U382" s="189" t="e">
        <f t="shared" si="23"/>
        <v>#VALUE!</v>
      </c>
      <c r="V382" s="188">
        <v>0.13242520402866376</v>
      </c>
      <c r="W382" s="189" t="e">
        <f t="shared" si="20"/>
        <v>#VALUE!</v>
      </c>
      <c r="X382" s="188">
        <v>0.13242520402866376</v>
      </c>
      <c r="Y382" s="189" t="e">
        <f t="shared" si="21"/>
        <v>#VALUE!</v>
      </c>
      <c r="Z382" s="188">
        <v>0.13242520402866376</v>
      </c>
      <c r="AA382" s="189" t="e">
        <f t="shared" si="22"/>
        <v>#VALUE!</v>
      </c>
    </row>
    <row r="383" spans="1:27" x14ac:dyDescent="0.25">
      <c r="A383">
        <v>301802</v>
      </c>
      <c r="B383">
        <v>17031301802</v>
      </c>
      <c r="C383">
        <v>17031</v>
      </c>
      <c r="D383">
        <v>2010</v>
      </c>
      <c r="E383">
        <v>30</v>
      </c>
      <c r="F383">
        <v>3751280.21562922</v>
      </c>
      <c r="G383" s="45">
        <v>0.13455866246374326</v>
      </c>
      <c r="H383" s="60" t="str">
        <f>_xlfn.IFNA(
INDEX('Community Areas'!B$2:B$78,MATCH($E383,'Community Areas'!$A$2:$A$78,0)),
"")</f>
        <v>SOUTH LAWNDALE</v>
      </c>
      <c r="I383" s="63" t="str">
        <f>_xlfn.IFNA(
INDEX('Community Areas'!C$2:C$78,MATCH($E383,'Community Areas'!$A$2:$A$78,0)),
"")</f>
        <v>3-A</v>
      </c>
      <c r="J383" s="63">
        <f>_xlfn.IFNA(
INDEX('Community Areas'!D$2:D$78,MATCH($E383,'Community Areas'!$A$2:$A$78,0)),
"")</f>
        <v>3</v>
      </c>
      <c r="K383" s="60" t="str">
        <f>_xlfn.IFNA(
INDEX('Community Areas'!E$2:E$78,MATCH($E383,'Community Areas'!$A$2:$A$78,0)),
"")</f>
        <v>WEST</v>
      </c>
      <c r="L383" s="17" t="e">
        <f>SUMIFS([1]ACSDT5Y2020.B08301_data_with_ov!AT$3:AT$1334,[1]ACSDT5Y2020.B08301_data_with_ov!$AS$3:$AS$1334,$B383)</f>
        <v>#VALUE!</v>
      </c>
      <c r="M383" s="17" t="e">
        <f>SUMIFS([1]ACSDT5Y2020.B08301_data_with_ov!AU$3:AU$1334,[1]ACSDT5Y2020.B08301_data_with_ov!$AS$3:$AS$1334,$B383)</f>
        <v>#VALUE!</v>
      </c>
      <c r="N383" s="17" t="e">
        <f>SUMIFS([1]ACSDT5Y2020.B08301_data_with_ov!AV$3:AV$1334,[1]ACSDT5Y2020.B08301_data_with_ov!$AS$3:$AS$1334,$B383)</f>
        <v>#VALUE!</v>
      </c>
      <c r="O383" s="17" t="e">
        <f>SUMIFS([1]ACSDT5Y2020.B08301_data_with_ov!AW$3:AW$1334,[1]ACSDT5Y2020.B08301_data_with_ov!$AS$3:$AS$1334,$B383)</f>
        <v>#VALUE!</v>
      </c>
      <c r="P383" s="17" t="e">
        <f>SUMIFS([1]ACSDT5Y2020.B08301_data_with_ov!AX$3:AX$1334,[1]ACSDT5Y2020.B08301_data_with_ov!$AS$3:$AS$1334,$B383)</f>
        <v>#VALUE!</v>
      </c>
      <c r="Q383" s="17" t="e">
        <f>SUMIFS([1]ACSDT5Y2020.B08301_data_with_ov!AY$3:AY$1334,[1]ACSDT5Y2020.B08301_data_with_ov!$AS$3:$AS$1334,$B383)</f>
        <v>#VALUE!</v>
      </c>
      <c r="R383" s="17" t="e">
        <f>SUMIFS([1]ACSDT5Y2020.B08301_data_with_ov!AZ$3:AZ$1334,[1]ACSDT5Y2020.B08301_data_with_ov!$AS$3:$AS$1334,$B383)</f>
        <v>#VALUE!</v>
      </c>
      <c r="S383" s="17" t="e">
        <f>SUMIFS([1]ACSDT5Y2020.B08301_data_with_ov!BA$3:BA$1334,[1]ACSDT5Y2020.B08301_data_with_ov!$AS$3:$AS$1334,$B383)</f>
        <v>#VALUE!</v>
      </c>
      <c r="T383" s="188">
        <v>0.13455866150494614</v>
      </c>
      <c r="U383" s="189" t="e">
        <f t="shared" si="23"/>
        <v>#VALUE!</v>
      </c>
      <c r="V383" s="188">
        <v>0.13455866150494614</v>
      </c>
      <c r="W383" s="189" t="e">
        <f t="shared" si="20"/>
        <v>#VALUE!</v>
      </c>
      <c r="X383" s="188">
        <v>0.13455866150494614</v>
      </c>
      <c r="Y383" s="189" t="e">
        <f t="shared" si="21"/>
        <v>#VALUE!</v>
      </c>
      <c r="Z383" s="188">
        <v>0.13455866150494614</v>
      </c>
      <c r="AA383" s="189" t="e">
        <f t="shared" si="22"/>
        <v>#VALUE!</v>
      </c>
    </row>
    <row r="384" spans="1:27" x14ac:dyDescent="0.25">
      <c r="A384">
        <v>301100</v>
      </c>
      <c r="B384">
        <v>17031301100</v>
      </c>
      <c r="C384">
        <v>17031</v>
      </c>
      <c r="D384">
        <v>2010</v>
      </c>
      <c r="E384">
        <v>30</v>
      </c>
      <c r="F384">
        <v>2244877.0135840299</v>
      </c>
      <c r="G384" s="45">
        <v>8.0523882776057085E-2</v>
      </c>
      <c r="H384" s="60" t="str">
        <f>_xlfn.IFNA(
INDEX('Community Areas'!B$2:B$78,MATCH($E384,'Community Areas'!$A$2:$A$78,0)),
"")</f>
        <v>SOUTH LAWNDALE</v>
      </c>
      <c r="I384" s="63" t="str">
        <f>_xlfn.IFNA(
INDEX('Community Areas'!C$2:C$78,MATCH($E384,'Community Areas'!$A$2:$A$78,0)),
"")</f>
        <v>3-A</v>
      </c>
      <c r="J384" s="63">
        <f>_xlfn.IFNA(
INDEX('Community Areas'!D$2:D$78,MATCH($E384,'Community Areas'!$A$2:$A$78,0)),
"")</f>
        <v>3</v>
      </c>
      <c r="K384" s="60" t="str">
        <f>_xlfn.IFNA(
INDEX('Community Areas'!E$2:E$78,MATCH($E384,'Community Areas'!$A$2:$A$78,0)),
"")</f>
        <v>WEST</v>
      </c>
      <c r="L384" s="17" t="e">
        <f>SUMIFS([1]ACSDT5Y2020.B08301_data_with_ov!AT$3:AT$1334,[1]ACSDT5Y2020.B08301_data_with_ov!$AS$3:$AS$1334,$B384)</f>
        <v>#VALUE!</v>
      </c>
      <c r="M384" s="17" t="e">
        <f>SUMIFS([1]ACSDT5Y2020.B08301_data_with_ov!AU$3:AU$1334,[1]ACSDT5Y2020.B08301_data_with_ov!$AS$3:$AS$1334,$B384)</f>
        <v>#VALUE!</v>
      </c>
      <c r="N384" s="17" t="e">
        <f>SUMIFS([1]ACSDT5Y2020.B08301_data_with_ov!AV$3:AV$1334,[1]ACSDT5Y2020.B08301_data_with_ov!$AS$3:$AS$1334,$B384)</f>
        <v>#VALUE!</v>
      </c>
      <c r="O384" s="17" t="e">
        <f>SUMIFS([1]ACSDT5Y2020.B08301_data_with_ov!AW$3:AW$1334,[1]ACSDT5Y2020.B08301_data_with_ov!$AS$3:$AS$1334,$B384)</f>
        <v>#VALUE!</v>
      </c>
      <c r="P384" s="17" t="e">
        <f>SUMIFS([1]ACSDT5Y2020.B08301_data_with_ov!AX$3:AX$1334,[1]ACSDT5Y2020.B08301_data_with_ov!$AS$3:$AS$1334,$B384)</f>
        <v>#VALUE!</v>
      </c>
      <c r="Q384" s="17" t="e">
        <f>SUMIFS([1]ACSDT5Y2020.B08301_data_with_ov!AY$3:AY$1334,[1]ACSDT5Y2020.B08301_data_with_ov!$AS$3:$AS$1334,$B384)</f>
        <v>#VALUE!</v>
      </c>
      <c r="R384" s="17" t="e">
        <f>SUMIFS([1]ACSDT5Y2020.B08301_data_with_ov!AZ$3:AZ$1334,[1]ACSDT5Y2020.B08301_data_with_ov!$AS$3:$AS$1334,$B384)</f>
        <v>#VALUE!</v>
      </c>
      <c r="S384" s="17" t="e">
        <f>SUMIFS([1]ACSDT5Y2020.B08301_data_with_ov!BA$3:BA$1334,[1]ACSDT5Y2020.B08301_data_with_ov!$AS$3:$AS$1334,$B384)</f>
        <v>#VALUE!</v>
      </c>
      <c r="T384" s="188">
        <v>8.0523880790004096E-2</v>
      </c>
      <c r="U384" s="189" t="e">
        <f t="shared" si="23"/>
        <v>#VALUE!</v>
      </c>
      <c r="V384" s="188">
        <v>8.0523880790004096E-2</v>
      </c>
      <c r="W384" s="189" t="e">
        <f t="shared" si="20"/>
        <v>#VALUE!</v>
      </c>
      <c r="X384" s="188">
        <v>8.0523880790004096E-2</v>
      </c>
      <c r="Y384" s="189" t="e">
        <f t="shared" si="21"/>
        <v>#VALUE!</v>
      </c>
      <c r="Z384" s="188">
        <v>8.0523880790004096E-2</v>
      </c>
      <c r="AA384" s="189" t="e">
        <f t="shared" si="22"/>
        <v>#VALUE!</v>
      </c>
    </row>
    <row r="385" spans="1:27" x14ac:dyDescent="0.25">
      <c r="A385">
        <v>301600</v>
      </c>
      <c r="B385">
        <v>17031301600</v>
      </c>
      <c r="C385">
        <v>17031</v>
      </c>
      <c r="D385">
        <v>2010</v>
      </c>
      <c r="E385">
        <v>30</v>
      </c>
      <c r="F385">
        <v>3546513.2456236002</v>
      </c>
      <c r="G385" s="45">
        <v>0.12721365808739382</v>
      </c>
      <c r="H385" s="60" t="str">
        <f>_xlfn.IFNA(
INDEX('Community Areas'!B$2:B$78,MATCH($E385,'Community Areas'!$A$2:$A$78,0)),
"")</f>
        <v>SOUTH LAWNDALE</v>
      </c>
      <c r="I385" s="63" t="str">
        <f>_xlfn.IFNA(
INDEX('Community Areas'!C$2:C$78,MATCH($E385,'Community Areas'!$A$2:$A$78,0)),
"")</f>
        <v>3-A</v>
      </c>
      <c r="J385" s="63">
        <f>_xlfn.IFNA(
INDEX('Community Areas'!D$2:D$78,MATCH($E385,'Community Areas'!$A$2:$A$78,0)),
"")</f>
        <v>3</v>
      </c>
      <c r="K385" s="60" t="str">
        <f>_xlfn.IFNA(
INDEX('Community Areas'!E$2:E$78,MATCH($E385,'Community Areas'!$A$2:$A$78,0)),
"")</f>
        <v>WEST</v>
      </c>
      <c r="L385" s="17" t="e">
        <f>SUMIFS([1]ACSDT5Y2020.B08301_data_with_ov!AT$3:AT$1334,[1]ACSDT5Y2020.B08301_data_with_ov!$AS$3:$AS$1334,$B385)</f>
        <v>#VALUE!</v>
      </c>
      <c r="M385" s="17" t="e">
        <f>SUMIFS([1]ACSDT5Y2020.B08301_data_with_ov!AU$3:AU$1334,[1]ACSDT5Y2020.B08301_data_with_ov!$AS$3:$AS$1334,$B385)</f>
        <v>#VALUE!</v>
      </c>
      <c r="N385" s="17" t="e">
        <f>SUMIFS([1]ACSDT5Y2020.B08301_data_with_ov!AV$3:AV$1334,[1]ACSDT5Y2020.B08301_data_with_ov!$AS$3:$AS$1334,$B385)</f>
        <v>#VALUE!</v>
      </c>
      <c r="O385" s="17" t="e">
        <f>SUMIFS([1]ACSDT5Y2020.B08301_data_with_ov!AW$3:AW$1334,[1]ACSDT5Y2020.B08301_data_with_ov!$AS$3:$AS$1334,$B385)</f>
        <v>#VALUE!</v>
      </c>
      <c r="P385" s="17" t="e">
        <f>SUMIFS([1]ACSDT5Y2020.B08301_data_with_ov!AX$3:AX$1334,[1]ACSDT5Y2020.B08301_data_with_ov!$AS$3:$AS$1334,$B385)</f>
        <v>#VALUE!</v>
      </c>
      <c r="Q385" s="17" t="e">
        <f>SUMIFS([1]ACSDT5Y2020.B08301_data_with_ov!AY$3:AY$1334,[1]ACSDT5Y2020.B08301_data_with_ov!$AS$3:$AS$1334,$B385)</f>
        <v>#VALUE!</v>
      </c>
      <c r="R385" s="17" t="e">
        <f>SUMIFS([1]ACSDT5Y2020.B08301_data_with_ov!AZ$3:AZ$1334,[1]ACSDT5Y2020.B08301_data_with_ov!$AS$3:$AS$1334,$B385)</f>
        <v>#VALUE!</v>
      </c>
      <c r="S385" s="17" t="e">
        <f>SUMIFS([1]ACSDT5Y2020.B08301_data_with_ov!BA$3:BA$1334,[1]ACSDT5Y2020.B08301_data_with_ov!$AS$3:$AS$1334,$B385)</f>
        <v>#VALUE!</v>
      </c>
      <c r="T385" s="188">
        <v>0.12596831434692485</v>
      </c>
      <c r="U385" s="189" t="e">
        <f t="shared" si="23"/>
        <v>#VALUE!</v>
      </c>
      <c r="V385" s="188">
        <v>0.12027859221256099</v>
      </c>
      <c r="W385" s="189" t="e">
        <f t="shared" si="20"/>
        <v>#VALUE!</v>
      </c>
      <c r="X385" s="188">
        <v>0.12027859221256099</v>
      </c>
      <c r="Y385" s="189" t="e">
        <f t="shared" si="21"/>
        <v>#VALUE!</v>
      </c>
      <c r="Z385" s="188">
        <v>0.12027859221256099</v>
      </c>
      <c r="AA385" s="189" t="e">
        <f t="shared" si="22"/>
        <v>#VALUE!</v>
      </c>
    </row>
    <row r="386" spans="1:27" x14ac:dyDescent="0.25">
      <c r="A386">
        <v>300800</v>
      </c>
      <c r="B386">
        <v>17031300800</v>
      </c>
      <c r="C386">
        <v>17031</v>
      </c>
      <c r="D386">
        <v>2010</v>
      </c>
      <c r="E386">
        <v>30</v>
      </c>
      <c r="F386">
        <v>3507926.5218742401</v>
      </c>
      <c r="G386" s="45">
        <v>0.12582954982618227</v>
      </c>
      <c r="H386" s="60" t="str">
        <f>_xlfn.IFNA(
INDEX('Community Areas'!B$2:B$78,MATCH($E386,'Community Areas'!$A$2:$A$78,0)),
"")</f>
        <v>SOUTH LAWNDALE</v>
      </c>
      <c r="I386" s="63" t="str">
        <f>_xlfn.IFNA(
INDEX('Community Areas'!C$2:C$78,MATCH($E386,'Community Areas'!$A$2:$A$78,0)),
"")</f>
        <v>3-A</v>
      </c>
      <c r="J386" s="63">
        <f>_xlfn.IFNA(
INDEX('Community Areas'!D$2:D$78,MATCH($E386,'Community Areas'!$A$2:$A$78,0)),
"")</f>
        <v>3</v>
      </c>
      <c r="K386" s="60" t="str">
        <f>_xlfn.IFNA(
INDEX('Community Areas'!E$2:E$78,MATCH($E386,'Community Areas'!$A$2:$A$78,0)),
"")</f>
        <v>WEST</v>
      </c>
      <c r="L386" s="17" t="e">
        <f>SUMIFS([1]ACSDT5Y2020.B08301_data_with_ov!AT$3:AT$1334,[1]ACSDT5Y2020.B08301_data_with_ov!$AS$3:$AS$1334,$B386)</f>
        <v>#VALUE!</v>
      </c>
      <c r="M386" s="17" t="e">
        <f>SUMIFS([1]ACSDT5Y2020.B08301_data_with_ov!AU$3:AU$1334,[1]ACSDT5Y2020.B08301_data_with_ov!$AS$3:$AS$1334,$B386)</f>
        <v>#VALUE!</v>
      </c>
      <c r="N386" s="17" t="e">
        <f>SUMIFS([1]ACSDT5Y2020.B08301_data_with_ov!AV$3:AV$1334,[1]ACSDT5Y2020.B08301_data_with_ov!$AS$3:$AS$1334,$B386)</f>
        <v>#VALUE!</v>
      </c>
      <c r="O386" s="17" t="e">
        <f>SUMIFS([1]ACSDT5Y2020.B08301_data_with_ov!AW$3:AW$1334,[1]ACSDT5Y2020.B08301_data_with_ov!$AS$3:$AS$1334,$B386)</f>
        <v>#VALUE!</v>
      </c>
      <c r="P386" s="17" t="e">
        <f>SUMIFS([1]ACSDT5Y2020.B08301_data_with_ov!AX$3:AX$1334,[1]ACSDT5Y2020.B08301_data_with_ov!$AS$3:$AS$1334,$B386)</f>
        <v>#VALUE!</v>
      </c>
      <c r="Q386" s="17" t="e">
        <f>SUMIFS([1]ACSDT5Y2020.B08301_data_with_ov!AY$3:AY$1334,[1]ACSDT5Y2020.B08301_data_with_ov!$AS$3:$AS$1334,$B386)</f>
        <v>#VALUE!</v>
      </c>
      <c r="R386" s="17" t="e">
        <f>SUMIFS([1]ACSDT5Y2020.B08301_data_with_ov!AZ$3:AZ$1334,[1]ACSDT5Y2020.B08301_data_with_ov!$AS$3:$AS$1334,$B386)</f>
        <v>#VALUE!</v>
      </c>
      <c r="S386" s="17" t="e">
        <f>SUMIFS([1]ACSDT5Y2020.B08301_data_with_ov!BA$3:BA$1334,[1]ACSDT5Y2020.B08301_data_with_ov!$AS$3:$AS$1334,$B386)</f>
        <v>#VALUE!</v>
      </c>
      <c r="T386" s="188">
        <v>0.12582954754019168</v>
      </c>
      <c r="U386" s="189" t="e">
        <f t="shared" si="23"/>
        <v>#VALUE!</v>
      </c>
      <c r="V386" s="188">
        <v>0.12582954754019168</v>
      </c>
      <c r="W386" s="189" t="e">
        <f t="shared" si="20"/>
        <v>#VALUE!</v>
      </c>
      <c r="X386" s="188">
        <v>0.12582954754019168</v>
      </c>
      <c r="Y386" s="189" t="e">
        <f t="shared" si="21"/>
        <v>#VALUE!</v>
      </c>
      <c r="Z386" s="188">
        <v>0.12582954754019168</v>
      </c>
      <c r="AA386" s="189" t="e">
        <f t="shared" si="22"/>
        <v>#VALUE!</v>
      </c>
    </row>
    <row r="387" spans="1:27" x14ac:dyDescent="0.25">
      <c r="A387">
        <v>841700</v>
      </c>
      <c r="B387">
        <v>17031841700</v>
      </c>
      <c r="C387">
        <v>17031</v>
      </c>
      <c r="D387">
        <v>2010</v>
      </c>
      <c r="E387">
        <v>30</v>
      </c>
      <c r="F387">
        <v>2871283.9043646301</v>
      </c>
      <c r="G387" s="45">
        <v>0.10299313821326296</v>
      </c>
      <c r="H387" s="60" t="str">
        <f>_xlfn.IFNA(
INDEX('Community Areas'!B$2:B$78,MATCH($E387,'Community Areas'!$A$2:$A$78,0)),
"")</f>
        <v>SOUTH LAWNDALE</v>
      </c>
      <c r="I387" s="63" t="str">
        <f>_xlfn.IFNA(
INDEX('Community Areas'!C$2:C$78,MATCH($E387,'Community Areas'!$A$2:$A$78,0)),
"")</f>
        <v>3-A</v>
      </c>
      <c r="J387" s="63">
        <f>_xlfn.IFNA(
INDEX('Community Areas'!D$2:D$78,MATCH($E387,'Community Areas'!$A$2:$A$78,0)),
"")</f>
        <v>3</v>
      </c>
      <c r="K387" s="60" t="str">
        <f>_xlfn.IFNA(
INDEX('Community Areas'!E$2:E$78,MATCH($E387,'Community Areas'!$A$2:$A$78,0)),
"")</f>
        <v>WEST</v>
      </c>
      <c r="L387" s="17" t="e">
        <f>SUMIFS([1]ACSDT5Y2020.B08301_data_with_ov!AT$3:AT$1334,[1]ACSDT5Y2020.B08301_data_with_ov!$AS$3:$AS$1334,$B387)</f>
        <v>#VALUE!</v>
      </c>
      <c r="M387" s="17" t="e">
        <f>SUMIFS([1]ACSDT5Y2020.B08301_data_with_ov!AU$3:AU$1334,[1]ACSDT5Y2020.B08301_data_with_ov!$AS$3:$AS$1334,$B387)</f>
        <v>#VALUE!</v>
      </c>
      <c r="N387" s="17" t="e">
        <f>SUMIFS([1]ACSDT5Y2020.B08301_data_with_ov!AV$3:AV$1334,[1]ACSDT5Y2020.B08301_data_with_ov!$AS$3:$AS$1334,$B387)</f>
        <v>#VALUE!</v>
      </c>
      <c r="O387" s="17" t="e">
        <f>SUMIFS([1]ACSDT5Y2020.B08301_data_with_ov!AW$3:AW$1334,[1]ACSDT5Y2020.B08301_data_with_ov!$AS$3:$AS$1334,$B387)</f>
        <v>#VALUE!</v>
      </c>
      <c r="P387" s="17" t="e">
        <f>SUMIFS([1]ACSDT5Y2020.B08301_data_with_ov!AX$3:AX$1334,[1]ACSDT5Y2020.B08301_data_with_ov!$AS$3:$AS$1334,$B387)</f>
        <v>#VALUE!</v>
      </c>
      <c r="Q387" s="17" t="e">
        <f>SUMIFS([1]ACSDT5Y2020.B08301_data_with_ov!AY$3:AY$1334,[1]ACSDT5Y2020.B08301_data_with_ov!$AS$3:$AS$1334,$B387)</f>
        <v>#VALUE!</v>
      </c>
      <c r="R387" s="17" t="e">
        <f>SUMIFS([1]ACSDT5Y2020.B08301_data_with_ov!AZ$3:AZ$1334,[1]ACSDT5Y2020.B08301_data_with_ov!$AS$3:$AS$1334,$B387)</f>
        <v>#VALUE!</v>
      </c>
      <c r="S387" s="17" t="e">
        <f>SUMIFS([1]ACSDT5Y2020.B08301_data_with_ov!BA$3:BA$1334,[1]ACSDT5Y2020.B08301_data_with_ov!$AS$3:$AS$1334,$B387)</f>
        <v>#VALUE!</v>
      </c>
      <c r="T387" s="188">
        <v>0.10299314623010826</v>
      </c>
      <c r="U387" s="189" t="e">
        <f t="shared" si="23"/>
        <v>#VALUE!</v>
      </c>
      <c r="V387" s="188">
        <v>0.10299314623010826</v>
      </c>
      <c r="W387" s="189" t="e">
        <f t="shared" si="20"/>
        <v>#VALUE!</v>
      </c>
      <c r="X387" s="188">
        <v>0.10299314623010826</v>
      </c>
      <c r="Y387" s="189" t="e">
        <f t="shared" si="21"/>
        <v>#VALUE!</v>
      </c>
      <c r="Z387" s="188">
        <v>0.10299314623010826</v>
      </c>
      <c r="AA387" s="189" t="e">
        <f t="shared" si="22"/>
        <v>#VALUE!</v>
      </c>
    </row>
    <row r="388" spans="1:27" x14ac:dyDescent="0.25">
      <c r="A388">
        <v>300500</v>
      </c>
      <c r="B388">
        <v>17031300500</v>
      </c>
      <c r="C388">
        <v>17031</v>
      </c>
      <c r="D388">
        <v>2010</v>
      </c>
      <c r="E388">
        <v>30</v>
      </c>
      <c r="F388">
        <v>2929601.3515339699</v>
      </c>
      <c r="G388" s="45">
        <v>0.10508498879182342</v>
      </c>
      <c r="H388" s="60" t="str">
        <f>_xlfn.IFNA(
INDEX('Community Areas'!B$2:B$78,MATCH($E388,'Community Areas'!$A$2:$A$78,0)),
"")</f>
        <v>SOUTH LAWNDALE</v>
      </c>
      <c r="I388" s="63" t="str">
        <f>_xlfn.IFNA(
INDEX('Community Areas'!C$2:C$78,MATCH($E388,'Community Areas'!$A$2:$A$78,0)),
"")</f>
        <v>3-A</v>
      </c>
      <c r="J388" s="63">
        <f>_xlfn.IFNA(
INDEX('Community Areas'!D$2:D$78,MATCH($E388,'Community Areas'!$A$2:$A$78,0)),
"")</f>
        <v>3</v>
      </c>
      <c r="K388" s="60" t="str">
        <f>_xlfn.IFNA(
INDEX('Community Areas'!E$2:E$78,MATCH($E388,'Community Areas'!$A$2:$A$78,0)),
"")</f>
        <v>WEST</v>
      </c>
      <c r="L388" s="17" t="e">
        <f>SUMIFS([1]ACSDT5Y2020.B08301_data_with_ov!AT$3:AT$1334,[1]ACSDT5Y2020.B08301_data_with_ov!$AS$3:$AS$1334,$B388)</f>
        <v>#VALUE!</v>
      </c>
      <c r="M388" s="17" t="e">
        <f>SUMIFS([1]ACSDT5Y2020.B08301_data_with_ov!AU$3:AU$1334,[1]ACSDT5Y2020.B08301_data_with_ov!$AS$3:$AS$1334,$B388)</f>
        <v>#VALUE!</v>
      </c>
      <c r="N388" s="17" t="e">
        <f>SUMIFS([1]ACSDT5Y2020.B08301_data_with_ov!AV$3:AV$1334,[1]ACSDT5Y2020.B08301_data_with_ov!$AS$3:$AS$1334,$B388)</f>
        <v>#VALUE!</v>
      </c>
      <c r="O388" s="17" t="e">
        <f>SUMIFS([1]ACSDT5Y2020.B08301_data_with_ov!AW$3:AW$1334,[1]ACSDT5Y2020.B08301_data_with_ov!$AS$3:$AS$1334,$B388)</f>
        <v>#VALUE!</v>
      </c>
      <c r="P388" s="17" t="e">
        <f>SUMIFS([1]ACSDT5Y2020.B08301_data_with_ov!AX$3:AX$1334,[1]ACSDT5Y2020.B08301_data_with_ov!$AS$3:$AS$1334,$B388)</f>
        <v>#VALUE!</v>
      </c>
      <c r="Q388" s="17" t="e">
        <f>SUMIFS([1]ACSDT5Y2020.B08301_data_with_ov!AY$3:AY$1334,[1]ACSDT5Y2020.B08301_data_with_ov!$AS$3:$AS$1334,$B388)</f>
        <v>#VALUE!</v>
      </c>
      <c r="R388" s="17" t="e">
        <f>SUMIFS([1]ACSDT5Y2020.B08301_data_with_ov!AZ$3:AZ$1334,[1]ACSDT5Y2020.B08301_data_with_ov!$AS$3:$AS$1334,$B388)</f>
        <v>#VALUE!</v>
      </c>
      <c r="S388" s="17" t="e">
        <f>SUMIFS([1]ACSDT5Y2020.B08301_data_with_ov!BA$3:BA$1334,[1]ACSDT5Y2020.B08301_data_with_ov!$AS$3:$AS$1334,$B388)</f>
        <v>#VALUE!</v>
      </c>
      <c r="T388" s="188">
        <v>0.10508498908072415</v>
      </c>
      <c r="U388" s="189" t="e">
        <f t="shared" si="23"/>
        <v>#VALUE!</v>
      </c>
      <c r="V388" s="188">
        <v>0.10508498908072415</v>
      </c>
      <c r="W388" s="189" t="e">
        <f t="shared" si="20"/>
        <v>#VALUE!</v>
      </c>
      <c r="X388" s="188">
        <v>0.10508498908072415</v>
      </c>
      <c r="Y388" s="189" t="e">
        <f t="shared" si="21"/>
        <v>#VALUE!</v>
      </c>
      <c r="Z388" s="188">
        <v>0.10508498908072415</v>
      </c>
      <c r="AA388" s="189" t="e">
        <f t="shared" si="22"/>
        <v>#VALUE!</v>
      </c>
    </row>
    <row r="389" spans="1:27" x14ac:dyDescent="0.25">
      <c r="A389">
        <v>310300</v>
      </c>
      <c r="B389">
        <v>17031310300</v>
      </c>
      <c r="C389">
        <v>17031</v>
      </c>
      <c r="D389">
        <v>2010</v>
      </c>
      <c r="E389">
        <v>31</v>
      </c>
      <c r="F389">
        <v>3429001.7805311601</v>
      </c>
      <c r="G389" s="45">
        <v>0.1229985142809903</v>
      </c>
      <c r="H389" s="60" t="str">
        <f>_xlfn.IFNA(
INDEX('Community Areas'!B$2:B$78,MATCH($E389,'Community Areas'!$A$2:$A$78,0)),
"")</f>
        <v>LOWER WEST SIDE</v>
      </c>
      <c r="I389" s="63" t="str">
        <f>_xlfn.IFNA(
INDEX('Community Areas'!C$2:C$78,MATCH($E389,'Community Areas'!$A$2:$A$78,0)),
"")</f>
        <v>3-B</v>
      </c>
      <c r="J389" s="63">
        <f>_xlfn.IFNA(
INDEX('Community Areas'!D$2:D$78,MATCH($E389,'Community Areas'!$A$2:$A$78,0)),
"")</f>
        <v>7</v>
      </c>
      <c r="K389" s="60" t="str">
        <f>_xlfn.IFNA(
INDEX('Community Areas'!E$2:E$78,MATCH($E389,'Community Areas'!$A$2:$A$78,0)),
"")</f>
        <v>CENTRAL</v>
      </c>
      <c r="L389" s="17" t="e">
        <f>SUMIFS([1]ACSDT5Y2020.B08301_data_with_ov!AT$3:AT$1334,[1]ACSDT5Y2020.B08301_data_with_ov!$AS$3:$AS$1334,$B389)</f>
        <v>#VALUE!</v>
      </c>
      <c r="M389" s="17" t="e">
        <f>SUMIFS([1]ACSDT5Y2020.B08301_data_with_ov!AU$3:AU$1334,[1]ACSDT5Y2020.B08301_data_with_ov!$AS$3:$AS$1334,$B389)</f>
        <v>#VALUE!</v>
      </c>
      <c r="N389" s="17" t="e">
        <f>SUMIFS([1]ACSDT5Y2020.B08301_data_with_ov!AV$3:AV$1334,[1]ACSDT5Y2020.B08301_data_with_ov!$AS$3:$AS$1334,$B389)</f>
        <v>#VALUE!</v>
      </c>
      <c r="O389" s="17" t="e">
        <f>SUMIFS([1]ACSDT5Y2020.B08301_data_with_ov!AW$3:AW$1334,[1]ACSDT5Y2020.B08301_data_with_ov!$AS$3:$AS$1334,$B389)</f>
        <v>#VALUE!</v>
      </c>
      <c r="P389" s="17" t="e">
        <f>SUMIFS([1]ACSDT5Y2020.B08301_data_with_ov!AX$3:AX$1334,[1]ACSDT5Y2020.B08301_data_with_ov!$AS$3:$AS$1334,$B389)</f>
        <v>#VALUE!</v>
      </c>
      <c r="Q389" s="17" t="e">
        <f>SUMIFS([1]ACSDT5Y2020.B08301_data_with_ov!AY$3:AY$1334,[1]ACSDT5Y2020.B08301_data_with_ov!$AS$3:$AS$1334,$B389)</f>
        <v>#VALUE!</v>
      </c>
      <c r="R389" s="17" t="e">
        <f>SUMIFS([1]ACSDT5Y2020.B08301_data_with_ov!AZ$3:AZ$1334,[1]ACSDT5Y2020.B08301_data_with_ov!$AS$3:$AS$1334,$B389)</f>
        <v>#VALUE!</v>
      </c>
      <c r="S389" s="17" t="e">
        <f>SUMIFS([1]ACSDT5Y2020.B08301_data_with_ov!BA$3:BA$1334,[1]ACSDT5Y2020.B08301_data_with_ov!$AS$3:$AS$1334,$B389)</f>
        <v>#VALUE!</v>
      </c>
      <c r="T389" s="188">
        <v>0.12299851289931452</v>
      </c>
      <c r="U389" s="189" t="e">
        <f t="shared" si="23"/>
        <v>#VALUE!</v>
      </c>
      <c r="V389" s="188">
        <v>0.12299851289931452</v>
      </c>
      <c r="W389" s="189" t="e">
        <f t="shared" si="20"/>
        <v>#VALUE!</v>
      </c>
      <c r="X389" s="188">
        <v>0.12299851289931452</v>
      </c>
      <c r="Y389" s="189" t="e">
        <f t="shared" si="21"/>
        <v>#VALUE!</v>
      </c>
      <c r="Z389" s="188">
        <v>0.12299851289931452</v>
      </c>
      <c r="AA389" s="189" t="e">
        <f t="shared" si="22"/>
        <v>#VALUE!</v>
      </c>
    </row>
    <row r="390" spans="1:27" x14ac:dyDescent="0.25">
      <c r="A390">
        <v>310600</v>
      </c>
      <c r="B390">
        <v>17031310600</v>
      </c>
      <c r="C390">
        <v>17031</v>
      </c>
      <c r="D390">
        <v>2010</v>
      </c>
      <c r="E390">
        <v>31</v>
      </c>
      <c r="F390">
        <v>5847482.4063458899</v>
      </c>
      <c r="G390" s="45">
        <v>0.20974956978685613</v>
      </c>
      <c r="H390" s="60" t="str">
        <f>_xlfn.IFNA(
INDEX('Community Areas'!B$2:B$78,MATCH($E390,'Community Areas'!$A$2:$A$78,0)),
"")</f>
        <v>LOWER WEST SIDE</v>
      </c>
      <c r="I390" s="63" t="str">
        <f>_xlfn.IFNA(
INDEX('Community Areas'!C$2:C$78,MATCH($E390,'Community Areas'!$A$2:$A$78,0)),
"")</f>
        <v>3-B</v>
      </c>
      <c r="J390" s="63">
        <f>_xlfn.IFNA(
INDEX('Community Areas'!D$2:D$78,MATCH($E390,'Community Areas'!$A$2:$A$78,0)),
"")</f>
        <v>7</v>
      </c>
      <c r="K390" s="60" t="str">
        <f>_xlfn.IFNA(
INDEX('Community Areas'!E$2:E$78,MATCH($E390,'Community Areas'!$A$2:$A$78,0)),
"")</f>
        <v>CENTRAL</v>
      </c>
      <c r="L390" s="17" t="e">
        <f>SUMIFS([1]ACSDT5Y2020.B08301_data_with_ov!AT$3:AT$1334,[1]ACSDT5Y2020.B08301_data_with_ov!$AS$3:$AS$1334,$B390)</f>
        <v>#VALUE!</v>
      </c>
      <c r="M390" s="17" t="e">
        <f>SUMIFS([1]ACSDT5Y2020.B08301_data_with_ov!AU$3:AU$1334,[1]ACSDT5Y2020.B08301_data_with_ov!$AS$3:$AS$1334,$B390)</f>
        <v>#VALUE!</v>
      </c>
      <c r="N390" s="17" t="e">
        <f>SUMIFS([1]ACSDT5Y2020.B08301_data_with_ov!AV$3:AV$1334,[1]ACSDT5Y2020.B08301_data_with_ov!$AS$3:$AS$1334,$B390)</f>
        <v>#VALUE!</v>
      </c>
      <c r="O390" s="17" t="e">
        <f>SUMIFS([1]ACSDT5Y2020.B08301_data_with_ov!AW$3:AW$1334,[1]ACSDT5Y2020.B08301_data_with_ov!$AS$3:$AS$1334,$B390)</f>
        <v>#VALUE!</v>
      </c>
      <c r="P390" s="17" t="e">
        <f>SUMIFS([1]ACSDT5Y2020.B08301_data_with_ov!AX$3:AX$1334,[1]ACSDT5Y2020.B08301_data_with_ov!$AS$3:$AS$1334,$B390)</f>
        <v>#VALUE!</v>
      </c>
      <c r="Q390" s="17" t="e">
        <f>SUMIFS([1]ACSDT5Y2020.B08301_data_with_ov!AY$3:AY$1334,[1]ACSDT5Y2020.B08301_data_with_ov!$AS$3:$AS$1334,$B390)</f>
        <v>#VALUE!</v>
      </c>
      <c r="R390" s="17" t="e">
        <f>SUMIFS([1]ACSDT5Y2020.B08301_data_with_ov!AZ$3:AZ$1334,[1]ACSDT5Y2020.B08301_data_with_ov!$AS$3:$AS$1334,$B390)</f>
        <v>#VALUE!</v>
      </c>
      <c r="S390" s="17" t="e">
        <f>SUMIFS([1]ACSDT5Y2020.B08301_data_with_ov!BA$3:BA$1334,[1]ACSDT5Y2020.B08301_data_with_ov!$AS$3:$AS$1334,$B390)</f>
        <v>#VALUE!</v>
      </c>
      <c r="T390" s="188">
        <v>0.20974957453275225</v>
      </c>
      <c r="U390" s="189" t="e">
        <f t="shared" si="23"/>
        <v>#VALUE!</v>
      </c>
      <c r="V390" s="188">
        <v>0.20974957453275225</v>
      </c>
      <c r="W390" s="189" t="e">
        <f t="shared" ref="W390:W453" si="24">(V390/$G390)*$L390</f>
        <v>#VALUE!</v>
      </c>
      <c r="X390" s="188">
        <v>0.20974957453275225</v>
      </c>
      <c r="Y390" s="189" t="e">
        <f t="shared" ref="Y390:Y453" si="25">(X390/$G390)*$L390</f>
        <v>#VALUE!</v>
      </c>
      <c r="Z390" s="188">
        <v>0.20974957453275225</v>
      </c>
      <c r="AA390" s="189" t="e">
        <f t="shared" ref="AA390:AA453" si="26">(Z390/$G390)*$L390</f>
        <v>#VALUE!</v>
      </c>
    </row>
    <row r="391" spans="1:27" x14ac:dyDescent="0.25">
      <c r="A391">
        <v>310700</v>
      </c>
      <c r="B391">
        <v>17031310700</v>
      </c>
      <c r="C391">
        <v>17031</v>
      </c>
      <c r="D391">
        <v>2010</v>
      </c>
      <c r="E391">
        <v>31</v>
      </c>
      <c r="F391">
        <v>1723521.2508526</v>
      </c>
      <c r="G391" s="45">
        <v>6.1822818054572716E-2</v>
      </c>
      <c r="H391" s="60" t="str">
        <f>_xlfn.IFNA(
INDEX('Community Areas'!B$2:B$78,MATCH($E391,'Community Areas'!$A$2:$A$78,0)),
"")</f>
        <v>LOWER WEST SIDE</v>
      </c>
      <c r="I391" s="63" t="str">
        <f>_xlfn.IFNA(
INDEX('Community Areas'!C$2:C$78,MATCH($E391,'Community Areas'!$A$2:$A$78,0)),
"")</f>
        <v>3-B</v>
      </c>
      <c r="J391" s="63">
        <f>_xlfn.IFNA(
INDEX('Community Areas'!D$2:D$78,MATCH($E391,'Community Areas'!$A$2:$A$78,0)),
"")</f>
        <v>7</v>
      </c>
      <c r="K391" s="60" t="str">
        <f>_xlfn.IFNA(
INDEX('Community Areas'!E$2:E$78,MATCH($E391,'Community Areas'!$A$2:$A$78,0)),
"")</f>
        <v>CENTRAL</v>
      </c>
      <c r="L391" s="17" t="e">
        <f>SUMIFS([1]ACSDT5Y2020.B08301_data_with_ov!AT$3:AT$1334,[1]ACSDT5Y2020.B08301_data_with_ov!$AS$3:$AS$1334,$B391)</f>
        <v>#VALUE!</v>
      </c>
      <c r="M391" s="17" t="e">
        <f>SUMIFS([1]ACSDT5Y2020.B08301_data_with_ov!AU$3:AU$1334,[1]ACSDT5Y2020.B08301_data_with_ov!$AS$3:$AS$1334,$B391)</f>
        <v>#VALUE!</v>
      </c>
      <c r="N391" s="17" t="e">
        <f>SUMIFS([1]ACSDT5Y2020.B08301_data_with_ov!AV$3:AV$1334,[1]ACSDT5Y2020.B08301_data_with_ov!$AS$3:$AS$1334,$B391)</f>
        <v>#VALUE!</v>
      </c>
      <c r="O391" s="17" t="e">
        <f>SUMIFS([1]ACSDT5Y2020.B08301_data_with_ov!AW$3:AW$1334,[1]ACSDT5Y2020.B08301_data_with_ov!$AS$3:$AS$1334,$B391)</f>
        <v>#VALUE!</v>
      </c>
      <c r="P391" s="17" t="e">
        <f>SUMIFS([1]ACSDT5Y2020.B08301_data_with_ov!AX$3:AX$1334,[1]ACSDT5Y2020.B08301_data_with_ov!$AS$3:$AS$1334,$B391)</f>
        <v>#VALUE!</v>
      </c>
      <c r="Q391" s="17" t="e">
        <f>SUMIFS([1]ACSDT5Y2020.B08301_data_with_ov!AY$3:AY$1334,[1]ACSDT5Y2020.B08301_data_with_ov!$AS$3:$AS$1334,$B391)</f>
        <v>#VALUE!</v>
      </c>
      <c r="R391" s="17" t="e">
        <f>SUMIFS([1]ACSDT5Y2020.B08301_data_with_ov!AZ$3:AZ$1334,[1]ACSDT5Y2020.B08301_data_with_ov!$AS$3:$AS$1334,$B391)</f>
        <v>#VALUE!</v>
      </c>
      <c r="S391" s="17" t="e">
        <f>SUMIFS([1]ACSDT5Y2020.B08301_data_with_ov!BA$3:BA$1334,[1]ACSDT5Y2020.B08301_data_with_ov!$AS$3:$AS$1334,$B391)</f>
        <v>#VALUE!</v>
      </c>
      <c r="T391" s="188">
        <v>6.1822817731207673E-2</v>
      </c>
      <c r="U391" s="189" t="e">
        <f t="shared" ref="U391:U454" si="27">(T391/$G391)*$L391</f>
        <v>#VALUE!</v>
      </c>
      <c r="V391" s="188">
        <v>6.1822817731207673E-2</v>
      </c>
      <c r="W391" s="189" t="e">
        <f t="shared" si="24"/>
        <v>#VALUE!</v>
      </c>
      <c r="X391" s="188">
        <v>6.1822817731207673E-2</v>
      </c>
      <c r="Y391" s="189" t="e">
        <f t="shared" si="25"/>
        <v>#VALUE!</v>
      </c>
      <c r="Z391" s="188">
        <v>6.1822817731207673E-2</v>
      </c>
      <c r="AA391" s="189" t="e">
        <f t="shared" si="26"/>
        <v>#VALUE!</v>
      </c>
    </row>
    <row r="392" spans="1:27" x14ac:dyDescent="0.25">
      <c r="A392">
        <v>841200</v>
      </c>
      <c r="B392">
        <v>17031841200</v>
      </c>
      <c r="C392">
        <v>17031</v>
      </c>
      <c r="D392">
        <v>2010</v>
      </c>
      <c r="E392">
        <v>31</v>
      </c>
      <c r="F392">
        <v>6529986.4847847503</v>
      </c>
      <c r="G392" s="45">
        <v>0.23423103495124362</v>
      </c>
      <c r="H392" s="60" t="str">
        <f>_xlfn.IFNA(
INDEX('Community Areas'!B$2:B$78,MATCH($E392,'Community Areas'!$A$2:$A$78,0)),
"")</f>
        <v>LOWER WEST SIDE</v>
      </c>
      <c r="I392" s="63" t="str">
        <f>_xlfn.IFNA(
INDEX('Community Areas'!C$2:C$78,MATCH($E392,'Community Areas'!$A$2:$A$78,0)),
"")</f>
        <v>3-B</v>
      </c>
      <c r="J392" s="63">
        <f>_xlfn.IFNA(
INDEX('Community Areas'!D$2:D$78,MATCH($E392,'Community Areas'!$A$2:$A$78,0)),
"")</f>
        <v>7</v>
      </c>
      <c r="K392" s="60" t="str">
        <f>_xlfn.IFNA(
INDEX('Community Areas'!E$2:E$78,MATCH($E392,'Community Areas'!$A$2:$A$78,0)),
"")</f>
        <v>CENTRAL</v>
      </c>
      <c r="L392" s="17" t="e">
        <f>SUMIFS([1]ACSDT5Y2020.B08301_data_with_ov!AT$3:AT$1334,[1]ACSDT5Y2020.B08301_data_with_ov!$AS$3:$AS$1334,$B392)</f>
        <v>#VALUE!</v>
      </c>
      <c r="M392" s="17" t="e">
        <f>SUMIFS([1]ACSDT5Y2020.B08301_data_with_ov!AU$3:AU$1334,[1]ACSDT5Y2020.B08301_data_with_ov!$AS$3:$AS$1334,$B392)</f>
        <v>#VALUE!</v>
      </c>
      <c r="N392" s="17" t="e">
        <f>SUMIFS([1]ACSDT5Y2020.B08301_data_with_ov!AV$3:AV$1334,[1]ACSDT5Y2020.B08301_data_with_ov!$AS$3:$AS$1334,$B392)</f>
        <v>#VALUE!</v>
      </c>
      <c r="O392" s="17" t="e">
        <f>SUMIFS([1]ACSDT5Y2020.B08301_data_with_ov!AW$3:AW$1334,[1]ACSDT5Y2020.B08301_data_with_ov!$AS$3:$AS$1334,$B392)</f>
        <v>#VALUE!</v>
      </c>
      <c r="P392" s="17" t="e">
        <f>SUMIFS([1]ACSDT5Y2020.B08301_data_with_ov!AX$3:AX$1334,[1]ACSDT5Y2020.B08301_data_with_ov!$AS$3:$AS$1334,$B392)</f>
        <v>#VALUE!</v>
      </c>
      <c r="Q392" s="17" t="e">
        <f>SUMIFS([1]ACSDT5Y2020.B08301_data_with_ov!AY$3:AY$1334,[1]ACSDT5Y2020.B08301_data_with_ov!$AS$3:$AS$1334,$B392)</f>
        <v>#VALUE!</v>
      </c>
      <c r="R392" s="17" t="e">
        <f>SUMIFS([1]ACSDT5Y2020.B08301_data_with_ov!AZ$3:AZ$1334,[1]ACSDT5Y2020.B08301_data_with_ov!$AS$3:$AS$1334,$B392)</f>
        <v>#VALUE!</v>
      </c>
      <c r="S392" s="17" t="e">
        <f>SUMIFS([1]ACSDT5Y2020.B08301_data_with_ov!BA$3:BA$1334,[1]ACSDT5Y2020.B08301_data_with_ov!$AS$3:$AS$1334,$B392)</f>
        <v>#VALUE!</v>
      </c>
      <c r="T392" s="188">
        <v>0.23423103570183976</v>
      </c>
      <c r="U392" s="189" t="e">
        <f t="shared" si="27"/>
        <v>#VALUE!</v>
      </c>
      <c r="V392" s="188">
        <v>0.23423103570183976</v>
      </c>
      <c r="W392" s="189" t="e">
        <f t="shared" si="24"/>
        <v>#VALUE!</v>
      </c>
      <c r="X392" s="188">
        <v>0.23423103570183976</v>
      </c>
      <c r="Y392" s="189" t="e">
        <f t="shared" si="25"/>
        <v>#VALUE!</v>
      </c>
      <c r="Z392" s="188">
        <v>0.23423103570183976</v>
      </c>
      <c r="AA392" s="189" t="e">
        <f t="shared" si="26"/>
        <v>#VALUE!</v>
      </c>
    </row>
    <row r="393" spans="1:27" x14ac:dyDescent="0.25">
      <c r="A393">
        <v>310500</v>
      </c>
      <c r="B393">
        <v>17031310500</v>
      </c>
      <c r="C393">
        <v>17031</v>
      </c>
      <c r="D393">
        <v>2010</v>
      </c>
      <c r="E393">
        <v>31</v>
      </c>
      <c r="F393">
        <v>1742185.4690491401</v>
      </c>
      <c r="G393" s="45">
        <v>6.2492304761002787E-2</v>
      </c>
      <c r="H393" s="60" t="str">
        <f>_xlfn.IFNA(
INDEX('Community Areas'!B$2:B$78,MATCH($E393,'Community Areas'!$A$2:$A$78,0)),
"")</f>
        <v>LOWER WEST SIDE</v>
      </c>
      <c r="I393" s="63" t="str">
        <f>_xlfn.IFNA(
INDEX('Community Areas'!C$2:C$78,MATCH($E393,'Community Areas'!$A$2:$A$78,0)),
"")</f>
        <v>3-B</v>
      </c>
      <c r="J393" s="63">
        <f>_xlfn.IFNA(
INDEX('Community Areas'!D$2:D$78,MATCH($E393,'Community Areas'!$A$2:$A$78,0)),
"")</f>
        <v>7</v>
      </c>
      <c r="K393" s="60" t="str">
        <f>_xlfn.IFNA(
INDEX('Community Areas'!E$2:E$78,MATCH($E393,'Community Areas'!$A$2:$A$78,0)),
"")</f>
        <v>CENTRAL</v>
      </c>
      <c r="L393" s="17" t="e">
        <f>SUMIFS([1]ACSDT5Y2020.B08301_data_with_ov!AT$3:AT$1334,[1]ACSDT5Y2020.B08301_data_with_ov!$AS$3:$AS$1334,$B393)</f>
        <v>#VALUE!</v>
      </c>
      <c r="M393" s="17" t="e">
        <f>SUMIFS([1]ACSDT5Y2020.B08301_data_with_ov!AU$3:AU$1334,[1]ACSDT5Y2020.B08301_data_with_ov!$AS$3:$AS$1334,$B393)</f>
        <v>#VALUE!</v>
      </c>
      <c r="N393" s="17" t="e">
        <f>SUMIFS([1]ACSDT5Y2020.B08301_data_with_ov!AV$3:AV$1334,[1]ACSDT5Y2020.B08301_data_with_ov!$AS$3:$AS$1334,$B393)</f>
        <v>#VALUE!</v>
      </c>
      <c r="O393" s="17" t="e">
        <f>SUMIFS([1]ACSDT5Y2020.B08301_data_with_ov!AW$3:AW$1334,[1]ACSDT5Y2020.B08301_data_with_ov!$AS$3:$AS$1334,$B393)</f>
        <v>#VALUE!</v>
      </c>
      <c r="P393" s="17" t="e">
        <f>SUMIFS([1]ACSDT5Y2020.B08301_data_with_ov!AX$3:AX$1334,[1]ACSDT5Y2020.B08301_data_with_ov!$AS$3:$AS$1334,$B393)</f>
        <v>#VALUE!</v>
      </c>
      <c r="Q393" s="17" t="e">
        <f>SUMIFS([1]ACSDT5Y2020.B08301_data_with_ov!AY$3:AY$1334,[1]ACSDT5Y2020.B08301_data_with_ov!$AS$3:$AS$1334,$B393)</f>
        <v>#VALUE!</v>
      </c>
      <c r="R393" s="17" t="e">
        <f>SUMIFS([1]ACSDT5Y2020.B08301_data_with_ov!AZ$3:AZ$1334,[1]ACSDT5Y2020.B08301_data_with_ov!$AS$3:$AS$1334,$B393)</f>
        <v>#VALUE!</v>
      </c>
      <c r="S393" s="17" t="e">
        <f>SUMIFS([1]ACSDT5Y2020.B08301_data_with_ov!BA$3:BA$1334,[1]ACSDT5Y2020.B08301_data_with_ov!$AS$3:$AS$1334,$B393)</f>
        <v>#VALUE!</v>
      </c>
      <c r="T393" s="188">
        <v>6.2492303130375848E-2</v>
      </c>
      <c r="U393" s="189" t="e">
        <f t="shared" si="27"/>
        <v>#VALUE!</v>
      </c>
      <c r="V393" s="188">
        <v>6.2492303130375848E-2</v>
      </c>
      <c r="W393" s="189" t="e">
        <f t="shared" si="24"/>
        <v>#VALUE!</v>
      </c>
      <c r="X393" s="188">
        <v>6.2492303130375848E-2</v>
      </c>
      <c r="Y393" s="189" t="e">
        <f t="shared" si="25"/>
        <v>#VALUE!</v>
      </c>
      <c r="Z393" s="188">
        <v>6.2492303130375848E-2</v>
      </c>
      <c r="AA393" s="189" t="e">
        <f t="shared" si="26"/>
        <v>#VALUE!</v>
      </c>
    </row>
    <row r="394" spans="1:27" x14ac:dyDescent="0.25">
      <c r="A394">
        <v>841300</v>
      </c>
      <c r="B394">
        <v>17031841300</v>
      </c>
      <c r="C394">
        <v>17031</v>
      </c>
      <c r="D394">
        <v>2010</v>
      </c>
      <c r="E394">
        <v>31</v>
      </c>
      <c r="F394">
        <v>14985447.5500404</v>
      </c>
      <c r="G394" s="45">
        <v>0.53752896687185781</v>
      </c>
      <c r="H394" s="60" t="str">
        <f>_xlfn.IFNA(
INDEX('Community Areas'!B$2:B$78,MATCH($E394,'Community Areas'!$A$2:$A$78,0)),
"")</f>
        <v>LOWER WEST SIDE</v>
      </c>
      <c r="I394" s="63" t="str">
        <f>_xlfn.IFNA(
INDEX('Community Areas'!C$2:C$78,MATCH($E394,'Community Areas'!$A$2:$A$78,0)),
"")</f>
        <v>3-B</v>
      </c>
      <c r="J394" s="63">
        <f>_xlfn.IFNA(
INDEX('Community Areas'!D$2:D$78,MATCH($E394,'Community Areas'!$A$2:$A$78,0)),
"")</f>
        <v>7</v>
      </c>
      <c r="K394" s="60" t="str">
        <f>_xlfn.IFNA(
INDEX('Community Areas'!E$2:E$78,MATCH($E394,'Community Areas'!$A$2:$A$78,0)),
"")</f>
        <v>CENTRAL</v>
      </c>
      <c r="L394" s="17" t="e">
        <f>SUMIFS([1]ACSDT5Y2020.B08301_data_with_ov!AT$3:AT$1334,[1]ACSDT5Y2020.B08301_data_with_ov!$AS$3:$AS$1334,$B394)</f>
        <v>#VALUE!</v>
      </c>
      <c r="M394" s="17" t="e">
        <f>SUMIFS([1]ACSDT5Y2020.B08301_data_with_ov!AU$3:AU$1334,[1]ACSDT5Y2020.B08301_data_with_ov!$AS$3:$AS$1334,$B394)</f>
        <v>#VALUE!</v>
      </c>
      <c r="N394" s="17" t="e">
        <f>SUMIFS([1]ACSDT5Y2020.B08301_data_with_ov!AV$3:AV$1334,[1]ACSDT5Y2020.B08301_data_with_ov!$AS$3:$AS$1334,$B394)</f>
        <v>#VALUE!</v>
      </c>
      <c r="O394" s="17" t="e">
        <f>SUMIFS([1]ACSDT5Y2020.B08301_data_with_ov!AW$3:AW$1334,[1]ACSDT5Y2020.B08301_data_with_ov!$AS$3:$AS$1334,$B394)</f>
        <v>#VALUE!</v>
      </c>
      <c r="P394" s="17" t="e">
        <f>SUMIFS([1]ACSDT5Y2020.B08301_data_with_ov!AX$3:AX$1334,[1]ACSDT5Y2020.B08301_data_with_ov!$AS$3:$AS$1334,$B394)</f>
        <v>#VALUE!</v>
      </c>
      <c r="Q394" s="17" t="e">
        <f>SUMIFS([1]ACSDT5Y2020.B08301_data_with_ov!AY$3:AY$1334,[1]ACSDT5Y2020.B08301_data_with_ov!$AS$3:$AS$1334,$B394)</f>
        <v>#VALUE!</v>
      </c>
      <c r="R394" s="17" t="e">
        <f>SUMIFS([1]ACSDT5Y2020.B08301_data_with_ov!AZ$3:AZ$1334,[1]ACSDT5Y2020.B08301_data_with_ov!$AS$3:$AS$1334,$B394)</f>
        <v>#VALUE!</v>
      </c>
      <c r="S394" s="17" t="e">
        <f>SUMIFS([1]ACSDT5Y2020.B08301_data_with_ov!BA$3:BA$1334,[1]ACSDT5Y2020.B08301_data_with_ov!$AS$3:$AS$1334,$B394)</f>
        <v>#VALUE!</v>
      </c>
      <c r="T394" s="188">
        <v>0.53752897070196637</v>
      </c>
      <c r="U394" s="189" t="e">
        <f t="shared" si="27"/>
        <v>#VALUE!</v>
      </c>
      <c r="V394" s="188">
        <v>0.53752897070196637</v>
      </c>
      <c r="W394" s="189" t="e">
        <f t="shared" si="24"/>
        <v>#VALUE!</v>
      </c>
      <c r="X394" s="188">
        <v>0.53752897070196637</v>
      </c>
      <c r="Y394" s="189" t="e">
        <f t="shared" si="25"/>
        <v>#VALUE!</v>
      </c>
      <c r="Z394" s="188">
        <v>0.53752897070196637</v>
      </c>
      <c r="AA394" s="189" t="e">
        <f t="shared" si="26"/>
        <v>#VALUE!</v>
      </c>
    </row>
    <row r="395" spans="1:27" x14ac:dyDescent="0.25">
      <c r="A395">
        <v>310800</v>
      </c>
      <c r="B395">
        <v>17031310800</v>
      </c>
      <c r="C395">
        <v>17031</v>
      </c>
      <c r="D395">
        <v>2010</v>
      </c>
      <c r="E395">
        <v>31</v>
      </c>
      <c r="F395">
        <v>3581717.8050448899</v>
      </c>
      <c r="G395" s="45">
        <v>0.12847644789675483</v>
      </c>
      <c r="H395" s="60" t="str">
        <f>_xlfn.IFNA(
INDEX('Community Areas'!B$2:B$78,MATCH($E395,'Community Areas'!$A$2:$A$78,0)),
"")</f>
        <v>LOWER WEST SIDE</v>
      </c>
      <c r="I395" s="63" t="str">
        <f>_xlfn.IFNA(
INDEX('Community Areas'!C$2:C$78,MATCH($E395,'Community Areas'!$A$2:$A$78,0)),
"")</f>
        <v>3-B</v>
      </c>
      <c r="J395" s="63">
        <f>_xlfn.IFNA(
INDEX('Community Areas'!D$2:D$78,MATCH($E395,'Community Areas'!$A$2:$A$78,0)),
"")</f>
        <v>7</v>
      </c>
      <c r="K395" s="60" t="str">
        <f>_xlfn.IFNA(
INDEX('Community Areas'!E$2:E$78,MATCH($E395,'Community Areas'!$A$2:$A$78,0)),
"")</f>
        <v>CENTRAL</v>
      </c>
      <c r="L395" s="17" t="e">
        <f>SUMIFS([1]ACSDT5Y2020.B08301_data_with_ov!AT$3:AT$1334,[1]ACSDT5Y2020.B08301_data_with_ov!$AS$3:$AS$1334,$B395)</f>
        <v>#VALUE!</v>
      </c>
      <c r="M395" s="17" t="e">
        <f>SUMIFS([1]ACSDT5Y2020.B08301_data_with_ov!AU$3:AU$1334,[1]ACSDT5Y2020.B08301_data_with_ov!$AS$3:$AS$1334,$B395)</f>
        <v>#VALUE!</v>
      </c>
      <c r="N395" s="17" t="e">
        <f>SUMIFS([1]ACSDT5Y2020.B08301_data_with_ov!AV$3:AV$1334,[1]ACSDT5Y2020.B08301_data_with_ov!$AS$3:$AS$1334,$B395)</f>
        <v>#VALUE!</v>
      </c>
      <c r="O395" s="17" t="e">
        <f>SUMIFS([1]ACSDT5Y2020.B08301_data_with_ov!AW$3:AW$1334,[1]ACSDT5Y2020.B08301_data_with_ov!$AS$3:$AS$1334,$B395)</f>
        <v>#VALUE!</v>
      </c>
      <c r="P395" s="17" t="e">
        <f>SUMIFS([1]ACSDT5Y2020.B08301_data_with_ov!AX$3:AX$1334,[1]ACSDT5Y2020.B08301_data_with_ov!$AS$3:$AS$1334,$B395)</f>
        <v>#VALUE!</v>
      </c>
      <c r="Q395" s="17" t="e">
        <f>SUMIFS([1]ACSDT5Y2020.B08301_data_with_ov!AY$3:AY$1334,[1]ACSDT5Y2020.B08301_data_with_ov!$AS$3:$AS$1334,$B395)</f>
        <v>#VALUE!</v>
      </c>
      <c r="R395" s="17" t="e">
        <f>SUMIFS([1]ACSDT5Y2020.B08301_data_with_ov!AZ$3:AZ$1334,[1]ACSDT5Y2020.B08301_data_with_ov!$AS$3:$AS$1334,$B395)</f>
        <v>#VALUE!</v>
      </c>
      <c r="S395" s="17" t="e">
        <f>SUMIFS([1]ACSDT5Y2020.B08301_data_with_ov!BA$3:BA$1334,[1]ACSDT5Y2020.B08301_data_with_ov!$AS$3:$AS$1334,$B395)</f>
        <v>#VALUE!</v>
      </c>
      <c r="T395" s="188">
        <v>0.12847644699234567</v>
      </c>
      <c r="U395" s="189" t="e">
        <f t="shared" si="27"/>
        <v>#VALUE!</v>
      </c>
      <c r="V395" s="188">
        <v>0.12847644699234567</v>
      </c>
      <c r="W395" s="189" t="e">
        <f t="shared" si="24"/>
        <v>#VALUE!</v>
      </c>
      <c r="X395" s="188">
        <v>0.12847644699234567</v>
      </c>
      <c r="Y395" s="189" t="e">
        <f t="shared" si="25"/>
        <v>#VALUE!</v>
      </c>
      <c r="Z395" s="188">
        <v>0.12847644699234567</v>
      </c>
      <c r="AA395" s="189" t="e">
        <f t="shared" si="26"/>
        <v>#VALUE!</v>
      </c>
    </row>
    <row r="396" spans="1:27" x14ac:dyDescent="0.25">
      <c r="A396">
        <v>310200</v>
      </c>
      <c r="B396">
        <v>17031310200</v>
      </c>
      <c r="C396">
        <v>17031</v>
      </c>
      <c r="D396">
        <v>2010</v>
      </c>
      <c r="E396">
        <v>31</v>
      </c>
      <c r="F396">
        <v>3450699.7753825602</v>
      </c>
      <c r="G396" s="45">
        <v>0.12377682275103881</v>
      </c>
      <c r="H396" s="60" t="str">
        <f>_xlfn.IFNA(
INDEX('Community Areas'!B$2:B$78,MATCH($E396,'Community Areas'!$A$2:$A$78,0)),
"")</f>
        <v>LOWER WEST SIDE</v>
      </c>
      <c r="I396" s="63" t="str">
        <f>_xlfn.IFNA(
INDEX('Community Areas'!C$2:C$78,MATCH($E396,'Community Areas'!$A$2:$A$78,0)),
"")</f>
        <v>3-B</v>
      </c>
      <c r="J396" s="63">
        <f>_xlfn.IFNA(
INDEX('Community Areas'!D$2:D$78,MATCH($E396,'Community Areas'!$A$2:$A$78,0)),
"")</f>
        <v>7</v>
      </c>
      <c r="K396" s="60" t="str">
        <f>_xlfn.IFNA(
INDEX('Community Areas'!E$2:E$78,MATCH($E396,'Community Areas'!$A$2:$A$78,0)),
"")</f>
        <v>CENTRAL</v>
      </c>
      <c r="L396" s="17" t="e">
        <f>SUMIFS([1]ACSDT5Y2020.B08301_data_with_ov!AT$3:AT$1334,[1]ACSDT5Y2020.B08301_data_with_ov!$AS$3:$AS$1334,$B396)</f>
        <v>#VALUE!</v>
      </c>
      <c r="M396" s="17" t="e">
        <f>SUMIFS([1]ACSDT5Y2020.B08301_data_with_ov!AU$3:AU$1334,[1]ACSDT5Y2020.B08301_data_with_ov!$AS$3:$AS$1334,$B396)</f>
        <v>#VALUE!</v>
      </c>
      <c r="N396" s="17" t="e">
        <f>SUMIFS([1]ACSDT5Y2020.B08301_data_with_ov!AV$3:AV$1334,[1]ACSDT5Y2020.B08301_data_with_ov!$AS$3:$AS$1334,$B396)</f>
        <v>#VALUE!</v>
      </c>
      <c r="O396" s="17" t="e">
        <f>SUMIFS([1]ACSDT5Y2020.B08301_data_with_ov!AW$3:AW$1334,[1]ACSDT5Y2020.B08301_data_with_ov!$AS$3:$AS$1334,$B396)</f>
        <v>#VALUE!</v>
      </c>
      <c r="P396" s="17" t="e">
        <f>SUMIFS([1]ACSDT5Y2020.B08301_data_with_ov!AX$3:AX$1334,[1]ACSDT5Y2020.B08301_data_with_ov!$AS$3:$AS$1334,$B396)</f>
        <v>#VALUE!</v>
      </c>
      <c r="Q396" s="17" t="e">
        <f>SUMIFS([1]ACSDT5Y2020.B08301_data_with_ov!AY$3:AY$1334,[1]ACSDT5Y2020.B08301_data_with_ov!$AS$3:$AS$1334,$B396)</f>
        <v>#VALUE!</v>
      </c>
      <c r="R396" s="17" t="e">
        <f>SUMIFS([1]ACSDT5Y2020.B08301_data_with_ov!AZ$3:AZ$1334,[1]ACSDT5Y2020.B08301_data_with_ov!$AS$3:$AS$1334,$B396)</f>
        <v>#VALUE!</v>
      </c>
      <c r="S396" s="17" t="e">
        <f>SUMIFS([1]ACSDT5Y2020.B08301_data_with_ov!BA$3:BA$1334,[1]ACSDT5Y2020.B08301_data_with_ov!$AS$3:$AS$1334,$B396)</f>
        <v>#VALUE!</v>
      </c>
      <c r="T396" s="188">
        <v>0.12377682556112403</v>
      </c>
      <c r="U396" s="189" t="e">
        <f t="shared" si="27"/>
        <v>#VALUE!</v>
      </c>
      <c r="V396" s="188">
        <v>0.12377682556112403</v>
      </c>
      <c r="W396" s="189" t="e">
        <f t="shared" si="24"/>
        <v>#VALUE!</v>
      </c>
      <c r="X396" s="188">
        <v>0.12377682556112403</v>
      </c>
      <c r="Y396" s="189" t="e">
        <f t="shared" si="25"/>
        <v>#VALUE!</v>
      </c>
      <c r="Z396" s="188">
        <v>0.12377682556112403</v>
      </c>
      <c r="AA396" s="189" t="e">
        <f t="shared" si="26"/>
        <v>#VALUE!</v>
      </c>
    </row>
    <row r="397" spans="1:27" x14ac:dyDescent="0.25">
      <c r="A397">
        <v>310900</v>
      </c>
      <c r="B397">
        <v>17031310900</v>
      </c>
      <c r="C397">
        <v>17031</v>
      </c>
      <c r="D397">
        <v>2010</v>
      </c>
      <c r="E397">
        <v>31</v>
      </c>
      <c r="F397">
        <v>5270873.4112258404</v>
      </c>
      <c r="G397" s="45">
        <v>0.18906656806796088</v>
      </c>
      <c r="H397" s="60" t="str">
        <f>_xlfn.IFNA(
INDEX('Community Areas'!B$2:B$78,MATCH($E397,'Community Areas'!$A$2:$A$78,0)),
"")</f>
        <v>LOWER WEST SIDE</v>
      </c>
      <c r="I397" s="63" t="str">
        <f>_xlfn.IFNA(
INDEX('Community Areas'!C$2:C$78,MATCH($E397,'Community Areas'!$A$2:$A$78,0)),
"")</f>
        <v>3-B</v>
      </c>
      <c r="J397" s="63">
        <f>_xlfn.IFNA(
INDEX('Community Areas'!D$2:D$78,MATCH($E397,'Community Areas'!$A$2:$A$78,0)),
"")</f>
        <v>7</v>
      </c>
      <c r="K397" s="60" t="str">
        <f>_xlfn.IFNA(
INDEX('Community Areas'!E$2:E$78,MATCH($E397,'Community Areas'!$A$2:$A$78,0)),
"")</f>
        <v>CENTRAL</v>
      </c>
      <c r="L397" s="17" t="e">
        <f>SUMIFS([1]ACSDT5Y2020.B08301_data_with_ov!AT$3:AT$1334,[1]ACSDT5Y2020.B08301_data_with_ov!$AS$3:$AS$1334,$B397)</f>
        <v>#VALUE!</v>
      </c>
      <c r="M397" s="17" t="e">
        <f>SUMIFS([1]ACSDT5Y2020.B08301_data_with_ov!AU$3:AU$1334,[1]ACSDT5Y2020.B08301_data_with_ov!$AS$3:$AS$1334,$B397)</f>
        <v>#VALUE!</v>
      </c>
      <c r="N397" s="17" t="e">
        <f>SUMIFS([1]ACSDT5Y2020.B08301_data_with_ov!AV$3:AV$1334,[1]ACSDT5Y2020.B08301_data_with_ov!$AS$3:$AS$1334,$B397)</f>
        <v>#VALUE!</v>
      </c>
      <c r="O397" s="17" t="e">
        <f>SUMIFS([1]ACSDT5Y2020.B08301_data_with_ov!AW$3:AW$1334,[1]ACSDT5Y2020.B08301_data_with_ov!$AS$3:$AS$1334,$B397)</f>
        <v>#VALUE!</v>
      </c>
      <c r="P397" s="17" t="e">
        <f>SUMIFS([1]ACSDT5Y2020.B08301_data_with_ov!AX$3:AX$1334,[1]ACSDT5Y2020.B08301_data_with_ov!$AS$3:$AS$1334,$B397)</f>
        <v>#VALUE!</v>
      </c>
      <c r="Q397" s="17" t="e">
        <f>SUMIFS([1]ACSDT5Y2020.B08301_data_with_ov!AY$3:AY$1334,[1]ACSDT5Y2020.B08301_data_with_ov!$AS$3:$AS$1334,$B397)</f>
        <v>#VALUE!</v>
      </c>
      <c r="R397" s="17" t="e">
        <f>SUMIFS([1]ACSDT5Y2020.B08301_data_with_ov!AZ$3:AZ$1334,[1]ACSDT5Y2020.B08301_data_with_ov!$AS$3:$AS$1334,$B397)</f>
        <v>#VALUE!</v>
      </c>
      <c r="S397" s="17" t="e">
        <f>SUMIFS([1]ACSDT5Y2020.B08301_data_with_ov!BA$3:BA$1334,[1]ACSDT5Y2020.B08301_data_with_ov!$AS$3:$AS$1334,$B397)</f>
        <v>#VALUE!</v>
      </c>
      <c r="T397" s="188">
        <v>0.18906657375285993</v>
      </c>
      <c r="U397" s="189" t="e">
        <f t="shared" si="27"/>
        <v>#VALUE!</v>
      </c>
      <c r="V397" s="188">
        <v>0.18906657375285993</v>
      </c>
      <c r="W397" s="189" t="e">
        <f t="shared" si="24"/>
        <v>#VALUE!</v>
      </c>
      <c r="X397" s="188">
        <v>0.18906657375285993</v>
      </c>
      <c r="Y397" s="189" t="e">
        <f t="shared" si="25"/>
        <v>#VALUE!</v>
      </c>
      <c r="Z397" s="188">
        <v>0.18906657375285993</v>
      </c>
      <c r="AA397" s="189" t="e">
        <f t="shared" si="26"/>
        <v>#VALUE!</v>
      </c>
    </row>
    <row r="398" spans="1:27" x14ac:dyDescent="0.25">
      <c r="A398">
        <v>843200</v>
      </c>
      <c r="B398">
        <v>17031843200</v>
      </c>
      <c r="C398">
        <v>17031</v>
      </c>
      <c r="D398">
        <v>2010</v>
      </c>
      <c r="E398">
        <v>31</v>
      </c>
      <c r="F398">
        <v>33649817.5886034</v>
      </c>
      <c r="G398" s="45">
        <v>1.2070211198850507</v>
      </c>
      <c r="H398" s="60" t="str">
        <f>_xlfn.IFNA(
INDEX('Community Areas'!B$2:B$78,MATCH($E398,'Community Areas'!$A$2:$A$78,0)),
"")</f>
        <v>LOWER WEST SIDE</v>
      </c>
      <c r="I398" s="63" t="str">
        <f>_xlfn.IFNA(
INDEX('Community Areas'!C$2:C$78,MATCH($E398,'Community Areas'!$A$2:$A$78,0)),
"")</f>
        <v>3-B</v>
      </c>
      <c r="J398" s="63">
        <f>_xlfn.IFNA(
INDEX('Community Areas'!D$2:D$78,MATCH($E398,'Community Areas'!$A$2:$A$78,0)),
"")</f>
        <v>7</v>
      </c>
      <c r="K398" s="60" t="str">
        <f>_xlfn.IFNA(
INDEX('Community Areas'!E$2:E$78,MATCH($E398,'Community Areas'!$A$2:$A$78,0)),
"")</f>
        <v>CENTRAL</v>
      </c>
      <c r="L398" s="17" t="e">
        <f>SUMIFS([1]ACSDT5Y2020.B08301_data_with_ov!AT$3:AT$1334,[1]ACSDT5Y2020.B08301_data_with_ov!$AS$3:$AS$1334,$B398)</f>
        <v>#VALUE!</v>
      </c>
      <c r="M398" s="17" t="e">
        <f>SUMIFS([1]ACSDT5Y2020.B08301_data_with_ov!AU$3:AU$1334,[1]ACSDT5Y2020.B08301_data_with_ov!$AS$3:$AS$1334,$B398)</f>
        <v>#VALUE!</v>
      </c>
      <c r="N398" s="17" t="e">
        <f>SUMIFS([1]ACSDT5Y2020.B08301_data_with_ov!AV$3:AV$1334,[1]ACSDT5Y2020.B08301_data_with_ov!$AS$3:$AS$1334,$B398)</f>
        <v>#VALUE!</v>
      </c>
      <c r="O398" s="17" t="e">
        <f>SUMIFS([1]ACSDT5Y2020.B08301_data_with_ov!AW$3:AW$1334,[1]ACSDT5Y2020.B08301_data_with_ov!$AS$3:$AS$1334,$B398)</f>
        <v>#VALUE!</v>
      </c>
      <c r="P398" s="17" t="e">
        <f>SUMIFS([1]ACSDT5Y2020.B08301_data_with_ov!AX$3:AX$1334,[1]ACSDT5Y2020.B08301_data_with_ov!$AS$3:$AS$1334,$B398)</f>
        <v>#VALUE!</v>
      </c>
      <c r="Q398" s="17" t="e">
        <f>SUMIFS([1]ACSDT5Y2020.B08301_data_with_ov!AY$3:AY$1334,[1]ACSDT5Y2020.B08301_data_with_ov!$AS$3:$AS$1334,$B398)</f>
        <v>#VALUE!</v>
      </c>
      <c r="R398" s="17" t="e">
        <f>SUMIFS([1]ACSDT5Y2020.B08301_data_with_ov!AZ$3:AZ$1334,[1]ACSDT5Y2020.B08301_data_with_ov!$AS$3:$AS$1334,$B398)</f>
        <v>#VALUE!</v>
      </c>
      <c r="S398" s="17" t="e">
        <f>SUMIFS([1]ACSDT5Y2020.B08301_data_with_ov!BA$3:BA$1334,[1]ACSDT5Y2020.B08301_data_with_ov!$AS$3:$AS$1334,$B398)</f>
        <v>#VALUE!</v>
      </c>
      <c r="T398" s="188">
        <v>1.0783820645736915</v>
      </c>
      <c r="U398" s="189" t="e">
        <f t="shared" si="27"/>
        <v>#VALUE!</v>
      </c>
      <c r="V398" s="188">
        <v>1.0783820645736915</v>
      </c>
      <c r="W398" s="189" t="e">
        <f t="shared" si="24"/>
        <v>#VALUE!</v>
      </c>
      <c r="X398" s="188">
        <v>1.0783820645736915</v>
      </c>
      <c r="Y398" s="189" t="e">
        <f t="shared" si="25"/>
        <v>#VALUE!</v>
      </c>
      <c r="Z398" s="188">
        <v>1.0783820645736915</v>
      </c>
      <c r="AA398" s="189" t="e">
        <f t="shared" si="26"/>
        <v>#VALUE!</v>
      </c>
    </row>
    <row r="399" spans="1:27" x14ac:dyDescent="0.25">
      <c r="A399">
        <v>310400</v>
      </c>
      <c r="B399">
        <v>17031310400</v>
      </c>
      <c r="C399">
        <v>17031</v>
      </c>
      <c r="D399">
        <v>2010</v>
      </c>
      <c r="E399">
        <v>31</v>
      </c>
      <c r="F399">
        <v>1339990.11581648</v>
      </c>
      <c r="G399" s="45">
        <v>4.8065531587769744E-2</v>
      </c>
      <c r="H399" s="60" t="str">
        <f>_xlfn.IFNA(
INDEX('Community Areas'!B$2:B$78,MATCH($E399,'Community Areas'!$A$2:$A$78,0)),
"")</f>
        <v>LOWER WEST SIDE</v>
      </c>
      <c r="I399" s="63" t="str">
        <f>_xlfn.IFNA(
INDEX('Community Areas'!C$2:C$78,MATCH($E399,'Community Areas'!$A$2:$A$78,0)),
"")</f>
        <v>3-B</v>
      </c>
      <c r="J399" s="63">
        <f>_xlfn.IFNA(
INDEX('Community Areas'!D$2:D$78,MATCH($E399,'Community Areas'!$A$2:$A$78,0)),
"")</f>
        <v>7</v>
      </c>
      <c r="K399" s="60" t="str">
        <f>_xlfn.IFNA(
INDEX('Community Areas'!E$2:E$78,MATCH($E399,'Community Areas'!$A$2:$A$78,0)),
"")</f>
        <v>CENTRAL</v>
      </c>
      <c r="L399" s="17" t="e">
        <f>SUMIFS([1]ACSDT5Y2020.B08301_data_with_ov!AT$3:AT$1334,[1]ACSDT5Y2020.B08301_data_with_ov!$AS$3:$AS$1334,$B399)</f>
        <v>#VALUE!</v>
      </c>
      <c r="M399" s="17" t="e">
        <f>SUMIFS([1]ACSDT5Y2020.B08301_data_with_ov!AU$3:AU$1334,[1]ACSDT5Y2020.B08301_data_with_ov!$AS$3:$AS$1334,$B399)</f>
        <v>#VALUE!</v>
      </c>
      <c r="N399" s="17" t="e">
        <f>SUMIFS([1]ACSDT5Y2020.B08301_data_with_ov!AV$3:AV$1334,[1]ACSDT5Y2020.B08301_data_with_ov!$AS$3:$AS$1334,$B399)</f>
        <v>#VALUE!</v>
      </c>
      <c r="O399" s="17" t="e">
        <f>SUMIFS([1]ACSDT5Y2020.B08301_data_with_ov!AW$3:AW$1334,[1]ACSDT5Y2020.B08301_data_with_ov!$AS$3:$AS$1334,$B399)</f>
        <v>#VALUE!</v>
      </c>
      <c r="P399" s="17" t="e">
        <f>SUMIFS([1]ACSDT5Y2020.B08301_data_with_ov!AX$3:AX$1334,[1]ACSDT5Y2020.B08301_data_with_ov!$AS$3:$AS$1334,$B399)</f>
        <v>#VALUE!</v>
      </c>
      <c r="Q399" s="17" t="e">
        <f>SUMIFS([1]ACSDT5Y2020.B08301_data_with_ov!AY$3:AY$1334,[1]ACSDT5Y2020.B08301_data_with_ov!$AS$3:$AS$1334,$B399)</f>
        <v>#VALUE!</v>
      </c>
      <c r="R399" s="17" t="e">
        <f>SUMIFS([1]ACSDT5Y2020.B08301_data_with_ov!AZ$3:AZ$1334,[1]ACSDT5Y2020.B08301_data_with_ov!$AS$3:$AS$1334,$B399)</f>
        <v>#VALUE!</v>
      </c>
      <c r="S399" s="17" t="e">
        <f>SUMIFS([1]ACSDT5Y2020.B08301_data_with_ov!BA$3:BA$1334,[1]ACSDT5Y2020.B08301_data_with_ov!$AS$3:$AS$1334,$B399)</f>
        <v>#VALUE!</v>
      </c>
      <c r="T399" s="188">
        <v>4.8065533913484282E-2</v>
      </c>
      <c r="U399" s="189" t="e">
        <f t="shared" si="27"/>
        <v>#VALUE!</v>
      </c>
      <c r="V399" s="188">
        <v>4.8065533913484282E-2</v>
      </c>
      <c r="W399" s="189" t="e">
        <f t="shared" si="24"/>
        <v>#VALUE!</v>
      </c>
      <c r="X399" s="188">
        <v>4.8065533913484282E-2</v>
      </c>
      <c r="Y399" s="189" t="e">
        <f t="shared" si="25"/>
        <v>#VALUE!</v>
      </c>
      <c r="Z399" s="188">
        <v>4.8065533913484282E-2</v>
      </c>
      <c r="AA399" s="189" t="e">
        <f t="shared" si="26"/>
        <v>#VALUE!</v>
      </c>
    </row>
    <row r="400" spans="1:27" x14ac:dyDescent="0.25">
      <c r="A400">
        <v>330200</v>
      </c>
      <c r="B400">
        <v>17031330200</v>
      </c>
      <c r="C400">
        <v>17031</v>
      </c>
      <c r="D400">
        <v>2010</v>
      </c>
      <c r="E400">
        <v>33</v>
      </c>
      <c r="F400">
        <v>8470005.7184941806</v>
      </c>
      <c r="G400" s="45">
        <v>0.30381964956719826</v>
      </c>
      <c r="H400" s="60" t="str">
        <f>_xlfn.IFNA(
INDEX('Community Areas'!B$2:B$78,MATCH($E400,'Community Areas'!$A$2:$A$78,0)),
"")</f>
        <v>NEAR SOUTH SIDE</v>
      </c>
      <c r="I400" s="63">
        <f>_xlfn.IFNA(
INDEX('Community Areas'!C$2:C$78,MATCH($E400,'Community Areas'!$A$2:$A$78,0)),
"")</f>
        <v>7</v>
      </c>
      <c r="J400" s="63">
        <f>_xlfn.IFNA(
INDEX('Community Areas'!D$2:D$78,MATCH($E400,'Community Areas'!$A$2:$A$78,0)),
"")</f>
        <v>7</v>
      </c>
      <c r="K400" s="60" t="str">
        <f>_xlfn.IFNA(
INDEX('Community Areas'!E$2:E$78,MATCH($E400,'Community Areas'!$A$2:$A$78,0)),
"")</f>
        <v>CENTRAL</v>
      </c>
      <c r="L400" s="17" t="e">
        <f>SUMIFS([1]ACSDT5Y2020.B08301_data_with_ov!AT$3:AT$1334,[1]ACSDT5Y2020.B08301_data_with_ov!$AS$3:$AS$1334,$B400)</f>
        <v>#VALUE!</v>
      </c>
      <c r="M400" s="17" t="e">
        <f>SUMIFS([1]ACSDT5Y2020.B08301_data_with_ov!AU$3:AU$1334,[1]ACSDT5Y2020.B08301_data_with_ov!$AS$3:$AS$1334,$B400)</f>
        <v>#VALUE!</v>
      </c>
      <c r="N400" s="17" t="e">
        <f>SUMIFS([1]ACSDT5Y2020.B08301_data_with_ov!AV$3:AV$1334,[1]ACSDT5Y2020.B08301_data_with_ov!$AS$3:$AS$1334,$B400)</f>
        <v>#VALUE!</v>
      </c>
      <c r="O400" s="17" t="e">
        <f>SUMIFS([1]ACSDT5Y2020.B08301_data_with_ov!AW$3:AW$1334,[1]ACSDT5Y2020.B08301_data_with_ov!$AS$3:$AS$1334,$B400)</f>
        <v>#VALUE!</v>
      </c>
      <c r="P400" s="17" t="e">
        <f>SUMIFS([1]ACSDT5Y2020.B08301_data_with_ov!AX$3:AX$1334,[1]ACSDT5Y2020.B08301_data_with_ov!$AS$3:$AS$1334,$B400)</f>
        <v>#VALUE!</v>
      </c>
      <c r="Q400" s="17" t="e">
        <f>SUMIFS([1]ACSDT5Y2020.B08301_data_with_ov!AY$3:AY$1334,[1]ACSDT5Y2020.B08301_data_with_ov!$AS$3:$AS$1334,$B400)</f>
        <v>#VALUE!</v>
      </c>
      <c r="R400" s="17" t="e">
        <f>SUMIFS([1]ACSDT5Y2020.B08301_data_with_ov!AZ$3:AZ$1334,[1]ACSDT5Y2020.B08301_data_with_ov!$AS$3:$AS$1334,$B400)</f>
        <v>#VALUE!</v>
      </c>
      <c r="S400" s="17" t="e">
        <f>SUMIFS([1]ACSDT5Y2020.B08301_data_with_ov!BA$3:BA$1334,[1]ACSDT5Y2020.B08301_data_with_ov!$AS$3:$AS$1334,$B400)</f>
        <v>#VALUE!</v>
      </c>
      <c r="T400" s="188">
        <v>0.30381965242271547</v>
      </c>
      <c r="U400" s="189" t="e">
        <f t="shared" si="27"/>
        <v>#VALUE!</v>
      </c>
      <c r="V400" s="188">
        <v>0.30381965242271547</v>
      </c>
      <c r="W400" s="189" t="e">
        <f t="shared" si="24"/>
        <v>#VALUE!</v>
      </c>
      <c r="X400" s="188">
        <v>0.30381965242271547</v>
      </c>
      <c r="Y400" s="189" t="e">
        <f t="shared" si="25"/>
        <v>#VALUE!</v>
      </c>
      <c r="Z400" s="188">
        <v>0.30381965242271547</v>
      </c>
      <c r="AA400" s="189" t="e">
        <f t="shared" si="26"/>
        <v>#VALUE!</v>
      </c>
    </row>
    <row r="401" spans="1:27" x14ac:dyDescent="0.25">
      <c r="A401">
        <v>841000</v>
      </c>
      <c r="B401">
        <v>17031841000</v>
      </c>
      <c r="C401">
        <v>17031</v>
      </c>
      <c r="D401">
        <v>2010</v>
      </c>
      <c r="E401">
        <v>33</v>
      </c>
      <c r="F401">
        <v>11661649.555965601</v>
      </c>
      <c r="G401" s="45">
        <v>0.41830411917346766</v>
      </c>
      <c r="H401" s="60" t="str">
        <f>_xlfn.IFNA(
INDEX('Community Areas'!B$2:B$78,MATCH($E401,'Community Areas'!$A$2:$A$78,0)),
"")</f>
        <v>NEAR SOUTH SIDE</v>
      </c>
      <c r="I401" s="63">
        <f>_xlfn.IFNA(
INDEX('Community Areas'!C$2:C$78,MATCH($E401,'Community Areas'!$A$2:$A$78,0)),
"")</f>
        <v>7</v>
      </c>
      <c r="J401" s="63">
        <f>_xlfn.IFNA(
INDEX('Community Areas'!D$2:D$78,MATCH($E401,'Community Areas'!$A$2:$A$78,0)),
"")</f>
        <v>7</v>
      </c>
      <c r="K401" s="60" t="str">
        <f>_xlfn.IFNA(
INDEX('Community Areas'!E$2:E$78,MATCH($E401,'Community Areas'!$A$2:$A$78,0)),
"")</f>
        <v>CENTRAL</v>
      </c>
      <c r="L401" s="17" t="e">
        <f>SUMIFS([1]ACSDT5Y2020.B08301_data_with_ov!AT$3:AT$1334,[1]ACSDT5Y2020.B08301_data_with_ov!$AS$3:$AS$1334,$B401)</f>
        <v>#VALUE!</v>
      </c>
      <c r="M401" s="17" t="e">
        <f>SUMIFS([1]ACSDT5Y2020.B08301_data_with_ov!AU$3:AU$1334,[1]ACSDT5Y2020.B08301_data_with_ov!$AS$3:$AS$1334,$B401)</f>
        <v>#VALUE!</v>
      </c>
      <c r="N401" s="17" t="e">
        <f>SUMIFS([1]ACSDT5Y2020.B08301_data_with_ov!AV$3:AV$1334,[1]ACSDT5Y2020.B08301_data_with_ov!$AS$3:$AS$1334,$B401)</f>
        <v>#VALUE!</v>
      </c>
      <c r="O401" s="17" t="e">
        <f>SUMIFS([1]ACSDT5Y2020.B08301_data_with_ov!AW$3:AW$1334,[1]ACSDT5Y2020.B08301_data_with_ov!$AS$3:$AS$1334,$B401)</f>
        <v>#VALUE!</v>
      </c>
      <c r="P401" s="17" t="e">
        <f>SUMIFS([1]ACSDT5Y2020.B08301_data_with_ov!AX$3:AX$1334,[1]ACSDT5Y2020.B08301_data_with_ov!$AS$3:$AS$1334,$B401)</f>
        <v>#VALUE!</v>
      </c>
      <c r="Q401" s="17" t="e">
        <f>SUMIFS([1]ACSDT5Y2020.B08301_data_with_ov!AY$3:AY$1334,[1]ACSDT5Y2020.B08301_data_with_ov!$AS$3:$AS$1334,$B401)</f>
        <v>#VALUE!</v>
      </c>
      <c r="R401" s="17" t="e">
        <f>SUMIFS([1]ACSDT5Y2020.B08301_data_with_ov!AZ$3:AZ$1334,[1]ACSDT5Y2020.B08301_data_with_ov!$AS$3:$AS$1334,$B401)</f>
        <v>#VALUE!</v>
      </c>
      <c r="S401" s="17" t="e">
        <f>SUMIFS([1]ACSDT5Y2020.B08301_data_with_ov!BA$3:BA$1334,[1]ACSDT5Y2020.B08301_data_with_ov!$AS$3:$AS$1334,$B401)</f>
        <v>#VALUE!</v>
      </c>
      <c r="T401" s="188">
        <v>0.41830411833794262</v>
      </c>
      <c r="U401" s="189" t="e">
        <f t="shared" si="27"/>
        <v>#VALUE!</v>
      </c>
      <c r="V401" s="188">
        <v>0.41830411833794262</v>
      </c>
      <c r="W401" s="189" t="e">
        <f t="shared" si="24"/>
        <v>#VALUE!</v>
      </c>
      <c r="X401" s="188">
        <v>0.41830411833794262</v>
      </c>
      <c r="Y401" s="189" t="e">
        <f t="shared" si="25"/>
        <v>#VALUE!</v>
      </c>
      <c r="Z401" s="188">
        <v>0.41830411833794262</v>
      </c>
      <c r="AA401" s="189" t="e">
        <f t="shared" si="26"/>
        <v>#VALUE!</v>
      </c>
    </row>
    <row r="402" spans="1:27" x14ac:dyDescent="0.25">
      <c r="A402">
        <v>330100</v>
      </c>
      <c r="B402">
        <v>17031330100</v>
      </c>
      <c r="C402">
        <v>17031</v>
      </c>
      <c r="D402">
        <v>2010</v>
      </c>
      <c r="E402">
        <v>33</v>
      </c>
      <c r="F402">
        <v>29637984.2620866</v>
      </c>
      <c r="G402" s="45">
        <v>1.0631164005856362</v>
      </c>
      <c r="H402" s="60" t="str">
        <f>_xlfn.IFNA(
INDEX('Community Areas'!B$2:B$78,MATCH($E402,'Community Areas'!$A$2:$A$78,0)),
"")</f>
        <v>NEAR SOUTH SIDE</v>
      </c>
      <c r="I402" s="63">
        <f>_xlfn.IFNA(
INDEX('Community Areas'!C$2:C$78,MATCH($E402,'Community Areas'!$A$2:$A$78,0)),
"")</f>
        <v>7</v>
      </c>
      <c r="J402" s="63">
        <f>_xlfn.IFNA(
INDEX('Community Areas'!D$2:D$78,MATCH($E402,'Community Areas'!$A$2:$A$78,0)),
"")</f>
        <v>7</v>
      </c>
      <c r="K402" s="60" t="str">
        <f>_xlfn.IFNA(
INDEX('Community Areas'!E$2:E$78,MATCH($E402,'Community Areas'!$A$2:$A$78,0)),
"")</f>
        <v>CENTRAL</v>
      </c>
      <c r="L402" s="17" t="e">
        <f>SUMIFS([1]ACSDT5Y2020.B08301_data_with_ov!AT$3:AT$1334,[1]ACSDT5Y2020.B08301_data_with_ov!$AS$3:$AS$1334,$B402)</f>
        <v>#VALUE!</v>
      </c>
      <c r="M402" s="17" t="e">
        <f>SUMIFS([1]ACSDT5Y2020.B08301_data_with_ov!AU$3:AU$1334,[1]ACSDT5Y2020.B08301_data_with_ov!$AS$3:$AS$1334,$B402)</f>
        <v>#VALUE!</v>
      </c>
      <c r="N402" s="17" t="e">
        <f>SUMIFS([1]ACSDT5Y2020.B08301_data_with_ov!AV$3:AV$1334,[1]ACSDT5Y2020.B08301_data_with_ov!$AS$3:$AS$1334,$B402)</f>
        <v>#VALUE!</v>
      </c>
      <c r="O402" s="17" t="e">
        <f>SUMIFS([1]ACSDT5Y2020.B08301_data_with_ov!AW$3:AW$1334,[1]ACSDT5Y2020.B08301_data_with_ov!$AS$3:$AS$1334,$B402)</f>
        <v>#VALUE!</v>
      </c>
      <c r="P402" s="17" t="e">
        <f>SUMIFS([1]ACSDT5Y2020.B08301_data_with_ov!AX$3:AX$1334,[1]ACSDT5Y2020.B08301_data_with_ov!$AS$3:$AS$1334,$B402)</f>
        <v>#VALUE!</v>
      </c>
      <c r="Q402" s="17" t="e">
        <f>SUMIFS([1]ACSDT5Y2020.B08301_data_with_ov!AY$3:AY$1334,[1]ACSDT5Y2020.B08301_data_with_ov!$AS$3:$AS$1334,$B402)</f>
        <v>#VALUE!</v>
      </c>
      <c r="R402" s="17" t="e">
        <f>SUMIFS([1]ACSDT5Y2020.B08301_data_with_ov!AZ$3:AZ$1334,[1]ACSDT5Y2020.B08301_data_with_ov!$AS$3:$AS$1334,$B402)</f>
        <v>#VALUE!</v>
      </c>
      <c r="S402" s="17" t="e">
        <f>SUMIFS([1]ACSDT5Y2020.B08301_data_with_ov!BA$3:BA$1334,[1]ACSDT5Y2020.B08301_data_with_ov!$AS$3:$AS$1334,$B402)</f>
        <v>#VALUE!</v>
      </c>
      <c r="T402" s="188">
        <v>1.063116415925254</v>
      </c>
      <c r="U402" s="189" t="e">
        <f t="shared" si="27"/>
        <v>#VALUE!</v>
      </c>
      <c r="V402" s="188">
        <v>1.063116415925254</v>
      </c>
      <c r="W402" s="189" t="e">
        <f t="shared" si="24"/>
        <v>#VALUE!</v>
      </c>
      <c r="X402" s="188">
        <v>1.063116415925254</v>
      </c>
      <c r="Y402" s="189" t="e">
        <f t="shared" si="25"/>
        <v>#VALUE!</v>
      </c>
      <c r="Z402" s="188">
        <v>1.063116415925254</v>
      </c>
      <c r="AA402" s="189" t="e">
        <f t="shared" si="26"/>
        <v>#VALUE!</v>
      </c>
    </row>
    <row r="403" spans="1:27" x14ac:dyDescent="0.25">
      <c r="A403">
        <v>841100</v>
      </c>
      <c r="B403">
        <v>17031841100</v>
      </c>
      <c r="C403">
        <v>17031</v>
      </c>
      <c r="D403">
        <v>2010</v>
      </c>
      <c r="E403">
        <v>34</v>
      </c>
      <c r="F403">
        <v>12356267.333673799</v>
      </c>
      <c r="G403" s="45">
        <v>0.44322010350930469</v>
      </c>
      <c r="H403" s="60" t="str">
        <f>_xlfn.IFNA(
INDEX('Community Areas'!B$2:B$78,MATCH($E403,'Community Areas'!$A$2:$A$78,0)),
"")</f>
        <v>ARMOUR SQUARE</v>
      </c>
      <c r="I403" s="63" t="str">
        <f>_xlfn.IFNA(
INDEX('Community Areas'!C$2:C$78,MATCH($E403,'Community Areas'!$A$2:$A$78,0)),
"")</f>
        <v>6-A</v>
      </c>
      <c r="J403" s="63">
        <f>_xlfn.IFNA(
INDEX('Community Areas'!D$2:D$78,MATCH($E403,'Community Areas'!$A$2:$A$78,0)),
"")</f>
        <v>6</v>
      </c>
      <c r="K403" s="60" t="str">
        <f>_xlfn.IFNA(
INDEX('Community Areas'!E$2:E$78,MATCH($E403,'Community Areas'!$A$2:$A$78,0)),
"")</f>
        <v>SOUTH</v>
      </c>
      <c r="L403" s="17" t="e">
        <f>SUMIFS([1]ACSDT5Y2020.B08301_data_with_ov!AT$3:AT$1334,[1]ACSDT5Y2020.B08301_data_with_ov!$AS$3:$AS$1334,$B403)</f>
        <v>#VALUE!</v>
      </c>
      <c r="M403" s="17" t="e">
        <f>SUMIFS([1]ACSDT5Y2020.B08301_data_with_ov!AU$3:AU$1334,[1]ACSDT5Y2020.B08301_data_with_ov!$AS$3:$AS$1334,$B403)</f>
        <v>#VALUE!</v>
      </c>
      <c r="N403" s="17" t="e">
        <f>SUMIFS([1]ACSDT5Y2020.B08301_data_with_ov!AV$3:AV$1334,[1]ACSDT5Y2020.B08301_data_with_ov!$AS$3:$AS$1334,$B403)</f>
        <v>#VALUE!</v>
      </c>
      <c r="O403" s="17" t="e">
        <f>SUMIFS([1]ACSDT5Y2020.B08301_data_with_ov!AW$3:AW$1334,[1]ACSDT5Y2020.B08301_data_with_ov!$AS$3:$AS$1334,$B403)</f>
        <v>#VALUE!</v>
      </c>
      <c r="P403" s="17" t="e">
        <f>SUMIFS([1]ACSDT5Y2020.B08301_data_with_ov!AX$3:AX$1334,[1]ACSDT5Y2020.B08301_data_with_ov!$AS$3:$AS$1334,$B403)</f>
        <v>#VALUE!</v>
      </c>
      <c r="Q403" s="17" t="e">
        <f>SUMIFS([1]ACSDT5Y2020.B08301_data_with_ov!AY$3:AY$1334,[1]ACSDT5Y2020.B08301_data_with_ov!$AS$3:$AS$1334,$B403)</f>
        <v>#VALUE!</v>
      </c>
      <c r="R403" s="17" t="e">
        <f>SUMIFS([1]ACSDT5Y2020.B08301_data_with_ov!AZ$3:AZ$1334,[1]ACSDT5Y2020.B08301_data_with_ov!$AS$3:$AS$1334,$B403)</f>
        <v>#VALUE!</v>
      </c>
      <c r="S403" s="17" t="e">
        <f>SUMIFS([1]ACSDT5Y2020.B08301_data_with_ov!BA$3:BA$1334,[1]ACSDT5Y2020.B08301_data_with_ov!$AS$3:$AS$1334,$B403)</f>
        <v>#VALUE!</v>
      </c>
      <c r="T403" s="188">
        <v>0.4432201056820298</v>
      </c>
      <c r="U403" s="189" t="e">
        <f t="shared" si="27"/>
        <v>#VALUE!</v>
      </c>
      <c r="V403" s="188">
        <v>0.4432201056820298</v>
      </c>
      <c r="W403" s="189" t="e">
        <f t="shared" si="24"/>
        <v>#VALUE!</v>
      </c>
      <c r="X403" s="188">
        <v>0.4432201056820298</v>
      </c>
      <c r="Y403" s="189" t="e">
        <f t="shared" si="25"/>
        <v>#VALUE!</v>
      </c>
      <c r="Z403" s="188">
        <v>0.4432201056820298</v>
      </c>
      <c r="AA403" s="189" t="e">
        <f t="shared" si="26"/>
        <v>#VALUE!</v>
      </c>
    </row>
    <row r="404" spans="1:27" x14ac:dyDescent="0.25">
      <c r="A404">
        <v>340300</v>
      </c>
      <c r="B404">
        <v>17031340300</v>
      </c>
      <c r="C404">
        <v>17031</v>
      </c>
      <c r="D404">
        <v>2010</v>
      </c>
      <c r="E404">
        <v>34</v>
      </c>
      <c r="F404">
        <v>2300850.5252316999</v>
      </c>
      <c r="G404" s="45">
        <v>8.2531656236789055E-2</v>
      </c>
      <c r="H404" s="60" t="str">
        <f>_xlfn.IFNA(
INDEX('Community Areas'!B$2:B$78,MATCH($E404,'Community Areas'!$A$2:$A$78,0)),
"")</f>
        <v>ARMOUR SQUARE</v>
      </c>
      <c r="I404" s="63" t="str">
        <f>_xlfn.IFNA(
INDEX('Community Areas'!C$2:C$78,MATCH($E404,'Community Areas'!$A$2:$A$78,0)),
"")</f>
        <v>6-A</v>
      </c>
      <c r="J404" s="63">
        <f>_xlfn.IFNA(
INDEX('Community Areas'!D$2:D$78,MATCH($E404,'Community Areas'!$A$2:$A$78,0)),
"")</f>
        <v>6</v>
      </c>
      <c r="K404" s="60" t="str">
        <f>_xlfn.IFNA(
INDEX('Community Areas'!E$2:E$78,MATCH($E404,'Community Areas'!$A$2:$A$78,0)),
"")</f>
        <v>SOUTH</v>
      </c>
      <c r="L404" s="17" t="e">
        <f>SUMIFS([1]ACSDT5Y2020.B08301_data_with_ov!AT$3:AT$1334,[1]ACSDT5Y2020.B08301_data_with_ov!$AS$3:$AS$1334,$B404)</f>
        <v>#VALUE!</v>
      </c>
      <c r="M404" s="17" t="e">
        <f>SUMIFS([1]ACSDT5Y2020.B08301_data_with_ov!AU$3:AU$1334,[1]ACSDT5Y2020.B08301_data_with_ov!$AS$3:$AS$1334,$B404)</f>
        <v>#VALUE!</v>
      </c>
      <c r="N404" s="17" t="e">
        <f>SUMIFS([1]ACSDT5Y2020.B08301_data_with_ov!AV$3:AV$1334,[1]ACSDT5Y2020.B08301_data_with_ov!$AS$3:$AS$1334,$B404)</f>
        <v>#VALUE!</v>
      </c>
      <c r="O404" s="17" t="e">
        <f>SUMIFS([1]ACSDT5Y2020.B08301_data_with_ov!AW$3:AW$1334,[1]ACSDT5Y2020.B08301_data_with_ov!$AS$3:$AS$1334,$B404)</f>
        <v>#VALUE!</v>
      </c>
      <c r="P404" s="17" t="e">
        <f>SUMIFS([1]ACSDT5Y2020.B08301_data_with_ov!AX$3:AX$1334,[1]ACSDT5Y2020.B08301_data_with_ov!$AS$3:$AS$1334,$B404)</f>
        <v>#VALUE!</v>
      </c>
      <c r="Q404" s="17" t="e">
        <f>SUMIFS([1]ACSDT5Y2020.B08301_data_with_ov!AY$3:AY$1334,[1]ACSDT5Y2020.B08301_data_with_ov!$AS$3:$AS$1334,$B404)</f>
        <v>#VALUE!</v>
      </c>
      <c r="R404" s="17" t="e">
        <f>SUMIFS([1]ACSDT5Y2020.B08301_data_with_ov!AZ$3:AZ$1334,[1]ACSDT5Y2020.B08301_data_with_ov!$AS$3:$AS$1334,$B404)</f>
        <v>#VALUE!</v>
      </c>
      <c r="S404" s="17" t="e">
        <f>SUMIFS([1]ACSDT5Y2020.B08301_data_with_ov!BA$3:BA$1334,[1]ACSDT5Y2020.B08301_data_with_ov!$AS$3:$AS$1334,$B404)</f>
        <v>#VALUE!</v>
      </c>
      <c r="T404" s="188">
        <v>8.2531652965076904E-2</v>
      </c>
      <c r="U404" s="189" t="e">
        <f t="shared" si="27"/>
        <v>#VALUE!</v>
      </c>
      <c r="V404" s="188">
        <v>8.2531652965076904E-2</v>
      </c>
      <c r="W404" s="189" t="e">
        <f t="shared" si="24"/>
        <v>#VALUE!</v>
      </c>
      <c r="X404" s="188">
        <v>8.2531652965076904E-2</v>
      </c>
      <c r="Y404" s="189" t="e">
        <f t="shared" si="25"/>
        <v>#VALUE!</v>
      </c>
      <c r="Z404" s="188">
        <v>8.2531652965076904E-2</v>
      </c>
      <c r="AA404" s="189" t="e">
        <f t="shared" si="26"/>
        <v>#VALUE!</v>
      </c>
    </row>
    <row r="405" spans="1:27" x14ac:dyDescent="0.25">
      <c r="A405">
        <v>340400</v>
      </c>
      <c r="B405">
        <v>17031340400</v>
      </c>
      <c r="C405">
        <v>17031</v>
      </c>
      <c r="D405">
        <v>2010</v>
      </c>
      <c r="E405">
        <v>34</v>
      </c>
      <c r="F405">
        <v>3138556.9291838198</v>
      </c>
      <c r="G405" s="45">
        <v>0.11258023879361154</v>
      </c>
      <c r="H405" s="60" t="str">
        <f>_xlfn.IFNA(
INDEX('Community Areas'!B$2:B$78,MATCH($E405,'Community Areas'!$A$2:$A$78,0)),
"")</f>
        <v>ARMOUR SQUARE</v>
      </c>
      <c r="I405" s="63" t="str">
        <f>_xlfn.IFNA(
INDEX('Community Areas'!C$2:C$78,MATCH($E405,'Community Areas'!$A$2:$A$78,0)),
"")</f>
        <v>6-A</v>
      </c>
      <c r="J405" s="63">
        <f>_xlfn.IFNA(
INDEX('Community Areas'!D$2:D$78,MATCH($E405,'Community Areas'!$A$2:$A$78,0)),
"")</f>
        <v>6</v>
      </c>
      <c r="K405" s="60" t="str">
        <f>_xlfn.IFNA(
INDEX('Community Areas'!E$2:E$78,MATCH($E405,'Community Areas'!$A$2:$A$78,0)),
"")</f>
        <v>SOUTH</v>
      </c>
      <c r="L405" s="17" t="e">
        <f>SUMIFS([1]ACSDT5Y2020.B08301_data_with_ov!AT$3:AT$1334,[1]ACSDT5Y2020.B08301_data_with_ov!$AS$3:$AS$1334,$B405)</f>
        <v>#VALUE!</v>
      </c>
      <c r="M405" s="17" t="e">
        <f>SUMIFS([1]ACSDT5Y2020.B08301_data_with_ov!AU$3:AU$1334,[1]ACSDT5Y2020.B08301_data_with_ov!$AS$3:$AS$1334,$B405)</f>
        <v>#VALUE!</v>
      </c>
      <c r="N405" s="17" t="e">
        <f>SUMIFS([1]ACSDT5Y2020.B08301_data_with_ov!AV$3:AV$1334,[1]ACSDT5Y2020.B08301_data_with_ov!$AS$3:$AS$1334,$B405)</f>
        <v>#VALUE!</v>
      </c>
      <c r="O405" s="17" t="e">
        <f>SUMIFS([1]ACSDT5Y2020.B08301_data_with_ov!AW$3:AW$1334,[1]ACSDT5Y2020.B08301_data_with_ov!$AS$3:$AS$1334,$B405)</f>
        <v>#VALUE!</v>
      </c>
      <c r="P405" s="17" t="e">
        <f>SUMIFS([1]ACSDT5Y2020.B08301_data_with_ov!AX$3:AX$1334,[1]ACSDT5Y2020.B08301_data_with_ov!$AS$3:$AS$1334,$B405)</f>
        <v>#VALUE!</v>
      </c>
      <c r="Q405" s="17" t="e">
        <f>SUMIFS([1]ACSDT5Y2020.B08301_data_with_ov!AY$3:AY$1334,[1]ACSDT5Y2020.B08301_data_with_ov!$AS$3:$AS$1334,$B405)</f>
        <v>#VALUE!</v>
      </c>
      <c r="R405" s="17" t="e">
        <f>SUMIFS([1]ACSDT5Y2020.B08301_data_with_ov!AZ$3:AZ$1334,[1]ACSDT5Y2020.B08301_data_with_ov!$AS$3:$AS$1334,$B405)</f>
        <v>#VALUE!</v>
      </c>
      <c r="S405" s="17" t="e">
        <f>SUMIFS([1]ACSDT5Y2020.B08301_data_with_ov!BA$3:BA$1334,[1]ACSDT5Y2020.B08301_data_with_ov!$AS$3:$AS$1334,$B405)</f>
        <v>#VALUE!</v>
      </c>
      <c r="T405" s="188">
        <v>0.11258024009628387</v>
      </c>
      <c r="U405" s="189" t="e">
        <f t="shared" si="27"/>
        <v>#VALUE!</v>
      </c>
      <c r="V405" s="188">
        <v>0.11258024009628387</v>
      </c>
      <c r="W405" s="189" t="e">
        <f t="shared" si="24"/>
        <v>#VALUE!</v>
      </c>
      <c r="X405" s="188">
        <v>0.11258024009628387</v>
      </c>
      <c r="Y405" s="189" t="e">
        <f t="shared" si="25"/>
        <v>#VALUE!</v>
      </c>
      <c r="Z405" s="188">
        <v>0.11258024009628387</v>
      </c>
      <c r="AA405" s="189" t="e">
        <f t="shared" si="26"/>
        <v>#VALUE!</v>
      </c>
    </row>
    <row r="406" spans="1:27" x14ac:dyDescent="0.25">
      <c r="A406">
        <v>340600</v>
      </c>
      <c r="B406">
        <v>17031340600</v>
      </c>
      <c r="C406">
        <v>17031</v>
      </c>
      <c r="D406">
        <v>2010</v>
      </c>
      <c r="E406">
        <v>34</v>
      </c>
      <c r="F406">
        <v>5115219.5132705197</v>
      </c>
      <c r="G406" s="45">
        <v>0.18348325274300245</v>
      </c>
      <c r="H406" s="60" t="str">
        <f>_xlfn.IFNA(
INDEX('Community Areas'!B$2:B$78,MATCH($E406,'Community Areas'!$A$2:$A$78,0)),
"")</f>
        <v>ARMOUR SQUARE</v>
      </c>
      <c r="I406" s="63" t="str">
        <f>_xlfn.IFNA(
INDEX('Community Areas'!C$2:C$78,MATCH($E406,'Community Areas'!$A$2:$A$78,0)),
"")</f>
        <v>6-A</v>
      </c>
      <c r="J406" s="63">
        <f>_xlfn.IFNA(
INDEX('Community Areas'!D$2:D$78,MATCH($E406,'Community Areas'!$A$2:$A$78,0)),
"")</f>
        <v>6</v>
      </c>
      <c r="K406" s="60" t="str">
        <f>_xlfn.IFNA(
INDEX('Community Areas'!E$2:E$78,MATCH($E406,'Community Areas'!$A$2:$A$78,0)),
"")</f>
        <v>SOUTH</v>
      </c>
      <c r="L406" s="17" t="e">
        <f>SUMIFS([1]ACSDT5Y2020.B08301_data_with_ov!AT$3:AT$1334,[1]ACSDT5Y2020.B08301_data_with_ov!$AS$3:$AS$1334,$B406)</f>
        <v>#VALUE!</v>
      </c>
      <c r="M406" s="17" t="e">
        <f>SUMIFS([1]ACSDT5Y2020.B08301_data_with_ov!AU$3:AU$1334,[1]ACSDT5Y2020.B08301_data_with_ov!$AS$3:$AS$1334,$B406)</f>
        <v>#VALUE!</v>
      </c>
      <c r="N406" s="17" t="e">
        <f>SUMIFS([1]ACSDT5Y2020.B08301_data_with_ov!AV$3:AV$1334,[1]ACSDT5Y2020.B08301_data_with_ov!$AS$3:$AS$1334,$B406)</f>
        <v>#VALUE!</v>
      </c>
      <c r="O406" s="17" t="e">
        <f>SUMIFS([1]ACSDT5Y2020.B08301_data_with_ov!AW$3:AW$1334,[1]ACSDT5Y2020.B08301_data_with_ov!$AS$3:$AS$1334,$B406)</f>
        <v>#VALUE!</v>
      </c>
      <c r="P406" s="17" t="e">
        <f>SUMIFS([1]ACSDT5Y2020.B08301_data_with_ov!AX$3:AX$1334,[1]ACSDT5Y2020.B08301_data_with_ov!$AS$3:$AS$1334,$B406)</f>
        <v>#VALUE!</v>
      </c>
      <c r="Q406" s="17" t="e">
        <f>SUMIFS([1]ACSDT5Y2020.B08301_data_with_ov!AY$3:AY$1334,[1]ACSDT5Y2020.B08301_data_with_ov!$AS$3:$AS$1334,$B406)</f>
        <v>#VALUE!</v>
      </c>
      <c r="R406" s="17" t="e">
        <f>SUMIFS([1]ACSDT5Y2020.B08301_data_with_ov!AZ$3:AZ$1334,[1]ACSDT5Y2020.B08301_data_with_ov!$AS$3:$AS$1334,$B406)</f>
        <v>#VALUE!</v>
      </c>
      <c r="S406" s="17" t="e">
        <f>SUMIFS([1]ACSDT5Y2020.B08301_data_with_ov!BA$3:BA$1334,[1]ACSDT5Y2020.B08301_data_with_ov!$AS$3:$AS$1334,$B406)</f>
        <v>#VALUE!</v>
      </c>
      <c r="T406" s="188">
        <v>0.17758361997833341</v>
      </c>
      <c r="U406" s="189" t="e">
        <f t="shared" si="27"/>
        <v>#VALUE!</v>
      </c>
      <c r="V406" s="188">
        <v>9.1026634704535411E-2</v>
      </c>
      <c r="W406" s="189" t="e">
        <f t="shared" si="24"/>
        <v>#VALUE!</v>
      </c>
      <c r="X406" s="188">
        <v>9.1026634704535411E-2</v>
      </c>
      <c r="Y406" s="189" t="e">
        <f t="shared" si="25"/>
        <v>#VALUE!</v>
      </c>
      <c r="Z406" s="188">
        <v>9.1026634704535411E-2</v>
      </c>
      <c r="AA406" s="189" t="e">
        <f t="shared" si="26"/>
        <v>#VALUE!</v>
      </c>
    </row>
    <row r="407" spans="1:27" x14ac:dyDescent="0.25">
      <c r="A407">
        <v>340500</v>
      </c>
      <c r="B407">
        <v>17031340500</v>
      </c>
      <c r="C407">
        <v>17031</v>
      </c>
      <c r="D407">
        <v>2010</v>
      </c>
      <c r="E407">
        <v>34</v>
      </c>
      <c r="F407">
        <v>4774288.1213836996</v>
      </c>
      <c r="G407" s="45">
        <v>0.17125402180124039</v>
      </c>
      <c r="H407" s="60" t="str">
        <f>_xlfn.IFNA(
INDEX('Community Areas'!B$2:B$78,MATCH($E407,'Community Areas'!$A$2:$A$78,0)),
"")</f>
        <v>ARMOUR SQUARE</v>
      </c>
      <c r="I407" s="63" t="str">
        <f>_xlfn.IFNA(
INDEX('Community Areas'!C$2:C$78,MATCH($E407,'Community Areas'!$A$2:$A$78,0)),
"")</f>
        <v>6-A</v>
      </c>
      <c r="J407" s="63">
        <f>_xlfn.IFNA(
INDEX('Community Areas'!D$2:D$78,MATCH($E407,'Community Areas'!$A$2:$A$78,0)),
"")</f>
        <v>6</v>
      </c>
      <c r="K407" s="60" t="str">
        <f>_xlfn.IFNA(
INDEX('Community Areas'!E$2:E$78,MATCH($E407,'Community Areas'!$A$2:$A$78,0)),
"")</f>
        <v>SOUTH</v>
      </c>
      <c r="L407" s="17" t="e">
        <f>SUMIFS([1]ACSDT5Y2020.B08301_data_with_ov!AT$3:AT$1334,[1]ACSDT5Y2020.B08301_data_with_ov!$AS$3:$AS$1334,$B407)</f>
        <v>#VALUE!</v>
      </c>
      <c r="M407" s="17" t="e">
        <f>SUMIFS([1]ACSDT5Y2020.B08301_data_with_ov!AU$3:AU$1334,[1]ACSDT5Y2020.B08301_data_with_ov!$AS$3:$AS$1334,$B407)</f>
        <v>#VALUE!</v>
      </c>
      <c r="N407" s="17" t="e">
        <f>SUMIFS([1]ACSDT5Y2020.B08301_data_with_ov!AV$3:AV$1334,[1]ACSDT5Y2020.B08301_data_with_ov!$AS$3:$AS$1334,$B407)</f>
        <v>#VALUE!</v>
      </c>
      <c r="O407" s="17" t="e">
        <f>SUMIFS([1]ACSDT5Y2020.B08301_data_with_ov!AW$3:AW$1334,[1]ACSDT5Y2020.B08301_data_with_ov!$AS$3:$AS$1334,$B407)</f>
        <v>#VALUE!</v>
      </c>
      <c r="P407" s="17" t="e">
        <f>SUMIFS([1]ACSDT5Y2020.B08301_data_with_ov!AX$3:AX$1334,[1]ACSDT5Y2020.B08301_data_with_ov!$AS$3:$AS$1334,$B407)</f>
        <v>#VALUE!</v>
      </c>
      <c r="Q407" s="17" t="e">
        <f>SUMIFS([1]ACSDT5Y2020.B08301_data_with_ov!AY$3:AY$1334,[1]ACSDT5Y2020.B08301_data_with_ov!$AS$3:$AS$1334,$B407)</f>
        <v>#VALUE!</v>
      </c>
      <c r="R407" s="17" t="e">
        <f>SUMIFS([1]ACSDT5Y2020.B08301_data_with_ov!AZ$3:AZ$1334,[1]ACSDT5Y2020.B08301_data_with_ov!$AS$3:$AS$1334,$B407)</f>
        <v>#VALUE!</v>
      </c>
      <c r="S407" s="17" t="e">
        <f>SUMIFS([1]ACSDT5Y2020.B08301_data_with_ov!BA$3:BA$1334,[1]ACSDT5Y2020.B08301_data_with_ov!$AS$3:$AS$1334,$B407)</f>
        <v>#VALUE!</v>
      </c>
      <c r="T407" s="188">
        <v>0.17125401263779666</v>
      </c>
      <c r="U407" s="189" t="e">
        <f t="shared" si="27"/>
        <v>#VALUE!</v>
      </c>
      <c r="V407" s="188">
        <v>0.16801128607715723</v>
      </c>
      <c r="W407" s="189" t="e">
        <f t="shared" si="24"/>
        <v>#VALUE!</v>
      </c>
      <c r="X407" s="188">
        <v>0.16801128607715723</v>
      </c>
      <c r="Y407" s="189" t="e">
        <f t="shared" si="25"/>
        <v>#VALUE!</v>
      </c>
      <c r="Z407" s="188">
        <v>0.16801128607715723</v>
      </c>
      <c r="AA407" s="189" t="e">
        <f t="shared" si="26"/>
        <v>#VALUE!</v>
      </c>
    </row>
    <row r="408" spans="1:27" x14ac:dyDescent="0.25">
      <c r="A408">
        <v>100700</v>
      </c>
      <c r="B408">
        <v>17031100700</v>
      </c>
      <c r="C408">
        <v>17031</v>
      </c>
      <c r="D408">
        <v>2010</v>
      </c>
      <c r="E408">
        <v>10</v>
      </c>
      <c r="F408">
        <v>13049253.5876146</v>
      </c>
      <c r="G408" s="45">
        <v>0.46807756498273212</v>
      </c>
      <c r="H408" s="60" t="str">
        <f>_xlfn.IFNA(
INDEX('Community Areas'!B$2:B$78,MATCH($E408,'Community Areas'!$A$2:$A$78,0)),
"")</f>
        <v>NORWOOD PARK</v>
      </c>
      <c r="I408" s="63" t="str">
        <f>_xlfn.IFNA(
INDEX('Community Areas'!C$2:C$78,MATCH($E408,'Community Areas'!$A$2:$A$78,0)),
"")</f>
        <v>2-C</v>
      </c>
      <c r="J408" s="63">
        <f>_xlfn.IFNA(
INDEX('Community Areas'!D$2:D$78,MATCH($E408,'Community Areas'!$A$2:$A$78,0)),
"")</f>
        <v>2</v>
      </c>
      <c r="K408" s="60" t="str">
        <f>_xlfn.IFNA(
INDEX('Community Areas'!E$2:E$78,MATCH($E408,'Community Areas'!$A$2:$A$78,0)),
"")</f>
        <v>NORTHWEST</v>
      </c>
      <c r="L408" s="17" t="e">
        <f>SUMIFS([1]ACSDT5Y2020.B08301_data_with_ov!AT$3:AT$1334,[1]ACSDT5Y2020.B08301_data_with_ov!$AS$3:$AS$1334,$B408)</f>
        <v>#VALUE!</v>
      </c>
      <c r="M408" s="17" t="e">
        <f>SUMIFS([1]ACSDT5Y2020.B08301_data_with_ov!AU$3:AU$1334,[1]ACSDT5Y2020.B08301_data_with_ov!$AS$3:$AS$1334,$B408)</f>
        <v>#VALUE!</v>
      </c>
      <c r="N408" s="17" t="e">
        <f>SUMIFS([1]ACSDT5Y2020.B08301_data_with_ov!AV$3:AV$1334,[1]ACSDT5Y2020.B08301_data_with_ov!$AS$3:$AS$1334,$B408)</f>
        <v>#VALUE!</v>
      </c>
      <c r="O408" s="17" t="e">
        <f>SUMIFS([1]ACSDT5Y2020.B08301_data_with_ov!AW$3:AW$1334,[1]ACSDT5Y2020.B08301_data_with_ov!$AS$3:$AS$1334,$B408)</f>
        <v>#VALUE!</v>
      </c>
      <c r="P408" s="17" t="e">
        <f>SUMIFS([1]ACSDT5Y2020.B08301_data_with_ov!AX$3:AX$1334,[1]ACSDT5Y2020.B08301_data_with_ov!$AS$3:$AS$1334,$B408)</f>
        <v>#VALUE!</v>
      </c>
      <c r="Q408" s="17" t="e">
        <f>SUMIFS([1]ACSDT5Y2020.B08301_data_with_ov!AY$3:AY$1334,[1]ACSDT5Y2020.B08301_data_with_ov!$AS$3:$AS$1334,$B408)</f>
        <v>#VALUE!</v>
      </c>
      <c r="R408" s="17" t="e">
        <f>SUMIFS([1]ACSDT5Y2020.B08301_data_with_ov!AZ$3:AZ$1334,[1]ACSDT5Y2020.B08301_data_with_ov!$AS$3:$AS$1334,$B408)</f>
        <v>#VALUE!</v>
      </c>
      <c r="S408" s="17" t="e">
        <f>SUMIFS([1]ACSDT5Y2020.B08301_data_with_ov!BA$3:BA$1334,[1]ACSDT5Y2020.B08301_data_with_ov!$AS$3:$AS$1334,$B408)</f>
        <v>#VALUE!</v>
      </c>
      <c r="T408" s="188">
        <v>0.18296919545035906</v>
      </c>
      <c r="U408" s="189" t="e">
        <f t="shared" si="27"/>
        <v>#VALUE!</v>
      </c>
      <c r="V408" s="188">
        <v>0</v>
      </c>
      <c r="W408" s="189" t="e">
        <f t="shared" si="24"/>
        <v>#VALUE!</v>
      </c>
      <c r="X408" s="188">
        <v>0</v>
      </c>
      <c r="Y408" s="189" t="e">
        <f t="shared" si="25"/>
        <v>#VALUE!</v>
      </c>
      <c r="Z408" s="188">
        <v>0</v>
      </c>
      <c r="AA408" s="189" t="e">
        <f t="shared" si="26"/>
        <v>#VALUE!</v>
      </c>
    </row>
    <row r="409" spans="1:27" x14ac:dyDescent="0.25">
      <c r="A409">
        <v>100200</v>
      </c>
      <c r="B409">
        <v>17031100200</v>
      </c>
      <c r="C409">
        <v>17031</v>
      </c>
      <c r="D409">
        <v>2010</v>
      </c>
      <c r="E409">
        <v>10</v>
      </c>
      <c r="F409">
        <v>22416872.864476901</v>
      </c>
      <c r="G409" s="45">
        <v>0.80409467058643613</v>
      </c>
      <c r="H409" s="60" t="str">
        <f>_xlfn.IFNA(
INDEX('Community Areas'!B$2:B$78,MATCH($E409,'Community Areas'!$A$2:$A$78,0)),
"")</f>
        <v>NORWOOD PARK</v>
      </c>
      <c r="I409" s="63" t="str">
        <f>_xlfn.IFNA(
INDEX('Community Areas'!C$2:C$78,MATCH($E409,'Community Areas'!$A$2:$A$78,0)),
"")</f>
        <v>2-C</v>
      </c>
      <c r="J409" s="63">
        <f>_xlfn.IFNA(
INDEX('Community Areas'!D$2:D$78,MATCH($E409,'Community Areas'!$A$2:$A$78,0)),
"")</f>
        <v>2</v>
      </c>
      <c r="K409" s="60" t="str">
        <f>_xlfn.IFNA(
INDEX('Community Areas'!E$2:E$78,MATCH($E409,'Community Areas'!$A$2:$A$78,0)),
"")</f>
        <v>NORTHWEST</v>
      </c>
      <c r="L409" s="17" t="e">
        <f>SUMIFS([1]ACSDT5Y2020.B08301_data_with_ov!AT$3:AT$1334,[1]ACSDT5Y2020.B08301_data_with_ov!$AS$3:$AS$1334,$B409)</f>
        <v>#VALUE!</v>
      </c>
      <c r="M409" s="17" t="e">
        <f>SUMIFS([1]ACSDT5Y2020.B08301_data_with_ov!AU$3:AU$1334,[1]ACSDT5Y2020.B08301_data_with_ov!$AS$3:$AS$1334,$B409)</f>
        <v>#VALUE!</v>
      </c>
      <c r="N409" s="17" t="e">
        <f>SUMIFS([1]ACSDT5Y2020.B08301_data_with_ov!AV$3:AV$1334,[1]ACSDT5Y2020.B08301_data_with_ov!$AS$3:$AS$1334,$B409)</f>
        <v>#VALUE!</v>
      </c>
      <c r="O409" s="17" t="e">
        <f>SUMIFS([1]ACSDT5Y2020.B08301_data_with_ov!AW$3:AW$1334,[1]ACSDT5Y2020.B08301_data_with_ov!$AS$3:$AS$1334,$B409)</f>
        <v>#VALUE!</v>
      </c>
      <c r="P409" s="17" t="e">
        <f>SUMIFS([1]ACSDT5Y2020.B08301_data_with_ov!AX$3:AX$1334,[1]ACSDT5Y2020.B08301_data_with_ov!$AS$3:$AS$1334,$B409)</f>
        <v>#VALUE!</v>
      </c>
      <c r="Q409" s="17" t="e">
        <f>SUMIFS([1]ACSDT5Y2020.B08301_data_with_ov!AY$3:AY$1334,[1]ACSDT5Y2020.B08301_data_with_ov!$AS$3:$AS$1334,$B409)</f>
        <v>#VALUE!</v>
      </c>
      <c r="R409" s="17" t="e">
        <f>SUMIFS([1]ACSDT5Y2020.B08301_data_with_ov!AZ$3:AZ$1334,[1]ACSDT5Y2020.B08301_data_with_ov!$AS$3:$AS$1334,$B409)</f>
        <v>#VALUE!</v>
      </c>
      <c r="S409" s="17" t="e">
        <f>SUMIFS([1]ACSDT5Y2020.B08301_data_with_ov!BA$3:BA$1334,[1]ACSDT5Y2020.B08301_data_with_ov!$AS$3:$AS$1334,$B409)</f>
        <v>#VALUE!</v>
      </c>
      <c r="T409" s="188">
        <v>0.80336705780804496</v>
      </c>
      <c r="U409" s="189" t="e">
        <f t="shared" si="27"/>
        <v>#VALUE!</v>
      </c>
      <c r="V409" s="188">
        <v>0.80336705780804496</v>
      </c>
      <c r="W409" s="189" t="e">
        <f t="shared" si="24"/>
        <v>#VALUE!</v>
      </c>
      <c r="X409" s="188">
        <v>0.80336705780804496</v>
      </c>
      <c r="Y409" s="189" t="e">
        <f t="shared" si="25"/>
        <v>#VALUE!</v>
      </c>
      <c r="Z409" s="188">
        <v>0.80336705780804496</v>
      </c>
      <c r="AA409" s="189" t="e">
        <f t="shared" si="26"/>
        <v>#VALUE!</v>
      </c>
    </row>
    <row r="410" spans="1:27" x14ac:dyDescent="0.25">
      <c r="A410">
        <v>100400</v>
      </c>
      <c r="B410">
        <v>17031100400</v>
      </c>
      <c r="C410">
        <v>17031</v>
      </c>
      <c r="D410">
        <v>2010</v>
      </c>
      <c r="E410">
        <v>10</v>
      </c>
      <c r="F410">
        <v>10454152.1117457</v>
      </c>
      <c r="G410" s="45">
        <v>0.37499110823238424</v>
      </c>
      <c r="H410" s="60" t="str">
        <f>_xlfn.IFNA(
INDEX('Community Areas'!B$2:B$78,MATCH($E410,'Community Areas'!$A$2:$A$78,0)),
"")</f>
        <v>NORWOOD PARK</v>
      </c>
      <c r="I410" s="63" t="str">
        <f>_xlfn.IFNA(
INDEX('Community Areas'!C$2:C$78,MATCH($E410,'Community Areas'!$A$2:$A$78,0)),
"")</f>
        <v>2-C</v>
      </c>
      <c r="J410" s="63">
        <f>_xlfn.IFNA(
INDEX('Community Areas'!D$2:D$78,MATCH($E410,'Community Areas'!$A$2:$A$78,0)),
"")</f>
        <v>2</v>
      </c>
      <c r="K410" s="60" t="str">
        <f>_xlfn.IFNA(
INDEX('Community Areas'!E$2:E$78,MATCH($E410,'Community Areas'!$A$2:$A$78,0)),
"")</f>
        <v>NORTHWEST</v>
      </c>
      <c r="L410" s="17" t="e">
        <f>SUMIFS([1]ACSDT5Y2020.B08301_data_with_ov!AT$3:AT$1334,[1]ACSDT5Y2020.B08301_data_with_ov!$AS$3:$AS$1334,$B410)</f>
        <v>#VALUE!</v>
      </c>
      <c r="M410" s="17" t="e">
        <f>SUMIFS([1]ACSDT5Y2020.B08301_data_with_ov!AU$3:AU$1334,[1]ACSDT5Y2020.B08301_data_with_ov!$AS$3:$AS$1334,$B410)</f>
        <v>#VALUE!</v>
      </c>
      <c r="N410" s="17" t="e">
        <f>SUMIFS([1]ACSDT5Y2020.B08301_data_with_ov!AV$3:AV$1334,[1]ACSDT5Y2020.B08301_data_with_ov!$AS$3:$AS$1334,$B410)</f>
        <v>#VALUE!</v>
      </c>
      <c r="O410" s="17" t="e">
        <f>SUMIFS([1]ACSDT5Y2020.B08301_data_with_ov!AW$3:AW$1334,[1]ACSDT5Y2020.B08301_data_with_ov!$AS$3:$AS$1334,$B410)</f>
        <v>#VALUE!</v>
      </c>
      <c r="P410" s="17" t="e">
        <f>SUMIFS([1]ACSDT5Y2020.B08301_data_with_ov!AX$3:AX$1334,[1]ACSDT5Y2020.B08301_data_with_ov!$AS$3:$AS$1334,$B410)</f>
        <v>#VALUE!</v>
      </c>
      <c r="Q410" s="17" t="e">
        <f>SUMIFS([1]ACSDT5Y2020.B08301_data_with_ov!AY$3:AY$1334,[1]ACSDT5Y2020.B08301_data_with_ov!$AS$3:$AS$1334,$B410)</f>
        <v>#VALUE!</v>
      </c>
      <c r="R410" s="17" t="e">
        <f>SUMIFS([1]ACSDT5Y2020.B08301_data_with_ov!AZ$3:AZ$1334,[1]ACSDT5Y2020.B08301_data_with_ov!$AS$3:$AS$1334,$B410)</f>
        <v>#VALUE!</v>
      </c>
      <c r="S410" s="17" t="e">
        <f>SUMIFS([1]ACSDT5Y2020.B08301_data_with_ov!BA$3:BA$1334,[1]ACSDT5Y2020.B08301_data_with_ov!$AS$3:$AS$1334,$B410)</f>
        <v>#VALUE!</v>
      </c>
      <c r="T410" s="188">
        <v>2.7779695354037428E-2</v>
      </c>
      <c r="U410" s="189" t="e">
        <f t="shared" si="27"/>
        <v>#VALUE!</v>
      </c>
      <c r="V410" s="188">
        <v>4.1934140920037019E-3</v>
      </c>
      <c r="W410" s="189" t="e">
        <f t="shared" si="24"/>
        <v>#VALUE!</v>
      </c>
      <c r="X410" s="188">
        <v>4.1934140920037019E-3</v>
      </c>
      <c r="Y410" s="189" t="e">
        <f t="shared" si="25"/>
        <v>#VALUE!</v>
      </c>
      <c r="Z410" s="188">
        <v>4.1934140920037019E-3</v>
      </c>
      <c r="AA410" s="189" t="e">
        <f t="shared" si="26"/>
        <v>#VALUE!</v>
      </c>
    </row>
    <row r="411" spans="1:27" x14ac:dyDescent="0.25">
      <c r="A411">
        <v>100100</v>
      </c>
      <c r="B411">
        <v>17031100100</v>
      </c>
      <c r="C411">
        <v>17031</v>
      </c>
      <c r="D411">
        <v>2010</v>
      </c>
      <c r="E411">
        <v>10</v>
      </c>
      <c r="F411">
        <v>12727393.2273477</v>
      </c>
      <c r="G411" s="45">
        <v>0.45653241317104643</v>
      </c>
      <c r="H411" s="60" t="str">
        <f>_xlfn.IFNA(
INDEX('Community Areas'!B$2:B$78,MATCH($E411,'Community Areas'!$A$2:$A$78,0)),
"")</f>
        <v>NORWOOD PARK</v>
      </c>
      <c r="I411" s="63" t="str">
        <f>_xlfn.IFNA(
INDEX('Community Areas'!C$2:C$78,MATCH($E411,'Community Areas'!$A$2:$A$78,0)),
"")</f>
        <v>2-C</v>
      </c>
      <c r="J411" s="63">
        <f>_xlfn.IFNA(
INDEX('Community Areas'!D$2:D$78,MATCH($E411,'Community Areas'!$A$2:$A$78,0)),
"")</f>
        <v>2</v>
      </c>
      <c r="K411" s="60" t="str">
        <f>_xlfn.IFNA(
INDEX('Community Areas'!E$2:E$78,MATCH($E411,'Community Areas'!$A$2:$A$78,0)),
"")</f>
        <v>NORTHWEST</v>
      </c>
      <c r="L411" s="17" t="e">
        <f>SUMIFS([1]ACSDT5Y2020.B08301_data_with_ov!AT$3:AT$1334,[1]ACSDT5Y2020.B08301_data_with_ov!$AS$3:$AS$1334,$B411)</f>
        <v>#VALUE!</v>
      </c>
      <c r="M411" s="17" t="e">
        <f>SUMIFS([1]ACSDT5Y2020.B08301_data_with_ov!AU$3:AU$1334,[1]ACSDT5Y2020.B08301_data_with_ov!$AS$3:$AS$1334,$B411)</f>
        <v>#VALUE!</v>
      </c>
      <c r="N411" s="17" t="e">
        <f>SUMIFS([1]ACSDT5Y2020.B08301_data_with_ov!AV$3:AV$1334,[1]ACSDT5Y2020.B08301_data_with_ov!$AS$3:$AS$1334,$B411)</f>
        <v>#VALUE!</v>
      </c>
      <c r="O411" s="17" t="e">
        <f>SUMIFS([1]ACSDT5Y2020.B08301_data_with_ov!AW$3:AW$1334,[1]ACSDT5Y2020.B08301_data_with_ov!$AS$3:$AS$1334,$B411)</f>
        <v>#VALUE!</v>
      </c>
      <c r="P411" s="17" t="e">
        <f>SUMIFS([1]ACSDT5Y2020.B08301_data_with_ov!AX$3:AX$1334,[1]ACSDT5Y2020.B08301_data_with_ov!$AS$3:$AS$1334,$B411)</f>
        <v>#VALUE!</v>
      </c>
      <c r="Q411" s="17" t="e">
        <f>SUMIFS([1]ACSDT5Y2020.B08301_data_with_ov!AY$3:AY$1334,[1]ACSDT5Y2020.B08301_data_with_ov!$AS$3:$AS$1334,$B411)</f>
        <v>#VALUE!</v>
      </c>
      <c r="R411" s="17" t="e">
        <f>SUMIFS([1]ACSDT5Y2020.B08301_data_with_ov!AZ$3:AZ$1334,[1]ACSDT5Y2020.B08301_data_with_ov!$AS$3:$AS$1334,$B411)</f>
        <v>#VALUE!</v>
      </c>
      <c r="S411" s="17" t="e">
        <f>SUMIFS([1]ACSDT5Y2020.B08301_data_with_ov!BA$3:BA$1334,[1]ACSDT5Y2020.B08301_data_with_ov!$AS$3:$AS$1334,$B411)</f>
        <v>#VALUE!</v>
      </c>
      <c r="T411" s="188">
        <v>0.45653241216513857</v>
      </c>
      <c r="U411" s="189" t="e">
        <f t="shared" si="27"/>
        <v>#VALUE!</v>
      </c>
      <c r="V411" s="188">
        <v>0.45653241216513857</v>
      </c>
      <c r="W411" s="189" t="e">
        <f t="shared" si="24"/>
        <v>#VALUE!</v>
      </c>
      <c r="X411" s="188">
        <v>0.45653241216513857</v>
      </c>
      <c r="Y411" s="189" t="e">
        <f t="shared" si="25"/>
        <v>#VALUE!</v>
      </c>
      <c r="Z411" s="188">
        <v>0.45653241216513857</v>
      </c>
      <c r="AA411" s="189" t="e">
        <f t="shared" si="26"/>
        <v>#VALUE!</v>
      </c>
    </row>
    <row r="412" spans="1:27" x14ac:dyDescent="0.25">
      <c r="A412">
        <v>100300</v>
      </c>
      <c r="B412">
        <v>17031100300</v>
      </c>
      <c r="C412">
        <v>17031</v>
      </c>
      <c r="D412">
        <v>2010</v>
      </c>
      <c r="E412">
        <v>10</v>
      </c>
      <c r="F412">
        <v>24612044.0925931</v>
      </c>
      <c r="G412" s="45">
        <v>0.88283560364271618</v>
      </c>
      <c r="H412" s="60" t="str">
        <f>_xlfn.IFNA(
INDEX('Community Areas'!B$2:B$78,MATCH($E412,'Community Areas'!$A$2:$A$78,0)),
"")</f>
        <v>NORWOOD PARK</v>
      </c>
      <c r="I412" s="63" t="str">
        <f>_xlfn.IFNA(
INDEX('Community Areas'!C$2:C$78,MATCH($E412,'Community Areas'!$A$2:$A$78,0)),
"")</f>
        <v>2-C</v>
      </c>
      <c r="J412" s="63">
        <f>_xlfn.IFNA(
INDEX('Community Areas'!D$2:D$78,MATCH($E412,'Community Areas'!$A$2:$A$78,0)),
"")</f>
        <v>2</v>
      </c>
      <c r="K412" s="60" t="str">
        <f>_xlfn.IFNA(
INDEX('Community Areas'!E$2:E$78,MATCH($E412,'Community Areas'!$A$2:$A$78,0)),
"")</f>
        <v>NORTHWEST</v>
      </c>
      <c r="L412" s="17" t="e">
        <f>SUMIFS([1]ACSDT5Y2020.B08301_data_with_ov!AT$3:AT$1334,[1]ACSDT5Y2020.B08301_data_with_ov!$AS$3:$AS$1334,$B412)</f>
        <v>#VALUE!</v>
      </c>
      <c r="M412" s="17" t="e">
        <f>SUMIFS([1]ACSDT5Y2020.B08301_data_with_ov!AU$3:AU$1334,[1]ACSDT5Y2020.B08301_data_with_ov!$AS$3:$AS$1334,$B412)</f>
        <v>#VALUE!</v>
      </c>
      <c r="N412" s="17" t="e">
        <f>SUMIFS([1]ACSDT5Y2020.B08301_data_with_ov!AV$3:AV$1334,[1]ACSDT5Y2020.B08301_data_with_ov!$AS$3:$AS$1334,$B412)</f>
        <v>#VALUE!</v>
      </c>
      <c r="O412" s="17" t="e">
        <f>SUMIFS([1]ACSDT5Y2020.B08301_data_with_ov!AW$3:AW$1334,[1]ACSDT5Y2020.B08301_data_with_ov!$AS$3:$AS$1334,$B412)</f>
        <v>#VALUE!</v>
      </c>
      <c r="P412" s="17" t="e">
        <f>SUMIFS([1]ACSDT5Y2020.B08301_data_with_ov!AX$3:AX$1334,[1]ACSDT5Y2020.B08301_data_with_ov!$AS$3:$AS$1334,$B412)</f>
        <v>#VALUE!</v>
      </c>
      <c r="Q412" s="17" t="e">
        <f>SUMIFS([1]ACSDT5Y2020.B08301_data_with_ov!AY$3:AY$1334,[1]ACSDT5Y2020.B08301_data_with_ov!$AS$3:$AS$1334,$B412)</f>
        <v>#VALUE!</v>
      </c>
      <c r="R412" s="17" t="e">
        <f>SUMIFS([1]ACSDT5Y2020.B08301_data_with_ov!AZ$3:AZ$1334,[1]ACSDT5Y2020.B08301_data_with_ov!$AS$3:$AS$1334,$B412)</f>
        <v>#VALUE!</v>
      </c>
      <c r="S412" s="17" t="e">
        <f>SUMIFS([1]ACSDT5Y2020.B08301_data_with_ov!BA$3:BA$1334,[1]ACSDT5Y2020.B08301_data_with_ov!$AS$3:$AS$1334,$B412)</f>
        <v>#VALUE!</v>
      </c>
      <c r="T412" s="188">
        <v>0.64321428530690072</v>
      </c>
      <c r="U412" s="189" t="e">
        <f t="shared" si="27"/>
        <v>#VALUE!</v>
      </c>
      <c r="V412" s="188">
        <v>0.64044590761607201</v>
      </c>
      <c r="W412" s="189" t="e">
        <f t="shared" si="24"/>
        <v>#VALUE!</v>
      </c>
      <c r="X412" s="188">
        <v>0.64044590761607201</v>
      </c>
      <c r="Y412" s="189" t="e">
        <f t="shared" si="25"/>
        <v>#VALUE!</v>
      </c>
      <c r="Z412" s="188">
        <v>0.64044590761607201</v>
      </c>
      <c r="AA412" s="189" t="e">
        <f t="shared" si="26"/>
        <v>#VALUE!</v>
      </c>
    </row>
    <row r="413" spans="1:27" x14ac:dyDescent="0.25">
      <c r="A413">
        <v>100600</v>
      </c>
      <c r="B413">
        <v>17031100600</v>
      </c>
      <c r="C413">
        <v>17031</v>
      </c>
      <c r="D413">
        <v>2010</v>
      </c>
      <c r="E413">
        <v>10</v>
      </c>
      <c r="F413">
        <v>13799416.5578133</v>
      </c>
      <c r="G413" s="45">
        <v>0.49498595894360148</v>
      </c>
      <c r="H413" s="60" t="str">
        <f>_xlfn.IFNA(
INDEX('Community Areas'!B$2:B$78,MATCH($E413,'Community Areas'!$A$2:$A$78,0)),
"")</f>
        <v>NORWOOD PARK</v>
      </c>
      <c r="I413" s="63" t="str">
        <f>_xlfn.IFNA(
INDEX('Community Areas'!C$2:C$78,MATCH($E413,'Community Areas'!$A$2:$A$78,0)),
"")</f>
        <v>2-C</v>
      </c>
      <c r="J413" s="63">
        <f>_xlfn.IFNA(
INDEX('Community Areas'!D$2:D$78,MATCH($E413,'Community Areas'!$A$2:$A$78,0)),
"")</f>
        <v>2</v>
      </c>
      <c r="K413" s="60" t="str">
        <f>_xlfn.IFNA(
INDEX('Community Areas'!E$2:E$78,MATCH($E413,'Community Areas'!$A$2:$A$78,0)),
"")</f>
        <v>NORTHWEST</v>
      </c>
      <c r="L413" s="17" t="e">
        <f>SUMIFS([1]ACSDT5Y2020.B08301_data_with_ov!AT$3:AT$1334,[1]ACSDT5Y2020.B08301_data_with_ov!$AS$3:$AS$1334,$B413)</f>
        <v>#VALUE!</v>
      </c>
      <c r="M413" s="17" t="e">
        <f>SUMIFS([1]ACSDT5Y2020.B08301_data_with_ov!AU$3:AU$1334,[1]ACSDT5Y2020.B08301_data_with_ov!$AS$3:$AS$1334,$B413)</f>
        <v>#VALUE!</v>
      </c>
      <c r="N413" s="17" t="e">
        <f>SUMIFS([1]ACSDT5Y2020.B08301_data_with_ov!AV$3:AV$1334,[1]ACSDT5Y2020.B08301_data_with_ov!$AS$3:$AS$1334,$B413)</f>
        <v>#VALUE!</v>
      </c>
      <c r="O413" s="17" t="e">
        <f>SUMIFS([1]ACSDT5Y2020.B08301_data_with_ov!AW$3:AW$1334,[1]ACSDT5Y2020.B08301_data_with_ov!$AS$3:$AS$1334,$B413)</f>
        <v>#VALUE!</v>
      </c>
      <c r="P413" s="17" t="e">
        <f>SUMIFS([1]ACSDT5Y2020.B08301_data_with_ov!AX$3:AX$1334,[1]ACSDT5Y2020.B08301_data_with_ov!$AS$3:$AS$1334,$B413)</f>
        <v>#VALUE!</v>
      </c>
      <c r="Q413" s="17" t="e">
        <f>SUMIFS([1]ACSDT5Y2020.B08301_data_with_ov!AY$3:AY$1334,[1]ACSDT5Y2020.B08301_data_with_ov!$AS$3:$AS$1334,$B413)</f>
        <v>#VALUE!</v>
      </c>
      <c r="R413" s="17" t="e">
        <f>SUMIFS([1]ACSDT5Y2020.B08301_data_with_ov!AZ$3:AZ$1334,[1]ACSDT5Y2020.B08301_data_with_ov!$AS$3:$AS$1334,$B413)</f>
        <v>#VALUE!</v>
      </c>
      <c r="S413" s="17" t="e">
        <f>SUMIFS([1]ACSDT5Y2020.B08301_data_with_ov!BA$3:BA$1334,[1]ACSDT5Y2020.B08301_data_with_ov!$AS$3:$AS$1334,$B413)</f>
        <v>#VALUE!</v>
      </c>
      <c r="T413" s="188">
        <v>0.11106160448185512</v>
      </c>
      <c r="U413" s="189" t="e">
        <f t="shared" si="27"/>
        <v>#VALUE!</v>
      </c>
      <c r="V413" s="188">
        <v>0.11105765295410712</v>
      </c>
      <c r="W413" s="189" t="e">
        <f t="shared" si="24"/>
        <v>#VALUE!</v>
      </c>
      <c r="X413" s="188">
        <v>0.11105765295410712</v>
      </c>
      <c r="Y413" s="189" t="e">
        <f t="shared" si="25"/>
        <v>#VALUE!</v>
      </c>
      <c r="Z413" s="188">
        <v>0.11105765295410712</v>
      </c>
      <c r="AA413" s="189" t="e">
        <f t="shared" si="26"/>
        <v>#VALUE!</v>
      </c>
    </row>
    <row r="414" spans="1:27" x14ac:dyDescent="0.25">
      <c r="A414">
        <v>100500</v>
      </c>
      <c r="B414">
        <v>17031100500</v>
      </c>
      <c r="C414">
        <v>17031</v>
      </c>
      <c r="D414">
        <v>2010</v>
      </c>
      <c r="E414">
        <v>10</v>
      </c>
      <c r="F414">
        <v>21200183.887222901</v>
      </c>
      <c r="G414" s="45">
        <v>0.76045195876459559</v>
      </c>
      <c r="H414" s="60" t="str">
        <f>_xlfn.IFNA(
INDEX('Community Areas'!B$2:B$78,MATCH($E414,'Community Areas'!$A$2:$A$78,0)),
"")</f>
        <v>NORWOOD PARK</v>
      </c>
      <c r="I414" s="63" t="str">
        <f>_xlfn.IFNA(
INDEX('Community Areas'!C$2:C$78,MATCH($E414,'Community Areas'!$A$2:$A$78,0)),
"")</f>
        <v>2-C</v>
      </c>
      <c r="J414" s="63">
        <f>_xlfn.IFNA(
INDEX('Community Areas'!D$2:D$78,MATCH($E414,'Community Areas'!$A$2:$A$78,0)),
"")</f>
        <v>2</v>
      </c>
      <c r="K414" s="60" t="str">
        <f>_xlfn.IFNA(
INDEX('Community Areas'!E$2:E$78,MATCH($E414,'Community Areas'!$A$2:$A$78,0)),
"")</f>
        <v>NORTHWEST</v>
      </c>
      <c r="L414" s="17" t="e">
        <f>SUMIFS([1]ACSDT5Y2020.B08301_data_with_ov!AT$3:AT$1334,[1]ACSDT5Y2020.B08301_data_with_ov!$AS$3:$AS$1334,$B414)</f>
        <v>#VALUE!</v>
      </c>
      <c r="M414" s="17" t="e">
        <f>SUMIFS([1]ACSDT5Y2020.B08301_data_with_ov!AU$3:AU$1334,[1]ACSDT5Y2020.B08301_data_with_ov!$AS$3:$AS$1334,$B414)</f>
        <v>#VALUE!</v>
      </c>
      <c r="N414" s="17" t="e">
        <f>SUMIFS([1]ACSDT5Y2020.B08301_data_with_ov!AV$3:AV$1334,[1]ACSDT5Y2020.B08301_data_with_ov!$AS$3:$AS$1334,$B414)</f>
        <v>#VALUE!</v>
      </c>
      <c r="O414" s="17" t="e">
        <f>SUMIFS([1]ACSDT5Y2020.B08301_data_with_ov!AW$3:AW$1334,[1]ACSDT5Y2020.B08301_data_with_ov!$AS$3:$AS$1334,$B414)</f>
        <v>#VALUE!</v>
      </c>
      <c r="P414" s="17" t="e">
        <f>SUMIFS([1]ACSDT5Y2020.B08301_data_with_ov!AX$3:AX$1334,[1]ACSDT5Y2020.B08301_data_with_ov!$AS$3:$AS$1334,$B414)</f>
        <v>#VALUE!</v>
      </c>
      <c r="Q414" s="17" t="e">
        <f>SUMIFS([1]ACSDT5Y2020.B08301_data_with_ov!AY$3:AY$1334,[1]ACSDT5Y2020.B08301_data_with_ov!$AS$3:$AS$1334,$B414)</f>
        <v>#VALUE!</v>
      </c>
      <c r="R414" s="17" t="e">
        <f>SUMIFS([1]ACSDT5Y2020.B08301_data_with_ov!AZ$3:AZ$1334,[1]ACSDT5Y2020.B08301_data_with_ov!$AS$3:$AS$1334,$B414)</f>
        <v>#VALUE!</v>
      </c>
      <c r="S414" s="17" t="e">
        <f>SUMIFS([1]ACSDT5Y2020.B08301_data_with_ov!BA$3:BA$1334,[1]ACSDT5Y2020.B08301_data_with_ov!$AS$3:$AS$1334,$B414)</f>
        <v>#VALUE!</v>
      </c>
      <c r="T414" s="188">
        <v>0</v>
      </c>
      <c r="U414" s="189" t="e">
        <f t="shared" si="27"/>
        <v>#VALUE!</v>
      </c>
      <c r="V414" s="188">
        <v>0</v>
      </c>
      <c r="W414" s="189" t="e">
        <f t="shared" si="24"/>
        <v>#VALUE!</v>
      </c>
      <c r="X414" s="188">
        <v>0</v>
      </c>
      <c r="Y414" s="189" t="e">
        <f t="shared" si="25"/>
        <v>#VALUE!</v>
      </c>
      <c r="Z414" s="188">
        <v>0</v>
      </c>
      <c r="AA414" s="189" t="e">
        <f t="shared" si="26"/>
        <v>#VALUE!</v>
      </c>
    </row>
    <row r="415" spans="1:27" x14ac:dyDescent="0.25">
      <c r="A415">
        <v>81500</v>
      </c>
      <c r="B415">
        <v>17031081500</v>
      </c>
      <c r="C415">
        <v>17031</v>
      </c>
      <c r="D415">
        <v>2010</v>
      </c>
      <c r="E415">
        <v>8</v>
      </c>
      <c r="F415">
        <v>3238174.8392809001</v>
      </c>
      <c r="G415" s="45">
        <v>0.1161535396321489</v>
      </c>
      <c r="H415" s="60" t="str">
        <f>_xlfn.IFNA(
INDEX('Community Areas'!B$2:B$78,MATCH($E415,'Community Areas'!$A$2:$A$78,0)),
"")</f>
        <v>NEAR NORTH SIDE</v>
      </c>
      <c r="I415" s="63">
        <f>_xlfn.IFNA(
INDEX('Community Areas'!C$2:C$78,MATCH($E415,'Community Areas'!$A$2:$A$78,0)),
"")</f>
        <v>7</v>
      </c>
      <c r="J415" s="63">
        <f>_xlfn.IFNA(
INDEX('Community Areas'!D$2:D$78,MATCH($E415,'Community Areas'!$A$2:$A$78,0)),
"")</f>
        <v>7</v>
      </c>
      <c r="K415" s="60" t="str">
        <f>_xlfn.IFNA(
INDEX('Community Areas'!E$2:E$78,MATCH($E415,'Community Areas'!$A$2:$A$78,0)),
"")</f>
        <v>CENTRAL</v>
      </c>
      <c r="L415" s="17" t="e">
        <f>SUMIFS([1]ACSDT5Y2020.B08301_data_with_ov!AT$3:AT$1334,[1]ACSDT5Y2020.B08301_data_with_ov!$AS$3:$AS$1334,$B415)</f>
        <v>#VALUE!</v>
      </c>
      <c r="M415" s="17" t="e">
        <f>SUMIFS([1]ACSDT5Y2020.B08301_data_with_ov!AU$3:AU$1334,[1]ACSDT5Y2020.B08301_data_with_ov!$AS$3:$AS$1334,$B415)</f>
        <v>#VALUE!</v>
      </c>
      <c r="N415" s="17" t="e">
        <f>SUMIFS([1]ACSDT5Y2020.B08301_data_with_ov!AV$3:AV$1334,[1]ACSDT5Y2020.B08301_data_with_ov!$AS$3:$AS$1334,$B415)</f>
        <v>#VALUE!</v>
      </c>
      <c r="O415" s="17" t="e">
        <f>SUMIFS([1]ACSDT5Y2020.B08301_data_with_ov!AW$3:AW$1334,[1]ACSDT5Y2020.B08301_data_with_ov!$AS$3:$AS$1334,$B415)</f>
        <v>#VALUE!</v>
      </c>
      <c r="P415" s="17" t="e">
        <f>SUMIFS([1]ACSDT5Y2020.B08301_data_with_ov!AX$3:AX$1334,[1]ACSDT5Y2020.B08301_data_with_ov!$AS$3:$AS$1334,$B415)</f>
        <v>#VALUE!</v>
      </c>
      <c r="Q415" s="17" t="e">
        <f>SUMIFS([1]ACSDT5Y2020.B08301_data_with_ov!AY$3:AY$1334,[1]ACSDT5Y2020.B08301_data_with_ov!$AS$3:$AS$1334,$B415)</f>
        <v>#VALUE!</v>
      </c>
      <c r="R415" s="17" t="e">
        <f>SUMIFS([1]ACSDT5Y2020.B08301_data_with_ov!AZ$3:AZ$1334,[1]ACSDT5Y2020.B08301_data_with_ov!$AS$3:$AS$1334,$B415)</f>
        <v>#VALUE!</v>
      </c>
      <c r="S415" s="17" t="e">
        <f>SUMIFS([1]ACSDT5Y2020.B08301_data_with_ov!BA$3:BA$1334,[1]ACSDT5Y2020.B08301_data_with_ov!$AS$3:$AS$1334,$B415)</f>
        <v>#VALUE!</v>
      </c>
      <c r="T415" s="188">
        <v>0.11615353845627546</v>
      </c>
      <c r="U415" s="189" t="e">
        <f t="shared" si="27"/>
        <v>#VALUE!</v>
      </c>
      <c r="V415" s="188">
        <v>0.11615353845627546</v>
      </c>
      <c r="W415" s="189" t="e">
        <f t="shared" si="24"/>
        <v>#VALUE!</v>
      </c>
      <c r="X415" s="188">
        <v>0.11615353845627546</v>
      </c>
      <c r="Y415" s="189" t="e">
        <f t="shared" si="25"/>
        <v>#VALUE!</v>
      </c>
      <c r="Z415" s="188">
        <v>0.11615353845627546</v>
      </c>
      <c r="AA415" s="189" t="e">
        <f t="shared" si="26"/>
        <v>#VALUE!</v>
      </c>
    </row>
    <row r="416" spans="1:27" x14ac:dyDescent="0.25">
      <c r="A416">
        <v>842200</v>
      </c>
      <c r="B416">
        <v>17031842200</v>
      </c>
      <c r="C416">
        <v>17031</v>
      </c>
      <c r="D416">
        <v>2010</v>
      </c>
      <c r="E416">
        <v>8</v>
      </c>
      <c r="F416">
        <v>16881208.933193799</v>
      </c>
      <c r="G416" s="45">
        <v>0.60553004954351031</v>
      </c>
      <c r="H416" s="60" t="str">
        <f>_xlfn.IFNA(
INDEX('Community Areas'!B$2:B$78,MATCH($E416,'Community Areas'!$A$2:$A$78,0)),
"")</f>
        <v>NEAR NORTH SIDE</v>
      </c>
      <c r="I416" s="63">
        <f>_xlfn.IFNA(
INDEX('Community Areas'!C$2:C$78,MATCH($E416,'Community Areas'!$A$2:$A$78,0)),
"")</f>
        <v>7</v>
      </c>
      <c r="J416" s="63">
        <f>_xlfn.IFNA(
INDEX('Community Areas'!D$2:D$78,MATCH($E416,'Community Areas'!$A$2:$A$78,0)),
"")</f>
        <v>7</v>
      </c>
      <c r="K416" s="60" t="str">
        <f>_xlfn.IFNA(
INDEX('Community Areas'!E$2:E$78,MATCH($E416,'Community Areas'!$A$2:$A$78,0)),
"")</f>
        <v>CENTRAL</v>
      </c>
      <c r="L416" s="17" t="e">
        <f>SUMIFS([1]ACSDT5Y2020.B08301_data_with_ov!AT$3:AT$1334,[1]ACSDT5Y2020.B08301_data_with_ov!$AS$3:$AS$1334,$B416)</f>
        <v>#VALUE!</v>
      </c>
      <c r="M416" s="17" t="e">
        <f>SUMIFS([1]ACSDT5Y2020.B08301_data_with_ov!AU$3:AU$1334,[1]ACSDT5Y2020.B08301_data_with_ov!$AS$3:$AS$1334,$B416)</f>
        <v>#VALUE!</v>
      </c>
      <c r="N416" s="17" t="e">
        <f>SUMIFS([1]ACSDT5Y2020.B08301_data_with_ov!AV$3:AV$1334,[1]ACSDT5Y2020.B08301_data_with_ov!$AS$3:$AS$1334,$B416)</f>
        <v>#VALUE!</v>
      </c>
      <c r="O416" s="17" t="e">
        <f>SUMIFS([1]ACSDT5Y2020.B08301_data_with_ov!AW$3:AW$1334,[1]ACSDT5Y2020.B08301_data_with_ov!$AS$3:$AS$1334,$B416)</f>
        <v>#VALUE!</v>
      </c>
      <c r="P416" s="17" t="e">
        <f>SUMIFS([1]ACSDT5Y2020.B08301_data_with_ov!AX$3:AX$1334,[1]ACSDT5Y2020.B08301_data_with_ov!$AS$3:$AS$1334,$B416)</f>
        <v>#VALUE!</v>
      </c>
      <c r="Q416" s="17" t="e">
        <f>SUMIFS([1]ACSDT5Y2020.B08301_data_with_ov!AY$3:AY$1334,[1]ACSDT5Y2020.B08301_data_with_ov!$AS$3:$AS$1334,$B416)</f>
        <v>#VALUE!</v>
      </c>
      <c r="R416" s="17" t="e">
        <f>SUMIFS([1]ACSDT5Y2020.B08301_data_with_ov!AZ$3:AZ$1334,[1]ACSDT5Y2020.B08301_data_with_ov!$AS$3:$AS$1334,$B416)</f>
        <v>#VALUE!</v>
      </c>
      <c r="S416" s="17" t="e">
        <f>SUMIFS([1]ACSDT5Y2020.B08301_data_with_ov!BA$3:BA$1334,[1]ACSDT5Y2020.B08301_data_with_ov!$AS$3:$AS$1334,$B416)</f>
        <v>#VALUE!</v>
      </c>
      <c r="T416" s="188">
        <v>0.6055300478794049</v>
      </c>
      <c r="U416" s="189" t="e">
        <f t="shared" si="27"/>
        <v>#VALUE!</v>
      </c>
      <c r="V416" s="188">
        <v>0.6055300478794049</v>
      </c>
      <c r="W416" s="189" t="e">
        <f t="shared" si="24"/>
        <v>#VALUE!</v>
      </c>
      <c r="X416" s="188">
        <v>0.6055300478794049</v>
      </c>
      <c r="Y416" s="189" t="e">
        <f t="shared" si="25"/>
        <v>#VALUE!</v>
      </c>
      <c r="Z416" s="188">
        <v>0.6055300478794049</v>
      </c>
      <c r="AA416" s="189" t="e">
        <f t="shared" si="26"/>
        <v>#VALUE!</v>
      </c>
    </row>
    <row r="417" spans="1:27" x14ac:dyDescent="0.25">
      <c r="A417">
        <v>80202</v>
      </c>
      <c r="B417">
        <v>17031080202</v>
      </c>
      <c r="C417">
        <v>17031</v>
      </c>
      <c r="D417">
        <v>2010</v>
      </c>
      <c r="E417">
        <v>8</v>
      </c>
      <c r="F417">
        <v>1639913.6963164399</v>
      </c>
      <c r="G417" s="45">
        <v>5.8823809699137683E-2</v>
      </c>
      <c r="H417" s="60" t="str">
        <f>_xlfn.IFNA(
INDEX('Community Areas'!B$2:B$78,MATCH($E417,'Community Areas'!$A$2:$A$78,0)),
"")</f>
        <v>NEAR NORTH SIDE</v>
      </c>
      <c r="I417" s="63">
        <f>_xlfn.IFNA(
INDEX('Community Areas'!C$2:C$78,MATCH($E417,'Community Areas'!$A$2:$A$78,0)),
"")</f>
        <v>7</v>
      </c>
      <c r="J417" s="63">
        <f>_xlfn.IFNA(
INDEX('Community Areas'!D$2:D$78,MATCH($E417,'Community Areas'!$A$2:$A$78,0)),
"")</f>
        <v>7</v>
      </c>
      <c r="K417" s="60" t="str">
        <f>_xlfn.IFNA(
INDEX('Community Areas'!E$2:E$78,MATCH($E417,'Community Areas'!$A$2:$A$78,0)),
"")</f>
        <v>CENTRAL</v>
      </c>
      <c r="L417" s="17" t="e">
        <f>SUMIFS([1]ACSDT5Y2020.B08301_data_with_ov!AT$3:AT$1334,[1]ACSDT5Y2020.B08301_data_with_ov!$AS$3:$AS$1334,$B417)</f>
        <v>#VALUE!</v>
      </c>
      <c r="M417" s="17" t="e">
        <f>SUMIFS([1]ACSDT5Y2020.B08301_data_with_ov!AU$3:AU$1334,[1]ACSDT5Y2020.B08301_data_with_ov!$AS$3:$AS$1334,$B417)</f>
        <v>#VALUE!</v>
      </c>
      <c r="N417" s="17" t="e">
        <f>SUMIFS([1]ACSDT5Y2020.B08301_data_with_ov!AV$3:AV$1334,[1]ACSDT5Y2020.B08301_data_with_ov!$AS$3:$AS$1334,$B417)</f>
        <v>#VALUE!</v>
      </c>
      <c r="O417" s="17" t="e">
        <f>SUMIFS([1]ACSDT5Y2020.B08301_data_with_ov!AW$3:AW$1334,[1]ACSDT5Y2020.B08301_data_with_ov!$AS$3:$AS$1334,$B417)</f>
        <v>#VALUE!</v>
      </c>
      <c r="P417" s="17" t="e">
        <f>SUMIFS([1]ACSDT5Y2020.B08301_data_with_ov!AX$3:AX$1334,[1]ACSDT5Y2020.B08301_data_with_ov!$AS$3:$AS$1334,$B417)</f>
        <v>#VALUE!</v>
      </c>
      <c r="Q417" s="17" t="e">
        <f>SUMIFS([1]ACSDT5Y2020.B08301_data_with_ov!AY$3:AY$1334,[1]ACSDT5Y2020.B08301_data_with_ov!$AS$3:$AS$1334,$B417)</f>
        <v>#VALUE!</v>
      </c>
      <c r="R417" s="17" t="e">
        <f>SUMIFS([1]ACSDT5Y2020.B08301_data_with_ov!AZ$3:AZ$1334,[1]ACSDT5Y2020.B08301_data_with_ov!$AS$3:$AS$1334,$B417)</f>
        <v>#VALUE!</v>
      </c>
      <c r="S417" s="17" t="e">
        <f>SUMIFS([1]ACSDT5Y2020.B08301_data_with_ov!BA$3:BA$1334,[1]ACSDT5Y2020.B08301_data_with_ov!$AS$3:$AS$1334,$B417)</f>
        <v>#VALUE!</v>
      </c>
      <c r="T417" s="188">
        <v>5.8823808518451204E-2</v>
      </c>
      <c r="U417" s="189" t="e">
        <f t="shared" si="27"/>
        <v>#VALUE!</v>
      </c>
      <c r="V417" s="188">
        <v>5.8823808518451204E-2</v>
      </c>
      <c r="W417" s="189" t="e">
        <f t="shared" si="24"/>
        <v>#VALUE!</v>
      </c>
      <c r="X417" s="188">
        <v>5.8823808518451204E-2</v>
      </c>
      <c r="Y417" s="189" t="e">
        <f t="shared" si="25"/>
        <v>#VALUE!</v>
      </c>
      <c r="Z417" s="188">
        <v>5.8823808518451204E-2</v>
      </c>
      <c r="AA417" s="189" t="e">
        <f t="shared" si="26"/>
        <v>#VALUE!</v>
      </c>
    </row>
    <row r="418" spans="1:27" x14ac:dyDescent="0.25">
      <c r="A418">
        <v>80201</v>
      </c>
      <c r="B418">
        <v>17031080201</v>
      </c>
      <c r="C418">
        <v>17031</v>
      </c>
      <c r="D418">
        <v>2010</v>
      </c>
      <c r="E418">
        <v>8</v>
      </c>
      <c r="F418">
        <v>1432669.88891239</v>
      </c>
      <c r="G418" s="45">
        <v>5.1389961006097551E-2</v>
      </c>
      <c r="H418" s="60" t="str">
        <f>_xlfn.IFNA(
INDEX('Community Areas'!B$2:B$78,MATCH($E418,'Community Areas'!$A$2:$A$78,0)),
"")</f>
        <v>NEAR NORTH SIDE</v>
      </c>
      <c r="I418" s="63">
        <f>_xlfn.IFNA(
INDEX('Community Areas'!C$2:C$78,MATCH($E418,'Community Areas'!$A$2:$A$78,0)),
"")</f>
        <v>7</v>
      </c>
      <c r="J418" s="63">
        <f>_xlfn.IFNA(
INDEX('Community Areas'!D$2:D$78,MATCH($E418,'Community Areas'!$A$2:$A$78,0)),
"")</f>
        <v>7</v>
      </c>
      <c r="K418" s="60" t="str">
        <f>_xlfn.IFNA(
INDEX('Community Areas'!E$2:E$78,MATCH($E418,'Community Areas'!$A$2:$A$78,0)),
"")</f>
        <v>CENTRAL</v>
      </c>
      <c r="L418" s="17" t="e">
        <f>SUMIFS([1]ACSDT5Y2020.B08301_data_with_ov!AT$3:AT$1334,[1]ACSDT5Y2020.B08301_data_with_ov!$AS$3:$AS$1334,$B418)</f>
        <v>#VALUE!</v>
      </c>
      <c r="M418" s="17" t="e">
        <f>SUMIFS([1]ACSDT5Y2020.B08301_data_with_ov!AU$3:AU$1334,[1]ACSDT5Y2020.B08301_data_with_ov!$AS$3:$AS$1334,$B418)</f>
        <v>#VALUE!</v>
      </c>
      <c r="N418" s="17" t="e">
        <f>SUMIFS([1]ACSDT5Y2020.B08301_data_with_ov!AV$3:AV$1334,[1]ACSDT5Y2020.B08301_data_with_ov!$AS$3:$AS$1334,$B418)</f>
        <v>#VALUE!</v>
      </c>
      <c r="O418" s="17" t="e">
        <f>SUMIFS([1]ACSDT5Y2020.B08301_data_with_ov!AW$3:AW$1334,[1]ACSDT5Y2020.B08301_data_with_ov!$AS$3:$AS$1334,$B418)</f>
        <v>#VALUE!</v>
      </c>
      <c r="P418" s="17" t="e">
        <f>SUMIFS([1]ACSDT5Y2020.B08301_data_with_ov!AX$3:AX$1334,[1]ACSDT5Y2020.B08301_data_with_ov!$AS$3:$AS$1334,$B418)</f>
        <v>#VALUE!</v>
      </c>
      <c r="Q418" s="17" t="e">
        <f>SUMIFS([1]ACSDT5Y2020.B08301_data_with_ov!AY$3:AY$1334,[1]ACSDT5Y2020.B08301_data_with_ov!$AS$3:$AS$1334,$B418)</f>
        <v>#VALUE!</v>
      </c>
      <c r="R418" s="17" t="e">
        <f>SUMIFS([1]ACSDT5Y2020.B08301_data_with_ov!AZ$3:AZ$1334,[1]ACSDT5Y2020.B08301_data_with_ov!$AS$3:$AS$1334,$B418)</f>
        <v>#VALUE!</v>
      </c>
      <c r="S418" s="17" t="e">
        <f>SUMIFS([1]ACSDT5Y2020.B08301_data_with_ov!BA$3:BA$1334,[1]ACSDT5Y2020.B08301_data_with_ov!$AS$3:$AS$1334,$B418)</f>
        <v>#VALUE!</v>
      </c>
      <c r="T418" s="188">
        <v>5.1389959566657699E-2</v>
      </c>
      <c r="U418" s="189" t="e">
        <f t="shared" si="27"/>
        <v>#VALUE!</v>
      </c>
      <c r="V418" s="188">
        <v>5.1389959566657699E-2</v>
      </c>
      <c r="W418" s="189" t="e">
        <f t="shared" si="24"/>
        <v>#VALUE!</v>
      </c>
      <c r="X418" s="188">
        <v>5.1389959566657699E-2</v>
      </c>
      <c r="Y418" s="189" t="e">
        <f t="shared" si="25"/>
        <v>#VALUE!</v>
      </c>
      <c r="Z418" s="188">
        <v>5.1389959566657699E-2</v>
      </c>
      <c r="AA418" s="189" t="e">
        <f t="shared" si="26"/>
        <v>#VALUE!</v>
      </c>
    </row>
    <row r="419" spans="1:27" x14ac:dyDescent="0.25">
      <c r="A419">
        <v>81202</v>
      </c>
      <c r="B419">
        <v>17031081202</v>
      </c>
      <c r="C419">
        <v>17031</v>
      </c>
      <c r="D419">
        <v>2010</v>
      </c>
      <c r="E419">
        <v>8</v>
      </c>
      <c r="F419">
        <v>2290766.4349548002</v>
      </c>
      <c r="G419" s="45">
        <v>8.2169939270359857E-2</v>
      </c>
      <c r="H419" s="60" t="str">
        <f>_xlfn.IFNA(
INDEX('Community Areas'!B$2:B$78,MATCH($E419,'Community Areas'!$A$2:$A$78,0)),
"")</f>
        <v>NEAR NORTH SIDE</v>
      </c>
      <c r="I419" s="63">
        <f>_xlfn.IFNA(
INDEX('Community Areas'!C$2:C$78,MATCH($E419,'Community Areas'!$A$2:$A$78,0)),
"")</f>
        <v>7</v>
      </c>
      <c r="J419" s="63">
        <f>_xlfn.IFNA(
INDEX('Community Areas'!D$2:D$78,MATCH($E419,'Community Areas'!$A$2:$A$78,0)),
"")</f>
        <v>7</v>
      </c>
      <c r="K419" s="60" t="str">
        <f>_xlfn.IFNA(
INDEX('Community Areas'!E$2:E$78,MATCH($E419,'Community Areas'!$A$2:$A$78,0)),
"")</f>
        <v>CENTRAL</v>
      </c>
      <c r="L419" s="17" t="e">
        <f>SUMIFS([1]ACSDT5Y2020.B08301_data_with_ov!AT$3:AT$1334,[1]ACSDT5Y2020.B08301_data_with_ov!$AS$3:$AS$1334,$B419)</f>
        <v>#VALUE!</v>
      </c>
      <c r="M419" s="17" t="e">
        <f>SUMIFS([1]ACSDT5Y2020.B08301_data_with_ov!AU$3:AU$1334,[1]ACSDT5Y2020.B08301_data_with_ov!$AS$3:$AS$1334,$B419)</f>
        <v>#VALUE!</v>
      </c>
      <c r="N419" s="17" t="e">
        <f>SUMIFS([1]ACSDT5Y2020.B08301_data_with_ov!AV$3:AV$1334,[1]ACSDT5Y2020.B08301_data_with_ov!$AS$3:$AS$1334,$B419)</f>
        <v>#VALUE!</v>
      </c>
      <c r="O419" s="17" t="e">
        <f>SUMIFS([1]ACSDT5Y2020.B08301_data_with_ov!AW$3:AW$1334,[1]ACSDT5Y2020.B08301_data_with_ov!$AS$3:$AS$1334,$B419)</f>
        <v>#VALUE!</v>
      </c>
      <c r="P419" s="17" t="e">
        <f>SUMIFS([1]ACSDT5Y2020.B08301_data_with_ov!AX$3:AX$1334,[1]ACSDT5Y2020.B08301_data_with_ov!$AS$3:$AS$1334,$B419)</f>
        <v>#VALUE!</v>
      </c>
      <c r="Q419" s="17" t="e">
        <f>SUMIFS([1]ACSDT5Y2020.B08301_data_with_ov!AY$3:AY$1334,[1]ACSDT5Y2020.B08301_data_with_ov!$AS$3:$AS$1334,$B419)</f>
        <v>#VALUE!</v>
      </c>
      <c r="R419" s="17" t="e">
        <f>SUMIFS([1]ACSDT5Y2020.B08301_data_with_ov!AZ$3:AZ$1334,[1]ACSDT5Y2020.B08301_data_with_ov!$AS$3:$AS$1334,$B419)</f>
        <v>#VALUE!</v>
      </c>
      <c r="S419" s="17" t="e">
        <f>SUMIFS([1]ACSDT5Y2020.B08301_data_with_ov!BA$3:BA$1334,[1]ACSDT5Y2020.B08301_data_with_ov!$AS$3:$AS$1334,$B419)</f>
        <v>#VALUE!</v>
      </c>
      <c r="T419" s="188">
        <v>8.2169936285969428E-2</v>
      </c>
      <c r="U419" s="189" t="e">
        <f t="shared" si="27"/>
        <v>#VALUE!</v>
      </c>
      <c r="V419" s="188">
        <v>8.2169936285969428E-2</v>
      </c>
      <c r="W419" s="189" t="e">
        <f t="shared" si="24"/>
        <v>#VALUE!</v>
      </c>
      <c r="X419" s="188">
        <v>8.2169936285969428E-2</v>
      </c>
      <c r="Y419" s="189" t="e">
        <f t="shared" si="25"/>
        <v>#VALUE!</v>
      </c>
      <c r="Z419" s="188">
        <v>8.2169936285969428E-2</v>
      </c>
      <c r="AA419" s="189" t="e">
        <f t="shared" si="26"/>
        <v>#VALUE!</v>
      </c>
    </row>
    <row r="420" spans="1:27" x14ac:dyDescent="0.25">
      <c r="A420">
        <v>81600</v>
      </c>
      <c r="B420">
        <v>17031081600</v>
      </c>
      <c r="C420">
        <v>17031</v>
      </c>
      <c r="D420">
        <v>2010</v>
      </c>
      <c r="E420">
        <v>8</v>
      </c>
      <c r="F420">
        <v>1440447.9026999699</v>
      </c>
      <c r="G420" s="45">
        <v>5.1668958860622199E-2</v>
      </c>
      <c r="H420" s="60" t="str">
        <f>_xlfn.IFNA(
INDEX('Community Areas'!B$2:B$78,MATCH($E420,'Community Areas'!$A$2:$A$78,0)),
"")</f>
        <v>NEAR NORTH SIDE</v>
      </c>
      <c r="I420" s="63">
        <f>_xlfn.IFNA(
INDEX('Community Areas'!C$2:C$78,MATCH($E420,'Community Areas'!$A$2:$A$78,0)),
"")</f>
        <v>7</v>
      </c>
      <c r="J420" s="63">
        <f>_xlfn.IFNA(
INDEX('Community Areas'!D$2:D$78,MATCH($E420,'Community Areas'!$A$2:$A$78,0)),
"")</f>
        <v>7</v>
      </c>
      <c r="K420" s="60" t="str">
        <f>_xlfn.IFNA(
INDEX('Community Areas'!E$2:E$78,MATCH($E420,'Community Areas'!$A$2:$A$78,0)),
"")</f>
        <v>CENTRAL</v>
      </c>
      <c r="L420" s="17" t="e">
        <f>SUMIFS([1]ACSDT5Y2020.B08301_data_with_ov!AT$3:AT$1334,[1]ACSDT5Y2020.B08301_data_with_ov!$AS$3:$AS$1334,$B420)</f>
        <v>#VALUE!</v>
      </c>
      <c r="M420" s="17" t="e">
        <f>SUMIFS([1]ACSDT5Y2020.B08301_data_with_ov!AU$3:AU$1334,[1]ACSDT5Y2020.B08301_data_with_ov!$AS$3:$AS$1334,$B420)</f>
        <v>#VALUE!</v>
      </c>
      <c r="N420" s="17" t="e">
        <f>SUMIFS([1]ACSDT5Y2020.B08301_data_with_ov!AV$3:AV$1334,[1]ACSDT5Y2020.B08301_data_with_ov!$AS$3:$AS$1334,$B420)</f>
        <v>#VALUE!</v>
      </c>
      <c r="O420" s="17" t="e">
        <f>SUMIFS([1]ACSDT5Y2020.B08301_data_with_ov!AW$3:AW$1334,[1]ACSDT5Y2020.B08301_data_with_ov!$AS$3:$AS$1334,$B420)</f>
        <v>#VALUE!</v>
      </c>
      <c r="P420" s="17" t="e">
        <f>SUMIFS([1]ACSDT5Y2020.B08301_data_with_ov!AX$3:AX$1334,[1]ACSDT5Y2020.B08301_data_with_ov!$AS$3:$AS$1334,$B420)</f>
        <v>#VALUE!</v>
      </c>
      <c r="Q420" s="17" t="e">
        <f>SUMIFS([1]ACSDT5Y2020.B08301_data_with_ov!AY$3:AY$1334,[1]ACSDT5Y2020.B08301_data_with_ov!$AS$3:$AS$1334,$B420)</f>
        <v>#VALUE!</v>
      </c>
      <c r="R420" s="17" t="e">
        <f>SUMIFS([1]ACSDT5Y2020.B08301_data_with_ov!AZ$3:AZ$1334,[1]ACSDT5Y2020.B08301_data_with_ov!$AS$3:$AS$1334,$B420)</f>
        <v>#VALUE!</v>
      </c>
      <c r="S420" s="17" t="e">
        <f>SUMIFS([1]ACSDT5Y2020.B08301_data_with_ov!BA$3:BA$1334,[1]ACSDT5Y2020.B08301_data_with_ov!$AS$3:$AS$1334,$B420)</f>
        <v>#VALUE!</v>
      </c>
      <c r="T420" s="188">
        <v>5.1668958502061456E-2</v>
      </c>
      <c r="U420" s="189" t="e">
        <f t="shared" si="27"/>
        <v>#VALUE!</v>
      </c>
      <c r="V420" s="188">
        <v>5.1668958502061456E-2</v>
      </c>
      <c r="W420" s="189" t="e">
        <f t="shared" si="24"/>
        <v>#VALUE!</v>
      </c>
      <c r="X420" s="188">
        <v>5.1668958502061456E-2</v>
      </c>
      <c r="Y420" s="189" t="e">
        <f t="shared" si="25"/>
        <v>#VALUE!</v>
      </c>
      <c r="Z420" s="188">
        <v>5.1668958502061456E-2</v>
      </c>
      <c r="AA420" s="189" t="e">
        <f t="shared" si="26"/>
        <v>#VALUE!</v>
      </c>
    </row>
    <row r="421" spans="1:27" x14ac:dyDescent="0.25">
      <c r="A421">
        <v>81401</v>
      </c>
      <c r="B421">
        <v>17031081401</v>
      </c>
      <c r="C421">
        <v>17031</v>
      </c>
      <c r="D421">
        <v>2010</v>
      </c>
      <c r="E421">
        <v>8</v>
      </c>
      <c r="F421">
        <v>3037767.7074859999</v>
      </c>
      <c r="G421" s="45">
        <v>0.10896492293266472</v>
      </c>
      <c r="H421" s="60" t="str">
        <f>_xlfn.IFNA(
INDEX('Community Areas'!B$2:B$78,MATCH($E421,'Community Areas'!$A$2:$A$78,0)),
"")</f>
        <v>NEAR NORTH SIDE</v>
      </c>
      <c r="I421" s="63">
        <f>_xlfn.IFNA(
INDEX('Community Areas'!C$2:C$78,MATCH($E421,'Community Areas'!$A$2:$A$78,0)),
"")</f>
        <v>7</v>
      </c>
      <c r="J421" s="63">
        <f>_xlfn.IFNA(
INDEX('Community Areas'!D$2:D$78,MATCH($E421,'Community Areas'!$A$2:$A$78,0)),
"")</f>
        <v>7</v>
      </c>
      <c r="K421" s="60" t="str">
        <f>_xlfn.IFNA(
INDEX('Community Areas'!E$2:E$78,MATCH($E421,'Community Areas'!$A$2:$A$78,0)),
"")</f>
        <v>CENTRAL</v>
      </c>
      <c r="L421" s="17" t="e">
        <f>SUMIFS([1]ACSDT5Y2020.B08301_data_with_ov!AT$3:AT$1334,[1]ACSDT5Y2020.B08301_data_with_ov!$AS$3:$AS$1334,$B421)</f>
        <v>#VALUE!</v>
      </c>
      <c r="M421" s="17" t="e">
        <f>SUMIFS([1]ACSDT5Y2020.B08301_data_with_ov!AU$3:AU$1334,[1]ACSDT5Y2020.B08301_data_with_ov!$AS$3:$AS$1334,$B421)</f>
        <v>#VALUE!</v>
      </c>
      <c r="N421" s="17" t="e">
        <f>SUMIFS([1]ACSDT5Y2020.B08301_data_with_ov!AV$3:AV$1334,[1]ACSDT5Y2020.B08301_data_with_ov!$AS$3:$AS$1334,$B421)</f>
        <v>#VALUE!</v>
      </c>
      <c r="O421" s="17" t="e">
        <f>SUMIFS([1]ACSDT5Y2020.B08301_data_with_ov!AW$3:AW$1334,[1]ACSDT5Y2020.B08301_data_with_ov!$AS$3:$AS$1334,$B421)</f>
        <v>#VALUE!</v>
      </c>
      <c r="P421" s="17" t="e">
        <f>SUMIFS([1]ACSDT5Y2020.B08301_data_with_ov!AX$3:AX$1334,[1]ACSDT5Y2020.B08301_data_with_ov!$AS$3:$AS$1334,$B421)</f>
        <v>#VALUE!</v>
      </c>
      <c r="Q421" s="17" t="e">
        <f>SUMIFS([1]ACSDT5Y2020.B08301_data_with_ov!AY$3:AY$1334,[1]ACSDT5Y2020.B08301_data_with_ov!$AS$3:$AS$1334,$B421)</f>
        <v>#VALUE!</v>
      </c>
      <c r="R421" s="17" t="e">
        <f>SUMIFS([1]ACSDT5Y2020.B08301_data_with_ov!AZ$3:AZ$1334,[1]ACSDT5Y2020.B08301_data_with_ov!$AS$3:$AS$1334,$B421)</f>
        <v>#VALUE!</v>
      </c>
      <c r="S421" s="17" t="e">
        <f>SUMIFS([1]ACSDT5Y2020.B08301_data_with_ov!BA$3:BA$1334,[1]ACSDT5Y2020.B08301_data_with_ov!$AS$3:$AS$1334,$B421)</f>
        <v>#VALUE!</v>
      </c>
      <c r="T421" s="188">
        <v>0.10896491888590737</v>
      </c>
      <c r="U421" s="189" t="e">
        <f t="shared" si="27"/>
        <v>#VALUE!</v>
      </c>
      <c r="V421" s="188">
        <v>0.10896491888590737</v>
      </c>
      <c r="W421" s="189" t="e">
        <f t="shared" si="24"/>
        <v>#VALUE!</v>
      </c>
      <c r="X421" s="188">
        <v>0.10896491888590737</v>
      </c>
      <c r="Y421" s="189" t="e">
        <f t="shared" si="25"/>
        <v>#VALUE!</v>
      </c>
      <c r="Z421" s="188">
        <v>0.10896491888590737</v>
      </c>
      <c r="AA421" s="189" t="e">
        <f t="shared" si="26"/>
        <v>#VALUE!</v>
      </c>
    </row>
    <row r="422" spans="1:27" x14ac:dyDescent="0.25">
      <c r="A422">
        <v>80100</v>
      </c>
      <c r="B422">
        <v>17031080100</v>
      </c>
      <c r="C422">
        <v>17031</v>
      </c>
      <c r="D422">
        <v>2010</v>
      </c>
      <c r="E422">
        <v>8</v>
      </c>
      <c r="F422">
        <v>3062233.7871721201</v>
      </c>
      <c r="G422" s="45">
        <v>0.10984252278366477</v>
      </c>
      <c r="H422" s="60" t="str">
        <f>_xlfn.IFNA(
INDEX('Community Areas'!B$2:B$78,MATCH($E422,'Community Areas'!$A$2:$A$78,0)),
"")</f>
        <v>NEAR NORTH SIDE</v>
      </c>
      <c r="I422" s="63">
        <f>_xlfn.IFNA(
INDEX('Community Areas'!C$2:C$78,MATCH($E422,'Community Areas'!$A$2:$A$78,0)),
"")</f>
        <v>7</v>
      </c>
      <c r="J422" s="63">
        <f>_xlfn.IFNA(
INDEX('Community Areas'!D$2:D$78,MATCH($E422,'Community Areas'!$A$2:$A$78,0)),
"")</f>
        <v>7</v>
      </c>
      <c r="K422" s="60" t="str">
        <f>_xlfn.IFNA(
INDEX('Community Areas'!E$2:E$78,MATCH($E422,'Community Areas'!$A$2:$A$78,0)),
"")</f>
        <v>CENTRAL</v>
      </c>
      <c r="L422" s="17" t="e">
        <f>SUMIFS([1]ACSDT5Y2020.B08301_data_with_ov!AT$3:AT$1334,[1]ACSDT5Y2020.B08301_data_with_ov!$AS$3:$AS$1334,$B422)</f>
        <v>#VALUE!</v>
      </c>
      <c r="M422" s="17" t="e">
        <f>SUMIFS([1]ACSDT5Y2020.B08301_data_with_ov!AU$3:AU$1334,[1]ACSDT5Y2020.B08301_data_with_ov!$AS$3:$AS$1334,$B422)</f>
        <v>#VALUE!</v>
      </c>
      <c r="N422" s="17" t="e">
        <f>SUMIFS([1]ACSDT5Y2020.B08301_data_with_ov!AV$3:AV$1334,[1]ACSDT5Y2020.B08301_data_with_ov!$AS$3:$AS$1334,$B422)</f>
        <v>#VALUE!</v>
      </c>
      <c r="O422" s="17" t="e">
        <f>SUMIFS([1]ACSDT5Y2020.B08301_data_with_ov!AW$3:AW$1334,[1]ACSDT5Y2020.B08301_data_with_ov!$AS$3:$AS$1334,$B422)</f>
        <v>#VALUE!</v>
      </c>
      <c r="P422" s="17" t="e">
        <f>SUMIFS([1]ACSDT5Y2020.B08301_data_with_ov!AX$3:AX$1334,[1]ACSDT5Y2020.B08301_data_with_ov!$AS$3:$AS$1334,$B422)</f>
        <v>#VALUE!</v>
      </c>
      <c r="Q422" s="17" t="e">
        <f>SUMIFS([1]ACSDT5Y2020.B08301_data_with_ov!AY$3:AY$1334,[1]ACSDT5Y2020.B08301_data_with_ov!$AS$3:$AS$1334,$B422)</f>
        <v>#VALUE!</v>
      </c>
      <c r="R422" s="17" t="e">
        <f>SUMIFS([1]ACSDT5Y2020.B08301_data_with_ov!AZ$3:AZ$1334,[1]ACSDT5Y2020.B08301_data_with_ov!$AS$3:$AS$1334,$B422)</f>
        <v>#VALUE!</v>
      </c>
      <c r="S422" s="17" t="e">
        <f>SUMIFS([1]ACSDT5Y2020.B08301_data_with_ov!BA$3:BA$1334,[1]ACSDT5Y2020.B08301_data_with_ov!$AS$3:$AS$1334,$B422)</f>
        <v>#VALUE!</v>
      </c>
      <c r="T422" s="188">
        <v>0.10984252723330859</v>
      </c>
      <c r="U422" s="189" t="e">
        <f t="shared" si="27"/>
        <v>#VALUE!</v>
      </c>
      <c r="V422" s="188">
        <v>0.10984252723330859</v>
      </c>
      <c r="W422" s="189" t="e">
        <f t="shared" si="24"/>
        <v>#VALUE!</v>
      </c>
      <c r="X422" s="188">
        <v>0.10984252723330859</v>
      </c>
      <c r="Y422" s="189" t="e">
        <f t="shared" si="25"/>
        <v>#VALUE!</v>
      </c>
      <c r="Z422" s="188">
        <v>0.10984252723330859</v>
      </c>
      <c r="AA422" s="189" t="e">
        <f t="shared" si="26"/>
        <v>#VALUE!</v>
      </c>
    </row>
    <row r="423" spans="1:27" x14ac:dyDescent="0.25">
      <c r="A423">
        <v>81700</v>
      </c>
      <c r="B423">
        <v>17031081700</v>
      </c>
      <c r="C423">
        <v>17031</v>
      </c>
      <c r="D423">
        <v>2010</v>
      </c>
      <c r="E423">
        <v>8</v>
      </c>
      <c r="F423">
        <v>4020280.8166871602</v>
      </c>
      <c r="G423" s="45">
        <v>0.14420773131482295</v>
      </c>
      <c r="H423" s="60" t="str">
        <f>_xlfn.IFNA(
INDEX('Community Areas'!B$2:B$78,MATCH($E423,'Community Areas'!$A$2:$A$78,0)),
"")</f>
        <v>NEAR NORTH SIDE</v>
      </c>
      <c r="I423" s="63">
        <f>_xlfn.IFNA(
INDEX('Community Areas'!C$2:C$78,MATCH($E423,'Community Areas'!$A$2:$A$78,0)),
"")</f>
        <v>7</v>
      </c>
      <c r="J423" s="63">
        <f>_xlfn.IFNA(
INDEX('Community Areas'!D$2:D$78,MATCH($E423,'Community Areas'!$A$2:$A$78,0)),
"")</f>
        <v>7</v>
      </c>
      <c r="K423" s="60" t="str">
        <f>_xlfn.IFNA(
INDEX('Community Areas'!E$2:E$78,MATCH($E423,'Community Areas'!$A$2:$A$78,0)),
"")</f>
        <v>CENTRAL</v>
      </c>
      <c r="L423" s="17" t="e">
        <f>SUMIFS([1]ACSDT5Y2020.B08301_data_with_ov!AT$3:AT$1334,[1]ACSDT5Y2020.B08301_data_with_ov!$AS$3:$AS$1334,$B423)</f>
        <v>#VALUE!</v>
      </c>
      <c r="M423" s="17" t="e">
        <f>SUMIFS([1]ACSDT5Y2020.B08301_data_with_ov!AU$3:AU$1334,[1]ACSDT5Y2020.B08301_data_with_ov!$AS$3:$AS$1334,$B423)</f>
        <v>#VALUE!</v>
      </c>
      <c r="N423" s="17" t="e">
        <f>SUMIFS([1]ACSDT5Y2020.B08301_data_with_ov!AV$3:AV$1334,[1]ACSDT5Y2020.B08301_data_with_ov!$AS$3:$AS$1334,$B423)</f>
        <v>#VALUE!</v>
      </c>
      <c r="O423" s="17" t="e">
        <f>SUMIFS([1]ACSDT5Y2020.B08301_data_with_ov!AW$3:AW$1334,[1]ACSDT5Y2020.B08301_data_with_ov!$AS$3:$AS$1334,$B423)</f>
        <v>#VALUE!</v>
      </c>
      <c r="P423" s="17" t="e">
        <f>SUMIFS([1]ACSDT5Y2020.B08301_data_with_ov!AX$3:AX$1334,[1]ACSDT5Y2020.B08301_data_with_ov!$AS$3:$AS$1334,$B423)</f>
        <v>#VALUE!</v>
      </c>
      <c r="Q423" s="17" t="e">
        <f>SUMIFS([1]ACSDT5Y2020.B08301_data_with_ov!AY$3:AY$1334,[1]ACSDT5Y2020.B08301_data_with_ov!$AS$3:$AS$1334,$B423)</f>
        <v>#VALUE!</v>
      </c>
      <c r="R423" s="17" t="e">
        <f>SUMIFS([1]ACSDT5Y2020.B08301_data_with_ov!AZ$3:AZ$1334,[1]ACSDT5Y2020.B08301_data_with_ov!$AS$3:$AS$1334,$B423)</f>
        <v>#VALUE!</v>
      </c>
      <c r="S423" s="17" t="e">
        <f>SUMIFS([1]ACSDT5Y2020.B08301_data_with_ov!BA$3:BA$1334,[1]ACSDT5Y2020.B08301_data_with_ov!$AS$3:$AS$1334,$B423)</f>
        <v>#VALUE!</v>
      </c>
      <c r="T423" s="188">
        <v>0.14420773570609577</v>
      </c>
      <c r="U423" s="189" t="e">
        <f t="shared" si="27"/>
        <v>#VALUE!</v>
      </c>
      <c r="V423" s="188">
        <v>0.14420773570609577</v>
      </c>
      <c r="W423" s="189" t="e">
        <f t="shared" si="24"/>
        <v>#VALUE!</v>
      </c>
      <c r="X423" s="188">
        <v>0.14420773570609577</v>
      </c>
      <c r="Y423" s="189" t="e">
        <f t="shared" si="25"/>
        <v>#VALUE!</v>
      </c>
      <c r="Z423" s="188">
        <v>0.14420773570609577</v>
      </c>
      <c r="AA423" s="189" t="e">
        <f t="shared" si="26"/>
        <v>#VALUE!</v>
      </c>
    </row>
    <row r="424" spans="1:27" x14ac:dyDescent="0.25">
      <c r="A424">
        <v>81201</v>
      </c>
      <c r="B424">
        <v>17031081201</v>
      </c>
      <c r="C424">
        <v>17031</v>
      </c>
      <c r="D424">
        <v>2010</v>
      </c>
      <c r="E424">
        <v>8</v>
      </c>
      <c r="F424">
        <v>1994468.65934495</v>
      </c>
      <c r="G424" s="45">
        <v>7.1541719013463831E-2</v>
      </c>
      <c r="H424" s="60" t="str">
        <f>_xlfn.IFNA(
INDEX('Community Areas'!B$2:B$78,MATCH($E424,'Community Areas'!$A$2:$A$78,0)),
"")</f>
        <v>NEAR NORTH SIDE</v>
      </c>
      <c r="I424" s="63">
        <f>_xlfn.IFNA(
INDEX('Community Areas'!C$2:C$78,MATCH($E424,'Community Areas'!$A$2:$A$78,0)),
"")</f>
        <v>7</v>
      </c>
      <c r="J424" s="63">
        <f>_xlfn.IFNA(
INDEX('Community Areas'!D$2:D$78,MATCH($E424,'Community Areas'!$A$2:$A$78,0)),
"")</f>
        <v>7</v>
      </c>
      <c r="K424" s="60" t="str">
        <f>_xlfn.IFNA(
INDEX('Community Areas'!E$2:E$78,MATCH($E424,'Community Areas'!$A$2:$A$78,0)),
"")</f>
        <v>CENTRAL</v>
      </c>
      <c r="L424" s="17" t="e">
        <f>SUMIFS([1]ACSDT5Y2020.B08301_data_with_ov!AT$3:AT$1334,[1]ACSDT5Y2020.B08301_data_with_ov!$AS$3:$AS$1334,$B424)</f>
        <v>#VALUE!</v>
      </c>
      <c r="M424" s="17" t="e">
        <f>SUMIFS([1]ACSDT5Y2020.B08301_data_with_ov!AU$3:AU$1334,[1]ACSDT5Y2020.B08301_data_with_ov!$AS$3:$AS$1334,$B424)</f>
        <v>#VALUE!</v>
      </c>
      <c r="N424" s="17" t="e">
        <f>SUMIFS([1]ACSDT5Y2020.B08301_data_with_ov!AV$3:AV$1334,[1]ACSDT5Y2020.B08301_data_with_ov!$AS$3:$AS$1334,$B424)</f>
        <v>#VALUE!</v>
      </c>
      <c r="O424" s="17" t="e">
        <f>SUMIFS([1]ACSDT5Y2020.B08301_data_with_ov!AW$3:AW$1334,[1]ACSDT5Y2020.B08301_data_with_ov!$AS$3:$AS$1334,$B424)</f>
        <v>#VALUE!</v>
      </c>
      <c r="P424" s="17" t="e">
        <f>SUMIFS([1]ACSDT5Y2020.B08301_data_with_ov!AX$3:AX$1334,[1]ACSDT5Y2020.B08301_data_with_ov!$AS$3:$AS$1334,$B424)</f>
        <v>#VALUE!</v>
      </c>
      <c r="Q424" s="17" t="e">
        <f>SUMIFS([1]ACSDT5Y2020.B08301_data_with_ov!AY$3:AY$1334,[1]ACSDT5Y2020.B08301_data_with_ov!$AS$3:$AS$1334,$B424)</f>
        <v>#VALUE!</v>
      </c>
      <c r="R424" s="17" t="e">
        <f>SUMIFS([1]ACSDT5Y2020.B08301_data_with_ov!AZ$3:AZ$1334,[1]ACSDT5Y2020.B08301_data_with_ov!$AS$3:$AS$1334,$B424)</f>
        <v>#VALUE!</v>
      </c>
      <c r="S424" s="17" t="e">
        <f>SUMIFS([1]ACSDT5Y2020.B08301_data_with_ov!BA$3:BA$1334,[1]ACSDT5Y2020.B08301_data_with_ov!$AS$3:$AS$1334,$B424)</f>
        <v>#VALUE!</v>
      </c>
      <c r="T424" s="188">
        <v>7.1541718979336325E-2</v>
      </c>
      <c r="U424" s="189" t="e">
        <f t="shared" si="27"/>
        <v>#VALUE!</v>
      </c>
      <c r="V424" s="188">
        <v>7.1541718979336325E-2</v>
      </c>
      <c r="W424" s="189" t="e">
        <f t="shared" si="24"/>
        <v>#VALUE!</v>
      </c>
      <c r="X424" s="188">
        <v>7.1541718979336325E-2</v>
      </c>
      <c r="Y424" s="189" t="e">
        <f t="shared" si="25"/>
        <v>#VALUE!</v>
      </c>
      <c r="Z424" s="188">
        <v>7.1541718979336325E-2</v>
      </c>
      <c r="AA424" s="189" t="e">
        <f t="shared" si="26"/>
        <v>#VALUE!</v>
      </c>
    </row>
    <row r="425" spans="1:27" x14ac:dyDescent="0.25">
      <c r="A425">
        <v>81300</v>
      </c>
      <c r="B425">
        <v>17031081300</v>
      </c>
      <c r="C425">
        <v>17031</v>
      </c>
      <c r="D425">
        <v>2010</v>
      </c>
      <c r="E425">
        <v>8</v>
      </c>
      <c r="F425">
        <v>2174040.3975888598</v>
      </c>
      <c r="G425" s="45">
        <v>7.79829688069925E-2</v>
      </c>
      <c r="H425" s="60" t="str">
        <f>_xlfn.IFNA(
INDEX('Community Areas'!B$2:B$78,MATCH($E425,'Community Areas'!$A$2:$A$78,0)),
"")</f>
        <v>NEAR NORTH SIDE</v>
      </c>
      <c r="I425" s="63">
        <f>_xlfn.IFNA(
INDEX('Community Areas'!C$2:C$78,MATCH($E425,'Community Areas'!$A$2:$A$78,0)),
"")</f>
        <v>7</v>
      </c>
      <c r="J425" s="63">
        <f>_xlfn.IFNA(
INDEX('Community Areas'!D$2:D$78,MATCH($E425,'Community Areas'!$A$2:$A$78,0)),
"")</f>
        <v>7</v>
      </c>
      <c r="K425" s="60" t="str">
        <f>_xlfn.IFNA(
INDEX('Community Areas'!E$2:E$78,MATCH($E425,'Community Areas'!$A$2:$A$78,0)),
"")</f>
        <v>CENTRAL</v>
      </c>
      <c r="L425" s="17" t="e">
        <f>SUMIFS([1]ACSDT5Y2020.B08301_data_with_ov!AT$3:AT$1334,[1]ACSDT5Y2020.B08301_data_with_ov!$AS$3:$AS$1334,$B425)</f>
        <v>#VALUE!</v>
      </c>
      <c r="M425" s="17" t="e">
        <f>SUMIFS([1]ACSDT5Y2020.B08301_data_with_ov!AU$3:AU$1334,[1]ACSDT5Y2020.B08301_data_with_ov!$AS$3:$AS$1334,$B425)</f>
        <v>#VALUE!</v>
      </c>
      <c r="N425" s="17" t="e">
        <f>SUMIFS([1]ACSDT5Y2020.B08301_data_with_ov!AV$3:AV$1334,[1]ACSDT5Y2020.B08301_data_with_ov!$AS$3:$AS$1334,$B425)</f>
        <v>#VALUE!</v>
      </c>
      <c r="O425" s="17" t="e">
        <f>SUMIFS([1]ACSDT5Y2020.B08301_data_with_ov!AW$3:AW$1334,[1]ACSDT5Y2020.B08301_data_with_ov!$AS$3:$AS$1334,$B425)</f>
        <v>#VALUE!</v>
      </c>
      <c r="P425" s="17" t="e">
        <f>SUMIFS([1]ACSDT5Y2020.B08301_data_with_ov!AX$3:AX$1334,[1]ACSDT5Y2020.B08301_data_with_ov!$AS$3:$AS$1334,$B425)</f>
        <v>#VALUE!</v>
      </c>
      <c r="Q425" s="17" t="e">
        <f>SUMIFS([1]ACSDT5Y2020.B08301_data_with_ov!AY$3:AY$1334,[1]ACSDT5Y2020.B08301_data_with_ov!$AS$3:$AS$1334,$B425)</f>
        <v>#VALUE!</v>
      </c>
      <c r="R425" s="17" t="e">
        <f>SUMIFS([1]ACSDT5Y2020.B08301_data_with_ov!AZ$3:AZ$1334,[1]ACSDT5Y2020.B08301_data_with_ov!$AS$3:$AS$1334,$B425)</f>
        <v>#VALUE!</v>
      </c>
      <c r="S425" s="17" t="e">
        <f>SUMIFS([1]ACSDT5Y2020.B08301_data_with_ov!BA$3:BA$1334,[1]ACSDT5Y2020.B08301_data_with_ov!$AS$3:$AS$1334,$B425)</f>
        <v>#VALUE!</v>
      </c>
      <c r="T425" s="188">
        <v>7.7982972725501823E-2</v>
      </c>
      <c r="U425" s="189" t="e">
        <f t="shared" si="27"/>
        <v>#VALUE!</v>
      </c>
      <c r="V425" s="188">
        <v>7.7982972725501823E-2</v>
      </c>
      <c r="W425" s="189" t="e">
        <f t="shared" si="24"/>
        <v>#VALUE!</v>
      </c>
      <c r="X425" s="188">
        <v>7.7982972725501823E-2</v>
      </c>
      <c r="Y425" s="189" t="e">
        <f t="shared" si="25"/>
        <v>#VALUE!</v>
      </c>
      <c r="Z425" s="188">
        <v>7.7982972725501823E-2</v>
      </c>
      <c r="AA425" s="189" t="e">
        <f t="shared" si="26"/>
        <v>#VALUE!</v>
      </c>
    </row>
    <row r="426" spans="1:27" x14ac:dyDescent="0.25">
      <c r="A426">
        <v>838300</v>
      </c>
      <c r="B426">
        <v>17031838300</v>
      </c>
      <c r="C426">
        <v>17031</v>
      </c>
      <c r="D426">
        <v>2010</v>
      </c>
      <c r="E426">
        <v>8</v>
      </c>
      <c r="F426">
        <v>3747469.2832193598</v>
      </c>
      <c r="G426" s="45">
        <v>0.13442196407323806</v>
      </c>
      <c r="H426" s="60" t="str">
        <f>_xlfn.IFNA(
INDEX('Community Areas'!B$2:B$78,MATCH($E426,'Community Areas'!$A$2:$A$78,0)),
"")</f>
        <v>NEAR NORTH SIDE</v>
      </c>
      <c r="I426" s="63">
        <f>_xlfn.IFNA(
INDEX('Community Areas'!C$2:C$78,MATCH($E426,'Community Areas'!$A$2:$A$78,0)),
"")</f>
        <v>7</v>
      </c>
      <c r="J426" s="63">
        <f>_xlfn.IFNA(
INDEX('Community Areas'!D$2:D$78,MATCH($E426,'Community Areas'!$A$2:$A$78,0)),
"")</f>
        <v>7</v>
      </c>
      <c r="K426" s="60" t="str">
        <f>_xlfn.IFNA(
INDEX('Community Areas'!E$2:E$78,MATCH($E426,'Community Areas'!$A$2:$A$78,0)),
"")</f>
        <v>CENTRAL</v>
      </c>
      <c r="L426" s="17" t="e">
        <f>SUMIFS([1]ACSDT5Y2020.B08301_data_with_ov!AT$3:AT$1334,[1]ACSDT5Y2020.B08301_data_with_ov!$AS$3:$AS$1334,$B426)</f>
        <v>#VALUE!</v>
      </c>
      <c r="M426" s="17" t="e">
        <f>SUMIFS([1]ACSDT5Y2020.B08301_data_with_ov!AU$3:AU$1334,[1]ACSDT5Y2020.B08301_data_with_ov!$AS$3:$AS$1334,$B426)</f>
        <v>#VALUE!</v>
      </c>
      <c r="N426" s="17" t="e">
        <f>SUMIFS([1]ACSDT5Y2020.B08301_data_with_ov!AV$3:AV$1334,[1]ACSDT5Y2020.B08301_data_with_ov!$AS$3:$AS$1334,$B426)</f>
        <v>#VALUE!</v>
      </c>
      <c r="O426" s="17" t="e">
        <f>SUMIFS([1]ACSDT5Y2020.B08301_data_with_ov!AW$3:AW$1334,[1]ACSDT5Y2020.B08301_data_with_ov!$AS$3:$AS$1334,$B426)</f>
        <v>#VALUE!</v>
      </c>
      <c r="P426" s="17" t="e">
        <f>SUMIFS([1]ACSDT5Y2020.B08301_data_with_ov!AX$3:AX$1334,[1]ACSDT5Y2020.B08301_data_with_ov!$AS$3:$AS$1334,$B426)</f>
        <v>#VALUE!</v>
      </c>
      <c r="Q426" s="17" t="e">
        <f>SUMIFS([1]ACSDT5Y2020.B08301_data_with_ov!AY$3:AY$1334,[1]ACSDT5Y2020.B08301_data_with_ov!$AS$3:$AS$1334,$B426)</f>
        <v>#VALUE!</v>
      </c>
      <c r="R426" s="17" t="e">
        <f>SUMIFS([1]ACSDT5Y2020.B08301_data_with_ov!AZ$3:AZ$1334,[1]ACSDT5Y2020.B08301_data_with_ov!$AS$3:$AS$1334,$B426)</f>
        <v>#VALUE!</v>
      </c>
      <c r="S426" s="17" t="e">
        <f>SUMIFS([1]ACSDT5Y2020.B08301_data_with_ov!BA$3:BA$1334,[1]ACSDT5Y2020.B08301_data_with_ov!$AS$3:$AS$1334,$B426)</f>
        <v>#VALUE!</v>
      </c>
      <c r="T426" s="188">
        <v>0.13442196660116076</v>
      </c>
      <c r="U426" s="189" t="e">
        <f t="shared" si="27"/>
        <v>#VALUE!</v>
      </c>
      <c r="V426" s="188">
        <v>0.13442196660116076</v>
      </c>
      <c r="W426" s="189" t="e">
        <f t="shared" si="24"/>
        <v>#VALUE!</v>
      </c>
      <c r="X426" s="188">
        <v>0.13442196660116076</v>
      </c>
      <c r="Y426" s="189" t="e">
        <f t="shared" si="25"/>
        <v>#VALUE!</v>
      </c>
      <c r="Z426" s="188">
        <v>0.13442196660116076</v>
      </c>
      <c r="AA426" s="189" t="e">
        <f t="shared" si="26"/>
        <v>#VALUE!</v>
      </c>
    </row>
    <row r="427" spans="1:27" x14ac:dyDescent="0.25">
      <c r="A427">
        <v>80400</v>
      </c>
      <c r="B427">
        <v>17031080400</v>
      </c>
      <c r="C427">
        <v>17031</v>
      </c>
      <c r="D427">
        <v>2010</v>
      </c>
      <c r="E427">
        <v>8</v>
      </c>
      <c r="F427">
        <v>3524104.0600677999</v>
      </c>
      <c r="G427" s="45">
        <v>0.12640983916106377</v>
      </c>
      <c r="H427" s="60" t="str">
        <f>_xlfn.IFNA(
INDEX('Community Areas'!B$2:B$78,MATCH($E427,'Community Areas'!$A$2:$A$78,0)),
"")</f>
        <v>NEAR NORTH SIDE</v>
      </c>
      <c r="I427" s="63">
        <f>_xlfn.IFNA(
INDEX('Community Areas'!C$2:C$78,MATCH($E427,'Community Areas'!$A$2:$A$78,0)),
"")</f>
        <v>7</v>
      </c>
      <c r="J427" s="63">
        <f>_xlfn.IFNA(
INDEX('Community Areas'!D$2:D$78,MATCH($E427,'Community Areas'!$A$2:$A$78,0)),
"")</f>
        <v>7</v>
      </c>
      <c r="K427" s="60" t="str">
        <f>_xlfn.IFNA(
INDEX('Community Areas'!E$2:E$78,MATCH($E427,'Community Areas'!$A$2:$A$78,0)),
"")</f>
        <v>CENTRAL</v>
      </c>
      <c r="L427" s="17" t="e">
        <f>SUMIFS([1]ACSDT5Y2020.B08301_data_with_ov!AT$3:AT$1334,[1]ACSDT5Y2020.B08301_data_with_ov!$AS$3:$AS$1334,$B427)</f>
        <v>#VALUE!</v>
      </c>
      <c r="M427" s="17" t="e">
        <f>SUMIFS([1]ACSDT5Y2020.B08301_data_with_ov!AU$3:AU$1334,[1]ACSDT5Y2020.B08301_data_with_ov!$AS$3:$AS$1334,$B427)</f>
        <v>#VALUE!</v>
      </c>
      <c r="N427" s="17" t="e">
        <f>SUMIFS([1]ACSDT5Y2020.B08301_data_with_ov!AV$3:AV$1334,[1]ACSDT5Y2020.B08301_data_with_ov!$AS$3:$AS$1334,$B427)</f>
        <v>#VALUE!</v>
      </c>
      <c r="O427" s="17" t="e">
        <f>SUMIFS([1]ACSDT5Y2020.B08301_data_with_ov!AW$3:AW$1334,[1]ACSDT5Y2020.B08301_data_with_ov!$AS$3:$AS$1334,$B427)</f>
        <v>#VALUE!</v>
      </c>
      <c r="P427" s="17" t="e">
        <f>SUMIFS([1]ACSDT5Y2020.B08301_data_with_ov!AX$3:AX$1334,[1]ACSDT5Y2020.B08301_data_with_ov!$AS$3:$AS$1334,$B427)</f>
        <v>#VALUE!</v>
      </c>
      <c r="Q427" s="17" t="e">
        <f>SUMIFS([1]ACSDT5Y2020.B08301_data_with_ov!AY$3:AY$1334,[1]ACSDT5Y2020.B08301_data_with_ov!$AS$3:$AS$1334,$B427)</f>
        <v>#VALUE!</v>
      </c>
      <c r="R427" s="17" t="e">
        <f>SUMIFS([1]ACSDT5Y2020.B08301_data_with_ov!AZ$3:AZ$1334,[1]ACSDT5Y2020.B08301_data_with_ov!$AS$3:$AS$1334,$B427)</f>
        <v>#VALUE!</v>
      </c>
      <c r="S427" s="17" t="e">
        <f>SUMIFS([1]ACSDT5Y2020.B08301_data_with_ov!BA$3:BA$1334,[1]ACSDT5Y2020.B08301_data_with_ov!$AS$3:$AS$1334,$B427)</f>
        <v>#VALUE!</v>
      </c>
      <c r="T427" s="188">
        <v>0.12640984029695931</v>
      </c>
      <c r="U427" s="189" t="e">
        <f t="shared" si="27"/>
        <v>#VALUE!</v>
      </c>
      <c r="V427" s="188">
        <v>0.12640984029695931</v>
      </c>
      <c r="W427" s="189" t="e">
        <f t="shared" si="24"/>
        <v>#VALUE!</v>
      </c>
      <c r="X427" s="188">
        <v>0.12640984029695931</v>
      </c>
      <c r="Y427" s="189" t="e">
        <f t="shared" si="25"/>
        <v>#VALUE!</v>
      </c>
      <c r="Z427" s="188">
        <v>0.12640984029695931</v>
      </c>
      <c r="AA427" s="189" t="e">
        <f t="shared" si="26"/>
        <v>#VALUE!</v>
      </c>
    </row>
    <row r="428" spans="1:27" x14ac:dyDescent="0.25">
      <c r="A428">
        <v>81000</v>
      </c>
      <c r="B428">
        <v>17031081000</v>
      </c>
      <c r="C428">
        <v>17031</v>
      </c>
      <c r="D428">
        <v>2010</v>
      </c>
      <c r="E428">
        <v>8</v>
      </c>
      <c r="F428">
        <v>3216685.6809852901</v>
      </c>
      <c r="G428" s="45">
        <v>0.11538272214278043</v>
      </c>
      <c r="H428" s="60" t="str">
        <f>_xlfn.IFNA(
INDEX('Community Areas'!B$2:B$78,MATCH($E428,'Community Areas'!$A$2:$A$78,0)),
"")</f>
        <v>NEAR NORTH SIDE</v>
      </c>
      <c r="I428" s="63">
        <f>_xlfn.IFNA(
INDEX('Community Areas'!C$2:C$78,MATCH($E428,'Community Areas'!$A$2:$A$78,0)),
"")</f>
        <v>7</v>
      </c>
      <c r="J428" s="63">
        <f>_xlfn.IFNA(
INDEX('Community Areas'!D$2:D$78,MATCH($E428,'Community Areas'!$A$2:$A$78,0)),
"")</f>
        <v>7</v>
      </c>
      <c r="K428" s="60" t="str">
        <f>_xlfn.IFNA(
INDEX('Community Areas'!E$2:E$78,MATCH($E428,'Community Areas'!$A$2:$A$78,0)),
"")</f>
        <v>CENTRAL</v>
      </c>
      <c r="L428" s="17" t="e">
        <f>SUMIFS([1]ACSDT5Y2020.B08301_data_with_ov!AT$3:AT$1334,[1]ACSDT5Y2020.B08301_data_with_ov!$AS$3:$AS$1334,$B428)</f>
        <v>#VALUE!</v>
      </c>
      <c r="M428" s="17" t="e">
        <f>SUMIFS([1]ACSDT5Y2020.B08301_data_with_ov!AU$3:AU$1334,[1]ACSDT5Y2020.B08301_data_with_ov!$AS$3:$AS$1334,$B428)</f>
        <v>#VALUE!</v>
      </c>
      <c r="N428" s="17" t="e">
        <f>SUMIFS([1]ACSDT5Y2020.B08301_data_with_ov!AV$3:AV$1334,[1]ACSDT5Y2020.B08301_data_with_ov!$AS$3:$AS$1334,$B428)</f>
        <v>#VALUE!</v>
      </c>
      <c r="O428" s="17" t="e">
        <f>SUMIFS([1]ACSDT5Y2020.B08301_data_with_ov!AW$3:AW$1334,[1]ACSDT5Y2020.B08301_data_with_ov!$AS$3:$AS$1334,$B428)</f>
        <v>#VALUE!</v>
      </c>
      <c r="P428" s="17" t="e">
        <f>SUMIFS([1]ACSDT5Y2020.B08301_data_with_ov!AX$3:AX$1334,[1]ACSDT5Y2020.B08301_data_with_ov!$AS$3:$AS$1334,$B428)</f>
        <v>#VALUE!</v>
      </c>
      <c r="Q428" s="17" t="e">
        <f>SUMIFS([1]ACSDT5Y2020.B08301_data_with_ov!AY$3:AY$1334,[1]ACSDT5Y2020.B08301_data_with_ov!$AS$3:$AS$1334,$B428)</f>
        <v>#VALUE!</v>
      </c>
      <c r="R428" s="17" t="e">
        <f>SUMIFS([1]ACSDT5Y2020.B08301_data_with_ov!AZ$3:AZ$1334,[1]ACSDT5Y2020.B08301_data_with_ov!$AS$3:$AS$1334,$B428)</f>
        <v>#VALUE!</v>
      </c>
      <c r="S428" s="17" t="e">
        <f>SUMIFS([1]ACSDT5Y2020.B08301_data_with_ov!BA$3:BA$1334,[1]ACSDT5Y2020.B08301_data_with_ov!$AS$3:$AS$1334,$B428)</f>
        <v>#VALUE!</v>
      </c>
      <c r="T428" s="188">
        <v>0.11538272343123278</v>
      </c>
      <c r="U428" s="189" t="e">
        <f t="shared" si="27"/>
        <v>#VALUE!</v>
      </c>
      <c r="V428" s="188">
        <v>0.11538272343123278</v>
      </c>
      <c r="W428" s="189" t="e">
        <f t="shared" si="24"/>
        <v>#VALUE!</v>
      </c>
      <c r="X428" s="188">
        <v>0.11538272343123278</v>
      </c>
      <c r="Y428" s="189" t="e">
        <f t="shared" si="25"/>
        <v>#VALUE!</v>
      </c>
      <c r="Z428" s="188">
        <v>0.11538272343123278</v>
      </c>
      <c r="AA428" s="189" t="e">
        <f t="shared" si="26"/>
        <v>#VALUE!</v>
      </c>
    </row>
    <row r="429" spans="1:27" x14ac:dyDescent="0.25">
      <c r="A429">
        <v>81800</v>
      </c>
      <c r="B429">
        <v>17031081800</v>
      </c>
      <c r="C429">
        <v>17031</v>
      </c>
      <c r="D429">
        <v>2010</v>
      </c>
      <c r="E429">
        <v>8</v>
      </c>
      <c r="F429">
        <v>8165038.24893759</v>
      </c>
      <c r="G429" s="45">
        <v>0.29288044683115205</v>
      </c>
      <c r="H429" s="60" t="str">
        <f>_xlfn.IFNA(
INDEX('Community Areas'!B$2:B$78,MATCH($E429,'Community Areas'!$A$2:$A$78,0)),
"")</f>
        <v>NEAR NORTH SIDE</v>
      </c>
      <c r="I429" s="63">
        <f>_xlfn.IFNA(
INDEX('Community Areas'!C$2:C$78,MATCH($E429,'Community Areas'!$A$2:$A$78,0)),
"")</f>
        <v>7</v>
      </c>
      <c r="J429" s="63">
        <f>_xlfn.IFNA(
INDEX('Community Areas'!D$2:D$78,MATCH($E429,'Community Areas'!$A$2:$A$78,0)),
"")</f>
        <v>7</v>
      </c>
      <c r="K429" s="60" t="str">
        <f>_xlfn.IFNA(
INDEX('Community Areas'!E$2:E$78,MATCH($E429,'Community Areas'!$A$2:$A$78,0)),
"")</f>
        <v>CENTRAL</v>
      </c>
      <c r="L429" s="17" t="e">
        <f>SUMIFS([1]ACSDT5Y2020.B08301_data_with_ov!AT$3:AT$1334,[1]ACSDT5Y2020.B08301_data_with_ov!$AS$3:$AS$1334,$B429)</f>
        <v>#VALUE!</v>
      </c>
      <c r="M429" s="17" t="e">
        <f>SUMIFS([1]ACSDT5Y2020.B08301_data_with_ov!AU$3:AU$1334,[1]ACSDT5Y2020.B08301_data_with_ov!$AS$3:$AS$1334,$B429)</f>
        <v>#VALUE!</v>
      </c>
      <c r="N429" s="17" t="e">
        <f>SUMIFS([1]ACSDT5Y2020.B08301_data_with_ov!AV$3:AV$1334,[1]ACSDT5Y2020.B08301_data_with_ov!$AS$3:$AS$1334,$B429)</f>
        <v>#VALUE!</v>
      </c>
      <c r="O429" s="17" t="e">
        <f>SUMIFS([1]ACSDT5Y2020.B08301_data_with_ov!AW$3:AW$1334,[1]ACSDT5Y2020.B08301_data_with_ov!$AS$3:$AS$1334,$B429)</f>
        <v>#VALUE!</v>
      </c>
      <c r="P429" s="17" t="e">
        <f>SUMIFS([1]ACSDT5Y2020.B08301_data_with_ov!AX$3:AX$1334,[1]ACSDT5Y2020.B08301_data_with_ov!$AS$3:$AS$1334,$B429)</f>
        <v>#VALUE!</v>
      </c>
      <c r="Q429" s="17" t="e">
        <f>SUMIFS([1]ACSDT5Y2020.B08301_data_with_ov!AY$3:AY$1334,[1]ACSDT5Y2020.B08301_data_with_ov!$AS$3:$AS$1334,$B429)</f>
        <v>#VALUE!</v>
      </c>
      <c r="R429" s="17" t="e">
        <f>SUMIFS([1]ACSDT5Y2020.B08301_data_with_ov!AZ$3:AZ$1334,[1]ACSDT5Y2020.B08301_data_with_ov!$AS$3:$AS$1334,$B429)</f>
        <v>#VALUE!</v>
      </c>
      <c r="S429" s="17" t="e">
        <f>SUMIFS([1]ACSDT5Y2020.B08301_data_with_ov!BA$3:BA$1334,[1]ACSDT5Y2020.B08301_data_with_ov!$AS$3:$AS$1334,$B429)</f>
        <v>#VALUE!</v>
      </c>
      <c r="T429" s="188">
        <v>0.29288044191963669</v>
      </c>
      <c r="U429" s="189" t="e">
        <f t="shared" si="27"/>
        <v>#VALUE!</v>
      </c>
      <c r="V429" s="188">
        <v>0.29288044191963669</v>
      </c>
      <c r="W429" s="189" t="e">
        <f t="shared" si="24"/>
        <v>#VALUE!</v>
      </c>
      <c r="X429" s="188">
        <v>0.29288044191963669</v>
      </c>
      <c r="Y429" s="189" t="e">
        <f t="shared" si="25"/>
        <v>#VALUE!</v>
      </c>
      <c r="Z429" s="188">
        <v>0.29288044191963669</v>
      </c>
      <c r="AA429" s="189" t="e">
        <f t="shared" si="26"/>
        <v>#VALUE!</v>
      </c>
    </row>
    <row r="430" spans="1:27" x14ac:dyDescent="0.25">
      <c r="A430">
        <v>80300</v>
      </c>
      <c r="B430">
        <v>17031080300</v>
      </c>
      <c r="C430">
        <v>17031</v>
      </c>
      <c r="D430">
        <v>2010</v>
      </c>
      <c r="E430">
        <v>8</v>
      </c>
      <c r="F430">
        <v>3946952.2864674502</v>
      </c>
      <c r="G430" s="45">
        <v>0.14157743222234598</v>
      </c>
      <c r="H430" s="60" t="str">
        <f>_xlfn.IFNA(
INDEX('Community Areas'!B$2:B$78,MATCH($E430,'Community Areas'!$A$2:$A$78,0)),
"")</f>
        <v>NEAR NORTH SIDE</v>
      </c>
      <c r="I430" s="63">
        <f>_xlfn.IFNA(
INDEX('Community Areas'!C$2:C$78,MATCH($E430,'Community Areas'!$A$2:$A$78,0)),
"")</f>
        <v>7</v>
      </c>
      <c r="J430" s="63">
        <f>_xlfn.IFNA(
INDEX('Community Areas'!D$2:D$78,MATCH($E430,'Community Areas'!$A$2:$A$78,0)),
"")</f>
        <v>7</v>
      </c>
      <c r="K430" s="60" t="str">
        <f>_xlfn.IFNA(
INDEX('Community Areas'!E$2:E$78,MATCH($E430,'Community Areas'!$A$2:$A$78,0)),
"")</f>
        <v>CENTRAL</v>
      </c>
      <c r="L430" s="17" t="e">
        <f>SUMIFS([1]ACSDT5Y2020.B08301_data_with_ov!AT$3:AT$1334,[1]ACSDT5Y2020.B08301_data_with_ov!$AS$3:$AS$1334,$B430)</f>
        <v>#VALUE!</v>
      </c>
      <c r="M430" s="17" t="e">
        <f>SUMIFS([1]ACSDT5Y2020.B08301_data_with_ov!AU$3:AU$1334,[1]ACSDT5Y2020.B08301_data_with_ov!$AS$3:$AS$1334,$B430)</f>
        <v>#VALUE!</v>
      </c>
      <c r="N430" s="17" t="e">
        <f>SUMIFS([1]ACSDT5Y2020.B08301_data_with_ov!AV$3:AV$1334,[1]ACSDT5Y2020.B08301_data_with_ov!$AS$3:$AS$1334,$B430)</f>
        <v>#VALUE!</v>
      </c>
      <c r="O430" s="17" t="e">
        <f>SUMIFS([1]ACSDT5Y2020.B08301_data_with_ov!AW$3:AW$1334,[1]ACSDT5Y2020.B08301_data_with_ov!$AS$3:$AS$1334,$B430)</f>
        <v>#VALUE!</v>
      </c>
      <c r="P430" s="17" t="e">
        <f>SUMIFS([1]ACSDT5Y2020.B08301_data_with_ov!AX$3:AX$1334,[1]ACSDT5Y2020.B08301_data_with_ov!$AS$3:$AS$1334,$B430)</f>
        <v>#VALUE!</v>
      </c>
      <c r="Q430" s="17" t="e">
        <f>SUMIFS([1]ACSDT5Y2020.B08301_data_with_ov!AY$3:AY$1334,[1]ACSDT5Y2020.B08301_data_with_ov!$AS$3:$AS$1334,$B430)</f>
        <v>#VALUE!</v>
      </c>
      <c r="R430" s="17" t="e">
        <f>SUMIFS([1]ACSDT5Y2020.B08301_data_with_ov!AZ$3:AZ$1334,[1]ACSDT5Y2020.B08301_data_with_ov!$AS$3:$AS$1334,$B430)</f>
        <v>#VALUE!</v>
      </c>
      <c r="S430" s="17" t="e">
        <f>SUMIFS([1]ACSDT5Y2020.B08301_data_with_ov!BA$3:BA$1334,[1]ACSDT5Y2020.B08301_data_with_ov!$AS$3:$AS$1334,$B430)</f>
        <v>#VALUE!</v>
      </c>
      <c r="T430" s="188">
        <v>0.14157743456736757</v>
      </c>
      <c r="U430" s="189" t="e">
        <f t="shared" si="27"/>
        <v>#VALUE!</v>
      </c>
      <c r="V430" s="188">
        <v>0.14157743456736757</v>
      </c>
      <c r="W430" s="189" t="e">
        <f t="shared" si="24"/>
        <v>#VALUE!</v>
      </c>
      <c r="X430" s="188">
        <v>0.14157743456736757</v>
      </c>
      <c r="Y430" s="189" t="e">
        <f t="shared" si="25"/>
        <v>#VALUE!</v>
      </c>
      <c r="Z430" s="188">
        <v>0.14157743456736757</v>
      </c>
      <c r="AA430" s="189" t="e">
        <f t="shared" si="26"/>
        <v>#VALUE!</v>
      </c>
    </row>
    <row r="431" spans="1:27" x14ac:dyDescent="0.25">
      <c r="A431">
        <v>81900</v>
      </c>
      <c r="B431">
        <v>17031081900</v>
      </c>
      <c r="C431">
        <v>17031</v>
      </c>
      <c r="D431">
        <v>2010</v>
      </c>
      <c r="E431">
        <v>8</v>
      </c>
      <c r="F431">
        <v>1482398.41963938</v>
      </c>
      <c r="G431" s="45">
        <v>5.3173726599782624E-2</v>
      </c>
      <c r="H431" s="60" t="str">
        <f>_xlfn.IFNA(
INDEX('Community Areas'!B$2:B$78,MATCH($E431,'Community Areas'!$A$2:$A$78,0)),
"")</f>
        <v>NEAR NORTH SIDE</v>
      </c>
      <c r="I431" s="63">
        <f>_xlfn.IFNA(
INDEX('Community Areas'!C$2:C$78,MATCH($E431,'Community Areas'!$A$2:$A$78,0)),
"")</f>
        <v>7</v>
      </c>
      <c r="J431" s="63">
        <f>_xlfn.IFNA(
INDEX('Community Areas'!D$2:D$78,MATCH($E431,'Community Areas'!$A$2:$A$78,0)),
"")</f>
        <v>7</v>
      </c>
      <c r="K431" s="60" t="str">
        <f>_xlfn.IFNA(
INDEX('Community Areas'!E$2:E$78,MATCH($E431,'Community Areas'!$A$2:$A$78,0)),
"")</f>
        <v>CENTRAL</v>
      </c>
      <c r="L431" s="17" t="e">
        <f>SUMIFS([1]ACSDT5Y2020.B08301_data_with_ov!AT$3:AT$1334,[1]ACSDT5Y2020.B08301_data_with_ov!$AS$3:$AS$1334,$B431)</f>
        <v>#VALUE!</v>
      </c>
      <c r="M431" s="17" t="e">
        <f>SUMIFS([1]ACSDT5Y2020.B08301_data_with_ov!AU$3:AU$1334,[1]ACSDT5Y2020.B08301_data_with_ov!$AS$3:$AS$1334,$B431)</f>
        <v>#VALUE!</v>
      </c>
      <c r="N431" s="17" t="e">
        <f>SUMIFS([1]ACSDT5Y2020.B08301_data_with_ov!AV$3:AV$1334,[1]ACSDT5Y2020.B08301_data_with_ov!$AS$3:$AS$1334,$B431)</f>
        <v>#VALUE!</v>
      </c>
      <c r="O431" s="17" t="e">
        <f>SUMIFS([1]ACSDT5Y2020.B08301_data_with_ov!AW$3:AW$1334,[1]ACSDT5Y2020.B08301_data_with_ov!$AS$3:$AS$1334,$B431)</f>
        <v>#VALUE!</v>
      </c>
      <c r="P431" s="17" t="e">
        <f>SUMIFS([1]ACSDT5Y2020.B08301_data_with_ov!AX$3:AX$1334,[1]ACSDT5Y2020.B08301_data_with_ov!$AS$3:$AS$1334,$B431)</f>
        <v>#VALUE!</v>
      </c>
      <c r="Q431" s="17" t="e">
        <f>SUMIFS([1]ACSDT5Y2020.B08301_data_with_ov!AY$3:AY$1334,[1]ACSDT5Y2020.B08301_data_with_ov!$AS$3:$AS$1334,$B431)</f>
        <v>#VALUE!</v>
      </c>
      <c r="R431" s="17" t="e">
        <f>SUMIFS([1]ACSDT5Y2020.B08301_data_with_ov!AZ$3:AZ$1334,[1]ACSDT5Y2020.B08301_data_with_ov!$AS$3:$AS$1334,$B431)</f>
        <v>#VALUE!</v>
      </c>
      <c r="S431" s="17" t="e">
        <f>SUMIFS([1]ACSDT5Y2020.B08301_data_with_ov!BA$3:BA$1334,[1]ACSDT5Y2020.B08301_data_with_ov!$AS$3:$AS$1334,$B431)</f>
        <v>#VALUE!</v>
      </c>
      <c r="T431" s="188">
        <v>5.3173724083251911E-2</v>
      </c>
      <c r="U431" s="189" t="e">
        <f t="shared" si="27"/>
        <v>#VALUE!</v>
      </c>
      <c r="V431" s="188">
        <v>5.3173724083251911E-2</v>
      </c>
      <c r="W431" s="189" t="e">
        <f t="shared" si="24"/>
        <v>#VALUE!</v>
      </c>
      <c r="X431" s="188">
        <v>5.3173724083251911E-2</v>
      </c>
      <c r="Y431" s="189" t="e">
        <f t="shared" si="25"/>
        <v>#VALUE!</v>
      </c>
      <c r="Z431" s="188">
        <v>5.3173724083251911E-2</v>
      </c>
      <c r="AA431" s="189" t="e">
        <f t="shared" si="26"/>
        <v>#VALUE!</v>
      </c>
    </row>
    <row r="432" spans="1:27" x14ac:dyDescent="0.25">
      <c r="A432">
        <v>81100</v>
      </c>
      <c r="B432">
        <v>17031081100</v>
      </c>
      <c r="C432">
        <v>17031</v>
      </c>
      <c r="D432">
        <v>2010</v>
      </c>
      <c r="E432">
        <v>8</v>
      </c>
      <c r="F432">
        <v>1108624.35282145</v>
      </c>
      <c r="G432" s="45">
        <v>3.9766426797142235E-2</v>
      </c>
      <c r="H432" s="60" t="str">
        <f>_xlfn.IFNA(
INDEX('Community Areas'!B$2:B$78,MATCH($E432,'Community Areas'!$A$2:$A$78,0)),
"")</f>
        <v>NEAR NORTH SIDE</v>
      </c>
      <c r="I432" s="63">
        <f>_xlfn.IFNA(
INDEX('Community Areas'!C$2:C$78,MATCH($E432,'Community Areas'!$A$2:$A$78,0)),
"")</f>
        <v>7</v>
      </c>
      <c r="J432" s="63">
        <f>_xlfn.IFNA(
INDEX('Community Areas'!D$2:D$78,MATCH($E432,'Community Areas'!$A$2:$A$78,0)),
"")</f>
        <v>7</v>
      </c>
      <c r="K432" s="60" t="str">
        <f>_xlfn.IFNA(
INDEX('Community Areas'!E$2:E$78,MATCH($E432,'Community Areas'!$A$2:$A$78,0)),
"")</f>
        <v>CENTRAL</v>
      </c>
      <c r="L432" s="17" t="e">
        <f>SUMIFS([1]ACSDT5Y2020.B08301_data_with_ov!AT$3:AT$1334,[1]ACSDT5Y2020.B08301_data_with_ov!$AS$3:$AS$1334,$B432)</f>
        <v>#VALUE!</v>
      </c>
      <c r="M432" s="17" t="e">
        <f>SUMIFS([1]ACSDT5Y2020.B08301_data_with_ov!AU$3:AU$1334,[1]ACSDT5Y2020.B08301_data_with_ov!$AS$3:$AS$1334,$B432)</f>
        <v>#VALUE!</v>
      </c>
      <c r="N432" s="17" t="e">
        <f>SUMIFS([1]ACSDT5Y2020.B08301_data_with_ov!AV$3:AV$1334,[1]ACSDT5Y2020.B08301_data_with_ov!$AS$3:$AS$1334,$B432)</f>
        <v>#VALUE!</v>
      </c>
      <c r="O432" s="17" t="e">
        <f>SUMIFS([1]ACSDT5Y2020.B08301_data_with_ov!AW$3:AW$1334,[1]ACSDT5Y2020.B08301_data_with_ov!$AS$3:$AS$1334,$B432)</f>
        <v>#VALUE!</v>
      </c>
      <c r="P432" s="17" t="e">
        <f>SUMIFS([1]ACSDT5Y2020.B08301_data_with_ov!AX$3:AX$1334,[1]ACSDT5Y2020.B08301_data_with_ov!$AS$3:$AS$1334,$B432)</f>
        <v>#VALUE!</v>
      </c>
      <c r="Q432" s="17" t="e">
        <f>SUMIFS([1]ACSDT5Y2020.B08301_data_with_ov!AY$3:AY$1334,[1]ACSDT5Y2020.B08301_data_with_ov!$AS$3:$AS$1334,$B432)</f>
        <v>#VALUE!</v>
      </c>
      <c r="R432" s="17" t="e">
        <f>SUMIFS([1]ACSDT5Y2020.B08301_data_with_ov!AZ$3:AZ$1334,[1]ACSDT5Y2020.B08301_data_with_ov!$AS$3:$AS$1334,$B432)</f>
        <v>#VALUE!</v>
      </c>
      <c r="S432" s="17" t="e">
        <f>SUMIFS([1]ACSDT5Y2020.B08301_data_with_ov!BA$3:BA$1334,[1]ACSDT5Y2020.B08301_data_with_ov!$AS$3:$AS$1334,$B432)</f>
        <v>#VALUE!</v>
      </c>
      <c r="T432" s="188">
        <v>3.9766428572697861E-2</v>
      </c>
      <c r="U432" s="189" t="e">
        <f t="shared" si="27"/>
        <v>#VALUE!</v>
      </c>
      <c r="V432" s="188">
        <v>3.9766428572697861E-2</v>
      </c>
      <c r="W432" s="189" t="e">
        <f t="shared" si="24"/>
        <v>#VALUE!</v>
      </c>
      <c r="X432" s="188">
        <v>3.9766428572697861E-2</v>
      </c>
      <c r="Y432" s="189" t="e">
        <f t="shared" si="25"/>
        <v>#VALUE!</v>
      </c>
      <c r="Z432" s="188">
        <v>3.9766428572697861E-2</v>
      </c>
      <c r="AA432" s="189" t="e">
        <f t="shared" si="26"/>
        <v>#VALUE!</v>
      </c>
    </row>
    <row r="433" spans="1:27" x14ac:dyDescent="0.25">
      <c r="A433">
        <v>839000</v>
      </c>
      <c r="B433">
        <v>17031839000</v>
      </c>
      <c r="C433">
        <v>17031</v>
      </c>
      <c r="D433">
        <v>2010</v>
      </c>
      <c r="E433">
        <v>32</v>
      </c>
      <c r="F433">
        <v>5518630.5459914897</v>
      </c>
      <c r="G433" s="45">
        <v>0.19795363241762404</v>
      </c>
      <c r="H433" s="60" t="str">
        <f>_xlfn.IFNA(
INDEX('Community Areas'!B$2:B$78,MATCH($E433,'Community Areas'!$A$2:$A$78,0)),
"")</f>
        <v>LOOP</v>
      </c>
      <c r="I433" s="63">
        <f>_xlfn.IFNA(
INDEX('Community Areas'!C$2:C$78,MATCH($E433,'Community Areas'!$A$2:$A$78,0)),
"")</f>
        <v>7</v>
      </c>
      <c r="J433" s="63">
        <f>_xlfn.IFNA(
INDEX('Community Areas'!D$2:D$78,MATCH($E433,'Community Areas'!$A$2:$A$78,0)),
"")</f>
        <v>7</v>
      </c>
      <c r="K433" s="60" t="str">
        <f>_xlfn.IFNA(
INDEX('Community Areas'!E$2:E$78,MATCH($E433,'Community Areas'!$A$2:$A$78,0)),
"")</f>
        <v>CENTRAL</v>
      </c>
      <c r="L433" s="17" t="e">
        <f>SUMIFS([1]ACSDT5Y2020.B08301_data_with_ov!AT$3:AT$1334,[1]ACSDT5Y2020.B08301_data_with_ov!$AS$3:$AS$1334,$B433)</f>
        <v>#VALUE!</v>
      </c>
      <c r="M433" s="17" t="e">
        <f>SUMIFS([1]ACSDT5Y2020.B08301_data_with_ov!AU$3:AU$1334,[1]ACSDT5Y2020.B08301_data_with_ov!$AS$3:$AS$1334,$B433)</f>
        <v>#VALUE!</v>
      </c>
      <c r="N433" s="17" t="e">
        <f>SUMIFS([1]ACSDT5Y2020.B08301_data_with_ov!AV$3:AV$1334,[1]ACSDT5Y2020.B08301_data_with_ov!$AS$3:$AS$1334,$B433)</f>
        <v>#VALUE!</v>
      </c>
      <c r="O433" s="17" t="e">
        <f>SUMIFS([1]ACSDT5Y2020.B08301_data_with_ov!AW$3:AW$1334,[1]ACSDT5Y2020.B08301_data_with_ov!$AS$3:$AS$1334,$B433)</f>
        <v>#VALUE!</v>
      </c>
      <c r="P433" s="17" t="e">
        <f>SUMIFS([1]ACSDT5Y2020.B08301_data_with_ov!AX$3:AX$1334,[1]ACSDT5Y2020.B08301_data_with_ov!$AS$3:$AS$1334,$B433)</f>
        <v>#VALUE!</v>
      </c>
      <c r="Q433" s="17" t="e">
        <f>SUMIFS([1]ACSDT5Y2020.B08301_data_with_ov!AY$3:AY$1334,[1]ACSDT5Y2020.B08301_data_with_ov!$AS$3:$AS$1334,$B433)</f>
        <v>#VALUE!</v>
      </c>
      <c r="R433" s="17" t="e">
        <f>SUMIFS([1]ACSDT5Y2020.B08301_data_with_ov!AZ$3:AZ$1334,[1]ACSDT5Y2020.B08301_data_with_ov!$AS$3:$AS$1334,$B433)</f>
        <v>#VALUE!</v>
      </c>
      <c r="S433" s="17" t="e">
        <f>SUMIFS([1]ACSDT5Y2020.B08301_data_with_ov!BA$3:BA$1334,[1]ACSDT5Y2020.B08301_data_with_ov!$AS$3:$AS$1334,$B433)</f>
        <v>#VALUE!</v>
      </c>
      <c r="T433" s="188">
        <v>0.19795363849691267</v>
      </c>
      <c r="U433" s="189" t="e">
        <f t="shared" si="27"/>
        <v>#VALUE!</v>
      </c>
      <c r="V433" s="188">
        <v>0.19795363849691267</v>
      </c>
      <c r="W433" s="189" t="e">
        <f t="shared" si="24"/>
        <v>#VALUE!</v>
      </c>
      <c r="X433" s="188">
        <v>0.19795363849691267</v>
      </c>
      <c r="Y433" s="189" t="e">
        <f t="shared" si="25"/>
        <v>#VALUE!</v>
      </c>
      <c r="Z433" s="188">
        <v>0.19795363849691267</v>
      </c>
      <c r="AA433" s="189" t="e">
        <f t="shared" si="26"/>
        <v>#VALUE!</v>
      </c>
    </row>
    <row r="434" spans="1:27" x14ac:dyDescent="0.25">
      <c r="A434">
        <v>839100</v>
      </c>
      <c r="B434">
        <v>17031839100</v>
      </c>
      <c r="C434">
        <v>17031</v>
      </c>
      <c r="D434">
        <v>2010</v>
      </c>
      <c r="E434">
        <v>32</v>
      </c>
      <c r="F434">
        <v>12699764.098030301</v>
      </c>
      <c r="G434" s="45">
        <v>0.45554135452645422</v>
      </c>
      <c r="H434" s="60" t="str">
        <f>_xlfn.IFNA(
INDEX('Community Areas'!B$2:B$78,MATCH($E434,'Community Areas'!$A$2:$A$78,0)),
"")</f>
        <v>LOOP</v>
      </c>
      <c r="I434" s="63">
        <f>_xlfn.IFNA(
INDEX('Community Areas'!C$2:C$78,MATCH($E434,'Community Areas'!$A$2:$A$78,0)),
"")</f>
        <v>7</v>
      </c>
      <c r="J434" s="63">
        <f>_xlfn.IFNA(
INDEX('Community Areas'!D$2:D$78,MATCH($E434,'Community Areas'!$A$2:$A$78,0)),
"")</f>
        <v>7</v>
      </c>
      <c r="K434" s="60" t="str">
        <f>_xlfn.IFNA(
INDEX('Community Areas'!E$2:E$78,MATCH($E434,'Community Areas'!$A$2:$A$78,0)),
"")</f>
        <v>CENTRAL</v>
      </c>
      <c r="L434" s="17" t="e">
        <f>SUMIFS([1]ACSDT5Y2020.B08301_data_with_ov!AT$3:AT$1334,[1]ACSDT5Y2020.B08301_data_with_ov!$AS$3:$AS$1334,$B434)</f>
        <v>#VALUE!</v>
      </c>
      <c r="M434" s="17" t="e">
        <f>SUMIFS([1]ACSDT5Y2020.B08301_data_with_ov!AU$3:AU$1334,[1]ACSDT5Y2020.B08301_data_with_ov!$AS$3:$AS$1334,$B434)</f>
        <v>#VALUE!</v>
      </c>
      <c r="N434" s="17" t="e">
        <f>SUMIFS([1]ACSDT5Y2020.B08301_data_with_ov!AV$3:AV$1334,[1]ACSDT5Y2020.B08301_data_with_ov!$AS$3:$AS$1334,$B434)</f>
        <v>#VALUE!</v>
      </c>
      <c r="O434" s="17" t="e">
        <f>SUMIFS([1]ACSDT5Y2020.B08301_data_with_ov!AW$3:AW$1334,[1]ACSDT5Y2020.B08301_data_with_ov!$AS$3:$AS$1334,$B434)</f>
        <v>#VALUE!</v>
      </c>
      <c r="P434" s="17" t="e">
        <f>SUMIFS([1]ACSDT5Y2020.B08301_data_with_ov!AX$3:AX$1334,[1]ACSDT5Y2020.B08301_data_with_ov!$AS$3:$AS$1334,$B434)</f>
        <v>#VALUE!</v>
      </c>
      <c r="Q434" s="17" t="e">
        <f>SUMIFS([1]ACSDT5Y2020.B08301_data_with_ov!AY$3:AY$1334,[1]ACSDT5Y2020.B08301_data_with_ov!$AS$3:$AS$1334,$B434)</f>
        <v>#VALUE!</v>
      </c>
      <c r="R434" s="17" t="e">
        <f>SUMIFS([1]ACSDT5Y2020.B08301_data_with_ov!AZ$3:AZ$1334,[1]ACSDT5Y2020.B08301_data_with_ov!$AS$3:$AS$1334,$B434)</f>
        <v>#VALUE!</v>
      </c>
      <c r="S434" s="17" t="e">
        <f>SUMIFS([1]ACSDT5Y2020.B08301_data_with_ov!BA$3:BA$1334,[1]ACSDT5Y2020.B08301_data_with_ov!$AS$3:$AS$1334,$B434)</f>
        <v>#VALUE!</v>
      </c>
      <c r="T434" s="188">
        <v>0.45554134844668992</v>
      </c>
      <c r="U434" s="189" t="e">
        <f t="shared" si="27"/>
        <v>#VALUE!</v>
      </c>
      <c r="V434" s="188">
        <v>0.45554134844668992</v>
      </c>
      <c r="W434" s="189" t="e">
        <f t="shared" si="24"/>
        <v>#VALUE!</v>
      </c>
      <c r="X434" s="188">
        <v>0.45554134844668992</v>
      </c>
      <c r="Y434" s="189" t="e">
        <f t="shared" si="25"/>
        <v>#VALUE!</v>
      </c>
      <c r="Z434" s="188">
        <v>0.45554134844668992</v>
      </c>
      <c r="AA434" s="189" t="e">
        <f t="shared" si="26"/>
        <v>#VALUE!</v>
      </c>
    </row>
    <row r="435" spans="1:27" x14ac:dyDescent="0.25">
      <c r="A435">
        <v>320600</v>
      </c>
      <c r="B435">
        <v>17031320600</v>
      </c>
      <c r="C435">
        <v>17031</v>
      </c>
      <c r="D435">
        <v>2010</v>
      </c>
      <c r="E435">
        <v>32</v>
      </c>
      <c r="F435">
        <v>6703631.6998948203</v>
      </c>
      <c r="G435" s="45">
        <v>0.24045969997900957</v>
      </c>
      <c r="H435" s="60" t="str">
        <f>_xlfn.IFNA(
INDEX('Community Areas'!B$2:B$78,MATCH($E435,'Community Areas'!$A$2:$A$78,0)),
"")</f>
        <v>LOOP</v>
      </c>
      <c r="I435" s="63">
        <f>_xlfn.IFNA(
INDEX('Community Areas'!C$2:C$78,MATCH($E435,'Community Areas'!$A$2:$A$78,0)),
"")</f>
        <v>7</v>
      </c>
      <c r="J435" s="63">
        <f>_xlfn.IFNA(
INDEX('Community Areas'!D$2:D$78,MATCH($E435,'Community Areas'!$A$2:$A$78,0)),
"")</f>
        <v>7</v>
      </c>
      <c r="K435" s="60" t="str">
        <f>_xlfn.IFNA(
INDEX('Community Areas'!E$2:E$78,MATCH($E435,'Community Areas'!$A$2:$A$78,0)),
"")</f>
        <v>CENTRAL</v>
      </c>
      <c r="L435" s="17" t="e">
        <f>SUMIFS([1]ACSDT5Y2020.B08301_data_with_ov!AT$3:AT$1334,[1]ACSDT5Y2020.B08301_data_with_ov!$AS$3:$AS$1334,$B435)</f>
        <v>#VALUE!</v>
      </c>
      <c r="M435" s="17" t="e">
        <f>SUMIFS([1]ACSDT5Y2020.B08301_data_with_ov!AU$3:AU$1334,[1]ACSDT5Y2020.B08301_data_with_ov!$AS$3:$AS$1334,$B435)</f>
        <v>#VALUE!</v>
      </c>
      <c r="N435" s="17" t="e">
        <f>SUMIFS([1]ACSDT5Y2020.B08301_data_with_ov!AV$3:AV$1334,[1]ACSDT5Y2020.B08301_data_with_ov!$AS$3:$AS$1334,$B435)</f>
        <v>#VALUE!</v>
      </c>
      <c r="O435" s="17" t="e">
        <f>SUMIFS([1]ACSDT5Y2020.B08301_data_with_ov!AW$3:AW$1334,[1]ACSDT5Y2020.B08301_data_with_ov!$AS$3:$AS$1334,$B435)</f>
        <v>#VALUE!</v>
      </c>
      <c r="P435" s="17" t="e">
        <f>SUMIFS([1]ACSDT5Y2020.B08301_data_with_ov!AX$3:AX$1334,[1]ACSDT5Y2020.B08301_data_with_ov!$AS$3:$AS$1334,$B435)</f>
        <v>#VALUE!</v>
      </c>
      <c r="Q435" s="17" t="e">
        <f>SUMIFS([1]ACSDT5Y2020.B08301_data_with_ov!AY$3:AY$1334,[1]ACSDT5Y2020.B08301_data_with_ov!$AS$3:$AS$1334,$B435)</f>
        <v>#VALUE!</v>
      </c>
      <c r="R435" s="17" t="e">
        <f>SUMIFS([1]ACSDT5Y2020.B08301_data_with_ov!AZ$3:AZ$1334,[1]ACSDT5Y2020.B08301_data_with_ov!$AS$3:$AS$1334,$B435)</f>
        <v>#VALUE!</v>
      </c>
      <c r="S435" s="17" t="e">
        <f>SUMIFS([1]ACSDT5Y2020.B08301_data_with_ov!BA$3:BA$1334,[1]ACSDT5Y2020.B08301_data_with_ov!$AS$3:$AS$1334,$B435)</f>
        <v>#VALUE!</v>
      </c>
      <c r="T435" s="188">
        <v>0.24045969995092112</v>
      </c>
      <c r="U435" s="189" t="e">
        <f t="shared" si="27"/>
        <v>#VALUE!</v>
      </c>
      <c r="V435" s="188">
        <v>0.24045969995092112</v>
      </c>
      <c r="W435" s="189" t="e">
        <f t="shared" si="24"/>
        <v>#VALUE!</v>
      </c>
      <c r="X435" s="188">
        <v>0.24045969995092112</v>
      </c>
      <c r="Y435" s="189" t="e">
        <f t="shared" si="25"/>
        <v>#VALUE!</v>
      </c>
      <c r="Z435" s="188">
        <v>0.24045969995092112</v>
      </c>
      <c r="AA435" s="189" t="e">
        <f t="shared" si="26"/>
        <v>#VALUE!</v>
      </c>
    </row>
    <row r="436" spans="1:27" x14ac:dyDescent="0.25">
      <c r="A436">
        <v>320100</v>
      </c>
      <c r="B436">
        <v>17031320100</v>
      </c>
      <c r="C436">
        <v>17031</v>
      </c>
      <c r="D436">
        <v>2010</v>
      </c>
      <c r="E436">
        <v>32</v>
      </c>
      <c r="F436">
        <v>9617561.4044997394</v>
      </c>
      <c r="G436" s="45">
        <v>0.3449825457881277</v>
      </c>
      <c r="H436" s="60" t="str">
        <f>_xlfn.IFNA(
INDEX('Community Areas'!B$2:B$78,MATCH($E436,'Community Areas'!$A$2:$A$78,0)),
"")</f>
        <v>LOOP</v>
      </c>
      <c r="I436" s="63">
        <f>_xlfn.IFNA(
INDEX('Community Areas'!C$2:C$78,MATCH($E436,'Community Areas'!$A$2:$A$78,0)),
"")</f>
        <v>7</v>
      </c>
      <c r="J436" s="63">
        <f>_xlfn.IFNA(
INDEX('Community Areas'!D$2:D$78,MATCH($E436,'Community Areas'!$A$2:$A$78,0)),
"")</f>
        <v>7</v>
      </c>
      <c r="K436" s="60" t="str">
        <f>_xlfn.IFNA(
INDEX('Community Areas'!E$2:E$78,MATCH($E436,'Community Areas'!$A$2:$A$78,0)),
"")</f>
        <v>CENTRAL</v>
      </c>
      <c r="L436" s="17" t="e">
        <f>SUMIFS([1]ACSDT5Y2020.B08301_data_with_ov!AT$3:AT$1334,[1]ACSDT5Y2020.B08301_data_with_ov!$AS$3:$AS$1334,$B436)</f>
        <v>#VALUE!</v>
      </c>
      <c r="M436" s="17" t="e">
        <f>SUMIFS([1]ACSDT5Y2020.B08301_data_with_ov!AU$3:AU$1334,[1]ACSDT5Y2020.B08301_data_with_ov!$AS$3:$AS$1334,$B436)</f>
        <v>#VALUE!</v>
      </c>
      <c r="N436" s="17" t="e">
        <f>SUMIFS([1]ACSDT5Y2020.B08301_data_with_ov!AV$3:AV$1334,[1]ACSDT5Y2020.B08301_data_with_ov!$AS$3:$AS$1334,$B436)</f>
        <v>#VALUE!</v>
      </c>
      <c r="O436" s="17" t="e">
        <f>SUMIFS([1]ACSDT5Y2020.B08301_data_with_ov!AW$3:AW$1334,[1]ACSDT5Y2020.B08301_data_with_ov!$AS$3:$AS$1334,$B436)</f>
        <v>#VALUE!</v>
      </c>
      <c r="P436" s="17" t="e">
        <f>SUMIFS([1]ACSDT5Y2020.B08301_data_with_ov!AX$3:AX$1334,[1]ACSDT5Y2020.B08301_data_with_ov!$AS$3:$AS$1334,$B436)</f>
        <v>#VALUE!</v>
      </c>
      <c r="Q436" s="17" t="e">
        <f>SUMIFS([1]ACSDT5Y2020.B08301_data_with_ov!AY$3:AY$1334,[1]ACSDT5Y2020.B08301_data_with_ov!$AS$3:$AS$1334,$B436)</f>
        <v>#VALUE!</v>
      </c>
      <c r="R436" s="17" t="e">
        <f>SUMIFS([1]ACSDT5Y2020.B08301_data_with_ov!AZ$3:AZ$1334,[1]ACSDT5Y2020.B08301_data_with_ov!$AS$3:$AS$1334,$B436)</f>
        <v>#VALUE!</v>
      </c>
      <c r="S436" s="17" t="e">
        <f>SUMIFS([1]ACSDT5Y2020.B08301_data_with_ov!BA$3:BA$1334,[1]ACSDT5Y2020.B08301_data_with_ov!$AS$3:$AS$1334,$B436)</f>
        <v>#VALUE!</v>
      </c>
      <c r="T436" s="188">
        <v>0.34498254769711173</v>
      </c>
      <c r="U436" s="189" t="e">
        <f t="shared" si="27"/>
        <v>#VALUE!</v>
      </c>
      <c r="V436" s="188">
        <v>0.34498254769711173</v>
      </c>
      <c r="W436" s="189" t="e">
        <f t="shared" si="24"/>
        <v>#VALUE!</v>
      </c>
      <c r="X436" s="188">
        <v>0.34498254769711173</v>
      </c>
      <c r="Y436" s="189" t="e">
        <f t="shared" si="25"/>
        <v>#VALUE!</v>
      </c>
      <c r="Z436" s="188">
        <v>0.34498254769711173</v>
      </c>
      <c r="AA436" s="189" t="e">
        <f t="shared" si="26"/>
        <v>#VALUE!</v>
      </c>
    </row>
    <row r="437" spans="1:27" x14ac:dyDescent="0.25">
      <c r="A437">
        <v>320400</v>
      </c>
      <c r="B437">
        <v>17031320400</v>
      </c>
      <c r="C437">
        <v>17031</v>
      </c>
      <c r="D437">
        <v>2010</v>
      </c>
      <c r="E437">
        <v>32</v>
      </c>
      <c r="F437">
        <v>8668560.9628725909</v>
      </c>
      <c r="G437" s="45">
        <v>0.31094183894601524</v>
      </c>
      <c r="H437" s="60" t="str">
        <f>_xlfn.IFNA(
INDEX('Community Areas'!B$2:B$78,MATCH($E437,'Community Areas'!$A$2:$A$78,0)),
"")</f>
        <v>LOOP</v>
      </c>
      <c r="I437" s="63">
        <f>_xlfn.IFNA(
INDEX('Community Areas'!C$2:C$78,MATCH($E437,'Community Areas'!$A$2:$A$78,0)),
"")</f>
        <v>7</v>
      </c>
      <c r="J437" s="63">
        <f>_xlfn.IFNA(
INDEX('Community Areas'!D$2:D$78,MATCH($E437,'Community Areas'!$A$2:$A$78,0)),
"")</f>
        <v>7</v>
      </c>
      <c r="K437" s="60" t="str">
        <f>_xlfn.IFNA(
INDEX('Community Areas'!E$2:E$78,MATCH($E437,'Community Areas'!$A$2:$A$78,0)),
"")</f>
        <v>CENTRAL</v>
      </c>
      <c r="L437" s="17" t="e">
        <f>SUMIFS([1]ACSDT5Y2020.B08301_data_with_ov!AT$3:AT$1334,[1]ACSDT5Y2020.B08301_data_with_ov!$AS$3:$AS$1334,$B437)</f>
        <v>#VALUE!</v>
      </c>
      <c r="M437" s="17" t="e">
        <f>SUMIFS([1]ACSDT5Y2020.B08301_data_with_ov!AU$3:AU$1334,[1]ACSDT5Y2020.B08301_data_with_ov!$AS$3:$AS$1334,$B437)</f>
        <v>#VALUE!</v>
      </c>
      <c r="N437" s="17" t="e">
        <f>SUMIFS([1]ACSDT5Y2020.B08301_data_with_ov!AV$3:AV$1334,[1]ACSDT5Y2020.B08301_data_with_ov!$AS$3:$AS$1334,$B437)</f>
        <v>#VALUE!</v>
      </c>
      <c r="O437" s="17" t="e">
        <f>SUMIFS([1]ACSDT5Y2020.B08301_data_with_ov!AW$3:AW$1334,[1]ACSDT5Y2020.B08301_data_with_ov!$AS$3:$AS$1334,$B437)</f>
        <v>#VALUE!</v>
      </c>
      <c r="P437" s="17" t="e">
        <f>SUMIFS([1]ACSDT5Y2020.B08301_data_with_ov!AX$3:AX$1334,[1]ACSDT5Y2020.B08301_data_with_ov!$AS$3:$AS$1334,$B437)</f>
        <v>#VALUE!</v>
      </c>
      <c r="Q437" s="17" t="e">
        <f>SUMIFS([1]ACSDT5Y2020.B08301_data_with_ov!AY$3:AY$1334,[1]ACSDT5Y2020.B08301_data_with_ov!$AS$3:$AS$1334,$B437)</f>
        <v>#VALUE!</v>
      </c>
      <c r="R437" s="17" t="e">
        <f>SUMIFS([1]ACSDT5Y2020.B08301_data_with_ov!AZ$3:AZ$1334,[1]ACSDT5Y2020.B08301_data_with_ov!$AS$3:$AS$1334,$B437)</f>
        <v>#VALUE!</v>
      </c>
      <c r="S437" s="17" t="e">
        <f>SUMIFS([1]ACSDT5Y2020.B08301_data_with_ov!BA$3:BA$1334,[1]ACSDT5Y2020.B08301_data_with_ov!$AS$3:$AS$1334,$B437)</f>
        <v>#VALUE!</v>
      </c>
      <c r="T437" s="188">
        <v>0.31094183580701584</v>
      </c>
      <c r="U437" s="189" t="e">
        <f t="shared" si="27"/>
        <v>#VALUE!</v>
      </c>
      <c r="V437" s="188">
        <v>0.31094183580701584</v>
      </c>
      <c r="W437" s="189" t="e">
        <f t="shared" si="24"/>
        <v>#VALUE!</v>
      </c>
      <c r="X437" s="188">
        <v>0.31094183580701584</v>
      </c>
      <c r="Y437" s="189" t="e">
        <f t="shared" si="25"/>
        <v>#VALUE!</v>
      </c>
      <c r="Z437" s="188">
        <v>0.31094183580701584</v>
      </c>
      <c r="AA437" s="189" t="e">
        <f t="shared" si="26"/>
        <v>#VALUE!</v>
      </c>
    </row>
    <row r="438" spans="1:27" x14ac:dyDescent="0.25">
      <c r="A438">
        <v>834200</v>
      </c>
      <c r="B438">
        <v>17031834200</v>
      </c>
      <c r="C438">
        <v>17031</v>
      </c>
      <c r="D438">
        <v>2010</v>
      </c>
      <c r="E438">
        <v>43</v>
      </c>
      <c r="F438">
        <v>10498808.2480214</v>
      </c>
      <c r="G438" s="45">
        <v>0.37659292671105227</v>
      </c>
      <c r="H438" s="60" t="str">
        <f>_xlfn.IFNA(
INDEX('Community Areas'!B$2:B$78,MATCH($E438,'Community Areas'!$A$2:$A$78,0)),
"")</f>
        <v>SOUTH SHORE</v>
      </c>
      <c r="I438" s="63" t="str">
        <f>_xlfn.IFNA(
INDEX('Community Areas'!C$2:C$78,MATCH($E438,'Community Areas'!$A$2:$A$78,0)),
"")</f>
        <v>6-B</v>
      </c>
      <c r="J438" s="63">
        <f>_xlfn.IFNA(
INDEX('Community Areas'!D$2:D$78,MATCH($E438,'Community Areas'!$A$2:$A$78,0)),
"")</f>
        <v>6</v>
      </c>
      <c r="K438" s="60" t="str">
        <f>_xlfn.IFNA(
INDEX('Community Areas'!E$2:E$78,MATCH($E438,'Community Areas'!$A$2:$A$78,0)),
"")</f>
        <v>SOUTH</v>
      </c>
      <c r="L438" s="17" t="e">
        <f>SUMIFS([1]ACSDT5Y2020.B08301_data_with_ov!AT$3:AT$1334,[1]ACSDT5Y2020.B08301_data_with_ov!$AS$3:$AS$1334,$B438)</f>
        <v>#VALUE!</v>
      </c>
      <c r="M438" s="17" t="e">
        <f>SUMIFS([1]ACSDT5Y2020.B08301_data_with_ov!AU$3:AU$1334,[1]ACSDT5Y2020.B08301_data_with_ov!$AS$3:$AS$1334,$B438)</f>
        <v>#VALUE!</v>
      </c>
      <c r="N438" s="17" t="e">
        <f>SUMIFS([1]ACSDT5Y2020.B08301_data_with_ov!AV$3:AV$1334,[1]ACSDT5Y2020.B08301_data_with_ov!$AS$3:$AS$1334,$B438)</f>
        <v>#VALUE!</v>
      </c>
      <c r="O438" s="17" t="e">
        <f>SUMIFS([1]ACSDT5Y2020.B08301_data_with_ov!AW$3:AW$1334,[1]ACSDT5Y2020.B08301_data_with_ov!$AS$3:$AS$1334,$B438)</f>
        <v>#VALUE!</v>
      </c>
      <c r="P438" s="17" t="e">
        <f>SUMIFS([1]ACSDT5Y2020.B08301_data_with_ov!AX$3:AX$1334,[1]ACSDT5Y2020.B08301_data_with_ov!$AS$3:$AS$1334,$B438)</f>
        <v>#VALUE!</v>
      </c>
      <c r="Q438" s="17" t="e">
        <f>SUMIFS([1]ACSDT5Y2020.B08301_data_with_ov!AY$3:AY$1334,[1]ACSDT5Y2020.B08301_data_with_ov!$AS$3:$AS$1334,$B438)</f>
        <v>#VALUE!</v>
      </c>
      <c r="R438" s="17" t="e">
        <f>SUMIFS([1]ACSDT5Y2020.B08301_data_with_ov!AZ$3:AZ$1334,[1]ACSDT5Y2020.B08301_data_with_ov!$AS$3:$AS$1334,$B438)</f>
        <v>#VALUE!</v>
      </c>
      <c r="S438" s="17" t="e">
        <f>SUMIFS([1]ACSDT5Y2020.B08301_data_with_ov!BA$3:BA$1334,[1]ACSDT5Y2020.B08301_data_with_ov!$AS$3:$AS$1334,$B438)</f>
        <v>#VALUE!</v>
      </c>
      <c r="T438" s="188">
        <v>0.3668492460682285</v>
      </c>
      <c r="U438" s="189" t="e">
        <f t="shared" si="27"/>
        <v>#VALUE!</v>
      </c>
      <c r="V438" s="188">
        <v>0.3668492460682285</v>
      </c>
      <c r="W438" s="189" t="e">
        <f t="shared" si="24"/>
        <v>#VALUE!</v>
      </c>
      <c r="X438" s="188">
        <v>0.3668492460682285</v>
      </c>
      <c r="Y438" s="189" t="e">
        <f t="shared" si="25"/>
        <v>#VALUE!</v>
      </c>
      <c r="Z438" s="188">
        <v>0.3668492460682285</v>
      </c>
      <c r="AA438" s="189" t="e">
        <f t="shared" si="26"/>
        <v>#VALUE!</v>
      </c>
    </row>
    <row r="439" spans="1:27" x14ac:dyDescent="0.25">
      <c r="A439">
        <v>430600</v>
      </c>
      <c r="B439">
        <v>17031430600</v>
      </c>
      <c r="C439">
        <v>17031</v>
      </c>
      <c r="D439">
        <v>2010</v>
      </c>
      <c r="E439">
        <v>43</v>
      </c>
      <c r="F439">
        <v>3481796.4749015602</v>
      </c>
      <c r="G439" s="45">
        <v>0.1248922633616549</v>
      </c>
      <c r="H439" s="60" t="str">
        <f>_xlfn.IFNA(
INDEX('Community Areas'!B$2:B$78,MATCH($E439,'Community Areas'!$A$2:$A$78,0)),
"")</f>
        <v>SOUTH SHORE</v>
      </c>
      <c r="I439" s="63" t="str">
        <f>_xlfn.IFNA(
INDEX('Community Areas'!C$2:C$78,MATCH($E439,'Community Areas'!$A$2:$A$78,0)),
"")</f>
        <v>6-B</v>
      </c>
      <c r="J439" s="63">
        <f>_xlfn.IFNA(
INDEX('Community Areas'!D$2:D$78,MATCH($E439,'Community Areas'!$A$2:$A$78,0)),
"")</f>
        <v>6</v>
      </c>
      <c r="K439" s="60" t="str">
        <f>_xlfn.IFNA(
INDEX('Community Areas'!E$2:E$78,MATCH($E439,'Community Areas'!$A$2:$A$78,0)),
"")</f>
        <v>SOUTH</v>
      </c>
      <c r="L439" s="17" t="e">
        <f>SUMIFS([1]ACSDT5Y2020.B08301_data_with_ov!AT$3:AT$1334,[1]ACSDT5Y2020.B08301_data_with_ov!$AS$3:$AS$1334,$B439)</f>
        <v>#VALUE!</v>
      </c>
      <c r="M439" s="17" t="e">
        <f>SUMIFS([1]ACSDT5Y2020.B08301_data_with_ov!AU$3:AU$1334,[1]ACSDT5Y2020.B08301_data_with_ov!$AS$3:$AS$1334,$B439)</f>
        <v>#VALUE!</v>
      </c>
      <c r="N439" s="17" t="e">
        <f>SUMIFS([1]ACSDT5Y2020.B08301_data_with_ov!AV$3:AV$1334,[1]ACSDT5Y2020.B08301_data_with_ov!$AS$3:$AS$1334,$B439)</f>
        <v>#VALUE!</v>
      </c>
      <c r="O439" s="17" t="e">
        <f>SUMIFS([1]ACSDT5Y2020.B08301_data_with_ov!AW$3:AW$1334,[1]ACSDT5Y2020.B08301_data_with_ov!$AS$3:$AS$1334,$B439)</f>
        <v>#VALUE!</v>
      </c>
      <c r="P439" s="17" t="e">
        <f>SUMIFS([1]ACSDT5Y2020.B08301_data_with_ov!AX$3:AX$1334,[1]ACSDT5Y2020.B08301_data_with_ov!$AS$3:$AS$1334,$B439)</f>
        <v>#VALUE!</v>
      </c>
      <c r="Q439" s="17" t="e">
        <f>SUMIFS([1]ACSDT5Y2020.B08301_data_with_ov!AY$3:AY$1334,[1]ACSDT5Y2020.B08301_data_with_ov!$AS$3:$AS$1334,$B439)</f>
        <v>#VALUE!</v>
      </c>
      <c r="R439" s="17" t="e">
        <f>SUMIFS([1]ACSDT5Y2020.B08301_data_with_ov!AZ$3:AZ$1334,[1]ACSDT5Y2020.B08301_data_with_ov!$AS$3:$AS$1334,$B439)</f>
        <v>#VALUE!</v>
      </c>
      <c r="S439" s="17" t="e">
        <f>SUMIFS([1]ACSDT5Y2020.B08301_data_with_ov!BA$3:BA$1334,[1]ACSDT5Y2020.B08301_data_with_ov!$AS$3:$AS$1334,$B439)</f>
        <v>#VALUE!</v>
      </c>
      <c r="T439" s="188">
        <v>0.1137578123896149</v>
      </c>
      <c r="U439" s="189" t="e">
        <f t="shared" si="27"/>
        <v>#VALUE!</v>
      </c>
      <c r="V439" s="188">
        <v>0.1137578123896149</v>
      </c>
      <c r="W439" s="189" t="e">
        <f t="shared" si="24"/>
        <v>#VALUE!</v>
      </c>
      <c r="X439" s="188">
        <v>0.1137578123896149</v>
      </c>
      <c r="Y439" s="189" t="e">
        <f t="shared" si="25"/>
        <v>#VALUE!</v>
      </c>
      <c r="Z439" s="188">
        <v>0.1137578123896149</v>
      </c>
      <c r="AA439" s="189" t="e">
        <f t="shared" si="26"/>
        <v>#VALUE!</v>
      </c>
    </row>
    <row r="440" spans="1:27" x14ac:dyDescent="0.25">
      <c r="A440">
        <v>431302</v>
      </c>
      <c r="B440">
        <v>17031431302</v>
      </c>
      <c r="C440">
        <v>17031</v>
      </c>
      <c r="D440">
        <v>2010</v>
      </c>
      <c r="E440">
        <v>43</v>
      </c>
      <c r="F440">
        <v>4657199.4317799797</v>
      </c>
      <c r="G440" s="45">
        <v>0.16705404297879289</v>
      </c>
      <c r="H440" s="60" t="str">
        <f>_xlfn.IFNA(
INDEX('Community Areas'!B$2:B$78,MATCH($E440,'Community Areas'!$A$2:$A$78,0)),
"")</f>
        <v>SOUTH SHORE</v>
      </c>
      <c r="I440" s="63" t="str">
        <f>_xlfn.IFNA(
INDEX('Community Areas'!C$2:C$78,MATCH($E440,'Community Areas'!$A$2:$A$78,0)),
"")</f>
        <v>6-B</v>
      </c>
      <c r="J440" s="63">
        <f>_xlfn.IFNA(
INDEX('Community Areas'!D$2:D$78,MATCH($E440,'Community Areas'!$A$2:$A$78,0)),
"")</f>
        <v>6</v>
      </c>
      <c r="K440" s="60" t="str">
        <f>_xlfn.IFNA(
INDEX('Community Areas'!E$2:E$78,MATCH($E440,'Community Areas'!$A$2:$A$78,0)),
"")</f>
        <v>SOUTH</v>
      </c>
      <c r="L440" s="17" t="e">
        <f>SUMIFS([1]ACSDT5Y2020.B08301_data_with_ov!AT$3:AT$1334,[1]ACSDT5Y2020.B08301_data_with_ov!$AS$3:$AS$1334,$B440)</f>
        <v>#VALUE!</v>
      </c>
      <c r="M440" s="17" t="e">
        <f>SUMIFS([1]ACSDT5Y2020.B08301_data_with_ov!AU$3:AU$1334,[1]ACSDT5Y2020.B08301_data_with_ov!$AS$3:$AS$1334,$B440)</f>
        <v>#VALUE!</v>
      </c>
      <c r="N440" s="17" t="e">
        <f>SUMIFS([1]ACSDT5Y2020.B08301_data_with_ov!AV$3:AV$1334,[1]ACSDT5Y2020.B08301_data_with_ov!$AS$3:$AS$1334,$B440)</f>
        <v>#VALUE!</v>
      </c>
      <c r="O440" s="17" t="e">
        <f>SUMIFS([1]ACSDT5Y2020.B08301_data_with_ov!AW$3:AW$1334,[1]ACSDT5Y2020.B08301_data_with_ov!$AS$3:$AS$1334,$B440)</f>
        <v>#VALUE!</v>
      </c>
      <c r="P440" s="17" t="e">
        <f>SUMIFS([1]ACSDT5Y2020.B08301_data_with_ov!AX$3:AX$1334,[1]ACSDT5Y2020.B08301_data_with_ov!$AS$3:$AS$1334,$B440)</f>
        <v>#VALUE!</v>
      </c>
      <c r="Q440" s="17" t="e">
        <f>SUMIFS([1]ACSDT5Y2020.B08301_data_with_ov!AY$3:AY$1334,[1]ACSDT5Y2020.B08301_data_with_ov!$AS$3:$AS$1334,$B440)</f>
        <v>#VALUE!</v>
      </c>
      <c r="R440" s="17" t="e">
        <f>SUMIFS([1]ACSDT5Y2020.B08301_data_with_ov!AZ$3:AZ$1334,[1]ACSDT5Y2020.B08301_data_with_ov!$AS$3:$AS$1334,$B440)</f>
        <v>#VALUE!</v>
      </c>
      <c r="S440" s="17" t="e">
        <f>SUMIFS([1]ACSDT5Y2020.B08301_data_with_ov!BA$3:BA$1334,[1]ACSDT5Y2020.B08301_data_with_ov!$AS$3:$AS$1334,$B440)</f>
        <v>#VALUE!</v>
      </c>
      <c r="T440" s="188">
        <v>0.15782842986518775</v>
      </c>
      <c r="U440" s="189" t="e">
        <f t="shared" si="27"/>
        <v>#VALUE!</v>
      </c>
      <c r="V440" s="188">
        <v>0.15782842986518775</v>
      </c>
      <c r="W440" s="189" t="e">
        <f t="shared" si="24"/>
        <v>#VALUE!</v>
      </c>
      <c r="X440" s="188">
        <v>0.15782842986518775</v>
      </c>
      <c r="Y440" s="189" t="e">
        <f t="shared" si="25"/>
        <v>#VALUE!</v>
      </c>
      <c r="Z440" s="188">
        <v>0.15782842986518775</v>
      </c>
      <c r="AA440" s="189" t="e">
        <f t="shared" si="26"/>
        <v>#VALUE!</v>
      </c>
    </row>
    <row r="441" spans="1:27" x14ac:dyDescent="0.25">
      <c r="A441">
        <v>430101</v>
      </c>
      <c r="B441">
        <v>17031430101</v>
      </c>
      <c r="C441">
        <v>17031</v>
      </c>
      <c r="D441">
        <v>2010</v>
      </c>
      <c r="E441">
        <v>43</v>
      </c>
      <c r="F441">
        <v>3587566.1781517402</v>
      </c>
      <c r="G441" s="45">
        <v>0.12868622941602603</v>
      </c>
      <c r="H441" s="60" t="str">
        <f>_xlfn.IFNA(
INDEX('Community Areas'!B$2:B$78,MATCH($E441,'Community Areas'!$A$2:$A$78,0)),
"")</f>
        <v>SOUTH SHORE</v>
      </c>
      <c r="I441" s="63" t="str">
        <f>_xlfn.IFNA(
INDEX('Community Areas'!C$2:C$78,MATCH($E441,'Community Areas'!$A$2:$A$78,0)),
"")</f>
        <v>6-B</v>
      </c>
      <c r="J441" s="63">
        <f>_xlfn.IFNA(
INDEX('Community Areas'!D$2:D$78,MATCH($E441,'Community Areas'!$A$2:$A$78,0)),
"")</f>
        <v>6</v>
      </c>
      <c r="K441" s="60" t="str">
        <f>_xlfn.IFNA(
INDEX('Community Areas'!E$2:E$78,MATCH($E441,'Community Areas'!$A$2:$A$78,0)),
"")</f>
        <v>SOUTH</v>
      </c>
      <c r="L441" s="17" t="e">
        <f>SUMIFS([1]ACSDT5Y2020.B08301_data_with_ov!AT$3:AT$1334,[1]ACSDT5Y2020.B08301_data_with_ov!$AS$3:$AS$1334,$B441)</f>
        <v>#VALUE!</v>
      </c>
      <c r="M441" s="17" t="e">
        <f>SUMIFS([1]ACSDT5Y2020.B08301_data_with_ov!AU$3:AU$1334,[1]ACSDT5Y2020.B08301_data_with_ov!$AS$3:$AS$1334,$B441)</f>
        <v>#VALUE!</v>
      </c>
      <c r="N441" s="17" t="e">
        <f>SUMIFS([1]ACSDT5Y2020.B08301_data_with_ov!AV$3:AV$1334,[1]ACSDT5Y2020.B08301_data_with_ov!$AS$3:$AS$1334,$B441)</f>
        <v>#VALUE!</v>
      </c>
      <c r="O441" s="17" t="e">
        <f>SUMIFS([1]ACSDT5Y2020.B08301_data_with_ov!AW$3:AW$1334,[1]ACSDT5Y2020.B08301_data_with_ov!$AS$3:$AS$1334,$B441)</f>
        <v>#VALUE!</v>
      </c>
      <c r="P441" s="17" t="e">
        <f>SUMIFS([1]ACSDT5Y2020.B08301_data_with_ov!AX$3:AX$1334,[1]ACSDT5Y2020.B08301_data_with_ov!$AS$3:$AS$1334,$B441)</f>
        <v>#VALUE!</v>
      </c>
      <c r="Q441" s="17" t="e">
        <f>SUMIFS([1]ACSDT5Y2020.B08301_data_with_ov!AY$3:AY$1334,[1]ACSDT5Y2020.B08301_data_with_ov!$AS$3:$AS$1334,$B441)</f>
        <v>#VALUE!</v>
      </c>
      <c r="R441" s="17" t="e">
        <f>SUMIFS([1]ACSDT5Y2020.B08301_data_with_ov!AZ$3:AZ$1334,[1]ACSDT5Y2020.B08301_data_with_ov!$AS$3:$AS$1334,$B441)</f>
        <v>#VALUE!</v>
      </c>
      <c r="S441" s="17" t="e">
        <f>SUMIFS([1]ACSDT5Y2020.B08301_data_with_ov!BA$3:BA$1334,[1]ACSDT5Y2020.B08301_data_with_ov!$AS$3:$AS$1334,$B441)</f>
        <v>#VALUE!</v>
      </c>
      <c r="T441" s="188">
        <v>0.12612152306927443</v>
      </c>
      <c r="U441" s="189" t="e">
        <f t="shared" si="27"/>
        <v>#VALUE!</v>
      </c>
      <c r="V441" s="188">
        <v>0.12612152306927443</v>
      </c>
      <c r="W441" s="189" t="e">
        <f t="shared" si="24"/>
        <v>#VALUE!</v>
      </c>
      <c r="X441" s="188">
        <v>0.12612152306927443</v>
      </c>
      <c r="Y441" s="189" t="e">
        <f t="shared" si="25"/>
        <v>#VALUE!</v>
      </c>
      <c r="Z441" s="188">
        <v>0.12612152306927443</v>
      </c>
      <c r="AA441" s="189" t="e">
        <f t="shared" si="26"/>
        <v>#VALUE!</v>
      </c>
    </row>
    <row r="442" spans="1:27" x14ac:dyDescent="0.25">
      <c r="A442">
        <v>430900</v>
      </c>
      <c r="B442">
        <v>17031430900</v>
      </c>
      <c r="C442">
        <v>17031</v>
      </c>
      <c r="D442">
        <v>2010</v>
      </c>
      <c r="E442">
        <v>43</v>
      </c>
      <c r="F442">
        <v>3622329.5771603598</v>
      </c>
      <c r="G442" s="45">
        <v>0.12993319477302714</v>
      </c>
      <c r="H442" s="60" t="str">
        <f>_xlfn.IFNA(
INDEX('Community Areas'!B$2:B$78,MATCH($E442,'Community Areas'!$A$2:$A$78,0)),
"")</f>
        <v>SOUTH SHORE</v>
      </c>
      <c r="I442" s="63" t="str">
        <f>_xlfn.IFNA(
INDEX('Community Areas'!C$2:C$78,MATCH($E442,'Community Areas'!$A$2:$A$78,0)),
"")</f>
        <v>6-B</v>
      </c>
      <c r="J442" s="63">
        <f>_xlfn.IFNA(
INDEX('Community Areas'!D$2:D$78,MATCH($E442,'Community Areas'!$A$2:$A$78,0)),
"")</f>
        <v>6</v>
      </c>
      <c r="K442" s="60" t="str">
        <f>_xlfn.IFNA(
INDEX('Community Areas'!E$2:E$78,MATCH($E442,'Community Areas'!$A$2:$A$78,0)),
"")</f>
        <v>SOUTH</v>
      </c>
      <c r="L442" s="17" t="e">
        <f>SUMIFS([1]ACSDT5Y2020.B08301_data_with_ov!AT$3:AT$1334,[1]ACSDT5Y2020.B08301_data_with_ov!$AS$3:$AS$1334,$B442)</f>
        <v>#VALUE!</v>
      </c>
      <c r="M442" s="17" t="e">
        <f>SUMIFS([1]ACSDT5Y2020.B08301_data_with_ov!AU$3:AU$1334,[1]ACSDT5Y2020.B08301_data_with_ov!$AS$3:$AS$1334,$B442)</f>
        <v>#VALUE!</v>
      </c>
      <c r="N442" s="17" t="e">
        <f>SUMIFS([1]ACSDT5Y2020.B08301_data_with_ov!AV$3:AV$1334,[1]ACSDT5Y2020.B08301_data_with_ov!$AS$3:$AS$1334,$B442)</f>
        <v>#VALUE!</v>
      </c>
      <c r="O442" s="17" t="e">
        <f>SUMIFS([1]ACSDT5Y2020.B08301_data_with_ov!AW$3:AW$1334,[1]ACSDT5Y2020.B08301_data_with_ov!$AS$3:$AS$1334,$B442)</f>
        <v>#VALUE!</v>
      </c>
      <c r="P442" s="17" t="e">
        <f>SUMIFS([1]ACSDT5Y2020.B08301_data_with_ov!AX$3:AX$1334,[1]ACSDT5Y2020.B08301_data_with_ov!$AS$3:$AS$1334,$B442)</f>
        <v>#VALUE!</v>
      </c>
      <c r="Q442" s="17" t="e">
        <f>SUMIFS([1]ACSDT5Y2020.B08301_data_with_ov!AY$3:AY$1334,[1]ACSDT5Y2020.B08301_data_with_ov!$AS$3:$AS$1334,$B442)</f>
        <v>#VALUE!</v>
      </c>
      <c r="R442" s="17" t="e">
        <f>SUMIFS([1]ACSDT5Y2020.B08301_data_with_ov!AZ$3:AZ$1334,[1]ACSDT5Y2020.B08301_data_with_ov!$AS$3:$AS$1334,$B442)</f>
        <v>#VALUE!</v>
      </c>
      <c r="S442" s="17" t="e">
        <f>SUMIFS([1]ACSDT5Y2020.B08301_data_with_ov!BA$3:BA$1334,[1]ACSDT5Y2020.B08301_data_with_ov!$AS$3:$AS$1334,$B442)</f>
        <v>#VALUE!</v>
      </c>
      <c r="T442" s="188">
        <v>0.12029672733814638</v>
      </c>
      <c r="U442" s="189" t="e">
        <f t="shared" si="27"/>
        <v>#VALUE!</v>
      </c>
      <c r="V442" s="188">
        <v>0.12029672733814638</v>
      </c>
      <c r="W442" s="189" t="e">
        <f t="shared" si="24"/>
        <v>#VALUE!</v>
      </c>
      <c r="X442" s="188">
        <v>0.12029672733814638</v>
      </c>
      <c r="Y442" s="189" t="e">
        <f t="shared" si="25"/>
        <v>#VALUE!</v>
      </c>
      <c r="Z442" s="188">
        <v>0.12029672733814638</v>
      </c>
      <c r="AA442" s="189" t="e">
        <f t="shared" si="26"/>
        <v>#VALUE!</v>
      </c>
    </row>
    <row r="443" spans="1:27" x14ac:dyDescent="0.25">
      <c r="A443">
        <v>431200</v>
      </c>
      <c r="B443">
        <v>17031431200</v>
      </c>
      <c r="C443">
        <v>17031</v>
      </c>
      <c r="D443">
        <v>2010</v>
      </c>
      <c r="E443">
        <v>43</v>
      </c>
      <c r="F443">
        <v>7054090.54404952</v>
      </c>
      <c r="G443" s="45">
        <v>0.25303068124603706</v>
      </c>
      <c r="H443" s="60" t="str">
        <f>_xlfn.IFNA(
INDEX('Community Areas'!B$2:B$78,MATCH($E443,'Community Areas'!$A$2:$A$78,0)),
"")</f>
        <v>SOUTH SHORE</v>
      </c>
      <c r="I443" s="63" t="str">
        <f>_xlfn.IFNA(
INDEX('Community Areas'!C$2:C$78,MATCH($E443,'Community Areas'!$A$2:$A$78,0)),
"")</f>
        <v>6-B</v>
      </c>
      <c r="J443" s="63">
        <f>_xlfn.IFNA(
INDEX('Community Areas'!D$2:D$78,MATCH($E443,'Community Areas'!$A$2:$A$78,0)),
"")</f>
        <v>6</v>
      </c>
      <c r="K443" s="60" t="str">
        <f>_xlfn.IFNA(
INDEX('Community Areas'!E$2:E$78,MATCH($E443,'Community Areas'!$A$2:$A$78,0)),
"")</f>
        <v>SOUTH</v>
      </c>
      <c r="L443" s="17" t="e">
        <f>SUMIFS([1]ACSDT5Y2020.B08301_data_with_ov!AT$3:AT$1334,[1]ACSDT5Y2020.B08301_data_with_ov!$AS$3:$AS$1334,$B443)</f>
        <v>#VALUE!</v>
      </c>
      <c r="M443" s="17" t="e">
        <f>SUMIFS([1]ACSDT5Y2020.B08301_data_with_ov!AU$3:AU$1334,[1]ACSDT5Y2020.B08301_data_with_ov!$AS$3:$AS$1334,$B443)</f>
        <v>#VALUE!</v>
      </c>
      <c r="N443" s="17" t="e">
        <f>SUMIFS([1]ACSDT5Y2020.B08301_data_with_ov!AV$3:AV$1334,[1]ACSDT5Y2020.B08301_data_with_ov!$AS$3:$AS$1334,$B443)</f>
        <v>#VALUE!</v>
      </c>
      <c r="O443" s="17" t="e">
        <f>SUMIFS([1]ACSDT5Y2020.B08301_data_with_ov!AW$3:AW$1334,[1]ACSDT5Y2020.B08301_data_with_ov!$AS$3:$AS$1334,$B443)</f>
        <v>#VALUE!</v>
      </c>
      <c r="P443" s="17" t="e">
        <f>SUMIFS([1]ACSDT5Y2020.B08301_data_with_ov!AX$3:AX$1334,[1]ACSDT5Y2020.B08301_data_with_ov!$AS$3:$AS$1334,$B443)</f>
        <v>#VALUE!</v>
      </c>
      <c r="Q443" s="17" t="e">
        <f>SUMIFS([1]ACSDT5Y2020.B08301_data_with_ov!AY$3:AY$1334,[1]ACSDT5Y2020.B08301_data_with_ov!$AS$3:$AS$1334,$B443)</f>
        <v>#VALUE!</v>
      </c>
      <c r="R443" s="17" t="e">
        <f>SUMIFS([1]ACSDT5Y2020.B08301_data_with_ov!AZ$3:AZ$1334,[1]ACSDT5Y2020.B08301_data_with_ov!$AS$3:$AS$1334,$B443)</f>
        <v>#VALUE!</v>
      </c>
      <c r="S443" s="17" t="e">
        <f>SUMIFS([1]ACSDT5Y2020.B08301_data_with_ov!BA$3:BA$1334,[1]ACSDT5Y2020.B08301_data_with_ov!$AS$3:$AS$1334,$B443)</f>
        <v>#VALUE!</v>
      </c>
      <c r="T443" s="188">
        <v>2.5746063857773043E-2</v>
      </c>
      <c r="U443" s="189" t="e">
        <f t="shared" si="27"/>
        <v>#VALUE!</v>
      </c>
      <c r="V443" s="188">
        <v>2.5746063857773043E-2</v>
      </c>
      <c r="W443" s="189" t="e">
        <f t="shared" si="24"/>
        <v>#VALUE!</v>
      </c>
      <c r="X443" s="188">
        <v>2.5746063857773043E-2</v>
      </c>
      <c r="Y443" s="189" t="e">
        <f t="shared" si="25"/>
        <v>#VALUE!</v>
      </c>
      <c r="Z443" s="188">
        <v>2.5746063857773043E-2</v>
      </c>
      <c r="AA443" s="189" t="e">
        <f t="shared" si="26"/>
        <v>#VALUE!</v>
      </c>
    </row>
    <row r="444" spans="1:27" x14ac:dyDescent="0.25">
      <c r="A444">
        <v>431400</v>
      </c>
      <c r="B444">
        <v>17031431400</v>
      </c>
      <c r="C444">
        <v>17031</v>
      </c>
      <c r="D444">
        <v>2010</v>
      </c>
      <c r="E444">
        <v>43</v>
      </c>
      <c r="F444">
        <v>11406665.9812604</v>
      </c>
      <c r="G444" s="45">
        <v>0.40915784195866334</v>
      </c>
      <c r="H444" s="60" t="str">
        <f>_xlfn.IFNA(
INDEX('Community Areas'!B$2:B$78,MATCH($E444,'Community Areas'!$A$2:$A$78,0)),
"")</f>
        <v>SOUTH SHORE</v>
      </c>
      <c r="I444" s="63" t="str">
        <f>_xlfn.IFNA(
INDEX('Community Areas'!C$2:C$78,MATCH($E444,'Community Areas'!$A$2:$A$78,0)),
"")</f>
        <v>6-B</v>
      </c>
      <c r="J444" s="63">
        <f>_xlfn.IFNA(
INDEX('Community Areas'!D$2:D$78,MATCH($E444,'Community Areas'!$A$2:$A$78,0)),
"")</f>
        <v>6</v>
      </c>
      <c r="K444" s="60" t="str">
        <f>_xlfn.IFNA(
INDEX('Community Areas'!E$2:E$78,MATCH($E444,'Community Areas'!$A$2:$A$78,0)),
"")</f>
        <v>SOUTH</v>
      </c>
      <c r="L444" s="17" t="e">
        <f>SUMIFS([1]ACSDT5Y2020.B08301_data_with_ov!AT$3:AT$1334,[1]ACSDT5Y2020.B08301_data_with_ov!$AS$3:$AS$1334,$B444)</f>
        <v>#VALUE!</v>
      </c>
      <c r="M444" s="17" t="e">
        <f>SUMIFS([1]ACSDT5Y2020.B08301_data_with_ov!AU$3:AU$1334,[1]ACSDT5Y2020.B08301_data_with_ov!$AS$3:$AS$1334,$B444)</f>
        <v>#VALUE!</v>
      </c>
      <c r="N444" s="17" t="e">
        <f>SUMIFS([1]ACSDT5Y2020.B08301_data_with_ov!AV$3:AV$1334,[1]ACSDT5Y2020.B08301_data_with_ov!$AS$3:$AS$1334,$B444)</f>
        <v>#VALUE!</v>
      </c>
      <c r="O444" s="17" t="e">
        <f>SUMIFS([1]ACSDT5Y2020.B08301_data_with_ov!AW$3:AW$1334,[1]ACSDT5Y2020.B08301_data_with_ov!$AS$3:$AS$1334,$B444)</f>
        <v>#VALUE!</v>
      </c>
      <c r="P444" s="17" t="e">
        <f>SUMIFS([1]ACSDT5Y2020.B08301_data_with_ov!AX$3:AX$1334,[1]ACSDT5Y2020.B08301_data_with_ov!$AS$3:$AS$1334,$B444)</f>
        <v>#VALUE!</v>
      </c>
      <c r="Q444" s="17" t="e">
        <f>SUMIFS([1]ACSDT5Y2020.B08301_data_with_ov!AY$3:AY$1334,[1]ACSDT5Y2020.B08301_data_with_ov!$AS$3:$AS$1334,$B444)</f>
        <v>#VALUE!</v>
      </c>
      <c r="R444" s="17" t="e">
        <f>SUMIFS([1]ACSDT5Y2020.B08301_data_with_ov!AZ$3:AZ$1334,[1]ACSDT5Y2020.B08301_data_with_ov!$AS$3:$AS$1334,$B444)</f>
        <v>#VALUE!</v>
      </c>
      <c r="S444" s="17" t="e">
        <f>SUMIFS([1]ACSDT5Y2020.B08301_data_with_ov!BA$3:BA$1334,[1]ACSDT5Y2020.B08301_data_with_ov!$AS$3:$AS$1334,$B444)</f>
        <v>#VALUE!</v>
      </c>
      <c r="T444" s="188">
        <v>0.40491297165856721</v>
      </c>
      <c r="U444" s="189" t="e">
        <f t="shared" si="27"/>
        <v>#VALUE!</v>
      </c>
      <c r="V444" s="188">
        <v>0.40491297165856721</v>
      </c>
      <c r="W444" s="189" t="e">
        <f t="shared" si="24"/>
        <v>#VALUE!</v>
      </c>
      <c r="X444" s="188">
        <v>0.40491297165856721</v>
      </c>
      <c r="Y444" s="189" t="e">
        <f t="shared" si="25"/>
        <v>#VALUE!</v>
      </c>
      <c r="Z444" s="188">
        <v>0.40491297165856721</v>
      </c>
      <c r="AA444" s="189" t="e">
        <f t="shared" si="26"/>
        <v>#VALUE!</v>
      </c>
    </row>
    <row r="445" spans="1:27" x14ac:dyDescent="0.25">
      <c r="A445">
        <v>430500</v>
      </c>
      <c r="B445">
        <v>17031430500</v>
      </c>
      <c r="C445">
        <v>17031</v>
      </c>
      <c r="D445">
        <v>2010</v>
      </c>
      <c r="E445">
        <v>43</v>
      </c>
      <c r="F445">
        <v>3549856.22469434</v>
      </c>
      <c r="G445" s="45">
        <v>0.12733357096154513</v>
      </c>
      <c r="H445" s="60" t="str">
        <f>_xlfn.IFNA(
INDEX('Community Areas'!B$2:B$78,MATCH($E445,'Community Areas'!$A$2:$A$78,0)),
"")</f>
        <v>SOUTH SHORE</v>
      </c>
      <c r="I445" s="63" t="str">
        <f>_xlfn.IFNA(
INDEX('Community Areas'!C$2:C$78,MATCH($E445,'Community Areas'!$A$2:$A$78,0)),
"")</f>
        <v>6-B</v>
      </c>
      <c r="J445" s="63">
        <f>_xlfn.IFNA(
INDEX('Community Areas'!D$2:D$78,MATCH($E445,'Community Areas'!$A$2:$A$78,0)),
"")</f>
        <v>6</v>
      </c>
      <c r="K445" s="60" t="str">
        <f>_xlfn.IFNA(
INDEX('Community Areas'!E$2:E$78,MATCH($E445,'Community Areas'!$A$2:$A$78,0)),
"")</f>
        <v>SOUTH</v>
      </c>
      <c r="L445" s="17" t="e">
        <f>SUMIFS([1]ACSDT5Y2020.B08301_data_with_ov!AT$3:AT$1334,[1]ACSDT5Y2020.B08301_data_with_ov!$AS$3:$AS$1334,$B445)</f>
        <v>#VALUE!</v>
      </c>
      <c r="M445" s="17" t="e">
        <f>SUMIFS([1]ACSDT5Y2020.B08301_data_with_ov!AU$3:AU$1334,[1]ACSDT5Y2020.B08301_data_with_ov!$AS$3:$AS$1334,$B445)</f>
        <v>#VALUE!</v>
      </c>
      <c r="N445" s="17" t="e">
        <f>SUMIFS([1]ACSDT5Y2020.B08301_data_with_ov!AV$3:AV$1334,[1]ACSDT5Y2020.B08301_data_with_ov!$AS$3:$AS$1334,$B445)</f>
        <v>#VALUE!</v>
      </c>
      <c r="O445" s="17" t="e">
        <f>SUMIFS([1]ACSDT5Y2020.B08301_data_with_ov!AW$3:AW$1334,[1]ACSDT5Y2020.B08301_data_with_ov!$AS$3:$AS$1334,$B445)</f>
        <v>#VALUE!</v>
      </c>
      <c r="P445" s="17" t="e">
        <f>SUMIFS([1]ACSDT5Y2020.B08301_data_with_ov!AX$3:AX$1334,[1]ACSDT5Y2020.B08301_data_with_ov!$AS$3:$AS$1334,$B445)</f>
        <v>#VALUE!</v>
      </c>
      <c r="Q445" s="17" t="e">
        <f>SUMIFS([1]ACSDT5Y2020.B08301_data_with_ov!AY$3:AY$1334,[1]ACSDT5Y2020.B08301_data_with_ov!$AS$3:$AS$1334,$B445)</f>
        <v>#VALUE!</v>
      </c>
      <c r="R445" s="17" t="e">
        <f>SUMIFS([1]ACSDT5Y2020.B08301_data_with_ov!AZ$3:AZ$1334,[1]ACSDT5Y2020.B08301_data_with_ov!$AS$3:$AS$1334,$B445)</f>
        <v>#VALUE!</v>
      </c>
      <c r="S445" s="17" t="e">
        <f>SUMIFS([1]ACSDT5Y2020.B08301_data_with_ov!BA$3:BA$1334,[1]ACSDT5Y2020.B08301_data_with_ov!$AS$3:$AS$1334,$B445)</f>
        <v>#VALUE!</v>
      </c>
      <c r="T445" s="188">
        <v>7.6462758270746514E-2</v>
      </c>
      <c r="U445" s="189" t="e">
        <f t="shared" si="27"/>
        <v>#VALUE!</v>
      </c>
      <c r="V445" s="188">
        <v>7.6462758270746514E-2</v>
      </c>
      <c r="W445" s="189" t="e">
        <f t="shared" si="24"/>
        <v>#VALUE!</v>
      </c>
      <c r="X445" s="188">
        <v>7.6462758270746514E-2</v>
      </c>
      <c r="Y445" s="189" t="e">
        <f t="shared" si="25"/>
        <v>#VALUE!</v>
      </c>
      <c r="Z445" s="188">
        <v>7.6462758270746514E-2</v>
      </c>
      <c r="AA445" s="189" t="e">
        <f t="shared" si="26"/>
        <v>#VALUE!</v>
      </c>
    </row>
    <row r="446" spans="1:27" x14ac:dyDescent="0.25">
      <c r="A446">
        <v>430800</v>
      </c>
      <c r="B446">
        <v>17031430800</v>
      </c>
      <c r="C446">
        <v>17031</v>
      </c>
      <c r="D446">
        <v>2010</v>
      </c>
      <c r="E446">
        <v>43</v>
      </c>
      <c r="F446">
        <v>3531335.1189786801</v>
      </c>
      <c r="G446" s="45">
        <v>0.12666921770900338</v>
      </c>
      <c r="H446" s="60" t="str">
        <f>_xlfn.IFNA(
INDEX('Community Areas'!B$2:B$78,MATCH($E446,'Community Areas'!$A$2:$A$78,0)),
"")</f>
        <v>SOUTH SHORE</v>
      </c>
      <c r="I446" s="63" t="str">
        <f>_xlfn.IFNA(
INDEX('Community Areas'!C$2:C$78,MATCH($E446,'Community Areas'!$A$2:$A$78,0)),
"")</f>
        <v>6-B</v>
      </c>
      <c r="J446" s="63">
        <f>_xlfn.IFNA(
INDEX('Community Areas'!D$2:D$78,MATCH($E446,'Community Areas'!$A$2:$A$78,0)),
"")</f>
        <v>6</v>
      </c>
      <c r="K446" s="60" t="str">
        <f>_xlfn.IFNA(
INDEX('Community Areas'!E$2:E$78,MATCH($E446,'Community Areas'!$A$2:$A$78,0)),
"")</f>
        <v>SOUTH</v>
      </c>
      <c r="L446" s="17" t="e">
        <f>SUMIFS([1]ACSDT5Y2020.B08301_data_with_ov!AT$3:AT$1334,[1]ACSDT5Y2020.B08301_data_with_ov!$AS$3:$AS$1334,$B446)</f>
        <v>#VALUE!</v>
      </c>
      <c r="M446" s="17" t="e">
        <f>SUMIFS([1]ACSDT5Y2020.B08301_data_with_ov!AU$3:AU$1334,[1]ACSDT5Y2020.B08301_data_with_ov!$AS$3:$AS$1334,$B446)</f>
        <v>#VALUE!</v>
      </c>
      <c r="N446" s="17" t="e">
        <f>SUMIFS([1]ACSDT5Y2020.B08301_data_with_ov!AV$3:AV$1334,[1]ACSDT5Y2020.B08301_data_with_ov!$AS$3:$AS$1334,$B446)</f>
        <v>#VALUE!</v>
      </c>
      <c r="O446" s="17" t="e">
        <f>SUMIFS([1]ACSDT5Y2020.B08301_data_with_ov!AW$3:AW$1334,[1]ACSDT5Y2020.B08301_data_with_ov!$AS$3:$AS$1334,$B446)</f>
        <v>#VALUE!</v>
      </c>
      <c r="P446" s="17" t="e">
        <f>SUMIFS([1]ACSDT5Y2020.B08301_data_with_ov!AX$3:AX$1334,[1]ACSDT5Y2020.B08301_data_with_ov!$AS$3:$AS$1334,$B446)</f>
        <v>#VALUE!</v>
      </c>
      <c r="Q446" s="17" t="e">
        <f>SUMIFS([1]ACSDT5Y2020.B08301_data_with_ov!AY$3:AY$1334,[1]ACSDT5Y2020.B08301_data_with_ov!$AS$3:$AS$1334,$B446)</f>
        <v>#VALUE!</v>
      </c>
      <c r="R446" s="17" t="e">
        <f>SUMIFS([1]ACSDT5Y2020.B08301_data_with_ov!AZ$3:AZ$1334,[1]ACSDT5Y2020.B08301_data_with_ov!$AS$3:$AS$1334,$B446)</f>
        <v>#VALUE!</v>
      </c>
      <c r="S446" s="17" t="e">
        <f>SUMIFS([1]ACSDT5Y2020.B08301_data_with_ov!BA$3:BA$1334,[1]ACSDT5Y2020.B08301_data_with_ov!$AS$3:$AS$1334,$B446)</f>
        <v>#VALUE!</v>
      </c>
      <c r="T446" s="188">
        <v>6.8123021283641103E-2</v>
      </c>
      <c r="U446" s="189" t="e">
        <f t="shared" si="27"/>
        <v>#VALUE!</v>
      </c>
      <c r="V446" s="188">
        <v>6.8123021283641103E-2</v>
      </c>
      <c r="W446" s="189" t="e">
        <f t="shared" si="24"/>
        <v>#VALUE!</v>
      </c>
      <c r="X446" s="188">
        <v>6.8123021283641103E-2</v>
      </c>
      <c r="Y446" s="189" t="e">
        <f t="shared" si="25"/>
        <v>#VALUE!</v>
      </c>
      <c r="Z446" s="188">
        <v>6.8123021283641103E-2</v>
      </c>
      <c r="AA446" s="189" t="e">
        <f t="shared" si="26"/>
        <v>#VALUE!</v>
      </c>
    </row>
    <row r="447" spans="1:27" x14ac:dyDescent="0.25">
      <c r="A447">
        <v>430200</v>
      </c>
      <c r="B447">
        <v>17031430200</v>
      </c>
      <c r="C447">
        <v>17031</v>
      </c>
      <c r="D447">
        <v>2010</v>
      </c>
      <c r="E447">
        <v>43</v>
      </c>
      <c r="F447">
        <v>7260195.1495246002</v>
      </c>
      <c r="G447" s="45">
        <v>0.26042366669265815</v>
      </c>
      <c r="H447" s="60" t="str">
        <f>_xlfn.IFNA(
INDEX('Community Areas'!B$2:B$78,MATCH($E447,'Community Areas'!$A$2:$A$78,0)),
"")</f>
        <v>SOUTH SHORE</v>
      </c>
      <c r="I447" s="63" t="str">
        <f>_xlfn.IFNA(
INDEX('Community Areas'!C$2:C$78,MATCH($E447,'Community Areas'!$A$2:$A$78,0)),
"")</f>
        <v>6-B</v>
      </c>
      <c r="J447" s="63">
        <f>_xlfn.IFNA(
INDEX('Community Areas'!D$2:D$78,MATCH($E447,'Community Areas'!$A$2:$A$78,0)),
"")</f>
        <v>6</v>
      </c>
      <c r="K447" s="60" t="str">
        <f>_xlfn.IFNA(
INDEX('Community Areas'!E$2:E$78,MATCH($E447,'Community Areas'!$A$2:$A$78,0)),
"")</f>
        <v>SOUTH</v>
      </c>
      <c r="L447" s="17" t="e">
        <f>SUMIFS([1]ACSDT5Y2020.B08301_data_with_ov!AT$3:AT$1334,[1]ACSDT5Y2020.B08301_data_with_ov!$AS$3:$AS$1334,$B447)</f>
        <v>#VALUE!</v>
      </c>
      <c r="M447" s="17" t="e">
        <f>SUMIFS([1]ACSDT5Y2020.B08301_data_with_ov!AU$3:AU$1334,[1]ACSDT5Y2020.B08301_data_with_ov!$AS$3:$AS$1334,$B447)</f>
        <v>#VALUE!</v>
      </c>
      <c r="N447" s="17" t="e">
        <f>SUMIFS([1]ACSDT5Y2020.B08301_data_with_ov!AV$3:AV$1334,[1]ACSDT5Y2020.B08301_data_with_ov!$AS$3:$AS$1334,$B447)</f>
        <v>#VALUE!</v>
      </c>
      <c r="O447" s="17" t="e">
        <f>SUMIFS([1]ACSDT5Y2020.B08301_data_with_ov!AW$3:AW$1334,[1]ACSDT5Y2020.B08301_data_with_ov!$AS$3:$AS$1334,$B447)</f>
        <v>#VALUE!</v>
      </c>
      <c r="P447" s="17" t="e">
        <f>SUMIFS([1]ACSDT5Y2020.B08301_data_with_ov!AX$3:AX$1334,[1]ACSDT5Y2020.B08301_data_with_ov!$AS$3:$AS$1334,$B447)</f>
        <v>#VALUE!</v>
      </c>
      <c r="Q447" s="17" t="e">
        <f>SUMIFS([1]ACSDT5Y2020.B08301_data_with_ov!AY$3:AY$1334,[1]ACSDT5Y2020.B08301_data_with_ov!$AS$3:$AS$1334,$B447)</f>
        <v>#VALUE!</v>
      </c>
      <c r="R447" s="17" t="e">
        <f>SUMIFS([1]ACSDT5Y2020.B08301_data_with_ov!AZ$3:AZ$1334,[1]ACSDT5Y2020.B08301_data_with_ov!$AS$3:$AS$1334,$B447)</f>
        <v>#VALUE!</v>
      </c>
      <c r="S447" s="17" t="e">
        <f>SUMIFS([1]ACSDT5Y2020.B08301_data_with_ov!BA$3:BA$1334,[1]ACSDT5Y2020.B08301_data_with_ov!$AS$3:$AS$1334,$B447)</f>
        <v>#VALUE!</v>
      </c>
      <c r="T447" s="188">
        <v>0.17276962639657584</v>
      </c>
      <c r="U447" s="189" t="e">
        <f t="shared" si="27"/>
        <v>#VALUE!</v>
      </c>
      <c r="V447" s="188">
        <v>0.17276962639657584</v>
      </c>
      <c r="W447" s="189" t="e">
        <f t="shared" si="24"/>
        <v>#VALUE!</v>
      </c>
      <c r="X447" s="188">
        <v>0.17276962639657584</v>
      </c>
      <c r="Y447" s="189" t="e">
        <f t="shared" si="25"/>
        <v>#VALUE!</v>
      </c>
      <c r="Z447" s="188">
        <v>0.17276962639657584</v>
      </c>
      <c r="AA447" s="189" t="e">
        <f t="shared" si="26"/>
        <v>#VALUE!</v>
      </c>
    </row>
    <row r="448" spans="1:27" x14ac:dyDescent="0.25">
      <c r="A448">
        <v>431301</v>
      </c>
      <c r="B448">
        <v>17031431301</v>
      </c>
      <c r="C448">
        <v>17031</v>
      </c>
      <c r="D448">
        <v>2010</v>
      </c>
      <c r="E448">
        <v>43</v>
      </c>
      <c r="F448">
        <v>4348237.1367496001</v>
      </c>
      <c r="G448" s="45">
        <v>0.15597154559621787</v>
      </c>
      <c r="H448" s="60" t="str">
        <f>_xlfn.IFNA(
INDEX('Community Areas'!B$2:B$78,MATCH($E448,'Community Areas'!$A$2:$A$78,0)),
"")</f>
        <v>SOUTH SHORE</v>
      </c>
      <c r="I448" s="63" t="str">
        <f>_xlfn.IFNA(
INDEX('Community Areas'!C$2:C$78,MATCH($E448,'Community Areas'!$A$2:$A$78,0)),
"")</f>
        <v>6-B</v>
      </c>
      <c r="J448" s="63">
        <f>_xlfn.IFNA(
INDEX('Community Areas'!D$2:D$78,MATCH($E448,'Community Areas'!$A$2:$A$78,0)),
"")</f>
        <v>6</v>
      </c>
      <c r="K448" s="60" t="str">
        <f>_xlfn.IFNA(
INDEX('Community Areas'!E$2:E$78,MATCH($E448,'Community Areas'!$A$2:$A$78,0)),
"")</f>
        <v>SOUTH</v>
      </c>
      <c r="L448" s="17" t="e">
        <f>SUMIFS([1]ACSDT5Y2020.B08301_data_with_ov!AT$3:AT$1334,[1]ACSDT5Y2020.B08301_data_with_ov!$AS$3:$AS$1334,$B448)</f>
        <v>#VALUE!</v>
      </c>
      <c r="M448" s="17" t="e">
        <f>SUMIFS([1]ACSDT5Y2020.B08301_data_with_ov!AU$3:AU$1334,[1]ACSDT5Y2020.B08301_data_with_ov!$AS$3:$AS$1334,$B448)</f>
        <v>#VALUE!</v>
      </c>
      <c r="N448" s="17" t="e">
        <f>SUMIFS([1]ACSDT5Y2020.B08301_data_with_ov!AV$3:AV$1334,[1]ACSDT5Y2020.B08301_data_with_ov!$AS$3:$AS$1334,$B448)</f>
        <v>#VALUE!</v>
      </c>
      <c r="O448" s="17" t="e">
        <f>SUMIFS([1]ACSDT5Y2020.B08301_data_with_ov!AW$3:AW$1334,[1]ACSDT5Y2020.B08301_data_with_ov!$AS$3:$AS$1334,$B448)</f>
        <v>#VALUE!</v>
      </c>
      <c r="P448" s="17" t="e">
        <f>SUMIFS([1]ACSDT5Y2020.B08301_data_with_ov!AX$3:AX$1334,[1]ACSDT5Y2020.B08301_data_with_ov!$AS$3:$AS$1334,$B448)</f>
        <v>#VALUE!</v>
      </c>
      <c r="Q448" s="17" t="e">
        <f>SUMIFS([1]ACSDT5Y2020.B08301_data_with_ov!AY$3:AY$1334,[1]ACSDT5Y2020.B08301_data_with_ov!$AS$3:$AS$1334,$B448)</f>
        <v>#VALUE!</v>
      </c>
      <c r="R448" s="17" t="e">
        <f>SUMIFS([1]ACSDT5Y2020.B08301_data_with_ov!AZ$3:AZ$1334,[1]ACSDT5Y2020.B08301_data_with_ov!$AS$3:$AS$1334,$B448)</f>
        <v>#VALUE!</v>
      </c>
      <c r="S448" s="17" t="e">
        <f>SUMIFS([1]ACSDT5Y2020.B08301_data_with_ov!BA$3:BA$1334,[1]ACSDT5Y2020.B08301_data_with_ov!$AS$3:$AS$1334,$B448)</f>
        <v>#VALUE!</v>
      </c>
      <c r="T448" s="188">
        <v>0.10329554628549127</v>
      </c>
      <c r="U448" s="189" t="e">
        <f t="shared" si="27"/>
        <v>#VALUE!</v>
      </c>
      <c r="V448" s="188">
        <v>0.10329554628549127</v>
      </c>
      <c r="W448" s="189" t="e">
        <f t="shared" si="24"/>
        <v>#VALUE!</v>
      </c>
      <c r="X448" s="188">
        <v>0.10329554628549127</v>
      </c>
      <c r="Y448" s="189" t="e">
        <f t="shared" si="25"/>
        <v>#VALUE!</v>
      </c>
      <c r="Z448" s="188">
        <v>0.10329554628549127</v>
      </c>
      <c r="AA448" s="189" t="e">
        <f t="shared" si="26"/>
        <v>#VALUE!</v>
      </c>
    </row>
    <row r="449" spans="1:27" x14ac:dyDescent="0.25">
      <c r="A449">
        <v>430700</v>
      </c>
      <c r="B449">
        <v>17031430700</v>
      </c>
      <c r="C449">
        <v>17031</v>
      </c>
      <c r="D449">
        <v>2010</v>
      </c>
      <c r="E449">
        <v>43</v>
      </c>
      <c r="F449">
        <v>2046756.3123401201</v>
      </c>
      <c r="G449" s="45">
        <v>7.3417280487406741E-2</v>
      </c>
      <c r="H449" s="60" t="str">
        <f>_xlfn.IFNA(
INDEX('Community Areas'!B$2:B$78,MATCH($E449,'Community Areas'!$A$2:$A$78,0)),
"")</f>
        <v>SOUTH SHORE</v>
      </c>
      <c r="I449" s="63" t="str">
        <f>_xlfn.IFNA(
INDEX('Community Areas'!C$2:C$78,MATCH($E449,'Community Areas'!$A$2:$A$78,0)),
"")</f>
        <v>6-B</v>
      </c>
      <c r="J449" s="63">
        <f>_xlfn.IFNA(
INDEX('Community Areas'!D$2:D$78,MATCH($E449,'Community Areas'!$A$2:$A$78,0)),
"")</f>
        <v>6</v>
      </c>
      <c r="K449" s="60" t="str">
        <f>_xlfn.IFNA(
INDEX('Community Areas'!E$2:E$78,MATCH($E449,'Community Areas'!$A$2:$A$78,0)),
"")</f>
        <v>SOUTH</v>
      </c>
      <c r="L449" s="17" t="e">
        <f>SUMIFS([1]ACSDT5Y2020.B08301_data_with_ov!AT$3:AT$1334,[1]ACSDT5Y2020.B08301_data_with_ov!$AS$3:$AS$1334,$B449)</f>
        <v>#VALUE!</v>
      </c>
      <c r="M449" s="17" t="e">
        <f>SUMIFS([1]ACSDT5Y2020.B08301_data_with_ov!AU$3:AU$1334,[1]ACSDT5Y2020.B08301_data_with_ov!$AS$3:$AS$1334,$B449)</f>
        <v>#VALUE!</v>
      </c>
      <c r="N449" s="17" t="e">
        <f>SUMIFS([1]ACSDT5Y2020.B08301_data_with_ov!AV$3:AV$1334,[1]ACSDT5Y2020.B08301_data_with_ov!$AS$3:$AS$1334,$B449)</f>
        <v>#VALUE!</v>
      </c>
      <c r="O449" s="17" t="e">
        <f>SUMIFS([1]ACSDT5Y2020.B08301_data_with_ov!AW$3:AW$1334,[1]ACSDT5Y2020.B08301_data_with_ov!$AS$3:$AS$1334,$B449)</f>
        <v>#VALUE!</v>
      </c>
      <c r="P449" s="17" t="e">
        <f>SUMIFS([1]ACSDT5Y2020.B08301_data_with_ov!AX$3:AX$1334,[1]ACSDT5Y2020.B08301_data_with_ov!$AS$3:$AS$1334,$B449)</f>
        <v>#VALUE!</v>
      </c>
      <c r="Q449" s="17" t="e">
        <f>SUMIFS([1]ACSDT5Y2020.B08301_data_with_ov!AY$3:AY$1334,[1]ACSDT5Y2020.B08301_data_with_ov!$AS$3:$AS$1334,$B449)</f>
        <v>#VALUE!</v>
      </c>
      <c r="R449" s="17" t="e">
        <f>SUMIFS([1]ACSDT5Y2020.B08301_data_with_ov!AZ$3:AZ$1334,[1]ACSDT5Y2020.B08301_data_with_ov!$AS$3:$AS$1334,$B449)</f>
        <v>#VALUE!</v>
      </c>
      <c r="S449" s="17" t="e">
        <f>SUMIFS([1]ACSDT5Y2020.B08301_data_with_ov!BA$3:BA$1334,[1]ACSDT5Y2020.B08301_data_with_ov!$AS$3:$AS$1334,$B449)</f>
        <v>#VALUE!</v>
      </c>
      <c r="T449" s="188">
        <v>7.341727907217882E-2</v>
      </c>
      <c r="U449" s="189" t="e">
        <f t="shared" si="27"/>
        <v>#VALUE!</v>
      </c>
      <c r="V449" s="188">
        <v>7.341727907217882E-2</v>
      </c>
      <c r="W449" s="189" t="e">
        <f t="shared" si="24"/>
        <v>#VALUE!</v>
      </c>
      <c r="X449" s="188">
        <v>7.341727907217882E-2</v>
      </c>
      <c r="Y449" s="189" t="e">
        <f t="shared" si="25"/>
        <v>#VALUE!</v>
      </c>
      <c r="Z449" s="188">
        <v>7.341727907217882E-2</v>
      </c>
      <c r="AA449" s="189" t="e">
        <f t="shared" si="26"/>
        <v>#VALUE!</v>
      </c>
    </row>
    <row r="450" spans="1:27" x14ac:dyDescent="0.25">
      <c r="A450">
        <v>430300</v>
      </c>
      <c r="B450">
        <v>17031430300</v>
      </c>
      <c r="C450">
        <v>17031</v>
      </c>
      <c r="D450">
        <v>2010</v>
      </c>
      <c r="E450">
        <v>43</v>
      </c>
      <c r="F450">
        <v>4404676.8118453799</v>
      </c>
      <c r="G450" s="45">
        <v>0.15799604036979811</v>
      </c>
      <c r="H450" s="60" t="str">
        <f>_xlfn.IFNA(
INDEX('Community Areas'!B$2:B$78,MATCH($E450,'Community Areas'!$A$2:$A$78,0)),
"")</f>
        <v>SOUTH SHORE</v>
      </c>
      <c r="I450" s="63" t="str">
        <f>_xlfn.IFNA(
INDEX('Community Areas'!C$2:C$78,MATCH($E450,'Community Areas'!$A$2:$A$78,0)),
"")</f>
        <v>6-B</v>
      </c>
      <c r="J450" s="63">
        <f>_xlfn.IFNA(
INDEX('Community Areas'!D$2:D$78,MATCH($E450,'Community Areas'!$A$2:$A$78,0)),
"")</f>
        <v>6</v>
      </c>
      <c r="K450" s="60" t="str">
        <f>_xlfn.IFNA(
INDEX('Community Areas'!E$2:E$78,MATCH($E450,'Community Areas'!$A$2:$A$78,0)),
"")</f>
        <v>SOUTH</v>
      </c>
      <c r="L450" s="17" t="e">
        <f>SUMIFS([1]ACSDT5Y2020.B08301_data_with_ov!AT$3:AT$1334,[1]ACSDT5Y2020.B08301_data_with_ov!$AS$3:$AS$1334,$B450)</f>
        <v>#VALUE!</v>
      </c>
      <c r="M450" s="17" t="e">
        <f>SUMIFS([1]ACSDT5Y2020.B08301_data_with_ov!AU$3:AU$1334,[1]ACSDT5Y2020.B08301_data_with_ov!$AS$3:$AS$1334,$B450)</f>
        <v>#VALUE!</v>
      </c>
      <c r="N450" s="17" t="e">
        <f>SUMIFS([1]ACSDT5Y2020.B08301_data_with_ov!AV$3:AV$1334,[1]ACSDT5Y2020.B08301_data_with_ov!$AS$3:$AS$1334,$B450)</f>
        <v>#VALUE!</v>
      </c>
      <c r="O450" s="17" t="e">
        <f>SUMIFS([1]ACSDT5Y2020.B08301_data_with_ov!AW$3:AW$1334,[1]ACSDT5Y2020.B08301_data_with_ov!$AS$3:$AS$1334,$B450)</f>
        <v>#VALUE!</v>
      </c>
      <c r="P450" s="17" t="e">
        <f>SUMIFS([1]ACSDT5Y2020.B08301_data_with_ov!AX$3:AX$1334,[1]ACSDT5Y2020.B08301_data_with_ov!$AS$3:$AS$1334,$B450)</f>
        <v>#VALUE!</v>
      </c>
      <c r="Q450" s="17" t="e">
        <f>SUMIFS([1]ACSDT5Y2020.B08301_data_with_ov!AY$3:AY$1334,[1]ACSDT5Y2020.B08301_data_with_ov!$AS$3:$AS$1334,$B450)</f>
        <v>#VALUE!</v>
      </c>
      <c r="R450" s="17" t="e">
        <f>SUMIFS([1]ACSDT5Y2020.B08301_data_with_ov!AZ$3:AZ$1334,[1]ACSDT5Y2020.B08301_data_with_ov!$AS$3:$AS$1334,$B450)</f>
        <v>#VALUE!</v>
      </c>
      <c r="S450" s="17" t="e">
        <f>SUMIFS([1]ACSDT5Y2020.B08301_data_with_ov!BA$3:BA$1334,[1]ACSDT5Y2020.B08301_data_with_ov!$AS$3:$AS$1334,$B450)</f>
        <v>#VALUE!</v>
      </c>
      <c r="T450" s="188">
        <v>0.11792511127936789</v>
      </c>
      <c r="U450" s="189" t="e">
        <f t="shared" si="27"/>
        <v>#VALUE!</v>
      </c>
      <c r="V450" s="188">
        <v>0.11792511127936789</v>
      </c>
      <c r="W450" s="189" t="e">
        <f t="shared" si="24"/>
        <v>#VALUE!</v>
      </c>
      <c r="X450" s="188">
        <v>0.11792511127936789</v>
      </c>
      <c r="Y450" s="189" t="e">
        <f t="shared" si="25"/>
        <v>#VALUE!</v>
      </c>
      <c r="Z450" s="188">
        <v>0.11792511127936789</v>
      </c>
      <c r="AA450" s="189" t="e">
        <f t="shared" si="26"/>
        <v>#VALUE!</v>
      </c>
    </row>
    <row r="451" spans="1:27" x14ac:dyDescent="0.25">
      <c r="A451">
        <v>430102</v>
      </c>
      <c r="B451">
        <v>17031430102</v>
      </c>
      <c r="C451">
        <v>17031</v>
      </c>
      <c r="D451">
        <v>2010</v>
      </c>
      <c r="E451">
        <v>43</v>
      </c>
      <c r="F451">
        <v>4810032.5558020603</v>
      </c>
      <c r="G451" s="45">
        <v>0.17253617696144902</v>
      </c>
      <c r="H451" s="60" t="str">
        <f>_xlfn.IFNA(
INDEX('Community Areas'!B$2:B$78,MATCH($E451,'Community Areas'!$A$2:$A$78,0)),
"")</f>
        <v>SOUTH SHORE</v>
      </c>
      <c r="I451" s="63" t="str">
        <f>_xlfn.IFNA(
INDEX('Community Areas'!C$2:C$78,MATCH($E451,'Community Areas'!$A$2:$A$78,0)),
"")</f>
        <v>6-B</v>
      </c>
      <c r="J451" s="63">
        <f>_xlfn.IFNA(
INDEX('Community Areas'!D$2:D$78,MATCH($E451,'Community Areas'!$A$2:$A$78,0)),
"")</f>
        <v>6</v>
      </c>
      <c r="K451" s="60" t="str">
        <f>_xlfn.IFNA(
INDEX('Community Areas'!E$2:E$78,MATCH($E451,'Community Areas'!$A$2:$A$78,0)),
"")</f>
        <v>SOUTH</v>
      </c>
      <c r="L451" s="17" t="e">
        <f>SUMIFS([1]ACSDT5Y2020.B08301_data_with_ov!AT$3:AT$1334,[1]ACSDT5Y2020.B08301_data_with_ov!$AS$3:$AS$1334,$B451)</f>
        <v>#VALUE!</v>
      </c>
      <c r="M451" s="17" t="e">
        <f>SUMIFS([1]ACSDT5Y2020.B08301_data_with_ov!AU$3:AU$1334,[1]ACSDT5Y2020.B08301_data_with_ov!$AS$3:$AS$1334,$B451)</f>
        <v>#VALUE!</v>
      </c>
      <c r="N451" s="17" t="e">
        <f>SUMIFS([1]ACSDT5Y2020.B08301_data_with_ov!AV$3:AV$1334,[1]ACSDT5Y2020.B08301_data_with_ov!$AS$3:$AS$1334,$B451)</f>
        <v>#VALUE!</v>
      </c>
      <c r="O451" s="17" t="e">
        <f>SUMIFS([1]ACSDT5Y2020.B08301_data_with_ov!AW$3:AW$1334,[1]ACSDT5Y2020.B08301_data_with_ov!$AS$3:$AS$1334,$B451)</f>
        <v>#VALUE!</v>
      </c>
      <c r="P451" s="17" t="e">
        <f>SUMIFS([1]ACSDT5Y2020.B08301_data_with_ov!AX$3:AX$1334,[1]ACSDT5Y2020.B08301_data_with_ov!$AS$3:$AS$1334,$B451)</f>
        <v>#VALUE!</v>
      </c>
      <c r="Q451" s="17" t="e">
        <f>SUMIFS([1]ACSDT5Y2020.B08301_data_with_ov!AY$3:AY$1334,[1]ACSDT5Y2020.B08301_data_with_ov!$AS$3:$AS$1334,$B451)</f>
        <v>#VALUE!</v>
      </c>
      <c r="R451" s="17" t="e">
        <f>SUMIFS([1]ACSDT5Y2020.B08301_data_with_ov!AZ$3:AZ$1334,[1]ACSDT5Y2020.B08301_data_with_ov!$AS$3:$AS$1334,$B451)</f>
        <v>#VALUE!</v>
      </c>
      <c r="S451" s="17" t="e">
        <f>SUMIFS([1]ACSDT5Y2020.B08301_data_with_ov!BA$3:BA$1334,[1]ACSDT5Y2020.B08301_data_with_ov!$AS$3:$AS$1334,$B451)</f>
        <v>#VALUE!</v>
      </c>
      <c r="T451" s="188">
        <v>0.17253617725102696</v>
      </c>
      <c r="U451" s="189" t="e">
        <f t="shared" si="27"/>
        <v>#VALUE!</v>
      </c>
      <c r="V451" s="188">
        <v>0.17253617725102696</v>
      </c>
      <c r="W451" s="189" t="e">
        <f t="shared" si="24"/>
        <v>#VALUE!</v>
      </c>
      <c r="X451" s="188">
        <v>0.17253617725102696</v>
      </c>
      <c r="Y451" s="189" t="e">
        <f t="shared" si="25"/>
        <v>#VALUE!</v>
      </c>
      <c r="Z451" s="188">
        <v>0.17253617725102696</v>
      </c>
      <c r="AA451" s="189" t="e">
        <f t="shared" si="26"/>
        <v>#VALUE!</v>
      </c>
    </row>
    <row r="452" spans="1:27" x14ac:dyDescent="0.25">
      <c r="A452">
        <v>440600</v>
      </c>
      <c r="B452">
        <v>17031440600</v>
      </c>
      <c r="C452">
        <v>17031</v>
      </c>
      <c r="D452">
        <v>2010</v>
      </c>
      <c r="E452">
        <v>44</v>
      </c>
      <c r="F452">
        <v>7168783.9985540798</v>
      </c>
      <c r="G452" s="45">
        <v>0.25714474283151401</v>
      </c>
      <c r="H452" s="60" t="str">
        <f>_xlfn.IFNA(
INDEX('Community Areas'!B$2:B$78,MATCH($E452,'Community Areas'!$A$2:$A$78,0)),
"")</f>
        <v>CHATHAM</v>
      </c>
      <c r="I452" s="63" t="str">
        <f>_xlfn.IFNA(
INDEX('Community Areas'!C$2:C$78,MATCH($E452,'Community Areas'!$A$2:$A$78,0)),
"")</f>
        <v>6-C</v>
      </c>
      <c r="J452" s="63">
        <f>_xlfn.IFNA(
INDEX('Community Areas'!D$2:D$78,MATCH($E452,'Community Areas'!$A$2:$A$78,0)),
"")</f>
        <v>6</v>
      </c>
      <c r="K452" s="60" t="str">
        <f>_xlfn.IFNA(
INDEX('Community Areas'!E$2:E$78,MATCH($E452,'Community Areas'!$A$2:$A$78,0)),
"")</f>
        <v>SOUTH</v>
      </c>
      <c r="L452" s="17" t="e">
        <f>SUMIFS([1]ACSDT5Y2020.B08301_data_with_ov!AT$3:AT$1334,[1]ACSDT5Y2020.B08301_data_with_ov!$AS$3:$AS$1334,$B452)</f>
        <v>#VALUE!</v>
      </c>
      <c r="M452" s="17" t="e">
        <f>SUMIFS([1]ACSDT5Y2020.B08301_data_with_ov!AU$3:AU$1334,[1]ACSDT5Y2020.B08301_data_with_ov!$AS$3:$AS$1334,$B452)</f>
        <v>#VALUE!</v>
      </c>
      <c r="N452" s="17" t="e">
        <f>SUMIFS([1]ACSDT5Y2020.B08301_data_with_ov!AV$3:AV$1334,[1]ACSDT5Y2020.B08301_data_with_ov!$AS$3:$AS$1334,$B452)</f>
        <v>#VALUE!</v>
      </c>
      <c r="O452" s="17" t="e">
        <f>SUMIFS([1]ACSDT5Y2020.B08301_data_with_ov!AW$3:AW$1334,[1]ACSDT5Y2020.B08301_data_with_ov!$AS$3:$AS$1334,$B452)</f>
        <v>#VALUE!</v>
      </c>
      <c r="P452" s="17" t="e">
        <f>SUMIFS([1]ACSDT5Y2020.B08301_data_with_ov!AX$3:AX$1334,[1]ACSDT5Y2020.B08301_data_with_ov!$AS$3:$AS$1334,$B452)</f>
        <v>#VALUE!</v>
      </c>
      <c r="Q452" s="17" t="e">
        <f>SUMIFS([1]ACSDT5Y2020.B08301_data_with_ov!AY$3:AY$1334,[1]ACSDT5Y2020.B08301_data_with_ov!$AS$3:$AS$1334,$B452)</f>
        <v>#VALUE!</v>
      </c>
      <c r="R452" s="17" t="e">
        <f>SUMIFS([1]ACSDT5Y2020.B08301_data_with_ov!AZ$3:AZ$1334,[1]ACSDT5Y2020.B08301_data_with_ov!$AS$3:$AS$1334,$B452)</f>
        <v>#VALUE!</v>
      </c>
      <c r="S452" s="17" t="e">
        <f>SUMIFS([1]ACSDT5Y2020.B08301_data_with_ov!BA$3:BA$1334,[1]ACSDT5Y2020.B08301_data_with_ov!$AS$3:$AS$1334,$B452)</f>
        <v>#VALUE!</v>
      </c>
      <c r="T452" s="188">
        <v>0</v>
      </c>
      <c r="U452" s="189" t="e">
        <f t="shared" si="27"/>
        <v>#VALUE!</v>
      </c>
      <c r="V452" s="188">
        <v>0</v>
      </c>
      <c r="W452" s="189" t="e">
        <f t="shared" si="24"/>
        <v>#VALUE!</v>
      </c>
      <c r="X452" s="188">
        <v>0</v>
      </c>
      <c r="Y452" s="189" t="e">
        <f t="shared" si="25"/>
        <v>#VALUE!</v>
      </c>
      <c r="Z452" s="188">
        <v>0</v>
      </c>
      <c r="AA452" s="189" t="e">
        <f t="shared" si="26"/>
        <v>#VALUE!</v>
      </c>
    </row>
    <row r="453" spans="1:27" x14ac:dyDescent="0.25">
      <c r="A453">
        <v>440300</v>
      </c>
      <c r="B453">
        <v>17031440300</v>
      </c>
      <c r="C453">
        <v>17031</v>
      </c>
      <c r="D453">
        <v>2010</v>
      </c>
      <c r="E453">
        <v>44</v>
      </c>
      <c r="F453">
        <v>13939421.574078601</v>
      </c>
      <c r="G453" s="45">
        <v>0.50000794787644198</v>
      </c>
      <c r="H453" s="60" t="str">
        <f>_xlfn.IFNA(
INDEX('Community Areas'!B$2:B$78,MATCH($E453,'Community Areas'!$A$2:$A$78,0)),
"")</f>
        <v>CHATHAM</v>
      </c>
      <c r="I453" s="63" t="str">
        <f>_xlfn.IFNA(
INDEX('Community Areas'!C$2:C$78,MATCH($E453,'Community Areas'!$A$2:$A$78,0)),
"")</f>
        <v>6-C</v>
      </c>
      <c r="J453" s="63">
        <f>_xlfn.IFNA(
INDEX('Community Areas'!D$2:D$78,MATCH($E453,'Community Areas'!$A$2:$A$78,0)),
"")</f>
        <v>6</v>
      </c>
      <c r="K453" s="60" t="str">
        <f>_xlfn.IFNA(
INDEX('Community Areas'!E$2:E$78,MATCH($E453,'Community Areas'!$A$2:$A$78,0)),
"")</f>
        <v>SOUTH</v>
      </c>
      <c r="L453" s="17" t="e">
        <f>SUMIFS([1]ACSDT5Y2020.B08301_data_with_ov!AT$3:AT$1334,[1]ACSDT5Y2020.B08301_data_with_ov!$AS$3:$AS$1334,$B453)</f>
        <v>#VALUE!</v>
      </c>
      <c r="M453" s="17" t="e">
        <f>SUMIFS([1]ACSDT5Y2020.B08301_data_with_ov!AU$3:AU$1334,[1]ACSDT5Y2020.B08301_data_with_ov!$AS$3:$AS$1334,$B453)</f>
        <v>#VALUE!</v>
      </c>
      <c r="N453" s="17" t="e">
        <f>SUMIFS([1]ACSDT5Y2020.B08301_data_with_ov!AV$3:AV$1334,[1]ACSDT5Y2020.B08301_data_with_ov!$AS$3:$AS$1334,$B453)</f>
        <v>#VALUE!</v>
      </c>
      <c r="O453" s="17" t="e">
        <f>SUMIFS([1]ACSDT5Y2020.B08301_data_with_ov!AW$3:AW$1334,[1]ACSDT5Y2020.B08301_data_with_ov!$AS$3:$AS$1334,$B453)</f>
        <v>#VALUE!</v>
      </c>
      <c r="P453" s="17" t="e">
        <f>SUMIFS([1]ACSDT5Y2020.B08301_data_with_ov!AX$3:AX$1334,[1]ACSDT5Y2020.B08301_data_with_ov!$AS$3:$AS$1334,$B453)</f>
        <v>#VALUE!</v>
      </c>
      <c r="Q453" s="17" t="e">
        <f>SUMIFS([1]ACSDT5Y2020.B08301_data_with_ov!AY$3:AY$1334,[1]ACSDT5Y2020.B08301_data_with_ov!$AS$3:$AS$1334,$B453)</f>
        <v>#VALUE!</v>
      </c>
      <c r="R453" s="17" t="e">
        <f>SUMIFS([1]ACSDT5Y2020.B08301_data_with_ov!AZ$3:AZ$1334,[1]ACSDT5Y2020.B08301_data_with_ov!$AS$3:$AS$1334,$B453)</f>
        <v>#VALUE!</v>
      </c>
      <c r="S453" s="17" t="e">
        <f>SUMIFS([1]ACSDT5Y2020.B08301_data_with_ov!BA$3:BA$1334,[1]ACSDT5Y2020.B08301_data_with_ov!$AS$3:$AS$1334,$B453)</f>
        <v>#VALUE!</v>
      </c>
      <c r="T453" s="188">
        <v>0.49762164392453301</v>
      </c>
      <c r="U453" s="189" t="e">
        <f t="shared" si="27"/>
        <v>#VALUE!</v>
      </c>
      <c r="V453" s="188">
        <v>0.49762159716121446</v>
      </c>
      <c r="W453" s="189" t="e">
        <f t="shared" si="24"/>
        <v>#VALUE!</v>
      </c>
      <c r="X453" s="188">
        <v>0.49762159716121446</v>
      </c>
      <c r="Y453" s="189" t="e">
        <f t="shared" si="25"/>
        <v>#VALUE!</v>
      </c>
      <c r="Z453" s="188">
        <v>0.49762159716121446</v>
      </c>
      <c r="AA453" s="189" t="e">
        <f t="shared" si="26"/>
        <v>#VALUE!</v>
      </c>
    </row>
    <row r="454" spans="1:27" x14ac:dyDescent="0.25">
      <c r="A454">
        <v>440201</v>
      </c>
      <c r="B454">
        <v>17031440201</v>
      </c>
      <c r="C454">
        <v>17031</v>
      </c>
      <c r="D454">
        <v>2010</v>
      </c>
      <c r="E454">
        <v>44</v>
      </c>
      <c r="F454">
        <v>5721998.9432097897</v>
      </c>
      <c r="G454" s="45">
        <v>0.2052484698981932</v>
      </c>
      <c r="H454" s="60" t="str">
        <f>_xlfn.IFNA(
INDEX('Community Areas'!B$2:B$78,MATCH($E454,'Community Areas'!$A$2:$A$78,0)),
"")</f>
        <v>CHATHAM</v>
      </c>
      <c r="I454" s="63" t="str">
        <f>_xlfn.IFNA(
INDEX('Community Areas'!C$2:C$78,MATCH($E454,'Community Areas'!$A$2:$A$78,0)),
"")</f>
        <v>6-C</v>
      </c>
      <c r="J454" s="63">
        <f>_xlfn.IFNA(
INDEX('Community Areas'!D$2:D$78,MATCH($E454,'Community Areas'!$A$2:$A$78,0)),
"")</f>
        <v>6</v>
      </c>
      <c r="K454" s="60" t="str">
        <f>_xlfn.IFNA(
INDEX('Community Areas'!E$2:E$78,MATCH($E454,'Community Areas'!$A$2:$A$78,0)),
"")</f>
        <v>SOUTH</v>
      </c>
      <c r="L454" s="17" t="e">
        <f>SUMIFS([1]ACSDT5Y2020.B08301_data_with_ov!AT$3:AT$1334,[1]ACSDT5Y2020.B08301_data_with_ov!$AS$3:$AS$1334,$B454)</f>
        <v>#VALUE!</v>
      </c>
      <c r="M454" s="17" t="e">
        <f>SUMIFS([1]ACSDT5Y2020.B08301_data_with_ov!AU$3:AU$1334,[1]ACSDT5Y2020.B08301_data_with_ov!$AS$3:$AS$1334,$B454)</f>
        <v>#VALUE!</v>
      </c>
      <c r="N454" s="17" t="e">
        <f>SUMIFS([1]ACSDT5Y2020.B08301_data_with_ov!AV$3:AV$1334,[1]ACSDT5Y2020.B08301_data_with_ov!$AS$3:$AS$1334,$B454)</f>
        <v>#VALUE!</v>
      </c>
      <c r="O454" s="17" t="e">
        <f>SUMIFS([1]ACSDT5Y2020.B08301_data_with_ov!AW$3:AW$1334,[1]ACSDT5Y2020.B08301_data_with_ov!$AS$3:$AS$1334,$B454)</f>
        <v>#VALUE!</v>
      </c>
      <c r="P454" s="17" t="e">
        <f>SUMIFS([1]ACSDT5Y2020.B08301_data_with_ov!AX$3:AX$1334,[1]ACSDT5Y2020.B08301_data_with_ov!$AS$3:$AS$1334,$B454)</f>
        <v>#VALUE!</v>
      </c>
      <c r="Q454" s="17" t="e">
        <f>SUMIFS([1]ACSDT5Y2020.B08301_data_with_ov!AY$3:AY$1334,[1]ACSDT5Y2020.B08301_data_with_ov!$AS$3:$AS$1334,$B454)</f>
        <v>#VALUE!</v>
      </c>
      <c r="R454" s="17" t="e">
        <f>SUMIFS([1]ACSDT5Y2020.B08301_data_with_ov!AZ$3:AZ$1334,[1]ACSDT5Y2020.B08301_data_with_ov!$AS$3:$AS$1334,$B454)</f>
        <v>#VALUE!</v>
      </c>
      <c r="S454" s="17" t="e">
        <f>SUMIFS([1]ACSDT5Y2020.B08301_data_with_ov!BA$3:BA$1334,[1]ACSDT5Y2020.B08301_data_with_ov!$AS$3:$AS$1334,$B454)</f>
        <v>#VALUE!</v>
      </c>
      <c r="T454" s="188">
        <v>0.20292173420968027</v>
      </c>
      <c r="U454" s="189" t="e">
        <f t="shared" si="27"/>
        <v>#VALUE!</v>
      </c>
      <c r="V454" s="188">
        <v>0.18699610915785445</v>
      </c>
      <c r="W454" s="189" t="e">
        <f t="shared" ref="W454:W517" si="28">(V454/$G454)*$L454</f>
        <v>#VALUE!</v>
      </c>
      <c r="X454" s="188">
        <v>0.18699610915785445</v>
      </c>
      <c r="Y454" s="189" t="e">
        <f t="shared" ref="Y454:Y517" si="29">(X454/$G454)*$L454</f>
        <v>#VALUE!</v>
      </c>
      <c r="Z454" s="188">
        <v>0.18699610915785445</v>
      </c>
      <c r="AA454" s="189" t="e">
        <f t="shared" ref="AA454:AA517" si="30">(Z454/$G454)*$L454</f>
        <v>#VALUE!</v>
      </c>
    </row>
    <row r="455" spans="1:27" x14ac:dyDescent="0.25">
      <c r="A455">
        <v>440900</v>
      </c>
      <c r="B455">
        <v>17031440900</v>
      </c>
      <c r="C455">
        <v>17031</v>
      </c>
      <c r="D455">
        <v>2010</v>
      </c>
      <c r="E455">
        <v>44</v>
      </c>
      <c r="F455">
        <v>7994026.9193182504</v>
      </c>
      <c r="G455" s="45">
        <v>0.28674625944524257</v>
      </c>
      <c r="H455" s="60" t="str">
        <f>_xlfn.IFNA(
INDEX('Community Areas'!B$2:B$78,MATCH($E455,'Community Areas'!$A$2:$A$78,0)),
"")</f>
        <v>CHATHAM</v>
      </c>
      <c r="I455" s="63" t="str">
        <f>_xlfn.IFNA(
INDEX('Community Areas'!C$2:C$78,MATCH($E455,'Community Areas'!$A$2:$A$78,0)),
"")</f>
        <v>6-C</v>
      </c>
      <c r="J455" s="63">
        <f>_xlfn.IFNA(
INDEX('Community Areas'!D$2:D$78,MATCH($E455,'Community Areas'!$A$2:$A$78,0)),
"")</f>
        <v>6</v>
      </c>
      <c r="K455" s="60" t="str">
        <f>_xlfn.IFNA(
INDEX('Community Areas'!E$2:E$78,MATCH($E455,'Community Areas'!$A$2:$A$78,0)),
"")</f>
        <v>SOUTH</v>
      </c>
      <c r="L455" s="17" t="e">
        <f>SUMIFS([1]ACSDT5Y2020.B08301_data_with_ov!AT$3:AT$1334,[1]ACSDT5Y2020.B08301_data_with_ov!$AS$3:$AS$1334,$B455)</f>
        <v>#VALUE!</v>
      </c>
      <c r="M455" s="17" t="e">
        <f>SUMIFS([1]ACSDT5Y2020.B08301_data_with_ov!AU$3:AU$1334,[1]ACSDT5Y2020.B08301_data_with_ov!$AS$3:$AS$1334,$B455)</f>
        <v>#VALUE!</v>
      </c>
      <c r="N455" s="17" t="e">
        <f>SUMIFS([1]ACSDT5Y2020.B08301_data_with_ov!AV$3:AV$1334,[1]ACSDT5Y2020.B08301_data_with_ov!$AS$3:$AS$1334,$B455)</f>
        <v>#VALUE!</v>
      </c>
      <c r="O455" s="17" t="e">
        <f>SUMIFS([1]ACSDT5Y2020.B08301_data_with_ov!AW$3:AW$1334,[1]ACSDT5Y2020.B08301_data_with_ov!$AS$3:$AS$1334,$B455)</f>
        <v>#VALUE!</v>
      </c>
      <c r="P455" s="17" t="e">
        <f>SUMIFS([1]ACSDT5Y2020.B08301_data_with_ov!AX$3:AX$1334,[1]ACSDT5Y2020.B08301_data_with_ov!$AS$3:$AS$1334,$B455)</f>
        <v>#VALUE!</v>
      </c>
      <c r="Q455" s="17" t="e">
        <f>SUMIFS([1]ACSDT5Y2020.B08301_data_with_ov!AY$3:AY$1334,[1]ACSDT5Y2020.B08301_data_with_ov!$AS$3:$AS$1334,$B455)</f>
        <v>#VALUE!</v>
      </c>
      <c r="R455" s="17" t="e">
        <f>SUMIFS([1]ACSDT5Y2020.B08301_data_with_ov!AZ$3:AZ$1334,[1]ACSDT5Y2020.B08301_data_with_ov!$AS$3:$AS$1334,$B455)</f>
        <v>#VALUE!</v>
      </c>
      <c r="S455" s="17" t="e">
        <f>SUMIFS([1]ACSDT5Y2020.B08301_data_with_ov!BA$3:BA$1334,[1]ACSDT5Y2020.B08301_data_with_ov!$AS$3:$AS$1334,$B455)</f>
        <v>#VALUE!</v>
      </c>
      <c r="T455" s="188">
        <v>0.23138886036821049</v>
      </c>
      <c r="U455" s="189" t="e">
        <f t="shared" ref="U455:U518" si="31">(T455/$G455)*$L455</f>
        <v>#VALUE!</v>
      </c>
      <c r="V455" s="188">
        <v>0.11571441075582817</v>
      </c>
      <c r="W455" s="189" t="e">
        <f t="shared" si="28"/>
        <v>#VALUE!</v>
      </c>
      <c r="X455" s="188">
        <v>0.11571441075582817</v>
      </c>
      <c r="Y455" s="189" t="e">
        <f t="shared" si="29"/>
        <v>#VALUE!</v>
      </c>
      <c r="Z455" s="188">
        <v>0.11571441075582817</v>
      </c>
      <c r="AA455" s="189" t="e">
        <f t="shared" si="30"/>
        <v>#VALUE!</v>
      </c>
    </row>
    <row r="456" spans="1:27" x14ac:dyDescent="0.25">
      <c r="A456">
        <v>842400</v>
      </c>
      <c r="B456">
        <v>17031842400</v>
      </c>
      <c r="C456">
        <v>17031</v>
      </c>
      <c r="D456">
        <v>2010</v>
      </c>
      <c r="E456">
        <v>44</v>
      </c>
      <c r="F456">
        <v>21183101.245430201</v>
      </c>
      <c r="G456" s="45">
        <v>0.75983920330543364</v>
      </c>
      <c r="H456" s="60" t="str">
        <f>_xlfn.IFNA(
INDEX('Community Areas'!B$2:B$78,MATCH($E456,'Community Areas'!$A$2:$A$78,0)),
"")</f>
        <v>CHATHAM</v>
      </c>
      <c r="I456" s="63" t="str">
        <f>_xlfn.IFNA(
INDEX('Community Areas'!C$2:C$78,MATCH($E456,'Community Areas'!$A$2:$A$78,0)),
"")</f>
        <v>6-C</v>
      </c>
      <c r="J456" s="63">
        <f>_xlfn.IFNA(
INDEX('Community Areas'!D$2:D$78,MATCH($E456,'Community Areas'!$A$2:$A$78,0)),
"")</f>
        <v>6</v>
      </c>
      <c r="K456" s="60" t="str">
        <f>_xlfn.IFNA(
INDEX('Community Areas'!E$2:E$78,MATCH($E456,'Community Areas'!$A$2:$A$78,0)),
"")</f>
        <v>SOUTH</v>
      </c>
      <c r="L456" s="17" t="e">
        <f>SUMIFS([1]ACSDT5Y2020.B08301_data_with_ov!AT$3:AT$1334,[1]ACSDT5Y2020.B08301_data_with_ov!$AS$3:$AS$1334,$B456)</f>
        <v>#VALUE!</v>
      </c>
      <c r="M456" s="17" t="e">
        <f>SUMIFS([1]ACSDT5Y2020.B08301_data_with_ov!AU$3:AU$1334,[1]ACSDT5Y2020.B08301_data_with_ov!$AS$3:$AS$1334,$B456)</f>
        <v>#VALUE!</v>
      </c>
      <c r="N456" s="17" t="e">
        <f>SUMIFS([1]ACSDT5Y2020.B08301_data_with_ov!AV$3:AV$1334,[1]ACSDT5Y2020.B08301_data_with_ov!$AS$3:$AS$1334,$B456)</f>
        <v>#VALUE!</v>
      </c>
      <c r="O456" s="17" t="e">
        <f>SUMIFS([1]ACSDT5Y2020.B08301_data_with_ov!AW$3:AW$1334,[1]ACSDT5Y2020.B08301_data_with_ov!$AS$3:$AS$1334,$B456)</f>
        <v>#VALUE!</v>
      </c>
      <c r="P456" s="17" t="e">
        <f>SUMIFS([1]ACSDT5Y2020.B08301_data_with_ov!AX$3:AX$1334,[1]ACSDT5Y2020.B08301_data_with_ov!$AS$3:$AS$1334,$B456)</f>
        <v>#VALUE!</v>
      </c>
      <c r="Q456" s="17" t="e">
        <f>SUMIFS([1]ACSDT5Y2020.B08301_data_with_ov!AY$3:AY$1334,[1]ACSDT5Y2020.B08301_data_with_ov!$AS$3:$AS$1334,$B456)</f>
        <v>#VALUE!</v>
      </c>
      <c r="R456" s="17" t="e">
        <f>SUMIFS([1]ACSDT5Y2020.B08301_data_with_ov!AZ$3:AZ$1334,[1]ACSDT5Y2020.B08301_data_with_ov!$AS$3:$AS$1334,$B456)</f>
        <v>#VALUE!</v>
      </c>
      <c r="S456" s="17" t="e">
        <f>SUMIFS([1]ACSDT5Y2020.B08301_data_with_ov!BA$3:BA$1334,[1]ACSDT5Y2020.B08301_data_with_ov!$AS$3:$AS$1334,$B456)</f>
        <v>#VALUE!</v>
      </c>
      <c r="T456" s="188">
        <v>0.62882998890562947</v>
      </c>
      <c r="U456" s="189" t="e">
        <f t="shared" si="31"/>
        <v>#VALUE!</v>
      </c>
      <c r="V456" s="188">
        <v>0.62882998890562947</v>
      </c>
      <c r="W456" s="189" t="e">
        <f t="shared" si="28"/>
        <v>#VALUE!</v>
      </c>
      <c r="X456" s="188">
        <v>0.62882998890562947</v>
      </c>
      <c r="Y456" s="189" t="e">
        <f t="shared" si="29"/>
        <v>#VALUE!</v>
      </c>
      <c r="Z456" s="188">
        <v>0.62882998890562947</v>
      </c>
      <c r="AA456" s="189" t="e">
        <f t="shared" si="30"/>
        <v>#VALUE!</v>
      </c>
    </row>
    <row r="457" spans="1:27" x14ac:dyDescent="0.25">
      <c r="A457">
        <v>440700</v>
      </c>
      <c r="B457">
        <v>17031440700</v>
      </c>
      <c r="C457">
        <v>17031</v>
      </c>
      <c r="D457">
        <v>2010</v>
      </c>
      <c r="E457">
        <v>44</v>
      </c>
      <c r="F457">
        <v>3524765.7823505099</v>
      </c>
      <c r="G457" s="45">
        <v>0.1264335751818795</v>
      </c>
      <c r="H457" s="60" t="str">
        <f>_xlfn.IFNA(
INDEX('Community Areas'!B$2:B$78,MATCH($E457,'Community Areas'!$A$2:$A$78,0)),
"")</f>
        <v>CHATHAM</v>
      </c>
      <c r="I457" s="63" t="str">
        <f>_xlfn.IFNA(
INDEX('Community Areas'!C$2:C$78,MATCH($E457,'Community Areas'!$A$2:$A$78,0)),
"")</f>
        <v>6-C</v>
      </c>
      <c r="J457" s="63">
        <f>_xlfn.IFNA(
INDEX('Community Areas'!D$2:D$78,MATCH($E457,'Community Areas'!$A$2:$A$78,0)),
"")</f>
        <v>6</v>
      </c>
      <c r="K457" s="60" t="str">
        <f>_xlfn.IFNA(
INDEX('Community Areas'!E$2:E$78,MATCH($E457,'Community Areas'!$A$2:$A$78,0)),
"")</f>
        <v>SOUTH</v>
      </c>
      <c r="L457" s="17" t="e">
        <f>SUMIFS([1]ACSDT5Y2020.B08301_data_with_ov!AT$3:AT$1334,[1]ACSDT5Y2020.B08301_data_with_ov!$AS$3:$AS$1334,$B457)</f>
        <v>#VALUE!</v>
      </c>
      <c r="M457" s="17" t="e">
        <f>SUMIFS([1]ACSDT5Y2020.B08301_data_with_ov!AU$3:AU$1334,[1]ACSDT5Y2020.B08301_data_with_ov!$AS$3:$AS$1334,$B457)</f>
        <v>#VALUE!</v>
      </c>
      <c r="N457" s="17" t="e">
        <f>SUMIFS([1]ACSDT5Y2020.B08301_data_with_ov!AV$3:AV$1334,[1]ACSDT5Y2020.B08301_data_with_ov!$AS$3:$AS$1334,$B457)</f>
        <v>#VALUE!</v>
      </c>
      <c r="O457" s="17" t="e">
        <f>SUMIFS([1]ACSDT5Y2020.B08301_data_with_ov!AW$3:AW$1334,[1]ACSDT5Y2020.B08301_data_with_ov!$AS$3:$AS$1334,$B457)</f>
        <v>#VALUE!</v>
      </c>
      <c r="P457" s="17" t="e">
        <f>SUMIFS([1]ACSDT5Y2020.B08301_data_with_ov!AX$3:AX$1334,[1]ACSDT5Y2020.B08301_data_with_ov!$AS$3:$AS$1334,$B457)</f>
        <v>#VALUE!</v>
      </c>
      <c r="Q457" s="17" t="e">
        <f>SUMIFS([1]ACSDT5Y2020.B08301_data_with_ov!AY$3:AY$1334,[1]ACSDT5Y2020.B08301_data_with_ov!$AS$3:$AS$1334,$B457)</f>
        <v>#VALUE!</v>
      </c>
      <c r="R457" s="17" t="e">
        <f>SUMIFS([1]ACSDT5Y2020.B08301_data_with_ov!AZ$3:AZ$1334,[1]ACSDT5Y2020.B08301_data_with_ov!$AS$3:$AS$1334,$B457)</f>
        <v>#VALUE!</v>
      </c>
      <c r="S457" s="17" t="e">
        <f>SUMIFS([1]ACSDT5Y2020.B08301_data_with_ov!BA$3:BA$1334,[1]ACSDT5Y2020.B08301_data_with_ov!$AS$3:$AS$1334,$B457)</f>
        <v>#VALUE!</v>
      </c>
      <c r="T457" s="188">
        <v>0</v>
      </c>
      <c r="U457" s="189" t="e">
        <f t="shared" si="31"/>
        <v>#VALUE!</v>
      </c>
      <c r="V457" s="188">
        <v>0</v>
      </c>
      <c r="W457" s="189" t="e">
        <f t="shared" si="28"/>
        <v>#VALUE!</v>
      </c>
      <c r="X457" s="188">
        <v>0</v>
      </c>
      <c r="Y457" s="189" t="e">
        <f t="shared" si="29"/>
        <v>#VALUE!</v>
      </c>
      <c r="Z457" s="188">
        <v>0</v>
      </c>
      <c r="AA457" s="189" t="e">
        <f t="shared" si="30"/>
        <v>#VALUE!</v>
      </c>
    </row>
    <row r="458" spans="1:27" x14ac:dyDescent="0.25">
      <c r="A458">
        <v>440800</v>
      </c>
      <c r="B458">
        <v>17031440800</v>
      </c>
      <c r="C458">
        <v>17031</v>
      </c>
      <c r="D458">
        <v>2010</v>
      </c>
      <c r="E458">
        <v>44</v>
      </c>
      <c r="F458">
        <v>3084746.87559812</v>
      </c>
      <c r="G458" s="45">
        <v>0.1106500687126277</v>
      </c>
      <c r="H458" s="60" t="str">
        <f>_xlfn.IFNA(
INDEX('Community Areas'!B$2:B$78,MATCH($E458,'Community Areas'!$A$2:$A$78,0)),
"")</f>
        <v>CHATHAM</v>
      </c>
      <c r="I458" s="63" t="str">
        <f>_xlfn.IFNA(
INDEX('Community Areas'!C$2:C$78,MATCH($E458,'Community Areas'!$A$2:$A$78,0)),
"")</f>
        <v>6-C</v>
      </c>
      <c r="J458" s="63">
        <f>_xlfn.IFNA(
INDEX('Community Areas'!D$2:D$78,MATCH($E458,'Community Areas'!$A$2:$A$78,0)),
"")</f>
        <v>6</v>
      </c>
      <c r="K458" s="60" t="str">
        <f>_xlfn.IFNA(
INDEX('Community Areas'!E$2:E$78,MATCH($E458,'Community Areas'!$A$2:$A$78,0)),
"")</f>
        <v>SOUTH</v>
      </c>
      <c r="L458" s="17" t="e">
        <f>SUMIFS([1]ACSDT5Y2020.B08301_data_with_ov!AT$3:AT$1334,[1]ACSDT5Y2020.B08301_data_with_ov!$AS$3:$AS$1334,$B458)</f>
        <v>#VALUE!</v>
      </c>
      <c r="M458" s="17" t="e">
        <f>SUMIFS([1]ACSDT5Y2020.B08301_data_with_ov!AU$3:AU$1334,[1]ACSDT5Y2020.B08301_data_with_ov!$AS$3:$AS$1334,$B458)</f>
        <v>#VALUE!</v>
      </c>
      <c r="N458" s="17" t="e">
        <f>SUMIFS([1]ACSDT5Y2020.B08301_data_with_ov!AV$3:AV$1334,[1]ACSDT5Y2020.B08301_data_with_ov!$AS$3:$AS$1334,$B458)</f>
        <v>#VALUE!</v>
      </c>
      <c r="O458" s="17" t="e">
        <f>SUMIFS([1]ACSDT5Y2020.B08301_data_with_ov!AW$3:AW$1334,[1]ACSDT5Y2020.B08301_data_with_ov!$AS$3:$AS$1334,$B458)</f>
        <v>#VALUE!</v>
      </c>
      <c r="P458" s="17" t="e">
        <f>SUMIFS([1]ACSDT5Y2020.B08301_data_with_ov!AX$3:AX$1334,[1]ACSDT5Y2020.B08301_data_with_ov!$AS$3:$AS$1334,$B458)</f>
        <v>#VALUE!</v>
      </c>
      <c r="Q458" s="17" t="e">
        <f>SUMIFS([1]ACSDT5Y2020.B08301_data_with_ov!AY$3:AY$1334,[1]ACSDT5Y2020.B08301_data_with_ov!$AS$3:$AS$1334,$B458)</f>
        <v>#VALUE!</v>
      </c>
      <c r="R458" s="17" t="e">
        <f>SUMIFS([1]ACSDT5Y2020.B08301_data_with_ov!AZ$3:AZ$1334,[1]ACSDT5Y2020.B08301_data_with_ov!$AS$3:$AS$1334,$B458)</f>
        <v>#VALUE!</v>
      </c>
      <c r="S458" s="17" t="e">
        <f>SUMIFS([1]ACSDT5Y2020.B08301_data_with_ov!BA$3:BA$1334,[1]ACSDT5Y2020.B08301_data_with_ov!$AS$3:$AS$1334,$B458)</f>
        <v>#VALUE!</v>
      </c>
      <c r="T458" s="188">
        <v>5.7089936418232755E-2</v>
      </c>
      <c r="U458" s="189" t="e">
        <f t="shared" si="31"/>
        <v>#VALUE!</v>
      </c>
      <c r="V458" s="188">
        <v>2.8657758836835974E-2</v>
      </c>
      <c r="W458" s="189" t="e">
        <f t="shared" si="28"/>
        <v>#VALUE!</v>
      </c>
      <c r="X458" s="188">
        <v>2.8657758836835974E-2</v>
      </c>
      <c r="Y458" s="189" t="e">
        <f t="shared" si="29"/>
        <v>#VALUE!</v>
      </c>
      <c r="Z458" s="188">
        <v>2.8657758836835974E-2</v>
      </c>
      <c r="AA458" s="189" t="e">
        <f t="shared" si="30"/>
        <v>#VALUE!</v>
      </c>
    </row>
    <row r="459" spans="1:27" x14ac:dyDescent="0.25">
      <c r="A459">
        <v>440102</v>
      </c>
      <c r="B459">
        <v>17031440102</v>
      </c>
      <c r="C459">
        <v>17031</v>
      </c>
      <c r="D459">
        <v>2010</v>
      </c>
      <c r="E459">
        <v>44</v>
      </c>
      <c r="F459">
        <v>6890051.9794719499</v>
      </c>
      <c r="G459" s="45">
        <v>0.24714660739037927</v>
      </c>
      <c r="H459" s="60" t="str">
        <f>_xlfn.IFNA(
INDEX('Community Areas'!B$2:B$78,MATCH($E459,'Community Areas'!$A$2:$A$78,0)),
"")</f>
        <v>CHATHAM</v>
      </c>
      <c r="I459" s="63" t="str">
        <f>_xlfn.IFNA(
INDEX('Community Areas'!C$2:C$78,MATCH($E459,'Community Areas'!$A$2:$A$78,0)),
"")</f>
        <v>6-C</v>
      </c>
      <c r="J459" s="63">
        <f>_xlfn.IFNA(
INDEX('Community Areas'!D$2:D$78,MATCH($E459,'Community Areas'!$A$2:$A$78,0)),
"")</f>
        <v>6</v>
      </c>
      <c r="K459" s="60" t="str">
        <f>_xlfn.IFNA(
INDEX('Community Areas'!E$2:E$78,MATCH($E459,'Community Areas'!$A$2:$A$78,0)),
"")</f>
        <v>SOUTH</v>
      </c>
      <c r="L459" s="17" t="e">
        <f>SUMIFS([1]ACSDT5Y2020.B08301_data_with_ov!AT$3:AT$1334,[1]ACSDT5Y2020.B08301_data_with_ov!$AS$3:$AS$1334,$B459)</f>
        <v>#VALUE!</v>
      </c>
      <c r="M459" s="17" t="e">
        <f>SUMIFS([1]ACSDT5Y2020.B08301_data_with_ov!AU$3:AU$1334,[1]ACSDT5Y2020.B08301_data_with_ov!$AS$3:$AS$1334,$B459)</f>
        <v>#VALUE!</v>
      </c>
      <c r="N459" s="17" t="e">
        <f>SUMIFS([1]ACSDT5Y2020.B08301_data_with_ov!AV$3:AV$1334,[1]ACSDT5Y2020.B08301_data_with_ov!$AS$3:$AS$1334,$B459)</f>
        <v>#VALUE!</v>
      </c>
      <c r="O459" s="17" t="e">
        <f>SUMIFS([1]ACSDT5Y2020.B08301_data_with_ov!AW$3:AW$1334,[1]ACSDT5Y2020.B08301_data_with_ov!$AS$3:$AS$1334,$B459)</f>
        <v>#VALUE!</v>
      </c>
      <c r="P459" s="17" t="e">
        <f>SUMIFS([1]ACSDT5Y2020.B08301_data_with_ov!AX$3:AX$1334,[1]ACSDT5Y2020.B08301_data_with_ov!$AS$3:$AS$1334,$B459)</f>
        <v>#VALUE!</v>
      </c>
      <c r="Q459" s="17" t="e">
        <f>SUMIFS([1]ACSDT5Y2020.B08301_data_with_ov!AY$3:AY$1334,[1]ACSDT5Y2020.B08301_data_with_ov!$AS$3:$AS$1334,$B459)</f>
        <v>#VALUE!</v>
      </c>
      <c r="R459" s="17" t="e">
        <f>SUMIFS([1]ACSDT5Y2020.B08301_data_with_ov!AZ$3:AZ$1334,[1]ACSDT5Y2020.B08301_data_with_ov!$AS$3:$AS$1334,$B459)</f>
        <v>#VALUE!</v>
      </c>
      <c r="S459" s="17" t="e">
        <f>SUMIFS([1]ACSDT5Y2020.B08301_data_with_ov!BA$3:BA$1334,[1]ACSDT5Y2020.B08301_data_with_ov!$AS$3:$AS$1334,$B459)</f>
        <v>#VALUE!</v>
      </c>
      <c r="T459" s="188">
        <v>0.24471891200086124</v>
      </c>
      <c r="U459" s="189" t="e">
        <f t="shared" si="31"/>
        <v>#VALUE!</v>
      </c>
      <c r="V459" s="188">
        <v>0.24462144362013602</v>
      </c>
      <c r="W459" s="189" t="e">
        <f t="shared" si="28"/>
        <v>#VALUE!</v>
      </c>
      <c r="X459" s="188">
        <v>0.24462144362013602</v>
      </c>
      <c r="Y459" s="189" t="e">
        <f t="shared" si="29"/>
        <v>#VALUE!</v>
      </c>
      <c r="Z459" s="188">
        <v>0.24462144362013602</v>
      </c>
      <c r="AA459" s="189" t="e">
        <f t="shared" si="30"/>
        <v>#VALUE!</v>
      </c>
    </row>
    <row r="460" spans="1:27" x14ac:dyDescent="0.25">
      <c r="A460">
        <v>440101</v>
      </c>
      <c r="B460">
        <v>17031440101</v>
      </c>
      <c r="C460">
        <v>17031</v>
      </c>
      <c r="D460">
        <v>2010</v>
      </c>
      <c r="E460">
        <v>44</v>
      </c>
      <c r="F460">
        <v>4209378.94701037</v>
      </c>
      <c r="G460" s="45">
        <v>0.15099069340458454</v>
      </c>
      <c r="H460" s="60" t="str">
        <f>_xlfn.IFNA(
INDEX('Community Areas'!B$2:B$78,MATCH($E460,'Community Areas'!$A$2:$A$78,0)),
"")</f>
        <v>CHATHAM</v>
      </c>
      <c r="I460" s="63" t="str">
        <f>_xlfn.IFNA(
INDEX('Community Areas'!C$2:C$78,MATCH($E460,'Community Areas'!$A$2:$A$78,0)),
"")</f>
        <v>6-C</v>
      </c>
      <c r="J460" s="63">
        <f>_xlfn.IFNA(
INDEX('Community Areas'!D$2:D$78,MATCH($E460,'Community Areas'!$A$2:$A$78,0)),
"")</f>
        <v>6</v>
      </c>
      <c r="K460" s="60" t="str">
        <f>_xlfn.IFNA(
INDEX('Community Areas'!E$2:E$78,MATCH($E460,'Community Areas'!$A$2:$A$78,0)),
"")</f>
        <v>SOUTH</v>
      </c>
      <c r="L460" s="17" t="e">
        <f>SUMIFS([1]ACSDT5Y2020.B08301_data_with_ov!AT$3:AT$1334,[1]ACSDT5Y2020.B08301_data_with_ov!$AS$3:$AS$1334,$B460)</f>
        <v>#VALUE!</v>
      </c>
      <c r="M460" s="17" t="e">
        <f>SUMIFS([1]ACSDT5Y2020.B08301_data_with_ov!AU$3:AU$1334,[1]ACSDT5Y2020.B08301_data_with_ov!$AS$3:$AS$1334,$B460)</f>
        <v>#VALUE!</v>
      </c>
      <c r="N460" s="17" t="e">
        <f>SUMIFS([1]ACSDT5Y2020.B08301_data_with_ov!AV$3:AV$1334,[1]ACSDT5Y2020.B08301_data_with_ov!$AS$3:$AS$1334,$B460)</f>
        <v>#VALUE!</v>
      </c>
      <c r="O460" s="17" t="e">
        <f>SUMIFS([1]ACSDT5Y2020.B08301_data_with_ov!AW$3:AW$1334,[1]ACSDT5Y2020.B08301_data_with_ov!$AS$3:$AS$1334,$B460)</f>
        <v>#VALUE!</v>
      </c>
      <c r="P460" s="17" t="e">
        <f>SUMIFS([1]ACSDT5Y2020.B08301_data_with_ov!AX$3:AX$1334,[1]ACSDT5Y2020.B08301_data_with_ov!$AS$3:$AS$1334,$B460)</f>
        <v>#VALUE!</v>
      </c>
      <c r="Q460" s="17" t="e">
        <f>SUMIFS([1]ACSDT5Y2020.B08301_data_with_ov!AY$3:AY$1334,[1]ACSDT5Y2020.B08301_data_with_ov!$AS$3:$AS$1334,$B460)</f>
        <v>#VALUE!</v>
      </c>
      <c r="R460" s="17" t="e">
        <f>SUMIFS([1]ACSDT5Y2020.B08301_data_with_ov!AZ$3:AZ$1334,[1]ACSDT5Y2020.B08301_data_with_ov!$AS$3:$AS$1334,$B460)</f>
        <v>#VALUE!</v>
      </c>
      <c r="S460" s="17" t="e">
        <f>SUMIFS([1]ACSDT5Y2020.B08301_data_with_ov!BA$3:BA$1334,[1]ACSDT5Y2020.B08301_data_with_ov!$AS$3:$AS$1334,$B460)</f>
        <v>#VALUE!</v>
      </c>
      <c r="T460" s="188">
        <v>0.14962198663822923</v>
      </c>
      <c r="U460" s="189" t="e">
        <f t="shared" si="31"/>
        <v>#VALUE!</v>
      </c>
      <c r="V460" s="188">
        <v>0.14953238521974216</v>
      </c>
      <c r="W460" s="189" t="e">
        <f t="shared" si="28"/>
        <v>#VALUE!</v>
      </c>
      <c r="X460" s="188">
        <v>0.14953238521974216</v>
      </c>
      <c r="Y460" s="189" t="e">
        <f t="shared" si="29"/>
        <v>#VALUE!</v>
      </c>
      <c r="Z460" s="188">
        <v>0.14953238521974216</v>
      </c>
      <c r="AA460" s="189" t="e">
        <f t="shared" si="30"/>
        <v>#VALUE!</v>
      </c>
    </row>
    <row r="461" spans="1:27" x14ac:dyDescent="0.25">
      <c r="A461">
        <v>440202</v>
      </c>
      <c r="B461">
        <v>17031440202</v>
      </c>
      <c r="C461">
        <v>17031</v>
      </c>
      <c r="D461">
        <v>2010</v>
      </c>
      <c r="E461">
        <v>44</v>
      </c>
      <c r="F461">
        <v>8414506.3320349194</v>
      </c>
      <c r="G461" s="45">
        <v>0.30182888300745092</v>
      </c>
      <c r="H461" s="60" t="str">
        <f>_xlfn.IFNA(
INDEX('Community Areas'!B$2:B$78,MATCH($E461,'Community Areas'!$A$2:$A$78,0)),
"")</f>
        <v>CHATHAM</v>
      </c>
      <c r="I461" s="63" t="str">
        <f>_xlfn.IFNA(
INDEX('Community Areas'!C$2:C$78,MATCH($E461,'Community Areas'!$A$2:$A$78,0)),
"")</f>
        <v>6-C</v>
      </c>
      <c r="J461" s="63">
        <f>_xlfn.IFNA(
INDEX('Community Areas'!D$2:D$78,MATCH($E461,'Community Areas'!$A$2:$A$78,0)),
"")</f>
        <v>6</v>
      </c>
      <c r="K461" s="60" t="str">
        <f>_xlfn.IFNA(
INDEX('Community Areas'!E$2:E$78,MATCH($E461,'Community Areas'!$A$2:$A$78,0)),
"")</f>
        <v>SOUTH</v>
      </c>
      <c r="L461" s="17" t="e">
        <f>SUMIFS([1]ACSDT5Y2020.B08301_data_with_ov!AT$3:AT$1334,[1]ACSDT5Y2020.B08301_data_with_ov!$AS$3:$AS$1334,$B461)</f>
        <v>#VALUE!</v>
      </c>
      <c r="M461" s="17" t="e">
        <f>SUMIFS([1]ACSDT5Y2020.B08301_data_with_ov!AU$3:AU$1334,[1]ACSDT5Y2020.B08301_data_with_ov!$AS$3:$AS$1334,$B461)</f>
        <v>#VALUE!</v>
      </c>
      <c r="N461" s="17" t="e">
        <f>SUMIFS([1]ACSDT5Y2020.B08301_data_with_ov!AV$3:AV$1334,[1]ACSDT5Y2020.B08301_data_with_ov!$AS$3:$AS$1334,$B461)</f>
        <v>#VALUE!</v>
      </c>
      <c r="O461" s="17" t="e">
        <f>SUMIFS([1]ACSDT5Y2020.B08301_data_with_ov!AW$3:AW$1334,[1]ACSDT5Y2020.B08301_data_with_ov!$AS$3:$AS$1334,$B461)</f>
        <v>#VALUE!</v>
      </c>
      <c r="P461" s="17" t="e">
        <f>SUMIFS([1]ACSDT5Y2020.B08301_data_with_ov!AX$3:AX$1334,[1]ACSDT5Y2020.B08301_data_with_ov!$AS$3:$AS$1334,$B461)</f>
        <v>#VALUE!</v>
      </c>
      <c r="Q461" s="17" t="e">
        <f>SUMIFS([1]ACSDT5Y2020.B08301_data_with_ov!AY$3:AY$1334,[1]ACSDT5Y2020.B08301_data_with_ov!$AS$3:$AS$1334,$B461)</f>
        <v>#VALUE!</v>
      </c>
      <c r="R461" s="17" t="e">
        <f>SUMIFS([1]ACSDT5Y2020.B08301_data_with_ov!AZ$3:AZ$1334,[1]ACSDT5Y2020.B08301_data_with_ov!$AS$3:$AS$1334,$B461)</f>
        <v>#VALUE!</v>
      </c>
      <c r="S461" s="17" t="e">
        <f>SUMIFS([1]ACSDT5Y2020.B08301_data_with_ov!BA$3:BA$1334,[1]ACSDT5Y2020.B08301_data_with_ov!$AS$3:$AS$1334,$B461)</f>
        <v>#VALUE!</v>
      </c>
      <c r="T461" s="188">
        <v>0.2994323677059505</v>
      </c>
      <c r="U461" s="189" t="e">
        <f t="shared" si="31"/>
        <v>#VALUE!</v>
      </c>
      <c r="V461" s="188">
        <v>0.28345432193925152</v>
      </c>
      <c r="W461" s="189" t="e">
        <f t="shared" si="28"/>
        <v>#VALUE!</v>
      </c>
      <c r="X461" s="188">
        <v>0.28345432193925152</v>
      </c>
      <c r="Y461" s="189" t="e">
        <f t="shared" si="29"/>
        <v>#VALUE!</v>
      </c>
      <c r="Z461" s="188">
        <v>0.28345432193925152</v>
      </c>
      <c r="AA461" s="189" t="e">
        <f t="shared" si="30"/>
        <v>#VALUE!</v>
      </c>
    </row>
    <row r="462" spans="1:27" x14ac:dyDescent="0.25">
      <c r="A462">
        <v>450300</v>
      </c>
      <c r="B462">
        <v>17031450300</v>
      </c>
      <c r="C462">
        <v>17031</v>
      </c>
      <c r="D462">
        <v>2010</v>
      </c>
      <c r="E462">
        <v>45</v>
      </c>
      <c r="F462">
        <v>14710042.715579201</v>
      </c>
      <c r="G462" s="45">
        <v>0.52765017775694445</v>
      </c>
      <c r="H462" s="60" t="str">
        <f>_xlfn.IFNA(
INDEX('Community Areas'!B$2:B$78,MATCH($E462,'Community Areas'!$A$2:$A$78,0)),
"")</f>
        <v>AVALON PARK</v>
      </c>
      <c r="I462" s="63" t="str">
        <f>_xlfn.IFNA(
INDEX('Community Areas'!C$2:C$78,MATCH($E462,'Community Areas'!$A$2:$A$78,0)),
"")</f>
        <v>6-C</v>
      </c>
      <c r="J462" s="63">
        <f>_xlfn.IFNA(
INDEX('Community Areas'!D$2:D$78,MATCH($E462,'Community Areas'!$A$2:$A$78,0)),
"")</f>
        <v>6</v>
      </c>
      <c r="K462" s="60" t="str">
        <f>_xlfn.IFNA(
INDEX('Community Areas'!E$2:E$78,MATCH($E462,'Community Areas'!$A$2:$A$78,0)),
"")</f>
        <v>SOUTH</v>
      </c>
      <c r="L462" s="17" t="e">
        <f>SUMIFS([1]ACSDT5Y2020.B08301_data_with_ov!AT$3:AT$1334,[1]ACSDT5Y2020.B08301_data_with_ov!$AS$3:$AS$1334,$B462)</f>
        <v>#VALUE!</v>
      </c>
      <c r="M462" s="17" t="e">
        <f>SUMIFS([1]ACSDT5Y2020.B08301_data_with_ov!AU$3:AU$1334,[1]ACSDT5Y2020.B08301_data_with_ov!$AS$3:$AS$1334,$B462)</f>
        <v>#VALUE!</v>
      </c>
      <c r="N462" s="17" t="e">
        <f>SUMIFS([1]ACSDT5Y2020.B08301_data_with_ov!AV$3:AV$1334,[1]ACSDT5Y2020.B08301_data_with_ov!$AS$3:$AS$1334,$B462)</f>
        <v>#VALUE!</v>
      </c>
      <c r="O462" s="17" t="e">
        <f>SUMIFS([1]ACSDT5Y2020.B08301_data_with_ov!AW$3:AW$1334,[1]ACSDT5Y2020.B08301_data_with_ov!$AS$3:$AS$1334,$B462)</f>
        <v>#VALUE!</v>
      </c>
      <c r="P462" s="17" t="e">
        <f>SUMIFS([1]ACSDT5Y2020.B08301_data_with_ov!AX$3:AX$1334,[1]ACSDT5Y2020.B08301_data_with_ov!$AS$3:$AS$1334,$B462)</f>
        <v>#VALUE!</v>
      </c>
      <c r="Q462" s="17" t="e">
        <f>SUMIFS([1]ACSDT5Y2020.B08301_data_with_ov!AY$3:AY$1334,[1]ACSDT5Y2020.B08301_data_with_ov!$AS$3:$AS$1334,$B462)</f>
        <v>#VALUE!</v>
      </c>
      <c r="R462" s="17" t="e">
        <f>SUMIFS([1]ACSDT5Y2020.B08301_data_with_ov!AZ$3:AZ$1334,[1]ACSDT5Y2020.B08301_data_with_ov!$AS$3:$AS$1334,$B462)</f>
        <v>#VALUE!</v>
      </c>
      <c r="S462" s="17" t="e">
        <f>SUMIFS([1]ACSDT5Y2020.B08301_data_with_ov!BA$3:BA$1334,[1]ACSDT5Y2020.B08301_data_with_ov!$AS$3:$AS$1334,$B462)</f>
        <v>#VALUE!</v>
      </c>
      <c r="T462" s="188">
        <v>0.52716119625173252</v>
      </c>
      <c r="U462" s="189" t="e">
        <f t="shared" si="31"/>
        <v>#VALUE!</v>
      </c>
      <c r="V462" s="188">
        <v>0.51661684387455165</v>
      </c>
      <c r="W462" s="189" t="e">
        <f t="shared" si="28"/>
        <v>#VALUE!</v>
      </c>
      <c r="X462" s="188">
        <v>0.51661684387455165</v>
      </c>
      <c r="Y462" s="189" t="e">
        <f t="shared" si="29"/>
        <v>#VALUE!</v>
      </c>
      <c r="Z462" s="188">
        <v>0.51661684387455165</v>
      </c>
      <c r="AA462" s="189" t="e">
        <f t="shared" si="30"/>
        <v>#VALUE!</v>
      </c>
    </row>
    <row r="463" spans="1:27" x14ac:dyDescent="0.25">
      <c r="A463">
        <v>460400</v>
      </c>
      <c r="B463">
        <v>17031460400</v>
      </c>
      <c r="C463">
        <v>17031</v>
      </c>
      <c r="D463">
        <v>2010</v>
      </c>
      <c r="E463">
        <v>46</v>
      </c>
      <c r="F463">
        <v>7024579.6642310498</v>
      </c>
      <c r="G463" s="45">
        <v>0.25197212409001413</v>
      </c>
      <c r="H463" s="60" t="str">
        <f>_xlfn.IFNA(
INDEX('Community Areas'!B$2:B$78,MATCH($E463,'Community Areas'!$A$2:$A$78,0)),
"")</f>
        <v>SOUTH CHICAGO</v>
      </c>
      <c r="I463" s="63" t="str">
        <f>_xlfn.IFNA(
INDEX('Community Areas'!C$2:C$78,MATCH($E463,'Community Areas'!$A$2:$A$78,0)),
"")</f>
        <v>6-C</v>
      </c>
      <c r="J463" s="63">
        <f>_xlfn.IFNA(
INDEX('Community Areas'!D$2:D$78,MATCH($E463,'Community Areas'!$A$2:$A$78,0)),
"")</f>
        <v>6</v>
      </c>
      <c r="K463" s="60" t="str">
        <f>_xlfn.IFNA(
INDEX('Community Areas'!E$2:E$78,MATCH($E463,'Community Areas'!$A$2:$A$78,0)),
"")</f>
        <v>SOUTH</v>
      </c>
      <c r="L463" s="17" t="e">
        <f>SUMIFS([1]ACSDT5Y2020.B08301_data_with_ov!AT$3:AT$1334,[1]ACSDT5Y2020.B08301_data_with_ov!$AS$3:$AS$1334,$B463)</f>
        <v>#VALUE!</v>
      </c>
      <c r="M463" s="17" t="e">
        <f>SUMIFS([1]ACSDT5Y2020.B08301_data_with_ov!AU$3:AU$1334,[1]ACSDT5Y2020.B08301_data_with_ov!$AS$3:$AS$1334,$B463)</f>
        <v>#VALUE!</v>
      </c>
      <c r="N463" s="17" t="e">
        <f>SUMIFS([1]ACSDT5Y2020.B08301_data_with_ov!AV$3:AV$1334,[1]ACSDT5Y2020.B08301_data_with_ov!$AS$3:$AS$1334,$B463)</f>
        <v>#VALUE!</v>
      </c>
      <c r="O463" s="17" t="e">
        <f>SUMIFS([1]ACSDT5Y2020.B08301_data_with_ov!AW$3:AW$1334,[1]ACSDT5Y2020.B08301_data_with_ov!$AS$3:$AS$1334,$B463)</f>
        <v>#VALUE!</v>
      </c>
      <c r="P463" s="17" t="e">
        <f>SUMIFS([1]ACSDT5Y2020.B08301_data_with_ov!AX$3:AX$1334,[1]ACSDT5Y2020.B08301_data_with_ov!$AS$3:$AS$1334,$B463)</f>
        <v>#VALUE!</v>
      </c>
      <c r="Q463" s="17" t="e">
        <f>SUMIFS([1]ACSDT5Y2020.B08301_data_with_ov!AY$3:AY$1334,[1]ACSDT5Y2020.B08301_data_with_ov!$AS$3:$AS$1334,$B463)</f>
        <v>#VALUE!</v>
      </c>
      <c r="R463" s="17" t="e">
        <f>SUMIFS([1]ACSDT5Y2020.B08301_data_with_ov!AZ$3:AZ$1334,[1]ACSDT5Y2020.B08301_data_with_ov!$AS$3:$AS$1334,$B463)</f>
        <v>#VALUE!</v>
      </c>
      <c r="S463" s="17" t="e">
        <f>SUMIFS([1]ACSDT5Y2020.B08301_data_with_ov!BA$3:BA$1334,[1]ACSDT5Y2020.B08301_data_with_ov!$AS$3:$AS$1334,$B463)</f>
        <v>#VALUE!</v>
      </c>
      <c r="T463" s="188">
        <v>0.25152888808974405</v>
      </c>
      <c r="U463" s="189" t="e">
        <f t="shared" si="31"/>
        <v>#VALUE!</v>
      </c>
      <c r="V463" s="188">
        <v>0.25152888808974405</v>
      </c>
      <c r="W463" s="189" t="e">
        <f t="shared" si="28"/>
        <v>#VALUE!</v>
      </c>
      <c r="X463" s="188">
        <v>0.25152888808974405</v>
      </c>
      <c r="Y463" s="189" t="e">
        <f t="shared" si="29"/>
        <v>#VALUE!</v>
      </c>
      <c r="Z463" s="188">
        <v>0.25152888808974405</v>
      </c>
      <c r="AA463" s="189" t="e">
        <f t="shared" si="30"/>
        <v>#VALUE!</v>
      </c>
    </row>
    <row r="464" spans="1:27" x14ac:dyDescent="0.25">
      <c r="A464">
        <v>833900</v>
      </c>
      <c r="B464">
        <v>17031833900</v>
      </c>
      <c r="C464">
        <v>17031</v>
      </c>
      <c r="D464">
        <v>2010</v>
      </c>
      <c r="E464">
        <v>46</v>
      </c>
      <c r="F464">
        <v>7035546.6841989299</v>
      </c>
      <c r="G464" s="45">
        <v>0.25236551180121275</v>
      </c>
      <c r="H464" s="60" t="str">
        <f>_xlfn.IFNA(
INDEX('Community Areas'!B$2:B$78,MATCH($E464,'Community Areas'!$A$2:$A$78,0)),
"")</f>
        <v>SOUTH CHICAGO</v>
      </c>
      <c r="I464" s="63" t="str">
        <f>_xlfn.IFNA(
INDEX('Community Areas'!C$2:C$78,MATCH($E464,'Community Areas'!$A$2:$A$78,0)),
"")</f>
        <v>6-C</v>
      </c>
      <c r="J464" s="63">
        <f>_xlfn.IFNA(
INDEX('Community Areas'!D$2:D$78,MATCH($E464,'Community Areas'!$A$2:$A$78,0)),
"")</f>
        <v>6</v>
      </c>
      <c r="K464" s="60" t="str">
        <f>_xlfn.IFNA(
INDEX('Community Areas'!E$2:E$78,MATCH($E464,'Community Areas'!$A$2:$A$78,0)),
"")</f>
        <v>SOUTH</v>
      </c>
      <c r="L464" s="17" t="e">
        <f>SUMIFS([1]ACSDT5Y2020.B08301_data_with_ov!AT$3:AT$1334,[1]ACSDT5Y2020.B08301_data_with_ov!$AS$3:$AS$1334,$B464)</f>
        <v>#VALUE!</v>
      </c>
      <c r="M464" s="17" t="e">
        <f>SUMIFS([1]ACSDT5Y2020.B08301_data_with_ov!AU$3:AU$1334,[1]ACSDT5Y2020.B08301_data_with_ov!$AS$3:$AS$1334,$B464)</f>
        <v>#VALUE!</v>
      </c>
      <c r="N464" s="17" t="e">
        <f>SUMIFS([1]ACSDT5Y2020.B08301_data_with_ov!AV$3:AV$1334,[1]ACSDT5Y2020.B08301_data_with_ov!$AS$3:$AS$1334,$B464)</f>
        <v>#VALUE!</v>
      </c>
      <c r="O464" s="17" t="e">
        <f>SUMIFS([1]ACSDT5Y2020.B08301_data_with_ov!AW$3:AW$1334,[1]ACSDT5Y2020.B08301_data_with_ov!$AS$3:$AS$1334,$B464)</f>
        <v>#VALUE!</v>
      </c>
      <c r="P464" s="17" t="e">
        <f>SUMIFS([1]ACSDT5Y2020.B08301_data_with_ov!AX$3:AX$1334,[1]ACSDT5Y2020.B08301_data_with_ov!$AS$3:$AS$1334,$B464)</f>
        <v>#VALUE!</v>
      </c>
      <c r="Q464" s="17" t="e">
        <f>SUMIFS([1]ACSDT5Y2020.B08301_data_with_ov!AY$3:AY$1334,[1]ACSDT5Y2020.B08301_data_with_ov!$AS$3:$AS$1334,$B464)</f>
        <v>#VALUE!</v>
      </c>
      <c r="R464" s="17" t="e">
        <f>SUMIFS([1]ACSDT5Y2020.B08301_data_with_ov!AZ$3:AZ$1334,[1]ACSDT5Y2020.B08301_data_with_ov!$AS$3:$AS$1334,$B464)</f>
        <v>#VALUE!</v>
      </c>
      <c r="S464" s="17" t="e">
        <f>SUMIFS([1]ACSDT5Y2020.B08301_data_with_ov!BA$3:BA$1334,[1]ACSDT5Y2020.B08301_data_with_ov!$AS$3:$AS$1334,$B464)</f>
        <v>#VALUE!</v>
      </c>
      <c r="T464" s="188">
        <v>0.25236551405675794</v>
      </c>
      <c r="U464" s="189" t="e">
        <f t="shared" si="31"/>
        <v>#VALUE!</v>
      </c>
      <c r="V464" s="188">
        <v>0.25236551405675794</v>
      </c>
      <c r="W464" s="189" t="e">
        <f t="shared" si="28"/>
        <v>#VALUE!</v>
      </c>
      <c r="X464" s="188">
        <v>0.25236551405675794</v>
      </c>
      <c r="Y464" s="189" t="e">
        <f t="shared" si="29"/>
        <v>#VALUE!</v>
      </c>
      <c r="Z464" s="188">
        <v>0.25236551405675794</v>
      </c>
      <c r="AA464" s="189" t="e">
        <f t="shared" si="30"/>
        <v>#VALUE!</v>
      </c>
    </row>
    <row r="465" spans="1:27" x14ac:dyDescent="0.25">
      <c r="A465">
        <v>460200</v>
      </c>
      <c r="B465">
        <v>17031460200</v>
      </c>
      <c r="C465">
        <v>17031</v>
      </c>
      <c r="D465">
        <v>2010</v>
      </c>
      <c r="E465">
        <v>46</v>
      </c>
      <c r="F465">
        <v>6458660.5839813696</v>
      </c>
      <c r="G465" s="45">
        <v>0.23167257030465771</v>
      </c>
      <c r="H465" s="60" t="str">
        <f>_xlfn.IFNA(
INDEX('Community Areas'!B$2:B$78,MATCH($E465,'Community Areas'!$A$2:$A$78,0)),
"")</f>
        <v>SOUTH CHICAGO</v>
      </c>
      <c r="I465" s="63" t="str">
        <f>_xlfn.IFNA(
INDEX('Community Areas'!C$2:C$78,MATCH($E465,'Community Areas'!$A$2:$A$78,0)),
"")</f>
        <v>6-C</v>
      </c>
      <c r="J465" s="63">
        <f>_xlfn.IFNA(
INDEX('Community Areas'!D$2:D$78,MATCH($E465,'Community Areas'!$A$2:$A$78,0)),
"")</f>
        <v>6</v>
      </c>
      <c r="K465" s="60" t="str">
        <f>_xlfn.IFNA(
INDEX('Community Areas'!E$2:E$78,MATCH($E465,'Community Areas'!$A$2:$A$78,0)),
"")</f>
        <v>SOUTH</v>
      </c>
      <c r="L465" s="17" t="e">
        <f>SUMIFS([1]ACSDT5Y2020.B08301_data_with_ov!AT$3:AT$1334,[1]ACSDT5Y2020.B08301_data_with_ov!$AS$3:$AS$1334,$B465)</f>
        <v>#VALUE!</v>
      </c>
      <c r="M465" s="17" t="e">
        <f>SUMIFS([1]ACSDT5Y2020.B08301_data_with_ov!AU$3:AU$1334,[1]ACSDT5Y2020.B08301_data_with_ov!$AS$3:$AS$1334,$B465)</f>
        <v>#VALUE!</v>
      </c>
      <c r="N465" s="17" t="e">
        <f>SUMIFS([1]ACSDT5Y2020.B08301_data_with_ov!AV$3:AV$1334,[1]ACSDT5Y2020.B08301_data_with_ov!$AS$3:$AS$1334,$B465)</f>
        <v>#VALUE!</v>
      </c>
      <c r="O465" s="17" t="e">
        <f>SUMIFS([1]ACSDT5Y2020.B08301_data_with_ov!AW$3:AW$1334,[1]ACSDT5Y2020.B08301_data_with_ov!$AS$3:$AS$1334,$B465)</f>
        <v>#VALUE!</v>
      </c>
      <c r="P465" s="17" t="e">
        <f>SUMIFS([1]ACSDT5Y2020.B08301_data_with_ov!AX$3:AX$1334,[1]ACSDT5Y2020.B08301_data_with_ov!$AS$3:$AS$1334,$B465)</f>
        <v>#VALUE!</v>
      </c>
      <c r="Q465" s="17" t="e">
        <f>SUMIFS([1]ACSDT5Y2020.B08301_data_with_ov!AY$3:AY$1334,[1]ACSDT5Y2020.B08301_data_with_ov!$AS$3:$AS$1334,$B465)</f>
        <v>#VALUE!</v>
      </c>
      <c r="R465" s="17" t="e">
        <f>SUMIFS([1]ACSDT5Y2020.B08301_data_with_ov!AZ$3:AZ$1334,[1]ACSDT5Y2020.B08301_data_with_ov!$AS$3:$AS$1334,$B465)</f>
        <v>#VALUE!</v>
      </c>
      <c r="S465" s="17" t="e">
        <f>SUMIFS([1]ACSDT5Y2020.B08301_data_with_ov!BA$3:BA$1334,[1]ACSDT5Y2020.B08301_data_with_ov!$AS$3:$AS$1334,$B465)</f>
        <v>#VALUE!</v>
      </c>
      <c r="T465" s="188">
        <v>0.23149075175732897</v>
      </c>
      <c r="U465" s="189" t="e">
        <f t="shared" si="31"/>
        <v>#VALUE!</v>
      </c>
      <c r="V465" s="188">
        <v>0.23149074786888413</v>
      </c>
      <c r="W465" s="189" t="e">
        <f t="shared" si="28"/>
        <v>#VALUE!</v>
      </c>
      <c r="X465" s="188">
        <v>0.23149074786888413</v>
      </c>
      <c r="Y465" s="189" t="e">
        <f t="shared" si="29"/>
        <v>#VALUE!</v>
      </c>
      <c r="Z465" s="188">
        <v>0.23149074786888413</v>
      </c>
      <c r="AA465" s="189" t="e">
        <f t="shared" si="30"/>
        <v>#VALUE!</v>
      </c>
    </row>
    <row r="466" spans="1:27" x14ac:dyDescent="0.25">
      <c r="A466">
        <v>460100</v>
      </c>
      <c r="B466">
        <v>17031460100</v>
      </c>
      <c r="C466">
        <v>17031</v>
      </c>
      <c r="D466">
        <v>2010</v>
      </c>
      <c r="E466">
        <v>46</v>
      </c>
      <c r="F466">
        <v>32945073.3394389</v>
      </c>
      <c r="G466" s="45">
        <v>1.1817418983671553</v>
      </c>
      <c r="H466" s="60" t="str">
        <f>_xlfn.IFNA(
INDEX('Community Areas'!B$2:B$78,MATCH($E466,'Community Areas'!$A$2:$A$78,0)),
"")</f>
        <v>SOUTH CHICAGO</v>
      </c>
      <c r="I466" s="63" t="str">
        <f>_xlfn.IFNA(
INDEX('Community Areas'!C$2:C$78,MATCH($E466,'Community Areas'!$A$2:$A$78,0)),
"")</f>
        <v>6-C</v>
      </c>
      <c r="J466" s="63">
        <f>_xlfn.IFNA(
INDEX('Community Areas'!D$2:D$78,MATCH($E466,'Community Areas'!$A$2:$A$78,0)),
"")</f>
        <v>6</v>
      </c>
      <c r="K466" s="60" t="str">
        <f>_xlfn.IFNA(
INDEX('Community Areas'!E$2:E$78,MATCH($E466,'Community Areas'!$A$2:$A$78,0)),
"")</f>
        <v>SOUTH</v>
      </c>
      <c r="L466" s="17" t="e">
        <f>SUMIFS([1]ACSDT5Y2020.B08301_data_with_ov!AT$3:AT$1334,[1]ACSDT5Y2020.B08301_data_with_ov!$AS$3:$AS$1334,$B466)</f>
        <v>#VALUE!</v>
      </c>
      <c r="M466" s="17" t="e">
        <f>SUMIFS([1]ACSDT5Y2020.B08301_data_with_ov!AU$3:AU$1334,[1]ACSDT5Y2020.B08301_data_with_ov!$AS$3:$AS$1334,$B466)</f>
        <v>#VALUE!</v>
      </c>
      <c r="N466" s="17" t="e">
        <f>SUMIFS([1]ACSDT5Y2020.B08301_data_with_ov!AV$3:AV$1334,[1]ACSDT5Y2020.B08301_data_with_ov!$AS$3:$AS$1334,$B466)</f>
        <v>#VALUE!</v>
      </c>
      <c r="O466" s="17" t="e">
        <f>SUMIFS([1]ACSDT5Y2020.B08301_data_with_ov!AW$3:AW$1334,[1]ACSDT5Y2020.B08301_data_with_ov!$AS$3:$AS$1334,$B466)</f>
        <v>#VALUE!</v>
      </c>
      <c r="P466" s="17" t="e">
        <f>SUMIFS([1]ACSDT5Y2020.B08301_data_with_ov!AX$3:AX$1334,[1]ACSDT5Y2020.B08301_data_with_ov!$AS$3:$AS$1334,$B466)</f>
        <v>#VALUE!</v>
      </c>
      <c r="Q466" s="17" t="e">
        <f>SUMIFS([1]ACSDT5Y2020.B08301_data_with_ov!AY$3:AY$1334,[1]ACSDT5Y2020.B08301_data_with_ov!$AS$3:$AS$1334,$B466)</f>
        <v>#VALUE!</v>
      </c>
      <c r="R466" s="17" t="e">
        <f>SUMIFS([1]ACSDT5Y2020.B08301_data_with_ov!AZ$3:AZ$1334,[1]ACSDT5Y2020.B08301_data_with_ov!$AS$3:$AS$1334,$B466)</f>
        <v>#VALUE!</v>
      </c>
      <c r="S466" s="17" t="e">
        <f>SUMIFS([1]ACSDT5Y2020.B08301_data_with_ov!BA$3:BA$1334,[1]ACSDT5Y2020.B08301_data_with_ov!$AS$3:$AS$1334,$B466)</f>
        <v>#VALUE!</v>
      </c>
      <c r="T466" s="188">
        <v>1.1367949624910252</v>
      </c>
      <c r="U466" s="189" t="e">
        <f t="shared" si="31"/>
        <v>#VALUE!</v>
      </c>
      <c r="V466" s="188">
        <v>1.1367876209732231</v>
      </c>
      <c r="W466" s="189" t="e">
        <f t="shared" si="28"/>
        <v>#VALUE!</v>
      </c>
      <c r="X466" s="188">
        <v>1.1367876209732231</v>
      </c>
      <c r="Y466" s="189" t="e">
        <f t="shared" si="29"/>
        <v>#VALUE!</v>
      </c>
      <c r="Z466" s="188">
        <v>1.1367876209732231</v>
      </c>
      <c r="AA466" s="189" t="e">
        <f t="shared" si="30"/>
        <v>#VALUE!</v>
      </c>
    </row>
    <row r="467" spans="1:27" x14ac:dyDescent="0.25">
      <c r="A467">
        <v>460302</v>
      </c>
      <c r="B467">
        <v>17031460302</v>
      </c>
      <c r="C467">
        <v>17031</v>
      </c>
      <c r="D467">
        <v>2010</v>
      </c>
      <c r="E467">
        <v>46</v>
      </c>
      <c r="F467">
        <v>6982125.7402274702</v>
      </c>
      <c r="G467" s="45">
        <v>0.25044929910710334</v>
      </c>
      <c r="H467" s="60" t="str">
        <f>_xlfn.IFNA(
INDEX('Community Areas'!B$2:B$78,MATCH($E467,'Community Areas'!$A$2:$A$78,0)),
"")</f>
        <v>SOUTH CHICAGO</v>
      </c>
      <c r="I467" s="63" t="str">
        <f>_xlfn.IFNA(
INDEX('Community Areas'!C$2:C$78,MATCH($E467,'Community Areas'!$A$2:$A$78,0)),
"")</f>
        <v>6-C</v>
      </c>
      <c r="J467" s="63">
        <f>_xlfn.IFNA(
INDEX('Community Areas'!D$2:D$78,MATCH($E467,'Community Areas'!$A$2:$A$78,0)),
"")</f>
        <v>6</v>
      </c>
      <c r="K467" s="60" t="str">
        <f>_xlfn.IFNA(
INDEX('Community Areas'!E$2:E$78,MATCH($E467,'Community Areas'!$A$2:$A$78,0)),
"")</f>
        <v>SOUTH</v>
      </c>
      <c r="L467" s="17" t="e">
        <f>SUMIFS([1]ACSDT5Y2020.B08301_data_with_ov!AT$3:AT$1334,[1]ACSDT5Y2020.B08301_data_with_ov!$AS$3:$AS$1334,$B467)</f>
        <v>#VALUE!</v>
      </c>
      <c r="M467" s="17" t="e">
        <f>SUMIFS([1]ACSDT5Y2020.B08301_data_with_ov!AU$3:AU$1334,[1]ACSDT5Y2020.B08301_data_with_ov!$AS$3:$AS$1334,$B467)</f>
        <v>#VALUE!</v>
      </c>
      <c r="N467" s="17" t="e">
        <f>SUMIFS([1]ACSDT5Y2020.B08301_data_with_ov!AV$3:AV$1334,[1]ACSDT5Y2020.B08301_data_with_ov!$AS$3:$AS$1334,$B467)</f>
        <v>#VALUE!</v>
      </c>
      <c r="O467" s="17" t="e">
        <f>SUMIFS([1]ACSDT5Y2020.B08301_data_with_ov!AW$3:AW$1334,[1]ACSDT5Y2020.B08301_data_with_ov!$AS$3:$AS$1334,$B467)</f>
        <v>#VALUE!</v>
      </c>
      <c r="P467" s="17" t="e">
        <f>SUMIFS([1]ACSDT5Y2020.B08301_data_with_ov!AX$3:AX$1334,[1]ACSDT5Y2020.B08301_data_with_ov!$AS$3:$AS$1334,$B467)</f>
        <v>#VALUE!</v>
      </c>
      <c r="Q467" s="17" t="e">
        <f>SUMIFS([1]ACSDT5Y2020.B08301_data_with_ov!AY$3:AY$1334,[1]ACSDT5Y2020.B08301_data_with_ov!$AS$3:$AS$1334,$B467)</f>
        <v>#VALUE!</v>
      </c>
      <c r="R467" s="17" t="e">
        <f>SUMIFS([1]ACSDT5Y2020.B08301_data_with_ov!AZ$3:AZ$1334,[1]ACSDT5Y2020.B08301_data_with_ov!$AS$3:$AS$1334,$B467)</f>
        <v>#VALUE!</v>
      </c>
      <c r="S467" s="17" t="e">
        <f>SUMIFS([1]ACSDT5Y2020.B08301_data_with_ov!BA$3:BA$1334,[1]ACSDT5Y2020.B08301_data_with_ov!$AS$3:$AS$1334,$B467)</f>
        <v>#VALUE!</v>
      </c>
      <c r="T467" s="188">
        <v>0.25034991768093973</v>
      </c>
      <c r="U467" s="189" t="e">
        <f t="shared" si="31"/>
        <v>#VALUE!</v>
      </c>
      <c r="V467" s="188">
        <v>0.25034991768093973</v>
      </c>
      <c r="W467" s="189" t="e">
        <f t="shared" si="28"/>
        <v>#VALUE!</v>
      </c>
      <c r="X467" s="188">
        <v>0.25034991768093973</v>
      </c>
      <c r="Y467" s="189" t="e">
        <f t="shared" si="29"/>
        <v>#VALUE!</v>
      </c>
      <c r="Z467" s="188">
        <v>0.25034991768093973</v>
      </c>
      <c r="AA467" s="189" t="e">
        <f t="shared" si="30"/>
        <v>#VALUE!</v>
      </c>
    </row>
    <row r="468" spans="1:27" x14ac:dyDescent="0.25">
      <c r="A468">
        <v>461000</v>
      </c>
      <c r="B468">
        <v>17031461000</v>
      </c>
      <c r="C468">
        <v>17031</v>
      </c>
      <c r="D468">
        <v>2010</v>
      </c>
      <c r="E468">
        <v>46</v>
      </c>
      <c r="F468">
        <v>6492804.3581808396</v>
      </c>
      <c r="G468" s="45">
        <v>0.23289730967992567</v>
      </c>
      <c r="H468" s="60" t="str">
        <f>_xlfn.IFNA(
INDEX('Community Areas'!B$2:B$78,MATCH($E468,'Community Areas'!$A$2:$A$78,0)),
"")</f>
        <v>SOUTH CHICAGO</v>
      </c>
      <c r="I468" s="63" t="str">
        <f>_xlfn.IFNA(
INDEX('Community Areas'!C$2:C$78,MATCH($E468,'Community Areas'!$A$2:$A$78,0)),
"")</f>
        <v>6-C</v>
      </c>
      <c r="J468" s="63">
        <f>_xlfn.IFNA(
INDEX('Community Areas'!D$2:D$78,MATCH($E468,'Community Areas'!$A$2:$A$78,0)),
"")</f>
        <v>6</v>
      </c>
      <c r="K468" s="60" t="str">
        <f>_xlfn.IFNA(
INDEX('Community Areas'!E$2:E$78,MATCH($E468,'Community Areas'!$A$2:$A$78,0)),
"")</f>
        <v>SOUTH</v>
      </c>
      <c r="L468" s="17" t="e">
        <f>SUMIFS([1]ACSDT5Y2020.B08301_data_with_ov!AT$3:AT$1334,[1]ACSDT5Y2020.B08301_data_with_ov!$AS$3:$AS$1334,$B468)</f>
        <v>#VALUE!</v>
      </c>
      <c r="M468" s="17" t="e">
        <f>SUMIFS([1]ACSDT5Y2020.B08301_data_with_ov!AU$3:AU$1334,[1]ACSDT5Y2020.B08301_data_with_ov!$AS$3:$AS$1334,$B468)</f>
        <v>#VALUE!</v>
      </c>
      <c r="N468" s="17" t="e">
        <f>SUMIFS([1]ACSDT5Y2020.B08301_data_with_ov!AV$3:AV$1334,[1]ACSDT5Y2020.B08301_data_with_ov!$AS$3:$AS$1334,$B468)</f>
        <v>#VALUE!</v>
      </c>
      <c r="O468" s="17" t="e">
        <f>SUMIFS([1]ACSDT5Y2020.B08301_data_with_ov!AW$3:AW$1334,[1]ACSDT5Y2020.B08301_data_with_ov!$AS$3:$AS$1334,$B468)</f>
        <v>#VALUE!</v>
      </c>
      <c r="P468" s="17" t="e">
        <f>SUMIFS([1]ACSDT5Y2020.B08301_data_with_ov!AX$3:AX$1334,[1]ACSDT5Y2020.B08301_data_with_ov!$AS$3:$AS$1334,$B468)</f>
        <v>#VALUE!</v>
      </c>
      <c r="Q468" s="17" t="e">
        <f>SUMIFS([1]ACSDT5Y2020.B08301_data_with_ov!AY$3:AY$1334,[1]ACSDT5Y2020.B08301_data_with_ov!$AS$3:$AS$1334,$B468)</f>
        <v>#VALUE!</v>
      </c>
      <c r="R468" s="17" t="e">
        <f>SUMIFS([1]ACSDT5Y2020.B08301_data_with_ov!AZ$3:AZ$1334,[1]ACSDT5Y2020.B08301_data_with_ov!$AS$3:$AS$1334,$B468)</f>
        <v>#VALUE!</v>
      </c>
      <c r="S468" s="17" t="e">
        <f>SUMIFS([1]ACSDT5Y2020.B08301_data_with_ov!BA$3:BA$1334,[1]ACSDT5Y2020.B08301_data_with_ov!$AS$3:$AS$1334,$B468)</f>
        <v>#VALUE!</v>
      </c>
      <c r="T468" s="188">
        <v>0.23289730721486204</v>
      </c>
      <c r="U468" s="189" t="e">
        <f t="shared" si="31"/>
        <v>#VALUE!</v>
      </c>
      <c r="V468" s="188">
        <v>0.23289730721486204</v>
      </c>
      <c r="W468" s="189" t="e">
        <f t="shared" si="28"/>
        <v>#VALUE!</v>
      </c>
      <c r="X468" s="188">
        <v>0.23289730721486204</v>
      </c>
      <c r="Y468" s="189" t="e">
        <f t="shared" si="29"/>
        <v>#VALUE!</v>
      </c>
      <c r="Z468" s="188">
        <v>0.23289730721486204</v>
      </c>
      <c r="AA468" s="189" t="e">
        <f t="shared" si="30"/>
        <v>#VALUE!</v>
      </c>
    </row>
    <row r="469" spans="1:27" x14ac:dyDescent="0.25">
      <c r="A469">
        <v>460600</v>
      </c>
      <c r="B469">
        <v>17031460600</v>
      </c>
      <c r="C469">
        <v>17031</v>
      </c>
      <c r="D469">
        <v>2010</v>
      </c>
      <c r="E469">
        <v>46</v>
      </c>
      <c r="F469">
        <v>2805605.3973049801</v>
      </c>
      <c r="G469" s="45">
        <v>0.10063724594327436</v>
      </c>
      <c r="H469" s="60" t="str">
        <f>_xlfn.IFNA(
INDEX('Community Areas'!B$2:B$78,MATCH($E469,'Community Areas'!$A$2:$A$78,0)),
"")</f>
        <v>SOUTH CHICAGO</v>
      </c>
      <c r="I469" s="63" t="str">
        <f>_xlfn.IFNA(
INDEX('Community Areas'!C$2:C$78,MATCH($E469,'Community Areas'!$A$2:$A$78,0)),
"")</f>
        <v>6-C</v>
      </c>
      <c r="J469" s="63">
        <f>_xlfn.IFNA(
INDEX('Community Areas'!D$2:D$78,MATCH($E469,'Community Areas'!$A$2:$A$78,0)),
"")</f>
        <v>6</v>
      </c>
      <c r="K469" s="60" t="str">
        <f>_xlfn.IFNA(
INDEX('Community Areas'!E$2:E$78,MATCH($E469,'Community Areas'!$A$2:$A$78,0)),
"")</f>
        <v>SOUTH</v>
      </c>
      <c r="L469" s="17" t="e">
        <f>SUMIFS([1]ACSDT5Y2020.B08301_data_with_ov!AT$3:AT$1334,[1]ACSDT5Y2020.B08301_data_with_ov!$AS$3:$AS$1334,$B469)</f>
        <v>#VALUE!</v>
      </c>
      <c r="M469" s="17" t="e">
        <f>SUMIFS([1]ACSDT5Y2020.B08301_data_with_ov!AU$3:AU$1334,[1]ACSDT5Y2020.B08301_data_with_ov!$AS$3:$AS$1334,$B469)</f>
        <v>#VALUE!</v>
      </c>
      <c r="N469" s="17" t="e">
        <f>SUMIFS([1]ACSDT5Y2020.B08301_data_with_ov!AV$3:AV$1334,[1]ACSDT5Y2020.B08301_data_with_ov!$AS$3:$AS$1334,$B469)</f>
        <v>#VALUE!</v>
      </c>
      <c r="O469" s="17" t="e">
        <f>SUMIFS([1]ACSDT5Y2020.B08301_data_with_ov!AW$3:AW$1334,[1]ACSDT5Y2020.B08301_data_with_ov!$AS$3:$AS$1334,$B469)</f>
        <v>#VALUE!</v>
      </c>
      <c r="P469" s="17" t="e">
        <f>SUMIFS([1]ACSDT5Y2020.B08301_data_with_ov!AX$3:AX$1334,[1]ACSDT5Y2020.B08301_data_with_ov!$AS$3:$AS$1334,$B469)</f>
        <v>#VALUE!</v>
      </c>
      <c r="Q469" s="17" t="e">
        <f>SUMIFS([1]ACSDT5Y2020.B08301_data_with_ov!AY$3:AY$1334,[1]ACSDT5Y2020.B08301_data_with_ov!$AS$3:$AS$1334,$B469)</f>
        <v>#VALUE!</v>
      </c>
      <c r="R469" s="17" t="e">
        <f>SUMIFS([1]ACSDT5Y2020.B08301_data_with_ov!AZ$3:AZ$1334,[1]ACSDT5Y2020.B08301_data_with_ov!$AS$3:$AS$1334,$B469)</f>
        <v>#VALUE!</v>
      </c>
      <c r="S469" s="17" t="e">
        <f>SUMIFS([1]ACSDT5Y2020.B08301_data_with_ov!BA$3:BA$1334,[1]ACSDT5Y2020.B08301_data_with_ov!$AS$3:$AS$1334,$B469)</f>
        <v>#VALUE!</v>
      </c>
      <c r="T469" s="188">
        <v>0.10063724637871578</v>
      </c>
      <c r="U469" s="189" t="e">
        <f t="shared" si="31"/>
        <v>#VALUE!</v>
      </c>
      <c r="V469" s="188">
        <v>0.10063724637871578</v>
      </c>
      <c r="W469" s="189" t="e">
        <f t="shared" si="28"/>
        <v>#VALUE!</v>
      </c>
      <c r="X469" s="188">
        <v>0.10063724637871578</v>
      </c>
      <c r="Y469" s="189" t="e">
        <f t="shared" si="29"/>
        <v>#VALUE!</v>
      </c>
      <c r="Z469" s="188">
        <v>0.10063724637871578</v>
      </c>
      <c r="AA469" s="189" t="e">
        <f t="shared" si="30"/>
        <v>#VALUE!</v>
      </c>
    </row>
    <row r="470" spans="1:27" x14ac:dyDescent="0.25">
      <c r="A470">
        <v>460301</v>
      </c>
      <c r="B470">
        <v>17031460301</v>
      </c>
      <c r="C470">
        <v>17031</v>
      </c>
      <c r="D470">
        <v>2010</v>
      </c>
      <c r="E470">
        <v>46</v>
      </c>
      <c r="F470">
        <v>5230472.9853547197</v>
      </c>
      <c r="G470" s="45">
        <v>0.18761740219505854</v>
      </c>
      <c r="H470" s="60" t="str">
        <f>_xlfn.IFNA(
INDEX('Community Areas'!B$2:B$78,MATCH($E470,'Community Areas'!$A$2:$A$78,0)),
"")</f>
        <v>SOUTH CHICAGO</v>
      </c>
      <c r="I470" s="63" t="str">
        <f>_xlfn.IFNA(
INDEX('Community Areas'!C$2:C$78,MATCH($E470,'Community Areas'!$A$2:$A$78,0)),
"")</f>
        <v>6-C</v>
      </c>
      <c r="J470" s="63">
        <f>_xlfn.IFNA(
INDEX('Community Areas'!D$2:D$78,MATCH($E470,'Community Areas'!$A$2:$A$78,0)),
"")</f>
        <v>6</v>
      </c>
      <c r="K470" s="60" t="str">
        <f>_xlfn.IFNA(
INDEX('Community Areas'!E$2:E$78,MATCH($E470,'Community Areas'!$A$2:$A$78,0)),
"")</f>
        <v>SOUTH</v>
      </c>
      <c r="L470" s="17" t="e">
        <f>SUMIFS([1]ACSDT5Y2020.B08301_data_with_ov!AT$3:AT$1334,[1]ACSDT5Y2020.B08301_data_with_ov!$AS$3:$AS$1334,$B470)</f>
        <v>#VALUE!</v>
      </c>
      <c r="M470" s="17" t="e">
        <f>SUMIFS([1]ACSDT5Y2020.B08301_data_with_ov!AU$3:AU$1334,[1]ACSDT5Y2020.B08301_data_with_ov!$AS$3:$AS$1334,$B470)</f>
        <v>#VALUE!</v>
      </c>
      <c r="N470" s="17" t="e">
        <f>SUMIFS([1]ACSDT5Y2020.B08301_data_with_ov!AV$3:AV$1334,[1]ACSDT5Y2020.B08301_data_with_ov!$AS$3:$AS$1334,$B470)</f>
        <v>#VALUE!</v>
      </c>
      <c r="O470" s="17" t="e">
        <f>SUMIFS([1]ACSDT5Y2020.B08301_data_with_ov!AW$3:AW$1334,[1]ACSDT5Y2020.B08301_data_with_ov!$AS$3:$AS$1334,$B470)</f>
        <v>#VALUE!</v>
      </c>
      <c r="P470" s="17" t="e">
        <f>SUMIFS([1]ACSDT5Y2020.B08301_data_with_ov!AX$3:AX$1334,[1]ACSDT5Y2020.B08301_data_with_ov!$AS$3:$AS$1334,$B470)</f>
        <v>#VALUE!</v>
      </c>
      <c r="Q470" s="17" t="e">
        <f>SUMIFS([1]ACSDT5Y2020.B08301_data_with_ov!AY$3:AY$1334,[1]ACSDT5Y2020.B08301_data_with_ov!$AS$3:$AS$1334,$B470)</f>
        <v>#VALUE!</v>
      </c>
      <c r="R470" s="17" t="e">
        <f>SUMIFS([1]ACSDT5Y2020.B08301_data_with_ov!AZ$3:AZ$1334,[1]ACSDT5Y2020.B08301_data_with_ov!$AS$3:$AS$1334,$B470)</f>
        <v>#VALUE!</v>
      </c>
      <c r="S470" s="17" t="e">
        <f>SUMIFS([1]ACSDT5Y2020.B08301_data_with_ov!BA$3:BA$1334,[1]ACSDT5Y2020.B08301_data_with_ov!$AS$3:$AS$1334,$B470)</f>
        <v>#VALUE!</v>
      </c>
      <c r="T470" s="188">
        <v>0.18754673215834158</v>
      </c>
      <c r="U470" s="189" t="e">
        <f t="shared" si="31"/>
        <v>#VALUE!</v>
      </c>
      <c r="V470" s="188">
        <v>0.18754673215834158</v>
      </c>
      <c r="W470" s="189" t="e">
        <f t="shared" si="28"/>
        <v>#VALUE!</v>
      </c>
      <c r="X470" s="188">
        <v>0.18754673215834158</v>
      </c>
      <c r="Y470" s="189" t="e">
        <f t="shared" si="29"/>
        <v>#VALUE!</v>
      </c>
      <c r="Z470" s="188">
        <v>0.18754673215834158</v>
      </c>
      <c r="AA470" s="189" t="e">
        <f t="shared" si="30"/>
        <v>#VALUE!</v>
      </c>
    </row>
    <row r="471" spans="1:27" x14ac:dyDescent="0.25">
      <c r="A471">
        <v>460500</v>
      </c>
      <c r="B471">
        <v>17031460500</v>
      </c>
      <c r="C471">
        <v>17031</v>
      </c>
      <c r="D471">
        <v>2010</v>
      </c>
      <c r="E471">
        <v>46</v>
      </c>
      <c r="F471">
        <v>13751566.0191954</v>
      </c>
      <c r="G471" s="45">
        <v>0.49326955704758524</v>
      </c>
      <c r="H471" s="60" t="str">
        <f>_xlfn.IFNA(
INDEX('Community Areas'!B$2:B$78,MATCH($E471,'Community Areas'!$A$2:$A$78,0)),
"")</f>
        <v>SOUTH CHICAGO</v>
      </c>
      <c r="I471" s="63" t="str">
        <f>_xlfn.IFNA(
INDEX('Community Areas'!C$2:C$78,MATCH($E471,'Community Areas'!$A$2:$A$78,0)),
"")</f>
        <v>6-C</v>
      </c>
      <c r="J471" s="63">
        <f>_xlfn.IFNA(
INDEX('Community Areas'!D$2:D$78,MATCH($E471,'Community Areas'!$A$2:$A$78,0)),
"")</f>
        <v>6</v>
      </c>
      <c r="K471" s="60" t="str">
        <f>_xlfn.IFNA(
INDEX('Community Areas'!E$2:E$78,MATCH($E471,'Community Areas'!$A$2:$A$78,0)),
"")</f>
        <v>SOUTH</v>
      </c>
      <c r="L471" s="17" t="e">
        <f>SUMIFS([1]ACSDT5Y2020.B08301_data_with_ov!AT$3:AT$1334,[1]ACSDT5Y2020.B08301_data_with_ov!$AS$3:$AS$1334,$B471)</f>
        <v>#VALUE!</v>
      </c>
      <c r="M471" s="17" t="e">
        <f>SUMIFS([1]ACSDT5Y2020.B08301_data_with_ov!AU$3:AU$1334,[1]ACSDT5Y2020.B08301_data_with_ov!$AS$3:$AS$1334,$B471)</f>
        <v>#VALUE!</v>
      </c>
      <c r="N471" s="17" t="e">
        <f>SUMIFS([1]ACSDT5Y2020.B08301_data_with_ov!AV$3:AV$1334,[1]ACSDT5Y2020.B08301_data_with_ov!$AS$3:$AS$1334,$B471)</f>
        <v>#VALUE!</v>
      </c>
      <c r="O471" s="17" t="e">
        <f>SUMIFS([1]ACSDT5Y2020.B08301_data_with_ov!AW$3:AW$1334,[1]ACSDT5Y2020.B08301_data_with_ov!$AS$3:$AS$1334,$B471)</f>
        <v>#VALUE!</v>
      </c>
      <c r="P471" s="17" t="e">
        <f>SUMIFS([1]ACSDT5Y2020.B08301_data_with_ov!AX$3:AX$1334,[1]ACSDT5Y2020.B08301_data_with_ov!$AS$3:$AS$1334,$B471)</f>
        <v>#VALUE!</v>
      </c>
      <c r="Q471" s="17" t="e">
        <f>SUMIFS([1]ACSDT5Y2020.B08301_data_with_ov!AY$3:AY$1334,[1]ACSDT5Y2020.B08301_data_with_ov!$AS$3:$AS$1334,$B471)</f>
        <v>#VALUE!</v>
      </c>
      <c r="R471" s="17" t="e">
        <f>SUMIFS([1]ACSDT5Y2020.B08301_data_with_ov!AZ$3:AZ$1334,[1]ACSDT5Y2020.B08301_data_with_ov!$AS$3:$AS$1334,$B471)</f>
        <v>#VALUE!</v>
      </c>
      <c r="S471" s="17" t="e">
        <f>SUMIFS([1]ACSDT5Y2020.B08301_data_with_ov!BA$3:BA$1334,[1]ACSDT5Y2020.B08301_data_with_ov!$AS$3:$AS$1334,$B471)</f>
        <v>#VALUE!</v>
      </c>
      <c r="T471" s="188">
        <v>0.4927627514340206</v>
      </c>
      <c r="U471" s="189" t="e">
        <f t="shared" si="31"/>
        <v>#VALUE!</v>
      </c>
      <c r="V471" s="188">
        <v>0.4927627514340206</v>
      </c>
      <c r="W471" s="189" t="e">
        <f t="shared" si="28"/>
        <v>#VALUE!</v>
      </c>
      <c r="X471" s="188">
        <v>0.4927627514340206</v>
      </c>
      <c r="Y471" s="189" t="e">
        <f t="shared" si="29"/>
        <v>#VALUE!</v>
      </c>
      <c r="Z471" s="188">
        <v>0.4927627514340206</v>
      </c>
      <c r="AA471" s="189" t="e">
        <f t="shared" si="30"/>
        <v>#VALUE!</v>
      </c>
    </row>
    <row r="472" spans="1:27" x14ac:dyDescent="0.25">
      <c r="A472">
        <v>460700</v>
      </c>
      <c r="B472">
        <v>17031460700</v>
      </c>
      <c r="C472">
        <v>17031</v>
      </c>
      <c r="D472">
        <v>2010</v>
      </c>
      <c r="E472">
        <v>46</v>
      </c>
      <c r="F472">
        <v>4545750.3918154901</v>
      </c>
      <c r="G472" s="45">
        <v>0.16305635875141652</v>
      </c>
      <c r="H472" s="60" t="str">
        <f>_xlfn.IFNA(
INDEX('Community Areas'!B$2:B$78,MATCH($E472,'Community Areas'!$A$2:$A$78,0)),
"")</f>
        <v>SOUTH CHICAGO</v>
      </c>
      <c r="I472" s="63" t="str">
        <f>_xlfn.IFNA(
INDEX('Community Areas'!C$2:C$78,MATCH($E472,'Community Areas'!$A$2:$A$78,0)),
"")</f>
        <v>6-C</v>
      </c>
      <c r="J472" s="63">
        <f>_xlfn.IFNA(
INDEX('Community Areas'!D$2:D$78,MATCH($E472,'Community Areas'!$A$2:$A$78,0)),
"")</f>
        <v>6</v>
      </c>
      <c r="K472" s="60" t="str">
        <f>_xlfn.IFNA(
INDEX('Community Areas'!E$2:E$78,MATCH($E472,'Community Areas'!$A$2:$A$78,0)),
"")</f>
        <v>SOUTH</v>
      </c>
      <c r="L472" s="17" t="e">
        <f>SUMIFS([1]ACSDT5Y2020.B08301_data_with_ov!AT$3:AT$1334,[1]ACSDT5Y2020.B08301_data_with_ov!$AS$3:$AS$1334,$B472)</f>
        <v>#VALUE!</v>
      </c>
      <c r="M472" s="17" t="e">
        <f>SUMIFS([1]ACSDT5Y2020.B08301_data_with_ov!AU$3:AU$1334,[1]ACSDT5Y2020.B08301_data_with_ov!$AS$3:$AS$1334,$B472)</f>
        <v>#VALUE!</v>
      </c>
      <c r="N472" s="17" t="e">
        <f>SUMIFS([1]ACSDT5Y2020.B08301_data_with_ov!AV$3:AV$1334,[1]ACSDT5Y2020.B08301_data_with_ov!$AS$3:$AS$1334,$B472)</f>
        <v>#VALUE!</v>
      </c>
      <c r="O472" s="17" t="e">
        <f>SUMIFS([1]ACSDT5Y2020.B08301_data_with_ov!AW$3:AW$1334,[1]ACSDT5Y2020.B08301_data_with_ov!$AS$3:$AS$1334,$B472)</f>
        <v>#VALUE!</v>
      </c>
      <c r="P472" s="17" t="e">
        <f>SUMIFS([1]ACSDT5Y2020.B08301_data_with_ov!AX$3:AX$1334,[1]ACSDT5Y2020.B08301_data_with_ov!$AS$3:$AS$1334,$B472)</f>
        <v>#VALUE!</v>
      </c>
      <c r="Q472" s="17" t="e">
        <f>SUMIFS([1]ACSDT5Y2020.B08301_data_with_ov!AY$3:AY$1334,[1]ACSDT5Y2020.B08301_data_with_ov!$AS$3:$AS$1334,$B472)</f>
        <v>#VALUE!</v>
      </c>
      <c r="R472" s="17" t="e">
        <f>SUMIFS([1]ACSDT5Y2020.B08301_data_with_ov!AZ$3:AZ$1334,[1]ACSDT5Y2020.B08301_data_with_ov!$AS$3:$AS$1334,$B472)</f>
        <v>#VALUE!</v>
      </c>
      <c r="S472" s="17" t="e">
        <f>SUMIFS([1]ACSDT5Y2020.B08301_data_with_ov!BA$3:BA$1334,[1]ACSDT5Y2020.B08301_data_with_ov!$AS$3:$AS$1334,$B472)</f>
        <v>#VALUE!</v>
      </c>
      <c r="T472" s="188">
        <v>0.15772437459756802</v>
      </c>
      <c r="U472" s="189" t="e">
        <f t="shared" si="31"/>
        <v>#VALUE!</v>
      </c>
      <c r="V472" s="188">
        <v>0.1577187002299551</v>
      </c>
      <c r="W472" s="189" t="e">
        <f t="shared" si="28"/>
        <v>#VALUE!</v>
      </c>
      <c r="X472" s="188">
        <v>0.1577187002299551</v>
      </c>
      <c r="Y472" s="189" t="e">
        <f t="shared" si="29"/>
        <v>#VALUE!</v>
      </c>
      <c r="Z472" s="188">
        <v>0.1577187002299551</v>
      </c>
      <c r="AA472" s="189" t="e">
        <f t="shared" si="30"/>
        <v>#VALUE!</v>
      </c>
    </row>
    <row r="473" spans="1:27" x14ac:dyDescent="0.25">
      <c r="A473">
        <v>470100</v>
      </c>
      <c r="B473">
        <v>17031470100</v>
      </c>
      <c r="C473">
        <v>17031</v>
      </c>
      <c r="D473">
        <v>2010</v>
      </c>
      <c r="E473">
        <v>47</v>
      </c>
      <c r="F473">
        <v>16995983.273794301</v>
      </c>
      <c r="G473" s="45">
        <v>0.60964701251844799</v>
      </c>
      <c r="H473" s="60" t="str">
        <f>_xlfn.IFNA(
INDEX('Community Areas'!B$2:B$78,MATCH($E473,'Community Areas'!$A$2:$A$78,0)),
"")</f>
        <v>BURNSIDE</v>
      </c>
      <c r="I473" s="63" t="str">
        <f>_xlfn.IFNA(
INDEX('Community Areas'!C$2:C$78,MATCH($E473,'Community Areas'!$A$2:$A$78,0)),
"")</f>
        <v>6-C</v>
      </c>
      <c r="J473" s="63">
        <f>_xlfn.IFNA(
INDEX('Community Areas'!D$2:D$78,MATCH($E473,'Community Areas'!$A$2:$A$78,0)),
"")</f>
        <v>6</v>
      </c>
      <c r="K473" s="60" t="str">
        <f>_xlfn.IFNA(
INDEX('Community Areas'!E$2:E$78,MATCH($E473,'Community Areas'!$A$2:$A$78,0)),
"")</f>
        <v>SOUTH</v>
      </c>
      <c r="L473" s="17" t="e">
        <f>SUMIFS([1]ACSDT5Y2020.B08301_data_with_ov!AT$3:AT$1334,[1]ACSDT5Y2020.B08301_data_with_ov!$AS$3:$AS$1334,$B473)</f>
        <v>#VALUE!</v>
      </c>
      <c r="M473" s="17" t="e">
        <f>SUMIFS([1]ACSDT5Y2020.B08301_data_with_ov!AU$3:AU$1334,[1]ACSDT5Y2020.B08301_data_with_ov!$AS$3:$AS$1334,$B473)</f>
        <v>#VALUE!</v>
      </c>
      <c r="N473" s="17" t="e">
        <f>SUMIFS([1]ACSDT5Y2020.B08301_data_with_ov!AV$3:AV$1334,[1]ACSDT5Y2020.B08301_data_with_ov!$AS$3:$AS$1334,$B473)</f>
        <v>#VALUE!</v>
      </c>
      <c r="O473" s="17" t="e">
        <f>SUMIFS([1]ACSDT5Y2020.B08301_data_with_ov!AW$3:AW$1334,[1]ACSDT5Y2020.B08301_data_with_ov!$AS$3:$AS$1334,$B473)</f>
        <v>#VALUE!</v>
      </c>
      <c r="P473" s="17" t="e">
        <f>SUMIFS([1]ACSDT5Y2020.B08301_data_with_ov!AX$3:AX$1334,[1]ACSDT5Y2020.B08301_data_with_ov!$AS$3:$AS$1334,$B473)</f>
        <v>#VALUE!</v>
      </c>
      <c r="Q473" s="17" t="e">
        <f>SUMIFS([1]ACSDT5Y2020.B08301_data_with_ov!AY$3:AY$1334,[1]ACSDT5Y2020.B08301_data_with_ov!$AS$3:$AS$1334,$B473)</f>
        <v>#VALUE!</v>
      </c>
      <c r="R473" s="17" t="e">
        <f>SUMIFS([1]ACSDT5Y2020.B08301_data_with_ov!AZ$3:AZ$1334,[1]ACSDT5Y2020.B08301_data_with_ov!$AS$3:$AS$1334,$B473)</f>
        <v>#VALUE!</v>
      </c>
      <c r="S473" s="17" t="e">
        <f>SUMIFS([1]ACSDT5Y2020.B08301_data_with_ov!BA$3:BA$1334,[1]ACSDT5Y2020.B08301_data_with_ov!$AS$3:$AS$1334,$B473)</f>
        <v>#VALUE!</v>
      </c>
      <c r="T473" s="188">
        <v>0.27605437844343111</v>
      </c>
      <c r="U473" s="189" t="e">
        <f t="shared" si="31"/>
        <v>#VALUE!</v>
      </c>
      <c r="V473" s="188">
        <v>0.20004201419385476</v>
      </c>
      <c r="W473" s="189" t="e">
        <f t="shared" si="28"/>
        <v>#VALUE!</v>
      </c>
      <c r="X473" s="188">
        <v>0.20004201419385476</v>
      </c>
      <c r="Y473" s="189" t="e">
        <f t="shared" si="29"/>
        <v>#VALUE!</v>
      </c>
      <c r="Z473" s="188">
        <v>0.20004201419385476</v>
      </c>
      <c r="AA473" s="189" t="e">
        <f t="shared" si="30"/>
        <v>#VALUE!</v>
      </c>
    </row>
    <row r="474" spans="1:27" x14ac:dyDescent="0.25">
      <c r="A474">
        <v>480200</v>
      </c>
      <c r="B474">
        <v>17031480200</v>
      </c>
      <c r="C474">
        <v>17031</v>
      </c>
      <c r="D474">
        <v>2010</v>
      </c>
      <c r="E474">
        <v>48</v>
      </c>
      <c r="F474">
        <v>3088202.0660242201</v>
      </c>
      <c r="G474" s="45">
        <v>0.11077400661530863</v>
      </c>
      <c r="H474" s="60" t="str">
        <f>_xlfn.IFNA(
INDEX('Community Areas'!B$2:B$78,MATCH($E474,'Community Areas'!$A$2:$A$78,0)),
"")</f>
        <v>CALUMET HEIGHTS</v>
      </c>
      <c r="I474" s="63" t="str">
        <f>_xlfn.IFNA(
INDEX('Community Areas'!C$2:C$78,MATCH($E474,'Community Areas'!$A$2:$A$78,0)),
"")</f>
        <v>6-C</v>
      </c>
      <c r="J474" s="63">
        <f>_xlfn.IFNA(
INDEX('Community Areas'!D$2:D$78,MATCH($E474,'Community Areas'!$A$2:$A$78,0)),
"")</f>
        <v>6</v>
      </c>
      <c r="K474" s="60" t="str">
        <f>_xlfn.IFNA(
INDEX('Community Areas'!E$2:E$78,MATCH($E474,'Community Areas'!$A$2:$A$78,0)),
"")</f>
        <v>SOUTH</v>
      </c>
      <c r="L474" s="17" t="e">
        <f>SUMIFS([1]ACSDT5Y2020.B08301_data_with_ov!AT$3:AT$1334,[1]ACSDT5Y2020.B08301_data_with_ov!$AS$3:$AS$1334,$B474)</f>
        <v>#VALUE!</v>
      </c>
      <c r="M474" s="17" t="e">
        <f>SUMIFS([1]ACSDT5Y2020.B08301_data_with_ov!AU$3:AU$1334,[1]ACSDT5Y2020.B08301_data_with_ov!$AS$3:$AS$1334,$B474)</f>
        <v>#VALUE!</v>
      </c>
      <c r="N474" s="17" t="e">
        <f>SUMIFS([1]ACSDT5Y2020.B08301_data_with_ov!AV$3:AV$1334,[1]ACSDT5Y2020.B08301_data_with_ov!$AS$3:$AS$1334,$B474)</f>
        <v>#VALUE!</v>
      </c>
      <c r="O474" s="17" t="e">
        <f>SUMIFS([1]ACSDT5Y2020.B08301_data_with_ov!AW$3:AW$1334,[1]ACSDT5Y2020.B08301_data_with_ov!$AS$3:$AS$1334,$B474)</f>
        <v>#VALUE!</v>
      </c>
      <c r="P474" s="17" t="e">
        <f>SUMIFS([1]ACSDT5Y2020.B08301_data_with_ov!AX$3:AX$1334,[1]ACSDT5Y2020.B08301_data_with_ov!$AS$3:$AS$1334,$B474)</f>
        <v>#VALUE!</v>
      </c>
      <c r="Q474" s="17" t="e">
        <f>SUMIFS([1]ACSDT5Y2020.B08301_data_with_ov!AY$3:AY$1334,[1]ACSDT5Y2020.B08301_data_with_ov!$AS$3:$AS$1334,$B474)</f>
        <v>#VALUE!</v>
      </c>
      <c r="R474" s="17" t="e">
        <f>SUMIFS([1]ACSDT5Y2020.B08301_data_with_ov!AZ$3:AZ$1334,[1]ACSDT5Y2020.B08301_data_with_ov!$AS$3:$AS$1334,$B474)</f>
        <v>#VALUE!</v>
      </c>
      <c r="S474" s="17" t="e">
        <f>SUMIFS([1]ACSDT5Y2020.B08301_data_with_ov!BA$3:BA$1334,[1]ACSDT5Y2020.B08301_data_with_ov!$AS$3:$AS$1334,$B474)</f>
        <v>#VALUE!</v>
      </c>
      <c r="T474" s="188">
        <v>0</v>
      </c>
      <c r="U474" s="189" t="e">
        <f t="shared" si="31"/>
        <v>#VALUE!</v>
      </c>
      <c r="V474" s="188">
        <v>0</v>
      </c>
      <c r="W474" s="189" t="e">
        <f t="shared" si="28"/>
        <v>#VALUE!</v>
      </c>
      <c r="X474" s="188">
        <v>0</v>
      </c>
      <c r="Y474" s="189" t="e">
        <f t="shared" si="29"/>
        <v>#VALUE!</v>
      </c>
      <c r="Z474" s="188">
        <v>0</v>
      </c>
      <c r="AA474" s="189" t="e">
        <f t="shared" si="30"/>
        <v>#VALUE!</v>
      </c>
    </row>
    <row r="475" spans="1:27" x14ac:dyDescent="0.25">
      <c r="A475">
        <v>480300</v>
      </c>
      <c r="B475">
        <v>17031480300</v>
      </c>
      <c r="C475">
        <v>17031</v>
      </c>
      <c r="D475">
        <v>2010</v>
      </c>
      <c r="E475">
        <v>48</v>
      </c>
      <c r="F475">
        <v>4501571.8836333603</v>
      </c>
      <c r="G475" s="45">
        <v>0.16147167282316632</v>
      </c>
      <c r="H475" s="60" t="str">
        <f>_xlfn.IFNA(
INDEX('Community Areas'!B$2:B$78,MATCH($E475,'Community Areas'!$A$2:$A$78,0)),
"")</f>
        <v>CALUMET HEIGHTS</v>
      </c>
      <c r="I475" s="63" t="str">
        <f>_xlfn.IFNA(
INDEX('Community Areas'!C$2:C$78,MATCH($E475,'Community Areas'!$A$2:$A$78,0)),
"")</f>
        <v>6-C</v>
      </c>
      <c r="J475" s="63">
        <f>_xlfn.IFNA(
INDEX('Community Areas'!D$2:D$78,MATCH($E475,'Community Areas'!$A$2:$A$78,0)),
"")</f>
        <v>6</v>
      </c>
      <c r="K475" s="60" t="str">
        <f>_xlfn.IFNA(
INDEX('Community Areas'!E$2:E$78,MATCH($E475,'Community Areas'!$A$2:$A$78,0)),
"")</f>
        <v>SOUTH</v>
      </c>
      <c r="L475" s="17" t="e">
        <f>SUMIFS([1]ACSDT5Y2020.B08301_data_with_ov!AT$3:AT$1334,[1]ACSDT5Y2020.B08301_data_with_ov!$AS$3:$AS$1334,$B475)</f>
        <v>#VALUE!</v>
      </c>
      <c r="M475" s="17" t="e">
        <f>SUMIFS([1]ACSDT5Y2020.B08301_data_with_ov!AU$3:AU$1334,[1]ACSDT5Y2020.B08301_data_with_ov!$AS$3:$AS$1334,$B475)</f>
        <v>#VALUE!</v>
      </c>
      <c r="N475" s="17" t="e">
        <f>SUMIFS([1]ACSDT5Y2020.B08301_data_with_ov!AV$3:AV$1334,[1]ACSDT5Y2020.B08301_data_with_ov!$AS$3:$AS$1334,$B475)</f>
        <v>#VALUE!</v>
      </c>
      <c r="O475" s="17" t="e">
        <f>SUMIFS([1]ACSDT5Y2020.B08301_data_with_ov!AW$3:AW$1334,[1]ACSDT5Y2020.B08301_data_with_ov!$AS$3:$AS$1334,$B475)</f>
        <v>#VALUE!</v>
      </c>
      <c r="P475" s="17" t="e">
        <f>SUMIFS([1]ACSDT5Y2020.B08301_data_with_ov!AX$3:AX$1334,[1]ACSDT5Y2020.B08301_data_with_ov!$AS$3:$AS$1334,$B475)</f>
        <v>#VALUE!</v>
      </c>
      <c r="Q475" s="17" t="e">
        <f>SUMIFS([1]ACSDT5Y2020.B08301_data_with_ov!AY$3:AY$1334,[1]ACSDT5Y2020.B08301_data_with_ov!$AS$3:$AS$1334,$B475)</f>
        <v>#VALUE!</v>
      </c>
      <c r="R475" s="17" t="e">
        <f>SUMIFS([1]ACSDT5Y2020.B08301_data_with_ov!AZ$3:AZ$1334,[1]ACSDT5Y2020.B08301_data_with_ov!$AS$3:$AS$1334,$B475)</f>
        <v>#VALUE!</v>
      </c>
      <c r="S475" s="17" t="e">
        <f>SUMIFS([1]ACSDT5Y2020.B08301_data_with_ov!BA$3:BA$1334,[1]ACSDT5Y2020.B08301_data_with_ov!$AS$3:$AS$1334,$B475)</f>
        <v>#VALUE!</v>
      </c>
      <c r="T475" s="188">
        <v>0</v>
      </c>
      <c r="U475" s="189" t="e">
        <f t="shared" si="31"/>
        <v>#VALUE!</v>
      </c>
      <c r="V475" s="188">
        <v>0</v>
      </c>
      <c r="W475" s="189" t="e">
        <f t="shared" si="28"/>
        <v>#VALUE!</v>
      </c>
      <c r="X475" s="188">
        <v>0</v>
      </c>
      <c r="Y475" s="189" t="e">
        <f t="shared" si="29"/>
        <v>#VALUE!</v>
      </c>
      <c r="Z475" s="188">
        <v>0</v>
      </c>
      <c r="AA475" s="189" t="e">
        <f t="shared" si="30"/>
        <v>#VALUE!</v>
      </c>
    </row>
    <row r="476" spans="1:27" x14ac:dyDescent="0.25">
      <c r="A476">
        <v>480100</v>
      </c>
      <c r="B476">
        <v>17031480100</v>
      </c>
      <c r="C476">
        <v>17031</v>
      </c>
      <c r="D476">
        <v>2010</v>
      </c>
      <c r="E476">
        <v>48</v>
      </c>
      <c r="F476">
        <v>7172030.6866892502</v>
      </c>
      <c r="G476" s="45">
        <v>0.25726120174361694</v>
      </c>
      <c r="H476" s="60" t="str">
        <f>_xlfn.IFNA(
INDEX('Community Areas'!B$2:B$78,MATCH($E476,'Community Areas'!$A$2:$A$78,0)),
"")</f>
        <v>CALUMET HEIGHTS</v>
      </c>
      <c r="I476" s="63" t="str">
        <f>_xlfn.IFNA(
INDEX('Community Areas'!C$2:C$78,MATCH($E476,'Community Areas'!$A$2:$A$78,0)),
"")</f>
        <v>6-C</v>
      </c>
      <c r="J476" s="63">
        <f>_xlfn.IFNA(
INDEX('Community Areas'!D$2:D$78,MATCH($E476,'Community Areas'!$A$2:$A$78,0)),
"")</f>
        <v>6</v>
      </c>
      <c r="K476" s="60" t="str">
        <f>_xlfn.IFNA(
INDEX('Community Areas'!E$2:E$78,MATCH($E476,'Community Areas'!$A$2:$A$78,0)),
"")</f>
        <v>SOUTH</v>
      </c>
      <c r="L476" s="17" t="e">
        <f>SUMIFS([1]ACSDT5Y2020.B08301_data_with_ov!AT$3:AT$1334,[1]ACSDT5Y2020.B08301_data_with_ov!$AS$3:$AS$1334,$B476)</f>
        <v>#VALUE!</v>
      </c>
      <c r="M476" s="17" t="e">
        <f>SUMIFS([1]ACSDT5Y2020.B08301_data_with_ov!AU$3:AU$1334,[1]ACSDT5Y2020.B08301_data_with_ov!$AS$3:$AS$1334,$B476)</f>
        <v>#VALUE!</v>
      </c>
      <c r="N476" s="17" t="e">
        <f>SUMIFS([1]ACSDT5Y2020.B08301_data_with_ov!AV$3:AV$1334,[1]ACSDT5Y2020.B08301_data_with_ov!$AS$3:$AS$1334,$B476)</f>
        <v>#VALUE!</v>
      </c>
      <c r="O476" s="17" t="e">
        <f>SUMIFS([1]ACSDT5Y2020.B08301_data_with_ov!AW$3:AW$1334,[1]ACSDT5Y2020.B08301_data_with_ov!$AS$3:$AS$1334,$B476)</f>
        <v>#VALUE!</v>
      </c>
      <c r="P476" s="17" t="e">
        <f>SUMIFS([1]ACSDT5Y2020.B08301_data_with_ov!AX$3:AX$1334,[1]ACSDT5Y2020.B08301_data_with_ov!$AS$3:$AS$1334,$B476)</f>
        <v>#VALUE!</v>
      </c>
      <c r="Q476" s="17" t="e">
        <f>SUMIFS([1]ACSDT5Y2020.B08301_data_with_ov!AY$3:AY$1334,[1]ACSDT5Y2020.B08301_data_with_ov!$AS$3:$AS$1334,$B476)</f>
        <v>#VALUE!</v>
      </c>
      <c r="R476" s="17" t="e">
        <f>SUMIFS([1]ACSDT5Y2020.B08301_data_with_ov!AZ$3:AZ$1334,[1]ACSDT5Y2020.B08301_data_with_ov!$AS$3:$AS$1334,$B476)</f>
        <v>#VALUE!</v>
      </c>
      <c r="S476" s="17" t="e">
        <f>SUMIFS([1]ACSDT5Y2020.B08301_data_with_ov!BA$3:BA$1334,[1]ACSDT5Y2020.B08301_data_with_ov!$AS$3:$AS$1334,$B476)</f>
        <v>#VALUE!</v>
      </c>
      <c r="T476" s="188">
        <v>0.16104879440497447</v>
      </c>
      <c r="U476" s="189" t="e">
        <f t="shared" si="31"/>
        <v>#VALUE!</v>
      </c>
      <c r="V476" s="188">
        <v>0.16104879393671265</v>
      </c>
      <c r="W476" s="189" t="e">
        <f t="shared" si="28"/>
        <v>#VALUE!</v>
      </c>
      <c r="X476" s="188">
        <v>0.16104879393671265</v>
      </c>
      <c r="Y476" s="189" t="e">
        <f t="shared" si="29"/>
        <v>#VALUE!</v>
      </c>
      <c r="Z476" s="188">
        <v>0.16104879393671265</v>
      </c>
      <c r="AA476" s="189" t="e">
        <f t="shared" si="30"/>
        <v>#VALUE!</v>
      </c>
    </row>
    <row r="477" spans="1:27" x14ac:dyDescent="0.25">
      <c r="A477">
        <v>480500</v>
      </c>
      <c r="B477">
        <v>17031480500</v>
      </c>
      <c r="C477">
        <v>17031</v>
      </c>
      <c r="D477">
        <v>2010</v>
      </c>
      <c r="E477">
        <v>48</v>
      </c>
      <c r="F477">
        <v>14610265.4884887</v>
      </c>
      <c r="G477" s="45">
        <v>0.52407116220761241</v>
      </c>
      <c r="H477" s="60" t="str">
        <f>_xlfn.IFNA(
INDEX('Community Areas'!B$2:B$78,MATCH($E477,'Community Areas'!$A$2:$A$78,0)),
"")</f>
        <v>CALUMET HEIGHTS</v>
      </c>
      <c r="I477" s="63" t="str">
        <f>_xlfn.IFNA(
INDEX('Community Areas'!C$2:C$78,MATCH($E477,'Community Areas'!$A$2:$A$78,0)),
"")</f>
        <v>6-C</v>
      </c>
      <c r="J477" s="63">
        <f>_xlfn.IFNA(
INDEX('Community Areas'!D$2:D$78,MATCH($E477,'Community Areas'!$A$2:$A$78,0)),
"")</f>
        <v>6</v>
      </c>
      <c r="K477" s="60" t="str">
        <f>_xlfn.IFNA(
INDEX('Community Areas'!E$2:E$78,MATCH($E477,'Community Areas'!$A$2:$A$78,0)),
"")</f>
        <v>SOUTH</v>
      </c>
      <c r="L477" s="17" t="e">
        <f>SUMIFS([1]ACSDT5Y2020.B08301_data_with_ov!AT$3:AT$1334,[1]ACSDT5Y2020.B08301_data_with_ov!$AS$3:$AS$1334,$B477)</f>
        <v>#VALUE!</v>
      </c>
      <c r="M477" s="17" t="e">
        <f>SUMIFS([1]ACSDT5Y2020.B08301_data_with_ov!AU$3:AU$1334,[1]ACSDT5Y2020.B08301_data_with_ov!$AS$3:$AS$1334,$B477)</f>
        <v>#VALUE!</v>
      </c>
      <c r="N477" s="17" t="e">
        <f>SUMIFS([1]ACSDT5Y2020.B08301_data_with_ov!AV$3:AV$1334,[1]ACSDT5Y2020.B08301_data_with_ov!$AS$3:$AS$1334,$B477)</f>
        <v>#VALUE!</v>
      </c>
      <c r="O477" s="17" t="e">
        <f>SUMIFS([1]ACSDT5Y2020.B08301_data_with_ov!AW$3:AW$1334,[1]ACSDT5Y2020.B08301_data_with_ov!$AS$3:$AS$1334,$B477)</f>
        <v>#VALUE!</v>
      </c>
      <c r="P477" s="17" t="e">
        <f>SUMIFS([1]ACSDT5Y2020.B08301_data_with_ov!AX$3:AX$1334,[1]ACSDT5Y2020.B08301_data_with_ov!$AS$3:$AS$1334,$B477)</f>
        <v>#VALUE!</v>
      </c>
      <c r="Q477" s="17" t="e">
        <f>SUMIFS([1]ACSDT5Y2020.B08301_data_with_ov!AY$3:AY$1334,[1]ACSDT5Y2020.B08301_data_with_ov!$AS$3:$AS$1334,$B477)</f>
        <v>#VALUE!</v>
      </c>
      <c r="R477" s="17" t="e">
        <f>SUMIFS([1]ACSDT5Y2020.B08301_data_with_ov!AZ$3:AZ$1334,[1]ACSDT5Y2020.B08301_data_with_ov!$AS$3:$AS$1334,$B477)</f>
        <v>#VALUE!</v>
      </c>
      <c r="S477" s="17" t="e">
        <f>SUMIFS([1]ACSDT5Y2020.B08301_data_with_ov!BA$3:BA$1334,[1]ACSDT5Y2020.B08301_data_with_ov!$AS$3:$AS$1334,$B477)</f>
        <v>#VALUE!</v>
      </c>
      <c r="T477" s="188">
        <v>0.47404950806303092</v>
      </c>
      <c r="U477" s="189" t="e">
        <f t="shared" si="31"/>
        <v>#VALUE!</v>
      </c>
      <c r="V477" s="188">
        <v>0.47404950806303092</v>
      </c>
      <c r="W477" s="189" t="e">
        <f t="shared" si="28"/>
        <v>#VALUE!</v>
      </c>
      <c r="X477" s="188">
        <v>0.47404950806303092</v>
      </c>
      <c r="Y477" s="189" t="e">
        <f t="shared" si="29"/>
        <v>#VALUE!</v>
      </c>
      <c r="Z477" s="188">
        <v>0.47404950806303092</v>
      </c>
      <c r="AA477" s="189" t="e">
        <f t="shared" si="30"/>
        <v>#VALUE!</v>
      </c>
    </row>
    <row r="478" spans="1:27" x14ac:dyDescent="0.25">
      <c r="A478">
        <v>480400</v>
      </c>
      <c r="B478">
        <v>17031480400</v>
      </c>
      <c r="C478">
        <v>17031</v>
      </c>
      <c r="D478">
        <v>2010</v>
      </c>
      <c r="E478">
        <v>48</v>
      </c>
      <c r="F478">
        <v>19454171.439513698</v>
      </c>
      <c r="G478" s="45">
        <v>0.69782238003306141</v>
      </c>
      <c r="H478" s="60" t="str">
        <f>_xlfn.IFNA(
INDEX('Community Areas'!B$2:B$78,MATCH($E478,'Community Areas'!$A$2:$A$78,0)),
"")</f>
        <v>CALUMET HEIGHTS</v>
      </c>
      <c r="I478" s="63" t="str">
        <f>_xlfn.IFNA(
INDEX('Community Areas'!C$2:C$78,MATCH($E478,'Community Areas'!$A$2:$A$78,0)),
"")</f>
        <v>6-C</v>
      </c>
      <c r="J478" s="63">
        <f>_xlfn.IFNA(
INDEX('Community Areas'!D$2:D$78,MATCH($E478,'Community Areas'!$A$2:$A$78,0)),
"")</f>
        <v>6</v>
      </c>
      <c r="K478" s="60" t="str">
        <f>_xlfn.IFNA(
INDEX('Community Areas'!E$2:E$78,MATCH($E478,'Community Areas'!$A$2:$A$78,0)),
"")</f>
        <v>SOUTH</v>
      </c>
      <c r="L478" s="17" t="e">
        <f>SUMIFS([1]ACSDT5Y2020.B08301_data_with_ov!AT$3:AT$1334,[1]ACSDT5Y2020.B08301_data_with_ov!$AS$3:$AS$1334,$B478)</f>
        <v>#VALUE!</v>
      </c>
      <c r="M478" s="17" t="e">
        <f>SUMIFS([1]ACSDT5Y2020.B08301_data_with_ov!AU$3:AU$1334,[1]ACSDT5Y2020.B08301_data_with_ov!$AS$3:$AS$1334,$B478)</f>
        <v>#VALUE!</v>
      </c>
      <c r="N478" s="17" t="e">
        <f>SUMIFS([1]ACSDT5Y2020.B08301_data_with_ov!AV$3:AV$1334,[1]ACSDT5Y2020.B08301_data_with_ov!$AS$3:$AS$1334,$B478)</f>
        <v>#VALUE!</v>
      </c>
      <c r="O478" s="17" t="e">
        <f>SUMIFS([1]ACSDT5Y2020.B08301_data_with_ov!AW$3:AW$1334,[1]ACSDT5Y2020.B08301_data_with_ov!$AS$3:$AS$1334,$B478)</f>
        <v>#VALUE!</v>
      </c>
      <c r="P478" s="17" t="e">
        <f>SUMIFS([1]ACSDT5Y2020.B08301_data_with_ov!AX$3:AX$1334,[1]ACSDT5Y2020.B08301_data_with_ov!$AS$3:$AS$1334,$B478)</f>
        <v>#VALUE!</v>
      </c>
      <c r="Q478" s="17" t="e">
        <f>SUMIFS([1]ACSDT5Y2020.B08301_data_with_ov!AY$3:AY$1334,[1]ACSDT5Y2020.B08301_data_with_ov!$AS$3:$AS$1334,$B478)</f>
        <v>#VALUE!</v>
      </c>
      <c r="R478" s="17" t="e">
        <f>SUMIFS([1]ACSDT5Y2020.B08301_data_with_ov!AZ$3:AZ$1334,[1]ACSDT5Y2020.B08301_data_with_ov!$AS$3:$AS$1334,$B478)</f>
        <v>#VALUE!</v>
      </c>
      <c r="S478" s="17" t="e">
        <f>SUMIFS([1]ACSDT5Y2020.B08301_data_with_ov!BA$3:BA$1334,[1]ACSDT5Y2020.B08301_data_with_ov!$AS$3:$AS$1334,$B478)</f>
        <v>#VALUE!</v>
      </c>
      <c r="T478" s="188">
        <v>9.6603631156518308E-2</v>
      </c>
      <c r="U478" s="189" t="e">
        <f t="shared" si="31"/>
        <v>#VALUE!</v>
      </c>
      <c r="V478" s="188">
        <v>9.6603631156518308E-2</v>
      </c>
      <c r="W478" s="189" t="e">
        <f t="shared" si="28"/>
        <v>#VALUE!</v>
      </c>
      <c r="X478" s="188">
        <v>9.6603631156518308E-2</v>
      </c>
      <c r="Y478" s="189" t="e">
        <f t="shared" si="29"/>
        <v>#VALUE!</v>
      </c>
      <c r="Z478" s="188">
        <v>9.6603631156518308E-2</v>
      </c>
      <c r="AA478" s="189" t="e">
        <f t="shared" si="30"/>
        <v>#VALUE!</v>
      </c>
    </row>
    <row r="479" spans="1:27" x14ac:dyDescent="0.25">
      <c r="A479">
        <v>490300</v>
      </c>
      <c r="B479">
        <v>17031490300</v>
      </c>
      <c r="C479">
        <v>17031</v>
      </c>
      <c r="D479">
        <v>2010</v>
      </c>
      <c r="E479">
        <v>49</v>
      </c>
      <c r="F479">
        <v>6813823.9803337296</v>
      </c>
      <c r="G479" s="45">
        <v>0.24441230416141993</v>
      </c>
      <c r="H479" s="60" t="str">
        <f>_xlfn.IFNA(
INDEX('Community Areas'!B$2:B$78,MATCH($E479,'Community Areas'!$A$2:$A$78,0)),
"")</f>
        <v>ROSELAND</v>
      </c>
      <c r="I479" s="63" t="str">
        <f>_xlfn.IFNA(
INDEX('Community Areas'!C$2:C$78,MATCH($E479,'Community Areas'!$A$2:$A$78,0)),
"")</f>
        <v>5-B</v>
      </c>
      <c r="J479" s="63">
        <f>_xlfn.IFNA(
INDEX('Community Areas'!D$2:D$78,MATCH($E479,'Community Areas'!$A$2:$A$78,0)),
"")</f>
        <v>5</v>
      </c>
      <c r="K479" s="60" t="str">
        <f>_xlfn.IFNA(
INDEX('Community Areas'!E$2:E$78,MATCH($E479,'Community Areas'!$A$2:$A$78,0)),
"")</f>
        <v>FAR SOUTH</v>
      </c>
      <c r="L479" s="17" t="e">
        <f>SUMIFS([1]ACSDT5Y2020.B08301_data_with_ov!AT$3:AT$1334,[1]ACSDT5Y2020.B08301_data_with_ov!$AS$3:$AS$1334,$B479)</f>
        <v>#VALUE!</v>
      </c>
      <c r="M479" s="17" t="e">
        <f>SUMIFS([1]ACSDT5Y2020.B08301_data_with_ov!AU$3:AU$1334,[1]ACSDT5Y2020.B08301_data_with_ov!$AS$3:$AS$1334,$B479)</f>
        <v>#VALUE!</v>
      </c>
      <c r="N479" s="17" t="e">
        <f>SUMIFS([1]ACSDT5Y2020.B08301_data_with_ov!AV$3:AV$1334,[1]ACSDT5Y2020.B08301_data_with_ov!$AS$3:$AS$1334,$B479)</f>
        <v>#VALUE!</v>
      </c>
      <c r="O479" s="17" t="e">
        <f>SUMIFS([1]ACSDT5Y2020.B08301_data_with_ov!AW$3:AW$1334,[1]ACSDT5Y2020.B08301_data_with_ov!$AS$3:$AS$1334,$B479)</f>
        <v>#VALUE!</v>
      </c>
      <c r="P479" s="17" t="e">
        <f>SUMIFS([1]ACSDT5Y2020.B08301_data_with_ov!AX$3:AX$1334,[1]ACSDT5Y2020.B08301_data_with_ov!$AS$3:$AS$1334,$B479)</f>
        <v>#VALUE!</v>
      </c>
      <c r="Q479" s="17" t="e">
        <f>SUMIFS([1]ACSDT5Y2020.B08301_data_with_ov!AY$3:AY$1334,[1]ACSDT5Y2020.B08301_data_with_ov!$AS$3:$AS$1334,$B479)</f>
        <v>#VALUE!</v>
      </c>
      <c r="R479" s="17" t="e">
        <f>SUMIFS([1]ACSDT5Y2020.B08301_data_with_ov!AZ$3:AZ$1334,[1]ACSDT5Y2020.B08301_data_with_ov!$AS$3:$AS$1334,$B479)</f>
        <v>#VALUE!</v>
      </c>
      <c r="S479" s="17" t="e">
        <f>SUMIFS([1]ACSDT5Y2020.B08301_data_with_ov!BA$3:BA$1334,[1]ACSDT5Y2020.B08301_data_with_ov!$AS$3:$AS$1334,$B479)</f>
        <v>#VALUE!</v>
      </c>
      <c r="T479" s="188">
        <v>0.19395705601979848</v>
      </c>
      <c r="U479" s="189" t="e">
        <f t="shared" si="31"/>
        <v>#VALUE!</v>
      </c>
      <c r="V479" s="188">
        <v>0.19392879429330917</v>
      </c>
      <c r="W479" s="189" t="e">
        <f t="shared" si="28"/>
        <v>#VALUE!</v>
      </c>
      <c r="X479" s="188">
        <v>0.19392879429330917</v>
      </c>
      <c r="Y479" s="189" t="e">
        <f t="shared" si="29"/>
        <v>#VALUE!</v>
      </c>
      <c r="Z479" s="188">
        <v>0.19392879429330917</v>
      </c>
      <c r="AA479" s="189" t="e">
        <f t="shared" si="30"/>
        <v>#VALUE!</v>
      </c>
    </row>
    <row r="480" spans="1:27" x14ac:dyDescent="0.25">
      <c r="A480">
        <v>491200</v>
      </c>
      <c r="B480">
        <v>17031491200</v>
      </c>
      <c r="C480">
        <v>17031</v>
      </c>
      <c r="D480">
        <v>2010</v>
      </c>
      <c r="E480">
        <v>49</v>
      </c>
      <c r="F480">
        <v>6989585.6746101398</v>
      </c>
      <c r="G480" s="45">
        <v>0.25071688743292797</v>
      </c>
      <c r="H480" s="60" t="str">
        <f>_xlfn.IFNA(
INDEX('Community Areas'!B$2:B$78,MATCH($E480,'Community Areas'!$A$2:$A$78,0)),
"")</f>
        <v>ROSELAND</v>
      </c>
      <c r="I480" s="63" t="str">
        <f>_xlfn.IFNA(
INDEX('Community Areas'!C$2:C$78,MATCH($E480,'Community Areas'!$A$2:$A$78,0)),
"")</f>
        <v>5-B</v>
      </c>
      <c r="J480" s="63">
        <f>_xlfn.IFNA(
INDEX('Community Areas'!D$2:D$78,MATCH($E480,'Community Areas'!$A$2:$A$78,0)),
"")</f>
        <v>5</v>
      </c>
      <c r="K480" s="60" t="str">
        <f>_xlfn.IFNA(
INDEX('Community Areas'!E$2:E$78,MATCH($E480,'Community Areas'!$A$2:$A$78,0)),
"")</f>
        <v>FAR SOUTH</v>
      </c>
      <c r="L480" s="17" t="e">
        <f>SUMIFS([1]ACSDT5Y2020.B08301_data_with_ov!AT$3:AT$1334,[1]ACSDT5Y2020.B08301_data_with_ov!$AS$3:$AS$1334,$B480)</f>
        <v>#VALUE!</v>
      </c>
      <c r="M480" s="17" t="e">
        <f>SUMIFS([1]ACSDT5Y2020.B08301_data_with_ov!AU$3:AU$1334,[1]ACSDT5Y2020.B08301_data_with_ov!$AS$3:$AS$1334,$B480)</f>
        <v>#VALUE!</v>
      </c>
      <c r="N480" s="17" t="e">
        <f>SUMIFS([1]ACSDT5Y2020.B08301_data_with_ov!AV$3:AV$1334,[1]ACSDT5Y2020.B08301_data_with_ov!$AS$3:$AS$1334,$B480)</f>
        <v>#VALUE!</v>
      </c>
      <c r="O480" s="17" t="e">
        <f>SUMIFS([1]ACSDT5Y2020.B08301_data_with_ov!AW$3:AW$1334,[1]ACSDT5Y2020.B08301_data_with_ov!$AS$3:$AS$1334,$B480)</f>
        <v>#VALUE!</v>
      </c>
      <c r="P480" s="17" t="e">
        <f>SUMIFS([1]ACSDT5Y2020.B08301_data_with_ov!AX$3:AX$1334,[1]ACSDT5Y2020.B08301_data_with_ov!$AS$3:$AS$1334,$B480)</f>
        <v>#VALUE!</v>
      </c>
      <c r="Q480" s="17" t="e">
        <f>SUMIFS([1]ACSDT5Y2020.B08301_data_with_ov!AY$3:AY$1334,[1]ACSDT5Y2020.B08301_data_with_ov!$AS$3:$AS$1334,$B480)</f>
        <v>#VALUE!</v>
      </c>
      <c r="R480" s="17" t="e">
        <f>SUMIFS([1]ACSDT5Y2020.B08301_data_with_ov!AZ$3:AZ$1334,[1]ACSDT5Y2020.B08301_data_with_ov!$AS$3:$AS$1334,$B480)</f>
        <v>#VALUE!</v>
      </c>
      <c r="S480" s="17" t="e">
        <f>SUMIFS([1]ACSDT5Y2020.B08301_data_with_ov!BA$3:BA$1334,[1]ACSDT5Y2020.B08301_data_with_ov!$AS$3:$AS$1334,$B480)</f>
        <v>#VALUE!</v>
      </c>
      <c r="T480" s="188">
        <v>0.14001242949248413</v>
      </c>
      <c r="U480" s="189" t="e">
        <f t="shared" si="31"/>
        <v>#VALUE!</v>
      </c>
      <c r="V480" s="188">
        <v>0.13988540257471124</v>
      </c>
      <c r="W480" s="189" t="e">
        <f t="shared" si="28"/>
        <v>#VALUE!</v>
      </c>
      <c r="X480" s="188">
        <v>0.13988540257471124</v>
      </c>
      <c r="Y480" s="189" t="e">
        <f t="shared" si="29"/>
        <v>#VALUE!</v>
      </c>
      <c r="Z480" s="188">
        <v>0.13988540257471124</v>
      </c>
      <c r="AA480" s="189" t="e">
        <f t="shared" si="30"/>
        <v>#VALUE!</v>
      </c>
    </row>
    <row r="481" spans="1:27" x14ac:dyDescent="0.25">
      <c r="A481">
        <v>491000</v>
      </c>
      <c r="B481">
        <v>17031491000</v>
      </c>
      <c r="C481">
        <v>17031</v>
      </c>
      <c r="D481">
        <v>2010</v>
      </c>
      <c r="E481">
        <v>49</v>
      </c>
      <c r="F481">
        <v>13847083.111742999</v>
      </c>
      <c r="G481" s="45">
        <v>0.49669576129702564</v>
      </c>
      <c r="H481" s="60" t="str">
        <f>_xlfn.IFNA(
INDEX('Community Areas'!B$2:B$78,MATCH($E481,'Community Areas'!$A$2:$A$78,0)),
"")</f>
        <v>ROSELAND</v>
      </c>
      <c r="I481" s="63" t="str">
        <f>_xlfn.IFNA(
INDEX('Community Areas'!C$2:C$78,MATCH($E481,'Community Areas'!$A$2:$A$78,0)),
"")</f>
        <v>5-B</v>
      </c>
      <c r="J481" s="63">
        <f>_xlfn.IFNA(
INDEX('Community Areas'!D$2:D$78,MATCH($E481,'Community Areas'!$A$2:$A$78,0)),
"")</f>
        <v>5</v>
      </c>
      <c r="K481" s="60" t="str">
        <f>_xlfn.IFNA(
INDEX('Community Areas'!E$2:E$78,MATCH($E481,'Community Areas'!$A$2:$A$78,0)),
"")</f>
        <v>FAR SOUTH</v>
      </c>
      <c r="L481" s="17" t="e">
        <f>SUMIFS([1]ACSDT5Y2020.B08301_data_with_ov!AT$3:AT$1334,[1]ACSDT5Y2020.B08301_data_with_ov!$AS$3:$AS$1334,$B481)</f>
        <v>#VALUE!</v>
      </c>
      <c r="M481" s="17" t="e">
        <f>SUMIFS([1]ACSDT5Y2020.B08301_data_with_ov!AU$3:AU$1334,[1]ACSDT5Y2020.B08301_data_with_ov!$AS$3:$AS$1334,$B481)</f>
        <v>#VALUE!</v>
      </c>
      <c r="N481" s="17" t="e">
        <f>SUMIFS([1]ACSDT5Y2020.B08301_data_with_ov!AV$3:AV$1334,[1]ACSDT5Y2020.B08301_data_with_ov!$AS$3:$AS$1334,$B481)</f>
        <v>#VALUE!</v>
      </c>
      <c r="O481" s="17" t="e">
        <f>SUMIFS([1]ACSDT5Y2020.B08301_data_with_ov!AW$3:AW$1334,[1]ACSDT5Y2020.B08301_data_with_ov!$AS$3:$AS$1334,$B481)</f>
        <v>#VALUE!</v>
      </c>
      <c r="P481" s="17" t="e">
        <f>SUMIFS([1]ACSDT5Y2020.B08301_data_with_ov!AX$3:AX$1334,[1]ACSDT5Y2020.B08301_data_with_ov!$AS$3:$AS$1334,$B481)</f>
        <v>#VALUE!</v>
      </c>
      <c r="Q481" s="17" t="e">
        <f>SUMIFS([1]ACSDT5Y2020.B08301_data_with_ov!AY$3:AY$1334,[1]ACSDT5Y2020.B08301_data_with_ov!$AS$3:$AS$1334,$B481)</f>
        <v>#VALUE!</v>
      </c>
      <c r="R481" s="17" t="e">
        <f>SUMIFS([1]ACSDT5Y2020.B08301_data_with_ov!AZ$3:AZ$1334,[1]ACSDT5Y2020.B08301_data_with_ov!$AS$3:$AS$1334,$B481)</f>
        <v>#VALUE!</v>
      </c>
      <c r="S481" s="17" t="e">
        <f>SUMIFS([1]ACSDT5Y2020.B08301_data_with_ov!BA$3:BA$1334,[1]ACSDT5Y2020.B08301_data_with_ov!$AS$3:$AS$1334,$B481)</f>
        <v>#VALUE!</v>
      </c>
      <c r="T481" s="188">
        <v>0.24445777334055185</v>
      </c>
      <c r="U481" s="189" t="e">
        <f t="shared" si="31"/>
        <v>#VALUE!</v>
      </c>
      <c r="V481" s="188">
        <v>0.24445777466846305</v>
      </c>
      <c r="W481" s="189" t="e">
        <f t="shared" si="28"/>
        <v>#VALUE!</v>
      </c>
      <c r="X481" s="188">
        <v>0.24445777466846305</v>
      </c>
      <c r="Y481" s="189" t="e">
        <f t="shared" si="29"/>
        <v>#VALUE!</v>
      </c>
      <c r="Z481" s="188">
        <v>0.24445777466846305</v>
      </c>
      <c r="AA481" s="189" t="e">
        <f t="shared" si="30"/>
        <v>#VALUE!</v>
      </c>
    </row>
    <row r="482" spans="1:27" x14ac:dyDescent="0.25">
      <c r="A482">
        <v>490700</v>
      </c>
      <c r="B482">
        <v>17031490700</v>
      </c>
      <c r="C482">
        <v>17031</v>
      </c>
      <c r="D482">
        <v>2010</v>
      </c>
      <c r="E482">
        <v>49</v>
      </c>
      <c r="F482">
        <v>6971497.1895754803</v>
      </c>
      <c r="G482" s="45">
        <v>0.25006805231202223</v>
      </c>
      <c r="H482" s="60" t="str">
        <f>_xlfn.IFNA(
INDEX('Community Areas'!B$2:B$78,MATCH($E482,'Community Areas'!$A$2:$A$78,0)),
"")</f>
        <v>ROSELAND</v>
      </c>
      <c r="I482" s="63" t="str">
        <f>_xlfn.IFNA(
INDEX('Community Areas'!C$2:C$78,MATCH($E482,'Community Areas'!$A$2:$A$78,0)),
"")</f>
        <v>5-B</v>
      </c>
      <c r="J482" s="63">
        <f>_xlfn.IFNA(
INDEX('Community Areas'!D$2:D$78,MATCH($E482,'Community Areas'!$A$2:$A$78,0)),
"")</f>
        <v>5</v>
      </c>
      <c r="K482" s="60" t="str">
        <f>_xlfn.IFNA(
INDEX('Community Areas'!E$2:E$78,MATCH($E482,'Community Areas'!$A$2:$A$78,0)),
"")</f>
        <v>FAR SOUTH</v>
      </c>
      <c r="L482" s="17" t="e">
        <f>SUMIFS([1]ACSDT5Y2020.B08301_data_with_ov!AT$3:AT$1334,[1]ACSDT5Y2020.B08301_data_with_ov!$AS$3:$AS$1334,$B482)</f>
        <v>#VALUE!</v>
      </c>
      <c r="M482" s="17" t="e">
        <f>SUMIFS([1]ACSDT5Y2020.B08301_data_with_ov!AU$3:AU$1334,[1]ACSDT5Y2020.B08301_data_with_ov!$AS$3:$AS$1334,$B482)</f>
        <v>#VALUE!</v>
      </c>
      <c r="N482" s="17" t="e">
        <f>SUMIFS([1]ACSDT5Y2020.B08301_data_with_ov!AV$3:AV$1334,[1]ACSDT5Y2020.B08301_data_with_ov!$AS$3:$AS$1334,$B482)</f>
        <v>#VALUE!</v>
      </c>
      <c r="O482" s="17" t="e">
        <f>SUMIFS([1]ACSDT5Y2020.B08301_data_with_ov!AW$3:AW$1334,[1]ACSDT5Y2020.B08301_data_with_ov!$AS$3:$AS$1334,$B482)</f>
        <v>#VALUE!</v>
      </c>
      <c r="P482" s="17" t="e">
        <f>SUMIFS([1]ACSDT5Y2020.B08301_data_with_ov!AX$3:AX$1334,[1]ACSDT5Y2020.B08301_data_with_ov!$AS$3:$AS$1334,$B482)</f>
        <v>#VALUE!</v>
      </c>
      <c r="Q482" s="17" t="e">
        <f>SUMIFS([1]ACSDT5Y2020.B08301_data_with_ov!AY$3:AY$1334,[1]ACSDT5Y2020.B08301_data_with_ov!$AS$3:$AS$1334,$B482)</f>
        <v>#VALUE!</v>
      </c>
      <c r="R482" s="17" t="e">
        <f>SUMIFS([1]ACSDT5Y2020.B08301_data_with_ov!AZ$3:AZ$1334,[1]ACSDT5Y2020.B08301_data_with_ov!$AS$3:$AS$1334,$B482)</f>
        <v>#VALUE!</v>
      </c>
      <c r="S482" s="17" t="e">
        <f>SUMIFS([1]ACSDT5Y2020.B08301_data_with_ov!BA$3:BA$1334,[1]ACSDT5Y2020.B08301_data_with_ov!$AS$3:$AS$1334,$B482)</f>
        <v>#VALUE!</v>
      </c>
      <c r="T482" s="188">
        <v>0.2500590550672101</v>
      </c>
      <c r="U482" s="189" t="e">
        <f t="shared" si="31"/>
        <v>#VALUE!</v>
      </c>
      <c r="V482" s="188">
        <v>0.25004005814402047</v>
      </c>
      <c r="W482" s="189" t="e">
        <f t="shared" si="28"/>
        <v>#VALUE!</v>
      </c>
      <c r="X482" s="188">
        <v>0.25004005814402047</v>
      </c>
      <c r="Y482" s="189" t="e">
        <f t="shared" si="29"/>
        <v>#VALUE!</v>
      </c>
      <c r="Z482" s="188">
        <v>0.25004005814402047</v>
      </c>
      <c r="AA482" s="189" t="e">
        <f t="shared" si="30"/>
        <v>#VALUE!</v>
      </c>
    </row>
    <row r="483" spans="1:27" x14ac:dyDescent="0.25">
      <c r="A483">
        <v>490600</v>
      </c>
      <c r="B483">
        <v>17031490600</v>
      </c>
      <c r="C483">
        <v>17031</v>
      </c>
      <c r="D483">
        <v>2010</v>
      </c>
      <c r="E483">
        <v>49</v>
      </c>
      <c r="F483">
        <v>7342271.9236013005</v>
      </c>
      <c r="G483" s="45">
        <v>0.26336776585461508</v>
      </c>
      <c r="H483" s="60" t="str">
        <f>_xlfn.IFNA(
INDEX('Community Areas'!B$2:B$78,MATCH($E483,'Community Areas'!$A$2:$A$78,0)),
"")</f>
        <v>ROSELAND</v>
      </c>
      <c r="I483" s="63" t="str">
        <f>_xlfn.IFNA(
INDEX('Community Areas'!C$2:C$78,MATCH($E483,'Community Areas'!$A$2:$A$78,0)),
"")</f>
        <v>5-B</v>
      </c>
      <c r="J483" s="63">
        <f>_xlfn.IFNA(
INDEX('Community Areas'!D$2:D$78,MATCH($E483,'Community Areas'!$A$2:$A$78,0)),
"")</f>
        <v>5</v>
      </c>
      <c r="K483" s="60" t="str">
        <f>_xlfn.IFNA(
INDEX('Community Areas'!E$2:E$78,MATCH($E483,'Community Areas'!$A$2:$A$78,0)),
"")</f>
        <v>FAR SOUTH</v>
      </c>
      <c r="L483" s="17" t="e">
        <f>SUMIFS([1]ACSDT5Y2020.B08301_data_with_ov!AT$3:AT$1334,[1]ACSDT5Y2020.B08301_data_with_ov!$AS$3:$AS$1334,$B483)</f>
        <v>#VALUE!</v>
      </c>
      <c r="M483" s="17" t="e">
        <f>SUMIFS([1]ACSDT5Y2020.B08301_data_with_ov!AU$3:AU$1334,[1]ACSDT5Y2020.B08301_data_with_ov!$AS$3:$AS$1334,$B483)</f>
        <v>#VALUE!</v>
      </c>
      <c r="N483" s="17" t="e">
        <f>SUMIFS([1]ACSDT5Y2020.B08301_data_with_ov!AV$3:AV$1334,[1]ACSDT5Y2020.B08301_data_with_ov!$AS$3:$AS$1334,$B483)</f>
        <v>#VALUE!</v>
      </c>
      <c r="O483" s="17" t="e">
        <f>SUMIFS([1]ACSDT5Y2020.B08301_data_with_ov!AW$3:AW$1334,[1]ACSDT5Y2020.B08301_data_with_ov!$AS$3:$AS$1334,$B483)</f>
        <v>#VALUE!</v>
      </c>
      <c r="P483" s="17" t="e">
        <f>SUMIFS([1]ACSDT5Y2020.B08301_data_with_ov!AX$3:AX$1334,[1]ACSDT5Y2020.B08301_data_with_ov!$AS$3:$AS$1334,$B483)</f>
        <v>#VALUE!</v>
      </c>
      <c r="Q483" s="17" t="e">
        <f>SUMIFS([1]ACSDT5Y2020.B08301_data_with_ov!AY$3:AY$1334,[1]ACSDT5Y2020.B08301_data_with_ov!$AS$3:$AS$1334,$B483)</f>
        <v>#VALUE!</v>
      </c>
      <c r="R483" s="17" t="e">
        <f>SUMIFS([1]ACSDT5Y2020.B08301_data_with_ov!AZ$3:AZ$1334,[1]ACSDT5Y2020.B08301_data_with_ov!$AS$3:$AS$1334,$B483)</f>
        <v>#VALUE!</v>
      </c>
      <c r="S483" s="17" t="e">
        <f>SUMIFS([1]ACSDT5Y2020.B08301_data_with_ov!BA$3:BA$1334,[1]ACSDT5Y2020.B08301_data_with_ov!$AS$3:$AS$1334,$B483)</f>
        <v>#VALUE!</v>
      </c>
      <c r="T483" s="188">
        <v>0.25670905901163699</v>
      </c>
      <c r="U483" s="189" t="e">
        <f t="shared" si="31"/>
        <v>#VALUE!</v>
      </c>
      <c r="V483" s="188">
        <v>0.25655898688869877</v>
      </c>
      <c r="W483" s="189" t="e">
        <f t="shared" si="28"/>
        <v>#VALUE!</v>
      </c>
      <c r="X483" s="188">
        <v>0.25655898688869877</v>
      </c>
      <c r="Y483" s="189" t="e">
        <f t="shared" si="29"/>
        <v>#VALUE!</v>
      </c>
      <c r="Z483" s="188">
        <v>0.25655898688869877</v>
      </c>
      <c r="AA483" s="189" t="e">
        <f t="shared" si="30"/>
        <v>#VALUE!</v>
      </c>
    </row>
    <row r="484" spans="1:27" x14ac:dyDescent="0.25">
      <c r="A484">
        <v>490901</v>
      </c>
      <c r="B484">
        <v>17031490901</v>
      </c>
      <c r="C484">
        <v>17031</v>
      </c>
      <c r="D484">
        <v>2010</v>
      </c>
      <c r="E484">
        <v>49</v>
      </c>
      <c r="F484">
        <v>9099652.2019052505</v>
      </c>
      <c r="G484" s="45">
        <v>0.32640510940029738</v>
      </c>
      <c r="H484" s="60" t="str">
        <f>_xlfn.IFNA(
INDEX('Community Areas'!B$2:B$78,MATCH($E484,'Community Areas'!$A$2:$A$78,0)),
"")</f>
        <v>ROSELAND</v>
      </c>
      <c r="I484" s="63" t="str">
        <f>_xlfn.IFNA(
INDEX('Community Areas'!C$2:C$78,MATCH($E484,'Community Areas'!$A$2:$A$78,0)),
"")</f>
        <v>5-B</v>
      </c>
      <c r="J484" s="63">
        <f>_xlfn.IFNA(
INDEX('Community Areas'!D$2:D$78,MATCH($E484,'Community Areas'!$A$2:$A$78,0)),
"")</f>
        <v>5</v>
      </c>
      <c r="K484" s="60" t="str">
        <f>_xlfn.IFNA(
INDEX('Community Areas'!E$2:E$78,MATCH($E484,'Community Areas'!$A$2:$A$78,0)),
"")</f>
        <v>FAR SOUTH</v>
      </c>
      <c r="L484" s="17" t="e">
        <f>SUMIFS([1]ACSDT5Y2020.B08301_data_with_ov!AT$3:AT$1334,[1]ACSDT5Y2020.B08301_data_with_ov!$AS$3:$AS$1334,$B484)</f>
        <v>#VALUE!</v>
      </c>
      <c r="M484" s="17" t="e">
        <f>SUMIFS([1]ACSDT5Y2020.B08301_data_with_ov!AU$3:AU$1334,[1]ACSDT5Y2020.B08301_data_with_ov!$AS$3:$AS$1334,$B484)</f>
        <v>#VALUE!</v>
      </c>
      <c r="N484" s="17" t="e">
        <f>SUMIFS([1]ACSDT5Y2020.B08301_data_with_ov!AV$3:AV$1334,[1]ACSDT5Y2020.B08301_data_with_ov!$AS$3:$AS$1334,$B484)</f>
        <v>#VALUE!</v>
      </c>
      <c r="O484" s="17" t="e">
        <f>SUMIFS([1]ACSDT5Y2020.B08301_data_with_ov!AW$3:AW$1334,[1]ACSDT5Y2020.B08301_data_with_ov!$AS$3:$AS$1334,$B484)</f>
        <v>#VALUE!</v>
      </c>
      <c r="P484" s="17" t="e">
        <f>SUMIFS([1]ACSDT5Y2020.B08301_data_with_ov!AX$3:AX$1334,[1]ACSDT5Y2020.B08301_data_with_ov!$AS$3:$AS$1334,$B484)</f>
        <v>#VALUE!</v>
      </c>
      <c r="Q484" s="17" t="e">
        <f>SUMIFS([1]ACSDT5Y2020.B08301_data_with_ov!AY$3:AY$1334,[1]ACSDT5Y2020.B08301_data_with_ov!$AS$3:$AS$1334,$B484)</f>
        <v>#VALUE!</v>
      </c>
      <c r="R484" s="17" t="e">
        <f>SUMIFS([1]ACSDT5Y2020.B08301_data_with_ov!AZ$3:AZ$1334,[1]ACSDT5Y2020.B08301_data_with_ov!$AS$3:$AS$1334,$B484)</f>
        <v>#VALUE!</v>
      </c>
      <c r="S484" s="17" t="e">
        <f>SUMIFS([1]ACSDT5Y2020.B08301_data_with_ov!BA$3:BA$1334,[1]ACSDT5Y2020.B08301_data_with_ov!$AS$3:$AS$1334,$B484)</f>
        <v>#VALUE!</v>
      </c>
      <c r="T484" s="188">
        <v>0.2288297957403499</v>
      </c>
      <c r="U484" s="189" t="e">
        <f t="shared" si="31"/>
        <v>#VALUE!</v>
      </c>
      <c r="V484" s="188">
        <v>0.2288297957403499</v>
      </c>
      <c r="W484" s="189" t="e">
        <f t="shared" si="28"/>
        <v>#VALUE!</v>
      </c>
      <c r="X484" s="188">
        <v>0.2288297957403499</v>
      </c>
      <c r="Y484" s="189" t="e">
        <f t="shared" si="29"/>
        <v>#VALUE!</v>
      </c>
      <c r="Z484" s="188">
        <v>0.2288297957403499</v>
      </c>
      <c r="AA484" s="189" t="e">
        <f t="shared" si="30"/>
        <v>#VALUE!</v>
      </c>
    </row>
    <row r="485" spans="1:27" x14ac:dyDescent="0.25">
      <c r="A485">
        <v>491100</v>
      </c>
      <c r="B485">
        <v>17031491100</v>
      </c>
      <c r="C485">
        <v>17031</v>
      </c>
      <c r="D485">
        <v>2010</v>
      </c>
      <c r="E485">
        <v>49</v>
      </c>
      <c r="F485">
        <v>14139668.833874799</v>
      </c>
      <c r="G485" s="45">
        <v>0.50719082995705633</v>
      </c>
      <c r="H485" s="60" t="str">
        <f>_xlfn.IFNA(
INDEX('Community Areas'!B$2:B$78,MATCH($E485,'Community Areas'!$A$2:$A$78,0)),
"")</f>
        <v>ROSELAND</v>
      </c>
      <c r="I485" s="63" t="str">
        <f>_xlfn.IFNA(
INDEX('Community Areas'!C$2:C$78,MATCH($E485,'Community Areas'!$A$2:$A$78,0)),
"")</f>
        <v>5-B</v>
      </c>
      <c r="J485" s="63">
        <f>_xlfn.IFNA(
INDEX('Community Areas'!D$2:D$78,MATCH($E485,'Community Areas'!$A$2:$A$78,0)),
"")</f>
        <v>5</v>
      </c>
      <c r="K485" s="60" t="str">
        <f>_xlfn.IFNA(
INDEX('Community Areas'!E$2:E$78,MATCH($E485,'Community Areas'!$A$2:$A$78,0)),
"")</f>
        <v>FAR SOUTH</v>
      </c>
      <c r="L485" s="17" t="e">
        <f>SUMIFS([1]ACSDT5Y2020.B08301_data_with_ov!AT$3:AT$1334,[1]ACSDT5Y2020.B08301_data_with_ov!$AS$3:$AS$1334,$B485)</f>
        <v>#VALUE!</v>
      </c>
      <c r="M485" s="17" t="e">
        <f>SUMIFS([1]ACSDT5Y2020.B08301_data_with_ov!AU$3:AU$1334,[1]ACSDT5Y2020.B08301_data_with_ov!$AS$3:$AS$1334,$B485)</f>
        <v>#VALUE!</v>
      </c>
      <c r="N485" s="17" t="e">
        <f>SUMIFS([1]ACSDT5Y2020.B08301_data_with_ov!AV$3:AV$1334,[1]ACSDT5Y2020.B08301_data_with_ov!$AS$3:$AS$1334,$B485)</f>
        <v>#VALUE!</v>
      </c>
      <c r="O485" s="17" t="e">
        <f>SUMIFS([1]ACSDT5Y2020.B08301_data_with_ov!AW$3:AW$1334,[1]ACSDT5Y2020.B08301_data_with_ov!$AS$3:$AS$1334,$B485)</f>
        <v>#VALUE!</v>
      </c>
      <c r="P485" s="17" t="e">
        <f>SUMIFS([1]ACSDT5Y2020.B08301_data_with_ov!AX$3:AX$1334,[1]ACSDT5Y2020.B08301_data_with_ov!$AS$3:$AS$1334,$B485)</f>
        <v>#VALUE!</v>
      </c>
      <c r="Q485" s="17" t="e">
        <f>SUMIFS([1]ACSDT5Y2020.B08301_data_with_ov!AY$3:AY$1334,[1]ACSDT5Y2020.B08301_data_with_ov!$AS$3:$AS$1334,$B485)</f>
        <v>#VALUE!</v>
      </c>
      <c r="R485" s="17" t="e">
        <f>SUMIFS([1]ACSDT5Y2020.B08301_data_with_ov!AZ$3:AZ$1334,[1]ACSDT5Y2020.B08301_data_with_ov!$AS$3:$AS$1334,$B485)</f>
        <v>#VALUE!</v>
      </c>
      <c r="S485" s="17" t="e">
        <f>SUMIFS([1]ACSDT5Y2020.B08301_data_with_ov!BA$3:BA$1334,[1]ACSDT5Y2020.B08301_data_with_ov!$AS$3:$AS$1334,$B485)</f>
        <v>#VALUE!</v>
      </c>
      <c r="T485" s="188">
        <v>0.30649195883357261</v>
      </c>
      <c r="U485" s="189" t="e">
        <f t="shared" si="31"/>
        <v>#VALUE!</v>
      </c>
      <c r="V485" s="188">
        <v>0.30649195883357261</v>
      </c>
      <c r="W485" s="189" t="e">
        <f t="shared" si="28"/>
        <v>#VALUE!</v>
      </c>
      <c r="X485" s="188">
        <v>0.30649195883357261</v>
      </c>
      <c r="Y485" s="189" t="e">
        <f t="shared" si="29"/>
        <v>#VALUE!</v>
      </c>
      <c r="Z485" s="188">
        <v>0.30649195883357261</v>
      </c>
      <c r="AA485" s="189" t="e">
        <f t="shared" si="30"/>
        <v>#VALUE!</v>
      </c>
    </row>
    <row r="486" spans="1:27" x14ac:dyDescent="0.25">
      <c r="A486">
        <v>491400</v>
      </c>
      <c r="B486">
        <v>17031491400</v>
      </c>
      <c r="C486">
        <v>17031</v>
      </c>
      <c r="D486">
        <v>2010</v>
      </c>
      <c r="E486">
        <v>49</v>
      </c>
      <c r="F486">
        <v>8932472.7877477091</v>
      </c>
      <c r="G486" s="45">
        <v>0.32040837306831488</v>
      </c>
      <c r="H486" s="60" t="str">
        <f>_xlfn.IFNA(
INDEX('Community Areas'!B$2:B$78,MATCH($E486,'Community Areas'!$A$2:$A$78,0)),
"")</f>
        <v>ROSELAND</v>
      </c>
      <c r="I486" s="63" t="str">
        <f>_xlfn.IFNA(
INDEX('Community Areas'!C$2:C$78,MATCH($E486,'Community Areas'!$A$2:$A$78,0)),
"")</f>
        <v>5-B</v>
      </c>
      <c r="J486" s="63">
        <f>_xlfn.IFNA(
INDEX('Community Areas'!D$2:D$78,MATCH($E486,'Community Areas'!$A$2:$A$78,0)),
"")</f>
        <v>5</v>
      </c>
      <c r="K486" s="60" t="str">
        <f>_xlfn.IFNA(
INDEX('Community Areas'!E$2:E$78,MATCH($E486,'Community Areas'!$A$2:$A$78,0)),
"")</f>
        <v>FAR SOUTH</v>
      </c>
      <c r="L486" s="17" t="e">
        <f>SUMIFS([1]ACSDT5Y2020.B08301_data_with_ov!AT$3:AT$1334,[1]ACSDT5Y2020.B08301_data_with_ov!$AS$3:$AS$1334,$B486)</f>
        <v>#VALUE!</v>
      </c>
      <c r="M486" s="17" t="e">
        <f>SUMIFS([1]ACSDT5Y2020.B08301_data_with_ov!AU$3:AU$1334,[1]ACSDT5Y2020.B08301_data_with_ov!$AS$3:$AS$1334,$B486)</f>
        <v>#VALUE!</v>
      </c>
      <c r="N486" s="17" t="e">
        <f>SUMIFS([1]ACSDT5Y2020.B08301_data_with_ov!AV$3:AV$1334,[1]ACSDT5Y2020.B08301_data_with_ov!$AS$3:$AS$1334,$B486)</f>
        <v>#VALUE!</v>
      </c>
      <c r="O486" s="17" t="e">
        <f>SUMIFS([1]ACSDT5Y2020.B08301_data_with_ov!AW$3:AW$1334,[1]ACSDT5Y2020.B08301_data_with_ov!$AS$3:$AS$1334,$B486)</f>
        <v>#VALUE!</v>
      </c>
      <c r="P486" s="17" t="e">
        <f>SUMIFS([1]ACSDT5Y2020.B08301_data_with_ov!AX$3:AX$1334,[1]ACSDT5Y2020.B08301_data_with_ov!$AS$3:$AS$1334,$B486)</f>
        <v>#VALUE!</v>
      </c>
      <c r="Q486" s="17" t="e">
        <f>SUMIFS([1]ACSDT5Y2020.B08301_data_with_ov!AY$3:AY$1334,[1]ACSDT5Y2020.B08301_data_with_ov!$AS$3:$AS$1334,$B486)</f>
        <v>#VALUE!</v>
      </c>
      <c r="R486" s="17" t="e">
        <f>SUMIFS([1]ACSDT5Y2020.B08301_data_with_ov!AZ$3:AZ$1334,[1]ACSDT5Y2020.B08301_data_with_ov!$AS$3:$AS$1334,$B486)</f>
        <v>#VALUE!</v>
      </c>
      <c r="S486" s="17" t="e">
        <f>SUMIFS([1]ACSDT5Y2020.B08301_data_with_ov!BA$3:BA$1334,[1]ACSDT5Y2020.B08301_data_with_ov!$AS$3:$AS$1334,$B486)</f>
        <v>#VALUE!</v>
      </c>
      <c r="T486" s="188">
        <v>0.32017442451264816</v>
      </c>
      <c r="U486" s="189" t="e">
        <f t="shared" si="31"/>
        <v>#VALUE!</v>
      </c>
      <c r="V486" s="188">
        <v>0.2556250098909188</v>
      </c>
      <c r="W486" s="189" t="e">
        <f t="shared" si="28"/>
        <v>#VALUE!</v>
      </c>
      <c r="X486" s="188">
        <v>0.2556250098909188</v>
      </c>
      <c r="Y486" s="189" t="e">
        <f t="shared" si="29"/>
        <v>#VALUE!</v>
      </c>
      <c r="Z486" s="188">
        <v>0.2556250098909188</v>
      </c>
      <c r="AA486" s="189" t="e">
        <f t="shared" si="30"/>
        <v>#VALUE!</v>
      </c>
    </row>
    <row r="487" spans="1:27" x14ac:dyDescent="0.25">
      <c r="A487">
        <v>834000</v>
      </c>
      <c r="B487">
        <v>17031834000</v>
      </c>
      <c r="C487">
        <v>17031</v>
      </c>
      <c r="D487">
        <v>2010</v>
      </c>
      <c r="E487">
        <v>49</v>
      </c>
      <c r="F487">
        <v>10819693.902255001</v>
      </c>
      <c r="G487" s="45">
        <v>0.38810311575467032</v>
      </c>
      <c r="H487" s="60" t="str">
        <f>_xlfn.IFNA(
INDEX('Community Areas'!B$2:B$78,MATCH($E487,'Community Areas'!$A$2:$A$78,0)),
"")</f>
        <v>ROSELAND</v>
      </c>
      <c r="I487" s="63" t="str">
        <f>_xlfn.IFNA(
INDEX('Community Areas'!C$2:C$78,MATCH($E487,'Community Areas'!$A$2:$A$78,0)),
"")</f>
        <v>5-B</v>
      </c>
      <c r="J487" s="63">
        <f>_xlfn.IFNA(
INDEX('Community Areas'!D$2:D$78,MATCH($E487,'Community Areas'!$A$2:$A$78,0)),
"")</f>
        <v>5</v>
      </c>
      <c r="K487" s="60" t="str">
        <f>_xlfn.IFNA(
INDEX('Community Areas'!E$2:E$78,MATCH($E487,'Community Areas'!$A$2:$A$78,0)),
"")</f>
        <v>FAR SOUTH</v>
      </c>
      <c r="L487" s="17" t="e">
        <f>SUMIFS([1]ACSDT5Y2020.B08301_data_with_ov!AT$3:AT$1334,[1]ACSDT5Y2020.B08301_data_with_ov!$AS$3:$AS$1334,$B487)</f>
        <v>#VALUE!</v>
      </c>
      <c r="M487" s="17" t="e">
        <f>SUMIFS([1]ACSDT5Y2020.B08301_data_with_ov!AU$3:AU$1334,[1]ACSDT5Y2020.B08301_data_with_ov!$AS$3:$AS$1334,$B487)</f>
        <v>#VALUE!</v>
      </c>
      <c r="N487" s="17" t="e">
        <f>SUMIFS([1]ACSDT5Y2020.B08301_data_with_ov!AV$3:AV$1334,[1]ACSDT5Y2020.B08301_data_with_ov!$AS$3:$AS$1334,$B487)</f>
        <v>#VALUE!</v>
      </c>
      <c r="O487" s="17" t="e">
        <f>SUMIFS([1]ACSDT5Y2020.B08301_data_with_ov!AW$3:AW$1334,[1]ACSDT5Y2020.B08301_data_with_ov!$AS$3:$AS$1334,$B487)</f>
        <v>#VALUE!</v>
      </c>
      <c r="P487" s="17" t="e">
        <f>SUMIFS([1]ACSDT5Y2020.B08301_data_with_ov!AX$3:AX$1334,[1]ACSDT5Y2020.B08301_data_with_ov!$AS$3:$AS$1334,$B487)</f>
        <v>#VALUE!</v>
      </c>
      <c r="Q487" s="17" t="e">
        <f>SUMIFS([1]ACSDT5Y2020.B08301_data_with_ov!AY$3:AY$1334,[1]ACSDT5Y2020.B08301_data_with_ov!$AS$3:$AS$1334,$B487)</f>
        <v>#VALUE!</v>
      </c>
      <c r="R487" s="17" t="e">
        <f>SUMIFS([1]ACSDT5Y2020.B08301_data_with_ov!AZ$3:AZ$1334,[1]ACSDT5Y2020.B08301_data_with_ov!$AS$3:$AS$1334,$B487)</f>
        <v>#VALUE!</v>
      </c>
      <c r="S487" s="17" t="e">
        <f>SUMIFS([1]ACSDT5Y2020.B08301_data_with_ov!BA$3:BA$1334,[1]ACSDT5Y2020.B08301_data_with_ov!$AS$3:$AS$1334,$B487)</f>
        <v>#VALUE!</v>
      </c>
      <c r="T487" s="188">
        <v>0.21308868886511387</v>
      </c>
      <c r="U487" s="189" t="e">
        <f t="shared" si="31"/>
        <v>#VALUE!</v>
      </c>
      <c r="V487" s="188">
        <v>0.21308868886511387</v>
      </c>
      <c r="W487" s="189" t="e">
        <f t="shared" si="28"/>
        <v>#VALUE!</v>
      </c>
      <c r="X487" s="188">
        <v>0.21308868886511387</v>
      </c>
      <c r="Y487" s="189" t="e">
        <f t="shared" si="29"/>
        <v>#VALUE!</v>
      </c>
      <c r="Z487" s="188">
        <v>0.21308868886511387</v>
      </c>
      <c r="AA487" s="189" t="e">
        <f t="shared" si="30"/>
        <v>#VALUE!</v>
      </c>
    </row>
    <row r="488" spans="1:27" x14ac:dyDescent="0.25">
      <c r="A488">
        <v>490902</v>
      </c>
      <c r="B488">
        <v>17031490902</v>
      </c>
      <c r="C488">
        <v>17031</v>
      </c>
      <c r="D488">
        <v>2010</v>
      </c>
      <c r="E488">
        <v>49</v>
      </c>
      <c r="F488">
        <v>12876795.862177899</v>
      </c>
      <c r="G488" s="45">
        <v>0.4618914952858808</v>
      </c>
      <c r="H488" s="60" t="str">
        <f>_xlfn.IFNA(
INDEX('Community Areas'!B$2:B$78,MATCH($E488,'Community Areas'!$A$2:$A$78,0)),
"")</f>
        <v>ROSELAND</v>
      </c>
      <c r="I488" s="63" t="str">
        <f>_xlfn.IFNA(
INDEX('Community Areas'!C$2:C$78,MATCH($E488,'Community Areas'!$A$2:$A$78,0)),
"")</f>
        <v>5-B</v>
      </c>
      <c r="J488" s="63">
        <f>_xlfn.IFNA(
INDEX('Community Areas'!D$2:D$78,MATCH($E488,'Community Areas'!$A$2:$A$78,0)),
"")</f>
        <v>5</v>
      </c>
      <c r="K488" s="60" t="str">
        <f>_xlfn.IFNA(
INDEX('Community Areas'!E$2:E$78,MATCH($E488,'Community Areas'!$A$2:$A$78,0)),
"")</f>
        <v>FAR SOUTH</v>
      </c>
      <c r="L488" s="17" t="e">
        <f>SUMIFS([1]ACSDT5Y2020.B08301_data_with_ov!AT$3:AT$1334,[1]ACSDT5Y2020.B08301_data_with_ov!$AS$3:$AS$1334,$B488)</f>
        <v>#VALUE!</v>
      </c>
      <c r="M488" s="17" t="e">
        <f>SUMIFS([1]ACSDT5Y2020.B08301_data_with_ov!AU$3:AU$1334,[1]ACSDT5Y2020.B08301_data_with_ov!$AS$3:$AS$1334,$B488)</f>
        <v>#VALUE!</v>
      </c>
      <c r="N488" s="17" t="e">
        <f>SUMIFS([1]ACSDT5Y2020.B08301_data_with_ov!AV$3:AV$1334,[1]ACSDT5Y2020.B08301_data_with_ov!$AS$3:$AS$1334,$B488)</f>
        <v>#VALUE!</v>
      </c>
      <c r="O488" s="17" t="e">
        <f>SUMIFS([1]ACSDT5Y2020.B08301_data_with_ov!AW$3:AW$1334,[1]ACSDT5Y2020.B08301_data_with_ov!$AS$3:$AS$1334,$B488)</f>
        <v>#VALUE!</v>
      </c>
      <c r="P488" s="17" t="e">
        <f>SUMIFS([1]ACSDT5Y2020.B08301_data_with_ov!AX$3:AX$1334,[1]ACSDT5Y2020.B08301_data_with_ov!$AS$3:$AS$1334,$B488)</f>
        <v>#VALUE!</v>
      </c>
      <c r="Q488" s="17" t="e">
        <f>SUMIFS([1]ACSDT5Y2020.B08301_data_with_ov!AY$3:AY$1334,[1]ACSDT5Y2020.B08301_data_with_ov!$AS$3:$AS$1334,$B488)</f>
        <v>#VALUE!</v>
      </c>
      <c r="R488" s="17" t="e">
        <f>SUMIFS([1]ACSDT5Y2020.B08301_data_with_ov!AZ$3:AZ$1334,[1]ACSDT5Y2020.B08301_data_with_ov!$AS$3:$AS$1334,$B488)</f>
        <v>#VALUE!</v>
      </c>
      <c r="S488" s="17" t="e">
        <f>SUMIFS([1]ACSDT5Y2020.B08301_data_with_ov!BA$3:BA$1334,[1]ACSDT5Y2020.B08301_data_with_ov!$AS$3:$AS$1334,$B488)</f>
        <v>#VALUE!</v>
      </c>
      <c r="T488" s="188">
        <v>0.44512357395703483</v>
      </c>
      <c r="U488" s="189" t="e">
        <f t="shared" si="31"/>
        <v>#VALUE!</v>
      </c>
      <c r="V488" s="188">
        <v>0.44512357582598711</v>
      </c>
      <c r="W488" s="189" t="e">
        <f t="shared" si="28"/>
        <v>#VALUE!</v>
      </c>
      <c r="X488" s="188">
        <v>0.44512357582598711</v>
      </c>
      <c r="Y488" s="189" t="e">
        <f t="shared" si="29"/>
        <v>#VALUE!</v>
      </c>
      <c r="Z488" s="188">
        <v>0.44512357582598711</v>
      </c>
      <c r="AA488" s="189" t="e">
        <f t="shared" si="30"/>
        <v>#VALUE!</v>
      </c>
    </row>
    <row r="489" spans="1:27" x14ac:dyDescent="0.25">
      <c r="A489">
        <v>490500</v>
      </c>
      <c r="B489">
        <v>17031490500</v>
      </c>
      <c r="C489">
        <v>17031</v>
      </c>
      <c r="D489">
        <v>2010</v>
      </c>
      <c r="E489">
        <v>49</v>
      </c>
      <c r="F489">
        <v>15215851.260706799</v>
      </c>
      <c r="G489" s="45">
        <v>0.54579356278361735</v>
      </c>
      <c r="H489" s="60" t="str">
        <f>_xlfn.IFNA(
INDEX('Community Areas'!B$2:B$78,MATCH($E489,'Community Areas'!$A$2:$A$78,0)),
"")</f>
        <v>ROSELAND</v>
      </c>
      <c r="I489" s="63" t="str">
        <f>_xlfn.IFNA(
INDEX('Community Areas'!C$2:C$78,MATCH($E489,'Community Areas'!$A$2:$A$78,0)),
"")</f>
        <v>5-B</v>
      </c>
      <c r="J489" s="63">
        <f>_xlfn.IFNA(
INDEX('Community Areas'!D$2:D$78,MATCH($E489,'Community Areas'!$A$2:$A$78,0)),
"")</f>
        <v>5</v>
      </c>
      <c r="K489" s="60" t="str">
        <f>_xlfn.IFNA(
INDEX('Community Areas'!E$2:E$78,MATCH($E489,'Community Areas'!$A$2:$A$78,0)),
"")</f>
        <v>FAR SOUTH</v>
      </c>
      <c r="L489" s="17" t="e">
        <f>SUMIFS([1]ACSDT5Y2020.B08301_data_with_ov!AT$3:AT$1334,[1]ACSDT5Y2020.B08301_data_with_ov!$AS$3:$AS$1334,$B489)</f>
        <v>#VALUE!</v>
      </c>
      <c r="M489" s="17" t="e">
        <f>SUMIFS([1]ACSDT5Y2020.B08301_data_with_ov!AU$3:AU$1334,[1]ACSDT5Y2020.B08301_data_with_ov!$AS$3:$AS$1334,$B489)</f>
        <v>#VALUE!</v>
      </c>
      <c r="N489" s="17" t="e">
        <f>SUMIFS([1]ACSDT5Y2020.B08301_data_with_ov!AV$3:AV$1334,[1]ACSDT5Y2020.B08301_data_with_ov!$AS$3:$AS$1334,$B489)</f>
        <v>#VALUE!</v>
      </c>
      <c r="O489" s="17" t="e">
        <f>SUMIFS([1]ACSDT5Y2020.B08301_data_with_ov!AW$3:AW$1334,[1]ACSDT5Y2020.B08301_data_with_ov!$AS$3:$AS$1334,$B489)</f>
        <v>#VALUE!</v>
      </c>
      <c r="P489" s="17" t="e">
        <f>SUMIFS([1]ACSDT5Y2020.B08301_data_with_ov!AX$3:AX$1334,[1]ACSDT5Y2020.B08301_data_with_ov!$AS$3:$AS$1334,$B489)</f>
        <v>#VALUE!</v>
      </c>
      <c r="Q489" s="17" t="e">
        <f>SUMIFS([1]ACSDT5Y2020.B08301_data_with_ov!AY$3:AY$1334,[1]ACSDT5Y2020.B08301_data_with_ov!$AS$3:$AS$1334,$B489)</f>
        <v>#VALUE!</v>
      </c>
      <c r="R489" s="17" t="e">
        <f>SUMIFS([1]ACSDT5Y2020.B08301_data_with_ov!AZ$3:AZ$1334,[1]ACSDT5Y2020.B08301_data_with_ov!$AS$3:$AS$1334,$B489)</f>
        <v>#VALUE!</v>
      </c>
      <c r="S489" s="17" t="e">
        <f>SUMIFS([1]ACSDT5Y2020.B08301_data_with_ov!BA$3:BA$1334,[1]ACSDT5Y2020.B08301_data_with_ov!$AS$3:$AS$1334,$B489)</f>
        <v>#VALUE!</v>
      </c>
      <c r="T489" s="188">
        <v>0.5452330356812084</v>
      </c>
      <c r="U489" s="189" t="e">
        <f t="shared" si="31"/>
        <v>#VALUE!</v>
      </c>
      <c r="V489" s="188">
        <v>0.545233037208258</v>
      </c>
      <c r="W489" s="189" t="e">
        <f t="shared" si="28"/>
        <v>#VALUE!</v>
      </c>
      <c r="X489" s="188">
        <v>0.545233037208258</v>
      </c>
      <c r="Y489" s="189" t="e">
        <f t="shared" si="29"/>
        <v>#VALUE!</v>
      </c>
      <c r="Z489" s="188">
        <v>0.545233037208258</v>
      </c>
      <c r="AA489" s="189" t="e">
        <f t="shared" si="30"/>
        <v>#VALUE!</v>
      </c>
    </row>
    <row r="490" spans="1:27" x14ac:dyDescent="0.25">
      <c r="A490">
        <v>490400</v>
      </c>
      <c r="B490">
        <v>17031490400</v>
      </c>
      <c r="C490">
        <v>17031</v>
      </c>
      <c r="D490">
        <v>2010</v>
      </c>
      <c r="E490">
        <v>49</v>
      </c>
      <c r="F490">
        <v>2558917.5309513998</v>
      </c>
      <c r="G490" s="45">
        <v>9.1788536320283803E-2</v>
      </c>
      <c r="H490" s="60" t="str">
        <f>_xlfn.IFNA(
INDEX('Community Areas'!B$2:B$78,MATCH($E490,'Community Areas'!$A$2:$A$78,0)),
"")</f>
        <v>ROSELAND</v>
      </c>
      <c r="I490" s="63" t="str">
        <f>_xlfn.IFNA(
INDEX('Community Areas'!C$2:C$78,MATCH($E490,'Community Areas'!$A$2:$A$78,0)),
"")</f>
        <v>5-B</v>
      </c>
      <c r="J490" s="63">
        <f>_xlfn.IFNA(
INDEX('Community Areas'!D$2:D$78,MATCH($E490,'Community Areas'!$A$2:$A$78,0)),
"")</f>
        <v>5</v>
      </c>
      <c r="K490" s="60" t="str">
        <f>_xlfn.IFNA(
INDEX('Community Areas'!E$2:E$78,MATCH($E490,'Community Areas'!$A$2:$A$78,0)),
"")</f>
        <v>FAR SOUTH</v>
      </c>
      <c r="L490" s="17" t="e">
        <f>SUMIFS([1]ACSDT5Y2020.B08301_data_with_ov!AT$3:AT$1334,[1]ACSDT5Y2020.B08301_data_with_ov!$AS$3:$AS$1334,$B490)</f>
        <v>#VALUE!</v>
      </c>
      <c r="M490" s="17" t="e">
        <f>SUMIFS([1]ACSDT5Y2020.B08301_data_with_ov!AU$3:AU$1334,[1]ACSDT5Y2020.B08301_data_with_ov!$AS$3:$AS$1334,$B490)</f>
        <v>#VALUE!</v>
      </c>
      <c r="N490" s="17" t="e">
        <f>SUMIFS([1]ACSDT5Y2020.B08301_data_with_ov!AV$3:AV$1334,[1]ACSDT5Y2020.B08301_data_with_ov!$AS$3:$AS$1334,$B490)</f>
        <v>#VALUE!</v>
      </c>
      <c r="O490" s="17" t="e">
        <f>SUMIFS([1]ACSDT5Y2020.B08301_data_with_ov!AW$3:AW$1334,[1]ACSDT5Y2020.B08301_data_with_ov!$AS$3:$AS$1334,$B490)</f>
        <v>#VALUE!</v>
      </c>
      <c r="P490" s="17" t="e">
        <f>SUMIFS([1]ACSDT5Y2020.B08301_data_with_ov!AX$3:AX$1334,[1]ACSDT5Y2020.B08301_data_with_ov!$AS$3:$AS$1334,$B490)</f>
        <v>#VALUE!</v>
      </c>
      <c r="Q490" s="17" t="e">
        <f>SUMIFS([1]ACSDT5Y2020.B08301_data_with_ov!AY$3:AY$1334,[1]ACSDT5Y2020.B08301_data_with_ov!$AS$3:$AS$1334,$B490)</f>
        <v>#VALUE!</v>
      </c>
      <c r="R490" s="17" t="e">
        <f>SUMIFS([1]ACSDT5Y2020.B08301_data_with_ov!AZ$3:AZ$1334,[1]ACSDT5Y2020.B08301_data_with_ov!$AS$3:$AS$1334,$B490)</f>
        <v>#VALUE!</v>
      </c>
      <c r="S490" s="17" t="e">
        <f>SUMIFS([1]ACSDT5Y2020.B08301_data_with_ov!BA$3:BA$1334,[1]ACSDT5Y2020.B08301_data_with_ov!$AS$3:$AS$1334,$B490)</f>
        <v>#VALUE!</v>
      </c>
      <c r="T490" s="188">
        <v>9.1461496268020762E-2</v>
      </c>
      <c r="U490" s="189" t="e">
        <f t="shared" si="31"/>
        <v>#VALUE!</v>
      </c>
      <c r="V490" s="188">
        <v>8.0920488915401531E-2</v>
      </c>
      <c r="W490" s="189" t="e">
        <f t="shared" si="28"/>
        <v>#VALUE!</v>
      </c>
      <c r="X490" s="188">
        <v>8.0920488915401531E-2</v>
      </c>
      <c r="Y490" s="189" t="e">
        <f t="shared" si="29"/>
        <v>#VALUE!</v>
      </c>
      <c r="Z490" s="188">
        <v>8.0920488915401531E-2</v>
      </c>
      <c r="AA490" s="189" t="e">
        <f t="shared" si="30"/>
        <v>#VALUE!</v>
      </c>
    </row>
    <row r="491" spans="1:27" x14ac:dyDescent="0.25">
      <c r="A491">
        <v>491300</v>
      </c>
      <c r="B491">
        <v>17031491300</v>
      </c>
      <c r="C491">
        <v>17031</v>
      </c>
      <c r="D491">
        <v>2010</v>
      </c>
      <c r="E491">
        <v>49</v>
      </c>
      <c r="F491">
        <v>6955384.2783081699</v>
      </c>
      <c r="G491" s="45">
        <v>0.24949008114913948</v>
      </c>
      <c r="H491" s="60" t="str">
        <f>_xlfn.IFNA(
INDEX('Community Areas'!B$2:B$78,MATCH($E491,'Community Areas'!$A$2:$A$78,0)),
"")</f>
        <v>ROSELAND</v>
      </c>
      <c r="I491" s="63" t="str">
        <f>_xlfn.IFNA(
INDEX('Community Areas'!C$2:C$78,MATCH($E491,'Community Areas'!$A$2:$A$78,0)),
"")</f>
        <v>5-B</v>
      </c>
      <c r="J491" s="63">
        <f>_xlfn.IFNA(
INDEX('Community Areas'!D$2:D$78,MATCH($E491,'Community Areas'!$A$2:$A$78,0)),
"")</f>
        <v>5</v>
      </c>
      <c r="K491" s="60" t="str">
        <f>_xlfn.IFNA(
INDEX('Community Areas'!E$2:E$78,MATCH($E491,'Community Areas'!$A$2:$A$78,0)),
"")</f>
        <v>FAR SOUTH</v>
      </c>
      <c r="L491" s="17" t="e">
        <f>SUMIFS([1]ACSDT5Y2020.B08301_data_with_ov!AT$3:AT$1334,[1]ACSDT5Y2020.B08301_data_with_ov!$AS$3:$AS$1334,$B491)</f>
        <v>#VALUE!</v>
      </c>
      <c r="M491" s="17" t="e">
        <f>SUMIFS([1]ACSDT5Y2020.B08301_data_with_ov!AU$3:AU$1334,[1]ACSDT5Y2020.B08301_data_with_ov!$AS$3:$AS$1334,$B491)</f>
        <v>#VALUE!</v>
      </c>
      <c r="N491" s="17" t="e">
        <f>SUMIFS([1]ACSDT5Y2020.B08301_data_with_ov!AV$3:AV$1334,[1]ACSDT5Y2020.B08301_data_with_ov!$AS$3:$AS$1334,$B491)</f>
        <v>#VALUE!</v>
      </c>
      <c r="O491" s="17" t="e">
        <f>SUMIFS([1]ACSDT5Y2020.B08301_data_with_ov!AW$3:AW$1334,[1]ACSDT5Y2020.B08301_data_with_ov!$AS$3:$AS$1334,$B491)</f>
        <v>#VALUE!</v>
      </c>
      <c r="P491" s="17" t="e">
        <f>SUMIFS([1]ACSDT5Y2020.B08301_data_with_ov!AX$3:AX$1334,[1]ACSDT5Y2020.B08301_data_with_ov!$AS$3:$AS$1334,$B491)</f>
        <v>#VALUE!</v>
      </c>
      <c r="Q491" s="17" t="e">
        <f>SUMIFS([1]ACSDT5Y2020.B08301_data_with_ov!AY$3:AY$1334,[1]ACSDT5Y2020.B08301_data_with_ov!$AS$3:$AS$1334,$B491)</f>
        <v>#VALUE!</v>
      </c>
      <c r="R491" s="17" t="e">
        <f>SUMIFS([1]ACSDT5Y2020.B08301_data_with_ov!AZ$3:AZ$1334,[1]ACSDT5Y2020.B08301_data_with_ov!$AS$3:$AS$1334,$B491)</f>
        <v>#VALUE!</v>
      </c>
      <c r="S491" s="17" t="e">
        <f>SUMIFS([1]ACSDT5Y2020.B08301_data_with_ov!BA$3:BA$1334,[1]ACSDT5Y2020.B08301_data_with_ov!$AS$3:$AS$1334,$B491)</f>
        <v>#VALUE!</v>
      </c>
      <c r="T491" s="188">
        <v>0.19540614919831018</v>
      </c>
      <c r="U491" s="189" t="e">
        <f t="shared" si="31"/>
        <v>#VALUE!</v>
      </c>
      <c r="V491" s="188">
        <v>0</v>
      </c>
      <c r="W491" s="189" t="e">
        <f t="shared" si="28"/>
        <v>#VALUE!</v>
      </c>
      <c r="X491" s="188">
        <v>0</v>
      </c>
      <c r="Y491" s="189" t="e">
        <f t="shared" si="29"/>
        <v>#VALUE!</v>
      </c>
      <c r="Z491" s="188">
        <v>0</v>
      </c>
      <c r="AA491" s="189" t="e">
        <f t="shared" si="30"/>
        <v>#VALUE!</v>
      </c>
    </row>
    <row r="492" spans="1:27" x14ac:dyDescent="0.25">
      <c r="A492">
        <v>490800</v>
      </c>
      <c r="B492">
        <v>17031490800</v>
      </c>
      <c r="C492">
        <v>17031</v>
      </c>
      <c r="D492">
        <v>2010</v>
      </c>
      <c r="E492">
        <v>49</v>
      </c>
      <c r="F492">
        <v>11751008.1927412</v>
      </c>
      <c r="G492" s="45">
        <v>0.4215094192185061</v>
      </c>
      <c r="H492" s="60" t="str">
        <f>_xlfn.IFNA(
INDEX('Community Areas'!B$2:B$78,MATCH($E492,'Community Areas'!$A$2:$A$78,0)),
"")</f>
        <v>ROSELAND</v>
      </c>
      <c r="I492" s="63" t="str">
        <f>_xlfn.IFNA(
INDEX('Community Areas'!C$2:C$78,MATCH($E492,'Community Areas'!$A$2:$A$78,0)),
"")</f>
        <v>5-B</v>
      </c>
      <c r="J492" s="63">
        <f>_xlfn.IFNA(
INDEX('Community Areas'!D$2:D$78,MATCH($E492,'Community Areas'!$A$2:$A$78,0)),
"")</f>
        <v>5</v>
      </c>
      <c r="K492" s="60" t="str">
        <f>_xlfn.IFNA(
INDEX('Community Areas'!E$2:E$78,MATCH($E492,'Community Areas'!$A$2:$A$78,0)),
"")</f>
        <v>FAR SOUTH</v>
      </c>
      <c r="L492" s="17" t="e">
        <f>SUMIFS([1]ACSDT5Y2020.B08301_data_with_ov!AT$3:AT$1334,[1]ACSDT5Y2020.B08301_data_with_ov!$AS$3:$AS$1334,$B492)</f>
        <v>#VALUE!</v>
      </c>
      <c r="M492" s="17" t="e">
        <f>SUMIFS([1]ACSDT5Y2020.B08301_data_with_ov!AU$3:AU$1334,[1]ACSDT5Y2020.B08301_data_with_ov!$AS$3:$AS$1334,$B492)</f>
        <v>#VALUE!</v>
      </c>
      <c r="N492" s="17" t="e">
        <f>SUMIFS([1]ACSDT5Y2020.B08301_data_with_ov!AV$3:AV$1334,[1]ACSDT5Y2020.B08301_data_with_ov!$AS$3:$AS$1334,$B492)</f>
        <v>#VALUE!</v>
      </c>
      <c r="O492" s="17" t="e">
        <f>SUMIFS([1]ACSDT5Y2020.B08301_data_with_ov!AW$3:AW$1334,[1]ACSDT5Y2020.B08301_data_with_ov!$AS$3:$AS$1334,$B492)</f>
        <v>#VALUE!</v>
      </c>
      <c r="P492" s="17" t="e">
        <f>SUMIFS([1]ACSDT5Y2020.B08301_data_with_ov!AX$3:AX$1334,[1]ACSDT5Y2020.B08301_data_with_ov!$AS$3:$AS$1334,$B492)</f>
        <v>#VALUE!</v>
      </c>
      <c r="Q492" s="17" t="e">
        <f>SUMIFS([1]ACSDT5Y2020.B08301_data_with_ov!AY$3:AY$1334,[1]ACSDT5Y2020.B08301_data_with_ov!$AS$3:$AS$1334,$B492)</f>
        <v>#VALUE!</v>
      </c>
      <c r="R492" s="17" t="e">
        <f>SUMIFS([1]ACSDT5Y2020.B08301_data_with_ov!AZ$3:AZ$1334,[1]ACSDT5Y2020.B08301_data_with_ov!$AS$3:$AS$1334,$B492)</f>
        <v>#VALUE!</v>
      </c>
      <c r="S492" s="17" t="e">
        <f>SUMIFS([1]ACSDT5Y2020.B08301_data_with_ov!BA$3:BA$1334,[1]ACSDT5Y2020.B08301_data_with_ov!$AS$3:$AS$1334,$B492)</f>
        <v>#VALUE!</v>
      </c>
      <c r="T492" s="188">
        <v>0.42150942094436195</v>
      </c>
      <c r="U492" s="189" t="e">
        <f t="shared" si="31"/>
        <v>#VALUE!</v>
      </c>
      <c r="V492" s="188">
        <v>0.42150942094436195</v>
      </c>
      <c r="W492" s="189" t="e">
        <f t="shared" si="28"/>
        <v>#VALUE!</v>
      </c>
      <c r="X492" s="188">
        <v>0.42150942094436195</v>
      </c>
      <c r="Y492" s="189" t="e">
        <f t="shared" si="29"/>
        <v>#VALUE!</v>
      </c>
      <c r="Z492" s="188">
        <v>0.42150942094436195</v>
      </c>
      <c r="AA492" s="189" t="e">
        <f t="shared" si="30"/>
        <v>#VALUE!</v>
      </c>
    </row>
    <row r="493" spans="1:27" x14ac:dyDescent="0.25">
      <c r="A493">
        <v>843700</v>
      </c>
      <c r="B493">
        <v>17031843700</v>
      </c>
      <c r="C493">
        <v>17031</v>
      </c>
      <c r="D493">
        <v>2010</v>
      </c>
      <c r="E493">
        <v>5</v>
      </c>
      <c r="F493">
        <v>13699547.9786203</v>
      </c>
      <c r="G493" s="45">
        <v>0.49140366658848067</v>
      </c>
      <c r="H493" s="60" t="str">
        <f>_xlfn.IFNA(
INDEX('Community Areas'!B$2:B$78,MATCH($E493,'Community Areas'!$A$2:$A$78,0)),
"")</f>
        <v>NORTH CENTER</v>
      </c>
      <c r="I493" s="63" t="str">
        <f>_xlfn.IFNA(
INDEX('Community Areas'!C$2:C$78,MATCH($E493,'Community Areas'!$A$2:$A$78,0)),
"")</f>
        <v>1-B</v>
      </c>
      <c r="J493" s="63">
        <f>_xlfn.IFNA(
INDEX('Community Areas'!D$2:D$78,MATCH($E493,'Community Areas'!$A$2:$A$78,0)),
"")</f>
        <v>1</v>
      </c>
      <c r="K493" s="60" t="str">
        <f>_xlfn.IFNA(
INDEX('Community Areas'!E$2:E$78,MATCH($E493,'Community Areas'!$A$2:$A$78,0)),
"")</f>
        <v>NORTH</v>
      </c>
      <c r="L493" s="17" t="e">
        <f>SUMIFS([1]ACSDT5Y2020.B08301_data_with_ov!AT$3:AT$1334,[1]ACSDT5Y2020.B08301_data_with_ov!$AS$3:$AS$1334,$B493)</f>
        <v>#VALUE!</v>
      </c>
      <c r="M493" s="17" t="e">
        <f>SUMIFS([1]ACSDT5Y2020.B08301_data_with_ov!AU$3:AU$1334,[1]ACSDT5Y2020.B08301_data_with_ov!$AS$3:$AS$1334,$B493)</f>
        <v>#VALUE!</v>
      </c>
      <c r="N493" s="17" t="e">
        <f>SUMIFS([1]ACSDT5Y2020.B08301_data_with_ov!AV$3:AV$1334,[1]ACSDT5Y2020.B08301_data_with_ov!$AS$3:$AS$1334,$B493)</f>
        <v>#VALUE!</v>
      </c>
      <c r="O493" s="17" t="e">
        <f>SUMIFS([1]ACSDT5Y2020.B08301_data_with_ov!AW$3:AW$1334,[1]ACSDT5Y2020.B08301_data_with_ov!$AS$3:$AS$1334,$B493)</f>
        <v>#VALUE!</v>
      </c>
      <c r="P493" s="17" t="e">
        <f>SUMIFS([1]ACSDT5Y2020.B08301_data_with_ov!AX$3:AX$1334,[1]ACSDT5Y2020.B08301_data_with_ov!$AS$3:$AS$1334,$B493)</f>
        <v>#VALUE!</v>
      </c>
      <c r="Q493" s="17" t="e">
        <f>SUMIFS([1]ACSDT5Y2020.B08301_data_with_ov!AY$3:AY$1334,[1]ACSDT5Y2020.B08301_data_with_ov!$AS$3:$AS$1334,$B493)</f>
        <v>#VALUE!</v>
      </c>
      <c r="R493" s="17" t="e">
        <f>SUMIFS([1]ACSDT5Y2020.B08301_data_with_ov!AZ$3:AZ$1334,[1]ACSDT5Y2020.B08301_data_with_ov!$AS$3:$AS$1334,$B493)</f>
        <v>#VALUE!</v>
      </c>
      <c r="S493" s="17" t="e">
        <f>SUMIFS([1]ACSDT5Y2020.B08301_data_with_ov!BA$3:BA$1334,[1]ACSDT5Y2020.B08301_data_with_ov!$AS$3:$AS$1334,$B493)</f>
        <v>#VALUE!</v>
      </c>
      <c r="T493" s="188">
        <v>0.49140366675203739</v>
      </c>
      <c r="U493" s="189" t="e">
        <f t="shared" si="31"/>
        <v>#VALUE!</v>
      </c>
      <c r="V493" s="188">
        <v>0.49140366675203739</v>
      </c>
      <c r="W493" s="189" t="e">
        <f t="shared" si="28"/>
        <v>#VALUE!</v>
      </c>
      <c r="X493" s="188">
        <v>0.49140366675203739</v>
      </c>
      <c r="Y493" s="189" t="e">
        <f t="shared" si="29"/>
        <v>#VALUE!</v>
      </c>
      <c r="Z493" s="188">
        <v>0.49140366675203739</v>
      </c>
      <c r="AA493" s="189" t="e">
        <f t="shared" si="30"/>
        <v>#VALUE!</v>
      </c>
    </row>
    <row r="494" spans="1:27" x14ac:dyDescent="0.25">
      <c r="A494">
        <v>50500</v>
      </c>
      <c r="B494">
        <v>17031050500</v>
      </c>
      <c r="C494">
        <v>17031</v>
      </c>
      <c r="D494">
        <v>2010</v>
      </c>
      <c r="E494">
        <v>5</v>
      </c>
      <c r="F494">
        <v>7014182.2950261999</v>
      </c>
      <c r="G494" s="45">
        <v>0.25159916978830205</v>
      </c>
      <c r="H494" s="60" t="str">
        <f>_xlfn.IFNA(
INDEX('Community Areas'!B$2:B$78,MATCH($E494,'Community Areas'!$A$2:$A$78,0)),
"")</f>
        <v>NORTH CENTER</v>
      </c>
      <c r="I494" s="63" t="str">
        <f>_xlfn.IFNA(
INDEX('Community Areas'!C$2:C$78,MATCH($E494,'Community Areas'!$A$2:$A$78,0)),
"")</f>
        <v>1-B</v>
      </c>
      <c r="J494" s="63">
        <f>_xlfn.IFNA(
INDEX('Community Areas'!D$2:D$78,MATCH($E494,'Community Areas'!$A$2:$A$78,0)),
"")</f>
        <v>1</v>
      </c>
      <c r="K494" s="60" t="str">
        <f>_xlfn.IFNA(
INDEX('Community Areas'!E$2:E$78,MATCH($E494,'Community Areas'!$A$2:$A$78,0)),
"")</f>
        <v>NORTH</v>
      </c>
      <c r="L494" s="17" t="e">
        <f>SUMIFS([1]ACSDT5Y2020.B08301_data_with_ov!AT$3:AT$1334,[1]ACSDT5Y2020.B08301_data_with_ov!$AS$3:$AS$1334,$B494)</f>
        <v>#VALUE!</v>
      </c>
      <c r="M494" s="17" t="e">
        <f>SUMIFS([1]ACSDT5Y2020.B08301_data_with_ov!AU$3:AU$1334,[1]ACSDT5Y2020.B08301_data_with_ov!$AS$3:$AS$1334,$B494)</f>
        <v>#VALUE!</v>
      </c>
      <c r="N494" s="17" t="e">
        <f>SUMIFS([1]ACSDT5Y2020.B08301_data_with_ov!AV$3:AV$1334,[1]ACSDT5Y2020.B08301_data_with_ov!$AS$3:$AS$1334,$B494)</f>
        <v>#VALUE!</v>
      </c>
      <c r="O494" s="17" t="e">
        <f>SUMIFS([1]ACSDT5Y2020.B08301_data_with_ov!AW$3:AW$1334,[1]ACSDT5Y2020.B08301_data_with_ov!$AS$3:$AS$1334,$B494)</f>
        <v>#VALUE!</v>
      </c>
      <c r="P494" s="17" t="e">
        <f>SUMIFS([1]ACSDT5Y2020.B08301_data_with_ov!AX$3:AX$1334,[1]ACSDT5Y2020.B08301_data_with_ov!$AS$3:$AS$1334,$B494)</f>
        <v>#VALUE!</v>
      </c>
      <c r="Q494" s="17" t="e">
        <f>SUMIFS([1]ACSDT5Y2020.B08301_data_with_ov!AY$3:AY$1334,[1]ACSDT5Y2020.B08301_data_with_ov!$AS$3:$AS$1334,$B494)</f>
        <v>#VALUE!</v>
      </c>
      <c r="R494" s="17" t="e">
        <f>SUMIFS([1]ACSDT5Y2020.B08301_data_with_ov!AZ$3:AZ$1334,[1]ACSDT5Y2020.B08301_data_with_ov!$AS$3:$AS$1334,$B494)</f>
        <v>#VALUE!</v>
      </c>
      <c r="S494" s="17" t="e">
        <f>SUMIFS([1]ACSDT5Y2020.B08301_data_with_ov!BA$3:BA$1334,[1]ACSDT5Y2020.B08301_data_with_ov!$AS$3:$AS$1334,$B494)</f>
        <v>#VALUE!</v>
      </c>
      <c r="T494" s="188">
        <v>0.25159916488511069</v>
      </c>
      <c r="U494" s="189" t="e">
        <f t="shared" si="31"/>
        <v>#VALUE!</v>
      </c>
      <c r="V494" s="188">
        <v>0.25159916488511069</v>
      </c>
      <c r="W494" s="189" t="e">
        <f t="shared" si="28"/>
        <v>#VALUE!</v>
      </c>
      <c r="X494" s="188">
        <v>0.25159916488511069</v>
      </c>
      <c r="Y494" s="189" t="e">
        <f t="shared" si="29"/>
        <v>#VALUE!</v>
      </c>
      <c r="Z494" s="188">
        <v>0.25159916488511069</v>
      </c>
      <c r="AA494" s="189" t="e">
        <f t="shared" si="30"/>
        <v>#VALUE!</v>
      </c>
    </row>
    <row r="495" spans="1:27" x14ac:dyDescent="0.25">
      <c r="A495">
        <v>50600</v>
      </c>
      <c r="B495">
        <v>17031050600</v>
      </c>
      <c r="C495">
        <v>17031</v>
      </c>
      <c r="D495">
        <v>2010</v>
      </c>
      <c r="E495">
        <v>5</v>
      </c>
      <c r="F495">
        <v>3574615.01867727</v>
      </c>
      <c r="G495" s="45">
        <v>0.1282216704931872</v>
      </c>
      <c r="H495" s="60" t="str">
        <f>_xlfn.IFNA(
INDEX('Community Areas'!B$2:B$78,MATCH($E495,'Community Areas'!$A$2:$A$78,0)),
"")</f>
        <v>NORTH CENTER</v>
      </c>
      <c r="I495" s="63" t="str">
        <f>_xlfn.IFNA(
INDEX('Community Areas'!C$2:C$78,MATCH($E495,'Community Areas'!$A$2:$A$78,0)),
"")</f>
        <v>1-B</v>
      </c>
      <c r="J495" s="63">
        <f>_xlfn.IFNA(
INDEX('Community Areas'!D$2:D$78,MATCH($E495,'Community Areas'!$A$2:$A$78,0)),
"")</f>
        <v>1</v>
      </c>
      <c r="K495" s="60" t="str">
        <f>_xlfn.IFNA(
INDEX('Community Areas'!E$2:E$78,MATCH($E495,'Community Areas'!$A$2:$A$78,0)),
"")</f>
        <v>NORTH</v>
      </c>
      <c r="L495" s="17" t="e">
        <f>SUMIFS([1]ACSDT5Y2020.B08301_data_with_ov!AT$3:AT$1334,[1]ACSDT5Y2020.B08301_data_with_ov!$AS$3:$AS$1334,$B495)</f>
        <v>#VALUE!</v>
      </c>
      <c r="M495" s="17" t="e">
        <f>SUMIFS([1]ACSDT5Y2020.B08301_data_with_ov!AU$3:AU$1334,[1]ACSDT5Y2020.B08301_data_with_ov!$AS$3:$AS$1334,$B495)</f>
        <v>#VALUE!</v>
      </c>
      <c r="N495" s="17" t="e">
        <f>SUMIFS([1]ACSDT5Y2020.B08301_data_with_ov!AV$3:AV$1334,[1]ACSDT5Y2020.B08301_data_with_ov!$AS$3:$AS$1334,$B495)</f>
        <v>#VALUE!</v>
      </c>
      <c r="O495" s="17" t="e">
        <f>SUMIFS([1]ACSDT5Y2020.B08301_data_with_ov!AW$3:AW$1334,[1]ACSDT5Y2020.B08301_data_with_ov!$AS$3:$AS$1334,$B495)</f>
        <v>#VALUE!</v>
      </c>
      <c r="P495" s="17" t="e">
        <f>SUMIFS([1]ACSDT5Y2020.B08301_data_with_ov!AX$3:AX$1334,[1]ACSDT5Y2020.B08301_data_with_ov!$AS$3:$AS$1334,$B495)</f>
        <v>#VALUE!</v>
      </c>
      <c r="Q495" s="17" t="e">
        <f>SUMIFS([1]ACSDT5Y2020.B08301_data_with_ov!AY$3:AY$1334,[1]ACSDT5Y2020.B08301_data_with_ov!$AS$3:$AS$1334,$B495)</f>
        <v>#VALUE!</v>
      </c>
      <c r="R495" s="17" t="e">
        <f>SUMIFS([1]ACSDT5Y2020.B08301_data_with_ov!AZ$3:AZ$1334,[1]ACSDT5Y2020.B08301_data_with_ov!$AS$3:$AS$1334,$B495)</f>
        <v>#VALUE!</v>
      </c>
      <c r="S495" s="17" t="e">
        <f>SUMIFS([1]ACSDT5Y2020.B08301_data_with_ov!BA$3:BA$1334,[1]ACSDT5Y2020.B08301_data_with_ov!$AS$3:$AS$1334,$B495)</f>
        <v>#VALUE!</v>
      </c>
      <c r="T495" s="188">
        <v>0.12822167195514844</v>
      </c>
      <c r="U495" s="189" t="e">
        <f t="shared" si="31"/>
        <v>#VALUE!</v>
      </c>
      <c r="V495" s="188">
        <v>0.12822167195514844</v>
      </c>
      <c r="W495" s="189" t="e">
        <f t="shared" si="28"/>
        <v>#VALUE!</v>
      </c>
      <c r="X495" s="188">
        <v>0.12822167195514844</v>
      </c>
      <c r="Y495" s="189" t="e">
        <f t="shared" si="29"/>
        <v>#VALUE!</v>
      </c>
      <c r="Z495" s="188">
        <v>0.12822167195514844</v>
      </c>
      <c r="AA495" s="189" t="e">
        <f t="shared" si="30"/>
        <v>#VALUE!</v>
      </c>
    </row>
    <row r="496" spans="1:27" x14ac:dyDescent="0.25">
      <c r="A496">
        <v>50700</v>
      </c>
      <c r="B496">
        <v>17031050700</v>
      </c>
      <c r="C496">
        <v>17031</v>
      </c>
      <c r="D496">
        <v>2010</v>
      </c>
      <c r="E496">
        <v>5</v>
      </c>
      <c r="F496">
        <v>1766489.81016726</v>
      </c>
      <c r="G496" s="45">
        <v>6.3364103039172268E-2</v>
      </c>
      <c r="H496" s="60" t="str">
        <f>_xlfn.IFNA(
INDEX('Community Areas'!B$2:B$78,MATCH($E496,'Community Areas'!$A$2:$A$78,0)),
"")</f>
        <v>NORTH CENTER</v>
      </c>
      <c r="I496" s="63" t="str">
        <f>_xlfn.IFNA(
INDEX('Community Areas'!C$2:C$78,MATCH($E496,'Community Areas'!$A$2:$A$78,0)),
"")</f>
        <v>1-B</v>
      </c>
      <c r="J496" s="63">
        <f>_xlfn.IFNA(
INDEX('Community Areas'!D$2:D$78,MATCH($E496,'Community Areas'!$A$2:$A$78,0)),
"")</f>
        <v>1</v>
      </c>
      <c r="K496" s="60" t="str">
        <f>_xlfn.IFNA(
INDEX('Community Areas'!E$2:E$78,MATCH($E496,'Community Areas'!$A$2:$A$78,0)),
"")</f>
        <v>NORTH</v>
      </c>
      <c r="L496" s="17" t="e">
        <f>SUMIFS([1]ACSDT5Y2020.B08301_data_with_ov!AT$3:AT$1334,[1]ACSDT5Y2020.B08301_data_with_ov!$AS$3:$AS$1334,$B496)</f>
        <v>#VALUE!</v>
      </c>
      <c r="M496" s="17" t="e">
        <f>SUMIFS([1]ACSDT5Y2020.B08301_data_with_ov!AU$3:AU$1334,[1]ACSDT5Y2020.B08301_data_with_ov!$AS$3:$AS$1334,$B496)</f>
        <v>#VALUE!</v>
      </c>
      <c r="N496" s="17" t="e">
        <f>SUMIFS([1]ACSDT5Y2020.B08301_data_with_ov!AV$3:AV$1334,[1]ACSDT5Y2020.B08301_data_with_ov!$AS$3:$AS$1334,$B496)</f>
        <v>#VALUE!</v>
      </c>
      <c r="O496" s="17" t="e">
        <f>SUMIFS([1]ACSDT5Y2020.B08301_data_with_ov!AW$3:AW$1334,[1]ACSDT5Y2020.B08301_data_with_ov!$AS$3:$AS$1334,$B496)</f>
        <v>#VALUE!</v>
      </c>
      <c r="P496" s="17" t="e">
        <f>SUMIFS([1]ACSDT5Y2020.B08301_data_with_ov!AX$3:AX$1334,[1]ACSDT5Y2020.B08301_data_with_ov!$AS$3:$AS$1334,$B496)</f>
        <v>#VALUE!</v>
      </c>
      <c r="Q496" s="17" t="e">
        <f>SUMIFS([1]ACSDT5Y2020.B08301_data_with_ov!AY$3:AY$1334,[1]ACSDT5Y2020.B08301_data_with_ov!$AS$3:$AS$1334,$B496)</f>
        <v>#VALUE!</v>
      </c>
      <c r="R496" s="17" t="e">
        <f>SUMIFS([1]ACSDT5Y2020.B08301_data_with_ov!AZ$3:AZ$1334,[1]ACSDT5Y2020.B08301_data_with_ov!$AS$3:$AS$1334,$B496)</f>
        <v>#VALUE!</v>
      </c>
      <c r="S496" s="17" t="e">
        <f>SUMIFS([1]ACSDT5Y2020.B08301_data_with_ov!BA$3:BA$1334,[1]ACSDT5Y2020.B08301_data_with_ov!$AS$3:$AS$1334,$B496)</f>
        <v>#VALUE!</v>
      </c>
      <c r="T496" s="188">
        <v>6.3364104618661043E-2</v>
      </c>
      <c r="U496" s="189" t="e">
        <f t="shared" si="31"/>
        <v>#VALUE!</v>
      </c>
      <c r="V496" s="188">
        <v>6.3364104618661043E-2</v>
      </c>
      <c r="W496" s="189" t="e">
        <f t="shared" si="28"/>
        <v>#VALUE!</v>
      </c>
      <c r="X496" s="188">
        <v>6.3364104618661043E-2</v>
      </c>
      <c r="Y496" s="189" t="e">
        <f t="shared" si="29"/>
        <v>#VALUE!</v>
      </c>
      <c r="Z496" s="188">
        <v>6.3364104618661043E-2</v>
      </c>
      <c r="AA496" s="189" t="e">
        <f t="shared" si="30"/>
        <v>#VALUE!</v>
      </c>
    </row>
    <row r="497" spans="1:27" x14ac:dyDescent="0.25">
      <c r="A497">
        <v>50800</v>
      </c>
      <c r="B497">
        <v>17031050800</v>
      </c>
      <c r="C497">
        <v>17031</v>
      </c>
      <c r="D497">
        <v>2010</v>
      </c>
      <c r="E497">
        <v>5</v>
      </c>
      <c r="F497">
        <v>1752761.7837599299</v>
      </c>
      <c r="G497" s="45">
        <v>6.2871677849515389E-2</v>
      </c>
      <c r="H497" s="60" t="str">
        <f>_xlfn.IFNA(
INDEX('Community Areas'!B$2:B$78,MATCH($E497,'Community Areas'!$A$2:$A$78,0)),
"")</f>
        <v>NORTH CENTER</v>
      </c>
      <c r="I497" s="63" t="str">
        <f>_xlfn.IFNA(
INDEX('Community Areas'!C$2:C$78,MATCH($E497,'Community Areas'!$A$2:$A$78,0)),
"")</f>
        <v>1-B</v>
      </c>
      <c r="J497" s="63">
        <f>_xlfn.IFNA(
INDEX('Community Areas'!D$2:D$78,MATCH($E497,'Community Areas'!$A$2:$A$78,0)),
"")</f>
        <v>1</v>
      </c>
      <c r="K497" s="60" t="str">
        <f>_xlfn.IFNA(
INDEX('Community Areas'!E$2:E$78,MATCH($E497,'Community Areas'!$A$2:$A$78,0)),
"")</f>
        <v>NORTH</v>
      </c>
      <c r="L497" s="17" t="e">
        <f>SUMIFS([1]ACSDT5Y2020.B08301_data_with_ov!AT$3:AT$1334,[1]ACSDT5Y2020.B08301_data_with_ov!$AS$3:$AS$1334,$B497)</f>
        <v>#VALUE!</v>
      </c>
      <c r="M497" s="17" t="e">
        <f>SUMIFS([1]ACSDT5Y2020.B08301_data_with_ov!AU$3:AU$1334,[1]ACSDT5Y2020.B08301_data_with_ov!$AS$3:$AS$1334,$B497)</f>
        <v>#VALUE!</v>
      </c>
      <c r="N497" s="17" t="e">
        <f>SUMIFS([1]ACSDT5Y2020.B08301_data_with_ov!AV$3:AV$1334,[1]ACSDT5Y2020.B08301_data_with_ov!$AS$3:$AS$1334,$B497)</f>
        <v>#VALUE!</v>
      </c>
      <c r="O497" s="17" t="e">
        <f>SUMIFS([1]ACSDT5Y2020.B08301_data_with_ov!AW$3:AW$1334,[1]ACSDT5Y2020.B08301_data_with_ov!$AS$3:$AS$1334,$B497)</f>
        <v>#VALUE!</v>
      </c>
      <c r="P497" s="17" t="e">
        <f>SUMIFS([1]ACSDT5Y2020.B08301_data_with_ov!AX$3:AX$1334,[1]ACSDT5Y2020.B08301_data_with_ov!$AS$3:$AS$1334,$B497)</f>
        <v>#VALUE!</v>
      </c>
      <c r="Q497" s="17" t="e">
        <f>SUMIFS([1]ACSDT5Y2020.B08301_data_with_ov!AY$3:AY$1334,[1]ACSDT5Y2020.B08301_data_with_ov!$AS$3:$AS$1334,$B497)</f>
        <v>#VALUE!</v>
      </c>
      <c r="R497" s="17" t="e">
        <f>SUMIFS([1]ACSDT5Y2020.B08301_data_with_ov!AZ$3:AZ$1334,[1]ACSDT5Y2020.B08301_data_with_ov!$AS$3:$AS$1334,$B497)</f>
        <v>#VALUE!</v>
      </c>
      <c r="S497" s="17" t="e">
        <f>SUMIFS([1]ACSDT5Y2020.B08301_data_with_ov!BA$3:BA$1334,[1]ACSDT5Y2020.B08301_data_with_ov!$AS$3:$AS$1334,$B497)</f>
        <v>#VALUE!</v>
      </c>
      <c r="T497" s="188">
        <v>6.2871676882277669E-2</v>
      </c>
      <c r="U497" s="189" t="e">
        <f t="shared" si="31"/>
        <v>#VALUE!</v>
      </c>
      <c r="V497" s="188">
        <v>6.2871676882277669E-2</v>
      </c>
      <c r="W497" s="189" t="e">
        <f t="shared" si="28"/>
        <v>#VALUE!</v>
      </c>
      <c r="X497" s="188">
        <v>6.2871676882277669E-2</v>
      </c>
      <c r="Y497" s="189" t="e">
        <f t="shared" si="29"/>
        <v>#VALUE!</v>
      </c>
      <c r="Z497" s="188">
        <v>6.2871676882277669E-2</v>
      </c>
      <c r="AA497" s="189" t="e">
        <f t="shared" si="30"/>
        <v>#VALUE!</v>
      </c>
    </row>
    <row r="498" spans="1:27" x14ac:dyDescent="0.25">
      <c r="A498">
        <v>51000</v>
      </c>
      <c r="B498">
        <v>17031051000</v>
      </c>
      <c r="C498">
        <v>17031</v>
      </c>
      <c r="D498">
        <v>2010</v>
      </c>
      <c r="E498">
        <v>5</v>
      </c>
      <c r="F498">
        <v>1709145.9595221099</v>
      </c>
      <c r="G498" s="45">
        <v>6.1307175430516454E-2</v>
      </c>
      <c r="H498" s="60" t="str">
        <f>_xlfn.IFNA(
INDEX('Community Areas'!B$2:B$78,MATCH($E498,'Community Areas'!$A$2:$A$78,0)),
"")</f>
        <v>NORTH CENTER</v>
      </c>
      <c r="I498" s="63" t="str">
        <f>_xlfn.IFNA(
INDEX('Community Areas'!C$2:C$78,MATCH($E498,'Community Areas'!$A$2:$A$78,0)),
"")</f>
        <v>1-B</v>
      </c>
      <c r="J498" s="63">
        <f>_xlfn.IFNA(
INDEX('Community Areas'!D$2:D$78,MATCH($E498,'Community Areas'!$A$2:$A$78,0)),
"")</f>
        <v>1</v>
      </c>
      <c r="K498" s="60" t="str">
        <f>_xlfn.IFNA(
INDEX('Community Areas'!E$2:E$78,MATCH($E498,'Community Areas'!$A$2:$A$78,0)),
"")</f>
        <v>NORTH</v>
      </c>
      <c r="L498" s="17" t="e">
        <f>SUMIFS([1]ACSDT5Y2020.B08301_data_with_ov!AT$3:AT$1334,[1]ACSDT5Y2020.B08301_data_with_ov!$AS$3:$AS$1334,$B498)</f>
        <v>#VALUE!</v>
      </c>
      <c r="M498" s="17" t="e">
        <f>SUMIFS([1]ACSDT5Y2020.B08301_data_with_ov!AU$3:AU$1334,[1]ACSDT5Y2020.B08301_data_with_ov!$AS$3:$AS$1334,$B498)</f>
        <v>#VALUE!</v>
      </c>
      <c r="N498" s="17" t="e">
        <f>SUMIFS([1]ACSDT5Y2020.B08301_data_with_ov!AV$3:AV$1334,[1]ACSDT5Y2020.B08301_data_with_ov!$AS$3:$AS$1334,$B498)</f>
        <v>#VALUE!</v>
      </c>
      <c r="O498" s="17" t="e">
        <f>SUMIFS([1]ACSDT5Y2020.B08301_data_with_ov!AW$3:AW$1334,[1]ACSDT5Y2020.B08301_data_with_ov!$AS$3:$AS$1334,$B498)</f>
        <v>#VALUE!</v>
      </c>
      <c r="P498" s="17" t="e">
        <f>SUMIFS([1]ACSDT5Y2020.B08301_data_with_ov!AX$3:AX$1334,[1]ACSDT5Y2020.B08301_data_with_ov!$AS$3:$AS$1334,$B498)</f>
        <v>#VALUE!</v>
      </c>
      <c r="Q498" s="17" t="e">
        <f>SUMIFS([1]ACSDT5Y2020.B08301_data_with_ov!AY$3:AY$1334,[1]ACSDT5Y2020.B08301_data_with_ov!$AS$3:$AS$1334,$B498)</f>
        <v>#VALUE!</v>
      </c>
      <c r="R498" s="17" t="e">
        <f>SUMIFS([1]ACSDT5Y2020.B08301_data_with_ov!AZ$3:AZ$1334,[1]ACSDT5Y2020.B08301_data_with_ov!$AS$3:$AS$1334,$B498)</f>
        <v>#VALUE!</v>
      </c>
      <c r="S498" s="17" t="e">
        <f>SUMIFS([1]ACSDT5Y2020.B08301_data_with_ov!BA$3:BA$1334,[1]ACSDT5Y2020.B08301_data_with_ov!$AS$3:$AS$1334,$B498)</f>
        <v>#VALUE!</v>
      </c>
      <c r="T498" s="188">
        <v>6.1307174407783091E-2</v>
      </c>
      <c r="U498" s="189" t="e">
        <f t="shared" si="31"/>
        <v>#VALUE!</v>
      </c>
      <c r="V498" s="188">
        <v>6.1307174407783091E-2</v>
      </c>
      <c r="W498" s="189" t="e">
        <f t="shared" si="28"/>
        <v>#VALUE!</v>
      </c>
      <c r="X498" s="188">
        <v>6.1307174407783091E-2</v>
      </c>
      <c r="Y498" s="189" t="e">
        <f t="shared" si="29"/>
        <v>#VALUE!</v>
      </c>
      <c r="Z498" s="188">
        <v>6.1307174407783091E-2</v>
      </c>
      <c r="AA498" s="189" t="e">
        <f t="shared" si="30"/>
        <v>#VALUE!</v>
      </c>
    </row>
    <row r="499" spans="1:27" x14ac:dyDescent="0.25">
      <c r="A499">
        <v>51100</v>
      </c>
      <c r="B499">
        <v>17031051100</v>
      </c>
      <c r="C499">
        <v>17031</v>
      </c>
      <c r="D499">
        <v>2010</v>
      </c>
      <c r="E499">
        <v>5</v>
      </c>
      <c r="F499">
        <v>1751454.6771730999</v>
      </c>
      <c r="G499" s="45">
        <v>6.28247918522261E-2</v>
      </c>
      <c r="H499" s="60" t="str">
        <f>_xlfn.IFNA(
INDEX('Community Areas'!B$2:B$78,MATCH($E499,'Community Areas'!$A$2:$A$78,0)),
"")</f>
        <v>NORTH CENTER</v>
      </c>
      <c r="I499" s="63" t="str">
        <f>_xlfn.IFNA(
INDEX('Community Areas'!C$2:C$78,MATCH($E499,'Community Areas'!$A$2:$A$78,0)),
"")</f>
        <v>1-B</v>
      </c>
      <c r="J499" s="63">
        <f>_xlfn.IFNA(
INDEX('Community Areas'!D$2:D$78,MATCH($E499,'Community Areas'!$A$2:$A$78,0)),
"")</f>
        <v>1</v>
      </c>
      <c r="K499" s="60" t="str">
        <f>_xlfn.IFNA(
INDEX('Community Areas'!E$2:E$78,MATCH($E499,'Community Areas'!$A$2:$A$78,0)),
"")</f>
        <v>NORTH</v>
      </c>
      <c r="L499" s="17" t="e">
        <f>SUMIFS([1]ACSDT5Y2020.B08301_data_with_ov!AT$3:AT$1334,[1]ACSDT5Y2020.B08301_data_with_ov!$AS$3:$AS$1334,$B499)</f>
        <v>#VALUE!</v>
      </c>
      <c r="M499" s="17" t="e">
        <f>SUMIFS([1]ACSDT5Y2020.B08301_data_with_ov!AU$3:AU$1334,[1]ACSDT5Y2020.B08301_data_with_ov!$AS$3:$AS$1334,$B499)</f>
        <v>#VALUE!</v>
      </c>
      <c r="N499" s="17" t="e">
        <f>SUMIFS([1]ACSDT5Y2020.B08301_data_with_ov!AV$3:AV$1334,[1]ACSDT5Y2020.B08301_data_with_ov!$AS$3:$AS$1334,$B499)</f>
        <v>#VALUE!</v>
      </c>
      <c r="O499" s="17" t="e">
        <f>SUMIFS([1]ACSDT5Y2020.B08301_data_with_ov!AW$3:AW$1334,[1]ACSDT5Y2020.B08301_data_with_ov!$AS$3:$AS$1334,$B499)</f>
        <v>#VALUE!</v>
      </c>
      <c r="P499" s="17" t="e">
        <f>SUMIFS([1]ACSDT5Y2020.B08301_data_with_ov!AX$3:AX$1334,[1]ACSDT5Y2020.B08301_data_with_ov!$AS$3:$AS$1334,$B499)</f>
        <v>#VALUE!</v>
      </c>
      <c r="Q499" s="17" t="e">
        <f>SUMIFS([1]ACSDT5Y2020.B08301_data_with_ov!AY$3:AY$1334,[1]ACSDT5Y2020.B08301_data_with_ov!$AS$3:$AS$1334,$B499)</f>
        <v>#VALUE!</v>
      </c>
      <c r="R499" s="17" t="e">
        <f>SUMIFS([1]ACSDT5Y2020.B08301_data_with_ov!AZ$3:AZ$1334,[1]ACSDT5Y2020.B08301_data_with_ov!$AS$3:$AS$1334,$B499)</f>
        <v>#VALUE!</v>
      </c>
      <c r="S499" s="17" t="e">
        <f>SUMIFS([1]ACSDT5Y2020.B08301_data_with_ov!BA$3:BA$1334,[1]ACSDT5Y2020.B08301_data_with_ov!$AS$3:$AS$1334,$B499)</f>
        <v>#VALUE!</v>
      </c>
      <c r="T499" s="188">
        <v>6.282479108443921E-2</v>
      </c>
      <c r="U499" s="189" t="e">
        <f t="shared" si="31"/>
        <v>#VALUE!</v>
      </c>
      <c r="V499" s="188">
        <v>6.282479108443921E-2</v>
      </c>
      <c r="W499" s="189" t="e">
        <f t="shared" si="28"/>
        <v>#VALUE!</v>
      </c>
      <c r="X499" s="188">
        <v>6.282479108443921E-2</v>
      </c>
      <c r="Y499" s="189" t="e">
        <f t="shared" si="29"/>
        <v>#VALUE!</v>
      </c>
      <c r="Z499" s="188">
        <v>6.282479108443921E-2</v>
      </c>
      <c r="AA499" s="189" t="e">
        <f t="shared" si="30"/>
        <v>#VALUE!</v>
      </c>
    </row>
    <row r="500" spans="1:27" x14ac:dyDescent="0.25">
      <c r="A500">
        <v>51400</v>
      </c>
      <c r="B500">
        <v>17031051400</v>
      </c>
      <c r="C500">
        <v>17031</v>
      </c>
      <c r="D500">
        <v>2010</v>
      </c>
      <c r="E500">
        <v>5</v>
      </c>
      <c r="F500">
        <v>3857084.0313709001</v>
      </c>
      <c r="G500" s="45">
        <v>0.13835385213537721</v>
      </c>
      <c r="H500" s="60" t="str">
        <f>_xlfn.IFNA(
INDEX('Community Areas'!B$2:B$78,MATCH($E500,'Community Areas'!$A$2:$A$78,0)),
"")</f>
        <v>NORTH CENTER</v>
      </c>
      <c r="I500" s="63" t="str">
        <f>_xlfn.IFNA(
INDEX('Community Areas'!C$2:C$78,MATCH($E500,'Community Areas'!$A$2:$A$78,0)),
"")</f>
        <v>1-B</v>
      </c>
      <c r="J500" s="63">
        <f>_xlfn.IFNA(
INDEX('Community Areas'!D$2:D$78,MATCH($E500,'Community Areas'!$A$2:$A$78,0)),
"")</f>
        <v>1</v>
      </c>
      <c r="K500" s="60" t="str">
        <f>_xlfn.IFNA(
INDEX('Community Areas'!E$2:E$78,MATCH($E500,'Community Areas'!$A$2:$A$78,0)),
"")</f>
        <v>NORTH</v>
      </c>
      <c r="L500" s="17" t="e">
        <f>SUMIFS([1]ACSDT5Y2020.B08301_data_with_ov!AT$3:AT$1334,[1]ACSDT5Y2020.B08301_data_with_ov!$AS$3:$AS$1334,$B500)</f>
        <v>#VALUE!</v>
      </c>
      <c r="M500" s="17" t="e">
        <f>SUMIFS([1]ACSDT5Y2020.B08301_data_with_ov!AU$3:AU$1334,[1]ACSDT5Y2020.B08301_data_with_ov!$AS$3:$AS$1334,$B500)</f>
        <v>#VALUE!</v>
      </c>
      <c r="N500" s="17" t="e">
        <f>SUMIFS([1]ACSDT5Y2020.B08301_data_with_ov!AV$3:AV$1334,[1]ACSDT5Y2020.B08301_data_with_ov!$AS$3:$AS$1334,$B500)</f>
        <v>#VALUE!</v>
      </c>
      <c r="O500" s="17" t="e">
        <f>SUMIFS([1]ACSDT5Y2020.B08301_data_with_ov!AW$3:AW$1334,[1]ACSDT5Y2020.B08301_data_with_ov!$AS$3:$AS$1334,$B500)</f>
        <v>#VALUE!</v>
      </c>
      <c r="P500" s="17" t="e">
        <f>SUMIFS([1]ACSDT5Y2020.B08301_data_with_ov!AX$3:AX$1334,[1]ACSDT5Y2020.B08301_data_with_ov!$AS$3:$AS$1334,$B500)</f>
        <v>#VALUE!</v>
      </c>
      <c r="Q500" s="17" t="e">
        <f>SUMIFS([1]ACSDT5Y2020.B08301_data_with_ov!AY$3:AY$1334,[1]ACSDT5Y2020.B08301_data_with_ov!$AS$3:$AS$1334,$B500)</f>
        <v>#VALUE!</v>
      </c>
      <c r="R500" s="17" t="e">
        <f>SUMIFS([1]ACSDT5Y2020.B08301_data_with_ov!AZ$3:AZ$1334,[1]ACSDT5Y2020.B08301_data_with_ov!$AS$3:$AS$1334,$B500)</f>
        <v>#VALUE!</v>
      </c>
      <c r="S500" s="17" t="e">
        <f>SUMIFS([1]ACSDT5Y2020.B08301_data_with_ov!BA$3:BA$1334,[1]ACSDT5Y2020.B08301_data_with_ov!$AS$3:$AS$1334,$B500)</f>
        <v>#VALUE!</v>
      </c>
      <c r="T500" s="188">
        <v>0.13835385287823726</v>
      </c>
      <c r="U500" s="189" t="e">
        <f t="shared" si="31"/>
        <v>#VALUE!</v>
      </c>
      <c r="V500" s="188">
        <v>0.13835385287823726</v>
      </c>
      <c r="W500" s="189" t="e">
        <f t="shared" si="28"/>
        <v>#VALUE!</v>
      </c>
      <c r="X500" s="188">
        <v>0.13835385287823726</v>
      </c>
      <c r="Y500" s="189" t="e">
        <f t="shared" si="29"/>
        <v>#VALUE!</v>
      </c>
      <c r="Z500" s="188">
        <v>0.13835385287823726</v>
      </c>
      <c r="AA500" s="189" t="e">
        <f t="shared" si="30"/>
        <v>#VALUE!</v>
      </c>
    </row>
    <row r="501" spans="1:27" x14ac:dyDescent="0.25">
      <c r="A501">
        <v>50100</v>
      </c>
      <c r="B501">
        <v>17031050100</v>
      </c>
      <c r="C501">
        <v>17031</v>
      </c>
      <c r="D501">
        <v>2010</v>
      </c>
      <c r="E501">
        <v>5</v>
      </c>
      <c r="F501">
        <v>3604607.4471111</v>
      </c>
      <c r="G501" s="45">
        <v>0.12929750082899663</v>
      </c>
      <c r="H501" s="60" t="str">
        <f>_xlfn.IFNA(
INDEX('Community Areas'!B$2:B$78,MATCH($E501,'Community Areas'!$A$2:$A$78,0)),
"")</f>
        <v>NORTH CENTER</v>
      </c>
      <c r="I501" s="63" t="str">
        <f>_xlfn.IFNA(
INDEX('Community Areas'!C$2:C$78,MATCH($E501,'Community Areas'!$A$2:$A$78,0)),
"")</f>
        <v>1-B</v>
      </c>
      <c r="J501" s="63">
        <f>_xlfn.IFNA(
INDEX('Community Areas'!D$2:D$78,MATCH($E501,'Community Areas'!$A$2:$A$78,0)),
"")</f>
        <v>1</v>
      </c>
      <c r="K501" s="60" t="str">
        <f>_xlfn.IFNA(
INDEX('Community Areas'!E$2:E$78,MATCH($E501,'Community Areas'!$A$2:$A$78,0)),
"")</f>
        <v>NORTH</v>
      </c>
      <c r="L501" s="17" t="e">
        <f>SUMIFS([1]ACSDT5Y2020.B08301_data_with_ov!AT$3:AT$1334,[1]ACSDT5Y2020.B08301_data_with_ov!$AS$3:$AS$1334,$B501)</f>
        <v>#VALUE!</v>
      </c>
      <c r="M501" s="17" t="e">
        <f>SUMIFS([1]ACSDT5Y2020.B08301_data_with_ov!AU$3:AU$1334,[1]ACSDT5Y2020.B08301_data_with_ov!$AS$3:$AS$1334,$B501)</f>
        <v>#VALUE!</v>
      </c>
      <c r="N501" s="17" t="e">
        <f>SUMIFS([1]ACSDT5Y2020.B08301_data_with_ov!AV$3:AV$1334,[1]ACSDT5Y2020.B08301_data_with_ov!$AS$3:$AS$1334,$B501)</f>
        <v>#VALUE!</v>
      </c>
      <c r="O501" s="17" t="e">
        <f>SUMIFS([1]ACSDT5Y2020.B08301_data_with_ov!AW$3:AW$1334,[1]ACSDT5Y2020.B08301_data_with_ov!$AS$3:$AS$1334,$B501)</f>
        <v>#VALUE!</v>
      </c>
      <c r="P501" s="17" t="e">
        <f>SUMIFS([1]ACSDT5Y2020.B08301_data_with_ov!AX$3:AX$1334,[1]ACSDT5Y2020.B08301_data_with_ov!$AS$3:$AS$1334,$B501)</f>
        <v>#VALUE!</v>
      </c>
      <c r="Q501" s="17" t="e">
        <f>SUMIFS([1]ACSDT5Y2020.B08301_data_with_ov!AY$3:AY$1334,[1]ACSDT5Y2020.B08301_data_with_ov!$AS$3:$AS$1334,$B501)</f>
        <v>#VALUE!</v>
      </c>
      <c r="R501" s="17" t="e">
        <f>SUMIFS([1]ACSDT5Y2020.B08301_data_with_ov!AZ$3:AZ$1334,[1]ACSDT5Y2020.B08301_data_with_ov!$AS$3:$AS$1334,$B501)</f>
        <v>#VALUE!</v>
      </c>
      <c r="S501" s="17" t="e">
        <f>SUMIFS([1]ACSDT5Y2020.B08301_data_with_ov!BA$3:BA$1334,[1]ACSDT5Y2020.B08301_data_with_ov!$AS$3:$AS$1334,$B501)</f>
        <v>#VALUE!</v>
      </c>
      <c r="T501" s="188">
        <v>0.12929750024877684</v>
      </c>
      <c r="U501" s="189" t="e">
        <f t="shared" si="31"/>
        <v>#VALUE!</v>
      </c>
      <c r="V501" s="188">
        <v>0.12929750024877684</v>
      </c>
      <c r="W501" s="189" t="e">
        <f t="shared" si="28"/>
        <v>#VALUE!</v>
      </c>
      <c r="X501" s="188">
        <v>0.12929750024877684</v>
      </c>
      <c r="Y501" s="189" t="e">
        <f t="shared" si="29"/>
        <v>#VALUE!</v>
      </c>
      <c r="Z501" s="188">
        <v>0.12929750024877684</v>
      </c>
      <c r="AA501" s="189" t="e">
        <f t="shared" si="30"/>
        <v>#VALUE!</v>
      </c>
    </row>
    <row r="502" spans="1:27" x14ac:dyDescent="0.25">
      <c r="A502">
        <v>50200</v>
      </c>
      <c r="B502">
        <v>17031050200</v>
      </c>
      <c r="C502">
        <v>17031</v>
      </c>
      <c r="D502">
        <v>2010</v>
      </c>
      <c r="E502">
        <v>5</v>
      </c>
      <c r="F502">
        <v>7030904.82106141</v>
      </c>
      <c r="G502" s="45">
        <v>0.25219900787209487</v>
      </c>
      <c r="H502" s="60" t="str">
        <f>_xlfn.IFNA(
INDEX('Community Areas'!B$2:B$78,MATCH($E502,'Community Areas'!$A$2:$A$78,0)),
"")</f>
        <v>NORTH CENTER</v>
      </c>
      <c r="I502" s="63" t="str">
        <f>_xlfn.IFNA(
INDEX('Community Areas'!C$2:C$78,MATCH($E502,'Community Areas'!$A$2:$A$78,0)),
"")</f>
        <v>1-B</v>
      </c>
      <c r="J502" s="63">
        <f>_xlfn.IFNA(
INDEX('Community Areas'!D$2:D$78,MATCH($E502,'Community Areas'!$A$2:$A$78,0)),
"")</f>
        <v>1</v>
      </c>
      <c r="K502" s="60" t="str">
        <f>_xlfn.IFNA(
INDEX('Community Areas'!E$2:E$78,MATCH($E502,'Community Areas'!$A$2:$A$78,0)),
"")</f>
        <v>NORTH</v>
      </c>
      <c r="L502" s="17" t="e">
        <f>SUMIFS([1]ACSDT5Y2020.B08301_data_with_ov!AT$3:AT$1334,[1]ACSDT5Y2020.B08301_data_with_ov!$AS$3:$AS$1334,$B502)</f>
        <v>#VALUE!</v>
      </c>
      <c r="M502" s="17" t="e">
        <f>SUMIFS([1]ACSDT5Y2020.B08301_data_with_ov!AU$3:AU$1334,[1]ACSDT5Y2020.B08301_data_with_ov!$AS$3:$AS$1334,$B502)</f>
        <v>#VALUE!</v>
      </c>
      <c r="N502" s="17" t="e">
        <f>SUMIFS([1]ACSDT5Y2020.B08301_data_with_ov!AV$3:AV$1334,[1]ACSDT5Y2020.B08301_data_with_ov!$AS$3:$AS$1334,$B502)</f>
        <v>#VALUE!</v>
      </c>
      <c r="O502" s="17" t="e">
        <f>SUMIFS([1]ACSDT5Y2020.B08301_data_with_ov!AW$3:AW$1334,[1]ACSDT5Y2020.B08301_data_with_ov!$AS$3:$AS$1334,$B502)</f>
        <v>#VALUE!</v>
      </c>
      <c r="P502" s="17" t="e">
        <f>SUMIFS([1]ACSDT5Y2020.B08301_data_with_ov!AX$3:AX$1334,[1]ACSDT5Y2020.B08301_data_with_ov!$AS$3:$AS$1334,$B502)</f>
        <v>#VALUE!</v>
      </c>
      <c r="Q502" s="17" t="e">
        <f>SUMIFS([1]ACSDT5Y2020.B08301_data_with_ov!AY$3:AY$1334,[1]ACSDT5Y2020.B08301_data_with_ov!$AS$3:$AS$1334,$B502)</f>
        <v>#VALUE!</v>
      </c>
      <c r="R502" s="17" t="e">
        <f>SUMIFS([1]ACSDT5Y2020.B08301_data_with_ov!AZ$3:AZ$1334,[1]ACSDT5Y2020.B08301_data_with_ov!$AS$3:$AS$1334,$B502)</f>
        <v>#VALUE!</v>
      </c>
      <c r="S502" s="17" t="e">
        <f>SUMIFS([1]ACSDT5Y2020.B08301_data_with_ov!BA$3:BA$1334,[1]ACSDT5Y2020.B08301_data_with_ov!$AS$3:$AS$1334,$B502)</f>
        <v>#VALUE!</v>
      </c>
      <c r="T502" s="188">
        <v>0.25219900922133481</v>
      </c>
      <c r="U502" s="189" t="e">
        <f t="shared" si="31"/>
        <v>#VALUE!</v>
      </c>
      <c r="V502" s="188">
        <v>0.25219900922133481</v>
      </c>
      <c r="W502" s="189" t="e">
        <f t="shared" si="28"/>
        <v>#VALUE!</v>
      </c>
      <c r="X502" s="188">
        <v>0.25219900922133481</v>
      </c>
      <c r="Y502" s="189" t="e">
        <f t="shared" si="29"/>
        <v>#VALUE!</v>
      </c>
      <c r="Z502" s="188">
        <v>0.25219900922133481</v>
      </c>
      <c r="AA502" s="189" t="e">
        <f t="shared" si="30"/>
        <v>#VALUE!</v>
      </c>
    </row>
    <row r="503" spans="1:27" x14ac:dyDescent="0.25">
      <c r="A503">
        <v>50300</v>
      </c>
      <c r="B503">
        <v>17031050300</v>
      </c>
      <c r="C503">
        <v>17031</v>
      </c>
      <c r="D503">
        <v>2010</v>
      </c>
      <c r="E503">
        <v>5</v>
      </c>
      <c r="F503">
        <v>4277151.75183398</v>
      </c>
      <c r="G503" s="45">
        <v>0.15342170826998608</v>
      </c>
      <c r="H503" s="60" t="str">
        <f>_xlfn.IFNA(
INDEX('Community Areas'!B$2:B$78,MATCH($E503,'Community Areas'!$A$2:$A$78,0)),
"")</f>
        <v>NORTH CENTER</v>
      </c>
      <c r="I503" s="63" t="str">
        <f>_xlfn.IFNA(
INDEX('Community Areas'!C$2:C$78,MATCH($E503,'Community Areas'!$A$2:$A$78,0)),
"")</f>
        <v>1-B</v>
      </c>
      <c r="J503" s="63">
        <f>_xlfn.IFNA(
INDEX('Community Areas'!D$2:D$78,MATCH($E503,'Community Areas'!$A$2:$A$78,0)),
"")</f>
        <v>1</v>
      </c>
      <c r="K503" s="60" t="str">
        <f>_xlfn.IFNA(
INDEX('Community Areas'!E$2:E$78,MATCH($E503,'Community Areas'!$A$2:$A$78,0)),
"")</f>
        <v>NORTH</v>
      </c>
      <c r="L503" s="17" t="e">
        <f>SUMIFS([1]ACSDT5Y2020.B08301_data_with_ov!AT$3:AT$1334,[1]ACSDT5Y2020.B08301_data_with_ov!$AS$3:$AS$1334,$B503)</f>
        <v>#VALUE!</v>
      </c>
      <c r="M503" s="17" t="e">
        <f>SUMIFS([1]ACSDT5Y2020.B08301_data_with_ov!AU$3:AU$1334,[1]ACSDT5Y2020.B08301_data_with_ov!$AS$3:$AS$1334,$B503)</f>
        <v>#VALUE!</v>
      </c>
      <c r="N503" s="17" t="e">
        <f>SUMIFS([1]ACSDT5Y2020.B08301_data_with_ov!AV$3:AV$1334,[1]ACSDT5Y2020.B08301_data_with_ov!$AS$3:$AS$1334,$B503)</f>
        <v>#VALUE!</v>
      </c>
      <c r="O503" s="17" t="e">
        <f>SUMIFS([1]ACSDT5Y2020.B08301_data_with_ov!AW$3:AW$1334,[1]ACSDT5Y2020.B08301_data_with_ov!$AS$3:$AS$1334,$B503)</f>
        <v>#VALUE!</v>
      </c>
      <c r="P503" s="17" t="e">
        <f>SUMIFS([1]ACSDT5Y2020.B08301_data_with_ov!AX$3:AX$1334,[1]ACSDT5Y2020.B08301_data_with_ov!$AS$3:$AS$1334,$B503)</f>
        <v>#VALUE!</v>
      </c>
      <c r="Q503" s="17" t="e">
        <f>SUMIFS([1]ACSDT5Y2020.B08301_data_with_ov!AY$3:AY$1334,[1]ACSDT5Y2020.B08301_data_with_ov!$AS$3:$AS$1334,$B503)</f>
        <v>#VALUE!</v>
      </c>
      <c r="R503" s="17" t="e">
        <f>SUMIFS([1]ACSDT5Y2020.B08301_data_with_ov!AZ$3:AZ$1334,[1]ACSDT5Y2020.B08301_data_with_ov!$AS$3:$AS$1334,$B503)</f>
        <v>#VALUE!</v>
      </c>
      <c r="S503" s="17" t="e">
        <f>SUMIFS([1]ACSDT5Y2020.B08301_data_with_ov!BA$3:BA$1334,[1]ACSDT5Y2020.B08301_data_with_ov!$AS$3:$AS$1334,$B503)</f>
        <v>#VALUE!</v>
      </c>
      <c r="T503" s="188">
        <v>0.15342170821181059</v>
      </c>
      <c r="U503" s="189" t="e">
        <f t="shared" si="31"/>
        <v>#VALUE!</v>
      </c>
      <c r="V503" s="188">
        <v>0.15342170821181059</v>
      </c>
      <c r="W503" s="189" t="e">
        <f t="shared" si="28"/>
        <v>#VALUE!</v>
      </c>
      <c r="X503" s="188">
        <v>0.15342170821181059</v>
      </c>
      <c r="Y503" s="189" t="e">
        <f t="shared" si="29"/>
        <v>#VALUE!</v>
      </c>
      <c r="Z503" s="188">
        <v>0.15342170821181059</v>
      </c>
      <c r="AA503" s="189" t="e">
        <f t="shared" si="30"/>
        <v>#VALUE!</v>
      </c>
    </row>
    <row r="504" spans="1:27" x14ac:dyDescent="0.25">
      <c r="A504">
        <v>50900</v>
      </c>
      <c r="B504">
        <v>17031050900</v>
      </c>
      <c r="C504">
        <v>17031</v>
      </c>
      <c r="D504">
        <v>2010</v>
      </c>
      <c r="E504">
        <v>5</v>
      </c>
      <c r="F504">
        <v>1751600.2320596999</v>
      </c>
      <c r="G504" s="45">
        <v>6.283001291536458E-2</v>
      </c>
      <c r="H504" s="60" t="str">
        <f>_xlfn.IFNA(
INDEX('Community Areas'!B$2:B$78,MATCH($E504,'Community Areas'!$A$2:$A$78,0)),
"")</f>
        <v>NORTH CENTER</v>
      </c>
      <c r="I504" s="63" t="str">
        <f>_xlfn.IFNA(
INDEX('Community Areas'!C$2:C$78,MATCH($E504,'Community Areas'!$A$2:$A$78,0)),
"")</f>
        <v>1-B</v>
      </c>
      <c r="J504" s="63">
        <f>_xlfn.IFNA(
INDEX('Community Areas'!D$2:D$78,MATCH($E504,'Community Areas'!$A$2:$A$78,0)),
"")</f>
        <v>1</v>
      </c>
      <c r="K504" s="60" t="str">
        <f>_xlfn.IFNA(
INDEX('Community Areas'!E$2:E$78,MATCH($E504,'Community Areas'!$A$2:$A$78,0)),
"")</f>
        <v>NORTH</v>
      </c>
      <c r="L504" s="17" t="e">
        <f>SUMIFS([1]ACSDT5Y2020.B08301_data_with_ov!AT$3:AT$1334,[1]ACSDT5Y2020.B08301_data_with_ov!$AS$3:$AS$1334,$B504)</f>
        <v>#VALUE!</v>
      </c>
      <c r="M504" s="17" t="e">
        <f>SUMIFS([1]ACSDT5Y2020.B08301_data_with_ov!AU$3:AU$1334,[1]ACSDT5Y2020.B08301_data_with_ov!$AS$3:$AS$1334,$B504)</f>
        <v>#VALUE!</v>
      </c>
      <c r="N504" s="17" t="e">
        <f>SUMIFS([1]ACSDT5Y2020.B08301_data_with_ov!AV$3:AV$1334,[1]ACSDT5Y2020.B08301_data_with_ov!$AS$3:$AS$1334,$B504)</f>
        <v>#VALUE!</v>
      </c>
      <c r="O504" s="17" t="e">
        <f>SUMIFS([1]ACSDT5Y2020.B08301_data_with_ov!AW$3:AW$1334,[1]ACSDT5Y2020.B08301_data_with_ov!$AS$3:$AS$1334,$B504)</f>
        <v>#VALUE!</v>
      </c>
      <c r="P504" s="17" t="e">
        <f>SUMIFS([1]ACSDT5Y2020.B08301_data_with_ov!AX$3:AX$1334,[1]ACSDT5Y2020.B08301_data_with_ov!$AS$3:$AS$1334,$B504)</f>
        <v>#VALUE!</v>
      </c>
      <c r="Q504" s="17" t="e">
        <f>SUMIFS([1]ACSDT5Y2020.B08301_data_with_ov!AY$3:AY$1334,[1]ACSDT5Y2020.B08301_data_with_ov!$AS$3:$AS$1334,$B504)</f>
        <v>#VALUE!</v>
      </c>
      <c r="R504" s="17" t="e">
        <f>SUMIFS([1]ACSDT5Y2020.B08301_data_with_ov!AZ$3:AZ$1334,[1]ACSDT5Y2020.B08301_data_with_ov!$AS$3:$AS$1334,$B504)</f>
        <v>#VALUE!</v>
      </c>
      <c r="S504" s="17" t="e">
        <f>SUMIFS([1]ACSDT5Y2020.B08301_data_with_ov!BA$3:BA$1334,[1]ACSDT5Y2020.B08301_data_with_ov!$AS$3:$AS$1334,$B504)</f>
        <v>#VALUE!</v>
      </c>
      <c r="T504" s="188">
        <v>6.2830016077164041E-2</v>
      </c>
      <c r="U504" s="189" t="e">
        <f t="shared" si="31"/>
        <v>#VALUE!</v>
      </c>
      <c r="V504" s="188">
        <v>6.2830016077164041E-2</v>
      </c>
      <c r="W504" s="189" t="e">
        <f t="shared" si="28"/>
        <v>#VALUE!</v>
      </c>
      <c r="X504" s="188">
        <v>6.2830016077164041E-2</v>
      </c>
      <c r="Y504" s="189" t="e">
        <f t="shared" si="29"/>
        <v>#VALUE!</v>
      </c>
      <c r="Z504" s="188">
        <v>6.2830016077164041E-2</v>
      </c>
      <c r="AA504" s="189" t="e">
        <f t="shared" si="30"/>
        <v>#VALUE!</v>
      </c>
    </row>
    <row r="505" spans="1:27" x14ac:dyDescent="0.25">
      <c r="A505">
        <v>51300</v>
      </c>
      <c r="B505">
        <v>17031051300</v>
      </c>
      <c r="C505">
        <v>17031</v>
      </c>
      <c r="D505">
        <v>2010</v>
      </c>
      <c r="E505">
        <v>5</v>
      </c>
      <c r="F505">
        <v>3493213.6562975501</v>
      </c>
      <c r="G505" s="45">
        <v>0.12530179839221584</v>
      </c>
      <c r="H505" s="60" t="str">
        <f>_xlfn.IFNA(
INDEX('Community Areas'!B$2:B$78,MATCH($E505,'Community Areas'!$A$2:$A$78,0)),
"")</f>
        <v>NORTH CENTER</v>
      </c>
      <c r="I505" s="63" t="str">
        <f>_xlfn.IFNA(
INDEX('Community Areas'!C$2:C$78,MATCH($E505,'Community Areas'!$A$2:$A$78,0)),
"")</f>
        <v>1-B</v>
      </c>
      <c r="J505" s="63">
        <f>_xlfn.IFNA(
INDEX('Community Areas'!D$2:D$78,MATCH($E505,'Community Areas'!$A$2:$A$78,0)),
"")</f>
        <v>1</v>
      </c>
      <c r="K505" s="60" t="str">
        <f>_xlfn.IFNA(
INDEX('Community Areas'!E$2:E$78,MATCH($E505,'Community Areas'!$A$2:$A$78,0)),
"")</f>
        <v>NORTH</v>
      </c>
      <c r="L505" s="17" t="e">
        <f>SUMIFS([1]ACSDT5Y2020.B08301_data_with_ov!AT$3:AT$1334,[1]ACSDT5Y2020.B08301_data_with_ov!$AS$3:$AS$1334,$B505)</f>
        <v>#VALUE!</v>
      </c>
      <c r="M505" s="17" t="e">
        <f>SUMIFS([1]ACSDT5Y2020.B08301_data_with_ov!AU$3:AU$1334,[1]ACSDT5Y2020.B08301_data_with_ov!$AS$3:$AS$1334,$B505)</f>
        <v>#VALUE!</v>
      </c>
      <c r="N505" s="17" t="e">
        <f>SUMIFS([1]ACSDT5Y2020.B08301_data_with_ov!AV$3:AV$1334,[1]ACSDT5Y2020.B08301_data_with_ov!$AS$3:$AS$1334,$B505)</f>
        <v>#VALUE!</v>
      </c>
      <c r="O505" s="17" t="e">
        <f>SUMIFS([1]ACSDT5Y2020.B08301_data_with_ov!AW$3:AW$1334,[1]ACSDT5Y2020.B08301_data_with_ov!$AS$3:$AS$1334,$B505)</f>
        <v>#VALUE!</v>
      </c>
      <c r="P505" s="17" t="e">
        <f>SUMIFS([1]ACSDT5Y2020.B08301_data_with_ov!AX$3:AX$1334,[1]ACSDT5Y2020.B08301_data_with_ov!$AS$3:$AS$1334,$B505)</f>
        <v>#VALUE!</v>
      </c>
      <c r="Q505" s="17" t="e">
        <f>SUMIFS([1]ACSDT5Y2020.B08301_data_with_ov!AY$3:AY$1334,[1]ACSDT5Y2020.B08301_data_with_ov!$AS$3:$AS$1334,$B505)</f>
        <v>#VALUE!</v>
      </c>
      <c r="R505" s="17" t="e">
        <f>SUMIFS([1]ACSDT5Y2020.B08301_data_with_ov!AZ$3:AZ$1334,[1]ACSDT5Y2020.B08301_data_with_ov!$AS$3:$AS$1334,$B505)</f>
        <v>#VALUE!</v>
      </c>
      <c r="S505" s="17" t="e">
        <f>SUMIFS([1]ACSDT5Y2020.B08301_data_with_ov!BA$3:BA$1334,[1]ACSDT5Y2020.B08301_data_with_ov!$AS$3:$AS$1334,$B505)</f>
        <v>#VALUE!</v>
      </c>
      <c r="T505" s="188">
        <v>0.12530180198084109</v>
      </c>
      <c r="U505" s="189" t="e">
        <f t="shared" si="31"/>
        <v>#VALUE!</v>
      </c>
      <c r="V505" s="188">
        <v>0.12530180198084109</v>
      </c>
      <c r="W505" s="189" t="e">
        <f t="shared" si="28"/>
        <v>#VALUE!</v>
      </c>
      <c r="X505" s="188">
        <v>0.12530180198084109</v>
      </c>
      <c r="Y505" s="189" t="e">
        <f t="shared" si="29"/>
        <v>#VALUE!</v>
      </c>
      <c r="Z505" s="188">
        <v>0.12530180198084109</v>
      </c>
      <c r="AA505" s="189" t="e">
        <f t="shared" si="30"/>
        <v>#VALUE!</v>
      </c>
    </row>
    <row r="506" spans="1:27" x14ac:dyDescent="0.25">
      <c r="A506">
        <v>51200</v>
      </c>
      <c r="B506">
        <v>17031051200</v>
      </c>
      <c r="C506">
        <v>17031</v>
      </c>
      <c r="D506">
        <v>2010</v>
      </c>
      <c r="E506">
        <v>5</v>
      </c>
      <c r="F506">
        <v>1771408.38707975</v>
      </c>
      <c r="G506" s="45">
        <v>6.3540532709185249E-2</v>
      </c>
      <c r="H506" s="60" t="str">
        <f>_xlfn.IFNA(
INDEX('Community Areas'!B$2:B$78,MATCH($E506,'Community Areas'!$A$2:$A$78,0)),
"")</f>
        <v>NORTH CENTER</v>
      </c>
      <c r="I506" s="63" t="str">
        <f>_xlfn.IFNA(
INDEX('Community Areas'!C$2:C$78,MATCH($E506,'Community Areas'!$A$2:$A$78,0)),
"")</f>
        <v>1-B</v>
      </c>
      <c r="J506" s="63">
        <f>_xlfn.IFNA(
INDEX('Community Areas'!D$2:D$78,MATCH($E506,'Community Areas'!$A$2:$A$78,0)),
"")</f>
        <v>1</v>
      </c>
      <c r="K506" s="60" t="str">
        <f>_xlfn.IFNA(
INDEX('Community Areas'!E$2:E$78,MATCH($E506,'Community Areas'!$A$2:$A$78,0)),
"")</f>
        <v>NORTH</v>
      </c>
      <c r="L506" s="17" t="e">
        <f>SUMIFS([1]ACSDT5Y2020.B08301_data_with_ov!AT$3:AT$1334,[1]ACSDT5Y2020.B08301_data_with_ov!$AS$3:$AS$1334,$B506)</f>
        <v>#VALUE!</v>
      </c>
      <c r="M506" s="17" t="e">
        <f>SUMIFS([1]ACSDT5Y2020.B08301_data_with_ov!AU$3:AU$1334,[1]ACSDT5Y2020.B08301_data_with_ov!$AS$3:$AS$1334,$B506)</f>
        <v>#VALUE!</v>
      </c>
      <c r="N506" s="17" t="e">
        <f>SUMIFS([1]ACSDT5Y2020.B08301_data_with_ov!AV$3:AV$1334,[1]ACSDT5Y2020.B08301_data_with_ov!$AS$3:$AS$1334,$B506)</f>
        <v>#VALUE!</v>
      </c>
      <c r="O506" s="17" t="e">
        <f>SUMIFS([1]ACSDT5Y2020.B08301_data_with_ov!AW$3:AW$1334,[1]ACSDT5Y2020.B08301_data_with_ov!$AS$3:$AS$1334,$B506)</f>
        <v>#VALUE!</v>
      </c>
      <c r="P506" s="17" t="e">
        <f>SUMIFS([1]ACSDT5Y2020.B08301_data_with_ov!AX$3:AX$1334,[1]ACSDT5Y2020.B08301_data_with_ov!$AS$3:$AS$1334,$B506)</f>
        <v>#VALUE!</v>
      </c>
      <c r="Q506" s="17" t="e">
        <f>SUMIFS([1]ACSDT5Y2020.B08301_data_with_ov!AY$3:AY$1334,[1]ACSDT5Y2020.B08301_data_with_ov!$AS$3:$AS$1334,$B506)</f>
        <v>#VALUE!</v>
      </c>
      <c r="R506" s="17" t="e">
        <f>SUMIFS([1]ACSDT5Y2020.B08301_data_with_ov!AZ$3:AZ$1334,[1]ACSDT5Y2020.B08301_data_with_ov!$AS$3:$AS$1334,$B506)</f>
        <v>#VALUE!</v>
      </c>
      <c r="S506" s="17" t="e">
        <f>SUMIFS([1]ACSDT5Y2020.B08301_data_with_ov!BA$3:BA$1334,[1]ACSDT5Y2020.B08301_data_with_ov!$AS$3:$AS$1334,$B506)</f>
        <v>#VALUE!</v>
      </c>
      <c r="T506" s="188">
        <v>6.3540532994502547E-2</v>
      </c>
      <c r="U506" s="189" t="e">
        <f t="shared" si="31"/>
        <v>#VALUE!</v>
      </c>
      <c r="V506" s="188">
        <v>6.3540532994502547E-2</v>
      </c>
      <c r="W506" s="189" t="e">
        <f t="shared" si="28"/>
        <v>#VALUE!</v>
      </c>
      <c r="X506" s="188">
        <v>6.3540532994502547E-2</v>
      </c>
      <c r="Y506" s="189" t="e">
        <f t="shared" si="29"/>
        <v>#VALUE!</v>
      </c>
      <c r="Z506" s="188">
        <v>6.3540532994502547E-2</v>
      </c>
      <c r="AA506" s="189" t="e">
        <f t="shared" si="30"/>
        <v>#VALUE!</v>
      </c>
    </row>
    <row r="507" spans="1:27" x14ac:dyDescent="0.25">
      <c r="A507">
        <v>500100</v>
      </c>
      <c r="B507">
        <v>17031500100</v>
      </c>
      <c r="C507">
        <v>17031</v>
      </c>
      <c r="D507">
        <v>2010</v>
      </c>
      <c r="E507">
        <v>50</v>
      </c>
      <c r="F507">
        <v>28817314.8125664</v>
      </c>
      <c r="G507" s="45">
        <v>1.0336789346794077</v>
      </c>
      <c r="H507" s="60" t="str">
        <f>_xlfn.IFNA(
INDEX('Community Areas'!B$2:B$78,MATCH($E507,'Community Areas'!$A$2:$A$78,0)),
"")</f>
        <v>PULLMAN</v>
      </c>
      <c r="I507" s="63" t="str">
        <f>_xlfn.IFNA(
INDEX('Community Areas'!C$2:C$78,MATCH($E507,'Community Areas'!$A$2:$A$78,0)),
"")</f>
        <v>5-B</v>
      </c>
      <c r="J507" s="63">
        <f>_xlfn.IFNA(
INDEX('Community Areas'!D$2:D$78,MATCH($E507,'Community Areas'!$A$2:$A$78,0)),
"")</f>
        <v>5</v>
      </c>
      <c r="K507" s="60" t="str">
        <f>_xlfn.IFNA(
INDEX('Community Areas'!E$2:E$78,MATCH($E507,'Community Areas'!$A$2:$A$78,0)),
"")</f>
        <v>FAR SOUTH</v>
      </c>
      <c r="L507" s="17" t="e">
        <f>SUMIFS([1]ACSDT5Y2020.B08301_data_with_ov!AT$3:AT$1334,[1]ACSDT5Y2020.B08301_data_with_ov!$AS$3:$AS$1334,$B507)</f>
        <v>#VALUE!</v>
      </c>
      <c r="M507" s="17" t="e">
        <f>SUMIFS([1]ACSDT5Y2020.B08301_data_with_ov!AU$3:AU$1334,[1]ACSDT5Y2020.B08301_data_with_ov!$AS$3:$AS$1334,$B507)</f>
        <v>#VALUE!</v>
      </c>
      <c r="N507" s="17" t="e">
        <f>SUMIFS([1]ACSDT5Y2020.B08301_data_with_ov!AV$3:AV$1334,[1]ACSDT5Y2020.B08301_data_with_ov!$AS$3:$AS$1334,$B507)</f>
        <v>#VALUE!</v>
      </c>
      <c r="O507" s="17" t="e">
        <f>SUMIFS([1]ACSDT5Y2020.B08301_data_with_ov!AW$3:AW$1334,[1]ACSDT5Y2020.B08301_data_with_ov!$AS$3:$AS$1334,$B507)</f>
        <v>#VALUE!</v>
      </c>
      <c r="P507" s="17" t="e">
        <f>SUMIFS([1]ACSDT5Y2020.B08301_data_with_ov!AX$3:AX$1334,[1]ACSDT5Y2020.B08301_data_with_ov!$AS$3:$AS$1334,$B507)</f>
        <v>#VALUE!</v>
      </c>
      <c r="Q507" s="17" t="e">
        <f>SUMIFS([1]ACSDT5Y2020.B08301_data_with_ov!AY$3:AY$1334,[1]ACSDT5Y2020.B08301_data_with_ov!$AS$3:$AS$1334,$B507)</f>
        <v>#VALUE!</v>
      </c>
      <c r="R507" s="17" t="e">
        <f>SUMIFS([1]ACSDT5Y2020.B08301_data_with_ov!AZ$3:AZ$1334,[1]ACSDT5Y2020.B08301_data_with_ov!$AS$3:$AS$1334,$B507)</f>
        <v>#VALUE!</v>
      </c>
      <c r="S507" s="17" t="e">
        <f>SUMIFS([1]ACSDT5Y2020.B08301_data_with_ov!BA$3:BA$1334,[1]ACSDT5Y2020.B08301_data_with_ov!$AS$3:$AS$1334,$B507)</f>
        <v>#VALUE!</v>
      </c>
      <c r="T507" s="188">
        <v>0.77042147001272665</v>
      </c>
      <c r="U507" s="189" t="e">
        <f t="shared" si="31"/>
        <v>#VALUE!</v>
      </c>
      <c r="V507" s="188">
        <v>0.77042147001272665</v>
      </c>
      <c r="W507" s="189" t="e">
        <f t="shared" si="28"/>
        <v>#VALUE!</v>
      </c>
      <c r="X507" s="188">
        <v>0.77042147001272665</v>
      </c>
      <c r="Y507" s="189" t="e">
        <f t="shared" si="29"/>
        <v>#VALUE!</v>
      </c>
      <c r="Z507" s="188">
        <v>0.77042147001272665</v>
      </c>
      <c r="AA507" s="189" t="e">
        <f t="shared" si="30"/>
        <v>#VALUE!</v>
      </c>
    </row>
    <row r="508" spans="1:27" x14ac:dyDescent="0.25">
      <c r="A508">
        <v>500300</v>
      </c>
      <c r="B508">
        <v>17031500300</v>
      </c>
      <c r="C508">
        <v>17031</v>
      </c>
      <c r="D508">
        <v>2010</v>
      </c>
      <c r="E508">
        <v>50</v>
      </c>
      <c r="F508">
        <v>7629956.5029773796</v>
      </c>
      <c r="G508" s="45">
        <v>0.27368703020895674</v>
      </c>
      <c r="H508" s="60" t="str">
        <f>_xlfn.IFNA(
INDEX('Community Areas'!B$2:B$78,MATCH($E508,'Community Areas'!$A$2:$A$78,0)),
"")</f>
        <v>PULLMAN</v>
      </c>
      <c r="I508" s="63" t="str">
        <f>_xlfn.IFNA(
INDEX('Community Areas'!C$2:C$78,MATCH($E508,'Community Areas'!$A$2:$A$78,0)),
"")</f>
        <v>5-B</v>
      </c>
      <c r="J508" s="63">
        <f>_xlfn.IFNA(
INDEX('Community Areas'!D$2:D$78,MATCH($E508,'Community Areas'!$A$2:$A$78,0)),
"")</f>
        <v>5</v>
      </c>
      <c r="K508" s="60" t="str">
        <f>_xlfn.IFNA(
INDEX('Community Areas'!E$2:E$78,MATCH($E508,'Community Areas'!$A$2:$A$78,0)),
"")</f>
        <v>FAR SOUTH</v>
      </c>
      <c r="L508" s="17" t="e">
        <f>SUMIFS([1]ACSDT5Y2020.B08301_data_with_ov!AT$3:AT$1334,[1]ACSDT5Y2020.B08301_data_with_ov!$AS$3:$AS$1334,$B508)</f>
        <v>#VALUE!</v>
      </c>
      <c r="M508" s="17" t="e">
        <f>SUMIFS([1]ACSDT5Y2020.B08301_data_with_ov!AU$3:AU$1334,[1]ACSDT5Y2020.B08301_data_with_ov!$AS$3:$AS$1334,$B508)</f>
        <v>#VALUE!</v>
      </c>
      <c r="N508" s="17" t="e">
        <f>SUMIFS([1]ACSDT5Y2020.B08301_data_with_ov!AV$3:AV$1334,[1]ACSDT5Y2020.B08301_data_with_ov!$AS$3:$AS$1334,$B508)</f>
        <v>#VALUE!</v>
      </c>
      <c r="O508" s="17" t="e">
        <f>SUMIFS([1]ACSDT5Y2020.B08301_data_with_ov!AW$3:AW$1334,[1]ACSDT5Y2020.B08301_data_with_ov!$AS$3:$AS$1334,$B508)</f>
        <v>#VALUE!</v>
      </c>
      <c r="P508" s="17" t="e">
        <f>SUMIFS([1]ACSDT5Y2020.B08301_data_with_ov!AX$3:AX$1334,[1]ACSDT5Y2020.B08301_data_with_ov!$AS$3:$AS$1334,$B508)</f>
        <v>#VALUE!</v>
      </c>
      <c r="Q508" s="17" t="e">
        <f>SUMIFS([1]ACSDT5Y2020.B08301_data_with_ov!AY$3:AY$1334,[1]ACSDT5Y2020.B08301_data_with_ov!$AS$3:$AS$1334,$B508)</f>
        <v>#VALUE!</v>
      </c>
      <c r="R508" s="17" t="e">
        <f>SUMIFS([1]ACSDT5Y2020.B08301_data_with_ov!AZ$3:AZ$1334,[1]ACSDT5Y2020.B08301_data_with_ov!$AS$3:$AS$1334,$B508)</f>
        <v>#VALUE!</v>
      </c>
      <c r="S508" s="17" t="e">
        <f>SUMIFS([1]ACSDT5Y2020.B08301_data_with_ov!BA$3:BA$1334,[1]ACSDT5Y2020.B08301_data_with_ov!$AS$3:$AS$1334,$B508)</f>
        <v>#VALUE!</v>
      </c>
      <c r="T508" s="188">
        <v>0.27368703245078696</v>
      </c>
      <c r="U508" s="189" t="e">
        <f t="shared" si="31"/>
        <v>#VALUE!</v>
      </c>
      <c r="V508" s="188">
        <v>0.27368703245078696</v>
      </c>
      <c r="W508" s="189" t="e">
        <f t="shared" si="28"/>
        <v>#VALUE!</v>
      </c>
      <c r="X508" s="188">
        <v>0.27368703245078696</v>
      </c>
      <c r="Y508" s="189" t="e">
        <f t="shared" si="29"/>
        <v>#VALUE!</v>
      </c>
      <c r="Z508" s="188">
        <v>0.27368703245078696</v>
      </c>
      <c r="AA508" s="189" t="e">
        <f t="shared" si="30"/>
        <v>#VALUE!</v>
      </c>
    </row>
    <row r="509" spans="1:27" x14ac:dyDescent="0.25">
      <c r="A509">
        <v>500200</v>
      </c>
      <c r="B509">
        <v>17031500200</v>
      </c>
      <c r="C509">
        <v>17031</v>
      </c>
      <c r="D509">
        <v>2010</v>
      </c>
      <c r="E509">
        <v>50</v>
      </c>
      <c r="F509">
        <v>22554284.286392801</v>
      </c>
      <c r="G509" s="45">
        <v>0.8090236271232496</v>
      </c>
      <c r="H509" s="60" t="str">
        <f>_xlfn.IFNA(
INDEX('Community Areas'!B$2:B$78,MATCH($E509,'Community Areas'!$A$2:$A$78,0)),
"")</f>
        <v>PULLMAN</v>
      </c>
      <c r="I509" s="63" t="str">
        <f>_xlfn.IFNA(
INDEX('Community Areas'!C$2:C$78,MATCH($E509,'Community Areas'!$A$2:$A$78,0)),
"")</f>
        <v>5-B</v>
      </c>
      <c r="J509" s="63">
        <f>_xlfn.IFNA(
INDEX('Community Areas'!D$2:D$78,MATCH($E509,'Community Areas'!$A$2:$A$78,0)),
"")</f>
        <v>5</v>
      </c>
      <c r="K509" s="60" t="str">
        <f>_xlfn.IFNA(
INDEX('Community Areas'!E$2:E$78,MATCH($E509,'Community Areas'!$A$2:$A$78,0)),
"")</f>
        <v>FAR SOUTH</v>
      </c>
      <c r="L509" s="17" t="e">
        <f>SUMIFS([1]ACSDT5Y2020.B08301_data_with_ov!AT$3:AT$1334,[1]ACSDT5Y2020.B08301_data_with_ov!$AS$3:$AS$1334,$B509)</f>
        <v>#VALUE!</v>
      </c>
      <c r="M509" s="17" t="e">
        <f>SUMIFS([1]ACSDT5Y2020.B08301_data_with_ov!AU$3:AU$1334,[1]ACSDT5Y2020.B08301_data_with_ov!$AS$3:$AS$1334,$B509)</f>
        <v>#VALUE!</v>
      </c>
      <c r="N509" s="17" t="e">
        <f>SUMIFS([1]ACSDT5Y2020.B08301_data_with_ov!AV$3:AV$1334,[1]ACSDT5Y2020.B08301_data_with_ov!$AS$3:$AS$1334,$B509)</f>
        <v>#VALUE!</v>
      </c>
      <c r="O509" s="17" t="e">
        <f>SUMIFS([1]ACSDT5Y2020.B08301_data_with_ov!AW$3:AW$1334,[1]ACSDT5Y2020.B08301_data_with_ov!$AS$3:$AS$1334,$B509)</f>
        <v>#VALUE!</v>
      </c>
      <c r="P509" s="17" t="e">
        <f>SUMIFS([1]ACSDT5Y2020.B08301_data_with_ov!AX$3:AX$1334,[1]ACSDT5Y2020.B08301_data_with_ov!$AS$3:$AS$1334,$B509)</f>
        <v>#VALUE!</v>
      </c>
      <c r="Q509" s="17" t="e">
        <f>SUMIFS([1]ACSDT5Y2020.B08301_data_with_ov!AY$3:AY$1334,[1]ACSDT5Y2020.B08301_data_with_ov!$AS$3:$AS$1334,$B509)</f>
        <v>#VALUE!</v>
      </c>
      <c r="R509" s="17" t="e">
        <f>SUMIFS([1]ACSDT5Y2020.B08301_data_with_ov!AZ$3:AZ$1334,[1]ACSDT5Y2020.B08301_data_with_ov!$AS$3:$AS$1334,$B509)</f>
        <v>#VALUE!</v>
      </c>
      <c r="S509" s="17" t="e">
        <f>SUMIFS([1]ACSDT5Y2020.B08301_data_with_ov!BA$3:BA$1334,[1]ACSDT5Y2020.B08301_data_with_ov!$AS$3:$AS$1334,$B509)</f>
        <v>#VALUE!</v>
      </c>
      <c r="T509" s="188">
        <v>0.80902363021336221</v>
      </c>
      <c r="U509" s="189" t="e">
        <f t="shared" si="31"/>
        <v>#VALUE!</v>
      </c>
      <c r="V509" s="188">
        <v>0.80902363021336221</v>
      </c>
      <c r="W509" s="189" t="e">
        <f t="shared" si="28"/>
        <v>#VALUE!</v>
      </c>
      <c r="X509" s="188">
        <v>0.80902363021336221</v>
      </c>
      <c r="Y509" s="189" t="e">
        <f t="shared" si="29"/>
        <v>#VALUE!</v>
      </c>
      <c r="Z509" s="188">
        <v>0.80902363021336221</v>
      </c>
      <c r="AA509" s="189" t="e">
        <f t="shared" si="30"/>
        <v>#VALUE!</v>
      </c>
    </row>
    <row r="510" spans="1:27" x14ac:dyDescent="0.25">
      <c r="A510">
        <v>510100</v>
      </c>
      <c r="B510">
        <v>17031510100</v>
      </c>
      <c r="C510">
        <v>17031</v>
      </c>
      <c r="D510">
        <v>2010</v>
      </c>
      <c r="E510">
        <v>51</v>
      </c>
      <c r="F510">
        <v>25199181.5393852</v>
      </c>
      <c r="G510" s="45">
        <v>0.90389626159984793</v>
      </c>
      <c r="H510" s="60" t="str">
        <f>_xlfn.IFNA(
INDEX('Community Areas'!B$2:B$78,MATCH($E510,'Community Areas'!$A$2:$A$78,0)),
"")</f>
        <v>SOUTH DEERING</v>
      </c>
      <c r="I510" s="63" t="str">
        <f>_xlfn.IFNA(
INDEX('Community Areas'!C$2:C$78,MATCH($E510,'Community Areas'!$A$2:$A$78,0)),
"")</f>
        <v>5-C</v>
      </c>
      <c r="J510" s="63">
        <f>_xlfn.IFNA(
INDEX('Community Areas'!D$2:D$78,MATCH($E510,'Community Areas'!$A$2:$A$78,0)),
"")</f>
        <v>5</v>
      </c>
      <c r="K510" s="60" t="str">
        <f>_xlfn.IFNA(
INDEX('Community Areas'!E$2:E$78,MATCH($E510,'Community Areas'!$A$2:$A$78,0)),
"")</f>
        <v>FAR SOUTH</v>
      </c>
      <c r="L510" s="17" t="e">
        <f>SUMIFS([1]ACSDT5Y2020.B08301_data_with_ov!AT$3:AT$1334,[1]ACSDT5Y2020.B08301_data_with_ov!$AS$3:$AS$1334,$B510)</f>
        <v>#VALUE!</v>
      </c>
      <c r="M510" s="17" t="e">
        <f>SUMIFS([1]ACSDT5Y2020.B08301_data_with_ov!AU$3:AU$1334,[1]ACSDT5Y2020.B08301_data_with_ov!$AS$3:$AS$1334,$B510)</f>
        <v>#VALUE!</v>
      </c>
      <c r="N510" s="17" t="e">
        <f>SUMIFS([1]ACSDT5Y2020.B08301_data_with_ov!AV$3:AV$1334,[1]ACSDT5Y2020.B08301_data_with_ov!$AS$3:$AS$1334,$B510)</f>
        <v>#VALUE!</v>
      </c>
      <c r="O510" s="17" t="e">
        <f>SUMIFS([1]ACSDT5Y2020.B08301_data_with_ov!AW$3:AW$1334,[1]ACSDT5Y2020.B08301_data_with_ov!$AS$3:$AS$1334,$B510)</f>
        <v>#VALUE!</v>
      </c>
      <c r="P510" s="17" t="e">
        <f>SUMIFS([1]ACSDT5Y2020.B08301_data_with_ov!AX$3:AX$1334,[1]ACSDT5Y2020.B08301_data_with_ov!$AS$3:$AS$1334,$B510)</f>
        <v>#VALUE!</v>
      </c>
      <c r="Q510" s="17" t="e">
        <f>SUMIFS([1]ACSDT5Y2020.B08301_data_with_ov!AY$3:AY$1334,[1]ACSDT5Y2020.B08301_data_with_ov!$AS$3:$AS$1334,$B510)</f>
        <v>#VALUE!</v>
      </c>
      <c r="R510" s="17" t="e">
        <f>SUMIFS([1]ACSDT5Y2020.B08301_data_with_ov!AZ$3:AZ$1334,[1]ACSDT5Y2020.B08301_data_with_ov!$AS$3:$AS$1334,$B510)</f>
        <v>#VALUE!</v>
      </c>
      <c r="S510" s="17" t="e">
        <f>SUMIFS([1]ACSDT5Y2020.B08301_data_with_ov!BA$3:BA$1334,[1]ACSDT5Y2020.B08301_data_with_ov!$AS$3:$AS$1334,$B510)</f>
        <v>#VALUE!</v>
      </c>
      <c r="T510" s="188">
        <v>0.75295345082439813</v>
      </c>
      <c r="U510" s="189" t="e">
        <f t="shared" si="31"/>
        <v>#VALUE!</v>
      </c>
      <c r="V510" s="188">
        <v>0.75295345082439813</v>
      </c>
      <c r="W510" s="189" t="e">
        <f t="shared" si="28"/>
        <v>#VALUE!</v>
      </c>
      <c r="X510" s="188">
        <v>0.75295345082439813</v>
      </c>
      <c r="Y510" s="189" t="e">
        <f t="shared" si="29"/>
        <v>#VALUE!</v>
      </c>
      <c r="Z510" s="188">
        <v>0.75295345082439813</v>
      </c>
      <c r="AA510" s="189" t="e">
        <f t="shared" si="30"/>
        <v>#VALUE!</v>
      </c>
    </row>
    <row r="511" spans="1:27" x14ac:dyDescent="0.25">
      <c r="A511">
        <v>510300</v>
      </c>
      <c r="B511">
        <v>17031510300</v>
      </c>
      <c r="C511">
        <v>17031</v>
      </c>
      <c r="D511">
        <v>2010</v>
      </c>
      <c r="E511">
        <v>51</v>
      </c>
      <c r="F511">
        <v>31583913.7684162</v>
      </c>
      <c r="G511" s="45">
        <v>1.1329170170603837</v>
      </c>
      <c r="H511" s="60" t="str">
        <f>_xlfn.IFNA(
INDEX('Community Areas'!B$2:B$78,MATCH($E511,'Community Areas'!$A$2:$A$78,0)),
"")</f>
        <v>SOUTH DEERING</v>
      </c>
      <c r="I511" s="63" t="str">
        <f>_xlfn.IFNA(
INDEX('Community Areas'!C$2:C$78,MATCH($E511,'Community Areas'!$A$2:$A$78,0)),
"")</f>
        <v>5-C</v>
      </c>
      <c r="J511" s="63">
        <f>_xlfn.IFNA(
INDEX('Community Areas'!D$2:D$78,MATCH($E511,'Community Areas'!$A$2:$A$78,0)),
"")</f>
        <v>5</v>
      </c>
      <c r="K511" s="60" t="str">
        <f>_xlfn.IFNA(
INDEX('Community Areas'!E$2:E$78,MATCH($E511,'Community Areas'!$A$2:$A$78,0)),
"")</f>
        <v>FAR SOUTH</v>
      </c>
      <c r="L511" s="17" t="e">
        <f>SUMIFS([1]ACSDT5Y2020.B08301_data_with_ov!AT$3:AT$1334,[1]ACSDT5Y2020.B08301_data_with_ov!$AS$3:$AS$1334,$B511)</f>
        <v>#VALUE!</v>
      </c>
      <c r="M511" s="17" t="e">
        <f>SUMIFS([1]ACSDT5Y2020.B08301_data_with_ov!AU$3:AU$1334,[1]ACSDT5Y2020.B08301_data_with_ov!$AS$3:$AS$1334,$B511)</f>
        <v>#VALUE!</v>
      </c>
      <c r="N511" s="17" t="e">
        <f>SUMIFS([1]ACSDT5Y2020.B08301_data_with_ov!AV$3:AV$1334,[1]ACSDT5Y2020.B08301_data_with_ov!$AS$3:$AS$1334,$B511)</f>
        <v>#VALUE!</v>
      </c>
      <c r="O511" s="17" t="e">
        <f>SUMIFS([1]ACSDT5Y2020.B08301_data_with_ov!AW$3:AW$1334,[1]ACSDT5Y2020.B08301_data_with_ov!$AS$3:$AS$1334,$B511)</f>
        <v>#VALUE!</v>
      </c>
      <c r="P511" s="17" t="e">
        <f>SUMIFS([1]ACSDT5Y2020.B08301_data_with_ov!AX$3:AX$1334,[1]ACSDT5Y2020.B08301_data_with_ov!$AS$3:$AS$1334,$B511)</f>
        <v>#VALUE!</v>
      </c>
      <c r="Q511" s="17" t="e">
        <f>SUMIFS([1]ACSDT5Y2020.B08301_data_with_ov!AY$3:AY$1334,[1]ACSDT5Y2020.B08301_data_with_ov!$AS$3:$AS$1334,$B511)</f>
        <v>#VALUE!</v>
      </c>
      <c r="R511" s="17" t="e">
        <f>SUMIFS([1]ACSDT5Y2020.B08301_data_with_ov!AZ$3:AZ$1334,[1]ACSDT5Y2020.B08301_data_with_ov!$AS$3:$AS$1334,$B511)</f>
        <v>#VALUE!</v>
      </c>
      <c r="S511" s="17" t="e">
        <f>SUMIFS([1]ACSDT5Y2020.B08301_data_with_ov!BA$3:BA$1334,[1]ACSDT5Y2020.B08301_data_with_ov!$AS$3:$AS$1334,$B511)</f>
        <v>#VALUE!</v>
      </c>
      <c r="T511" s="188">
        <v>0.33180792160485356</v>
      </c>
      <c r="U511" s="189" t="e">
        <f t="shared" si="31"/>
        <v>#VALUE!</v>
      </c>
      <c r="V511" s="188">
        <v>0.33180792160485356</v>
      </c>
      <c r="W511" s="189" t="e">
        <f t="shared" si="28"/>
        <v>#VALUE!</v>
      </c>
      <c r="X511" s="188">
        <v>0.33180792160485356</v>
      </c>
      <c r="Y511" s="189" t="e">
        <f t="shared" si="29"/>
        <v>#VALUE!</v>
      </c>
      <c r="Z511" s="188">
        <v>0.33180792160485356</v>
      </c>
      <c r="AA511" s="189" t="e">
        <f t="shared" si="30"/>
        <v>#VALUE!</v>
      </c>
    </row>
    <row r="512" spans="1:27" x14ac:dyDescent="0.25">
      <c r="A512">
        <v>838800</v>
      </c>
      <c r="B512">
        <v>17031838800</v>
      </c>
      <c r="C512">
        <v>17031</v>
      </c>
      <c r="D512">
        <v>2010</v>
      </c>
      <c r="E512">
        <v>51</v>
      </c>
      <c r="F512">
        <v>233279575.35760999</v>
      </c>
      <c r="G512" s="45">
        <v>8.3677533630914969</v>
      </c>
      <c r="H512" s="60" t="str">
        <f>_xlfn.IFNA(
INDEX('Community Areas'!B$2:B$78,MATCH($E512,'Community Areas'!$A$2:$A$78,0)),
"")</f>
        <v>SOUTH DEERING</v>
      </c>
      <c r="I512" s="63" t="str">
        <f>_xlfn.IFNA(
INDEX('Community Areas'!C$2:C$78,MATCH($E512,'Community Areas'!$A$2:$A$78,0)),
"")</f>
        <v>5-C</v>
      </c>
      <c r="J512" s="63">
        <f>_xlfn.IFNA(
INDEX('Community Areas'!D$2:D$78,MATCH($E512,'Community Areas'!$A$2:$A$78,0)),
"")</f>
        <v>5</v>
      </c>
      <c r="K512" s="60" t="str">
        <f>_xlfn.IFNA(
INDEX('Community Areas'!E$2:E$78,MATCH($E512,'Community Areas'!$A$2:$A$78,0)),
"")</f>
        <v>FAR SOUTH</v>
      </c>
      <c r="L512" s="17" t="e">
        <f>SUMIFS([1]ACSDT5Y2020.B08301_data_with_ov!AT$3:AT$1334,[1]ACSDT5Y2020.B08301_data_with_ov!$AS$3:$AS$1334,$B512)</f>
        <v>#VALUE!</v>
      </c>
      <c r="M512" s="17" t="e">
        <f>SUMIFS([1]ACSDT5Y2020.B08301_data_with_ov!AU$3:AU$1334,[1]ACSDT5Y2020.B08301_data_with_ov!$AS$3:$AS$1334,$B512)</f>
        <v>#VALUE!</v>
      </c>
      <c r="N512" s="17" t="e">
        <f>SUMIFS([1]ACSDT5Y2020.B08301_data_with_ov!AV$3:AV$1334,[1]ACSDT5Y2020.B08301_data_with_ov!$AS$3:$AS$1334,$B512)</f>
        <v>#VALUE!</v>
      </c>
      <c r="O512" s="17" t="e">
        <f>SUMIFS([1]ACSDT5Y2020.B08301_data_with_ov!AW$3:AW$1334,[1]ACSDT5Y2020.B08301_data_with_ov!$AS$3:$AS$1334,$B512)</f>
        <v>#VALUE!</v>
      </c>
      <c r="P512" s="17" t="e">
        <f>SUMIFS([1]ACSDT5Y2020.B08301_data_with_ov!AX$3:AX$1334,[1]ACSDT5Y2020.B08301_data_with_ov!$AS$3:$AS$1334,$B512)</f>
        <v>#VALUE!</v>
      </c>
      <c r="Q512" s="17" t="e">
        <f>SUMIFS([1]ACSDT5Y2020.B08301_data_with_ov!AY$3:AY$1334,[1]ACSDT5Y2020.B08301_data_with_ov!$AS$3:$AS$1334,$B512)</f>
        <v>#VALUE!</v>
      </c>
      <c r="R512" s="17" t="e">
        <f>SUMIFS([1]ACSDT5Y2020.B08301_data_with_ov!AZ$3:AZ$1334,[1]ACSDT5Y2020.B08301_data_with_ov!$AS$3:$AS$1334,$B512)</f>
        <v>#VALUE!</v>
      </c>
      <c r="S512" s="17" t="e">
        <f>SUMIFS([1]ACSDT5Y2020.B08301_data_with_ov!BA$3:BA$1334,[1]ACSDT5Y2020.B08301_data_with_ov!$AS$3:$AS$1334,$B512)</f>
        <v>#VALUE!</v>
      </c>
      <c r="T512" s="188">
        <v>4.1481907146076171</v>
      </c>
      <c r="U512" s="189" t="e">
        <f t="shared" si="31"/>
        <v>#VALUE!</v>
      </c>
      <c r="V512" s="188">
        <v>4.1481907060299372</v>
      </c>
      <c r="W512" s="189" t="e">
        <f t="shared" si="28"/>
        <v>#VALUE!</v>
      </c>
      <c r="X512" s="188">
        <v>4.1481907060299372</v>
      </c>
      <c r="Y512" s="189" t="e">
        <f t="shared" si="29"/>
        <v>#VALUE!</v>
      </c>
      <c r="Z512" s="188">
        <v>4.1481907060299372</v>
      </c>
      <c r="AA512" s="189" t="e">
        <f t="shared" si="30"/>
        <v>#VALUE!</v>
      </c>
    </row>
    <row r="513" spans="1:27" x14ac:dyDescent="0.25">
      <c r="A513">
        <v>510200</v>
      </c>
      <c r="B513">
        <v>17031510200</v>
      </c>
      <c r="C513">
        <v>17031</v>
      </c>
      <c r="D513">
        <v>2010</v>
      </c>
      <c r="E513">
        <v>51</v>
      </c>
      <c r="F513">
        <v>13734388.9935674</v>
      </c>
      <c r="G513" s="45">
        <v>0.49265341603418417</v>
      </c>
      <c r="H513" s="60" t="str">
        <f>_xlfn.IFNA(
INDEX('Community Areas'!B$2:B$78,MATCH($E513,'Community Areas'!$A$2:$A$78,0)),
"")</f>
        <v>SOUTH DEERING</v>
      </c>
      <c r="I513" s="63" t="str">
        <f>_xlfn.IFNA(
INDEX('Community Areas'!C$2:C$78,MATCH($E513,'Community Areas'!$A$2:$A$78,0)),
"")</f>
        <v>5-C</v>
      </c>
      <c r="J513" s="63">
        <f>_xlfn.IFNA(
INDEX('Community Areas'!D$2:D$78,MATCH($E513,'Community Areas'!$A$2:$A$78,0)),
"")</f>
        <v>5</v>
      </c>
      <c r="K513" s="60" t="str">
        <f>_xlfn.IFNA(
INDEX('Community Areas'!E$2:E$78,MATCH($E513,'Community Areas'!$A$2:$A$78,0)),
"")</f>
        <v>FAR SOUTH</v>
      </c>
      <c r="L513" s="17" t="e">
        <f>SUMIFS([1]ACSDT5Y2020.B08301_data_with_ov!AT$3:AT$1334,[1]ACSDT5Y2020.B08301_data_with_ov!$AS$3:$AS$1334,$B513)</f>
        <v>#VALUE!</v>
      </c>
      <c r="M513" s="17" t="e">
        <f>SUMIFS([1]ACSDT5Y2020.B08301_data_with_ov!AU$3:AU$1334,[1]ACSDT5Y2020.B08301_data_with_ov!$AS$3:$AS$1334,$B513)</f>
        <v>#VALUE!</v>
      </c>
      <c r="N513" s="17" t="e">
        <f>SUMIFS([1]ACSDT5Y2020.B08301_data_with_ov!AV$3:AV$1334,[1]ACSDT5Y2020.B08301_data_with_ov!$AS$3:$AS$1334,$B513)</f>
        <v>#VALUE!</v>
      </c>
      <c r="O513" s="17" t="e">
        <f>SUMIFS([1]ACSDT5Y2020.B08301_data_with_ov!AW$3:AW$1334,[1]ACSDT5Y2020.B08301_data_with_ov!$AS$3:$AS$1334,$B513)</f>
        <v>#VALUE!</v>
      </c>
      <c r="P513" s="17" t="e">
        <f>SUMIFS([1]ACSDT5Y2020.B08301_data_with_ov!AX$3:AX$1334,[1]ACSDT5Y2020.B08301_data_with_ov!$AS$3:$AS$1334,$B513)</f>
        <v>#VALUE!</v>
      </c>
      <c r="Q513" s="17" t="e">
        <f>SUMIFS([1]ACSDT5Y2020.B08301_data_with_ov!AY$3:AY$1334,[1]ACSDT5Y2020.B08301_data_with_ov!$AS$3:$AS$1334,$B513)</f>
        <v>#VALUE!</v>
      </c>
      <c r="R513" s="17" t="e">
        <f>SUMIFS([1]ACSDT5Y2020.B08301_data_with_ov!AZ$3:AZ$1334,[1]ACSDT5Y2020.B08301_data_with_ov!$AS$3:$AS$1334,$B513)</f>
        <v>#VALUE!</v>
      </c>
      <c r="S513" s="17" t="e">
        <f>SUMIFS([1]ACSDT5Y2020.B08301_data_with_ov!BA$3:BA$1334,[1]ACSDT5Y2020.B08301_data_with_ov!$AS$3:$AS$1334,$B513)</f>
        <v>#VALUE!</v>
      </c>
      <c r="T513" s="188">
        <v>0.42318964492733085</v>
      </c>
      <c r="U513" s="189" t="e">
        <f t="shared" si="31"/>
        <v>#VALUE!</v>
      </c>
      <c r="V513" s="188">
        <v>0.42318964492733085</v>
      </c>
      <c r="W513" s="189" t="e">
        <f t="shared" si="28"/>
        <v>#VALUE!</v>
      </c>
      <c r="X513" s="188">
        <v>0.42318964492733085</v>
      </c>
      <c r="Y513" s="189" t="e">
        <f t="shared" si="29"/>
        <v>#VALUE!</v>
      </c>
      <c r="Z513" s="188">
        <v>0.42318964492733085</v>
      </c>
      <c r="AA513" s="189" t="e">
        <f t="shared" si="30"/>
        <v>#VALUE!</v>
      </c>
    </row>
    <row r="514" spans="1:27" x14ac:dyDescent="0.25">
      <c r="A514">
        <v>520300</v>
      </c>
      <c r="B514">
        <v>17031520300</v>
      </c>
      <c r="C514">
        <v>17031</v>
      </c>
      <c r="D514">
        <v>2010</v>
      </c>
      <c r="E514">
        <v>52</v>
      </c>
      <c r="F514">
        <v>10309910.297691301</v>
      </c>
      <c r="G514" s="45">
        <v>0.36981714509051095</v>
      </c>
      <c r="H514" s="60" t="str">
        <f>_xlfn.IFNA(
INDEX('Community Areas'!B$2:B$78,MATCH($E514,'Community Areas'!$A$2:$A$78,0)),
"")</f>
        <v>EAST SIDE</v>
      </c>
      <c r="I514" s="63" t="str">
        <f>_xlfn.IFNA(
INDEX('Community Areas'!C$2:C$78,MATCH($E514,'Community Areas'!$A$2:$A$78,0)),
"")</f>
        <v>5-C</v>
      </c>
      <c r="J514" s="63">
        <f>_xlfn.IFNA(
INDEX('Community Areas'!D$2:D$78,MATCH($E514,'Community Areas'!$A$2:$A$78,0)),
"")</f>
        <v>5</v>
      </c>
      <c r="K514" s="60" t="str">
        <f>_xlfn.IFNA(
INDEX('Community Areas'!E$2:E$78,MATCH($E514,'Community Areas'!$A$2:$A$78,0)),
"")</f>
        <v>FAR SOUTH</v>
      </c>
      <c r="L514" s="17" t="e">
        <f>SUMIFS([1]ACSDT5Y2020.B08301_data_with_ov!AT$3:AT$1334,[1]ACSDT5Y2020.B08301_data_with_ov!$AS$3:$AS$1334,$B514)</f>
        <v>#VALUE!</v>
      </c>
      <c r="M514" s="17" t="e">
        <f>SUMIFS([1]ACSDT5Y2020.B08301_data_with_ov!AU$3:AU$1334,[1]ACSDT5Y2020.B08301_data_with_ov!$AS$3:$AS$1334,$B514)</f>
        <v>#VALUE!</v>
      </c>
      <c r="N514" s="17" t="e">
        <f>SUMIFS([1]ACSDT5Y2020.B08301_data_with_ov!AV$3:AV$1334,[1]ACSDT5Y2020.B08301_data_with_ov!$AS$3:$AS$1334,$B514)</f>
        <v>#VALUE!</v>
      </c>
      <c r="O514" s="17" t="e">
        <f>SUMIFS([1]ACSDT5Y2020.B08301_data_with_ov!AW$3:AW$1334,[1]ACSDT5Y2020.B08301_data_with_ov!$AS$3:$AS$1334,$B514)</f>
        <v>#VALUE!</v>
      </c>
      <c r="P514" s="17" t="e">
        <f>SUMIFS([1]ACSDT5Y2020.B08301_data_with_ov!AX$3:AX$1334,[1]ACSDT5Y2020.B08301_data_with_ov!$AS$3:$AS$1334,$B514)</f>
        <v>#VALUE!</v>
      </c>
      <c r="Q514" s="17" t="e">
        <f>SUMIFS([1]ACSDT5Y2020.B08301_data_with_ov!AY$3:AY$1334,[1]ACSDT5Y2020.B08301_data_with_ov!$AS$3:$AS$1334,$B514)</f>
        <v>#VALUE!</v>
      </c>
      <c r="R514" s="17" t="e">
        <f>SUMIFS([1]ACSDT5Y2020.B08301_data_with_ov!AZ$3:AZ$1334,[1]ACSDT5Y2020.B08301_data_with_ov!$AS$3:$AS$1334,$B514)</f>
        <v>#VALUE!</v>
      </c>
      <c r="S514" s="17" t="e">
        <f>SUMIFS([1]ACSDT5Y2020.B08301_data_with_ov!BA$3:BA$1334,[1]ACSDT5Y2020.B08301_data_with_ov!$AS$3:$AS$1334,$B514)</f>
        <v>#VALUE!</v>
      </c>
      <c r="T514" s="188">
        <v>0.16800207110444645</v>
      </c>
      <c r="U514" s="189" t="e">
        <f t="shared" si="31"/>
        <v>#VALUE!</v>
      </c>
      <c r="V514" s="188">
        <v>0.16800207110444645</v>
      </c>
      <c r="W514" s="189" t="e">
        <f t="shared" si="28"/>
        <v>#VALUE!</v>
      </c>
      <c r="X514" s="188">
        <v>0.16800207110444645</v>
      </c>
      <c r="Y514" s="189" t="e">
        <f t="shared" si="29"/>
        <v>#VALUE!</v>
      </c>
      <c r="Z514" s="188">
        <v>0.16800207110444645</v>
      </c>
      <c r="AA514" s="189" t="e">
        <f t="shared" si="30"/>
        <v>#VALUE!</v>
      </c>
    </row>
    <row r="515" spans="1:27" x14ac:dyDescent="0.25">
      <c r="A515">
        <v>520400</v>
      </c>
      <c r="B515">
        <v>17031520400</v>
      </c>
      <c r="C515">
        <v>17031</v>
      </c>
      <c r="D515">
        <v>2010</v>
      </c>
      <c r="E515">
        <v>52</v>
      </c>
      <c r="F515">
        <v>7790598.7061173897</v>
      </c>
      <c r="G515" s="45">
        <v>0.27944927636153399</v>
      </c>
      <c r="H515" s="60" t="str">
        <f>_xlfn.IFNA(
INDEX('Community Areas'!B$2:B$78,MATCH($E515,'Community Areas'!$A$2:$A$78,0)),
"")</f>
        <v>EAST SIDE</v>
      </c>
      <c r="I515" s="63" t="str">
        <f>_xlfn.IFNA(
INDEX('Community Areas'!C$2:C$78,MATCH($E515,'Community Areas'!$A$2:$A$78,0)),
"")</f>
        <v>5-C</v>
      </c>
      <c r="J515" s="63">
        <f>_xlfn.IFNA(
INDEX('Community Areas'!D$2:D$78,MATCH($E515,'Community Areas'!$A$2:$A$78,0)),
"")</f>
        <v>5</v>
      </c>
      <c r="K515" s="60" t="str">
        <f>_xlfn.IFNA(
INDEX('Community Areas'!E$2:E$78,MATCH($E515,'Community Areas'!$A$2:$A$78,0)),
"")</f>
        <v>FAR SOUTH</v>
      </c>
      <c r="L515" s="17" t="e">
        <f>SUMIFS([1]ACSDT5Y2020.B08301_data_with_ov!AT$3:AT$1334,[1]ACSDT5Y2020.B08301_data_with_ov!$AS$3:$AS$1334,$B515)</f>
        <v>#VALUE!</v>
      </c>
      <c r="M515" s="17" t="e">
        <f>SUMIFS([1]ACSDT5Y2020.B08301_data_with_ov!AU$3:AU$1334,[1]ACSDT5Y2020.B08301_data_with_ov!$AS$3:$AS$1334,$B515)</f>
        <v>#VALUE!</v>
      </c>
      <c r="N515" s="17" t="e">
        <f>SUMIFS([1]ACSDT5Y2020.B08301_data_with_ov!AV$3:AV$1334,[1]ACSDT5Y2020.B08301_data_with_ov!$AS$3:$AS$1334,$B515)</f>
        <v>#VALUE!</v>
      </c>
      <c r="O515" s="17" t="e">
        <f>SUMIFS([1]ACSDT5Y2020.B08301_data_with_ov!AW$3:AW$1334,[1]ACSDT5Y2020.B08301_data_with_ov!$AS$3:$AS$1334,$B515)</f>
        <v>#VALUE!</v>
      </c>
      <c r="P515" s="17" t="e">
        <f>SUMIFS([1]ACSDT5Y2020.B08301_data_with_ov!AX$3:AX$1334,[1]ACSDT5Y2020.B08301_data_with_ov!$AS$3:$AS$1334,$B515)</f>
        <v>#VALUE!</v>
      </c>
      <c r="Q515" s="17" t="e">
        <f>SUMIFS([1]ACSDT5Y2020.B08301_data_with_ov!AY$3:AY$1334,[1]ACSDT5Y2020.B08301_data_with_ov!$AS$3:$AS$1334,$B515)</f>
        <v>#VALUE!</v>
      </c>
      <c r="R515" s="17" t="e">
        <f>SUMIFS([1]ACSDT5Y2020.B08301_data_with_ov!AZ$3:AZ$1334,[1]ACSDT5Y2020.B08301_data_with_ov!$AS$3:$AS$1334,$B515)</f>
        <v>#VALUE!</v>
      </c>
      <c r="S515" s="17" t="e">
        <f>SUMIFS([1]ACSDT5Y2020.B08301_data_with_ov!BA$3:BA$1334,[1]ACSDT5Y2020.B08301_data_with_ov!$AS$3:$AS$1334,$B515)</f>
        <v>#VALUE!</v>
      </c>
      <c r="T515" s="188">
        <v>0.27944927406852293</v>
      </c>
      <c r="U515" s="189" t="e">
        <f t="shared" si="31"/>
        <v>#VALUE!</v>
      </c>
      <c r="V515" s="188">
        <v>0.27944927406852293</v>
      </c>
      <c r="W515" s="189" t="e">
        <f t="shared" si="28"/>
        <v>#VALUE!</v>
      </c>
      <c r="X515" s="188">
        <v>0.27944927406852293</v>
      </c>
      <c r="Y515" s="189" t="e">
        <f t="shared" si="29"/>
        <v>#VALUE!</v>
      </c>
      <c r="Z515" s="188">
        <v>0.27944927406852293</v>
      </c>
      <c r="AA515" s="189" t="e">
        <f t="shared" si="30"/>
        <v>#VALUE!</v>
      </c>
    </row>
    <row r="516" spans="1:27" x14ac:dyDescent="0.25">
      <c r="A516">
        <v>520600</v>
      </c>
      <c r="B516">
        <v>17031520600</v>
      </c>
      <c r="C516">
        <v>17031</v>
      </c>
      <c r="D516">
        <v>2010</v>
      </c>
      <c r="E516">
        <v>52</v>
      </c>
      <c r="F516">
        <v>11662624.854294499</v>
      </c>
      <c r="G516" s="45">
        <v>0.41833910318721662</v>
      </c>
      <c r="H516" s="60" t="str">
        <f>_xlfn.IFNA(
INDEX('Community Areas'!B$2:B$78,MATCH($E516,'Community Areas'!$A$2:$A$78,0)),
"")</f>
        <v>EAST SIDE</v>
      </c>
      <c r="I516" s="63" t="str">
        <f>_xlfn.IFNA(
INDEX('Community Areas'!C$2:C$78,MATCH($E516,'Community Areas'!$A$2:$A$78,0)),
"")</f>
        <v>5-C</v>
      </c>
      <c r="J516" s="63">
        <f>_xlfn.IFNA(
INDEX('Community Areas'!D$2:D$78,MATCH($E516,'Community Areas'!$A$2:$A$78,0)),
"")</f>
        <v>5</v>
      </c>
      <c r="K516" s="60" t="str">
        <f>_xlfn.IFNA(
INDEX('Community Areas'!E$2:E$78,MATCH($E516,'Community Areas'!$A$2:$A$78,0)),
"")</f>
        <v>FAR SOUTH</v>
      </c>
      <c r="L516" s="17" t="e">
        <f>SUMIFS([1]ACSDT5Y2020.B08301_data_with_ov!AT$3:AT$1334,[1]ACSDT5Y2020.B08301_data_with_ov!$AS$3:$AS$1334,$B516)</f>
        <v>#VALUE!</v>
      </c>
      <c r="M516" s="17" t="e">
        <f>SUMIFS([1]ACSDT5Y2020.B08301_data_with_ov!AU$3:AU$1334,[1]ACSDT5Y2020.B08301_data_with_ov!$AS$3:$AS$1334,$B516)</f>
        <v>#VALUE!</v>
      </c>
      <c r="N516" s="17" t="e">
        <f>SUMIFS([1]ACSDT5Y2020.B08301_data_with_ov!AV$3:AV$1334,[1]ACSDT5Y2020.B08301_data_with_ov!$AS$3:$AS$1334,$B516)</f>
        <v>#VALUE!</v>
      </c>
      <c r="O516" s="17" t="e">
        <f>SUMIFS([1]ACSDT5Y2020.B08301_data_with_ov!AW$3:AW$1334,[1]ACSDT5Y2020.B08301_data_with_ov!$AS$3:$AS$1334,$B516)</f>
        <v>#VALUE!</v>
      </c>
      <c r="P516" s="17" t="e">
        <f>SUMIFS([1]ACSDT5Y2020.B08301_data_with_ov!AX$3:AX$1334,[1]ACSDT5Y2020.B08301_data_with_ov!$AS$3:$AS$1334,$B516)</f>
        <v>#VALUE!</v>
      </c>
      <c r="Q516" s="17" t="e">
        <f>SUMIFS([1]ACSDT5Y2020.B08301_data_with_ov!AY$3:AY$1334,[1]ACSDT5Y2020.B08301_data_with_ov!$AS$3:$AS$1334,$B516)</f>
        <v>#VALUE!</v>
      </c>
      <c r="R516" s="17" t="e">
        <f>SUMIFS([1]ACSDT5Y2020.B08301_data_with_ov!AZ$3:AZ$1334,[1]ACSDT5Y2020.B08301_data_with_ov!$AS$3:$AS$1334,$B516)</f>
        <v>#VALUE!</v>
      </c>
      <c r="S516" s="17" t="e">
        <f>SUMIFS([1]ACSDT5Y2020.B08301_data_with_ov!BA$3:BA$1334,[1]ACSDT5Y2020.B08301_data_with_ov!$AS$3:$AS$1334,$B516)</f>
        <v>#VALUE!</v>
      </c>
      <c r="T516" s="188">
        <v>0.19029043224952721</v>
      </c>
      <c r="U516" s="189" t="e">
        <f t="shared" si="31"/>
        <v>#VALUE!</v>
      </c>
      <c r="V516" s="188">
        <v>0.19029043224952721</v>
      </c>
      <c r="W516" s="189" t="e">
        <f t="shared" si="28"/>
        <v>#VALUE!</v>
      </c>
      <c r="X516" s="188">
        <v>0.19029043224952721</v>
      </c>
      <c r="Y516" s="189" t="e">
        <f t="shared" si="29"/>
        <v>#VALUE!</v>
      </c>
      <c r="Z516" s="188">
        <v>0.19029043224952721</v>
      </c>
      <c r="AA516" s="189" t="e">
        <f t="shared" si="30"/>
        <v>#VALUE!</v>
      </c>
    </row>
    <row r="517" spans="1:27" x14ac:dyDescent="0.25">
      <c r="A517">
        <v>520200</v>
      </c>
      <c r="B517">
        <v>17031520200</v>
      </c>
      <c r="C517">
        <v>17031</v>
      </c>
      <c r="D517">
        <v>2010</v>
      </c>
      <c r="E517">
        <v>52</v>
      </c>
      <c r="F517">
        <v>13418309.3702932</v>
      </c>
      <c r="G517" s="45">
        <v>0.48131561963000746</v>
      </c>
      <c r="H517" s="60" t="str">
        <f>_xlfn.IFNA(
INDEX('Community Areas'!B$2:B$78,MATCH($E517,'Community Areas'!$A$2:$A$78,0)),
"")</f>
        <v>EAST SIDE</v>
      </c>
      <c r="I517" s="63" t="str">
        <f>_xlfn.IFNA(
INDEX('Community Areas'!C$2:C$78,MATCH($E517,'Community Areas'!$A$2:$A$78,0)),
"")</f>
        <v>5-C</v>
      </c>
      <c r="J517" s="63">
        <f>_xlfn.IFNA(
INDEX('Community Areas'!D$2:D$78,MATCH($E517,'Community Areas'!$A$2:$A$78,0)),
"")</f>
        <v>5</v>
      </c>
      <c r="K517" s="60" t="str">
        <f>_xlfn.IFNA(
INDEX('Community Areas'!E$2:E$78,MATCH($E517,'Community Areas'!$A$2:$A$78,0)),
"")</f>
        <v>FAR SOUTH</v>
      </c>
      <c r="L517" s="17" t="e">
        <f>SUMIFS([1]ACSDT5Y2020.B08301_data_with_ov!AT$3:AT$1334,[1]ACSDT5Y2020.B08301_data_with_ov!$AS$3:$AS$1334,$B517)</f>
        <v>#VALUE!</v>
      </c>
      <c r="M517" s="17" t="e">
        <f>SUMIFS([1]ACSDT5Y2020.B08301_data_with_ov!AU$3:AU$1334,[1]ACSDT5Y2020.B08301_data_with_ov!$AS$3:$AS$1334,$B517)</f>
        <v>#VALUE!</v>
      </c>
      <c r="N517" s="17" t="e">
        <f>SUMIFS([1]ACSDT5Y2020.B08301_data_with_ov!AV$3:AV$1334,[1]ACSDT5Y2020.B08301_data_with_ov!$AS$3:$AS$1334,$B517)</f>
        <v>#VALUE!</v>
      </c>
      <c r="O517" s="17" t="e">
        <f>SUMIFS([1]ACSDT5Y2020.B08301_data_with_ov!AW$3:AW$1334,[1]ACSDT5Y2020.B08301_data_with_ov!$AS$3:$AS$1334,$B517)</f>
        <v>#VALUE!</v>
      </c>
      <c r="P517" s="17" t="e">
        <f>SUMIFS([1]ACSDT5Y2020.B08301_data_with_ov!AX$3:AX$1334,[1]ACSDT5Y2020.B08301_data_with_ov!$AS$3:$AS$1334,$B517)</f>
        <v>#VALUE!</v>
      </c>
      <c r="Q517" s="17" t="e">
        <f>SUMIFS([1]ACSDT5Y2020.B08301_data_with_ov!AY$3:AY$1334,[1]ACSDT5Y2020.B08301_data_with_ov!$AS$3:$AS$1334,$B517)</f>
        <v>#VALUE!</v>
      </c>
      <c r="R517" s="17" t="e">
        <f>SUMIFS([1]ACSDT5Y2020.B08301_data_with_ov!AZ$3:AZ$1334,[1]ACSDT5Y2020.B08301_data_with_ov!$AS$3:$AS$1334,$B517)</f>
        <v>#VALUE!</v>
      </c>
      <c r="S517" s="17" t="e">
        <f>SUMIFS([1]ACSDT5Y2020.B08301_data_with_ov!BA$3:BA$1334,[1]ACSDT5Y2020.B08301_data_with_ov!$AS$3:$AS$1334,$B517)</f>
        <v>#VALUE!</v>
      </c>
      <c r="T517" s="188">
        <v>0.42398178890307192</v>
      </c>
      <c r="U517" s="189" t="e">
        <f t="shared" si="31"/>
        <v>#VALUE!</v>
      </c>
      <c r="V517" s="188">
        <v>0.42398178890307192</v>
      </c>
      <c r="W517" s="189" t="e">
        <f t="shared" si="28"/>
        <v>#VALUE!</v>
      </c>
      <c r="X517" s="188">
        <v>0.42398178890307192</v>
      </c>
      <c r="Y517" s="189" t="e">
        <f t="shared" si="29"/>
        <v>#VALUE!</v>
      </c>
      <c r="Z517" s="188">
        <v>0.42398178890307192</v>
      </c>
      <c r="AA517" s="189" t="e">
        <f t="shared" si="30"/>
        <v>#VALUE!</v>
      </c>
    </row>
    <row r="518" spans="1:27" x14ac:dyDescent="0.25">
      <c r="A518">
        <v>520500</v>
      </c>
      <c r="B518">
        <v>17031520500</v>
      </c>
      <c r="C518">
        <v>17031</v>
      </c>
      <c r="D518">
        <v>2010</v>
      </c>
      <c r="E518">
        <v>52</v>
      </c>
      <c r="F518">
        <v>11249842.727182601</v>
      </c>
      <c r="G518" s="45">
        <v>0.40353258175442641</v>
      </c>
      <c r="H518" s="60" t="str">
        <f>_xlfn.IFNA(
INDEX('Community Areas'!B$2:B$78,MATCH($E518,'Community Areas'!$A$2:$A$78,0)),
"")</f>
        <v>EAST SIDE</v>
      </c>
      <c r="I518" s="63" t="str">
        <f>_xlfn.IFNA(
INDEX('Community Areas'!C$2:C$78,MATCH($E518,'Community Areas'!$A$2:$A$78,0)),
"")</f>
        <v>5-C</v>
      </c>
      <c r="J518" s="63">
        <f>_xlfn.IFNA(
INDEX('Community Areas'!D$2:D$78,MATCH($E518,'Community Areas'!$A$2:$A$78,0)),
"")</f>
        <v>5</v>
      </c>
      <c r="K518" s="60" t="str">
        <f>_xlfn.IFNA(
INDEX('Community Areas'!E$2:E$78,MATCH($E518,'Community Areas'!$A$2:$A$78,0)),
"")</f>
        <v>FAR SOUTH</v>
      </c>
      <c r="L518" s="17" t="e">
        <f>SUMIFS([1]ACSDT5Y2020.B08301_data_with_ov!AT$3:AT$1334,[1]ACSDT5Y2020.B08301_data_with_ov!$AS$3:$AS$1334,$B518)</f>
        <v>#VALUE!</v>
      </c>
      <c r="M518" s="17" t="e">
        <f>SUMIFS([1]ACSDT5Y2020.B08301_data_with_ov!AU$3:AU$1334,[1]ACSDT5Y2020.B08301_data_with_ov!$AS$3:$AS$1334,$B518)</f>
        <v>#VALUE!</v>
      </c>
      <c r="N518" s="17" t="e">
        <f>SUMIFS([1]ACSDT5Y2020.B08301_data_with_ov!AV$3:AV$1334,[1]ACSDT5Y2020.B08301_data_with_ov!$AS$3:$AS$1334,$B518)</f>
        <v>#VALUE!</v>
      </c>
      <c r="O518" s="17" t="e">
        <f>SUMIFS([1]ACSDT5Y2020.B08301_data_with_ov!AW$3:AW$1334,[1]ACSDT5Y2020.B08301_data_with_ov!$AS$3:$AS$1334,$B518)</f>
        <v>#VALUE!</v>
      </c>
      <c r="P518" s="17" t="e">
        <f>SUMIFS([1]ACSDT5Y2020.B08301_data_with_ov!AX$3:AX$1334,[1]ACSDT5Y2020.B08301_data_with_ov!$AS$3:$AS$1334,$B518)</f>
        <v>#VALUE!</v>
      </c>
      <c r="Q518" s="17" t="e">
        <f>SUMIFS([1]ACSDT5Y2020.B08301_data_with_ov!AY$3:AY$1334,[1]ACSDT5Y2020.B08301_data_with_ov!$AS$3:$AS$1334,$B518)</f>
        <v>#VALUE!</v>
      </c>
      <c r="R518" s="17" t="e">
        <f>SUMIFS([1]ACSDT5Y2020.B08301_data_with_ov!AZ$3:AZ$1334,[1]ACSDT5Y2020.B08301_data_with_ov!$AS$3:$AS$1334,$B518)</f>
        <v>#VALUE!</v>
      </c>
      <c r="S518" s="17" t="e">
        <f>SUMIFS([1]ACSDT5Y2020.B08301_data_with_ov!BA$3:BA$1334,[1]ACSDT5Y2020.B08301_data_with_ov!$AS$3:$AS$1334,$B518)</f>
        <v>#VALUE!</v>
      </c>
      <c r="T518" s="188">
        <v>0.40353258532029096</v>
      </c>
      <c r="U518" s="189" t="e">
        <f t="shared" si="31"/>
        <v>#VALUE!</v>
      </c>
      <c r="V518" s="188">
        <v>0.40353258532029096</v>
      </c>
      <c r="W518" s="189" t="e">
        <f t="shared" ref="W518:W581" si="32">(V518/$G518)*$L518</f>
        <v>#VALUE!</v>
      </c>
      <c r="X518" s="188">
        <v>0.40353258532029096</v>
      </c>
      <c r="Y518" s="189" t="e">
        <f t="shared" ref="Y518:Y581" si="33">(X518/$G518)*$L518</f>
        <v>#VALUE!</v>
      </c>
      <c r="Z518" s="188">
        <v>0.40353258532029096</v>
      </c>
      <c r="AA518" s="189" t="e">
        <f t="shared" ref="AA518:AA581" si="34">(Z518/$G518)*$L518</f>
        <v>#VALUE!</v>
      </c>
    </row>
    <row r="519" spans="1:27" x14ac:dyDescent="0.25">
      <c r="A519">
        <v>520100</v>
      </c>
      <c r="B519">
        <v>17031520100</v>
      </c>
      <c r="C519">
        <v>17031</v>
      </c>
      <c r="D519">
        <v>2010</v>
      </c>
      <c r="E519">
        <v>52</v>
      </c>
      <c r="F519">
        <v>28810442.223177399</v>
      </c>
      <c r="G519" s="45">
        <v>1.0334324144562601</v>
      </c>
      <c r="H519" s="60" t="str">
        <f>_xlfn.IFNA(
INDEX('Community Areas'!B$2:B$78,MATCH($E519,'Community Areas'!$A$2:$A$78,0)),
"")</f>
        <v>EAST SIDE</v>
      </c>
      <c r="I519" s="63" t="str">
        <f>_xlfn.IFNA(
INDEX('Community Areas'!C$2:C$78,MATCH($E519,'Community Areas'!$A$2:$A$78,0)),
"")</f>
        <v>5-C</v>
      </c>
      <c r="J519" s="63">
        <f>_xlfn.IFNA(
INDEX('Community Areas'!D$2:D$78,MATCH($E519,'Community Areas'!$A$2:$A$78,0)),
"")</f>
        <v>5</v>
      </c>
      <c r="K519" s="60" t="str">
        <f>_xlfn.IFNA(
INDEX('Community Areas'!E$2:E$78,MATCH($E519,'Community Areas'!$A$2:$A$78,0)),
"")</f>
        <v>FAR SOUTH</v>
      </c>
      <c r="L519" s="17" t="e">
        <f>SUMIFS([1]ACSDT5Y2020.B08301_data_with_ov!AT$3:AT$1334,[1]ACSDT5Y2020.B08301_data_with_ov!$AS$3:$AS$1334,$B519)</f>
        <v>#VALUE!</v>
      </c>
      <c r="M519" s="17" t="e">
        <f>SUMIFS([1]ACSDT5Y2020.B08301_data_with_ov!AU$3:AU$1334,[1]ACSDT5Y2020.B08301_data_with_ov!$AS$3:$AS$1334,$B519)</f>
        <v>#VALUE!</v>
      </c>
      <c r="N519" s="17" t="e">
        <f>SUMIFS([1]ACSDT5Y2020.B08301_data_with_ov!AV$3:AV$1334,[1]ACSDT5Y2020.B08301_data_with_ov!$AS$3:$AS$1334,$B519)</f>
        <v>#VALUE!</v>
      </c>
      <c r="O519" s="17" t="e">
        <f>SUMIFS([1]ACSDT5Y2020.B08301_data_with_ov!AW$3:AW$1334,[1]ACSDT5Y2020.B08301_data_with_ov!$AS$3:$AS$1334,$B519)</f>
        <v>#VALUE!</v>
      </c>
      <c r="P519" s="17" t="e">
        <f>SUMIFS([1]ACSDT5Y2020.B08301_data_with_ov!AX$3:AX$1334,[1]ACSDT5Y2020.B08301_data_with_ov!$AS$3:$AS$1334,$B519)</f>
        <v>#VALUE!</v>
      </c>
      <c r="Q519" s="17" t="e">
        <f>SUMIFS([1]ACSDT5Y2020.B08301_data_with_ov!AY$3:AY$1334,[1]ACSDT5Y2020.B08301_data_with_ov!$AS$3:$AS$1334,$B519)</f>
        <v>#VALUE!</v>
      </c>
      <c r="R519" s="17" t="e">
        <f>SUMIFS([1]ACSDT5Y2020.B08301_data_with_ov!AZ$3:AZ$1334,[1]ACSDT5Y2020.B08301_data_with_ov!$AS$3:$AS$1334,$B519)</f>
        <v>#VALUE!</v>
      </c>
      <c r="S519" s="17" t="e">
        <f>SUMIFS([1]ACSDT5Y2020.B08301_data_with_ov!BA$3:BA$1334,[1]ACSDT5Y2020.B08301_data_with_ov!$AS$3:$AS$1334,$B519)</f>
        <v>#VALUE!</v>
      </c>
      <c r="T519" s="188">
        <v>0.87721551715725077</v>
      </c>
      <c r="U519" s="189" t="e">
        <f t="shared" ref="U519:U582" si="35">(T519/$G519)*$L519</f>
        <v>#VALUE!</v>
      </c>
      <c r="V519" s="188">
        <v>0.87721551715725077</v>
      </c>
      <c r="W519" s="189" t="e">
        <f t="shared" si="32"/>
        <v>#VALUE!</v>
      </c>
      <c r="X519" s="188">
        <v>0.87721551715725077</v>
      </c>
      <c r="Y519" s="189" t="e">
        <f t="shared" si="33"/>
        <v>#VALUE!</v>
      </c>
      <c r="Z519" s="188">
        <v>0.87721551715725077</v>
      </c>
      <c r="AA519" s="189" t="e">
        <f t="shared" si="34"/>
        <v>#VALUE!</v>
      </c>
    </row>
    <row r="520" spans="1:27" x14ac:dyDescent="0.25">
      <c r="A520">
        <v>530400</v>
      </c>
      <c r="B520">
        <v>17031530400</v>
      </c>
      <c r="C520">
        <v>17031</v>
      </c>
      <c r="D520">
        <v>2010</v>
      </c>
      <c r="E520">
        <v>53</v>
      </c>
      <c r="F520">
        <v>14124186.5505965</v>
      </c>
      <c r="G520" s="45">
        <v>0.50663547946067566</v>
      </c>
      <c r="H520" s="60" t="str">
        <f>_xlfn.IFNA(
INDEX('Community Areas'!B$2:B$78,MATCH($E520,'Community Areas'!$A$2:$A$78,0)),
"")</f>
        <v>WEST PULLMAN</v>
      </c>
      <c r="I520" s="63" t="str">
        <f>_xlfn.IFNA(
INDEX('Community Areas'!C$2:C$78,MATCH($E520,'Community Areas'!$A$2:$A$78,0)),
"")</f>
        <v>5-B</v>
      </c>
      <c r="J520" s="63">
        <f>_xlfn.IFNA(
INDEX('Community Areas'!D$2:D$78,MATCH($E520,'Community Areas'!$A$2:$A$78,0)),
"")</f>
        <v>5</v>
      </c>
      <c r="K520" s="60" t="str">
        <f>_xlfn.IFNA(
INDEX('Community Areas'!E$2:E$78,MATCH($E520,'Community Areas'!$A$2:$A$78,0)),
"")</f>
        <v>FAR SOUTH</v>
      </c>
      <c r="L520" s="17" t="e">
        <f>SUMIFS([1]ACSDT5Y2020.B08301_data_with_ov!AT$3:AT$1334,[1]ACSDT5Y2020.B08301_data_with_ov!$AS$3:$AS$1334,$B520)</f>
        <v>#VALUE!</v>
      </c>
      <c r="M520" s="17" t="e">
        <f>SUMIFS([1]ACSDT5Y2020.B08301_data_with_ov!AU$3:AU$1334,[1]ACSDT5Y2020.B08301_data_with_ov!$AS$3:$AS$1334,$B520)</f>
        <v>#VALUE!</v>
      </c>
      <c r="N520" s="17" t="e">
        <f>SUMIFS([1]ACSDT5Y2020.B08301_data_with_ov!AV$3:AV$1334,[1]ACSDT5Y2020.B08301_data_with_ov!$AS$3:$AS$1334,$B520)</f>
        <v>#VALUE!</v>
      </c>
      <c r="O520" s="17" t="e">
        <f>SUMIFS([1]ACSDT5Y2020.B08301_data_with_ov!AW$3:AW$1334,[1]ACSDT5Y2020.B08301_data_with_ov!$AS$3:$AS$1334,$B520)</f>
        <v>#VALUE!</v>
      </c>
      <c r="P520" s="17" t="e">
        <f>SUMIFS([1]ACSDT5Y2020.B08301_data_with_ov!AX$3:AX$1334,[1]ACSDT5Y2020.B08301_data_with_ov!$AS$3:$AS$1334,$B520)</f>
        <v>#VALUE!</v>
      </c>
      <c r="Q520" s="17" t="e">
        <f>SUMIFS([1]ACSDT5Y2020.B08301_data_with_ov!AY$3:AY$1334,[1]ACSDT5Y2020.B08301_data_with_ov!$AS$3:$AS$1334,$B520)</f>
        <v>#VALUE!</v>
      </c>
      <c r="R520" s="17" t="e">
        <f>SUMIFS([1]ACSDT5Y2020.B08301_data_with_ov!AZ$3:AZ$1334,[1]ACSDT5Y2020.B08301_data_with_ov!$AS$3:$AS$1334,$B520)</f>
        <v>#VALUE!</v>
      </c>
      <c r="S520" s="17" t="e">
        <f>SUMIFS([1]ACSDT5Y2020.B08301_data_with_ov!BA$3:BA$1334,[1]ACSDT5Y2020.B08301_data_with_ov!$AS$3:$AS$1334,$B520)</f>
        <v>#VALUE!</v>
      </c>
      <c r="T520" s="188">
        <v>0.21889059041360515</v>
      </c>
      <c r="U520" s="189" t="e">
        <f t="shared" si="35"/>
        <v>#VALUE!</v>
      </c>
      <c r="V520" s="188">
        <v>0.21889059041360515</v>
      </c>
      <c r="W520" s="189" t="e">
        <f t="shared" si="32"/>
        <v>#VALUE!</v>
      </c>
      <c r="X520" s="188">
        <v>0.21889059041360515</v>
      </c>
      <c r="Y520" s="189" t="e">
        <f t="shared" si="33"/>
        <v>#VALUE!</v>
      </c>
      <c r="Z520" s="188">
        <v>0.21889059041360515</v>
      </c>
      <c r="AA520" s="189" t="e">
        <f t="shared" si="34"/>
        <v>#VALUE!</v>
      </c>
    </row>
    <row r="521" spans="1:27" x14ac:dyDescent="0.25">
      <c r="A521">
        <v>530501</v>
      </c>
      <c r="B521">
        <v>17031530501</v>
      </c>
      <c r="C521">
        <v>17031</v>
      </c>
      <c r="D521">
        <v>2010</v>
      </c>
      <c r="E521">
        <v>53</v>
      </c>
      <c r="F521">
        <v>13953946.8655804</v>
      </c>
      <c r="G521" s="45">
        <v>0.50052897101628502</v>
      </c>
      <c r="H521" s="60" t="str">
        <f>_xlfn.IFNA(
INDEX('Community Areas'!B$2:B$78,MATCH($E521,'Community Areas'!$A$2:$A$78,0)),
"")</f>
        <v>WEST PULLMAN</v>
      </c>
      <c r="I521" s="63" t="str">
        <f>_xlfn.IFNA(
INDEX('Community Areas'!C$2:C$78,MATCH($E521,'Community Areas'!$A$2:$A$78,0)),
"")</f>
        <v>5-B</v>
      </c>
      <c r="J521" s="63">
        <f>_xlfn.IFNA(
INDEX('Community Areas'!D$2:D$78,MATCH($E521,'Community Areas'!$A$2:$A$78,0)),
"")</f>
        <v>5</v>
      </c>
      <c r="K521" s="60" t="str">
        <f>_xlfn.IFNA(
INDEX('Community Areas'!E$2:E$78,MATCH($E521,'Community Areas'!$A$2:$A$78,0)),
"")</f>
        <v>FAR SOUTH</v>
      </c>
      <c r="L521" s="17" t="e">
        <f>SUMIFS([1]ACSDT5Y2020.B08301_data_with_ov!AT$3:AT$1334,[1]ACSDT5Y2020.B08301_data_with_ov!$AS$3:$AS$1334,$B521)</f>
        <v>#VALUE!</v>
      </c>
      <c r="M521" s="17" t="e">
        <f>SUMIFS([1]ACSDT5Y2020.B08301_data_with_ov!AU$3:AU$1334,[1]ACSDT5Y2020.B08301_data_with_ov!$AS$3:$AS$1334,$B521)</f>
        <v>#VALUE!</v>
      </c>
      <c r="N521" s="17" t="e">
        <f>SUMIFS([1]ACSDT5Y2020.B08301_data_with_ov!AV$3:AV$1334,[1]ACSDT5Y2020.B08301_data_with_ov!$AS$3:$AS$1334,$B521)</f>
        <v>#VALUE!</v>
      </c>
      <c r="O521" s="17" t="e">
        <f>SUMIFS([1]ACSDT5Y2020.B08301_data_with_ov!AW$3:AW$1334,[1]ACSDT5Y2020.B08301_data_with_ov!$AS$3:$AS$1334,$B521)</f>
        <v>#VALUE!</v>
      </c>
      <c r="P521" s="17" t="e">
        <f>SUMIFS([1]ACSDT5Y2020.B08301_data_with_ov!AX$3:AX$1334,[1]ACSDT5Y2020.B08301_data_with_ov!$AS$3:$AS$1334,$B521)</f>
        <v>#VALUE!</v>
      </c>
      <c r="Q521" s="17" t="e">
        <f>SUMIFS([1]ACSDT5Y2020.B08301_data_with_ov!AY$3:AY$1334,[1]ACSDT5Y2020.B08301_data_with_ov!$AS$3:$AS$1334,$B521)</f>
        <v>#VALUE!</v>
      </c>
      <c r="R521" s="17" t="e">
        <f>SUMIFS([1]ACSDT5Y2020.B08301_data_with_ov!AZ$3:AZ$1334,[1]ACSDT5Y2020.B08301_data_with_ov!$AS$3:$AS$1334,$B521)</f>
        <v>#VALUE!</v>
      </c>
      <c r="S521" s="17" t="e">
        <f>SUMIFS([1]ACSDT5Y2020.B08301_data_with_ov!BA$3:BA$1334,[1]ACSDT5Y2020.B08301_data_with_ov!$AS$3:$AS$1334,$B521)</f>
        <v>#VALUE!</v>
      </c>
      <c r="T521" s="188">
        <v>0.32284416456967113</v>
      </c>
      <c r="U521" s="189" t="e">
        <f t="shared" si="35"/>
        <v>#VALUE!</v>
      </c>
      <c r="V521" s="188">
        <v>0.32284416456967113</v>
      </c>
      <c r="W521" s="189" t="e">
        <f t="shared" si="32"/>
        <v>#VALUE!</v>
      </c>
      <c r="X521" s="188">
        <v>0.32284416456967113</v>
      </c>
      <c r="Y521" s="189" t="e">
        <f t="shared" si="33"/>
        <v>#VALUE!</v>
      </c>
      <c r="Z521" s="188">
        <v>0.32284416456967113</v>
      </c>
      <c r="AA521" s="189" t="e">
        <f t="shared" si="34"/>
        <v>#VALUE!</v>
      </c>
    </row>
    <row r="522" spans="1:27" x14ac:dyDescent="0.25">
      <c r="A522">
        <v>530300</v>
      </c>
      <c r="B522">
        <v>17031530300</v>
      </c>
      <c r="C522">
        <v>17031</v>
      </c>
      <c r="D522">
        <v>2010</v>
      </c>
      <c r="E522">
        <v>53</v>
      </c>
      <c r="F522">
        <v>14081418.9137723</v>
      </c>
      <c r="G522" s="45">
        <v>0.50510140157872407</v>
      </c>
      <c r="H522" s="60" t="str">
        <f>_xlfn.IFNA(
INDEX('Community Areas'!B$2:B$78,MATCH($E522,'Community Areas'!$A$2:$A$78,0)),
"")</f>
        <v>WEST PULLMAN</v>
      </c>
      <c r="I522" s="63" t="str">
        <f>_xlfn.IFNA(
INDEX('Community Areas'!C$2:C$78,MATCH($E522,'Community Areas'!$A$2:$A$78,0)),
"")</f>
        <v>5-B</v>
      </c>
      <c r="J522" s="63">
        <f>_xlfn.IFNA(
INDEX('Community Areas'!D$2:D$78,MATCH($E522,'Community Areas'!$A$2:$A$78,0)),
"")</f>
        <v>5</v>
      </c>
      <c r="K522" s="60" t="str">
        <f>_xlfn.IFNA(
INDEX('Community Areas'!E$2:E$78,MATCH($E522,'Community Areas'!$A$2:$A$78,0)),
"")</f>
        <v>FAR SOUTH</v>
      </c>
      <c r="L522" s="17" t="e">
        <f>SUMIFS([1]ACSDT5Y2020.B08301_data_with_ov!AT$3:AT$1334,[1]ACSDT5Y2020.B08301_data_with_ov!$AS$3:$AS$1334,$B522)</f>
        <v>#VALUE!</v>
      </c>
      <c r="M522" s="17" t="e">
        <f>SUMIFS([1]ACSDT5Y2020.B08301_data_with_ov!AU$3:AU$1334,[1]ACSDT5Y2020.B08301_data_with_ov!$AS$3:$AS$1334,$B522)</f>
        <v>#VALUE!</v>
      </c>
      <c r="N522" s="17" t="e">
        <f>SUMIFS([1]ACSDT5Y2020.B08301_data_with_ov!AV$3:AV$1334,[1]ACSDT5Y2020.B08301_data_with_ov!$AS$3:$AS$1334,$B522)</f>
        <v>#VALUE!</v>
      </c>
      <c r="O522" s="17" t="e">
        <f>SUMIFS([1]ACSDT5Y2020.B08301_data_with_ov!AW$3:AW$1334,[1]ACSDT5Y2020.B08301_data_with_ov!$AS$3:$AS$1334,$B522)</f>
        <v>#VALUE!</v>
      </c>
      <c r="P522" s="17" t="e">
        <f>SUMIFS([1]ACSDT5Y2020.B08301_data_with_ov!AX$3:AX$1334,[1]ACSDT5Y2020.B08301_data_with_ov!$AS$3:$AS$1334,$B522)</f>
        <v>#VALUE!</v>
      </c>
      <c r="Q522" s="17" t="e">
        <f>SUMIFS([1]ACSDT5Y2020.B08301_data_with_ov!AY$3:AY$1334,[1]ACSDT5Y2020.B08301_data_with_ov!$AS$3:$AS$1334,$B522)</f>
        <v>#VALUE!</v>
      </c>
      <c r="R522" s="17" t="e">
        <f>SUMIFS([1]ACSDT5Y2020.B08301_data_with_ov!AZ$3:AZ$1334,[1]ACSDT5Y2020.B08301_data_with_ov!$AS$3:$AS$1334,$B522)</f>
        <v>#VALUE!</v>
      </c>
      <c r="S522" s="17" t="e">
        <f>SUMIFS([1]ACSDT5Y2020.B08301_data_with_ov!BA$3:BA$1334,[1]ACSDT5Y2020.B08301_data_with_ov!$AS$3:$AS$1334,$B522)</f>
        <v>#VALUE!</v>
      </c>
      <c r="T522" s="188">
        <v>0.30571051657590387</v>
      </c>
      <c r="U522" s="189" t="e">
        <f t="shared" si="35"/>
        <v>#VALUE!</v>
      </c>
      <c r="V522" s="188">
        <v>0.30571051657590387</v>
      </c>
      <c r="W522" s="189" t="e">
        <f t="shared" si="32"/>
        <v>#VALUE!</v>
      </c>
      <c r="X522" s="188">
        <v>0.30571051657590387</v>
      </c>
      <c r="Y522" s="189" t="e">
        <f t="shared" si="33"/>
        <v>#VALUE!</v>
      </c>
      <c r="Z522" s="188">
        <v>0.30571051657590387</v>
      </c>
      <c r="AA522" s="189" t="e">
        <f t="shared" si="34"/>
        <v>#VALUE!</v>
      </c>
    </row>
    <row r="523" spans="1:27" x14ac:dyDescent="0.25">
      <c r="A523">
        <v>821402</v>
      </c>
      <c r="B523">
        <v>17031821402</v>
      </c>
      <c r="C523">
        <v>17031</v>
      </c>
      <c r="D523">
        <v>2010</v>
      </c>
      <c r="E523">
        <v>53</v>
      </c>
      <c r="F523">
        <v>163548.97179379701</v>
      </c>
      <c r="G523" s="45">
        <v>5.866512131033238E-3</v>
      </c>
      <c r="H523" s="60" t="str">
        <f>_xlfn.IFNA(
INDEX('Community Areas'!B$2:B$78,MATCH($E523,'Community Areas'!$A$2:$A$78,0)),
"")</f>
        <v>WEST PULLMAN</v>
      </c>
      <c r="I523" s="63" t="str">
        <f>_xlfn.IFNA(
INDEX('Community Areas'!C$2:C$78,MATCH($E523,'Community Areas'!$A$2:$A$78,0)),
"")</f>
        <v>5-B</v>
      </c>
      <c r="J523" s="63">
        <f>_xlfn.IFNA(
INDEX('Community Areas'!D$2:D$78,MATCH($E523,'Community Areas'!$A$2:$A$78,0)),
"")</f>
        <v>5</v>
      </c>
      <c r="K523" s="60" t="str">
        <f>_xlfn.IFNA(
INDEX('Community Areas'!E$2:E$78,MATCH($E523,'Community Areas'!$A$2:$A$78,0)),
"")</f>
        <v>FAR SOUTH</v>
      </c>
      <c r="L523" s="17" t="e">
        <f>SUMIFS([1]ACSDT5Y2020.B08301_data_with_ov!AT$3:AT$1334,[1]ACSDT5Y2020.B08301_data_with_ov!$AS$3:$AS$1334,$B523)</f>
        <v>#VALUE!</v>
      </c>
      <c r="M523" s="17" t="e">
        <f>SUMIFS([1]ACSDT5Y2020.B08301_data_with_ov!AU$3:AU$1334,[1]ACSDT5Y2020.B08301_data_with_ov!$AS$3:$AS$1334,$B523)</f>
        <v>#VALUE!</v>
      </c>
      <c r="N523" s="17" t="e">
        <f>SUMIFS([1]ACSDT5Y2020.B08301_data_with_ov!AV$3:AV$1334,[1]ACSDT5Y2020.B08301_data_with_ov!$AS$3:$AS$1334,$B523)</f>
        <v>#VALUE!</v>
      </c>
      <c r="O523" s="17" t="e">
        <f>SUMIFS([1]ACSDT5Y2020.B08301_data_with_ov!AW$3:AW$1334,[1]ACSDT5Y2020.B08301_data_with_ov!$AS$3:$AS$1334,$B523)</f>
        <v>#VALUE!</v>
      </c>
      <c r="P523" s="17" t="e">
        <f>SUMIFS([1]ACSDT5Y2020.B08301_data_with_ov!AX$3:AX$1334,[1]ACSDT5Y2020.B08301_data_with_ov!$AS$3:$AS$1334,$B523)</f>
        <v>#VALUE!</v>
      </c>
      <c r="Q523" s="17" t="e">
        <f>SUMIFS([1]ACSDT5Y2020.B08301_data_with_ov!AY$3:AY$1334,[1]ACSDT5Y2020.B08301_data_with_ov!$AS$3:$AS$1334,$B523)</f>
        <v>#VALUE!</v>
      </c>
      <c r="R523" s="17" t="e">
        <f>SUMIFS([1]ACSDT5Y2020.B08301_data_with_ov!AZ$3:AZ$1334,[1]ACSDT5Y2020.B08301_data_with_ov!$AS$3:$AS$1334,$B523)</f>
        <v>#VALUE!</v>
      </c>
      <c r="S523" s="17" t="e">
        <f>SUMIFS([1]ACSDT5Y2020.B08301_data_with_ov!BA$3:BA$1334,[1]ACSDT5Y2020.B08301_data_with_ov!$AS$3:$AS$1334,$B523)</f>
        <v>#VALUE!</v>
      </c>
      <c r="T523" s="188">
        <v>0</v>
      </c>
      <c r="U523" s="189" t="e">
        <f t="shared" si="35"/>
        <v>#VALUE!</v>
      </c>
      <c r="V523" s="188">
        <v>0</v>
      </c>
      <c r="W523" s="189" t="e">
        <f t="shared" si="32"/>
        <v>#VALUE!</v>
      </c>
      <c r="X523" s="188">
        <v>0</v>
      </c>
      <c r="Y523" s="189" t="e">
        <f t="shared" si="33"/>
        <v>#VALUE!</v>
      </c>
      <c r="Z523" s="188">
        <v>0</v>
      </c>
      <c r="AA523" s="189" t="e">
        <f t="shared" si="34"/>
        <v>#VALUE!</v>
      </c>
    </row>
    <row r="524" spans="1:27" x14ac:dyDescent="0.25">
      <c r="A524">
        <v>530502</v>
      </c>
      <c r="B524">
        <v>17031530502</v>
      </c>
      <c r="C524">
        <v>17031</v>
      </c>
      <c r="D524">
        <v>2010</v>
      </c>
      <c r="E524">
        <v>53</v>
      </c>
      <c r="F524">
        <v>7833771.1163433501</v>
      </c>
      <c r="G524" s="45">
        <v>0.28099787349142524</v>
      </c>
      <c r="H524" s="60" t="str">
        <f>_xlfn.IFNA(
INDEX('Community Areas'!B$2:B$78,MATCH($E524,'Community Areas'!$A$2:$A$78,0)),
"")</f>
        <v>WEST PULLMAN</v>
      </c>
      <c r="I524" s="63" t="str">
        <f>_xlfn.IFNA(
INDEX('Community Areas'!C$2:C$78,MATCH($E524,'Community Areas'!$A$2:$A$78,0)),
"")</f>
        <v>5-B</v>
      </c>
      <c r="J524" s="63">
        <f>_xlfn.IFNA(
INDEX('Community Areas'!D$2:D$78,MATCH($E524,'Community Areas'!$A$2:$A$78,0)),
"")</f>
        <v>5</v>
      </c>
      <c r="K524" s="60" t="str">
        <f>_xlfn.IFNA(
INDEX('Community Areas'!E$2:E$78,MATCH($E524,'Community Areas'!$A$2:$A$78,0)),
"")</f>
        <v>FAR SOUTH</v>
      </c>
      <c r="L524" s="17" t="e">
        <f>SUMIFS([1]ACSDT5Y2020.B08301_data_with_ov!AT$3:AT$1334,[1]ACSDT5Y2020.B08301_data_with_ov!$AS$3:$AS$1334,$B524)</f>
        <v>#VALUE!</v>
      </c>
      <c r="M524" s="17" t="e">
        <f>SUMIFS([1]ACSDT5Y2020.B08301_data_with_ov!AU$3:AU$1334,[1]ACSDT5Y2020.B08301_data_with_ov!$AS$3:$AS$1334,$B524)</f>
        <v>#VALUE!</v>
      </c>
      <c r="N524" s="17" t="e">
        <f>SUMIFS([1]ACSDT5Y2020.B08301_data_with_ov!AV$3:AV$1334,[1]ACSDT5Y2020.B08301_data_with_ov!$AS$3:$AS$1334,$B524)</f>
        <v>#VALUE!</v>
      </c>
      <c r="O524" s="17" t="e">
        <f>SUMIFS([1]ACSDT5Y2020.B08301_data_with_ov!AW$3:AW$1334,[1]ACSDT5Y2020.B08301_data_with_ov!$AS$3:$AS$1334,$B524)</f>
        <v>#VALUE!</v>
      </c>
      <c r="P524" s="17" t="e">
        <f>SUMIFS([1]ACSDT5Y2020.B08301_data_with_ov!AX$3:AX$1334,[1]ACSDT5Y2020.B08301_data_with_ov!$AS$3:$AS$1334,$B524)</f>
        <v>#VALUE!</v>
      </c>
      <c r="Q524" s="17" t="e">
        <f>SUMIFS([1]ACSDT5Y2020.B08301_data_with_ov!AY$3:AY$1334,[1]ACSDT5Y2020.B08301_data_with_ov!$AS$3:$AS$1334,$B524)</f>
        <v>#VALUE!</v>
      </c>
      <c r="R524" s="17" t="e">
        <f>SUMIFS([1]ACSDT5Y2020.B08301_data_with_ov!AZ$3:AZ$1334,[1]ACSDT5Y2020.B08301_data_with_ov!$AS$3:$AS$1334,$B524)</f>
        <v>#VALUE!</v>
      </c>
      <c r="S524" s="17" t="e">
        <f>SUMIFS([1]ACSDT5Y2020.B08301_data_with_ov!BA$3:BA$1334,[1]ACSDT5Y2020.B08301_data_with_ov!$AS$3:$AS$1334,$B524)</f>
        <v>#VALUE!</v>
      </c>
      <c r="T524" s="188">
        <v>0.17938002451327084</v>
      </c>
      <c r="U524" s="189" t="e">
        <f t="shared" si="35"/>
        <v>#VALUE!</v>
      </c>
      <c r="V524" s="188">
        <v>0.17938002451327084</v>
      </c>
      <c r="W524" s="189" t="e">
        <f t="shared" si="32"/>
        <v>#VALUE!</v>
      </c>
      <c r="X524" s="188">
        <v>0.17938002451327084</v>
      </c>
      <c r="Y524" s="189" t="e">
        <f t="shared" si="33"/>
        <v>#VALUE!</v>
      </c>
      <c r="Z524" s="188">
        <v>0.17938002451327084</v>
      </c>
      <c r="AA524" s="189" t="e">
        <f t="shared" si="34"/>
        <v>#VALUE!</v>
      </c>
    </row>
    <row r="525" spans="1:27" x14ac:dyDescent="0.25">
      <c r="A525">
        <v>530600</v>
      </c>
      <c r="B525">
        <v>17031530600</v>
      </c>
      <c r="C525">
        <v>17031</v>
      </c>
      <c r="D525">
        <v>2010</v>
      </c>
      <c r="E525">
        <v>53</v>
      </c>
      <c r="F525">
        <v>11060935.1611246</v>
      </c>
      <c r="G525" s="45">
        <v>0.39675645521710717</v>
      </c>
      <c r="H525" s="60" t="str">
        <f>_xlfn.IFNA(
INDEX('Community Areas'!B$2:B$78,MATCH($E525,'Community Areas'!$A$2:$A$78,0)),
"")</f>
        <v>WEST PULLMAN</v>
      </c>
      <c r="I525" s="63" t="str">
        <f>_xlfn.IFNA(
INDEX('Community Areas'!C$2:C$78,MATCH($E525,'Community Areas'!$A$2:$A$78,0)),
"")</f>
        <v>5-B</v>
      </c>
      <c r="J525" s="63">
        <f>_xlfn.IFNA(
INDEX('Community Areas'!D$2:D$78,MATCH($E525,'Community Areas'!$A$2:$A$78,0)),
"")</f>
        <v>5</v>
      </c>
      <c r="K525" s="60" t="str">
        <f>_xlfn.IFNA(
INDEX('Community Areas'!E$2:E$78,MATCH($E525,'Community Areas'!$A$2:$A$78,0)),
"")</f>
        <v>FAR SOUTH</v>
      </c>
      <c r="L525" s="17" t="e">
        <f>SUMIFS([1]ACSDT5Y2020.B08301_data_with_ov!AT$3:AT$1334,[1]ACSDT5Y2020.B08301_data_with_ov!$AS$3:$AS$1334,$B525)</f>
        <v>#VALUE!</v>
      </c>
      <c r="M525" s="17" t="e">
        <f>SUMIFS([1]ACSDT5Y2020.B08301_data_with_ov!AU$3:AU$1334,[1]ACSDT5Y2020.B08301_data_with_ov!$AS$3:$AS$1334,$B525)</f>
        <v>#VALUE!</v>
      </c>
      <c r="N525" s="17" t="e">
        <f>SUMIFS([1]ACSDT5Y2020.B08301_data_with_ov!AV$3:AV$1334,[1]ACSDT5Y2020.B08301_data_with_ov!$AS$3:$AS$1334,$B525)</f>
        <v>#VALUE!</v>
      </c>
      <c r="O525" s="17" t="e">
        <f>SUMIFS([1]ACSDT5Y2020.B08301_data_with_ov!AW$3:AW$1334,[1]ACSDT5Y2020.B08301_data_with_ov!$AS$3:$AS$1334,$B525)</f>
        <v>#VALUE!</v>
      </c>
      <c r="P525" s="17" t="e">
        <f>SUMIFS([1]ACSDT5Y2020.B08301_data_with_ov!AX$3:AX$1334,[1]ACSDT5Y2020.B08301_data_with_ov!$AS$3:$AS$1334,$B525)</f>
        <v>#VALUE!</v>
      </c>
      <c r="Q525" s="17" t="e">
        <f>SUMIFS([1]ACSDT5Y2020.B08301_data_with_ov!AY$3:AY$1334,[1]ACSDT5Y2020.B08301_data_with_ov!$AS$3:$AS$1334,$B525)</f>
        <v>#VALUE!</v>
      </c>
      <c r="R525" s="17" t="e">
        <f>SUMIFS([1]ACSDT5Y2020.B08301_data_with_ov!AZ$3:AZ$1334,[1]ACSDT5Y2020.B08301_data_with_ov!$AS$3:$AS$1334,$B525)</f>
        <v>#VALUE!</v>
      </c>
      <c r="S525" s="17" t="e">
        <f>SUMIFS([1]ACSDT5Y2020.B08301_data_with_ov!BA$3:BA$1334,[1]ACSDT5Y2020.B08301_data_with_ov!$AS$3:$AS$1334,$B525)</f>
        <v>#VALUE!</v>
      </c>
      <c r="T525" s="188">
        <v>5.8744245444521198E-7</v>
      </c>
      <c r="U525" s="189" t="e">
        <f t="shared" si="35"/>
        <v>#VALUE!</v>
      </c>
      <c r="V525" s="188">
        <v>0</v>
      </c>
      <c r="W525" s="189" t="e">
        <f t="shared" si="32"/>
        <v>#VALUE!</v>
      </c>
      <c r="X525" s="188">
        <v>0</v>
      </c>
      <c r="Y525" s="189" t="e">
        <f t="shared" si="33"/>
        <v>#VALUE!</v>
      </c>
      <c r="Z525" s="188">
        <v>0</v>
      </c>
      <c r="AA525" s="189" t="e">
        <f t="shared" si="34"/>
        <v>#VALUE!</v>
      </c>
    </row>
    <row r="526" spans="1:27" x14ac:dyDescent="0.25">
      <c r="A526">
        <v>530503</v>
      </c>
      <c r="B526">
        <v>17031530503</v>
      </c>
      <c r="C526">
        <v>17031</v>
      </c>
      <c r="D526">
        <v>2010</v>
      </c>
      <c r="E526">
        <v>53</v>
      </c>
      <c r="F526">
        <v>17174026.0623166</v>
      </c>
      <c r="G526" s="45">
        <v>0.61603341878718287</v>
      </c>
      <c r="H526" s="60" t="str">
        <f>_xlfn.IFNA(
INDEX('Community Areas'!B$2:B$78,MATCH($E526,'Community Areas'!$A$2:$A$78,0)),
"")</f>
        <v>WEST PULLMAN</v>
      </c>
      <c r="I526" s="63" t="str">
        <f>_xlfn.IFNA(
INDEX('Community Areas'!C$2:C$78,MATCH($E526,'Community Areas'!$A$2:$A$78,0)),
"")</f>
        <v>5-B</v>
      </c>
      <c r="J526" s="63">
        <f>_xlfn.IFNA(
INDEX('Community Areas'!D$2:D$78,MATCH($E526,'Community Areas'!$A$2:$A$78,0)),
"")</f>
        <v>5</v>
      </c>
      <c r="K526" s="60" t="str">
        <f>_xlfn.IFNA(
INDEX('Community Areas'!E$2:E$78,MATCH($E526,'Community Areas'!$A$2:$A$78,0)),
"")</f>
        <v>FAR SOUTH</v>
      </c>
      <c r="L526" s="17" t="e">
        <f>SUMIFS([1]ACSDT5Y2020.B08301_data_with_ov!AT$3:AT$1334,[1]ACSDT5Y2020.B08301_data_with_ov!$AS$3:$AS$1334,$B526)</f>
        <v>#VALUE!</v>
      </c>
      <c r="M526" s="17" t="e">
        <f>SUMIFS([1]ACSDT5Y2020.B08301_data_with_ov!AU$3:AU$1334,[1]ACSDT5Y2020.B08301_data_with_ov!$AS$3:$AS$1334,$B526)</f>
        <v>#VALUE!</v>
      </c>
      <c r="N526" s="17" t="e">
        <f>SUMIFS([1]ACSDT5Y2020.B08301_data_with_ov!AV$3:AV$1334,[1]ACSDT5Y2020.B08301_data_with_ov!$AS$3:$AS$1334,$B526)</f>
        <v>#VALUE!</v>
      </c>
      <c r="O526" s="17" t="e">
        <f>SUMIFS([1]ACSDT5Y2020.B08301_data_with_ov!AW$3:AW$1334,[1]ACSDT5Y2020.B08301_data_with_ov!$AS$3:$AS$1334,$B526)</f>
        <v>#VALUE!</v>
      </c>
      <c r="P526" s="17" t="e">
        <f>SUMIFS([1]ACSDT5Y2020.B08301_data_with_ov!AX$3:AX$1334,[1]ACSDT5Y2020.B08301_data_with_ov!$AS$3:$AS$1334,$B526)</f>
        <v>#VALUE!</v>
      </c>
      <c r="Q526" s="17" t="e">
        <f>SUMIFS([1]ACSDT5Y2020.B08301_data_with_ov!AY$3:AY$1334,[1]ACSDT5Y2020.B08301_data_with_ov!$AS$3:$AS$1334,$B526)</f>
        <v>#VALUE!</v>
      </c>
      <c r="R526" s="17" t="e">
        <f>SUMIFS([1]ACSDT5Y2020.B08301_data_with_ov!AZ$3:AZ$1334,[1]ACSDT5Y2020.B08301_data_with_ov!$AS$3:$AS$1334,$B526)</f>
        <v>#VALUE!</v>
      </c>
      <c r="S526" s="17" t="e">
        <f>SUMIFS([1]ACSDT5Y2020.B08301_data_with_ov!BA$3:BA$1334,[1]ACSDT5Y2020.B08301_data_with_ov!$AS$3:$AS$1334,$B526)</f>
        <v>#VALUE!</v>
      </c>
      <c r="T526" s="188">
        <v>0.54789407868784079</v>
      </c>
      <c r="U526" s="189" t="e">
        <f t="shared" si="35"/>
        <v>#VALUE!</v>
      </c>
      <c r="V526" s="188">
        <v>0.54789407868784079</v>
      </c>
      <c r="W526" s="189" t="e">
        <f t="shared" si="32"/>
        <v>#VALUE!</v>
      </c>
      <c r="X526" s="188">
        <v>0.54789407868784079</v>
      </c>
      <c r="Y526" s="189" t="e">
        <f t="shared" si="33"/>
        <v>#VALUE!</v>
      </c>
      <c r="Z526" s="188">
        <v>0.54789407868784079</v>
      </c>
      <c r="AA526" s="189" t="e">
        <f t="shared" si="34"/>
        <v>#VALUE!</v>
      </c>
    </row>
    <row r="527" spans="1:27" x14ac:dyDescent="0.25">
      <c r="A527">
        <v>530200</v>
      </c>
      <c r="B527">
        <v>17031530200</v>
      </c>
      <c r="C527">
        <v>17031</v>
      </c>
      <c r="D527">
        <v>2010</v>
      </c>
      <c r="E527">
        <v>53</v>
      </c>
      <c r="F527">
        <v>13964949.4327471</v>
      </c>
      <c r="G527" s="45">
        <v>0.50092363380779026</v>
      </c>
      <c r="H527" s="60" t="str">
        <f>_xlfn.IFNA(
INDEX('Community Areas'!B$2:B$78,MATCH($E527,'Community Areas'!$A$2:$A$78,0)),
"")</f>
        <v>WEST PULLMAN</v>
      </c>
      <c r="I527" s="63" t="str">
        <f>_xlfn.IFNA(
INDEX('Community Areas'!C$2:C$78,MATCH($E527,'Community Areas'!$A$2:$A$78,0)),
"")</f>
        <v>5-B</v>
      </c>
      <c r="J527" s="63">
        <f>_xlfn.IFNA(
INDEX('Community Areas'!D$2:D$78,MATCH($E527,'Community Areas'!$A$2:$A$78,0)),
"")</f>
        <v>5</v>
      </c>
      <c r="K527" s="60" t="str">
        <f>_xlfn.IFNA(
INDEX('Community Areas'!E$2:E$78,MATCH($E527,'Community Areas'!$A$2:$A$78,0)),
"")</f>
        <v>FAR SOUTH</v>
      </c>
      <c r="L527" s="17" t="e">
        <f>SUMIFS([1]ACSDT5Y2020.B08301_data_with_ov!AT$3:AT$1334,[1]ACSDT5Y2020.B08301_data_with_ov!$AS$3:$AS$1334,$B527)</f>
        <v>#VALUE!</v>
      </c>
      <c r="M527" s="17" t="e">
        <f>SUMIFS([1]ACSDT5Y2020.B08301_data_with_ov!AU$3:AU$1334,[1]ACSDT5Y2020.B08301_data_with_ov!$AS$3:$AS$1334,$B527)</f>
        <v>#VALUE!</v>
      </c>
      <c r="N527" s="17" t="e">
        <f>SUMIFS([1]ACSDT5Y2020.B08301_data_with_ov!AV$3:AV$1334,[1]ACSDT5Y2020.B08301_data_with_ov!$AS$3:$AS$1334,$B527)</f>
        <v>#VALUE!</v>
      </c>
      <c r="O527" s="17" t="e">
        <f>SUMIFS([1]ACSDT5Y2020.B08301_data_with_ov!AW$3:AW$1334,[1]ACSDT5Y2020.B08301_data_with_ov!$AS$3:$AS$1334,$B527)</f>
        <v>#VALUE!</v>
      </c>
      <c r="P527" s="17" t="e">
        <f>SUMIFS([1]ACSDT5Y2020.B08301_data_with_ov!AX$3:AX$1334,[1]ACSDT5Y2020.B08301_data_with_ov!$AS$3:$AS$1334,$B527)</f>
        <v>#VALUE!</v>
      </c>
      <c r="Q527" s="17" t="e">
        <f>SUMIFS([1]ACSDT5Y2020.B08301_data_with_ov!AY$3:AY$1334,[1]ACSDT5Y2020.B08301_data_with_ov!$AS$3:$AS$1334,$B527)</f>
        <v>#VALUE!</v>
      </c>
      <c r="R527" s="17" t="e">
        <f>SUMIFS([1]ACSDT5Y2020.B08301_data_with_ov!AZ$3:AZ$1334,[1]ACSDT5Y2020.B08301_data_with_ov!$AS$3:$AS$1334,$B527)</f>
        <v>#VALUE!</v>
      </c>
      <c r="S527" s="17" t="e">
        <f>SUMIFS([1]ACSDT5Y2020.B08301_data_with_ov!BA$3:BA$1334,[1]ACSDT5Y2020.B08301_data_with_ov!$AS$3:$AS$1334,$B527)</f>
        <v>#VALUE!</v>
      </c>
      <c r="T527" s="188">
        <v>0.42765101509852432</v>
      </c>
      <c r="U527" s="189" t="e">
        <f t="shared" si="35"/>
        <v>#VALUE!</v>
      </c>
      <c r="V527" s="188">
        <v>0.23050771350025898</v>
      </c>
      <c r="W527" s="189" t="e">
        <f t="shared" si="32"/>
        <v>#VALUE!</v>
      </c>
      <c r="X527" s="188">
        <v>0.23050771350025898</v>
      </c>
      <c r="Y527" s="189" t="e">
        <f t="shared" si="33"/>
        <v>#VALUE!</v>
      </c>
      <c r="Z527" s="188">
        <v>0.23050771350025898</v>
      </c>
      <c r="AA527" s="189" t="e">
        <f t="shared" si="34"/>
        <v>#VALUE!</v>
      </c>
    </row>
    <row r="528" spans="1:27" x14ac:dyDescent="0.25">
      <c r="A528">
        <v>530100</v>
      </c>
      <c r="B528">
        <v>17031530100</v>
      </c>
      <c r="C528">
        <v>17031</v>
      </c>
      <c r="D528">
        <v>2010</v>
      </c>
      <c r="E528">
        <v>53</v>
      </c>
      <c r="F528">
        <v>7008414.9019224504</v>
      </c>
      <c r="G528" s="45">
        <v>0.25139229302694738</v>
      </c>
      <c r="H528" s="60" t="str">
        <f>_xlfn.IFNA(
INDEX('Community Areas'!B$2:B$78,MATCH($E528,'Community Areas'!$A$2:$A$78,0)),
"")</f>
        <v>WEST PULLMAN</v>
      </c>
      <c r="I528" s="63" t="str">
        <f>_xlfn.IFNA(
INDEX('Community Areas'!C$2:C$78,MATCH($E528,'Community Areas'!$A$2:$A$78,0)),
"")</f>
        <v>5-B</v>
      </c>
      <c r="J528" s="63">
        <f>_xlfn.IFNA(
INDEX('Community Areas'!D$2:D$78,MATCH($E528,'Community Areas'!$A$2:$A$78,0)),
"")</f>
        <v>5</v>
      </c>
      <c r="K528" s="60" t="str">
        <f>_xlfn.IFNA(
INDEX('Community Areas'!E$2:E$78,MATCH($E528,'Community Areas'!$A$2:$A$78,0)),
"")</f>
        <v>FAR SOUTH</v>
      </c>
      <c r="L528" s="17" t="e">
        <f>SUMIFS([1]ACSDT5Y2020.B08301_data_with_ov!AT$3:AT$1334,[1]ACSDT5Y2020.B08301_data_with_ov!$AS$3:$AS$1334,$B528)</f>
        <v>#VALUE!</v>
      </c>
      <c r="M528" s="17" t="e">
        <f>SUMIFS([1]ACSDT5Y2020.B08301_data_with_ov!AU$3:AU$1334,[1]ACSDT5Y2020.B08301_data_with_ov!$AS$3:$AS$1334,$B528)</f>
        <v>#VALUE!</v>
      </c>
      <c r="N528" s="17" t="e">
        <f>SUMIFS([1]ACSDT5Y2020.B08301_data_with_ov!AV$3:AV$1334,[1]ACSDT5Y2020.B08301_data_with_ov!$AS$3:$AS$1334,$B528)</f>
        <v>#VALUE!</v>
      </c>
      <c r="O528" s="17" t="e">
        <f>SUMIFS([1]ACSDT5Y2020.B08301_data_with_ov!AW$3:AW$1334,[1]ACSDT5Y2020.B08301_data_with_ov!$AS$3:$AS$1334,$B528)</f>
        <v>#VALUE!</v>
      </c>
      <c r="P528" s="17" t="e">
        <f>SUMIFS([1]ACSDT5Y2020.B08301_data_with_ov!AX$3:AX$1334,[1]ACSDT5Y2020.B08301_data_with_ov!$AS$3:$AS$1334,$B528)</f>
        <v>#VALUE!</v>
      </c>
      <c r="Q528" s="17" t="e">
        <f>SUMIFS([1]ACSDT5Y2020.B08301_data_with_ov!AY$3:AY$1334,[1]ACSDT5Y2020.B08301_data_with_ov!$AS$3:$AS$1334,$B528)</f>
        <v>#VALUE!</v>
      </c>
      <c r="R528" s="17" t="e">
        <f>SUMIFS([1]ACSDT5Y2020.B08301_data_with_ov!AZ$3:AZ$1334,[1]ACSDT5Y2020.B08301_data_with_ov!$AS$3:$AS$1334,$B528)</f>
        <v>#VALUE!</v>
      </c>
      <c r="S528" s="17" t="e">
        <f>SUMIFS([1]ACSDT5Y2020.B08301_data_with_ov!BA$3:BA$1334,[1]ACSDT5Y2020.B08301_data_with_ov!$AS$3:$AS$1334,$B528)</f>
        <v>#VALUE!</v>
      </c>
      <c r="T528" s="188">
        <v>0.25035195881067779</v>
      </c>
      <c r="U528" s="189" t="e">
        <f t="shared" si="35"/>
        <v>#VALUE!</v>
      </c>
      <c r="V528" s="188">
        <v>0.1513623793037201</v>
      </c>
      <c r="W528" s="189" t="e">
        <f t="shared" si="32"/>
        <v>#VALUE!</v>
      </c>
      <c r="X528" s="188">
        <v>0.1513623793037201</v>
      </c>
      <c r="Y528" s="189" t="e">
        <f t="shared" si="33"/>
        <v>#VALUE!</v>
      </c>
      <c r="Z528" s="188">
        <v>0.1513623793037201</v>
      </c>
      <c r="AA528" s="189" t="e">
        <f t="shared" si="34"/>
        <v>#VALUE!</v>
      </c>
    </row>
    <row r="529" spans="1:27" x14ac:dyDescent="0.25">
      <c r="A529">
        <v>540101</v>
      </c>
      <c r="B529">
        <v>17031540101</v>
      </c>
      <c r="C529">
        <v>17031</v>
      </c>
      <c r="D529">
        <v>2010</v>
      </c>
      <c r="E529">
        <v>54</v>
      </c>
      <c r="F529">
        <v>41489845.062581196</v>
      </c>
      <c r="G529" s="45">
        <v>1.488243409326977</v>
      </c>
      <c r="H529" s="60" t="str">
        <f>_xlfn.IFNA(
INDEX('Community Areas'!B$2:B$78,MATCH($E529,'Community Areas'!$A$2:$A$78,0)),
"")</f>
        <v>RIVERDALE</v>
      </c>
      <c r="I529" s="63" t="str">
        <f>_xlfn.IFNA(
INDEX('Community Areas'!C$2:C$78,MATCH($E529,'Community Areas'!$A$2:$A$78,0)),
"")</f>
        <v>5-C</v>
      </c>
      <c r="J529" s="63">
        <f>_xlfn.IFNA(
INDEX('Community Areas'!D$2:D$78,MATCH($E529,'Community Areas'!$A$2:$A$78,0)),
"")</f>
        <v>5</v>
      </c>
      <c r="K529" s="60" t="str">
        <f>_xlfn.IFNA(
INDEX('Community Areas'!E$2:E$78,MATCH($E529,'Community Areas'!$A$2:$A$78,0)),
"")</f>
        <v>FAR SOUTH</v>
      </c>
      <c r="L529" s="17" t="e">
        <f>SUMIFS([1]ACSDT5Y2020.B08301_data_with_ov!AT$3:AT$1334,[1]ACSDT5Y2020.B08301_data_with_ov!$AS$3:$AS$1334,$B529)</f>
        <v>#VALUE!</v>
      </c>
      <c r="M529" s="17" t="e">
        <f>SUMIFS([1]ACSDT5Y2020.B08301_data_with_ov!AU$3:AU$1334,[1]ACSDT5Y2020.B08301_data_with_ov!$AS$3:$AS$1334,$B529)</f>
        <v>#VALUE!</v>
      </c>
      <c r="N529" s="17" t="e">
        <f>SUMIFS([1]ACSDT5Y2020.B08301_data_with_ov!AV$3:AV$1334,[1]ACSDT5Y2020.B08301_data_with_ov!$AS$3:$AS$1334,$B529)</f>
        <v>#VALUE!</v>
      </c>
      <c r="O529" s="17" t="e">
        <f>SUMIFS([1]ACSDT5Y2020.B08301_data_with_ov!AW$3:AW$1334,[1]ACSDT5Y2020.B08301_data_with_ov!$AS$3:$AS$1334,$B529)</f>
        <v>#VALUE!</v>
      </c>
      <c r="P529" s="17" t="e">
        <f>SUMIFS([1]ACSDT5Y2020.B08301_data_with_ov!AX$3:AX$1334,[1]ACSDT5Y2020.B08301_data_with_ov!$AS$3:$AS$1334,$B529)</f>
        <v>#VALUE!</v>
      </c>
      <c r="Q529" s="17" t="e">
        <f>SUMIFS([1]ACSDT5Y2020.B08301_data_with_ov!AY$3:AY$1334,[1]ACSDT5Y2020.B08301_data_with_ov!$AS$3:$AS$1334,$B529)</f>
        <v>#VALUE!</v>
      </c>
      <c r="R529" s="17" t="e">
        <f>SUMIFS([1]ACSDT5Y2020.B08301_data_with_ov!AZ$3:AZ$1334,[1]ACSDT5Y2020.B08301_data_with_ov!$AS$3:$AS$1334,$B529)</f>
        <v>#VALUE!</v>
      </c>
      <c r="S529" s="17" t="e">
        <f>SUMIFS([1]ACSDT5Y2020.B08301_data_with_ov!BA$3:BA$1334,[1]ACSDT5Y2020.B08301_data_with_ov!$AS$3:$AS$1334,$B529)</f>
        <v>#VALUE!</v>
      </c>
      <c r="T529" s="188">
        <v>0</v>
      </c>
      <c r="U529" s="189" t="e">
        <f t="shared" si="35"/>
        <v>#VALUE!</v>
      </c>
      <c r="V529" s="188">
        <v>0</v>
      </c>
      <c r="W529" s="189" t="e">
        <f t="shared" si="32"/>
        <v>#VALUE!</v>
      </c>
      <c r="X529" s="188">
        <v>0</v>
      </c>
      <c r="Y529" s="189" t="e">
        <f t="shared" si="33"/>
        <v>#VALUE!</v>
      </c>
      <c r="Z529" s="188">
        <v>0</v>
      </c>
      <c r="AA529" s="189" t="e">
        <f t="shared" si="34"/>
        <v>#VALUE!</v>
      </c>
    </row>
    <row r="530" spans="1:27" x14ac:dyDescent="0.25">
      <c r="A530">
        <v>540102</v>
      </c>
      <c r="B530">
        <v>17031540102</v>
      </c>
      <c r="C530">
        <v>17031</v>
      </c>
      <c r="D530">
        <v>2010</v>
      </c>
      <c r="E530">
        <v>54</v>
      </c>
      <c r="F530">
        <v>56899652.400020599</v>
      </c>
      <c r="G530" s="45">
        <v>2.0409941890503256</v>
      </c>
      <c r="H530" s="60" t="str">
        <f>_xlfn.IFNA(
INDEX('Community Areas'!B$2:B$78,MATCH($E530,'Community Areas'!$A$2:$A$78,0)),
"")</f>
        <v>RIVERDALE</v>
      </c>
      <c r="I530" s="63" t="str">
        <f>_xlfn.IFNA(
INDEX('Community Areas'!C$2:C$78,MATCH($E530,'Community Areas'!$A$2:$A$78,0)),
"")</f>
        <v>5-C</v>
      </c>
      <c r="J530" s="63">
        <f>_xlfn.IFNA(
INDEX('Community Areas'!D$2:D$78,MATCH($E530,'Community Areas'!$A$2:$A$78,0)),
"")</f>
        <v>5</v>
      </c>
      <c r="K530" s="60" t="str">
        <f>_xlfn.IFNA(
INDEX('Community Areas'!E$2:E$78,MATCH($E530,'Community Areas'!$A$2:$A$78,0)),
"")</f>
        <v>FAR SOUTH</v>
      </c>
      <c r="L530" s="17" t="e">
        <f>SUMIFS([1]ACSDT5Y2020.B08301_data_with_ov!AT$3:AT$1334,[1]ACSDT5Y2020.B08301_data_with_ov!$AS$3:$AS$1334,$B530)</f>
        <v>#VALUE!</v>
      </c>
      <c r="M530" s="17" t="e">
        <f>SUMIFS([1]ACSDT5Y2020.B08301_data_with_ov!AU$3:AU$1334,[1]ACSDT5Y2020.B08301_data_with_ov!$AS$3:$AS$1334,$B530)</f>
        <v>#VALUE!</v>
      </c>
      <c r="N530" s="17" t="e">
        <f>SUMIFS([1]ACSDT5Y2020.B08301_data_with_ov!AV$3:AV$1334,[1]ACSDT5Y2020.B08301_data_with_ov!$AS$3:$AS$1334,$B530)</f>
        <v>#VALUE!</v>
      </c>
      <c r="O530" s="17" t="e">
        <f>SUMIFS([1]ACSDT5Y2020.B08301_data_with_ov!AW$3:AW$1334,[1]ACSDT5Y2020.B08301_data_with_ov!$AS$3:$AS$1334,$B530)</f>
        <v>#VALUE!</v>
      </c>
      <c r="P530" s="17" t="e">
        <f>SUMIFS([1]ACSDT5Y2020.B08301_data_with_ov!AX$3:AX$1334,[1]ACSDT5Y2020.B08301_data_with_ov!$AS$3:$AS$1334,$B530)</f>
        <v>#VALUE!</v>
      </c>
      <c r="Q530" s="17" t="e">
        <f>SUMIFS([1]ACSDT5Y2020.B08301_data_with_ov!AY$3:AY$1334,[1]ACSDT5Y2020.B08301_data_with_ov!$AS$3:$AS$1334,$B530)</f>
        <v>#VALUE!</v>
      </c>
      <c r="R530" s="17" t="e">
        <f>SUMIFS([1]ACSDT5Y2020.B08301_data_with_ov!AZ$3:AZ$1334,[1]ACSDT5Y2020.B08301_data_with_ov!$AS$3:$AS$1334,$B530)</f>
        <v>#VALUE!</v>
      </c>
      <c r="S530" s="17" t="e">
        <f>SUMIFS([1]ACSDT5Y2020.B08301_data_with_ov!BA$3:BA$1334,[1]ACSDT5Y2020.B08301_data_with_ov!$AS$3:$AS$1334,$B530)</f>
        <v>#VALUE!</v>
      </c>
      <c r="T530" s="188">
        <v>0.24517772899179543</v>
      </c>
      <c r="U530" s="189" t="e">
        <f t="shared" si="35"/>
        <v>#VALUE!</v>
      </c>
      <c r="V530" s="188">
        <v>0.24431619575074073</v>
      </c>
      <c r="W530" s="189" t="e">
        <f t="shared" si="32"/>
        <v>#VALUE!</v>
      </c>
      <c r="X530" s="188">
        <v>0.24431619575074073</v>
      </c>
      <c r="Y530" s="189" t="e">
        <f t="shared" si="33"/>
        <v>#VALUE!</v>
      </c>
      <c r="Z530" s="188">
        <v>0.24431619575074073</v>
      </c>
      <c r="AA530" s="189" t="e">
        <f t="shared" si="34"/>
        <v>#VALUE!</v>
      </c>
    </row>
    <row r="531" spans="1:27" x14ac:dyDescent="0.25">
      <c r="A531">
        <v>550200</v>
      </c>
      <c r="B531">
        <v>17031550200</v>
      </c>
      <c r="C531">
        <v>17031</v>
      </c>
      <c r="D531">
        <v>2010</v>
      </c>
      <c r="E531">
        <v>55</v>
      </c>
      <c r="F531">
        <v>57541045.805164002</v>
      </c>
      <c r="G531" s="45">
        <v>2.0640010117210457</v>
      </c>
      <c r="H531" s="60" t="str">
        <f>_xlfn.IFNA(
INDEX('Community Areas'!B$2:B$78,MATCH($E531,'Community Areas'!$A$2:$A$78,0)),
"")</f>
        <v>HEGEWISCH</v>
      </c>
      <c r="I531" s="63" t="str">
        <f>_xlfn.IFNA(
INDEX('Community Areas'!C$2:C$78,MATCH($E531,'Community Areas'!$A$2:$A$78,0)),
"")</f>
        <v>5-C</v>
      </c>
      <c r="J531" s="63">
        <f>_xlfn.IFNA(
INDEX('Community Areas'!D$2:D$78,MATCH($E531,'Community Areas'!$A$2:$A$78,0)),
"")</f>
        <v>5</v>
      </c>
      <c r="K531" s="60" t="str">
        <f>_xlfn.IFNA(
INDEX('Community Areas'!E$2:E$78,MATCH($E531,'Community Areas'!$A$2:$A$78,0)),
"")</f>
        <v>FAR SOUTH</v>
      </c>
      <c r="L531" s="17" t="e">
        <f>SUMIFS([1]ACSDT5Y2020.B08301_data_with_ov!AT$3:AT$1334,[1]ACSDT5Y2020.B08301_data_with_ov!$AS$3:$AS$1334,$B531)</f>
        <v>#VALUE!</v>
      </c>
      <c r="M531" s="17" t="e">
        <f>SUMIFS([1]ACSDT5Y2020.B08301_data_with_ov!AU$3:AU$1334,[1]ACSDT5Y2020.B08301_data_with_ov!$AS$3:$AS$1334,$B531)</f>
        <v>#VALUE!</v>
      </c>
      <c r="N531" s="17" t="e">
        <f>SUMIFS([1]ACSDT5Y2020.B08301_data_with_ov!AV$3:AV$1334,[1]ACSDT5Y2020.B08301_data_with_ov!$AS$3:$AS$1334,$B531)</f>
        <v>#VALUE!</v>
      </c>
      <c r="O531" s="17" t="e">
        <f>SUMIFS([1]ACSDT5Y2020.B08301_data_with_ov!AW$3:AW$1334,[1]ACSDT5Y2020.B08301_data_with_ov!$AS$3:$AS$1334,$B531)</f>
        <v>#VALUE!</v>
      </c>
      <c r="P531" s="17" t="e">
        <f>SUMIFS([1]ACSDT5Y2020.B08301_data_with_ov!AX$3:AX$1334,[1]ACSDT5Y2020.B08301_data_with_ov!$AS$3:$AS$1334,$B531)</f>
        <v>#VALUE!</v>
      </c>
      <c r="Q531" s="17" t="e">
        <f>SUMIFS([1]ACSDT5Y2020.B08301_data_with_ov!AY$3:AY$1334,[1]ACSDT5Y2020.B08301_data_with_ov!$AS$3:$AS$1334,$B531)</f>
        <v>#VALUE!</v>
      </c>
      <c r="R531" s="17" t="e">
        <f>SUMIFS([1]ACSDT5Y2020.B08301_data_with_ov!AZ$3:AZ$1334,[1]ACSDT5Y2020.B08301_data_with_ov!$AS$3:$AS$1334,$B531)</f>
        <v>#VALUE!</v>
      </c>
      <c r="S531" s="17" t="e">
        <f>SUMIFS([1]ACSDT5Y2020.B08301_data_with_ov!BA$3:BA$1334,[1]ACSDT5Y2020.B08301_data_with_ov!$AS$3:$AS$1334,$B531)</f>
        <v>#VALUE!</v>
      </c>
      <c r="T531" s="188">
        <v>0.94545566288034111</v>
      </c>
      <c r="U531" s="189" t="e">
        <f t="shared" si="35"/>
        <v>#VALUE!</v>
      </c>
      <c r="V531" s="188">
        <v>0.94545566288034111</v>
      </c>
      <c r="W531" s="189" t="e">
        <f t="shared" si="32"/>
        <v>#VALUE!</v>
      </c>
      <c r="X531" s="188">
        <v>0.94545566288034111</v>
      </c>
      <c r="Y531" s="189" t="e">
        <f t="shared" si="33"/>
        <v>#VALUE!</v>
      </c>
      <c r="Z531" s="188">
        <v>0.94545566288034111</v>
      </c>
      <c r="AA531" s="189" t="e">
        <f t="shared" si="34"/>
        <v>#VALUE!</v>
      </c>
    </row>
    <row r="532" spans="1:27" x14ac:dyDescent="0.25">
      <c r="A532">
        <v>550100</v>
      </c>
      <c r="B532">
        <v>17031550100</v>
      </c>
      <c r="C532">
        <v>17031</v>
      </c>
      <c r="D532">
        <v>2010</v>
      </c>
      <c r="E532">
        <v>55</v>
      </c>
      <c r="F532">
        <v>88424695.440493807</v>
      </c>
      <c r="G532" s="45">
        <v>3.1717995093152336</v>
      </c>
      <c r="H532" s="60" t="str">
        <f>_xlfn.IFNA(
INDEX('Community Areas'!B$2:B$78,MATCH($E532,'Community Areas'!$A$2:$A$78,0)),
"")</f>
        <v>HEGEWISCH</v>
      </c>
      <c r="I532" s="63" t="str">
        <f>_xlfn.IFNA(
INDEX('Community Areas'!C$2:C$78,MATCH($E532,'Community Areas'!$A$2:$A$78,0)),
"")</f>
        <v>5-C</v>
      </c>
      <c r="J532" s="63">
        <f>_xlfn.IFNA(
INDEX('Community Areas'!D$2:D$78,MATCH($E532,'Community Areas'!$A$2:$A$78,0)),
"")</f>
        <v>5</v>
      </c>
      <c r="K532" s="60" t="str">
        <f>_xlfn.IFNA(
INDEX('Community Areas'!E$2:E$78,MATCH($E532,'Community Areas'!$A$2:$A$78,0)),
"")</f>
        <v>FAR SOUTH</v>
      </c>
      <c r="L532" s="17" t="e">
        <f>SUMIFS([1]ACSDT5Y2020.B08301_data_with_ov!AT$3:AT$1334,[1]ACSDT5Y2020.B08301_data_with_ov!$AS$3:$AS$1334,$B532)</f>
        <v>#VALUE!</v>
      </c>
      <c r="M532" s="17" t="e">
        <f>SUMIFS([1]ACSDT5Y2020.B08301_data_with_ov!AU$3:AU$1334,[1]ACSDT5Y2020.B08301_data_with_ov!$AS$3:$AS$1334,$B532)</f>
        <v>#VALUE!</v>
      </c>
      <c r="N532" s="17" t="e">
        <f>SUMIFS([1]ACSDT5Y2020.B08301_data_with_ov!AV$3:AV$1334,[1]ACSDT5Y2020.B08301_data_with_ov!$AS$3:$AS$1334,$B532)</f>
        <v>#VALUE!</v>
      </c>
      <c r="O532" s="17" t="e">
        <f>SUMIFS([1]ACSDT5Y2020.B08301_data_with_ov!AW$3:AW$1334,[1]ACSDT5Y2020.B08301_data_with_ov!$AS$3:$AS$1334,$B532)</f>
        <v>#VALUE!</v>
      </c>
      <c r="P532" s="17" t="e">
        <f>SUMIFS([1]ACSDT5Y2020.B08301_data_with_ov!AX$3:AX$1334,[1]ACSDT5Y2020.B08301_data_with_ov!$AS$3:$AS$1334,$B532)</f>
        <v>#VALUE!</v>
      </c>
      <c r="Q532" s="17" t="e">
        <f>SUMIFS([1]ACSDT5Y2020.B08301_data_with_ov!AY$3:AY$1334,[1]ACSDT5Y2020.B08301_data_with_ov!$AS$3:$AS$1334,$B532)</f>
        <v>#VALUE!</v>
      </c>
      <c r="R532" s="17" t="e">
        <f>SUMIFS([1]ACSDT5Y2020.B08301_data_with_ov!AZ$3:AZ$1334,[1]ACSDT5Y2020.B08301_data_with_ov!$AS$3:$AS$1334,$B532)</f>
        <v>#VALUE!</v>
      </c>
      <c r="S532" s="17" t="e">
        <f>SUMIFS([1]ACSDT5Y2020.B08301_data_with_ov!BA$3:BA$1334,[1]ACSDT5Y2020.B08301_data_with_ov!$AS$3:$AS$1334,$B532)</f>
        <v>#VALUE!</v>
      </c>
      <c r="T532" s="188">
        <v>2.2195005242041224</v>
      </c>
      <c r="U532" s="189" t="e">
        <f t="shared" si="35"/>
        <v>#VALUE!</v>
      </c>
      <c r="V532" s="188">
        <v>2.2195005242041224</v>
      </c>
      <c r="W532" s="189" t="e">
        <f t="shared" si="32"/>
        <v>#VALUE!</v>
      </c>
      <c r="X532" s="188">
        <v>2.2195005242041224</v>
      </c>
      <c r="Y532" s="189" t="e">
        <f t="shared" si="33"/>
        <v>#VALUE!</v>
      </c>
      <c r="Z532" s="188">
        <v>2.2195005242041224</v>
      </c>
      <c r="AA532" s="189" t="e">
        <f t="shared" si="34"/>
        <v>#VALUE!</v>
      </c>
    </row>
    <row r="533" spans="1:27" x14ac:dyDescent="0.25">
      <c r="A533">
        <v>560700</v>
      </c>
      <c r="B533">
        <v>17031560700</v>
      </c>
      <c r="C533">
        <v>17031</v>
      </c>
      <c r="D533">
        <v>2010</v>
      </c>
      <c r="E533">
        <v>56</v>
      </c>
      <c r="F533">
        <v>7117045.9846674995</v>
      </c>
      <c r="G533" s="45">
        <v>0.25528889694772655</v>
      </c>
      <c r="H533" s="60" t="str">
        <f>_xlfn.IFNA(
INDEX('Community Areas'!B$2:B$78,MATCH($E533,'Community Areas'!$A$2:$A$78,0)),
"")</f>
        <v>GARFIELD RIDGE</v>
      </c>
      <c r="I533" s="63" t="str">
        <f>_xlfn.IFNA(
INDEX('Community Areas'!C$2:C$78,MATCH($E533,'Community Areas'!$A$2:$A$78,0)),
"")</f>
        <v>4-B</v>
      </c>
      <c r="J533" s="63">
        <f>_xlfn.IFNA(
INDEX('Community Areas'!D$2:D$78,MATCH($E533,'Community Areas'!$A$2:$A$78,0)),
"")</f>
        <v>4</v>
      </c>
      <c r="K533" s="60" t="str">
        <f>_xlfn.IFNA(
INDEX('Community Areas'!E$2:E$78,MATCH($E533,'Community Areas'!$A$2:$A$78,0)),
"")</f>
        <v>SOUTHWEST</v>
      </c>
      <c r="L533" s="17" t="e">
        <f>SUMIFS([1]ACSDT5Y2020.B08301_data_with_ov!AT$3:AT$1334,[1]ACSDT5Y2020.B08301_data_with_ov!$AS$3:$AS$1334,$B533)</f>
        <v>#VALUE!</v>
      </c>
      <c r="M533" s="17" t="e">
        <f>SUMIFS([1]ACSDT5Y2020.B08301_data_with_ov!AU$3:AU$1334,[1]ACSDT5Y2020.B08301_data_with_ov!$AS$3:$AS$1334,$B533)</f>
        <v>#VALUE!</v>
      </c>
      <c r="N533" s="17" t="e">
        <f>SUMIFS([1]ACSDT5Y2020.B08301_data_with_ov!AV$3:AV$1334,[1]ACSDT5Y2020.B08301_data_with_ov!$AS$3:$AS$1334,$B533)</f>
        <v>#VALUE!</v>
      </c>
      <c r="O533" s="17" t="e">
        <f>SUMIFS([1]ACSDT5Y2020.B08301_data_with_ov!AW$3:AW$1334,[1]ACSDT5Y2020.B08301_data_with_ov!$AS$3:$AS$1334,$B533)</f>
        <v>#VALUE!</v>
      </c>
      <c r="P533" s="17" t="e">
        <f>SUMIFS([1]ACSDT5Y2020.B08301_data_with_ov!AX$3:AX$1334,[1]ACSDT5Y2020.B08301_data_with_ov!$AS$3:$AS$1334,$B533)</f>
        <v>#VALUE!</v>
      </c>
      <c r="Q533" s="17" t="e">
        <f>SUMIFS([1]ACSDT5Y2020.B08301_data_with_ov!AY$3:AY$1334,[1]ACSDT5Y2020.B08301_data_with_ov!$AS$3:$AS$1334,$B533)</f>
        <v>#VALUE!</v>
      </c>
      <c r="R533" s="17" t="e">
        <f>SUMIFS([1]ACSDT5Y2020.B08301_data_with_ov!AZ$3:AZ$1334,[1]ACSDT5Y2020.B08301_data_with_ov!$AS$3:$AS$1334,$B533)</f>
        <v>#VALUE!</v>
      </c>
      <c r="S533" s="17" t="e">
        <f>SUMIFS([1]ACSDT5Y2020.B08301_data_with_ov!BA$3:BA$1334,[1]ACSDT5Y2020.B08301_data_with_ov!$AS$3:$AS$1334,$B533)</f>
        <v>#VALUE!</v>
      </c>
      <c r="T533" s="188">
        <v>0</v>
      </c>
      <c r="U533" s="189" t="e">
        <f t="shared" si="35"/>
        <v>#VALUE!</v>
      </c>
      <c r="V533" s="188">
        <v>0</v>
      </c>
      <c r="W533" s="189" t="e">
        <f t="shared" si="32"/>
        <v>#VALUE!</v>
      </c>
      <c r="X533" s="188">
        <v>0</v>
      </c>
      <c r="Y533" s="189" t="e">
        <f t="shared" si="33"/>
        <v>#VALUE!</v>
      </c>
      <c r="Z533" s="188">
        <v>0</v>
      </c>
      <c r="AA533" s="189" t="e">
        <f t="shared" si="34"/>
        <v>#VALUE!</v>
      </c>
    </row>
    <row r="534" spans="1:27" x14ac:dyDescent="0.25">
      <c r="A534">
        <v>560800</v>
      </c>
      <c r="B534">
        <v>17031560800</v>
      </c>
      <c r="C534">
        <v>17031</v>
      </c>
      <c r="D534">
        <v>2010</v>
      </c>
      <c r="E534">
        <v>56</v>
      </c>
      <c r="F534">
        <v>14221500.3239349</v>
      </c>
      <c r="G534" s="45">
        <v>0.51012613076557123</v>
      </c>
      <c r="H534" s="60" t="str">
        <f>_xlfn.IFNA(
INDEX('Community Areas'!B$2:B$78,MATCH($E534,'Community Areas'!$A$2:$A$78,0)),
"")</f>
        <v>GARFIELD RIDGE</v>
      </c>
      <c r="I534" s="63" t="str">
        <f>_xlfn.IFNA(
INDEX('Community Areas'!C$2:C$78,MATCH($E534,'Community Areas'!$A$2:$A$78,0)),
"")</f>
        <v>4-B</v>
      </c>
      <c r="J534" s="63">
        <f>_xlfn.IFNA(
INDEX('Community Areas'!D$2:D$78,MATCH($E534,'Community Areas'!$A$2:$A$78,0)),
"")</f>
        <v>4</v>
      </c>
      <c r="K534" s="60" t="str">
        <f>_xlfn.IFNA(
INDEX('Community Areas'!E$2:E$78,MATCH($E534,'Community Areas'!$A$2:$A$78,0)),
"")</f>
        <v>SOUTHWEST</v>
      </c>
      <c r="L534" s="17" t="e">
        <f>SUMIFS([1]ACSDT5Y2020.B08301_data_with_ov!AT$3:AT$1334,[1]ACSDT5Y2020.B08301_data_with_ov!$AS$3:$AS$1334,$B534)</f>
        <v>#VALUE!</v>
      </c>
      <c r="M534" s="17" t="e">
        <f>SUMIFS([1]ACSDT5Y2020.B08301_data_with_ov!AU$3:AU$1334,[1]ACSDT5Y2020.B08301_data_with_ov!$AS$3:$AS$1334,$B534)</f>
        <v>#VALUE!</v>
      </c>
      <c r="N534" s="17" t="e">
        <f>SUMIFS([1]ACSDT5Y2020.B08301_data_with_ov!AV$3:AV$1334,[1]ACSDT5Y2020.B08301_data_with_ov!$AS$3:$AS$1334,$B534)</f>
        <v>#VALUE!</v>
      </c>
      <c r="O534" s="17" t="e">
        <f>SUMIFS([1]ACSDT5Y2020.B08301_data_with_ov!AW$3:AW$1334,[1]ACSDT5Y2020.B08301_data_with_ov!$AS$3:$AS$1334,$B534)</f>
        <v>#VALUE!</v>
      </c>
      <c r="P534" s="17" t="e">
        <f>SUMIFS([1]ACSDT5Y2020.B08301_data_with_ov!AX$3:AX$1334,[1]ACSDT5Y2020.B08301_data_with_ov!$AS$3:$AS$1334,$B534)</f>
        <v>#VALUE!</v>
      </c>
      <c r="Q534" s="17" t="e">
        <f>SUMIFS([1]ACSDT5Y2020.B08301_data_with_ov!AY$3:AY$1334,[1]ACSDT5Y2020.B08301_data_with_ov!$AS$3:$AS$1334,$B534)</f>
        <v>#VALUE!</v>
      </c>
      <c r="R534" s="17" t="e">
        <f>SUMIFS([1]ACSDT5Y2020.B08301_data_with_ov!AZ$3:AZ$1334,[1]ACSDT5Y2020.B08301_data_with_ov!$AS$3:$AS$1334,$B534)</f>
        <v>#VALUE!</v>
      </c>
      <c r="S534" s="17" t="e">
        <f>SUMIFS([1]ACSDT5Y2020.B08301_data_with_ov!BA$3:BA$1334,[1]ACSDT5Y2020.B08301_data_with_ov!$AS$3:$AS$1334,$B534)</f>
        <v>#VALUE!</v>
      </c>
      <c r="T534" s="188">
        <v>0</v>
      </c>
      <c r="U534" s="189" t="e">
        <f t="shared" si="35"/>
        <v>#VALUE!</v>
      </c>
      <c r="V534" s="188">
        <v>0</v>
      </c>
      <c r="W534" s="189" t="e">
        <f t="shared" si="32"/>
        <v>#VALUE!</v>
      </c>
      <c r="X534" s="188">
        <v>0</v>
      </c>
      <c r="Y534" s="189" t="e">
        <f t="shared" si="33"/>
        <v>#VALUE!</v>
      </c>
      <c r="Z534" s="188">
        <v>0</v>
      </c>
      <c r="AA534" s="189" t="e">
        <f t="shared" si="34"/>
        <v>#VALUE!</v>
      </c>
    </row>
    <row r="535" spans="1:27" x14ac:dyDescent="0.25">
      <c r="A535">
        <v>560300</v>
      </c>
      <c r="B535">
        <v>17031560300</v>
      </c>
      <c r="C535">
        <v>17031</v>
      </c>
      <c r="D535">
        <v>2010</v>
      </c>
      <c r="E535">
        <v>56</v>
      </c>
      <c r="F535">
        <v>7094219.8788849497</v>
      </c>
      <c r="G535" s="45">
        <v>0.2544701230660637</v>
      </c>
      <c r="H535" s="60" t="str">
        <f>_xlfn.IFNA(
INDEX('Community Areas'!B$2:B$78,MATCH($E535,'Community Areas'!$A$2:$A$78,0)),
"")</f>
        <v>GARFIELD RIDGE</v>
      </c>
      <c r="I535" s="63" t="str">
        <f>_xlfn.IFNA(
INDEX('Community Areas'!C$2:C$78,MATCH($E535,'Community Areas'!$A$2:$A$78,0)),
"")</f>
        <v>4-B</v>
      </c>
      <c r="J535" s="63">
        <f>_xlfn.IFNA(
INDEX('Community Areas'!D$2:D$78,MATCH($E535,'Community Areas'!$A$2:$A$78,0)),
"")</f>
        <v>4</v>
      </c>
      <c r="K535" s="60" t="str">
        <f>_xlfn.IFNA(
INDEX('Community Areas'!E$2:E$78,MATCH($E535,'Community Areas'!$A$2:$A$78,0)),
"")</f>
        <v>SOUTHWEST</v>
      </c>
      <c r="L535" s="17" t="e">
        <f>SUMIFS([1]ACSDT5Y2020.B08301_data_with_ov!AT$3:AT$1334,[1]ACSDT5Y2020.B08301_data_with_ov!$AS$3:$AS$1334,$B535)</f>
        <v>#VALUE!</v>
      </c>
      <c r="M535" s="17" t="e">
        <f>SUMIFS([1]ACSDT5Y2020.B08301_data_with_ov!AU$3:AU$1334,[1]ACSDT5Y2020.B08301_data_with_ov!$AS$3:$AS$1334,$B535)</f>
        <v>#VALUE!</v>
      </c>
      <c r="N535" s="17" t="e">
        <f>SUMIFS([1]ACSDT5Y2020.B08301_data_with_ov!AV$3:AV$1334,[1]ACSDT5Y2020.B08301_data_with_ov!$AS$3:$AS$1334,$B535)</f>
        <v>#VALUE!</v>
      </c>
      <c r="O535" s="17" t="e">
        <f>SUMIFS([1]ACSDT5Y2020.B08301_data_with_ov!AW$3:AW$1334,[1]ACSDT5Y2020.B08301_data_with_ov!$AS$3:$AS$1334,$B535)</f>
        <v>#VALUE!</v>
      </c>
      <c r="P535" s="17" t="e">
        <f>SUMIFS([1]ACSDT5Y2020.B08301_data_with_ov!AX$3:AX$1334,[1]ACSDT5Y2020.B08301_data_with_ov!$AS$3:$AS$1334,$B535)</f>
        <v>#VALUE!</v>
      </c>
      <c r="Q535" s="17" t="e">
        <f>SUMIFS([1]ACSDT5Y2020.B08301_data_with_ov!AY$3:AY$1334,[1]ACSDT5Y2020.B08301_data_with_ov!$AS$3:$AS$1334,$B535)</f>
        <v>#VALUE!</v>
      </c>
      <c r="R535" s="17" t="e">
        <f>SUMIFS([1]ACSDT5Y2020.B08301_data_with_ov!AZ$3:AZ$1334,[1]ACSDT5Y2020.B08301_data_with_ov!$AS$3:$AS$1334,$B535)</f>
        <v>#VALUE!</v>
      </c>
      <c r="S535" s="17" t="e">
        <f>SUMIFS([1]ACSDT5Y2020.B08301_data_with_ov!BA$3:BA$1334,[1]ACSDT5Y2020.B08301_data_with_ov!$AS$3:$AS$1334,$B535)</f>
        <v>#VALUE!</v>
      </c>
      <c r="T535" s="188">
        <v>0</v>
      </c>
      <c r="U535" s="189" t="e">
        <f t="shared" si="35"/>
        <v>#VALUE!</v>
      </c>
      <c r="V535" s="188">
        <v>0</v>
      </c>
      <c r="W535" s="189" t="e">
        <f t="shared" si="32"/>
        <v>#VALUE!</v>
      </c>
      <c r="X535" s="188">
        <v>0</v>
      </c>
      <c r="Y535" s="189" t="e">
        <f t="shared" si="33"/>
        <v>#VALUE!</v>
      </c>
      <c r="Z535" s="188">
        <v>0</v>
      </c>
      <c r="AA535" s="189" t="e">
        <f t="shared" si="34"/>
        <v>#VALUE!</v>
      </c>
    </row>
    <row r="536" spans="1:27" x14ac:dyDescent="0.25">
      <c r="A536">
        <v>560100</v>
      </c>
      <c r="B536">
        <v>17031560100</v>
      </c>
      <c r="C536">
        <v>17031</v>
      </c>
      <c r="D536">
        <v>2010</v>
      </c>
      <c r="E536">
        <v>56</v>
      </c>
      <c r="F536">
        <v>7676923.2446705997</v>
      </c>
      <c r="G536" s="45">
        <v>0.27537173025247502</v>
      </c>
      <c r="H536" s="60" t="str">
        <f>_xlfn.IFNA(
INDEX('Community Areas'!B$2:B$78,MATCH($E536,'Community Areas'!$A$2:$A$78,0)),
"")</f>
        <v>GARFIELD RIDGE</v>
      </c>
      <c r="I536" s="63" t="str">
        <f>_xlfn.IFNA(
INDEX('Community Areas'!C$2:C$78,MATCH($E536,'Community Areas'!$A$2:$A$78,0)),
"")</f>
        <v>4-B</v>
      </c>
      <c r="J536" s="63">
        <f>_xlfn.IFNA(
INDEX('Community Areas'!D$2:D$78,MATCH($E536,'Community Areas'!$A$2:$A$78,0)),
"")</f>
        <v>4</v>
      </c>
      <c r="K536" s="60" t="str">
        <f>_xlfn.IFNA(
INDEX('Community Areas'!E$2:E$78,MATCH($E536,'Community Areas'!$A$2:$A$78,0)),
"")</f>
        <v>SOUTHWEST</v>
      </c>
      <c r="L536" s="17" t="e">
        <f>SUMIFS([1]ACSDT5Y2020.B08301_data_with_ov!AT$3:AT$1334,[1]ACSDT5Y2020.B08301_data_with_ov!$AS$3:$AS$1334,$B536)</f>
        <v>#VALUE!</v>
      </c>
      <c r="M536" s="17" t="e">
        <f>SUMIFS([1]ACSDT5Y2020.B08301_data_with_ov!AU$3:AU$1334,[1]ACSDT5Y2020.B08301_data_with_ov!$AS$3:$AS$1334,$B536)</f>
        <v>#VALUE!</v>
      </c>
      <c r="N536" s="17" t="e">
        <f>SUMIFS([1]ACSDT5Y2020.B08301_data_with_ov!AV$3:AV$1334,[1]ACSDT5Y2020.B08301_data_with_ov!$AS$3:$AS$1334,$B536)</f>
        <v>#VALUE!</v>
      </c>
      <c r="O536" s="17" t="e">
        <f>SUMIFS([1]ACSDT5Y2020.B08301_data_with_ov!AW$3:AW$1334,[1]ACSDT5Y2020.B08301_data_with_ov!$AS$3:$AS$1334,$B536)</f>
        <v>#VALUE!</v>
      </c>
      <c r="P536" s="17" t="e">
        <f>SUMIFS([1]ACSDT5Y2020.B08301_data_with_ov!AX$3:AX$1334,[1]ACSDT5Y2020.B08301_data_with_ov!$AS$3:$AS$1334,$B536)</f>
        <v>#VALUE!</v>
      </c>
      <c r="Q536" s="17" t="e">
        <f>SUMIFS([1]ACSDT5Y2020.B08301_data_with_ov!AY$3:AY$1334,[1]ACSDT5Y2020.B08301_data_with_ov!$AS$3:$AS$1334,$B536)</f>
        <v>#VALUE!</v>
      </c>
      <c r="R536" s="17" t="e">
        <f>SUMIFS([1]ACSDT5Y2020.B08301_data_with_ov!AZ$3:AZ$1334,[1]ACSDT5Y2020.B08301_data_with_ov!$AS$3:$AS$1334,$B536)</f>
        <v>#VALUE!</v>
      </c>
      <c r="S536" s="17" t="e">
        <f>SUMIFS([1]ACSDT5Y2020.B08301_data_with_ov!BA$3:BA$1334,[1]ACSDT5Y2020.B08301_data_with_ov!$AS$3:$AS$1334,$B536)</f>
        <v>#VALUE!</v>
      </c>
      <c r="T536" s="188">
        <v>0</v>
      </c>
      <c r="U536" s="189" t="e">
        <f t="shared" si="35"/>
        <v>#VALUE!</v>
      </c>
      <c r="V536" s="188">
        <v>0</v>
      </c>
      <c r="W536" s="189" t="e">
        <f t="shared" si="32"/>
        <v>#VALUE!</v>
      </c>
      <c r="X536" s="188">
        <v>0</v>
      </c>
      <c r="Y536" s="189" t="e">
        <f t="shared" si="33"/>
        <v>#VALUE!</v>
      </c>
      <c r="Z536" s="188">
        <v>0</v>
      </c>
      <c r="AA536" s="189" t="e">
        <f t="shared" si="34"/>
        <v>#VALUE!</v>
      </c>
    </row>
    <row r="537" spans="1:27" x14ac:dyDescent="0.25">
      <c r="A537">
        <v>561100</v>
      </c>
      <c r="B537">
        <v>17031561100</v>
      </c>
      <c r="C537">
        <v>17031</v>
      </c>
      <c r="D537">
        <v>2010</v>
      </c>
      <c r="E537">
        <v>56</v>
      </c>
      <c r="F537">
        <v>14230962.5730065</v>
      </c>
      <c r="G537" s="45">
        <v>0.5104655422479949</v>
      </c>
      <c r="H537" s="60" t="str">
        <f>_xlfn.IFNA(
INDEX('Community Areas'!B$2:B$78,MATCH($E537,'Community Areas'!$A$2:$A$78,0)),
"")</f>
        <v>GARFIELD RIDGE</v>
      </c>
      <c r="I537" s="63" t="str">
        <f>_xlfn.IFNA(
INDEX('Community Areas'!C$2:C$78,MATCH($E537,'Community Areas'!$A$2:$A$78,0)),
"")</f>
        <v>4-B</v>
      </c>
      <c r="J537" s="63">
        <f>_xlfn.IFNA(
INDEX('Community Areas'!D$2:D$78,MATCH($E537,'Community Areas'!$A$2:$A$78,0)),
"")</f>
        <v>4</v>
      </c>
      <c r="K537" s="60" t="str">
        <f>_xlfn.IFNA(
INDEX('Community Areas'!E$2:E$78,MATCH($E537,'Community Areas'!$A$2:$A$78,0)),
"")</f>
        <v>SOUTHWEST</v>
      </c>
      <c r="L537" s="17" t="e">
        <f>SUMIFS([1]ACSDT5Y2020.B08301_data_with_ov!AT$3:AT$1334,[1]ACSDT5Y2020.B08301_data_with_ov!$AS$3:$AS$1334,$B537)</f>
        <v>#VALUE!</v>
      </c>
      <c r="M537" s="17" t="e">
        <f>SUMIFS([1]ACSDT5Y2020.B08301_data_with_ov!AU$3:AU$1334,[1]ACSDT5Y2020.B08301_data_with_ov!$AS$3:$AS$1334,$B537)</f>
        <v>#VALUE!</v>
      </c>
      <c r="N537" s="17" t="e">
        <f>SUMIFS([1]ACSDT5Y2020.B08301_data_with_ov!AV$3:AV$1334,[1]ACSDT5Y2020.B08301_data_with_ov!$AS$3:$AS$1334,$B537)</f>
        <v>#VALUE!</v>
      </c>
      <c r="O537" s="17" t="e">
        <f>SUMIFS([1]ACSDT5Y2020.B08301_data_with_ov!AW$3:AW$1334,[1]ACSDT5Y2020.B08301_data_with_ov!$AS$3:$AS$1334,$B537)</f>
        <v>#VALUE!</v>
      </c>
      <c r="P537" s="17" t="e">
        <f>SUMIFS([1]ACSDT5Y2020.B08301_data_with_ov!AX$3:AX$1334,[1]ACSDT5Y2020.B08301_data_with_ov!$AS$3:$AS$1334,$B537)</f>
        <v>#VALUE!</v>
      </c>
      <c r="Q537" s="17" t="e">
        <f>SUMIFS([1]ACSDT5Y2020.B08301_data_with_ov!AY$3:AY$1334,[1]ACSDT5Y2020.B08301_data_with_ov!$AS$3:$AS$1334,$B537)</f>
        <v>#VALUE!</v>
      </c>
      <c r="R537" s="17" t="e">
        <f>SUMIFS([1]ACSDT5Y2020.B08301_data_with_ov!AZ$3:AZ$1334,[1]ACSDT5Y2020.B08301_data_with_ov!$AS$3:$AS$1334,$B537)</f>
        <v>#VALUE!</v>
      </c>
      <c r="S537" s="17" t="e">
        <f>SUMIFS([1]ACSDT5Y2020.B08301_data_with_ov!BA$3:BA$1334,[1]ACSDT5Y2020.B08301_data_with_ov!$AS$3:$AS$1334,$B537)</f>
        <v>#VALUE!</v>
      </c>
      <c r="T537" s="188">
        <v>0</v>
      </c>
      <c r="U537" s="189" t="e">
        <f t="shared" si="35"/>
        <v>#VALUE!</v>
      </c>
      <c r="V537" s="188">
        <v>0</v>
      </c>
      <c r="W537" s="189" t="e">
        <f t="shared" si="32"/>
        <v>#VALUE!</v>
      </c>
      <c r="X537" s="188">
        <v>0</v>
      </c>
      <c r="Y537" s="189" t="e">
        <f t="shared" si="33"/>
        <v>#VALUE!</v>
      </c>
      <c r="Z537" s="188">
        <v>0</v>
      </c>
      <c r="AA537" s="189" t="e">
        <f t="shared" si="34"/>
        <v>#VALUE!</v>
      </c>
    </row>
    <row r="538" spans="1:27" x14ac:dyDescent="0.25">
      <c r="A538">
        <v>560400</v>
      </c>
      <c r="B538">
        <v>17031560400</v>
      </c>
      <c r="C538">
        <v>17031</v>
      </c>
      <c r="D538">
        <v>2010</v>
      </c>
      <c r="E538">
        <v>56</v>
      </c>
      <c r="F538">
        <v>3545305.2554700002</v>
      </c>
      <c r="G538" s="45">
        <v>0.1271703274029356</v>
      </c>
      <c r="H538" s="60" t="str">
        <f>_xlfn.IFNA(
INDEX('Community Areas'!B$2:B$78,MATCH($E538,'Community Areas'!$A$2:$A$78,0)),
"")</f>
        <v>GARFIELD RIDGE</v>
      </c>
      <c r="I538" s="63" t="str">
        <f>_xlfn.IFNA(
INDEX('Community Areas'!C$2:C$78,MATCH($E538,'Community Areas'!$A$2:$A$78,0)),
"")</f>
        <v>4-B</v>
      </c>
      <c r="J538" s="63">
        <f>_xlfn.IFNA(
INDEX('Community Areas'!D$2:D$78,MATCH($E538,'Community Areas'!$A$2:$A$78,0)),
"")</f>
        <v>4</v>
      </c>
      <c r="K538" s="60" t="str">
        <f>_xlfn.IFNA(
INDEX('Community Areas'!E$2:E$78,MATCH($E538,'Community Areas'!$A$2:$A$78,0)),
"")</f>
        <v>SOUTHWEST</v>
      </c>
      <c r="L538" s="17" t="e">
        <f>SUMIFS([1]ACSDT5Y2020.B08301_data_with_ov!AT$3:AT$1334,[1]ACSDT5Y2020.B08301_data_with_ov!$AS$3:$AS$1334,$B538)</f>
        <v>#VALUE!</v>
      </c>
      <c r="M538" s="17" t="e">
        <f>SUMIFS([1]ACSDT5Y2020.B08301_data_with_ov!AU$3:AU$1334,[1]ACSDT5Y2020.B08301_data_with_ov!$AS$3:$AS$1334,$B538)</f>
        <v>#VALUE!</v>
      </c>
      <c r="N538" s="17" t="e">
        <f>SUMIFS([1]ACSDT5Y2020.B08301_data_with_ov!AV$3:AV$1334,[1]ACSDT5Y2020.B08301_data_with_ov!$AS$3:$AS$1334,$B538)</f>
        <v>#VALUE!</v>
      </c>
      <c r="O538" s="17" t="e">
        <f>SUMIFS([1]ACSDT5Y2020.B08301_data_with_ov!AW$3:AW$1334,[1]ACSDT5Y2020.B08301_data_with_ov!$AS$3:$AS$1334,$B538)</f>
        <v>#VALUE!</v>
      </c>
      <c r="P538" s="17" t="e">
        <f>SUMIFS([1]ACSDT5Y2020.B08301_data_with_ov!AX$3:AX$1334,[1]ACSDT5Y2020.B08301_data_with_ov!$AS$3:$AS$1334,$B538)</f>
        <v>#VALUE!</v>
      </c>
      <c r="Q538" s="17" t="e">
        <f>SUMIFS([1]ACSDT5Y2020.B08301_data_with_ov!AY$3:AY$1334,[1]ACSDT5Y2020.B08301_data_with_ov!$AS$3:$AS$1334,$B538)</f>
        <v>#VALUE!</v>
      </c>
      <c r="R538" s="17" t="e">
        <f>SUMIFS([1]ACSDT5Y2020.B08301_data_with_ov!AZ$3:AZ$1334,[1]ACSDT5Y2020.B08301_data_with_ov!$AS$3:$AS$1334,$B538)</f>
        <v>#VALUE!</v>
      </c>
      <c r="S538" s="17" t="e">
        <f>SUMIFS([1]ACSDT5Y2020.B08301_data_with_ov!BA$3:BA$1334,[1]ACSDT5Y2020.B08301_data_with_ov!$AS$3:$AS$1334,$B538)</f>
        <v>#VALUE!</v>
      </c>
      <c r="T538" s="188">
        <v>0</v>
      </c>
      <c r="U538" s="189" t="e">
        <f t="shared" si="35"/>
        <v>#VALUE!</v>
      </c>
      <c r="V538" s="188">
        <v>0</v>
      </c>
      <c r="W538" s="189" t="e">
        <f t="shared" si="32"/>
        <v>#VALUE!</v>
      </c>
      <c r="X538" s="188">
        <v>0</v>
      </c>
      <c r="Y538" s="189" t="e">
        <f t="shared" si="33"/>
        <v>#VALUE!</v>
      </c>
      <c r="Z538" s="188">
        <v>0</v>
      </c>
      <c r="AA538" s="189" t="e">
        <f t="shared" si="34"/>
        <v>#VALUE!</v>
      </c>
    </row>
    <row r="539" spans="1:27" x14ac:dyDescent="0.25">
      <c r="A539">
        <v>560200</v>
      </c>
      <c r="B539">
        <v>17031560200</v>
      </c>
      <c r="C539">
        <v>17031</v>
      </c>
      <c r="D539">
        <v>2010</v>
      </c>
      <c r="E539">
        <v>56</v>
      </c>
      <c r="F539">
        <v>7119167.7014212096</v>
      </c>
      <c r="G539" s="45">
        <v>0.25536500306406429</v>
      </c>
      <c r="H539" s="60" t="str">
        <f>_xlfn.IFNA(
INDEX('Community Areas'!B$2:B$78,MATCH($E539,'Community Areas'!$A$2:$A$78,0)),
"")</f>
        <v>GARFIELD RIDGE</v>
      </c>
      <c r="I539" s="63" t="str">
        <f>_xlfn.IFNA(
INDEX('Community Areas'!C$2:C$78,MATCH($E539,'Community Areas'!$A$2:$A$78,0)),
"")</f>
        <v>4-B</v>
      </c>
      <c r="J539" s="63">
        <f>_xlfn.IFNA(
INDEX('Community Areas'!D$2:D$78,MATCH($E539,'Community Areas'!$A$2:$A$78,0)),
"")</f>
        <v>4</v>
      </c>
      <c r="K539" s="60" t="str">
        <f>_xlfn.IFNA(
INDEX('Community Areas'!E$2:E$78,MATCH($E539,'Community Areas'!$A$2:$A$78,0)),
"")</f>
        <v>SOUTHWEST</v>
      </c>
      <c r="L539" s="17" t="e">
        <f>SUMIFS([1]ACSDT5Y2020.B08301_data_with_ov!AT$3:AT$1334,[1]ACSDT5Y2020.B08301_data_with_ov!$AS$3:$AS$1334,$B539)</f>
        <v>#VALUE!</v>
      </c>
      <c r="M539" s="17" t="e">
        <f>SUMIFS([1]ACSDT5Y2020.B08301_data_with_ov!AU$3:AU$1334,[1]ACSDT5Y2020.B08301_data_with_ov!$AS$3:$AS$1334,$B539)</f>
        <v>#VALUE!</v>
      </c>
      <c r="N539" s="17" t="e">
        <f>SUMIFS([1]ACSDT5Y2020.B08301_data_with_ov!AV$3:AV$1334,[1]ACSDT5Y2020.B08301_data_with_ov!$AS$3:$AS$1334,$B539)</f>
        <v>#VALUE!</v>
      </c>
      <c r="O539" s="17" t="e">
        <f>SUMIFS([1]ACSDT5Y2020.B08301_data_with_ov!AW$3:AW$1334,[1]ACSDT5Y2020.B08301_data_with_ov!$AS$3:$AS$1334,$B539)</f>
        <v>#VALUE!</v>
      </c>
      <c r="P539" s="17" t="e">
        <f>SUMIFS([1]ACSDT5Y2020.B08301_data_with_ov!AX$3:AX$1334,[1]ACSDT5Y2020.B08301_data_with_ov!$AS$3:$AS$1334,$B539)</f>
        <v>#VALUE!</v>
      </c>
      <c r="Q539" s="17" t="e">
        <f>SUMIFS([1]ACSDT5Y2020.B08301_data_with_ov!AY$3:AY$1334,[1]ACSDT5Y2020.B08301_data_with_ov!$AS$3:$AS$1334,$B539)</f>
        <v>#VALUE!</v>
      </c>
      <c r="R539" s="17" t="e">
        <f>SUMIFS([1]ACSDT5Y2020.B08301_data_with_ov!AZ$3:AZ$1334,[1]ACSDT5Y2020.B08301_data_with_ov!$AS$3:$AS$1334,$B539)</f>
        <v>#VALUE!</v>
      </c>
      <c r="S539" s="17" t="e">
        <f>SUMIFS([1]ACSDT5Y2020.B08301_data_with_ov!BA$3:BA$1334,[1]ACSDT5Y2020.B08301_data_with_ov!$AS$3:$AS$1334,$B539)</f>
        <v>#VALUE!</v>
      </c>
      <c r="T539" s="188">
        <v>0</v>
      </c>
      <c r="U539" s="189" t="e">
        <f t="shared" si="35"/>
        <v>#VALUE!</v>
      </c>
      <c r="V539" s="188">
        <v>0</v>
      </c>
      <c r="W539" s="189" t="e">
        <f t="shared" si="32"/>
        <v>#VALUE!</v>
      </c>
      <c r="X539" s="188">
        <v>0</v>
      </c>
      <c r="Y539" s="189" t="e">
        <f t="shared" si="33"/>
        <v>#VALUE!</v>
      </c>
      <c r="Z539" s="188">
        <v>0</v>
      </c>
      <c r="AA539" s="189" t="e">
        <f t="shared" si="34"/>
        <v>#VALUE!</v>
      </c>
    </row>
    <row r="540" spans="1:27" x14ac:dyDescent="0.25">
      <c r="A540">
        <v>561000</v>
      </c>
      <c r="B540">
        <v>17031561000</v>
      </c>
      <c r="C540">
        <v>17031</v>
      </c>
      <c r="D540">
        <v>2010</v>
      </c>
      <c r="E540">
        <v>56</v>
      </c>
      <c r="F540">
        <v>14297329.7187772</v>
      </c>
      <c r="G540" s="45">
        <v>0.51284613603281393</v>
      </c>
      <c r="H540" s="60" t="str">
        <f>_xlfn.IFNA(
INDEX('Community Areas'!B$2:B$78,MATCH($E540,'Community Areas'!$A$2:$A$78,0)),
"")</f>
        <v>GARFIELD RIDGE</v>
      </c>
      <c r="I540" s="63" t="str">
        <f>_xlfn.IFNA(
INDEX('Community Areas'!C$2:C$78,MATCH($E540,'Community Areas'!$A$2:$A$78,0)),
"")</f>
        <v>4-B</v>
      </c>
      <c r="J540" s="63">
        <f>_xlfn.IFNA(
INDEX('Community Areas'!D$2:D$78,MATCH($E540,'Community Areas'!$A$2:$A$78,0)),
"")</f>
        <v>4</v>
      </c>
      <c r="K540" s="60" t="str">
        <f>_xlfn.IFNA(
INDEX('Community Areas'!E$2:E$78,MATCH($E540,'Community Areas'!$A$2:$A$78,0)),
"")</f>
        <v>SOUTHWEST</v>
      </c>
      <c r="L540" s="17" t="e">
        <f>SUMIFS([1]ACSDT5Y2020.B08301_data_with_ov!AT$3:AT$1334,[1]ACSDT5Y2020.B08301_data_with_ov!$AS$3:$AS$1334,$B540)</f>
        <v>#VALUE!</v>
      </c>
      <c r="M540" s="17" t="e">
        <f>SUMIFS([1]ACSDT5Y2020.B08301_data_with_ov!AU$3:AU$1334,[1]ACSDT5Y2020.B08301_data_with_ov!$AS$3:$AS$1334,$B540)</f>
        <v>#VALUE!</v>
      </c>
      <c r="N540" s="17" t="e">
        <f>SUMIFS([1]ACSDT5Y2020.B08301_data_with_ov!AV$3:AV$1334,[1]ACSDT5Y2020.B08301_data_with_ov!$AS$3:$AS$1334,$B540)</f>
        <v>#VALUE!</v>
      </c>
      <c r="O540" s="17" t="e">
        <f>SUMIFS([1]ACSDT5Y2020.B08301_data_with_ov!AW$3:AW$1334,[1]ACSDT5Y2020.B08301_data_with_ov!$AS$3:$AS$1334,$B540)</f>
        <v>#VALUE!</v>
      </c>
      <c r="P540" s="17" t="e">
        <f>SUMIFS([1]ACSDT5Y2020.B08301_data_with_ov!AX$3:AX$1334,[1]ACSDT5Y2020.B08301_data_with_ov!$AS$3:$AS$1334,$B540)</f>
        <v>#VALUE!</v>
      </c>
      <c r="Q540" s="17" t="e">
        <f>SUMIFS([1]ACSDT5Y2020.B08301_data_with_ov!AY$3:AY$1334,[1]ACSDT5Y2020.B08301_data_with_ov!$AS$3:$AS$1334,$B540)</f>
        <v>#VALUE!</v>
      </c>
      <c r="R540" s="17" t="e">
        <f>SUMIFS([1]ACSDT5Y2020.B08301_data_with_ov!AZ$3:AZ$1334,[1]ACSDT5Y2020.B08301_data_with_ov!$AS$3:$AS$1334,$B540)</f>
        <v>#VALUE!</v>
      </c>
      <c r="S540" s="17" t="e">
        <f>SUMIFS([1]ACSDT5Y2020.B08301_data_with_ov!BA$3:BA$1334,[1]ACSDT5Y2020.B08301_data_with_ov!$AS$3:$AS$1334,$B540)</f>
        <v>#VALUE!</v>
      </c>
      <c r="T540" s="188">
        <v>0</v>
      </c>
      <c r="U540" s="189" t="e">
        <f t="shared" si="35"/>
        <v>#VALUE!</v>
      </c>
      <c r="V540" s="188">
        <v>0</v>
      </c>
      <c r="W540" s="189" t="e">
        <f t="shared" si="32"/>
        <v>#VALUE!</v>
      </c>
      <c r="X540" s="188">
        <v>0</v>
      </c>
      <c r="Y540" s="189" t="e">
        <f t="shared" si="33"/>
        <v>#VALUE!</v>
      </c>
      <c r="Z540" s="188">
        <v>0</v>
      </c>
      <c r="AA540" s="189" t="e">
        <f t="shared" si="34"/>
        <v>#VALUE!</v>
      </c>
    </row>
    <row r="541" spans="1:27" x14ac:dyDescent="0.25">
      <c r="A541">
        <v>560900</v>
      </c>
      <c r="B541">
        <v>17031560900</v>
      </c>
      <c r="C541">
        <v>17031</v>
      </c>
      <c r="D541">
        <v>2010</v>
      </c>
      <c r="E541">
        <v>56</v>
      </c>
      <c r="F541">
        <v>14105221.187154001</v>
      </c>
      <c r="G541" s="45">
        <v>0.50595519065491568</v>
      </c>
      <c r="H541" s="60" t="str">
        <f>_xlfn.IFNA(
INDEX('Community Areas'!B$2:B$78,MATCH($E541,'Community Areas'!$A$2:$A$78,0)),
"")</f>
        <v>GARFIELD RIDGE</v>
      </c>
      <c r="I541" s="63" t="str">
        <f>_xlfn.IFNA(
INDEX('Community Areas'!C$2:C$78,MATCH($E541,'Community Areas'!$A$2:$A$78,0)),
"")</f>
        <v>4-B</v>
      </c>
      <c r="J541" s="63">
        <f>_xlfn.IFNA(
INDEX('Community Areas'!D$2:D$78,MATCH($E541,'Community Areas'!$A$2:$A$78,0)),
"")</f>
        <v>4</v>
      </c>
      <c r="K541" s="60" t="str">
        <f>_xlfn.IFNA(
INDEX('Community Areas'!E$2:E$78,MATCH($E541,'Community Areas'!$A$2:$A$78,0)),
"")</f>
        <v>SOUTHWEST</v>
      </c>
      <c r="L541" s="17" t="e">
        <f>SUMIFS([1]ACSDT5Y2020.B08301_data_with_ov!AT$3:AT$1334,[1]ACSDT5Y2020.B08301_data_with_ov!$AS$3:$AS$1334,$B541)</f>
        <v>#VALUE!</v>
      </c>
      <c r="M541" s="17" t="e">
        <f>SUMIFS([1]ACSDT5Y2020.B08301_data_with_ov!AU$3:AU$1334,[1]ACSDT5Y2020.B08301_data_with_ov!$AS$3:$AS$1334,$B541)</f>
        <v>#VALUE!</v>
      </c>
      <c r="N541" s="17" t="e">
        <f>SUMIFS([1]ACSDT5Y2020.B08301_data_with_ov!AV$3:AV$1334,[1]ACSDT5Y2020.B08301_data_with_ov!$AS$3:$AS$1334,$B541)</f>
        <v>#VALUE!</v>
      </c>
      <c r="O541" s="17" t="e">
        <f>SUMIFS([1]ACSDT5Y2020.B08301_data_with_ov!AW$3:AW$1334,[1]ACSDT5Y2020.B08301_data_with_ov!$AS$3:$AS$1334,$B541)</f>
        <v>#VALUE!</v>
      </c>
      <c r="P541" s="17" t="e">
        <f>SUMIFS([1]ACSDT5Y2020.B08301_data_with_ov!AX$3:AX$1334,[1]ACSDT5Y2020.B08301_data_with_ov!$AS$3:$AS$1334,$B541)</f>
        <v>#VALUE!</v>
      </c>
      <c r="Q541" s="17" t="e">
        <f>SUMIFS([1]ACSDT5Y2020.B08301_data_with_ov!AY$3:AY$1334,[1]ACSDT5Y2020.B08301_data_with_ov!$AS$3:$AS$1334,$B541)</f>
        <v>#VALUE!</v>
      </c>
      <c r="R541" s="17" t="e">
        <f>SUMIFS([1]ACSDT5Y2020.B08301_data_with_ov!AZ$3:AZ$1334,[1]ACSDT5Y2020.B08301_data_with_ov!$AS$3:$AS$1334,$B541)</f>
        <v>#VALUE!</v>
      </c>
      <c r="S541" s="17" t="e">
        <f>SUMIFS([1]ACSDT5Y2020.B08301_data_with_ov!BA$3:BA$1334,[1]ACSDT5Y2020.B08301_data_with_ov!$AS$3:$AS$1334,$B541)</f>
        <v>#VALUE!</v>
      </c>
      <c r="T541" s="188">
        <v>0</v>
      </c>
      <c r="U541" s="189" t="e">
        <f t="shared" si="35"/>
        <v>#VALUE!</v>
      </c>
      <c r="V541" s="188">
        <v>0</v>
      </c>
      <c r="W541" s="189" t="e">
        <f t="shared" si="32"/>
        <v>#VALUE!</v>
      </c>
      <c r="X541" s="188">
        <v>0</v>
      </c>
      <c r="Y541" s="189" t="e">
        <f t="shared" si="33"/>
        <v>#VALUE!</v>
      </c>
      <c r="Z541" s="188">
        <v>0</v>
      </c>
      <c r="AA541" s="189" t="e">
        <f t="shared" si="34"/>
        <v>#VALUE!</v>
      </c>
    </row>
    <row r="542" spans="1:27" x14ac:dyDescent="0.25">
      <c r="A542">
        <v>835200</v>
      </c>
      <c r="B542">
        <v>17031835200</v>
      </c>
      <c r="C542">
        <v>17031</v>
      </c>
      <c r="D542">
        <v>2010</v>
      </c>
      <c r="E542">
        <v>56</v>
      </c>
      <c r="F542">
        <v>10646560.4275888</v>
      </c>
      <c r="G542" s="45">
        <v>0.38189280688952021</v>
      </c>
      <c r="H542" s="60" t="str">
        <f>_xlfn.IFNA(
INDEX('Community Areas'!B$2:B$78,MATCH($E542,'Community Areas'!$A$2:$A$78,0)),
"")</f>
        <v>GARFIELD RIDGE</v>
      </c>
      <c r="I542" s="63" t="str">
        <f>_xlfn.IFNA(
INDEX('Community Areas'!C$2:C$78,MATCH($E542,'Community Areas'!$A$2:$A$78,0)),
"")</f>
        <v>4-B</v>
      </c>
      <c r="J542" s="63">
        <f>_xlfn.IFNA(
INDEX('Community Areas'!D$2:D$78,MATCH($E542,'Community Areas'!$A$2:$A$78,0)),
"")</f>
        <v>4</v>
      </c>
      <c r="K542" s="60" t="str">
        <f>_xlfn.IFNA(
INDEX('Community Areas'!E$2:E$78,MATCH($E542,'Community Areas'!$A$2:$A$78,0)),
"")</f>
        <v>SOUTHWEST</v>
      </c>
      <c r="L542" s="17" t="e">
        <f>SUMIFS([1]ACSDT5Y2020.B08301_data_with_ov!AT$3:AT$1334,[1]ACSDT5Y2020.B08301_data_with_ov!$AS$3:$AS$1334,$B542)</f>
        <v>#VALUE!</v>
      </c>
      <c r="M542" s="17" t="e">
        <f>SUMIFS([1]ACSDT5Y2020.B08301_data_with_ov!AU$3:AU$1334,[1]ACSDT5Y2020.B08301_data_with_ov!$AS$3:$AS$1334,$B542)</f>
        <v>#VALUE!</v>
      </c>
      <c r="N542" s="17" t="e">
        <f>SUMIFS([1]ACSDT5Y2020.B08301_data_with_ov!AV$3:AV$1334,[1]ACSDT5Y2020.B08301_data_with_ov!$AS$3:$AS$1334,$B542)</f>
        <v>#VALUE!</v>
      </c>
      <c r="O542" s="17" t="e">
        <f>SUMIFS([1]ACSDT5Y2020.B08301_data_with_ov!AW$3:AW$1334,[1]ACSDT5Y2020.B08301_data_with_ov!$AS$3:$AS$1334,$B542)</f>
        <v>#VALUE!</v>
      </c>
      <c r="P542" s="17" t="e">
        <f>SUMIFS([1]ACSDT5Y2020.B08301_data_with_ov!AX$3:AX$1334,[1]ACSDT5Y2020.B08301_data_with_ov!$AS$3:$AS$1334,$B542)</f>
        <v>#VALUE!</v>
      </c>
      <c r="Q542" s="17" t="e">
        <f>SUMIFS([1]ACSDT5Y2020.B08301_data_with_ov!AY$3:AY$1334,[1]ACSDT5Y2020.B08301_data_with_ov!$AS$3:$AS$1334,$B542)</f>
        <v>#VALUE!</v>
      </c>
      <c r="R542" s="17" t="e">
        <f>SUMIFS([1]ACSDT5Y2020.B08301_data_with_ov!AZ$3:AZ$1334,[1]ACSDT5Y2020.B08301_data_with_ov!$AS$3:$AS$1334,$B542)</f>
        <v>#VALUE!</v>
      </c>
      <c r="S542" s="17" t="e">
        <f>SUMIFS([1]ACSDT5Y2020.B08301_data_with_ov!BA$3:BA$1334,[1]ACSDT5Y2020.B08301_data_with_ov!$AS$3:$AS$1334,$B542)</f>
        <v>#VALUE!</v>
      </c>
      <c r="T542" s="188">
        <v>0</v>
      </c>
      <c r="U542" s="189" t="e">
        <f t="shared" si="35"/>
        <v>#VALUE!</v>
      </c>
      <c r="V542" s="188">
        <v>0</v>
      </c>
      <c r="W542" s="189" t="e">
        <f t="shared" si="32"/>
        <v>#VALUE!</v>
      </c>
      <c r="X542" s="188">
        <v>0</v>
      </c>
      <c r="Y542" s="189" t="e">
        <f t="shared" si="33"/>
        <v>#VALUE!</v>
      </c>
      <c r="Z542" s="188">
        <v>0</v>
      </c>
      <c r="AA542" s="189" t="e">
        <f t="shared" si="34"/>
        <v>#VALUE!</v>
      </c>
    </row>
    <row r="543" spans="1:27" x14ac:dyDescent="0.25">
      <c r="A543">
        <v>570100</v>
      </c>
      <c r="B543">
        <v>17031570100</v>
      </c>
      <c r="C543">
        <v>17031</v>
      </c>
      <c r="D543">
        <v>2010</v>
      </c>
      <c r="E543">
        <v>57</v>
      </c>
      <c r="F543">
        <v>16496078.2358294</v>
      </c>
      <c r="G543" s="45">
        <v>0.59171538667317347</v>
      </c>
      <c r="H543" s="60" t="str">
        <f>_xlfn.IFNA(
INDEX('Community Areas'!B$2:B$78,MATCH($E543,'Community Areas'!$A$2:$A$78,0)),
"")</f>
        <v>ARCHER HEIGHTS</v>
      </c>
      <c r="I543" s="63" t="str">
        <f>_xlfn.IFNA(
INDEX('Community Areas'!C$2:C$78,MATCH($E543,'Community Areas'!$A$2:$A$78,0)),
"")</f>
        <v>4-B</v>
      </c>
      <c r="J543" s="63">
        <f>_xlfn.IFNA(
INDEX('Community Areas'!D$2:D$78,MATCH($E543,'Community Areas'!$A$2:$A$78,0)),
"")</f>
        <v>4</v>
      </c>
      <c r="K543" s="60" t="str">
        <f>_xlfn.IFNA(
INDEX('Community Areas'!E$2:E$78,MATCH($E543,'Community Areas'!$A$2:$A$78,0)),
"")</f>
        <v>SOUTHWEST</v>
      </c>
      <c r="L543" s="17" t="e">
        <f>SUMIFS([1]ACSDT5Y2020.B08301_data_with_ov!AT$3:AT$1334,[1]ACSDT5Y2020.B08301_data_with_ov!$AS$3:$AS$1334,$B543)</f>
        <v>#VALUE!</v>
      </c>
      <c r="M543" s="17" t="e">
        <f>SUMIFS([1]ACSDT5Y2020.B08301_data_with_ov!AU$3:AU$1334,[1]ACSDT5Y2020.B08301_data_with_ov!$AS$3:$AS$1334,$B543)</f>
        <v>#VALUE!</v>
      </c>
      <c r="N543" s="17" t="e">
        <f>SUMIFS([1]ACSDT5Y2020.B08301_data_with_ov!AV$3:AV$1334,[1]ACSDT5Y2020.B08301_data_with_ov!$AS$3:$AS$1334,$B543)</f>
        <v>#VALUE!</v>
      </c>
      <c r="O543" s="17" t="e">
        <f>SUMIFS([1]ACSDT5Y2020.B08301_data_with_ov!AW$3:AW$1334,[1]ACSDT5Y2020.B08301_data_with_ov!$AS$3:$AS$1334,$B543)</f>
        <v>#VALUE!</v>
      </c>
      <c r="P543" s="17" t="e">
        <f>SUMIFS([1]ACSDT5Y2020.B08301_data_with_ov!AX$3:AX$1334,[1]ACSDT5Y2020.B08301_data_with_ov!$AS$3:$AS$1334,$B543)</f>
        <v>#VALUE!</v>
      </c>
      <c r="Q543" s="17" t="e">
        <f>SUMIFS([1]ACSDT5Y2020.B08301_data_with_ov!AY$3:AY$1334,[1]ACSDT5Y2020.B08301_data_with_ov!$AS$3:$AS$1334,$B543)</f>
        <v>#VALUE!</v>
      </c>
      <c r="R543" s="17" t="e">
        <f>SUMIFS([1]ACSDT5Y2020.B08301_data_with_ov!AZ$3:AZ$1334,[1]ACSDT5Y2020.B08301_data_with_ov!$AS$3:$AS$1334,$B543)</f>
        <v>#VALUE!</v>
      </c>
      <c r="S543" s="17" t="e">
        <f>SUMIFS([1]ACSDT5Y2020.B08301_data_with_ov!BA$3:BA$1334,[1]ACSDT5Y2020.B08301_data_with_ov!$AS$3:$AS$1334,$B543)</f>
        <v>#VALUE!</v>
      </c>
      <c r="T543" s="188">
        <v>0</v>
      </c>
      <c r="U543" s="189" t="e">
        <f t="shared" si="35"/>
        <v>#VALUE!</v>
      </c>
      <c r="V543" s="188">
        <v>0</v>
      </c>
      <c r="W543" s="189" t="e">
        <f t="shared" si="32"/>
        <v>#VALUE!</v>
      </c>
      <c r="X543" s="188">
        <v>0</v>
      </c>
      <c r="Y543" s="189" t="e">
        <f t="shared" si="33"/>
        <v>#VALUE!</v>
      </c>
      <c r="Z543" s="188">
        <v>0</v>
      </c>
      <c r="AA543" s="189" t="e">
        <f t="shared" si="34"/>
        <v>#VALUE!</v>
      </c>
    </row>
    <row r="544" spans="1:27" x14ac:dyDescent="0.25">
      <c r="A544">
        <v>570200</v>
      </c>
      <c r="B544">
        <v>17031570200</v>
      </c>
      <c r="C544">
        <v>17031</v>
      </c>
      <c r="D544">
        <v>2010</v>
      </c>
      <c r="E544">
        <v>57</v>
      </c>
      <c r="F544">
        <v>19212604.007449899</v>
      </c>
      <c r="G544" s="45">
        <v>0.68915734071718249</v>
      </c>
      <c r="H544" s="60" t="str">
        <f>_xlfn.IFNA(
INDEX('Community Areas'!B$2:B$78,MATCH($E544,'Community Areas'!$A$2:$A$78,0)),
"")</f>
        <v>ARCHER HEIGHTS</v>
      </c>
      <c r="I544" s="63" t="str">
        <f>_xlfn.IFNA(
INDEX('Community Areas'!C$2:C$78,MATCH($E544,'Community Areas'!$A$2:$A$78,0)),
"")</f>
        <v>4-B</v>
      </c>
      <c r="J544" s="63">
        <f>_xlfn.IFNA(
INDEX('Community Areas'!D$2:D$78,MATCH($E544,'Community Areas'!$A$2:$A$78,0)),
"")</f>
        <v>4</v>
      </c>
      <c r="K544" s="60" t="str">
        <f>_xlfn.IFNA(
INDEX('Community Areas'!E$2:E$78,MATCH($E544,'Community Areas'!$A$2:$A$78,0)),
"")</f>
        <v>SOUTHWEST</v>
      </c>
      <c r="L544" s="17" t="e">
        <f>SUMIFS([1]ACSDT5Y2020.B08301_data_with_ov!AT$3:AT$1334,[1]ACSDT5Y2020.B08301_data_with_ov!$AS$3:$AS$1334,$B544)</f>
        <v>#VALUE!</v>
      </c>
      <c r="M544" s="17" t="e">
        <f>SUMIFS([1]ACSDT5Y2020.B08301_data_with_ov!AU$3:AU$1334,[1]ACSDT5Y2020.B08301_data_with_ov!$AS$3:$AS$1334,$B544)</f>
        <v>#VALUE!</v>
      </c>
      <c r="N544" s="17" t="e">
        <f>SUMIFS([1]ACSDT5Y2020.B08301_data_with_ov!AV$3:AV$1334,[1]ACSDT5Y2020.B08301_data_with_ov!$AS$3:$AS$1334,$B544)</f>
        <v>#VALUE!</v>
      </c>
      <c r="O544" s="17" t="e">
        <f>SUMIFS([1]ACSDT5Y2020.B08301_data_with_ov!AW$3:AW$1334,[1]ACSDT5Y2020.B08301_data_with_ov!$AS$3:$AS$1334,$B544)</f>
        <v>#VALUE!</v>
      </c>
      <c r="P544" s="17" t="e">
        <f>SUMIFS([1]ACSDT5Y2020.B08301_data_with_ov!AX$3:AX$1334,[1]ACSDT5Y2020.B08301_data_with_ov!$AS$3:$AS$1334,$B544)</f>
        <v>#VALUE!</v>
      </c>
      <c r="Q544" s="17" t="e">
        <f>SUMIFS([1]ACSDT5Y2020.B08301_data_with_ov!AY$3:AY$1334,[1]ACSDT5Y2020.B08301_data_with_ov!$AS$3:$AS$1334,$B544)</f>
        <v>#VALUE!</v>
      </c>
      <c r="R544" s="17" t="e">
        <f>SUMIFS([1]ACSDT5Y2020.B08301_data_with_ov!AZ$3:AZ$1334,[1]ACSDT5Y2020.B08301_data_with_ov!$AS$3:$AS$1334,$B544)</f>
        <v>#VALUE!</v>
      </c>
      <c r="S544" s="17" t="e">
        <f>SUMIFS([1]ACSDT5Y2020.B08301_data_with_ov!BA$3:BA$1334,[1]ACSDT5Y2020.B08301_data_with_ov!$AS$3:$AS$1334,$B544)</f>
        <v>#VALUE!</v>
      </c>
      <c r="T544" s="188">
        <v>0</v>
      </c>
      <c r="U544" s="189" t="e">
        <f t="shared" si="35"/>
        <v>#VALUE!</v>
      </c>
      <c r="V544" s="188">
        <v>0</v>
      </c>
      <c r="W544" s="189" t="e">
        <f t="shared" si="32"/>
        <v>#VALUE!</v>
      </c>
      <c r="X544" s="188">
        <v>0</v>
      </c>
      <c r="Y544" s="189" t="e">
        <f t="shared" si="33"/>
        <v>#VALUE!</v>
      </c>
      <c r="Z544" s="188">
        <v>0</v>
      </c>
      <c r="AA544" s="189" t="e">
        <f t="shared" si="34"/>
        <v>#VALUE!</v>
      </c>
    </row>
    <row r="545" spans="1:27" x14ac:dyDescent="0.25">
      <c r="A545">
        <v>570500</v>
      </c>
      <c r="B545">
        <v>17031570500</v>
      </c>
      <c r="C545">
        <v>17031</v>
      </c>
      <c r="D545">
        <v>2010</v>
      </c>
      <c r="E545">
        <v>57</v>
      </c>
      <c r="F545">
        <v>4585827.2689995104</v>
      </c>
      <c r="G545" s="45">
        <v>0.16449391891211512</v>
      </c>
      <c r="H545" s="60" t="str">
        <f>_xlfn.IFNA(
INDEX('Community Areas'!B$2:B$78,MATCH($E545,'Community Areas'!$A$2:$A$78,0)),
"")</f>
        <v>ARCHER HEIGHTS</v>
      </c>
      <c r="I545" s="63" t="str">
        <f>_xlfn.IFNA(
INDEX('Community Areas'!C$2:C$78,MATCH($E545,'Community Areas'!$A$2:$A$78,0)),
"")</f>
        <v>4-B</v>
      </c>
      <c r="J545" s="63">
        <f>_xlfn.IFNA(
INDEX('Community Areas'!D$2:D$78,MATCH($E545,'Community Areas'!$A$2:$A$78,0)),
"")</f>
        <v>4</v>
      </c>
      <c r="K545" s="60" t="str">
        <f>_xlfn.IFNA(
INDEX('Community Areas'!E$2:E$78,MATCH($E545,'Community Areas'!$A$2:$A$78,0)),
"")</f>
        <v>SOUTHWEST</v>
      </c>
      <c r="L545" s="17" t="e">
        <f>SUMIFS([1]ACSDT5Y2020.B08301_data_with_ov!AT$3:AT$1334,[1]ACSDT5Y2020.B08301_data_with_ov!$AS$3:$AS$1334,$B545)</f>
        <v>#VALUE!</v>
      </c>
      <c r="M545" s="17" t="e">
        <f>SUMIFS([1]ACSDT5Y2020.B08301_data_with_ov!AU$3:AU$1334,[1]ACSDT5Y2020.B08301_data_with_ov!$AS$3:$AS$1334,$B545)</f>
        <v>#VALUE!</v>
      </c>
      <c r="N545" s="17" t="e">
        <f>SUMIFS([1]ACSDT5Y2020.B08301_data_with_ov!AV$3:AV$1334,[1]ACSDT5Y2020.B08301_data_with_ov!$AS$3:$AS$1334,$B545)</f>
        <v>#VALUE!</v>
      </c>
      <c r="O545" s="17" t="e">
        <f>SUMIFS([1]ACSDT5Y2020.B08301_data_with_ov!AW$3:AW$1334,[1]ACSDT5Y2020.B08301_data_with_ov!$AS$3:$AS$1334,$B545)</f>
        <v>#VALUE!</v>
      </c>
      <c r="P545" s="17" t="e">
        <f>SUMIFS([1]ACSDT5Y2020.B08301_data_with_ov!AX$3:AX$1334,[1]ACSDT5Y2020.B08301_data_with_ov!$AS$3:$AS$1334,$B545)</f>
        <v>#VALUE!</v>
      </c>
      <c r="Q545" s="17" t="e">
        <f>SUMIFS([1]ACSDT5Y2020.B08301_data_with_ov!AY$3:AY$1334,[1]ACSDT5Y2020.B08301_data_with_ov!$AS$3:$AS$1334,$B545)</f>
        <v>#VALUE!</v>
      </c>
      <c r="R545" s="17" t="e">
        <f>SUMIFS([1]ACSDT5Y2020.B08301_data_with_ov!AZ$3:AZ$1334,[1]ACSDT5Y2020.B08301_data_with_ov!$AS$3:$AS$1334,$B545)</f>
        <v>#VALUE!</v>
      </c>
      <c r="S545" s="17" t="e">
        <f>SUMIFS([1]ACSDT5Y2020.B08301_data_with_ov!BA$3:BA$1334,[1]ACSDT5Y2020.B08301_data_with_ov!$AS$3:$AS$1334,$B545)</f>
        <v>#VALUE!</v>
      </c>
      <c r="T545" s="188">
        <v>0</v>
      </c>
      <c r="U545" s="189" t="e">
        <f t="shared" si="35"/>
        <v>#VALUE!</v>
      </c>
      <c r="V545" s="188">
        <v>0</v>
      </c>
      <c r="W545" s="189" t="e">
        <f t="shared" si="32"/>
        <v>#VALUE!</v>
      </c>
      <c r="X545" s="188">
        <v>0</v>
      </c>
      <c r="Y545" s="189" t="e">
        <f t="shared" si="33"/>
        <v>#VALUE!</v>
      </c>
      <c r="Z545" s="188">
        <v>0</v>
      </c>
      <c r="AA545" s="189" t="e">
        <f t="shared" si="34"/>
        <v>#VALUE!</v>
      </c>
    </row>
    <row r="546" spans="1:27" x14ac:dyDescent="0.25">
      <c r="A546">
        <v>570400</v>
      </c>
      <c r="B546">
        <v>17031570400</v>
      </c>
      <c r="C546">
        <v>17031</v>
      </c>
      <c r="D546">
        <v>2010</v>
      </c>
      <c r="E546">
        <v>57</v>
      </c>
      <c r="F546">
        <v>5024781.5952496296</v>
      </c>
      <c r="G546" s="45">
        <v>0.18023923881032017</v>
      </c>
      <c r="H546" s="60" t="str">
        <f>_xlfn.IFNA(
INDEX('Community Areas'!B$2:B$78,MATCH($E546,'Community Areas'!$A$2:$A$78,0)),
"")</f>
        <v>ARCHER HEIGHTS</v>
      </c>
      <c r="I546" s="63" t="str">
        <f>_xlfn.IFNA(
INDEX('Community Areas'!C$2:C$78,MATCH($E546,'Community Areas'!$A$2:$A$78,0)),
"")</f>
        <v>4-B</v>
      </c>
      <c r="J546" s="63">
        <f>_xlfn.IFNA(
INDEX('Community Areas'!D$2:D$78,MATCH($E546,'Community Areas'!$A$2:$A$78,0)),
"")</f>
        <v>4</v>
      </c>
      <c r="K546" s="60" t="str">
        <f>_xlfn.IFNA(
INDEX('Community Areas'!E$2:E$78,MATCH($E546,'Community Areas'!$A$2:$A$78,0)),
"")</f>
        <v>SOUTHWEST</v>
      </c>
      <c r="L546" s="17" t="e">
        <f>SUMIFS([1]ACSDT5Y2020.B08301_data_with_ov!AT$3:AT$1334,[1]ACSDT5Y2020.B08301_data_with_ov!$AS$3:$AS$1334,$B546)</f>
        <v>#VALUE!</v>
      </c>
      <c r="M546" s="17" t="e">
        <f>SUMIFS([1]ACSDT5Y2020.B08301_data_with_ov!AU$3:AU$1334,[1]ACSDT5Y2020.B08301_data_with_ov!$AS$3:$AS$1334,$B546)</f>
        <v>#VALUE!</v>
      </c>
      <c r="N546" s="17" t="e">
        <f>SUMIFS([1]ACSDT5Y2020.B08301_data_with_ov!AV$3:AV$1334,[1]ACSDT5Y2020.B08301_data_with_ov!$AS$3:$AS$1334,$B546)</f>
        <v>#VALUE!</v>
      </c>
      <c r="O546" s="17" t="e">
        <f>SUMIFS([1]ACSDT5Y2020.B08301_data_with_ov!AW$3:AW$1334,[1]ACSDT5Y2020.B08301_data_with_ov!$AS$3:$AS$1334,$B546)</f>
        <v>#VALUE!</v>
      </c>
      <c r="P546" s="17" t="e">
        <f>SUMIFS([1]ACSDT5Y2020.B08301_data_with_ov!AX$3:AX$1334,[1]ACSDT5Y2020.B08301_data_with_ov!$AS$3:$AS$1334,$B546)</f>
        <v>#VALUE!</v>
      </c>
      <c r="Q546" s="17" t="e">
        <f>SUMIFS([1]ACSDT5Y2020.B08301_data_with_ov!AY$3:AY$1334,[1]ACSDT5Y2020.B08301_data_with_ov!$AS$3:$AS$1334,$B546)</f>
        <v>#VALUE!</v>
      </c>
      <c r="R546" s="17" t="e">
        <f>SUMIFS([1]ACSDT5Y2020.B08301_data_with_ov!AZ$3:AZ$1334,[1]ACSDT5Y2020.B08301_data_with_ov!$AS$3:$AS$1334,$B546)</f>
        <v>#VALUE!</v>
      </c>
      <c r="S546" s="17" t="e">
        <f>SUMIFS([1]ACSDT5Y2020.B08301_data_with_ov!BA$3:BA$1334,[1]ACSDT5Y2020.B08301_data_with_ov!$AS$3:$AS$1334,$B546)</f>
        <v>#VALUE!</v>
      </c>
      <c r="T546" s="188">
        <v>0</v>
      </c>
      <c r="U546" s="189" t="e">
        <f t="shared" si="35"/>
        <v>#VALUE!</v>
      </c>
      <c r="V546" s="188">
        <v>0</v>
      </c>
      <c r="W546" s="189" t="e">
        <f t="shared" si="32"/>
        <v>#VALUE!</v>
      </c>
      <c r="X546" s="188">
        <v>0</v>
      </c>
      <c r="Y546" s="189" t="e">
        <f t="shared" si="33"/>
        <v>#VALUE!</v>
      </c>
      <c r="Z546" s="188">
        <v>0</v>
      </c>
      <c r="AA546" s="189" t="e">
        <f t="shared" si="34"/>
        <v>#VALUE!</v>
      </c>
    </row>
    <row r="547" spans="1:27" x14ac:dyDescent="0.25">
      <c r="A547">
        <v>570300</v>
      </c>
      <c r="B547">
        <v>17031570300</v>
      </c>
      <c r="C547">
        <v>17031</v>
      </c>
      <c r="D547">
        <v>2010</v>
      </c>
      <c r="E547">
        <v>57</v>
      </c>
      <c r="F547">
        <v>10603214.6137165</v>
      </c>
      <c r="G547" s="45">
        <v>0.38033798975968852</v>
      </c>
      <c r="H547" s="60" t="str">
        <f>_xlfn.IFNA(
INDEX('Community Areas'!B$2:B$78,MATCH($E547,'Community Areas'!$A$2:$A$78,0)),
"")</f>
        <v>ARCHER HEIGHTS</v>
      </c>
      <c r="I547" s="63" t="str">
        <f>_xlfn.IFNA(
INDEX('Community Areas'!C$2:C$78,MATCH($E547,'Community Areas'!$A$2:$A$78,0)),
"")</f>
        <v>4-B</v>
      </c>
      <c r="J547" s="63">
        <f>_xlfn.IFNA(
INDEX('Community Areas'!D$2:D$78,MATCH($E547,'Community Areas'!$A$2:$A$78,0)),
"")</f>
        <v>4</v>
      </c>
      <c r="K547" s="60" t="str">
        <f>_xlfn.IFNA(
INDEX('Community Areas'!E$2:E$78,MATCH($E547,'Community Areas'!$A$2:$A$78,0)),
"")</f>
        <v>SOUTHWEST</v>
      </c>
      <c r="L547" s="17" t="e">
        <f>SUMIFS([1]ACSDT5Y2020.B08301_data_with_ov!AT$3:AT$1334,[1]ACSDT5Y2020.B08301_data_with_ov!$AS$3:$AS$1334,$B547)</f>
        <v>#VALUE!</v>
      </c>
      <c r="M547" s="17" t="e">
        <f>SUMIFS([1]ACSDT5Y2020.B08301_data_with_ov!AU$3:AU$1334,[1]ACSDT5Y2020.B08301_data_with_ov!$AS$3:$AS$1334,$B547)</f>
        <v>#VALUE!</v>
      </c>
      <c r="N547" s="17" t="e">
        <f>SUMIFS([1]ACSDT5Y2020.B08301_data_with_ov!AV$3:AV$1334,[1]ACSDT5Y2020.B08301_data_with_ov!$AS$3:$AS$1334,$B547)</f>
        <v>#VALUE!</v>
      </c>
      <c r="O547" s="17" t="e">
        <f>SUMIFS([1]ACSDT5Y2020.B08301_data_with_ov!AW$3:AW$1334,[1]ACSDT5Y2020.B08301_data_with_ov!$AS$3:$AS$1334,$B547)</f>
        <v>#VALUE!</v>
      </c>
      <c r="P547" s="17" t="e">
        <f>SUMIFS([1]ACSDT5Y2020.B08301_data_with_ov!AX$3:AX$1334,[1]ACSDT5Y2020.B08301_data_with_ov!$AS$3:$AS$1334,$B547)</f>
        <v>#VALUE!</v>
      </c>
      <c r="Q547" s="17" t="e">
        <f>SUMIFS([1]ACSDT5Y2020.B08301_data_with_ov!AY$3:AY$1334,[1]ACSDT5Y2020.B08301_data_with_ov!$AS$3:$AS$1334,$B547)</f>
        <v>#VALUE!</v>
      </c>
      <c r="R547" s="17" t="e">
        <f>SUMIFS([1]ACSDT5Y2020.B08301_data_with_ov!AZ$3:AZ$1334,[1]ACSDT5Y2020.B08301_data_with_ov!$AS$3:$AS$1334,$B547)</f>
        <v>#VALUE!</v>
      </c>
      <c r="S547" s="17" t="e">
        <f>SUMIFS([1]ACSDT5Y2020.B08301_data_with_ov!BA$3:BA$1334,[1]ACSDT5Y2020.B08301_data_with_ov!$AS$3:$AS$1334,$B547)</f>
        <v>#VALUE!</v>
      </c>
      <c r="T547" s="188">
        <v>0</v>
      </c>
      <c r="U547" s="189" t="e">
        <f t="shared" si="35"/>
        <v>#VALUE!</v>
      </c>
      <c r="V547" s="188">
        <v>0</v>
      </c>
      <c r="W547" s="189" t="e">
        <f t="shared" si="32"/>
        <v>#VALUE!</v>
      </c>
      <c r="X547" s="188">
        <v>0</v>
      </c>
      <c r="Y547" s="189" t="e">
        <f t="shared" si="33"/>
        <v>#VALUE!</v>
      </c>
      <c r="Z547" s="188">
        <v>0</v>
      </c>
      <c r="AA547" s="189" t="e">
        <f t="shared" si="34"/>
        <v>#VALUE!</v>
      </c>
    </row>
    <row r="548" spans="1:27" x14ac:dyDescent="0.25">
      <c r="A548">
        <v>842800</v>
      </c>
      <c r="B548">
        <v>17031842800</v>
      </c>
      <c r="C548">
        <v>17031</v>
      </c>
      <c r="D548">
        <v>2010</v>
      </c>
      <c r="E548">
        <v>58</v>
      </c>
      <c r="F548">
        <v>16447467.904929901</v>
      </c>
      <c r="G548" s="45">
        <v>0.58997173097917743</v>
      </c>
      <c r="H548" s="60" t="str">
        <f>_xlfn.IFNA(
INDEX('Community Areas'!B$2:B$78,MATCH($E548,'Community Areas'!$A$2:$A$78,0)),
"")</f>
        <v>BRIGHTON PARK</v>
      </c>
      <c r="I548" s="63" t="str">
        <f>_xlfn.IFNA(
INDEX('Community Areas'!C$2:C$78,MATCH($E548,'Community Areas'!$A$2:$A$78,0)),
"")</f>
        <v>4-B</v>
      </c>
      <c r="J548" s="63">
        <f>_xlfn.IFNA(
INDEX('Community Areas'!D$2:D$78,MATCH($E548,'Community Areas'!$A$2:$A$78,0)),
"")</f>
        <v>4</v>
      </c>
      <c r="K548" s="60" t="str">
        <f>_xlfn.IFNA(
INDEX('Community Areas'!E$2:E$78,MATCH($E548,'Community Areas'!$A$2:$A$78,0)),
"")</f>
        <v>SOUTHWEST</v>
      </c>
      <c r="L548" s="17" t="e">
        <f>SUMIFS([1]ACSDT5Y2020.B08301_data_with_ov!AT$3:AT$1334,[1]ACSDT5Y2020.B08301_data_with_ov!$AS$3:$AS$1334,$B548)</f>
        <v>#VALUE!</v>
      </c>
      <c r="M548" s="17" t="e">
        <f>SUMIFS([1]ACSDT5Y2020.B08301_data_with_ov!AU$3:AU$1334,[1]ACSDT5Y2020.B08301_data_with_ov!$AS$3:$AS$1334,$B548)</f>
        <v>#VALUE!</v>
      </c>
      <c r="N548" s="17" t="e">
        <f>SUMIFS([1]ACSDT5Y2020.B08301_data_with_ov!AV$3:AV$1334,[1]ACSDT5Y2020.B08301_data_with_ov!$AS$3:$AS$1334,$B548)</f>
        <v>#VALUE!</v>
      </c>
      <c r="O548" s="17" t="e">
        <f>SUMIFS([1]ACSDT5Y2020.B08301_data_with_ov!AW$3:AW$1334,[1]ACSDT5Y2020.B08301_data_with_ov!$AS$3:$AS$1334,$B548)</f>
        <v>#VALUE!</v>
      </c>
      <c r="P548" s="17" t="e">
        <f>SUMIFS([1]ACSDT5Y2020.B08301_data_with_ov!AX$3:AX$1334,[1]ACSDT5Y2020.B08301_data_with_ov!$AS$3:$AS$1334,$B548)</f>
        <v>#VALUE!</v>
      </c>
      <c r="Q548" s="17" t="e">
        <f>SUMIFS([1]ACSDT5Y2020.B08301_data_with_ov!AY$3:AY$1334,[1]ACSDT5Y2020.B08301_data_with_ov!$AS$3:$AS$1334,$B548)</f>
        <v>#VALUE!</v>
      </c>
      <c r="R548" s="17" t="e">
        <f>SUMIFS([1]ACSDT5Y2020.B08301_data_with_ov!AZ$3:AZ$1334,[1]ACSDT5Y2020.B08301_data_with_ov!$AS$3:$AS$1334,$B548)</f>
        <v>#VALUE!</v>
      </c>
      <c r="S548" s="17" t="e">
        <f>SUMIFS([1]ACSDT5Y2020.B08301_data_with_ov!BA$3:BA$1334,[1]ACSDT5Y2020.B08301_data_with_ov!$AS$3:$AS$1334,$B548)</f>
        <v>#VALUE!</v>
      </c>
      <c r="T548" s="188">
        <v>0</v>
      </c>
      <c r="U548" s="189" t="e">
        <f t="shared" si="35"/>
        <v>#VALUE!</v>
      </c>
      <c r="V548" s="188">
        <v>0</v>
      </c>
      <c r="W548" s="189" t="e">
        <f t="shared" si="32"/>
        <v>#VALUE!</v>
      </c>
      <c r="X548" s="188">
        <v>0</v>
      </c>
      <c r="Y548" s="189" t="e">
        <f t="shared" si="33"/>
        <v>#VALUE!</v>
      </c>
      <c r="Z548" s="188">
        <v>0</v>
      </c>
      <c r="AA548" s="189" t="e">
        <f t="shared" si="34"/>
        <v>#VALUE!</v>
      </c>
    </row>
    <row r="549" spans="1:27" x14ac:dyDescent="0.25">
      <c r="A549">
        <v>580501</v>
      </c>
      <c r="B549">
        <v>17031580501</v>
      </c>
      <c r="C549">
        <v>17031</v>
      </c>
      <c r="D549">
        <v>2010</v>
      </c>
      <c r="E549">
        <v>58</v>
      </c>
      <c r="F549">
        <v>5297212.7778151296</v>
      </c>
      <c r="G549" s="45">
        <v>0.19001136284059092</v>
      </c>
      <c r="H549" s="60" t="str">
        <f>_xlfn.IFNA(
INDEX('Community Areas'!B$2:B$78,MATCH($E549,'Community Areas'!$A$2:$A$78,0)),
"")</f>
        <v>BRIGHTON PARK</v>
      </c>
      <c r="I549" s="63" t="str">
        <f>_xlfn.IFNA(
INDEX('Community Areas'!C$2:C$78,MATCH($E549,'Community Areas'!$A$2:$A$78,0)),
"")</f>
        <v>4-B</v>
      </c>
      <c r="J549" s="63">
        <f>_xlfn.IFNA(
INDEX('Community Areas'!D$2:D$78,MATCH($E549,'Community Areas'!$A$2:$A$78,0)),
"")</f>
        <v>4</v>
      </c>
      <c r="K549" s="60" t="str">
        <f>_xlfn.IFNA(
INDEX('Community Areas'!E$2:E$78,MATCH($E549,'Community Areas'!$A$2:$A$78,0)),
"")</f>
        <v>SOUTHWEST</v>
      </c>
      <c r="L549" s="17" t="e">
        <f>SUMIFS([1]ACSDT5Y2020.B08301_data_with_ov!AT$3:AT$1334,[1]ACSDT5Y2020.B08301_data_with_ov!$AS$3:$AS$1334,$B549)</f>
        <v>#VALUE!</v>
      </c>
      <c r="M549" s="17" t="e">
        <f>SUMIFS([1]ACSDT5Y2020.B08301_data_with_ov!AU$3:AU$1334,[1]ACSDT5Y2020.B08301_data_with_ov!$AS$3:$AS$1334,$B549)</f>
        <v>#VALUE!</v>
      </c>
      <c r="N549" s="17" t="e">
        <f>SUMIFS([1]ACSDT5Y2020.B08301_data_with_ov!AV$3:AV$1334,[1]ACSDT5Y2020.B08301_data_with_ov!$AS$3:$AS$1334,$B549)</f>
        <v>#VALUE!</v>
      </c>
      <c r="O549" s="17" t="e">
        <f>SUMIFS([1]ACSDT5Y2020.B08301_data_with_ov!AW$3:AW$1334,[1]ACSDT5Y2020.B08301_data_with_ov!$AS$3:$AS$1334,$B549)</f>
        <v>#VALUE!</v>
      </c>
      <c r="P549" s="17" t="e">
        <f>SUMIFS([1]ACSDT5Y2020.B08301_data_with_ov!AX$3:AX$1334,[1]ACSDT5Y2020.B08301_data_with_ov!$AS$3:$AS$1334,$B549)</f>
        <v>#VALUE!</v>
      </c>
      <c r="Q549" s="17" t="e">
        <f>SUMIFS([1]ACSDT5Y2020.B08301_data_with_ov!AY$3:AY$1334,[1]ACSDT5Y2020.B08301_data_with_ov!$AS$3:$AS$1334,$B549)</f>
        <v>#VALUE!</v>
      </c>
      <c r="R549" s="17" t="e">
        <f>SUMIFS([1]ACSDT5Y2020.B08301_data_with_ov!AZ$3:AZ$1334,[1]ACSDT5Y2020.B08301_data_with_ov!$AS$3:$AS$1334,$B549)</f>
        <v>#VALUE!</v>
      </c>
      <c r="S549" s="17" t="e">
        <f>SUMIFS([1]ACSDT5Y2020.B08301_data_with_ov!BA$3:BA$1334,[1]ACSDT5Y2020.B08301_data_with_ov!$AS$3:$AS$1334,$B549)</f>
        <v>#VALUE!</v>
      </c>
      <c r="T549" s="188">
        <v>0</v>
      </c>
      <c r="U549" s="189" t="e">
        <f t="shared" si="35"/>
        <v>#VALUE!</v>
      </c>
      <c r="V549" s="188">
        <v>0</v>
      </c>
      <c r="W549" s="189" t="e">
        <f t="shared" si="32"/>
        <v>#VALUE!</v>
      </c>
      <c r="X549" s="188">
        <v>0</v>
      </c>
      <c r="Y549" s="189" t="e">
        <f t="shared" si="33"/>
        <v>#VALUE!</v>
      </c>
      <c r="Z549" s="188">
        <v>0</v>
      </c>
      <c r="AA549" s="189" t="e">
        <f t="shared" si="34"/>
        <v>#VALUE!</v>
      </c>
    </row>
    <row r="550" spans="1:27" x14ac:dyDescent="0.25">
      <c r="A550">
        <v>580100</v>
      </c>
      <c r="B550">
        <v>17031580100</v>
      </c>
      <c r="C550">
        <v>17031</v>
      </c>
      <c r="D550">
        <v>2010</v>
      </c>
      <c r="E550">
        <v>58</v>
      </c>
      <c r="F550">
        <v>8263148.8468819195</v>
      </c>
      <c r="G550" s="45">
        <v>0.29639968028588154</v>
      </c>
      <c r="H550" s="60" t="str">
        <f>_xlfn.IFNA(
INDEX('Community Areas'!B$2:B$78,MATCH($E550,'Community Areas'!$A$2:$A$78,0)),
"")</f>
        <v>BRIGHTON PARK</v>
      </c>
      <c r="I550" s="63" t="str">
        <f>_xlfn.IFNA(
INDEX('Community Areas'!C$2:C$78,MATCH($E550,'Community Areas'!$A$2:$A$78,0)),
"")</f>
        <v>4-B</v>
      </c>
      <c r="J550" s="63">
        <f>_xlfn.IFNA(
INDEX('Community Areas'!D$2:D$78,MATCH($E550,'Community Areas'!$A$2:$A$78,0)),
"")</f>
        <v>4</v>
      </c>
      <c r="K550" s="60" t="str">
        <f>_xlfn.IFNA(
INDEX('Community Areas'!E$2:E$78,MATCH($E550,'Community Areas'!$A$2:$A$78,0)),
"")</f>
        <v>SOUTHWEST</v>
      </c>
      <c r="L550" s="17" t="e">
        <f>SUMIFS([1]ACSDT5Y2020.B08301_data_with_ov!AT$3:AT$1334,[1]ACSDT5Y2020.B08301_data_with_ov!$AS$3:$AS$1334,$B550)</f>
        <v>#VALUE!</v>
      </c>
      <c r="M550" s="17" t="e">
        <f>SUMIFS([1]ACSDT5Y2020.B08301_data_with_ov!AU$3:AU$1334,[1]ACSDT5Y2020.B08301_data_with_ov!$AS$3:$AS$1334,$B550)</f>
        <v>#VALUE!</v>
      </c>
      <c r="N550" s="17" t="e">
        <f>SUMIFS([1]ACSDT5Y2020.B08301_data_with_ov!AV$3:AV$1334,[1]ACSDT5Y2020.B08301_data_with_ov!$AS$3:$AS$1334,$B550)</f>
        <v>#VALUE!</v>
      </c>
      <c r="O550" s="17" t="e">
        <f>SUMIFS([1]ACSDT5Y2020.B08301_data_with_ov!AW$3:AW$1334,[1]ACSDT5Y2020.B08301_data_with_ov!$AS$3:$AS$1334,$B550)</f>
        <v>#VALUE!</v>
      </c>
      <c r="P550" s="17" t="e">
        <f>SUMIFS([1]ACSDT5Y2020.B08301_data_with_ov!AX$3:AX$1334,[1]ACSDT5Y2020.B08301_data_with_ov!$AS$3:$AS$1334,$B550)</f>
        <v>#VALUE!</v>
      </c>
      <c r="Q550" s="17" t="e">
        <f>SUMIFS([1]ACSDT5Y2020.B08301_data_with_ov!AY$3:AY$1334,[1]ACSDT5Y2020.B08301_data_with_ov!$AS$3:$AS$1334,$B550)</f>
        <v>#VALUE!</v>
      </c>
      <c r="R550" s="17" t="e">
        <f>SUMIFS([1]ACSDT5Y2020.B08301_data_with_ov!AZ$3:AZ$1334,[1]ACSDT5Y2020.B08301_data_with_ov!$AS$3:$AS$1334,$B550)</f>
        <v>#VALUE!</v>
      </c>
      <c r="S550" s="17" t="e">
        <f>SUMIFS([1]ACSDT5Y2020.B08301_data_with_ov!BA$3:BA$1334,[1]ACSDT5Y2020.B08301_data_with_ov!$AS$3:$AS$1334,$B550)</f>
        <v>#VALUE!</v>
      </c>
      <c r="T550" s="188">
        <v>0.25729772412802854</v>
      </c>
      <c r="U550" s="189" t="e">
        <f t="shared" si="35"/>
        <v>#VALUE!</v>
      </c>
      <c r="V550" s="188">
        <v>0.25729772412802854</v>
      </c>
      <c r="W550" s="189" t="e">
        <f t="shared" si="32"/>
        <v>#VALUE!</v>
      </c>
      <c r="X550" s="188">
        <v>0.25729772412802854</v>
      </c>
      <c r="Y550" s="189" t="e">
        <f t="shared" si="33"/>
        <v>#VALUE!</v>
      </c>
      <c r="Z550" s="188">
        <v>0.25729772412802854</v>
      </c>
      <c r="AA550" s="189" t="e">
        <f t="shared" si="34"/>
        <v>#VALUE!</v>
      </c>
    </row>
    <row r="551" spans="1:27" x14ac:dyDescent="0.25">
      <c r="A551">
        <v>580700</v>
      </c>
      <c r="B551">
        <v>17031580700</v>
      </c>
      <c r="C551">
        <v>17031</v>
      </c>
      <c r="D551">
        <v>2010</v>
      </c>
      <c r="E551">
        <v>58</v>
      </c>
      <c r="F551">
        <v>5923102.9612501496</v>
      </c>
      <c r="G551" s="45">
        <v>0.21246208395209731</v>
      </c>
      <c r="H551" s="60" t="str">
        <f>_xlfn.IFNA(
INDEX('Community Areas'!B$2:B$78,MATCH($E551,'Community Areas'!$A$2:$A$78,0)),
"")</f>
        <v>BRIGHTON PARK</v>
      </c>
      <c r="I551" s="63" t="str">
        <f>_xlfn.IFNA(
INDEX('Community Areas'!C$2:C$78,MATCH($E551,'Community Areas'!$A$2:$A$78,0)),
"")</f>
        <v>4-B</v>
      </c>
      <c r="J551" s="63">
        <f>_xlfn.IFNA(
INDEX('Community Areas'!D$2:D$78,MATCH($E551,'Community Areas'!$A$2:$A$78,0)),
"")</f>
        <v>4</v>
      </c>
      <c r="K551" s="60" t="str">
        <f>_xlfn.IFNA(
INDEX('Community Areas'!E$2:E$78,MATCH($E551,'Community Areas'!$A$2:$A$78,0)),
"")</f>
        <v>SOUTHWEST</v>
      </c>
      <c r="L551" s="17" t="e">
        <f>SUMIFS([1]ACSDT5Y2020.B08301_data_with_ov!AT$3:AT$1334,[1]ACSDT5Y2020.B08301_data_with_ov!$AS$3:$AS$1334,$B551)</f>
        <v>#VALUE!</v>
      </c>
      <c r="M551" s="17" t="e">
        <f>SUMIFS([1]ACSDT5Y2020.B08301_data_with_ov!AU$3:AU$1334,[1]ACSDT5Y2020.B08301_data_with_ov!$AS$3:$AS$1334,$B551)</f>
        <v>#VALUE!</v>
      </c>
      <c r="N551" s="17" t="e">
        <f>SUMIFS([1]ACSDT5Y2020.B08301_data_with_ov!AV$3:AV$1334,[1]ACSDT5Y2020.B08301_data_with_ov!$AS$3:$AS$1334,$B551)</f>
        <v>#VALUE!</v>
      </c>
      <c r="O551" s="17" t="e">
        <f>SUMIFS([1]ACSDT5Y2020.B08301_data_with_ov!AW$3:AW$1334,[1]ACSDT5Y2020.B08301_data_with_ov!$AS$3:$AS$1334,$B551)</f>
        <v>#VALUE!</v>
      </c>
      <c r="P551" s="17" t="e">
        <f>SUMIFS([1]ACSDT5Y2020.B08301_data_with_ov!AX$3:AX$1334,[1]ACSDT5Y2020.B08301_data_with_ov!$AS$3:$AS$1334,$B551)</f>
        <v>#VALUE!</v>
      </c>
      <c r="Q551" s="17" t="e">
        <f>SUMIFS([1]ACSDT5Y2020.B08301_data_with_ov!AY$3:AY$1334,[1]ACSDT5Y2020.B08301_data_with_ov!$AS$3:$AS$1334,$B551)</f>
        <v>#VALUE!</v>
      </c>
      <c r="R551" s="17" t="e">
        <f>SUMIFS([1]ACSDT5Y2020.B08301_data_with_ov!AZ$3:AZ$1334,[1]ACSDT5Y2020.B08301_data_with_ov!$AS$3:$AS$1334,$B551)</f>
        <v>#VALUE!</v>
      </c>
      <c r="S551" s="17" t="e">
        <f>SUMIFS([1]ACSDT5Y2020.B08301_data_with_ov!BA$3:BA$1334,[1]ACSDT5Y2020.B08301_data_with_ov!$AS$3:$AS$1334,$B551)</f>
        <v>#VALUE!</v>
      </c>
      <c r="T551" s="188">
        <v>0.13530226049725164</v>
      </c>
      <c r="U551" s="189" t="e">
        <f t="shared" si="35"/>
        <v>#VALUE!</v>
      </c>
      <c r="V551" s="188">
        <v>0.13530226049725164</v>
      </c>
      <c r="W551" s="189" t="e">
        <f t="shared" si="32"/>
        <v>#VALUE!</v>
      </c>
      <c r="X551" s="188">
        <v>0.13530226049725164</v>
      </c>
      <c r="Y551" s="189" t="e">
        <f t="shared" si="33"/>
        <v>#VALUE!</v>
      </c>
      <c r="Z551" s="188">
        <v>0.13530226049725164</v>
      </c>
      <c r="AA551" s="189" t="e">
        <f t="shared" si="34"/>
        <v>#VALUE!</v>
      </c>
    </row>
    <row r="552" spans="1:27" x14ac:dyDescent="0.25">
      <c r="A552">
        <v>580502</v>
      </c>
      <c r="B552">
        <v>17031580502</v>
      </c>
      <c r="C552">
        <v>17031</v>
      </c>
      <c r="D552">
        <v>2010</v>
      </c>
      <c r="E552">
        <v>58</v>
      </c>
      <c r="F552">
        <v>5322099.3338118903</v>
      </c>
      <c r="G552" s="45">
        <v>0.19090404520388152</v>
      </c>
      <c r="H552" s="60" t="str">
        <f>_xlfn.IFNA(
INDEX('Community Areas'!B$2:B$78,MATCH($E552,'Community Areas'!$A$2:$A$78,0)),
"")</f>
        <v>BRIGHTON PARK</v>
      </c>
      <c r="I552" s="63" t="str">
        <f>_xlfn.IFNA(
INDEX('Community Areas'!C$2:C$78,MATCH($E552,'Community Areas'!$A$2:$A$78,0)),
"")</f>
        <v>4-B</v>
      </c>
      <c r="J552" s="63">
        <f>_xlfn.IFNA(
INDEX('Community Areas'!D$2:D$78,MATCH($E552,'Community Areas'!$A$2:$A$78,0)),
"")</f>
        <v>4</v>
      </c>
      <c r="K552" s="60" t="str">
        <f>_xlfn.IFNA(
INDEX('Community Areas'!E$2:E$78,MATCH($E552,'Community Areas'!$A$2:$A$78,0)),
"")</f>
        <v>SOUTHWEST</v>
      </c>
      <c r="L552" s="17" t="e">
        <f>SUMIFS([1]ACSDT5Y2020.B08301_data_with_ov!AT$3:AT$1334,[1]ACSDT5Y2020.B08301_data_with_ov!$AS$3:$AS$1334,$B552)</f>
        <v>#VALUE!</v>
      </c>
      <c r="M552" s="17" t="e">
        <f>SUMIFS([1]ACSDT5Y2020.B08301_data_with_ov!AU$3:AU$1334,[1]ACSDT5Y2020.B08301_data_with_ov!$AS$3:$AS$1334,$B552)</f>
        <v>#VALUE!</v>
      </c>
      <c r="N552" s="17" t="e">
        <f>SUMIFS([1]ACSDT5Y2020.B08301_data_with_ov!AV$3:AV$1334,[1]ACSDT5Y2020.B08301_data_with_ov!$AS$3:$AS$1334,$B552)</f>
        <v>#VALUE!</v>
      </c>
      <c r="O552" s="17" t="e">
        <f>SUMIFS([1]ACSDT5Y2020.B08301_data_with_ov!AW$3:AW$1334,[1]ACSDT5Y2020.B08301_data_with_ov!$AS$3:$AS$1334,$B552)</f>
        <v>#VALUE!</v>
      </c>
      <c r="P552" s="17" t="e">
        <f>SUMIFS([1]ACSDT5Y2020.B08301_data_with_ov!AX$3:AX$1334,[1]ACSDT5Y2020.B08301_data_with_ov!$AS$3:$AS$1334,$B552)</f>
        <v>#VALUE!</v>
      </c>
      <c r="Q552" s="17" t="e">
        <f>SUMIFS([1]ACSDT5Y2020.B08301_data_with_ov!AY$3:AY$1334,[1]ACSDT5Y2020.B08301_data_with_ov!$AS$3:$AS$1334,$B552)</f>
        <v>#VALUE!</v>
      </c>
      <c r="R552" s="17" t="e">
        <f>SUMIFS([1]ACSDT5Y2020.B08301_data_with_ov!AZ$3:AZ$1334,[1]ACSDT5Y2020.B08301_data_with_ov!$AS$3:$AS$1334,$B552)</f>
        <v>#VALUE!</v>
      </c>
      <c r="S552" s="17" t="e">
        <f>SUMIFS([1]ACSDT5Y2020.B08301_data_with_ov!BA$3:BA$1334,[1]ACSDT5Y2020.B08301_data_with_ov!$AS$3:$AS$1334,$B552)</f>
        <v>#VALUE!</v>
      </c>
      <c r="T552" s="188">
        <v>0</v>
      </c>
      <c r="U552" s="189" t="e">
        <f t="shared" si="35"/>
        <v>#VALUE!</v>
      </c>
      <c r="V552" s="188">
        <v>0</v>
      </c>
      <c r="W552" s="189" t="e">
        <f t="shared" si="32"/>
        <v>#VALUE!</v>
      </c>
      <c r="X552" s="188">
        <v>0</v>
      </c>
      <c r="Y552" s="189" t="e">
        <f t="shared" si="33"/>
        <v>#VALUE!</v>
      </c>
      <c r="Z552" s="188">
        <v>0</v>
      </c>
      <c r="AA552" s="189" t="e">
        <f t="shared" si="34"/>
        <v>#VALUE!</v>
      </c>
    </row>
    <row r="553" spans="1:27" x14ac:dyDescent="0.25">
      <c r="A553">
        <v>580800</v>
      </c>
      <c r="B553">
        <v>17031580800</v>
      </c>
      <c r="C553">
        <v>17031</v>
      </c>
      <c r="D553">
        <v>2010</v>
      </c>
      <c r="E553">
        <v>58</v>
      </c>
      <c r="F553">
        <v>1971910.20687707</v>
      </c>
      <c r="G553" s="45">
        <v>7.0732545873402705E-2</v>
      </c>
      <c r="H553" s="60" t="str">
        <f>_xlfn.IFNA(
INDEX('Community Areas'!B$2:B$78,MATCH($E553,'Community Areas'!$A$2:$A$78,0)),
"")</f>
        <v>BRIGHTON PARK</v>
      </c>
      <c r="I553" s="63" t="str">
        <f>_xlfn.IFNA(
INDEX('Community Areas'!C$2:C$78,MATCH($E553,'Community Areas'!$A$2:$A$78,0)),
"")</f>
        <v>4-B</v>
      </c>
      <c r="J553" s="63">
        <f>_xlfn.IFNA(
INDEX('Community Areas'!D$2:D$78,MATCH($E553,'Community Areas'!$A$2:$A$78,0)),
"")</f>
        <v>4</v>
      </c>
      <c r="K553" s="60" t="str">
        <f>_xlfn.IFNA(
INDEX('Community Areas'!E$2:E$78,MATCH($E553,'Community Areas'!$A$2:$A$78,0)),
"")</f>
        <v>SOUTHWEST</v>
      </c>
      <c r="L553" s="17" t="e">
        <f>SUMIFS([1]ACSDT5Y2020.B08301_data_with_ov!AT$3:AT$1334,[1]ACSDT5Y2020.B08301_data_with_ov!$AS$3:$AS$1334,$B553)</f>
        <v>#VALUE!</v>
      </c>
      <c r="M553" s="17" t="e">
        <f>SUMIFS([1]ACSDT5Y2020.B08301_data_with_ov!AU$3:AU$1334,[1]ACSDT5Y2020.B08301_data_with_ov!$AS$3:$AS$1334,$B553)</f>
        <v>#VALUE!</v>
      </c>
      <c r="N553" s="17" t="e">
        <f>SUMIFS([1]ACSDT5Y2020.B08301_data_with_ov!AV$3:AV$1334,[1]ACSDT5Y2020.B08301_data_with_ov!$AS$3:$AS$1334,$B553)</f>
        <v>#VALUE!</v>
      </c>
      <c r="O553" s="17" t="e">
        <f>SUMIFS([1]ACSDT5Y2020.B08301_data_with_ov!AW$3:AW$1334,[1]ACSDT5Y2020.B08301_data_with_ov!$AS$3:$AS$1334,$B553)</f>
        <v>#VALUE!</v>
      </c>
      <c r="P553" s="17" t="e">
        <f>SUMIFS([1]ACSDT5Y2020.B08301_data_with_ov!AX$3:AX$1334,[1]ACSDT5Y2020.B08301_data_with_ov!$AS$3:$AS$1334,$B553)</f>
        <v>#VALUE!</v>
      </c>
      <c r="Q553" s="17" t="e">
        <f>SUMIFS([1]ACSDT5Y2020.B08301_data_with_ov!AY$3:AY$1334,[1]ACSDT5Y2020.B08301_data_with_ov!$AS$3:$AS$1334,$B553)</f>
        <v>#VALUE!</v>
      </c>
      <c r="R553" s="17" t="e">
        <f>SUMIFS([1]ACSDT5Y2020.B08301_data_with_ov!AZ$3:AZ$1334,[1]ACSDT5Y2020.B08301_data_with_ov!$AS$3:$AS$1334,$B553)</f>
        <v>#VALUE!</v>
      </c>
      <c r="S553" s="17" t="e">
        <f>SUMIFS([1]ACSDT5Y2020.B08301_data_with_ov!BA$3:BA$1334,[1]ACSDT5Y2020.B08301_data_with_ov!$AS$3:$AS$1334,$B553)</f>
        <v>#VALUE!</v>
      </c>
      <c r="T553" s="188">
        <v>2.650198923179982E-3</v>
      </c>
      <c r="U553" s="189" t="e">
        <f t="shared" si="35"/>
        <v>#VALUE!</v>
      </c>
      <c r="V553" s="188">
        <v>0</v>
      </c>
      <c r="W553" s="189" t="e">
        <f t="shared" si="32"/>
        <v>#VALUE!</v>
      </c>
      <c r="X553" s="188">
        <v>0</v>
      </c>
      <c r="Y553" s="189" t="e">
        <f t="shared" si="33"/>
        <v>#VALUE!</v>
      </c>
      <c r="Z553" s="188">
        <v>0</v>
      </c>
      <c r="AA553" s="189" t="e">
        <f t="shared" si="34"/>
        <v>#VALUE!</v>
      </c>
    </row>
    <row r="554" spans="1:27" x14ac:dyDescent="0.25">
      <c r="A554">
        <v>580300</v>
      </c>
      <c r="B554">
        <v>17031580300</v>
      </c>
      <c r="C554">
        <v>17031</v>
      </c>
      <c r="D554">
        <v>2010</v>
      </c>
      <c r="E554">
        <v>58</v>
      </c>
      <c r="F554">
        <v>4958721.5705467397</v>
      </c>
      <c r="G554" s="45">
        <v>0.17786966147794492</v>
      </c>
      <c r="H554" s="60" t="str">
        <f>_xlfn.IFNA(
INDEX('Community Areas'!B$2:B$78,MATCH($E554,'Community Areas'!$A$2:$A$78,0)),
"")</f>
        <v>BRIGHTON PARK</v>
      </c>
      <c r="I554" s="63" t="str">
        <f>_xlfn.IFNA(
INDEX('Community Areas'!C$2:C$78,MATCH($E554,'Community Areas'!$A$2:$A$78,0)),
"")</f>
        <v>4-B</v>
      </c>
      <c r="J554" s="63">
        <f>_xlfn.IFNA(
INDEX('Community Areas'!D$2:D$78,MATCH($E554,'Community Areas'!$A$2:$A$78,0)),
"")</f>
        <v>4</v>
      </c>
      <c r="K554" s="60" t="str">
        <f>_xlfn.IFNA(
INDEX('Community Areas'!E$2:E$78,MATCH($E554,'Community Areas'!$A$2:$A$78,0)),
"")</f>
        <v>SOUTHWEST</v>
      </c>
      <c r="L554" s="17" t="e">
        <f>SUMIFS([1]ACSDT5Y2020.B08301_data_with_ov!AT$3:AT$1334,[1]ACSDT5Y2020.B08301_data_with_ov!$AS$3:$AS$1334,$B554)</f>
        <v>#VALUE!</v>
      </c>
      <c r="M554" s="17" t="e">
        <f>SUMIFS([1]ACSDT5Y2020.B08301_data_with_ov!AU$3:AU$1334,[1]ACSDT5Y2020.B08301_data_with_ov!$AS$3:$AS$1334,$B554)</f>
        <v>#VALUE!</v>
      </c>
      <c r="N554" s="17" t="e">
        <f>SUMIFS([1]ACSDT5Y2020.B08301_data_with_ov!AV$3:AV$1334,[1]ACSDT5Y2020.B08301_data_with_ov!$AS$3:$AS$1334,$B554)</f>
        <v>#VALUE!</v>
      </c>
      <c r="O554" s="17" t="e">
        <f>SUMIFS([1]ACSDT5Y2020.B08301_data_with_ov!AW$3:AW$1334,[1]ACSDT5Y2020.B08301_data_with_ov!$AS$3:$AS$1334,$B554)</f>
        <v>#VALUE!</v>
      </c>
      <c r="P554" s="17" t="e">
        <f>SUMIFS([1]ACSDT5Y2020.B08301_data_with_ov!AX$3:AX$1334,[1]ACSDT5Y2020.B08301_data_with_ov!$AS$3:$AS$1334,$B554)</f>
        <v>#VALUE!</v>
      </c>
      <c r="Q554" s="17" t="e">
        <f>SUMIFS([1]ACSDT5Y2020.B08301_data_with_ov!AY$3:AY$1334,[1]ACSDT5Y2020.B08301_data_with_ov!$AS$3:$AS$1334,$B554)</f>
        <v>#VALUE!</v>
      </c>
      <c r="R554" s="17" t="e">
        <f>SUMIFS([1]ACSDT5Y2020.B08301_data_with_ov!AZ$3:AZ$1334,[1]ACSDT5Y2020.B08301_data_with_ov!$AS$3:$AS$1334,$B554)</f>
        <v>#VALUE!</v>
      </c>
      <c r="S554" s="17" t="e">
        <f>SUMIFS([1]ACSDT5Y2020.B08301_data_with_ov!BA$3:BA$1334,[1]ACSDT5Y2020.B08301_data_with_ov!$AS$3:$AS$1334,$B554)</f>
        <v>#VALUE!</v>
      </c>
      <c r="T554" s="188">
        <v>0</v>
      </c>
      <c r="U554" s="189" t="e">
        <f t="shared" si="35"/>
        <v>#VALUE!</v>
      </c>
      <c r="V554" s="188">
        <v>0</v>
      </c>
      <c r="W554" s="189" t="e">
        <f t="shared" si="32"/>
        <v>#VALUE!</v>
      </c>
      <c r="X554" s="188">
        <v>0</v>
      </c>
      <c r="Y554" s="189" t="e">
        <f t="shared" si="33"/>
        <v>#VALUE!</v>
      </c>
      <c r="Z554" s="188">
        <v>0</v>
      </c>
      <c r="AA554" s="189" t="e">
        <f t="shared" si="34"/>
        <v>#VALUE!</v>
      </c>
    </row>
    <row r="555" spans="1:27" x14ac:dyDescent="0.25">
      <c r="A555">
        <v>580600</v>
      </c>
      <c r="B555">
        <v>17031580600</v>
      </c>
      <c r="C555">
        <v>17031</v>
      </c>
      <c r="D555">
        <v>2010</v>
      </c>
      <c r="E555">
        <v>58</v>
      </c>
      <c r="F555">
        <v>5304262.9605195401</v>
      </c>
      <c r="G555" s="45">
        <v>0.1902642533473779</v>
      </c>
      <c r="H555" s="60" t="str">
        <f>_xlfn.IFNA(
INDEX('Community Areas'!B$2:B$78,MATCH($E555,'Community Areas'!$A$2:$A$78,0)),
"")</f>
        <v>BRIGHTON PARK</v>
      </c>
      <c r="I555" s="63" t="str">
        <f>_xlfn.IFNA(
INDEX('Community Areas'!C$2:C$78,MATCH($E555,'Community Areas'!$A$2:$A$78,0)),
"")</f>
        <v>4-B</v>
      </c>
      <c r="J555" s="63">
        <f>_xlfn.IFNA(
INDEX('Community Areas'!D$2:D$78,MATCH($E555,'Community Areas'!$A$2:$A$78,0)),
"")</f>
        <v>4</v>
      </c>
      <c r="K555" s="60" t="str">
        <f>_xlfn.IFNA(
INDEX('Community Areas'!E$2:E$78,MATCH($E555,'Community Areas'!$A$2:$A$78,0)),
"")</f>
        <v>SOUTHWEST</v>
      </c>
      <c r="L555" s="17" t="e">
        <f>SUMIFS([1]ACSDT5Y2020.B08301_data_with_ov!AT$3:AT$1334,[1]ACSDT5Y2020.B08301_data_with_ov!$AS$3:$AS$1334,$B555)</f>
        <v>#VALUE!</v>
      </c>
      <c r="M555" s="17" t="e">
        <f>SUMIFS([1]ACSDT5Y2020.B08301_data_with_ov!AU$3:AU$1334,[1]ACSDT5Y2020.B08301_data_with_ov!$AS$3:$AS$1334,$B555)</f>
        <v>#VALUE!</v>
      </c>
      <c r="N555" s="17" t="e">
        <f>SUMIFS([1]ACSDT5Y2020.B08301_data_with_ov!AV$3:AV$1334,[1]ACSDT5Y2020.B08301_data_with_ov!$AS$3:$AS$1334,$B555)</f>
        <v>#VALUE!</v>
      </c>
      <c r="O555" s="17" t="e">
        <f>SUMIFS([1]ACSDT5Y2020.B08301_data_with_ov!AW$3:AW$1334,[1]ACSDT5Y2020.B08301_data_with_ov!$AS$3:$AS$1334,$B555)</f>
        <v>#VALUE!</v>
      </c>
      <c r="P555" s="17" t="e">
        <f>SUMIFS([1]ACSDT5Y2020.B08301_data_with_ov!AX$3:AX$1334,[1]ACSDT5Y2020.B08301_data_with_ov!$AS$3:$AS$1334,$B555)</f>
        <v>#VALUE!</v>
      </c>
      <c r="Q555" s="17" t="e">
        <f>SUMIFS([1]ACSDT5Y2020.B08301_data_with_ov!AY$3:AY$1334,[1]ACSDT5Y2020.B08301_data_with_ov!$AS$3:$AS$1334,$B555)</f>
        <v>#VALUE!</v>
      </c>
      <c r="R555" s="17" t="e">
        <f>SUMIFS([1]ACSDT5Y2020.B08301_data_with_ov!AZ$3:AZ$1334,[1]ACSDT5Y2020.B08301_data_with_ov!$AS$3:$AS$1334,$B555)</f>
        <v>#VALUE!</v>
      </c>
      <c r="S555" s="17" t="e">
        <f>SUMIFS([1]ACSDT5Y2020.B08301_data_with_ov!BA$3:BA$1334,[1]ACSDT5Y2020.B08301_data_with_ov!$AS$3:$AS$1334,$B555)</f>
        <v>#VALUE!</v>
      </c>
      <c r="T555" s="188">
        <v>7.5517861584929194E-2</v>
      </c>
      <c r="U555" s="189" t="e">
        <f t="shared" si="35"/>
        <v>#VALUE!</v>
      </c>
      <c r="V555" s="188">
        <v>7.5517861584929194E-2</v>
      </c>
      <c r="W555" s="189" t="e">
        <f t="shared" si="32"/>
        <v>#VALUE!</v>
      </c>
      <c r="X555" s="188">
        <v>7.5517861584929194E-2</v>
      </c>
      <c r="Y555" s="189" t="e">
        <f t="shared" si="33"/>
        <v>#VALUE!</v>
      </c>
      <c r="Z555" s="188">
        <v>7.5517861584929194E-2</v>
      </c>
      <c r="AA555" s="189" t="e">
        <f t="shared" si="34"/>
        <v>#VALUE!</v>
      </c>
    </row>
    <row r="556" spans="1:27" x14ac:dyDescent="0.25">
      <c r="A556">
        <v>580200</v>
      </c>
      <c r="B556">
        <v>17031580200</v>
      </c>
      <c r="C556">
        <v>17031</v>
      </c>
      <c r="D556">
        <v>2010</v>
      </c>
      <c r="E556">
        <v>58</v>
      </c>
      <c r="F556">
        <v>8014143.0831089299</v>
      </c>
      <c r="G556" s="45">
        <v>0.28746782753346428</v>
      </c>
      <c r="H556" s="60" t="str">
        <f>_xlfn.IFNA(
INDEX('Community Areas'!B$2:B$78,MATCH($E556,'Community Areas'!$A$2:$A$78,0)),
"")</f>
        <v>BRIGHTON PARK</v>
      </c>
      <c r="I556" s="63" t="str">
        <f>_xlfn.IFNA(
INDEX('Community Areas'!C$2:C$78,MATCH($E556,'Community Areas'!$A$2:$A$78,0)),
"")</f>
        <v>4-B</v>
      </c>
      <c r="J556" s="63">
        <f>_xlfn.IFNA(
INDEX('Community Areas'!D$2:D$78,MATCH($E556,'Community Areas'!$A$2:$A$78,0)),
"")</f>
        <v>4</v>
      </c>
      <c r="K556" s="60" t="str">
        <f>_xlfn.IFNA(
INDEX('Community Areas'!E$2:E$78,MATCH($E556,'Community Areas'!$A$2:$A$78,0)),
"")</f>
        <v>SOUTHWEST</v>
      </c>
      <c r="L556" s="17" t="e">
        <f>SUMIFS([1]ACSDT5Y2020.B08301_data_with_ov!AT$3:AT$1334,[1]ACSDT5Y2020.B08301_data_with_ov!$AS$3:$AS$1334,$B556)</f>
        <v>#VALUE!</v>
      </c>
      <c r="M556" s="17" t="e">
        <f>SUMIFS([1]ACSDT5Y2020.B08301_data_with_ov!AU$3:AU$1334,[1]ACSDT5Y2020.B08301_data_with_ov!$AS$3:$AS$1334,$B556)</f>
        <v>#VALUE!</v>
      </c>
      <c r="N556" s="17" t="e">
        <f>SUMIFS([1]ACSDT5Y2020.B08301_data_with_ov!AV$3:AV$1334,[1]ACSDT5Y2020.B08301_data_with_ov!$AS$3:$AS$1334,$B556)</f>
        <v>#VALUE!</v>
      </c>
      <c r="O556" s="17" t="e">
        <f>SUMIFS([1]ACSDT5Y2020.B08301_data_with_ov!AW$3:AW$1334,[1]ACSDT5Y2020.B08301_data_with_ov!$AS$3:$AS$1334,$B556)</f>
        <v>#VALUE!</v>
      </c>
      <c r="P556" s="17" t="e">
        <f>SUMIFS([1]ACSDT5Y2020.B08301_data_with_ov!AX$3:AX$1334,[1]ACSDT5Y2020.B08301_data_with_ov!$AS$3:$AS$1334,$B556)</f>
        <v>#VALUE!</v>
      </c>
      <c r="Q556" s="17" t="e">
        <f>SUMIFS([1]ACSDT5Y2020.B08301_data_with_ov!AY$3:AY$1334,[1]ACSDT5Y2020.B08301_data_with_ov!$AS$3:$AS$1334,$B556)</f>
        <v>#VALUE!</v>
      </c>
      <c r="R556" s="17" t="e">
        <f>SUMIFS([1]ACSDT5Y2020.B08301_data_with_ov!AZ$3:AZ$1334,[1]ACSDT5Y2020.B08301_data_with_ov!$AS$3:$AS$1334,$B556)</f>
        <v>#VALUE!</v>
      </c>
      <c r="S556" s="17" t="e">
        <f>SUMIFS([1]ACSDT5Y2020.B08301_data_with_ov!BA$3:BA$1334,[1]ACSDT5Y2020.B08301_data_with_ov!$AS$3:$AS$1334,$B556)</f>
        <v>#VALUE!</v>
      </c>
      <c r="T556" s="188">
        <v>9.7786666843644541E-3</v>
      </c>
      <c r="U556" s="189" t="e">
        <f t="shared" si="35"/>
        <v>#VALUE!</v>
      </c>
      <c r="V556" s="188">
        <v>9.7786666843644541E-3</v>
      </c>
      <c r="W556" s="189" t="e">
        <f t="shared" si="32"/>
        <v>#VALUE!</v>
      </c>
      <c r="X556" s="188">
        <v>9.7786666843644541E-3</v>
      </c>
      <c r="Y556" s="189" t="e">
        <f t="shared" si="33"/>
        <v>#VALUE!</v>
      </c>
      <c r="Z556" s="188">
        <v>9.7786666843644541E-3</v>
      </c>
      <c r="AA556" s="189" t="e">
        <f t="shared" si="34"/>
        <v>#VALUE!</v>
      </c>
    </row>
    <row r="557" spans="1:27" x14ac:dyDescent="0.25">
      <c r="A557">
        <v>580400</v>
      </c>
      <c r="B557">
        <v>17031580400</v>
      </c>
      <c r="C557">
        <v>17031</v>
      </c>
      <c r="D557">
        <v>2010</v>
      </c>
      <c r="E557">
        <v>58</v>
      </c>
      <c r="F557">
        <v>14191818.943568099</v>
      </c>
      <c r="G557" s="45">
        <v>0.50906145774391998</v>
      </c>
      <c r="H557" s="60" t="str">
        <f>_xlfn.IFNA(
INDEX('Community Areas'!B$2:B$78,MATCH($E557,'Community Areas'!$A$2:$A$78,0)),
"")</f>
        <v>BRIGHTON PARK</v>
      </c>
      <c r="I557" s="63" t="str">
        <f>_xlfn.IFNA(
INDEX('Community Areas'!C$2:C$78,MATCH($E557,'Community Areas'!$A$2:$A$78,0)),
"")</f>
        <v>4-B</v>
      </c>
      <c r="J557" s="63">
        <f>_xlfn.IFNA(
INDEX('Community Areas'!D$2:D$78,MATCH($E557,'Community Areas'!$A$2:$A$78,0)),
"")</f>
        <v>4</v>
      </c>
      <c r="K557" s="60" t="str">
        <f>_xlfn.IFNA(
INDEX('Community Areas'!E$2:E$78,MATCH($E557,'Community Areas'!$A$2:$A$78,0)),
"")</f>
        <v>SOUTHWEST</v>
      </c>
      <c r="L557" s="17" t="e">
        <f>SUMIFS([1]ACSDT5Y2020.B08301_data_with_ov!AT$3:AT$1334,[1]ACSDT5Y2020.B08301_data_with_ov!$AS$3:$AS$1334,$B557)</f>
        <v>#VALUE!</v>
      </c>
      <c r="M557" s="17" t="e">
        <f>SUMIFS([1]ACSDT5Y2020.B08301_data_with_ov!AU$3:AU$1334,[1]ACSDT5Y2020.B08301_data_with_ov!$AS$3:$AS$1334,$B557)</f>
        <v>#VALUE!</v>
      </c>
      <c r="N557" s="17" t="e">
        <f>SUMIFS([1]ACSDT5Y2020.B08301_data_with_ov!AV$3:AV$1334,[1]ACSDT5Y2020.B08301_data_with_ov!$AS$3:$AS$1334,$B557)</f>
        <v>#VALUE!</v>
      </c>
      <c r="O557" s="17" t="e">
        <f>SUMIFS([1]ACSDT5Y2020.B08301_data_with_ov!AW$3:AW$1334,[1]ACSDT5Y2020.B08301_data_with_ov!$AS$3:$AS$1334,$B557)</f>
        <v>#VALUE!</v>
      </c>
      <c r="P557" s="17" t="e">
        <f>SUMIFS([1]ACSDT5Y2020.B08301_data_with_ov!AX$3:AX$1334,[1]ACSDT5Y2020.B08301_data_with_ov!$AS$3:$AS$1334,$B557)</f>
        <v>#VALUE!</v>
      </c>
      <c r="Q557" s="17" t="e">
        <f>SUMIFS([1]ACSDT5Y2020.B08301_data_with_ov!AY$3:AY$1334,[1]ACSDT5Y2020.B08301_data_with_ov!$AS$3:$AS$1334,$B557)</f>
        <v>#VALUE!</v>
      </c>
      <c r="R557" s="17" t="e">
        <f>SUMIFS([1]ACSDT5Y2020.B08301_data_with_ov!AZ$3:AZ$1334,[1]ACSDT5Y2020.B08301_data_with_ov!$AS$3:$AS$1334,$B557)</f>
        <v>#VALUE!</v>
      </c>
      <c r="S557" s="17" t="e">
        <f>SUMIFS([1]ACSDT5Y2020.B08301_data_with_ov!BA$3:BA$1334,[1]ACSDT5Y2020.B08301_data_with_ov!$AS$3:$AS$1334,$B557)</f>
        <v>#VALUE!</v>
      </c>
      <c r="T557" s="188">
        <v>0</v>
      </c>
      <c r="U557" s="189" t="e">
        <f t="shared" si="35"/>
        <v>#VALUE!</v>
      </c>
      <c r="V557" s="188">
        <v>0</v>
      </c>
      <c r="W557" s="189" t="e">
        <f t="shared" si="32"/>
        <v>#VALUE!</v>
      </c>
      <c r="X557" s="188">
        <v>0</v>
      </c>
      <c r="Y557" s="189" t="e">
        <f t="shared" si="33"/>
        <v>#VALUE!</v>
      </c>
      <c r="Z557" s="188">
        <v>0</v>
      </c>
      <c r="AA557" s="189" t="e">
        <f t="shared" si="34"/>
        <v>#VALUE!</v>
      </c>
    </row>
    <row r="558" spans="1:27" x14ac:dyDescent="0.25">
      <c r="A558">
        <v>590500</v>
      </c>
      <c r="B558">
        <v>17031590500</v>
      </c>
      <c r="C558">
        <v>17031</v>
      </c>
      <c r="D558">
        <v>2010</v>
      </c>
      <c r="E558">
        <v>59</v>
      </c>
      <c r="F558">
        <v>6419890.5390271796</v>
      </c>
      <c r="G558" s="45">
        <v>0.23028188630004517</v>
      </c>
      <c r="H558" s="60" t="str">
        <f>_xlfn.IFNA(
INDEX('Community Areas'!B$2:B$78,MATCH($E558,'Community Areas'!$A$2:$A$78,0)),
"")</f>
        <v>MCKINLEY PARK</v>
      </c>
      <c r="I558" s="63" t="str">
        <f>_xlfn.IFNA(
INDEX('Community Areas'!C$2:C$78,MATCH($E558,'Community Areas'!$A$2:$A$78,0)),
"")</f>
        <v>4-A</v>
      </c>
      <c r="J558" s="63">
        <f>_xlfn.IFNA(
INDEX('Community Areas'!D$2:D$78,MATCH($E558,'Community Areas'!$A$2:$A$78,0)),
"")</f>
        <v>4</v>
      </c>
      <c r="K558" s="60" t="str">
        <f>_xlfn.IFNA(
INDEX('Community Areas'!E$2:E$78,MATCH($E558,'Community Areas'!$A$2:$A$78,0)),
"")</f>
        <v>SOUTHWEST</v>
      </c>
      <c r="L558" s="17" t="e">
        <f>SUMIFS([1]ACSDT5Y2020.B08301_data_with_ov!AT$3:AT$1334,[1]ACSDT5Y2020.B08301_data_with_ov!$AS$3:$AS$1334,$B558)</f>
        <v>#VALUE!</v>
      </c>
      <c r="M558" s="17" t="e">
        <f>SUMIFS([1]ACSDT5Y2020.B08301_data_with_ov!AU$3:AU$1334,[1]ACSDT5Y2020.B08301_data_with_ov!$AS$3:$AS$1334,$B558)</f>
        <v>#VALUE!</v>
      </c>
      <c r="N558" s="17" t="e">
        <f>SUMIFS([1]ACSDT5Y2020.B08301_data_with_ov!AV$3:AV$1334,[1]ACSDT5Y2020.B08301_data_with_ov!$AS$3:$AS$1334,$B558)</f>
        <v>#VALUE!</v>
      </c>
      <c r="O558" s="17" t="e">
        <f>SUMIFS([1]ACSDT5Y2020.B08301_data_with_ov!AW$3:AW$1334,[1]ACSDT5Y2020.B08301_data_with_ov!$AS$3:$AS$1334,$B558)</f>
        <v>#VALUE!</v>
      </c>
      <c r="P558" s="17" t="e">
        <f>SUMIFS([1]ACSDT5Y2020.B08301_data_with_ov!AX$3:AX$1334,[1]ACSDT5Y2020.B08301_data_with_ov!$AS$3:$AS$1334,$B558)</f>
        <v>#VALUE!</v>
      </c>
      <c r="Q558" s="17" t="e">
        <f>SUMIFS([1]ACSDT5Y2020.B08301_data_with_ov!AY$3:AY$1334,[1]ACSDT5Y2020.B08301_data_with_ov!$AS$3:$AS$1334,$B558)</f>
        <v>#VALUE!</v>
      </c>
      <c r="R558" s="17" t="e">
        <f>SUMIFS([1]ACSDT5Y2020.B08301_data_with_ov!AZ$3:AZ$1334,[1]ACSDT5Y2020.B08301_data_with_ov!$AS$3:$AS$1334,$B558)</f>
        <v>#VALUE!</v>
      </c>
      <c r="S558" s="17" t="e">
        <f>SUMIFS([1]ACSDT5Y2020.B08301_data_with_ov!BA$3:BA$1334,[1]ACSDT5Y2020.B08301_data_with_ov!$AS$3:$AS$1334,$B558)</f>
        <v>#VALUE!</v>
      </c>
      <c r="T558" s="188">
        <v>0.23015635859298023</v>
      </c>
      <c r="U558" s="189" t="e">
        <f t="shared" si="35"/>
        <v>#VALUE!</v>
      </c>
      <c r="V558" s="188">
        <v>0.23015635859298023</v>
      </c>
      <c r="W558" s="189" t="e">
        <f t="shared" si="32"/>
        <v>#VALUE!</v>
      </c>
      <c r="X558" s="188">
        <v>0.23015635859298023</v>
      </c>
      <c r="Y558" s="189" t="e">
        <f t="shared" si="33"/>
        <v>#VALUE!</v>
      </c>
      <c r="Z558" s="188">
        <v>0.23015635859298023</v>
      </c>
      <c r="AA558" s="189" t="e">
        <f t="shared" si="34"/>
        <v>#VALUE!</v>
      </c>
    </row>
    <row r="559" spans="1:27" x14ac:dyDescent="0.25">
      <c r="A559">
        <v>590600</v>
      </c>
      <c r="B559">
        <v>17031590600</v>
      </c>
      <c r="C559">
        <v>17031</v>
      </c>
      <c r="D559">
        <v>2010</v>
      </c>
      <c r="E559">
        <v>59</v>
      </c>
      <c r="F559">
        <v>3747092.0958322999</v>
      </c>
      <c r="G559" s="45">
        <v>0.13440843433741892</v>
      </c>
      <c r="H559" s="60" t="str">
        <f>_xlfn.IFNA(
INDEX('Community Areas'!B$2:B$78,MATCH($E559,'Community Areas'!$A$2:$A$78,0)),
"")</f>
        <v>MCKINLEY PARK</v>
      </c>
      <c r="I559" s="63" t="str">
        <f>_xlfn.IFNA(
INDEX('Community Areas'!C$2:C$78,MATCH($E559,'Community Areas'!$A$2:$A$78,0)),
"")</f>
        <v>4-A</v>
      </c>
      <c r="J559" s="63">
        <f>_xlfn.IFNA(
INDEX('Community Areas'!D$2:D$78,MATCH($E559,'Community Areas'!$A$2:$A$78,0)),
"")</f>
        <v>4</v>
      </c>
      <c r="K559" s="60" t="str">
        <f>_xlfn.IFNA(
INDEX('Community Areas'!E$2:E$78,MATCH($E559,'Community Areas'!$A$2:$A$78,0)),
"")</f>
        <v>SOUTHWEST</v>
      </c>
      <c r="L559" s="17" t="e">
        <f>SUMIFS([1]ACSDT5Y2020.B08301_data_with_ov!AT$3:AT$1334,[1]ACSDT5Y2020.B08301_data_with_ov!$AS$3:$AS$1334,$B559)</f>
        <v>#VALUE!</v>
      </c>
      <c r="M559" s="17" t="e">
        <f>SUMIFS([1]ACSDT5Y2020.B08301_data_with_ov!AU$3:AU$1334,[1]ACSDT5Y2020.B08301_data_with_ov!$AS$3:$AS$1334,$B559)</f>
        <v>#VALUE!</v>
      </c>
      <c r="N559" s="17" t="e">
        <f>SUMIFS([1]ACSDT5Y2020.B08301_data_with_ov!AV$3:AV$1334,[1]ACSDT5Y2020.B08301_data_with_ov!$AS$3:$AS$1334,$B559)</f>
        <v>#VALUE!</v>
      </c>
      <c r="O559" s="17" t="e">
        <f>SUMIFS([1]ACSDT5Y2020.B08301_data_with_ov!AW$3:AW$1334,[1]ACSDT5Y2020.B08301_data_with_ov!$AS$3:$AS$1334,$B559)</f>
        <v>#VALUE!</v>
      </c>
      <c r="P559" s="17" t="e">
        <f>SUMIFS([1]ACSDT5Y2020.B08301_data_with_ov!AX$3:AX$1334,[1]ACSDT5Y2020.B08301_data_with_ov!$AS$3:$AS$1334,$B559)</f>
        <v>#VALUE!</v>
      </c>
      <c r="Q559" s="17" t="e">
        <f>SUMIFS([1]ACSDT5Y2020.B08301_data_with_ov!AY$3:AY$1334,[1]ACSDT5Y2020.B08301_data_with_ov!$AS$3:$AS$1334,$B559)</f>
        <v>#VALUE!</v>
      </c>
      <c r="R559" s="17" t="e">
        <f>SUMIFS([1]ACSDT5Y2020.B08301_data_with_ov!AZ$3:AZ$1334,[1]ACSDT5Y2020.B08301_data_with_ov!$AS$3:$AS$1334,$B559)</f>
        <v>#VALUE!</v>
      </c>
      <c r="S559" s="17" t="e">
        <f>SUMIFS([1]ACSDT5Y2020.B08301_data_with_ov!BA$3:BA$1334,[1]ACSDT5Y2020.B08301_data_with_ov!$AS$3:$AS$1334,$B559)</f>
        <v>#VALUE!</v>
      </c>
      <c r="T559" s="188">
        <v>0.1338638501711637</v>
      </c>
      <c r="U559" s="189" t="e">
        <f t="shared" si="35"/>
        <v>#VALUE!</v>
      </c>
      <c r="V559" s="188">
        <v>0.1338638501711637</v>
      </c>
      <c r="W559" s="189" t="e">
        <f t="shared" si="32"/>
        <v>#VALUE!</v>
      </c>
      <c r="X559" s="188">
        <v>0.1338638501711637</v>
      </c>
      <c r="Y559" s="189" t="e">
        <f t="shared" si="33"/>
        <v>#VALUE!</v>
      </c>
      <c r="Z559" s="188">
        <v>0.1338638501711637</v>
      </c>
      <c r="AA559" s="189" t="e">
        <f t="shared" si="34"/>
        <v>#VALUE!</v>
      </c>
    </row>
    <row r="560" spans="1:27" x14ac:dyDescent="0.25">
      <c r="A560">
        <v>590700</v>
      </c>
      <c r="B560">
        <v>17031590700</v>
      </c>
      <c r="C560">
        <v>17031</v>
      </c>
      <c r="D560">
        <v>2010</v>
      </c>
      <c r="E560">
        <v>59</v>
      </c>
      <c r="F560">
        <v>9458119.1487668492</v>
      </c>
      <c r="G560" s="45">
        <v>0.33926334182617546</v>
      </c>
      <c r="H560" s="60" t="str">
        <f>_xlfn.IFNA(
INDEX('Community Areas'!B$2:B$78,MATCH($E560,'Community Areas'!$A$2:$A$78,0)),
"")</f>
        <v>MCKINLEY PARK</v>
      </c>
      <c r="I560" s="63" t="str">
        <f>_xlfn.IFNA(
INDEX('Community Areas'!C$2:C$78,MATCH($E560,'Community Areas'!$A$2:$A$78,0)),
"")</f>
        <v>4-A</v>
      </c>
      <c r="J560" s="63">
        <f>_xlfn.IFNA(
INDEX('Community Areas'!D$2:D$78,MATCH($E560,'Community Areas'!$A$2:$A$78,0)),
"")</f>
        <v>4</v>
      </c>
      <c r="K560" s="60" t="str">
        <f>_xlfn.IFNA(
INDEX('Community Areas'!E$2:E$78,MATCH($E560,'Community Areas'!$A$2:$A$78,0)),
"")</f>
        <v>SOUTHWEST</v>
      </c>
      <c r="L560" s="17" t="e">
        <f>SUMIFS([1]ACSDT5Y2020.B08301_data_with_ov!AT$3:AT$1334,[1]ACSDT5Y2020.B08301_data_with_ov!$AS$3:$AS$1334,$B560)</f>
        <v>#VALUE!</v>
      </c>
      <c r="M560" s="17" t="e">
        <f>SUMIFS([1]ACSDT5Y2020.B08301_data_with_ov!AU$3:AU$1334,[1]ACSDT5Y2020.B08301_data_with_ov!$AS$3:$AS$1334,$B560)</f>
        <v>#VALUE!</v>
      </c>
      <c r="N560" s="17" t="e">
        <f>SUMIFS([1]ACSDT5Y2020.B08301_data_with_ov!AV$3:AV$1334,[1]ACSDT5Y2020.B08301_data_with_ov!$AS$3:$AS$1334,$B560)</f>
        <v>#VALUE!</v>
      </c>
      <c r="O560" s="17" t="e">
        <f>SUMIFS([1]ACSDT5Y2020.B08301_data_with_ov!AW$3:AW$1334,[1]ACSDT5Y2020.B08301_data_with_ov!$AS$3:$AS$1334,$B560)</f>
        <v>#VALUE!</v>
      </c>
      <c r="P560" s="17" t="e">
        <f>SUMIFS([1]ACSDT5Y2020.B08301_data_with_ov!AX$3:AX$1334,[1]ACSDT5Y2020.B08301_data_with_ov!$AS$3:$AS$1334,$B560)</f>
        <v>#VALUE!</v>
      </c>
      <c r="Q560" s="17" t="e">
        <f>SUMIFS([1]ACSDT5Y2020.B08301_data_with_ov!AY$3:AY$1334,[1]ACSDT5Y2020.B08301_data_with_ov!$AS$3:$AS$1334,$B560)</f>
        <v>#VALUE!</v>
      </c>
      <c r="R560" s="17" t="e">
        <f>SUMIFS([1]ACSDT5Y2020.B08301_data_with_ov!AZ$3:AZ$1334,[1]ACSDT5Y2020.B08301_data_with_ov!$AS$3:$AS$1334,$B560)</f>
        <v>#VALUE!</v>
      </c>
      <c r="S560" s="17" t="e">
        <f>SUMIFS([1]ACSDT5Y2020.B08301_data_with_ov!BA$3:BA$1334,[1]ACSDT5Y2020.B08301_data_with_ov!$AS$3:$AS$1334,$B560)</f>
        <v>#VALUE!</v>
      </c>
      <c r="T560" s="188">
        <v>0.30913422665837886</v>
      </c>
      <c r="U560" s="189" t="e">
        <f t="shared" si="35"/>
        <v>#VALUE!</v>
      </c>
      <c r="V560" s="188">
        <v>0.30913422665837886</v>
      </c>
      <c r="W560" s="189" t="e">
        <f t="shared" si="32"/>
        <v>#VALUE!</v>
      </c>
      <c r="X560" s="188">
        <v>0.30913422665837886</v>
      </c>
      <c r="Y560" s="189" t="e">
        <f t="shared" si="33"/>
        <v>#VALUE!</v>
      </c>
      <c r="Z560" s="188">
        <v>0.30913422665837886</v>
      </c>
      <c r="AA560" s="189" t="e">
        <f t="shared" si="34"/>
        <v>#VALUE!</v>
      </c>
    </row>
    <row r="561" spans="1:27" x14ac:dyDescent="0.25">
      <c r="A561">
        <v>840400</v>
      </c>
      <c r="B561">
        <v>17031840400</v>
      </c>
      <c r="C561">
        <v>17031</v>
      </c>
      <c r="D561">
        <v>2010</v>
      </c>
      <c r="E561">
        <v>59</v>
      </c>
      <c r="F561">
        <v>10678999.7238236</v>
      </c>
      <c r="G561" s="45">
        <v>0.383056406530633</v>
      </c>
      <c r="H561" s="60" t="str">
        <f>_xlfn.IFNA(
INDEX('Community Areas'!B$2:B$78,MATCH($E561,'Community Areas'!$A$2:$A$78,0)),
"")</f>
        <v>MCKINLEY PARK</v>
      </c>
      <c r="I561" s="63" t="str">
        <f>_xlfn.IFNA(
INDEX('Community Areas'!C$2:C$78,MATCH($E561,'Community Areas'!$A$2:$A$78,0)),
"")</f>
        <v>4-A</v>
      </c>
      <c r="J561" s="63">
        <f>_xlfn.IFNA(
INDEX('Community Areas'!D$2:D$78,MATCH($E561,'Community Areas'!$A$2:$A$78,0)),
"")</f>
        <v>4</v>
      </c>
      <c r="K561" s="60" t="str">
        <f>_xlfn.IFNA(
INDEX('Community Areas'!E$2:E$78,MATCH($E561,'Community Areas'!$A$2:$A$78,0)),
"")</f>
        <v>SOUTHWEST</v>
      </c>
      <c r="L561" s="17" t="e">
        <f>SUMIFS([1]ACSDT5Y2020.B08301_data_with_ov!AT$3:AT$1334,[1]ACSDT5Y2020.B08301_data_with_ov!$AS$3:$AS$1334,$B561)</f>
        <v>#VALUE!</v>
      </c>
      <c r="M561" s="17" t="e">
        <f>SUMIFS([1]ACSDT5Y2020.B08301_data_with_ov!AU$3:AU$1334,[1]ACSDT5Y2020.B08301_data_with_ov!$AS$3:$AS$1334,$B561)</f>
        <v>#VALUE!</v>
      </c>
      <c r="N561" s="17" t="e">
        <f>SUMIFS([1]ACSDT5Y2020.B08301_data_with_ov!AV$3:AV$1334,[1]ACSDT5Y2020.B08301_data_with_ov!$AS$3:$AS$1334,$B561)</f>
        <v>#VALUE!</v>
      </c>
      <c r="O561" s="17" t="e">
        <f>SUMIFS([1]ACSDT5Y2020.B08301_data_with_ov!AW$3:AW$1334,[1]ACSDT5Y2020.B08301_data_with_ov!$AS$3:$AS$1334,$B561)</f>
        <v>#VALUE!</v>
      </c>
      <c r="P561" s="17" t="e">
        <f>SUMIFS([1]ACSDT5Y2020.B08301_data_with_ov!AX$3:AX$1334,[1]ACSDT5Y2020.B08301_data_with_ov!$AS$3:$AS$1334,$B561)</f>
        <v>#VALUE!</v>
      </c>
      <c r="Q561" s="17" t="e">
        <f>SUMIFS([1]ACSDT5Y2020.B08301_data_with_ov!AY$3:AY$1334,[1]ACSDT5Y2020.B08301_data_with_ov!$AS$3:$AS$1334,$B561)</f>
        <v>#VALUE!</v>
      </c>
      <c r="R561" s="17" t="e">
        <f>SUMIFS([1]ACSDT5Y2020.B08301_data_with_ov!AZ$3:AZ$1334,[1]ACSDT5Y2020.B08301_data_with_ov!$AS$3:$AS$1334,$B561)</f>
        <v>#VALUE!</v>
      </c>
      <c r="S561" s="17" t="e">
        <f>SUMIFS([1]ACSDT5Y2020.B08301_data_with_ov!BA$3:BA$1334,[1]ACSDT5Y2020.B08301_data_with_ov!$AS$3:$AS$1334,$B561)</f>
        <v>#VALUE!</v>
      </c>
      <c r="T561" s="188">
        <v>1.1212354713796452E-2</v>
      </c>
      <c r="U561" s="189" t="e">
        <f t="shared" si="35"/>
        <v>#VALUE!</v>
      </c>
      <c r="V561" s="188">
        <v>1.1212354713796452E-2</v>
      </c>
      <c r="W561" s="189" t="e">
        <f t="shared" si="32"/>
        <v>#VALUE!</v>
      </c>
      <c r="X561" s="188">
        <v>1.1212354713796452E-2</v>
      </c>
      <c r="Y561" s="189" t="e">
        <f t="shared" si="33"/>
        <v>#VALUE!</v>
      </c>
      <c r="Z561" s="188">
        <v>1.1212354713796452E-2</v>
      </c>
      <c r="AA561" s="189" t="e">
        <f t="shared" si="34"/>
        <v>#VALUE!</v>
      </c>
    </row>
    <row r="562" spans="1:27" x14ac:dyDescent="0.25">
      <c r="A562">
        <v>840300</v>
      </c>
      <c r="B562">
        <v>17031840300</v>
      </c>
      <c r="C562">
        <v>17031</v>
      </c>
      <c r="D562">
        <v>2010</v>
      </c>
      <c r="E562">
        <v>59</v>
      </c>
      <c r="F562">
        <v>9127698.1404613405</v>
      </c>
      <c r="G562" s="45">
        <v>0.32741111901907355</v>
      </c>
      <c r="H562" s="60" t="str">
        <f>_xlfn.IFNA(
INDEX('Community Areas'!B$2:B$78,MATCH($E562,'Community Areas'!$A$2:$A$78,0)),
"")</f>
        <v>MCKINLEY PARK</v>
      </c>
      <c r="I562" s="63" t="str">
        <f>_xlfn.IFNA(
INDEX('Community Areas'!C$2:C$78,MATCH($E562,'Community Areas'!$A$2:$A$78,0)),
"")</f>
        <v>4-A</v>
      </c>
      <c r="J562" s="63">
        <f>_xlfn.IFNA(
INDEX('Community Areas'!D$2:D$78,MATCH($E562,'Community Areas'!$A$2:$A$78,0)),
"")</f>
        <v>4</v>
      </c>
      <c r="K562" s="60" t="str">
        <f>_xlfn.IFNA(
INDEX('Community Areas'!E$2:E$78,MATCH($E562,'Community Areas'!$A$2:$A$78,0)),
"")</f>
        <v>SOUTHWEST</v>
      </c>
      <c r="L562" s="17" t="e">
        <f>SUMIFS([1]ACSDT5Y2020.B08301_data_with_ov!AT$3:AT$1334,[1]ACSDT5Y2020.B08301_data_with_ov!$AS$3:$AS$1334,$B562)</f>
        <v>#VALUE!</v>
      </c>
      <c r="M562" s="17" t="e">
        <f>SUMIFS([1]ACSDT5Y2020.B08301_data_with_ov!AU$3:AU$1334,[1]ACSDT5Y2020.B08301_data_with_ov!$AS$3:$AS$1334,$B562)</f>
        <v>#VALUE!</v>
      </c>
      <c r="N562" s="17" t="e">
        <f>SUMIFS([1]ACSDT5Y2020.B08301_data_with_ov!AV$3:AV$1334,[1]ACSDT5Y2020.B08301_data_with_ov!$AS$3:$AS$1334,$B562)</f>
        <v>#VALUE!</v>
      </c>
      <c r="O562" s="17" t="e">
        <f>SUMIFS([1]ACSDT5Y2020.B08301_data_with_ov!AW$3:AW$1334,[1]ACSDT5Y2020.B08301_data_with_ov!$AS$3:$AS$1334,$B562)</f>
        <v>#VALUE!</v>
      </c>
      <c r="P562" s="17" t="e">
        <f>SUMIFS([1]ACSDT5Y2020.B08301_data_with_ov!AX$3:AX$1334,[1]ACSDT5Y2020.B08301_data_with_ov!$AS$3:$AS$1334,$B562)</f>
        <v>#VALUE!</v>
      </c>
      <c r="Q562" s="17" t="e">
        <f>SUMIFS([1]ACSDT5Y2020.B08301_data_with_ov!AY$3:AY$1334,[1]ACSDT5Y2020.B08301_data_with_ov!$AS$3:$AS$1334,$B562)</f>
        <v>#VALUE!</v>
      </c>
      <c r="R562" s="17" t="e">
        <f>SUMIFS([1]ACSDT5Y2020.B08301_data_with_ov!AZ$3:AZ$1334,[1]ACSDT5Y2020.B08301_data_with_ov!$AS$3:$AS$1334,$B562)</f>
        <v>#VALUE!</v>
      </c>
      <c r="S562" s="17" t="e">
        <f>SUMIFS([1]ACSDT5Y2020.B08301_data_with_ov!BA$3:BA$1334,[1]ACSDT5Y2020.B08301_data_with_ov!$AS$3:$AS$1334,$B562)</f>
        <v>#VALUE!</v>
      </c>
      <c r="T562" s="188">
        <v>0.32514794847043588</v>
      </c>
      <c r="U562" s="189" t="e">
        <f t="shared" si="35"/>
        <v>#VALUE!</v>
      </c>
      <c r="V562" s="188">
        <v>0.32514794847043588</v>
      </c>
      <c r="W562" s="189" t="e">
        <f t="shared" si="32"/>
        <v>#VALUE!</v>
      </c>
      <c r="X562" s="188">
        <v>0.32514794847043588</v>
      </c>
      <c r="Y562" s="189" t="e">
        <f t="shared" si="33"/>
        <v>#VALUE!</v>
      </c>
      <c r="Z562" s="188">
        <v>0.32514794847043588</v>
      </c>
      <c r="AA562" s="189" t="e">
        <f t="shared" si="34"/>
        <v>#VALUE!</v>
      </c>
    </row>
    <row r="563" spans="1:27" x14ac:dyDescent="0.25">
      <c r="A563">
        <v>63100</v>
      </c>
      <c r="B563">
        <v>17031063100</v>
      </c>
      <c r="C563">
        <v>17031</v>
      </c>
      <c r="D563">
        <v>2010</v>
      </c>
      <c r="E563">
        <v>6</v>
      </c>
      <c r="F563">
        <v>1719580.4646203101</v>
      </c>
      <c r="G563" s="45">
        <v>6.168146179911007E-2</v>
      </c>
      <c r="H563" s="60" t="str">
        <f>_xlfn.IFNA(
INDEX('Community Areas'!B$2:B$78,MATCH($E563,'Community Areas'!$A$2:$A$78,0)),
"")</f>
        <v>LAKE VIEW</v>
      </c>
      <c r="I563" s="63" t="str">
        <f>_xlfn.IFNA(
INDEX('Community Areas'!C$2:C$78,MATCH($E563,'Community Areas'!$A$2:$A$78,0)),
"")</f>
        <v>1-B</v>
      </c>
      <c r="J563" s="63">
        <f>_xlfn.IFNA(
INDEX('Community Areas'!D$2:D$78,MATCH($E563,'Community Areas'!$A$2:$A$78,0)),
"")</f>
        <v>1</v>
      </c>
      <c r="K563" s="60" t="str">
        <f>_xlfn.IFNA(
INDEX('Community Areas'!E$2:E$78,MATCH($E563,'Community Areas'!$A$2:$A$78,0)),
"")</f>
        <v>NORTH</v>
      </c>
      <c r="L563" s="17" t="e">
        <f>SUMIFS([1]ACSDT5Y2020.B08301_data_with_ov!AT$3:AT$1334,[1]ACSDT5Y2020.B08301_data_with_ov!$AS$3:$AS$1334,$B563)</f>
        <v>#VALUE!</v>
      </c>
      <c r="M563" s="17" t="e">
        <f>SUMIFS([1]ACSDT5Y2020.B08301_data_with_ov!AU$3:AU$1334,[1]ACSDT5Y2020.B08301_data_with_ov!$AS$3:$AS$1334,$B563)</f>
        <v>#VALUE!</v>
      </c>
      <c r="N563" s="17" t="e">
        <f>SUMIFS([1]ACSDT5Y2020.B08301_data_with_ov!AV$3:AV$1334,[1]ACSDT5Y2020.B08301_data_with_ov!$AS$3:$AS$1334,$B563)</f>
        <v>#VALUE!</v>
      </c>
      <c r="O563" s="17" t="e">
        <f>SUMIFS([1]ACSDT5Y2020.B08301_data_with_ov!AW$3:AW$1334,[1]ACSDT5Y2020.B08301_data_with_ov!$AS$3:$AS$1334,$B563)</f>
        <v>#VALUE!</v>
      </c>
      <c r="P563" s="17" t="e">
        <f>SUMIFS([1]ACSDT5Y2020.B08301_data_with_ov!AX$3:AX$1334,[1]ACSDT5Y2020.B08301_data_with_ov!$AS$3:$AS$1334,$B563)</f>
        <v>#VALUE!</v>
      </c>
      <c r="Q563" s="17" t="e">
        <f>SUMIFS([1]ACSDT5Y2020.B08301_data_with_ov!AY$3:AY$1334,[1]ACSDT5Y2020.B08301_data_with_ov!$AS$3:$AS$1334,$B563)</f>
        <v>#VALUE!</v>
      </c>
      <c r="R563" s="17" t="e">
        <f>SUMIFS([1]ACSDT5Y2020.B08301_data_with_ov!AZ$3:AZ$1334,[1]ACSDT5Y2020.B08301_data_with_ov!$AS$3:$AS$1334,$B563)</f>
        <v>#VALUE!</v>
      </c>
      <c r="S563" s="17" t="e">
        <f>SUMIFS([1]ACSDT5Y2020.B08301_data_with_ov!BA$3:BA$1334,[1]ACSDT5Y2020.B08301_data_with_ov!$AS$3:$AS$1334,$B563)</f>
        <v>#VALUE!</v>
      </c>
      <c r="T563" s="188">
        <v>6.1681463700855504E-2</v>
      </c>
      <c r="U563" s="189" t="e">
        <f t="shared" si="35"/>
        <v>#VALUE!</v>
      </c>
      <c r="V563" s="188">
        <v>6.1681463700855504E-2</v>
      </c>
      <c r="W563" s="189" t="e">
        <f t="shared" si="32"/>
        <v>#VALUE!</v>
      </c>
      <c r="X563" s="188">
        <v>6.1681463700855504E-2</v>
      </c>
      <c r="Y563" s="189" t="e">
        <f t="shared" si="33"/>
        <v>#VALUE!</v>
      </c>
      <c r="Z563" s="188">
        <v>6.1681463700855504E-2</v>
      </c>
      <c r="AA563" s="189" t="e">
        <f t="shared" si="34"/>
        <v>#VALUE!</v>
      </c>
    </row>
    <row r="564" spans="1:27" x14ac:dyDescent="0.25">
      <c r="A564">
        <v>61000</v>
      </c>
      <c r="B564">
        <v>17031061000</v>
      </c>
      <c r="C564">
        <v>17031</v>
      </c>
      <c r="D564">
        <v>2010</v>
      </c>
      <c r="E564">
        <v>6</v>
      </c>
      <c r="F564">
        <v>1860324.71467542</v>
      </c>
      <c r="G564" s="45">
        <v>6.6729967095508352E-2</v>
      </c>
      <c r="H564" s="60" t="str">
        <f>_xlfn.IFNA(
INDEX('Community Areas'!B$2:B$78,MATCH($E564,'Community Areas'!$A$2:$A$78,0)),
"")</f>
        <v>LAKE VIEW</v>
      </c>
      <c r="I564" s="63" t="str">
        <f>_xlfn.IFNA(
INDEX('Community Areas'!C$2:C$78,MATCH($E564,'Community Areas'!$A$2:$A$78,0)),
"")</f>
        <v>1-B</v>
      </c>
      <c r="J564" s="63">
        <f>_xlfn.IFNA(
INDEX('Community Areas'!D$2:D$78,MATCH($E564,'Community Areas'!$A$2:$A$78,0)),
"")</f>
        <v>1</v>
      </c>
      <c r="K564" s="60" t="str">
        <f>_xlfn.IFNA(
INDEX('Community Areas'!E$2:E$78,MATCH($E564,'Community Areas'!$A$2:$A$78,0)),
"")</f>
        <v>NORTH</v>
      </c>
      <c r="L564" s="17" t="e">
        <f>SUMIFS([1]ACSDT5Y2020.B08301_data_with_ov!AT$3:AT$1334,[1]ACSDT5Y2020.B08301_data_with_ov!$AS$3:$AS$1334,$B564)</f>
        <v>#VALUE!</v>
      </c>
      <c r="M564" s="17" t="e">
        <f>SUMIFS([1]ACSDT5Y2020.B08301_data_with_ov!AU$3:AU$1334,[1]ACSDT5Y2020.B08301_data_with_ov!$AS$3:$AS$1334,$B564)</f>
        <v>#VALUE!</v>
      </c>
      <c r="N564" s="17" t="e">
        <f>SUMIFS([1]ACSDT5Y2020.B08301_data_with_ov!AV$3:AV$1334,[1]ACSDT5Y2020.B08301_data_with_ov!$AS$3:$AS$1334,$B564)</f>
        <v>#VALUE!</v>
      </c>
      <c r="O564" s="17" t="e">
        <f>SUMIFS([1]ACSDT5Y2020.B08301_data_with_ov!AW$3:AW$1334,[1]ACSDT5Y2020.B08301_data_with_ov!$AS$3:$AS$1334,$B564)</f>
        <v>#VALUE!</v>
      </c>
      <c r="P564" s="17" t="e">
        <f>SUMIFS([1]ACSDT5Y2020.B08301_data_with_ov!AX$3:AX$1334,[1]ACSDT5Y2020.B08301_data_with_ov!$AS$3:$AS$1334,$B564)</f>
        <v>#VALUE!</v>
      </c>
      <c r="Q564" s="17" t="e">
        <f>SUMIFS([1]ACSDT5Y2020.B08301_data_with_ov!AY$3:AY$1334,[1]ACSDT5Y2020.B08301_data_with_ov!$AS$3:$AS$1334,$B564)</f>
        <v>#VALUE!</v>
      </c>
      <c r="R564" s="17" t="e">
        <f>SUMIFS([1]ACSDT5Y2020.B08301_data_with_ov!AZ$3:AZ$1334,[1]ACSDT5Y2020.B08301_data_with_ov!$AS$3:$AS$1334,$B564)</f>
        <v>#VALUE!</v>
      </c>
      <c r="S564" s="17" t="e">
        <f>SUMIFS([1]ACSDT5Y2020.B08301_data_with_ov!BA$3:BA$1334,[1]ACSDT5Y2020.B08301_data_with_ov!$AS$3:$AS$1334,$B564)</f>
        <v>#VALUE!</v>
      </c>
      <c r="T564" s="188">
        <v>6.6729969243079584E-2</v>
      </c>
      <c r="U564" s="189" t="e">
        <f t="shared" si="35"/>
        <v>#VALUE!</v>
      </c>
      <c r="V564" s="188">
        <v>6.6729969243079584E-2</v>
      </c>
      <c r="W564" s="189" t="e">
        <f t="shared" si="32"/>
        <v>#VALUE!</v>
      </c>
      <c r="X564" s="188">
        <v>6.6729969243079584E-2</v>
      </c>
      <c r="Y564" s="189" t="e">
        <f t="shared" si="33"/>
        <v>#VALUE!</v>
      </c>
      <c r="Z564" s="188">
        <v>6.6729969243079584E-2</v>
      </c>
      <c r="AA564" s="189" t="e">
        <f t="shared" si="34"/>
        <v>#VALUE!</v>
      </c>
    </row>
    <row r="565" spans="1:27" x14ac:dyDescent="0.25">
      <c r="A565">
        <v>61500</v>
      </c>
      <c r="B565">
        <v>17031061500</v>
      </c>
      <c r="C565">
        <v>17031</v>
      </c>
      <c r="D565">
        <v>2010</v>
      </c>
      <c r="E565">
        <v>6</v>
      </c>
      <c r="F565">
        <v>1753942.1843640499</v>
      </c>
      <c r="G565" s="45">
        <v>6.2914018895060334E-2</v>
      </c>
      <c r="H565" s="60" t="str">
        <f>_xlfn.IFNA(
INDEX('Community Areas'!B$2:B$78,MATCH($E565,'Community Areas'!$A$2:$A$78,0)),
"")</f>
        <v>LAKE VIEW</v>
      </c>
      <c r="I565" s="63" t="str">
        <f>_xlfn.IFNA(
INDEX('Community Areas'!C$2:C$78,MATCH($E565,'Community Areas'!$A$2:$A$78,0)),
"")</f>
        <v>1-B</v>
      </c>
      <c r="J565" s="63">
        <f>_xlfn.IFNA(
INDEX('Community Areas'!D$2:D$78,MATCH($E565,'Community Areas'!$A$2:$A$78,0)),
"")</f>
        <v>1</v>
      </c>
      <c r="K565" s="60" t="str">
        <f>_xlfn.IFNA(
INDEX('Community Areas'!E$2:E$78,MATCH($E565,'Community Areas'!$A$2:$A$78,0)),
"")</f>
        <v>NORTH</v>
      </c>
      <c r="L565" s="17" t="e">
        <f>SUMIFS([1]ACSDT5Y2020.B08301_data_with_ov!AT$3:AT$1334,[1]ACSDT5Y2020.B08301_data_with_ov!$AS$3:$AS$1334,$B565)</f>
        <v>#VALUE!</v>
      </c>
      <c r="M565" s="17" t="e">
        <f>SUMIFS([1]ACSDT5Y2020.B08301_data_with_ov!AU$3:AU$1334,[1]ACSDT5Y2020.B08301_data_with_ov!$AS$3:$AS$1334,$B565)</f>
        <v>#VALUE!</v>
      </c>
      <c r="N565" s="17" t="e">
        <f>SUMIFS([1]ACSDT5Y2020.B08301_data_with_ov!AV$3:AV$1334,[1]ACSDT5Y2020.B08301_data_with_ov!$AS$3:$AS$1334,$B565)</f>
        <v>#VALUE!</v>
      </c>
      <c r="O565" s="17" t="e">
        <f>SUMIFS([1]ACSDT5Y2020.B08301_data_with_ov!AW$3:AW$1334,[1]ACSDT5Y2020.B08301_data_with_ov!$AS$3:$AS$1334,$B565)</f>
        <v>#VALUE!</v>
      </c>
      <c r="P565" s="17" t="e">
        <f>SUMIFS([1]ACSDT5Y2020.B08301_data_with_ov!AX$3:AX$1334,[1]ACSDT5Y2020.B08301_data_with_ov!$AS$3:$AS$1334,$B565)</f>
        <v>#VALUE!</v>
      </c>
      <c r="Q565" s="17" t="e">
        <f>SUMIFS([1]ACSDT5Y2020.B08301_data_with_ov!AY$3:AY$1334,[1]ACSDT5Y2020.B08301_data_with_ov!$AS$3:$AS$1334,$B565)</f>
        <v>#VALUE!</v>
      </c>
      <c r="R565" s="17" t="e">
        <f>SUMIFS([1]ACSDT5Y2020.B08301_data_with_ov!AZ$3:AZ$1334,[1]ACSDT5Y2020.B08301_data_with_ov!$AS$3:$AS$1334,$B565)</f>
        <v>#VALUE!</v>
      </c>
      <c r="S565" s="17" t="e">
        <f>SUMIFS([1]ACSDT5Y2020.B08301_data_with_ov!BA$3:BA$1334,[1]ACSDT5Y2020.B08301_data_with_ov!$AS$3:$AS$1334,$B565)</f>
        <v>#VALUE!</v>
      </c>
      <c r="T565" s="188">
        <v>6.2914022525226335E-2</v>
      </c>
      <c r="U565" s="189" t="e">
        <f t="shared" si="35"/>
        <v>#VALUE!</v>
      </c>
      <c r="V565" s="188">
        <v>6.2914022525226335E-2</v>
      </c>
      <c r="W565" s="189" t="e">
        <f t="shared" si="32"/>
        <v>#VALUE!</v>
      </c>
      <c r="X565" s="188">
        <v>6.2914022525226335E-2</v>
      </c>
      <c r="Y565" s="189" t="e">
        <f t="shared" si="33"/>
        <v>#VALUE!</v>
      </c>
      <c r="Z565" s="188">
        <v>6.2914022525226335E-2</v>
      </c>
      <c r="AA565" s="189" t="e">
        <f t="shared" si="34"/>
        <v>#VALUE!</v>
      </c>
    </row>
    <row r="566" spans="1:27" x14ac:dyDescent="0.25">
      <c r="A566">
        <v>62300</v>
      </c>
      <c r="B566">
        <v>17031062300</v>
      </c>
      <c r="C566">
        <v>17031</v>
      </c>
      <c r="D566">
        <v>2010</v>
      </c>
      <c r="E566">
        <v>6</v>
      </c>
      <c r="F566">
        <v>1757883.7848990001</v>
      </c>
      <c r="G566" s="45">
        <v>6.3055404359611739E-2</v>
      </c>
      <c r="H566" s="60" t="str">
        <f>_xlfn.IFNA(
INDEX('Community Areas'!B$2:B$78,MATCH($E566,'Community Areas'!$A$2:$A$78,0)),
"")</f>
        <v>LAKE VIEW</v>
      </c>
      <c r="I566" s="63" t="str">
        <f>_xlfn.IFNA(
INDEX('Community Areas'!C$2:C$78,MATCH($E566,'Community Areas'!$A$2:$A$78,0)),
"")</f>
        <v>1-B</v>
      </c>
      <c r="J566" s="63">
        <f>_xlfn.IFNA(
INDEX('Community Areas'!D$2:D$78,MATCH($E566,'Community Areas'!$A$2:$A$78,0)),
"")</f>
        <v>1</v>
      </c>
      <c r="K566" s="60" t="str">
        <f>_xlfn.IFNA(
INDEX('Community Areas'!E$2:E$78,MATCH($E566,'Community Areas'!$A$2:$A$78,0)),
"")</f>
        <v>NORTH</v>
      </c>
      <c r="L566" s="17" t="e">
        <f>SUMIFS([1]ACSDT5Y2020.B08301_data_with_ov!AT$3:AT$1334,[1]ACSDT5Y2020.B08301_data_with_ov!$AS$3:$AS$1334,$B566)</f>
        <v>#VALUE!</v>
      </c>
      <c r="M566" s="17" t="e">
        <f>SUMIFS([1]ACSDT5Y2020.B08301_data_with_ov!AU$3:AU$1334,[1]ACSDT5Y2020.B08301_data_with_ov!$AS$3:$AS$1334,$B566)</f>
        <v>#VALUE!</v>
      </c>
      <c r="N566" s="17" t="e">
        <f>SUMIFS([1]ACSDT5Y2020.B08301_data_with_ov!AV$3:AV$1334,[1]ACSDT5Y2020.B08301_data_with_ov!$AS$3:$AS$1334,$B566)</f>
        <v>#VALUE!</v>
      </c>
      <c r="O566" s="17" t="e">
        <f>SUMIFS([1]ACSDT5Y2020.B08301_data_with_ov!AW$3:AW$1334,[1]ACSDT5Y2020.B08301_data_with_ov!$AS$3:$AS$1334,$B566)</f>
        <v>#VALUE!</v>
      </c>
      <c r="P566" s="17" t="e">
        <f>SUMIFS([1]ACSDT5Y2020.B08301_data_with_ov!AX$3:AX$1334,[1]ACSDT5Y2020.B08301_data_with_ov!$AS$3:$AS$1334,$B566)</f>
        <v>#VALUE!</v>
      </c>
      <c r="Q566" s="17" t="e">
        <f>SUMIFS([1]ACSDT5Y2020.B08301_data_with_ov!AY$3:AY$1334,[1]ACSDT5Y2020.B08301_data_with_ov!$AS$3:$AS$1334,$B566)</f>
        <v>#VALUE!</v>
      </c>
      <c r="R566" s="17" t="e">
        <f>SUMIFS([1]ACSDT5Y2020.B08301_data_with_ov!AZ$3:AZ$1334,[1]ACSDT5Y2020.B08301_data_with_ov!$AS$3:$AS$1334,$B566)</f>
        <v>#VALUE!</v>
      </c>
      <c r="S566" s="17" t="e">
        <f>SUMIFS([1]ACSDT5Y2020.B08301_data_with_ov!BA$3:BA$1334,[1]ACSDT5Y2020.B08301_data_with_ov!$AS$3:$AS$1334,$B566)</f>
        <v>#VALUE!</v>
      </c>
      <c r="T566" s="188">
        <v>6.3055405159032796E-2</v>
      </c>
      <c r="U566" s="189" t="e">
        <f t="shared" si="35"/>
        <v>#VALUE!</v>
      </c>
      <c r="V566" s="188">
        <v>6.3055405159032796E-2</v>
      </c>
      <c r="W566" s="189" t="e">
        <f t="shared" si="32"/>
        <v>#VALUE!</v>
      </c>
      <c r="X566" s="188">
        <v>6.3055405159032796E-2</v>
      </c>
      <c r="Y566" s="189" t="e">
        <f t="shared" si="33"/>
        <v>#VALUE!</v>
      </c>
      <c r="Z566" s="188">
        <v>6.3055405159032796E-2</v>
      </c>
      <c r="AA566" s="189" t="e">
        <f t="shared" si="34"/>
        <v>#VALUE!</v>
      </c>
    </row>
    <row r="567" spans="1:27" x14ac:dyDescent="0.25">
      <c r="A567">
        <v>62600</v>
      </c>
      <c r="B567">
        <v>17031062600</v>
      </c>
      <c r="C567">
        <v>17031</v>
      </c>
      <c r="D567">
        <v>2010</v>
      </c>
      <c r="E567">
        <v>6</v>
      </c>
      <c r="F567">
        <v>3525985.9957339601</v>
      </c>
      <c r="G567" s="45">
        <v>0.12647734431437815</v>
      </c>
      <c r="H567" s="60" t="str">
        <f>_xlfn.IFNA(
INDEX('Community Areas'!B$2:B$78,MATCH($E567,'Community Areas'!$A$2:$A$78,0)),
"")</f>
        <v>LAKE VIEW</v>
      </c>
      <c r="I567" s="63" t="str">
        <f>_xlfn.IFNA(
INDEX('Community Areas'!C$2:C$78,MATCH($E567,'Community Areas'!$A$2:$A$78,0)),
"")</f>
        <v>1-B</v>
      </c>
      <c r="J567" s="63">
        <f>_xlfn.IFNA(
INDEX('Community Areas'!D$2:D$78,MATCH($E567,'Community Areas'!$A$2:$A$78,0)),
"")</f>
        <v>1</v>
      </c>
      <c r="K567" s="60" t="str">
        <f>_xlfn.IFNA(
INDEX('Community Areas'!E$2:E$78,MATCH($E567,'Community Areas'!$A$2:$A$78,0)),
"")</f>
        <v>NORTH</v>
      </c>
      <c r="L567" s="17" t="e">
        <f>SUMIFS([1]ACSDT5Y2020.B08301_data_with_ov!AT$3:AT$1334,[1]ACSDT5Y2020.B08301_data_with_ov!$AS$3:$AS$1334,$B567)</f>
        <v>#VALUE!</v>
      </c>
      <c r="M567" s="17" t="e">
        <f>SUMIFS([1]ACSDT5Y2020.B08301_data_with_ov!AU$3:AU$1334,[1]ACSDT5Y2020.B08301_data_with_ov!$AS$3:$AS$1334,$B567)</f>
        <v>#VALUE!</v>
      </c>
      <c r="N567" s="17" t="e">
        <f>SUMIFS([1]ACSDT5Y2020.B08301_data_with_ov!AV$3:AV$1334,[1]ACSDT5Y2020.B08301_data_with_ov!$AS$3:$AS$1334,$B567)</f>
        <v>#VALUE!</v>
      </c>
      <c r="O567" s="17" t="e">
        <f>SUMIFS([1]ACSDT5Y2020.B08301_data_with_ov!AW$3:AW$1334,[1]ACSDT5Y2020.B08301_data_with_ov!$AS$3:$AS$1334,$B567)</f>
        <v>#VALUE!</v>
      </c>
      <c r="P567" s="17" t="e">
        <f>SUMIFS([1]ACSDT5Y2020.B08301_data_with_ov!AX$3:AX$1334,[1]ACSDT5Y2020.B08301_data_with_ov!$AS$3:$AS$1334,$B567)</f>
        <v>#VALUE!</v>
      </c>
      <c r="Q567" s="17" t="e">
        <f>SUMIFS([1]ACSDT5Y2020.B08301_data_with_ov!AY$3:AY$1334,[1]ACSDT5Y2020.B08301_data_with_ov!$AS$3:$AS$1334,$B567)</f>
        <v>#VALUE!</v>
      </c>
      <c r="R567" s="17" t="e">
        <f>SUMIFS([1]ACSDT5Y2020.B08301_data_with_ov!AZ$3:AZ$1334,[1]ACSDT5Y2020.B08301_data_with_ov!$AS$3:$AS$1334,$B567)</f>
        <v>#VALUE!</v>
      </c>
      <c r="S567" s="17" t="e">
        <f>SUMIFS([1]ACSDT5Y2020.B08301_data_with_ov!BA$3:BA$1334,[1]ACSDT5Y2020.B08301_data_with_ov!$AS$3:$AS$1334,$B567)</f>
        <v>#VALUE!</v>
      </c>
      <c r="T567" s="188">
        <v>0.12647733861148525</v>
      </c>
      <c r="U567" s="189" t="e">
        <f t="shared" si="35"/>
        <v>#VALUE!</v>
      </c>
      <c r="V567" s="188">
        <v>0.12647733861148525</v>
      </c>
      <c r="W567" s="189" t="e">
        <f t="shared" si="32"/>
        <v>#VALUE!</v>
      </c>
      <c r="X567" s="188">
        <v>0.12647733861148525</v>
      </c>
      <c r="Y567" s="189" t="e">
        <f t="shared" si="33"/>
        <v>#VALUE!</v>
      </c>
      <c r="Z567" s="188">
        <v>0.12647733861148525</v>
      </c>
      <c r="AA567" s="189" t="e">
        <f t="shared" si="34"/>
        <v>#VALUE!</v>
      </c>
    </row>
    <row r="568" spans="1:27" x14ac:dyDescent="0.25">
      <c r="A568">
        <v>62700</v>
      </c>
      <c r="B568">
        <v>17031062700</v>
      </c>
      <c r="C568">
        <v>17031</v>
      </c>
      <c r="D568">
        <v>2010</v>
      </c>
      <c r="E568">
        <v>6</v>
      </c>
      <c r="F568">
        <v>3499100.43765639</v>
      </c>
      <c r="G568" s="45">
        <v>0.12551295761795475</v>
      </c>
      <c r="H568" s="60" t="str">
        <f>_xlfn.IFNA(
INDEX('Community Areas'!B$2:B$78,MATCH($E568,'Community Areas'!$A$2:$A$78,0)),
"")</f>
        <v>LAKE VIEW</v>
      </c>
      <c r="I568" s="63" t="str">
        <f>_xlfn.IFNA(
INDEX('Community Areas'!C$2:C$78,MATCH($E568,'Community Areas'!$A$2:$A$78,0)),
"")</f>
        <v>1-B</v>
      </c>
      <c r="J568" s="63">
        <f>_xlfn.IFNA(
INDEX('Community Areas'!D$2:D$78,MATCH($E568,'Community Areas'!$A$2:$A$78,0)),
"")</f>
        <v>1</v>
      </c>
      <c r="K568" s="60" t="str">
        <f>_xlfn.IFNA(
INDEX('Community Areas'!E$2:E$78,MATCH($E568,'Community Areas'!$A$2:$A$78,0)),
"")</f>
        <v>NORTH</v>
      </c>
      <c r="L568" s="17" t="e">
        <f>SUMIFS([1]ACSDT5Y2020.B08301_data_with_ov!AT$3:AT$1334,[1]ACSDT5Y2020.B08301_data_with_ov!$AS$3:$AS$1334,$B568)</f>
        <v>#VALUE!</v>
      </c>
      <c r="M568" s="17" t="e">
        <f>SUMIFS([1]ACSDT5Y2020.B08301_data_with_ov!AU$3:AU$1334,[1]ACSDT5Y2020.B08301_data_with_ov!$AS$3:$AS$1334,$B568)</f>
        <v>#VALUE!</v>
      </c>
      <c r="N568" s="17" t="e">
        <f>SUMIFS([1]ACSDT5Y2020.B08301_data_with_ov!AV$3:AV$1334,[1]ACSDT5Y2020.B08301_data_with_ov!$AS$3:$AS$1334,$B568)</f>
        <v>#VALUE!</v>
      </c>
      <c r="O568" s="17" t="e">
        <f>SUMIFS([1]ACSDT5Y2020.B08301_data_with_ov!AW$3:AW$1334,[1]ACSDT5Y2020.B08301_data_with_ov!$AS$3:$AS$1334,$B568)</f>
        <v>#VALUE!</v>
      </c>
      <c r="P568" s="17" t="e">
        <f>SUMIFS([1]ACSDT5Y2020.B08301_data_with_ov!AX$3:AX$1334,[1]ACSDT5Y2020.B08301_data_with_ov!$AS$3:$AS$1334,$B568)</f>
        <v>#VALUE!</v>
      </c>
      <c r="Q568" s="17" t="e">
        <f>SUMIFS([1]ACSDT5Y2020.B08301_data_with_ov!AY$3:AY$1334,[1]ACSDT5Y2020.B08301_data_with_ov!$AS$3:$AS$1334,$B568)</f>
        <v>#VALUE!</v>
      </c>
      <c r="R568" s="17" t="e">
        <f>SUMIFS([1]ACSDT5Y2020.B08301_data_with_ov!AZ$3:AZ$1334,[1]ACSDT5Y2020.B08301_data_with_ov!$AS$3:$AS$1334,$B568)</f>
        <v>#VALUE!</v>
      </c>
      <c r="S568" s="17" t="e">
        <f>SUMIFS([1]ACSDT5Y2020.B08301_data_with_ov!BA$3:BA$1334,[1]ACSDT5Y2020.B08301_data_with_ov!$AS$3:$AS$1334,$B568)</f>
        <v>#VALUE!</v>
      </c>
      <c r="T568" s="188">
        <v>0.12551296180208979</v>
      </c>
      <c r="U568" s="189" t="e">
        <f t="shared" si="35"/>
        <v>#VALUE!</v>
      </c>
      <c r="V568" s="188">
        <v>0.12551296180208979</v>
      </c>
      <c r="W568" s="189" t="e">
        <f t="shared" si="32"/>
        <v>#VALUE!</v>
      </c>
      <c r="X568" s="188">
        <v>0.12551296180208979</v>
      </c>
      <c r="Y568" s="189" t="e">
        <f t="shared" si="33"/>
        <v>#VALUE!</v>
      </c>
      <c r="Z568" s="188">
        <v>0.12551296180208979</v>
      </c>
      <c r="AA568" s="189" t="e">
        <f t="shared" si="34"/>
        <v>#VALUE!</v>
      </c>
    </row>
    <row r="569" spans="1:27" x14ac:dyDescent="0.25">
      <c r="A569">
        <v>62800</v>
      </c>
      <c r="B569">
        <v>17031062800</v>
      </c>
      <c r="C569">
        <v>17031</v>
      </c>
      <c r="D569">
        <v>2010</v>
      </c>
      <c r="E569">
        <v>6</v>
      </c>
      <c r="F569">
        <v>3505012.0754144099</v>
      </c>
      <c r="G569" s="45">
        <v>0.12572500844433002</v>
      </c>
      <c r="H569" s="60" t="str">
        <f>_xlfn.IFNA(
INDEX('Community Areas'!B$2:B$78,MATCH($E569,'Community Areas'!$A$2:$A$78,0)),
"")</f>
        <v>LAKE VIEW</v>
      </c>
      <c r="I569" s="63" t="str">
        <f>_xlfn.IFNA(
INDEX('Community Areas'!C$2:C$78,MATCH($E569,'Community Areas'!$A$2:$A$78,0)),
"")</f>
        <v>1-B</v>
      </c>
      <c r="J569" s="63">
        <f>_xlfn.IFNA(
INDEX('Community Areas'!D$2:D$78,MATCH($E569,'Community Areas'!$A$2:$A$78,0)),
"")</f>
        <v>1</v>
      </c>
      <c r="K569" s="60" t="str">
        <f>_xlfn.IFNA(
INDEX('Community Areas'!E$2:E$78,MATCH($E569,'Community Areas'!$A$2:$A$78,0)),
"")</f>
        <v>NORTH</v>
      </c>
      <c r="L569" s="17" t="e">
        <f>SUMIFS([1]ACSDT5Y2020.B08301_data_with_ov!AT$3:AT$1334,[1]ACSDT5Y2020.B08301_data_with_ov!$AS$3:$AS$1334,$B569)</f>
        <v>#VALUE!</v>
      </c>
      <c r="M569" s="17" t="e">
        <f>SUMIFS([1]ACSDT5Y2020.B08301_data_with_ov!AU$3:AU$1334,[1]ACSDT5Y2020.B08301_data_with_ov!$AS$3:$AS$1334,$B569)</f>
        <v>#VALUE!</v>
      </c>
      <c r="N569" s="17" t="e">
        <f>SUMIFS([1]ACSDT5Y2020.B08301_data_with_ov!AV$3:AV$1334,[1]ACSDT5Y2020.B08301_data_with_ov!$AS$3:$AS$1334,$B569)</f>
        <v>#VALUE!</v>
      </c>
      <c r="O569" s="17" t="e">
        <f>SUMIFS([1]ACSDT5Y2020.B08301_data_with_ov!AW$3:AW$1334,[1]ACSDT5Y2020.B08301_data_with_ov!$AS$3:$AS$1334,$B569)</f>
        <v>#VALUE!</v>
      </c>
      <c r="P569" s="17" t="e">
        <f>SUMIFS([1]ACSDT5Y2020.B08301_data_with_ov!AX$3:AX$1334,[1]ACSDT5Y2020.B08301_data_with_ov!$AS$3:$AS$1334,$B569)</f>
        <v>#VALUE!</v>
      </c>
      <c r="Q569" s="17" t="e">
        <f>SUMIFS([1]ACSDT5Y2020.B08301_data_with_ov!AY$3:AY$1334,[1]ACSDT5Y2020.B08301_data_with_ov!$AS$3:$AS$1334,$B569)</f>
        <v>#VALUE!</v>
      </c>
      <c r="R569" s="17" t="e">
        <f>SUMIFS([1]ACSDT5Y2020.B08301_data_with_ov!AZ$3:AZ$1334,[1]ACSDT5Y2020.B08301_data_with_ov!$AS$3:$AS$1334,$B569)</f>
        <v>#VALUE!</v>
      </c>
      <c r="S569" s="17" t="e">
        <f>SUMIFS([1]ACSDT5Y2020.B08301_data_with_ov!BA$3:BA$1334,[1]ACSDT5Y2020.B08301_data_with_ov!$AS$3:$AS$1334,$B569)</f>
        <v>#VALUE!</v>
      </c>
      <c r="T569" s="188">
        <v>0.12572500715505769</v>
      </c>
      <c r="U569" s="189" t="e">
        <f t="shared" si="35"/>
        <v>#VALUE!</v>
      </c>
      <c r="V569" s="188">
        <v>0.12572500715505769</v>
      </c>
      <c r="W569" s="189" t="e">
        <f t="shared" si="32"/>
        <v>#VALUE!</v>
      </c>
      <c r="X569" s="188">
        <v>0.12572500715505769</v>
      </c>
      <c r="Y569" s="189" t="e">
        <f t="shared" si="33"/>
        <v>#VALUE!</v>
      </c>
      <c r="Z569" s="188">
        <v>0.12572500715505769</v>
      </c>
      <c r="AA569" s="189" t="e">
        <f t="shared" si="34"/>
        <v>#VALUE!</v>
      </c>
    </row>
    <row r="570" spans="1:27" x14ac:dyDescent="0.25">
      <c r="A570">
        <v>62900</v>
      </c>
      <c r="B570">
        <v>17031062900</v>
      </c>
      <c r="C570">
        <v>17031</v>
      </c>
      <c r="D570">
        <v>2010</v>
      </c>
      <c r="E570">
        <v>6</v>
      </c>
      <c r="F570">
        <v>3506266.5932131801</v>
      </c>
      <c r="G570" s="45">
        <v>0.12577000807841124</v>
      </c>
      <c r="H570" s="60" t="str">
        <f>_xlfn.IFNA(
INDEX('Community Areas'!B$2:B$78,MATCH($E570,'Community Areas'!$A$2:$A$78,0)),
"")</f>
        <v>LAKE VIEW</v>
      </c>
      <c r="I570" s="63" t="str">
        <f>_xlfn.IFNA(
INDEX('Community Areas'!C$2:C$78,MATCH($E570,'Community Areas'!$A$2:$A$78,0)),
"")</f>
        <v>1-B</v>
      </c>
      <c r="J570" s="63">
        <f>_xlfn.IFNA(
INDEX('Community Areas'!D$2:D$78,MATCH($E570,'Community Areas'!$A$2:$A$78,0)),
"")</f>
        <v>1</v>
      </c>
      <c r="K570" s="60" t="str">
        <f>_xlfn.IFNA(
INDEX('Community Areas'!E$2:E$78,MATCH($E570,'Community Areas'!$A$2:$A$78,0)),
"")</f>
        <v>NORTH</v>
      </c>
      <c r="L570" s="17" t="e">
        <f>SUMIFS([1]ACSDT5Y2020.B08301_data_with_ov!AT$3:AT$1334,[1]ACSDT5Y2020.B08301_data_with_ov!$AS$3:$AS$1334,$B570)</f>
        <v>#VALUE!</v>
      </c>
      <c r="M570" s="17" t="e">
        <f>SUMIFS([1]ACSDT5Y2020.B08301_data_with_ov!AU$3:AU$1334,[1]ACSDT5Y2020.B08301_data_with_ov!$AS$3:$AS$1334,$B570)</f>
        <v>#VALUE!</v>
      </c>
      <c r="N570" s="17" t="e">
        <f>SUMIFS([1]ACSDT5Y2020.B08301_data_with_ov!AV$3:AV$1334,[1]ACSDT5Y2020.B08301_data_with_ov!$AS$3:$AS$1334,$B570)</f>
        <v>#VALUE!</v>
      </c>
      <c r="O570" s="17" t="e">
        <f>SUMIFS([1]ACSDT5Y2020.B08301_data_with_ov!AW$3:AW$1334,[1]ACSDT5Y2020.B08301_data_with_ov!$AS$3:$AS$1334,$B570)</f>
        <v>#VALUE!</v>
      </c>
      <c r="P570" s="17" t="e">
        <f>SUMIFS([1]ACSDT5Y2020.B08301_data_with_ov!AX$3:AX$1334,[1]ACSDT5Y2020.B08301_data_with_ov!$AS$3:$AS$1334,$B570)</f>
        <v>#VALUE!</v>
      </c>
      <c r="Q570" s="17" t="e">
        <f>SUMIFS([1]ACSDT5Y2020.B08301_data_with_ov!AY$3:AY$1334,[1]ACSDT5Y2020.B08301_data_with_ov!$AS$3:$AS$1334,$B570)</f>
        <v>#VALUE!</v>
      </c>
      <c r="R570" s="17" t="e">
        <f>SUMIFS([1]ACSDT5Y2020.B08301_data_with_ov!AZ$3:AZ$1334,[1]ACSDT5Y2020.B08301_data_with_ov!$AS$3:$AS$1334,$B570)</f>
        <v>#VALUE!</v>
      </c>
      <c r="S570" s="17" t="e">
        <f>SUMIFS([1]ACSDT5Y2020.B08301_data_with_ov!BA$3:BA$1334,[1]ACSDT5Y2020.B08301_data_with_ov!$AS$3:$AS$1334,$B570)</f>
        <v>#VALUE!</v>
      </c>
      <c r="T570" s="188">
        <v>0.12577000537306479</v>
      </c>
      <c r="U570" s="189" t="e">
        <f t="shared" si="35"/>
        <v>#VALUE!</v>
      </c>
      <c r="V570" s="188">
        <v>0.12577000537306479</v>
      </c>
      <c r="W570" s="189" t="e">
        <f t="shared" si="32"/>
        <v>#VALUE!</v>
      </c>
      <c r="X570" s="188">
        <v>0.12577000537306479</v>
      </c>
      <c r="Y570" s="189" t="e">
        <f t="shared" si="33"/>
        <v>#VALUE!</v>
      </c>
      <c r="Z570" s="188">
        <v>0.12577000537306479</v>
      </c>
      <c r="AA570" s="189" t="e">
        <f t="shared" si="34"/>
        <v>#VALUE!</v>
      </c>
    </row>
    <row r="571" spans="1:27" x14ac:dyDescent="0.25">
      <c r="A571">
        <v>60100</v>
      </c>
      <c r="B571">
        <v>17031060100</v>
      </c>
      <c r="C571">
        <v>17031</v>
      </c>
      <c r="D571">
        <v>2010</v>
      </c>
      <c r="E571">
        <v>6</v>
      </c>
      <c r="F571">
        <v>3504130.2306334302</v>
      </c>
      <c r="G571" s="45">
        <v>0.12569337661535204</v>
      </c>
      <c r="H571" s="60" t="str">
        <f>_xlfn.IFNA(
INDEX('Community Areas'!B$2:B$78,MATCH($E571,'Community Areas'!$A$2:$A$78,0)),
"")</f>
        <v>LAKE VIEW</v>
      </c>
      <c r="I571" s="63" t="str">
        <f>_xlfn.IFNA(
INDEX('Community Areas'!C$2:C$78,MATCH($E571,'Community Areas'!$A$2:$A$78,0)),
"")</f>
        <v>1-B</v>
      </c>
      <c r="J571" s="63">
        <f>_xlfn.IFNA(
INDEX('Community Areas'!D$2:D$78,MATCH($E571,'Community Areas'!$A$2:$A$78,0)),
"")</f>
        <v>1</v>
      </c>
      <c r="K571" s="60" t="str">
        <f>_xlfn.IFNA(
INDEX('Community Areas'!E$2:E$78,MATCH($E571,'Community Areas'!$A$2:$A$78,0)),
"")</f>
        <v>NORTH</v>
      </c>
      <c r="L571" s="17" t="e">
        <f>SUMIFS([1]ACSDT5Y2020.B08301_data_with_ov!AT$3:AT$1334,[1]ACSDT5Y2020.B08301_data_with_ov!$AS$3:$AS$1334,$B571)</f>
        <v>#VALUE!</v>
      </c>
      <c r="M571" s="17" t="e">
        <f>SUMIFS([1]ACSDT5Y2020.B08301_data_with_ov!AU$3:AU$1334,[1]ACSDT5Y2020.B08301_data_with_ov!$AS$3:$AS$1334,$B571)</f>
        <v>#VALUE!</v>
      </c>
      <c r="N571" s="17" t="e">
        <f>SUMIFS([1]ACSDT5Y2020.B08301_data_with_ov!AV$3:AV$1334,[1]ACSDT5Y2020.B08301_data_with_ov!$AS$3:$AS$1334,$B571)</f>
        <v>#VALUE!</v>
      </c>
      <c r="O571" s="17" t="e">
        <f>SUMIFS([1]ACSDT5Y2020.B08301_data_with_ov!AW$3:AW$1334,[1]ACSDT5Y2020.B08301_data_with_ov!$AS$3:$AS$1334,$B571)</f>
        <v>#VALUE!</v>
      </c>
      <c r="P571" s="17" t="e">
        <f>SUMIFS([1]ACSDT5Y2020.B08301_data_with_ov!AX$3:AX$1334,[1]ACSDT5Y2020.B08301_data_with_ov!$AS$3:$AS$1334,$B571)</f>
        <v>#VALUE!</v>
      </c>
      <c r="Q571" s="17" t="e">
        <f>SUMIFS([1]ACSDT5Y2020.B08301_data_with_ov!AY$3:AY$1334,[1]ACSDT5Y2020.B08301_data_with_ov!$AS$3:$AS$1334,$B571)</f>
        <v>#VALUE!</v>
      </c>
      <c r="R571" s="17" t="e">
        <f>SUMIFS([1]ACSDT5Y2020.B08301_data_with_ov!AZ$3:AZ$1334,[1]ACSDT5Y2020.B08301_data_with_ov!$AS$3:$AS$1334,$B571)</f>
        <v>#VALUE!</v>
      </c>
      <c r="S571" s="17" t="e">
        <f>SUMIFS([1]ACSDT5Y2020.B08301_data_with_ov!BA$3:BA$1334,[1]ACSDT5Y2020.B08301_data_with_ov!$AS$3:$AS$1334,$B571)</f>
        <v>#VALUE!</v>
      </c>
      <c r="T571" s="188">
        <v>0.12569338464944402</v>
      </c>
      <c r="U571" s="189" t="e">
        <f t="shared" si="35"/>
        <v>#VALUE!</v>
      </c>
      <c r="V571" s="188">
        <v>0.12569338464944402</v>
      </c>
      <c r="W571" s="189" t="e">
        <f t="shared" si="32"/>
        <v>#VALUE!</v>
      </c>
      <c r="X571" s="188">
        <v>0.12569338464944402</v>
      </c>
      <c r="Y571" s="189" t="e">
        <f t="shared" si="33"/>
        <v>#VALUE!</v>
      </c>
      <c r="Z571" s="188">
        <v>0.12569338464944402</v>
      </c>
      <c r="AA571" s="189" t="e">
        <f t="shared" si="34"/>
        <v>#VALUE!</v>
      </c>
    </row>
    <row r="572" spans="1:27" x14ac:dyDescent="0.25">
      <c r="A572">
        <v>60200</v>
      </c>
      <c r="B572">
        <v>17031060200</v>
      </c>
      <c r="C572">
        <v>17031</v>
      </c>
      <c r="D572">
        <v>2010</v>
      </c>
      <c r="E572">
        <v>6</v>
      </c>
      <c r="F572">
        <v>3426209.3181542698</v>
      </c>
      <c r="G572" s="45">
        <v>0.12289834847603413</v>
      </c>
      <c r="H572" s="60" t="str">
        <f>_xlfn.IFNA(
INDEX('Community Areas'!B$2:B$78,MATCH($E572,'Community Areas'!$A$2:$A$78,0)),
"")</f>
        <v>LAKE VIEW</v>
      </c>
      <c r="I572" s="63" t="str">
        <f>_xlfn.IFNA(
INDEX('Community Areas'!C$2:C$78,MATCH($E572,'Community Areas'!$A$2:$A$78,0)),
"")</f>
        <v>1-B</v>
      </c>
      <c r="J572" s="63">
        <f>_xlfn.IFNA(
INDEX('Community Areas'!D$2:D$78,MATCH($E572,'Community Areas'!$A$2:$A$78,0)),
"")</f>
        <v>1</v>
      </c>
      <c r="K572" s="60" t="str">
        <f>_xlfn.IFNA(
INDEX('Community Areas'!E$2:E$78,MATCH($E572,'Community Areas'!$A$2:$A$78,0)),
"")</f>
        <v>NORTH</v>
      </c>
      <c r="L572" s="17" t="e">
        <f>SUMIFS([1]ACSDT5Y2020.B08301_data_with_ov!AT$3:AT$1334,[1]ACSDT5Y2020.B08301_data_with_ov!$AS$3:$AS$1334,$B572)</f>
        <v>#VALUE!</v>
      </c>
      <c r="M572" s="17" t="e">
        <f>SUMIFS([1]ACSDT5Y2020.B08301_data_with_ov!AU$3:AU$1334,[1]ACSDT5Y2020.B08301_data_with_ov!$AS$3:$AS$1334,$B572)</f>
        <v>#VALUE!</v>
      </c>
      <c r="N572" s="17" t="e">
        <f>SUMIFS([1]ACSDT5Y2020.B08301_data_with_ov!AV$3:AV$1334,[1]ACSDT5Y2020.B08301_data_with_ov!$AS$3:$AS$1334,$B572)</f>
        <v>#VALUE!</v>
      </c>
      <c r="O572" s="17" t="e">
        <f>SUMIFS([1]ACSDT5Y2020.B08301_data_with_ov!AW$3:AW$1334,[1]ACSDT5Y2020.B08301_data_with_ov!$AS$3:$AS$1334,$B572)</f>
        <v>#VALUE!</v>
      </c>
      <c r="P572" s="17" t="e">
        <f>SUMIFS([1]ACSDT5Y2020.B08301_data_with_ov!AX$3:AX$1334,[1]ACSDT5Y2020.B08301_data_with_ov!$AS$3:$AS$1334,$B572)</f>
        <v>#VALUE!</v>
      </c>
      <c r="Q572" s="17" t="e">
        <f>SUMIFS([1]ACSDT5Y2020.B08301_data_with_ov!AY$3:AY$1334,[1]ACSDT5Y2020.B08301_data_with_ov!$AS$3:$AS$1334,$B572)</f>
        <v>#VALUE!</v>
      </c>
      <c r="R572" s="17" t="e">
        <f>SUMIFS([1]ACSDT5Y2020.B08301_data_with_ov!AZ$3:AZ$1334,[1]ACSDT5Y2020.B08301_data_with_ov!$AS$3:$AS$1334,$B572)</f>
        <v>#VALUE!</v>
      </c>
      <c r="S572" s="17" t="e">
        <f>SUMIFS([1]ACSDT5Y2020.B08301_data_with_ov!BA$3:BA$1334,[1]ACSDT5Y2020.B08301_data_with_ov!$AS$3:$AS$1334,$B572)</f>
        <v>#VALUE!</v>
      </c>
      <c r="T572" s="188">
        <v>0.12289834303986527</v>
      </c>
      <c r="U572" s="189" t="e">
        <f t="shared" si="35"/>
        <v>#VALUE!</v>
      </c>
      <c r="V572" s="188">
        <v>0.12289834303986527</v>
      </c>
      <c r="W572" s="189" t="e">
        <f t="shared" si="32"/>
        <v>#VALUE!</v>
      </c>
      <c r="X572" s="188">
        <v>0.12289834303986527</v>
      </c>
      <c r="Y572" s="189" t="e">
        <f t="shared" si="33"/>
        <v>#VALUE!</v>
      </c>
      <c r="Z572" s="188">
        <v>0.12289834303986527</v>
      </c>
      <c r="AA572" s="189" t="e">
        <f t="shared" si="34"/>
        <v>#VALUE!</v>
      </c>
    </row>
    <row r="573" spans="1:27" x14ac:dyDescent="0.25">
      <c r="A573">
        <v>60400</v>
      </c>
      <c r="B573">
        <v>17031060400</v>
      </c>
      <c r="C573">
        <v>17031</v>
      </c>
      <c r="D573">
        <v>2010</v>
      </c>
      <c r="E573">
        <v>6</v>
      </c>
      <c r="F573">
        <v>3498398.6838416201</v>
      </c>
      <c r="G573" s="45">
        <v>0.12548778566351082</v>
      </c>
      <c r="H573" s="60" t="str">
        <f>_xlfn.IFNA(
INDEX('Community Areas'!B$2:B$78,MATCH($E573,'Community Areas'!$A$2:$A$78,0)),
"")</f>
        <v>LAKE VIEW</v>
      </c>
      <c r="I573" s="63" t="str">
        <f>_xlfn.IFNA(
INDEX('Community Areas'!C$2:C$78,MATCH($E573,'Community Areas'!$A$2:$A$78,0)),
"")</f>
        <v>1-B</v>
      </c>
      <c r="J573" s="63">
        <f>_xlfn.IFNA(
INDEX('Community Areas'!D$2:D$78,MATCH($E573,'Community Areas'!$A$2:$A$78,0)),
"")</f>
        <v>1</v>
      </c>
      <c r="K573" s="60" t="str">
        <f>_xlfn.IFNA(
INDEX('Community Areas'!E$2:E$78,MATCH($E573,'Community Areas'!$A$2:$A$78,0)),
"")</f>
        <v>NORTH</v>
      </c>
      <c r="L573" s="17" t="e">
        <f>SUMIFS([1]ACSDT5Y2020.B08301_data_with_ov!AT$3:AT$1334,[1]ACSDT5Y2020.B08301_data_with_ov!$AS$3:$AS$1334,$B573)</f>
        <v>#VALUE!</v>
      </c>
      <c r="M573" s="17" t="e">
        <f>SUMIFS([1]ACSDT5Y2020.B08301_data_with_ov!AU$3:AU$1334,[1]ACSDT5Y2020.B08301_data_with_ov!$AS$3:$AS$1334,$B573)</f>
        <v>#VALUE!</v>
      </c>
      <c r="N573" s="17" t="e">
        <f>SUMIFS([1]ACSDT5Y2020.B08301_data_with_ov!AV$3:AV$1334,[1]ACSDT5Y2020.B08301_data_with_ov!$AS$3:$AS$1334,$B573)</f>
        <v>#VALUE!</v>
      </c>
      <c r="O573" s="17" t="e">
        <f>SUMIFS([1]ACSDT5Y2020.B08301_data_with_ov!AW$3:AW$1334,[1]ACSDT5Y2020.B08301_data_with_ov!$AS$3:$AS$1334,$B573)</f>
        <v>#VALUE!</v>
      </c>
      <c r="P573" s="17" t="e">
        <f>SUMIFS([1]ACSDT5Y2020.B08301_data_with_ov!AX$3:AX$1334,[1]ACSDT5Y2020.B08301_data_with_ov!$AS$3:$AS$1334,$B573)</f>
        <v>#VALUE!</v>
      </c>
      <c r="Q573" s="17" t="e">
        <f>SUMIFS([1]ACSDT5Y2020.B08301_data_with_ov!AY$3:AY$1334,[1]ACSDT5Y2020.B08301_data_with_ov!$AS$3:$AS$1334,$B573)</f>
        <v>#VALUE!</v>
      </c>
      <c r="R573" s="17" t="e">
        <f>SUMIFS([1]ACSDT5Y2020.B08301_data_with_ov!AZ$3:AZ$1334,[1]ACSDT5Y2020.B08301_data_with_ov!$AS$3:$AS$1334,$B573)</f>
        <v>#VALUE!</v>
      </c>
      <c r="S573" s="17" t="e">
        <f>SUMIFS([1]ACSDT5Y2020.B08301_data_with_ov!BA$3:BA$1334,[1]ACSDT5Y2020.B08301_data_with_ov!$AS$3:$AS$1334,$B573)</f>
        <v>#VALUE!</v>
      </c>
      <c r="T573" s="188">
        <v>0.12548778428815319</v>
      </c>
      <c r="U573" s="189" t="e">
        <f t="shared" si="35"/>
        <v>#VALUE!</v>
      </c>
      <c r="V573" s="188">
        <v>0.12548778428815319</v>
      </c>
      <c r="W573" s="189" t="e">
        <f t="shared" si="32"/>
        <v>#VALUE!</v>
      </c>
      <c r="X573" s="188">
        <v>0.12548778428815319</v>
      </c>
      <c r="Y573" s="189" t="e">
        <f t="shared" si="33"/>
        <v>#VALUE!</v>
      </c>
      <c r="Z573" s="188">
        <v>0.12548778428815319</v>
      </c>
      <c r="AA573" s="189" t="e">
        <f t="shared" si="34"/>
        <v>#VALUE!</v>
      </c>
    </row>
    <row r="574" spans="1:27" x14ac:dyDescent="0.25">
      <c r="A574">
        <v>60500</v>
      </c>
      <c r="B574">
        <v>17031060500</v>
      </c>
      <c r="C574">
        <v>17031</v>
      </c>
      <c r="D574">
        <v>2010</v>
      </c>
      <c r="E574">
        <v>6</v>
      </c>
      <c r="F574">
        <v>2455633.6374322302</v>
      </c>
      <c r="G574" s="45">
        <v>8.8083736420749764E-2</v>
      </c>
      <c r="H574" s="60" t="str">
        <f>_xlfn.IFNA(
INDEX('Community Areas'!B$2:B$78,MATCH($E574,'Community Areas'!$A$2:$A$78,0)),
"")</f>
        <v>LAKE VIEW</v>
      </c>
      <c r="I574" s="63" t="str">
        <f>_xlfn.IFNA(
INDEX('Community Areas'!C$2:C$78,MATCH($E574,'Community Areas'!$A$2:$A$78,0)),
"")</f>
        <v>1-B</v>
      </c>
      <c r="J574" s="63">
        <f>_xlfn.IFNA(
INDEX('Community Areas'!D$2:D$78,MATCH($E574,'Community Areas'!$A$2:$A$78,0)),
"")</f>
        <v>1</v>
      </c>
      <c r="K574" s="60" t="str">
        <f>_xlfn.IFNA(
INDEX('Community Areas'!E$2:E$78,MATCH($E574,'Community Areas'!$A$2:$A$78,0)),
"")</f>
        <v>NORTH</v>
      </c>
      <c r="L574" s="17" t="e">
        <f>SUMIFS([1]ACSDT5Y2020.B08301_data_with_ov!AT$3:AT$1334,[1]ACSDT5Y2020.B08301_data_with_ov!$AS$3:$AS$1334,$B574)</f>
        <v>#VALUE!</v>
      </c>
      <c r="M574" s="17" t="e">
        <f>SUMIFS([1]ACSDT5Y2020.B08301_data_with_ov!AU$3:AU$1334,[1]ACSDT5Y2020.B08301_data_with_ov!$AS$3:$AS$1334,$B574)</f>
        <v>#VALUE!</v>
      </c>
      <c r="N574" s="17" t="e">
        <f>SUMIFS([1]ACSDT5Y2020.B08301_data_with_ov!AV$3:AV$1334,[1]ACSDT5Y2020.B08301_data_with_ov!$AS$3:$AS$1334,$B574)</f>
        <v>#VALUE!</v>
      </c>
      <c r="O574" s="17" t="e">
        <f>SUMIFS([1]ACSDT5Y2020.B08301_data_with_ov!AW$3:AW$1334,[1]ACSDT5Y2020.B08301_data_with_ov!$AS$3:$AS$1334,$B574)</f>
        <v>#VALUE!</v>
      </c>
      <c r="P574" s="17" t="e">
        <f>SUMIFS([1]ACSDT5Y2020.B08301_data_with_ov!AX$3:AX$1334,[1]ACSDT5Y2020.B08301_data_with_ov!$AS$3:$AS$1334,$B574)</f>
        <v>#VALUE!</v>
      </c>
      <c r="Q574" s="17" t="e">
        <f>SUMIFS([1]ACSDT5Y2020.B08301_data_with_ov!AY$3:AY$1334,[1]ACSDT5Y2020.B08301_data_with_ov!$AS$3:$AS$1334,$B574)</f>
        <v>#VALUE!</v>
      </c>
      <c r="R574" s="17" t="e">
        <f>SUMIFS([1]ACSDT5Y2020.B08301_data_with_ov!AZ$3:AZ$1334,[1]ACSDT5Y2020.B08301_data_with_ov!$AS$3:$AS$1334,$B574)</f>
        <v>#VALUE!</v>
      </c>
      <c r="S574" s="17" t="e">
        <f>SUMIFS([1]ACSDT5Y2020.B08301_data_with_ov!BA$3:BA$1334,[1]ACSDT5Y2020.B08301_data_with_ov!$AS$3:$AS$1334,$B574)</f>
        <v>#VALUE!</v>
      </c>
      <c r="T574" s="188">
        <v>8.8083733925287663E-2</v>
      </c>
      <c r="U574" s="189" t="e">
        <f t="shared" si="35"/>
        <v>#VALUE!</v>
      </c>
      <c r="V574" s="188">
        <v>8.8083733925287663E-2</v>
      </c>
      <c r="W574" s="189" t="e">
        <f t="shared" si="32"/>
        <v>#VALUE!</v>
      </c>
      <c r="X574" s="188">
        <v>8.8083733925287663E-2</v>
      </c>
      <c r="Y574" s="189" t="e">
        <f t="shared" si="33"/>
        <v>#VALUE!</v>
      </c>
      <c r="Z574" s="188">
        <v>8.8083733925287663E-2</v>
      </c>
      <c r="AA574" s="189" t="e">
        <f t="shared" si="34"/>
        <v>#VALUE!</v>
      </c>
    </row>
    <row r="575" spans="1:27" x14ac:dyDescent="0.25">
      <c r="A575">
        <v>832100</v>
      </c>
      <c r="B575">
        <v>17031832100</v>
      </c>
      <c r="C575">
        <v>17031</v>
      </c>
      <c r="D575">
        <v>2010</v>
      </c>
      <c r="E575">
        <v>6</v>
      </c>
      <c r="F575">
        <v>2392645.0215273299</v>
      </c>
      <c r="G575" s="45">
        <v>8.5824330719385972E-2</v>
      </c>
      <c r="H575" s="60" t="str">
        <f>_xlfn.IFNA(
INDEX('Community Areas'!B$2:B$78,MATCH($E575,'Community Areas'!$A$2:$A$78,0)),
"")</f>
        <v>LAKE VIEW</v>
      </c>
      <c r="I575" s="63" t="str">
        <f>_xlfn.IFNA(
INDEX('Community Areas'!C$2:C$78,MATCH($E575,'Community Areas'!$A$2:$A$78,0)),
"")</f>
        <v>1-B</v>
      </c>
      <c r="J575" s="63">
        <f>_xlfn.IFNA(
INDEX('Community Areas'!D$2:D$78,MATCH($E575,'Community Areas'!$A$2:$A$78,0)),
"")</f>
        <v>1</v>
      </c>
      <c r="K575" s="60" t="str">
        <f>_xlfn.IFNA(
INDEX('Community Areas'!E$2:E$78,MATCH($E575,'Community Areas'!$A$2:$A$78,0)),
"")</f>
        <v>NORTH</v>
      </c>
      <c r="L575" s="17" t="e">
        <f>SUMIFS([1]ACSDT5Y2020.B08301_data_with_ov!AT$3:AT$1334,[1]ACSDT5Y2020.B08301_data_with_ov!$AS$3:$AS$1334,$B575)</f>
        <v>#VALUE!</v>
      </c>
      <c r="M575" s="17" t="e">
        <f>SUMIFS([1]ACSDT5Y2020.B08301_data_with_ov!AU$3:AU$1334,[1]ACSDT5Y2020.B08301_data_with_ov!$AS$3:$AS$1334,$B575)</f>
        <v>#VALUE!</v>
      </c>
      <c r="N575" s="17" t="e">
        <f>SUMIFS([1]ACSDT5Y2020.B08301_data_with_ov!AV$3:AV$1334,[1]ACSDT5Y2020.B08301_data_with_ov!$AS$3:$AS$1334,$B575)</f>
        <v>#VALUE!</v>
      </c>
      <c r="O575" s="17" t="e">
        <f>SUMIFS([1]ACSDT5Y2020.B08301_data_with_ov!AW$3:AW$1334,[1]ACSDT5Y2020.B08301_data_with_ov!$AS$3:$AS$1334,$B575)</f>
        <v>#VALUE!</v>
      </c>
      <c r="P575" s="17" t="e">
        <f>SUMIFS([1]ACSDT5Y2020.B08301_data_with_ov!AX$3:AX$1334,[1]ACSDT5Y2020.B08301_data_with_ov!$AS$3:$AS$1334,$B575)</f>
        <v>#VALUE!</v>
      </c>
      <c r="Q575" s="17" t="e">
        <f>SUMIFS([1]ACSDT5Y2020.B08301_data_with_ov!AY$3:AY$1334,[1]ACSDT5Y2020.B08301_data_with_ov!$AS$3:$AS$1334,$B575)</f>
        <v>#VALUE!</v>
      </c>
      <c r="R575" s="17" t="e">
        <f>SUMIFS([1]ACSDT5Y2020.B08301_data_with_ov!AZ$3:AZ$1334,[1]ACSDT5Y2020.B08301_data_with_ov!$AS$3:$AS$1334,$B575)</f>
        <v>#VALUE!</v>
      </c>
      <c r="S575" s="17" t="e">
        <f>SUMIFS([1]ACSDT5Y2020.B08301_data_with_ov!BA$3:BA$1334,[1]ACSDT5Y2020.B08301_data_with_ov!$AS$3:$AS$1334,$B575)</f>
        <v>#VALUE!</v>
      </c>
      <c r="T575" s="188">
        <v>8.5824325009188837E-2</v>
      </c>
      <c r="U575" s="189" t="e">
        <f t="shared" si="35"/>
        <v>#VALUE!</v>
      </c>
      <c r="V575" s="188">
        <v>8.5824325009188837E-2</v>
      </c>
      <c r="W575" s="189" t="e">
        <f t="shared" si="32"/>
        <v>#VALUE!</v>
      </c>
      <c r="X575" s="188">
        <v>8.5824325009188837E-2</v>
      </c>
      <c r="Y575" s="189" t="e">
        <f t="shared" si="33"/>
        <v>#VALUE!</v>
      </c>
      <c r="Z575" s="188">
        <v>8.5824325009188837E-2</v>
      </c>
      <c r="AA575" s="189" t="e">
        <f t="shared" si="34"/>
        <v>#VALUE!</v>
      </c>
    </row>
    <row r="576" spans="1:27" x14ac:dyDescent="0.25">
      <c r="A576">
        <v>60800</v>
      </c>
      <c r="B576">
        <v>17031060800</v>
      </c>
      <c r="C576">
        <v>17031</v>
      </c>
      <c r="D576">
        <v>2010</v>
      </c>
      <c r="E576">
        <v>6</v>
      </c>
      <c r="F576">
        <v>1985283.6057378701</v>
      </c>
      <c r="G576" s="45">
        <v>7.1212250550170386E-2</v>
      </c>
      <c r="H576" s="60" t="str">
        <f>_xlfn.IFNA(
INDEX('Community Areas'!B$2:B$78,MATCH($E576,'Community Areas'!$A$2:$A$78,0)),
"")</f>
        <v>LAKE VIEW</v>
      </c>
      <c r="I576" s="63" t="str">
        <f>_xlfn.IFNA(
INDEX('Community Areas'!C$2:C$78,MATCH($E576,'Community Areas'!$A$2:$A$78,0)),
"")</f>
        <v>1-B</v>
      </c>
      <c r="J576" s="63">
        <f>_xlfn.IFNA(
INDEX('Community Areas'!D$2:D$78,MATCH($E576,'Community Areas'!$A$2:$A$78,0)),
"")</f>
        <v>1</v>
      </c>
      <c r="K576" s="60" t="str">
        <f>_xlfn.IFNA(
INDEX('Community Areas'!E$2:E$78,MATCH($E576,'Community Areas'!$A$2:$A$78,0)),
"")</f>
        <v>NORTH</v>
      </c>
      <c r="L576" s="17" t="e">
        <f>SUMIFS([1]ACSDT5Y2020.B08301_data_with_ov!AT$3:AT$1334,[1]ACSDT5Y2020.B08301_data_with_ov!$AS$3:$AS$1334,$B576)</f>
        <v>#VALUE!</v>
      </c>
      <c r="M576" s="17" t="e">
        <f>SUMIFS([1]ACSDT5Y2020.B08301_data_with_ov!AU$3:AU$1334,[1]ACSDT5Y2020.B08301_data_with_ov!$AS$3:$AS$1334,$B576)</f>
        <v>#VALUE!</v>
      </c>
      <c r="N576" s="17" t="e">
        <f>SUMIFS([1]ACSDT5Y2020.B08301_data_with_ov!AV$3:AV$1334,[1]ACSDT5Y2020.B08301_data_with_ov!$AS$3:$AS$1334,$B576)</f>
        <v>#VALUE!</v>
      </c>
      <c r="O576" s="17" t="e">
        <f>SUMIFS([1]ACSDT5Y2020.B08301_data_with_ov!AW$3:AW$1334,[1]ACSDT5Y2020.B08301_data_with_ov!$AS$3:$AS$1334,$B576)</f>
        <v>#VALUE!</v>
      </c>
      <c r="P576" s="17" t="e">
        <f>SUMIFS([1]ACSDT5Y2020.B08301_data_with_ov!AX$3:AX$1334,[1]ACSDT5Y2020.B08301_data_with_ov!$AS$3:$AS$1334,$B576)</f>
        <v>#VALUE!</v>
      </c>
      <c r="Q576" s="17" t="e">
        <f>SUMIFS([1]ACSDT5Y2020.B08301_data_with_ov!AY$3:AY$1334,[1]ACSDT5Y2020.B08301_data_with_ov!$AS$3:$AS$1334,$B576)</f>
        <v>#VALUE!</v>
      </c>
      <c r="R576" s="17" t="e">
        <f>SUMIFS([1]ACSDT5Y2020.B08301_data_with_ov!AZ$3:AZ$1334,[1]ACSDT5Y2020.B08301_data_with_ov!$AS$3:$AS$1334,$B576)</f>
        <v>#VALUE!</v>
      </c>
      <c r="S576" s="17" t="e">
        <f>SUMIFS([1]ACSDT5Y2020.B08301_data_with_ov!BA$3:BA$1334,[1]ACSDT5Y2020.B08301_data_with_ov!$AS$3:$AS$1334,$B576)</f>
        <v>#VALUE!</v>
      </c>
      <c r="T576" s="188">
        <v>7.1212253440770631E-2</v>
      </c>
      <c r="U576" s="189" t="e">
        <f t="shared" si="35"/>
        <v>#VALUE!</v>
      </c>
      <c r="V576" s="188">
        <v>7.1212253440770631E-2</v>
      </c>
      <c r="W576" s="189" t="e">
        <f t="shared" si="32"/>
        <v>#VALUE!</v>
      </c>
      <c r="X576" s="188">
        <v>7.1212253440770631E-2</v>
      </c>
      <c r="Y576" s="189" t="e">
        <f t="shared" si="33"/>
        <v>#VALUE!</v>
      </c>
      <c r="Z576" s="188">
        <v>7.1212253440770631E-2</v>
      </c>
      <c r="AA576" s="189" t="e">
        <f t="shared" si="34"/>
        <v>#VALUE!</v>
      </c>
    </row>
    <row r="577" spans="1:27" x14ac:dyDescent="0.25">
      <c r="A577">
        <v>832000</v>
      </c>
      <c r="B577">
        <v>17031832000</v>
      </c>
      <c r="C577">
        <v>17031</v>
      </c>
      <c r="D577">
        <v>2010</v>
      </c>
      <c r="E577">
        <v>6</v>
      </c>
      <c r="F577">
        <v>1803656.7134322301</v>
      </c>
      <c r="G577" s="45">
        <v>6.4697282248343882E-2</v>
      </c>
      <c r="H577" s="60" t="str">
        <f>_xlfn.IFNA(
INDEX('Community Areas'!B$2:B$78,MATCH($E577,'Community Areas'!$A$2:$A$78,0)),
"")</f>
        <v>LAKE VIEW</v>
      </c>
      <c r="I577" s="63" t="str">
        <f>_xlfn.IFNA(
INDEX('Community Areas'!C$2:C$78,MATCH($E577,'Community Areas'!$A$2:$A$78,0)),
"")</f>
        <v>1-B</v>
      </c>
      <c r="J577" s="63">
        <f>_xlfn.IFNA(
INDEX('Community Areas'!D$2:D$78,MATCH($E577,'Community Areas'!$A$2:$A$78,0)),
"")</f>
        <v>1</v>
      </c>
      <c r="K577" s="60" t="str">
        <f>_xlfn.IFNA(
INDEX('Community Areas'!E$2:E$78,MATCH($E577,'Community Areas'!$A$2:$A$78,0)),
"")</f>
        <v>NORTH</v>
      </c>
      <c r="L577" s="17" t="e">
        <f>SUMIFS([1]ACSDT5Y2020.B08301_data_with_ov!AT$3:AT$1334,[1]ACSDT5Y2020.B08301_data_with_ov!$AS$3:$AS$1334,$B577)</f>
        <v>#VALUE!</v>
      </c>
      <c r="M577" s="17" t="e">
        <f>SUMIFS([1]ACSDT5Y2020.B08301_data_with_ov!AU$3:AU$1334,[1]ACSDT5Y2020.B08301_data_with_ov!$AS$3:$AS$1334,$B577)</f>
        <v>#VALUE!</v>
      </c>
      <c r="N577" s="17" t="e">
        <f>SUMIFS([1]ACSDT5Y2020.B08301_data_with_ov!AV$3:AV$1334,[1]ACSDT5Y2020.B08301_data_with_ov!$AS$3:$AS$1334,$B577)</f>
        <v>#VALUE!</v>
      </c>
      <c r="O577" s="17" t="e">
        <f>SUMIFS([1]ACSDT5Y2020.B08301_data_with_ov!AW$3:AW$1334,[1]ACSDT5Y2020.B08301_data_with_ov!$AS$3:$AS$1334,$B577)</f>
        <v>#VALUE!</v>
      </c>
      <c r="P577" s="17" t="e">
        <f>SUMIFS([1]ACSDT5Y2020.B08301_data_with_ov!AX$3:AX$1334,[1]ACSDT5Y2020.B08301_data_with_ov!$AS$3:$AS$1334,$B577)</f>
        <v>#VALUE!</v>
      </c>
      <c r="Q577" s="17" t="e">
        <f>SUMIFS([1]ACSDT5Y2020.B08301_data_with_ov!AY$3:AY$1334,[1]ACSDT5Y2020.B08301_data_with_ov!$AS$3:$AS$1334,$B577)</f>
        <v>#VALUE!</v>
      </c>
      <c r="R577" s="17" t="e">
        <f>SUMIFS([1]ACSDT5Y2020.B08301_data_with_ov!AZ$3:AZ$1334,[1]ACSDT5Y2020.B08301_data_with_ov!$AS$3:$AS$1334,$B577)</f>
        <v>#VALUE!</v>
      </c>
      <c r="S577" s="17" t="e">
        <f>SUMIFS([1]ACSDT5Y2020.B08301_data_with_ov!BA$3:BA$1334,[1]ACSDT5Y2020.B08301_data_with_ov!$AS$3:$AS$1334,$B577)</f>
        <v>#VALUE!</v>
      </c>
      <c r="T577" s="188">
        <v>6.4697278956171805E-2</v>
      </c>
      <c r="U577" s="189" t="e">
        <f t="shared" si="35"/>
        <v>#VALUE!</v>
      </c>
      <c r="V577" s="188">
        <v>6.4697278956171805E-2</v>
      </c>
      <c r="W577" s="189" t="e">
        <f t="shared" si="32"/>
        <v>#VALUE!</v>
      </c>
      <c r="X577" s="188">
        <v>6.4697278956171805E-2</v>
      </c>
      <c r="Y577" s="189" t="e">
        <f t="shared" si="33"/>
        <v>#VALUE!</v>
      </c>
      <c r="Z577" s="188">
        <v>6.4697278956171805E-2</v>
      </c>
      <c r="AA577" s="189" t="e">
        <f t="shared" si="34"/>
        <v>#VALUE!</v>
      </c>
    </row>
    <row r="578" spans="1:27" x14ac:dyDescent="0.25">
      <c r="A578">
        <v>61200</v>
      </c>
      <c r="B578">
        <v>17031061200</v>
      </c>
      <c r="C578">
        <v>17031</v>
      </c>
      <c r="D578">
        <v>2010</v>
      </c>
      <c r="E578">
        <v>6</v>
      </c>
      <c r="F578">
        <v>1879698.94132398</v>
      </c>
      <c r="G578" s="45">
        <v>6.7424921850751121E-2</v>
      </c>
      <c r="H578" s="60" t="str">
        <f>_xlfn.IFNA(
INDEX('Community Areas'!B$2:B$78,MATCH($E578,'Community Areas'!$A$2:$A$78,0)),
"")</f>
        <v>LAKE VIEW</v>
      </c>
      <c r="I578" s="63" t="str">
        <f>_xlfn.IFNA(
INDEX('Community Areas'!C$2:C$78,MATCH($E578,'Community Areas'!$A$2:$A$78,0)),
"")</f>
        <v>1-B</v>
      </c>
      <c r="J578" s="63">
        <f>_xlfn.IFNA(
INDEX('Community Areas'!D$2:D$78,MATCH($E578,'Community Areas'!$A$2:$A$78,0)),
"")</f>
        <v>1</v>
      </c>
      <c r="K578" s="60" t="str">
        <f>_xlfn.IFNA(
INDEX('Community Areas'!E$2:E$78,MATCH($E578,'Community Areas'!$A$2:$A$78,0)),
"")</f>
        <v>NORTH</v>
      </c>
      <c r="L578" s="17" t="e">
        <f>SUMIFS([1]ACSDT5Y2020.B08301_data_with_ov!AT$3:AT$1334,[1]ACSDT5Y2020.B08301_data_with_ov!$AS$3:$AS$1334,$B578)</f>
        <v>#VALUE!</v>
      </c>
      <c r="M578" s="17" t="e">
        <f>SUMIFS([1]ACSDT5Y2020.B08301_data_with_ov!AU$3:AU$1334,[1]ACSDT5Y2020.B08301_data_with_ov!$AS$3:$AS$1334,$B578)</f>
        <v>#VALUE!</v>
      </c>
      <c r="N578" s="17" t="e">
        <f>SUMIFS([1]ACSDT5Y2020.B08301_data_with_ov!AV$3:AV$1334,[1]ACSDT5Y2020.B08301_data_with_ov!$AS$3:$AS$1334,$B578)</f>
        <v>#VALUE!</v>
      </c>
      <c r="O578" s="17" t="e">
        <f>SUMIFS([1]ACSDT5Y2020.B08301_data_with_ov!AW$3:AW$1334,[1]ACSDT5Y2020.B08301_data_with_ov!$AS$3:$AS$1334,$B578)</f>
        <v>#VALUE!</v>
      </c>
      <c r="P578" s="17" t="e">
        <f>SUMIFS([1]ACSDT5Y2020.B08301_data_with_ov!AX$3:AX$1334,[1]ACSDT5Y2020.B08301_data_with_ov!$AS$3:$AS$1334,$B578)</f>
        <v>#VALUE!</v>
      </c>
      <c r="Q578" s="17" t="e">
        <f>SUMIFS([1]ACSDT5Y2020.B08301_data_with_ov!AY$3:AY$1334,[1]ACSDT5Y2020.B08301_data_with_ov!$AS$3:$AS$1334,$B578)</f>
        <v>#VALUE!</v>
      </c>
      <c r="R578" s="17" t="e">
        <f>SUMIFS([1]ACSDT5Y2020.B08301_data_with_ov!AZ$3:AZ$1334,[1]ACSDT5Y2020.B08301_data_with_ov!$AS$3:$AS$1334,$B578)</f>
        <v>#VALUE!</v>
      </c>
      <c r="S578" s="17" t="e">
        <f>SUMIFS([1]ACSDT5Y2020.B08301_data_with_ov!BA$3:BA$1334,[1]ACSDT5Y2020.B08301_data_with_ov!$AS$3:$AS$1334,$B578)</f>
        <v>#VALUE!</v>
      </c>
      <c r="T578" s="188">
        <v>6.7424919916477269E-2</v>
      </c>
      <c r="U578" s="189" t="e">
        <f t="shared" si="35"/>
        <v>#VALUE!</v>
      </c>
      <c r="V578" s="188">
        <v>6.7424919916477269E-2</v>
      </c>
      <c r="W578" s="189" t="e">
        <f t="shared" si="32"/>
        <v>#VALUE!</v>
      </c>
      <c r="X578" s="188">
        <v>6.7424919916477269E-2</v>
      </c>
      <c r="Y578" s="189" t="e">
        <f t="shared" si="33"/>
        <v>#VALUE!</v>
      </c>
      <c r="Z578" s="188">
        <v>6.7424919916477269E-2</v>
      </c>
      <c r="AA578" s="189" t="e">
        <f t="shared" si="34"/>
        <v>#VALUE!</v>
      </c>
    </row>
    <row r="579" spans="1:27" x14ac:dyDescent="0.25">
      <c r="A579">
        <v>62400</v>
      </c>
      <c r="B579">
        <v>17031062400</v>
      </c>
      <c r="C579">
        <v>17031</v>
      </c>
      <c r="D579">
        <v>2010</v>
      </c>
      <c r="E579">
        <v>6</v>
      </c>
      <c r="F579">
        <v>1754200.4518017599</v>
      </c>
      <c r="G579" s="45">
        <v>6.2923282964652202E-2</v>
      </c>
      <c r="H579" s="60" t="str">
        <f>_xlfn.IFNA(
INDEX('Community Areas'!B$2:B$78,MATCH($E579,'Community Areas'!$A$2:$A$78,0)),
"")</f>
        <v>LAKE VIEW</v>
      </c>
      <c r="I579" s="63" t="str">
        <f>_xlfn.IFNA(
INDEX('Community Areas'!C$2:C$78,MATCH($E579,'Community Areas'!$A$2:$A$78,0)),
"")</f>
        <v>1-B</v>
      </c>
      <c r="J579" s="63">
        <f>_xlfn.IFNA(
INDEX('Community Areas'!D$2:D$78,MATCH($E579,'Community Areas'!$A$2:$A$78,0)),
"")</f>
        <v>1</v>
      </c>
      <c r="K579" s="60" t="str">
        <f>_xlfn.IFNA(
INDEX('Community Areas'!E$2:E$78,MATCH($E579,'Community Areas'!$A$2:$A$78,0)),
"")</f>
        <v>NORTH</v>
      </c>
      <c r="L579" s="17" t="e">
        <f>SUMIFS([1]ACSDT5Y2020.B08301_data_with_ov!AT$3:AT$1334,[1]ACSDT5Y2020.B08301_data_with_ov!$AS$3:$AS$1334,$B579)</f>
        <v>#VALUE!</v>
      </c>
      <c r="M579" s="17" t="e">
        <f>SUMIFS([1]ACSDT5Y2020.B08301_data_with_ov!AU$3:AU$1334,[1]ACSDT5Y2020.B08301_data_with_ov!$AS$3:$AS$1334,$B579)</f>
        <v>#VALUE!</v>
      </c>
      <c r="N579" s="17" t="e">
        <f>SUMIFS([1]ACSDT5Y2020.B08301_data_with_ov!AV$3:AV$1334,[1]ACSDT5Y2020.B08301_data_with_ov!$AS$3:$AS$1334,$B579)</f>
        <v>#VALUE!</v>
      </c>
      <c r="O579" s="17" t="e">
        <f>SUMIFS([1]ACSDT5Y2020.B08301_data_with_ov!AW$3:AW$1334,[1]ACSDT5Y2020.B08301_data_with_ov!$AS$3:$AS$1334,$B579)</f>
        <v>#VALUE!</v>
      </c>
      <c r="P579" s="17" t="e">
        <f>SUMIFS([1]ACSDT5Y2020.B08301_data_with_ov!AX$3:AX$1334,[1]ACSDT5Y2020.B08301_data_with_ov!$AS$3:$AS$1334,$B579)</f>
        <v>#VALUE!</v>
      </c>
      <c r="Q579" s="17" t="e">
        <f>SUMIFS([1]ACSDT5Y2020.B08301_data_with_ov!AY$3:AY$1334,[1]ACSDT5Y2020.B08301_data_with_ov!$AS$3:$AS$1334,$B579)</f>
        <v>#VALUE!</v>
      </c>
      <c r="R579" s="17" t="e">
        <f>SUMIFS([1]ACSDT5Y2020.B08301_data_with_ov!AZ$3:AZ$1334,[1]ACSDT5Y2020.B08301_data_with_ov!$AS$3:$AS$1334,$B579)</f>
        <v>#VALUE!</v>
      </c>
      <c r="S579" s="17" t="e">
        <f>SUMIFS([1]ACSDT5Y2020.B08301_data_with_ov!BA$3:BA$1334,[1]ACSDT5Y2020.B08301_data_with_ov!$AS$3:$AS$1334,$B579)</f>
        <v>#VALUE!</v>
      </c>
      <c r="T579" s="188">
        <v>6.2923279721670181E-2</v>
      </c>
      <c r="U579" s="189" t="e">
        <f t="shared" si="35"/>
        <v>#VALUE!</v>
      </c>
      <c r="V579" s="188">
        <v>6.2923279721670181E-2</v>
      </c>
      <c r="W579" s="189" t="e">
        <f t="shared" si="32"/>
        <v>#VALUE!</v>
      </c>
      <c r="X579" s="188">
        <v>6.2923279721670181E-2</v>
      </c>
      <c r="Y579" s="189" t="e">
        <f t="shared" si="33"/>
        <v>#VALUE!</v>
      </c>
      <c r="Z579" s="188">
        <v>6.2923279721670181E-2</v>
      </c>
      <c r="AA579" s="189" t="e">
        <f t="shared" si="34"/>
        <v>#VALUE!</v>
      </c>
    </row>
    <row r="580" spans="1:27" x14ac:dyDescent="0.25">
      <c r="A580">
        <v>62200</v>
      </c>
      <c r="B580">
        <v>17031062200</v>
      </c>
      <c r="C580">
        <v>17031</v>
      </c>
      <c r="D580">
        <v>2010</v>
      </c>
      <c r="E580">
        <v>6</v>
      </c>
      <c r="F580">
        <v>2608614.1044163201</v>
      </c>
      <c r="G580" s="45">
        <v>9.3571155604924253E-2</v>
      </c>
      <c r="H580" s="60" t="str">
        <f>_xlfn.IFNA(
INDEX('Community Areas'!B$2:B$78,MATCH($E580,'Community Areas'!$A$2:$A$78,0)),
"")</f>
        <v>LAKE VIEW</v>
      </c>
      <c r="I580" s="63" t="str">
        <f>_xlfn.IFNA(
INDEX('Community Areas'!C$2:C$78,MATCH($E580,'Community Areas'!$A$2:$A$78,0)),
"")</f>
        <v>1-B</v>
      </c>
      <c r="J580" s="63">
        <f>_xlfn.IFNA(
INDEX('Community Areas'!D$2:D$78,MATCH($E580,'Community Areas'!$A$2:$A$78,0)),
"")</f>
        <v>1</v>
      </c>
      <c r="K580" s="60" t="str">
        <f>_xlfn.IFNA(
INDEX('Community Areas'!E$2:E$78,MATCH($E580,'Community Areas'!$A$2:$A$78,0)),
"")</f>
        <v>NORTH</v>
      </c>
      <c r="L580" s="17" t="e">
        <f>SUMIFS([1]ACSDT5Y2020.B08301_data_with_ov!AT$3:AT$1334,[1]ACSDT5Y2020.B08301_data_with_ov!$AS$3:$AS$1334,$B580)</f>
        <v>#VALUE!</v>
      </c>
      <c r="M580" s="17" t="e">
        <f>SUMIFS([1]ACSDT5Y2020.B08301_data_with_ov!AU$3:AU$1334,[1]ACSDT5Y2020.B08301_data_with_ov!$AS$3:$AS$1334,$B580)</f>
        <v>#VALUE!</v>
      </c>
      <c r="N580" s="17" t="e">
        <f>SUMIFS([1]ACSDT5Y2020.B08301_data_with_ov!AV$3:AV$1334,[1]ACSDT5Y2020.B08301_data_with_ov!$AS$3:$AS$1334,$B580)</f>
        <v>#VALUE!</v>
      </c>
      <c r="O580" s="17" t="e">
        <f>SUMIFS([1]ACSDT5Y2020.B08301_data_with_ov!AW$3:AW$1334,[1]ACSDT5Y2020.B08301_data_with_ov!$AS$3:$AS$1334,$B580)</f>
        <v>#VALUE!</v>
      </c>
      <c r="P580" s="17" t="e">
        <f>SUMIFS([1]ACSDT5Y2020.B08301_data_with_ov!AX$3:AX$1334,[1]ACSDT5Y2020.B08301_data_with_ov!$AS$3:$AS$1334,$B580)</f>
        <v>#VALUE!</v>
      </c>
      <c r="Q580" s="17" t="e">
        <f>SUMIFS([1]ACSDT5Y2020.B08301_data_with_ov!AY$3:AY$1334,[1]ACSDT5Y2020.B08301_data_with_ov!$AS$3:$AS$1334,$B580)</f>
        <v>#VALUE!</v>
      </c>
      <c r="R580" s="17" t="e">
        <f>SUMIFS([1]ACSDT5Y2020.B08301_data_with_ov!AZ$3:AZ$1334,[1]ACSDT5Y2020.B08301_data_with_ov!$AS$3:$AS$1334,$B580)</f>
        <v>#VALUE!</v>
      </c>
      <c r="S580" s="17" t="e">
        <f>SUMIFS([1]ACSDT5Y2020.B08301_data_with_ov!BA$3:BA$1334,[1]ACSDT5Y2020.B08301_data_with_ov!$AS$3:$AS$1334,$B580)</f>
        <v>#VALUE!</v>
      </c>
      <c r="T580" s="188">
        <v>9.3571159623418484E-2</v>
      </c>
      <c r="U580" s="189" t="e">
        <f t="shared" si="35"/>
        <v>#VALUE!</v>
      </c>
      <c r="V580" s="188">
        <v>9.3571159623418484E-2</v>
      </c>
      <c r="W580" s="189" t="e">
        <f t="shared" si="32"/>
        <v>#VALUE!</v>
      </c>
      <c r="X580" s="188">
        <v>9.3571159623418484E-2</v>
      </c>
      <c r="Y580" s="189" t="e">
        <f t="shared" si="33"/>
        <v>#VALUE!</v>
      </c>
      <c r="Z580" s="188">
        <v>9.3571159623418484E-2</v>
      </c>
      <c r="AA580" s="189" t="e">
        <f t="shared" si="34"/>
        <v>#VALUE!</v>
      </c>
    </row>
    <row r="581" spans="1:27" x14ac:dyDescent="0.25">
      <c r="A581">
        <v>63200</v>
      </c>
      <c r="B581">
        <v>17031063200</v>
      </c>
      <c r="C581">
        <v>17031</v>
      </c>
      <c r="D581">
        <v>2010</v>
      </c>
      <c r="E581">
        <v>6</v>
      </c>
      <c r="F581">
        <v>4065574.4221991901</v>
      </c>
      <c r="G581" s="45">
        <v>0.14583241585597417</v>
      </c>
      <c r="H581" s="60" t="str">
        <f>_xlfn.IFNA(
INDEX('Community Areas'!B$2:B$78,MATCH($E581,'Community Areas'!$A$2:$A$78,0)),
"")</f>
        <v>LAKE VIEW</v>
      </c>
      <c r="I581" s="63" t="str">
        <f>_xlfn.IFNA(
INDEX('Community Areas'!C$2:C$78,MATCH($E581,'Community Areas'!$A$2:$A$78,0)),
"")</f>
        <v>1-B</v>
      </c>
      <c r="J581" s="63">
        <f>_xlfn.IFNA(
INDEX('Community Areas'!D$2:D$78,MATCH($E581,'Community Areas'!$A$2:$A$78,0)),
"")</f>
        <v>1</v>
      </c>
      <c r="K581" s="60" t="str">
        <f>_xlfn.IFNA(
INDEX('Community Areas'!E$2:E$78,MATCH($E581,'Community Areas'!$A$2:$A$78,0)),
"")</f>
        <v>NORTH</v>
      </c>
      <c r="L581" s="17" t="e">
        <f>SUMIFS([1]ACSDT5Y2020.B08301_data_with_ov!AT$3:AT$1334,[1]ACSDT5Y2020.B08301_data_with_ov!$AS$3:$AS$1334,$B581)</f>
        <v>#VALUE!</v>
      </c>
      <c r="M581" s="17" t="e">
        <f>SUMIFS([1]ACSDT5Y2020.B08301_data_with_ov!AU$3:AU$1334,[1]ACSDT5Y2020.B08301_data_with_ov!$AS$3:$AS$1334,$B581)</f>
        <v>#VALUE!</v>
      </c>
      <c r="N581" s="17" t="e">
        <f>SUMIFS([1]ACSDT5Y2020.B08301_data_with_ov!AV$3:AV$1334,[1]ACSDT5Y2020.B08301_data_with_ov!$AS$3:$AS$1334,$B581)</f>
        <v>#VALUE!</v>
      </c>
      <c r="O581" s="17" t="e">
        <f>SUMIFS([1]ACSDT5Y2020.B08301_data_with_ov!AW$3:AW$1334,[1]ACSDT5Y2020.B08301_data_with_ov!$AS$3:$AS$1334,$B581)</f>
        <v>#VALUE!</v>
      </c>
      <c r="P581" s="17" t="e">
        <f>SUMIFS([1]ACSDT5Y2020.B08301_data_with_ov!AX$3:AX$1334,[1]ACSDT5Y2020.B08301_data_with_ov!$AS$3:$AS$1334,$B581)</f>
        <v>#VALUE!</v>
      </c>
      <c r="Q581" s="17" t="e">
        <f>SUMIFS([1]ACSDT5Y2020.B08301_data_with_ov!AY$3:AY$1334,[1]ACSDT5Y2020.B08301_data_with_ov!$AS$3:$AS$1334,$B581)</f>
        <v>#VALUE!</v>
      </c>
      <c r="R581" s="17" t="e">
        <f>SUMIFS([1]ACSDT5Y2020.B08301_data_with_ov!AZ$3:AZ$1334,[1]ACSDT5Y2020.B08301_data_with_ov!$AS$3:$AS$1334,$B581)</f>
        <v>#VALUE!</v>
      </c>
      <c r="S581" s="17" t="e">
        <f>SUMIFS([1]ACSDT5Y2020.B08301_data_with_ov!BA$3:BA$1334,[1]ACSDT5Y2020.B08301_data_with_ov!$AS$3:$AS$1334,$B581)</f>
        <v>#VALUE!</v>
      </c>
      <c r="T581" s="188">
        <v>0.1458324254983116</v>
      </c>
      <c r="U581" s="189" t="e">
        <f t="shared" si="35"/>
        <v>#VALUE!</v>
      </c>
      <c r="V581" s="188">
        <v>0.1458324254983116</v>
      </c>
      <c r="W581" s="189" t="e">
        <f t="shared" si="32"/>
        <v>#VALUE!</v>
      </c>
      <c r="X581" s="188">
        <v>0.1458324254983116</v>
      </c>
      <c r="Y581" s="189" t="e">
        <f t="shared" si="33"/>
        <v>#VALUE!</v>
      </c>
      <c r="Z581" s="188">
        <v>0.1458324254983116</v>
      </c>
      <c r="AA581" s="189" t="e">
        <f t="shared" si="34"/>
        <v>#VALUE!</v>
      </c>
    </row>
    <row r="582" spans="1:27" x14ac:dyDescent="0.25">
      <c r="A582">
        <v>62100</v>
      </c>
      <c r="B582">
        <v>17031062100</v>
      </c>
      <c r="C582">
        <v>17031</v>
      </c>
      <c r="D582">
        <v>2010</v>
      </c>
      <c r="E582">
        <v>6</v>
      </c>
      <c r="F582">
        <v>2635141.2917009601</v>
      </c>
      <c r="G582" s="45">
        <v>9.4522687517969467E-2</v>
      </c>
      <c r="H582" s="60" t="str">
        <f>_xlfn.IFNA(
INDEX('Community Areas'!B$2:B$78,MATCH($E582,'Community Areas'!$A$2:$A$78,0)),
"")</f>
        <v>LAKE VIEW</v>
      </c>
      <c r="I582" s="63" t="str">
        <f>_xlfn.IFNA(
INDEX('Community Areas'!C$2:C$78,MATCH($E582,'Community Areas'!$A$2:$A$78,0)),
"")</f>
        <v>1-B</v>
      </c>
      <c r="J582" s="63">
        <f>_xlfn.IFNA(
INDEX('Community Areas'!D$2:D$78,MATCH($E582,'Community Areas'!$A$2:$A$78,0)),
"")</f>
        <v>1</v>
      </c>
      <c r="K582" s="60" t="str">
        <f>_xlfn.IFNA(
INDEX('Community Areas'!E$2:E$78,MATCH($E582,'Community Areas'!$A$2:$A$78,0)),
"")</f>
        <v>NORTH</v>
      </c>
      <c r="L582" s="17" t="e">
        <f>SUMIFS([1]ACSDT5Y2020.B08301_data_with_ov!AT$3:AT$1334,[1]ACSDT5Y2020.B08301_data_with_ov!$AS$3:$AS$1334,$B582)</f>
        <v>#VALUE!</v>
      </c>
      <c r="M582" s="17" t="e">
        <f>SUMIFS([1]ACSDT5Y2020.B08301_data_with_ov!AU$3:AU$1334,[1]ACSDT5Y2020.B08301_data_with_ov!$AS$3:$AS$1334,$B582)</f>
        <v>#VALUE!</v>
      </c>
      <c r="N582" s="17" t="e">
        <f>SUMIFS([1]ACSDT5Y2020.B08301_data_with_ov!AV$3:AV$1334,[1]ACSDT5Y2020.B08301_data_with_ov!$AS$3:$AS$1334,$B582)</f>
        <v>#VALUE!</v>
      </c>
      <c r="O582" s="17" t="e">
        <f>SUMIFS([1]ACSDT5Y2020.B08301_data_with_ov!AW$3:AW$1334,[1]ACSDT5Y2020.B08301_data_with_ov!$AS$3:$AS$1334,$B582)</f>
        <v>#VALUE!</v>
      </c>
      <c r="P582" s="17" t="e">
        <f>SUMIFS([1]ACSDT5Y2020.B08301_data_with_ov!AX$3:AX$1334,[1]ACSDT5Y2020.B08301_data_with_ov!$AS$3:$AS$1334,$B582)</f>
        <v>#VALUE!</v>
      </c>
      <c r="Q582" s="17" t="e">
        <f>SUMIFS([1]ACSDT5Y2020.B08301_data_with_ov!AY$3:AY$1334,[1]ACSDT5Y2020.B08301_data_with_ov!$AS$3:$AS$1334,$B582)</f>
        <v>#VALUE!</v>
      </c>
      <c r="R582" s="17" t="e">
        <f>SUMIFS([1]ACSDT5Y2020.B08301_data_with_ov!AZ$3:AZ$1334,[1]ACSDT5Y2020.B08301_data_with_ov!$AS$3:$AS$1334,$B582)</f>
        <v>#VALUE!</v>
      </c>
      <c r="S582" s="17" t="e">
        <f>SUMIFS([1]ACSDT5Y2020.B08301_data_with_ov!BA$3:BA$1334,[1]ACSDT5Y2020.B08301_data_with_ov!$AS$3:$AS$1334,$B582)</f>
        <v>#VALUE!</v>
      </c>
      <c r="T582" s="188">
        <v>9.4522687223842106E-2</v>
      </c>
      <c r="U582" s="189" t="e">
        <f t="shared" si="35"/>
        <v>#VALUE!</v>
      </c>
      <c r="V582" s="188">
        <v>9.4522687223842106E-2</v>
      </c>
      <c r="W582" s="189" t="e">
        <f t="shared" ref="W582:W645" si="36">(V582/$G582)*$L582</f>
        <v>#VALUE!</v>
      </c>
      <c r="X582" s="188">
        <v>9.4522687223842106E-2</v>
      </c>
      <c r="Y582" s="189" t="e">
        <f t="shared" ref="Y582:Y645" si="37">(X582/$G582)*$L582</f>
        <v>#VALUE!</v>
      </c>
      <c r="Z582" s="188">
        <v>9.4522687223842106E-2</v>
      </c>
      <c r="AA582" s="189" t="e">
        <f t="shared" ref="AA582:AA645" si="38">(Z582/$G582)*$L582</f>
        <v>#VALUE!</v>
      </c>
    </row>
    <row r="583" spans="1:27" x14ac:dyDescent="0.25">
      <c r="A583">
        <v>60300</v>
      </c>
      <c r="B583">
        <v>17031060300</v>
      </c>
      <c r="C583">
        <v>17031</v>
      </c>
      <c r="D583">
        <v>2010</v>
      </c>
      <c r="E583">
        <v>6</v>
      </c>
      <c r="F583">
        <v>3442848.7410644698</v>
      </c>
      <c r="G583" s="45">
        <v>0.12349520564539104</v>
      </c>
      <c r="H583" s="60" t="str">
        <f>_xlfn.IFNA(
INDEX('Community Areas'!B$2:B$78,MATCH($E583,'Community Areas'!$A$2:$A$78,0)),
"")</f>
        <v>LAKE VIEW</v>
      </c>
      <c r="I583" s="63" t="str">
        <f>_xlfn.IFNA(
INDEX('Community Areas'!C$2:C$78,MATCH($E583,'Community Areas'!$A$2:$A$78,0)),
"")</f>
        <v>1-B</v>
      </c>
      <c r="J583" s="63">
        <f>_xlfn.IFNA(
INDEX('Community Areas'!D$2:D$78,MATCH($E583,'Community Areas'!$A$2:$A$78,0)),
"")</f>
        <v>1</v>
      </c>
      <c r="K583" s="60" t="str">
        <f>_xlfn.IFNA(
INDEX('Community Areas'!E$2:E$78,MATCH($E583,'Community Areas'!$A$2:$A$78,0)),
"")</f>
        <v>NORTH</v>
      </c>
      <c r="L583" s="17" t="e">
        <f>SUMIFS([1]ACSDT5Y2020.B08301_data_with_ov!AT$3:AT$1334,[1]ACSDT5Y2020.B08301_data_with_ov!$AS$3:$AS$1334,$B583)</f>
        <v>#VALUE!</v>
      </c>
      <c r="M583" s="17" t="e">
        <f>SUMIFS([1]ACSDT5Y2020.B08301_data_with_ov!AU$3:AU$1334,[1]ACSDT5Y2020.B08301_data_with_ov!$AS$3:$AS$1334,$B583)</f>
        <v>#VALUE!</v>
      </c>
      <c r="N583" s="17" t="e">
        <f>SUMIFS([1]ACSDT5Y2020.B08301_data_with_ov!AV$3:AV$1334,[1]ACSDT5Y2020.B08301_data_with_ov!$AS$3:$AS$1334,$B583)</f>
        <v>#VALUE!</v>
      </c>
      <c r="O583" s="17" t="e">
        <f>SUMIFS([1]ACSDT5Y2020.B08301_data_with_ov!AW$3:AW$1334,[1]ACSDT5Y2020.B08301_data_with_ov!$AS$3:$AS$1334,$B583)</f>
        <v>#VALUE!</v>
      </c>
      <c r="P583" s="17" t="e">
        <f>SUMIFS([1]ACSDT5Y2020.B08301_data_with_ov!AX$3:AX$1334,[1]ACSDT5Y2020.B08301_data_with_ov!$AS$3:$AS$1334,$B583)</f>
        <v>#VALUE!</v>
      </c>
      <c r="Q583" s="17" t="e">
        <f>SUMIFS([1]ACSDT5Y2020.B08301_data_with_ov!AY$3:AY$1334,[1]ACSDT5Y2020.B08301_data_with_ov!$AS$3:$AS$1334,$B583)</f>
        <v>#VALUE!</v>
      </c>
      <c r="R583" s="17" t="e">
        <f>SUMIFS([1]ACSDT5Y2020.B08301_data_with_ov!AZ$3:AZ$1334,[1]ACSDT5Y2020.B08301_data_with_ov!$AS$3:$AS$1334,$B583)</f>
        <v>#VALUE!</v>
      </c>
      <c r="S583" s="17" t="e">
        <f>SUMIFS([1]ACSDT5Y2020.B08301_data_with_ov!BA$3:BA$1334,[1]ACSDT5Y2020.B08301_data_with_ov!$AS$3:$AS$1334,$B583)</f>
        <v>#VALUE!</v>
      </c>
      <c r="T583" s="188">
        <v>0.12349521079426796</v>
      </c>
      <c r="U583" s="189" t="e">
        <f t="shared" ref="U583:U646" si="39">(T583/$G583)*$L583</f>
        <v>#VALUE!</v>
      </c>
      <c r="V583" s="188">
        <v>0.12349521079426796</v>
      </c>
      <c r="W583" s="189" t="e">
        <f t="shared" si="36"/>
        <v>#VALUE!</v>
      </c>
      <c r="X583" s="188">
        <v>0.12349521079426796</v>
      </c>
      <c r="Y583" s="189" t="e">
        <f t="shared" si="37"/>
        <v>#VALUE!</v>
      </c>
      <c r="Z583" s="188">
        <v>0.12349521079426796</v>
      </c>
      <c r="AA583" s="189" t="e">
        <f t="shared" si="38"/>
        <v>#VALUE!</v>
      </c>
    </row>
    <row r="584" spans="1:27" x14ac:dyDescent="0.25">
      <c r="A584">
        <v>62000</v>
      </c>
      <c r="B584">
        <v>17031062000</v>
      </c>
      <c r="C584">
        <v>17031</v>
      </c>
      <c r="D584">
        <v>2010</v>
      </c>
      <c r="E584">
        <v>6</v>
      </c>
      <c r="F584">
        <v>2421522.57692564</v>
      </c>
      <c r="G584" s="45">
        <v>8.6860170487748217E-2</v>
      </c>
      <c r="H584" s="60" t="str">
        <f>_xlfn.IFNA(
INDEX('Community Areas'!B$2:B$78,MATCH($E584,'Community Areas'!$A$2:$A$78,0)),
"")</f>
        <v>LAKE VIEW</v>
      </c>
      <c r="I584" s="63" t="str">
        <f>_xlfn.IFNA(
INDEX('Community Areas'!C$2:C$78,MATCH($E584,'Community Areas'!$A$2:$A$78,0)),
"")</f>
        <v>1-B</v>
      </c>
      <c r="J584" s="63">
        <f>_xlfn.IFNA(
INDEX('Community Areas'!D$2:D$78,MATCH($E584,'Community Areas'!$A$2:$A$78,0)),
"")</f>
        <v>1</v>
      </c>
      <c r="K584" s="60" t="str">
        <f>_xlfn.IFNA(
INDEX('Community Areas'!E$2:E$78,MATCH($E584,'Community Areas'!$A$2:$A$78,0)),
"")</f>
        <v>NORTH</v>
      </c>
      <c r="L584" s="17" t="e">
        <f>SUMIFS([1]ACSDT5Y2020.B08301_data_with_ov!AT$3:AT$1334,[1]ACSDT5Y2020.B08301_data_with_ov!$AS$3:$AS$1334,$B584)</f>
        <v>#VALUE!</v>
      </c>
      <c r="M584" s="17" t="e">
        <f>SUMIFS([1]ACSDT5Y2020.B08301_data_with_ov!AU$3:AU$1334,[1]ACSDT5Y2020.B08301_data_with_ov!$AS$3:$AS$1334,$B584)</f>
        <v>#VALUE!</v>
      </c>
      <c r="N584" s="17" t="e">
        <f>SUMIFS([1]ACSDT5Y2020.B08301_data_with_ov!AV$3:AV$1334,[1]ACSDT5Y2020.B08301_data_with_ov!$AS$3:$AS$1334,$B584)</f>
        <v>#VALUE!</v>
      </c>
      <c r="O584" s="17" t="e">
        <f>SUMIFS([1]ACSDT5Y2020.B08301_data_with_ov!AW$3:AW$1334,[1]ACSDT5Y2020.B08301_data_with_ov!$AS$3:$AS$1334,$B584)</f>
        <v>#VALUE!</v>
      </c>
      <c r="P584" s="17" t="e">
        <f>SUMIFS([1]ACSDT5Y2020.B08301_data_with_ov!AX$3:AX$1334,[1]ACSDT5Y2020.B08301_data_with_ov!$AS$3:$AS$1334,$B584)</f>
        <v>#VALUE!</v>
      </c>
      <c r="Q584" s="17" t="e">
        <f>SUMIFS([1]ACSDT5Y2020.B08301_data_with_ov!AY$3:AY$1334,[1]ACSDT5Y2020.B08301_data_with_ov!$AS$3:$AS$1334,$B584)</f>
        <v>#VALUE!</v>
      </c>
      <c r="R584" s="17" t="e">
        <f>SUMIFS([1]ACSDT5Y2020.B08301_data_with_ov!AZ$3:AZ$1334,[1]ACSDT5Y2020.B08301_data_with_ov!$AS$3:$AS$1334,$B584)</f>
        <v>#VALUE!</v>
      </c>
      <c r="S584" s="17" t="e">
        <f>SUMIFS([1]ACSDT5Y2020.B08301_data_with_ov!BA$3:BA$1334,[1]ACSDT5Y2020.B08301_data_with_ov!$AS$3:$AS$1334,$B584)</f>
        <v>#VALUE!</v>
      </c>
      <c r="T584" s="188">
        <v>8.6860166789803933E-2</v>
      </c>
      <c r="U584" s="189" t="e">
        <f t="shared" si="39"/>
        <v>#VALUE!</v>
      </c>
      <c r="V584" s="188">
        <v>8.6860166789803933E-2</v>
      </c>
      <c r="W584" s="189" t="e">
        <f t="shared" si="36"/>
        <v>#VALUE!</v>
      </c>
      <c r="X584" s="188">
        <v>8.6860166789803933E-2</v>
      </c>
      <c r="Y584" s="189" t="e">
        <f t="shared" si="37"/>
        <v>#VALUE!</v>
      </c>
      <c r="Z584" s="188">
        <v>8.6860166789803933E-2</v>
      </c>
      <c r="AA584" s="189" t="e">
        <f t="shared" si="38"/>
        <v>#VALUE!</v>
      </c>
    </row>
    <row r="585" spans="1:27" x14ac:dyDescent="0.25">
      <c r="A585">
        <v>63302</v>
      </c>
      <c r="B585">
        <v>17031063302</v>
      </c>
      <c r="C585">
        <v>17031</v>
      </c>
      <c r="D585">
        <v>2010</v>
      </c>
      <c r="E585">
        <v>6</v>
      </c>
      <c r="F585">
        <v>1306457.14533436</v>
      </c>
      <c r="G585" s="45">
        <v>4.6862701781105083E-2</v>
      </c>
      <c r="H585" s="60" t="str">
        <f>_xlfn.IFNA(
INDEX('Community Areas'!B$2:B$78,MATCH($E585,'Community Areas'!$A$2:$A$78,0)),
"")</f>
        <v>LAKE VIEW</v>
      </c>
      <c r="I585" s="63" t="str">
        <f>_xlfn.IFNA(
INDEX('Community Areas'!C$2:C$78,MATCH($E585,'Community Areas'!$A$2:$A$78,0)),
"")</f>
        <v>1-B</v>
      </c>
      <c r="J585" s="63">
        <f>_xlfn.IFNA(
INDEX('Community Areas'!D$2:D$78,MATCH($E585,'Community Areas'!$A$2:$A$78,0)),
"")</f>
        <v>1</v>
      </c>
      <c r="K585" s="60" t="str">
        <f>_xlfn.IFNA(
INDEX('Community Areas'!E$2:E$78,MATCH($E585,'Community Areas'!$A$2:$A$78,0)),
"")</f>
        <v>NORTH</v>
      </c>
      <c r="L585" s="17" t="e">
        <f>SUMIFS([1]ACSDT5Y2020.B08301_data_with_ov!AT$3:AT$1334,[1]ACSDT5Y2020.B08301_data_with_ov!$AS$3:$AS$1334,$B585)</f>
        <v>#VALUE!</v>
      </c>
      <c r="M585" s="17" t="e">
        <f>SUMIFS([1]ACSDT5Y2020.B08301_data_with_ov!AU$3:AU$1334,[1]ACSDT5Y2020.B08301_data_with_ov!$AS$3:$AS$1334,$B585)</f>
        <v>#VALUE!</v>
      </c>
      <c r="N585" s="17" t="e">
        <f>SUMIFS([1]ACSDT5Y2020.B08301_data_with_ov!AV$3:AV$1334,[1]ACSDT5Y2020.B08301_data_with_ov!$AS$3:$AS$1334,$B585)</f>
        <v>#VALUE!</v>
      </c>
      <c r="O585" s="17" t="e">
        <f>SUMIFS([1]ACSDT5Y2020.B08301_data_with_ov!AW$3:AW$1334,[1]ACSDT5Y2020.B08301_data_with_ov!$AS$3:$AS$1334,$B585)</f>
        <v>#VALUE!</v>
      </c>
      <c r="P585" s="17" t="e">
        <f>SUMIFS([1]ACSDT5Y2020.B08301_data_with_ov!AX$3:AX$1334,[1]ACSDT5Y2020.B08301_data_with_ov!$AS$3:$AS$1334,$B585)</f>
        <v>#VALUE!</v>
      </c>
      <c r="Q585" s="17" t="e">
        <f>SUMIFS([1]ACSDT5Y2020.B08301_data_with_ov!AY$3:AY$1334,[1]ACSDT5Y2020.B08301_data_with_ov!$AS$3:$AS$1334,$B585)</f>
        <v>#VALUE!</v>
      </c>
      <c r="R585" s="17" t="e">
        <f>SUMIFS([1]ACSDT5Y2020.B08301_data_with_ov!AZ$3:AZ$1334,[1]ACSDT5Y2020.B08301_data_with_ov!$AS$3:$AS$1334,$B585)</f>
        <v>#VALUE!</v>
      </c>
      <c r="S585" s="17" t="e">
        <f>SUMIFS([1]ACSDT5Y2020.B08301_data_with_ov!BA$3:BA$1334,[1]ACSDT5Y2020.B08301_data_with_ov!$AS$3:$AS$1334,$B585)</f>
        <v>#VALUE!</v>
      </c>
      <c r="T585" s="188">
        <v>4.6862696925792376E-2</v>
      </c>
      <c r="U585" s="189" t="e">
        <f t="shared" si="39"/>
        <v>#VALUE!</v>
      </c>
      <c r="V585" s="188">
        <v>4.6862696925792376E-2</v>
      </c>
      <c r="W585" s="189" t="e">
        <f t="shared" si="36"/>
        <v>#VALUE!</v>
      </c>
      <c r="X585" s="188">
        <v>4.6862696925792376E-2</v>
      </c>
      <c r="Y585" s="189" t="e">
        <f t="shared" si="37"/>
        <v>#VALUE!</v>
      </c>
      <c r="Z585" s="188">
        <v>4.6862696925792376E-2</v>
      </c>
      <c r="AA585" s="189" t="e">
        <f t="shared" si="38"/>
        <v>#VALUE!</v>
      </c>
    </row>
    <row r="586" spans="1:27" x14ac:dyDescent="0.25">
      <c r="A586">
        <v>63000</v>
      </c>
      <c r="B586">
        <v>17031063000</v>
      </c>
      <c r="C586">
        <v>17031</v>
      </c>
      <c r="D586">
        <v>2010</v>
      </c>
      <c r="E586">
        <v>6</v>
      </c>
      <c r="F586">
        <v>3490542.7541749398</v>
      </c>
      <c r="G586" s="45">
        <v>0.12520599296139448</v>
      </c>
      <c r="H586" s="60" t="str">
        <f>_xlfn.IFNA(
INDEX('Community Areas'!B$2:B$78,MATCH($E586,'Community Areas'!$A$2:$A$78,0)),
"")</f>
        <v>LAKE VIEW</v>
      </c>
      <c r="I586" s="63" t="str">
        <f>_xlfn.IFNA(
INDEX('Community Areas'!C$2:C$78,MATCH($E586,'Community Areas'!$A$2:$A$78,0)),
"")</f>
        <v>1-B</v>
      </c>
      <c r="J586" s="63">
        <f>_xlfn.IFNA(
INDEX('Community Areas'!D$2:D$78,MATCH($E586,'Community Areas'!$A$2:$A$78,0)),
"")</f>
        <v>1</v>
      </c>
      <c r="K586" s="60" t="str">
        <f>_xlfn.IFNA(
INDEX('Community Areas'!E$2:E$78,MATCH($E586,'Community Areas'!$A$2:$A$78,0)),
"")</f>
        <v>NORTH</v>
      </c>
      <c r="L586" s="17" t="e">
        <f>SUMIFS([1]ACSDT5Y2020.B08301_data_with_ov!AT$3:AT$1334,[1]ACSDT5Y2020.B08301_data_with_ov!$AS$3:$AS$1334,$B586)</f>
        <v>#VALUE!</v>
      </c>
      <c r="M586" s="17" t="e">
        <f>SUMIFS([1]ACSDT5Y2020.B08301_data_with_ov!AU$3:AU$1334,[1]ACSDT5Y2020.B08301_data_with_ov!$AS$3:$AS$1334,$B586)</f>
        <v>#VALUE!</v>
      </c>
      <c r="N586" s="17" t="e">
        <f>SUMIFS([1]ACSDT5Y2020.B08301_data_with_ov!AV$3:AV$1334,[1]ACSDT5Y2020.B08301_data_with_ov!$AS$3:$AS$1334,$B586)</f>
        <v>#VALUE!</v>
      </c>
      <c r="O586" s="17" t="e">
        <f>SUMIFS([1]ACSDT5Y2020.B08301_data_with_ov!AW$3:AW$1334,[1]ACSDT5Y2020.B08301_data_with_ov!$AS$3:$AS$1334,$B586)</f>
        <v>#VALUE!</v>
      </c>
      <c r="P586" s="17" t="e">
        <f>SUMIFS([1]ACSDT5Y2020.B08301_data_with_ov!AX$3:AX$1334,[1]ACSDT5Y2020.B08301_data_with_ov!$AS$3:$AS$1334,$B586)</f>
        <v>#VALUE!</v>
      </c>
      <c r="Q586" s="17" t="e">
        <f>SUMIFS([1]ACSDT5Y2020.B08301_data_with_ov!AY$3:AY$1334,[1]ACSDT5Y2020.B08301_data_with_ov!$AS$3:$AS$1334,$B586)</f>
        <v>#VALUE!</v>
      </c>
      <c r="R586" s="17" t="e">
        <f>SUMIFS([1]ACSDT5Y2020.B08301_data_with_ov!AZ$3:AZ$1334,[1]ACSDT5Y2020.B08301_data_with_ov!$AS$3:$AS$1334,$B586)</f>
        <v>#VALUE!</v>
      </c>
      <c r="S586" s="17" t="e">
        <f>SUMIFS([1]ACSDT5Y2020.B08301_data_with_ov!BA$3:BA$1334,[1]ACSDT5Y2020.B08301_data_with_ov!$AS$3:$AS$1334,$B586)</f>
        <v>#VALUE!</v>
      </c>
      <c r="T586" s="188">
        <v>0.12520599669199059</v>
      </c>
      <c r="U586" s="189" t="e">
        <f t="shared" si="39"/>
        <v>#VALUE!</v>
      </c>
      <c r="V586" s="188">
        <v>0.12520599669199059</v>
      </c>
      <c r="W586" s="189" t="e">
        <f t="shared" si="36"/>
        <v>#VALUE!</v>
      </c>
      <c r="X586" s="188">
        <v>0.12520599669199059</v>
      </c>
      <c r="Y586" s="189" t="e">
        <f t="shared" si="37"/>
        <v>#VALUE!</v>
      </c>
      <c r="Z586" s="188">
        <v>0.12520599669199059</v>
      </c>
      <c r="AA586" s="189" t="e">
        <f t="shared" si="38"/>
        <v>#VALUE!</v>
      </c>
    </row>
    <row r="587" spans="1:27" x14ac:dyDescent="0.25">
      <c r="A587">
        <v>63301</v>
      </c>
      <c r="B587">
        <v>17031063301</v>
      </c>
      <c r="C587">
        <v>17031</v>
      </c>
      <c r="D587">
        <v>2010</v>
      </c>
      <c r="E587">
        <v>6</v>
      </c>
      <c r="F587">
        <v>1010927.28611147</v>
      </c>
      <c r="G587" s="45">
        <v>3.6262026734370338E-2</v>
      </c>
      <c r="H587" s="60" t="str">
        <f>_xlfn.IFNA(
INDEX('Community Areas'!B$2:B$78,MATCH($E587,'Community Areas'!$A$2:$A$78,0)),
"")</f>
        <v>LAKE VIEW</v>
      </c>
      <c r="I587" s="63" t="str">
        <f>_xlfn.IFNA(
INDEX('Community Areas'!C$2:C$78,MATCH($E587,'Community Areas'!$A$2:$A$78,0)),
"")</f>
        <v>1-B</v>
      </c>
      <c r="J587" s="63">
        <f>_xlfn.IFNA(
INDEX('Community Areas'!D$2:D$78,MATCH($E587,'Community Areas'!$A$2:$A$78,0)),
"")</f>
        <v>1</v>
      </c>
      <c r="K587" s="60" t="str">
        <f>_xlfn.IFNA(
INDEX('Community Areas'!E$2:E$78,MATCH($E587,'Community Areas'!$A$2:$A$78,0)),
"")</f>
        <v>NORTH</v>
      </c>
      <c r="L587" s="17" t="e">
        <f>SUMIFS([1]ACSDT5Y2020.B08301_data_with_ov!AT$3:AT$1334,[1]ACSDT5Y2020.B08301_data_with_ov!$AS$3:$AS$1334,$B587)</f>
        <v>#VALUE!</v>
      </c>
      <c r="M587" s="17" t="e">
        <f>SUMIFS([1]ACSDT5Y2020.B08301_data_with_ov!AU$3:AU$1334,[1]ACSDT5Y2020.B08301_data_with_ov!$AS$3:$AS$1334,$B587)</f>
        <v>#VALUE!</v>
      </c>
      <c r="N587" s="17" t="e">
        <f>SUMIFS([1]ACSDT5Y2020.B08301_data_with_ov!AV$3:AV$1334,[1]ACSDT5Y2020.B08301_data_with_ov!$AS$3:$AS$1334,$B587)</f>
        <v>#VALUE!</v>
      </c>
      <c r="O587" s="17" t="e">
        <f>SUMIFS([1]ACSDT5Y2020.B08301_data_with_ov!AW$3:AW$1334,[1]ACSDT5Y2020.B08301_data_with_ov!$AS$3:$AS$1334,$B587)</f>
        <v>#VALUE!</v>
      </c>
      <c r="P587" s="17" t="e">
        <f>SUMIFS([1]ACSDT5Y2020.B08301_data_with_ov!AX$3:AX$1334,[1]ACSDT5Y2020.B08301_data_with_ov!$AS$3:$AS$1334,$B587)</f>
        <v>#VALUE!</v>
      </c>
      <c r="Q587" s="17" t="e">
        <f>SUMIFS([1]ACSDT5Y2020.B08301_data_with_ov!AY$3:AY$1334,[1]ACSDT5Y2020.B08301_data_with_ov!$AS$3:$AS$1334,$B587)</f>
        <v>#VALUE!</v>
      </c>
      <c r="R587" s="17" t="e">
        <f>SUMIFS([1]ACSDT5Y2020.B08301_data_with_ov!AZ$3:AZ$1334,[1]ACSDT5Y2020.B08301_data_with_ov!$AS$3:$AS$1334,$B587)</f>
        <v>#VALUE!</v>
      </c>
      <c r="S587" s="17" t="e">
        <f>SUMIFS([1]ACSDT5Y2020.B08301_data_with_ov!BA$3:BA$1334,[1]ACSDT5Y2020.B08301_data_with_ov!$AS$3:$AS$1334,$B587)</f>
        <v>#VALUE!</v>
      </c>
      <c r="T587" s="188">
        <v>3.6262032711945093E-2</v>
      </c>
      <c r="U587" s="189" t="e">
        <f t="shared" si="39"/>
        <v>#VALUE!</v>
      </c>
      <c r="V587" s="188">
        <v>3.6262032711945093E-2</v>
      </c>
      <c r="W587" s="189" t="e">
        <f t="shared" si="36"/>
        <v>#VALUE!</v>
      </c>
      <c r="X587" s="188">
        <v>3.6262032711945093E-2</v>
      </c>
      <c r="Y587" s="189" t="e">
        <f t="shared" si="37"/>
        <v>#VALUE!</v>
      </c>
      <c r="Z587" s="188">
        <v>3.6262032711945093E-2</v>
      </c>
      <c r="AA587" s="189" t="e">
        <f t="shared" si="38"/>
        <v>#VALUE!</v>
      </c>
    </row>
    <row r="588" spans="1:27" x14ac:dyDescent="0.25">
      <c r="A588">
        <v>60900</v>
      </c>
      <c r="B588">
        <v>17031060900</v>
      </c>
      <c r="C588">
        <v>17031</v>
      </c>
      <c r="D588">
        <v>2010</v>
      </c>
      <c r="E588">
        <v>6</v>
      </c>
      <c r="F588">
        <v>5444535.4565260401</v>
      </c>
      <c r="G588" s="45">
        <v>0.19529583679572859</v>
      </c>
      <c r="H588" s="60" t="str">
        <f>_xlfn.IFNA(
INDEX('Community Areas'!B$2:B$78,MATCH($E588,'Community Areas'!$A$2:$A$78,0)),
"")</f>
        <v>LAKE VIEW</v>
      </c>
      <c r="I588" s="63" t="str">
        <f>_xlfn.IFNA(
INDEX('Community Areas'!C$2:C$78,MATCH($E588,'Community Areas'!$A$2:$A$78,0)),
"")</f>
        <v>1-B</v>
      </c>
      <c r="J588" s="63">
        <f>_xlfn.IFNA(
INDEX('Community Areas'!D$2:D$78,MATCH($E588,'Community Areas'!$A$2:$A$78,0)),
"")</f>
        <v>1</v>
      </c>
      <c r="K588" s="60" t="str">
        <f>_xlfn.IFNA(
INDEX('Community Areas'!E$2:E$78,MATCH($E588,'Community Areas'!$A$2:$A$78,0)),
"")</f>
        <v>NORTH</v>
      </c>
      <c r="L588" s="17" t="e">
        <f>SUMIFS([1]ACSDT5Y2020.B08301_data_with_ov!AT$3:AT$1334,[1]ACSDT5Y2020.B08301_data_with_ov!$AS$3:$AS$1334,$B588)</f>
        <v>#VALUE!</v>
      </c>
      <c r="M588" s="17" t="e">
        <f>SUMIFS([1]ACSDT5Y2020.B08301_data_with_ov!AU$3:AU$1334,[1]ACSDT5Y2020.B08301_data_with_ov!$AS$3:$AS$1334,$B588)</f>
        <v>#VALUE!</v>
      </c>
      <c r="N588" s="17" t="e">
        <f>SUMIFS([1]ACSDT5Y2020.B08301_data_with_ov!AV$3:AV$1334,[1]ACSDT5Y2020.B08301_data_with_ov!$AS$3:$AS$1334,$B588)</f>
        <v>#VALUE!</v>
      </c>
      <c r="O588" s="17" t="e">
        <f>SUMIFS([1]ACSDT5Y2020.B08301_data_with_ov!AW$3:AW$1334,[1]ACSDT5Y2020.B08301_data_with_ov!$AS$3:$AS$1334,$B588)</f>
        <v>#VALUE!</v>
      </c>
      <c r="P588" s="17" t="e">
        <f>SUMIFS([1]ACSDT5Y2020.B08301_data_with_ov!AX$3:AX$1334,[1]ACSDT5Y2020.B08301_data_with_ov!$AS$3:$AS$1334,$B588)</f>
        <v>#VALUE!</v>
      </c>
      <c r="Q588" s="17" t="e">
        <f>SUMIFS([1]ACSDT5Y2020.B08301_data_with_ov!AY$3:AY$1334,[1]ACSDT5Y2020.B08301_data_with_ov!$AS$3:$AS$1334,$B588)</f>
        <v>#VALUE!</v>
      </c>
      <c r="R588" s="17" t="e">
        <f>SUMIFS([1]ACSDT5Y2020.B08301_data_with_ov!AZ$3:AZ$1334,[1]ACSDT5Y2020.B08301_data_with_ov!$AS$3:$AS$1334,$B588)</f>
        <v>#VALUE!</v>
      </c>
      <c r="S588" s="17" t="e">
        <f>SUMIFS([1]ACSDT5Y2020.B08301_data_with_ov!BA$3:BA$1334,[1]ACSDT5Y2020.B08301_data_with_ov!$AS$3:$AS$1334,$B588)</f>
        <v>#VALUE!</v>
      </c>
      <c r="T588" s="188">
        <v>0.19529583813525023</v>
      </c>
      <c r="U588" s="189" t="e">
        <f t="shared" si="39"/>
        <v>#VALUE!</v>
      </c>
      <c r="V588" s="188">
        <v>0.19529583813525023</v>
      </c>
      <c r="W588" s="189" t="e">
        <f t="shared" si="36"/>
        <v>#VALUE!</v>
      </c>
      <c r="X588" s="188">
        <v>0.19529583813525023</v>
      </c>
      <c r="Y588" s="189" t="e">
        <f t="shared" si="37"/>
        <v>#VALUE!</v>
      </c>
      <c r="Z588" s="188">
        <v>0.19529583813525023</v>
      </c>
      <c r="AA588" s="189" t="e">
        <f t="shared" si="38"/>
        <v>#VALUE!</v>
      </c>
    </row>
    <row r="589" spans="1:27" x14ac:dyDescent="0.25">
      <c r="A589">
        <v>63303</v>
      </c>
      <c r="B589">
        <v>17031063303</v>
      </c>
      <c r="C589">
        <v>17031</v>
      </c>
      <c r="D589">
        <v>2010</v>
      </c>
      <c r="E589">
        <v>6</v>
      </c>
      <c r="F589">
        <v>2514608.9960018201</v>
      </c>
      <c r="G589" s="45">
        <v>9.0199186323527178E-2</v>
      </c>
      <c r="H589" s="60" t="str">
        <f>_xlfn.IFNA(
INDEX('Community Areas'!B$2:B$78,MATCH($E589,'Community Areas'!$A$2:$A$78,0)),
"")</f>
        <v>LAKE VIEW</v>
      </c>
      <c r="I589" s="63" t="str">
        <f>_xlfn.IFNA(
INDEX('Community Areas'!C$2:C$78,MATCH($E589,'Community Areas'!$A$2:$A$78,0)),
"")</f>
        <v>1-B</v>
      </c>
      <c r="J589" s="63">
        <f>_xlfn.IFNA(
INDEX('Community Areas'!D$2:D$78,MATCH($E589,'Community Areas'!$A$2:$A$78,0)),
"")</f>
        <v>1</v>
      </c>
      <c r="K589" s="60" t="str">
        <f>_xlfn.IFNA(
INDEX('Community Areas'!E$2:E$78,MATCH($E589,'Community Areas'!$A$2:$A$78,0)),
"")</f>
        <v>NORTH</v>
      </c>
      <c r="L589" s="17" t="e">
        <f>SUMIFS([1]ACSDT5Y2020.B08301_data_with_ov!AT$3:AT$1334,[1]ACSDT5Y2020.B08301_data_with_ov!$AS$3:$AS$1334,$B589)</f>
        <v>#VALUE!</v>
      </c>
      <c r="M589" s="17" t="e">
        <f>SUMIFS([1]ACSDT5Y2020.B08301_data_with_ov!AU$3:AU$1334,[1]ACSDT5Y2020.B08301_data_with_ov!$AS$3:$AS$1334,$B589)</f>
        <v>#VALUE!</v>
      </c>
      <c r="N589" s="17" t="e">
        <f>SUMIFS([1]ACSDT5Y2020.B08301_data_with_ov!AV$3:AV$1334,[1]ACSDT5Y2020.B08301_data_with_ov!$AS$3:$AS$1334,$B589)</f>
        <v>#VALUE!</v>
      </c>
      <c r="O589" s="17" t="e">
        <f>SUMIFS([1]ACSDT5Y2020.B08301_data_with_ov!AW$3:AW$1334,[1]ACSDT5Y2020.B08301_data_with_ov!$AS$3:$AS$1334,$B589)</f>
        <v>#VALUE!</v>
      </c>
      <c r="P589" s="17" t="e">
        <f>SUMIFS([1]ACSDT5Y2020.B08301_data_with_ov!AX$3:AX$1334,[1]ACSDT5Y2020.B08301_data_with_ov!$AS$3:$AS$1334,$B589)</f>
        <v>#VALUE!</v>
      </c>
      <c r="Q589" s="17" t="e">
        <f>SUMIFS([1]ACSDT5Y2020.B08301_data_with_ov!AY$3:AY$1334,[1]ACSDT5Y2020.B08301_data_with_ov!$AS$3:$AS$1334,$B589)</f>
        <v>#VALUE!</v>
      </c>
      <c r="R589" s="17" t="e">
        <f>SUMIFS([1]ACSDT5Y2020.B08301_data_with_ov!AZ$3:AZ$1334,[1]ACSDT5Y2020.B08301_data_with_ov!$AS$3:$AS$1334,$B589)</f>
        <v>#VALUE!</v>
      </c>
      <c r="S589" s="17" t="e">
        <f>SUMIFS([1]ACSDT5Y2020.B08301_data_with_ov!BA$3:BA$1334,[1]ACSDT5Y2020.B08301_data_with_ov!$AS$3:$AS$1334,$B589)</f>
        <v>#VALUE!</v>
      </c>
      <c r="T589" s="188">
        <v>9.0199178719134174E-2</v>
      </c>
      <c r="U589" s="189" t="e">
        <f t="shared" si="39"/>
        <v>#VALUE!</v>
      </c>
      <c r="V589" s="188">
        <v>9.0199178719134174E-2</v>
      </c>
      <c r="W589" s="189" t="e">
        <f t="shared" si="36"/>
        <v>#VALUE!</v>
      </c>
      <c r="X589" s="188">
        <v>9.0199178719134174E-2</v>
      </c>
      <c r="Y589" s="189" t="e">
        <f t="shared" si="37"/>
        <v>#VALUE!</v>
      </c>
      <c r="Z589" s="188">
        <v>9.0199178719134174E-2</v>
      </c>
      <c r="AA589" s="189" t="e">
        <f t="shared" si="38"/>
        <v>#VALUE!</v>
      </c>
    </row>
    <row r="590" spans="1:27" x14ac:dyDescent="0.25">
      <c r="A590">
        <v>61901</v>
      </c>
      <c r="B590">
        <v>17031061901</v>
      </c>
      <c r="C590">
        <v>17031</v>
      </c>
      <c r="D590">
        <v>2010</v>
      </c>
      <c r="E590">
        <v>6</v>
      </c>
      <c r="F590">
        <v>1729433.3671568299</v>
      </c>
      <c r="G590" s="45">
        <v>6.2034886046431287E-2</v>
      </c>
      <c r="H590" s="60" t="str">
        <f>_xlfn.IFNA(
INDEX('Community Areas'!B$2:B$78,MATCH($E590,'Community Areas'!$A$2:$A$78,0)),
"")</f>
        <v>LAKE VIEW</v>
      </c>
      <c r="I590" s="63" t="str">
        <f>_xlfn.IFNA(
INDEX('Community Areas'!C$2:C$78,MATCH($E590,'Community Areas'!$A$2:$A$78,0)),
"")</f>
        <v>1-B</v>
      </c>
      <c r="J590" s="63">
        <f>_xlfn.IFNA(
INDEX('Community Areas'!D$2:D$78,MATCH($E590,'Community Areas'!$A$2:$A$78,0)),
"")</f>
        <v>1</v>
      </c>
      <c r="K590" s="60" t="str">
        <f>_xlfn.IFNA(
INDEX('Community Areas'!E$2:E$78,MATCH($E590,'Community Areas'!$A$2:$A$78,0)),
"")</f>
        <v>NORTH</v>
      </c>
      <c r="L590" s="17" t="e">
        <f>SUMIFS([1]ACSDT5Y2020.B08301_data_with_ov!AT$3:AT$1334,[1]ACSDT5Y2020.B08301_data_with_ov!$AS$3:$AS$1334,$B590)</f>
        <v>#VALUE!</v>
      </c>
      <c r="M590" s="17" t="e">
        <f>SUMIFS([1]ACSDT5Y2020.B08301_data_with_ov!AU$3:AU$1334,[1]ACSDT5Y2020.B08301_data_with_ov!$AS$3:$AS$1334,$B590)</f>
        <v>#VALUE!</v>
      </c>
      <c r="N590" s="17" t="e">
        <f>SUMIFS([1]ACSDT5Y2020.B08301_data_with_ov!AV$3:AV$1334,[1]ACSDT5Y2020.B08301_data_with_ov!$AS$3:$AS$1334,$B590)</f>
        <v>#VALUE!</v>
      </c>
      <c r="O590" s="17" t="e">
        <f>SUMIFS([1]ACSDT5Y2020.B08301_data_with_ov!AW$3:AW$1334,[1]ACSDT5Y2020.B08301_data_with_ov!$AS$3:$AS$1334,$B590)</f>
        <v>#VALUE!</v>
      </c>
      <c r="P590" s="17" t="e">
        <f>SUMIFS([1]ACSDT5Y2020.B08301_data_with_ov!AX$3:AX$1334,[1]ACSDT5Y2020.B08301_data_with_ov!$AS$3:$AS$1334,$B590)</f>
        <v>#VALUE!</v>
      </c>
      <c r="Q590" s="17" t="e">
        <f>SUMIFS([1]ACSDT5Y2020.B08301_data_with_ov!AY$3:AY$1334,[1]ACSDT5Y2020.B08301_data_with_ov!$AS$3:$AS$1334,$B590)</f>
        <v>#VALUE!</v>
      </c>
      <c r="R590" s="17" t="e">
        <f>SUMIFS([1]ACSDT5Y2020.B08301_data_with_ov!AZ$3:AZ$1334,[1]ACSDT5Y2020.B08301_data_with_ov!$AS$3:$AS$1334,$B590)</f>
        <v>#VALUE!</v>
      </c>
      <c r="S590" s="17" t="e">
        <f>SUMIFS([1]ACSDT5Y2020.B08301_data_with_ov!BA$3:BA$1334,[1]ACSDT5Y2020.B08301_data_with_ov!$AS$3:$AS$1334,$B590)</f>
        <v>#VALUE!</v>
      </c>
      <c r="T590" s="188">
        <v>6.203488748764778E-2</v>
      </c>
      <c r="U590" s="189" t="e">
        <f t="shared" si="39"/>
        <v>#VALUE!</v>
      </c>
      <c r="V590" s="188">
        <v>6.203488748764778E-2</v>
      </c>
      <c r="W590" s="189" t="e">
        <f t="shared" si="36"/>
        <v>#VALUE!</v>
      </c>
      <c r="X590" s="188">
        <v>6.203488748764778E-2</v>
      </c>
      <c r="Y590" s="189" t="e">
        <f t="shared" si="37"/>
        <v>#VALUE!</v>
      </c>
      <c r="Z590" s="188">
        <v>6.203488748764778E-2</v>
      </c>
      <c r="AA590" s="189" t="e">
        <f t="shared" si="38"/>
        <v>#VALUE!</v>
      </c>
    </row>
    <row r="591" spans="1:27" x14ac:dyDescent="0.25">
      <c r="A591">
        <v>61902</v>
      </c>
      <c r="B591">
        <v>17031061902</v>
      </c>
      <c r="C591">
        <v>17031</v>
      </c>
      <c r="D591">
        <v>2010</v>
      </c>
      <c r="E591">
        <v>6</v>
      </c>
      <c r="F591">
        <v>3026141.10353737</v>
      </c>
      <c r="G591" s="45">
        <v>0.10854787590167908</v>
      </c>
      <c r="H591" s="60" t="str">
        <f>_xlfn.IFNA(
INDEX('Community Areas'!B$2:B$78,MATCH($E591,'Community Areas'!$A$2:$A$78,0)),
"")</f>
        <v>LAKE VIEW</v>
      </c>
      <c r="I591" s="63" t="str">
        <f>_xlfn.IFNA(
INDEX('Community Areas'!C$2:C$78,MATCH($E591,'Community Areas'!$A$2:$A$78,0)),
"")</f>
        <v>1-B</v>
      </c>
      <c r="J591" s="63">
        <f>_xlfn.IFNA(
INDEX('Community Areas'!D$2:D$78,MATCH($E591,'Community Areas'!$A$2:$A$78,0)),
"")</f>
        <v>1</v>
      </c>
      <c r="K591" s="60" t="str">
        <f>_xlfn.IFNA(
INDEX('Community Areas'!E$2:E$78,MATCH($E591,'Community Areas'!$A$2:$A$78,0)),
"")</f>
        <v>NORTH</v>
      </c>
      <c r="L591" s="17" t="e">
        <f>SUMIFS([1]ACSDT5Y2020.B08301_data_with_ov!AT$3:AT$1334,[1]ACSDT5Y2020.B08301_data_with_ov!$AS$3:$AS$1334,$B591)</f>
        <v>#VALUE!</v>
      </c>
      <c r="M591" s="17" t="e">
        <f>SUMIFS([1]ACSDT5Y2020.B08301_data_with_ov!AU$3:AU$1334,[1]ACSDT5Y2020.B08301_data_with_ov!$AS$3:$AS$1334,$B591)</f>
        <v>#VALUE!</v>
      </c>
      <c r="N591" s="17" t="e">
        <f>SUMIFS([1]ACSDT5Y2020.B08301_data_with_ov!AV$3:AV$1334,[1]ACSDT5Y2020.B08301_data_with_ov!$AS$3:$AS$1334,$B591)</f>
        <v>#VALUE!</v>
      </c>
      <c r="O591" s="17" t="e">
        <f>SUMIFS([1]ACSDT5Y2020.B08301_data_with_ov!AW$3:AW$1334,[1]ACSDT5Y2020.B08301_data_with_ov!$AS$3:$AS$1334,$B591)</f>
        <v>#VALUE!</v>
      </c>
      <c r="P591" s="17" t="e">
        <f>SUMIFS([1]ACSDT5Y2020.B08301_data_with_ov!AX$3:AX$1334,[1]ACSDT5Y2020.B08301_data_with_ov!$AS$3:$AS$1334,$B591)</f>
        <v>#VALUE!</v>
      </c>
      <c r="Q591" s="17" t="e">
        <f>SUMIFS([1]ACSDT5Y2020.B08301_data_with_ov!AY$3:AY$1334,[1]ACSDT5Y2020.B08301_data_with_ov!$AS$3:$AS$1334,$B591)</f>
        <v>#VALUE!</v>
      </c>
      <c r="R591" s="17" t="e">
        <f>SUMIFS([1]ACSDT5Y2020.B08301_data_with_ov!AZ$3:AZ$1334,[1]ACSDT5Y2020.B08301_data_with_ov!$AS$3:$AS$1334,$B591)</f>
        <v>#VALUE!</v>
      </c>
      <c r="S591" s="17" t="e">
        <f>SUMIFS([1]ACSDT5Y2020.B08301_data_with_ov!BA$3:BA$1334,[1]ACSDT5Y2020.B08301_data_with_ov!$AS$3:$AS$1334,$B591)</f>
        <v>#VALUE!</v>
      </c>
      <c r="T591" s="188">
        <v>0.10854787527527621</v>
      </c>
      <c r="U591" s="189" t="e">
        <f t="shared" si="39"/>
        <v>#VALUE!</v>
      </c>
      <c r="V591" s="188">
        <v>0.10854787527527621</v>
      </c>
      <c r="W591" s="189" t="e">
        <f t="shared" si="36"/>
        <v>#VALUE!</v>
      </c>
      <c r="X591" s="188">
        <v>0.10854787527527621</v>
      </c>
      <c r="Y591" s="189" t="e">
        <f t="shared" si="37"/>
        <v>#VALUE!</v>
      </c>
      <c r="Z591" s="188">
        <v>0.10854787527527621</v>
      </c>
      <c r="AA591" s="189" t="e">
        <f t="shared" si="38"/>
        <v>#VALUE!</v>
      </c>
    </row>
    <row r="592" spans="1:27" x14ac:dyDescent="0.25">
      <c r="A592">
        <v>63400</v>
      </c>
      <c r="B592">
        <v>17031063400</v>
      </c>
      <c r="C592">
        <v>17031</v>
      </c>
      <c r="D592">
        <v>2010</v>
      </c>
      <c r="E592">
        <v>6</v>
      </c>
      <c r="F592">
        <v>1709798.4971070001</v>
      </c>
      <c r="G592" s="45">
        <v>6.1330581995631031E-2</v>
      </c>
      <c r="H592" s="60" t="str">
        <f>_xlfn.IFNA(
INDEX('Community Areas'!B$2:B$78,MATCH($E592,'Community Areas'!$A$2:$A$78,0)),
"")</f>
        <v>LAKE VIEW</v>
      </c>
      <c r="I592" s="63" t="str">
        <f>_xlfn.IFNA(
INDEX('Community Areas'!C$2:C$78,MATCH($E592,'Community Areas'!$A$2:$A$78,0)),
"")</f>
        <v>1-B</v>
      </c>
      <c r="J592" s="63">
        <f>_xlfn.IFNA(
INDEX('Community Areas'!D$2:D$78,MATCH($E592,'Community Areas'!$A$2:$A$78,0)),
"")</f>
        <v>1</v>
      </c>
      <c r="K592" s="60" t="str">
        <f>_xlfn.IFNA(
INDEX('Community Areas'!E$2:E$78,MATCH($E592,'Community Areas'!$A$2:$A$78,0)),
"")</f>
        <v>NORTH</v>
      </c>
      <c r="L592" s="17" t="e">
        <f>SUMIFS([1]ACSDT5Y2020.B08301_data_with_ov!AT$3:AT$1334,[1]ACSDT5Y2020.B08301_data_with_ov!$AS$3:$AS$1334,$B592)</f>
        <v>#VALUE!</v>
      </c>
      <c r="M592" s="17" t="e">
        <f>SUMIFS([1]ACSDT5Y2020.B08301_data_with_ov!AU$3:AU$1334,[1]ACSDT5Y2020.B08301_data_with_ov!$AS$3:$AS$1334,$B592)</f>
        <v>#VALUE!</v>
      </c>
      <c r="N592" s="17" t="e">
        <f>SUMIFS([1]ACSDT5Y2020.B08301_data_with_ov!AV$3:AV$1334,[1]ACSDT5Y2020.B08301_data_with_ov!$AS$3:$AS$1334,$B592)</f>
        <v>#VALUE!</v>
      </c>
      <c r="O592" s="17" t="e">
        <f>SUMIFS([1]ACSDT5Y2020.B08301_data_with_ov!AW$3:AW$1334,[1]ACSDT5Y2020.B08301_data_with_ov!$AS$3:$AS$1334,$B592)</f>
        <v>#VALUE!</v>
      </c>
      <c r="P592" s="17" t="e">
        <f>SUMIFS([1]ACSDT5Y2020.B08301_data_with_ov!AX$3:AX$1334,[1]ACSDT5Y2020.B08301_data_with_ov!$AS$3:$AS$1334,$B592)</f>
        <v>#VALUE!</v>
      </c>
      <c r="Q592" s="17" t="e">
        <f>SUMIFS([1]ACSDT5Y2020.B08301_data_with_ov!AY$3:AY$1334,[1]ACSDT5Y2020.B08301_data_with_ov!$AS$3:$AS$1334,$B592)</f>
        <v>#VALUE!</v>
      </c>
      <c r="R592" s="17" t="e">
        <f>SUMIFS([1]ACSDT5Y2020.B08301_data_with_ov!AZ$3:AZ$1334,[1]ACSDT5Y2020.B08301_data_with_ov!$AS$3:$AS$1334,$B592)</f>
        <v>#VALUE!</v>
      </c>
      <c r="S592" s="17" t="e">
        <f>SUMIFS([1]ACSDT5Y2020.B08301_data_with_ov!BA$3:BA$1334,[1]ACSDT5Y2020.B08301_data_with_ov!$AS$3:$AS$1334,$B592)</f>
        <v>#VALUE!</v>
      </c>
      <c r="T592" s="188">
        <v>6.1330581575276197E-2</v>
      </c>
      <c r="U592" s="189" t="e">
        <f t="shared" si="39"/>
        <v>#VALUE!</v>
      </c>
      <c r="V592" s="188">
        <v>6.1330581575276197E-2</v>
      </c>
      <c r="W592" s="189" t="e">
        <f t="shared" si="36"/>
        <v>#VALUE!</v>
      </c>
      <c r="X592" s="188">
        <v>6.1330581575276197E-2</v>
      </c>
      <c r="Y592" s="189" t="e">
        <f t="shared" si="37"/>
        <v>#VALUE!</v>
      </c>
      <c r="Z592" s="188">
        <v>6.1330581575276197E-2</v>
      </c>
      <c r="AA592" s="189" t="e">
        <f t="shared" si="38"/>
        <v>#VALUE!</v>
      </c>
    </row>
    <row r="593" spans="1:27" x14ac:dyDescent="0.25">
      <c r="A593">
        <v>61100</v>
      </c>
      <c r="B593">
        <v>17031061100</v>
      </c>
      <c r="C593">
        <v>17031</v>
      </c>
      <c r="D593">
        <v>2010</v>
      </c>
      <c r="E593">
        <v>6</v>
      </c>
      <c r="F593">
        <v>1862551.82960709</v>
      </c>
      <c r="G593" s="45">
        <v>6.6809853851264422E-2</v>
      </c>
      <c r="H593" s="60" t="str">
        <f>_xlfn.IFNA(
INDEX('Community Areas'!B$2:B$78,MATCH($E593,'Community Areas'!$A$2:$A$78,0)),
"")</f>
        <v>LAKE VIEW</v>
      </c>
      <c r="I593" s="63" t="str">
        <f>_xlfn.IFNA(
INDEX('Community Areas'!C$2:C$78,MATCH($E593,'Community Areas'!$A$2:$A$78,0)),
"")</f>
        <v>1-B</v>
      </c>
      <c r="J593" s="63">
        <f>_xlfn.IFNA(
INDEX('Community Areas'!D$2:D$78,MATCH($E593,'Community Areas'!$A$2:$A$78,0)),
"")</f>
        <v>1</v>
      </c>
      <c r="K593" s="60" t="str">
        <f>_xlfn.IFNA(
INDEX('Community Areas'!E$2:E$78,MATCH($E593,'Community Areas'!$A$2:$A$78,0)),
"")</f>
        <v>NORTH</v>
      </c>
      <c r="L593" s="17" t="e">
        <f>SUMIFS([1]ACSDT5Y2020.B08301_data_with_ov!AT$3:AT$1334,[1]ACSDT5Y2020.B08301_data_with_ov!$AS$3:$AS$1334,$B593)</f>
        <v>#VALUE!</v>
      </c>
      <c r="M593" s="17" t="e">
        <f>SUMIFS([1]ACSDT5Y2020.B08301_data_with_ov!AU$3:AU$1334,[1]ACSDT5Y2020.B08301_data_with_ov!$AS$3:$AS$1334,$B593)</f>
        <v>#VALUE!</v>
      </c>
      <c r="N593" s="17" t="e">
        <f>SUMIFS([1]ACSDT5Y2020.B08301_data_with_ov!AV$3:AV$1334,[1]ACSDT5Y2020.B08301_data_with_ov!$AS$3:$AS$1334,$B593)</f>
        <v>#VALUE!</v>
      </c>
      <c r="O593" s="17" t="e">
        <f>SUMIFS([1]ACSDT5Y2020.B08301_data_with_ov!AW$3:AW$1334,[1]ACSDT5Y2020.B08301_data_with_ov!$AS$3:$AS$1334,$B593)</f>
        <v>#VALUE!</v>
      </c>
      <c r="P593" s="17" t="e">
        <f>SUMIFS([1]ACSDT5Y2020.B08301_data_with_ov!AX$3:AX$1334,[1]ACSDT5Y2020.B08301_data_with_ov!$AS$3:$AS$1334,$B593)</f>
        <v>#VALUE!</v>
      </c>
      <c r="Q593" s="17" t="e">
        <f>SUMIFS([1]ACSDT5Y2020.B08301_data_with_ov!AY$3:AY$1334,[1]ACSDT5Y2020.B08301_data_with_ov!$AS$3:$AS$1334,$B593)</f>
        <v>#VALUE!</v>
      </c>
      <c r="R593" s="17" t="e">
        <f>SUMIFS([1]ACSDT5Y2020.B08301_data_with_ov!AZ$3:AZ$1334,[1]ACSDT5Y2020.B08301_data_with_ov!$AS$3:$AS$1334,$B593)</f>
        <v>#VALUE!</v>
      </c>
      <c r="S593" s="17" t="e">
        <f>SUMIFS([1]ACSDT5Y2020.B08301_data_with_ov!BA$3:BA$1334,[1]ACSDT5Y2020.B08301_data_with_ov!$AS$3:$AS$1334,$B593)</f>
        <v>#VALUE!</v>
      </c>
      <c r="T593" s="188">
        <v>6.6809855184522426E-2</v>
      </c>
      <c r="U593" s="189" t="e">
        <f t="shared" si="39"/>
        <v>#VALUE!</v>
      </c>
      <c r="V593" s="188">
        <v>6.6809855184522426E-2</v>
      </c>
      <c r="W593" s="189" t="e">
        <f t="shared" si="36"/>
        <v>#VALUE!</v>
      </c>
      <c r="X593" s="188">
        <v>6.6809855184522426E-2</v>
      </c>
      <c r="Y593" s="189" t="e">
        <f t="shared" si="37"/>
        <v>#VALUE!</v>
      </c>
      <c r="Z593" s="188">
        <v>6.6809855184522426E-2</v>
      </c>
      <c r="AA593" s="189" t="e">
        <f t="shared" si="38"/>
        <v>#VALUE!</v>
      </c>
    </row>
    <row r="594" spans="1:27" x14ac:dyDescent="0.25">
      <c r="A594">
        <v>61800</v>
      </c>
      <c r="B594">
        <v>17031061800</v>
      </c>
      <c r="C594">
        <v>17031</v>
      </c>
      <c r="D594">
        <v>2010</v>
      </c>
      <c r="E594">
        <v>6</v>
      </c>
      <c r="F594">
        <v>891730.27595394303</v>
      </c>
      <c r="G594" s="45">
        <v>3.1986422318136733E-2</v>
      </c>
      <c r="H594" s="60" t="str">
        <f>_xlfn.IFNA(
INDEX('Community Areas'!B$2:B$78,MATCH($E594,'Community Areas'!$A$2:$A$78,0)),
"")</f>
        <v>LAKE VIEW</v>
      </c>
      <c r="I594" s="63" t="str">
        <f>_xlfn.IFNA(
INDEX('Community Areas'!C$2:C$78,MATCH($E594,'Community Areas'!$A$2:$A$78,0)),
"")</f>
        <v>1-B</v>
      </c>
      <c r="J594" s="63">
        <f>_xlfn.IFNA(
INDEX('Community Areas'!D$2:D$78,MATCH($E594,'Community Areas'!$A$2:$A$78,0)),
"")</f>
        <v>1</v>
      </c>
      <c r="K594" s="60" t="str">
        <f>_xlfn.IFNA(
INDEX('Community Areas'!E$2:E$78,MATCH($E594,'Community Areas'!$A$2:$A$78,0)),
"")</f>
        <v>NORTH</v>
      </c>
      <c r="L594" s="17" t="e">
        <f>SUMIFS([1]ACSDT5Y2020.B08301_data_with_ov!AT$3:AT$1334,[1]ACSDT5Y2020.B08301_data_with_ov!$AS$3:$AS$1334,$B594)</f>
        <v>#VALUE!</v>
      </c>
      <c r="M594" s="17" t="e">
        <f>SUMIFS([1]ACSDT5Y2020.B08301_data_with_ov!AU$3:AU$1334,[1]ACSDT5Y2020.B08301_data_with_ov!$AS$3:$AS$1334,$B594)</f>
        <v>#VALUE!</v>
      </c>
      <c r="N594" s="17" t="e">
        <f>SUMIFS([1]ACSDT5Y2020.B08301_data_with_ov!AV$3:AV$1334,[1]ACSDT5Y2020.B08301_data_with_ov!$AS$3:$AS$1334,$B594)</f>
        <v>#VALUE!</v>
      </c>
      <c r="O594" s="17" t="e">
        <f>SUMIFS([1]ACSDT5Y2020.B08301_data_with_ov!AW$3:AW$1334,[1]ACSDT5Y2020.B08301_data_with_ov!$AS$3:$AS$1334,$B594)</f>
        <v>#VALUE!</v>
      </c>
      <c r="P594" s="17" t="e">
        <f>SUMIFS([1]ACSDT5Y2020.B08301_data_with_ov!AX$3:AX$1334,[1]ACSDT5Y2020.B08301_data_with_ov!$AS$3:$AS$1334,$B594)</f>
        <v>#VALUE!</v>
      </c>
      <c r="Q594" s="17" t="e">
        <f>SUMIFS([1]ACSDT5Y2020.B08301_data_with_ov!AY$3:AY$1334,[1]ACSDT5Y2020.B08301_data_with_ov!$AS$3:$AS$1334,$B594)</f>
        <v>#VALUE!</v>
      </c>
      <c r="R594" s="17" t="e">
        <f>SUMIFS([1]ACSDT5Y2020.B08301_data_with_ov!AZ$3:AZ$1334,[1]ACSDT5Y2020.B08301_data_with_ov!$AS$3:$AS$1334,$B594)</f>
        <v>#VALUE!</v>
      </c>
      <c r="S594" s="17" t="e">
        <f>SUMIFS([1]ACSDT5Y2020.B08301_data_with_ov!BA$3:BA$1334,[1]ACSDT5Y2020.B08301_data_with_ov!$AS$3:$AS$1334,$B594)</f>
        <v>#VALUE!</v>
      </c>
      <c r="T594" s="188">
        <v>3.1986426612898911E-2</v>
      </c>
      <c r="U594" s="189" t="e">
        <f t="shared" si="39"/>
        <v>#VALUE!</v>
      </c>
      <c r="V594" s="188">
        <v>3.1986426612898911E-2</v>
      </c>
      <c r="W594" s="189" t="e">
        <f t="shared" si="36"/>
        <v>#VALUE!</v>
      </c>
      <c r="X594" s="188">
        <v>3.1986426612898911E-2</v>
      </c>
      <c r="Y594" s="189" t="e">
        <f t="shared" si="37"/>
        <v>#VALUE!</v>
      </c>
      <c r="Z594" s="188">
        <v>3.1986426612898911E-2</v>
      </c>
      <c r="AA594" s="189" t="e">
        <f t="shared" si="38"/>
        <v>#VALUE!</v>
      </c>
    </row>
    <row r="595" spans="1:27" x14ac:dyDescent="0.25">
      <c r="A595">
        <v>62500</v>
      </c>
      <c r="B595">
        <v>17031062500</v>
      </c>
      <c r="C595">
        <v>17031</v>
      </c>
      <c r="D595">
        <v>2010</v>
      </c>
      <c r="E595">
        <v>6</v>
      </c>
      <c r="F595">
        <v>1732905.7620788601</v>
      </c>
      <c r="G595" s="45">
        <v>6.2159441075487119E-2</v>
      </c>
      <c r="H595" s="60" t="str">
        <f>_xlfn.IFNA(
INDEX('Community Areas'!B$2:B$78,MATCH($E595,'Community Areas'!$A$2:$A$78,0)),
"")</f>
        <v>LAKE VIEW</v>
      </c>
      <c r="I595" s="63" t="str">
        <f>_xlfn.IFNA(
INDEX('Community Areas'!C$2:C$78,MATCH($E595,'Community Areas'!$A$2:$A$78,0)),
"")</f>
        <v>1-B</v>
      </c>
      <c r="J595" s="63">
        <f>_xlfn.IFNA(
INDEX('Community Areas'!D$2:D$78,MATCH($E595,'Community Areas'!$A$2:$A$78,0)),
"")</f>
        <v>1</v>
      </c>
      <c r="K595" s="60" t="str">
        <f>_xlfn.IFNA(
INDEX('Community Areas'!E$2:E$78,MATCH($E595,'Community Areas'!$A$2:$A$78,0)),
"")</f>
        <v>NORTH</v>
      </c>
      <c r="L595" s="17" t="e">
        <f>SUMIFS([1]ACSDT5Y2020.B08301_data_with_ov!AT$3:AT$1334,[1]ACSDT5Y2020.B08301_data_with_ov!$AS$3:$AS$1334,$B595)</f>
        <v>#VALUE!</v>
      </c>
      <c r="M595" s="17" t="e">
        <f>SUMIFS([1]ACSDT5Y2020.B08301_data_with_ov!AU$3:AU$1334,[1]ACSDT5Y2020.B08301_data_with_ov!$AS$3:$AS$1334,$B595)</f>
        <v>#VALUE!</v>
      </c>
      <c r="N595" s="17" t="e">
        <f>SUMIFS([1]ACSDT5Y2020.B08301_data_with_ov!AV$3:AV$1334,[1]ACSDT5Y2020.B08301_data_with_ov!$AS$3:$AS$1334,$B595)</f>
        <v>#VALUE!</v>
      </c>
      <c r="O595" s="17" t="e">
        <f>SUMIFS([1]ACSDT5Y2020.B08301_data_with_ov!AW$3:AW$1334,[1]ACSDT5Y2020.B08301_data_with_ov!$AS$3:$AS$1334,$B595)</f>
        <v>#VALUE!</v>
      </c>
      <c r="P595" s="17" t="e">
        <f>SUMIFS([1]ACSDT5Y2020.B08301_data_with_ov!AX$3:AX$1334,[1]ACSDT5Y2020.B08301_data_with_ov!$AS$3:$AS$1334,$B595)</f>
        <v>#VALUE!</v>
      </c>
      <c r="Q595" s="17" t="e">
        <f>SUMIFS([1]ACSDT5Y2020.B08301_data_with_ov!AY$3:AY$1334,[1]ACSDT5Y2020.B08301_data_with_ov!$AS$3:$AS$1334,$B595)</f>
        <v>#VALUE!</v>
      </c>
      <c r="R595" s="17" t="e">
        <f>SUMIFS([1]ACSDT5Y2020.B08301_data_with_ov!AZ$3:AZ$1334,[1]ACSDT5Y2020.B08301_data_with_ov!$AS$3:$AS$1334,$B595)</f>
        <v>#VALUE!</v>
      </c>
      <c r="S595" s="17" t="e">
        <f>SUMIFS([1]ACSDT5Y2020.B08301_data_with_ov!BA$3:BA$1334,[1]ACSDT5Y2020.B08301_data_with_ov!$AS$3:$AS$1334,$B595)</f>
        <v>#VALUE!</v>
      </c>
      <c r="T595" s="188">
        <v>6.2159438543989969E-2</v>
      </c>
      <c r="U595" s="189" t="e">
        <f t="shared" si="39"/>
        <v>#VALUE!</v>
      </c>
      <c r="V595" s="188">
        <v>6.2159438543989969E-2</v>
      </c>
      <c r="W595" s="189" t="e">
        <f t="shared" si="36"/>
        <v>#VALUE!</v>
      </c>
      <c r="X595" s="188">
        <v>6.2159438543989969E-2</v>
      </c>
      <c r="Y595" s="189" t="e">
        <f t="shared" si="37"/>
        <v>#VALUE!</v>
      </c>
      <c r="Z595" s="188">
        <v>6.2159438543989969E-2</v>
      </c>
      <c r="AA595" s="189" t="e">
        <f t="shared" si="38"/>
        <v>#VALUE!</v>
      </c>
    </row>
    <row r="596" spans="1:27" x14ac:dyDescent="0.25">
      <c r="A596">
        <v>831900</v>
      </c>
      <c r="B596">
        <v>17031831900</v>
      </c>
      <c r="C596">
        <v>17031</v>
      </c>
      <c r="D596">
        <v>2010</v>
      </c>
      <c r="E596">
        <v>6</v>
      </c>
      <c r="F596">
        <v>3493512.9137344901</v>
      </c>
      <c r="G596" s="45">
        <v>0.12531253277571489</v>
      </c>
      <c r="H596" s="60" t="str">
        <f>_xlfn.IFNA(
INDEX('Community Areas'!B$2:B$78,MATCH($E596,'Community Areas'!$A$2:$A$78,0)),
"")</f>
        <v>LAKE VIEW</v>
      </c>
      <c r="I596" s="63" t="str">
        <f>_xlfn.IFNA(
INDEX('Community Areas'!C$2:C$78,MATCH($E596,'Community Areas'!$A$2:$A$78,0)),
"")</f>
        <v>1-B</v>
      </c>
      <c r="J596" s="63">
        <f>_xlfn.IFNA(
INDEX('Community Areas'!D$2:D$78,MATCH($E596,'Community Areas'!$A$2:$A$78,0)),
"")</f>
        <v>1</v>
      </c>
      <c r="K596" s="60" t="str">
        <f>_xlfn.IFNA(
INDEX('Community Areas'!E$2:E$78,MATCH($E596,'Community Areas'!$A$2:$A$78,0)),
"")</f>
        <v>NORTH</v>
      </c>
      <c r="L596" s="17" t="e">
        <f>SUMIFS([1]ACSDT5Y2020.B08301_data_with_ov!AT$3:AT$1334,[1]ACSDT5Y2020.B08301_data_with_ov!$AS$3:$AS$1334,$B596)</f>
        <v>#VALUE!</v>
      </c>
      <c r="M596" s="17" t="e">
        <f>SUMIFS([1]ACSDT5Y2020.B08301_data_with_ov!AU$3:AU$1334,[1]ACSDT5Y2020.B08301_data_with_ov!$AS$3:$AS$1334,$B596)</f>
        <v>#VALUE!</v>
      </c>
      <c r="N596" s="17" t="e">
        <f>SUMIFS([1]ACSDT5Y2020.B08301_data_with_ov!AV$3:AV$1334,[1]ACSDT5Y2020.B08301_data_with_ov!$AS$3:$AS$1334,$B596)</f>
        <v>#VALUE!</v>
      </c>
      <c r="O596" s="17" t="e">
        <f>SUMIFS([1]ACSDT5Y2020.B08301_data_with_ov!AW$3:AW$1334,[1]ACSDT5Y2020.B08301_data_with_ov!$AS$3:$AS$1334,$B596)</f>
        <v>#VALUE!</v>
      </c>
      <c r="P596" s="17" t="e">
        <f>SUMIFS([1]ACSDT5Y2020.B08301_data_with_ov!AX$3:AX$1334,[1]ACSDT5Y2020.B08301_data_with_ov!$AS$3:$AS$1334,$B596)</f>
        <v>#VALUE!</v>
      </c>
      <c r="Q596" s="17" t="e">
        <f>SUMIFS([1]ACSDT5Y2020.B08301_data_with_ov!AY$3:AY$1334,[1]ACSDT5Y2020.B08301_data_with_ov!$AS$3:$AS$1334,$B596)</f>
        <v>#VALUE!</v>
      </c>
      <c r="R596" s="17" t="e">
        <f>SUMIFS([1]ACSDT5Y2020.B08301_data_with_ov!AZ$3:AZ$1334,[1]ACSDT5Y2020.B08301_data_with_ov!$AS$3:$AS$1334,$B596)</f>
        <v>#VALUE!</v>
      </c>
      <c r="S596" s="17" t="e">
        <f>SUMIFS([1]ACSDT5Y2020.B08301_data_with_ov!BA$3:BA$1334,[1]ACSDT5Y2020.B08301_data_with_ov!$AS$3:$AS$1334,$B596)</f>
        <v>#VALUE!</v>
      </c>
      <c r="T596" s="188">
        <v>0.1253125329383781</v>
      </c>
      <c r="U596" s="189" t="e">
        <f t="shared" si="39"/>
        <v>#VALUE!</v>
      </c>
      <c r="V596" s="188">
        <v>0.1253125329383781</v>
      </c>
      <c r="W596" s="189" t="e">
        <f t="shared" si="36"/>
        <v>#VALUE!</v>
      </c>
      <c r="X596" s="188">
        <v>0.1253125329383781</v>
      </c>
      <c r="Y596" s="189" t="e">
        <f t="shared" si="37"/>
        <v>#VALUE!</v>
      </c>
      <c r="Z596" s="188">
        <v>0.1253125329383781</v>
      </c>
      <c r="AA596" s="189" t="e">
        <f t="shared" si="38"/>
        <v>#VALUE!</v>
      </c>
    </row>
    <row r="597" spans="1:27" x14ac:dyDescent="0.25">
      <c r="A597">
        <v>600700</v>
      </c>
      <c r="B597">
        <v>17031600700</v>
      </c>
      <c r="C597">
        <v>17031</v>
      </c>
      <c r="D597">
        <v>2010</v>
      </c>
      <c r="E597">
        <v>60</v>
      </c>
      <c r="F597">
        <v>4931603.0745501304</v>
      </c>
      <c r="G597" s="45">
        <v>0.17689691928339255</v>
      </c>
      <c r="H597" s="60" t="str">
        <f>_xlfn.IFNA(
INDEX('Community Areas'!B$2:B$78,MATCH($E597,'Community Areas'!$A$2:$A$78,0)),
"")</f>
        <v>BRIDGEPORT</v>
      </c>
      <c r="I597" s="63" t="str">
        <f>_xlfn.IFNA(
INDEX('Community Areas'!C$2:C$78,MATCH($E597,'Community Areas'!$A$2:$A$78,0)),
"")</f>
        <v>4-A</v>
      </c>
      <c r="J597" s="63">
        <f>_xlfn.IFNA(
INDEX('Community Areas'!D$2:D$78,MATCH($E597,'Community Areas'!$A$2:$A$78,0)),
"")</f>
        <v>4</v>
      </c>
      <c r="K597" s="60" t="str">
        <f>_xlfn.IFNA(
INDEX('Community Areas'!E$2:E$78,MATCH($E597,'Community Areas'!$A$2:$A$78,0)),
"")</f>
        <v>SOUTHWEST</v>
      </c>
      <c r="L597" s="17" t="e">
        <f>SUMIFS([1]ACSDT5Y2020.B08301_data_with_ov!AT$3:AT$1334,[1]ACSDT5Y2020.B08301_data_with_ov!$AS$3:$AS$1334,$B597)</f>
        <v>#VALUE!</v>
      </c>
      <c r="M597" s="17" t="e">
        <f>SUMIFS([1]ACSDT5Y2020.B08301_data_with_ov!AU$3:AU$1334,[1]ACSDT5Y2020.B08301_data_with_ov!$AS$3:$AS$1334,$B597)</f>
        <v>#VALUE!</v>
      </c>
      <c r="N597" s="17" t="e">
        <f>SUMIFS([1]ACSDT5Y2020.B08301_data_with_ov!AV$3:AV$1334,[1]ACSDT5Y2020.B08301_data_with_ov!$AS$3:$AS$1334,$B597)</f>
        <v>#VALUE!</v>
      </c>
      <c r="O597" s="17" t="e">
        <f>SUMIFS([1]ACSDT5Y2020.B08301_data_with_ov!AW$3:AW$1334,[1]ACSDT5Y2020.B08301_data_with_ov!$AS$3:$AS$1334,$B597)</f>
        <v>#VALUE!</v>
      </c>
      <c r="P597" s="17" t="e">
        <f>SUMIFS([1]ACSDT5Y2020.B08301_data_with_ov!AX$3:AX$1334,[1]ACSDT5Y2020.B08301_data_with_ov!$AS$3:$AS$1334,$B597)</f>
        <v>#VALUE!</v>
      </c>
      <c r="Q597" s="17" t="e">
        <f>SUMIFS([1]ACSDT5Y2020.B08301_data_with_ov!AY$3:AY$1334,[1]ACSDT5Y2020.B08301_data_with_ov!$AS$3:$AS$1334,$B597)</f>
        <v>#VALUE!</v>
      </c>
      <c r="R597" s="17" t="e">
        <f>SUMIFS([1]ACSDT5Y2020.B08301_data_with_ov!AZ$3:AZ$1334,[1]ACSDT5Y2020.B08301_data_with_ov!$AS$3:$AS$1334,$B597)</f>
        <v>#VALUE!</v>
      </c>
      <c r="S597" s="17" t="e">
        <f>SUMIFS([1]ACSDT5Y2020.B08301_data_with_ov!BA$3:BA$1334,[1]ACSDT5Y2020.B08301_data_with_ov!$AS$3:$AS$1334,$B597)</f>
        <v>#VALUE!</v>
      </c>
      <c r="T597" s="188">
        <v>0.17689511042467035</v>
      </c>
      <c r="U597" s="189" t="e">
        <f t="shared" si="39"/>
        <v>#VALUE!</v>
      </c>
      <c r="V597" s="188">
        <v>0.17689511042467035</v>
      </c>
      <c r="W597" s="189" t="e">
        <f t="shared" si="36"/>
        <v>#VALUE!</v>
      </c>
      <c r="X597" s="188">
        <v>0.17689511042467035</v>
      </c>
      <c r="Y597" s="189" t="e">
        <f t="shared" si="37"/>
        <v>#VALUE!</v>
      </c>
      <c r="Z597" s="188">
        <v>0.17689511042467035</v>
      </c>
      <c r="AA597" s="189" t="e">
        <f t="shared" si="38"/>
        <v>#VALUE!</v>
      </c>
    </row>
    <row r="598" spans="1:27" x14ac:dyDescent="0.25">
      <c r="A598">
        <v>839800</v>
      </c>
      <c r="B598">
        <v>17031839800</v>
      </c>
      <c r="C598">
        <v>17031</v>
      </c>
      <c r="D598">
        <v>2010</v>
      </c>
      <c r="E598">
        <v>60</v>
      </c>
      <c r="F598">
        <v>2864724.6431144802</v>
      </c>
      <c r="G598" s="45">
        <v>0.10275785709059632</v>
      </c>
      <c r="H598" s="60" t="str">
        <f>_xlfn.IFNA(
INDEX('Community Areas'!B$2:B$78,MATCH($E598,'Community Areas'!$A$2:$A$78,0)),
"")</f>
        <v>BRIDGEPORT</v>
      </c>
      <c r="I598" s="63" t="str">
        <f>_xlfn.IFNA(
INDEX('Community Areas'!C$2:C$78,MATCH($E598,'Community Areas'!$A$2:$A$78,0)),
"")</f>
        <v>4-A</v>
      </c>
      <c r="J598" s="63">
        <f>_xlfn.IFNA(
INDEX('Community Areas'!D$2:D$78,MATCH($E598,'Community Areas'!$A$2:$A$78,0)),
"")</f>
        <v>4</v>
      </c>
      <c r="K598" s="60" t="str">
        <f>_xlfn.IFNA(
INDEX('Community Areas'!E$2:E$78,MATCH($E598,'Community Areas'!$A$2:$A$78,0)),
"")</f>
        <v>SOUTHWEST</v>
      </c>
      <c r="L598" s="17" t="e">
        <f>SUMIFS([1]ACSDT5Y2020.B08301_data_with_ov!AT$3:AT$1334,[1]ACSDT5Y2020.B08301_data_with_ov!$AS$3:$AS$1334,$B598)</f>
        <v>#VALUE!</v>
      </c>
      <c r="M598" s="17" t="e">
        <f>SUMIFS([1]ACSDT5Y2020.B08301_data_with_ov!AU$3:AU$1334,[1]ACSDT5Y2020.B08301_data_with_ov!$AS$3:$AS$1334,$B598)</f>
        <v>#VALUE!</v>
      </c>
      <c r="N598" s="17" t="e">
        <f>SUMIFS([1]ACSDT5Y2020.B08301_data_with_ov!AV$3:AV$1334,[1]ACSDT5Y2020.B08301_data_with_ov!$AS$3:$AS$1334,$B598)</f>
        <v>#VALUE!</v>
      </c>
      <c r="O598" s="17" t="e">
        <f>SUMIFS([1]ACSDT5Y2020.B08301_data_with_ov!AW$3:AW$1334,[1]ACSDT5Y2020.B08301_data_with_ov!$AS$3:$AS$1334,$B598)</f>
        <v>#VALUE!</v>
      </c>
      <c r="P598" s="17" t="e">
        <f>SUMIFS([1]ACSDT5Y2020.B08301_data_with_ov!AX$3:AX$1334,[1]ACSDT5Y2020.B08301_data_with_ov!$AS$3:$AS$1334,$B598)</f>
        <v>#VALUE!</v>
      </c>
      <c r="Q598" s="17" t="e">
        <f>SUMIFS([1]ACSDT5Y2020.B08301_data_with_ov!AY$3:AY$1334,[1]ACSDT5Y2020.B08301_data_with_ov!$AS$3:$AS$1334,$B598)</f>
        <v>#VALUE!</v>
      </c>
      <c r="R598" s="17" t="e">
        <f>SUMIFS([1]ACSDT5Y2020.B08301_data_with_ov!AZ$3:AZ$1334,[1]ACSDT5Y2020.B08301_data_with_ov!$AS$3:$AS$1334,$B598)</f>
        <v>#VALUE!</v>
      </c>
      <c r="S598" s="17" t="e">
        <f>SUMIFS([1]ACSDT5Y2020.B08301_data_with_ov!BA$3:BA$1334,[1]ACSDT5Y2020.B08301_data_with_ov!$AS$3:$AS$1334,$B598)</f>
        <v>#VALUE!</v>
      </c>
      <c r="T598" s="188">
        <v>0.10275785890213678</v>
      </c>
      <c r="U598" s="189" t="e">
        <f t="shared" si="39"/>
        <v>#VALUE!</v>
      </c>
      <c r="V598" s="188">
        <v>0.10275785890213678</v>
      </c>
      <c r="W598" s="189" t="e">
        <f t="shared" si="36"/>
        <v>#VALUE!</v>
      </c>
      <c r="X598" s="188">
        <v>0.10275785890213678</v>
      </c>
      <c r="Y598" s="189" t="e">
        <f t="shared" si="37"/>
        <v>#VALUE!</v>
      </c>
      <c r="Z598" s="188">
        <v>0.10275785890213678</v>
      </c>
      <c r="AA598" s="189" t="e">
        <f t="shared" si="38"/>
        <v>#VALUE!</v>
      </c>
    </row>
    <row r="599" spans="1:27" x14ac:dyDescent="0.25">
      <c r="A599">
        <v>840100</v>
      </c>
      <c r="B599">
        <v>17031840100</v>
      </c>
      <c r="C599">
        <v>17031</v>
      </c>
      <c r="D599">
        <v>2010</v>
      </c>
      <c r="E599">
        <v>60</v>
      </c>
      <c r="F599">
        <v>3607464.0396945402</v>
      </c>
      <c r="G599" s="45">
        <v>0.129399966988584</v>
      </c>
      <c r="H599" s="60" t="str">
        <f>_xlfn.IFNA(
INDEX('Community Areas'!B$2:B$78,MATCH($E599,'Community Areas'!$A$2:$A$78,0)),
"")</f>
        <v>BRIDGEPORT</v>
      </c>
      <c r="I599" s="63" t="str">
        <f>_xlfn.IFNA(
INDEX('Community Areas'!C$2:C$78,MATCH($E599,'Community Areas'!$A$2:$A$78,0)),
"")</f>
        <v>4-A</v>
      </c>
      <c r="J599" s="63">
        <f>_xlfn.IFNA(
INDEX('Community Areas'!D$2:D$78,MATCH($E599,'Community Areas'!$A$2:$A$78,0)),
"")</f>
        <v>4</v>
      </c>
      <c r="K599" s="60" t="str">
        <f>_xlfn.IFNA(
INDEX('Community Areas'!E$2:E$78,MATCH($E599,'Community Areas'!$A$2:$A$78,0)),
"")</f>
        <v>SOUTHWEST</v>
      </c>
      <c r="L599" s="17" t="e">
        <f>SUMIFS([1]ACSDT5Y2020.B08301_data_with_ov!AT$3:AT$1334,[1]ACSDT5Y2020.B08301_data_with_ov!$AS$3:$AS$1334,$B599)</f>
        <v>#VALUE!</v>
      </c>
      <c r="M599" s="17" t="e">
        <f>SUMIFS([1]ACSDT5Y2020.B08301_data_with_ov!AU$3:AU$1334,[1]ACSDT5Y2020.B08301_data_with_ov!$AS$3:$AS$1334,$B599)</f>
        <v>#VALUE!</v>
      </c>
      <c r="N599" s="17" t="e">
        <f>SUMIFS([1]ACSDT5Y2020.B08301_data_with_ov!AV$3:AV$1334,[1]ACSDT5Y2020.B08301_data_with_ov!$AS$3:$AS$1334,$B599)</f>
        <v>#VALUE!</v>
      </c>
      <c r="O599" s="17" t="e">
        <f>SUMIFS([1]ACSDT5Y2020.B08301_data_with_ov!AW$3:AW$1334,[1]ACSDT5Y2020.B08301_data_with_ov!$AS$3:$AS$1334,$B599)</f>
        <v>#VALUE!</v>
      </c>
      <c r="P599" s="17" t="e">
        <f>SUMIFS([1]ACSDT5Y2020.B08301_data_with_ov!AX$3:AX$1334,[1]ACSDT5Y2020.B08301_data_with_ov!$AS$3:$AS$1334,$B599)</f>
        <v>#VALUE!</v>
      </c>
      <c r="Q599" s="17" t="e">
        <f>SUMIFS([1]ACSDT5Y2020.B08301_data_with_ov!AY$3:AY$1334,[1]ACSDT5Y2020.B08301_data_with_ov!$AS$3:$AS$1334,$B599)</f>
        <v>#VALUE!</v>
      </c>
      <c r="R599" s="17" t="e">
        <f>SUMIFS([1]ACSDT5Y2020.B08301_data_with_ov!AZ$3:AZ$1334,[1]ACSDT5Y2020.B08301_data_with_ov!$AS$3:$AS$1334,$B599)</f>
        <v>#VALUE!</v>
      </c>
      <c r="S599" s="17" t="e">
        <f>SUMIFS([1]ACSDT5Y2020.B08301_data_with_ov!BA$3:BA$1334,[1]ACSDT5Y2020.B08301_data_with_ov!$AS$3:$AS$1334,$B599)</f>
        <v>#VALUE!</v>
      </c>
      <c r="T599" s="188">
        <v>0.12939996868179054</v>
      </c>
      <c r="U599" s="189" t="e">
        <f t="shared" si="39"/>
        <v>#VALUE!</v>
      </c>
      <c r="V599" s="188">
        <v>0.12939996868179054</v>
      </c>
      <c r="W599" s="189" t="e">
        <f t="shared" si="36"/>
        <v>#VALUE!</v>
      </c>
      <c r="X599" s="188">
        <v>0.12939996868179054</v>
      </c>
      <c r="Y599" s="189" t="e">
        <f t="shared" si="37"/>
        <v>#VALUE!</v>
      </c>
      <c r="Z599" s="188">
        <v>0.12939996868179054</v>
      </c>
      <c r="AA599" s="189" t="e">
        <f t="shared" si="38"/>
        <v>#VALUE!</v>
      </c>
    </row>
    <row r="600" spans="1:27" x14ac:dyDescent="0.25">
      <c r="A600">
        <v>600400</v>
      </c>
      <c r="B600">
        <v>17031600400</v>
      </c>
      <c r="C600">
        <v>17031</v>
      </c>
      <c r="D600">
        <v>2010</v>
      </c>
      <c r="E600">
        <v>60</v>
      </c>
      <c r="F600">
        <v>3522225.6528015002</v>
      </c>
      <c r="G600" s="45">
        <v>0.12634246057167917</v>
      </c>
      <c r="H600" s="60" t="str">
        <f>_xlfn.IFNA(
INDEX('Community Areas'!B$2:B$78,MATCH($E600,'Community Areas'!$A$2:$A$78,0)),
"")</f>
        <v>BRIDGEPORT</v>
      </c>
      <c r="I600" s="63" t="str">
        <f>_xlfn.IFNA(
INDEX('Community Areas'!C$2:C$78,MATCH($E600,'Community Areas'!$A$2:$A$78,0)),
"")</f>
        <v>4-A</v>
      </c>
      <c r="J600" s="63">
        <f>_xlfn.IFNA(
INDEX('Community Areas'!D$2:D$78,MATCH($E600,'Community Areas'!$A$2:$A$78,0)),
"")</f>
        <v>4</v>
      </c>
      <c r="K600" s="60" t="str">
        <f>_xlfn.IFNA(
INDEX('Community Areas'!E$2:E$78,MATCH($E600,'Community Areas'!$A$2:$A$78,0)),
"")</f>
        <v>SOUTHWEST</v>
      </c>
      <c r="L600" s="17" t="e">
        <f>SUMIFS([1]ACSDT5Y2020.B08301_data_with_ov!AT$3:AT$1334,[1]ACSDT5Y2020.B08301_data_with_ov!$AS$3:$AS$1334,$B600)</f>
        <v>#VALUE!</v>
      </c>
      <c r="M600" s="17" t="e">
        <f>SUMIFS([1]ACSDT5Y2020.B08301_data_with_ov!AU$3:AU$1334,[1]ACSDT5Y2020.B08301_data_with_ov!$AS$3:$AS$1334,$B600)</f>
        <v>#VALUE!</v>
      </c>
      <c r="N600" s="17" t="e">
        <f>SUMIFS([1]ACSDT5Y2020.B08301_data_with_ov!AV$3:AV$1334,[1]ACSDT5Y2020.B08301_data_with_ov!$AS$3:$AS$1334,$B600)</f>
        <v>#VALUE!</v>
      </c>
      <c r="O600" s="17" t="e">
        <f>SUMIFS([1]ACSDT5Y2020.B08301_data_with_ov!AW$3:AW$1334,[1]ACSDT5Y2020.B08301_data_with_ov!$AS$3:$AS$1334,$B600)</f>
        <v>#VALUE!</v>
      </c>
      <c r="P600" s="17" t="e">
        <f>SUMIFS([1]ACSDT5Y2020.B08301_data_with_ov!AX$3:AX$1334,[1]ACSDT5Y2020.B08301_data_with_ov!$AS$3:$AS$1334,$B600)</f>
        <v>#VALUE!</v>
      </c>
      <c r="Q600" s="17" t="e">
        <f>SUMIFS([1]ACSDT5Y2020.B08301_data_with_ov!AY$3:AY$1334,[1]ACSDT5Y2020.B08301_data_with_ov!$AS$3:$AS$1334,$B600)</f>
        <v>#VALUE!</v>
      </c>
      <c r="R600" s="17" t="e">
        <f>SUMIFS([1]ACSDT5Y2020.B08301_data_with_ov!AZ$3:AZ$1334,[1]ACSDT5Y2020.B08301_data_with_ov!$AS$3:$AS$1334,$B600)</f>
        <v>#VALUE!</v>
      </c>
      <c r="S600" s="17" t="e">
        <f>SUMIFS([1]ACSDT5Y2020.B08301_data_with_ov!BA$3:BA$1334,[1]ACSDT5Y2020.B08301_data_with_ov!$AS$3:$AS$1334,$B600)</f>
        <v>#VALUE!</v>
      </c>
      <c r="T600" s="188">
        <v>0.12634245691066059</v>
      </c>
      <c r="U600" s="189" t="e">
        <f t="shared" si="39"/>
        <v>#VALUE!</v>
      </c>
      <c r="V600" s="188">
        <v>0.12634245691066059</v>
      </c>
      <c r="W600" s="189" t="e">
        <f t="shared" si="36"/>
        <v>#VALUE!</v>
      </c>
      <c r="X600" s="188">
        <v>0.12634245691066059</v>
      </c>
      <c r="Y600" s="189" t="e">
        <f t="shared" si="37"/>
        <v>#VALUE!</v>
      </c>
      <c r="Z600" s="188">
        <v>0.12634245691066059</v>
      </c>
      <c r="AA600" s="189" t="e">
        <f t="shared" si="38"/>
        <v>#VALUE!</v>
      </c>
    </row>
    <row r="601" spans="1:27" x14ac:dyDescent="0.25">
      <c r="A601">
        <v>839900</v>
      </c>
      <c r="B601">
        <v>17031839900</v>
      </c>
      <c r="C601">
        <v>17031</v>
      </c>
      <c r="D601">
        <v>2010</v>
      </c>
      <c r="E601">
        <v>60</v>
      </c>
      <c r="F601">
        <v>12604180.5756058</v>
      </c>
      <c r="G601" s="45">
        <v>0.45211276743305928</v>
      </c>
      <c r="H601" s="60" t="str">
        <f>_xlfn.IFNA(
INDEX('Community Areas'!B$2:B$78,MATCH($E601,'Community Areas'!$A$2:$A$78,0)),
"")</f>
        <v>BRIDGEPORT</v>
      </c>
      <c r="I601" s="63" t="str">
        <f>_xlfn.IFNA(
INDEX('Community Areas'!C$2:C$78,MATCH($E601,'Community Areas'!$A$2:$A$78,0)),
"")</f>
        <v>4-A</v>
      </c>
      <c r="J601" s="63">
        <f>_xlfn.IFNA(
INDEX('Community Areas'!D$2:D$78,MATCH($E601,'Community Areas'!$A$2:$A$78,0)),
"")</f>
        <v>4</v>
      </c>
      <c r="K601" s="60" t="str">
        <f>_xlfn.IFNA(
INDEX('Community Areas'!E$2:E$78,MATCH($E601,'Community Areas'!$A$2:$A$78,0)),
"")</f>
        <v>SOUTHWEST</v>
      </c>
      <c r="L601" s="17" t="e">
        <f>SUMIFS([1]ACSDT5Y2020.B08301_data_with_ov!AT$3:AT$1334,[1]ACSDT5Y2020.B08301_data_with_ov!$AS$3:$AS$1334,$B601)</f>
        <v>#VALUE!</v>
      </c>
      <c r="M601" s="17" t="e">
        <f>SUMIFS([1]ACSDT5Y2020.B08301_data_with_ov!AU$3:AU$1334,[1]ACSDT5Y2020.B08301_data_with_ov!$AS$3:$AS$1334,$B601)</f>
        <v>#VALUE!</v>
      </c>
      <c r="N601" s="17" t="e">
        <f>SUMIFS([1]ACSDT5Y2020.B08301_data_with_ov!AV$3:AV$1334,[1]ACSDT5Y2020.B08301_data_with_ov!$AS$3:$AS$1334,$B601)</f>
        <v>#VALUE!</v>
      </c>
      <c r="O601" s="17" t="e">
        <f>SUMIFS([1]ACSDT5Y2020.B08301_data_with_ov!AW$3:AW$1334,[1]ACSDT5Y2020.B08301_data_with_ov!$AS$3:$AS$1334,$B601)</f>
        <v>#VALUE!</v>
      </c>
      <c r="P601" s="17" t="e">
        <f>SUMIFS([1]ACSDT5Y2020.B08301_data_with_ov!AX$3:AX$1334,[1]ACSDT5Y2020.B08301_data_with_ov!$AS$3:$AS$1334,$B601)</f>
        <v>#VALUE!</v>
      </c>
      <c r="Q601" s="17" t="e">
        <f>SUMIFS([1]ACSDT5Y2020.B08301_data_with_ov!AY$3:AY$1334,[1]ACSDT5Y2020.B08301_data_with_ov!$AS$3:$AS$1334,$B601)</f>
        <v>#VALUE!</v>
      </c>
      <c r="R601" s="17" t="e">
        <f>SUMIFS([1]ACSDT5Y2020.B08301_data_with_ov!AZ$3:AZ$1334,[1]ACSDT5Y2020.B08301_data_with_ov!$AS$3:$AS$1334,$B601)</f>
        <v>#VALUE!</v>
      </c>
      <c r="S601" s="17" t="e">
        <f>SUMIFS([1]ACSDT5Y2020.B08301_data_with_ov!BA$3:BA$1334,[1]ACSDT5Y2020.B08301_data_with_ov!$AS$3:$AS$1334,$B601)</f>
        <v>#VALUE!</v>
      </c>
      <c r="T601" s="188">
        <v>0.42383800095787061</v>
      </c>
      <c r="U601" s="189" t="e">
        <f t="shared" si="39"/>
        <v>#VALUE!</v>
      </c>
      <c r="V601" s="188">
        <v>0.42383800095787061</v>
      </c>
      <c r="W601" s="189" t="e">
        <f t="shared" si="36"/>
        <v>#VALUE!</v>
      </c>
      <c r="X601" s="188">
        <v>0.42383800095787061</v>
      </c>
      <c r="Y601" s="189" t="e">
        <f t="shared" si="37"/>
        <v>#VALUE!</v>
      </c>
      <c r="Z601" s="188">
        <v>0.42383800095787061</v>
      </c>
      <c r="AA601" s="189" t="e">
        <f t="shared" si="38"/>
        <v>#VALUE!</v>
      </c>
    </row>
    <row r="602" spans="1:27" x14ac:dyDescent="0.25">
      <c r="A602">
        <v>600600</v>
      </c>
      <c r="B602">
        <v>17031600600</v>
      </c>
      <c r="C602">
        <v>17031</v>
      </c>
      <c r="D602">
        <v>2010</v>
      </c>
      <c r="E602">
        <v>60</v>
      </c>
      <c r="F602">
        <v>4289817.3611588096</v>
      </c>
      <c r="G602" s="45">
        <v>0.15387602449060239</v>
      </c>
      <c r="H602" s="60" t="str">
        <f>_xlfn.IFNA(
INDEX('Community Areas'!B$2:B$78,MATCH($E602,'Community Areas'!$A$2:$A$78,0)),
"")</f>
        <v>BRIDGEPORT</v>
      </c>
      <c r="I602" s="63" t="str">
        <f>_xlfn.IFNA(
INDEX('Community Areas'!C$2:C$78,MATCH($E602,'Community Areas'!$A$2:$A$78,0)),
"")</f>
        <v>4-A</v>
      </c>
      <c r="J602" s="63">
        <f>_xlfn.IFNA(
INDEX('Community Areas'!D$2:D$78,MATCH($E602,'Community Areas'!$A$2:$A$78,0)),
"")</f>
        <v>4</v>
      </c>
      <c r="K602" s="60" t="str">
        <f>_xlfn.IFNA(
INDEX('Community Areas'!E$2:E$78,MATCH($E602,'Community Areas'!$A$2:$A$78,0)),
"")</f>
        <v>SOUTHWEST</v>
      </c>
      <c r="L602" s="17" t="e">
        <f>SUMIFS([1]ACSDT5Y2020.B08301_data_with_ov!AT$3:AT$1334,[1]ACSDT5Y2020.B08301_data_with_ov!$AS$3:$AS$1334,$B602)</f>
        <v>#VALUE!</v>
      </c>
      <c r="M602" s="17" t="e">
        <f>SUMIFS([1]ACSDT5Y2020.B08301_data_with_ov!AU$3:AU$1334,[1]ACSDT5Y2020.B08301_data_with_ov!$AS$3:$AS$1334,$B602)</f>
        <v>#VALUE!</v>
      </c>
      <c r="N602" s="17" t="e">
        <f>SUMIFS([1]ACSDT5Y2020.B08301_data_with_ov!AV$3:AV$1334,[1]ACSDT5Y2020.B08301_data_with_ov!$AS$3:$AS$1334,$B602)</f>
        <v>#VALUE!</v>
      </c>
      <c r="O602" s="17" t="e">
        <f>SUMIFS([1]ACSDT5Y2020.B08301_data_with_ov!AW$3:AW$1334,[1]ACSDT5Y2020.B08301_data_with_ov!$AS$3:$AS$1334,$B602)</f>
        <v>#VALUE!</v>
      </c>
      <c r="P602" s="17" t="e">
        <f>SUMIFS([1]ACSDT5Y2020.B08301_data_with_ov!AX$3:AX$1334,[1]ACSDT5Y2020.B08301_data_with_ov!$AS$3:$AS$1334,$B602)</f>
        <v>#VALUE!</v>
      </c>
      <c r="Q602" s="17" t="e">
        <f>SUMIFS([1]ACSDT5Y2020.B08301_data_with_ov!AY$3:AY$1334,[1]ACSDT5Y2020.B08301_data_with_ov!$AS$3:$AS$1334,$B602)</f>
        <v>#VALUE!</v>
      </c>
      <c r="R602" s="17" t="e">
        <f>SUMIFS([1]ACSDT5Y2020.B08301_data_with_ov!AZ$3:AZ$1334,[1]ACSDT5Y2020.B08301_data_with_ov!$AS$3:$AS$1334,$B602)</f>
        <v>#VALUE!</v>
      </c>
      <c r="S602" s="17" t="e">
        <f>SUMIFS([1]ACSDT5Y2020.B08301_data_with_ov!BA$3:BA$1334,[1]ACSDT5Y2020.B08301_data_with_ov!$AS$3:$AS$1334,$B602)</f>
        <v>#VALUE!</v>
      </c>
      <c r="T602" s="188">
        <v>0.15387602214609231</v>
      </c>
      <c r="U602" s="189" t="e">
        <f t="shared" si="39"/>
        <v>#VALUE!</v>
      </c>
      <c r="V602" s="188">
        <v>0.15387602214609231</v>
      </c>
      <c r="W602" s="189" t="e">
        <f t="shared" si="36"/>
        <v>#VALUE!</v>
      </c>
      <c r="X602" s="188">
        <v>0.15387602214609231</v>
      </c>
      <c r="Y602" s="189" t="e">
        <f t="shared" si="37"/>
        <v>#VALUE!</v>
      </c>
      <c r="Z602" s="188">
        <v>0.15387602214609231</v>
      </c>
      <c r="AA602" s="189" t="e">
        <f t="shared" si="38"/>
        <v>#VALUE!</v>
      </c>
    </row>
    <row r="603" spans="1:27" x14ac:dyDescent="0.25">
      <c r="A603">
        <v>840200</v>
      </c>
      <c r="B603">
        <v>17031840200</v>
      </c>
      <c r="C603">
        <v>17031</v>
      </c>
      <c r="D603">
        <v>2010</v>
      </c>
      <c r="E603">
        <v>60</v>
      </c>
      <c r="F603">
        <v>9118656.6772379708</v>
      </c>
      <c r="G603" s="45">
        <v>0.32708680115207367</v>
      </c>
      <c r="H603" s="60" t="str">
        <f>_xlfn.IFNA(
INDEX('Community Areas'!B$2:B$78,MATCH($E603,'Community Areas'!$A$2:$A$78,0)),
"")</f>
        <v>BRIDGEPORT</v>
      </c>
      <c r="I603" s="63" t="str">
        <f>_xlfn.IFNA(
INDEX('Community Areas'!C$2:C$78,MATCH($E603,'Community Areas'!$A$2:$A$78,0)),
"")</f>
        <v>4-A</v>
      </c>
      <c r="J603" s="63">
        <f>_xlfn.IFNA(
INDEX('Community Areas'!D$2:D$78,MATCH($E603,'Community Areas'!$A$2:$A$78,0)),
"")</f>
        <v>4</v>
      </c>
      <c r="K603" s="60" t="str">
        <f>_xlfn.IFNA(
INDEX('Community Areas'!E$2:E$78,MATCH($E603,'Community Areas'!$A$2:$A$78,0)),
"")</f>
        <v>SOUTHWEST</v>
      </c>
      <c r="L603" s="17" t="e">
        <f>SUMIFS([1]ACSDT5Y2020.B08301_data_with_ov!AT$3:AT$1334,[1]ACSDT5Y2020.B08301_data_with_ov!$AS$3:$AS$1334,$B603)</f>
        <v>#VALUE!</v>
      </c>
      <c r="M603" s="17" t="e">
        <f>SUMIFS([1]ACSDT5Y2020.B08301_data_with_ov!AU$3:AU$1334,[1]ACSDT5Y2020.B08301_data_with_ov!$AS$3:$AS$1334,$B603)</f>
        <v>#VALUE!</v>
      </c>
      <c r="N603" s="17" t="e">
        <f>SUMIFS([1]ACSDT5Y2020.B08301_data_with_ov!AV$3:AV$1334,[1]ACSDT5Y2020.B08301_data_with_ov!$AS$3:$AS$1334,$B603)</f>
        <v>#VALUE!</v>
      </c>
      <c r="O603" s="17" t="e">
        <f>SUMIFS([1]ACSDT5Y2020.B08301_data_with_ov!AW$3:AW$1334,[1]ACSDT5Y2020.B08301_data_with_ov!$AS$3:$AS$1334,$B603)</f>
        <v>#VALUE!</v>
      </c>
      <c r="P603" s="17" t="e">
        <f>SUMIFS([1]ACSDT5Y2020.B08301_data_with_ov!AX$3:AX$1334,[1]ACSDT5Y2020.B08301_data_with_ov!$AS$3:$AS$1334,$B603)</f>
        <v>#VALUE!</v>
      </c>
      <c r="Q603" s="17" t="e">
        <f>SUMIFS([1]ACSDT5Y2020.B08301_data_with_ov!AY$3:AY$1334,[1]ACSDT5Y2020.B08301_data_with_ov!$AS$3:$AS$1334,$B603)</f>
        <v>#VALUE!</v>
      </c>
      <c r="R603" s="17" t="e">
        <f>SUMIFS([1]ACSDT5Y2020.B08301_data_with_ov!AZ$3:AZ$1334,[1]ACSDT5Y2020.B08301_data_with_ov!$AS$3:$AS$1334,$B603)</f>
        <v>#VALUE!</v>
      </c>
      <c r="S603" s="17" t="e">
        <f>SUMIFS([1]ACSDT5Y2020.B08301_data_with_ov!BA$3:BA$1334,[1]ACSDT5Y2020.B08301_data_with_ov!$AS$3:$AS$1334,$B603)</f>
        <v>#VALUE!</v>
      </c>
      <c r="T603" s="188">
        <v>0.32708680100852378</v>
      </c>
      <c r="U603" s="189" t="e">
        <f t="shared" si="39"/>
        <v>#VALUE!</v>
      </c>
      <c r="V603" s="188">
        <v>0.32708680100852378</v>
      </c>
      <c r="W603" s="189" t="e">
        <f t="shared" si="36"/>
        <v>#VALUE!</v>
      </c>
      <c r="X603" s="188">
        <v>0.32708680100852378</v>
      </c>
      <c r="Y603" s="189" t="e">
        <f t="shared" si="37"/>
        <v>#VALUE!</v>
      </c>
      <c r="Z603" s="188">
        <v>0.32708680100852378</v>
      </c>
      <c r="AA603" s="189" t="e">
        <f t="shared" si="38"/>
        <v>#VALUE!</v>
      </c>
    </row>
    <row r="604" spans="1:27" x14ac:dyDescent="0.25">
      <c r="A604">
        <v>839700</v>
      </c>
      <c r="B604">
        <v>17031839700</v>
      </c>
      <c r="C604">
        <v>17031</v>
      </c>
      <c r="D604">
        <v>2010</v>
      </c>
      <c r="E604">
        <v>60</v>
      </c>
      <c r="F604">
        <v>7049283.7198141897</v>
      </c>
      <c r="G604" s="45">
        <v>0.25285826015173718</v>
      </c>
      <c r="H604" s="60" t="str">
        <f>_xlfn.IFNA(
INDEX('Community Areas'!B$2:B$78,MATCH($E604,'Community Areas'!$A$2:$A$78,0)),
"")</f>
        <v>BRIDGEPORT</v>
      </c>
      <c r="I604" s="63" t="str">
        <f>_xlfn.IFNA(
INDEX('Community Areas'!C$2:C$78,MATCH($E604,'Community Areas'!$A$2:$A$78,0)),
"")</f>
        <v>4-A</v>
      </c>
      <c r="J604" s="63">
        <f>_xlfn.IFNA(
INDEX('Community Areas'!D$2:D$78,MATCH($E604,'Community Areas'!$A$2:$A$78,0)),
"")</f>
        <v>4</v>
      </c>
      <c r="K604" s="60" t="str">
        <f>_xlfn.IFNA(
INDEX('Community Areas'!E$2:E$78,MATCH($E604,'Community Areas'!$A$2:$A$78,0)),
"")</f>
        <v>SOUTHWEST</v>
      </c>
      <c r="L604" s="17" t="e">
        <f>SUMIFS([1]ACSDT5Y2020.B08301_data_with_ov!AT$3:AT$1334,[1]ACSDT5Y2020.B08301_data_with_ov!$AS$3:$AS$1334,$B604)</f>
        <v>#VALUE!</v>
      </c>
      <c r="M604" s="17" t="e">
        <f>SUMIFS([1]ACSDT5Y2020.B08301_data_with_ov!AU$3:AU$1334,[1]ACSDT5Y2020.B08301_data_with_ov!$AS$3:$AS$1334,$B604)</f>
        <v>#VALUE!</v>
      </c>
      <c r="N604" s="17" t="e">
        <f>SUMIFS([1]ACSDT5Y2020.B08301_data_with_ov!AV$3:AV$1334,[1]ACSDT5Y2020.B08301_data_with_ov!$AS$3:$AS$1334,$B604)</f>
        <v>#VALUE!</v>
      </c>
      <c r="O604" s="17" t="e">
        <f>SUMIFS([1]ACSDT5Y2020.B08301_data_with_ov!AW$3:AW$1334,[1]ACSDT5Y2020.B08301_data_with_ov!$AS$3:$AS$1334,$B604)</f>
        <v>#VALUE!</v>
      </c>
      <c r="P604" s="17" t="e">
        <f>SUMIFS([1]ACSDT5Y2020.B08301_data_with_ov!AX$3:AX$1334,[1]ACSDT5Y2020.B08301_data_with_ov!$AS$3:$AS$1334,$B604)</f>
        <v>#VALUE!</v>
      </c>
      <c r="Q604" s="17" t="e">
        <f>SUMIFS([1]ACSDT5Y2020.B08301_data_with_ov!AY$3:AY$1334,[1]ACSDT5Y2020.B08301_data_with_ov!$AS$3:$AS$1334,$B604)</f>
        <v>#VALUE!</v>
      </c>
      <c r="R604" s="17" t="e">
        <f>SUMIFS([1]ACSDT5Y2020.B08301_data_with_ov!AZ$3:AZ$1334,[1]ACSDT5Y2020.B08301_data_with_ov!$AS$3:$AS$1334,$B604)</f>
        <v>#VALUE!</v>
      </c>
      <c r="S604" s="17" t="e">
        <f>SUMIFS([1]ACSDT5Y2020.B08301_data_with_ov!BA$3:BA$1334,[1]ACSDT5Y2020.B08301_data_with_ov!$AS$3:$AS$1334,$B604)</f>
        <v>#VALUE!</v>
      </c>
      <c r="T604" s="188">
        <v>0.18327736599572322</v>
      </c>
      <c r="U604" s="189" t="e">
        <f t="shared" si="39"/>
        <v>#VALUE!</v>
      </c>
      <c r="V604" s="188">
        <v>0.18328494204675844</v>
      </c>
      <c r="W604" s="189" t="e">
        <f t="shared" si="36"/>
        <v>#VALUE!</v>
      </c>
      <c r="X604" s="188">
        <v>0.18328494204675844</v>
      </c>
      <c r="Y604" s="189" t="e">
        <f t="shared" si="37"/>
        <v>#VALUE!</v>
      </c>
      <c r="Z604" s="188">
        <v>0.18328494204675844</v>
      </c>
      <c r="AA604" s="189" t="e">
        <f t="shared" si="38"/>
        <v>#VALUE!</v>
      </c>
    </row>
    <row r="605" spans="1:27" x14ac:dyDescent="0.25">
      <c r="A605">
        <v>600900</v>
      </c>
      <c r="B605">
        <v>17031600900</v>
      </c>
      <c r="C605">
        <v>17031</v>
      </c>
      <c r="D605">
        <v>2010</v>
      </c>
      <c r="E605">
        <v>60</v>
      </c>
      <c r="F605">
        <v>4125320.6796075301</v>
      </c>
      <c r="G605" s="45">
        <v>0.14797551794965028</v>
      </c>
      <c r="H605" s="60" t="str">
        <f>_xlfn.IFNA(
INDEX('Community Areas'!B$2:B$78,MATCH($E605,'Community Areas'!$A$2:$A$78,0)),
"")</f>
        <v>BRIDGEPORT</v>
      </c>
      <c r="I605" s="63" t="str">
        <f>_xlfn.IFNA(
INDEX('Community Areas'!C$2:C$78,MATCH($E605,'Community Areas'!$A$2:$A$78,0)),
"")</f>
        <v>4-A</v>
      </c>
      <c r="J605" s="63">
        <f>_xlfn.IFNA(
INDEX('Community Areas'!D$2:D$78,MATCH($E605,'Community Areas'!$A$2:$A$78,0)),
"")</f>
        <v>4</v>
      </c>
      <c r="K605" s="60" t="str">
        <f>_xlfn.IFNA(
INDEX('Community Areas'!E$2:E$78,MATCH($E605,'Community Areas'!$A$2:$A$78,0)),
"")</f>
        <v>SOUTHWEST</v>
      </c>
      <c r="L605" s="17" t="e">
        <f>SUMIFS([1]ACSDT5Y2020.B08301_data_with_ov!AT$3:AT$1334,[1]ACSDT5Y2020.B08301_data_with_ov!$AS$3:$AS$1334,$B605)</f>
        <v>#VALUE!</v>
      </c>
      <c r="M605" s="17" t="e">
        <f>SUMIFS([1]ACSDT5Y2020.B08301_data_with_ov!AU$3:AU$1334,[1]ACSDT5Y2020.B08301_data_with_ov!$AS$3:$AS$1334,$B605)</f>
        <v>#VALUE!</v>
      </c>
      <c r="N605" s="17" t="e">
        <f>SUMIFS([1]ACSDT5Y2020.B08301_data_with_ov!AV$3:AV$1334,[1]ACSDT5Y2020.B08301_data_with_ov!$AS$3:$AS$1334,$B605)</f>
        <v>#VALUE!</v>
      </c>
      <c r="O605" s="17" t="e">
        <f>SUMIFS([1]ACSDT5Y2020.B08301_data_with_ov!AW$3:AW$1334,[1]ACSDT5Y2020.B08301_data_with_ov!$AS$3:$AS$1334,$B605)</f>
        <v>#VALUE!</v>
      </c>
      <c r="P605" s="17" t="e">
        <f>SUMIFS([1]ACSDT5Y2020.B08301_data_with_ov!AX$3:AX$1334,[1]ACSDT5Y2020.B08301_data_with_ov!$AS$3:$AS$1334,$B605)</f>
        <v>#VALUE!</v>
      </c>
      <c r="Q605" s="17" t="e">
        <f>SUMIFS([1]ACSDT5Y2020.B08301_data_with_ov!AY$3:AY$1334,[1]ACSDT5Y2020.B08301_data_with_ov!$AS$3:$AS$1334,$B605)</f>
        <v>#VALUE!</v>
      </c>
      <c r="R605" s="17" t="e">
        <f>SUMIFS([1]ACSDT5Y2020.B08301_data_with_ov!AZ$3:AZ$1334,[1]ACSDT5Y2020.B08301_data_with_ov!$AS$3:$AS$1334,$B605)</f>
        <v>#VALUE!</v>
      </c>
      <c r="S605" s="17" t="e">
        <f>SUMIFS([1]ACSDT5Y2020.B08301_data_with_ov!BA$3:BA$1334,[1]ACSDT5Y2020.B08301_data_with_ov!$AS$3:$AS$1334,$B605)</f>
        <v>#VALUE!</v>
      </c>
      <c r="T605" s="188">
        <v>0.11810189241093068</v>
      </c>
      <c r="U605" s="189" t="e">
        <f t="shared" si="39"/>
        <v>#VALUE!</v>
      </c>
      <c r="V605" s="188">
        <v>0.11810189241093068</v>
      </c>
      <c r="W605" s="189" t="e">
        <f t="shared" si="36"/>
        <v>#VALUE!</v>
      </c>
      <c r="X605" s="188">
        <v>0.11810189241093068</v>
      </c>
      <c r="Y605" s="189" t="e">
        <f t="shared" si="37"/>
        <v>#VALUE!</v>
      </c>
      <c r="Z605" s="188">
        <v>0.11810189241093068</v>
      </c>
      <c r="AA605" s="189" t="e">
        <f t="shared" si="38"/>
        <v>#VALUE!</v>
      </c>
    </row>
    <row r="606" spans="1:27" x14ac:dyDescent="0.25">
      <c r="A606">
        <v>611100</v>
      </c>
      <c r="B606">
        <v>17031611100</v>
      </c>
      <c r="C606">
        <v>17031</v>
      </c>
      <c r="D606">
        <v>2010</v>
      </c>
      <c r="E606">
        <v>61</v>
      </c>
      <c r="F606">
        <v>3517409.34923869</v>
      </c>
      <c r="G606" s="45">
        <v>0.12616969945329323</v>
      </c>
      <c r="H606" s="60" t="str">
        <f>_xlfn.IFNA(
INDEX('Community Areas'!B$2:B$78,MATCH($E606,'Community Areas'!$A$2:$A$78,0)),
"")</f>
        <v>NEW CITY</v>
      </c>
      <c r="I606" s="63" t="str">
        <f>_xlfn.IFNA(
INDEX('Community Areas'!C$2:C$78,MATCH($E606,'Community Areas'!$A$2:$A$78,0)),
"")</f>
        <v>4-A</v>
      </c>
      <c r="J606" s="63">
        <f>_xlfn.IFNA(
INDEX('Community Areas'!D$2:D$78,MATCH($E606,'Community Areas'!$A$2:$A$78,0)),
"")</f>
        <v>4</v>
      </c>
      <c r="K606" s="60" t="str">
        <f>_xlfn.IFNA(
INDEX('Community Areas'!E$2:E$78,MATCH($E606,'Community Areas'!$A$2:$A$78,0)),
"")</f>
        <v>SOUTHWEST</v>
      </c>
      <c r="L606" s="17" t="e">
        <f>SUMIFS([1]ACSDT5Y2020.B08301_data_with_ov!AT$3:AT$1334,[1]ACSDT5Y2020.B08301_data_with_ov!$AS$3:$AS$1334,$B606)</f>
        <v>#VALUE!</v>
      </c>
      <c r="M606" s="17" t="e">
        <f>SUMIFS([1]ACSDT5Y2020.B08301_data_with_ov!AU$3:AU$1334,[1]ACSDT5Y2020.B08301_data_with_ov!$AS$3:$AS$1334,$B606)</f>
        <v>#VALUE!</v>
      </c>
      <c r="N606" s="17" t="e">
        <f>SUMIFS([1]ACSDT5Y2020.B08301_data_with_ov!AV$3:AV$1334,[1]ACSDT5Y2020.B08301_data_with_ov!$AS$3:$AS$1334,$B606)</f>
        <v>#VALUE!</v>
      </c>
      <c r="O606" s="17" t="e">
        <f>SUMIFS([1]ACSDT5Y2020.B08301_data_with_ov!AW$3:AW$1334,[1]ACSDT5Y2020.B08301_data_with_ov!$AS$3:$AS$1334,$B606)</f>
        <v>#VALUE!</v>
      </c>
      <c r="P606" s="17" t="e">
        <f>SUMIFS([1]ACSDT5Y2020.B08301_data_with_ov!AX$3:AX$1334,[1]ACSDT5Y2020.B08301_data_with_ov!$AS$3:$AS$1334,$B606)</f>
        <v>#VALUE!</v>
      </c>
      <c r="Q606" s="17" t="e">
        <f>SUMIFS([1]ACSDT5Y2020.B08301_data_with_ov!AY$3:AY$1334,[1]ACSDT5Y2020.B08301_data_with_ov!$AS$3:$AS$1334,$B606)</f>
        <v>#VALUE!</v>
      </c>
      <c r="R606" s="17" t="e">
        <f>SUMIFS([1]ACSDT5Y2020.B08301_data_with_ov!AZ$3:AZ$1334,[1]ACSDT5Y2020.B08301_data_with_ov!$AS$3:$AS$1334,$B606)</f>
        <v>#VALUE!</v>
      </c>
      <c r="S606" s="17" t="e">
        <f>SUMIFS([1]ACSDT5Y2020.B08301_data_with_ov!BA$3:BA$1334,[1]ACSDT5Y2020.B08301_data_with_ov!$AS$3:$AS$1334,$B606)</f>
        <v>#VALUE!</v>
      </c>
      <c r="T606" s="188">
        <v>0.12616970632012095</v>
      </c>
      <c r="U606" s="189" t="e">
        <f t="shared" si="39"/>
        <v>#VALUE!</v>
      </c>
      <c r="V606" s="188">
        <v>0.12616970632012095</v>
      </c>
      <c r="W606" s="189" t="e">
        <f t="shared" si="36"/>
        <v>#VALUE!</v>
      </c>
      <c r="X606" s="188">
        <v>0.12616970632012095</v>
      </c>
      <c r="Y606" s="189" t="e">
        <f t="shared" si="37"/>
        <v>#VALUE!</v>
      </c>
      <c r="Z606" s="188">
        <v>0.12616970632012095</v>
      </c>
      <c r="AA606" s="189" t="e">
        <f t="shared" si="38"/>
        <v>#VALUE!</v>
      </c>
    </row>
    <row r="607" spans="1:27" x14ac:dyDescent="0.25">
      <c r="A607">
        <v>611500</v>
      </c>
      <c r="B607">
        <v>17031611500</v>
      </c>
      <c r="C607">
        <v>17031</v>
      </c>
      <c r="D607">
        <v>2010</v>
      </c>
      <c r="E607">
        <v>61</v>
      </c>
      <c r="F607">
        <v>5296988.9057151396</v>
      </c>
      <c r="G607" s="45">
        <v>0.19000333253397395</v>
      </c>
      <c r="H607" s="60" t="str">
        <f>_xlfn.IFNA(
INDEX('Community Areas'!B$2:B$78,MATCH($E607,'Community Areas'!$A$2:$A$78,0)),
"")</f>
        <v>NEW CITY</v>
      </c>
      <c r="I607" s="63" t="str">
        <f>_xlfn.IFNA(
INDEX('Community Areas'!C$2:C$78,MATCH($E607,'Community Areas'!$A$2:$A$78,0)),
"")</f>
        <v>4-A</v>
      </c>
      <c r="J607" s="63">
        <f>_xlfn.IFNA(
INDEX('Community Areas'!D$2:D$78,MATCH($E607,'Community Areas'!$A$2:$A$78,0)),
"")</f>
        <v>4</v>
      </c>
      <c r="K607" s="60" t="str">
        <f>_xlfn.IFNA(
INDEX('Community Areas'!E$2:E$78,MATCH($E607,'Community Areas'!$A$2:$A$78,0)),
"")</f>
        <v>SOUTHWEST</v>
      </c>
      <c r="L607" s="17" t="e">
        <f>SUMIFS([1]ACSDT5Y2020.B08301_data_with_ov!AT$3:AT$1334,[1]ACSDT5Y2020.B08301_data_with_ov!$AS$3:$AS$1334,$B607)</f>
        <v>#VALUE!</v>
      </c>
      <c r="M607" s="17" t="e">
        <f>SUMIFS([1]ACSDT5Y2020.B08301_data_with_ov!AU$3:AU$1334,[1]ACSDT5Y2020.B08301_data_with_ov!$AS$3:$AS$1334,$B607)</f>
        <v>#VALUE!</v>
      </c>
      <c r="N607" s="17" t="e">
        <f>SUMIFS([1]ACSDT5Y2020.B08301_data_with_ov!AV$3:AV$1334,[1]ACSDT5Y2020.B08301_data_with_ov!$AS$3:$AS$1334,$B607)</f>
        <v>#VALUE!</v>
      </c>
      <c r="O607" s="17" t="e">
        <f>SUMIFS([1]ACSDT5Y2020.B08301_data_with_ov!AW$3:AW$1334,[1]ACSDT5Y2020.B08301_data_with_ov!$AS$3:$AS$1334,$B607)</f>
        <v>#VALUE!</v>
      </c>
      <c r="P607" s="17" t="e">
        <f>SUMIFS([1]ACSDT5Y2020.B08301_data_with_ov!AX$3:AX$1334,[1]ACSDT5Y2020.B08301_data_with_ov!$AS$3:$AS$1334,$B607)</f>
        <v>#VALUE!</v>
      </c>
      <c r="Q607" s="17" t="e">
        <f>SUMIFS([1]ACSDT5Y2020.B08301_data_with_ov!AY$3:AY$1334,[1]ACSDT5Y2020.B08301_data_with_ov!$AS$3:$AS$1334,$B607)</f>
        <v>#VALUE!</v>
      </c>
      <c r="R607" s="17" t="e">
        <f>SUMIFS([1]ACSDT5Y2020.B08301_data_with_ov!AZ$3:AZ$1334,[1]ACSDT5Y2020.B08301_data_with_ov!$AS$3:$AS$1334,$B607)</f>
        <v>#VALUE!</v>
      </c>
      <c r="S607" s="17" t="e">
        <f>SUMIFS([1]ACSDT5Y2020.B08301_data_with_ov!BA$3:BA$1334,[1]ACSDT5Y2020.B08301_data_with_ov!$AS$3:$AS$1334,$B607)</f>
        <v>#VALUE!</v>
      </c>
      <c r="T607" s="188">
        <v>0.18926436290292986</v>
      </c>
      <c r="U607" s="189" t="e">
        <f t="shared" si="39"/>
        <v>#VALUE!</v>
      </c>
      <c r="V607" s="188">
        <v>0.13935237699905087</v>
      </c>
      <c r="W607" s="189" t="e">
        <f t="shared" si="36"/>
        <v>#VALUE!</v>
      </c>
      <c r="X607" s="188">
        <v>0.13935237699905087</v>
      </c>
      <c r="Y607" s="189" t="e">
        <f t="shared" si="37"/>
        <v>#VALUE!</v>
      </c>
      <c r="Z607" s="188">
        <v>0.13935237699905087</v>
      </c>
      <c r="AA607" s="189" t="e">
        <f t="shared" si="38"/>
        <v>#VALUE!</v>
      </c>
    </row>
    <row r="608" spans="1:27" x14ac:dyDescent="0.25">
      <c r="A608">
        <v>611900</v>
      </c>
      <c r="B608">
        <v>17031611900</v>
      </c>
      <c r="C608">
        <v>17031</v>
      </c>
      <c r="D608">
        <v>2010</v>
      </c>
      <c r="E608">
        <v>61</v>
      </c>
      <c r="F608">
        <v>7034049.1354075596</v>
      </c>
      <c r="G608" s="45">
        <v>0.25231179462980513</v>
      </c>
      <c r="H608" s="60" t="str">
        <f>_xlfn.IFNA(
INDEX('Community Areas'!B$2:B$78,MATCH($E608,'Community Areas'!$A$2:$A$78,0)),
"")</f>
        <v>NEW CITY</v>
      </c>
      <c r="I608" s="63" t="str">
        <f>_xlfn.IFNA(
INDEX('Community Areas'!C$2:C$78,MATCH($E608,'Community Areas'!$A$2:$A$78,0)),
"")</f>
        <v>4-A</v>
      </c>
      <c r="J608" s="63">
        <f>_xlfn.IFNA(
INDEX('Community Areas'!D$2:D$78,MATCH($E608,'Community Areas'!$A$2:$A$78,0)),
"")</f>
        <v>4</v>
      </c>
      <c r="K608" s="60" t="str">
        <f>_xlfn.IFNA(
INDEX('Community Areas'!E$2:E$78,MATCH($E608,'Community Areas'!$A$2:$A$78,0)),
"")</f>
        <v>SOUTHWEST</v>
      </c>
      <c r="L608" s="17" t="e">
        <f>SUMIFS([1]ACSDT5Y2020.B08301_data_with_ov!AT$3:AT$1334,[1]ACSDT5Y2020.B08301_data_with_ov!$AS$3:$AS$1334,$B608)</f>
        <v>#VALUE!</v>
      </c>
      <c r="M608" s="17" t="e">
        <f>SUMIFS([1]ACSDT5Y2020.B08301_data_with_ov!AU$3:AU$1334,[1]ACSDT5Y2020.B08301_data_with_ov!$AS$3:$AS$1334,$B608)</f>
        <v>#VALUE!</v>
      </c>
      <c r="N608" s="17" t="e">
        <f>SUMIFS([1]ACSDT5Y2020.B08301_data_with_ov!AV$3:AV$1334,[1]ACSDT5Y2020.B08301_data_with_ov!$AS$3:$AS$1334,$B608)</f>
        <v>#VALUE!</v>
      </c>
      <c r="O608" s="17" t="e">
        <f>SUMIFS([1]ACSDT5Y2020.B08301_data_with_ov!AW$3:AW$1334,[1]ACSDT5Y2020.B08301_data_with_ov!$AS$3:$AS$1334,$B608)</f>
        <v>#VALUE!</v>
      </c>
      <c r="P608" s="17" t="e">
        <f>SUMIFS([1]ACSDT5Y2020.B08301_data_with_ov!AX$3:AX$1334,[1]ACSDT5Y2020.B08301_data_with_ov!$AS$3:$AS$1334,$B608)</f>
        <v>#VALUE!</v>
      </c>
      <c r="Q608" s="17" t="e">
        <f>SUMIFS([1]ACSDT5Y2020.B08301_data_with_ov!AY$3:AY$1334,[1]ACSDT5Y2020.B08301_data_with_ov!$AS$3:$AS$1334,$B608)</f>
        <v>#VALUE!</v>
      </c>
      <c r="R608" s="17" t="e">
        <f>SUMIFS([1]ACSDT5Y2020.B08301_data_with_ov!AZ$3:AZ$1334,[1]ACSDT5Y2020.B08301_data_with_ov!$AS$3:$AS$1334,$B608)</f>
        <v>#VALUE!</v>
      </c>
      <c r="S608" s="17" t="e">
        <f>SUMIFS([1]ACSDT5Y2020.B08301_data_with_ov!BA$3:BA$1334,[1]ACSDT5Y2020.B08301_data_with_ov!$AS$3:$AS$1334,$B608)</f>
        <v>#VALUE!</v>
      </c>
      <c r="T608" s="188">
        <v>0.24581866220204818</v>
      </c>
      <c r="U608" s="189" t="e">
        <f t="shared" si="39"/>
        <v>#VALUE!</v>
      </c>
      <c r="V608" s="188">
        <v>0.24581866220204818</v>
      </c>
      <c r="W608" s="189" t="e">
        <f t="shared" si="36"/>
        <v>#VALUE!</v>
      </c>
      <c r="X608" s="188">
        <v>0.24581866220204818</v>
      </c>
      <c r="Y608" s="189" t="e">
        <f t="shared" si="37"/>
        <v>#VALUE!</v>
      </c>
      <c r="Z608" s="188">
        <v>0.24581866220204818</v>
      </c>
      <c r="AA608" s="189" t="e">
        <f t="shared" si="38"/>
        <v>#VALUE!</v>
      </c>
    </row>
    <row r="609" spans="1:27" x14ac:dyDescent="0.25">
      <c r="A609">
        <v>610300</v>
      </c>
      <c r="B609">
        <v>17031610300</v>
      </c>
      <c r="C609">
        <v>17031</v>
      </c>
      <c r="D609">
        <v>2010</v>
      </c>
      <c r="E609">
        <v>61</v>
      </c>
      <c r="F609">
        <v>25656970.902418699</v>
      </c>
      <c r="G609" s="45">
        <v>0.92031719547817303</v>
      </c>
      <c r="H609" s="60" t="str">
        <f>_xlfn.IFNA(
INDEX('Community Areas'!B$2:B$78,MATCH($E609,'Community Areas'!$A$2:$A$78,0)),
"")</f>
        <v>NEW CITY</v>
      </c>
      <c r="I609" s="63" t="str">
        <f>_xlfn.IFNA(
INDEX('Community Areas'!C$2:C$78,MATCH($E609,'Community Areas'!$A$2:$A$78,0)),
"")</f>
        <v>4-A</v>
      </c>
      <c r="J609" s="63">
        <f>_xlfn.IFNA(
INDEX('Community Areas'!D$2:D$78,MATCH($E609,'Community Areas'!$A$2:$A$78,0)),
"")</f>
        <v>4</v>
      </c>
      <c r="K609" s="60" t="str">
        <f>_xlfn.IFNA(
INDEX('Community Areas'!E$2:E$78,MATCH($E609,'Community Areas'!$A$2:$A$78,0)),
"")</f>
        <v>SOUTHWEST</v>
      </c>
      <c r="L609" s="17" t="e">
        <f>SUMIFS([1]ACSDT5Y2020.B08301_data_with_ov!AT$3:AT$1334,[1]ACSDT5Y2020.B08301_data_with_ov!$AS$3:$AS$1334,$B609)</f>
        <v>#VALUE!</v>
      </c>
      <c r="M609" s="17" t="e">
        <f>SUMIFS([1]ACSDT5Y2020.B08301_data_with_ov!AU$3:AU$1334,[1]ACSDT5Y2020.B08301_data_with_ov!$AS$3:$AS$1334,$B609)</f>
        <v>#VALUE!</v>
      </c>
      <c r="N609" s="17" t="e">
        <f>SUMIFS([1]ACSDT5Y2020.B08301_data_with_ov!AV$3:AV$1334,[1]ACSDT5Y2020.B08301_data_with_ov!$AS$3:$AS$1334,$B609)</f>
        <v>#VALUE!</v>
      </c>
      <c r="O609" s="17" t="e">
        <f>SUMIFS([1]ACSDT5Y2020.B08301_data_with_ov!AW$3:AW$1334,[1]ACSDT5Y2020.B08301_data_with_ov!$AS$3:$AS$1334,$B609)</f>
        <v>#VALUE!</v>
      </c>
      <c r="P609" s="17" t="e">
        <f>SUMIFS([1]ACSDT5Y2020.B08301_data_with_ov!AX$3:AX$1334,[1]ACSDT5Y2020.B08301_data_with_ov!$AS$3:$AS$1334,$B609)</f>
        <v>#VALUE!</v>
      </c>
      <c r="Q609" s="17" t="e">
        <f>SUMIFS([1]ACSDT5Y2020.B08301_data_with_ov!AY$3:AY$1334,[1]ACSDT5Y2020.B08301_data_with_ov!$AS$3:$AS$1334,$B609)</f>
        <v>#VALUE!</v>
      </c>
      <c r="R609" s="17" t="e">
        <f>SUMIFS([1]ACSDT5Y2020.B08301_data_with_ov!AZ$3:AZ$1334,[1]ACSDT5Y2020.B08301_data_with_ov!$AS$3:$AS$1334,$B609)</f>
        <v>#VALUE!</v>
      </c>
      <c r="S609" s="17" t="e">
        <f>SUMIFS([1]ACSDT5Y2020.B08301_data_with_ov!BA$3:BA$1334,[1]ACSDT5Y2020.B08301_data_with_ov!$AS$3:$AS$1334,$B609)</f>
        <v>#VALUE!</v>
      </c>
      <c r="T609" s="188">
        <v>0.82072405596117426</v>
      </c>
      <c r="U609" s="189" t="e">
        <f t="shared" si="39"/>
        <v>#VALUE!</v>
      </c>
      <c r="V609" s="188">
        <v>0.48812759224360081</v>
      </c>
      <c r="W609" s="189" t="e">
        <f t="shared" si="36"/>
        <v>#VALUE!</v>
      </c>
      <c r="X609" s="188">
        <v>0.48812759224360081</v>
      </c>
      <c r="Y609" s="189" t="e">
        <f t="shared" si="37"/>
        <v>#VALUE!</v>
      </c>
      <c r="Z609" s="188">
        <v>0.48812759224360081</v>
      </c>
      <c r="AA609" s="189" t="e">
        <f t="shared" si="38"/>
        <v>#VALUE!</v>
      </c>
    </row>
    <row r="610" spans="1:27" x14ac:dyDescent="0.25">
      <c r="A610">
        <v>611000</v>
      </c>
      <c r="B610">
        <v>17031611000</v>
      </c>
      <c r="C610">
        <v>17031</v>
      </c>
      <c r="D610">
        <v>2010</v>
      </c>
      <c r="E610">
        <v>61</v>
      </c>
      <c r="F610">
        <v>6149249.4917258499</v>
      </c>
      <c r="G610" s="45">
        <v>0.22057397453676861</v>
      </c>
      <c r="H610" s="60" t="str">
        <f>_xlfn.IFNA(
INDEX('Community Areas'!B$2:B$78,MATCH($E610,'Community Areas'!$A$2:$A$78,0)),
"")</f>
        <v>NEW CITY</v>
      </c>
      <c r="I610" s="63" t="str">
        <f>_xlfn.IFNA(
INDEX('Community Areas'!C$2:C$78,MATCH($E610,'Community Areas'!$A$2:$A$78,0)),
"")</f>
        <v>4-A</v>
      </c>
      <c r="J610" s="63">
        <f>_xlfn.IFNA(
INDEX('Community Areas'!D$2:D$78,MATCH($E610,'Community Areas'!$A$2:$A$78,0)),
"")</f>
        <v>4</v>
      </c>
      <c r="K610" s="60" t="str">
        <f>_xlfn.IFNA(
INDEX('Community Areas'!E$2:E$78,MATCH($E610,'Community Areas'!$A$2:$A$78,0)),
"")</f>
        <v>SOUTHWEST</v>
      </c>
      <c r="L610" s="17" t="e">
        <f>SUMIFS([1]ACSDT5Y2020.B08301_data_with_ov!AT$3:AT$1334,[1]ACSDT5Y2020.B08301_data_with_ov!$AS$3:$AS$1334,$B610)</f>
        <v>#VALUE!</v>
      </c>
      <c r="M610" s="17" t="e">
        <f>SUMIFS([1]ACSDT5Y2020.B08301_data_with_ov!AU$3:AU$1334,[1]ACSDT5Y2020.B08301_data_with_ov!$AS$3:$AS$1334,$B610)</f>
        <v>#VALUE!</v>
      </c>
      <c r="N610" s="17" t="e">
        <f>SUMIFS([1]ACSDT5Y2020.B08301_data_with_ov!AV$3:AV$1334,[1]ACSDT5Y2020.B08301_data_with_ov!$AS$3:$AS$1334,$B610)</f>
        <v>#VALUE!</v>
      </c>
      <c r="O610" s="17" t="e">
        <f>SUMIFS([1]ACSDT5Y2020.B08301_data_with_ov!AW$3:AW$1334,[1]ACSDT5Y2020.B08301_data_with_ov!$AS$3:$AS$1334,$B610)</f>
        <v>#VALUE!</v>
      </c>
      <c r="P610" s="17" t="e">
        <f>SUMIFS([1]ACSDT5Y2020.B08301_data_with_ov!AX$3:AX$1334,[1]ACSDT5Y2020.B08301_data_with_ov!$AS$3:$AS$1334,$B610)</f>
        <v>#VALUE!</v>
      </c>
      <c r="Q610" s="17" t="e">
        <f>SUMIFS([1]ACSDT5Y2020.B08301_data_with_ov!AY$3:AY$1334,[1]ACSDT5Y2020.B08301_data_with_ov!$AS$3:$AS$1334,$B610)</f>
        <v>#VALUE!</v>
      </c>
      <c r="R610" s="17" t="e">
        <f>SUMIFS([1]ACSDT5Y2020.B08301_data_with_ov!AZ$3:AZ$1334,[1]ACSDT5Y2020.B08301_data_with_ov!$AS$3:$AS$1334,$B610)</f>
        <v>#VALUE!</v>
      </c>
      <c r="S610" s="17" t="e">
        <f>SUMIFS([1]ACSDT5Y2020.B08301_data_with_ov!BA$3:BA$1334,[1]ACSDT5Y2020.B08301_data_with_ov!$AS$3:$AS$1334,$B610)</f>
        <v>#VALUE!</v>
      </c>
      <c r="T610" s="188">
        <v>0.22057397520278887</v>
      </c>
      <c r="U610" s="189" t="e">
        <f t="shared" si="39"/>
        <v>#VALUE!</v>
      </c>
      <c r="V610" s="188">
        <v>0.22057397520278887</v>
      </c>
      <c r="W610" s="189" t="e">
        <f t="shared" si="36"/>
        <v>#VALUE!</v>
      </c>
      <c r="X610" s="188">
        <v>0.22057397520278887</v>
      </c>
      <c r="Y610" s="189" t="e">
        <f t="shared" si="37"/>
        <v>#VALUE!</v>
      </c>
      <c r="Z610" s="188">
        <v>0.22057397520278887</v>
      </c>
      <c r="AA610" s="189" t="e">
        <f t="shared" si="38"/>
        <v>#VALUE!</v>
      </c>
    </row>
    <row r="611" spans="1:27" x14ac:dyDescent="0.25">
      <c r="A611">
        <v>612100</v>
      </c>
      <c r="B611">
        <v>17031612100</v>
      </c>
      <c r="C611">
        <v>17031</v>
      </c>
      <c r="D611">
        <v>2010</v>
      </c>
      <c r="E611">
        <v>61</v>
      </c>
      <c r="F611">
        <v>3512786.6014093198</v>
      </c>
      <c r="G611" s="45">
        <v>0.12600388119150741</v>
      </c>
      <c r="H611" s="60" t="str">
        <f>_xlfn.IFNA(
INDEX('Community Areas'!B$2:B$78,MATCH($E611,'Community Areas'!$A$2:$A$78,0)),
"")</f>
        <v>NEW CITY</v>
      </c>
      <c r="I611" s="63" t="str">
        <f>_xlfn.IFNA(
INDEX('Community Areas'!C$2:C$78,MATCH($E611,'Community Areas'!$A$2:$A$78,0)),
"")</f>
        <v>4-A</v>
      </c>
      <c r="J611" s="63">
        <f>_xlfn.IFNA(
INDEX('Community Areas'!D$2:D$78,MATCH($E611,'Community Areas'!$A$2:$A$78,0)),
"")</f>
        <v>4</v>
      </c>
      <c r="K611" s="60" t="str">
        <f>_xlfn.IFNA(
INDEX('Community Areas'!E$2:E$78,MATCH($E611,'Community Areas'!$A$2:$A$78,0)),
"")</f>
        <v>SOUTHWEST</v>
      </c>
      <c r="L611" s="17" t="e">
        <f>SUMIFS([1]ACSDT5Y2020.B08301_data_with_ov!AT$3:AT$1334,[1]ACSDT5Y2020.B08301_data_with_ov!$AS$3:$AS$1334,$B611)</f>
        <v>#VALUE!</v>
      </c>
      <c r="M611" s="17" t="e">
        <f>SUMIFS([1]ACSDT5Y2020.B08301_data_with_ov!AU$3:AU$1334,[1]ACSDT5Y2020.B08301_data_with_ov!$AS$3:$AS$1334,$B611)</f>
        <v>#VALUE!</v>
      </c>
      <c r="N611" s="17" t="e">
        <f>SUMIFS([1]ACSDT5Y2020.B08301_data_with_ov!AV$3:AV$1334,[1]ACSDT5Y2020.B08301_data_with_ov!$AS$3:$AS$1334,$B611)</f>
        <v>#VALUE!</v>
      </c>
      <c r="O611" s="17" t="e">
        <f>SUMIFS([1]ACSDT5Y2020.B08301_data_with_ov!AW$3:AW$1334,[1]ACSDT5Y2020.B08301_data_with_ov!$AS$3:$AS$1334,$B611)</f>
        <v>#VALUE!</v>
      </c>
      <c r="P611" s="17" t="e">
        <f>SUMIFS([1]ACSDT5Y2020.B08301_data_with_ov!AX$3:AX$1334,[1]ACSDT5Y2020.B08301_data_with_ov!$AS$3:$AS$1334,$B611)</f>
        <v>#VALUE!</v>
      </c>
      <c r="Q611" s="17" t="e">
        <f>SUMIFS([1]ACSDT5Y2020.B08301_data_with_ov!AY$3:AY$1334,[1]ACSDT5Y2020.B08301_data_with_ov!$AS$3:$AS$1334,$B611)</f>
        <v>#VALUE!</v>
      </c>
      <c r="R611" s="17" t="e">
        <f>SUMIFS([1]ACSDT5Y2020.B08301_data_with_ov!AZ$3:AZ$1334,[1]ACSDT5Y2020.B08301_data_with_ov!$AS$3:$AS$1334,$B611)</f>
        <v>#VALUE!</v>
      </c>
      <c r="S611" s="17" t="e">
        <f>SUMIFS([1]ACSDT5Y2020.B08301_data_with_ov!BA$3:BA$1334,[1]ACSDT5Y2020.B08301_data_with_ov!$AS$3:$AS$1334,$B611)</f>
        <v>#VALUE!</v>
      </c>
      <c r="T611" s="188">
        <v>0.12600388079547858</v>
      </c>
      <c r="U611" s="189" t="e">
        <f t="shared" si="39"/>
        <v>#VALUE!</v>
      </c>
      <c r="V611" s="188">
        <v>0.12600388079547858</v>
      </c>
      <c r="W611" s="189" t="e">
        <f t="shared" si="36"/>
        <v>#VALUE!</v>
      </c>
      <c r="X611" s="188">
        <v>0.12600388079547858</v>
      </c>
      <c r="Y611" s="189" t="e">
        <f t="shared" si="37"/>
        <v>#VALUE!</v>
      </c>
      <c r="Z611" s="188">
        <v>0.12600388079547858</v>
      </c>
      <c r="AA611" s="189" t="e">
        <f t="shared" si="38"/>
        <v>#VALUE!</v>
      </c>
    </row>
    <row r="612" spans="1:27" x14ac:dyDescent="0.25">
      <c r="A612">
        <v>611300</v>
      </c>
      <c r="B612">
        <v>17031611300</v>
      </c>
      <c r="C612">
        <v>17031</v>
      </c>
      <c r="D612">
        <v>2010</v>
      </c>
      <c r="E612">
        <v>61</v>
      </c>
      <c r="F612">
        <v>3519757.00370911</v>
      </c>
      <c r="G612" s="45">
        <v>0.12625390997005245</v>
      </c>
      <c r="H612" s="60" t="str">
        <f>_xlfn.IFNA(
INDEX('Community Areas'!B$2:B$78,MATCH($E612,'Community Areas'!$A$2:$A$78,0)),
"")</f>
        <v>NEW CITY</v>
      </c>
      <c r="I612" s="63" t="str">
        <f>_xlfn.IFNA(
INDEX('Community Areas'!C$2:C$78,MATCH($E612,'Community Areas'!$A$2:$A$78,0)),
"")</f>
        <v>4-A</v>
      </c>
      <c r="J612" s="63">
        <f>_xlfn.IFNA(
INDEX('Community Areas'!D$2:D$78,MATCH($E612,'Community Areas'!$A$2:$A$78,0)),
"")</f>
        <v>4</v>
      </c>
      <c r="K612" s="60" t="str">
        <f>_xlfn.IFNA(
INDEX('Community Areas'!E$2:E$78,MATCH($E612,'Community Areas'!$A$2:$A$78,0)),
"")</f>
        <v>SOUTHWEST</v>
      </c>
      <c r="L612" s="17" t="e">
        <f>SUMIFS([1]ACSDT5Y2020.B08301_data_with_ov!AT$3:AT$1334,[1]ACSDT5Y2020.B08301_data_with_ov!$AS$3:$AS$1334,$B612)</f>
        <v>#VALUE!</v>
      </c>
      <c r="M612" s="17" t="e">
        <f>SUMIFS([1]ACSDT5Y2020.B08301_data_with_ov!AU$3:AU$1334,[1]ACSDT5Y2020.B08301_data_with_ov!$AS$3:$AS$1334,$B612)</f>
        <v>#VALUE!</v>
      </c>
      <c r="N612" s="17" t="e">
        <f>SUMIFS([1]ACSDT5Y2020.B08301_data_with_ov!AV$3:AV$1334,[1]ACSDT5Y2020.B08301_data_with_ov!$AS$3:$AS$1334,$B612)</f>
        <v>#VALUE!</v>
      </c>
      <c r="O612" s="17" t="e">
        <f>SUMIFS([1]ACSDT5Y2020.B08301_data_with_ov!AW$3:AW$1334,[1]ACSDT5Y2020.B08301_data_with_ov!$AS$3:$AS$1334,$B612)</f>
        <v>#VALUE!</v>
      </c>
      <c r="P612" s="17" t="e">
        <f>SUMIFS([1]ACSDT5Y2020.B08301_data_with_ov!AX$3:AX$1334,[1]ACSDT5Y2020.B08301_data_with_ov!$AS$3:$AS$1334,$B612)</f>
        <v>#VALUE!</v>
      </c>
      <c r="Q612" s="17" t="e">
        <f>SUMIFS([1]ACSDT5Y2020.B08301_data_with_ov!AY$3:AY$1334,[1]ACSDT5Y2020.B08301_data_with_ov!$AS$3:$AS$1334,$B612)</f>
        <v>#VALUE!</v>
      </c>
      <c r="R612" s="17" t="e">
        <f>SUMIFS([1]ACSDT5Y2020.B08301_data_with_ov!AZ$3:AZ$1334,[1]ACSDT5Y2020.B08301_data_with_ov!$AS$3:$AS$1334,$B612)</f>
        <v>#VALUE!</v>
      </c>
      <c r="S612" s="17" t="e">
        <f>SUMIFS([1]ACSDT5Y2020.B08301_data_with_ov!BA$3:BA$1334,[1]ACSDT5Y2020.B08301_data_with_ov!$AS$3:$AS$1334,$B612)</f>
        <v>#VALUE!</v>
      </c>
      <c r="T612" s="188">
        <v>0.12515894524793281</v>
      </c>
      <c r="U612" s="189" t="e">
        <f t="shared" si="39"/>
        <v>#VALUE!</v>
      </c>
      <c r="V612" s="188">
        <v>7.6895092758063596E-2</v>
      </c>
      <c r="W612" s="189" t="e">
        <f t="shared" si="36"/>
        <v>#VALUE!</v>
      </c>
      <c r="X612" s="188">
        <v>7.6895092758063596E-2</v>
      </c>
      <c r="Y612" s="189" t="e">
        <f t="shared" si="37"/>
        <v>#VALUE!</v>
      </c>
      <c r="Z612" s="188">
        <v>7.6895092758063596E-2</v>
      </c>
      <c r="AA612" s="189" t="e">
        <f t="shared" si="38"/>
        <v>#VALUE!</v>
      </c>
    </row>
    <row r="613" spans="1:27" x14ac:dyDescent="0.25">
      <c r="A613">
        <v>610400</v>
      </c>
      <c r="B613">
        <v>17031610400</v>
      </c>
      <c r="C613">
        <v>17031</v>
      </c>
      <c r="D613">
        <v>2010</v>
      </c>
      <c r="E613">
        <v>61</v>
      </c>
      <c r="F613">
        <v>1756503.0160889199</v>
      </c>
      <c r="G613" s="45">
        <v>6.3005876093639515E-2</v>
      </c>
      <c r="H613" s="60" t="str">
        <f>_xlfn.IFNA(
INDEX('Community Areas'!B$2:B$78,MATCH($E613,'Community Areas'!$A$2:$A$78,0)),
"")</f>
        <v>NEW CITY</v>
      </c>
      <c r="I613" s="63" t="str">
        <f>_xlfn.IFNA(
INDEX('Community Areas'!C$2:C$78,MATCH($E613,'Community Areas'!$A$2:$A$78,0)),
"")</f>
        <v>4-A</v>
      </c>
      <c r="J613" s="63">
        <f>_xlfn.IFNA(
INDEX('Community Areas'!D$2:D$78,MATCH($E613,'Community Areas'!$A$2:$A$78,0)),
"")</f>
        <v>4</v>
      </c>
      <c r="K613" s="60" t="str">
        <f>_xlfn.IFNA(
INDEX('Community Areas'!E$2:E$78,MATCH($E613,'Community Areas'!$A$2:$A$78,0)),
"")</f>
        <v>SOUTHWEST</v>
      </c>
      <c r="L613" s="17" t="e">
        <f>SUMIFS([1]ACSDT5Y2020.B08301_data_with_ov!AT$3:AT$1334,[1]ACSDT5Y2020.B08301_data_with_ov!$AS$3:$AS$1334,$B613)</f>
        <v>#VALUE!</v>
      </c>
      <c r="M613" s="17" t="e">
        <f>SUMIFS([1]ACSDT5Y2020.B08301_data_with_ov!AU$3:AU$1334,[1]ACSDT5Y2020.B08301_data_with_ov!$AS$3:$AS$1334,$B613)</f>
        <v>#VALUE!</v>
      </c>
      <c r="N613" s="17" t="e">
        <f>SUMIFS([1]ACSDT5Y2020.B08301_data_with_ov!AV$3:AV$1334,[1]ACSDT5Y2020.B08301_data_with_ov!$AS$3:$AS$1334,$B613)</f>
        <v>#VALUE!</v>
      </c>
      <c r="O613" s="17" t="e">
        <f>SUMIFS([1]ACSDT5Y2020.B08301_data_with_ov!AW$3:AW$1334,[1]ACSDT5Y2020.B08301_data_with_ov!$AS$3:$AS$1334,$B613)</f>
        <v>#VALUE!</v>
      </c>
      <c r="P613" s="17" t="e">
        <f>SUMIFS([1]ACSDT5Y2020.B08301_data_with_ov!AX$3:AX$1334,[1]ACSDT5Y2020.B08301_data_with_ov!$AS$3:$AS$1334,$B613)</f>
        <v>#VALUE!</v>
      </c>
      <c r="Q613" s="17" t="e">
        <f>SUMIFS([1]ACSDT5Y2020.B08301_data_with_ov!AY$3:AY$1334,[1]ACSDT5Y2020.B08301_data_with_ov!$AS$3:$AS$1334,$B613)</f>
        <v>#VALUE!</v>
      </c>
      <c r="R613" s="17" t="e">
        <f>SUMIFS([1]ACSDT5Y2020.B08301_data_with_ov!AZ$3:AZ$1334,[1]ACSDT5Y2020.B08301_data_with_ov!$AS$3:$AS$1334,$B613)</f>
        <v>#VALUE!</v>
      </c>
      <c r="S613" s="17" t="e">
        <f>SUMIFS([1]ACSDT5Y2020.B08301_data_with_ov!BA$3:BA$1334,[1]ACSDT5Y2020.B08301_data_with_ov!$AS$3:$AS$1334,$B613)</f>
        <v>#VALUE!</v>
      </c>
      <c r="T613" s="188">
        <v>5.7284851759205335E-2</v>
      </c>
      <c r="U613" s="189" t="e">
        <f t="shared" si="39"/>
        <v>#VALUE!</v>
      </c>
      <c r="V613" s="188">
        <v>0</v>
      </c>
      <c r="W613" s="189" t="e">
        <f t="shared" si="36"/>
        <v>#VALUE!</v>
      </c>
      <c r="X613" s="188">
        <v>0</v>
      </c>
      <c r="Y613" s="189" t="e">
        <f t="shared" si="37"/>
        <v>#VALUE!</v>
      </c>
      <c r="Z613" s="188">
        <v>0</v>
      </c>
      <c r="AA613" s="189" t="e">
        <f t="shared" si="38"/>
        <v>#VALUE!</v>
      </c>
    </row>
    <row r="614" spans="1:27" x14ac:dyDescent="0.25">
      <c r="A614">
        <v>843800</v>
      </c>
      <c r="B614">
        <v>17031843800</v>
      </c>
      <c r="C614">
        <v>17031</v>
      </c>
      <c r="D614">
        <v>2010</v>
      </c>
      <c r="E614">
        <v>61</v>
      </c>
      <c r="F614">
        <v>14002983.359316099</v>
      </c>
      <c r="G614" s="45">
        <v>0.50228791319860899</v>
      </c>
      <c r="H614" s="60" t="str">
        <f>_xlfn.IFNA(
INDEX('Community Areas'!B$2:B$78,MATCH($E614,'Community Areas'!$A$2:$A$78,0)),
"")</f>
        <v>NEW CITY</v>
      </c>
      <c r="I614" s="63" t="str">
        <f>_xlfn.IFNA(
INDEX('Community Areas'!C$2:C$78,MATCH($E614,'Community Areas'!$A$2:$A$78,0)),
"")</f>
        <v>4-A</v>
      </c>
      <c r="J614" s="63">
        <f>_xlfn.IFNA(
INDEX('Community Areas'!D$2:D$78,MATCH($E614,'Community Areas'!$A$2:$A$78,0)),
"")</f>
        <v>4</v>
      </c>
      <c r="K614" s="60" t="str">
        <f>_xlfn.IFNA(
INDEX('Community Areas'!E$2:E$78,MATCH($E614,'Community Areas'!$A$2:$A$78,0)),
"")</f>
        <v>SOUTHWEST</v>
      </c>
      <c r="L614" s="17" t="e">
        <f>SUMIFS([1]ACSDT5Y2020.B08301_data_with_ov!AT$3:AT$1334,[1]ACSDT5Y2020.B08301_data_with_ov!$AS$3:$AS$1334,$B614)</f>
        <v>#VALUE!</v>
      </c>
      <c r="M614" s="17" t="e">
        <f>SUMIFS([1]ACSDT5Y2020.B08301_data_with_ov!AU$3:AU$1334,[1]ACSDT5Y2020.B08301_data_with_ov!$AS$3:$AS$1334,$B614)</f>
        <v>#VALUE!</v>
      </c>
      <c r="N614" s="17" t="e">
        <f>SUMIFS([1]ACSDT5Y2020.B08301_data_with_ov!AV$3:AV$1334,[1]ACSDT5Y2020.B08301_data_with_ov!$AS$3:$AS$1334,$B614)</f>
        <v>#VALUE!</v>
      </c>
      <c r="O614" s="17" t="e">
        <f>SUMIFS([1]ACSDT5Y2020.B08301_data_with_ov!AW$3:AW$1334,[1]ACSDT5Y2020.B08301_data_with_ov!$AS$3:$AS$1334,$B614)</f>
        <v>#VALUE!</v>
      </c>
      <c r="P614" s="17" t="e">
        <f>SUMIFS([1]ACSDT5Y2020.B08301_data_with_ov!AX$3:AX$1334,[1]ACSDT5Y2020.B08301_data_with_ov!$AS$3:$AS$1334,$B614)</f>
        <v>#VALUE!</v>
      </c>
      <c r="Q614" s="17" t="e">
        <f>SUMIFS([1]ACSDT5Y2020.B08301_data_with_ov!AY$3:AY$1334,[1]ACSDT5Y2020.B08301_data_with_ov!$AS$3:$AS$1334,$B614)</f>
        <v>#VALUE!</v>
      </c>
      <c r="R614" s="17" t="e">
        <f>SUMIFS([1]ACSDT5Y2020.B08301_data_with_ov!AZ$3:AZ$1334,[1]ACSDT5Y2020.B08301_data_with_ov!$AS$3:$AS$1334,$B614)</f>
        <v>#VALUE!</v>
      </c>
      <c r="S614" s="17" t="e">
        <f>SUMIFS([1]ACSDT5Y2020.B08301_data_with_ov!BA$3:BA$1334,[1]ACSDT5Y2020.B08301_data_with_ov!$AS$3:$AS$1334,$B614)</f>
        <v>#VALUE!</v>
      </c>
      <c r="T614" s="188">
        <v>0.50134475830080638</v>
      </c>
      <c r="U614" s="189" t="e">
        <f t="shared" si="39"/>
        <v>#VALUE!</v>
      </c>
      <c r="V614" s="188">
        <v>0.50134475830080638</v>
      </c>
      <c r="W614" s="189" t="e">
        <f t="shared" si="36"/>
        <v>#VALUE!</v>
      </c>
      <c r="X614" s="188">
        <v>0.50134475830080638</v>
      </c>
      <c r="Y614" s="189" t="e">
        <f t="shared" si="37"/>
        <v>#VALUE!</v>
      </c>
      <c r="Z614" s="188">
        <v>0.50134475830080638</v>
      </c>
      <c r="AA614" s="189" t="e">
        <f t="shared" si="38"/>
        <v>#VALUE!</v>
      </c>
    </row>
    <row r="615" spans="1:27" x14ac:dyDescent="0.25">
      <c r="A615">
        <v>611800</v>
      </c>
      <c r="B615">
        <v>17031611800</v>
      </c>
      <c r="C615">
        <v>17031</v>
      </c>
      <c r="D615">
        <v>2010</v>
      </c>
      <c r="E615">
        <v>61</v>
      </c>
      <c r="F615">
        <v>3528748.3278138898</v>
      </c>
      <c r="G615" s="45">
        <v>0.1265764293436456</v>
      </c>
      <c r="H615" s="60" t="str">
        <f>_xlfn.IFNA(
INDEX('Community Areas'!B$2:B$78,MATCH($E615,'Community Areas'!$A$2:$A$78,0)),
"")</f>
        <v>NEW CITY</v>
      </c>
      <c r="I615" s="63" t="str">
        <f>_xlfn.IFNA(
INDEX('Community Areas'!C$2:C$78,MATCH($E615,'Community Areas'!$A$2:$A$78,0)),
"")</f>
        <v>4-A</v>
      </c>
      <c r="J615" s="63">
        <f>_xlfn.IFNA(
INDEX('Community Areas'!D$2:D$78,MATCH($E615,'Community Areas'!$A$2:$A$78,0)),
"")</f>
        <v>4</v>
      </c>
      <c r="K615" s="60" t="str">
        <f>_xlfn.IFNA(
INDEX('Community Areas'!E$2:E$78,MATCH($E615,'Community Areas'!$A$2:$A$78,0)),
"")</f>
        <v>SOUTHWEST</v>
      </c>
      <c r="L615" s="17" t="e">
        <f>SUMIFS([1]ACSDT5Y2020.B08301_data_with_ov!AT$3:AT$1334,[1]ACSDT5Y2020.B08301_data_with_ov!$AS$3:$AS$1334,$B615)</f>
        <v>#VALUE!</v>
      </c>
      <c r="M615" s="17" t="e">
        <f>SUMIFS([1]ACSDT5Y2020.B08301_data_with_ov!AU$3:AU$1334,[1]ACSDT5Y2020.B08301_data_with_ov!$AS$3:$AS$1334,$B615)</f>
        <v>#VALUE!</v>
      </c>
      <c r="N615" s="17" t="e">
        <f>SUMIFS([1]ACSDT5Y2020.B08301_data_with_ov!AV$3:AV$1334,[1]ACSDT5Y2020.B08301_data_with_ov!$AS$3:$AS$1334,$B615)</f>
        <v>#VALUE!</v>
      </c>
      <c r="O615" s="17" t="e">
        <f>SUMIFS([1]ACSDT5Y2020.B08301_data_with_ov!AW$3:AW$1334,[1]ACSDT5Y2020.B08301_data_with_ov!$AS$3:$AS$1334,$B615)</f>
        <v>#VALUE!</v>
      </c>
      <c r="P615" s="17" t="e">
        <f>SUMIFS([1]ACSDT5Y2020.B08301_data_with_ov!AX$3:AX$1334,[1]ACSDT5Y2020.B08301_data_with_ov!$AS$3:$AS$1334,$B615)</f>
        <v>#VALUE!</v>
      </c>
      <c r="Q615" s="17" t="e">
        <f>SUMIFS([1]ACSDT5Y2020.B08301_data_with_ov!AY$3:AY$1334,[1]ACSDT5Y2020.B08301_data_with_ov!$AS$3:$AS$1334,$B615)</f>
        <v>#VALUE!</v>
      </c>
      <c r="R615" s="17" t="e">
        <f>SUMIFS([1]ACSDT5Y2020.B08301_data_with_ov!AZ$3:AZ$1334,[1]ACSDT5Y2020.B08301_data_with_ov!$AS$3:$AS$1334,$B615)</f>
        <v>#VALUE!</v>
      </c>
      <c r="S615" s="17" t="e">
        <f>SUMIFS([1]ACSDT5Y2020.B08301_data_with_ov!BA$3:BA$1334,[1]ACSDT5Y2020.B08301_data_with_ov!$AS$3:$AS$1334,$B615)</f>
        <v>#VALUE!</v>
      </c>
      <c r="T615" s="188">
        <v>0.12541569416270984</v>
      </c>
      <c r="U615" s="189" t="e">
        <f t="shared" si="39"/>
        <v>#VALUE!</v>
      </c>
      <c r="V615" s="188">
        <v>0.12541569375132755</v>
      </c>
      <c r="W615" s="189" t="e">
        <f t="shared" si="36"/>
        <v>#VALUE!</v>
      </c>
      <c r="X615" s="188">
        <v>0.12541569375132755</v>
      </c>
      <c r="Y615" s="189" t="e">
        <f t="shared" si="37"/>
        <v>#VALUE!</v>
      </c>
      <c r="Z615" s="188">
        <v>0.12541569375132755</v>
      </c>
      <c r="AA615" s="189" t="e">
        <f t="shared" si="38"/>
        <v>#VALUE!</v>
      </c>
    </row>
    <row r="616" spans="1:27" x14ac:dyDescent="0.25">
      <c r="A616">
        <v>611400</v>
      </c>
      <c r="B616">
        <v>17031611400</v>
      </c>
      <c r="C616">
        <v>17031</v>
      </c>
      <c r="D616">
        <v>2010</v>
      </c>
      <c r="E616">
        <v>61</v>
      </c>
      <c r="F616">
        <v>3515936.3360548601</v>
      </c>
      <c r="G616" s="45">
        <v>0.12611686237570521</v>
      </c>
      <c r="H616" s="60" t="str">
        <f>_xlfn.IFNA(
INDEX('Community Areas'!B$2:B$78,MATCH($E616,'Community Areas'!$A$2:$A$78,0)),
"")</f>
        <v>NEW CITY</v>
      </c>
      <c r="I616" s="63" t="str">
        <f>_xlfn.IFNA(
INDEX('Community Areas'!C$2:C$78,MATCH($E616,'Community Areas'!$A$2:$A$78,0)),
"")</f>
        <v>4-A</v>
      </c>
      <c r="J616" s="63">
        <f>_xlfn.IFNA(
INDEX('Community Areas'!D$2:D$78,MATCH($E616,'Community Areas'!$A$2:$A$78,0)),
"")</f>
        <v>4</v>
      </c>
      <c r="K616" s="60" t="str">
        <f>_xlfn.IFNA(
INDEX('Community Areas'!E$2:E$78,MATCH($E616,'Community Areas'!$A$2:$A$78,0)),
"")</f>
        <v>SOUTHWEST</v>
      </c>
      <c r="L616" s="17" t="e">
        <f>SUMIFS([1]ACSDT5Y2020.B08301_data_with_ov!AT$3:AT$1334,[1]ACSDT5Y2020.B08301_data_with_ov!$AS$3:$AS$1334,$B616)</f>
        <v>#VALUE!</v>
      </c>
      <c r="M616" s="17" t="e">
        <f>SUMIFS([1]ACSDT5Y2020.B08301_data_with_ov!AU$3:AU$1334,[1]ACSDT5Y2020.B08301_data_with_ov!$AS$3:$AS$1334,$B616)</f>
        <v>#VALUE!</v>
      </c>
      <c r="N616" s="17" t="e">
        <f>SUMIFS([1]ACSDT5Y2020.B08301_data_with_ov!AV$3:AV$1334,[1]ACSDT5Y2020.B08301_data_with_ov!$AS$3:$AS$1334,$B616)</f>
        <v>#VALUE!</v>
      </c>
      <c r="O616" s="17" t="e">
        <f>SUMIFS([1]ACSDT5Y2020.B08301_data_with_ov!AW$3:AW$1334,[1]ACSDT5Y2020.B08301_data_with_ov!$AS$3:$AS$1334,$B616)</f>
        <v>#VALUE!</v>
      </c>
      <c r="P616" s="17" t="e">
        <f>SUMIFS([1]ACSDT5Y2020.B08301_data_with_ov!AX$3:AX$1334,[1]ACSDT5Y2020.B08301_data_with_ov!$AS$3:$AS$1334,$B616)</f>
        <v>#VALUE!</v>
      </c>
      <c r="Q616" s="17" t="e">
        <f>SUMIFS([1]ACSDT5Y2020.B08301_data_with_ov!AY$3:AY$1334,[1]ACSDT5Y2020.B08301_data_with_ov!$AS$3:$AS$1334,$B616)</f>
        <v>#VALUE!</v>
      </c>
      <c r="R616" s="17" t="e">
        <f>SUMIFS([1]ACSDT5Y2020.B08301_data_with_ov!AZ$3:AZ$1334,[1]ACSDT5Y2020.B08301_data_with_ov!$AS$3:$AS$1334,$B616)</f>
        <v>#VALUE!</v>
      </c>
      <c r="S616" s="17" t="e">
        <f>SUMIFS([1]ACSDT5Y2020.B08301_data_with_ov!BA$3:BA$1334,[1]ACSDT5Y2020.B08301_data_with_ov!$AS$3:$AS$1334,$B616)</f>
        <v>#VALUE!</v>
      </c>
      <c r="T616" s="188">
        <v>0.12611686326871951</v>
      </c>
      <c r="U616" s="189" t="e">
        <f t="shared" si="39"/>
        <v>#VALUE!</v>
      </c>
      <c r="V616" s="188">
        <v>0.12021036158737086</v>
      </c>
      <c r="W616" s="189" t="e">
        <f t="shared" si="36"/>
        <v>#VALUE!</v>
      </c>
      <c r="X616" s="188">
        <v>0.12021036158737086</v>
      </c>
      <c r="Y616" s="189" t="e">
        <f t="shared" si="37"/>
        <v>#VALUE!</v>
      </c>
      <c r="Z616" s="188">
        <v>0.12021036158737086</v>
      </c>
      <c r="AA616" s="189" t="e">
        <f t="shared" si="38"/>
        <v>#VALUE!</v>
      </c>
    </row>
    <row r="617" spans="1:27" x14ac:dyDescent="0.25">
      <c r="A617">
        <v>611700</v>
      </c>
      <c r="B617">
        <v>17031611700</v>
      </c>
      <c r="C617">
        <v>17031</v>
      </c>
      <c r="D617">
        <v>2010</v>
      </c>
      <c r="E617">
        <v>61</v>
      </c>
      <c r="F617">
        <v>3533876.6205271399</v>
      </c>
      <c r="G617" s="45">
        <v>0.12676038153291222</v>
      </c>
      <c r="H617" s="60" t="str">
        <f>_xlfn.IFNA(
INDEX('Community Areas'!B$2:B$78,MATCH($E617,'Community Areas'!$A$2:$A$78,0)),
"")</f>
        <v>NEW CITY</v>
      </c>
      <c r="I617" s="63" t="str">
        <f>_xlfn.IFNA(
INDEX('Community Areas'!C$2:C$78,MATCH($E617,'Community Areas'!$A$2:$A$78,0)),
"")</f>
        <v>4-A</v>
      </c>
      <c r="J617" s="63">
        <f>_xlfn.IFNA(
INDEX('Community Areas'!D$2:D$78,MATCH($E617,'Community Areas'!$A$2:$A$78,0)),
"")</f>
        <v>4</v>
      </c>
      <c r="K617" s="60" t="str">
        <f>_xlfn.IFNA(
INDEX('Community Areas'!E$2:E$78,MATCH($E617,'Community Areas'!$A$2:$A$78,0)),
"")</f>
        <v>SOUTHWEST</v>
      </c>
      <c r="L617" s="17" t="e">
        <f>SUMIFS([1]ACSDT5Y2020.B08301_data_with_ov!AT$3:AT$1334,[1]ACSDT5Y2020.B08301_data_with_ov!$AS$3:$AS$1334,$B617)</f>
        <v>#VALUE!</v>
      </c>
      <c r="M617" s="17" t="e">
        <f>SUMIFS([1]ACSDT5Y2020.B08301_data_with_ov!AU$3:AU$1334,[1]ACSDT5Y2020.B08301_data_with_ov!$AS$3:$AS$1334,$B617)</f>
        <v>#VALUE!</v>
      </c>
      <c r="N617" s="17" t="e">
        <f>SUMIFS([1]ACSDT5Y2020.B08301_data_with_ov!AV$3:AV$1334,[1]ACSDT5Y2020.B08301_data_with_ov!$AS$3:$AS$1334,$B617)</f>
        <v>#VALUE!</v>
      </c>
      <c r="O617" s="17" t="e">
        <f>SUMIFS([1]ACSDT5Y2020.B08301_data_with_ov!AW$3:AW$1334,[1]ACSDT5Y2020.B08301_data_with_ov!$AS$3:$AS$1334,$B617)</f>
        <v>#VALUE!</v>
      </c>
      <c r="P617" s="17" t="e">
        <f>SUMIFS([1]ACSDT5Y2020.B08301_data_with_ov!AX$3:AX$1334,[1]ACSDT5Y2020.B08301_data_with_ov!$AS$3:$AS$1334,$B617)</f>
        <v>#VALUE!</v>
      </c>
      <c r="Q617" s="17" t="e">
        <f>SUMIFS([1]ACSDT5Y2020.B08301_data_with_ov!AY$3:AY$1334,[1]ACSDT5Y2020.B08301_data_with_ov!$AS$3:$AS$1334,$B617)</f>
        <v>#VALUE!</v>
      </c>
      <c r="R617" s="17" t="e">
        <f>SUMIFS([1]ACSDT5Y2020.B08301_data_with_ov!AZ$3:AZ$1334,[1]ACSDT5Y2020.B08301_data_with_ov!$AS$3:$AS$1334,$B617)</f>
        <v>#VALUE!</v>
      </c>
      <c r="S617" s="17" t="e">
        <f>SUMIFS([1]ACSDT5Y2020.B08301_data_with_ov!BA$3:BA$1334,[1]ACSDT5Y2020.B08301_data_with_ov!$AS$3:$AS$1334,$B617)</f>
        <v>#VALUE!</v>
      </c>
      <c r="T617" s="188">
        <v>0.12676038200379289</v>
      </c>
      <c r="U617" s="189" t="e">
        <f t="shared" si="39"/>
        <v>#VALUE!</v>
      </c>
      <c r="V617" s="188">
        <v>0.12676038200379289</v>
      </c>
      <c r="W617" s="189" t="e">
        <f t="shared" si="36"/>
        <v>#VALUE!</v>
      </c>
      <c r="X617" s="188">
        <v>0.12676038200379289</v>
      </c>
      <c r="Y617" s="189" t="e">
        <f t="shared" si="37"/>
        <v>#VALUE!</v>
      </c>
      <c r="Z617" s="188">
        <v>0.12676038200379289</v>
      </c>
      <c r="AA617" s="189" t="e">
        <f t="shared" si="38"/>
        <v>#VALUE!</v>
      </c>
    </row>
    <row r="618" spans="1:27" x14ac:dyDescent="0.25">
      <c r="A618">
        <v>610800</v>
      </c>
      <c r="B618">
        <v>17031610800</v>
      </c>
      <c r="C618">
        <v>17031</v>
      </c>
      <c r="D618">
        <v>2010</v>
      </c>
      <c r="E618">
        <v>61</v>
      </c>
      <c r="F618">
        <v>3454693.80775803</v>
      </c>
      <c r="G618" s="45">
        <v>0.12392008894907994</v>
      </c>
      <c r="H618" s="60" t="str">
        <f>_xlfn.IFNA(
INDEX('Community Areas'!B$2:B$78,MATCH($E618,'Community Areas'!$A$2:$A$78,0)),
"")</f>
        <v>NEW CITY</v>
      </c>
      <c r="I618" s="63" t="str">
        <f>_xlfn.IFNA(
INDEX('Community Areas'!C$2:C$78,MATCH($E618,'Community Areas'!$A$2:$A$78,0)),
"")</f>
        <v>4-A</v>
      </c>
      <c r="J618" s="63">
        <f>_xlfn.IFNA(
INDEX('Community Areas'!D$2:D$78,MATCH($E618,'Community Areas'!$A$2:$A$78,0)),
"")</f>
        <v>4</v>
      </c>
      <c r="K618" s="60" t="str">
        <f>_xlfn.IFNA(
INDEX('Community Areas'!E$2:E$78,MATCH($E618,'Community Areas'!$A$2:$A$78,0)),
"")</f>
        <v>SOUTHWEST</v>
      </c>
      <c r="L618" s="17" t="e">
        <f>SUMIFS([1]ACSDT5Y2020.B08301_data_with_ov!AT$3:AT$1334,[1]ACSDT5Y2020.B08301_data_with_ov!$AS$3:$AS$1334,$B618)</f>
        <v>#VALUE!</v>
      </c>
      <c r="M618" s="17" t="e">
        <f>SUMIFS([1]ACSDT5Y2020.B08301_data_with_ov!AU$3:AU$1334,[1]ACSDT5Y2020.B08301_data_with_ov!$AS$3:$AS$1334,$B618)</f>
        <v>#VALUE!</v>
      </c>
      <c r="N618" s="17" t="e">
        <f>SUMIFS([1]ACSDT5Y2020.B08301_data_with_ov!AV$3:AV$1334,[1]ACSDT5Y2020.B08301_data_with_ov!$AS$3:$AS$1334,$B618)</f>
        <v>#VALUE!</v>
      </c>
      <c r="O618" s="17" t="e">
        <f>SUMIFS([1]ACSDT5Y2020.B08301_data_with_ov!AW$3:AW$1334,[1]ACSDT5Y2020.B08301_data_with_ov!$AS$3:$AS$1334,$B618)</f>
        <v>#VALUE!</v>
      </c>
      <c r="P618" s="17" t="e">
        <f>SUMIFS([1]ACSDT5Y2020.B08301_data_with_ov!AX$3:AX$1334,[1]ACSDT5Y2020.B08301_data_with_ov!$AS$3:$AS$1334,$B618)</f>
        <v>#VALUE!</v>
      </c>
      <c r="Q618" s="17" t="e">
        <f>SUMIFS([1]ACSDT5Y2020.B08301_data_with_ov!AY$3:AY$1334,[1]ACSDT5Y2020.B08301_data_with_ov!$AS$3:$AS$1334,$B618)</f>
        <v>#VALUE!</v>
      </c>
      <c r="R618" s="17" t="e">
        <f>SUMIFS([1]ACSDT5Y2020.B08301_data_with_ov!AZ$3:AZ$1334,[1]ACSDT5Y2020.B08301_data_with_ov!$AS$3:$AS$1334,$B618)</f>
        <v>#VALUE!</v>
      </c>
      <c r="S618" s="17" t="e">
        <f>SUMIFS([1]ACSDT5Y2020.B08301_data_with_ov!BA$3:BA$1334,[1]ACSDT5Y2020.B08301_data_with_ov!$AS$3:$AS$1334,$B618)</f>
        <v>#VALUE!</v>
      </c>
      <c r="T618" s="188">
        <v>0.12358869602132942</v>
      </c>
      <c r="U618" s="189" t="e">
        <f t="shared" si="39"/>
        <v>#VALUE!</v>
      </c>
      <c r="V618" s="188">
        <v>0.12358869602132942</v>
      </c>
      <c r="W618" s="189" t="e">
        <f t="shared" si="36"/>
        <v>#VALUE!</v>
      </c>
      <c r="X618" s="188">
        <v>0.12358869602132942</v>
      </c>
      <c r="Y618" s="189" t="e">
        <f t="shared" si="37"/>
        <v>#VALUE!</v>
      </c>
      <c r="Z618" s="188">
        <v>0.12358869602132942</v>
      </c>
      <c r="AA618" s="189" t="e">
        <f t="shared" si="38"/>
        <v>#VALUE!</v>
      </c>
    </row>
    <row r="619" spans="1:27" x14ac:dyDescent="0.25">
      <c r="A619">
        <v>611200</v>
      </c>
      <c r="B619">
        <v>17031611200</v>
      </c>
      <c r="C619">
        <v>17031</v>
      </c>
      <c r="D619">
        <v>2010</v>
      </c>
      <c r="E619">
        <v>61</v>
      </c>
      <c r="F619">
        <v>3520954.8481577002</v>
      </c>
      <c r="G619" s="45">
        <v>0.12629687672741979</v>
      </c>
      <c r="H619" s="60" t="str">
        <f>_xlfn.IFNA(
INDEX('Community Areas'!B$2:B$78,MATCH($E619,'Community Areas'!$A$2:$A$78,0)),
"")</f>
        <v>NEW CITY</v>
      </c>
      <c r="I619" s="63" t="str">
        <f>_xlfn.IFNA(
INDEX('Community Areas'!C$2:C$78,MATCH($E619,'Community Areas'!$A$2:$A$78,0)),
"")</f>
        <v>4-A</v>
      </c>
      <c r="J619" s="63">
        <f>_xlfn.IFNA(
INDEX('Community Areas'!D$2:D$78,MATCH($E619,'Community Areas'!$A$2:$A$78,0)),
"")</f>
        <v>4</v>
      </c>
      <c r="K619" s="60" t="str">
        <f>_xlfn.IFNA(
INDEX('Community Areas'!E$2:E$78,MATCH($E619,'Community Areas'!$A$2:$A$78,0)),
"")</f>
        <v>SOUTHWEST</v>
      </c>
      <c r="L619" s="17" t="e">
        <f>SUMIFS([1]ACSDT5Y2020.B08301_data_with_ov!AT$3:AT$1334,[1]ACSDT5Y2020.B08301_data_with_ov!$AS$3:$AS$1334,$B619)</f>
        <v>#VALUE!</v>
      </c>
      <c r="M619" s="17" t="e">
        <f>SUMIFS([1]ACSDT5Y2020.B08301_data_with_ov!AU$3:AU$1334,[1]ACSDT5Y2020.B08301_data_with_ov!$AS$3:$AS$1334,$B619)</f>
        <v>#VALUE!</v>
      </c>
      <c r="N619" s="17" t="e">
        <f>SUMIFS([1]ACSDT5Y2020.B08301_data_with_ov!AV$3:AV$1334,[1]ACSDT5Y2020.B08301_data_with_ov!$AS$3:$AS$1334,$B619)</f>
        <v>#VALUE!</v>
      </c>
      <c r="O619" s="17" t="e">
        <f>SUMIFS([1]ACSDT5Y2020.B08301_data_with_ov!AW$3:AW$1334,[1]ACSDT5Y2020.B08301_data_with_ov!$AS$3:$AS$1334,$B619)</f>
        <v>#VALUE!</v>
      </c>
      <c r="P619" s="17" t="e">
        <f>SUMIFS([1]ACSDT5Y2020.B08301_data_with_ov!AX$3:AX$1334,[1]ACSDT5Y2020.B08301_data_with_ov!$AS$3:$AS$1334,$B619)</f>
        <v>#VALUE!</v>
      </c>
      <c r="Q619" s="17" t="e">
        <f>SUMIFS([1]ACSDT5Y2020.B08301_data_with_ov!AY$3:AY$1334,[1]ACSDT5Y2020.B08301_data_with_ov!$AS$3:$AS$1334,$B619)</f>
        <v>#VALUE!</v>
      </c>
      <c r="R619" s="17" t="e">
        <f>SUMIFS([1]ACSDT5Y2020.B08301_data_with_ov!AZ$3:AZ$1334,[1]ACSDT5Y2020.B08301_data_with_ov!$AS$3:$AS$1334,$B619)</f>
        <v>#VALUE!</v>
      </c>
      <c r="S619" s="17" t="e">
        <f>SUMIFS([1]ACSDT5Y2020.B08301_data_with_ov!BA$3:BA$1334,[1]ACSDT5Y2020.B08301_data_with_ov!$AS$3:$AS$1334,$B619)</f>
        <v>#VALUE!</v>
      </c>
      <c r="T619" s="188">
        <v>0.12527163084308532</v>
      </c>
      <c r="U619" s="189" t="e">
        <f t="shared" si="39"/>
        <v>#VALUE!</v>
      </c>
      <c r="V619" s="188">
        <v>0.12527163084308532</v>
      </c>
      <c r="W619" s="189" t="e">
        <f t="shared" si="36"/>
        <v>#VALUE!</v>
      </c>
      <c r="X619" s="188">
        <v>0.12527163084308532</v>
      </c>
      <c r="Y619" s="189" t="e">
        <f t="shared" si="37"/>
        <v>#VALUE!</v>
      </c>
      <c r="Z619" s="188">
        <v>0.12527163084308532</v>
      </c>
      <c r="AA619" s="189" t="e">
        <f t="shared" si="38"/>
        <v>#VALUE!</v>
      </c>
    </row>
    <row r="620" spans="1:27" x14ac:dyDescent="0.25">
      <c r="A620">
        <v>611600</v>
      </c>
      <c r="B620">
        <v>17031611600</v>
      </c>
      <c r="C620">
        <v>17031</v>
      </c>
      <c r="D620">
        <v>2010</v>
      </c>
      <c r="E620">
        <v>61</v>
      </c>
      <c r="F620">
        <v>3563051.4662977299</v>
      </c>
      <c r="G620" s="45">
        <v>0.12780688512603772</v>
      </c>
      <c r="H620" s="60" t="str">
        <f>_xlfn.IFNA(
INDEX('Community Areas'!B$2:B$78,MATCH($E620,'Community Areas'!$A$2:$A$78,0)),
"")</f>
        <v>NEW CITY</v>
      </c>
      <c r="I620" s="63" t="str">
        <f>_xlfn.IFNA(
INDEX('Community Areas'!C$2:C$78,MATCH($E620,'Community Areas'!$A$2:$A$78,0)),
"")</f>
        <v>4-A</v>
      </c>
      <c r="J620" s="63">
        <f>_xlfn.IFNA(
INDEX('Community Areas'!D$2:D$78,MATCH($E620,'Community Areas'!$A$2:$A$78,0)),
"")</f>
        <v>4</v>
      </c>
      <c r="K620" s="60" t="str">
        <f>_xlfn.IFNA(
INDEX('Community Areas'!E$2:E$78,MATCH($E620,'Community Areas'!$A$2:$A$78,0)),
"")</f>
        <v>SOUTHWEST</v>
      </c>
      <c r="L620" s="17" t="e">
        <f>SUMIFS([1]ACSDT5Y2020.B08301_data_with_ov!AT$3:AT$1334,[1]ACSDT5Y2020.B08301_data_with_ov!$AS$3:$AS$1334,$B620)</f>
        <v>#VALUE!</v>
      </c>
      <c r="M620" s="17" t="e">
        <f>SUMIFS([1]ACSDT5Y2020.B08301_data_with_ov!AU$3:AU$1334,[1]ACSDT5Y2020.B08301_data_with_ov!$AS$3:$AS$1334,$B620)</f>
        <v>#VALUE!</v>
      </c>
      <c r="N620" s="17" t="e">
        <f>SUMIFS([1]ACSDT5Y2020.B08301_data_with_ov!AV$3:AV$1334,[1]ACSDT5Y2020.B08301_data_with_ov!$AS$3:$AS$1334,$B620)</f>
        <v>#VALUE!</v>
      </c>
      <c r="O620" s="17" t="e">
        <f>SUMIFS([1]ACSDT5Y2020.B08301_data_with_ov!AW$3:AW$1334,[1]ACSDT5Y2020.B08301_data_with_ov!$AS$3:$AS$1334,$B620)</f>
        <v>#VALUE!</v>
      </c>
      <c r="P620" s="17" t="e">
        <f>SUMIFS([1]ACSDT5Y2020.B08301_data_with_ov!AX$3:AX$1334,[1]ACSDT5Y2020.B08301_data_with_ov!$AS$3:$AS$1334,$B620)</f>
        <v>#VALUE!</v>
      </c>
      <c r="Q620" s="17" t="e">
        <f>SUMIFS([1]ACSDT5Y2020.B08301_data_with_ov!AY$3:AY$1334,[1]ACSDT5Y2020.B08301_data_with_ov!$AS$3:$AS$1334,$B620)</f>
        <v>#VALUE!</v>
      </c>
      <c r="R620" s="17" t="e">
        <f>SUMIFS([1]ACSDT5Y2020.B08301_data_with_ov!AZ$3:AZ$1334,[1]ACSDT5Y2020.B08301_data_with_ov!$AS$3:$AS$1334,$B620)</f>
        <v>#VALUE!</v>
      </c>
      <c r="S620" s="17" t="e">
        <f>SUMIFS([1]ACSDT5Y2020.B08301_data_with_ov!BA$3:BA$1334,[1]ACSDT5Y2020.B08301_data_with_ov!$AS$3:$AS$1334,$B620)</f>
        <v>#VALUE!</v>
      </c>
      <c r="T620" s="188">
        <v>0.12780688441497753</v>
      </c>
      <c r="U620" s="189" t="e">
        <f t="shared" si="39"/>
        <v>#VALUE!</v>
      </c>
      <c r="V620" s="188">
        <v>0.12780688441497753</v>
      </c>
      <c r="W620" s="189" t="e">
        <f t="shared" si="36"/>
        <v>#VALUE!</v>
      </c>
      <c r="X620" s="188">
        <v>0.12780688441497753</v>
      </c>
      <c r="Y620" s="189" t="e">
        <f t="shared" si="37"/>
        <v>#VALUE!</v>
      </c>
      <c r="Z620" s="188">
        <v>0.12780688441497753</v>
      </c>
      <c r="AA620" s="189" t="e">
        <f t="shared" si="38"/>
        <v>#VALUE!</v>
      </c>
    </row>
    <row r="621" spans="1:27" x14ac:dyDescent="0.25">
      <c r="A621">
        <v>612000</v>
      </c>
      <c r="B621">
        <v>17031612000</v>
      </c>
      <c r="C621">
        <v>17031</v>
      </c>
      <c r="D621">
        <v>2010</v>
      </c>
      <c r="E621">
        <v>61</v>
      </c>
      <c r="F621">
        <v>3508567.1670387699</v>
      </c>
      <c r="G621" s="45">
        <v>0.12585252980941408</v>
      </c>
      <c r="H621" s="60" t="str">
        <f>_xlfn.IFNA(
INDEX('Community Areas'!B$2:B$78,MATCH($E621,'Community Areas'!$A$2:$A$78,0)),
"")</f>
        <v>NEW CITY</v>
      </c>
      <c r="I621" s="63" t="str">
        <f>_xlfn.IFNA(
INDEX('Community Areas'!C$2:C$78,MATCH($E621,'Community Areas'!$A$2:$A$78,0)),
"")</f>
        <v>4-A</v>
      </c>
      <c r="J621" s="63">
        <f>_xlfn.IFNA(
INDEX('Community Areas'!D$2:D$78,MATCH($E621,'Community Areas'!$A$2:$A$78,0)),
"")</f>
        <v>4</v>
      </c>
      <c r="K621" s="60" t="str">
        <f>_xlfn.IFNA(
INDEX('Community Areas'!E$2:E$78,MATCH($E621,'Community Areas'!$A$2:$A$78,0)),
"")</f>
        <v>SOUTHWEST</v>
      </c>
      <c r="L621" s="17" t="e">
        <f>SUMIFS([1]ACSDT5Y2020.B08301_data_with_ov!AT$3:AT$1334,[1]ACSDT5Y2020.B08301_data_with_ov!$AS$3:$AS$1334,$B621)</f>
        <v>#VALUE!</v>
      </c>
      <c r="M621" s="17" t="e">
        <f>SUMIFS([1]ACSDT5Y2020.B08301_data_with_ov!AU$3:AU$1334,[1]ACSDT5Y2020.B08301_data_with_ov!$AS$3:$AS$1334,$B621)</f>
        <v>#VALUE!</v>
      </c>
      <c r="N621" s="17" t="e">
        <f>SUMIFS([1]ACSDT5Y2020.B08301_data_with_ov!AV$3:AV$1334,[1]ACSDT5Y2020.B08301_data_with_ov!$AS$3:$AS$1334,$B621)</f>
        <v>#VALUE!</v>
      </c>
      <c r="O621" s="17" t="e">
        <f>SUMIFS([1]ACSDT5Y2020.B08301_data_with_ov!AW$3:AW$1334,[1]ACSDT5Y2020.B08301_data_with_ov!$AS$3:$AS$1334,$B621)</f>
        <v>#VALUE!</v>
      </c>
      <c r="P621" s="17" t="e">
        <f>SUMIFS([1]ACSDT5Y2020.B08301_data_with_ov!AX$3:AX$1334,[1]ACSDT5Y2020.B08301_data_with_ov!$AS$3:$AS$1334,$B621)</f>
        <v>#VALUE!</v>
      </c>
      <c r="Q621" s="17" t="e">
        <f>SUMIFS([1]ACSDT5Y2020.B08301_data_with_ov!AY$3:AY$1334,[1]ACSDT5Y2020.B08301_data_with_ov!$AS$3:$AS$1334,$B621)</f>
        <v>#VALUE!</v>
      </c>
      <c r="R621" s="17" t="e">
        <f>SUMIFS([1]ACSDT5Y2020.B08301_data_with_ov!AZ$3:AZ$1334,[1]ACSDT5Y2020.B08301_data_with_ov!$AS$3:$AS$1334,$B621)</f>
        <v>#VALUE!</v>
      </c>
      <c r="S621" s="17" t="e">
        <f>SUMIFS([1]ACSDT5Y2020.B08301_data_with_ov!BA$3:BA$1334,[1]ACSDT5Y2020.B08301_data_with_ov!$AS$3:$AS$1334,$B621)</f>
        <v>#VALUE!</v>
      </c>
      <c r="T621" s="188">
        <v>0.12585252696865962</v>
      </c>
      <c r="U621" s="189" t="e">
        <f t="shared" si="39"/>
        <v>#VALUE!</v>
      </c>
      <c r="V621" s="188">
        <v>0.12585252696865962</v>
      </c>
      <c r="W621" s="189" t="e">
        <f t="shared" si="36"/>
        <v>#VALUE!</v>
      </c>
      <c r="X621" s="188">
        <v>0.12585252696865962</v>
      </c>
      <c r="Y621" s="189" t="e">
        <f t="shared" si="37"/>
        <v>#VALUE!</v>
      </c>
      <c r="Z621" s="188">
        <v>0.12585252696865962</v>
      </c>
      <c r="AA621" s="189" t="e">
        <f t="shared" si="38"/>
        <v>#VALUE!</v>
      </c>
    </row>
    <row r="622" spans="1:27" x14ac:dyDescent="0.25">
      <c r="A622">
        <v>620100</v>
      </c>
      <c r="B622">
        <v>17031620100</v>
      </c>
      <c r="C622">
        <v>17031</v>
      </c>
      <c r="D622">
        <v>2010</v>
      </c>
      <c r="E622">
        <v>62</v>
      </c>
      <c r="F622">
        <v>8927330.8128133602</v>
      </c>
      <c r="G622" s="45">
        <v>0.32022393009689798</v>
      </c>
      <c r="H622" s="60" t="str">
        <f>_xlfn.IFNA(
INDEX('Community Areas'!B$2:B$78,MATCH($E622,'Community Areas'!$A$2:$A$78,0)),
"")</f>
        <v>WEST ELSDON</v>
      </c>
      <c r="I622" s="63" t="str">
        <f>_xlfn.IFNA(
INDEX('Community Areas'!C$2:C$78,MATCH($E622,'Community Areas'!$A$2:$A$78,0)),
"")</f>
        <v>4-B</v>
      </c>
      <c r="J622" s="63">
        <f>_xlfn.IFNA(
INDEX('Community Areas'!D$2:D$78,MATCH($E622,'Community Areas'!$A$2:$A$78,0)),
"")</f>
        <v>4</v>
      </c>
      <c r="K622" s="60" t="str">
        <f>_xlfn.IFNA(
INDEX('Community Areas'!E$2:E$78,MATCH($E622,'Community Areas'!$A$2:$A$78,0)),
"")</f>
        <v>SOUTHWEST</v>
      </c>
      <c r="L622" s="17" t="e">
        <f>SUMIFS([1]ACSDT5Y2020.B08301_data_with_ov!AT$3:AT$1334,[1]ACSDT5Y2020.B08301_data_with_ov!$AS$3:$AS$1334,$B622)</f>
        <v>#VALUE!</v>
      </c>
      <c r="M622" s="17" t="e">
        <f>SUMIFS([1]ACSDT5Y2020.B08301_data_with_ov!AU$3:AU$1334,[1]ACSDT5Y2020.B08301_data_with_ov!$AS$3:$AS$1334,$B622)</f>
        <v>#VALUE!</v>
      </c>
      <c r="N622" s="17" t="e">
        <f>SUMIFS([1]ACSDT5Y2020.B08301_data_with_ov!AV$3:AV$1334,[1]ACSDT5Y2020.B08301_data_with_ov!$AS$3:$AS$1334,$B622)</f>
        <v>#VALUE!</v>
      </c>
      <c r="O622" s="17" t="e">
        <f>SUMIFS([1]ACSDT5Y2020.B08301_data_with_ov!AW$3:AW$1334,[1]ACSDT5Y2020.B08301_data_with_ov!$AS$3:$AS$1334,$B622)</f>
        <v>#VALUE!</v>
      </c>
      <c r="P622" s="17" t="e">
        <f>SUMIFS([1]ACSDT5Y2020.B08301_data_with_ov!AX$3:AX$1334,[1]ACSDT5Y2020.B08301_data_with_ov!$AS$3:$AS$1334,$B622)</f>
        <v>#VALUE!</v>
      </c>
      <c r="Q622" s="17" t="e">
        <f>SUMIFS([1]ACSDT5Y2020.B08301_data_with_ov!AY$3:AY$1334,[1]ACSDT5Y2020.B08301_data_with_ov!$AS$3:$AS$1334,$B622)</f>
        <v>#VALUE!</v>
      </c>
      <c r="R622" s="17" t="e">
        <f>SUMIFS([1]ACSDT5Y2020.B08301_data_with_ov!AZ$3:AZ$1334,[1]ACSDT5Y2020.B08301_data_with_ov!$AS$3:$AS$1334,$B622)</f>
        <v>#VALUE!</v>
      </c>
      <c r="S622" s="17" t="e">
        <f>SUMIFS([1]ACSDT5Y2020.B08301_data_with_ov!BA$3:BA$1334,[1]ACSDT5Y2020.B08301_data_with_ov!$AS$3:$AS$1334,$B622)</f>
        <v>#VALUE!</v>
      </c>
      <c r="T622" s="188">
        <v>0</v>
      </c>
      <c r="U622" s="189" t="e">
        <f t="shared" si="39"/>
        <v>#VALUE!</v>
      </c>
      <c r="V622" s="188">
        <v>0</v>
      </c>
      <c r="W622" s="189" t="e">
        <f t="shared" si="36"/>
        <v>#VALUE!</v>
      </c>
      <c r="X622" s="188">
        <v>0</v>
      </c>
      <c r="Y622" s="189" t="e">
        <f t="shared" si="37"/>
        <v>#VALUE!</v>
      </c>
      <c r="Z622" s="188">
        <v>0</v>
      </c>
      <c r="AA622" s="189" t="e">
        <f t="shared" si="38"/>
        <v>#VALUE!</v>
      </c>
    </row>
    <row r="623" spans="1:27" x14ac:dyDescent="0.25">
      <c r="A623">
        <v>620200</v>
      </c>
      <c r="B623">
        <v>17031620200</v>
      </c>
      <c r="C623">
        <v>17031</v>
      </c>
      <c r="D623">
        <v>2010</v>
      </c>
      <c r="E623">
        <v>62</v>
      </c>
      <c r="F623">
        <v>6181557.6119186003</v>
      </c>
      <c r="G623" s="45">
        <v>0.22173286888482124</v>
      </c>
      <c r="H623" s="60" t="str">
        <f>_xlfn.IFNA(
INDEX('Community Areas'!B$2:B$78,MATCH($E623,'Community Areas'!$A$2:$A$78,0)),
"")</f>
        <v>WEST ELSDON</v>
      </c>
      <c r="I623" s="63" t="str">
        <f>_xlfn.IFNA(
INDEX('Community Areas'!C$2:C$78,MATCH($E623,'Community Areas'!$A$2:$A$78,0)),
"")</f>
        <v>4-B</v>
      </c>
      <c r="J623" s="63">
        <f>_xlfn.IFNA(
INDEX('Community Areas'!D$2:D$78,MATCH($E623,'Community Areas'!$A$2:$A$78,0)),
"")</f>
        <v>4</v>
      </c>
      <c r="K623" s="60" t="str">
        <f>_xlfn.IFNA(
INDEX('Community Areas'!E$2:E$78,MATCH($E623,'Community Areas'!$A$2:$A$78,0)),
"")</f>
        <v>SOUTHWEST</v>
      </c>
      <c r="L623" s="17" t="e">
        <f>SUMIFS([1]ACSDT5Y2020.B08301_data_with_ov!AT$3:AT$1334,[1]ACSDT5Y2020.B08301_data_with_ov!$AS$3:$AS$1334,$B623)</f>
        <v>#VALUE!</v>
      </c>
      <c r="M623" s="17" t="e">
        <f>SUMIFS([1]ACSDT5Y2020.B08301_data_with_ov!AU$3:AU$1334,[1]ACSDT5Y2020.B08301_data_with_ov!$AS$3:$AS$1334,$B623)</f>
        <v>#VALUE!</v>
      </c>
      <c r="N623" s="17" t="e">
        <f>SUMIFS([1]ACSDT5Y2020.B08301_data_with_ov!AV$3:AV$1334,[1]ACSDT5Y2020.B08301_data_with_ov!$AS$3:$AS$1334,$B623)</f>
        <v>#VALUE!</v>
      </c>
      <c r="O623" s="17" t="e">
        <f>SUMIFS([1]ACSDT5Y2020.B08301_data_with_ov!AW$3:AW$1334,[1]ACSDT5Y2020.B08301_data_with_ov!$AS$3:$AS$1334,$B623)</f>
        <v>#VALUE!</v>
      </c>
      <c r="P623" s="17" t="e">
        <f>SUMIFS([1]ACSDT5Y2020.B08301_data_with_ov!AX$3:AX$1334,[1]ACSDT5Y2020.B08301_data_with_ov!$AS$3:$AS$1334,$B623)</f>
        <v>#VALUE!</v>
      </c>
      <c r="Q623" s="17" t="e">
        <f>SUMIFS([1]ACSDT5Y2020.B08301_data_with_ov!AY$3:AY$1334,[1]ACSDT5Y2020.B08301_data_with_ov!$AS$3:$AS$1334,$B623)</f>
        <v>#VALUE!</v>
      </c>
      <c r="R623" s="17" t="e">
        <f>SUMIFS([1]ACSDT5Y2020.B08301_data_with_ov!AZ$3:AZ$1334,[1]ACSDT5Y2020.B08301_data_with_ov!$AS$3:$AS$1334,$B623)</f>
        <v>#VALUE!</v>
      </c>
      <c r="S623" s="17" t="e">
        <f>SUMIFS([1]ACSDT5Y2020.B08301_data_with_ov!BA$3:BA$1334,[1]ACSDT5Y2020.B08301_data_with_ov!$AS$3:$AS$1334,$B623)</f>
        <v>#VALUE!</v>
      </c>
      <c r="T623" s="188">
        <v>0</v>
      </c>
      <c r="U623" s="189" t="e">
        <f t="shared" si="39"/>
        <v>#VALUE!</v>
      </c>
      <c r="V623" s="188">
        <v>0</v>
      </c>
      <c r="W623" s="189" t="e">
        <f t="shared" si="36"/>
        <v>#VALUE!</v>
      </c>
      <c r="X623" s="188">
        <v>0</v>
      </c>
      <c r="Y623" s="189" t="e">
        <f t="shared" si="37"/>
        <v>#VALUE!</v>
      </c>
      <c r="Z623" s="188">
        <v>0</v>
      </c>
      <c r="AA623" s="189" t="e">
        <f t="shared" si="38"/>
        <v>#VALUE!</v>
      </c>
    </row>
    <row r="624" spans="1:27" x14ac:dyDescent="0.25">
      <c r="A624">
        <v>620400</v>
      </c>
      <c r="B624">
        <v>17031620400</v>
      </c>
      <c r="C624">
        <v>17031</v>
      </c>
      <c r="D624">
        <v>2010</v>
      </c>
      <c r="E624">
        <v>62</v>
      </c>
      <c r="F624">
        <v>6989956.6721023703</v>
      </c>
      <c r="G624" s="45">
        <v>0.25073019513682171</v>
      </c>
      <c r="H624" s="60" t="str">
        <f>_xlfn.IFNA(
INDEX('Community Areas'!B$2:B$78,MATCH($E624,'Community Areas'!$A$2:$A$78,0)),
"")</f>
        <v>WEST ELSDON</v>
      </c>
      <c r="I624" s="63" t="str">
        <f>_xlfn.IFNA(
INDEX('Community Areas'!C$2:C$78,MATCH($E624,'Community Areas'!$A$2:$A$78,0)),
"")</f>
        <v>4-B</v>
      </c>
      <c r="J624" s="63">
        <f>_xlfn.IFNA(
INDEX('Community Areas'!D$2:D$78,MATCH($E624,'Community Areas'!$A$2:$A$78,0)),
"")</f>
        <v>4</v>
      </c>
      <c r="K624" s="60" t="str">
        <f>_xlfn.IFNA(
INDEX('Community Areas'!E$2:E$78,MATCH($E624,'Community Areas'!$A$2:$A$78,0)),
"")</f>
        <v>SOUTHWEST</v>
      </c>
      <c r="L624" s="17" t="e">
        <f>SUMIFS([1]ACSDT5Y2020.B08301_data_with_ov!AT$3:AT$1334,[1]ACSDT5Y2020.B08301_data_with_ov!$AS$3:$AS$1334,$B624)</f>
        <v>#VALUE!</v>
      </c>
      <c r="M624" s="17" t="e">
        <f>SUMIFS([1]ACSDT5Y2020.B08301_data_with_ov!AU$3:AU$1334,[1]ACSDT5Y2020.B08301_data_with_ov!$AS$3:$AS$1334,$B624)</f>
        <v>#VALUE!</v>
      </c>
      <c r="N624" s="17" t="e">
        <f>SUMIFS([1]ACSDT5Y2020.B08301_data_with_ov!AV$3:AV$1334,[1]ACSDT5Y2020.B08301_data_with_ov!$AS$3:$AS$1334,$B624)</f>
        <v>#VALUE!</v>
      </c>
      <c r="O624" s="17" t="e">
        <f>SUMIFS([1]ACSDT5Y2020.B08301_data_with_ov!AW$3:AW$1334,[1]ACSDT5Y2020.B08301_data_with_ov!$AS$3:$AS$1334,$B624)</f>
        <v>#VALUE!</v>
      </c>
      <c r="P624" s="17" t="e">
        <f>SUMIFS([1]ACSDT5Y2020.B08301_data_with_ov!AX$3:AX$1334,[1]ACSDT5Y2020.B08301_data_with_ov!$AS$3:$AS$1334,$B624)</f>
        <v>#VALUE!</v>
      </c>
      <c r="Q624" s="17" t="e">
        <f>SUMIFS([1]ACSDT5Y2020.B08301_data_with_ov!AY$3:AY$1334,[1]ACSDT5Y2020.B08301_data_with_ov!$AS$3:$AS$1334,$B624)</f>
        <v>#VALUE!</v>
      </c>
      <c r="R624" s="17" t="e">
        <f>SUMIFS([1]ACSDT5Y2020.B08301_data_with_ov!AZ$3:AZ$1334,[1]ACSDT5Y2020.B08301_data_with_ov!$AS$3:$AS$1334,$B624)</f>
        <v>#VALUE!</v>
      </c>
      <c r="S624" s="17" t="e">
        <f>SUMIFS([1]ACSDT5Y2020.B08301_data_with_ov!BA$3:BA$1334,[1]ACSDT5Y2020.B08301_data_with_ov!$AS$3:$AS$1334,$B624)</f>
        <v>#VALUE!</v>
      </c>
      <c r="T624" s="188">
        <v>0.25004355146666163</v>
      </c>
      <c r="U624" s="189" t="e">
        <f t="shared" si="39"/>
        <v>#VALUE!</v>
      </c>
      <c r="V624" s="188">
        <v>0</v>
      </c>
      <c r="W624" s="189" t="e">
        <f t="shared" si="36"/>
        <v>#VALUE!</v>
      </c>
      <c r="X624" s="188">
        <v>0</v>
      </c>
      <c r="Y624" s="189" t="e">
        <f t="shared" si="37"/>
        <v>#VALUE!</v>
      </c>
      <c r="Z624" s="188">
        <v>0</v>
      </c>
      <c r="AA624" s="189" t="e">
        <f t="shared" si="38"/>
        <v>#VALUE!</v>
      </c>
    </row>
    <row r="625" spans="1:27" x14ac:dyDescent="0.25">
      <c r="A625">
        <v>620300</v>
      </c>
      <c r="B625">
        <v>17031620300</v>
      </c>
      <c r="C625">
        <v>17031</v>
      </c>
      <c r="D625">
        <v>2010</v>
      </c>
      <c r="E625">
        <v>62</v>
      </c>
      <c r="F625">
        <v>10612246.329075901</v>
      </c>
      <c r="G625" s="45">
        <v>0.38066195797018126</v>
      </c>
      <c r="H625" s="60" t="str">
        <f>_xlfn.IFNA(
INDEX('Community Areas'!B$2:B$78,MATCH($E625,'Community Areas'!$A$2:$A$78,0)),
"")</f>
        <v>WEST ELSDON</v>
      </c>
      <c r="I625" s="63" t="str">
        <f>_xlfn.IFNA(
INDEX('Community Areas'!C$2:C$78,MATCH($E625,'Community Areas'!$A$2:$A$78,0)),
"")</f>
        <v>4-B</v>
      </c>
      <c r="J625" s="63">
        <f>_xlfn.IFNA(
INDEX('Community Areas'!D$2:D$78,MATCH($E625,'Community Areas'!$A$2:$A$78,0)),
"")</f>
        <v>4</v>
      </c>
      <c r="K625" s="60" t="str">
        <f>_xlfn.IFNA(
INDEX('Community Areas'!E$2:E$78,MATCH($E625,'Community Areas'!$A$2:$A$78,0)),
"")</f>
        <v>SOUTHWEST</v>
      </c>
      <c r="L625" s="17" t="e">
        <f>SUMIFS([1]ACSDT5Y2020.B08301_data_with_ov!AT$3:AT$1334,[1]ACSDT5Y2020.B08301_data_with_ov!$AS$3:$AS$1334,$B625)</f>
        <v>#VALUE!</v>
      </c>
      <c r="M625" s="17" t="e">
        <f>SUMIFS([1]ACSDT5Y2020.B08301_data_with_ov!AU$3:AU$1334,[1]ACSDT5Y2020.B08301_data_with_ov!$AS$3:$AS$1334,$B625)</f>
        <v>#VALUE!</v>
      </c>
      <c r="N625" s="17" t="e">
        <f>SUMIFS([1]ACSDT5Y2020.B08301_data_with_ov!AV$3:AV$1334,[1]ACSDT5Y2020.B08301_data_with_ov!$AS$3:$AS$1334,$B625)</f>
        <v>#VALUE!</v>
      </c>
      <c r="O625" s="17" t="e">
        <f>SUMIFS([1]ACSDT5Y2020.B08301_data_with_ov!AW$3:AW$1334,[1]ACSDT5Y2020.B08301_data_with_ov!$AS$3:$AS$1334,$B625)</f>
        <v>#VALUE!</v>
      </c>
      <c r="P625" s="17" t="e">
        <f>SUMIFS([1]ACSDT5Y2020.B08301_data_with_ov!AX$3:AX$1334,[1]ACSDT5Y2020.B08301_data_with_ov!$AS$3:$AS$1334,$B625)</f>
        <v>#VALUE!</v>
      </c>
      <c r="Q625" s="17" t="e">
        <f>SUMIFS([1]ACSDT5Y2020.B08301_data_with_ov!AY$3:AY$1334,[1]ACSDT5Y2020.B08301_data_with_ov!$AS$3:$AS$1334,$B625)</f>
        <v>#VALUE!</v>
      </c>
      <c r="R625" s="17" t="e">
        <f>SUMIFS([1]ACSDT5Y2020.B08301_data_with_ov!AZ$3:AZ$1334,[1]ACSDT5Y2020.B08301_data_with_ov!$AS$3:$AS$1334,$B625)</f>
        <v>#VALUE!</v>
      </c>
      <c r="S625" s="17" t="e">
        <f>SUMIFS([1]ACSDT5Y2020.B08301_data_with_ov!BA$3:BA$1334,[1]ACSDT5Y2020.B08301_data_with_ov!$AS$3:$AS$1334,$B625)</f>
        <v>#VALUE!</v>
      </c>
      <c r="T625" s="188">
        <v>0.37880351075926882</v>
      </c>
      <c r="U625" s="189" t="e">
        <f t="shared" si="39"/>
        <v>#VALUE!</v>
      </c>
      <c r="V625" s="188">
        <v>0</v>
      </c>
      <c r="W625" s="189" t="e">
        <f t="shared" si="36"/>
        <v>#VALUE!</v>
      </c>
      <c r="X625" s="188">
        <v>0</v>
      </c>
      <c r="Y625" s="189" t="e">
        <f t="shared" si="37"/>
        <v>#VALUE!</v>
      </c>
      <c r="Z625" s="188">
        <v>0</v>
      </c>
      <c r="AA625" s="189" t="e">
        <f t="shared" si="38"/>
        <v>#VALUE!</v>
      </c>
    </row>
    <row r="626" spans="1:27" x14ac:dyDescent="0.25">
      <c r="A626">
        <v>630200</v>
      </c>
      <c r="B626">
        <v>17031630200</v>
      </c>
      <c r="C626">
        <v>17031</v>
      </c>
      <c r="D626">
        <v>2010</v>
      </c>
      <c r="E626">
        <v>63</v>
      </c>
      <c r="F626">
        <v>6868114.70026395</v>
      </c>
      <c r="G626" s="45">
        <v>0.24635971577507856</v>
      </c>
      <c r="H626" s="60" t="str">
        <f>_xlfn.IFNA(
INDEX('Community Areas'!B$2:B$78,MATCH($E626,'Community Areas'!$A$2:$A$78,0)),
"")</f>
        <v>GAGE PARK</v>
      </c>
      <c r="I626" s="63" t="str">
        <f>_xlfn.IFNA(
INDEX('Community Areas'!C$2:C$78,MATCH($E626,'Community Areas'!$A$2:$A$78,0)),
"")</f>
        <v>4-B</v>
      </c>
      <c r="J626" s="63">
        <f>_xlfn.IFNA(
INDEX('Community Areas'!D$2:D$78,MATCH($E626,'Community Areas'!$A$2:$A$78,0)),
"")</f>
        <v>4</v>
      </c>
      <c r="K626" s="60" t="str">
        <f>_xlfn.IFNA(
INDEX('Community Areas'!E$2:E$78,MATCH($E626,'Community Areas'!$A$2:$A$78,0)),
"")</f>
        <v>SOUTHWEST</v>
      </c>
      <c r="L626" s="17" t="e">
        <f>SUMIFS([1]ACSDT5Y2020.B08301_data_with_ov!AT$3:AT$1334,[1]ACSDT5Y2020.B08301_data_with_ov!$AS$3:$AS$1334,$B626)</f>
        <v>#VALUE!</v>
      </c>
      <c r="M626" s="17" t="e">
        <f>SUMIFS([1]ACSDT5Y2020.B08301_data_with_ov!AU$3:AU$1334,[1]ACSDT5Y2020.B08301_data_with_ov!$AS$3:$AS$1334,$B626)</f>
        <v>#VALUE!</v>
      </c>
      <c r="N626" s="17" t="e">
        <f>SUMIFS([1]ACSDT5Y2020.B08301_data_with_ov!AV$3:AV$1334,[1]ACSDT5Y2020.B08301_data_with_ov!$AS$3:$AS$1334,$B626)</f>
        <v>#VALUE!</v>
      </c>
      <c r="O626" s="17" t="e">
        <f>SUMIFS([1]ACSDT5Y2020.B08301_data_with_ov!AW$3:AW$1334,[1]ACSDT5Y2020.B08301_data_with_ov!$AS$3:$AS$1334,$B626)</f>
        <v>#VALUE!</v>
      </c>
      <c r="P626" s="17" t="e">
        <f>SUMIFS([1]ACSDT5Y2020.B08301_data_with_ov!AX$3:AX$1334,[1]ACSDT5Y2020.B08301_data_with_ov!$AS$3:$AS$1334,$B626)</f>
        <v>#VALUE!</v>
      </c>
      <c r="Q626" s="17" t="e">
        <f>SUMIFS([1]ACSDT5Y2020.B08301_data_with_ov!AY$3:AY$1334,[1]ACSDT5Y2020.B08301_data_with_ov!$AS$3:$AS$1334,$B626)</f>
        <v>#VALUE!</v>
      </c>
      <c r="R626" s="17" t="e">
        <f>SUMIFS([1]ACSDT5Y2020.B08301_data_with_ov!AZ$3:AZ$1334,[1]ACSDT5Y2020.B08301_data_with_ov!$AS$3:$AS$1334,$B626)</f>
        <v>#VALUE!</v>
      </c>
      <c r="S626" s="17" t="e">
        <f>SUMIFS([1]ACSDT5Y2020.B08301_data_with_ov!BA$3:BA$1334,[1]ACSDT5Y2020.B08301_data_with_ov!$AS$3:$AS$1334,$B626)</f>
        <v>#VALUE!</v>
      </c>
      <c r="T626" s="188">
        <v>0</v>
      </c>
      <c r="U626" s="189" t="e">
        <f t="shared" si="39"/>
        <v>#VALUE!</v>
      </c>
      <c r="V626" s="188">
        <v>0</v>
      </c>
      <c r="W626" s="189" t="e">
        <f t="shared" si="36"/>
        <v>#VALUE!</v>
      </c>
      <c r="X626" s="188">
        <v>0</v>
      </c>
      <c r="Y626" s="189" t="e">
        <f t="shared" si="37"/>
        <v>#VALUE!</v>
      </c>
      <c r="Z626" s="188">
        <v>0</v>
      </c>
      <c r="AA626" s="189" t="e">
        <f t="shared" si="38"/>
        <v>#VALUE!</v>
      </c>
    </row>
    <row r="627" spans="1:27" x14ac:dyDescent="0.25">
      <c r="A627">
        <v>630300</v>
      </c>
      <c r="B627">
        <v>17031630300</v>
      </c>
      <c r="C627">
        <v>17031</v>
      </c>
      <c r="D627">
        <v>2010</v>
      </c>
      <c r="E627">
        <v>63</v>
      </c>
      <c r="F627">
        <v>10493769.1657323</v>
      </c>
      <c r="G627" s="45">
        <v>0.37641217450543429</v>
      </c>
      <c r="H627" s="60" t="str">
        <f>_xlfn.IFNA(
INDEX('Community Areas'!B$2:B$78,MATCH($E627,'Community Areas'!$A$2:$A$78,0)),
"")</f>
        <v>GAGE PARK</v>
      </c>
      <c r="I627" s="63" t="str">
        <f>_xlfn.IFNA(
INDEX('Community Areas'!C$2:C$78,MATCH($E627,'Community Areas'!$A$2:$A$78,0)),
"")</f>
        <v>4-B</v>
      </c>
      <c r="J627" s="63">
        <f>_xlfn.IFNA(
INDEX('Community Areas'!D$2:D$78,MATCH($E627,'Community Areas'!$A$2:$A$78,0)),
"")</f>
        <v>4</v>
      </c>
      <c r="K627" s="60" t="str">
        <f>_xlfn.IFNA(
INDEX('Community Areas'!E$2:E$78,MATCH($E627,'Community Areas'!$A$2:$A$78,0)),
"")</f>
        <v>SOUTHWEST</v>
      </c>
      <c r="L627" s="17" t="e">
        <f>SUMIFS([1]ACSDT5Y2020.B08301_data_with_ov!AT$3:AT$1334,[1]ACSDT5Y2020.B08301_data_with_ov!$AS$3:$AS$1334,$B627)</f>
        <v>#VALUE!</v>
      </c>
      <c r="M627" s="17" t="e">
        <f>SUMIFS([1]ACSDT5Y2020.B08301_data_with_ov!AU$3:AU$1334,[1]ACSDT5Y2020.B08301_data_with_ov!$AS$3:$AS$1334,$B627)</f>
        <v>#VALUE!</v>
      </c>
      <c r="N627" s="17" t="e">
        <f>SUMIFS([1]ACSDT5Y2020.B08301_data_with_ov!AV$3:AV$1334,[1]ACSDT5Y2020.B08301_data_with_ov!$AS$3:$AS$1334,$B627)</f>
        <v>#VALUE!</v>
      </c>
      <c r="O627" s="17" t="e">
        <f>SUMIFS([1]ACSDT5Y2020.B08301_data_with_ov!AW$3:AW$1334,[1]ACSDT5Y2020.B08301_data_with_ov!$AS$3:$AS$1334,$B627)</f>
        <v>#VALUE!</v>
      </c>
      <c r="P627" s="17" t="e">
        <f>SUMIFS([1]ACSDT5Y2020.B08301_data_with_ov!AX$3:AX$1334,[1]ACSDT5Y2020.B08301_data_with_ov!$AS$3:$AS$1334,$B627)</f>
        <v>#VALUE!</v>
      </c>
      <c r="Q627" s="17" t="e">
        <f>SUMIFS([1]ACSDT5Y2020.B08301_data_with_ov!AY$3:AY$1334,[1]ACSDT5Y2020.B08301_data_with_ov!$AS$3:$AS$1334,$B627)</f>
        <v>#VALUE!</v>
      </c>
      <c r="R627" s="17" t="e">
        <f>SUMIFS([1]ACSDT5Y2020.B08301_data_with_ov!AZ$3:AZ$1334,[1]ACSDT5Y2020.B08301_data_with_ov!$AS$3:$AS$1334,$B627)</f>
        <v>#VALUE!</v>
      </c>
      <c r="S627" s="17" t="e">
        <f>SUMIFS([1]ACSDT5Y2020.B08301_data_with_ov!BA$3:BA$1334,[1]ACSDT5Y2020.B08301_data_with_ov!$AS$3:$AS$1334,$B627)</f>
        <v>#VALUE!</v>
      </c>
      <c r="T627" s="188">
        <v>0</v>
      </c>
      <c r="U627" s="189" t="e">
        <f t="shared" si="39"/>
        <v>#VALUE!</v>
      </c>
      <c r="V627" s="188">
        <v>0</v>
      </c>
      <c r="W627" s="189" t="e">
        <f t="shared" si="36"/>
        <v>#VALUE!</v>
      </c>
      <c r="X627" s="188">
        <v>0</v>
      </c>
      <c r="Y627" s="189" t="e">
        <f t="shared" si="37"/>
        <v>#VALUE!</v>
      </c>
      <c r="Z627" s="188">
        <v>0</v>
      </c>
      <c r="AA627" s="189" t="e">
        <f t="shared" si="38"/>
        <v>#VALUE!</v>
      </c>
    </row>
    <row r="628" spans="1:27" x14ac:dyDescent="0.25">
      <c r="A628">
        <v>630500</v>
      </c>
      <c r="B628">
        <v>17031630500</v>
      </c>
      <c r="C628">
        <v>17031</v>
      </c>
      <c r="D628">
        <v>2010</v>
      </c>
      <c r="E628">
        <v>63</v>
      </c>
      <c r="F628">
        <v>7079980.7363446299</v>
      </c>
      <c r="G628" s="45">
        <v>0.25395936410786235</v>
      </c>
      <c r="H628" s="60" t="str">
        <f>_xlfn.IFNA(
INDEX('Community Areas'!B$2:B$78,MATCH($E628,'Community Areas'!$A$2:$A$78,0)),
"")</f>
        <v>GAGE PARK</v>
      </c>
      <c r="I628" s="63" t="str">
        <f>_xlfn.IFNA(
INDEX('Community Areas'!C$2:C$78,MATCH($E628,'Community Areas'!$A$2:$A$78,0)),
"")</f>
        <v>4-B</v>
      </c>
      <c r="J628" s="63">
        <f>_xlfn.IFNA(
INDEX('Community Areas'!D$2:D$78,MATCH($E628,'Community Areas'!$A$2:$A$78,0)),
"")</f>
        <v>4</v>
      </c>
      <c r="K628" s="60" t="str">
        <f>_xlfn.IFNA(
INDEX('Community Areas'!E$2:E$78,MATCH($E628,'Community Areas'!$A$2:$A$78,0)),
"")</f>
        <v>SOUTHWEST</v>
      </c>
      <c r="L628" s="17" t="e">
        <f>SUMIFS([1]ACSDT5Y2020.B08301_data_with_ov!AT$3:AT$1334,[1]ACSDT5Y2020.B08301_data_with_ov!$AS$3:$AS$1334,$B628)</f>
        <v>#VALUE!</v>
      </c>
      <c r="M628" s="17" t="e">
        <f>SUMIFS([1]ACSDT5Y2020.B08301_data_with_ov!AU$3:AU$1334,[1]ACSDT5Y2020.B08301_data_with_ov!$AS$3:$AS$1334,$B628)</f>
        <v>#VALUE!</v>
      </c>
      <c r="N628" s="17" t="e">
        <f>SUMIFS([1]ACSDT5Y2020.B08301_data_with_ov!AV$3:AV$1334,[1]ACSDT5Y2020.B08301_data_with_ov!$AS$3:$AS$1334,$B628)</f>
        <v>#VALUE!</v>
      </c>
      <c r="O628" s="17" t="e">
        <f>SUMIFS([1]ACSDT5Y2020.B08301_data_with_ov!AW$3:AW$1334,[1]ACSDT5Y2020.B08301_data_with_ov!$AS$3:$AS$1334,$B628)</f>
        <v>#VALUE!</v>
      </c>
      <c r="P628" s="17" t="e">
        <f>SUMIFS([1]ACSDT5Y2020.B08301_data_with_ov!AX$3:AX$1334,[1]ACSDT5Y2020.B08301_data_with_ov!$AS$3:$AS$1334,$B628)</f>
        <v>#VALUE!</v>
      </c>
      <c r="Q628" s="17" t="e">
        <f>SUMIFS([1]ACSDT5Y2020.B08301_data_with_ov!AY$3:AY$1334,[1]ACSDT5Y2020.B08301_data_with_ov!$AS$3:$AS$1334,$B628)</f>
        <v>#VALUE!</v>
      </c>
      <c r="R628" s="17" t="e">
        <f>SUMIFS([1]ACSDT5Y2020.B08301_data_with_ov!AZ$3:AZ$1334,[1]ACSDT5Y2020.B08301_data_with_ov!$AS$3:$AS$1334,$B628)</f>
        <v>#VALUE!</v>
      </c>
      <c r="S628" s="17" t="e">
        <f>SUMIFS([1]ACSDT5Y2020.B08301_data_with_ov!BA$3:BA$1334,[1]ACSDT5Y2020.B08301_data_with_ov!$AS$3:$AS$1334,$B628)</f>
        <v>#VALUE!</v>
      </c>
      <c r="T628" s="188">
        <v>0</v>
      </c>
      <c r="U628" s="189" t="e">
        <f t="shared" si="39"/>
        <v>#VALUE!</v>
      </c>
      <c r="V628" s="188">
        <v>0</v>
      </c>
      <c r="W628" s="189" t="e">
        <f t="shared" si="36"/>
        <v>#VALUE!</v>
      </c>
      <c r="X628" s="188">
        <v>0</v>
      </c>
      <c r="Y628" s="189" t="e">
        <f t="shared" si="37"/>
        <v>#VALUE!</v>
      </c>
      <c r="Z628" s="188">
        <v>0</v>
      </c>
      <c r="AA628" s="189" t="e">
        <f t="shared" si="38"/>
        <v>#VALUE!</v>
      </c>
    </row>
    <row r="629" spans="1:27" x14ac:dyDescent="0.25">
      <c r="A629">
        <v>630900</v>
      </c>
      <c r="B629">
        <v>17031630900</v>
      </c>
      <c r="C629">
        <v>17031</v>
      </c>
      <c r="D629">
        <v>2010</v>
      </c>
      <c r="E629">
        <v>63</v>
      </c>
      <c r="F629">
        <v>7175417.3609449901</v>
      </c>
      <c r="G629" s="45">
        <v>0.25738268196686287</v>
      </c>
      <c r="H629" s="60" t="str">
        <f>_xlfn.IFNA(
INDEX('Community Areas'!B$2:B$78,MATCH($E629,'Community Areas'!$A$2:$A$78,0)),
"")</f>
        <v>GAGE PARK</v>
      </c>
      <c r="I629" s="63" t="str">
        <f>_xlfn.IFNA(
INDEX('Community Areas'!C$2:C$78,MATCH($E629,'Community Areas'!$A$2:$A$78,0)),
"")</f>
        <v>4-B</v>
      </c>
      <c r="J629" s="63">
        <f>_xlfn.IFNA(
INDEX('Community Areas'!D$2:D$78,MATCH($E629,'Community Areas'!$A$2:$A$78,0)),
"")</f>
        <v>4</v>
      </c>
      <c r="K629" s="60" t="str">
        <f>_xlfn.IFNA(
INDEX('Community Areas'!E$2:E$78,MATCH($E629,'Community Areas'!$A$2:$A$78,0)),
"")</f>
        <v>SOUTHWEST</v>
      </c>
      <c r="L629" s="17" t="e">
        <f>SUMIFS([1]ACSDT5Y2020.B08301_data_with_ov!AT$3:AT$1334,[1]ACSDT5Y2020.B08301_data_with_ov!$AS$3:$AS$1334,$B629)</f>
        <v>#VALUE!</v>
      </c>
      <c r="M629" s="17" t="e">
        <f>SUMIFS([1]ACSDT5Y2020.B08301_data_with_ov!AU$3:AU$1334,[1]ACSDT5Y2020.B08301_data_with_ov!$AS$3:$AS$1334,$B629)</f>
        <v>#VALUE!</v>
      </c>
      <c r="N629" s="17" t="e">
        <f>SUMIFS([1]ACSDT5Y2020.B08301_data_with_ov!AV$3:AV$1334,[1]ACSDT5Y2020.B08301_data_with_ov!$AS$3:$AS$1334,$B629)</f>
        <v>#VALUE!</v>
      </c>
      <c r="O629" s="17" t="e">
        <f>SUMIFS([1]ACSDT5Y2020.B08301_data_with_ov!AW$3:AW$1334,[1]ACSDT5Y2020.B08301_data_with_ov!$AS$3:$AS$1334,$B629)</f>
        <v>#VALUE!</v>
      </c>
      <c r="P629" s="17" t="e">
        <f>SUMIFS([1]ACSDT5Y2020.B08301_data_with_ov!AX$3:AX$1334,[1]ACSDT5Y2020.B08301_data_with_ov!$AS$3:$AS$1334,$B629)</f>
        <v>#VALUE!</v>
      </c>
      <c r="Q629" s="17" t="e">
        <f>SUMIFS([1]ACSDT5Y2020.B08301_data_with_ov!AY$3:AY$1334,[1]ACSDT5Y2020.B08301_data_with_ov!$AS$3:$AS$1334,$B629)</f>
        <v>#VALUE!</v>
      </c>
      <c r="R629" s="17" t="e">
        <f>SUMIFS([1]ACSDT5Y2020.B08301_data_with_ov!AZ$3:AZ$1334,[1]ACSDT5Y2020.B08301_data_with_ov!$AS$3:$AS$1334,$B629)</f>
        <v>#VALUE!</v>
      </c>
      <c r="S629" s="17" t="e">
        <f>SUMIFS([1]ACSDT5Y2020.B08301_data_with_ov!BA$3:BA$1334,[1]ACSDT5Y2020.B08301_data_with_ov!$AS$3:$AS$1334,$B629)</f>
        <v>#VALUE!</v>
      </c>
      <c r="T629" s="188">
        <v>0.25643569748652828</v>
      </c>
      <c r="U629" s="189" t="e">
        <f t="shared" si="39"/>
        <v>#VALUE!</v>
      </c>
      <c r="V629" s="188">
        <v>0</v>
      </c>
      <c r="W629" s="189" t="e">
        <f t="shared" si="36"/>
        <v>#VALUE!</v>
      </c>
      <c r="X629" s="188">
        <v>0</v>
      </c>
      <c r="Y629" s="189" t="e">
        <f t="shared" si="37"/>
        <v>#VALUE!</v>
      </c>
      <c r="Z629" s="188">
        <v>0</v>
      </c>
      <c r="AA629" s="189" t="e">
        <f t="shared" si="38"/>
        <v>#VALUE!</v>
      </c>
    </row>
    <row r="630" spans="1:27" x14ac:dyDescent="0.25">
      <c r="A630">
        <v>630800</v>
      </c>
      <c r="B630">
        <v>17031630800</v>
      </c>
      <c r="C630">
        <v>17031</v>
      </c>
      <c r="D630">
        <v>2010</v>
      </c>
      <c r="E630">
        <v>63</v>
      </c>
      <c r="F630">
        <v>7059126.4841697002</v>
      </c>
      <c r="G630" s="45">
        <v>0.25321132074185393</v>
      </c>
      <c r="H630" s="60" t="str">
        <f>_xlfn.IFNA(
INDEX('Community Areas'!B$2:B$78,MATCH($E630,'Community Areas'!$A$2:$A$78,0)),
"")</f>
        <v>GAGE PARK</v>
      </c>
      <c r="I630" s="63" t="str">
        <f>_xlfn.IFNA(
INDEX('Community Areas'!C$2:C$78,MATCH($E630,'Community Areas'!$A$2:$A$78,0)),
"")</f>
        <v>4-B</v>
      </c>
      <c r="J630" s="63">
        <f>_xlfn.IFNA(
INDEX('Community Areas'!D$2:D$78,MATCH($E630,'Community Areas'!$A$2:$A$78,0)),
"")</f>
        <v>4</v>
      </c>
      <c r="K630" s="60" t="str">
        <f>_xlfn.IFNA(
INDEX('Community Areas'!E$2:E$78,MATCH($E630,'Community Areas'!$A$2:$A$78,0)),
"")</f>
        <v>SOUTHWEST</v>
      </c>
      <c r="L630" s="17" t="e">
        <f>SUMIFS([1]ACSDT5Y2020.B08301_data_with_ov!AT$3:AT$1334,[1]ACSDT5Y2020.B08301_data_with_ov!$AS$3:$AS$1334,$B630)</f>
        <v>#VALUE!</v>
      </c>
      <c r="M630" s="17" t="e">
        <f>SUMIFS([1]ACSDT5Y2020.B08301_data_with_ov!AU$3:AU$1334,[1]ACSDT5Y2020.B08301_data_with_ov!$AS$3:$AS$1334,$B630)</f>
        <v>#VALUE!</v>
      </c>
      <c r="N630" s="17" t="e">
        <f>SUMIFS([1]ACSDT5Y2020.B08301_data_with_ov!AV$3:AV$1334,[1]ACSDT5Y2020.B08301_data_with_ov!$AS$3:$AS$1334,$B630)</f>
        <v>#VALUE!</v>
      </c>
      <c r="O630" s="17" t="e">
        <f>SUMIFS([1]ACSDT5Y2020.B08301_data_with_ov!AW$3:AW$1334,[1]ACSDT5Y2020.B08301_data_with_ov!$AS$3:$AS$1334,$B630)</f>
        <v>#VALUE!</v>
      </c>
      <c r="P630" s="17" t="e">
        <f>SUMIFS([1]ACSDT5Y2020.B08301_data_with_ov!AX$3:AX$1334,[1]ACSDT5Y2020.B08301_data_with_ov!$AS$3:$AS$1334,$B630)</f>
        <v>#VALUE!</v>
      </c>
      <c r="Q630" s="17" t="e">
        <f>SUMIFS([1]ACSDT5Y2020.B08301_data_with_ov!AY$3:AY$1334,[1]ACSDT5Y2020.B08301_data_with_ov!$AS$3:$AS$1334,$B630)</f>
        <v>#VALUE!</v>
      </c>
      <c r="R630" s="17" t="e">
        <f>SUMIFS([1]ACSDT5Y2020.B08301_data_with_ov!AZ$3:AZ$1334,[1]ACSDT5Y2020.B08301_data_with_ov!$AS$3:$AS$1334,$B630)</f>
        <v>#VALUE!</v>
      </c>
      <c r="S630" s="17" t="e">
        <f>SUMIFS([1]ACSDT5Y2020.B08301_data_with_ov!BA$3:BA$1334,[1]ACSDT5Y2020.B08301_data_with_ov!$AS$3:$AS$1334,$B630)</f>
        <v>#VALUE!</v>
      </c>
      <c r="T630" s="188">
        <v>0.25202038200214466</v>
      </c>
      <c r="U630" s="189" t="e">
        <f t="shared" si="39"/>
        <v>#VALUE!</v>
      </c>
      <c r="V630" s="188">
        <v>0</v>
      </c>
      <c r="W630" s="189" t="e">
        <f t="shared" si="36"/>
        <v>#VALUE!</v>
      </c>
      <c r="X630" s="188">
        <v>0</v>
      </c>
      <c r="Y630" s="189" t="e">
        <f t="shared" si="37"/>
        <v>#VALUE!</v>
      </c>
      <c r="Z630" s="188">
        <v>0</v>
      </c>
      <c r="AA630" s="189" t="e">
        <f t="shared" si="38"/>
        <v>#VALUE!</v>
      </c>
    </row>
    <row r="631" spans="1:27" x14ac:dyDescent="0.25">
      <c r="A631">
        <v>630100</v>
      </c>
      <c r="B631">
        <v>17031630100</v>
      </c>
      <c r="C631">
        <v>17031</v>
      </c>
      <c r="D631">
        <v>2010</v>
      </c>
      <c r="E631">
        <v>63</v>
      </c>
      <c r="F631">
        <v>5251670.3429558696</v>
      </c>
      <c r="G631" s="45">
        <v>0.18837775277476002</v>
      </c>
      <c r="H631" s="60" t="str">
        <f>_xlfn.IFNA(
INDEX('Community Areas'!B$2:B$78,MATCH($E631,'Community Areas'!$A$2:$A$78,0)),
"")</f>
        <v>GAGE PARK</v>
      </c>
      <c r="I631" s="63" t="str">
        <f>_xlfn.IFNA(
INDEX('Community Areas'!C$2:C$78,MATCH($E631,'Community Areas'!$A$2:$A$78,0)),
"")</f>
        <v>4-B</v>
      </c>
      <c r="J631" s="63">
        <f>_xlfn.IFNA(
INDEX('Community Areas'!D$2:D$78,MATCH($E631,'Community Areas'!$A$2:$A$78,0)),
"")</f>
        <v>4</v>
      </c>
      <c r="K631" s="60" t="str">
        <f>_xlfn.IFNA(
INDEX('Community Areas'!E$2:E$78,MATCH($E631,'Community Areas'!$A$2:$A$78,0)),
"")</f>
        <v>SOUTHWEST</v>
      </c>
      <c r="L631" s="17" t="e">
        <f>SUMIFS([1]ACSDT5Y2020.B08301_data_with_ov!AT$3:AT$1334,[1]ACSDT5Y2020.B08301_data_with_ov!$AS$3:$AS$1334,$B631)</f>
        <v>#VALUE!</v>
      </c>
      <c r="M631" s="17" t="e">
        <f>SUMIFS([1]ACSDT5Y2020.B08301_data_with_ov!AU$3:AU$1334,[1]ACSDT5Y2020.B08301_data_with_ov!$AS$3:$AS$1334,$B631)</f>
        <v>#VALUE!</v>
      </c>
      <c r="N631" s="17" t="e">
        <f>SUMIFS([1]ACSDT5Y2020.B08301_data_with_ov!AV$3:AV$1334,[1]ACSDT5Y2020.B08301_data_with_ov!$AS$3:$AS$1334,$B631)</f>
        <v>#VALUE!</v>
      </c>
      <c r="O631" s="17" t="e">
        <f>SUMIFS([1]ACSDT5Y2020.B08301_data_with_ov!AW$3:AW$1334,[1]ACSDT5Y2020.B08301_data_with_ov!$AS$3:$AS$1334,$B631)</f>
        <v>#VALUE!</v>
      </c>
      <c r="P631" s="17" t="e">
        <f>SUMIFS([1]ACSDT5Y2020.B08301_data_with_ov!AX$3:AX$1334,[1]ACSDT5Y2020.B08301_data_with_ov!$AS$3:$AS$1334,$B631)</f>
        <v>#VALUE!</v>
      </c>
      <c r="Q631" s="17" t="e">
        <f>SUMIFS([1]ACSDT5Y2020.B08301_data_with_ov!AY$3:AY$1334,[1]ACSDT5Y2020.B08301_data_with_ov!$AS$3:$AS$1334,$B631)</f>
        <v>#VALUE!</v>
      </c>
      <c r="R631" s="17" t="e">
        <f>SUMIFS([1]ACSDT5Y2020.B08301_data_with_ov!AZ$3:AZ$1334,[1]ACSDT5Y2020.B08301_data_with_ov!$AS$3:$AS$1334,$B631)</f>
        <v>#VALUE!</v>
      </c>
      <c r="S631" s="17" t="e">
        <f>SUMIFS([1]ACSDT5Y2020.B08301_data_with_ov!BA$3:BA$1334,[1]ACSDT5Y2020.B08301_data_with_ov!$AS$3:$AS$1334,$B631)</f>
        <v>#VALUE!</v>
      </c>
      <c r="T631" s="188">
        <v>0.18669676192883952</v>
      </c>
      <c r="U631" s="189" t="e">
        <f t="shared" si="39"/>
        <v>#VALUE!</v>
      </c>
      <c r="V631" s="188">
        <v>0.18100980938989611</v>
      </c>
      <c r="W631" s="189" t="e">
        <f t="shared" si="36"/>
        <v>#VALUE!</v>
      </c>
      <c r="X631" s="188">
        <v>0.18100980938989611</v>
      </c>
      <c r="Y631" s="189" t="e">
        <f t="shared" si="37"/>
        <v>#VALUE!</v>
      </c>
      <c r="Z631" s="188">
        <v>0.18100980938989611</v>
      </c>
      <c r="AA631" s="189" t="e">
        <f t="shared" si="38"/>
        <v>#VALUE!</v>
      </c>
    </row>
    <row r="632" spans="1:27" x14ac:dyDescent="0.25">
      <c r="A632">
        <v>630400</v>
      </c>
      <c r="B632">
        <v>17031630400</v>
      </c>
      <c r="C632">
        <v>17031</v>
      </c>
      <c r="D632">
        <v>2010</v>
      </c>
      <c r="E632">
        <v>63</v>
      </c>
      <c r="F632">
        <v>7085464.2175459098</v>
      </c>
      <c r="G632" s="45">
        <v>0.25415605693102583</v>
      </c>
      <c r="H632" s="60" t="str">
        <f>_xlfn.IFNA(
INDEX('Community Areas'!B$2:B$78,MATCH($E632,'Community Areas'!$A$2:$A$78,0)),
"")</f>
        <v>GAGE PARK</v>
      </c>
      <c r="I632" s="63" t="str">
        <f>_xlfn.IFNA(
INDEX('Community Areas'!C$2:C$78,MATCH($E632,'Community Areas'!$A$2:$A$78,0)),
"")</f>
        <v>4-B</v>
      </c>
      <c r="J632" s="63">
        <f>_xlfn.IFNA(
INDEX('Community Areas'!D$2:D$78,MATCH($E632,'Community Areas'!$A$2:$A$78,0)),
"")</f>
        <v>4</v>
      </c>
      <c r="K632" s="60" t="str">
        <f>_xlfn.IFNA(
INDEX('Community Areas'!E$2:E$78,MATCH($E632,'Community Areas'!$A$2:$A$78,0)),
"")</f>
        <v>SOUTHWEST</v>
      </c>
      <c r="L632" s="17" t="e">
        <f>SUMIFS([1]ACSDT5Y2020.B08301_data_with_ov!AT$3:AT$1334,[1]ACSDT5Y2020.B08301_data_with_ov!$AS$3:$AS$1334,$B632)</f>
        <v>#VALUE!</v>
      </c>
      <c r="M632" s="17" t="e">
        <f>SUMIFS([1]ACSDT5Y2020.B08301_data_with_ov!AU$3:AU$1334,[1]ACSDT5Y2020.B08301_data_with_ov!$AS$3:$AS$1334,$B632)</f>
        <v>#VALUE!</v>
      </c>
      <c r="N632" s="17" t="e">
        <f>SUMIFS([1]ACSDT5Y2020.B08301_data_with_ov!AV$3:AV$1334,[1]ACSDT5Y2020.B08301_data_with_ov!$AS$3:$AS$1334,$B632)</f>
        <v>#VALUE!</v>
      </c>
      <c r="O632" s="17" t="e">
        <f>SUMIFS([1]ACSDT5Y2020.B08301_data_with_ov!AW$3:AW$1334,[1]ACSDT5Y2020.B08301_data_with_ov!$AS$3:$AS$1334,$B632)</f>
        <v>#VALUE!</v>
      </c>
      <c r="P632" s="17" t="e">
        <f>SUMIFS([1]ACSDT5Y2020.B08301_data_with_ov!AX$3:AX$1334,[1]ACSDT5Y2020.B08301_data_with_ov!$AS$3:$AS$1334,$B632)</f>
        <v>#VALUE!</v>
      </c>
      <c r="Q632" s="17" t="e">
        <f>SUMIFS([1]ACSDT5Y2020.B08301_data_with_ov!AY$3:AY$1334,[1]ACSDT5Y2020.B08301_data_with_ov!$AS$3:$AS$1334,$B632)</f>
        <v>#VALUE!</v>
      </c>
      <c r="R632" s="17" t="e">
        <f>SUMIFS([1]ACSDT5Y2020.B08301_data_with_ov!AZ$3:AZ$1334,[1]ACSDT5Y2020.B08301_data_with_ov!$AS$3:$AS$1334,$B632)</f>
        <v>#VALUE!</v>
      </c>
      <c r="S632" s="17" t="e">
        <f>SUMIFS([1]ACSDT5Y2020.B08301_data_with_ov!BA$3:BA$1334,[1]ACSDT5Y2020.B08301_data_with_ov!$AS$3:$AS$1334,$B632)</f>
        <v>#VALUE!</v>
      </c>
      <c r="T632" s="188">
        <v>0</v>
      </c>
      <c r="U632" s="189" t="e">
        <f t="shared" si="39"/>
        <v>#VALUE!</v>
      </c>
      <c r="V632" s="188">
        <v>0</v>
      </c>
      <c r="W632" s="189" t="e">
        <f t="shared" si="36"/>
        <v>#VALUE!</v>
      </c>
      <c r="X632" s="188">
        <v>0</v>
      </c>
      <c r="Y632" s="189" t="e">
        <f t="shared" si="37"/>
        <v>#VALUE!</v>
      </c>
      <c r="Z632" s="188">
        <v>0</v>
      </c>
      <c r="AA632" s="189" t="e">
        <f t="shared" si="38"/>
        <v>#VALUE!</v>
      </c>
    </row>
    <row r="633" spans="1:27" x14ac:dyDescent="0.25">
      <c r="A633">
        <v>640400</v>
      </c>
      <c r="B633">
        <v>17031640400</v>
      </c>
      <c r="C633">
        <v>17031</v>
      </c>
      <c r="D633">
        <v>2010</v>
      </c>
      <c r="E633">
        <v>64</v>
      </c>
      <c r="F633">
        <v>14369430.356840899</v>
      </c>
      <c r="G633" s="45">
        <v>0.51543239055472689</v>
      </c>
      <c r="H633" s="60" t="str">
        <f>_xlfn.IFNA(
INDEX('Community Areas'!B$2:B$78,MATCH($E633,'Community Areas'!$A$2:$A$78,0)),
"")</f>
        <v>CLEARING</v>
      </c>
      <c r="I633" s="63" t="str">
        <f>_xlfn.IFNA(
INDEX('Community Areas'!C$2:C$78,MATCH($E633,'Community Areas'!$A$2:$A$78,0)),
"")</f>
        <v>4-C</v>
      </c>
      <c r="J633" s="63">
        <f>_xlfn.IFNA(
INDEX('Community Areas'!D$2:D$78,MATCH($E633,'Community Areas'!$A$2:$A$78,0)),
"")</f>
        <v>4</v>
      </c>
      <c r="K633" s="60" t="str">
        <f>_xlfn.IFNA(
INDEX('Community Areas'!E$2:E$78,MATCH($E633,'Community Areas'!$A$2:$A$78,0)),
"")</f>
        <v>SOUTHWEST</v>
      </c>
      <c r="L633" s="17" t="e">
        <f>SUMIFS([1]ACSDT5Y2020.B08301_data_with_ov!AT$3:AT$1334,[1]ACSDT5Y2020.B08301_data_with_ov!$AS$3:$AS$1334,$B633)</f>
        <v>#VALUE!</v>
      </c>
      <c r="M633" s="17" t="e">
        <f>SUMIFS([1]ACSDT5Y2020.B08301_data_with_ov!AU$3:AU$1334,[1]ACSDT5Y2020.B08301_data_with_ov!$AS$3:$AS$1334,$B633)</f>
        <v>#VALUE!</v>
      </c>
      <c r="N633" s="17" t="e">
        <f>SUMIFS([1]ACSDT5Y2020.B08301_data_with_ov!AV$3:AV$1334,[1]ACSDT5Y2020.B08301_data_with_ov!$AS$3:$AS$1334,$B633)</f>
        <v>#VALUE!</v>
      </c>
      <c r="O633" s="17" t="e">
        <f>SUMIFS([1]ACSDT5Y2020.B08301_data_with_ov!AW$3:AW$1334,[1]ACSDT5Y2020.B08301_data_with_ov!$AS$3:$AS$1334,$B633)</f>
        <v>#VALUE!</v>
      </c>
      <c r="P633" s="17" t="e">
        <f>SUMIFS([1]ACSDT5Y2020.B08301_data_with_ov!AX$3:AX$1334,[1]ACSDT5Y2020.B08301_data_with_ov!$AS$3:$AS$1334,$B633)</f>
        <v>#VALUE!</v>
      </c>
      <c r="Q633" s="17" t="e">
        <f>SUMIFS([1]ACSDT5Y2020.B08301_data_with_ov!AY$3:AY$1334,[1]ACSDT5Y2020.B08301_data_with_ov!$AS$3:$AS$1334,$B633)</f>
        <v>#VALUE!</v>
      </c>
      <c r="R633" s="17" t="e">
        <f>SUMIFS([1]ACSDT5Y2020.B08301_data_with_ov!AZ$3:AZ$1334,[1]ACSDT5Y2020.B08301_data_with_ov!$AS$3:$AS$1334,$B633)</f>
        <v>#VALUE!</v>
      </c>
      <c r="S633" s="17" t="e">
        <f>SUMIFS([1]ACSDT5Y2020.B08301_data_with_ov!BA$3:BA$1334,[1]ACSDT5Y2020.B08301_data_with_ov!$AS$3:$AS$1334,$B633)</f>
        <v>#VALUE!</v>
      </c>
      <c r="T633" s="188">
        <v>0.44860996077343029</v>
      </c>
      <c r="U633" s="189" t="e">
        <f t="shared" si="39"/>
        <v>#VALUE!</v>
      </c>
      <c r="V633" s="188">
        <v>0</v>
      </c>
      <c r="W633" s="189" t="e">
        <f t="shared" si="36"/>
        <v>#VALUE!</v>
      </c>
      <c r="X633" s="188">
        <v>0</v>
      </c>
      <c r="Y633" s="189" t="e">
        <f t="shared" si="37"/>
        <v>#VALUE!</v>
      </c>
      <c r="Z633" s="188">
        <v>0</v>
      </c>
      <c r="AA633" s="189" t="e">
        <f t="shared" si="38"/>
        <v>#VALUE!</v>
      </c>
    </row>
    <row r="634" spans="1:27" x14ac:dyDescent="0.25">
      <c r="A634">
        <v>640600</v>
      </c>
      <c r="B634">
        <v>17031640600</v>
      </c>
      <c r="C634">
        <v>17031</v>
      </c>
      <c r="D634">
        <v>2010</v>
      </c>
      <c r="E634">
        <v>64</v>
      </c>
      <c r="F634">
        <v>7104092.8440970397</v>
      </c>
      <c r="G634" s="45">
        <v>0.25482426696284721</v>
      </c>
      <c r="H634" s="60" t="str">
        <f>_xlfn.IFNA(
INDEX('Community Areas'!B$2:B$78,MATCH($E634,'Community Areas'!$A$2:$A$78,0)),
"")</f>
        <v>CLEARING</v>
      </c>
      <c r="I634" s="63" t="str">
        <f>_xlfn.IFNA(
INDEX('Community Areas'!C$2:C$78,MATCH($E634,'Community Areas'!$A$2:$A$78,0)),
"")</f>
        <v>4-C</v>
      </c>
      <c r="J634" s="63">
        <f>_xlfn.IFNA(
INDEX('Community Areas'!D$2:D$78,MATCH($E634,'Community Areas'!$A$2:$A$78,0)),
"")</f>
        <v>4</v>
      </c>
      <c r="K634" s="60" t="str">
        <f>_xlfn.IFNA(
INDEX('Community Areas'!E$2:E$78,MATCH($E634,'Community Areas'!$A$2:$A$78,0)),
"")</f>
        <v>SOUTHWEST</v>
      </c>
      <c r="L634" s="17" t="e">
        <f>SUMIFS([1]ACSDT5Y2020.B08301_data_with_ov!AT$3:AT$1334,[1]ACSDT5Y2020.B08301_data_with_ov!$AS$3:$AS$1334,$B634)</f>
        <v>#VALUE!</v>
      </c>
      <c r="M634" s="17" t="e">
        <f>SUMIFS([1]ACSDT5Y2020.B08301_data_with_ov!AU$3:AU$1334,[1]ACSDT5Y2020.B08301_data_with_ov!$AS$3:$AS$1334,$B634)</f>
        <v>#VALUE!</v>
      </c>
      <c r="N634" s="17" t="e">
        <f>SUMIFS([1]ACSDT5Y2020.B08301_data_with_ov!AV$3:AV$1334,[1]ACSDT5Y2020.B08301_data_with_ov!$AS$3:$AS$1334,$B634)</f>
        <v>#VALUE!</v>
      </c>
      <c r="O634" s="17" t="e">
        <f>SUMIFS([1]ACSDT5Y2020.B08301_data_with_ov!AW$3:AW$1334,[1]ACSDT5Y2020.B08301_data_with_ov!$AS$3:$AS$1334,$B634)</f>
        <v>#VALUE!</v>
      </c>
      <c r="P634" s="17" t="e">
        <f>SUMIFS([1]ACSDT5Y2020.B08301_data_with_ov!AX$3:AX$1334,[1]ACSDT5Y2020.B08301_data_with_ov!$AS$3:$AS$1334,$B634)</f>
        <v>#VALUE!</v>
      </c>
      <c r="Q634" s="17" t="e">
        <f>SUMIFS([1]ACSDT5Y2020.B08301_data_with_ov!AY$3:AY$1334,[1]ACSDT5Y2020.B08301_data_with_ov!$AS$3:$AS$1334,$B634)</f>
        <v>#VALUE!</v>
      </c>
      <c r="R634" s="17" t="e">
        <f>SUMIFS([1]ACSDT5Y2020.B08301_data_with_ov!AZ$3:AZ$1334,[1]ACSDT5Y2020.B08301_data_with_ov!$AS$3:$AS$1334,$B634)</f>
        <v>#VALUE!</v>
      </c>
      <c r="S634" s="17" t="e">
        <f>SUMIFS([1]ACSDT5Y2020.B08301_data_with_ov!BA$3:BA$1334,[1]ACSDT5Y2020.B08301_data_with_ov!$AS$3:$AS$1334,$B634)</f>
        <v>#VALUE!</v>
      </c>
      <c r="T634" s="188">
        <v>0.25482426815034293</v>
      </c>
      <c r="U634" s="189" t="e">
        <f t="shared" si="39"/>
        <v>#VALUE!</v>
      </c>
      <c r="V634" s="188">
        <v>0</v>
      </c>
      <c r="W634" s="189" t="e">
        <f t="shared" si="36"/>
        <v>#VALUE!</v>
      </c>
      <c r="X634" s="188">
        <v>0</v>
      </c>
      <c r="Y634" s="189" t="e">
        <f t="shared" si="37"/>
        <v>#VALUE!</v>
      </c>
      <c r="Z634" s="188">
        <v>0</v>
      </c>
      <c r="AA634" s="189" t="e">
        <f t="shared" si="38"/>
        <v>#VALUE!</v>
      </c>
    </row>
    <row r="635" spans="1:27" x14ac:dyDescent="0.25">
      <c r="A635">
        <v>640700</v>
      </c>
      <c r="B635">
        <v>17031640700</v>
      </c>
      <c r="C635">
        <v>17031</v>
      </c>
      <c r="D635">
        <v>2010</v>
      </c>
      <c r="E635">
        <v>64</v>
      </c>
      <c r="F635">
        <v>7083525.0707444604</v>
      </c>
      <c r="G635" s="45">
        <v>0.25408649961061108</v>
      </c>
      <c r="H635" s="60" t="str">
        <f>_xlfn.IFNA(
INDEX('Community Areas'!B$2:B$78,MATCH($E635,'Community Areas'!$A$2:$A$78,0)),
"")</f>
        <v>CLEARING</v>
      </c>
      <c r="I635" s="63" t="str">
        <f>_xlfn.IFNA(
INDEX('Community Areas'!C$2:C$78,MATCH($E635,'Community Areas'!$A$2:$A$78,0)),
"")</f>
        <v>4-C</v>
      </c>
      <c r="J635" s="63">
        <f>_xlfn.IFNA(
INDEX('Community Areas'!D$2:D$78,MATCH($E635,'Community Areas'!$A$2:$A$78,0)),
"")</f>
        <v>4</v>
      </c>
      <c r="K635" s="60" t="str">
        <f>_xlfn.IFNA(
INDEX('Community Areas'!E$2:E$78,MATCH($E635,'Community Areas'!$A$2:$A$78,0)),
"")</f>
        <v>SOUTHWEST</v>
      </c>
      <c r="L635" s="17" t="e">
        <f>SUMIFS([1]ACSDT5Y2020.B08301_data_with_ov!AT$3:AT$1334,[1]ACSDT5Y2020.B08301_data_with_ov!$AS$3:$AS$1334,$B635)</f>
        <v>#VALUE!</v>
      </c>
      <c r="M635" s="17" t="e">
        <f>SUMIFS([1]ACSDT5Y2020.B08301_data_with_ov!AU$3:AU$1334,[1]ACSDT5Y2020.B08301_data_with_ov!$AS$3:$AS$1334,$B635)</f>
        <v>#VALUE!</v>
      </c>
      <c r="N635" s="17" t="e">
        <f>SUMIFS([1]ACSDT5Y2020.B08301_data_with_ov!AV$3:AV$1334,[1]ACSDT5Y2020.B08301_data_with_ov!$AS$3:$AS$1334,$B635)</f>
        <v>#VALUE!</v>
      </c>
      <c r="O635" s="17" t="e">
        <f>SUMIFS([1]ACSDT5Y2020.B08301_data_with_ov!AW$3:AW$1334,[1]ACSDT5Y2020.B08301_data_with_ov!$AS$3:$AS$1334,$B635)</f>
        <v>#VALUE!</v>
      </c>
      <c r="P635" s="17" t="e">
        <f>SUMIFS([1]ACSDT5Y2020.B08301_data_with_ov!AX$3:AX$1334,[1]ACSDT5Y2020.B08301_data_with_ov!$AS$3:$AS$1334,$B635)</f>
        <v>#VALUE!</v>
      </c>
      <c r="Q635" s="17" t="e">
        <f>SUMIFS([1]ACSDT5Y2020.B08301_data_with_ov!AY$3:AY$1334,[1]ACSDT5Y2020.B08301_data_with_ov!$AS$3:$AS$1334,$B635)</f>
        <v>#VALUE!</v>
      </c>
      <c r="R635" s="17" t="e">
        <f>SUMIFS([1]ACSDT5Y2020.B08301_data_with_ov!AZ$3:AZ$1334,[1]ACSDT5Y2020.B08301_data_with_ov!$AS$3:$AS$1334,$B635)</f>
        <v>#VALUE!</v>
      </c>
      <c r="S635" s="17" t="e">
        <f>SUMIFS([1]ACSDT5Y2020.B08301_data_with_ov!BA$3:BA$1334,[1]ACSDT5Y2020.B08301_data_with_ov!$AS$3:$AS$1334,$B635)</f>
        <v>#VALUE!</v>
      </c>
      <c r="T635" s="188">
        <v>0.12090114174470307</v>
      </c>
      <c r="U635" s="189" t="e">
        <f t="shared" si="39"/>
        <v>#VALUE!</v>
      </c>
      <c r="V635" s="188">
        <v>0</v>
      </c>
      <c r="W635" s="189" t="e">
        <f t="shared" si="36"/>
        <v>#VALUE!</v>
      </c>
      <c r="X635" s="188">
        <v>0</v>
      </c>
      <c r="Y635" s="189" t="e">
        <f t="shared" si="37"/>
        <v>#VALUE!</v>
      </c>
      <c r="Z635" s="188">
        <v>0</v>
      </c>
      <c r="AA635" s="189" t="e">
        <f t="shared" si="38"/>
        <v>#VALUE!</v>
      </c>
    </row>
    <row r="636" spans="1:27" x14ac:dyDescent="0.25">
      <c r="A636">
        <v>640100</v>
      </c>
      <c r="B636">
        <v>17031640100</v>
      </c>
      <c r="C636">
        <v>17031</v>
      </c>
      <c r="D636">
        <v>2010</v>
      </c>
      <c r="E636">
        <v>64</v>
      </c>
      <c r="F636">
        <v>3563777.2934729299</v>
      </c>
      <c r="G636" s="45">
        <v>0.12783292059346771</v>
      </c>
      <c r="H636" s="60" t="str">
        <f>_xlfn.IFNA(
INDEX('Community Areas'!B$2:B$78,MATCH($E636,'Community Areas'!$A$2:$A$78,0)),
"")</f>
        <v>CLEARING</v>
      </c>
      <c r="I636" s="63" t="str">
        <f>_xlfn.IFNA(
INDEX('Community Areas'!C$2:C$78,MATCH($E636,'Community Areas'!$A$2:$A$78,0)),
"")</f>
        <v>4-C</v>
      </c>
      <c r="J636" s="63">
        <f>_xlfn.IFNA(
INDEX('Community Areas'!D$2:D$78,MATCH($E636,'Community Areas'!$A$2:$A$78,0)),
"")</f>
        <v>4</v>
      </c>
      <c r="K636" s="60" t="str">
        <f>_xlfn.IFNA(
INDEX('Community Areas'!E$2:E$78,MATCH($E636,'Community Areas'!$A$2:$A$78,0)),
"")</f>
        <v>SOUTHWEST</v>
      </c>
      <c r="L636" s="17" t="e">
        <f>SUMIFS([1]ACSDT5Y2020.B08301_data_with_ov!AT$3:AT$1334,[1]ACSDT5Y2020.B08301_data_with_ov!$AS$3:$AS$1334,$B636)</f>
        <v>#VALUE!</v>
      </c>
      <c r="M636" s="17" t="e">
        <f>SUMIFS([1]ACSDT5Y2020.B08301_data_with_ov!AU$3:AU$1334,[1]ACSDT5Y2020.B08301_data_with_ov!$AS$3:$AS$1334,$B636)</f>
        <v>#VALUE!</v>
      </c>
      <c r="N636" s="17" t="e">
        <f>SUMIFS([1]ACSDT5Y2020.B08301_data_with_ov!AV$3:AV$1334,[1]ACSDT5Y2020.B08301_data_with_ov!$AS$3:$AS$1334,$B636)</f>
        <v>#VALUE!</v>
      </c>
      <c r="O636" s="17" t="e">
        <f>SUMIFS([1]ACSDT5Y2020.B08301_data_with_ov!AW$3:AW$1334,[1]ACSDT5Y2020.B08301_data_with_ov!$AS$3:$AS$1334,$B636)</f>
        <v>#VALUE!</v>
      </c>
      <c r="P636" s="17" t="e">
        <f>SUMIFS([1]ACSDT5Y2020.B08301_data_with_ov!AX$3:AX$1334,[1]ACSDT5Y2020.B08301_data_with_ov!$AS$3:$AS$1334,$B636)</f>
        <v>#VALUE!</v>
      </c>
      <c r="Q636" s="17" t="e">
        <f>SUMIFS([1]ACSDT5Y2020.B08301_data_with_ov!AY$3:AY$1334,[1]ACSDT5Y2020.B08301_data_with_ov!$AS$3:$AS$1334,$B636)</f>
        <v>#VALUE!</v>
      </c>
      <c r="R636" s="17" t="e">
        <f>SUMIFS([1]ACSDT5Y2020.B08301_data_with_ov!AZ$3:AZ$1334,[1]ACSDT5Y2020.B08301_data_with_ov!$AS$3:$AS$1334,$B636)</f>
        <v>#VALUE!</v>
      </c>
      <c r="S636" s="17" t="e">
        <f>SUMIFS([1]ACSDT5Y2020.B08301_data_with_ov!BA$3:BA$1334,[1]ACSDT5Y2020.B08301_data_with_ov!$AS$3:$AS$1334,$B636)</f>
        <v>#VALUE!</v>
      </c>
      <c r="T636" s="188">
        <v>0.1214691563507357</v>
      </c>
      <c r="U636" s="189" t="e">
        <f t="shared" si="39"/>
        <v>#VALUE!</v>
      </c>
      <c r="V636" s="188">
        <v>0</v>
      </c>
      <c r="W636" s="189" t="e">
        <f t="shared" si="36"/>
        <v>#VALUE!</v>
      </c>
      <c r="X636" s="188">
        <v>0</v>
      </c>
      <c r="Y636" s="189" t="e">
        <f t="shared" si="37"/>
        <v>#VALUE!</v>
      </c>
      <c r="Z636" s="188">
        <v>0</v>
      </c>
      <c r="AA636" s="189" t="e">
        <f t="shared" si="38"/>
        <v>#VALUE!</v>
      </c>
    </row>
    <row r="637" spans="1:27" x14ac:dyDescent="0.25">
      <c r="A637">
        <v>640300</v>
      </c>
      <c r="B637">
        <v>17031640300</v>
      </c>
      <c r="C637">
        <v>17031</v>
      </c>
      <c r="D637">
        <v>2010</v>
      </c>
      <c r="E637">
        <v>64</v>
      </c>
      <c r="F637">
        <v>14256507.8222163</v>
      </c>
      <c r="G637" s="45">
        <v>0.5113818519791774</v>
      </c>
      <c r="H637" s="60" t="str">
        <f>_xlfn.IFNA(
INDEX('Community Areas'!B$2:B$78,MATCH($E637,'Community Areas'!$A$2:$A$78,0)),
"")</f>
        <v>CLEARING</v>
      </c>
      <c r="I637" s="63" t="str">
        <f>_xlfn.IFNA(
INDEX('Community Areas'!C$2:C$78,MATCH($E637,'Community Areas'!$A$2:$A$78,0)),
"")</f>
        <v>4-C</v>
      </c>
      <c r="J637" s="63">
        <f>_xlfn.IFNA(
INDEX('Community Areas'!D$2:D$78,MATCH($E637,'Community Areas'!$A$2:$A$78,0)),
"")</f>
        <v>4</v>
      </c>
      <c r="K637" s="60" t="str">
        <f>_xlfn.IFNA(
INDEX('Community Areas'!E$2:E$78,MATCH($E637,'Community Areas'!$A$2:$A$78,0)),
"")</f>
        <v>SOUTHWEST</v>
      </c>
      <c r="L637" s="17" t="e">
        <f>SUMIFS([1]ACSDT5Y2020.B08301_data_with_ov!AT$3:AT$1334,[1]ACSDT5Y2020.B08301_data_with_ov!$AS$3:$AS$1334,$B637)</f>
        <v>#VALUE!</v>
      </c>
      <c r="M637" s="17" t="e">
        <f>SUMIFS([1]ACSDT5Y2020.B08301_data_with_ov!AU$3:AU$1334,[1]ACSDT5Y2020.B08301_data_with_ov!$AS$3:$AS$1334,$B637)</f>
        <v>#VALUE!</v>
      </c>
      <c r="N637" s="17" t="e">
        <f>SUMIFS([1]ACSDT5Y2020.B08301_data_with_ov!AV$3:AV$1334,[1]ACSDT5Y2020.B08301_data_with_ov!$AS$3:$AS$1334,$B637)</f>
        <v>#VALUE!</v>
      </c>
      <c r="O637" s="17" t="e">
        <f>SUMIFS([1]ACSDT5Y2020.B08301_data_with_ov!AW$3:AW$1334,[1]ACSDT5Y2020.B08301_data_with_ov!$AS$3:$AS$1334,$B637)</f>
        <v>#VALUE!</v>
      </c>
      <c r="P637" s="17" t="e">
        <f>SUMIFS([1]ACSDT5Y2020.B08301_data_with_ov!AX$3:AX$1334,[1]ACSDT5Y2020.B08301_data_with_ov!$AS$3:$AS$1334,$B637)</f>
        <v>#VALUE!</v>
      </c>
      <c r="Q637" s="17" t="e">
        <f>SUMIFS([1]ACSDT5Y2020.B08301_data_with_ov!AY$3:AY$1334,[1]ACSDT5Y2020.B08301_data_with_ov!$AS$3:$AS$1334,$B637)</f>
        <v>#VALUE!</v>
      </c>
      <c r="R637" s="17" t="e">
        <f>SUMIFS([1]ACSDT5Y2020.B08301_data_with_ov!AZ$3:AZ$1334,[1]ACSDT5Y2020.B08301_data_with_ov!$AS$3:$AS$1334,$B637)</f>
        <v>#VALUE!</v>
      </c>
      <c r="S637" s="17" t="e">
        <f>SUMIFS([1]ACSDT5Y2020.B08301_data_with_ov!BA$3:BA$1334,[1]ACSDT5Y2020.B08301_data_with_ov!$AS$3:$AS$1334,$B637)</f>
        <v>#VALUE!</v>
      </c>
      <c r="T637" s="188">
        <v>0.49335094166510274</v>
      </c>
      <c r="U637" s="189" t="e">
        <f t="shared" si="39"/>
        <v>#VALUE!</v>
      </c>
      <c r="V637" s="188">
        <v>0</v>
      </c>
      <c r="W637" s="189" t="e">
        <f t="shared" si="36"/>
        <v>#VALUE!</v>
      </c>
      <c r="X637" s="188">
        <v>0</v>
      </c>
      <c r="Y637" s="189" t="e">
        <f t="shared" si="37"/>
        <v>#VALUE!</v>
      </c>
      <c r="Z637" s="188">
        <v>0</v>
      </c>
      <c r="AA637" s="189" t="e">
        <f t="shared" si="38"/>
        <v>#VALUE!</v>
      </c>
    </row>
    <row r="638" spans="1:27" x14ac:dyDescent="0.25">
      <c r="A638">
        <v>640800</v>
      </c>
      <c r="B638">
        <v>17031640800</v>
      </c>
      <c r="C638">
        <v>17031</v>
      </c>
      <c r="D638">
        <v>2010</v>
      </c>
      <c r="E638">
        <v>64</v>
      </c>
      <c r="F638">
        <v>3539051.0499572698</v>
      </c>
      <c r="G638" s="45">
        <v>0.12694598864917891</v>
      </c>
      <c r="H638" s="60" t="str">
        <f>_xlfn.IFNA(
INDEX('Community Areas'!B$2:B$78,MATCH($E638,'Community Areas'!$A$2:$A$78,0)),
"")</f>
        <v>CLEARING</v>
      </c>
      <c r="I638" s="63" t="str">
        <f>_xlfn.IFNA(
INDEX('Community Areas'!C$2:C$78,MATCH($E638,'Community Areas'!$A$2:$A$78,0)),
"")</f>
        <v>4-C</v>
      </c>
      <c r="J638" s="63">
        <f>_xlfn.IFNA(
INDEX('Community Areas'!D$2:D$78,MATCH($E638,'Community Areas'!$A$2:$A$78,0)),
"")</f>
        <v>4</v>
      </c>
      <c r="K638" s="60" t="str">
        <f>_xlfn.IFNA(
INDEX('Community Areas'!E$2:E$78,MATCH($E638,'Community Areas'!$A$2:$A$78,0)),
"")</f>
        <v>SOUTHWEST</v>
      </c>
      <c r="L638" s="17" t="e">
        <f>SUMIFS([1]ACSDT5Y2020.B08301_data_with_ov!AT$3:AT$1334,[1]ACSDT5Y2020.B08301_data_with_ov!$AS$3:$AS$1334,$B638)</f>
        <v>#VALUE!</v>
      </c>
      <c r="M638" s="17" t="e">
        <f>SUMIFS([1]ACSDT5Y2020.B08301_data_with_ov!AU$3:AU$1334,[1]ACSDT5Y2020.B08301_data_with_ov!$AS$3:$AS$1334,$B638)</f>
        <v>#VALUE!</v>
      </c>
      <c r="N638" s="17" t="e">
        <f>SUMIFS([1]ACSDT5Y2020.B08301_data_with_ov!AV$3:AV$1334,[1]ACSDT5Y2020.B08301_data_with_ov!$AS$3:$AS$1334,$B638)</f>
        <v>#VALUE!</v>
      </c>
      <c r="O638" s="17" t="e">
        <f>SUMIFS([1]ACSDT5Y2020.B08301_data_with_ov!AW$3:AW$1334,[1]ACSDT5Y2020.B08301_data_with_ov!$AS$3:$AS$1334,$B638)</f>
        <v>#VALUE!</v>
      </c>
      <c r="P638" s="17" t="e">
        <f>SUMIFS([1]ACSDT5Y2020.B08301_data_with_ov!AX$3:AX$1334,[1]ACSDT5Y2020.B08301_data_with_ov!$AS$3:$AS$1334,$B638)</f>
        <v>#VALUE!</v>
      </c>
      <c r="Q638" s="17" t="e">
        <f>SUMIFS([1]ACSDT5Y2020.B08301_data_with_ov!AY$3:AY$1334,[1]ACSDT5Y2020.B08301_data_with_ov!$AS$3:$AS$1334,$B638)</f>
        <v>#VALUE!</v>
      </c>
      <c r="R638" s="17" t="e">
        <f>SUMIFS([1]ACSDT5Y2020.B08301_data_with_ov!AZ$3:AZ$1334,[1]ACSDT5Y2020.B08301_data_with_ov!$AS$3:$AS$1334,$B638)</f>
        <v>#VALUE!</v>
      </c>
      <c r="S638" s="17" t="e">
        <f>SUMIFS([1]ACSDT5Y2020.B08301_data_with_ov!BA$3:BA$1334,[1]ACSDT5Y2020.B08301_data_with_ov!$AS$3:$AS$1334,$B638)</f>
        <v>#VALUE!</v>
      </c>
      <c r="T638" s="188">
        <v>0</v>
      </c>
      <c r="U638" s="189" t="e">
        <f t="shared" si="39"/>
        <v>#VALUE!</v>
      </c>
      <c r="V638" s="188">
        <v>0</v>
      </c>
      <c r="W638" s="189" t="e">
        <f t="shared" si="36"/>
        <v>#VALUE!</v>
      </c>
      <c r="X638" s="188">
        <v>0</v>
      </c>
      <c r="Y638" s="189" t="e">
        <f t="shared" si="37"/>
        <v>#VALUE!</v>
      </c>
      <c r="Z638" s="188">
        <v>0</v>
      </c>
      <c r="AA638" s="189" t="e">
        <f t="shared" si="38"/>
        <v>#VALUE!</v>
      </c>
    </row>
    <row r="639" spans="1:27" x14ac:dyDescent="0.25">
      <c r="A639">
        <v>640500</v>
      </c>
      <c r="B639">
        <v>17031640500</v>
      </c>
      <c r="C639">
        <v>17031</v>
      </c>
      <c r="D639">
        <v>2010</v>
      </c>
      <c r="E639">
        <v>64</v>
      </c>
      <c r="F639">
        <v>7123579.5006161798</v>
      </c>
      <c r="G639" s="45">
        <v>0.2555232545847746</v>
      </c>
      <c r="H639" s="60" t="str">
        <f>_xlfn.IFNA(
INDEX('Community Areas'!B$2:B$78,MATCH($E639,'Community Areas'!$A$2:$A$78,0)),
"")</f>
        <v>CLEARING</v>
      </c>
      <c r="I639" s="63" t="str">
        <f>_xlfn.IFNA(
INDEX('Community Areas'!C$2:C$78,MATCH($E639,'Community Areas'!$A$2:$A$78,0)),
"")</f>
        <v>4-C</v>
      </c>
      <c r="J639" s="63">
        <f>_xlfn.IFNA(
INDEX('Community Areas'!D$2:D$78,MATCH($E639,'Community Areas'!$A$2:$A$78,0)),
"")</f>
        <v>4</v>
      </c>
      <c r="K639" s="60" t="str">
        <f>_xlfn.IFNA(
INDEX('Community Areas'!E$2:E$78,MATCH($E639,'Community Areas'!$A$2:$A$78,0)),
"")</f>
        <v>SOUTHWEST</v>
      </c>
      <c r="L639" s="17" t="e">
        <f>SUMIFS([1]ACSDT5Y2020.B08301_data_with_ov!AT$3:AT$1334,[1]ACSDT5Y2020.B08301_data_with_ov!$AS$3:$AS$1334,$B639)</f>
        <v>#VALUE!</v>
      </c>
      <c r="M639" s="17" t="e">
        <f>SUMIFS([1]ACSDT5Y2020.B08301_data_with_ov!AU$3:AU$1334,[1]ACSDT5Y2020.B08301_data_with_ov!$AS$3:$AS$1334,$B639)</f>
        <v>#VALUE!</v>
      </c>
      <c r="N639" s="17" t="e">
        <f>SUMIFS([1]ACSDT5Y2020.B08301_data_with_ov!AV$3:AV$1334,[1]ACSDT5Y2020.B08301_data_with_ov!$AS$3:$AS$1334,$B639)</f>
        <v>#VALUE!</v>
      </c>
      <c r="O639" s="17" t="e">
        <f>SUMIFS([1]ACSDT5Y2020.B08301_data_with_ov!AW$3:AW$1334,[1]ACSDT5Y2020.B08301_data_with_ov!$AS$3:$AS$1334,$B639)</f>
        <v>#VALUE!</v>
      </c>
      <c r="P639" s="17" t="e">
        <f>SUMIFS([1]ACSDT5Y2020.B08301_data_with_ov!AX$3:AX$1334,[1]ACSDT5Y2020.B08301_data_with_ov!$AS$3:$AS$1334,$B639)</f>
        <v>#VALUE!</v>
      </c>
      <c r="Q639" s="17" t="e">
        <f>SUMIFS([1]ACSDT5Y2020.B08301_data_with_ov!AY$3:AY$1334,[1]ACSDT5Y2020.B08301_data_with_ov!$AS$3:$AS$1334,$B639)</f>
        <v>#VALUE!</v>
      </c>
      <c r="R639" s="17" t="e">
        <f>SUMIFS([1]ACSDT5Y2020.B08301_data_with_ov!AZ$3:AZ$1334,[1]ACSDT5Y2020.B08301_data_with_ov!$AS$3:$AS$1334,$B639)</f>
        <v>#VALUE!</v>
      </c>
      <c r="S639" s="17" t="e">
        <f>SUMIFS([1]ACSDT5Y2020.B08301_data_with_ov!BA$3:BA$1334,[1]ACSDT5Y2020.B08301_data_with_ov!$AS$3:$AS$1334,$B639)</f>
        <v>#VALUE!</v>
      </c>
      <c r="T639" s="188">
        <v>0.24723731040007033</v>
      </c>
      <c r="U639" s="189" t="e">
        <f t="shared" si="39"/>
        <v>#VALUE!</v>
      </c>
      <c r="V639" s="188">
        <v>0</v>
      </c>
      <c r="W639" s="189" t="e">
        <f t="shared" si="36"/>
        <v>#VALUE!</v>
      </c>
      <c r="X639" s="188">
        <v>0</v>
      </c>
      <c r="Y639" s="189" t="e">
        <f t="shared" si="37"/>
        <v>#VALUE!</v>
      </c>
      <c r="Z639" s="188">
        <v>0</v>
      </c>
      <c r="AA639" s="189" t="e">
        <f t="shared" si="38"/>
        <v>#VALUE!</v>
      </c>
    </row>
    <row r="640" spans="1:27" x14ac:dyDescent="0.25">
      <c r="A640">
        <v>650500</v>
      </c>
      <c r="B640">
        <v>17031650500</v>
      </c>
      <c r="C640">
        <v>17031</v>
      </c>
      <c r="D640">
        <v>2010</v>
      </c>
      <c r="E640">
        <v>65</v>
      </c>
      <c r="F640">
        <v>34926101.750887498</v>
      </c>
      <c r="G640" s="45">
        <v>1.2528015148246492</v>
      </c>
      <c r="H640" s="60" t="str">
        <f>_xlfn.IFNA(
INDEX('Community Areas'!B$2:B$78,MATCH($E640,'Community Areas'!$A$2:$A$78,0)),
"")</f>
        <v>WEST LAWN</v>
      </c>
      <c r="I640" s="63" t="str">
        <f>_xlfn.IFNA(
INDEX('Community Areas'!C$2:C$78,MATCH($E640,'Community Areas'!$A$2:$A$78,0)),
"")</f>
        <v>4-C</v>
      </c>
      <c r="J640" s="63">
        <f>_xlfn.IFNA(
INDEX('Community Areas'!D$2:D$78,MATCH($E640,'Community Areas'!$A$2:$A$78,0)),
"")</f>
        <v>4</v>
      </c>
      <c r="K640" s="60" t="str">
        <f>_xlfn.IFNA(
INDEX('Community Areas'!E$2:E$78,MATCH($E640,'Community Areas'!$A$2:$A$78,0)),
"")</f>
        <v>SOUTHWEST</v>
      </c>
      <c r="L640" s="17" t="e">
        <f>SUMIFS([1]ACSDT5Y2020.B08301_data_with_ov!AT$3:AT$1334,[1]ACSDT5Y2020.B08301_data_with_ov!$AS$3:$AS$1334,$B640)</f>
        <v>#VALUE!</v>
      </c>
      <c r="M640" s="17" t="e">
        <f>SUMIFS([1]ACSDT5Y2020.B08301_data_with_ov!AU$3:AU$1334,[1]ACSDT5Y2020.B08301_data_with_ov!$AS$3:$AS$1334,$B640)</f>
        <v>#VALUE!</v>
      </c>
      <c r="N640" s="17" t="e">
        <f>SUMIFS([1]ACSDT5Y2020.B08301_data_with_ov!AV$3:AV$1334,[1]ACSDT5Y2020.B08301_data_with_ov!$AS$3:$AS$1334,$B640)</f>
        <v>#VALUE!</v>
      </c>
      <c r="O640" s="17" t="e">
        <f>SUMIFS([1]ACSDT5Y2020.B08301_data_with_ov!AW$3:AW$1334,[1]ACSDT5Y2020.B08301_data_with_ov!$AS$3:$AS$1334,$B640)</f>
        <v>#VALUE!</v>
      </c>
      <c r="P640" s="17" t="e">
        <f>SUMIFS([1]ACSDT5Y2020.B08301_data_with_ov!AX$3:AX$1334,[1]ACSDT5Y2020.B08301_data_with_ov!$AS$3:$AS$1334,$B640)</f>
        <v>#VALUE!</v>
      </c>
      <c r="Q640" s="17" t="e">
        <f>SUMIFS([1]ACSDT5Y2020.B08301_data_with_ov!AY$3:AY$1334,[1]ACSDT5Y2020.B08301_data_with_ov!$AS$3:$AS$1334,$B640)</f>
        <v>#VALUE!</v>
      </c>
      <c r="R640" s="17" t="e">
        <f>SUMIFS([1]ACSDT5Y2020.B08301_data_with_ov!AZ$3:AZ$1334,[1]ACSDT5Y2020.B08301_data_with_ov!$AS$3:$AS$1334,$B640)</f>
        <v>#VALUE!</v>
      </c>
      <c r="S640" s="17" t="e">
        <f>SUMIFS([1]ACSDT5Y2020.B08301_data_with_ov!BA$3:BA$1334,[1]ACSDT5Y2020.B08301_data_with_ov!$AS$3:$AS$1334,$B640)</f>
        <v>#VALUE!</v>
      </c>
      <c r="T640" s="188">
        <v>0</v>
      </c>
      <c r="U640" s="189" t="e">
        <f t="shared" si="39"/>
        <v>#VALUE!</v>
      </c>
      <c r="V640" s="188">
        <v>0</v>
      </c>
      <c r="W640" s="189" t="e">
        <f t="shared" si="36"/>
        <v>#VALUE!</v>
      </c>
      <c r="X640" s="188">
        <v>0</v>
      </c>
      <c r="Y640" s="189" t="e">
        <f t="shared" si="37"/>
        <v>#VALUE!</v>
      </c>
      <c r="Z640" s="188">
        <v>0</v>
      </c>
      <c r="AA640" s="189" t="e">
        <f t="shared" si="38"/>
        <v>#VALUE!</v>
      </c>
    </row>
    <row r="641" spans="1:27" x14ac:dyDescent="0.25">
      <c r="A641">
        <v>650302</v>
      </c>
      <c r="B641">
        <v>17031650302</v>
      </c>
      <c r="C641">
        <v>17031</v>
      </c>
      <c r="D641">
        <v>2010</v>
      </c>
      <c r="E641">
        <v>65</v>
      </c>
      <c r="F641">
        <v>7106011.4068725202</v>
      </c>
      <c r="G641" s="45">
        <v>0.25489308593292731</v>
      </c>
      <c r="H641" s="60" t="str">
        <f>_xlfn.IFNA(
INDEX('Community Areas'!B$2:B$78,MATCH($E641,'Community Areas'!$A$2:$A$78,0)),
"")</f>
        <v>WEST LAWN</v>
      </c>
      <c r="I641" s="63" t="str">
        <f>_xlfn.IFNA(
INDEX('Community Areas'!C$2:C$78,MATCH($E641,'Community Areas'!$A$2:$A$78,0)),
"")</f>
        <v>4-C</v>
      </c>
      <c r="J641" s="63">
        <f>_xlfn.IFNA(
INDEX('Community Areas'!D$2:D$78,MATCH($E641,'Community Areas'!$A$2:$A$78,0)),
"")</f>
        <v>4</v>
      </c>
      <c r="K641" s="60" t="str">
        <f>_xlfn.IFNA(
INDEX('Community Areas'!E$2:E$78,MATCH($E641,'Community Areas'!$A$2:$A$78,0)),
"")</f>
        <v>SOUTHWEST</v>
      </c>
      <c r="L641" s="17" t="e">
        <f>SUMIFS([1]ACSDT5Y2020.B08301_data_with_ov!AT$3:AT$1334,[1]ACSDT5Y2020.B08301_data_with_ov!$AS$3:$AS$1334,$B641)</f>
        <v>#VALUE!</v>
      </c>
      <c r="M641" s="17" t="e">
        <f>SUMIFS([1]ACSDT5Y2020.B08301_data_with_ov!AU$3:AU$1334,[1]ACSDT5Y2020.B08301_data_with_ov!$AS$3:$AS$1334,$B641)</f>
        <v>#VALUE!</v>
      </c>
      <c r="N641" s="17" t="e">
        <f>SUMIFS([1]ACSDT5Y2020.B08301_data_with_ov!AV$3:AV$1334,[1]ACSDT5Y2020.B08301_data_with_ov!$AS$3:$AS$1334,$B641)</f>
        <v>#VALUE!</v>
      </c>
      <c r="O641" s="17" t="e">
        <f>SUMIFS([1]ACSDT5Y2020.B08301_data_with_ov!AW$3:AW$1334,[1]ACSDT5Y2020.B08301_data_with_ov!$AS$3:$AS$1334,$B641)</f>
        <v>#VALUE!</v>
      </c>
      <c r="P641" s="17" t="e">
        <f>SUMIFS([1]ACSDT5Y2020.B08301_data_with_ov!AX$3:AX$1334,[1]ACSDT5Y2020.B08301_data_with_ov!$AS$3:$AS$1334,$B641)</f>
        <v>#VALUE!</v>
      </c>
      <c r="Q641" s="17" t="e">
        <f>SUMIFS([1]ACSDT5Y2020.B08301_data_with_ov!AY$3:AY$1334,[1]ACSDT5Y2020.B08301_data_with_ov!$AS$3:$AS$1334,$B641)</f>
        <v>#VALUE!</v>
      </c>
      <c r="R641" s="17" t="e">
        <f>SUMIFS([1]ACSDT5Y2020.B08301_data_with_ov!AZ$3:AZ$1334,[1]ACSDT5Y2020.B08301_data_with_ov!$AS$3:$AS$1334,$B641)</f>
        <v>#VALUE!</v>
      </c>
      <c r="S641" s="17" t="e">
        <f>SUMIFS([1]ACSDT5Y2020.B08301_data_with_ov!BA$3:BA$1334,[1]ACSDT5Y2020.B08301_data_with_ov!$AS$3:$AS$1334,$B641)</f>
        <v>#VALUE!</v>
      </c>
      <c r="T641" s="188">
        <v>0.24034343603305283</v>
      </c>
      <c r="U641" s="189" t="e">
        <f t="shared" si="39"/>
        <v>#VALUE!</v>
      </c>
      <c r="V641" s="188">
        <v>0.24034343603305283</v>
      </c>
      <c r="W641" s="189" t="e">
        <f t="shared" si="36"/>
        <v>#VALUE!</v>
      </c>
      <c r="X641" s="188">
        <v>0.24034343603305283</v>
      </c>
      <c r="Y641" s="189" t="e">
        <f t="shared" si="37"/>
        <v>#VALUE!</v>
      </c>
      <c r="Z641" s="188">
        <v>0.24034343603305283</v>
      </c>
      <c r="AA641" s="189" t="e">
        <f t="shared" si="38"/>
        <v>#VALUE!</v>
      </c>
    </row>
    <row r="642" spans="1:27" x14ac:dyDescent="0.25">
      <c r="A642">
        <v>650301</v>
      </c>
      <c r="B642">
        <v>17031650301</v>
      </c>
      <c r="C642">
        <v>17031</v>
      </c>
      <c r="D642">
        <v>2010</v>
      </c>
      <c r="E642">
        <v>65</v>
      </c>
      <c r="F642">
        <v>10586344.9067534</v>
      </c>
      <c r="G642" s="45">
        <v>0.37973287228655161</v>
      </c>
      <c r="H642" s="60" t="str">
        <f>_xlfn.IFNA(
INDEX('Community Areas'!B$2:B$78,MATCH($E642,'Community Areas'!$A$2:$A$78,0)),
"")</f>
        <v>WEST LAWN</v>
      </c>
      <c r="I642" s="63" t="str">
        <f>_xlfn.IFNA(
INDEX('Community Areas'!C$2:C$78,MATCH($E642,'Community Areas'!$A$2:$A$78,0)),
"")</f>
        <v>4-C</v>
      </c>
      <c r="J642" s="63">
        <f>_xlfn.IFNA(
INDEX('Community Areas'!D$2:D$78,MATCH($E642,'Community Areas'!$A$2:$A$78,0)),
"")</f>
        <v>4</v>
      </c>
      <c r="K642" s="60" t="str">
        <f>_xlfn.IFNA(
INDEX('Community Areas'!E$2:E$78,MATCH($E642,'Community Areas'!$A$2:$A$78,0)),
"")</f>
        <v>SOUTHWEST</v>
      </c>
      <c r="L642" s="17" t="e">
        <f>SUMIFS([1]ACSDT5Y2020.B08301_data_with_ov!AT$3:AT$1334,[1]ACSDT5Y2020.B08301_data_with_ov!$AS$3:$AS$1334,$B642)</f>
        <v>#VALUE!</v>
      </c>
      <c r="M642" s="17" t="e">
        <f>SUMIFS([1]ACSDT5Y2020.B08301_data_with_ov!AU$3:AU$1334,[1]ACSDT5Y2020.B08301_data_with_ov!$AS$3:$AS$1334,$B642)</f>
        <v>#VALUE!</v>
      </c>
      <c r="N642" s="17" t="e">
        <f>SUMIFS([1]ACSDT5Y2020.B08301_data_with_ov!AV$3:AV$1334,[1]ACSDT5Y2020.B08301_data_with_ov!$AS$3:$AS$1334,$B642)</f>
        <v>#VALUE!</v>
      </c>
      <c r="O642" s="17" t="e">
        <f>SUMIFS([1]ACSDT5Y2020.B08301_data_with_ov!AW$3:AW$1334,[1]ACSDT5Y2020.B08301_data_with_ov!$AS$3:$AS$1334,$B642)</f>
        <v>#VALUE!</v>
      </c>
      <c r="P642" s="17" t="e">
        <f>SUMIFS([1]ACSDT5Y2020.B08301_data_with_ov!AX$3:AX$1334,[1]ACSDT5Y2020.B08301_data_with_ov!$AS$3:$AS$1334,$B642)</f>
        <v>#VALUE!</v>
      </c>
      <c r="Q642" s="17" t="e">
        <f>SUMIFS([1]ACSDT5Y2020.B08301_data_with_ov!AY$3:AY$1334,[1]ACSDT5Y2020.B08301_data_with_ov!$AS$3:$AS$1334,$B642)</f>
        <v>#VALUE!</v>
      </c>
      <c r="R642" s="17" t="e">
        <f>SUMIFS([1]ACSDT5Y2020.B08301_data_with_ov!AZ$3:AZ$1334,[1]ACSDT5Y2020.B08301_data_with_ov!$AS$3:$AS$1334,$B642)</f>
        <v>#VALUE!</v>
      </c>
      <c r="S642" s="17" t="e">
        <f>SUMIFS([1]ACSDT5Y2020.B08301_data_with_ov!BA$3:BA$1334,[1]ACSDT5Y2020.B08301_data_with_ov!$AS$3:$AS$1334,$B642)</f>
        <v>#VALUE!</v>
      </c>
      <c r="T642" s="188">
        <v>2.0446859041303768E-4</v>
      </c>
      <c r="U642" s="189" t="e">
        <f t="shared" si="39"/>
        <v>#VALUE!</v>
      </c>
      <c r="V642" s="188">
        <v>2.0446819590535649E-4</v>
      </c>
      <c r="W642" s="189" t="e">
        <f t="shared" si="36"/>
        <v>#VALUE!</v>
      </c>
      <c r="X642" s="188">
        <v>2.0446819590535649E-4</v>
      </c>
      <c r="Y642" s="189" t="e">
        <f t="shared" si="37"/>
        <v>#VALUE!</v>
      </c>
      <c r="Z642" s="188">
        <v>2.0446819590535649E-4</v>
      </c>
      <c r="AA642" s="189" t="e">
        <f t="shared" si="38"/>
        <v>#VALUE!</v>
      </c>
    </row>
    <row r="643" spans="1:27" x14ac:dyDescent="0.25">
      <c r="A643">
        <v>650200</v>
      </c>
      <c r="B643">
        <v>17031650200</v>
      </c>
      <c r="C643">
        <v>17031</v>
      </c>
      <c r="D643">
        <v>2010</v>
      </c>
      <c r="E643">
        <v>65</v>
      </c>
      <c r="F643">
        <v>10613182.0351416</v>
      </c>
      <c r="G643" s="45">
        <v>0.3806955218069043</v>
      </c>
      <c r="H643" s="60" t="str">
        <f>_xlfn.IFNA(
INDEX('Community Areas'!B$2:B$78,MATCH($E643,'Community Areas'!$A$2:$A$78,0)),
"")</f>
        <v>WEST LAWN</v>
      </c>
      <c r="I643" s="63" t="str">
        <f>_xlfn.IFNA(
INDEX('Community Areas'!C$2:C$78,MATCH($E643,'Community Areas'!$A$2:$A$78,0)),
"")</f>
        <v>4-C</v>
      </c>
      <c r="J643" s="63">
        <f>_xlfn.IFNA(
INDEX('Community Areas'!D$2:D$78,MATCH($E643,'Community Areas'!$A$2:$A$78,0)),
"")</f>
        <v>4</v>
      </c>
      <c r="K643" s="60" t="str">
        <f>_xlfn.IFNA(
INDEX('Community Areas'!E$2:E$78,MATCH($E643,'Community Areas'!$A$2:$A$78,0)),
"")</f>
        <v>SOUTHWEST</v>
      </c>
      <c r="L643" s="17" t="e">
        <f>SUMIFS([1]ACSDT5Y2020.B08301_data_with_ov!AT$3:AT$1334,[1]ACSDT5Y2020.B08301_data_with_ov!$AS$3:$AS$1334,$B643)</f>
        <v>#VALUE!</v>
      </c>
      <c r="M643" s="17" t="e">
        <f>SUMIFS([1]ACSDT5Y2020.B08301_data_with_ov!AU$3:AU$1334,[1]ACSDT5Y2020.B08301_data_with_ov!$AS$3:$AS$1334,$B643)</f>
        <v>#VALUE!</v>
      </c>
      <c r="N643" s="17" t="e">
        <f>SUMIFS([1]ACSDT5Y2020.B08301_data_with_ov!AV$3:AV$1334,[1]ACSDT5Y2020.B08301_data_with_ov!$AS$3:$AS$1334,$B643)</f>
        <v>#VALUE!</v>
      </c>
      <c r="O643" s="17" t="e">
        <f>SUMIFS([1]ACSDT5Y2020.B08301_data_with_ov!AW$3:AW$1334,[1]ACSDT5Y2020.B08301_data_with_ov!$AS$3:$AS$1334,$B643)</f>
        <v>#VALUE!</v>
      </c>
      <c r="P643" s="17" t="e">
        <f>SUMIFS([1]ACSDT5Y2020.B08301_data_with_ov!AX$3:AX$1334,[1]ACSDT5Y2020.B08301_data_with_ov!$AS$3:$AS$1334,$B643)</f>
        <v>#VALUE!</v>
      </c>
      <c r="Q643" s="17" t="e">
        <f>SUMIFS([1]ACSDT5Y2020.B08301_data_with_ov!AY$3:AY$1334,[1]ACSDT5Y2020.B08301_data_with_ov!$AS$3:$AS$1334,$B643)</f>
        <v>#VALUE!</v>
      </c>
      <c r="R643" s="17" t="e">
        <f>SUMIFS([1]ACSDT5Y2020.B08301_data_with_ov!AZ$3:AZ$1334,[1]ACSDT5Y2020.B08301_data_with_ov!$AS$3:$AS$1334,$B643)</f>
        <v>#VALUE!</v>
      </c>
      <c r="S643" s="17" t="e">
        <f>SUMIFS([1]ACSDT5Y2020.B08301_data_with_ov!BA$3:BA$1334,[1]ACSDT5Y2020.B08301_data_with_ov!$AS$3:$AS$1334,$B643)</f>
        <v>#VALUE!</v>
      </c>
      <c r="T643" s="188">
        <v>0.37830940314480749</v>
      </c>
      <c r="U643" s="189" t="e">
        <f t="shared" si="39"/>
        <v>#VALUE!</v>
      </c>
      <c r="V643" s="188">
        <v>2.160139554004541E-4</v>
      </c>
      <c r="W643" s="189" t="e">
        <f t="shared" si="36"/>
        <v>#VALUE!</v>
      </c>
      <c r="X643" s="188">
        <v>2.160139554004541E-4</v>
      </c>
      <c r="Y643" s="189" t="e">
        <f t="shared" si="37"/>
        <v>#VALUE!</v>
      </c>
      <c r="Z643" s="188">
        <v>2.160139554004541E-4</v>
      </c>
      <c r="AA643" s="189" t="e">
        <f t="shared" si="38"/>
        <v>#VALUE!</v>
      </c>
    </row>
    <row r="644" spans="1:27" x14ac:dyDescent="0.25">
      <c r="A644">
        <v>650100</v>
      </c>
      <c r="B644">
        <v>17031650100</v>
      </c>
      <c r="C644">
        <v>17031</v>
      </c>
      <c r="D644">
        <v>2010</v>
      </c>
      <c r="E644">
        <v>65</v>
      </c>
      <c r="F644">
        <v>7248760.5669899099</v>
      </c>
      <c r="G644" s="45">
        <v>0.26001350748213348</v>
      </c>
      <c r="H644" s="60" t="str">
        <f>_xlfn.IFNA(
INDEX('Community Areas'!B$2:B$78,MATCH($E644,'Community Areas'!$A$2:$A$78,0)),
"")</f>
        <v>WEST LAWN</v>
      </c>
      <c r="I644" s="63" t="str">
        <f>_xlfn.IFNA(
INDEX('Community Areas'!C$2:C$78,MATCH($E644,'Community Areas'!$A$2:$A$78,0)),
"")</f>
        <v>4-C</v>
      </c>
      <c r="J644" s="63">
        <f>_xlfn.IFNA(
INDEX('Community Areas'!D$2:D$78,MATCH($E644,'Community Areas'!$A$2:$A$78,0)),
"")</f>
        <v>4</v>
      </c>
      <c r="K644" s="60" t="str">
        <f>_xlfn.IFNA(
INDEX('Community Areas'!E$2:E$78,MATCH($E644,'Community Areas'!$A$2:$A$78,0)),
"")</f>
        <v>SOUTHWEST</v>
      </c>
      <c r="L644" s="17" t="e">
        <f>SUMIFS([1]ACSDT5Y2020.B08301_data_with_ov!AT$3:AT$1334,[1]ACSDT5Y2020.B08301_data_with_ov!$AS$3:$AS$1334,$B644)</f>
        <v>#VALUE!</v>
      </c>
      <c r="M644" s="17" t="e">
        <f>SUMIFS([1]ACSDT5Y2020.B08301_data_with_ov!AU$3:AU$1334,[1]ACSDT5Y2020.B08301_data_with_ov!$AS$3:$AS$1334,$B644)</f>
        <v>#VALUE!</v>
      </c>
      <c r="N644" s="17" t="e">
        <f>SUMIFS([1]ACSDT5Y2020.B08301_data_with_ov!AV$3:AV$1334,[1]ACSDT5Y2020.B08301_data_with_ov!$AS$3:$AS$1334,$B644)</f>
        <v>#VALUE!</v>
      </c>
      <c r="O644" s="17" t="e">
        <f>SUMIFS([1]ACSDT5Y2020.B08301_data_with_ov!AW$3:AW$1334,[1]ACSDT5Y2020.B08301_data_with_ov!$AS$3:$AS$1334,$B644)</f>
        <v>#VALUE!</v>
      </c>
      <c r="P644" s="17" t="e">
        <f>SUMIFS([1]ACSDT5Y2020.B08301_data_with_ov!AX$3:AX$1334,[1]ACSDT5Y2020.B08301_data_with_ov!$AS$3:$AS$1334,$B644)</f>
        <v>#VALUE!</v>
      </c>
      <c r="Q644" s="17" t="e">
        <f>SUMIFS([1]ACSDT5Y2020.B08301_data_with_ov!AY$3:AY$1334,[1]ACSDT5Y2020.B08301_data_with_ov!$AS$3:$AS$1334,$B644)</f>
        <v>#VALUE!</v>
      </c>
      <c r="R644" s="17" t="e">
        <f>SUMIFS([1]ACSDT5Y2020.B08301_data_with_ov!AZ$3:AZ$1334,[1]ACSDT5Y2020.B08301_data_with_ov!$AS$3:$AS$1334,$B644)</f>
        <v>#VALUE!</v>
      </c>
      <c r="S644" s="17" t="e">
        <f>SUMIFS([1]ACSDT5Y2020.B08301_data_with_ov!BA$3:BA$1334,[1]ACSDT5Y2020.B08301_data_with_ov!$AS$3:$AS$1334,$B644)</f>
        <v>#VALUE!</v>
      </c>
      <c r="T644" s="188">
        <v>0.26001351194038752</v>
      </c>
      <c r="U644" s="189" t="e">
        <f t="shared" si="39"/>
        <v>#VALUE!</v>
      </c>
      <c r="V644" s="188">
        <v>0.2076658781054429</v>
      </c>
      <c r="W644" s="189" t="e">
        <f t="shared" si="36"/>
        <v>#VALUE!</v>
      </c>
      <c r="X644" s="188">
        <v>0.2076658781054429</v>
      </c>
      <c r="Y644" s="189" t="e">
        <f t="shared" si="37"/>
        <v>#VALUE!</v>
      </c>
      <c r="Z644" s="188">
        <v>0.2076658781054429</v>
      </c>
      <c r="AA644" s="189" t="e">
        <f t="shared" si="38"/>
        <v>#VALUE!</v>
      </c>
    </row>
    <row r="645" spans="1:27" x14ac:dyDescent="0.25">
      <c r="A645">
        <v>650400</v>
      </c>
      <c r="B645">
        <v>17031650400</v>
      </c>
      <c r="C645">
        <v>17031</v>
      </c>
      <c r="D645">
        <v>2010</v>
      </c>
      <c r="E645">
        <v>65</v>
      </c>
      <c r="F645">
        <v>11834901.075079</v>
      </c>
      <c r="G645" s="45">
        <v>0.42451866230052654</v>
      </c>
      <c r="H645" s="60" t="str">
        <f>_xlfn.IFNA(
INDEX('Community Areas'!B$2:B$78,MATCH($E645,'Community Areas'!$A$2:$A$78,0)),
"")</f>
        <v>WEST LAWN</v>
      </c>
      <c r="I645" s="63" t="str">
        <f>_xlfn.IFNA(
INDEX('Community Areas'!C$2:C$78,MATCH($E645,'Community Areas'!$A$2:$A$78,0)),
"")</f>
        <v>4-C</v>
      </c>
      <c r="J645" s="63">
        <f>_xlfn.IFNA(
INDEX('Community Areas'!D$2:D$78,MATCH($E645,'Community Areas'!$A$2:$A$78,0)),
"")</f>
        <v>4</v>
      </c>
      <c r="K645" s="60" t="str">
        <f>_xlfn.IFNA(
INDEX('Community Areas'!E$2:E$78,MATCH($E645,'Community Areas'!$A$2:$A$78,0)),
"")</f>
        <v>SOUTHWEST</v>
      </c>
      <c r="L645" s="17" t="e">
        <f>SUMIFS([1]ACSDT5Y2020.B08301_data_with_ov!AT$3:AT$1334,[1]ACSDT5Y2020.B08301_data_with_ov!$AS$3:$AS$1334,$B645)</f>
        <v>#VALUE!</v>
      </c>
      <c r="M645" s="17" t="e">
        <f>SUMIFS([1]ACSDT5Y2020.B08301_data_with_ov!AU$3:AU$1334,[1]ACSDT5Y2020.B08301_data_with_ov!$AS$3:$AS$1334,$B645)</f>
        <v>#VALUE!</v>
      </c>
      <c r="N645" s="17" t="e">
        <f>SUMIFS([1]ACSDT5Y2020.B08301_data_with_ov!AV$3:AV$1334,[1]ACSDT5Y2020.B08301_data_with_ov!$AS$3:$AS$1334,$B645)</f>
        <v>#VALUE!</v>
      </c>
      <c r="O645" s="17" t="e">
        <f>SUMIFS([1]ACSDT5Y2020.B08301_data_with_ov!AW$3:AW$1334,[1]ACSDT5Y2020.B08301_data_with_ov!$AS$3:$AS$1334,$B645)</f>
        <v>#VALUE!</v>
      </c>
      <c r="P645" s="17" t="e">
        <f>SUMIFS([1]ACSDT5Y2020.B08301_data_with_ov!AX$3:AX$1334,[1]ACSDT5Y2020.B08301_data_with_ov!$AS$3:$AS$1334,$B645)</f>
        <v>#VALUE!</v>
      </c>
      <c r="Q645" s="17" t="e">
        <f>SUMIFS([1]ACSDT5Y2020.B08301_data_with_ov!AY$3:AY$1334,[1]ACSDT5Y2020.B08301_data_with_ov!$AS$3:$AS$1334,$B645)</f>
        <v>#VALUE!</v>
      </c>
      <c r="R645" s="17" t="e">
        <f>SUMIFS([1]ACSDT5Y2020.B08301_data_with_ov!AZ$3:AZ$1334,[1]ACSDT5Y2020.B08301_data_with_ov!$AS$3:$AS$1334,$B645)</f>
        <v>#VALUE!</v>
      </c>
      <c r="S645" s="17" t="e">
        <f>SUMIFS([1]ACSDT5Y2020.B08301_data_with_ov!BA$3:BA$1334,[1]ACSDT5Y2020.B08301_data_with_ov!$AS$3:$AS$1334,$B645)</f>
        <v>#VALUE!</v>
      </c>
      <c r="T645" s="188">
        <v>0.19111408303853447</v>
      </c>
      <c r="U645" s="189" t="e">
        <f t="shared" si="39"/>
        <v>#VALUE!</v>
      </c>
      <c r="V645" s="188">
        <v>0.19111408303853447</v>
      </c>
      <c r="W645" s="189" t="e">
        <f t="shared" si="36"/>
        <v>#VALUE!</v>
      </c>
      <c r="X645" s="188">
        <v>0.19111408303853447</v>
      </c>
      <c r="Y645" s="189" t="e">
        <f t="shared" si="37"/>
        <v>#VALUE!</v>
      </c>
      <c r="Z645" s="188">
        <v>0.19111408303853447</v>
      </c>
      <c r="AA645" s="189" t="e">
        <f t="shared" si="38"/>
        <v>#VALUE!</v>
      </c>
    </row>
    <row r="646" spans="1:27" x14ac:dyDescent="0.25">
      <c r="A646">
        <v>835000</v>
      </c>
      <c r="B646">
        <v>17031835000</v>
      </c>
      <c r="C646">
        <v>17031</v>
      </c>
      <c r="D646">
        <v>2010</v>
      </c>
      <c r="E646">
        <v>66</v>
      </c>
      <c r="F646">
        <v>10554666.7871096</v>
      </c>
      <c r="G646" s="45">
        <v>0.37859657609868574</v>
      </c>
      <c r="H646" s="60" t="str">
        <f>_xlfn.IFNA(
INDEX('Community Areas'!B$2:B$78,MATCH($E646,'Community Areas'!$A$2:$A$78,0)),
"")</f>
        <v>CHICAGO LAWN</v>
      </c>
      <c r="I646" s="63" t="str">
        <f>_xlfn.IFNA(
INDEX('Community Areas'!C$2:C$78,MATCH($E646,'Community Areas'!$A$2:$A$78,0)),
"")</f>
        <v>4-B</v>
      </c>
      <c r="J646" s="63">
        <f>_xlfn.IFNA(
INDEX('Community Areas'!D$2:D$78,MATCH($E646,'Community Areas'!$A$2:$A$78,0)),
"")</f>
        <v>4</v>
      </c>
      <c r="K646" s="60" t="str">
        <f>_xlfn.IFNA(
INDEX('Community Areas'!E$2:E$78,MATCH($E646,'Community Areas'!$A$2:$A$78,0)),
"")</f>
        <v>SOUTHWEST</v>
      </c>
      <c r="L646" s="17" t="e">
        <f>SUMIFS([1]ACSDT5Y2020.B08301_data_with_ov!AT$3:AT$1334,[1]ACSDT5Y2020.B08301_data_with_ov!$AS$3:$AS$1334,$B646)</f>
        <v>#VALUE!</v>
      </c>
      <c r="M646" s="17" t="e">
        <f>SUMIFS([1]ACSDT5Y2020.B08301_data_with_ov!AU$3:AU$1334,[1]ACSDT5Y2020.B08301_data_with_ov!$AS$3:$AS$1334,$B646)</f>
        <v>#VALUE!</v>
      </c>
      <c r="N646" s="17" t="e">
        <f>SUMIFS([1]ACSDT5Y2020.B08301_data_with_ov!AV$3:AV$1334,[1]ACSDT5Y2020.B08301_data_with_ov!$AS$3:$AS$1334,$B646)</f>
        <v>#VALUE!</v>
      </c>
      <c r="O646" s="17" t="e">
        <f>SUMIFS([1]ACSDT5Y2020.B08301_data_with_ov!AW$3:AW$1334,[1]ACSDT5Y2020.B08301_data_with_ov!$AS$3:$AS$1334,$B646)</f>
        <v>#VALUE!</v>
      </c>
      <c r="P646" s="17" t="e">
        <f>SUMIFS([1]ACSDT5Y2020.B08301_data_with_ov!AX$3:AX$1334,[1]ACSDT5Y2020.B08301_data_with_ov!$AS$3:$AS$1334,$B646)</f>
        <v>#VALUE!</v>
      </c>
      <c r="Q646" s="17" t="e">
        <f>SUMIFS([1]ACSDT5Y2020.B08301_data_with_ov!AY$3:AY$1334,[1]ACSDT5Y2020.B08301_data_with_ov!$AS$3:$AS$1334,$B646)</f>
        <v>#VALUE!</v>
      </c>
      <c r="R646" s="17" t="e">
        <f>SUMIFS([1]ACSDT5Y2020.B08301_data_with_ov!AZ$3:AZ$1334,[1]ACSDT5Y2020.B08301_data_with_ov!$AS$3:$AS$1334,$B646)</f>
        <v>#VALUE!</v>
      </c>
      <c r="S646" s="17" t="e">
        <f>SUMIFS([1]ACSDT5Y2020.B08301_data_with_ov!BA$3:BA$1334,[1]ACSDT5Y2020.B08301_data_with_ov!$AS$3:$AS$1334,$B646)</f>
        <v>#VALUE!</v>
      </c>
      <c r="T646" s="188">
        <v>0.37859657100215938</v>
      </c>
      <c r="U646" s="189" t="e">
        <f t="shared" si="39"/>
        <v>#VALUE!</v>
      </c>
      <c r="V646" s="188">
        <v>0.37668740060312644</v>
      </c>
      <c r="W646" s="189" t="e">
        <f t="shared" ref="W646:W709" si="40">(V646/$G646)*$L646</f>
        <v>#VALUE!</v>
      </c>
      <c r="X646" s="188">
        <v>0.37668740060312644</v>
      </c>
      <c r="Y646" s="189" t="e">
        <f t="shared" ref="Y646:Y709" si="41">(X646/$G646)*$L646</f>
        <v>#VALUE!</v>
      </c>
      <c r="Z646" s="188">
        <v>0.37668740060312644</v>
      </c>
      <c r="AA646" s="189" t="e">
        <f t="shared" ref="AA646:AA709" si="42">(Z646/$G646)*$L646</f>
        <v>#VALUE!</v>
      </c>
    </row>
    <row r="647" spans="1:27" x14ac:dyDescent="0.25">
      <c r="A647">
        <v>660700</v>
      </c>
      <c r="B647">
        <v>17031660700</v>
      </c>
      <c r="C647">
        <v>17031</v>
      </c>
      <c r="D647">
        <v>2010</v>
      </c>
      <c r="E647">
        <v>66</v>
      </c>
      <c r="F647">
        <v>5176108.4201804604</v>
      </c>
      <c r="G647" s="45">
        <v>0.18566734174774951</v>
      </c>
      <c r="H647" s="60" t="str">
        <f>_xlfn.IFNA(
INDEX('Community Areas'!B$2:B$78,MATCH($E647,'Community Areas'!$A$2:$A$78,0)),
"")</f>
        <v>CHICAGO LAWN</v>
      </c>
      <c r="I647" s="63" t="str">
        <f>_xlfn.IFNA(
INDEX('Community Areas'!C$2:C$78,MATCH($E647,'Community Areas'!$A$2:$A$78,0)),
"")</f>
        <v>4-B</v>
      </c>
      <c r="J647" s="63">
        <f>_xlfn.IFNA(
INDEX('Community Areas'!D$2:D$78,MATCH($E647,'Community Areas'!$A$2:$A$78,0)),
"")</f>
        <v>4</v>
      </c>
      <c r="K647" s="60" t="str">
        <f>_xlfn.IFNA(
INDEX('Community Areas'!E$2:E$78,MATCH($E647,'Community Areas'!$A$2:$A$78,0)),
"")</f>
        <v>SOUTHWEST</v>
      </c>
      <c r="L647" s="17" t="e">
        <f>SUMIFS([1]ACSDT5Y2020.B08301_data_with_ov!AT$3:AT$1334,[1]ACSDT5Y2020.B08301_data_with_ov!$AS$3:$AS$1334,$B647)</f>
        <v>#VALUE!</v>
      </c>
      <c r="M647" s="17" t="e">
        <f>SUMIFS([1]ACSDT5Y2020.B08301_data_with_ov!AU$3:AU$1334,[1]ACSDT5Y2020.B08301_data_with_ov!$AS$3:$AS$1334,$B647)</f>
        <v>#VALUE!</v>
      </c>
      <c r="N647" s="17" t="e">
        <f>SUMIFS([1]ACSDT5Y2020.B08301_data_with_ov!AV$3:AV$1334,[1]ACSDT5Y2020.B08301_data_with_ov!$AS$3:$AS$1334,$B647)</f>
        <v>#VALUE!</v>
      </c>
      <c r="O647" s="17" t="e">
        <f>SUMIFS([1]ACSDT5Y2020.B08301_data_with_ov!AW$3:AW$1334,[1]ACSDT5Y2020.B08301_data_with_ov!$AS$3:$AS$1334,$B647)</f>
        <v>#VALUE!</v>
      </c>
      <c r="P647" s="17" t="e">
        <f>SUMIFS([1]ACSDT5Y2020.B08301_data_with_ov!AX$3:AX$1334,[1]ACSDT5Y2020.B08301_data_with_ov!$AS$3:$AS$1334,$B647)</f>
        <v>#VALUE!</v>
      </c>
      <c r="Q647" s="17" t="e">
        <f>SUMIFS([1]ACSDT5Y2020.B08301_data_with_ov!AY$3:AY$1334,[1]ACSDT5Y2020.B08301_data_with_ov!$AS$3:$AS$1334,$B647)</f>
        <v>#VALUE!</v>
      </c>
      <c r="R647" s="17" t="e">
        <f>SUMIFS([1]ACSDT5Y2020.B08301_data_with_ov!AZ$3:AZ$1334,[1]ACSDT5Y2020.B08301_data_with_ov!$AS$3:$AS$1334,$B647)</f>
        <v>#VALUE!</v>
      </c>
      <c r="S647" s="17" t="e">
        <f>SUMIFS([1]ACSDT5Y2020.B08301_data_with_ov!BA$3:BA$1334,[1]ACSDT5Y2020.B08301_data_with_ov!$AS$3:$AS$1334,$B647)</f>
        <v>#VALUE!</v>
      </c>
      <c r="T647" s="188">
        <v>0.18566734669876608</v>
      </c>
      <c r="U647" s="189" t="e">
        <f t="shared" ref="U647:U710" si="43">(T647/$G647)*$L647</f>
        <v>#VALUE!</v>
      </c>
      <c r="V647" s="188">
        <v>0.18566734669876608</v>
      </c>
      <c r="W647" s="189" t="e">
        <f t="shared" si="40"/>
        <v>#VALUE!</v>
      </c>
      <c r="X647" s="188">
        <v>0.18566734669876608</v>
      </c>
      <c r="Y647" s="189" t="e">
        <f t="shared" si="41"/>
        <v>#VALUE!</v>
      </c>
      <c r="Z647" s="188">
        <v>0.18566734669876608</v>
      </c>
      <c r="AA647" s="189" t="e">
        <f t="shared" si="42"/>
        <v>#VALUE!</v>
      </c>
    </row>
    <row r="648" spans="1:27" x14ac:dyDescent="0.25">
      <c r="A648">
        <v>660302</v>
      </c>
      <c r="B648">
        <v>17031660302</v>
      </c>
      <c r="C648">
        <v>17031</v>
      </c>
      <c r="D648">
        <v>2010</v>
      </c>
      <c r="E648">
        <v>66</v>
      </c>
      <c r="F648">
        <v>5294797.8223938504</v>
      </c>
      <c r="G648" s="45">
        <v>0.18992473823439834</v>
      </c>
      <c r="H648" s="60" t="str">
        <f>_xlfn.IFNA(
INDEX('Community Areas'!B$2:B$78,MATCH($E648,'Community Areas'!$A$2:$A$78,0)),
"")</f>
        <v>CHICAGO LAWN</v>
      </c>
      <c r="I648" s="63" t="str">
        <f>_xlfn.IFNA(
INDEX('Community Areas'!C$2:C$78,MATCH($E648,'Community Areas'!$A$2:$A$78,0)),
"")</f>
        <v>4-B</v>
      </c>
      <c r="J648" s="63">
        <f>_xlfn.IFNA(
INDEX('Community Areas'!D$2:D$78,MATCH($E648,'Community Areas'!$A$2:$A$78,0)),
"")</f>
        <v>4</v>
      </c>
      <c r="K648" s="60" t="str">
        <f>_xlfn.IFNA(
INDEX('Community Areas'!E$2:E$78,MATCH($E648,'Community Areas'!$A$2:$A$78,0)),
"")</f>
        <v>SOUTHWEST</v>
      </c>
      <c r="L648" s="17" t="e">
        <f>SUMIFS([1]ACSDT5Y2020.B08301_data_with_ov!AT$3:AT$1334,[1]ACSDT5Y2020.B08301_data_with_ov!$AS$3:$AS$1334,$B648)</f>
        <v>#VALUE!</v>
      </c>
      <c r="M648" s="17" t="e">
        <f>SUMIFS([1]ACSDT5Y2020.B08301_data_with_ov!AU$3:AU$1334,[1]ACSDT5Y2020.B08301_data_with_ov!$AS$3:$AS$1334,$B648)</f>
        <v>#VALUE!</v>
      </c>
      <c r="N648" s="17" t="e">
        <f>SUMIFS([1]ACSDT5Y2020.B08301_data_with_ov!AV$3:AV$1334,[1]ACSDT5Y2020.B08301_data_with_ov!$AS$3:$AS$1334,$B648)</f>
        <v>#VALUE!</v>
      </c>
      <c r="O648" s="17" t="e">
        <f>SUMIFS([1]ACSDT5Y2020.B08301_data_with_ov!AW$3:AW$1334,[1]ACSDT5Y2020.B08301_data_with_ov!$AS$3:$AS$1334,$B648)</f>
        <v>#VALUE!</v>
      </c>
      <c r="P648" s="17" t="e">
        <f>SUMIFS([1]ACSDT5Y2020.B08301_data_with_ov!AX$3:AX$1334,[1]ACSDT5Y2020.B08301_data_with_ov!$AS$3:$AS$1334,$B648)</f>
        <v>#VALUE!</v>
      </c>
      <c r="Q648" s="17" t="e">
        <f>SUMIFS([1]ACSDT5Y2020.B08301_data_with_ov!AY$3:AY$1334,[1]ACSDT5Y2020.B08301_data_with_ov!$AS$3:$AS$1334,$B648)</f>
        <v>#VALUE!</v>
      </c>
      <c r="R648" s="17" t="e">
        <f>SUMIFS([1]ACSDT5Y2020.B08301_data_with_ov!AZ$3:AZ$1334,[1]ACSDT5Y2020.B08301_data_with_ov!$AS$3:$AS$1334,$B648)</f>
        <v>#VALUE!</v>
      </c>
      <c r="S648" s="17" t="e">
        <f>SUMIFS([1]ACSDT5Y2020.B08301_data_with_ov!BA$3:BA$1334,[1]ACSDT5Y2020.B08301_data_with_ov!$AS$3:$AS$1334,$B648)</f>
        <v>#VALUE!</v>
      </c>
      <c r="T648" s="188">
        <v>0.18992474139057478</v>
      </c>
      <c r="U648" s="189" t="e">
        <f t="shared" si="43"/>
        <v>#VALUE!</v>
      </c>
      <c r="V648" s="188">
        <v>0.188558925488061</v>
      </c>
      <c r="W648" s="189" t="e">
        <f t="shared" si="40"/>
        <v>#VALUE!</v>
      </c>
      <c r="X648" s="188">
        <v>0.188558925488061</v>
      </c>
      <c r="Y648" s="189" t="e">
        <f t="shared" si="41"/>
        <v>#VALUE!</v>
      </c>
      <c r="Z648" s="188">
        <v>0.188558925488061</v>
      </c>
      <c r="AA648" s="189" t="e">
        <f t="shared" si="42"/>
        <v>#VALUE!</v>
      </c>
    </row>
    <row r="649" spans="1:27" x14ac:dyDescent="0.25">
      <c r="A649">
        <v>660900</v>
      </c>
      <c r="B649">
        <v>17031660900</v>
      </c>
      <c r="C649">
        <v>17031</v>
      </c>
      <c r="D649">
        <v>2010</v>
      </c>
      <c r="E649">
        <v>66</v>
      </c>
      <c r="F649">
        <v>21240318.028806198</v>
      </c>
      <c r="G649" s="45">
        <v>0.76189157300297716</v>
      </c>
      <c r="H649" s="60" t="str">
        <f>_xlfn.IFNA(
INDEX('Community Areas'!B$2:B$78,MATCH($E649,'Community Areas'!$A$2:$A$78,0)),
"")</f>
        <v>CHICAGO LAWN</v>
      </c>
      <c r="I649" s="63" t="str">
        <f>_xlfn.IFNA(
INDEX('Community Areas'!C$2:C$78,MATCH($E649,'Community Areas'!$A$2:$A$78,0)),
"")</f>
        <v>4-B</v>
      </c>
      <c r="J649" s="63">
        <f>_xlfn.IFNA(
INDEX('Community Areas'!D$2:D$78,MATCH($E649,'Community Areas'!$A$2:$A$78,0)),
"")</f>
        <v>4</v>
      </c>
      <c r="K649" s="60" t="str">
        <f>_xlfn.IFNA(
INDEX('Community Areas'!E$2:E$78,MATCH($E649,'Community Areas'!$A$2:$A$78,0)),
"")</f>
        <v>SOUTHWEST</v>
      </c>
      <c r="L649" s="17" t="e">
        <f>SUMIFS([1]ACSDT5Y2020.B08301_data_with_ov!AT$3:AT$1334,[1]ACSDT5Y2020.B08301_data_with_ov!$AS$3:$AS$1334,$B649)</f>
        <v>#VALUE!</v>
      </c>
      <c r="M649" s="17" t="e">
        <f>SUMIFS([1]ACSDT5Y2020.B08301_data_with_ov!AU$3:AU$1334,[1]ACSDT5Y2020.B08301_data_with_ov!$AS$3:$AS$1334,$B649)</f>
        <v>#VALUE!</v>
      </c>
      <c r="N649" s="17" t="e">
        <f>SUMIFS([1]ACSDT5Y2020.B08301_data_with_ov!AV$3:AV$1334,[1]ACSDT5Y2020.B08301_data_with_ov!$AS$3:$AS$1334,$B649)</f>
        <v>#VALUE!</v>
      </c>
      <c r="O649" s="17" t="e">
        <f>SUMIFS([1]ACSDT5Y2020.B08301_data_with_ov!AW$3:AW$1334,[1]ACSDT5Y2020.B08301_data_with_ov!$AS$3:$AS$1334,$B649)</f>
        <v>#VALUE!</v>
      </c>
      <c r="P649" s="17" t="e">
        <f>SUMIFS([1]ACSDT5Y2020.B08301_data_with_ov!AX$3:AX$1334,[1]ACSDT5Y2020.B08301_data_with_ov!$AS$3:$AS$1334,$B649)</f>
        <v>#VALUE!</v>
      </c>
      <c r="Q649" s="17" t="e">
        <f>SUMIFS([1]ACSDT5Y2020.B08301_data_with_ov!AY$3:AY$1334,[1]ACSDT5Y2020.B08301_data_with_ov!$AS$3:$AS$1334,$B649)</f>
        <v>#VALUE!</v>
      </c>
      <c r="R649" s="17" t="e">
        <f>SUMIFS([1]ACSDT5Y2020.B08301_data_with_ov!AZ$3:AZ$1334,[1]ACSDT5Y2020.B08301_data_with_ov!$AS$3:$AS$1334,$B649)</f>
        <v>#VALUE!</v>
      </c>
      <c r="S649" s="17" t="e">
        <f>SUMIFS([1]ACSDT5Y2020.B08301_data_with_ov!BA$3:BA$1334,[1]ACSDT5Y2020.B08301_data_with_ov!$AS$3:$AS$1334,$B649)</f>
        <v>#VALUE!</v>
      </c>
      <c r="T649" s="188">
        <v>0.7574274213494534</v>
      </c>
      <c r="U649" s="189" t="e">
        <f t="shared" si="43"/>
        <v>#VALUE!</v>
      </c>
      <c r="V649" s="188">
        <v>0.7559895366592343</v>
      </c>
      <c r="W649" s="189" t="e">
        <f t="shared" si="40"/>
        <v>#VALUE!</v>
      </c>
      <c r="X649" s="188">
        <v>0.7559895366592343</v>
      </c>
      <c r="Y649" s="189" t="e">
        <f t="shared" si="41"/>
        <v>#VALUE!</v>
      </c>
      <c r="Z649" s="188">
        <v>0.7559895366592343</v>
      </c>
      <c r="AA649" s="189" t="e">
        <f t="shared" si="42"/>
        <v>#VALUE!</v>
      </c>
    </row>
    <row r="650" spans="1:27" x14ac:dyDescent="0.25">
      <c r="A650">
        <v>660400</v>
      </c>
      <c r="B650">
        <v>17031660400</v>
      </c>
      <c r="C650">
        <v>17031</v>
      </c>
      <c r="D650">
        <v>2010</v>
      </c>
      <c r="E650">
        <v>66</v>
      </c>
      <c r="F650">
        <v>6950872.2895873999</v>
      </c>
      <c r="G650" s="45">
        <v>0.24932823582369862</v>
      </c>
      <c r="H650" s="60" t="str">
        <f>_xlfn.IFNA(
INDEX('Community Areas'!B$2:B$78,MATCH($E650,'Community Areas'!$A$2:$A$78,0)),
"")</f>
        <v>CHICAGO LAWN</v>
      </c>
      <c r="I650" s="63" t="str">
        <f>_xlfn.IFNA(
INDEX('Community Areas'!C$2:C$78,MATCH($E650,'Community Areas'!$A$2:$A$78,0)),
"")</f>
        <v>4-B</v>
      </c>
      <c r="J650" s="63">
        <f>_xlfn.IFNA(
INDEX('Community Areas'!D$2:D$78,MATCH($E650,'Community Areas'!$A$2:$A$78,0)),
"")</f>
        <v>4</v>
      </c>
      <c r="K650" s="60" t="str">
        <f>_xlfn.IFNA(
INDEX('Community Areas'!E$2:E$78,MATCH($E650,'Community Areas'!$A$2:$A$78,0)),
"")</f>
        <v>SOUTHWEST</v>
      </c>
      <c r="L650" s="17" t="e">
        <f>SUMIFS([1]ACSDT5Y2020.B08301_data_with_ov!AT$3:AT$1334,[1]ACSDT5Y2020.B08301_data_with_ov!$AS$3:$AS$1334,$B650)</f>
        <v>#VALUE!</v>
      </c>
      <c r="M650" s="17" t="e">
        <f>SUMIFS([1]ACSDT5Y2020.B08301_data_with_ov!AU$3:AU$1334,[1]ACSDT5Y2020.B08301_data_with_ov!$AS$3:$AS$1334,$B650)</f>
        <v>#VALUE!</v>
      </c>
      <c r="N650" s="17" t="e">
        <f>SUMIFS([1]ACSDT5Y2020.B08301_data_with_ov!AV$3:AV$1334,[1]ACSDT5Y2020.B08301_data_with_ov!$AS$3:$AS$1334,$B650)</f>
        <v>#VALUE!</v>
      </c>
      <c r="O650" s="17" t="e">
        <f>SUMIFS([1]ACSDT5Y2020.B08301_data_with_ov!AW$3:AW$1334,[1]ACSDT5Y2020.B08301_data_with_ov!$AS$3:$AS$1334,$B650)</f>
        <v>#VALUE!</v>
      </c>
      <c r="P650" s="17" t="e">
        <f>SUMIFS([1]ACSDT5Y2020.B08301_data_with_ov!AX$3:AX$1334,[1]ACSDT5Y2020.B08301_data_with_ov!$AS$3:$AS$1334,$B650)</f>
        <v>#VALUE!</v>
      </c>
      <c r="Q650" s="17" t="e">
        <f>SUMIFS([1]ACSDT5Y2020.B08301_data_with_ov!AY$3:AY$1334,[1]ACSDT5Y2020.B08301_data_with_ov!$AS$3:$AS$1334,$B650)</f>
        <v>#VALUE!</v>
      </c>
      <c r="R650" s="17" t="e">
        <f>SUMIFS([1]ACSDT5Y2020.B08301_data_with_ov!AZ$3:AZ$1334,[1]ACSDT5Y2020.B08301_data_with_ov!$AS$3:$AS$1334,$B650)</f>
        <v>#VALUE!</v>
      </c>
      <c r="S650" s="17" t="e">
        <f>SUMIFS([1]ACSDT5Y2020.B08301_data_with_ov!BA$3:BA$1334,[1]ACSDT5Y2020.B08301_data_with_ov!$AS$3:$AS$1334,$B650)</f>
        <v>#VALUE!</v>
      </c>
      <c r="T650" s="188">
        <v>0.24932823420001182</v>
      </c>
      <c r="U650" s="189" t="e">
        <f t="shared" si="43"/>
        <v>#VALUE!</v>
      </c>
      <c r="V650" s="188">
        <v>0.24816570524616047</v>
      </c>
      <c r="W650" s="189" t="e">
        <f t="shared" si="40"/>
        <v>#VALUE!</v>
      </c>
      <c r="X650" s="188">
        <v>0.24816570524616047</v>
      </c>
      <c r="Y650" s="189" t="e">
        <f t="shared" si="41"/>
        <v>#VALUE!</v>
      </c>
      <c r="Z650" s="188">
        <v>0.24816570524616047</v>
      </c>
      <c r="AA650" s="189" t="e">
        <f t="shared" si="42"/>
        <v>#VALUE!</v>
      </c>
    </row>
    <row r="651" spans="1:27" x14ac:dyDescent="0.25">
      <c r="A651">
        <v>661100</v>
      </c>
      <c r="B651">
        <v>17031661100</v>
      </c>
      <c r="C651">
        <v>17031</v>
      </c>
      <c r="D651">
        <v>2010</v>
      </c>
      <c r="E651">
        <v>66</v>
      </c>
      <c r="F651">
        <v>13858021.394731199</v>
      </c>
      <c r="G651" s="45">
        <v>0.49708811821091597</v>
      </c>
      <c r="H651" s="60" t="str">
        <f>_xlfn.IFNA(
INDEX('Community Areas'!B$2:B$78,MATCH($E651,'Community Areas'!$A$2:$A$78,0)),
"")</f>
        <v>CHICAGO LAWN</v>
      </c>
      <c r="I651" s="63" t="str">
        <f>_xlfn.IFNA(
INDEX('Community Areas'!C$2:C$78,MATCH($E651,'Community Areas'!$A$2:$A$78,0)),
"")</f>
        <v>4-B</v>
      </c>
      <c r="J651" s="63">
        <f>_xlfn.IFNA(
INDEX('Community Areas'!D$2:D$78,MATCH($E651,'Community Areas'!$A$2:$A$78,0)),
"")</f>
        <v>4</v>
      </c>
      <c r="K651" s="60" t="str">
        <f>_xlfn.IFNA(
INDEX('Community Areas'!E$2:E$78,MATCH($E651,'Community Areas'!$A$2:$A$78,0)),
"")</f>
        <v>SOUTHWEST</v>
      </c>
      <c r="L651" s="17" t="e">
        <f>SUMIFS([1]ACSDT5Y2020.B08301_data_with_ov!AT$3:AT$1334,[1]ACSDT5Y2020.B08301_data_with_ov!$AS$3:$AS$1334,$B651)</f>
        <v>#VALUE!</v>
      </c>
      <c r="M651" s="17" t="e">
        <f>SUMIFS([1]ACSDT5Y2020.B08301_data_with_ov!AU$3:AU$1334,[1]ACSDT5Y2020.B08301_data_with_ov!$AS$3:$AS$1334,$B651)</f>
        <v>#VALUE!</v>
      </c>
      <c r="N651" s="17" t="e">
        <f>SUMIFS([1]ACSDT5Y2020.B08301_data_with_ov!AV$3:AV$1334,[1]ACSDT5Y2020.B08301_data_with_ov!$AS$3:$AS$1334,$B651)</f>
        <v>#VALUE!</v>
      </c>
      <c r="O651" s="17" t="e">
        <f>SUMIFS([1]ACSDT5Y2020.B08301_data_with_ov!AW$3:AW$1334,[1]ACSDT5Y2020.B08301_data_with_ov!$AS$3:$AS$1334,$B651)</f>
        <v>#VALUE!</v>
      </c>
      <c r="P651" s="17" t="e">
        <f>SUMIFS([1]ACSDT5Y2020.B08301_data_with_ov!AX$3:AX$1334,[1]ACSDT5Y2020.B08301_data_with_ov!$AS$3:$AS$1334,$B651)</f>
        <v>#VALUE!</v>
      </c>
      <c r="Q651" s="17" t="e">
        <f>SUMIFS([1]ACSDT5Y2020.B08301_data_with_ov!AY$3:AY$1334,[1]ACSDT5Y2020.B08301_data_with_ov!$AS$3:$AS$1334,$B651)</f>
        <v>#VALUE!</v>
      </c>
      <c r="R651" s="17" t="e">
        <f>SUMIFS([1]ACSDT5Y2020.B08301_data_with_ov!AZ$3:AZ$1334,[1]ACSDT5Y2020.B08301_data_with_ov!$AS$3:$AS$1334,$B651)</f>
        <v>#VALUE!</v>
      </c>
      <c r="S651" s="17" t="e">
        <f>SUMIFS([1]ACSDT5Y2020.B08301_data_with_ov!BA$3:BA$1334,[1]ACSDT5Y2020.B08301_data_with_ov!$AS$3:$AS$1334,$B651)</f>
        <v>#VALUE!</v>
      </c>
      <c r="T651" s="188">
        <v>0</v>
      </c>
      <c r="U651" s="189" t="e">
        <f t="shared" si="43"/>
        <v>#VALUE!</v>
      </c>
      <c r="V651" s="188">
        <v>0</v>
      </c>
      <c r="W651" s="189" t="e">
        <f t="shared" si="40"/>
        <v>#VALUE!</v>
      </c>
      <c r="X651" s="188">
        <v>0</v>
      </c>
      <c r="Y651" s="189" t="e">
        <f t="shared" si="41"/>
        <v>#VALUE!</v>
      </c>
      <c r="Z651" s="188">
        <v>0</v>
      </c>
      <c r="AA651" s="189" t="e">
        <f t="shared" si="42"/>
        <v>#VALUE!</v>
      </c>
    </row>
    <row r="652" spans="1:27" x14ac:dyDescent="0.25">
      <c r="A652">
        <v>660301</v>
      </c>
      <c r="B652">
        <v>17031660301</v>
      </c>
      <c r="C652">
        <v>17031</v>
      </c>
      <c r="D652">
        <v>2010</v>
      </c>
      <c r="E652">
        <v>66</v>
      </c>
      <c r="F652">
        <v>1762690.60332358</v>
      </c>
      <c r="G652" s="45">
        <v>6.3227825245479652E-2</v>
      </c>
      <c r="H652" s="60" t="str">
        <f>_xlfn.IFNA(
INDEX('Community Areas'!B$2:B$78,MATCH($E652,'Community Areas'!$A$2:$A$78,0)),
"")</f>
        <v>CHICAGO LAWN</v>
      </c>
      <c r="I652" s="63" t="str">
        <f>_xlfn.IFNA(
INDEX('Community Areas'!C$2:C$78,MATCH($E652,'Community Areas'!$A$2:$A$78,0)),
"")</f>
        <v>4-B</v>
      </c>
      <c r="J652" s="63">
        <f>_xlfn.IFNA(
INDEX('Community Areas'!D$2:D$78,MATCH($E652,'Community Areas'!$A$2:$A$78,0)),
"")</f>
        <v>4</v>
      </c>
      <c r="K652" s="60" t="str">
        <f>_xlfn.IFNA(
INDEX('Community Areas'!E$2:E$78,MATCH($E652,'Community Areas'!$A$2:$A$78,0)),
"")</f>
        <v>SOUTHWEST</v>
      </c>
      <c r="L652" s="17" t="e">
        <f>SUMIFS([1]ACSDT5Y2020.B08301_data_with_ov!AT$3:AT$1334,[1]ACSDT5Y2020.B08301_data_with_ov!$AS$3:$AS$1334,$B652)</f>
        <v>#VALUE!</v>
      </c>
      <c r="M652" s="17" t="e">
        <f>SUMIFS([1]ACSDT5Y2020.B08301_data_with_ov!AU$3:AU$1334,[1]ACSDT5Y2020.B08301_data_with_ov!$AS$3:$AS$1334,$B652)</f>
        <v>#VALUE!</v>
      </c>
      <c r="N652" s="17" t="e">
        <f>SUMIFS([1]ACSDT5Y2020.B08301_data_with_ov!AV$3:AV$1334,[1]ACSDT5Y2020.B08301_data_with_ov!$AS$3:$AS$1334,$B652)</f>
        <v>#VALUE!</v>
      </c>
      <c r="O652" s="17" t="e">
        <f>SUMIFS([1]ACSDT5Y2020.B08301_data_with_ov!AW$3:AW$1334,[1]ACSDT5Y2020.B08301_data_with_ov!$AS$3:$AS$1334,$B652)</f>
        <v>#VALUE!</v>
      </c>
      <c r="P652" s="17" t="e">
        <f>SUMIFS([1]ACSDT5Y2020.B08301_data_with_ov!AX$3:AX$1334,[1]ACSDT5Y2020.B08301_data_with_ov!$AS$3:$AS$1334,$B652)</f>
        <v>#VALUE!</v>
      </c>
      <c r="Q652" s="17" t="e">
        <f>SUMIFS([1]ACSDT5Y2020.B08301_data_with_ov!AY$3:AY$1334,[1]ACSDT5Y2020.B08301_data_with_ov!$AS$3:$AS$1334,$B652)</f>
        <v>#VALUE!</v>
      </c>
      <c r="R652" s="17" t="e">
        <f>SUMIFS([1]ACSDT5Y2020.B08301_data_with_ov!AZ$3:AZ$1334,[1]ACSDT5Y2020.B08301_data_with_ov!$AS$3:$AS$1334,$B652)</f>
        <v>#VALUE!</v>
      </c>
      <c r="S652" s="17" t="e">
        <f>SUMIFS([1]ACSDT5Y2020.B08301_data_with_ov!BA$3:BA$1334,[1]ACSDT5Y2020.B08301_data_with_ov!$AS$3:$AS$1334,$B652)</f>
        <v>#VALUE!</v>
      </c>
      <c r="T652" s="188">
        <v>6.3227824547681361E-2</v>
      </c>
      <c r="U652" s="189" t="e">
        <f t="shared" si="43"/>
        <v>#VALUE!</v>
      </c>
      <c r="V652" s="188">
        <v>6.3227824547681361E-2</v>
      </c>
      <c r="W652" s="189" t="e">
        <f t="shared" si="40"/>
        <v>#VALUE!</v>
      </c>
      <c r="X652" s="188">
        <v>6.3227824547681361E-2</v>
      </c>
      <c r="Y652" s="189" t="e">
        <f t="shared" si="41"/>
        <v>#VALUE!</v>
      </c>
      <c r="Z652" s="188">
        <v>6.3227824547681361E-2</v>
      </c>
      <c r="AA652" s="189" t="e">
        <f t="shared" si="42"/>
        <v>#VALUE!</v>
      </c>
    </row>
    <row r="653" spans="1:27" x14ac:dyDescent="0.25">
      <c r="A653">
        <v>661000</v>
      </c>
      <c r="B653">
        <v>17031661000</v>
      </c>
      <c r="C653">
        <v>17031</v>
      </c>
      <c r="D653">
        <v>2010</v>
      </c>
      <c r="E653">
        <v>66</v>
      </c>
      <c r="F653">
        <v>12072142.188273501</v>
      </c>
      <c r="G653" s="45">
        <v>0.43302851628047162</v>
      </c>
      <c r="H653" s="60" t="str">
        <f>_xlfn.IFNA(
INDEX('Community Areas'!B$2:B$78,MATCH($E653,'Community Areas'!$A$2:$A$78,0)),
"")</f>
        <v>CHICAGO LAWN</v>
      </c>
      <c r="I653" s="63" t="str">
        <f>_xlfn.IFNA(
INDEX('Community Areas'!C$2:C$78,MATCH($E653,'Community Areas'!$A$2:$A$78,0)),
"")</f>
        <v>4-B</v>
      </c>
      <c r="J653" s="63">
        <f>_xlfn.IFNA(
INDEX('Community Areas'!D$2:D$78,MATCH($E653,'Community Areas'!$A$2:$A$78,0)),
"")</f>
        <v>4</v>
      </c>
      <c r="K653" s="60" t="str">
        <f>_xlfn.IFNA(
INDEX('Community Areas'!E$2:E$78,MATCH($E653,'Community Areas'!$A$2:$A$78,0)),
"")</f>
        <v>SOUTHWEST</v>
      </c>
      <c r="L653" s="17" t="e">
        <f>SUMIFS([1]ACSDT5Y2020.B08301_data_with_ov!AT$3:AT$1334,[1]ACSDT5Y2020.B08301_data_with_ov!$AS$3:$AS$1334,$B653)</f>
        <v>#VALUE!</v>
      </c>
      <c r="M653" s="17" t="e">
        <f>SUMIFS([1]ACSDT5Y2020.B08301_data_with_ov!AU$3:AU$1334,[1]ACSDT5Y2020.B08301_data_with_ov!$AS$3:$AS$1334,$B653)</f>
        <v>#VALUE!</v>
      </c>
      <c r="N653" s="17" t="e">
        <f>SUMIFS([1]ACSDT5Y2020.B08301_data_with_ov!AV$3:AV$1334,[1]ACSDT5Y2020.B08301_data_with_ov!$AS$3:$AS$1334,$B653)</f>
        <v>#VALUE!</v>
      </c>
      <c r="O653" s="17" t="e">
        <f>SUMIFS([1]ACSDT5Y2020.B08301_data_with_ov!AW$3:AW$1334,[1]ACSDT5Y2020.B08301_data_with_ov!$AS$3:$AS$1334,$B653)</f>
        <v>#VALUE!</v>
      </c>
      <c r="P653" s="17" t="e">
        <f>SUMIFS([1]ACSDT5Y2020.B08301_data_with_ov!AX$3:AX$1334,[1]ACSDT5Y2020.B08301_data_with_ov!$AS$3:$AS$1334,$B653)</f>
        <v>#VALUE!</v>
      </c>
      <c r="Q653" s="17" t="e">
        <f>SUMIFS([1]ACSDT5Y2020.B08301_data_with_ov!AY$3:AY$1334,[1]ACSDT5Y2020.B08301_data_with_ov!$AS$3:$AS$1334,$B653)</f>
        <v>#VALUE!</v>
      </c>
      <c r="R653" s="17" t="e">
        <f>SUMIFS([1]ACSDT5Y2020.B08301_data_with_ov!AZ$3:AZ$1334,[1]ACSDT5Y2020.B08301_data_with_ov!$AS$3:$AS$1334,$B653)</f>
        <v>#VALUE!</v>
      </c>
      <c r="S653" s="17" t="e">
        <f>SUMIFS([1]ACSDT5Y2020.B08301_data_with_ov!BA$3:BA$1334,[1]ACSDT5Y2020.B08301_data_with_ov!$AS$3:$AS$1334,$B653)</f>
        <v>#VALUE!</v>
      </c>
      <c r="T653" s="188">
        <v>0.18313280576371349</v>
      </c>
      <c r="U653" s="189" t="e">
        <f t="shared" si="43"/>
        <v>#VALUE!</v>
      </c>
      <c r="V653" s="188">
        <v>0.18313280576371349</v>
      </c>
      <c r="W653" s="189" t="e">
        <f t="shared" si="40"/>
        <v>#VALUE!</v>
      </c>
      <c r="X653" s="188">
        <v>0.18313280576371349</v>
      </c>
      <c r="Y653" s="189" t="e">
        <f t="shared" si="41"/>
        <v>#VALUE!</v>
      </c>
      <c r="Z653" s="188">
        <v>0.18313280576371349</v>
      </c>
      <c r="AA653" s="189" t="e">
        <f t="shared" si="42"/>
        <v>#VALUE!</v>
      </c>
    </row>
    <row r="654" spans="1:27" x14ac:dyDescent="0.25">
      <c r="A654">
        <v>660800</v>
      </c>
      <c r="B654">
        <v>17031660800</v>
      </c>
      <c r="C654">
        <v>17031</v>
      </c>
      <c r="D654">
        <v>2010</v>
      </c>
      <c r="E654">
        <v>66</v>
      </c>
      <c r="F654">
        <v>7053371.70713971</v>
      </c>
      <c r="G654" s="45">
        <v>0.25300489651987595</v>
      </c>
      <c r="H654" s="60" t="str">
        <f>_xlfn.IFNA(
INDEX('Community Areas'!B$2:B$78,MATCH($E654,'Community Areas'!$A$2:$A$78,0)),
"")</f>
        <v>CHICAGO LAWN</v>
      </c>
      <c r="I654" s="63" t="str">
        <f>_xlfn.IFNA(
INDEX('Community Areas'!C$2:C$78,MATCH($E654,'Community Areas'!$A$2:$A$78,0)),
"")</f>
        <v>4-B</v>
      </c>
      <c r="J654" s="63">
        <f>_xlfn.IFNA(
INDEX('Community Areas'!D$2:D$78,MATCH($E654,'Community Areas'!$A$2:$A$78,0)),
"")</f>
        <v>4</v>
      </c>
      <c r="K654" s="60" t="str">
        <f>_xlfn.IFNA(
INDEX('Community Areas'!E$2:E$78,MATCH($E654,'Community Areas'!$A$2:$A$78,0)),
"")</f>
        <v>SOUTHWEST</v>
      </c>
      <c r="L654" s="17" t="e">
        <f>SUMIFS([1]ACSDT5Y2020.B08301_data_with_ov!AT$3:AT$1334,[1]ACSDT5Y2020.B08301_data_with_ov!$AS$3:$AS$1334,$B654)</f>
        <v>#VALUE!</v>
      </c>
      <c r="M654" s="17" t="e">
        <f>SUMIFS([1]ACSDT5Y2020.B08301_data_with_ov!AU$3:AU$1334,[1]ACSDT5Y2020.B08301_data_with_ov!$AS$3:$AS$1334,$B654)</f>
        <v>#VALUE!</v>
      </c>
      <c r="N654" s="17" t="e">
        <f>SUMIFS([1]ACSDT5Y2020.B08301_data_with_ov!AV$3:AV$1334,[1]ACSDT5Y2020.B08301_data_with_ov!$AS$3:$AS$1334,$B654)</f>
        <v>#VALUE!</v>
      </c>
      <c r="O654" s="17" t="e">
        <f>SUMIFS([1]ACSDT5Y2020.B08301_data_with_ov!AW$3:AW$1334,[1]ACSDT5Y2020.B08301_data_with_ov!$AS$3:$AS$1334,$B654)</f>
        <v>#VALUE!</v>
      </c>
      <c r="P654" s="17" t="e">
        <f>SUMIFS([1]ACSDT5Y2020.B08301_data_with_ov!AX$3:AX$1334,[1]ACSDT5Y2020.B08301_data_with_ov!$AS$3:$AS$1334,$B654)</f>
        <v>#VALUE!</v>
      </c>
      <c r="Q654" s="17" t="e">
        <f>SUMIFS([1]ACSDT5Y2020.B08301_data_with_ov!AY$3:AY$1334,[1]ACSDT5Y2020.B08301_data_with_ov!$AS$3:$AS$1334,$B654)</f>
        <v>#VALUE!</v>
      </c>
      <c r="R654" s="17" t="e">
        <f>SUMIFS([1]ACSDT5Y2020.B08301_data_with_ov!AZ$3:AZ$1334,[1]ACSDT5Y2020.B08301_data_with_ov!$AS$3:$AS$1334,$B654)</f>
        <v>#VALUE!</v>
      </c>
      <c r="S654" s="17" t="e">
        <f>SUMIFS([1]ACSDT5Y2020.B08301_data_with_ov!BA$3:BA$1334,[1]ACSDT5Y2020.B08301_data_with_ov!$AS$3:$AS$1334,$B654)</f>
        <v>#VALUE!</v>
      </c>
      <c r="T654" s="188">
        <v>0.25300489609867888</v>
      </c>
      <c r="U654" s="189" t="e">
        <f t="shared" si="43"/>
        <v>#VALUE!</v>
      </c>
      <c r="V654" s="188">
        <v>0.25300489609867888</v>
      </c>
      <c r="W654" s="189" t="e">
        <f t="shared" si="40"/>
        <v>#VALUE!</v>
      </c>
      <c r="X654" s="188">
        <v>0.25300489609867888</v>
      </c>
      <c r="Y654" s="189" t="e">
        <f t="shared" si="41"/>
        <v>#VALUE!</v>
      </c>
      <c r="Z654" s="188">
        <v>0.25300489609867888</v>
      </c>
      <c r="AA654" s="189" t="e">
        <f t="shared" si="42"/>
        <v>#VALUE!</v>
      </c>
    </row>
    <row r="655" spans="1:27" x14ac:dyDescent="0.25">
      <c r="A655">
        <v>660500</v>
      </c>
      <c r="B655">
        <v>17031660500</v>
      </c>
      <c r="C655">
        <v>17031</v>
      </c>
      <c r="D655">
        <v>2010</v>
      </c>
      <c r="E655">
        <v>66</v>
      </c>
      <c r="F655">
        <v>7114837.0877472702</v>
      </c>
      <c r="G655" s="45">
        <v>0.25520966367321191</v>
      </c>
      <c r="H655" s="60" t="str">
        <f>_xlfn.IFNA(
INDEX('Community Areas'!B$2:B$78,MATCH($E655,'Community Areas'!$A$2:$A$78,0)),
"")</f>
        <v>CHICAGO LAWN</v>
      </c>
      <c r="I655" s="63" t="str">
        <f>_xlfn.IFNA(
INDEX('Community Areas'!C$2:C$78,MATCH($E655,'Community Areas'!$A$2:$A$78,0)),
"")</f>
        <v>4-B</v>
      </c>
      <c r="J655" s="63">
        <f>_xlfn.IFNA(
INDEX('Community Areas'!D$2:D$78,MATCH($E655,'Community Areas'!$A$2:$A$78,0)),
"")</f>
        <v>4</v>
      </c>
      <c r="K655" s="60" t="str">
        <f>_xlfn.IFNA(
INDEX('Community Areas'!E$2:E$78,MATCH($E655,'Community Areas'!$A$2:$A$78,0)),
"")</f>
        <v>SOUTHWEST</v>
      </c>
      <c r="L655" s="17" t="e">
        <f>SUMIFS([1]ACSDT5Y2020.B08301_data_with_ov!AT$3:AT$1334,[1]ACSDT5Y2020.B08301_data_with_ov!$AS$3:$AS$1334,$B655)</f>
        <v>#VALUE!</v>
      </c>
      <c r="M655" s="17" t="e">
        <f>SUMIFS([1]ACSDT5Y2020.B08301_data_with_ov!AU$3:AU$1334,[1]ACSDT5Y2020.B08301_data_with_ov!$AS$3:$AS$1334,$B655)</f>
        <v>#VALUE!</v>
      </c>
      <c r="N655" s="17" t="e">
        <f>SUMIFS([1]ACSDT5Y2020.B08301_data_with_ov!AV$3:AV$1334,[1]ACSDT5Y2020.B08301_data_with_ov!$AS$3:$AS$1334,$B655)</f>
        <v>#VALUE!</v>
      </c>
      <c r="O655" s="17" t="e">
        <f>SUMIFS([1]ACSDT5Y2020.B08301_data_with_ov!AW$3:AW$1334,[1]ACSDT5Y2020.B08301_data_with_ov!$AS$3:$AS$1334,$B655)</f>
        <v>#VALUE!</v>
      </c>
      <c r="P655" s="17" t="e">
        <f>SUMIFS([1]ACSDT5Y2020.B08301_data_with_ov!AX$3:AX$1334,[1]ACSDT5Y2020.B08301_data_with_ov!$AS$3:$AS$1334,$B655)</f>
        <v>#VALUE!</v>
      </c>
      <c r="Q655" s="17" t="e">
        <f>SUMIFS([1]ACSDT5Y2020.B08301_data_with_ov!AY$3:AY$1334,[1]ACSDT5Y2020.B08301_data_with_ov!$AS$3:$AS$1334,$B655)</f>
        <v>#VALUE!</v>
      </c>
      <c r="R655" s="17" t="e">
        <f>SUMIFS([1]ACSDT5Y2020.B08301_data_with_ov!AZ$3:AZ$1334,[1]ACSDT5Y2020.B08301_data_with_ov!$AS$3:$AS$1334,$B655)</f>
        <v>#VALUE!</v>
      </c>
      <c r="S655" s="17" t="e">
        <f>SUMIFS([1]ACSDT5Y2020.B08301_data_with_ov!BA$3:BA$1334,[1]ACSDT5Y2020.B08301_data_with_ov!$AS$3:$AS$1334,$B655)</f>
        <v>#VALUE!</v>
      </c>
      <c r="T655" s="188">
        <v>0.25520966156172303</v>
      </c>
      <c r="U655" s="189" t="e">
        <f t="shared" si="43"/>
        <v>#VALUE!</v>
      </c>
      <c r="V655" s="188">
        <v>0.25520966156172303</v>
      </c>
      <c r="W655" s="189" t="e">
        <f t="shared" si="40"/>
        <v>#VALUE!</v>
      </c>
      <c r="X655" s="188">
        <v>0.25520966156172303</v>
      </c>
      <c r="Y655" s="189" t="e">
        <f t="shared" si="41"/>
        <v>#VALUE!</v>
      </c>
      <c r="Z655" s="188">
        <v>0.25520966156172303</v>
      </c>
      <c r="AA655" s="189" t="e">
        <f t="shared" si="42"/>
        <v>#VALUE!</v>
      </c>
    </row>
    <row r="656" spans="1:27" x14ac:dyDescent="0.25">
      <c r="A656">
        <v>660600</v>
      </c>
      <c r="B656">
        <v>17031660600</v>
      </c>
      <c r="C656">
        <v>17031</v>
      </c>
      <c r="D656">
        <v>2010</v>
      </c>
      <c r="E656">
        <v>66</v>
      </c>
      <c r="F656">
        <v>7090659.1732030902</v>
      </c>
      <c r="G656" s="45">
        <v>0.25434240032437622</v>
      </c>
      <c r="H656" s="60" t="str">
        <f>_xlfn.IFNA(
INDEX('Community Areas'!B$2:B$78,MATCH($E656,'Community Areas'!$A$2:$A$78,0)),
"")</f>
        <v>CHICAGO LAWN</v>
      </c>
      <c r="I656" s="63" t="str">
        <f>_xlfn.IFNA(
INDEX('Community Areas'!C$2:C$78,MATCH($E656,'Community Areas'!$A$2:$A$78,0)),
"")</f>
        <v>4-B</v>
      </c>
      <c r="J656" s="63">
        <f>_xlfn.IFNA(
INDEX('Community Areas'!D$2:D$78,MATCH($E656,'Community Areas'!$A$2:$A$78,0)),
"")</f>
        <v>4</v>
      </c>
      <c r="K656" s="60" t="str">
        <f>_xlfn.IFNA(
INDEX('Community Areas'!E$2:E$78,MATCH($E656,'Community Areas'!$A$2:$A$78,0)),
"")</f>
        <v>SOUTHWEST</v>
      </c>
      <c r="L656" s="17" t="e">
        <f>SUMIFS([1]ACSDT5Y2020.B08301_data_with_ov!AT$3:AT$1334,[1]ACSDT5Y2020.B08301_data_with_ov!$AS$3:$AS$1334,$B656)</f>
        <v>#VALUE!</v>
      </c>
      <c r="M656" s="17" t="e">
        <f>SUMIFS([1]ACSDT5Y2020.B08301_data_with_ov!AU$3:AU$1334,[1]ACSDT5Y2020.B08301_data_with_ov!$AS$3:$AS$1334,$B656)</f>
        <v>#VALUE!</v>
      </c>
      <c r="N656" s="17" t="e">
        <f>SUMIFS([1]ACSDT5Y2020.B08301_data_with_ov!AV$3:AV$1334,[1]ACSDT5Y2020.B08301_data_with_ov!$AS$3:$AS$1334,$B656)</f>
        <v>#VALUE!</v>
      </c>
      <c r="O656" s="17" t="e">
        <f>SUMIFS([1]ACSDT5Y2020.B08301_data_with_ov!AW$3:AW$1334,[1]ACSDT5Y2020.B08301_data_with_ov!$AS$3:$AS$1334,$B656)</f>
        <v>#VALUE!</v>
      </c>
      <c r="P656" s="17" t="e">
        <f>SUMIFS([1]ACSDT5Y2020.B08301_data_with_ov!AX$3:AX$1334,[1]ACSDT5Y2020.B08301_data_with_ov!$AS$3:$AS$1334,$B656)</f>
        <v>#VALUE!</v>
      </c>
      <c r="Q656" s="17" t="e">
        <f>SUMIFS([1]ACSDT5Y2020.B08301_data_with_ov!AY$3:AY$1334,[1]ACSDT5Y2020.B08301_data_with_ov!$AS$3:$AS$1334,$B656)</f>
        <v>#VALUE!</v>
      </c>
      <c r="R656" s="17" t="e">
        <f>SUMIFS([1]ACSDT5Y2020.B08301_data_with_ov!AZ$3:AZ$1334,[1]ACSDT5Y2020.B08301_data_with_ov!$AS$3:$AS$1334,$B656)</f>
        <v>#VALUE!</v>
      </c>
      <c r="S656" s="17" t="e">
        <f>SUMIFS([1]ACSDT5Y2020.B08301_data_with_ov!BA$3:BA$1334,[1]ACSDT5Y2020.B08301_data_with_ov!$AS$3:$AS$1334,$B656)</f>
        <v>#VALUE!</v>
      </c>
      <c r="T656" s="188">
        <v>0.25434240141226216</v>
      </c>
      <c r="U656" s="189" t="e">
        <f t="shared" si="43"/>
        <v>#VALUE!</v>
      </c>
      <c r="V656" s="188">
        <v>0.25434240141226216</v>
      </c>
      <c r="W656" s="189" t="e">
        <f t="shared" si="40"/>
        <v>#VALUE!</v>
      </c>
      <c r="X656" s="188">
        <v>0.25434240141226216</v>
      </c>
      <c r="Y656" s="189" t="e">
        <f t="shared" si="41"/>
        <v>#VALUE!</v>
      </c>
      <c r="Z656" s="188">
        <v>0.25434240141226216</v>
      </c>
      <c r="AA656" s="189" t="e">
        <f t="shared" si="42"/>
        <v>#VALUE!</v>
      </c>
    </row>
    <row r="657" spans="1:27" x14ac:dyDescent="0.25">
      <c r="A657">
        <v>670100</v>
      </c>
      <c r="B657">
        <v>17031670100</v>
      </c>
      <c r="C657">
        <v>17031</v>
      </c>
      <c r="D657">
        <v>2010</v>
      </c>
      <c r="E657">
        <v>67</v>
      </c>
      <c r="F657">
        <v>3518648.1095584901</v>
      </c>
      <c r="G657" s="45">
        <v>0.12621413386559094</v>
      </c>
      <c r="H657" s="60" t="str">
        <f>_xlfn.IFNA(
INDEX('Community Areas'!B$2:B$78,MATCH($E657,'Community Areas'!$A$2:$A$78,0)),
"")</f>
        <v>WEST ENGLEWOOD</v>
      </c>
      <c r="I657" s="63" t="str">
        <f>_xlfn.IFNA(
INDEX('Community Areas'!C$2:C$78,MATCH($E657,'Community Areas'!$A$2:$A$78,0)),
"")</f>
        <v>4-A</v>
      </c>
      <c r="J657" s="63">
        <f>_xlfn.IFNA(
INDEX('Community Areas'!D$2:D$78,MATCH($E657,'Community Areas'!$A$2:$A$78,0)),
"")</f>
        <v>4</v>
      </c>
      <c r="K657" s="60" t="str">
        <f>_xlfn.IFNA(
INDEX('Community Areas'!E$2:E$78,MATCH($E657,'Community Areas'!$A$2:$A$78,0)),
"")</f>
        <v>SOUTHWEST</v>
      </c>
      <c r="L657" s="17" t="e">
        <f>SUMIFS([1]ACSDT5Y2020.B08301_data_with_ov!AT$3:AT$1334,[1]ACSDT5Y2020.B08301_data_with_ov!$AS$3:$AS$1334,$B657)</f>
        <v>#VALUE!</v>
      </c>
      <c r="M657" s="17" t="e">
        <f>SUMIFS([1]ACSDT5Y2020.B08301_data_with_ov!AU$3:AU$1334,[1]ACSDT5Y2020.B08301_data_with_ov!$AS$3:$AS$1334,$B657)</f>
        <v>#VALUE!</v>
      </c>
      <c r="N657" s="17" t="e">
        <f>SUMIFS([1]ACSDT5Y2020.B08301_data_with_ov!AV$3:AV$1334,[1]ACSDT5Y2020.B08301_data_with_ov!$AS$3:$AS$1334,$B657)</f>
        <v>#VALUE!</v>
      </c>
      <c r="O657" s="17" t="e">
        <f>SUMIFS([1]ACSDT5Y2020.B08301_data_with_ov!AW$3:AW$1334,[1]ACSDT5Y2020.B08301_data_with_ov!$AS$3:$AS$1334,$B657)</f>
        <v>#VALUE!</v>
      </c>
      <c r="P657" s="17" t="e">
        <f>SUMIFS([1]ACSDT5Y2020.B08301_data_with_ov!AX$3:AX$1334,[1]ACSDT5Y2020.B08301_data_with_ov!$AS$3:$AS$1334,$B657)</f>
        <v>#VALUE!</v>
      </c>
      <c r="Q657" s="17" t="e">
        <f>SUMIFS([1]ACSDT5Y2020.B08301_data_with_ov!AY$3:AY$1334,[1]ACSDT5Y2020.B08301_data_with_ov!$AS$3:$AS$1334,$B657)</f>
        <v>#VALUE!</v>
      </c>
      <c r="R657" s="17" t="e">
        <f>SUMIFS([1]ACSDT5Y2020.B08301_data_with_ov!AZ$3:AZ$1334,[1]ACSDT5Y2020.B08301_data_with_ov!$AS$3:$AS$1334,$B657)</f>
        <v>#VALUE!</v>
      </c>
      <c r="S657" s="17" t="e">
        <f>SUMIFS([1]ACSDT5Y2020.B08301_data_with_ov!BA$3:BA$1334,[1]ACSDT5Y2020.B08301_data_with_ov!$AS$3:$AS$1334,$B657)</f>
        <v>#VALUE!</v>
      </c>
      <c r="T657" s="188">
        <v>0.12621413570338613</v>
      </c>
      <c r="U657" s="189" t="e">
        <f t="shared" si="43"/>
        <v>#VALUE!</v>
      </c>
      <c r="V657" s="188">
        <v>0.12621413570338613</v>
      </c>
      <c r="W657" s="189" t="e">
        <f t="shared" si="40"/>
        <v>#VALUE!</v>
      </c>
      <c r="X657" s="188">
        <v>0.12621413570338613</v>
      </c>
      <c r="Y657" s="189" t="e">
        <f t="shared" si="41"/>
        <v>#VALUE!</v>
      </c>
      <c r="Z657" s="188">
        <v>0.12621413570338613</v>
      </c>
      <c r="AA657" s="189" t="e">
        <f t="shared" si="42"/>
        <v>#VALUE!</v>
      </c>
    </row>
    <row r="658" spans="1:27" x14ac:dyDescent="0.25">
      <c r="A658">
        <v>670600</v>
      </c>
      <c r="B658">
        <v>17031670600</v>
      </c>
      <c r="C658">
        <v>17031</v>
      </c>
      <c r="D658">
        <v>2010</v>
      </c>
      <c r="E658">
        <v>67</v>
      </c>
      <c r="F658">
        <v>3520525.1032646801</v>
      </c>
      <c r="G658" s="45">
        <v>0.12628146175048352</v>
      </c>
      <c r="H658" s="60" t="str">
        <f>_xlfn.IFNA(
INDEX('Community Areas'!B$2:B$78,MATCH($E658,'Community Areas'!$A$2:$A$78,0)),
"")</f>
        <v>WEST ENGLEWOOD</v>
      </c>
      <c r="I658" s="63" t="str">
        <f>_xlfn.IFNA(
INDEX('Community Areas'!C$2:C$78,MATCH($E658,'Community Areas'!$A$2:$A$78,0)),
"")</f>
        <v>4-A</v>
      </c>
      <c r="J658" s="63">
        <f>_xlfn.IFNA(
INDEX('Community Areas'!D$2:D$78,MATCH($E658,'Community Areas'!$A$2:$A$78,0)),
"")</f>
        <v>4</v>
      </c>
      <c r="K658" s="60" t="str">
        <f>_xlfn.IFNA(
INDEX('Community Areas'!E$2:E$78,MATCH($E658,'Community Areas'!$A$2:$A$78,0)),
"")</f>
        <v>SOUTHWEST</v>
      </c>
      <c r="L658" s="17" t="e">
        <f>SUMIFS([1]ACSDT5Y2020.B08301_data_with_ov!AT$3:AT$1334,[1]ACSDT5Y2020.B08301_data_with_ov!$AS$3:$AS$1334,$B658)</f>
        <v>#VALUE!</v>
      </c>
      <c r="M658" s="17" t="e">
        <f>SUMIFS([1]ACSDT5Y2020.B08301_data_with_ov!AU$3:AU$1334,[1]ACSDT5Y2020.B08301_data_with_ov!$AS$3:$AS$1334,$B658)</f>
        <v>#VALUE!</v>
      </c>
      <c r="N658" s="17" t="e">
        <f>SUMIFS([1]ACSDT5Y2020.B08301_data_with_ov!AV$3:AV$1334,[1]ACSDT5Y2020.B08301_data_with_ov!$AS$3:$AS$1334,$B658)</f>
        <v>#VALUE!</v>
      </c>
      <c r="O658" s="17" t="e">
        <f>SUMIFS([1]ACSDT5Y2020.B08301_data_with_ov!AW$3:AW$1334,[1]ACSDT5Y2020.B08301_data_with_ov!$AS$3:$AS$1334,$B658)</f>
        <v>#VALUE!</v>
      </c>
      <c r="P658" s="17" t="e">
        <f>SUMIFS([1]ACSDT5Y2020.B08301_data_with_ov!AX$3:AX$1334,[1]ACSDT5Y2020.B08301_data_with_ov!$AS$3:$AS$1334,$B658)</f>
        <v>#VALUE!</v>
      </c>
      <c r="Q658" s="17" t="e">
        <f>SUMIFS([1]ACSDT5Y2020.B08301_data_with_ov!AY$3:AY$1334,[1]ACSDT5Y2020.B08301_data_with_ov!$AS$3:$AS$1334,$B658)</f>
        <v>#VALUE!</v>
      </c>
      <c r="R658" s="17" t="e">
        <f>SUMIFS([1]ACSDT5Y2020.B08301_data_with_ov!AZ$3:AZ$1334,[1]ACSDT5Y2020.B08301_data_with_ov!$AS$3:$AS$1334,$B658)</f>
        <v>#VALUE!</v>
      </c>
      <c r="S658" s="17" t="e">
        <f>SUMIFS([1]ACSDT5Y2020.B08301_data_with_ov!BA$3:BA$1334,[1]ACSDT5Y2020.B08301_data_with_ov!$AS$3:$AS$1334,$B658)</f>
        <v>#VALUE!</v>
      </c>
      <c r="T658" s="188">
        <v>0.12628146625739067</v>
      </c>
      <c r="U658" s="189" t="e">
        <f t="shared" si="43"/>
        <v>#VALUE!</v>
      </c>
      <c r="V658" s="188">
        <v>0.12628146625739067</v>
      </c>
      <c r="W658" s="189" t="e">
        <f t="shared" si="40"/>
        <v>#VALUE!</v>
      </c>
      <c r="X658" s="188">
        <v>0.12628146625739067</v>
      </c>
      <c r="Y658" s="189" t="e">
        <f t="shared" si="41"/>
        <v>#VALUE!</v>
      </c>
      <c r="Z658" s="188">
        <v>0.12628146625739067</v>
      </c>
      <c r="AA658" s="189" t="e">
        <f t="shared" si="42"/>
        <v>#VALUE!</v>
      </c>
    </row>
    <row r="659" spans="1:27" x14ac:dyDescent="0.25">
      <c r="A659">
        <v>670800</v>
      </c>
      <c r="B659">
        <v>17031670800</v>
      </c>
      <c r="C659">
        <v>17031</v>
      </c>
      <c r="D659">
        <v>2010</v>
      </c>
      <c r="E659">
        <v>67</v>
      </c>
      <c r="F659">
        <v>3512438.5678380802</v>
      </c>
      <c r="G659" s="45">
        <v>0.12599139720493574</v>
      </c>
      <c r="H659" s="60" t="str">
        <f>_xlfn.IFNA(
INDEX('Community Areas'!B$2:B$78,MATCH($E659,'Community Areas'!$A$2:$A$78,0)),
"")</f>
        <v>WEST ENGLEWOOD</v>
      </c>
      <c r="I659" s="63" t="str">
        <f>_xlfn.IFNA(
INDEX('Community Areas'!C$2:C$78,MATCH($E659,'Community Areas'!$A$2:$A$78,0)),
"")</f>
        <v>4-A</v>
      </c>
      <c r="J659" s="63">
        <f>_xlfn.IFNA(
INDEX('Community Areas'!D$2:D$78,MATCH($E659,'Community Areas'!$A$2:$A$78,0)),
"")</f>
        <v>4</v>
      </c>
      <c r="K659" s="60" t="str">
        <f>_xlfn.IFNA(
INDEX('Community Areas'!E$2:E$78,MATCH($E659,'Community Areas'!$A$2:$A$78,0)),
"")</f>
        <v>SOUTHWEST</v>
      </c>
      <c r="L659" s="17" t="e">
        <f>SUMIFS([1]ACSDT5Y2020.B08301_data_with_ov!AT$3:AT$1334,[1]ACSDT5Y2020.B08301_data_with_ov!$AS$3:$AS$1334,$B659)</f>
        <v>#VALUE!</v>
      </c>
      <c r="M659" s="17" t="e">
        <f>SUMIFS([1]ACSDT5Y2020.B08301_data_with_ov!AU$3:AU$1334,[1]ACSDT5Y2020.B08301_data_with_ov!$AS$3:$AS$1334,$B659)</f>
        <v>#VALUE!</v>
      </c>
      <c r="N659" s="17" t="e">
        <f>SUMIFS([1]ACSDT5Y2020.B08301_data_with_ov!AV$3:AV$1334,[1]ACSDT5Y2020.B08301_data_with_ov!$AS$3:$AS$1334,$B659)</f>
        <v>#VALUE!</v>
      </c>
      <c r="O659" s="17" t="e">
        <f>SUMIFS([1]ACSDT5Y2020.B08301_data_with_ov!AW$3:AW$1334,[1]ACSDT5Y2020.B08301_data_with_ov!$AS$3:$AS$1334,$B659)</f>
        <v>#VALUE!</v>
      </c>
      <c r="P659" s="17" t="e">
        <f>SUMIFS([1]ACSDT5Y2020.B08301_data_with_ov!AX$3:AX$1334,[1]ACSDT5Y2020.B08301_data_with_ov!$AS$3:$AS$1334,$B659)</f>
        <v>#VALUE!</v>
      </c>
      <c r="Q659" s="17" t="e">
        <f>SUMIFS([1]ACSDT5Y2020.B08301_data_with_ov!AY$3:AY$1334,[1]ACSDT5Y2020.B08301_data_with_ov!$AS$3:$AS$1334,$B659)</f>
        <v>#VALUE!</v>
      </c>
      <c r="R659" s="17" t="e">
        <f>SUMIFS([1]ACSDT5Y2020.B08301_data_with_ov!AZ$3:AZ$1334,[1]ACSDT5Y2020.B08301_data_with_ov!$AS$3:$AS$1334,$B659)</f>
        <v>#VALUE!</v>
      </c>
      <c r="S659" s="17" t="e">
        <f>SUMIFS([1]ACSDT5Y2020.B08301_data_with_ov!BA$3:BA$1334,[1]ACSDT5Y2020.B08301_data_with_ov!$AS$3:$AS$1334,$B659)</f>
        <v>#VALUE!</v>
      </c>
      <c r="T659" s="188">
        <v>7.6274727579455054E-2</v>
      </c>
      <c r="U659" s="189" t="e">
        <f t="shared" si="43"/>
        <v>#VALUE!</v>
      </c>
      <c r="V659" s="188">
        <v>4.5779897854514966E-2</v>
      </c>
      <c r="W659" s="189" t="e">
        <f t="shared" si="40"/>
        <v>#VALUE!</v>
      </c>
      <c r="X659" s="188">
        <v>4.5779897854514966E-2</v>
      </c>
      <c r="Y659" s="189" t="e">
        <f t="shared" si="41"/>
        <v>#VALUE!</v>
      </c>
      <c r="Z659" s="188">
        <v>4.5779897854514966E-2</v>
      </c>
      <c r="AA659" s="189" t="e">
        <f t="shared" si="42"/>
        <v>#VALUE!</v>
      </c>
    </row>
    <row r="660" spans="1:27" x14ac:dyDescent="0.25">
      <c r="A660">
        <v>671300</v>
      </c>
      <c r="B660">
        <v>17031671300</v>
      </c>
      <c r="C660">
        <v>17031</v>
      </c>
      <c r="D660">
        <v>2010</v>
      </c>
      <c r="E660">
        <v>67</v>
      </c>
      <c r="F660">
        <v>5217003.3024425404</v>
      </c>
      <c r="G660" s="45">
        <v>0.18713424380317881</v>
      </c>
      <c r="H660" s="60" t="str">
        <f>_xlfn.IFNA(
INDEX('Community Areas'!B$2:B$78,MATCH($E660,'Community Areas'!$A$2:$A$78,0)),
"")</f>
        <v>WEST ENGLEWOOD</v>
      </c>
      <c r="I660" s="63" t="str">
        <f>_xlfn.IFNA(
INDEX('Community Areas'!C$2:C$78,MATCH($E660,'Community Areas'!$A$2:$A$78,0)),
"")</f>
        <v>4-A</v>
      </c>
      <c r="J660" s="63">
        <f>_xlfn.IFNA(
INDEX('Community Areas'!D$2:D$78,MATCH($E660,'Community Areas'!$A$2:$A$78,0)),
"")</f>
        <v>4</v>
      </c>
      <c r="K660" s="60" t="str">
        <f>_xlfn.IFNA(
INDEX('Community Areas'!E$2:E$78,MATCH($E660,'Community Areas'!$A$2:$A$78,0)),
"")</f>
        <v>SOUTHWEST</v>
      </c>
      <c r="L660" s="17" t="e">
        <f>SUMIFS([1]ACSDT5Y2020.B08301_data_with_ov!AT$3:AT$1334,[1]ACSDT5Y2020.B08301_data_with_ov!$AS$3:$AS$1334,$B660)</f>
        <v>#VALUE!</v>
      </c>
      <c r="M660" s="17" t="e">
        <f>SUMIFS([1]ACSDT5Y2020.B08301_data_with_ov!AU$3:AU$1334,[1]ACSDT5Y2020.B08301_data_with_ov!$AS$3:$AS$1334,$B660)</f>
        <v>#VALUE!</v>
      </c>
      <c r="N660" s="17" t="e">
        <f>SUMIFS([1]ACSDT5Y2020.B08301_data_with_ov!AV$3:AV$1334,[1]ACSDT5Y2020.B08301_data_with_ov!$AS$3:$AS$1334,$B660)</f>
        <v>#VALUE!</v>
      </c>
      <c r="O660" s="17" t="e">
        <f>SUMIFS([1]ACSDT5Y2020.B08301_data_with_ov!AW$3:AW$1334,[1]ACSDT5Y2020.B08301_data_with_ov!$AS$3:$AS$1334,$B660)</f>
        <v>#VALUE!</v>
      </c>
      <c r="P660" s="17" t="e">
        <f>SUMIFS([1]ACSDT5Y2020.B08301_data_with_ov!AX$3:AX$1334,[1]ACSDT5Y2020.B08301_data_with_ov!$AS$3:$AS$1334,$B660)</f>
        <v>#VALUE!</v>
      </c>
      <c r="Q660" s="17" t="e">
        <f>SUMIFS([1]ACSDT5Y2020.B08301_data_with_ov!AY$3:AY$1334,[1]ACSDT5Y2020.B08301_data_with_ov!$AS$3:$AS$1334,$B660)</f>
        <v>#VALUE!</v>
      </c>
      <c r="R660" s="17" t="e">
        <f>SUMIFS([1]ACSDT5Y2020.B08301_data_with_ov!AZ$3:AZ$1334,[1]ACSDT5Y2020.B08301_data_with_ov!$AS$3:$AS$1334,$B660)</f>
        <v>#VALUE!</v>
      </c>
      <c r="S660" s="17" t="e">
        <f>SUMIFS([1]ACSDT5Y2020.B08301_data_with_ov!BA$3:BA$1334,[1]ACSDT5Y2020.B08301_data_with_ov!$AS$3:$AS$1334,$B660)</f>
        <v>#VALUE!</v>
      </c>
      <c r="T660" s="188">
        <v>0.18713424109497964</v>
      </c>
      <c r="U660" s="189" t="e">
        <f t="shared" si="43"/>
        <v>#VALUE!</v>
      </c>
      <c r="V660" s="188">
        <v>0.18713424109497964</v>
      </c>
      <c r="W660" s="189" t="e">
        <f t="shared" si="40"/>
        <v>#VALUE!</v>
      </c>
      <c r="X660" s="188">
        <v>0.18713424109497964</v>
      </c>
      <c r="Y660" s="189" t="e">
        <f t="shared" si="41"/>
        <v>#VALUE!</v>
      </c>
      <c r="Z660" s="188">
        <v>0.18713424109497964</v>
      </c>
      <c r="AA660" s="189" t="e">
        <f t="shared" si="42"/>
        <v>#VALUE!</v>
      </c>
    </row>
    <row r="661" spans="1:27" x14ac:dyDescent="0.25">
      <c r="A661">
        <v>671100</v>
      </c>
      <c r="B661">
        <v>17031671100</v>
      </c>
      <c r="C661">
        <v>17031</v>
      </c>
      <c r="D661">
        <v>2010</v>
      </c>
      <c r="E661">
        <v>67</v>
      </c>
      <c r="F661">
        <v>2639494.4733887101</v>
      </c>
      <c r="G661" s="45">
        <v>9.4678836424927901E-2</v>
      </c>
      <c r="H661" s="60" t="str">
        <f>_xlfn.IFNA(
INDEX('Community Areas'!B$2:B$78,MATCH($E661,'Community Areas'!$A$2:$A$78,0)),
"")</f>
        <v>WEST ENGLEWOOD</v>
      </c>
      <c r="I661" s="63" t="str">
        <f>_xlfn.IFNA(
INDEX('Community Areas'!C$2:C$78,MATCH($E661,'Community Areas'!$A$2:$A$78,0)),
"")</f>
        <v>4-A</v>
      </c>
      <c r="J661" s="63">
        <f>_xlfn.IFNA(
INDEX('Community Areas'!D$2:D$78,MATCH($E661,'Community Areas'!$A$2:$A$78,0)),
"")</f>
        <v>4</v>
      </c>
      <c r="K661" s="60" t="str">
        <f>_xlfn.IFNA(
INDEX('Community Areas'!E$2:E$78,MATCH($E661,'Community Areas'!$A$2:$A$78,0)),
"")</f>
        <v>SOUTHWEST</v>
      </c>
      <c r="L661" s="17" t="e">
        <f>SUMIFS([1]ACSDT5Y2020.B08301_data_with_ov!AT$3:AT$1334,[1]ACSDT5Y2020.B08301_data_with_ov!$AS$3:$AS$1334,$B661)</f>
        <v>#VALUE!</v>
      </c>
      <c r="M661" s="17" t="e">
        <f>SUMIFS([1]ACSDT5Y2020.B08301_data_with_ov!AU$3:AU$1334,[1]ACSDT5Y2020.B08301_data_with_ov!$AS$3:$AS$1334,$B661)</f>
        <v>#VALUE!</v>
      </c>
      <c r="N661" s="17" t="e">
        <f>SUMIFS([1]ACSDT5Y2020.B08301_data_with_ov!AV$3:AV$1334,[1]ACSDT5Y2020.B08301_data_with_ov!$AS$3:$AS$1334,$B661)</f>
        <v>#VALUE!</v>
      </c>
      <c r="O661" s="17" t="e">
        <f>SUMIFS([1]ACSDT5Y2020.B08301_data_with_ov!AW$3:AW$1334,[1]ACSDT5Y2020.B08301_data_with_ov!$AS$3:$AS$1334,$B661)</f>
        <v>#VALUE!</v>
      </c>
      <c r="P661" s="17" t="e">
        <f>SUMIFS([1]ACSDT5Y2020.B08301_data_with_ov!AX$3:AX$1334,[1]ACSDT5Y2020.B08301_data_with_ov!$AS$3:$AS$1334,$B661)</f>
        <v>#VALUE!</v>
      </c>
      <c r="Q661" s="17" t="e">
        <f>SUMIFS([1]ACSDT5Y2020.B08301_data_with_ov!AY$3:AY$1334,[1]ACSDT5Y2020.B08301_data_with_ov!$AS$3:$AS$1334,$B661)</f>
        <v>#VALUE!</v>
      </c>
      <c r="R661" s="17" t="e">
        <f>SUMIFS([1]ACSDT5Y2020.B08301_data_with_ov!AZ$3:AZ$1334,[1]ACSDT5Y2020.B08301_data_with_ov!$AS$3:$AS$1334,$B661)</f>
        <v>#VALUE!</v>
      </c>
      <c r="S661" s="17" t="e">
        <f>SUMIFS([1]ACSDT5Y2020.B08301_data_with_ov!BA$3:BA$1334,[1]ACSDT5Y2020.B08301_data_with_ov!$AS$3:$AS$1334,$B661)</f>
        <v>#VALUE!</v>
      </c>
      <c r="T661" s="188">
        <v>9.4025424078507017E-2</v>
      </c>
      <c r="U661" s="189" t="e">
        <f t="shared" si="43"/>
        <v>#VALUE!</v>
      </c>
      <c r="V661" s="188">
        <v>9.4025424078507017E-2</v>
      </c>
      <c r="W661" s="189" t="e">
        <f t="shared" si="40"/>
        <v>#VALUE!</v>
      </c>
      <c r="X661" s="188">
        <v>9.4025424078507017E-2</v>
      </c>
      <c r="Y661" s="189" t="e">
        <f t="shared" si="41"/>
        <v>#VALUE!</v>
      </c>
      <c r="Z661" s="188">
        <v>9.4025424078507017E-2</v>
      </c>
      <c r="AA661" s="189" t="e">
        <f t="shared" si="42"/>
        <v>#VALUE!</v>
      </c>
    </row>
    <row r="662" spans="1:27" x14ac:dyDescent="0.25">
      <c r="A662">
        <v>671200</v>
      </c>
      <c r="B662">
        <v>17031671200</v>
      </c>
      <c r="C662">
        <v>17031</v>
      </c>
      <c r="D662">
        <v>2010</v>
      </c>
      <c r="E662">
        <v>67</v>
      </c>
      <c r="F662">
        <v>2636286.26564088</v>
      </c>
      <c r="G662" s="45">
        <v>9.4563757806792353E-2</v>
      </c>
      <c r="H662" s="60" t="str">
        <f>_xlfn.IFNA(
INDEX('Community Areas'!B$2:B$78,MATCH($E662,'Community Areas'!$A$2:$A$78,0)),
"")</f>
        <v>WEST ENGLEWOOD</v>
      </c>
      <c r="I662" s="63" t="str">
        <f>_xlfn.IFNA(
INDEX('Community Areas'!C$2:C$78,MATCH($E662,'Community Areas'!$A$2:$A$78,0)),
"")</f>
        <v>4-A</v>
      </c>
      <c r="J662" s="63">
        <f>_xlfn.IFNA(
INDEX('Community Areas'!D$2:D$78,MATCH($E662,'Community Areas'!$A$2:$A$78,0)),
"")</f>
        <v>4</v>
      </c>
      <c r="K662" s="60" t="str">
        <f>_xlfn.IFNA(
INDEX('Community Areas'!E$2:E$78,MATCH($E662,'Community Areas'!$A$2:$A$78,0)),
"")</f>
        <v>SOUTHWEST</v>
      </c>
      <c r="L662" s="17" t="e">
        <f>SUMIFS([1]ACSDT5Y2020.B08301_data_with_ov!AT$3:AT$1334,[1]ACSDT5Y2020.B08301_data_with_ov!$AS$3:$AS$1334,$B662)</f>
        <v>#VALUE!</v>
      </c>
      <c r="M662" s="17" t="e">
        <f>SUMIFS([1]ACSDT5Y2020.B08301_data_with_ov!AU$3:AU$1334,[1]ACSDT5Y2020.B08301_data_with_ov!$AS$3:$AS$1334,$B662)</f>
        <v>#VALUE!</v>
      </c>
      <c r="N662" s="17" t="e">
        <f>SUMIFS([1]ACSDT5Y2020.B08301_data_with_ov!AV$3:AV$1334,[1]ACSDT5Y2020.B08301_data_with_ov!$AS$3:$AS$1334,$B662)</f>
        <v>#VALUE!</v>
      </c>
      <c r="O662" s="17" t="e">
        <f>SUMIFS([1]ACSDT5Y2020.B08301_data_with_ov!AW$3:AW$1334,[1]ACSDT5Y2020.B08301_data_with_ov!$AS$3:$AS$1334,$B662)</f>
        <v>#VALUE!</v>
      </c>
      <c r="P662" s="17" t="e">
        <f>SUMIFS([1]ACSDT5Y2020.B08301_data_with_ov!AX$3:AX$1334,[1]ACSDT5Y2020.B08301_data_with_ov!$AS$3:$AS$1334,$B662)</f>
        <v>#VALUE!</v>
      </c>
      <c r="Q662" s="17" t="e">
        <f>SUMIFS([1]ACSDT5Y2020.B08301_data_with_ov!AY$3:AY$1334,[1]ACSDT5Y2020.B08301_data_with_ov!$AS$3:$AS$1334,$B662)</f>
        <v>#VALUE!</v>
      </c>
      <c r="R662" s="17" t="e">
        <f>SUMIFS([1]ACSDT5Y2020.B08301_data_with_ov!AZ$3:AZ$1334,[1]ACSDT5Y2020.B08301_data_with_ov!$AS$3:$AS$1334,$B662)</f>
        <v>#VALUE!</v>
      </c>
      <c r="S662" s="17" t="e">
        <f>SUMIFS([1]ACSDT5Y2020.B08301_data_with_ov!BA$3:BA$1334,[1]ACSDT5Y2020.B08301_data_with_ov!$AS$3:$AS$1334,$B662)</f>
        <v>#VALUE!</v>
      </c>
      <c r="T662" s="188">
        <v>9.4563034983970742E-2</v>
      </c>
      <c r="U662" s="189" t="e">
        <f t="shared" si="43"/>
        <v>#VALUE!</v>
      </c>
      <c r="V662" s="188">
        <v>9.4563034983970742E-2</v>
      </c>
      <c r="W662" s="189" t="e">
        <f t="shared" si="40"/>
        <v>#VALUE!</v>
      </c>
      <c r="X662" s="188">
        <v>9.4563034983970742E-2</v>
      </c>
      <c r="Y662" s="189" t="e">
        <f t="shared" si="41"/>
        <v>#VALUE!</v>
      </c>
      <c r="Z662" s="188">
        <v>9.4563034983970742E-2</v>
      </c>
      <c r="AA662" s="189" t="e">
        <f t="shared" si="42"/>
        <v>#VALUE!</v>
      </c>
    </row>
    <row r="663" spans="1:27" x14ac:dyDescent="0.25">
      <c r="A663">
        <v>671900</v>
      </c>
      <c r="B663">
        <v>17031671900</v>
      </c>
      <c r="C663">
        <v>17031</v>
      </c>
      <c r="D663">
        <v>2010</v>
      </c>
      <c r="E663">
        <v>67</v>
      </c>
      <c r="F663">
        <v>3429731.85835465</v>
      </c>
      <c r="G663" s="45">
        <v>0.12302470221944767</v>
      </c>
      <c r="H663" s="60" t="str">
        <f>_xlfn.IFNA(
INDEX('Community Areas'!B$2:B$78,MATCH($E663,'Community Areas'!$A$2:$A$78,0)),
"")</f>
        <v>WEST ENGLEWOOD</v>
      </c>
      <c r="I663" s="63" t="str">
        <f>_xlfn.IFNA(
INDEX('Community Areas'!C$2:C$78,MATCH($E663,'Community Areas'!$A$2:$A$78,0)),
"")</f>
        <v>4-A</v>
      </c>
      <c r="J663" s="63">
        <f>_xlfn.IFNA(
INDEX('Community Areas'!D$2:D$78,MATCH($E663,'Community Areas'!$A$2:$A$78,0)),
"")</f>
        <v>4</v>
      </c>
      <c r="K663" s="60" t="str">
        <f>_xlfn.IFNA(
INDEX('Community Areas'!E$2:E$78,MATCH($E663,'Community Areas'!$A$2:$A$78,0)),
"")</f>
        <v>SOUTHWEST</v>
      </c>
      <c r="L663" s="17" t="e">
        <f>SUMIFS([1]ACSDT5Y2020.B08301_data_with_ov!AT$3:AT$1334,[1]ACSDT5Y2020.B08301_data_with_ov!$AS$3:$AS$1334,$B663)</f>
        <v>#VALUE!</v>
      </c>
      <c r="M663" s="17" t="e">
        <f>SUMIFS([1]ACSDT5Y2020.B08301_data_with_ov!AU$3:AU$1334,[1]ACSDT5Y2020.B08301_data_with_ov!$AS$3:$AS$1334,$B663)</f>
        <v>#VALUE!</v>
      </c>
      <c r="N663" s="17" t="e">
        <f>SUMIFS([1]ACSDT5Y2020.B08301_data_with_ov!AV$3:AV$1334,[1]ACSDT5Y2020.B08301_data_with_ov!$AS$3:$AS$1334,$B663)</f>
        <v>#VALUE!</v>
      </c>
      <c r="O663" s="17" t="e">
        <f>SUMIFS([1]ACSDT5Y2020.B08301_data_with_ov!AW$3:AW$1334,[1]ACSDT5Y2020.B08301_data_with_ov!$AS$3:$AS$1334,$B663)</f>
        <v>#VALUE!</v>
      </c>
      <c r="P663" s="17" t="e">
        <f>SUMIFS([1]ACSDT5Y2020.B08301_data_with_ov!AX$3:AX$1334,[1]ACSDT5Y2020.B08301_data_with_ov!$AS$3:$AS$1334,$B663)</f>
        <v>#VALUE!</v>
      </c>
      <c r="Q663" s="17" t="e">
        <f>SUMIFS([1]ACSDT5Y2020.B08301_data_with_ov!AY$3:AY$1334,[1]ACSDT5Y2020.B08301_data_with_ov!$AS$3:$AS$1334,$B663)</f>
        <v>#VALUE!</v>
      </c>
      <c r="R663" s="17" t="e">
        <f>SUMIFS([1]ACSDT5Y2020.B08301_data_with_ov!AZ$3:AZ$1334,[1]ACSDT5Y2020.B08301_data_with_ov!$AS$3:$AS$1334,$B663)</f>
        <v>#VALUE!</v>
      </c>
      <c r="S663" s="17" t="e">
        <f>SUMIFS([1]ACSDT5Y2020.B08301_data_with_ov!BA$3:BA$1334,[1]ACSDT5Y2020.B08301_data_with_ov!$AS$3:$AS$1334,$B663)</f>
        <v>#VALUE!</v>
      </c>
      <c r="T663" s="188">
        <v>0</v>
      </c>
      <c r="U663" s="189" t="e">
        <f t="shared" si="43"/>
        <v>#VALUE!</v>
      </c>
      <c r="V663" s="188">
        <v>0</v>
      </c>
      <c r="W663" s="189" t="e">
        <f t="shared" si="40"/>
        <v>#VALUE!</v>
      </c>
      <c r="X663" s="188">
        <v>0</v>
      </c>
      <c r="Y663" s="189" t="e">
        <f t="shared" si="41"/>
        <v>#VALUE!</v>
      </c>
      <c r="Z663" s="188">
        <v>0</v>
      </c>
      <c r="AA663" s="189" t="e">
        <f t="shared" si="42"/>
        <v>#VALUE!</v>
      </c>
    </row>
    <row r="664" spans="1:27" x14ac:dyDescent="0.25">
      <c r="A664">
        <v>670200</v>
      </c>
      <c r="B664">
        <v>17031670200</v>
      </c>
      <c r="C664">
        <v>17031</v>
      </c>
      <c r="D664">
        <v>2010</v>
      </c>
      <c r="E664">
        <v>67</v>
      </c>
      <c r="F664">
        <v>3515370.0156736099</v>
      </c>
      <c r="G664" s="45">
        <v>0.12609654842722717</v>
      </c>
      <c r="H664" s="60" t="str">
        <f>_xlfn.IFNA(
INDEX('Community Areas'!B$2:B$78,MATCH($E664,'Community Areas'!$A$2:$A$78,0)),
"")</f>
        <v>WEST ENGLEWOOD</v>
      </c>
      <c r="I664" s="63" t="str">
        <f>_xlfn.IFNA(
INDEX('Community Areas'!C$2:C$78,MATCH($E664,'Community Areas'!$A$2:$A$78,0)),
"")</f>
        <v>4-A</v>
      </c>
      <c r="J664" s="63">
        <f>_xlfn.IFNA(
INDEX('Community Areas'!D$2:D$78,MATCH($E664,'Community Areas'!$A$2:$A$78,0)),
"")</f>
        <v>4</v>
      </c>
      <c r="K664" s="60" t="str">
        <f>_xlfn.IFNA(
INDEX('Community Areas'!E$2:E$78,MATCH($E664,'Community Areas'!$A$2:$A$78,0)),
"")</f>
        <v>SOUTHWEST</v>
      </c>
      <c r="L664" s="17" t="e">
        <f>SUMIFS([1]ACSDT5Y2020.B08301_data_with_ov!AT$3:AT$1334,[1]ACSDT5Y2020.B08301_data_with_ov!$AS$3:$AS$1334,$B664)</f>
        <v>#VALUE!</v>
      </c>
      <c r="M664" s="17" t="e">
        <f>SUMIFS([1]ACSDT5Y2020.B08301_data_with_ov!AU$3:AU$1334,[1]ACSDT5Y2020.B08301_data_with_ov!$AS$3:$AS$1334,$B664)</f>
        <v>#VALUE!</v>
      </c>
      <c r="N664" s="17" t="e">
        <f>SUMIFS([1]ACSDT5Y2020.B08301_data_with_ov!AV$3:AV$1334,[1]ACSDT5Y2020.B08301_data_with_ov!$AS$3:$AS$1334,$B664)</f>
        <v>#VALUE!</v>
      </c>
      <c r="O664" s="17" t="e">
        <f>SUMIFS([1]ACSDT5Y2020.B08301_data_with_ov!AW$3:AW$1334,[1]ACSDT5Y2020.B08301_data_with_ov!$AS$3:$AS$1334,$B664)</f>
        <v>#VALUE!</v>
      </c>
      <c r="P664" s="17" t="e">
        <f>SUMIFS([1]ACSDT5Y2020.B08301_data_with_ov!AX$3:AX$1334,[1]ACSDT5Y2020.B08301_data_with_ov!$AS$3:$AS$1334,$B664)</f>
        <v>#VALUE!</v>
      </c>
      <c r="Q664" s="17" t="e">
        <f>SUMIFS([1]ACSDT5Y2020.B08301_data_with_ov!AY$3:AY$1334,[1]ACSDT5Y2020.B08301_data_with_ov!$AS$3:$AS$1334,$B664)</f>
        <v>#VALUE!</v>
      </c>
      <c r="R664" s="17" t="e">
        <f>SUMIFS([1]ACSDT5Y2020.B08301_data_with_ov!AZ$3:AZ$1334,[1]ACSDT5Y2020.B08301_data_with_ov!$AS$3:$AS$1334,$B664)</f>
        <v>#VALUE!</v>
      </c>
      <c r="S664" s="17" t="e">
        <f>SUMIFS([1]ACSDT5Y2020.B08301_data_with_ov!BA$3:BA$1334,[1]ACSDT5Y2020.B08301_data_with_ov!$AS$3:$AS$1334,$B664)</f>
        <v>#VALUE!</v>
      </c>
      <c r="T664" s="188">
        <v>0.12530140234252934</v>
      </c>
      <c r="U664" s="189" t="e">
        <f t="shared" si="43"/>
        <v>#VALUE!</v>
      </c>
      <c r="V664" s="188">
        <v>0.12465034943187951</v>
      </c>
      <c r="W664" s="189" t="e">
        <f t="shared" si="40"/>
        <v>#VALUE!</v>
      </c>
      <c r="X664" s="188">
        <v>0.12465034943187951</v>
      </c>
      <c r="Y664" s="189" t="e">
        <f t="shared" si="41"/>
        <v>#VALUE!</v>
      </c>
      <c r="Z664" s="188">
        <v>0.12465034943187951</v>
      </c>
      <c r="AA664" s="189" t="e">
        <f t="shared" si="42"/>
        <v>#VALUE!</v>
      </c>
    </row>
    <row r="665" spans="1:27" x14ac:dyDescent="0.25">
      <c r="A665">
        <v>670700</v>
      </c>
      <c r="B665">
        <v>17031670700</v>
      </c>
      <c r="C665">
        <v>17031</v>
      </c>
      <c r="D665">
        <v>2010</v>
      </c>
      <c r="E665">
        <v>67</v>
      </c>
      <c r="F665">
        <v>3516833.1381246801</v>
      </c>
      <c r="G665" s="45">
        <v>0.12614903072359535</v>
      </c>
      <c r="H665" s="60" t="str">
        <f>_xlfn.IFNA(
INDEX('Community Areas'!B$2:B$78,MATCH($E665,'Community Areas'!$A$2:$A$78,0)),
"")</f>
        <v>WEST ENGLEWOOD</v>
      </c>
      <c r="I665" s="63" t="str">
        <f>_xlfn.IFNA(
INDEX('Community Areas'!C$2:C$78,MATCH($E665,'Community Areas'!$A$2:$A$78,0)),
"")</f>
        <v>4-A</v>
      </c>
      <c r="J665" s="63">
        <f>_xlfn.IFNA(
INDEX('Community Areas'!D$2:D$78,MATCH($E665,'Community Areas'!$A$2:$A$78,0)),
"")</f>
        <v>4</v>
      </c>
      <c r="K665" s="60" t="str">
        <f>_xlfn.IFNA(
INDEX('Community Areas'!E$2:E$78,MATCH($E665,'Community Areas'!$A$2:$A$78,0)),
"")</f>
        <v>SOUTHWEST</v>
      </c>
      <c r="L665" s="17" t="e">
        <f>SUMIFS([1]ACSDT5Y2020.B08301_data_with_ov!AT$3:AT$1334,[1]ACSDT5Y2020.B08301_data_with_ov!$AS$3:$AS$1334,$B665)</f>
        <v>#VALUE!</v>
      </c>
      <c r="M665" s="17" t="e">
        <f>SUMIFS([1]ACSDT5Y2020.B08301_data_with_ov!AU$3:AU$1334,[1]ACSDT5Y2020.B08301_data_with_ov!$AS$3:$AS$1334,$B665)</f>
        <v>#VALUE!</v>
      </c>
      <c r="N665" s="17" t="e">
        <f>SUMIFS([1]ACSDT5Y2020.B08301_data_with_ov!AV$3:AV$1334,[1]ACSDT5Y2020.B08301_data_with_ov!$AS$3:$AS$1334,$B665)</f>
        <v>#VALUE!</v>
      </c>
      <c r="O665" s="17" t="e">
        <f>SUMIFS([1]ACSDT5Y2020.B08301_data_with_ov!AW$3:AW$1334,[1]ACSDT5Y2020.B08301_data_with_ov!$AS$3:$AS$1334,$B665)</f>
        <v>#VALUE!</v>
      </c>
      <c r="P665" s="17" t="e">
        <f>SUMIFS([1]ACSDT5Y2020.B08301_data_with_ov!AX$3:AX$1334,[1]ACSDT5Y2020.B08301_data_with_ov!$AS$3:$AS$1334,$B665)</f>
        <v>#VALUE!</v>
      </c>
      <c r="Q665" s="17" t="e">
        <f>SUMIFS([1]ACSDT5Y2020.B08301_data_with_ov!AY$3:AY$1334,[1]ACSDT5Y2020.B08301_data_with_ov!$AS$3:$AS$1334,$B665)</f>
        <v>#VALUE!</v>
      </c>
      <c r="R665" s="17" t="e">
        <f>SUMIFS([1]ACSDT5Y2020.B08301_data_with_ov!AZ$3:AZ$1334,[1]ACSDT5Y2020.B08301_data_with_ov!$AS$3:$AS$1334,$B665)</f>
        <v>#VALUE!</v>
      </c>
      <c r="S665" s="17" t="e">
        <f>SUMIFS([1]ACSDT5Y2020.B08301_data_with_ov!BA$3:BA$1334,[1]ACSDT5Y2020.B08301_data_with_ov!$AS$3:$AS$1334,$B665)</f>
        <v>#VALUE!</v>
      </c>
      <c r="T665" s="188">
        <v>0.12577669753380036</v>
      </c>
      <c r="U665" s="189" t="e">
        <f t="shared" si="43"/>
        <v>#VALUE!</v>
      </c>
      <c r="V665" s="188">
        <v>0.12577669753380036</v>
      </c>
      <c r="W665" s="189" t="e">
        <f t="shared" si="40"/>
        <v>#VALUE!</v>
      </c>
      <c r="X665" s="188">
        <v>0.12577669753380036</v>
      </c>
      <c r="Y665" s="189" t="e">
        <f t="shared" si="41"/>
        <v>#VALUE!</v>
      </c>
      <c r="Z665" s="188">
        <v>0.12577669753380036</v>
      </c>
      <c r="AA665" s="189" t="e">
        <f t="shared" si="42"/>
        <v>#VALUE!</v>
      </c>
    </row>
    <row r="666" spans="1:27" x14ac:dyDescent="0.25">
      <c r="A666">
        <v>671500</v>
      </c>
      <c r="B666">
        <v>17031671500</v>
      </c>
      <c r="C666">
        <v>17031</v>
      </c>
      <c r="D666">
        <v>2010</v>
      </c>
      <c r="E666">
        <v>67</v>
      </c>
      <c r="F666">
        <v>7914678.6156884599</v>
      </c>
      <c r="G666" s="45">
        <v>0.28390003069360004</v>
      </c>
      <c r="H666" s="60" t="str">
        <f>_xlfn.IFNA(
INDEX('Community Areas'!B$2:B$78,MATCH($E666,'Community Areas'!$A$2:$A$78,0)),
"")</f>
        <v>WEST ENGLEWOOD</v>
      </c>
      <c r="I666" s="63" t="str">
        <f>_xlfn.IFNA(
INDEX('Community Areas'!C$2:C$78,MATCH($E666,'Community Areas'!$A$2:$A$78,0)),
"")</f>
        <v>4-A</v>
      </c>
      <c r="J666" s="63">
        <f>_xlfn.IFNA(
INDEX('Community Areas'!D$2:D$78,MATCH($E666,'Community Areas'!$A$2:$A$78,0)),
"")</f>
        <v>4</v>
      </c>
      <c r="K666" s="60" t="str">
        <f>_xlfn.IFNA(
INDEX('Community Areas'!E$2:E$78,MATCH($E666,'Community Areas'!$A$2:$A$78,0)),
"")</f>
        <v>SOUTHWEST</v>
      </c>
      <c r="L666" s="17" t="e">
        <f>SUMIFS([1]ACSDT5Y2020.B08301_data_with_ov!AT$3:AT$1334,[1]ACSDT5Y2020.B08301_data_with_ov!$AS$3:$AS$1334,$B666)</f>
        <v>#VALUE!</v>
      </c>
      <c r="M666" s="17" t="e">
        <f>SUMIFS([1]ACSDT5Y2020.B08301_data_with_ov!AU$3:AU$1334,[1]ACSDT5Y2020.B08301_data_with_ov!$AS$3:$AS$1334,$B666)</f>
        <v>#VALUE!</v>
      </c>
      <c r="N666" s="17" t="e">
        <f>SUMIFS([1]ACSDT5Y2020.B08301_data_with_ov!AV$3:AV$1334,[1]ACSDT5Y2020.B08301_data_with_ov!$AS$3:$AS$1334,$B666)</f>
        <v>#VALUE!</v>
      </c>
      <c r="O666" s="17" t="e">
        <f>SUMIFS([1]ACSDT5Y2020.B08301_data_with_ov!AW$3:AW$1334,[1]ACSDT5Y2020.B08301_data_with_ov!$AS$3:$AS$1334,$B666)</f>
        <v>#VALUE!</v>
      </c>
      <c r="P666" s="17" t="e">
        <f>SUMIFS([1]ACSDT5Y2020.B08301_data_with_ov!AX$3:AX$1334,[1]ACSDT5Y2020.B08301_data_with_ov!$AS$3:$AS$1334,$B666)</f>
        <v>#VALUE!</v>
      </c>
      <c r="Q666" s="17" t="e">
        <f>SUMIFS([1]ACSDT5Y2020.B08301_data_with_ov!AY$3:AY$1334,[1]ACSDT5Y2020.B08301_data_with_ov!$AS$3:$AS$1334,$B666)</f>
        <v>#VALUE!</v>
      </c>
      <c r="R666" s="17" t="e">
        <f>SUMIFS([1]ACSDT5Y2020.B08301_data_with_ov!AZ$3:AZ$1334,[1]ACSDT5Y2020.B08301_data_with_ov!$AS$3:$AS$1334,$B666)</f>
        <v>#VALUE!</v>
      </c>
      <c r="S666" s="17" t="e">
        <f>SUMIFS([1]ACSDT5Y2020.B08301_data_with_ov!BA$3:BA$1334,[1]ACSDT5Y2020.B08301_data_with_ov!$AS$3:$AS$1334,$B666)</f>
        <v>#VALUE!</v>
      </c>
      <c r="T666" s="188">
        <v>0.28389122505540632</v>
      </c>
      <c r="U666" s="189" t="e">
        <f t="shared" si="43"/>
        <v>#VALUE!</v>
      </c>
      <c r="V666" s="188">
        <v>0.28389122505540632</v>
      </c>
      <c r="W666" s="189" t="e">
        <f t="shared" si="40"/>
        <v>#VALUE!</v>
      </c>
      <c r="X666" s="188">
        <v>0.28389122505540632</v>
      </c>
      <c r="Y666" s="189" t="e">
        <f t="shared" si="41"/>
        <v>#VALUE!</v>
      </c>
      <c r="Z666" s="188">
        <v>0.28389122505540632</v>
      </c>
      <c r="AA666" s="189" t="e">
        <f t="shared" si="42"/>
        <v>#VALUE!</v>
      </c>
    </row>
    <row r="667" spans="1:27" x14ac:dyDescent="0.25">
      <c r="A667">
        <v>834900</v>
      </c>
      <c r="B667">
        <v>17031834900</v>
      </c>
      <c r="C667">
        <v>17031</v>
      </c>
      <c r="D667">
        <v>2010</v>
      </c>
      <c r="E667">
        <v>67</v>
      </c>
      <c r="F667">
        <v>7030962.9677422997</v>
      </c>
      <c r="G667" s="45">
        <v>0.25220109359727599</v>
      </c>
      <c r="H667" s="60" t="str">
        <f>_xlfn.IFNA(
INDEX('Community Areas'!B$2:B$78,MATCH($E667,'Community Areas'!$A$2:$A$78,0)),
"")</f>
        <v>WEST ENGLEWOOD</v>
      </c>
      <c r="I667" s="63" t="str">
        <f>_xlfn.IFNA(
INDEX('Community Areas'!C$2:C$78,MATCH($E667,'Community Areas'!$A$2:$A$78,0)),
"")</f>
        <v>4-A</v>
      </c>
      <c r="J667" s="63">
        <f>_xlfn.IFNA(
INDEX('Community Areas'!D$2:D$78,MATCH($E667,'Community Areas'!$A$2:$A$78,0)),
"")</f>
        <v>4</v>
      </c>
      <c r="K667" s="60" t="str">
        <f>_xlfn.IFNA(
INDEX('Community Areas'!E$2:E$78,MATCH($E667,'Community Areas'!$A$2:$A$78,0)),
"")</f>
        <v>SOUTHWEST</v>
      </c>
      <c r="L667" s="17" t="e">
        <f>SUMIFS([1]ACSDT5Y2020.B08301_data_with_ov!AT$3:AT$1334,[1]ACSDT5Y2020.B08301_data_with_ov!$AS$3:$AS$1334,$B667)</f>
        <v>#VALUE!</v>
      </c>
      <c r="M667" s="17" t="e">
        <f>SUMIFS([1]ACSDT5Y2020.B08301_data_with_ov!AU$3:AU$1334,[1]ACSDT5Y2020.B08301_data_with_ov!$AS$3:$AS$1334,$B667)</f>
        <v>#VALUE!</v>
      </c>
      <c r="N667" s="17" t="e">
        <f>SUMIFS([1]ACSDT5Y2020.B08301_data_with_ov!AV$3:AV$1334,[1]ACSDT5Y2020.B08301_data_with_ov!$AS$3:$AS$1334,$B667)</f>
        <v>#VALUE!</v>
      </c>
      <c r="O667" s="17" t="e">
        <f>SUMIFS([1]ACSDT5Y2020.B08301_data_with_ov!AW$3:AW$1334,[1]ACSDT5Y2020.B08301_data_with_ov!$AS$3:$AS$1334,$B667)</f>
        <v>#VALUE!</v>
      </c>
      <c r="P667" s="17" t="e">
        <f>SUMIFS([1]ACSDT5Y2020.B08301_data_with_ov!AX$3:AX$1334,[1]ACSDT5Y2020.B08301_data_with_ov!$AS$3:$AS$1334,$B667)</f>
        <v>#VALUE!</v>
      </c>
      <c r="Q667" s="17" t="e">
        <f>SUMIFS([1]ACSDT5Y2020.B08301_data_with_ov!AY$3:AY$1334,[1]ACSDT5Y2020.B08301_data_with_ov!$AS$3:$AS$1334,$B667)</f>
        <v>#VALUE!</v>
      </c>
      <c r="R667" s="17" t="e">
        <f>SUMIFS([1]ACSDT5Y2020.B08301_data_with_ov!AZ$3:AZ$1334,[1]ACSDT5Y2020.B08301_data_with_ov!$AS$3:$AS$1334,$B667)</f>
        <v>#VALUE!</v>
      </c>
      <c r="S667" s="17" t="e">
        <f>SUMIFS([1]ACSDT5Y2020.B08301_data_with_ov!BA$3:BA$1334,[1]ACSDT5Y2020.B08301_data_with_ov!$AS$3:$AS$1334,$B667)</f>
        <v>#VALUE!</v>
      </c>
      <c r="T667" s="188">
        <v>0.25094865268694688</v>
      </c>
      <c r="U667" s="189" t="e">
        <f t="shared" si="43"/>
        <v>#VALUE!</v>
      </c>
      <c r="V667" s="188">
        <v>0.25094865268694688</v>
      </c>
      <c r="W667" s="189" t="e">
        <f t="shared" si="40"/>
        <v>#VALUE!</v>
      </c>
      <c r="X667" s="188">
        <v>0.25094865268694688</v>
      </c>
      <c r="Y667" s="189" t="e">
        <f t="shared" si="41"/>
        <v>#VALUE!</v>
      </c>
      <c r="Z667" s="188">
        <v>0.25094865268694688</v>
      </c>
      <c r="AA667" s="189" t="e">
        <f t="shared" si="42"/>
        <v>#VALUE!</v>
      </c>
    </row>
    <row r="668" spans="1:27" x14ac:dyDescent="0.25">
      <c r="A668">
        <v>672000</v>
      </c>
      <c r="B668">
        <v>17031672000</v>
      </c>
      <c r="C668">
        <v>17031</v>
      </c>
      <c r="D668">
        <v>2010</v>
      </c>
      <c r="E668">
        <v>67</v>
      </c>
      <c r="F668">
        <v>10406284.3363622</v>
      </c>
      <c r="G668" s="45">
        <v>0.37327408805247791</v>
      </c>
      <c r="H668" s="60" t="str">
        <f>_xlfn.IFNA(
INDEX('Community Areas'!B$2:B$78,MATCH($E668,'Community Areas'!$A$2:$A$78,0)),
"")</f>
        <v>WEST ENGLEWOOD</v>
      </c>
      <c r="I668" s="63" t="str">
        <f>_xlfn.IFNA(
INDEX('Community Areas'!C$2:C$78,MATCH($E668,'Community Areas'!$A$2:$A$78,0)),
"")</f>
        <v>4-A</v>
      </c>
      <c r="J668" s="63">
        <f>_xlfn.IFNA(
INDEX('Community Areas'!D$2:D$78,MATCH($E668,'Community Areas'!$A$2:$A$78,0)),
"")</f>
        <v>4</v>
      </c>
      <c r="K668" s="60" t="str">
        <f>_xlfn.IFNA(
INDEX('Community Areas'!E$2:E$78,MATCH($E668,'Community Areas'!$A$2:$A$78,0)),
"")</f>
        <v>SOUTHWEST</v>
      </c>
      <c r="L668" s="17" t="e">
        <f>SUMIFS([1]ACSDT5Y2020.B08301_data_with_ov!AT$3:AT$1334,[1]ACSDT5Y2020.B08301_data_with_ov!$AS$3:$AS$1334,$B668)</f>
        <v>#VALUE!</v>
      </c>
      <c r="M668" s="17" t="e">
        <f>SUMIFS([1]ACSDT5Y2020.B08301_data_with_ov!AU$3:AU$1334,[1]ACSDT5Y2020.B08301_data_with_ov!$AS$3:$AS$1334,$B668)</f>
        <v>#VALUE!</v>
      </c>
      <c r="N668" s="17" t="e">
        <f>SUMIFS([1]ACSDT5Y2020.B08301_data_with_ov!AV$3:AV$1334,[1]ACSDT5Y2020.B08301_data_with_ov!$AS$3:$AS$1334,$B668)</f>
        <v>#VALUE!</v>
      </c>
      <c r="O668" s="17" t="e">
        <f>SUMIFS([1]ACSDT5Y2020.B08301_data_with_ov!AW$3:AW$1334,[1]ACSDT5Y2020.B08301_data_with_ov!$AS$3:$AS$1334,$B668)</f>
        <v>#VALUE!</v>
      </c>
      <c r="P668" s="17" t="e">
        <f>SUMIFS([1]ACSDT5Y2020.B08301_data_with_ov!AX$3:AX$1334,[1]ACSDT5Y2020.B08301_data_with_ov!$AS$3:$AS$1334,$B668)</f>
        <v>#VALUE!</v>
      </c>
      <c r="Q668" s="17" t="e">
        <f>SUMIFS([1]ACSDT5Y2020.B08301_data_with_ov!AY$3:AY$1334,[1]ACSDT5Y2020.B08301_data_with_ov!$AS$3:$AS$1334,$B668)</f>
        <v>#VALUE!</v>
      </c>
      <c r="R668" s="17" t="e">
        <f>SUMIFS([1]ACSDT5Y2020.B08301_data_with_ov!AZ$3:AZ$1334,[1]ACSDT5Y2020.B08301_data_with_ov!$AS$3:$AS$1334,$B668)</f>
        <v>#VALUE!</v>
      </c>
      <c r="S668" s="17" t="e">
        <f>SUMIFS([1]ACSDT5Y2020.B08301_data_with_ov!BA$3:BA$1334,[1]ACSDT5Y2020.B08301_data_with_ov!$AS$3:$AS$1334,$B668)</f>
        <v>#VALUE!</v>
      </c>
      <c r="T668" s="188">
        <v>0.37143187414528095</v>
      </c>
      <c r="U668" s="189" t="e">
        <f t="shared" si="43"/>
        <v>#VALUE!</v>
      </c>
      <c r="V668" s="188">
        <v>0.37143187414528095</v>
      </c>
      <c r="W668" s="189" t="e">
        <f t="shared" si="40"/>
        <v>#VALUE!</v>
      </c>
      <c r="X668" s="188">
        <v>0.37143187414528095</v>
      </c>
      <c r="Y668" s="189" t="e">
        <f t="shared" si="41"/>
        <v>#VALUE!</v>
      </c>
      <c r="Z668" s="188">
        <v>0.37143187414528095</v>
      </c>
      <c r="AA668" s="189" t="e">
        <f t="shared" si="42"/>
        <v>#VALUE!</v>
      </c>
    </row>
    <row r="669" spans="1:27" x14ac:dyDescent="0.25">
      <c r="A669">
        <v>670400</v>
      </c>
      <c r="B669">
        <v>17031670400</v>
      </c>
      <c r="C669">
        <v>17031</v>
      </c>
      <c r="D669">
        <v>2010</v>
      </c>
      <c r="E669">
        <v>67</v>
      </c>
      <c r="F669">
        <v>3513376.60349192</v>
      </c>
      <c r="G669" s="45">
        <v>0.12602504460413511</v>
      </c>
      <c r="H669" s="60" t="str">
        <f>_xlfn.IFNA(
INDEX('Community Areas'!B$2:B$78,MATCH($E669,'Community Areas'!$A$2:$A$78,0)),
"")</f>
        <v>WEST ENGLEWOOD</v>
      </c>
      <c r="I669" s="63" t="str">
        <f>_xlfn.IFNA(
INDEX('Community Areas'!C$2:C$78,MATCH($E669,'Community Areas'!$A$2:$A$78,0)),
"")</f>
        <v>4-A</v>
      </c>
      <c r="J669" s="63">
        <f>_xlfn.IFNA(
INDEX('Community Areas'!D$2:D$78,MATCH($E669,'Community Areas'!$A$2:$A$78,0)),
"")</f>
        <v>4</v>
      </c>
      <c r="K669" s="60" t="str">
        <f>_xlfn.IFNA(
INDEX('Community Areas'!E$2:E$78,MATCH($E669,'Community Areas'!$A$2:$A$78,0)),
"")</f>
        <v>SOUTHWEST</v>
      </c>
      <c r="L669" s="17" t="e">
        <f>SUMIFS([1]ACSDT5Y2020.B08301_data_with_ov!AT$3:AT$1334,[1]ACSDT5Y2020.B08301_data_with_ov!$AS$3:$AS$1334,$B669)</f>
        <v>#VALUE!</v>
      </c>
      <c r="M669" s="17" t="e">
        <f>SUMIFS([1]ACSDT5Y2020.B08301_data_with_ov!AU$3:AU$1334,[1]ACSDT5Y2020.B08301_data_with_ov!$AS$3:$AS$1334,$B669)</f>
        <v>#VALUE!</v>
      </c>
      <c r="N669" s="17" t="e">
        <f>SUMIFS([1]ACSDT5Y2020.B08301_data_with_ov!AV$3:AV$1334,[1]ACSDT5Y2020.B08301_data_with_ov!$AS$3:$AS$1334,$B669)</f>
        <v>#VALUE!</v>
      </c>
      <c r="O669" s="17" t="e">
        <f>SUMIFS([1]ACSDT5Y2020.B08301_data_with_ov!AW$3:AW$1334,[1]ACSDT5Y2020.B08301_data_with_ov!$AS$3:$AS$1334,$B669)</f>
        <v>#VALUE!</v>
      </c>
      <c r="P669" s="17" t="e">
        <f>SUMIFS([1]ACSDT5Y2020.B08301_data_with_ov!AX$3:AX$1334,[1]ACSDT5Y2020.B08301_data_with_ov!$AS$3:$AS$1334,$B669)</f>
        <v>#VALUE!</v>
      </c>
      <c r="Q669" s="17" t="e">
        <f>SUMIFS([1]ACSDT5Y2020.B08301_data_with_ov!AY$3:AY$1334,[1]ACSDT5Y2020.B08301_data_with_ov!$AS$3:$AS$1334,$B669)</f>
        <v>#VALUE!</v>
      </c>
      <c r="R669" s="17" t="e">
        <f>SUMIFS([1]ACSDT5Y2020.B08301_data_with_ov!AZ$3:AZ$1334,[1]ACSDT5Y2020.B08301_data_with_ov!$AS$3:$AS$1334,$B669)</f>
        <v>#VALUE!</v>
      </c>
      <c r="S669" s="17" t="e">
        <f>SUMIFS([1]ACSDT5Y2020.B08301_data_with_ov!BA$3:BA$1334,[1]ACSDT5Y2020.B08301_data_with_ov!$AS$3:$AS$1334,$B669)</f>
        <v>#VALUE!</v>
      </c>
      <c r="T669" s="188">
        <v>0.12602504659509334</v>
      </c>
      <c r="U669" s="189" t="e">
        <f t="shared" si="43"/>
        <v>#VALUE!</v>
      </c>
      <c r="V669" s="188">
        <v>0.12602504659509334</v>
      </c>
      <c r="W669" s="189" t="e">
        <f t="shared" si="40"/>
        <v>#VALUE!</v>
      </c>
      <c r="X669" s="188">
        <v>0.12602504659509334</v>
      </c>
      <c r="Y669" s="189" t="e">
        <f t="shared" si="41"/>
        <v>#VALUE!</v>
      </c>
      <c r="Z669" s="188">
        <v>0.12602504659509334</v>
      </c>
      <c r="AA669" s="189" t="e">
        <f t="shared" si="42"/>
        <v>#VALUE!</v>
      </c>
    </row>
    <row r="670" spans="1:27" x14ac:dyDescent="0.25">
      <c r="A670">
        <v>671800</v>
      </c>
      <c r="B670">
        <v>17031671800</v>
      </c>
      <c r="C670">
        <v>17031</v>
      </c>
      <c r="D670">
        <v>2010</v>
      </c>
      <c r="E670">
        <v>67</v>
      </c>
      <c r="F670">
        <v>3457625.77041804</v>
      </c>
      <c r="G670" s="45">
        <v>0.12402525863815858</v>
      </c>
      <c r="H670" s="60" t="str">
        <f>_xlfn.IFNA(
INDEX('Community Areas'!B$2:B$78,MATCH($E670,'Community Areas'!$A$2:$A$78,0)),
"")</f>
        <v>WEST ENGLEWOOD</v>
      </c>
      <c r="I670" s="63" t="str">
        <f>_xlfn.IFNA(
INDEX('Community Areas'!C$2:C$78,MATCH($E670,'Community Areas'!$A$2:$A$78,0)),
"")</f>
        <v>4-A</v>
      </c>
      <c r="J670" s="63">
        <f>_xlfn.IFNA(
INDEX('Community Areas'!D$2:D$78,MATCH($E670,'Community Areas'!$A$2:$A$78,0)),
"")</f>
        <v>4</v>
      </c>
      <c r="K670" s="60" t="str">
        <f>_xlfn.IFNA(
INDEX('Community Areas'!E$2:E$78,MATCH($E670,'Community Areas'!$A$2:$A$78,0)),
"")</f>
        <v>SOUTHWEST</v>
      </c>
      <c r="L670" s="17" t="e">
        <f>SUMIFS([1]ACSDT5Y2020.B08301_data_with_ov!AT$3:AT$1334,[1]ACSDT5Y2020.B08301_data_with_ov!$AS$3:$AS$1334,$B670)</f>
        <v>#VALUE!</v>
      </c>
      <c r="M670" s="17" t="e">
        <f>SUMIFS([1]ACSDT5Y2020.B08301_data_with_ov!AU$3:AU$1334,[1]ACSDT5Y2020.B08301_data_with_ov!$AS$3:$AS$1334,$B670)</f>
        <v>#VALUE!</v>
      </c>
      <c r="N670" s="17" t="e">
        <f>SUMIFS([1]ACSDT5Y2020.B08301_data_with_ov!AV$3:AV$1334,[1]ACSDT5Y2020.B08301_data_with_ov!$AS$3:$AS$1334,$B670)</f>
        <v>#VALUE!</v>
      </c>
      <c r="O670" s="17" t="e">
        <f>SUMIFS([1]ACSDT5Y2020.B08301_data_with_ov!AW$3:AW$1334,[1]ACSDT5Y2020.B08301_data_with_ov!$AS$3:$AS$1334,$B670)</f>
        <v>#VALUE!</v>
      </c>
      <c r="P670" s="17" t="e">
        <f>SUMIFS([1]ACSDT5Y2020.B08301_data_with_ov!AX$3:AX$1334,[1]ACSDT5Y2020.B08301_data_with_ov!$AS$3:$AS$1334,$B670)</f>
        <v>#VALUE!</v>
      </c>
      <c r="Q670" s="17" t="e">
        <f>SUMIFS([1]ACSDT5Y2020.B08301_data_with_ov!AY$3:AY$1334,[1]ACSDT5Y2020.B08301_data_with_ov!$AS$3:$AS$1334,$B670)</f>
        <v>#VALUE!</v>
      </c>
      <c r="R670" s="17" t="e">
        <f>SUMIFS([1]ACSDT5Y2020.B08301_data_with_ov!AZ$3:AZ$1334,[1]ACSDT5Y2020.B08301_data_with_ov!$AS$3:$AS$1334,$B670)</f>
        <v>#VALUE!</v>
      </c>
      <c r="S670" s="17" t="e">
        <f>SUMIFS([1]ACSDT5Y2020.B08301_data_with_ov!BA$3:BA$1334,[1]ACSDT5Y2020.B08301_data_with_ov!$AS$3:$AS$1334,$B670)</f>
        <v>#VALUE!</v>
      </c>
      <c r="T670" s="188">
        <v>0</v>
      </c>
      <c r="U670" s="189" t="e">
        <f t="shared" si="43"/>
        <v>#VALUE!</v>
      </c>
      <c r="V670" s="188">
        <v>0</v>
      </c>
      <c r="W670" s="189" t="e">
        <f t="shared" si="40"/>
        <v>#VALUE!</v>
      </c>
      <c r="X670" s="188">
        <v>0</v>
      </c>
      <c r="Y670" s="189" t="e">
        <f t="shared" si="41"/>
        <v>#VALUE!</v>
      </c>
      <c r="Z670" s="188">
        <v>0</v>
      </c>
      <c r="AA670" s="189" t="e">
        <f t="shared" si="42"/>
        <v>#VALUE!</v>
      </c>
    </row>
    <row r="671" spans="1:27" x14ac:dyDescent="0.25">
      <c r="A671">
        <v>670300</v>
      </c>
      <c r="B671">
        <v>17031670300</v>
      </c>
      <c r="C671">
        <v>17031</v>
      </c>
      <c r="D671">
        <v>2010</v>
      </c>
      <c r="E671">
        <v>67</v>
      </c>
      <c r="F671">
        <v>3512569.1280722399</v>
      </c>
      <c r="G671" s="45">
        <v>0.12599608040892735</v>
      </c>
      <c r="H671" s="60" t="str">
        <f>_xlfn.IFNA(
INDEX('Community Areas'!B$2:B$78,MATCH($E671,'Community Areas'!$A$2:$A$78,0)),
"")</f>
        <v>WEST ENGLEWOOD</v>
      </c>
      <c r="I671" s="63" t="str">
        <f>_xlfn.IFNA(
INDEX('Community Areas'!C$2:C$78,MATCH($E671,'Community Areas'!$A$2:$A$78,0)),
"")</f>
        <v>4-A</v>
      </c>
      <c r="J671" s="63">
        <f>_xlfn.IFNA(
INDEX('Community Areas'!D$2:D$78,MATCH($E671,'Community Areas'!$A$2:$A$78,0)),
"")</f>
        <v>4</v>
      </c>
      <c r="K671" s="60" t="str">
        <f>_xlfn.IFNA(
INDEX('Community Areas'!E$2:E$78,MATCH($E671,'Community Areas'!$A$2:$A$78,0)),
"")</f>
        <v>SOUTHWEST</v>
      </c>
      <c r="L671" s="17" t="e">
        <f>SUMIFS([1]ACSDT5Y2020.B08301_data_with_ov!AT$3:AT$1334,[1]ACSDT5Y2020.B08301_data_with_ov!$AS$3:$AS$1334,$B671)</f>
        <v>#VALUE!</v>
      </c>
      <c r="M671" s="17" t="e">
        <f>SUMIFS([1]ACSDT5Y2020.B08301_data_with_ov!AU$3:AU$1334,[1]ACSDT5Y2020.B08301_data_with_ov!$AS$3:$AS$1334,$B671)</f>
        <v>#VALUE!</v>
      </c>
      <c r="N671" s="17" t="e">
        <f>SUMIFS([1]ACSDT5Y2020.B08301_data_with_ov!AV$3:AV$1334,[1]ACSDT5Y2020.B08301_data_with_ov!$AS$3:$AS$1334,$B671)</f>
        <v>#VALUE!</v>
      </c>
      <c r="O671" s="17" t="e">
        <f>SUMIFS([1]ACSDT5Y2020.B08301_data_with_ov!AW$3:AW$1334,[1]ACSDT5Y2020.B08301_data_with_ov!$AS$3:$AS$1334,$B671)</f>
        <v>#VALUE!</v>
      </c>
      <c r="P671" s="17" t="e">
        <f>SUMIFS([1]ACSDT5Y2020.B08301_data_with_ov!AX$3:AX$1334,[1]ACSDT5Y2020.B08301_data_with_ov!$AS$3:$AS$1334,$B671)</f>
        <v>#VALUE!</v>
      </c>
      <c r="Q671" s="17" t="e">
        <f>SUMIFS([1]ACSDT5Y2020.B08301_data_with_ov!AY$3:AY$1334,[1]ACSDT5Y2020.B08301_data_with_ov!$AS$3:$AS$1334,$B671)</f>
        <v>#VALUE!</v>
      </c>
      <c r="R671" s="17" t="e">
        <f>SUMIFS([1]ACSDT5Y2020.B08301_data_with_ov!AZ$3:AZ$1334,[1]ACSDT5Y2020.B08301_data_with_ov!$AS$3:$AS$1334,$B671)</f>
        <v>#VALUE!</v>
      </c>
      <c r="S671" s="17" t="e">
        <f>SUMIFS([1]ACSDT5Y2020.B08301_data_with_ov!BA$3:BA$1334,[1]ACSDT5Y2020.B08301_data_with_ov!$AS$3:$AS$1334,$B671)</f>
        <v>#VALUE!</v>
      </c>
      <c r="T671" s="188">
        <v>0.12533449774715982</v>
      </c>
      <c r="U671" s="189" t="e">
        <f t="shared" si="43"/>
        <v>#VALUE!</v>
      </c>
      <c r="V671" s="188">
        <v>0.12533449774715982</v>
      </c>
      <c r="W671" s="189" t="e">
        <f t="shared" si="40"/>
        <v>#VALUE!</v>
      </c>
      <c r="X671" s="188">
        <v>0.12533449774715982</v>
      </c>
      <c r="Y671" s="189" t="e">
        <f t="shared" si="41"/>
        <v>#VALUE!</v>
      </c>
      <c r="Z671" s="188">
        <v>0.12533449774715982</v>
      </c>
      <c r="AA671" s="189" t="e">
        <f t="shared" si="42"/>
        <v>#VALUE!</v>
      </c>
    </row>
    <row r="672" spans="1:27" x14ac:dyDescent="0.25">
      <c r="A672">
        <v>670900</v>
      </c>
      <c r="B672">
        <v>17031670900</v>
      </c>
      <c r="C672">
        <v>17031</v>
      </c>
      <c r="D672">
        <v>2010</v>
      </c>
      <c r="E672">
        <v>67</v>
      </c>
      <c r="F672">
        <v>3512087.5751332399</v>
      </c>
      <c r="G672" s="45">
        <v>0.1259788070740516</v>
      </c>
      <c r="H672" s="60" t="str">
        <f>_xlfn.IFNA(
INDEX('Community Areas'!B$2:B$78,MATCH($E672,'Community Areas'!$A$2:$A$78,0)),
"")</f>
        <v>WEST ENGLEWOOD</v>
      </c>
      <c r="I672" s="63" t="str">
        <f>_xlfn.IFNA(
INDEX('Community Areas'!C$2:C$78,MATCH($E672,'Community Areas'!$A$2:$A$78,0)),
"")</f>
        <v>4-A</v>
      </c>
      <c r="J672" s="63">
        <f>_xlfn.IFNA(
INDEX('Community Areas'!D$2:D$78,MATCH($E672,'Community Areas'!$A$2:$A$78,0)),
"")</f>
        <v>4</v>
      </c>
      <c r="K672" s="60" t="str">
        <f>_xlfn.IFNA(
INDEX('Community Areas'!E$2:E$78,MATCH($E672,'Community Areas'!$A$2:$A$78,0)),
"")</f>
        <v>SOUTHWEST</v>
      </c>
      <c r="L672" s="17" t="e">
        <f>SUMIFS([1]ACSDT5Y2020.B08301_data_with_ov!AT$3:AT$1334,[1]ACSDT5Y2020.B08301_data_with_ov!$AS$3:$AS$1334,$B672)</f>
        <v>#VALUE!</v>
      </c>
      <c r="M672" s="17" t="e">
        <f>SUMIFS([1]ACSDT5Y2020.B08301_data_with_ov!AU$3:AU$1334,[1]ACSDT5Y2020.B08301_data_with_ov!$AS$3:$AS$1334,$B672)</f>
        <v>#VALUE!</v>
      </c>
      <c r="N672" s="17" t="e">
        <f>SUMIFS([1]ACSDT5Y2020.B08301_data_with_ov!AV$3:AV$1334,[1]ACSDT5Y2020.B08301_data_with_ov!$AS$3:$AS$1334,$B672)</f>
        <v>#VALUE!</v>
      </c>
      <c r="O672" s="17" t="e">
        <f>SUMIFS([1]ACSDT5Y2020.B08301_data_with_ov!AW$3:AW$1334,[1]ACSDT5Y2020.B08301_data_with_ov!$AS$3:$AS$1334,$B672)</f>
        <v>#VALUE!</v>
      </c>
      <c r="P672" s="17" t="e">
        <f>SUMIFS([1]ACSDT5Y2020.B08301_data_with_ov!AX$3:AX$1334,[1]ACSDT5Y2020.B08301_data_with_ov!$AS$3:$AS$1334,$B672)</f>
        <v>#VALUE!</v>
      </c>
      <c r="Q672" s="17" t="e">
        <f>SUMIFS([1]ACSDT5Y2020.B08301_data_with_ov!AY$3:AY$1334,[1]ACSDT5Y2020.B08301_data_with_ov!$AS$3:$AS$1334,$B672)</f>
        <v>#VALUE!</v>
      </c>
      <c r="R672" s="17" t="e">
        <f>SUMIFS([1]ACSDT5Y2020.B08301_data_with_ov!AZ$3:AZ$1334,[1]ACSDT5Y2020.B08301_data_with_ov!$AS$3:$AS$1334,$B672)</f>
        <v>#VALUE!</v>
      </c>
      <c r="S672" s="17" t="e">
        <f>SUMIFS([1]ACSDT5Y2020.B08301_data_with_ov!BA$3:BA$1334,[1]ACSDT5Y2020.B08301_data_with_ov!$AS$3:$AS$1334,$B672)</f>
        <v>#VALUE!</v>
      </c>
      <c r="T672" s="188">
        <v>0.11989370998291474</v>
      </c>
      <c r="U672" s="189" t="e">
        <f t="shared" si="43"/>
        <v>#VALUE!</v>
      </c>
      <c r="V672" s="188">
        <v>8.8377087137697999E-2</v>
      </c>
      <c r="W672" s="189" t="e">
        <f t="shared" si="40"/>
        <v>#VALUE!</v>
      </c>
      <c r="X672" s="188">
        <v>8.8377087137697999E-2</v>
      </c>
      <c r="Y672" s="189" t="e">
        <f t="shared" si="41"/>
        <v>#VALUE!</v>
      </c>
      <c r="Z672" s="188">
        <v>8.8377087137697999E-2</v>
      </c>
      <c r="AA672" s="189" t="e">
        <f t="shared" si="42"/>
        <v>#VALUE!</v>
      </c>
    </row>
    <row r="673" spans="1:27" x14ac:dyDescent="0.25">
      <c r="A673">
        <v>671600</v>
      </c>
      <c r="B673">
        <v>17031671600</v>
      </c>
      <c r="C673">
        <v>17031</v>
      </c>
      <c r="D673">
        <v>2010</v>
      </c>
      <c r="E673">
        <v>67</v>
      </c>
      <c r="F673">
        <v>4383827.6928122202</v>
      </c>
      <c r="G673" s="45">
        <v>0.15724818112991493</v>
      </c>
      <c r="H673" s="60" t="str">
        <f>_xlfn.IFNA(
INDEX('Community Areas'!B$2:B$78,MATCH($E673,'Community Areas'!$A$2:$A$78,0)),
"")</f>
        <v>WEST ENGLEWOOD</v>
      </c>
      <c r="I673" s="63" t="str">
        <f>_xlfn.IFNA(
INDEX('Community Areas'!C$2:C$78,MATCH($E673,'Community Areas'!$A$2:$A$78,0)),
"")</f>
        <v>4-A</v>
      </c>
      <c r="J673" s="63">
        <f>_xlfn.IFNA(
INDEX('Community Areas'!D$2:D$78,MATCH($E673,'Community Areas'!$A$2:$A$78,0)),
"")</f>
        <v>4</v>
      </c>
      <c r="K673" s="60" t="str">
        <f>_xlfn.IFNA(
INDEX('Community Areas'!E$2:E$78,MATCH($E673,'Community Areas'!$A$2:$A$78,0)),
"")</f>
        <v>SOUTHWEST</v>
      </c>
      <c r="L673" s="17" t="e">
        <f>SUMIFS([1]ACSDT5Y2020.B08301_data_with_ov!AT$3:AT$1334,[1]ACSDT5Y2020.B08301_data_with_ov!$AS$3:$AS$1334,$B673)</f>
        <v>#VALUE!</v>
      </c>
      <c r="M673" s="17" t="e">
        <f>SUMIFS([1]ACSDT5Y2020.B08301_data_with_ov!AU$3:AU$1334,[1]ACSDT5Y2020.B08301_data_with_ov!$AS$3:$AS$1334,$B673)</f>
        <v>#VALUE!</v>
      </c>
      <c r="N673" s="17" t="e">
        <f>SUMIFS([1]ACSDT5Y2020.B08301_data_with_ov!AV$3:AV$1334,[1]ACSDT5Y2020.B08301_data_with_ov!$AS$3:$AS$1334,$B673)</f>
        <v>#VALUE!</v>
      </c>
      <c r="O673" s="17" t="e">
        <f>SUMIFS([1]ACSDT5Y2020.B08301_data_with_ov!AW$3:AW$1334,[1]ACSDT5Y2020.B08301_data_with_ov!$AS$3:$AS$1334,$B673)</f>
        <v>#VALUE!</v>
      </c>
      <c r="P673" s="17" t="e">
        <f>SUMIFS([1]ACSDT5Y2020.B08301_data_with_ov!AX$3:AX$1334,[1]ACSDT5Y2020.B08301_data_with_ov!$AS$3:$AS$1334,$B673)</f>
        <v>#VALUE!</v>
      </c>
      <c r="Q673" s="17" t="e">
        <f>SUMIFS([1]ACSDT5Y2020.B08301_data_with_ov!AY$3:AY$1334,[1]ACSDT5Y2020.B08301_data_with_ov!$AS$3:$AS$1334,$B673)</f>
        <v>#VALUE!</v>
      </c>
      <c r="R673" s="17" t="e">
        <f>SUMIFS([1]ACSDT5Y2020.B08301_data_with_ov!AZ$3:AZ$1334,[1]ACSDT5Y2020.B08301_data_with_ov!$AS$3:$AS$1334,$B673)</f>
        <v>#VALUE!</v>
      </c>
      <c r="S673" s="17" t="e">
        <f>SUMIFS([1]ACSDT5Y2020.B08301_data_with_ov!BA$3:BA$1334,[1]ACSDT5Y2020.B08301_data_with_ov!$AS$3:$AS$1334,$B673)</f>
        <v>#VALUE!</v>
      </c>
      <c r="T673" s="188">
        <v>0.15653523086740703</v>
      </c>
      <c r="U673" s="189" t="e">
        <f t="shared" si="43"/>
        <v>#VALUE!</v>
      </c>
      <c r="V673" s="188">
        <v>0.15653523086740703</v>
      </c>
      <c r="W673" s="189" t="e">
        <f t="shared" si="40"/>
        <v>#VALUE!</v>
      </c>
      <c r="X673" s="188">
        <v>0.15653523086740703</v>
      </c>
      <c r="Y673" s="189" t="e">
        <f t="shared" si="41"/>
        <v>#VALUE!</v>
      </c>
      <c r="Z673" s="188">
        <v>0.15653523086740703</v>
      </c>
      <c r="AA673" s="189" t="e">
        <f t="shared" si="42"/>
        <v>#VALUE!</v>
      </c>
    </row>
    <row r="674" spans="1:27" x14ac:dyDescent="0.25">
      <c r="A674">
        <v>670500</v>
      </c>
      <c r="B674">
        <v>17031670500</v>
      </c>
      <c r="C674">
        <v>17031</v>
      </c>
      <c r="D674">
        <v>2010</v>
      </c>
      <c r="E674">
        <v>67</v>
      </c>
      <c r="F674">
        <v>7151230.3729286101</v>
      </c>
      <c r="G674" s="45">
        <v>0.25651509315199617</v>
      </c>
      <c r="H674" s="60" t="str">
        <f>_xlfn.IFNA(
INDEX('Community Areas'!B$2:B$78,MATCH($E674,'Community Areas'!$A$2:$A$78,0)),
"")</f>
        <v>WEST ENGLEWOOD</v>
      </c>
      <c r="I674" s="63" t="str">
        <f>_xlfn.IFNA(
INDEX('Community Areas'!C$2:C$78,MATCH($E674,'Community Areas'!$A$2:$A$78,0)),
"")</f>
        <v>4-A</v>
      </c>
      <c r="J674" s="63">
        <f>_xlfn.IFNA(
INDEX('Community Areas'!D$2:D$78,MATCH($E674,'Community Areas'!$A$2:$A$78,0)),
"")</f>
        <v>4</v>
      </c>
      <c r="K674" s="60" t="str">
        <f>_xlfn.IFNA(
INDEX('Community Areas'!E$2:E$78,MATCH($E674,'Community Areas'!$A$2:$A$78,0)),
"")</f>
        <v>SOUTHWEST</v>
      </c>
      <c r="L674" s="17" t="e">
        <f>SUMIFS([1]ACSDT5Y2020.B08301_data_with_ov!AT$3:AT$1334,[1]ACSDT5Y2020.B08301_data_with_ov!$AS$3:$AS$1334,$B674)</f>
        <v>#VALUE!</v>
      </c>
      <c r="M674" s="17" t="e">
        <f>SUMIFS([1]ACSDT5Y2020.B08301_data_with_ov!AU$3:AU$1334,[1]ACSDT5Y2020.B08301_data_with_ov!$AS$3:$AS$1334,$B674)</f>
        <v>#VALUE!</v>
      </c>
      <c r="N674" s="17" t="e">
        <f>SUMIFS([1]ACSDT5Y2020.B08301_data_with_ov!AV$3:AV$1334,[1]ACSDT5Y2020.B08301_data_with_ov!$AS$3:$AS$1334,$B674)</f>
        <v>#VALUE!</v>
      </c>
      <c r="O674" s="17" t="e">
        <f>SUMIFS([1]ACSDT5Y2020.B08301_data_with_ov!AW$3:AW$1334,[1]ACSDT5Y2020.B08301_data_with_ov!$AS$3:$AS$1334,$B674)</f>
        <v>#VALUE!</v>
      </c>
      <c r="P674" s="17" t="e">
        <f>SUMIFS([1]ACSDT5Y2020.B08301_data_with_ov!AX$3:AX$1334,[1]ACSDT5Y2020.B08301_data_with_ov!$AS$3:$AS$1334,$B674)</f>
        <v>#VALUE!</v>
      </c>
      <c r="Q674" s="17" t="e">
        <f>SUMIFS([1]ACSDT5Y2020.B08301_data_with_ov!AY$3:AY$1334,[1]ACSDT5Y2020.B08301_data_with_ov!$AS$3:$AS$1334,$B674)</f>
        <v>#VALUE!</v>
      </c>
      <c r="R674" s="17" t="e">
        <f>SUMIFS([1]ACSDT5Y2020.B08301_data_with_ov!AZ$3:AZ$1334,[1]ACSDT5Y2020.B08301_data_with_ov!$AS$3:$AS$1334,$B674)</f>
        <v>#VALUE!</v>
      </c>
      <c r="S674" s="17" t="e">
        <f>SUMIFS([1]ACSDT5Y2020.B08301_data_with_ov!BA$3:BA$1334,[1]ACSDT5Y2020.B08301_data_with_ov!$AS$3:$AS$1334,$B674)</f>
        <v>#VALUE!</v>
      </c>
      <c r="T674" s="188">
        <v>0.25651509533024386</v>
      </c>
      <c r="U674" s="189" t="e">
        <f t="shared" si="43"/>
        <v>#VALUE!</v>
      </c>
      <c r="V674" s="188">
        <v>0.25651509533024386</v>
      </c>
      <c r="W674" s="189" t="e">
        <f t="shared" si="40"/>
        <v>#VALUE!</v>
      </c>
      <c r="X674" s="188">
        <v>0.25651509533024386</v>
      </c>
      <c r="Y674" s="189" t="e">
        <f t="shared" si="41"/>
        <v>#VALUE!</v>
      </c>
      <c r="Z674" s="188">
        <v>0.25651509533024386</v>
      </c>
      <c r="AA674" s="189" t="e">
        <f t="shared" si="42"/>
        <v>#VALUE!</v>
      </c>
    </row>
    <row r="675" spans="1:27" x14ac:dyDescent="0.25">
      <c r="A675">
        <v>681200</v>
      </c>
      <c r="B675">
        <v>17031681200</v>
      </c>
      <c r="C675">
        <v>17031</v>
      </c>
      <c r="D675">
        <v>2010</v>
      </c>
      <c r="E675">
        <v>68</v>
      </c>
      <c r="F675">
        <v>8555877.8150699008</v>
      </c>
      <c r="G675" s="45">
        <v>0.30689988719115519</v>
      </c>
      <c r="H675" s="60" t="str">
        <f>_xlfn.IFNA(
INDEX('Community Areas'!B$2:B$78,MATCH($E675,'Community Areas'!$A$2:$A$78,0)),
"")</f>
        <v>ENGLEWOOD</v>
      </c>
      <c r="I675" s="63" t="str">
        <f>_xlfn.IFNA(
INDEX('Community Areas'!C$2:C$78,MATCH($E675,'Community Areas'!$A$2:$A$78,0)),
"")</f>
        <v>4-A</v>
      </c>
      <c r="J675" s="63">
        <f>_xlfn.IFNA(
INDEX('Community Areas'!D$2:D$78,MATCH($E675,'Community Areas'!$A$2:$A$78,0)),
"")</f>
        <v>4</v>
      </c>
      <c r="K675" s="60" t="str">
        <f>_xlfn.IFNA(
INDEX('Community Areas'!E$2:E$78,MATCH($E675,'Community Areas'!$A$2:$A$78,0)),
"")</f>
        <v>SOUTHWEST</v>
      </c>
      <c r="L675" s="17" t="e">
        <f>SUMIFS([1]ACSDT5Y2020.B08301_data_with_ov!AT$3:AT$1334,[1]ACSDT5Y2020.B08301_data_with_ov!$AS$3:$AS$1334,$B675)</f>
        <v>#VALUE!</v>
      </c>
      <c r="M675" s="17" t="e">
        <f>SUMIFS([1]ACSDT5Y2020.B08301_data_with_ov!AU$3:AU$1334,[1]ACSDT5Y2020.B08301_data_with_ov!$AS$3:$AS$1334,$B675)</f>
        <v>#VALUE!</v>
      </c>
      <c r="N675" s="17" t="e">
        <f>SUMIFS([1]ACSDT5Y2020.B08301_data_with_ov!AV$3:AV$1334,[1]ACSDT5Y2020.B08301_data_with_ov!$AS$3:$AS$1334,$B675)</f>
        <v>#VALUE!</v>
      </c>
      <c r="O675" s="17" t="e">
        <f>SUMIFS([1]ACSDT5Y2020.B08301_data_with_ov!AW$3:AW$1334,[1]ACSDT5Y2020.B08301_data_with_ov!$AS$3:$AS$1334,$B675)</f>
        <v>#VALUE!</v>
      </c>
      <c r="P675" s="17" t="e">
        <f>SUMIFS([1]ACSDT5Y2020.B08301_data_with_ov!AX$3:AX$1334,[1]ACSDT5Y2020.B08301_data_with_ov!$AS$3:$AS$1334,$B675)</f>
        <v>#VALUE!</v>
      </c>
      <c r="Q675" s="17" t="e">
        <f>SUMIFS([1]ACSDT5Y2020.B08301_data_with_ov!AY$3:AY$1334,[1]ACSDT5Y2020.B08301_data_with_ov!$AS$3:$AS$1334,$B675)</f>
        <v>#VALUE!</v>
      </c>
      <c r="R675" s="17" t="e">
        <f>SUMIFS([1]ACSDT5Y2020.B08301_data_with_ov!AZ$3:AZ$1334,[1]ACSDT5Y2020.B08301_data_with_ov!$AS$3:$AS$1334,$B675)</f>
        <v>#VALUE!</v>
      </c>
      <c r="S675" s="17" t="e">
        <f>SUMIFS([1]ACSDT5Y2020.B08301_data_with_ov!BA$3:BA$1334,[1]ACSDT5Y2020.B08301_data_with_ov!$AS$3:$AS$1334,$B675)</f>
        <v>#VALUE!</v>
      </c>
      <c r="T675" s="188">
        <v>0.30689989379926214</v>
      </c>
      <c r="U675" s="189" t="e">
        <f t="shared" si="43"/>
        <v>#VALUE!</v>
      </c>
      <c r="V675" s="188">
        <v>0.30689989379926214</v>
      </c>
      <c r="W675" s="189" t="e">
        <f t="shared" si="40"/>
        <v>#VALUE!</v>
      </c>
      <c r="X675" s="188">
        <v>0.30689989379926214</v>
      </c>
      <c r="Y675" s="189" t="e">
        <f t="shared" si="41"/>
        <v>#VALUE!</v>
      </c>
      <c r="Z675" s="188">
        <v>0.30689989379926214</v>
      </c>
      <c r="AA675" s="189" t="e">
        <f t="shared" si="42"/>
        <v>#VALUE!</v>
      </c>
    </row>
    <row r="676" spans="1:27" x14ac:dyDescent="0.25">
      <c r="A676">
        <v>681300</v>
      </c>
      <c r="B676">
        <v>17031681300</v>
      </c>
      <c r="C676">
        <v>17031</v>
      </c>
      <c r="D676">
        <v>2010</v>
      </c>
      <c r="E676">
        <v>68</v>
      </c>
      <c r="F676">
        <v>7793332.8670832198</v>
      </c>
      <c r="G676" s="45">
        <v>0.27954735089112787</v>
      </c>
      <c r="H676" s="60" t="str">
        <f>_xlfn.IFNA(
INDEX('Community Areas'!B$2:B$78,MATCH($E676,'Community Areas'!$A$2:$A$78,0)),
"")</f>
        <v>ENGLEWOOD</v>
      </c>
      <c r="I676" s="63" t="str">
        <f>_xlfn.IFNA(
INDEX('Community Areas'!C$2:C$78,MATCH($E676,'Community Areas'!$A$2:$A$78,0)),
"")</f>
        <v>4-A</v>
      </c>
      <c r="J676" s="63">
        <f>_xlfn.IFNA(
INDEX('Community Areas'!D$2:D$78,MATCH($E676,'Community Areas'!$A$2:$A$78,0)),
"")</f>
        <v>4</v>
      </c>
      <c r="K676" s="60" t="str">
        <f>_xlfn.IFNA(
INDEX('Community Areas'!E$2:E$78,MATCH($E676,'Community Areas'!$A$2:$A$78,0)),
"")</f>
        <v>SOUTHWEST</v>
      </c>
      <c r="L676" s="17" t="e">
        <f>SUMIFS([1]ACSDT5Y2020.B08301_data_with_ov!AT$3:AT$1334,[1]ACSDT5Y2020.B08301_data_with_ov!$AS$3:$AS$1334,$B676)</f>
        <v>#VALUE!</v>
      </c>
      <c r="M676" s="17" t="e">
        <f>SUMIFS([1]ACSDT5Y2020.B08301_data_with_ov!AU$3:AU$1334,[1]ACSDT5Y2020.B08301_data_with_ov!$AS$3:$AS$1334,$B676)</f>
        <v>#VALUE!</v>
      </c>
      <c r="N676" s="17" t="e">
        <f>SUMIFS([1]ACSDT5Y2020.B08301_data_with_ov!AV$3:AV$1334,[1]ACSDT5Y2020.B08301_data_with_ov!$AS$3:$AS$1334,$B676)</f>
        <v>#VALUE!</v>
      </c>
      <c r="O676" s="17" t="e">
        <f>SUMIFS([1]ACSDT5Y2020.B08301_data_with_ov!AW$3:AW$1334,[1]ACSDT5Y2020.B08301_data_with_ov!$AS$3:$AS$1334,$B676)</f>
        <v>#VALUE!</v>
      </c>
      <c r="P676" s="17" t="e">
        <f>SUMIFS([1]ACSDT5Y2020.B08301_data_with_ov!AX$3:AX$1334,[1]ACSDT5Y2020.B08301_data_with_ov!$AS$3:$AS$1334,$B676)</f>
        <v>#VALUE!</v>
      </c>
      <c r="Q676" s="17" t="e">
        <f>SUMIFS([1]ACSDT5Y2020.B08301_data_with_ov!AY$3:AY$1334,[1]ACSDT5Y2020.B08301_data_with_ov!$AS$3:$AS$1334,$B676)</f>
        <v>#VALUE!</v>
      </c>
      <c r="R676" s="17" t="e">
        <f>SUMIFS([1]ACSDT5Y2020.B08301_data_with_ov!AZ$3:AZ$1334,[1]ACSDT5Y2020.B08301_data_with_ov!$AS$3:$AS$1334,$B676)</f>
        <v>#VALUE!</v>
      </c>
      <c r="S676" s="17" t="e">
        <f>SUMIFS([1]ACSDT5Y2020.B08301_data_with_ov!BA$3:BA$1334,[1]ACSDT5Y2020.B08301_data_with_ov!$AS$3:$AS$1334,$B676)</f>
        <v>#VALUE!</v>
      </c>
      <c r="T676" s="188">
        <v>0.27954735373486855</v>
      </c>
      <c r="U676" s="189" t="e">
        <f t="shared" si="43"/>
        <v>#VALUE!</v>
      </c>
      <c r="V676" s="188">
        <v>0.27954735373486855</v>
      </c>
      <c r="W676" s="189" t="e">
        <f t="shared" si="40"/>
        <v>#VALUE!</v>
      </c>
      <c r="X676" s="188">
        <v>0.27954735373486855</v>
      </c>
      <c r="Y676" s="189" t="e">
        <f t="shared" si="41"/>
        <v>#VALUE!</v>
      </c>
      <c r="Z676" s="188">
        <v>0.27954735373486855</v>
      </c>
      <c r="AA676" s="189" t="e">
        <f t="shared" si="42"/>
        <v>#VALUE!</v>
      </c>
    </row>
    <row r="677" spans="1:27" x14ac:dyDescent="0.25">
      <c r="A677">
        <v>834600</v>
      </c>
      <c r="B677">
        <v>17031834600</v>
      </c>
      <c r="C677">
        <v>17031</v>
      </c>
      <c r="D677">
        <v>2010</v>
      </c>
      <c r="E677">
        <v>68</v>
      </c>
      <c r="F677">
        <v>16904459.261537202</v>
      </c>
      <c r="G677" s="45">
        <v>0.60636404031569968</v>
      </c>
      <c r="H677" s="60" t="str">
        <f>_xlfn.IFNA(
INDEX('Community Areas'!B$2:B$78,MATCH($E677,'Community Areas'!$A$2:$A$78,0)),
"")</f>
        <v>ENGLEWOOD</v>
      </c>
      <c r="I677" s="63" t="str">
        <f>_xlfn.IFNA(
INDEX('Community Areas'!C$2:C$78,MATCH($E677,'Community Areas'!$A$2:$A$78,0)),
"")</f>
        <v>4-A</v>
      </c>
      <c r="J677" s="63">
        <f>_xlfn.IFNA(
INDEX('Community Areas'!D$2:D$78,MATCH($E677,'Community Areas'!$A$2:$A$78,0)),
"")</f>
        <v>4</v>
      </c>
      <c r="K677" s="60" t="str">
        <f>_xlfn.IFNA(
INDEX('Community Areas'!E$2:E$78,MATCH($E677,'Community Areas'!$A$2:$A$78,0)),
"")</f>
        <v>SOUTHWEST</v>
      </c>
      <c r="L677" s="17" t="e">
        <f>SUMIFS([1]ACSDT5Y2020.B08301_data_with_ov!AT$3:AT$1334,[1]ACSDT5Y2020.B08301_data_with_ov!$AS$3:$AS$1334,$B677)</f>
        <v>#VALUE!</v>
      </c>
      <c r="M677" s="17" t="e">
        <f>SUMIFS([1]ACSDT5Y2020.B08301_data_with_ov!AU$3:AU$1334,[1]ACSDT5Y2020.B08301_data_with_ov!$AS$3:$AS$1334,$B677)</f>
        <v>#VALUE!</v>
      </c>
      <c r="N677" s="17" t="e">
        <f>SUMIFS([1]ACSDT5Y2020.B08301_data_with_ov!AV$3:AV$1334,[1]ACSDT5Y2020.B08301_data_with_ov!$AS$3:$AS$1334,$B677)</f>
        <v>#VALUE!</v>
      </c>
      <c r="O677" s="17" t="e">
        <f>SUMIFS([1]ACSDT5Y2020.B08301_data_with_ov!AW$3:AW$1334,[1]ACSDT5Y2020.B08301_data_with_ov!$AS$3:$AS$1334,$B677)</f>
        <v>#VALUE!</v>
      </c>
      <c r="P677" s="17" t="e">
        <f>SUMIFS([1]ACSDT5Y2020.B08301_data_with_ov!AX$3:AX$1334,[1]ACSDT5Y2020.B08301_data_with_ov!$AS$3:$AS$1334,$B677)</f>
        <v>#VALUE!</v>
      </c>
      <c r="Q677" s="17" t="e">
        <f>SUMIFS([1]ACSDT5Y2020.B08301_data_with_ov!AY$3:AY$1334,[1]ACSDT5Y2020.B08301_data_with_ov!$AS$3:$AS$1334,$B677)</f>
        <v>#VALUE!</v>
      </c>
      <c r="R677" s="17" t="e">
        <f>SUMIFS([1]ACSDT5Y2020.B08301_data_with_ov!AZ$3:AZ$1334,[1]ACSDT5Y2020.B08301_data_with_ov!$AS$3:$AS$1334,$B677)</f>
        <v>#VALUE!</v>
      </c>
      <c r="S677" s="17" t="e">
        <f>SUMIFS([1]ACSDT5Y2020.B08301_data_with_ov!BA$3:BA$1334,[1]ACSDT5Y2020.B08301_data_with_ov!$AS$3:$AS$1334,$B677)</f>
        <v>#VALUE!</v>
      </c>
      <c r="T677" s="188">
        <v>0.25054263168423796</v>
      </c>
      <c r="U677" s="189" t="e">
        <f t="shared" si="43"/>
        <v>#VALUE!</v>
      </c>
      <c r="V677" s="188">
        <v>0.25054263168423796</v>
      </c>
      <c r="W677" s="189" t="e">
        <f t="shared" si="40"/>
        <v>#VALUE!</v>
      </c>
      <c r="X677" s="188">
        <v>0.25054263168423796</v>
      </c>
      <c r="Y677" s="189" t="e">
        <f t="shared" si="41"/>
        <v>#VALUE!</v>
      </c>
      <c r="Z677" s="188">
        <v>0.25054263168423796</v>
      </c>
      <c r="AA677" s="189" t="e">
        <f t="shared" si="42"/>
        <v>#VALUE!</v>
      </c>
    </row>
    <row r="678" spans="1:27" x14ac:dyDescent="0.25">
      <c r="A678">
        <v>834700</v>
      </c>
      <c r="B678">
        <v>17031834700</v>
      </c>
      <c r="C678">
        <v>17031</v>
      </c>
      <c r="D678">
        <v>2010</v>
      </c>
      <c r="E678">
        <v>68</v>
      </c>
      <c r="F678">
        <v>6986422.5574230095</v>
      </c>
      <c r="G678" s="45">
        <v>0.25060342621610315</v>
      </c>
      <c r="H678" s="60" t="str">
        <f>_xlfn.IFNA(
INDEX('Community Areas'!B$2:B$78,MATCH($E678,'Community Areas'!$A$2:$A$78,0)),
"")</f>
        <v>ENGLEWOOD</v>
      </c>
      <c r="I678" s="63" t="str">
        <f>_xlfn.IFNA(
INDEX('Community Areas'!C$2:C$78,MATCH($E678,'Community Areas'!$A$2:$A$78,0)),
"")</f>
        <v>4-A</v>
      </c>
      <c r="J678" s="63">
        <f>_xlfn.IFNA(
INDEX('Community Areas'!D$2:D$78,MATCH($E678,'Community Areas'!$A$2:$A$78,0)),
"")</f>
        <v>4</v>
      </c>
      <c r="K678" s="60" t="str">
        <f>_xlfn.IFNA(
INDEX('Community Areas'!E$2:E$78,MATCH($E678,'Community Areas'!$A$2:$A$78,0)),
"")</f>
        <v>SOUTHWEST</v>
      </c>
      <c r="L678" s="17" t="e">
        <f>SUMIFS([1]ACSDT5Y2020.B08301_data_with_ov!AT$3:AT$1334,[1]ACSDT5Y2020.B08301_data_with_ov!$AS$3:$AS$1334,$B678)</f>
        <v>#VALUE!</v>
      </c>
      <c r="M678" s="17" t="e">
        <f>SUMIFS([1]ACSDT5Y2020.B08301_data_with_ov!AU$3:AU$1334,[1]ACSDT5Y2020.B08301_data_with_ov!$AS$3:$AS$1334,$B678)</f>
        <v>#VALUE!</v>
      </c>
      <c r="N678" s="17" t="e">
        <f>SUMIFS([1]ACSDT5Y2020.B08301_data_with_ov!AV$3:AV$1334,[1]ACSDT5Y2020.B08301_data_with_ov!$AS$3:$AS$1334,$B678)</f>
        <v>#VALUE!</v>
      </c>
      <c r="O678" s="17" t="e">
        <f>SUMIFS([1]ACSDT5Y2020.B08301_data_with_ov!AW$3:AW$1334,[1]ACSDT5Y2020.B08301_data_with_ov!$AS$3:$AS$1334,$B678)</f>
        <v>#VALUE!</v>
      </c>
      <c r="P678" s="17" t="e">
        <f>SUMIFS([1]ACSDT5Y2020.B08301_data_with_ov!AX$3:AX$1334,[1]ACSDT5Y2020.B08301_data_with_ov!$AS$3:$AS$1334,$B678)</f>
        <v>#VALUE!</v>
      </c>
      <c r="Q678" s="17" t="e">
        <f>SUMIFS([1]ACSDT5Y2020.B08301_data_with_ov!AY$3:AY$1334,[1]ACSDT5Y2020.B08301_data_with_ov!$AS$3:$AS$1334,$B678)</f>
        <v>#VALUE!</v>
      </c>
      <c r="R678" s="17" t="e">
        <f>SUMIFS([1]ACSDT5Y2020.B08301_data_with_ov!AZ$3:AZ$1334,[1]ACSDT5Y2020.B08301_data_with_ov!$AS$3:$AS$1334,$B678)</f>
        <v>#VALUE!</v>
      </c>
      <c r="S678" s="17" t="e">
        <f>SUMIFS([1]ACSDT5Y2020.B08301_data_with_ov!BA$3:BA$1334,[1]ACSDT5Y2020.B08301_data_with_ov!$AS$3:$AS$1334,$B678)</f>
        <v>#VALUE!</v>
      </c>
      <c r="T678" s="188">
        <v>0.25060342457543833</v>
      </c>
      <c r="U678" s="189" t="e">
        <f t="shared" si="43"/>
        <v>#VALUE!</v>
      </c>
      <c r="V678" s="188">
        <v>0.25060342457543833</v>
      </c>
      <c r="W678" s="189" t="e">
        <f t="shared" si="40"/>
        <v>#VALUE!</v>
      </c>
      <c r="X678" s="188">
        <v>0.25060342457543833</v>
      </c>
      <c r="Y678" s="189" t="e">
        <f t="shared" si="41"/>
        <v>#VALUE!</v>
      </c>
      <c r="Z678" s="188">
        <v>0.25060342457543833</v>
      </c>
      <c r="AA678" s="189" t="e">
        <f t="shared" si="42"/>
        <v>#VALUE!</v>
      </c>
    </row>
    <row r="679" spans="1:27" x14ac:dyDescent="0.25">
      <c r="A679">
        <v>834800</v>
      </c>
      <c r="B679">
        <v>17031834800</v>
      </c>
      <c r="C679">
        <v>17031</v>
      </c>
      <c r="D679">
        <v>2010</v>
      </c>
      <c r="E679">
        <v>68</v>
      </c>
      <c r="F679">
        <v>6457263.8606412299</v>
      </c>
      <c r="G679" s="45">
        <v>0.23162246974866671</v>
      </c>
      <c r="H679" s="60" t="str">
        <f>_xlfn.IFNA(
INDEX('Community Areas'!B$2:B$78,MATCH($E679,'Community Areas'!$A$2:$A$78,0)),
"")</f>
        <v>ENGLEWOOD</v>
      </c>
      <c r="I679" s="63" t="str">
        <f>_xlfn.IFNA(
INDEX('Community Areas'!C$2:C$78,MATCH($E679,'Community Areas'!$A$2:$A$78,0)),
"")</f>
        <v>4-A</v>
      </c>
      <c r="J679" s="63">
        <f>_xlfn.IFNA(
INDEX('Community Areas'!D$2:D$78,MATCH($E679,'Community Areas'!$A$2:$A$78,0)),
"")</f>
        <v>4</v>
      </c>
      <c r="K679" s="60" t="str">
        <f>_xlfn.IFNA(
INDEX('Community Areas'!E$2:E$78,MATCH($E679,'Community Areas'!$A$2:$A$78,0)),
"")</f>
        <v>SOUTHWEST</v>
      </c>
      <c r="L679" s="17" t="e">
        <f>SUMIFS([1]ACSDT5Y2020.B08301_data_with_ov!AT$3:AT$1334,[1]ACSDT5Y2020.B08301_data_with_ov!$AS$3:$AS$1334,$B679)</f>
        <v>#VALUE!</v>
      </c>
      <c r="M679" s="17" t="e">
        <f>SUMIFS([1]ACSDT5Y2020.B08301_data_with_ov!AU$3:AU$1334,[1]ACSDT5Y2020.B08301_data_with_ov!$AS$3:$AS$1334,$B679)</f>
        <v>#VALUE!</v>
      </c>
      <c r="N679" s="17" t="e">
        <f>SUMIFS([1]ACSDT5Y2020.B08301_data_with_ov!AV$3:AV$1334,[1]ACSDT5Y2020.B08301_data_with_ov!$AS$3:$AS$1334,$B679)</f>
        <v>#VALUE!</v>
      </c>
      <c r="O679" s="17" t="e">
        <f>SUMIFS([1]ACSDT5Y2020.B08301_data_with_ov!AW$3:AW$1334,[1]ACSDT5Y2020.B08301_data_with_ov!$AS$3:$AS$1334,$B679)</f>
        <v>#VALUE!</v>
      </c>
      <c r="P679" s="17" t="e">
        <f>SUMIFS([1]ACSDT5Y2020.B08301_data_with_ov!AX$3:AX$1334,[1]ACSDT5Y2020.B08301_data_with_ov!$AS$3:$AS$1334,$B679)</f>
        <v>#VALUE!</v>
      </c>
      <c r="Q679" s="17" t="e">
        <f>SUMIFS([1]ACSDT5Y2020.B08301_data_with_ov!AY$3:AY$1334,[1]ACSDT5Y2020.B08301_data_with_ov!$AS$3:$AS$1334,$B679)</f>
        <v>#VALUE!</v>
      </c>
      <c r="R679" s="17" t="e">
        <f>SUMIFS([1]ACSDT5Y2020.B08301_data_with_ov!AZ$3:AZ$1334,[1]ACSDT5Y2020.B08301_data_with_ov!$AS$3:$AS$1334,$B679)</f>
        <v>#VALUE!</v>
      </c>
      <c r="S679" s="17" t="e">
        <f>SUMIFS([1]ACSDT5Y2020.B08301_data_with_ov!BA$3:BA$1334,[1]ACSDT5Y2020.B08301_data_with_ov!$AS$3:$AS$1334,$B679)</f>
        <v>#VALUE!</v>
      </c>
      <c r="T679" s="188">
        <v>0.231622468467378</v>
      </c>
      <c r="U679" s="189" t="e">
        <f t="shared" si="43"/>
        <v>#VALUE!</v>
      </c>
      <c r="V679" s="188">
        <v>0.231622468467378</v>
      </c>
      <c r="W679" s="189" t="e">
        <f t="shared" si="40"/>
        <v>#VALUE!</v>
      </c>
      <c r="X679" s="188">
        <v>0.231622468467378</v>
      </c>
      <c r="Y679" s="189" t="e">
        <f t="shared" si="41"/>
        <v>#VALUE!</v>
      </c>
      <c r="Z679" s="188">
        <v>0.231622468467378</v>
      </c>
      <c r="AA679" s="189" t="e">
        <f t="shared" si="42"/>
        <v>#VALUE!</v>
      </c>
    </row>
    <row r="680" spans="1:27" x14ac:dyDescent="0.25">
      <c r="A680">
        <v>681100</v>
      </c>
      <c r="B680">
        <v>17031681100</v>
      </c>
      <c r="C680">
        <v>17031</v>
      </c>
      <c r="D680">
        <v>2010</v>
      </c>
      <c r="E680">
        <v>68</v>
      </c>
      <c r="F680">
        <v>7022808.0994299604</v>
      </c>
      <c r="G680" s="45">
        <v>0.25190857794672433</v>
      </c>
      <c r="H680" s="60" t="str">
        <f>_xlfn.IFNA(
INDEX('Community Areas'!B$2:B$78,MATCH($E680,'Community Areas'!$A$2:$A$78,0)),
"")</f>
        <v>ENGLEWOOD</v>
      </c>
      <c r="I680" s="63" t="str">
        <f>_xlfn.IFNA(
INDEX('Community Areas'!C$2:C$78,MATCH($E680,'Community Areas'!$A$2:$A$78,0)),
"")</f>
        <v>4-A</v>
      </c>
      <c r="J680" s="63">
        <f>_xlfn.IFNA(
INDEX('Community Areas'!D$2:D$78,MATCH($E680,'Community Areas'!$A$2:$A$78,0)),
"")</f>
        <v>4</v>
      </c>
      <c r="K680" s="60" t="str">
        <f>_xlfn.IFNA(
INDEX('Community Areas'!E$2:E$78,MATCH($E680,'Community Areas'!$A$2:$A$78,0)),
"")</f>
        <v>SOUTHWEST</v>
      </c>
      <c r="L680" s="17" t="e">
        <f>SUMIFS([1]ACSDT5Y2020.B08301_data_with_ov!AT$3:AT$1334,[1]ACSDT5Y2020.B08301_data_with_ov!$AS$3:$AS$1334,$B680)</f>
        <v>#VALUE!</v>
      </c>
      <c r="M680" s="17" t="e">
        <f>SUMIFS([1]ACSDT5Y2020.B08301_data_with_ov!AU$3:AU$1334,[1]ACSDT5Y2020.B08301_data_with_ov!$AS$3:$AS$1334,$B680)</f>
        <v>#VALUE!</v>
      </c>
      <c r="N680" s="17" t="e">
        <f>SUMIFS([1]ACSDT5Y2020.B08301_data_with_ov!AV$3:AV$1334,[1]ACSDT5Y2020.B08301_data_with_ov!$AS$3:$AS$1334,$B680)</f>
        <v>#VALUE!</v>
      </c>
      <c r="O680" s="17" t="e">
        <f>SUMIFS([1]ACSDT5Y2020.B08301_data_with_ov!AW$3:AW$1334,[1]ACSDT5Y2020.B08301_data_with_ov!$AS$3:$AS$1334,$B680)</f>
        <v>#VALUE!</v>
      </c>
      <c r="P680" s="17" t="e">
        <f>SUMIFS([1]ACSDT5Y2020.B08301_data_with_ov!AX$3:AX$1334,[1]ACSDT5Y2020.B08301_data_with_ov!$AS$3:$AS$1334,$B680)</f>
        <v>#VALUE!</v>
      </c>
      <c r="Q680" s="17" t="e">
        <f>SUMIFS([1]ACSDT5Y2020.B08301_data_with_ov!AY$3:AY$1334,[1]ACSDT5Y2020.B08301_data_with_ov!$AS$3:$AS$1334,$B680)</f>
        <v>#VALUE!</v>
      </c>
      <c r="R680" s="17" t="e">
        <f>SUMIFS([1]ACSDT5Y2020.B08301_data_with_ov!AZ$3:AZ$1334,[1]ACSDT5Y2020.B08301_data_with_ov!$AS$3:$AS$1334,$B680)</f>
        <v>#VALUE!</v>
      </c>
      <c r="S680" s="17" t="e">
        <f>SUMIFS([1]ACSDT5Y2020.B08301_data_with_ov!BA$3:BA$1334,[1]ACSDT5Y2020.B08301_data_with_ov!$AS$3:$AS$1334,$B680)</f>
        <v>#VALUE!</v>
      </c>
      <c r="T680" s="188">
        <v>0.25190532658956899</v>
      </c>
      <c r="U680" s="189" t="e">
        <f t="shared" si="43"/>
        <v>#VALUE!</v>
      </c>
      <c r="V680" s="188">
        <v>0.25190532658956899</v>
      </c>
      <c r="W680" s="189" t="e">
        <f t="shared" si="40"/>
        <v>#VALUE!</v>
      </c>
      <c r="X680" s="188">
        <v>0.25190532658956899</v>
      </c>
      <c r="Y680" s="189" t="e">
        <f t="shared" si="41"/>
        <v>#VALUE!</v>
      </c>
      <c r="Z680" s="188">
        <v>0.25190532658956899</v>
      </c>
      <c r="AA680" s="189" t="e">
        <f t="shared" si="42"/>
        <v>#VALUE!</v>
      </c>
    </row>
    <row r="681" spans="1:27" x14ac:dyDescent="0.25">
      <c r="A681">
        <v>681000</v>
      </c>
      <c r="B681">
        <v>17031681000</v>
      </c>
      <c r="C681">
        <v>17031</v>
      </c>
      <c r="D681">
        <v>2010</v>
      </c>
      <c r="E681">
        <v>68</v>
      </c>
      <c r="F681">
        <v>7014901.0639862204</v>
      </c>
      <c r="G681" s="45">
        <v>0.25162495207709984</v>
      </c>
      <c r="H681" s="60" t="str">
        <f>_xlfn.IFNA(
INDEX('Community Areas'!B$2:B$78,MATCH($E681,'Community Areas'!$A$2:$A$78,0)),
"")</f>
        <v>ENGLEWOOD</v>
      </c>
      <c r="I681" s="63" t="str">
        <f>_xlfn.IFNA(
INDEX('Community Areas'!C$2:C$78,MATCH($E681,'Community Areas'!$A$2:$A$78,0)),
"")</f>
        <v>4-A</v>
      </c>
      <c r="J681" s="63">
        <f>_xlfn.IFNA(
INDEX('Community Areas'!D$2:D$78,MATCH($E681,'Community Areas'!$A$2:$A$78,0)),
"")</f>
        <v>4</v>
      </c>
      <c r="K681" s="60" t="str">
        <f>_xlfn.IFNA(
INDEX('Community Areas'!E$2:E$78,MATCH($E681,'Community Areas'!$A$2:$A$78,0)),
"")</f>
        <v>SOUTHWEST</v>
      </c>
      <c r="L681" s="17" t="e">
        <f>SUMIFS([1]ACSDT5Y2020.B08301_data_with_ov!AT$3:AT$1334,[1]ACSDT5Y2020.B08301_data_with_ov!$AS$3:$AS$1334,$B681)</f>
        <v>#VALUE!</v>
      </c>
      <c r="M681" s="17" t="e">
        <f>SUMIFS([1]ACSDT5Y2020.B08301_data_with_ov!AU$3:AU$1334,[1]ACSDT5Y2020.B08301_data_with_ov!$AS$3:$AS$1334,$B681)</f>
        <v>#VALUE!</v>
      </c>
      <c r="N681" s="17" t="e">
        <f>SUMIFS([1]ACSDT5Y2020.B08301_data_with_ov!AV$3:AV$1334,[1]ACSDT5Y2020.B08301_data_with_ov!$AS$3:$AS$1334,$B681)</f>
        <v>#VALUE!</v>
      </c>
      <c r="O681" s="17" t="e">
        <f>SUMIFS([1]ACSDT5Y2020.B08301_data_with_ov!AW$3:AW$1334,[1]ACSDT5Y2020.B08301_data_with_ov!$AS$3:$AS$1334,$B681)</f>
        <v>#VALUE!</v>
      </c>
      <c r="P681" s="17" t="e">
        <f>SUMIFS([1]ACSDT5Y2020.B08301_data_with_ov!AX$3:AX$1334,[1]ACSDT5Y2020.B08301_data_with_ov!$AS$3:$AS$1334,$B681)</f>
        <v>#VALUE!</v>
      </c>
      <c r="Q681" s="17" t="e">
        <f>SUMIFS([1]ACSDT5Y2020.B08301_data_with_ov!AY$3:AY$1334,[1]ACSDT5Y2020.B08301_data_with_ov!$AS$3:$AS$1334,$B681)</f>
        <v>#VALUE!</v>
      </c>
      <c r="R681" s="17" t="e">
        <f>SUMIFS([1]ACSDT5Y2020.B08301_data_with_ov!AZ$3:AZ$1334,[1]ACSDT5Y2020.B08301_data_with_ov!$AS$3:$AS$1334,$B681)</f>
        <v>#VALUE!</v>
      </c>
      <c r="S681" s="17" t="e">
        <f>SUMIFS([1]ACSDT5Y2020.B08301_data_with_ov!BA$3:BA$1334,[1]ACSDT5Y2020.B08301_data_with_ov!$AS$3:$AS$1334,$B681)</f>
        <v>#VALUE!</v>
      </c>
      <c r="T681" s="188">
        <v>0.25162054556519992</v>
      </c>
      <c r="U681" s="189" t="e">
        <f t="shared" si="43"/>
        <v>#VALUE!</v>
      </c>
      <c r="V681" s="188">
        <v>0.25162054556519992</v>
      </c>
      <c r="W681" s="189" t="e">
        <f t="shared" si="40"/>
        <v>#VALUE!</v>
      </c>
      <c r="X681" s="188">
        <v>0.25162054556519992</v>
      </c>
      <c r="Y681" s="189" t="e">
        <f t="shared" si="41"/>
        <v>#VALUE!</v>
      </c>
      <c r="Z681" s="188">
        <v>0.25162054556519992</v>
      </c>
      <c r="AA681" s="189" t="e">
        <f t="shared" si="42"/>
        <v>#VALUE!</v>
      </c>
    </row>
    <row r="682" spans="1:27" x14ac:dyDescent="0.25">
      <c r="A682">
        <v>680900</v>
      </c>
      <c r="B682">
        <v>17031680900</v>
      </c>
      <c r="C682">
        <v>17031</v>
      </c>
      <c r="D682">
        <v>2010</v>
      </c>
      <c r="E682">
        <v>68</v>
      </c>
      <c r="F682">
        <v>11126226.4499486</v>
      </c>
      <c r="G682" s="45">
        <v>0.39909845794409288</v>
      </c>
      <c r="H682" s="60" t="str">
        <f>_xlfn.IFNA(
INDEX('Community Areas'!B$2:B$78,MATCH($E682,'Community Areas'!$A$2:$A$78,0)),
"")</f>
        <v>ENGLEWOOD</v>
      </c>
      <c r="I682" s="63" t="str">
        <f>_xlfn.IFNA(
INDEX('Community Areas'!C$2:C$78,MATCH($E682,'Community Areas'!$A$2:$A$78,0)),
"")</f>
        <v>4-A</v>
      </c>
      <c r="J682" s="63">
        <f>_xlfn.IFNA(
INDEX('Community Areas'!D$2:D$78,MATCH($E682,'Community Areas'!$A$2:$A$78,0)),
"")</f>
        <v>4</v>
      </c>
      <c r="K682" s="60" t="str">
        <f>_xlfn.IFNA(
INDEX('Community Areas'!E$2:E$78,MATCH($E682,'Community Areas'!$A$2:$A$78,0)),
"")</f>
        <v>SOUTHWEST</v>
      </c>
      <c r="L682" s="17" t="e">
        <f>SUMIFS([1]ACSDT5Y2020.B08301_data_with_ov!AT$3:AT$1334,[1]ACSDT5Y2020.B08301_data_with_ov!$AS$3:$AS$1334,$B682)</f>
        <v>#VALUE!</v>
      </c>
      <c r="M682" s="17" t="e">
        <f>SUMIFS([1]ACSDT5Y2020.B08301_data_with_ov!AU$3:AU$1334,[1]ACSDT5Y2020.B08301_data_with_ov!$AS$3:$AS$1334,$B682)</f>
        <v>#VALUE!</v>
      </c>
      <c r="N682" s="17" t="e">
        <f>SUMIFS([1]ACSDT5Y2020.B08301_data_with_ov!AV$3:AV$1334,[1]ACSDT5Y2020.B08301_data_with_ov!$AS$3:$AS$1334,$B682)</f>
        <v>#VALUE!</v>
      </c>
      <c r="O682" s="17" t="e">
        <f>SUMIFS([1]ACSDT5Y2020.B08301_data_with_ov!AW$3:AW$1334,[1]ACSDT5Y2020.B08301_data_with_ov!$AS$3:$AS$1334,$B682)</f>
        <v>#VALUE!</v>
      </c>
      <c r="P682" s="17" t="e">
        <f>SUMIFS([1]ACSDT5Y2020.B08301_data_with_ov!AX$3:AX$1334,[1]ACSDT5Y2020.B08301_data_with_ov!$AS$3:$AS$1334,$B682)</f>
        <v>#VALUE!</v>
      </c>
      <c r="Q682" s="17" t="e">
        <f>SUMIFS([1]ACSDT5Y2020.B08301_data_with_ov!AY$3:AY$1334,[1]ACSDT5Y2020.B08301_data_with_ov!$AS$3:$AS$1334,$B682)</f>
        <v>#VALUE!</v>
      </c>
      <c r="R682" s="17" t="e">
        <f>SUMIFS([1]ACSDT5Y2020.B08301_data_with_ov!AZ$3:AZ$1334,[1]ACSDT5Y2020.B08301_data_with_ov!$AS$3:$AS$1334,$B682)</f>
        <v>#VALUE!</v>
      </c>
      <c r="S682" s="17" t="e">
        <f>SUMIFS([1]ACSDT5Y2020.B08301_data_with_ov!BA$3:BA$1334,[1]ACSDT5Y2020.B08301_data_with_ov!$AS$3:$AS$1334,$B682)</f>
        <v>#VALUE!</v>
      </c>
      <c r="T682" s="188">
        <v>0.39849529800762601</v>
      </c>
      <c r="U682" s="189" t="e">
        <f t="shared" si="43"/>
        <v>#VALUE!</v>
      </c>
      <c r="V682" s="188">
        <v>0.39849529800762601</v>
      </c>
      <c r="W682" s="189" t="e">
        <f t="shared" si="40"/>
        <v>#VALUE!</v>
      </c>
      <c r="X682" s="188">
        <v>0.39849529800762601</v>
      </c>
      <c r="Y682" s="189" t="e">
        <f t="shared" si="41"/>
        <v>#VALUE!</v>
      </c>
      <c r="Z682" s="188">
        <v>0.39849529800762601</v>
      </c>
      <c r="AA682" s="189" t="e">
        <f t="shared" si="42"/>
        <v>#VALUE!</v>
      </c>
    </row>
    <row r="683" spans="1:27" x14ac:dyDescent="0.25">
      <c r="A683">
        <v>680600</v>
      </c>
      <c r="B683">
        <v>17031680600</v>
      </c>
      <c r="C683">
        <v>17031</v>
      </c>
      <c r="D683">
        <v>2010</v>
      </c>
      <c r="E683">
        <v>68</v>
      </c>
      <c r="F683">
        <v>3514234.8351328401</v>
      </c>
      <c r="G683" s="45">
        <v>0.1260558294282613</v>
      </c>
      <c r="H683" s="60" t="str">
        <f>_xlfn.IFNA(
INDEX('Community Areas'!B$2:B$78,MATCH($E683,'Community Areas'!$A$2:$A$78,0)),
"")</f>
        <v>ENGLEWOOD</v>
      </c>
      <c r="I683" s="63" t="str">
        <f>_xlfn.IFNA(
INDEX('Community Areas'!C$2:C$78,MATCH($E683,'Community Areas'!$A$2:$A$78,0)),
"")</f>
        <v>4-A</v>
      </c>
      <c r="J683" s="63">
        <f>_xlfn.IFNA(
INDEX('Community Areas'!D$2:D$78,MATCH($E683,'Community Areas'!$A$2:$A$78,0)),
"")</f>
        <v>4</v>
      </c>
      <c r="K683" s="60" t="str">
        <f>_xlfn.IFNA(
INDEX('Community Areas'!E$2:E$78,MATCH($E683,'Community Areas'!$A$2:$A$78,0)),
"")</f>
        <v>SOUTHWEST</v>
      </c>
      <c r="L683" s="17" t="e">
        <f>SUMIFS([1]ACSDT5Y2020.B08301_data_with_ov!AT$3:AT$1334,[1]ACSDT5Y2020.B08301_data_with_ov!$AS$3:$AS$1334,$B683)</f>
        <v>#VALUE!</v>
      </c>
      <c r="M683" s="17" t="e">
        <f>SUMIFS([1]ACSDT5Y2020.B08301_data_with_ov!AU$3:AU$1334,[1]ACSDT5Y2020.B08301_data_with_ov!$AS$3:$AS$1334,$B683)</f>
        <v>#VALUE!</v>
      </c>
      <c r="N683" s="17" t="e">
        <f>SUMIFS([1]ACSDT5Y2020.B08301_data_with_ov!AV$3:AV$1334,[1]ACSDT5Y2020.B08301_data_with_ov!$AS$3:$AS$1334,$B683)</f>
        <v>#VALUE!</v>
      </c>
      <c r="O683" s="17" t="e">
        <f>SUMIFS([1]ACSDT5Y2020.B08301_data_with_ov!AW$3:AW$1334,[1]ACSDT5Y2020.B08301_data_with_ov!$AS$3:$AS$1334,$B683)</f>
        <v>#VALUE!</v>
      </c>
      <c r="P683" s="17" t="e">
        <f>SUMIFS([1]ACSDT5Y2020.B08301_data_with_ov!AX$3:AX$1334,[1]ACSDT5Y2020.B08301_data_with_ov!$AS$3:$AS$1334,$B683)</f>
        <v>#VALUE!</v>
      </c>
      <c r="Q683" s="17" t="e">
        <f>SUMIFS([1]ACSDT5Y2020.B08301_data_with_ov!AY$3:AY$1334,[1]ACSDT5Y2020.B08301_data_with_ov!$AS$3:$AS$1334,$B683)</f>
        <v>#VALUE!</v>
      </c>
      <c r="R683" s="17" t="e">
        <f>SUMIFS([1]ACSDT5Y2020.B08301_data_with_ov!AZ$3:AZ$1334,[1]ACSDT5Y2020.B08301_data_with_ov!$AS$3:$AS$1334,$B683)</f>
        <v>#VALUE!</v>
      </c>
      <c r="S683" s="17" t="e">
        <f>SUMIFS([1]ACSDT5Y2020.B08301_data_with_ov!BA$3:BA$1334,[1]ACSDT5Y2020.B08301_data_with_ov!$AS$3:$AS$1334,$B683)</f>
        <v>#VALUE!</v>
      </c>
      <c r="T683" s="188">
        <v>0.12605110883869375</v>
      </c>
      <c r="U683" s="189" t="e">
        <f t="shared" si="43"/>
        <v>#VALUE!</v>
      </c>
      <c r="V683" s="188">
        <v>0.12581316025441847</v>
      </c>
      <c r="W683" s="189" t="e">
        <f t="shared" si="40"/>
        <v>#VALUE!</v>
      </c>
      <c r="X683" s="188">
        <v>0.12581316025441847</v>
      </c>
      <c r="Y683" s="189" t="e">
        <f t="shared" si="41"/>
        <v>#VALUE!</v>
      </c>
      <c r="Z683" s="188">
        <v>0.12581316025441847</v>
      </c>
      <c r="AA683" s="189" t="e">
        <f t="shared" si="42"/>
        <v>#VALUE!</v>
      </c>
    </row>
    <row r="684" spans="1:27" x14ac:dyDescent="0.25">
      <c r="A684">
        <v>680500</v>
      </c>
      <c r="B684">
        <v>17031680500</v>
      </c>
      <c r="C684">
        <v>17031</v>
      </c>
      <c r="D684">
        <v>2010</v>
      </c>
      <c r="E684">
        <v>68</v>
      </c>
      <c r="F684">
        <v>3518727.97025161</v>
      </c>
      <c r="G684" s="45">
        <v>0.12621699847378651</v>
      </c>
      <c r="H684" s="60" t="str">
        <f>_xlfn.IFNA(
INDEX('Community Areas'!B$2:B$78,MATCH($E684,'Community Areas'!$A$2:$A$78,0)),
"")</f>
        <v>ENGLEWOOD</v>
      </c>
      <c r="I684" s="63" t="str">
        <f>_xlfn.IFNA(
INDEX('Community Areas'!C$2:C$78,MATCH($E684,'Community Areas'!$A$2:$A$78,0)),
"")</f>
        <v>4-A</v>
      </c>
      <c r="J684" s="63">
        <f>_xlfn.IFNA(
INDEX('Community Areas'!D$2:D$78,MATCH($E684,'Community Areas'!$A$2:$A$78,0)),
"")</f>
        <v>4</v>
      </c>
      <c r="K684" s="60" t="str">
        <f>_xlfn.IFNA(
INDEX('Community Areas'!E$2:E$78,MATCH($E684,'Community Areas'!$A$2:$A$78,0)),
"")</f>
        <v>SOUTHWEST</v>
      </c>
      <c r="L684" s="17" t="e">
        <f>SUMIFS([1]ACSDT5Y2020.B08301_data_with_ov!AT$3:AT$1334,[1]ACSDT5Y2020.B08301_data_with_ov!$AS$3:$AS$1334,$B684)</f>
        <v>#VALUE!</v>
      </c>
      <c r="M684" s="17" t="e">
        <f>SUMIFS([1]ACSDT5Y2020.B08301_data_with_ov!AU$3:AU$1334,[1]ACSDT5Y2020.B08301_data_with_ov!$AS$3:$AS$1334,$B684)</f>
        <v>#VALUE!</v>
      </c>
      <c r="N684" s="17" t="e">
        <f>SUMIFS([1]ACSDT5Y2020.B08301_data_with_ov!AV$3:AV$1334,[1]ACSDT5Y2020.B08301_data_with_ov!$AS$3:$AS$1334,$B684)</f>
        <v>#VALUE!</v>
      </c>
      <c r="O684" s="17" t="e">
        <f>SUMIFS([1]ACSDT5Y2020.B08301_data_with_ov!AW$3:AW$1334,[1]ACSDT5Y2020.B08301_data_with_ov!$AS$3:$AS$1334,$B684)</f>
        <v>#VALUE!</v>
      </c>
      <c r="P684" s="17" t="e">
        <f>SUMIFS([1]ACSDT5Y2020.B08301_data_with_ov!AX$3:AX$1334,[1]ACSDT5Y2020.B08301_data_with_ov!$AS$3:$AS$1334,$B684)</f>
        <v>#VALUE!</v>
      </c>
      <c r="Q684" s="17" t="e">
        <f>SUMIFS([1]ACSDT5Y2020.B08301_data_with_ov!AY$3:AY$1334,[1]ACSDT5Y2020.B08301_data_with_ov!$AS$3:$AS$1334,$B684)</f>
        <v>#VALUE!</v>
      </c>
      <c r="R684" s="17" t="e">
        <f>SUMIFS([1]ACSDT5Y2020.B08301_data_with_ov!AZ$3:AZ$1334,[1]ACSDT5Y2020.B08301_data_with_ov!$AS$3:$AS$1334,$B684)</f>
        <v>#VALUE!</v>
      </c>
      <c r="S684" s="17" t="e">
        <f>SUMIFS([1]ACSDT5Y2020.B08301_data_with_ov!BA$3:BA$1334,[1]ACSDT5Y2020.B08301_data_with_ov!$AS$3:$AS$1334,$B684)</f>
        <v>#VALUE!</v>
      </c>
      <c r="T684" s="188">
        <v>0.12621699785582349</v>
      </c>
      <c r="U684" s="189" t="e">
        <f t="shared" si="43"/>
        <v>#VALUE!</v>
      </c>
      <c r="V684" s="188">
        <v>0.12621699785582349</v>
      </c>
      <c r="W684" s="189" t="e">
        <f t="shared" si="40"/>
        <v>#VALUE!</v>
      </c>
      <c r="X684" s="188">
        <v>0.12621699785582349</v>
      </c>
      <c r="Y684" s="189" t="e">
        <f t="shared" si="41"/>
        <v>#VALUE!</v>
      </c>
      <c r="Z684" s="188">
        <v>0.12621699785582349</v>
      </c>
      <c r="AA684" s="189" t="e">
        <f t="shared" si="42"/>
        <v>#VALUE!</v>
      </c>
    </row>
    <row r="685" spans="1:27" x14ac:dyDescent="0.25">
      <c r="A685">
        <v>681400</v>
      </c>
      <c r="B685">
        <v>17031681400</v>
      </c>
      <c r="C685">
        <v>17031</v>
      </c>
      <c r="D685">
        <v>2010</v>
      </c>
      <c r="E685">
        <v>68</v>
      </c>
      <c r="F685">
        <v>6758068.3020418296</v>
      </c>
      <c r="G685" s="45">
        <v>0.24241234439716158</v>
      </c>
      <c r="H685" s="60" t="str">
        <f>_xlfn.IFNA(
INDEX('Community Areas'!B$2:B$78,MATCH($E685,'Community Areas'!$A$2:$A$78,0)),
"")</f>
        <v>ENGLEWOOD</v>
      </c>
      <c r="I685" s="63" t="str">
        <f>_xlfn.IFNA(
INDEX('Community Areas'!C$2:C$78,MATCH($E685,'Community Areas'!$A$2:$A$78,0)),
"")</f>
        <v>4-A</v>
      </c>
      <c r="J685" s="63">
        <f>_xlfn.IFNA(
INDEX('Community Areas'!D$2:D$78,MATCH($E685,'Community Areas'!$A$2:$A$78,0)),
"")</f>
        <v>4</v>
      </c>
      <c r="K685" s="60" t="str">
        <f>_xlfn.IFNA(
INDEX('Community Areas'!E$2:E$78,MATCH($E685,'Community Areas'!$A$2:$A$78,0)),
"")</f>
        <v>SOUTHWEST</v>
      </c>
      <c r="L685" s="17" t="e">
        <f>SUMIFS([1]ACSDT5Y2020.B08301_data_with_ov!AT$3:AT$1334,[1]ACSDT5Y2020.B08301_data_with_ov!$AS$3:$AS$1334,$B685)</f>
        <v>#VALUE!</v>
      </c>
      <c r="M685" s="17" t="e">
        <f>SUMIFS([1]ACSDT5Y2020.B08301_data_with_ov!AU$3:AU$1334,[1]ACSDT5Y2020.B08301_data_with_ov!$AS$3:$AS$1334,$B685)</f>
        <v>#VALUE!</v>
      </c>
      <c r="N685" s="17" t="e">
        <f>SUMIFS([1]ACSDT5Y2020.B08301_data_with_ov!AV$3:AV$1334,[1]ACSDT5Y2020.B08301_data_with_ov!$AS$3:$AS$1334,$B685)</f>
        <v>#VALUE!</v>
      </c>
      <c r="O685" s="17" t="e">
        <f>SUMIFS([1]ACSDT5Y2020.B08301_data_with_ov!AW$3:AW$1334,[1]ACSDT5Y2020.B08301_data_with_ov!$AS$3:$AS$1334,$B685)</f>
        <v>#VALUE!</v>
      </c>
      <c r="P685" s="17" t="e">
        <f>SUMIFS([1]ACSDT5Y2020.B08301_data_with_ov!AX$3:AX$1334,[1]ACSDT5Y2020.B08301_data_with_ov!$AS$3:$AS$1334,$B685)</f>
        <v>#VALUE!</v>
      </c>
      <c r="Q685" s="17" t="e">
        <f>SUMIFS([1]ACSDT5Y2020.B08301_data_with_ov!AY$3:AY$1334,[1]ACSDT5Y2020.B08301_data_with_ov!$AS$3:$AS$1334,$B685)</f>
        <v>#VALUE!</v>
      </c>
      <c r="R685" s="17" t="e">
        <f>SUMIFS([1]ACSDT5Y2020.B08301_data_with_ov!AZ$3:AZ$1334,[1]ACSDT5Y2020.B08301_data_with_ov!$AS$3:$AS$1334,$B685)</f>
        <v>#VALUE!</v>
      </c>
      <c r="S685" s="17" t="e">
        <f>SUMIFS([1]ACSDT5Y2020.B08301_data_with_ov!BA$3:BA$1334,[1]ACSDT5Y2020.B08301_data_with_ov!$AS$3:$AS$1334,$B685)</f>
        <v>#VALUE!</v>
      </c>
      <c r="T685" s="188">
        <v>0.24179576387320936</v>
      </c>
      <c r="U685" s="189" t="e">
        <f t="shared" si="43"/>
        <v>#VALUE!</v>
      </c>
      <c r="V685" s="188">
        <v>0.24179576387320936</v>
      </c>
      <c r="W685" s="189" t="e">
        <f t="shared" si="40"/>
        <v>#VALUE!</v>
      </c>
      <c r="X685" s="188">
        <v>0.24179576387320936</v>
      </c>
      <c r="Y685" s="189" t="e">
        <f t="shared" si="41"/>
        <v>#VALUE!</v>
      </c>
      <c r="Z685" s="188">
        <v>0.24179576387320936</v>
      </c>
      <c r="AA685" s="189" t="e">
        <f t="shared" si="42"/>
        <v>#VALUE!</v>
      </c>
    </row>
    <row r="686" spans="1:27" x14ac:dyDescent="0.25">
      <c r="A686">
        <v>691100</v>
      </c>
      <c r="B686">
        <v>17031691100</v>
      </c>
      <c r="C686">
        <v>17031</v>
      </c>
      <c r="D686">
        <v>2010</v>
      </c>
      <c r="E686">
        <v>69</v>
      </c>
      <c r="F686">
        <v>7275016.0704627996</v>
      </c>
      <c r="G686" s="45">
        <v>0.26095529407938761</v>
      </c>
      <c r="H686" s="60" t="str">
        <f>_xlfn.IFNA(
INDEX('Community Areas'!B$2:B$78,MATCH($E686,'Community Areas'!$A$2:$A$78,0)),
"")</f>
        <v>GREATER GRAND CROSSING</v>
      </c>
      <c r="I686" s="63" t="str">
        <f>_xlfn.IFNA(
INDEX('Community Areas'!C$2:C$78,MATCH($E686,'Community Areas'!$A$2:$A$78,0)),
"")</f>
        <v>6-B</v>
      </c>
      <c r="J686" s="63">
        <f>_xlfn.IFNA(
INDEX('Community Areas'!D$2:D$78,MATCH($E686,'Community Areas'!$A$2:$A$78,0)),
"")</f>
        <v>6</v>
      </c>
      <c r="K686" s="60" t="str">
        <f>_xlfn.IFNA(
INDEX('Community Areas'!E$2:E$78,MATCH($E686,'Community Areas'!$A$2:$A$78,0)),
"")</f>
        <v>SOUTH</v>
      </c>
      <c r="L686" s="17" t="e">
        <f>SUMIFS([1]ACSDT5Y2020.B08301_data_with_ov!AT$3:AT$1334,[1]ACSDT5Y2020.B08301_data_with_ov!$AS$3:$AS$1334,$B686)</f>
        <v>#VALUE!</v>
      </c>
      <c r="M686" s="17" t="e">
        <f>SUMIFS([1]ACSDT5Y2020.B08301_data_with_ov!AU$3:AU$1334,[1]ACSDT5Y2020.B08301_data_with_ov!$AS$3:$AS$1334,$B686)</f>
        <v>#VALUE!</v>
      </c>
      <c r="N686" s="17" t="e">
        <f>SUMIFS([1]ACSDT5Y2020.B08301_data_with_ov!AV$3:AV$1334,[1]ACSDT5Y2020.B08301_data_with_ov!$AS$3:$AS$1334,$B686)</f>
        <v>#VALUE!</v>
      </c>
      <c r="O686" s="17" t="e">
        <f>SUMIFS([1]ACSDT5Y2020.B08301_data_with_ov!AW$3:AW$1334,[1]ACSDT5Y2020.B08301_data_with_ov!$AS$3:$AS$1334,$B686)</f>
        <v>#VALUE!</v>
      </c>
      <c r="P686" s="17" t="e">
        <f>SUMIFS([1]ACSDT5Y2020.B08301_data_with_ov!AX$3:AX$1334,[1]ACSDT5Y2020.B08301_data_with_ov!$AS$3:$AS$1334,$B686)</f>
        <v>#VALUE!</v>
      </c>
      <c r="Q686" s="17" t="e">
        <f>SUMIFS([1]ACSDT5Y2020.B08301_data_with_ov!AY$3:AY$1334,[1]ACSDT5Y2020.B08301_data_with_ov!$AS$3:$AS$1334,$B686)</f>
        <v>#VALUE!</v>
      </c>
      <c r="R686" s="17" t="e">
        <f>SUMIFS([1]ACSDT5Y2020.B08301_data_with_ov!AZ$3:AZ$1334,[1]ACSDT5Y2020.B08301_data_with_ov!$AS$3:$AS$1334,$B686)</f>
        <v>#VALUE!</v>
      </c>
      <c r="S686" s="17" t="e">
        <f>SUMIFS([1]ACSDT5Y2020.B08301_data_with_ov!BA$3:BA$1334,[1]ACSDT5Y2020.B08301_data_with_ov!$AS$3:$AS$1334,$B686)</f>
        <v>#VALUE!</v>
      </c>
      <c r="T686" s="188">
        <v>0.2609552924728159</v>
      </c>
      <c r="U686" s="189" t="e">
        <f t="shared" si="43"/>
        <v>#VALUE!</v>
      </c>
      <c r="V686" s="188">
        <v>0.2609552924728159</v>
      </c>
      <c r="W686" s="189" t="e">
        <f t="shared" si="40"/>
        <v>#VALUE!</v>
      </c>
      <c r="X686" s="188">
        <v>0.2609552924728159</v>
      </c>
      <c r="Y686" s="189" t="e">
        <f t="shared" si="41"/>
        <v>#VALUE!</v>
      </c>
      <c r="Z686" s="188">
        <v>0.2609552924728159</v>
      </c>
      <c r="AA686" s="189" t="e">
        <f t="shared" si="42"/>
        <v>#VALUE!</v>
      </c>
    </row>
    <row r="687" spans="1:27" x14ac:dyDescent="0.25">
      <c r="A687">
        <v>691300</v>
      </c>
      <c r="B687">
        <v>17031691300</v>
      </c>
      <c r="C687">
        <v>17031</v>
      </c>
      <c r="D687">
        <v>2010</v>
      </c>
      <c r="E687">
        <v>69</v>
      </c>
      <c r="F687">
        <v>6965470.6416236702</v>
      </c>
      <c r="G687" s="45">
        <v>0.24985187964960939</v>
      </c>
      <c r="H687" s="60" t="str">
        <f>_xlfn.IFNA(
INDEX('Community Areas'!B$2:B$78,MATCH($E687,'Community Areas'!$A$2:$A$78,0)),
"")</f>
        <v>GREATER GRAND CROSSING</v>
      </c>
      <c r="I687" s="63" t="str">
        <f>_xlfn.IFNA(
INDEX('Community Areas'!C$2:C$78,MATCH($E687,'Community Areas'!$A$2:$A$78,0)),
"")</f>
        <v>6-B</v>
      </c>
      <c r="J687" s="63">
        <f>_xlfn.IFNA(
INDEX('Community Areas'!D$2:D$78,MATCH($E687,'Community Areas'!$A$2:$A$78,0)),
"")</f>
        <v>6</v>
      </c>
      <c r="K687" s="60" t="str">
        <f>_xlfn.IFNA(
INDEX('Community Areas'!E$2:E$78,MATCH($E687,'Community Areas'!$A$2:$A$78,0)),
"")</f>
        <v>SOUTH</v>
      </c>
      <c r="L687" s="17" t="e">
        <f>SUMIFS([1]ACSDT5Y2020.B08301_data_with_ov!AT$3:AT$1334,[1]ACSDT5Y2020.B08301_data_with_ov!$AS$3:$AS$1334,$B687)</f>
        <v>#VALUE!</v>
      </c>
      <c r="M687" s="17" t="e">
        <f>SUMIFS([1]ACSDT5Y2020.B08301_data_with_ov!AU$3:AU$1334,[1]ACSDT5Y2020.B08301_data_with_ov!$AS$3:$AS$1334,$B687)</f>
        <v>#VALUE!</v>
      </c>
      <c r="N687" s="17" t="e">
        <f>SUMIFS([1]ACSDT5Y2020.B08301_data_with_ov!AV$3:AV$1334,[1]ACSDT5Y2020.B08301_data_with_ov!$AS$3:$AS$1334,$B687)</f>
        <v>#VALUE!</v>
      </c>
      <c r="O687" s="17" t="e">
        <f>SUMIFS([1]ACSDT5Y2020.B08301_data_with_ov!AW$3:AW$1334,[1]ACSDT5Y2020.B08301_data_with_ov!$AS$3:$AS$1334,$B687)</f>
        <v>#VALUE!</v>
      </c>
      <c r="P687" s="17" t="e">
        <f>SUMIFS([1]ACSDT5Y2020.B08301_data_with_ov!AX$3:AX$1334,[1]ACSDT5Y2020.B08301_data_with_ov!$AS$3:$AS$1334,$B687)</f>
        <v>#VALUE!</v>
      </c>
      <c r="Q687" s="17" t="e">
        <f>SUMIFS([1]ACSDT5Y2020.B08301_data_with_ov!AY$3:AY$1334,[1]ACSDT5Y2020.B08301_data_with_ov!$AS$3:$AS$1334,$B687)</f>
        <v>#VALUE!</v>
      </c>
      <c r="R687" s="17" t="e">
        <f>SUMIFS([1]ACSDT5Y2020.B08301_data_with_ov!AZ$3:AZ$1334,[1]ACSDT5Y2020.B08301_data_with_ov!$AS$3:$AS$1334,$B687)</f>
        <v>#VALUE!</v>
      </c>
      <c r="S687" s="17" t="e">
        <f>SUMIFS([1]ACSDT5Y2020.B08301_data_with_ov!BA$3:BA$1334,[1]ACSDT5Y2020.B08301_data_with_ov!$AS$3:$AS$1334,$B687)</f>
        <v>#VALUE!</v>
      </c>
      <c r="T687" s="188">
        <v>0.24985187686274607</v>
      </c>
      <c r="U687" s="189" t="e">
        <f t="shared" si="43"/>
        <v>#VALUE!</v>
      </c>
      <c r="V687" s="188">
        <v>0.24985187686274607</v>
      </c>
      <c r="W687" s="189" t="e">
        <f t="shared" si="40"/>
        <v>#VALUE!</v>
      </c>
      <c r="X687" s="188">
        <v>0.24985187686274607</v>
      </c>
      <c r="Y687" s="189" t="e">
        <f t="shared" si="41"/>
        <v>#VALUE!</v>
      </c>
      <c r="Z687" s="188">
        <v>0.24985187686274607</v>
      </c>
      <c r="AA687" s="189" t="e">
        <f t="shared" si="42"/>
        <v>#VALUE!</v>
      </c>
    </row>
    <row r="688" spans="1:27" x14ac:dyDescent="0.25">
      <c r="A688">
        <v>691400</v>
      </c>
      <c r="B688">
        <v>17031691400</v>
      </c>
      <c r="C688">
        <v>17031</v>
      </c>
      <c r="D688">
        <v>2010</v>
      </c>
      <c r="E688">
        <v>69</v>
      </c>
      <c r="F688">
        <v>7068968.4326930996</v>
      </c>
      <c r="G688" s="45">
        <v>0.25356435206802042</v>
      </c>
      <c r="H688" s="60" t="str">
        <f>_xlfn.IFNA(
INDEX('Community Areas'!B$2:B$78,MATCH($E688,'Community Areas'!$A$2:$A$78,0)),
"")</f>
        <v>GREATER GRAND CROSSING</v>
      </c>
      <c r="I688" s="63" t="str">
        <f>_xlfn.IFNA(
INDEX('Community Areas'!C$2:C$78,MATCH($E688,'Community Areas'!$A$2:$A$78,0)),
"")</f>
        <v>6-B</v>
      </c>
      <c r="J688" s="63">
        <f>_xlfn.IFNA(
INDEX('Community Areas'!D$2:D$78,MATCH($E688,'Community Areas'!$A$2:$A$78,0)),
"")</f>
        <v>6</v>
      </c>
      <c r="K688" s="60" t="str">
        <f>_xlfn.IFNA(
INDEX('Community Areas'!E$2:E$78,MATCH($E688,'Community Areas'!$A$2:$A$78,0)),
"")</f>
        <v>SOUTH</v>
      </c>
      <c r="L688" s="17" t="e">
        <f>SUMIFS([1]ACSDT5Y2020.B08301_data_with_ov!AT$3:AT$1334,[1]ACSDT5Y2020.B08301_data_with_ov!$AS$3:$AS$1334,$B688)</f>
        <v>#VALUE!</v>
      </c>
      <c r="M688" s="17" t="e">
        <f>SUMIFS([1]ACSDT5Y2020.B08301_data_with_ov!AU$3:AU$1334,[1]ACSDT5Y2020.B08301_data_with_ov!$AS$3:$AS$1334,$B688)</f>
        <v>#VALUE!</v>
      </c>
      <c r="N688" s="17" t="e">
        <f>SUMIFS([1]ACSDT5Y2020.B08301_data_with_ov!AV$3:AV$1334,[1]ACSDT5Y2020.B08301_data_with_ov!$AS$3:$AS$1334,$B688)</f>
        <v>#VALUE!</v>
      </c>
      <c r="O688" s="17" t="e">
        <f>SUMIFS([1]ACSDT5Y2020.B08301_data_with_ov!AW$3:AW$1334,[1]ACSDT5Y2020.B08301_data_with_ov!$AS$3:$AS$1334,$B688)</f>
        <v>#VALUE!</v>
      </c>
      <c r="P688" s="17" t="e">
        <f>SUMIFS([1]ACSDT5Y2020.B08301_data_with_ov!AX$3:AX$1334,[1]ACSDT5Y2020.B08301_data_with_ov!$AS$3:$AS$1334,$B688)</f>
        <v>#VALUE!</v>
      </c>
      <c r="Q688" s="17" t="e">
        <f>SUMIFS([1]ACSDT5Y2020.B08301_data_with_ov!AY$3:AY$1334,[1]ACSDT5Y2020.B08301_data_with_ov!$AS$3:$AS$1334,$B688)</f>
        <v>#VALUE!</v>
      </c>
      <c r="R688" s="17" t="e">
        <f>SUMIFS([1]ACSDT5Y2020.B08301_data_with_ov!AZ$3:AZ$1334,[1]ACSDT5Y2020.B08301_data_with_ov!$AS$3:$AS$1334,$B688)</f>
        <v>#VALUE!</v>
      </c>
      <c r="S688" s="17" t="e">
        <f>SUMIFS([1]ACSDT5Y2020.B08301_data_with_ov!BA$3:BA$1334,[1]ACSDT5Y2020.B08301_data_with_ov!$AS$3:$AS$1334,$B688)</f>
        <v>#VALUE!</v>
      </c>
      <c r="T688" s="188">
        <v>0.19721276955460679</v>
      </c>
      <c r="U688" s="189" t="e">
        <f t="shared" si="43"/>
        <v>#VALUE!</v>
      </c>
      <c r="V688" s="188">
        <v>0.19721255334931523</v>
      </c>
      <c r="W688" s="189" t="e">
        <f t="shared" si="40"/>
        <v>#VALUE!</v>
      </c>
      <c r="X688" s="188">
        <v>0.19721255334931523</v>
      </c>
      <c r="Y688" s="189" t="e">
        <f t="shared" si="41"/>
        <v>#VALUE!</v>
      </c>
      <c r="Z688" s="188">
        <v>0.19721255334931523</v>
      </c>
      <c r="AA688" s="189" t="e">
        <f t="shared" si="42"/>
        <v>#VALUE!</v>
      </c>
    </row>
    <row r="689" spans="1:27" x14ac:dyDescent="0.25">
      <c r="A689">
        <v>690400</v>
      </c>
      <c r="B689">
        <v>17031690400</v>
      </c>
      <c r="C689">
        <v>17031</v>
      </c>
      <c r="D689">
        <v>2010</v>
      </c>
      <c r="E689">
        <v>69</v>
      </c>
      <c r="F689">
        <v>6969895.7552753696</v>
      </c>
      <c r="G689" s="45">
        <v>0.25001060876073838</v>
      </c>
      <c r="H689" s="60" t="str">
        <f>_xlfn.IFNA(
INDEX('Community Areas'!B$2:B$78,MATCH($E689,'Community Areas'!$A$2:$A$78,0)),
"")</f>
        <v>GREATER GRAND CROSSING</v>
      </c>
      <c r="I689" s="63" t="str">
        <f>_xlfn.IFNA(
INDEX('Community Areas'!C$2:C$78,MATCH($E689,'Community Areas'!$A$2:$A$78,0)),
"")</f>
        <v>6-B</v>
      </c>
      <c r="J689" s="63">
        <f>_xlfn.IFNA(
INDEX('Community Areas'!D$2:D$78,MATCH($E689,'Community Areas'!$A$2:$A$78,0)),
"")</f>
        <v>6</v>
      </c>
      <c r="K689" s="60" t="str">
        <f>_xlfn.IFNA(
INDEX('Community Areas'!E$2:E$78,MATCH($E689,'Community Areas'!$A$2:$A$78,0)),
"")</f>
        <v>SOUTH</v>
      </c>
      <c r="L689" s="17" t="e">
        <f>SUMIFS([1]ACSDT5Y2020.B08301_data_with_ov!AT$3:AT$1334,[1]ACSDT5Y2020.B08301_data_with_ov!$AS$3:$AS$1334,$B689)</f>
        <v>#VALUE!</v>
      </c>
      <c r="M689" s="17" t="e">
        <f>SUMIFS([1]ACSDT5Y2020.B08301_data_with_ov!AU$3:AU$1334,[1]ACSDT5Y2020.B08301_data_with_ov!$AS$3:$AS$1334,$B689)</f>
        <v>#VALUE!</v>
      </c>
      <c r="N689" s="17" t="e">
        <f>SUMIFS([1]ACSDT5Y2020.B08301_data_with_ov!AV$3:AV$1334,[1]ACSDT5Y2020.B08301_data_with_ov!$AS$3:$AS$1334,$B689)</f>
        <v>#VALUE!</v>
      </c>
      <c r="O689" s="17" t="e">
        <f>SUMIFS([1]ACSDT5Y2020.B08301_data_with_ov!AW$3:AW$1334,[1]ACSDT5Y2020.B08301_data_with_ov!$AS$3:$AS$1334,$B689)</f>
        <v>#VALUE!</v>
      </c>
      <c r="P689" s="17" t="e">
        <f>SUMIFS([1]ACSDT5Y2020.B08301_data_with_ov!AX$3:AX$1334,[1]ACSDT5Y2020.B08301_data_with_ov!$AS$3:$AS$1334,$B689)</f>
        <v>#VALUE!</v>
      </c>
      <c r="Q689" s="17" t="e">
        <f>SUMIFS([1]ACSDT5Y2020.B08301_data_with_ov!AY$3:AY$1334,[1]ACSDT5Y2020.B08301_data_with_ov!$AS$3:$AS$1334,$B689)</f>
        <v>#VALUE!</v>
      </c>
      <c r="R689" s="17" t="e">
        <f>SUMIFS([1]ACSDT5Y2020.B08301_data_with_ov!AZ$3:AZ$1334,[1]ACSDT5Y2020.B08301_data_with_ov!$AS$3:$AS$1334,$B689)</f>
        <v>#VALUE!</v>
      </c>
      <c r="S689" s="17" t="e">
        <f>SUMIFS([1]ACSDT5Y2020.B08301_data_with_ov!BA$3:BA$1334,[1]ACSDT5Y2020.B08301_data_with_ov!$AS$3:$AS$1334,$B689)</f>
        <v>#VALUE!</v>
      </c>
      <c r="T689" s="188">
        <v>0.25001060758055377</v>
      </c>
      <c r="U689" s="189" t="e">
        <f t="shared" si="43"/>
        <v>#VALUE!</v>
      </c>
      <c r="V689" s="188">
        <v>0.25001060758055377</v>
      </c>
      <c r="W689" s="189" t="e">
        <f t="shared" si="40"/>
        <v>#VALUE!</v>
      </c>
      <c r="X689" s="188">
        <v>0.25001060758055377</v>
      </c>
      <c r="Y689" s="189" t="e">
        <f t="shared" si="41"/>
        <v>#VALUE!</v>
      </c>
      <c r="Z689" s="188">
        <v>0.25001060758055377</v>
      </c>
      <c r="AA689" s="189" t="e">
        <f t="shared" si="42"/>
        <v>#VALUE!</v>
      </c>
    </row>
    <row r="690" spans="1:27" x14ac:dyDescent="0.25">
      <c r="A690">
        <v>690900</v>
      </c>
      <c r="B690">
        <v>17031690900</v>
      </c>
      <c r="C690">
        <v>17031</v>
      </c>
      <c r="D690">
        <v>2010</v>
      </c>
      <c r="E690">
        <v>69</v>
      </c>
      <c r="F690">
        <v>7054437.40660311</v>
      </c>
      <c r="G690" s="45">
        <v>0.25304312322813038</v>
      </c>
      <c r="H690" s="60" t="str">
        <f>_xlfn.IFNA(
INDEX('Community Areas'!B$2:B$78,MATCH($E690,'Community Areas'!$A$2:$A$78,0)),
"")</f>
        <v>GREATER GRAND CROSSING</v>
      </c>
      <c r="I690" s="63" t="str">
        <f>_xlfn.IFNA(
INDEX('Community Areas'!C$2:C$78,MATCH($E690,'Community Areas'!$A$2:$A$78,0)),
"")</f>
        <v>6-B</v>
      </c>
      <c r="J690" s="63">
        <f>_xlfn.IFNA(
INDEX('Community Areas'!D$2:D$78,MATCH($E690,'Community Areas'!$A$2:$A$78,0)),
"")</f>
        <v>6</v>
      </c>
      <c r="K690" s="60" t="str">
        <f>_xlfn.IFNA(
INDEX('Community Areas'!E$2:E$78,MATCH($E690,'Community Areas'!$A$2:$A$78,0)),
"")</f>
        <v>SOUTH</v>
      </c>
      <c r="L690" s="17" t="e">
        <f>SUMIFS([1]ACSDT5Y2020.B08301_data_with_ov!AT$3:AT$1334,[1]ACSDT5Y2020.B08301_data_with_ov!$AS$3:$AS$1334,$B690)</f>
        <v>#VALUE!</v>
      </c>
      <c r="M690" s="17" t="e">
        <f>SUMIFS([1]ACSDT5Y2020.B08301_data_with_ov!AU$3:AU$1334,[1]ACSDT5Y2020.B08301_data_with_ov!$AS$3:$AS$1334,$B690)</f>
        <v>#VALUE!</v>
      </c>
      <c r="N690" s="17" t="e">
        <f>SUMIFS([1]ACSDT5Y2020.B08301_data_with_ov!AV$3:AV$1334,[1]ACSDT5Y2020.B08301_data_with_ov!$AS$3:$AS$1334,$B690)</f>
        <v>#VALUE!</v>
      </c>
      <c r="O690" s="17" t="e">
        <f>SUMIFS([1]ACSDT5Y2020.B08301_data_with_ov!AW$3:AW$1334,[1]ACSDT5Y2020.B08301_data_with_ov!$AS$3:$AS$1334,$B690)</f>
        <v>#VALUE!</v>
      </c>
      <c r="P690" s="17" t="e">
        <f>SUMIFS([1]ACSDT5Y2020.B08301_data_with_ov!AX$3:AX$1334,[1]ACSDT5Y2020.B08301_data_with_ov!$AS$3:$AS$1334,$B690)</f>
        <v>#VALUE!</v>
      </c>
      <c r="Q690" s="17" t="e">
        <f>SUMIFS([1]ACSDT5Y2020.B08301_data_with_ov!AY$3:AY$1334,[1]ACSDT5Y2020.B08301_data_with_ov!$AS$3:$AS$1334,$B690)</f>
        <v>#VALUE!</v>
      </c>
      <c r="R690" s="17" t="e">
        <f>SUMIFS([1]ACSDT5Y2020.B08301_data_with_ov!AZ$3:AZ$1334,[1]ACSDT5Y2020.B08301_data_with_ov!$AS$3:$AS$1334,$B690)</f>
        <v>#VALUE!</v>
      </c>
      <c r="S690" s="17" t="e">
        <f>SUMIFS([1]ACSDT5Y2020.B08301_data_with_ov!BA$3:BA$1334,[1]ACSDT5Y2020.B08301_data_with_ov!$AS$3:$AS$1334,$B690)</f>
        <v>#VALUE!</v>
      </c>
      <c r="T690" s="188">
        <v>0.2530374755307091</v>
      </c>
      <c r="U690" s="189" t="e">
        <f t="shared" si="43"/>
        <v>#VALUE!</v>
      </c>
      <c r="V690" s="188">
        <v>0.25303723626511349</v>
      </c>
      <c r="W690" s="189" t="e">
        <f t="shared" si="40"/>
        <v>#VALUE!</v>
      </c>
      <c r="X690" s="188">
        <v>0.25303723626511349</v>
      </c>
      <c r="Y690" s="189" t="e">
        <f t="shared" si="41"/>
        <v>#VALUE!</v>
      </c>
      <c r="Z690" s="188">
        <v>0.25303723626511349</v>
      </c>
      <c r="AA690" s="189" t="e">
        <f t="shared" si="42"/>
        <v>#VALUE!</v>
      </c>
    </row>
    <row r="691" spans="1:27" x14ac:dyDescent="0.25">
      <c r="A691">
        <v>691500</v>
      </c>
      <c r="B691">
        <v>17031691500</v>
      </c>
      <c r="C691">
        <v>17031</v>
      </c>
      <c r="D691">
        <v>2010</v>
      </c>
      <c r="E691">
        <v>69</v>
      </c>
      <c r="F691">
        <v>7218717.8417865504</v>
      </c>
      <c r="G691" s="45">
        <v>0.258935872997968</v>
      </c>
      <c r="H691" s="60" t="str">
        <f>_xlfn.IFNA(
INDEX('Community Areas'!B$2:B$78,MATCH($E691,'Community Areas'!$A$2:$A$78,0)),
"")</f>
        <v>GREATER GRAND CROSSING</v>
      </c>
      <c r="I691" s="63" t="str">
        <f>_xlfn.IFNA(
INDEX('Community Areas'!C$2:C$78,MATCH($E691,'Community Areas'!$A$2:$A$78,0)),
"")</f>
        <v>6-B</v>
      </c>
      <c r="J691" s="63">
        <f>_xlfn.IFNA(
INDEX('Community Areas'!D$2:D$78,MATCH($E691,'Community Areas'!$A$2:$A$78,0)),
"")</f>
        <v>6</v>
      </c>
      <c r="K691" s="60" t="str">
        <f>_xlfn.IFNA(
INDEX('Community Areas'!E$2:E$78,MATCH($E691,'Community Areas'!$A$2:$A$78,0)),
"")</f>
        <v>SOUTH</v>
      </c>
      <c r="L691" s="17" t="e">
        <f>SUMIFS([1]ACSDT5Y2020.B08301_data_with_ov!AT$3:AT$1334,[1]ACSDT5Y2020.B08301_data_with_ov!$AS$3:$AS$1334,$B691)</f>
        <v>#VALUE!</v>
      </c>
      <c r="M691" s="17" t="e">
        <f>SUMIFS([1]ACSDT5Y2020.B08301_data_with_ov!AU$3:AU$1334,[1]ACSDT5Y2020.B08301_data_with_ov!$AS$3:$AS$1334,$B691)</f>
        <v>#VALUE!</v>
      </c>
      <c r="N691" s="17" t="e">
        <f>SUMIFS([1]ACSDT5Y2020.B08301_data_with_ov!AV$3:AV$1334,[1]ACSDT5Y2020.B08301_data_with_ov!$AS$3:$AS$1334,$B691)</f>
        <v>#VALUE!</v>
      </c>
      <c r="O691" s="17" t="e">
        <f>SUMIFS([1]ACSDT5Y2020.B08301_data_with_ov!AW$3:AW$1334,[1]ACSDT5Y2020.B08301_data_with_ov!$AS$3:$AS$1334,$B691)</f>
        <v>#VALUE!</v>
      </c>
      <c r="P691" s="17" t="e">
        <f>SUMIFS([1]ACSDT5Y2020.B08301_data_with_ov!AX$3:AX$1334,[1]ACSDT5Y2020.B08301_data_with_ov!$AS$3:$AS$1334,$B691)</f>
        <v>#VALUE!</v>
      </c>
      <c r="Q691" s="17" t="e">
        <f>SUMIFS([1]ACSDT5Y2020.B08301_data_with_ov!AY$3:AY$1334,[1]ACSDT5Y2020.B08301_data_with_ov!$AS$3:$AS$1334,$B691)</f>
        <v>#VALUE!</v>
      </c>
      <c r="R691" s="17" t="e">
        <f>SUMIFS([1]ACSDT5Y2020.B08301_data_with_ov!AZ$3:AZ$1334,[1]ACSDT5Y2020.B08301_data_with_ov!$AS$3:$AS$1334,$B691)</f>
        <v>#VALUE!</v>
      </c>
      <c r="S691" s="17" t="e">
        <f>SUMIFS([1]ACSDT5Y2020.B08301_data_with_ov!BA$3:BA$1334,[1]ACSDT5Y2020.B08301_data_with_ov!$AS$3:$AS$1334,$B691)</f>
        <v>#VALUE!</v>
      </c>
      <c r="T691" s="188">
        <v>0.25784985200362681</v>
      </c>
      <c r="U691" s="189" t="e">
        <f t="shared" si="43"/>
        <v>#VALUE!</v>
      </c>
      <c r="V691" s="188">
        <v>0.25784985200362681</v>
      </c>
      <c r="W691" s="189" t="e">
        <f t="shared" si="40"/>
        <v>#VALUE!</v>
      </c>
      <c r="X691" s="188">
        <v>0.25784985200362681</v>
      </c>
      <c r="Y691" s="189" t="e">
        <f t="shared" si="41"/>
        <v>#VALUE!</v>
      </c>
      <c r="Z691" s="188">
        <v>0.25784985200362681</v>
      </c>
      <c r="AA691" s="189" t="e">
        <f t="shared" si="42"/>
        <v>#VALUE!</v>
      </c>
    </row>
    <row r="692" spans="1:27" x14ac:dyDescent="0.25">
      <c r="A692">
        <v>690500</v>
      </c>
      <c r="B692">
        <v>17031690500</v>
      </c>
      <c r="C692">
        <v>17031</v>
      </c>
      <c r="D692">
        <v>2010</v>
      </c>
      <c r="E692">
        <v>69</v>
      </c>
      <c r="F692">
        <v>3480715.4955104901</v>
      </c>
      <c r="G692" s="45">
        <v>0.12485348856141279</v>
      </c>
      <c r="H692" s="60" t="str">
        <f>_xlfn.IFNA(
INDEX('Community Areas'!B$2:B$78,MATCH($E692,'Community Areas'!$A$2:$A$78,0)),
"")</f>
        <v>GREATER GRAND CROSSING</v>
      </c>
      <c r="I692" s="63" t="str">
        <f>_xlfn.IFNA(
INDEX('Community Areas'!C$2:C$78,MATCH($E692,'Community Areas'!$A$2:$A$78,0)),
"")</f>
        <v>6-B</v>
      </c>
      <c r="J692" s="63">
        <f>_xlfn.IFNA(
INDEX('Community Areas'!D$2:D$78,MATCH($E692,'Community Areas'!$A$2:$A$78,0)),
"")</f>
        <v>6</v>
      </c>
      <c r="K692" s="60" t="str">
        <f>_xlfn.IFNA(
INDEX('Community Areas'!E$2:E$78,MATCH($E692,'Community Areas'!$A$2:$A$78,0)),
"")</f>
        <v>SOUTH</v>
      </c>
      <c r="L692" s="17" t="e">
        <f>SUMIFS([1]ACSDT5Y2020.B08301_data_with_ov!AT$3:AT$1334,[1]ACSDT5Y2020.B08301_data_with_ov!$AS$3:$AS$1334,$B692)</f>
        <v>#VALUE!</v>
      </c>
      <c r="M692" s="17" t="e">
        <f>SUMIFS([1]ACSDT5Y2020.B08301_data_with_ov!AU$3:AU$1334,[1]ACSDT5Y2020.B08301_data_with_ov!$AS$3:$AS$1334,$B692)</f>
        <v>#VALUE!</v>
      </c>
      <c r="N692" s="17" t="e">
        <f>SUMIFS([1]ACSDT5Y2020.B08301_data_with_ov!AV$3:AV$1334,[1]ACSDT5Y2020.B08301_data_with_ov!$AS$3:$AS$1334,$B692)</f>
        <v>#VALUE!</v>
      </c>
      <c r="O692" s="17" t="e">
        <f>SUMIFS([1]ACSDT5Y2020.B08301_data_with_ov!AW$3:AW$1334,[1]ACSDT5Y2020.B08301_data_with_ov!$AS$3:$AS$1334,$B692)</f>
        <v>#VALUE!</v>
      </c>
      <c r="P692" s="17" t="e">
        <f>SUMIFS([1]ACSDT5Y2020.B08301_data_with_ov!AX$3:AX$1334,[1]ACSDT5Y2020.B08301_data_with_ov!$AS$3:$AS$1334,$B692)</f>
        <v>#VALUE!</v>
      </c>
      <c r="Q692" s="17" t="e">
        <f>SUMIFS([1]ACSDT5Y2020.B08301_data_with_ov!AY$3:AY$1334,[1]ACSDT5Y2020.B08301_data_with_ov!$AS$3:$AS$1334,$B692)</f>
        <v>#VALUE!</v>
      </c>
      <c r="R692" s="17" t="e">
        <f>SUMIFS([1]ACSDT5Y2020.B08301_data_with_ov!AZ$3:AZ$1334,[1]ACSDT5Y2020.B08301_data_with_ov!$AS$3:$AS$1334,$B692)</f>
        <v>#VALUE!</v>
      </c>
      <c r="S692" s="17" t="e">
        <f>SUMIFS([1]ACSDT5Y2020.B08301_data_with_ov!BA$3:BA$1334,[1]ACSDT5Y2020.B08301_data_with_ov!$AS$3:$AS$1334,$B692)</f>
        <v>#VALUE!</v>
      </c>
      <c r="T692" s="188">
        <v>0.12485348991884326</v>
      </c>
      <c r="U692" s="189" t="e">
        <f t="shared" si="43"/>
        <v>#VALUE!</v>
      </c>
      <c r="V692" s="188">
        <v>0.12485348991884326</v>
      </c>
      <c r="W692" s="189" t="e">
        <f t="shared" si="40"/>
        <v>#VALUE!</v>
      </c>
      <c r="X692" s="188">
        <v>0.12485348991884326</v>
      </c>
      <c r="Y692" s="189" t="e">
        <f t="shared" si="41"/>
        <v>#VALUE!</v>
      </c>
      <c r="Z692" s="188">
        <v>0.12485348991884326</v>
      </c>
      <c r="AA692" s="189" t="e">
        <f t="shared" si="42"/>
        <v>#VALUE!</v>
      </c>
    </row>
    <row r="693" spans="1:27" x14ac:dyDescent="0.25">
      <c r="A693">
        <v>842500</v>
      </c>
      <c r="B693">
        <v>17031842500</v>
      </c>
      <c r="C693">
        <v>17031</v>
      </c>
      <c r="D693">
        <v>2010</v>
      </c>
      <c r="E693">
        <v>69</v>
      </c>
      <c r="F693">
        <v>11594719.6321557</v>
      </c>
      <c r="G693" s="45">
        <v>0.41590333850420752</v>
      </c>
      <c r="H693" s="60" t="str">
        <f>_xlfn.IFNA(
INDEX('Community Areas'!B$2:B$78,MATCH($E693,'Community Areas'!$A$2:$A$78,0)),
"")</f>
        <v>GREATER GRAND CROSSING</v>
      </c>
      <c r="I693" s="63" t="str">
        <f>_xlfn.IFNA(
INDEX('Community Areas'!C$2:C$78,MATCH($E693,'Community Areas'!$A$2:$A$78,0)),
"")</f>
        <v>6-B</v>
      </c>
      <c r="J693" s="63">
        <f>_xlfn.IFNA(
INDEX('Community Areas'!D$2:D$78,MATCH($E693,'Community Areas'!$A$2:$A$78,0)),
"")</f>
        <v>6</v>
      </c>
      <c r="K693" s="60" t="str">
        <f>_xlfn.IFNA(
INDEX('Community Areas'!E$2:E$78,MATCH($E693,'Community Areas'!$A$2:$A$78,0)),
"")</f>
        <v>SOUTH</v>
      </c>
      <c r="L693" s="17" t="e">
        <f>SUMIFS([1]ACSDT5Y2020.B08301_data_with_ov!AT$3:AT$1334,[1]ACSDT5Y2020.B08301_data_with_ov!$AS$3:$AS$1334,$B693)</f>
        <v>#VALUE!</v>
      </c>
      <c r="M693" s="17" t="e">
        <f>SUMIFS([1]ACSDT5Y2020.B08301_data_with_ov!AU$3:AU$1334,[1]ACSDT5Y2020.B08301_data_with_ov!$AS$3:$AS$1334,$B693)</f>
        <v>#VALUE!</v>
      </c>
      <c r="N693" s="17" t="e">
        <f>SUMIFS([1]ACSDT5Y2020.B08301_data_with_ov!AV$3:AV$1334,[1]ACSDT5Y2020.B08301_data_with_ov!$AS$3:$AS$1334,$B693)</f>
        <v>#VALUE!</v>
      </c>
      <c r="O693" s="17" t="e">
        <f>SUMIFS([1]ACSDT5Y2020.B08301_data_with_ov!AW$3:AW$1334,[1]ACSDT5Y2020.B08301_data_with_ov!$AS$3:$AS$1334,$B693)</f>
        <v>#VALUE!</v>
      </c>
      <c r="P693" s="17" t="e">
        <f>SUMIFS([1]ACSDT5Y2020.B08301_data_with_ov!AX$3:AX$1334,[1]ACSDT5Y2020.B08301_data_with_ov!$AS$3:$AS$1334,$B693)</f>
        <v>#VALUE!</v>
      </c>
      <c r="Q693" s="17" t="e">
        <f>SUMIFS([1]ACSDT5Y2020.B08301_data_with_ov!AY$3:AY$1334,[1]ACSDT5Y2020.B08301_data_with_ov!$AS$3:$AS$1334,$B693)</f>
        <v>#VALUE!</v>
      </c>
      <c r="R693" s="17" t="e">
        <f>SUMIFS([1]ACSDT5Y2020.B08301_data_with_ov!AZ$3:AZ$1334,[1]ACSDT5Y2020.B08301_data_with_ov!$AS$3:$AS$1334,$B693)</f>
        <v>#VALUE!</v>
      </c>
      <c r="S693" s="17" t="e">
        <f>SUMIFS([1]ACSDT5Y2020.B08301_data_with_ov!BA$3:BA$1334,[1]ACSDT5Y2020.B08301_data_with_ov!$AS$3:$AS$1334,$B693)</f>
        <v>#VALUE!</v>
      </c>
      <c r="T693" s="188">
        <v>0.37514590038589735</v>
      </c>
      <c r="U693" s="189" t="e">
        <f t="shared" si="43"/>
        <v>#VALUE!</v>
      </c>
      <c r="V693" s="188">
        <v>0.3751457362207623</v>
      </c>
      <c r="W693" s="189" t="e">
        <f t="shared" si="40"/>
        <v>#VALUE!</v>
      </c>
      <c r="X693" s="188">
        <v>0.3751457362207623</v>
      </c>
      <c r="Y693" s="189" t="e">
        <f t="shared" si="41"/>
        <v>#VALUE!</v>
      </c>
      <c r="Z693" s="188">
        <v>0.3751457362207623</v>
      </c>
      <c r="AA693" s="189" t="e">
        <f t="shared" si="42"/>
        <v>#VALUE!</v>
      </c>
    </row>
    <row r="694" spans="1:27" x14ac:dyDescent="0.25">
      <c r="A694">
        <v>690300</v>
      </c>
      <c r="B694">
        <v>17031690300</v>
      </c>
      <c r="C694">
        <v>17031</v>
      </c>
      <c r="D694">
        <v>2010</v>
      </c>
      <c r="E694">
        <v>69</v>
      </c>
      <c r="F694">
        <v>5551873.8139895396</v>
      </c>
      <c r="G694" s="45">
        <v>0.19914607057756326</v>
      </c>
      <c r="H694" s="60" t="str">
        <f>_xlfn.IFNA(
INDEX('Community Areas'!B$2:B$78,MATCH($E694,'Community Areas'!$A$2:$A$78,0)),
"")</f>
        <v>GREATER GRAND CROSSING</v>
      </c>
      <c r="I694" s="63" t="str">
        <f>_xlfn.IFNA(
INDEX('Community Areas'!C$2:C$78,MATCH($E694,'Community Areas'!$A$2:$A$78,0)),
"")</f>
        <v>6-B</v>
      </c>
      <c r="J694" s="63">
        <f>_xlfn.IFNA(
INDEX('Community Areas'!D$2:D$78,MATCH($E694,'Community Areas'!$A$2:$A$78,0)),
"")</f>
        <v>6</v>
      </c>
      <c r="K694" s="60" t="str">
        <f>_xlfn.IFNA(
INDEX('Community Areas'!E$2:E$78,MATCH($E694,'Community Areas'!$A$2:$A$78,0)),
"")</f>
        <v>SOUTH</v>
      </c>
      <c r="L694" s="17" t="e">
        <f>SUMIFS([1]ACSDT5Y2020.B08301_data_with_ov!AT$3:AT$1334,[1]ACSDT5Y2020.B08301_data_with_ov!$AS$3:$AS$1334,$B694)</f>
        <v>#VALUE!</v>
      </c>
      <c r="M694" s="17" t="e">
        <f>SUMIFS([1]ACSDT5Y2020.B08301_data_with_ov!AU$3:AU$1334,[1]ACSDT5Y2020.B08301_data_with_ov!$AS$3:$AS$1334,$B694)</f>
        <v>#VALUE!</v>
      </c>
      <c r="N694" s="17" t="e">
        <f>SUMIFS([1]ACSDT5Y2020.B08301_data_with_ov!AV$3:AV$1334,[1]ACSDT5Y2020.B08301_data_with_ov!$AS$3:$AS$1334,$B694)</f>
        <v>#VALUE!</v>
      </c>
      <c r="O694" s="17" t="e">
        <f>SUMIFS([1]ACSDT5Y2020.B08301_data_with_ov!AW$3:AW$1334,[1]ACSDT5Y2020.B08301_data_with_ov!$AS$3:$AS$1334,$B694)</f>
        <v>#VALUE!</v>
      </c>
      <c r="P694" s="17" t="e">
        <f>SUMIFS([1]ACSDT5Y2020.B08301_data_with_ov!AX$3:AX$1334,[1]ACSDT5Y2020.B08301_data_with_ov!$AS$3:$AS$1334,$B694)</f>
        <v>#VALUE!</v>
      </c>
      <c r="Q694" s="17" t="e">
        <f>SUMIFS([1]ACSDT5Y2020.B08301_data_with_ov!AY$3:AY$1334,[1]ACSDT5Y2020.B08301_data_with_ov!$AS$3:$AS$1334,$B694)</f>
        <v>#VALUE!</v>
      </c>
      <c r="R694" s="17" t="e">
        <f>SUMIFS([1]ACSDT5Y2020.B08301_data_with_ov!AZ$3:AZ$1334,[1]ACSDT5Y2020.B08301_data_with_ov!$AS$3:$AS$1334,$B694)</f>
        <v>#VALUE!</v>
      </c>
      <c r="S694" s="17" t="e">
        <f>SUMIFS([1]ACSDT5Y2020.B08301_data_with_ov!BA$3:BA$1334,[1]ACSDT5Y2020.B08301_data_with_ov!$AS$3:$AS$1334,$B694)</f>
        <v>#VALUE!</v>
      </c>
      <c r="T694" s="188">
        <v>0.19914606383053654</v>
      </c>
      <c r="U694" s="189" t="e">
        <f t="shared" si="43"/>
        <v>#VALUE!</v>
      </c>
      <c r="V694" s="188">
        <v>0.19914606383053654</v>
      </c>
      <c r="W694" s="189" t="e">
        <f t="shared" si="40"/>
        <v>#VALUE!</v>
      </c>
      <c r="X694" s="188">
        <v>0.19914606383053654</v>
      </c>
      <c r="Y694" s="189" t="e">
        <f t="shared" si="41"/>
        <v>#VALUE!</v>
      </c>
      <c r="Z694" s="188">
        <v>0.19914606383053654</v>
      </c>
      <c r="AA694" s="189" t="e">
        <f t="shared" si="42"/>
        <v>#VALUE!</v>
      </c>
    </row>
    <row r="695" spans="1:27" x14ac:dyDescent="0.25">
      <c r="A695">
        <v>691000</v>
      </c>
      <c r="B695">
        <v>17031691000</v>
      </c>
      <c r="C695">
        <v>17031</v>
      </c>
      <c r="D695">
        <v>2010</v>
      </c>
      <c r="E695">
        <v>69</v>
      </c>
      <c r="F695">
        <v>6981701.5667099701</v>
      </c>
      <c r="G695" s="45">
        <v>0.25043408397576511</v>
      </c>
      <c r="H695" s="60" t="str">
        <f>_xlfn.IFNA(
INDEX('Community Areas'!B$2:B$78,MATCH($E695,'Community Areas'!$A$2:$A$78,0)),
"")</f>
        <v>GREATER GRAND CROSSING</v>
      </c>
      <c r="I695" s="63" t="str">
        <f>_xlfn.IFNA(
INDEX('Community Areas'!C$2:C$78,MATCH($E695,'Community Areas'!$A$2:$A$78,0)),
"")</f>
        <v>6-B</v>
      </c>
      <c r="J695" s="63">
        <f>_xlfn.IFNA(
INDEX('Community Areas'!D$2:D$78,MATCH($E695,'Community Areas'!$A$2:$A$78,0)),
"")</f>
        <v>6</v>
      </c>
      <c r="K695" s="60" t="str">
        <f>_xlfn.IFNA(
INDEX('Community Areas'!E$2:E$78,MATCH($E695,'Community Areas'!$A$2:$A$78,0)),
"")</f>
        <v>SOUTH</v>
      </c>
      <c r="L695" s="17" t="e">
        <f>SUMIFS([1]ACSDT5Y2020.B08301_data_with_ov!AT$3:AT$1334,[1]ACSDT5Y2020.B08301_data_with_ov!$AS$3:$AS$1334,$B695)</f>
        <v>#VALUE!</v>
      </c>
      <c r="M695" s="17" t="e">
        <f>SUMIFS([1]ACSDT5Y2020.B08301_data_with_ov!AU$3:AU$1334,[1]ACSDT5Y2020.B08301_data_with_ov!$AS$3:$AS$1334,$B695)</f>
        <v>#VALUE!</v>
      </c>
      <c r="N695" s="17" t="e">
        <f>SUMIFS([1]ACSDT5Y2020.B08301_data_with_ov!AV$3:AV$1334,[1]ACSDT5Y2020.B08301_data_with_ov!$AS$3:$AS$1334,$B695)</f>
        <v>#VALUE!</v>
      </c>
      <c r="O695" s="17" t="e">
        <f>SUMIFS([1]ACSDT5Y2020.B08301_data_with_ov!AW$3:AW$1334,[1]ACSDT5Y2020.B08301_data_with_ov!$AS$3:$AS$1334,$B695)</f>
        <v>#VALUE!</v>
      </c>
      <c r="P695" s="17" t="e">
        <f>SUMIFS([1]ACSDT5Y2020.B08301_data_with_ov!AX$3:AX$1334,[1]ACSDT5Y2020.B08301_data_with_ov!$AS$3:$AS$1334,$B695)</f>
        <v>#VALUE!</v>
      </c>
      <c r="Q695" s="17" t="e">
        <f>SUMIFS([1]ACSDT5Y2020.B08301_data_with_ov!AY$3:AY$1334,[1]ACSDT5Y2020.B08301_data_with_ov!$AS$3:$AS$1334,$B695)</f>
        <v>#VALUE!</v>
      </c>
      <c r="R695" s="17" t="e">
        <f>SUMIFS([1]ACSDT5Y2020.B08301_data_with_ov!AZ$3:AZ$1334,[1]ACSDT5Y2020.B08301_data_with_ov!$AS$3:$AS$1334,$B695)</f>
        <v>#VALUE!</v>
      </c>
      <c r="S695" s="17" t="e">
        <f>SUMIFS([1]ACSDT5Y2020.B08301_data_with_ov!BA$3:BA$1334,[1]ACSDT5Y2020.B08301_data_with_ov!$AS$3:$AS$1334,$B695)</f>
        <v>#VALUE!</v>
      </c>
      <c r="T695" s="188">
        <v>0.2504340862222168</v>
      </c>
      <c r="U695" s="189" t="e">
        <f t="shared" si="43"/>
        <v>#VALUE!</v>
      </c>
      <c r="V695" s="188">
        <v>0.2504340862222168</v>
      </c>
      <c r="W695" s="189" t="e">
        <f t="shared" si="40"/>
        <v>#VALUE!</v>
      </c>
      <c r="X695" s="188">
        <v>0.2504340862222168</v>
      </c>
      <c r="Y695" s="189" t="e">
        <f t="shared" si="41"/>
        <v>#VALUE!</v>
      </c>
      <c r="Z695" s="188">
        <v>0.2504340862222168</v>
      </c>
      <c r="AA695" s="189" t="e">
        <f t="shared" si="42"/>
        <v>#VALUE!</v>
      </c>
    </row>
    <row r="696" spans="1:27" x14ac:dyDescent="0.25">
      <c r="A696">
        <v>691200</v>
      </c>
      <c r="B696">
        <v>17031691200</v>
      </c>
      <c r="C696">
        <v>17031</v>
      </c>
      <c r="D696">
        <v>2010</v>
      </c>
      <c r="E696">
        <v>69</v>
      </c>
      <c r="F696">
        <v>10892803.204710601</v>
      </c>
      <c r="G696" s="45">
        <v>0.39072555113315688</v>
      </c>
      <c r="H696" s="60" t="str">
        <f>_xlfn.IFNA(
INDEX('Community Areas'!B$2:B$78,MATCH($E696,'Community Areas'!$A$2:$A$78,0)),
"")</f>
        <v>GREATER GRAND CROSSING</v>
      </c>
      <c r="I696" s="63" t="str">
        <f>_xlfn.IFNA(
INDEX('Community Areas'!C$2:C$78,MATCH($E696,'Community Areas'!$A$2:$A$78,0)),
"")</f>
        <v>6-B</v>
      </c>
      <c r="J696" s="63">
        <f>_xlfn.IFNA(
INDEX('Community Areas'!D$2:D$78,MATCH($E696,'Community Areas'!$A$2:$A$78,0)),
"")</f>
        <v>6</v>
      </c>
      <c r="K696" s="60" t="str">
        <f>_xlfn.IFNA(
INDEX('Community Areas'!E$2:E$78,MATCH($E696,'Community Areas'!$A$2:$A$78,0)),
"")</f>
        <v>SOUTH</v>
      </c>
      <c r="L696" s="17" t="e">
        <f>SUMIFS([1]ACSDT5Y2020.B08301_data_with_ov!AT$3:AT$1334,[1]ACSDT5Y2020.B08301_data_with_ov!$AS$3:$AS$1334,$B696)</f>
        <v>#VALUE!</v>
      </c>
      <c r="M696" s="17" t="e">
        <f>SUMIFS([1]ACSDT5Y2020.B08301_data_with_ov!AU$3:AU$1334,[1]ACSDT5Y2020.B08301_data_with_ov!$AS$3:$AS$1334,$B696)</f>
        <v>#VALUE!</v>
      </c>
      <c r="N696" s="17" t="e">
        <f>SUMIFS([1]ACSDT5Y2020.B08301_data_with_ov!AV$3:AV$1334,[1]ACSDT5Y2020.B08301_data_with_ov!$AS$3:$AS$1334,$B696)</f>
        <v>#VALUE!</v>
      </c>
      <c r="O696" s="17" t="e">
        <f>SUMIFS([1]ACSDT5Y2020.B08301_data_with_ov!AW$3:AW$1334,[1]ACSDT5Y2020.B08301_data_with_ov!$AS$3:$AS$1334,$B696)</f>
        <v>#VALUE!</v>
      </c>
      <c r="P696" s="17" t="e">
        <f>SUMIFS([1]ACSDT5Y2020.B08301_data_with_ov!AX$3:AX$1334,[1]ACSDT5Y2020.B08301_data_with_ov!$AS$3:$AS$1334,$B696)</f>
        <v>#VALUE!</v>
      </c>
      <c r="Q696" s="17" t="e">
        <f>SUMIFS([1]ACSDT5Y2020.B08301_data_with_ov!AY$3:AY$1334,[1]ACSDT5Y2020.B08301_data_with_ov!$AS$3:$AS$1334,$B696)</f>
        <v>#VALUE!</v>
      </c>
      <c r="R696" s="17" t="e">
        <f>SUMIFS([1]ACSDT5Y2020.B08301_data_with_ov!AZ$3:AZ$1334,[1]ACSDT5Y2020.B08301_data_with_ov!$AS$3:$AS$1334,$B696)</f>
        <v>#VALUE!</v>
      </c>
      <c r="S696" s="17" t="e">
        <f>SUMIFS([1]ACSDT5Y2020.B08301_data_with_ov!BA$3:BA$1334,[1]ACSDT5Y2020.B08301_data_with_ov!$AS$3:$AS$1334,$B696)</f>
        <v>#VALUE!</v>
      </c>
      <c r="T696" s="188">
        <v>0.3907255405975486</v>
      </c>
      <c r="U696" s="189" t="e">
        <f t="shared" si="43"/>
        <v>#VALUE!</v>
      </c>
      <c r="V696" s="188">
        <v>0.3907255405975486</v>
      </c>
      <c r="W696" s="189" t="e">
        <f t="shared" si="40"/>
        <v>#VALUE!</v>
      </c>
      <c r="X696" s="188">
        <v>0.3907255405975486</v>
      </c>
      <c r="Y696" s="189" t="e">
        <f t="shared" si="41"/>
        <v>#VALUE!</v>
      </c>
      <c r="Z696" s="188">
        <v>0.3907255405975486</v>
      </c>
      <c r="AA696" s="189" t="e">
        <f t="shared" si="42"/>
        <v>#VALUE!</v>
      </c>
    </row>
    <row r="697" spans="1:27" x14ac:dyDescent="0.25">
      <c r="A697">
        <v>71400</v>
      </c>
      <c r="B697">
        <v>17031071400</v>
      </c>
      <c r="C697">
        <v>17031</v>
      </c>
      <c r="D697">
        <v>2010</v>
      </c>
      <c r="E697">
        <v>7</v>
      </c>
      <c r="F697">
        <v>7241185.5706868703</v>
      </c>
      <c r="G697" s="45">
        <v>0.25974179187782909</v>
      </c>
      <c r="H697" s="60" t="str">
        <f>_xlfn.IFNA(
INDEX('Community Areas'!B$2:B$78,MATCH($E697,'Community Areas'!$A$2:$A$78,0)),
"")</f>
        <v>LINCOLN PARK</v>
      </c>
      <c r="I697" s="63" t="str">
        <f>_xlfn.IFNA(
INDEX('Community Areas'!C$2:C$78,MATCH($E697,'Community Areas'!$A$2:$A$78,0)),
"")</f>
        <v>1-B</v>
      </c>
      <c r="J697" s="63">
        <f>_xlfn.IFNA(
INDEX('Community Areas'!D$2:D$78,MATCH($E697,'Community Areas'!$A$2:$A$78,0)),
"")</f>
        <v>1</v>
      </c>
      <c r="K697" s="60" t="str">
        <f>_xlfn.IFNA(
INDEX('Community Areas'!E$2:E$78,MATCH($E697,'Community Areas'!$A$2:$A$78,0)),
"")</f>
        <v>NORTH</v>
      </c>
      <c r="L697" s="17" t="e">
        <f>SUMIFS([1]ACSDT5Y2020.B08301_data_with_ov!AT$3:AT$1334,[1]ACSDT5Y2020.B08301_data_with_ov!$AS$3:$AS$1334,$B697)</f>
        <v>#VALUE!</v>
      </c>
      <c r="M697" s="17" t="e">
        <f>SUMIFS([1]ACSDT5Y2020.B08301_data_with_ov!AU$3:AU$1334,[1]ACSDT5Y2020.B08301_data_with_ov!$AS$3:$AS$1334,$B697)</f>
        <v>#VALUE!</v>
      </c>
      <c r="N697" s="17" t="e">
        <f>SUMIFS([1]ACSDT5Y2020.B08301_data_with_ov!AV$3:AV$1334,[1]ACSDT5Y2020.B08301_data_with_ov!$AS$3:$AS$1334,$B697)</f>
        <v>#VALUE!</v>
      </c>
      <c r="O697" s="17" t="e">
        <f>SUMIFS([1]ACSDT5Y2020.B08301_data_with_ov!AW$3:AW$1334,[1]ACSDT5Y2020.B08301_data_with_ov!$AS$3:$AS$1334,$B697)</f>
        <v>#VALUE!</v>
      </c>
      <c r="P697" s="17" t="e">
        <f>SUMIFS([1]ACSDT5Y2020.B08301_data_with_ov!AX$3:AX$1334,[1]ACSDT5Y2020.B08301_data_with_ov!$AS$3:$AS$1334,$B697)</f>
        <v>#VALUE!</v>
      </c>
      <c r="Q697" s="17" t="e">
        <f>SUMIFS([1]ACSDT5Y2020.B08301_data_with_ov!AY$3:AY$1334,[1]ACSDT5Y2020.B08301_data_with_ov!$AS$3:$AS$1334,$B697)</f>
        <v>#VALUE!</v>
      </c>
      <c r="R697" s="17" t="e">
        <f>SUMIFS([1]ACSDT5Y2020.B08301_data_with_ov!AZ$3:AZ$1334,[1]ACSDT5Y2020.B08301_data_with_ov!$AS$3:$AS$1334,$B697)</f>
        <v>#VALUE!</v>
      </c>
      <c r="S697" s="17" t="e">
        <f>SUMIFS([1]ACSDT5Y2020.B08301_data_with_ov!BA$3:BA$1334,[1]ACSDT5Y2020.B08301_data_with_ov!$AS$3:$AS$1334,$B697)</f>
        <v>#VALUE!</v>
      </c>
      <c r="T697" s="188">
        <v>0.25974178938548625</v>
      </c>
      <c r="U697" s="189" t="e">
        <f t="shared" si="43"/>
        <v>#VALUE!</v>
      </c>
      <c r="V697" s="188">
        <v>0.25974178938548625</v>
      </c>
      <c r="W697" s="189" t="e">
        <f t="shared" si="40"/>
        <v>#VALUE!</v>
      </c>
      <c r="X697" s="188">
        <v>0.25974178938548625</v>
      </c>
      <c r="Y697" s="189" t="e">
        <f t="shared" si="41"/>
        <v>#VALUE!</v>
      </c>
      <c r="Z697" s="188">
        <v>0.25974178938548625</v>
      </c>
      <c r="AA697" s="189" t="e">
        <f t="shared" si="42"/>
        <v>#VALUE!</v>
      </c>
    </row>
    <row r="698" spans="1:27" x14ac:dyDescent="0.25">
      <c r="A698">
        <v>71500</v>
      </c>
      <c r="B698">
        <v>17031071500</v>
      </c>
      <c r="C698">
        <v>17031</v>
      </c>
      <c r="D698">
        <v>2010</v>
      </c>
      <c r="E698">
        <v>7</v>
      </c>
      <c r="F698">
        <v>9880960.2293686308</v>
      </c>
      <c r="G698" s="45">
        <v>0.35443067856722876</v>
      </c>
      <c r="H698" s="60" t="str">
        <f>_xlfn.IFNA(
INDEX('Community Areas'!B$2:B$78,MATCH($E698,'Community Areas'!$A$2:$A$78,0)),
"")</f>
        <v>LINCOLN PARK</v>
      </c>
      <c r="I698" s="63" t="str">
        <f>_xlfn.IFNA(
INDEX('Community Areas'!C$2:C$78,MATCH($E698,'Community Areas'!$A$2:$A$78,0)),
"")</f>
        <v>1-B</v>
      </c>
      <c r="J698" s="63">
        <f>_xlfn.IFNA(
INDEX('Community Areas'!D$2:D$78,MATCH($E698,'Community Areas'!$A$2:$A$78,0)),
"")</f>
        <v>1</v>
      </c>
      <c r="K698" s="60" t="str">
        <f>_xlfn.IFNA(
INDEX('Community Areas'!E$2:E$78,MATCH($E698,'Community Areas'!$A$2:$A$78,0)),
"")</f>
        <v>NORTH</v>
      </c>
      <c r="L698" s="17" t="e">
        <f>SUMIFS([1]ACSDT5Y2020.B08301_data_with_ov!AT$3:AT$1334,[1]ACSDT5Y2020.B08301_data_with_ov!$AS$3:$AS$1334,$B698)</f>
        <v>#VALUE!</v>
      </c>
      <c r="M698" s="17" t="e">
        <f>SUMIFS([1]ACSDT5Y2020.B08301_data_with_ov!AU$3:AU$1334,[1]ACSDT5Y2020.B08301_data_with_ov!$AS$3:$AS$1334,$B698)</f>
        <v>#VALUE!</v>
      </c>
      <c r="N698" s="17" t="e">
        <f>SUMIFS([1]ACSDT5Y2020.B08301_data_with_ov!AV$3:AV$1334,[1]ACSDT5Y2020.B08301_data_with_ov!$AS$3:$AS$1334,$B698)</f>
        <v>#VALUE!</v>
      </c>
      <c r="O698" s="17" t="e">
        <f>SUMIFS([1]ACSDT5Y2020.B08301_data_with_ov!AW$3:AW$1334,[1]ACSDT5Y2020.B08301_data_with_ov!$AS$3:$AS$1334,$B698)</f>
        <v>#VALUE!</v>
      </c>
      <c r="P698" s="17" t="e">
        <f>SUMIFS([1]ACSDT5Y2020.B08301_data_with_ov!AX$3:AX$1334,[1]ACSDT5Y2020.B08301_data_with_ov!$AS$3:$AS$1334,$B698)</f>
        <v>#VALUE!</v>
      </c>
      <c r="Q698" s="17" t="e">
        <f>SUMIFS([1]ACSDT5Y2020.B08301_data_with_ov!AY$3:AY$1334,[1]ACSDT5Y2020.B08301_data_with_ov!$AS$3:$AS$1334,$B698)</f>
        <v>#VALUE!</v>
      </c>
      <c r="R698" s="17" t="e">
        <f>SUMIFS([1]ACSDT5Y2020.B08301_data_with_ov!AZ$3:AZ$1334,[1]ACSDT5Y2020.B08301_data_with_ov!$AS$3:$AS$1334,$B698)</f>
        <v>#VALUE!</v>
      </c>
      <c r="S698" s="17" t="e">
        <f>SUMIFS([1]ACSDT5Y2020.B08301_data_with_ov!BA$3:BA$1334,[1]ACSDT5Y2020.B08301_data_with_ov!$AS$3:$AS$1334,$B698)</f>
        <v>#VALUE!</v>
      </c>
      <c r="T698" s="188">
        <v>0.35443067958641461</v>
      </c>
      <c r="U698" s="189" t="e">
        <f t="shared" si="43"/>
        <v>#VALUE!</v>
      </c>
      <c r="V698" s="188">
        <v>0.35443067958641461</v>
      </c>
      <c r="W698" s="189" t="e">
        <f t="shared" si="40"/>
        <v>#VALUE!</v>
      </c>
      <c r="X698" s="188">
        <v>0.35443067958641461</v>
      </c>
      <c r="Y698" s="189" t="e">
        <f t="shared" si="41"/>
        <v>#VALUE!</v>
      </c>
      <c r="Z698" s="188">
        <v>0.35443067958641461</v>
      </c>
      <c r="AA698" s="189" t="e">
        <f t="shared" si="42"/>
        <v>#VALUE!</v>
      </c>
    </row>
    <row r="699" spans="1:27" x14ac:dyDescent="0.25">
      <c r="A699">
        <v>70500</v>
      </c>
      <c r="B699">
        <v>17031070500</v>
      </c>
      <c r="C699">
        <v>17031</v>
      </c>
      <c r="D699">
        <v>2010</v>
      </c>
      <c r="E699">
        <v>7</v>
      </c>
      <c r="F699">
        <v>3287720.4017465799</v>
      </c>
      <c r="G699" s="45">
        <v>0.11793074214253974</v>
      </c>
      <c r="H699" s="60" t="str">
        <f>_xlfn.IFNA(
INDEX('Community Areas'!B$2:B$78,MATCH($E699,'Community Areas'!$A$2:$A$78,0)),
"")</f>
        <v>LINCOLN PARK</v>
      </c>
      <c r="I699" s="63" t="str">
        <f>_xlfn.IFNA(
INDEX('Community Areas'!C$2:C$78,MATCH($E699,'Community Areas'!$A$2:$A$78,0)),
"")</f>
        <v>1-B</v>
      </c>
      <c r="J699" s="63">
        <f>_xlfn.IFNA(
INDEX('Community Areas'!D$2:D$78,MATCH($E699,'Community Areas'!$A$2:$A$78,0)),
"")</f>
        <v>1</v>
      </c>
      <c r="K699" s="60" t="str">
        <f>_xlfn.IFNA(
INDEX('Community Areas'!E$2:E$78,MATCH($E699,'Community Areas'!$A$2:$A$78,0)),
"")</f>
        <v>NORTH</v>
      </c>
      <c r="L699" s="17" t="e">
        <f>SUMIFS([1]ACSDT5Y2020.B08301_data_with_ov!AT$3:AT$1334,[1]ACSDT5Y2020.B08301_data_with_ov!$AS$3:$AS$1334,$B699)</f>
        <v>#VALUE!</v>
      </c>
      <c r="M699" s="17" t="e">
        <f>SUMIFS([1]ACSDT5Y2020.B08301_data_with_ov!AU$3:AU$1334,[1]ACSDT5Y2020.B08301_data_with_ov!$AS$3:$AS$1334,$B699)</f>
        <v>#VALUE!</v>
      </c>
      <c r="N699" s="17" t="e">
        <f>SUMIFS([1]ACSDT5Y2020.B08301_data_with_ov!AV$3:AV$1334,[1]ACSDT5Y2020.B08301_data_with_ov!$AS$3:$AS$1334,$B699)</f>
        <v>#VALUE!</v>
      </c>
      <c r="O699" s="17" t="e">
        <f>SUMIFS([1]ACSDT5Y2020.B08301_data_with_ov!AW$3:AW$1334,[1]ACSDT5Y2020.B08301_data_with_ov!$AS$3:$AS$1334,$B699)</f>
        <v>#VALUE!</v>
      </c>
      <c r="P699" s="17" t="e">
        <f>SUMIFS([1]ACSDT5Y2020.B08301_data_with_ov!AX$3:AX$1334,[1]ACSDT5Y2020.B08301_data_with_ov!$AS$3:$AS$1334,$B699)</f>
        <v>#VALUE!</v>
      </c>
      <c r="Q699" s="17" t="e">
        <f>SUMIFS([1]ACSDT5Y2020.B08301_data_with_ov!AY$3:AY$1334,[1]ACSDT5Y2020.B08301_data_with_ov!$AS$3:$AS$1334,$B699)</f>
        <v>#VALUE!</v>
      </c>
      <c r="R699" s="17" t="e">
        <f>SUMIFS([1]ACSDT5Y2020.B08301_data_with_ov!AZ$3:AZ$1334,[1]ACSDT5Y2020.B08301_data_with_ov!$AS$3:$AS$1334,$B699)</f>
        <v>#VALUE!</v>
      </c>
      <c r="S699" s="17" t="e">
        <f>SUMIFS([1]ACSDT5Y2020.B08301_data_with_ov!BA$3:BA$1334,[1]ACSDT5Y2020.B08301_data_with_ov!$AS$3:$AS$1334,$B699)</f>
        <v>#VALUE!</v>
      </c>
      <c r="T699" s="188">
        <v>0.11793074550313504</v>
      </c>
      <c r="U699" s="189" t="e">
        <f t="shared" si="43"/>
        <v>#VALUE!</v>
      </c>
      <c r="V699" s="188">
        <v>0.11793074550313504</v>
      </c>
      <c r="W699" s="189" t="e">
        <f t="shared" si="40"/>
        <v>#VALUE!</v>
      </c>
      <c r="X699" s="188">
        <v>0.11793074550313504</v>
      </c>
      <c r="Y699" s="189" t="e">
        <f t="shared" si="41"/>
        <v>#VALUE!</v>
      </c>
      <c r="Z699" s="188">
        <v>0.11793074550313504</v>
      </c>
      <c r="AA699" s="189" t="e">
        <f t="shared" si="42"/>
        <v>#VALUE!</v>
      </c>
    </row>
    <row r="700" spans="1:27" x14ac:dyDescent="0.25">
      <c r="A700">
        <v>71200</v>
      </c>
      <c r="B700">
        <v>17031071200</v>
      </c>
      <c r="C700">
        <v>17031</v>
      </c>
      <c r="D700">
        <v>2010</v>
      </c>
      <c r="E700">
        <v>7</v>
      </c>
      <c r="F700">
        <v>3501076.0335418</v>
      </c>
      <c r="G700" s="45">
        <v>0.12558382236935406</v>
      </c>
      <c r="H700" s="60" t="str">
        <f>_xlfn.IFNA(
INDEX('Community Areas'!B$2:B$78,MATCH($E700,'Community Areas'!$A$2:$A$78,0)),
"")</f>
        <v>LINCOLN PARK</v>
      </c>
      <c r="I700" s="63" t="str">
        <f>_xlfn.IFNA(
INDEX('Community Areas'!C$2:C$78,MATCH($E700,'Community Areas'!$A$2:$A$78,0)),
"")</f>
        <v>1-B</v>
      </c>
      <c r="J700" s="63">
        <f>_xlfn.IFNA(
INDEX('Community Areas'!D$2:D$78,MATCH($E700,'Community Areas'!$A$2:$A$78,0)),
"")</f>
        <v>1</v>
      </c>
      <c r="K700" s="60" t="str">
        <f>_xlfn.IFNA(
INDEX('Community Areas'!E$2:E$78,MATCH($E700,'Community Areas'!$A$2:$A$78,0)),
"")</f>
        <v>NORTH</v>
      </c>
      <c r="L700" s="17" t="e">
        <f>SUMIFS([1]ACSDT5Y2020.B08301_data_with_ov!AT$3:AT$1334,[1]ACSDT5Y2020.B08301_data_with_ov!$AS$3:$AS$1334,$B700)</f>
        <v>#VALUE!</v>
      </c>
      <c r="M700" s="17" t="e">
        <f>SUMIFS([1]ACSDT5Y2020.B08301_data_with_ov!AU$3:AU$1334,[1]ACSDT5Y2020.B08301_data_with_ov!$AS$3:$AS$1334,$B700)</f>
        <v>#VALUE!</v>
      </c>
      <c r="N700" s="17" t="e">
        <f>SUMIFS([1]ACSDT5Y2020.B08301_data_with_ov!AV$3:AV$1334,[1]ACSDT5Y2020.B08301_data_with_ov!$AS$3:$AS$1334,$B700)</f>
        <v>#VALUE!</v>
      </c>
      <c r="O700" s="17" t="e">
        <f>SUMIFS([1]ACSDT5Y2020.B08301_data_with_ov!AW$3:AW$1334,[1]ACSDT5Y2020.B08301_data_with_ov!$AS$3:$AS$1334,$B700)</f>
        <v>#VALUE!</v>
      </c>
      <c r="P700" s="17" t="e">
        <f>SUMIFS([1]ACSDT5Y2020.B08301_data_with_ov!AX$3:AX$1334,[1]ACSDT5Y2020.B08301_data_with_ov!$AS$3:$AS$1334,$B700)</f>
        <v>#VALUE!</v>
      </c>
      <c r="Q700" s="17" t="e">
        <f>SUMIFS([1]ACSDT5Y2020.B08301_data_with_ov!AY$3:AY$1334,[1]ACSDT5Y2020.B08301_data_with_ov!$AS$3:$AS$1334,$B700)</f>
        <v>#VALUE!</v>
      </c>
      <c r="R700" s="17" t="e">
        <f>SUMIFS([1]ACSDT5Y2020.B08301_data_with_ov!AZ$3:AZ$1334,[1]ACSDT5Y2020.B08301_data_with_ov!$AS$3:$AS$1334,$B700)</f>
        <v>#VALUE!</v>
      </c>
      <c r="S700" s="17" t="e">
        <f>SUMIFS([1]ACSDT5Y2020.B08301_data_with_ov!BA$3:BA$1334,[1]ACSDT5Y2020.B08301_data_with_ov!$AS$3:$AS$1334,$B700)</f>
        <v>#VALUE!</v>
      </c>
      <c r="T700" s="188">
        <v>0.1255838199411749</v>
      </c>
      <c r="U700" s="189" t="e">
        <f t="shared" si="43"/>
        <v>#VALUE!</v>
      </c>
      <c r="V700" s="188">
        <v>0.1255838199411749</v>
      </c>
      <c r="W700" s="189" t="e">
        <f t="shared" si="40"/>
        <v>#VALUE!</v>
      </c>
      <c r="X700" s="188">
        <v>0.1255838199411749</v>
      </c>
      <c r="Y700" s="189" t="e">
        <f t="shared" si="41"/>
        <v>#VALUE!</v>
      </c>
      <c r="Z700" s="188">
        <v>0.1255838199411749</v>
      </c>
      <c r="AA700" s="189" t="e">
        <f t="shared" si="42"/>
        <v>#VALUE!</v>
      </c>
    </row>
    <row r="701" spans="1:27" x14ac:dyDescent="0.25">
      <c r="A701">
        <v>71600</v>
      </c>
      <c r="B701">
        <v>17031071600</v>
      </c>
      <c r="C701">
        <v>17031</v>
      </c>
      <c r="D701">
        <v>2010</v>
      </c>
      <c r="E701">
        <v>7</v>
      </c>
      <c r="F701">
        <v>1744860.0552883099</v>
      </c>
      <c r="G701" s="45">
        <v>6.2588242341321959E-2</v>
      </c>
      <c r="H701" s="60" t="str">
        <f>_xlfn.IFNA(
INDEX('Community Areas'!B$2:B$78,MATCH($E701,'Community Areas'!$A$2:$A$78,0)),
"")</f>
        <v>LINCOLN PARK</v>
      </c>
      <c r="I701" s="63" t="str">
        <f>_xlfn.IFNA(
INDEX('Community Areas'!C$2:C$78,MATCH($E701,'Community Areas'!$A$2:$A$78,0)),
"")</f>
        <v>1-B</v>
      </c>
      <c r="J701" s="63">
        <f>_xlfn.IFNA(
INDEX('Community Areas'!D$2:D$78,MATCH($E701,'Community Areas'!$A$2:$A$78,0)),
"")</f>
        <v>1</v>
      </c>
      <c r="K701" s="60" t="str">
        <f>_xlfn.IFNA(
INDEX('Community Areas'!E$2:E$78,MATCH($E701,'Community Areas'!$A$2:$A$78,0)),
"")</f>
        <v>NORTH</v>
      </c>
      <c r="L701" s="17" t="e">
        <f>SUMIFS([1]ACSDT5Y2020.B08301_data_with_ov!AT$3:AT$1334,[1]ACSDT5Y2020.B08301_data_with_ov!$AS$3:$AS$1334,$B701)</f>
        <v>#VALUE!</v>
      </c>
      <c r="M701" s="17" t="e">
        <f>SUMIFS([1]ACSDT5Y2020.B08301_data_with_ov!AU$3:AU$1334,[1]ACSDT5Y2020.B08301_data_with_ov!$AS$3:$AS$1334,$B701)</f>
        <v>#VALUE!</v>
      </c>
      <c r="N701" s="17" t="e">
        <f>SUMIFS([1]ACSDT5Y2020.B08301_data_with_ov!AV$3:AV$1334,[1]ACSDT5Y2020.B08301_data_with_ov!$AS$3:$AS$1334,$B701)</f>
        <v>#VALUE!</v>
      </c>
      <c r="O701" s="17" t="e">
        <f>SUMIFS([1]ACSDT5Y2020.B08301_data_with_ov!AW$3:AW$1334,[1]ACSDT5Y2020.B08301_data_with_ov!$AS$3:$AS$1334,$B701)</f>
        <v>#VALUE!</v>
      </c>
      <c r="P701" s="17" t="e">
        <f>SUMIFS([1]ACSDT5Y2020.B08301_data_with_ov!AX$3:AX$1334,[1]ACSDT5Y2020.B08301_data_with_ov!$AS$3:$AS$1334,$B701)</f>
        <v>#VALUE!</v>
      </c>
      <c r="Q701" s="17" t="e">
        <f>SUMIFS([1]ACSDT5Y2020.B08301_data_with_ov!AY$3:AY$1334,[1]ACSDT5Y2020.B08301_data_with_ov!$AS$3:$AS$1334,$B701)</f>
        <v>#VALUE!</v>
      </c>
      <c r="R701" s="17" t="e">
        <f>SUMIFS([1]ACSDT5Y2020.B08301_data_with_ov!AZ$3:AZ$1334,[1]ACSDT5Y2020.B08301_data_with_ov!$AS$3:$AS$1334,$B701)</f>
        <v>#VALUE!</v>
      </c>
      <c r="S701" s="17" t="e">
        <f>SUMIFS([1]ACSDT5Y2020.B08301_data_with_ov!BA$3:BA$1334,[1]ACSDT5Y2020.B08301_data_with_ov!$AS$3:$AS$1334,$B701)</f>
        <v>#VALUE!</v>
      </c>
      <c r="T701" s="188">
        <v>6.2588246190225405E-2</v>
      </c>
      <c r="U701" s="189" t="e">
        <f t="shared" si="43"/>
        <v>#VALUE!</v>
      </c>
      <c r="V701" s="188">
        <v>6.2588246190225405E-2</v>
      </c>
      <c r="W701" s="189" t="e">
        <f t="shared" si="40"/>
        <v>#VALUE!</v>
      </c>
      <c r="X701" s="188">
        <v>6.2588246190225405E-2</v>
      </c>
      <c r="Y701" s="189" t="e">
        <f t="shared" si="41"/>
        <v>#VALUE!</v>
      </c>
      <c r="Z701" s="188">
        <v>6.2588246190225405E-2</v>
      </c>
      <c r="AA701" s="189" t="e">
        <f t="shared" si="42"/>
        <v>#VALUE!</v>
      </c>
    </row>
    <row r="702" spans="1:27" x14ac:dyDescent="0.25">
      <c r="A702">
        <v>71800</v>
      </c>
      <c r="B702">
        <v>17031071800</v>
      </c>
      <c r="C702">
        <v>17031</v>
      </c>
      <c r="D702">
        <v>2010</v>
      </c>
      <c r="E702">
        <v>7</v>
      </c>
      <c r="F702">
        <v>3480213.5529323798</v>
      </c>
      <c r="G702" s="45">
        <v>0.12483548384887153</v>
      </c>
      <c r="H702" s="60" t="str">
        <f>_xlfn.IFNA(
INDEX('Community Areas'!B$2:B$78,MATCH($E702,'Community Areas'!$A$2:$A$78,0)),
"")</f>
        <v>LINCOLN PARK</v>
      </c>
      <c r="I702" s="63" t="str">
        <f>_xlfn.IFNA(
INDEX('Community Areas'!C$2:C$78,MATCH($E702,'Community Areas'!$A$2:$A$78,0)),
"")</f>
        <v>1-B</v>
      </c>
      <c r="J702" s="63">
        <f>_xlfn.IFNA(
INDEX('Community Areas'!D$2:D$78,MATCH($E702,'Community Areas'!$A$2:$A$78,0)),
"")</f>
        <v>1</v>
      </c>
      <c r="K702" s="60" t="str">
        <f>_xlfn.IFNA(
INDEX('Community Areas'!E$2:E$78,MATCH($E702,'Community Areas'!$A$2:$A$78,0)),
"")</f>
        <v>NORTH</v>
      </c>
      <c r="L702" s="17" t="e">
        <f>SUMIFS([1]ACSDT5Y2020.B08301_data_with_ov!AT$3:AT$1334,[1]ACSDT5Y2020.B08301_data_with_ov!$AS$3:$AS$1334,$B702)</f>
        <v>#VALUE!</v>
      </c>
      <c r="M702" s="17" t="e">
        <f>SUMIFS([1]ACSDT5Y2020.B08301_data_with_ov!AU$3:AU$1334,[1]ACSDT5Y2020.B08301_data_with_ov!$AS$3:$AS$1334,$B702)</f>
        <v>#VALUE!</v>
      </c>
      <c r="N702" s="17" t="e">
        <f>SUMIFS([1]ACSDT5Y2020.B08301_data_with_ov!AV$3:AV$1334,[1]ACSDT5Y2020.B08301_data_with_ov!$AS$3:$AS$1334,$B702)</f>
        <v>#VALUE!</v>
      </c>
      <c r="O702" s="17" t="e">
        <f>SUMIFS([1]ACSDT5Y2020.B08301_data_with_ov!AW$3:AW$1334,[1]ACSDT5Y2020.B08301_data_with_ov!$AS$3:$AS$1334,$B702)</f>
        <v>#VALUE!</v>
      </c>
      <c r="P702" s="17" t="e">
        <f>SUMIFS([1]ACSDT5Y2020.B08301_data_with_ov!AX$3:AX$1334,[1]ACSDT5Y2020.B08301_data_with_ov!$AS$3:$AS$1334,$B702)</f>
        <v>#VALUE!</v>
      </c>
      <c r="Q702" s="17" t="e">
        <f>SUMIFS([1]ACSDT5Y2020.B08301_data_with_ov!AY$3:AY$1334,[1]ACSDT5Y2020.B08301_data_with_ov!$AS$3:$AS$1334,$B702)</f>
        <v>#VALUE!</v>
      </c>
      <c r="R702" s="17" t="e">
        <f>SUMIFS([1]ACSDT5Y2020.B08301_data_with_ov!AZ$3:AZ$1334,[1]ACSDT5Y2020.B08301_data_with_ov!$AS$3:$AS$1334,$B702)</f>
        <v>#VALUE!</v>
      </c>
      <c r="S702" s="17" t="e">
        <f>SUMIFS([1]ACSDT5Y2020.B08301_data_with_ov!BA$3:BA$1334,[1]ACSDT5Y2020.B08301_data_with_ov!$AS$3:$AS$1334,$B702)</f>
        <v>#VALUE!</v>
      </c>
      <c r="T702" s="188">
        <v>0.12483548275629808</v>
      </c>
      <c r="U702" s="189" t="e">
        <f t="shared" si="43"/>
        <v>#VALUE!</v>
      </c>
      <c r="V702" s="188">
        <v>0.12483548275629808</v>
      </c>
      <c r="W702" s="189" t="e">
        <f t="shared" si="40"/>
        <v>#VALUE!</v>
      </c>
      <c r="X702" s="188">
        <v>0.12483548275629808</v>
      </c>
      <c r="Y702" s="189" t="e">
        <f t="shared" si="41"/>
        <v>#VALUE!</v>
      </c>
      <c r="Z702" s="188">
        <v>0.12483548275629808</v>
      </c>
      <c r="AA702" s="189" t="e">
        <f t="shared" si="42"/>
        <v>#VALUE!</v>
      </c>
    </row>
    <row r="703" spans="1:27" x14ac:dyDescent="0.25">
      <c r="A703">
        <v>832500</v>
      </c>
      <c r="B703">
        <v>17031832500</v>
      </c>
      <c r="C703">
        <v>17031</v>
      </c>
      <c r="D703">
        <v>2010</v>
      </c>
      <c r="E703">
        <v>7</v>
      </c>
      <c r="F703">
        <v>8365877.1447064802</v>
      </c>
      <c r="G703" s="45">
        <v>0.30008455093213671</v>
      </c>
      <c r="H703" s="60" t="str">
        <f>_xlfn.IFNA(
INDEX('Community Areas'!B$2:B$78,MATCH($E703,'Community Areas'!$A$2:$A$78,0)),
"")</f>
        <v>LINCOLN PARK</v>
      </c>
      <c r="I703" s="63" t="str">
        <f>_xlfn.IFNA(
INDEX('Community Areas'!C$2:C$78,MATCH($E703,'Community Areas'!$A$2:$A$78,0)),
"")</f>
        <v>1-B</v>
      </c>
      <c r="J703" s="63">
        <f>_xlfn.IFNA(
INDEX('Community Areas'!D$2:D$78,MATCH($E703,'Community Areas'!$A$2:$A$78,0)),
"")</f>
        <v>1</v>
      </c>
      <c r="K703" s="60" t="str">
        <f>_xlfn.IFNA(
INDEX('Community Areas'!E$2:E$78,MATCH($E703,'Community Areas'!$A$2:$A$78,0)),
"")</f>
        <v>NORTH</v>
      </c>
      <c r="L703" s="17" t="e">
        <f>SUMIFS([1]ACSDT5Y2020.B08301_data_with_ov!AT$3:AT$1334,[1]ACSDT5Y2020.B08301_data_with_ov!$AS$3:$AS$1334,$B703)</f>
        <v>#VALUE!</v>
      </c>
      <c r="M703" s="17" t="e">
        <f>SUMIFS([1]ACSDT5Y2020.B08301_data_with_ov!AU$3:AU$1334,[1]ACSDT5Y2020.B08301_data_with_ov!$AS$3:$AS$1334,$B703)</f>
        <v>#VALUE!</v>
      </c>
      <c r="N703" s="17" t="e">
        <f>SUMIFS([1]ACSDT5Y2020.B08301_data_with_ov!AV$3:AV$1334,[1]ACSDT5Y2020.B08301_data_with_ov!$AS$3:$AS$1334,$B703)</f>
        <v>#VALUE!</v>
      </c>
      <c r="O703" s="17" t="e">
        <f>SUMIFS([1]ACSDT5Y2020.B08301_data_with_ov!AW$3:AW$1334,[1]ACSDT5Y2020.B08301_data_with_ov!$AS$3:$AS$1334,$B703)</f>
        <v>#VALUE!</v>
      </c>
      <c r="P703" s="17" t="e">
        <f>SUMIFS([1]ACSDT5Y2020.B08301_data_with_ov!AX$3:AX$1334,[1]ACSDT5Y2020.B08301_data_with_ov!$AS$3:$AS$1334,$B703)</f>
        <v>#VALUE!</v>
      </c>
      <c r="Q703" s="17" t="e">
        <f>SUMIFS([1]ACSDT5Y2020.B08301_data_with_ov!AY$3:AY$1334,[1]ACSDT5Y2020.B08301_data_with_ov!$AS$3:$AS$1334,$B703)</f>
        <v>#VALUE!</v>
      </c>
      <c r="R703" s="17" t="e">
        <f>SUMIFS([1]ACSDT5Y2020.B08301_data_with_ov!AZ$3:AZ$1334,[1]ACSDT5Y2020.B08301_data_with_ov!$AS$3:$AS$1334,$B703)</f>
        <v>#VALUE!</v>
      </c>
      <c r="S703" s="17" t="e">
        <f>SUMIFS([1]ACSDT5Y2020.B08301_data_with_ov!BA$3:BA$1334,[1]ACSDT5Y2020.B08301_data_with_ov!$AS$3:$AS$1334,$B703)</f>
        <v>#VALUE!</v>
      </c>
      <c r="T703" s="188">
        <v>0.30008454617240587</v>
      </c>
      <c r="U703" s="189" t="e">
        <f t="shared" si="43"/>
        <v>#VALUE!</v>
      </c>
      <c r="V703" s="188">
        <v>0.30008454617240587</v>
      </c>
      <c r="W703" s="189" t="e">
        <f t="shared" si="40"/>
        <v>#VALUE!</v>
      </c>
      <c r="X703" s="188">
        <v>0.30008454617240587</v>
      </c>
      <c r="Y703" s="189" t="e">
        <f t="shared" si="41"/>
        <v>#VALUE!</v>
      </c>
      <c r="Z703" s="188">
        <v>0.30008454617240587</v>
      </c>
      <c r="AA703" s="189" t="e">
        <f t="shared" si="42"/>
        <v>#VALUE!</v>
      </c>
    </row>
    <row r="704" spans="1:27" x14ac:dyDescent="0.25">
      <c r="A704">
        <v>70103</v>
      </c>
      <c r="B704">
        <v>17031070103</v>
      </c>
      <c r="C704">
        <v>17031</v>
      </c>
      <c r="D704">
        <v>2010</v>
      </c>
      <c r="E704">
        <v>7</v>
      </c>
      <c r="F704">
        <v>743761.22763238102</v>
      </c>
      <c r="G704" s="45">
        <v>2.6678763043516882E-2</v>
      </c>
      <c r="H704" s="60" t="str">
        <f>_xlfn.IFNA(
INDEX('Community Areas'!B$2:B$78,MATCH($E704,'Community Areas'!$A$2:$A$78,0)),
"")</f>
        <v>LINCOLN PARK</v>
      </c>
      <c r="I704" s="63" t="str">
        <f>_xlfn.IFNA(
INDEX('Community Areas'!C$2:C$78,MATCH($E704,'Community Areas'!$A$2:$A$78,0)),
"")</f>
        <v>1-B</v>
      </c>
      <c r="J704" s="63">
        <f>_xlfn.IFNA(
INDEX('Community Areas'!D$2:D$78,MATCH($E704,'Community Areas'!$A$2:$A$78,0)),
"")</f>
        <v>1</v>
      </c>
      <c r="K704" s="60" t="str">
        <f>_xlfn.IFNA(
INDEX('Community Areas'!E$2:E$78,MATCH($E704,'Community Areas'!$A$2:$A$78,0)),
"")</f>
        <v>NORTH</v>
      </c>
      <c r="L704" s="17" t="e">
        <f>SUMIFS([1]ACSDT5Y2020.B08301_data_with_ov!AT$3:AT$1334,[1]ACSDT5Y2020.B08301_data_with_ov!$AS$3:$AS$1334,$B704)</f>
        <v>#VALUE!</v>
      </c>
      <c r="M704" s="17" t="e">
        <f>SUMIFS([1]ACSDT5Y2020.B08301_data_with_ov!AU$3:AU$1334,[1]ACSDT5Y2020.B08301_data_with_ov!$AS$3:$AS$1334,$B704)</f>
        <v>#VALUE!</v>
      </c>
      <c r="N704" s="17" t="e">
        <f>SUMIFS([1]ACSDT5Y2020.B08301_data_with_ov!AV$3:AV$1334,[1]ACSDT5Y2020.B08301_data_with_ov!$AS$3:$AS$1334,$B704)</f>
        <v>#VALUE!</v>
      </c>
      <c r="O704" s="17" t="e">
        <f>SUMIFS([1]ACSDT5Y2020.B08301_data_with_ov!AW$3:AW$1334,[1]ACSDT5Y2020.B08301_data_with_ov!$AS$3:$AS$1334,$B704)</f>
        <v>#VALUE!</v>
      </c>
      <c r="P704" s="17" t="e">
        <f>SUMIFS([1]ACSDT5Y2020.B08301_data_with_ov!AX$3:AX$1334,[1]ACSDT5Y2020.B08301_data_with_ov!$AS$3:$AS$1334,$B704)</f>
        <v>#VALUE!</v>
      </c>
      <c r="Q704" s="17" t="e">
        <f>SUMIFS([1]ACSDT5Y2020.B08301_data_with_ov!AY$3:AY$1334,[1]ACSDT5Y2020.B08301_data_with_ov!$AS$3:$AS$1334,$B704)</f>
        <v>#VALUE!</v>
      </c>
      <c r="R704" s="17" t="e">
        <f>SUMIFS([1]ACSDT5Y2020.B08301_data_with_ov!AZ$3:AZ$1334,[1]ACSDT5Y2020.B08301_data_with_ov!$AS$3:$AS$1334,$B704)</f>
        <v>#VALUE!</v>
      </c>
      <c r="S704" s="17" t="e">
        <f>SUMIFS([1]ACSDT5Y2020.B08301_data_with_ov!BA$3:BA$1334,[1]ACSDT5Y2020.B08301_data_with_ov!$AS$3:$AS$1334,$B704)</f>
        <v>#VALUE!</v>
      </c>
      <c r="T704" s="188">
        <v>2.6678761245214323E-2</v>
      </c>
      <c r="U704" s="189" t="e">
        <f t="shared" si="43"/>
        <v>#VALUE!</v>
      </c>
      <c r="V704" s="188">
        <v>2.6678761245214323E-2</v>
      </c>
      <c r="W704" s="189" t="e">
        <f t="shared" si="40"/>
        <v>#VALUE!</v>
      </c>
      <c r="X704" s="188">
        <v>2.6678761245214323E-2</v>
      </c>
      <c r="Y704" s="189" t="e">
        <f t="shared" si="41"/>
        <v>#VALUE!</v>
      </c>
      <c r="Z704" s="188">
        <v>2.6678761245214323E-2</v>
      </c>
      <c r="AA704" s="189" t="e">
        <f t="shared" si="42"/>
        <v>#VALUE!</v>
      </c>
    </row>
    <row r="705" spans="1:27" x14ac:dyDescent="0.25">
      <c r="A705">
        <v>71700</v>
      </c>
      <c r="B705">
        <v>17031071700</v>
      </c>
      <c r="C705">
        <v>17031</v>
      </c>
      <c r="D705">
        <v>2010</v>
      </c>
      <c r="E705">
        <v>7</v>
      </c>
      <c r="F705">
        <v>1721825.24093172</v>
      </c>
      <c r="G705" s="45">
        <v>6.1761982069692668E-2</v>
      </c>
      <c r="H705" s="60" t="str">
        <f>_xlfn.IFNA(
INDEX('Community Areas'!B$2:B$78,MATCH($E705,'Community Areas'!$A$2:$A$78,0)),
"")</f>
        <v>LINCOLN PARK</v>
      </c>
      <c r="I705" s="63" t="str">
        <f>_xlfn.IFNA(
INDEX('Community Areas'!C$2:C$78,MATCH($E705,'Community Areas'!$A$2:$A$78,0)),
"")</f>
        <v>1-B</v>
      </c>
      <c r="J705" s="63">
        <f>_xlfn.IFNA(
INDEX('Community Areas'!D$2:D$78,MATCH($E705,'Community Areas'!$A$2:$A$78,0)),
"")</f>
        <v>1</v>
      </c>
      <c r="K705" s="60" t="str">
        <f>_xlfn.IFNA(
INDEX('Community Areas'!E$2:E$78,MATCH($E705,'Community Areas'!$A$2:$A$78,0)),
"")</f>
        <v>NORTH</v>
      </c>
      <c r="L705" s="17" t="e">
        <f>SUMIFS([1]ACSDT5Y2020.B08301_data_with_ov!AT$3:AT$1334,[1]ACSDT5Y2020.B08301_data_with_ov!$AS$3:$AS$1334,$B705)</f>
        <v>#VALUE!</v>
      </c>
      <c r="M705" s="17" t="e">
        <f>SUMIFS([1]ACSDT5Y2020.B08301_data_with_ov!AU$3:AU$1334,[1]ACSDT5Y2020.B08301_data_with_ov!$AS$3:$AS$1334,$B705)</f>
        <v>#VALUE!</v>
      </c>
      <c r="N705" s="17" t="e">
        <f>SUMIFS([1]ACSDT5Y2020.B08301_data_with_ov!AV$3:AV$1334,[1]ACSDT5Y2020.B08301_data_with_ov!$AS$3:$AS$1334,$B705)</f>
        <v>#VALUE!</v>
      </c>
      <c r="O705" s="17" t="e">
        <f>SUMIFS([1]ACSDT5Y2020.B08301_data_with_ov!AW$3:AW$1334,[1]ACSDT5Y2020.B08301_data_with_ov!$AS$3:$AS$1334,$B705)</f>
        <v>#VALUE!</v>
      </c>
      <c r="P705" s="17" t="e">
        <f>SUMIFS([1]ACSDT5Y2020.B08301_data_with_ov!AX$3:AX$1334,[1]ACSDT5Y2020.B08301_data_with_ov!$AS$3:$AS$1334,$B705)</f>
        <v>#VALUE!</v>
      </c>
      <c r="Q705" s="17" t="e">
        <f>SUMIFS([1]ACSDT5Y2020.B08301_data_with_ov!AY$3:AY$1334,[1]ACSDT5Y2020.B08301_data_with_ov!$AS$3:$AS$1334,$B705)</f>
        <v>#VALUE!</v>
      </c>
      <c r="R705" s="17" t="e">
        <f>SUMIFS([1]ACSDT5Y2020.B08301_data_with_ov!AZ$3:AZ$1334,[1]ACSDT5Y2020.B08301_data_with_ov!$AS$3:$AS$1334,$B705)</f>
        <v>#VALUE!</v>
      </c>
      <c r="S705" s="17" t="e">
        <f>SUMIFS([1]ACSDT5Y2020.B08301_data_with_ov!BA$3:BA$1334,[1]ACSDT5Y2020.B08301_data_with_ov!$AS$3:$AS$1334,$B705)</f>
        <v>#VALUE!</v>
      </c>
      <c r="T705" s="188">
        <v>6.1761979859701416E-2</v>
      </c>
      <c r="U705" s="189" t="e">
        <f t="shared" si="43"/>
        <v>#VALUE!</v>
      </c>
      <c r="V705" s="188">
        <v>6.1761979859701416E-2</v>
      </c>
      <c r="W705" s="189" t="e">
        <f t="shared" si="40"/>
        <v>#VALUE!</v>
      </c>
      <c r="X705" s="188">
        <v>6.1761979859701416E-2</v>
      </c>
      <c r="Y705" s="189" t="e">
        <f t="shared" si="41"/>
        <v>#VALUE!</v>
      </c>
      <c r="Z705" s="188">
        <v>6.1761979859701416E-2</v>
      </c>
      <c r="AA705" s="189" t="e">
        <f t="shared" si="42"/>
        <v>#VALUE!</v>
      </c>
    </row>
    <row r="706" spans="1:27" x14ac:dyDescent="0.25">
      <c r="A706">
        <v>71300</v>
      </c>
      <c r="B706">
        <v>17031071300</v>
      </c>
      <c r="C706">
        <v>17031</v>
      </c>
      <c r="D706">
        <v>2010</v>
      </c>
      <c r="E706">
        <v>7</v>
      </c>
      <c r="F706">
        <v>3330019.5987438899</v>
      </c>
      <c r="G706" s="45">
        <v>0.1194480170577899</v>
      </c>
      <c r="H706" s="60" t="str">
        <f>_xlfn.IFNA(
INDEX('Community Areas'!B$2:B$78,MATCH($E706,'Community Areas'!$A$2:$A$78,0)),
"")</f>
        <v>LINCOLN PARK</v>
      </c>
      <c r="I706" s="63" t="str">
        <f>_xlfn.IFNA(
INDEX('Community Areas'!C$2:C$78,MATCH($E706,'Community Areas'!$A$2:$A$78,0)),
"")</f>
        <v>1-B</v>
      </c>
      <c r="J706" s="63">
        <f>_xlfn.IFNA(
INDEX('Community Areas'!D$2:D$78,MATCH($E706,'Community Areas'!$A$2:$A$78,0)),
"")</f>
        <v>1</v>
      </c>
      <c r="K706" s="60" t="str">
        <f>_xlfn.IFNA(
INDEX('Community Areas'!E$2:E$78,MATCH($E706,'Community Areas'!$A$2:$A$78,0)),
"")</f>
        <v>NORTH</v>
      </c>
      <c r="L706" s="17" t="e">
        <f>SUMIFS([1]ACSDT5Y2020.B08301_data_with_ov!AT$3:AT$1334,[1]ACSDT5Y2020.B08301_data_with_ov!$AS$3:$AS$1334,$B706)</f>
        <v>#VALUE!</v>
      </c>
      <c r="M706" s="17" t="e">
        <f>SUMIFS([1]ACSDT5Y2020.B08301_data_with_ov!AU$3:AU$1334,[1]ACSDT5Y2020.B08301_data_with_ov!$AS$3:$AS$1334,$B706)</f>
        <v>#VALUE!</v>
      </c>
      <c r="N706" s="17" t="e">
        <f>SUMIFS([1]ACSDT5Y2020.B08301_data_with_ov!AV$3:AV$1334,[1]ACSDT5Y2020.B08301_data_with_ov!$AS$3:$AS$1334,$B706)</f>
        <v>#VALUE!</v>
      </c>
      <c r="O706" s="17" t="e">
        <f>SUMIFS([1]ACSDT5Y2020.B08301_data_with_ov!AW$3:AW$1334,[1]ACSDT5Y2020.B08301_data_with_ov!$AS$3:$AS$1334,$B706)</f>
        <v>#VALUE!</v>
      </c>
      <c r="P706" s="17" t="e">
        <f>SUMIFS([1]ACSDT5Y2020.B08301_data_with_ov!AX$3:AX$1334,[1]ACSDT5Y2020.B08301_data_with_ov!$AS$3:$AS$1334,$B706)</f>
        <v>#VALUE!</v>
      </c>
      <c r="Q706" s="17" t="e">
        <f>SUMIFS([1]ACSDT5Y2020.B08301_data_with_ov!AY$3:AY$1334,[1]ACSDT5Y2020.B08301_data_with_ov!$AS$3:$AS$1334,$B706)</f>
        <v>#VALUE!</v>
      </c>
      <c r="R706" s="17" t="e">
        <f>SUMIFS([1]ACSDT5Y2020.B08301_data_with_ov!AZ$3:AZ$1334,[1]ACSDT5Y2020.B08301_data_with_ov!$AS$3:$AS$1334,$B706)</f>
        <v>#VALUE!</v>
      </c>
      <c r="S706" s="17" t="e">
        <f>SUMIFS([1]ACSDT5Y2020.B08301_data_with_ov!BA$3:BA$1334,[1]ACSDT5Y2020.B08301_data_with_ov!$AS$3:$AS$1334,$B706)</f>
        <v>#VALUE!</v>
      </c>
      <c r="T706" s="188">
        <v>0.119448011626169</v>
      </c>
      <c r="U706" s="189" t="e">
        <f t="shared" si="43"/>
        <v>#VALUE!</v>
      </c>
      <c r="V706" s="188">
        <v>0.119448011626169</v>
      </c>
      <c r="W706" s="189" t="e">
        <f t="shared" si="40"/>
        <v>#VALUE!</v>
      </c>
      <c r="X706" s="188">
        <v>0.119448011626169</v>
      </c>
      <c r="Y706" s="189" t="e">
        <f t="shared" si="41"/>
        <v>#VALUE!</v>
      </c>
      <c r="Z706" s="188">
        <v>0.119448011626169</v>
      </c>
      <c r="AA706" s="189" t="e">
        <f t="shared" si="42"/>
        <v>#VALUE!</v>
      </c>
    </row>
    <row r="707" spans="1:27" x14ac:dyDescent="0.25">
      <c r="A707">
        <v>70200</v>
      </c>
      <c r="B707">
        <v>17031070200</v>
      </c>
      <c r="C707">
        <v>17031</v>
      </c>
      <c r="D707">
        <v>2010</v>
      </c>
      <c r="E707">
        <v>7</v>
      </c>
      <c r="F707">
        <v>3674641.11505841</v>
      </c>
      <c r="G707" s="45">
        <v>0.13180961299997165</v>
      </c>
      <c r="H707" s="60" t="str">
        <f>_xlfn.IFNA(
INDEX('Community Areas'!B$2:B$78,MATCH($E707,'Community Areas'!$A$2:$A$78,0)),
"")</f>
        <v>LINCOLN PARK</v>
      </c>
      <c r="I707" s="63" t="str">
        <f>_xlfn.IFNA(
INDEX('Community Areas'!C$2:C$78,MATCH($E707,'Community Areas'!$A$2:$A$78,0)),
"")</f>
        <v>1-B</v>
      </c>
      <c r="J707" s="63">
        <f>_xlfn.IFNA(
INDEX('Community Areas'!D$2:D$78,MATCH($E707,'Community Areas'!$A$2:$A$78,0)),
"")</f>
        <v>1</v>
      </c>
      <c r="K707" s="60" t="str">
        <f>_xlfn.IFNA(
INDEX('Community Areas'!E$2:E$78,MATCH($E707,'Community Areas'!$A$2:$A$78,0)),
"")</f>
        <v>NORTH</v>
      </c>
      <c r="L707" s="17" t="e">
        <f>SUMIFS([1]ACSDT5Y2020.B08301_data_with_ov!AT$3:AT$1334,[1]ACSDT5Y2020.B08301_data_with_ov!$AS$3:$AS$1334,$B707)</f>
        <v>#VALUE!</v>
      </c>
      <c r="M707" s="17" t="e">
        <f>SUMIFS([1]ACSDT5Y2020.B08301_data_with_ov!AU$3:AU$1334,[1]ACSDT5Y2020.B08301_data_with_ov!$AS$3:$AS$1334,$B707)</f>
        <v>#VALUE!</v>
      </c>
      <c r="N707" s="17" t="e">
        <f>SUMIFS([1]ACSDT5Y2020.B08301_data_with_ov!AV$3:AV$1334,[1]ACSDT5Y2020.B08301_data_with_ov!$AS$3:$AS$1334,$B707)</f>
        <v>#VALUE!</v>
      </c>
      <c r="O707" s="17" t="e">
        <f>SUMIFS([1]ACSDT5Y2020.B08301_data_with_ov!AW$3:AW$1334,[1]ACSDT5Y2020.B08301_data_with_ov!$AS$3:$AS$1334,$B707)</f>
        <v>#VALUE!</v>
      </c>
      <c r="P707" s="17" t="e">
        <f>SUMIFS([1]ACSDT5Y2020.B08301_data_with_ov!AX$3:AX$1334,[1]ACSDT5Y2020.B08301_data_with_ov!$AS$3:$AS$1334,$B707)</f>
        <v>#VALUE!</v>
      </c>
      <c r="Q707" s="17" t="e">
        <f>SUMIFS([1]ACSDT5Y2020.B08301_data_with_ov!AY$3:AY$1334,[1]ACSDT5Y2020.B08301_data_with_ov!$AS$3:$AS$1334,$B707)</f>
        <v>#VALUE!</v>
      </c>
      <c r="R707" s="17" t="e">
        <f>SUMIFS([1]ACSDT5Y2020.B08301_data_with_ov!AZ$3:AZ$1334,[1]ACSDT5Y2020.B08301_data_with_ov!$AS$3:$AS$1334,$B707)</f>
        <v>#VALUE!</v>
      </c>
      <c r="S707" s="17" t="e">
        <f>SUMIFS([1]ACSDT5Y2020.B08301_data_with_ov!BA$3:BA$1334,[1]ACSDT5Y2020.B08301_data_with_ov!$AS$3:$AS$1334,$B707)</f>
        <v>#VALUE!</v>
      </c>
      <c r="T707" s="188">
        <v>0.1318096072736373</v>
      </c>
      <c r="U707" s="189" t="e">
        <f t="shared" si="43"/>
        <v>#VALUE!</v>
      </c>
      <c r="V707" s="188">
        <v>0.1318096072736373</v>
      </c>
      <c r="W707" s="189" t="e">
        <f t="shared" si="40"/>
        <v>#VALUE!</v>
      </c>
      <c r="X707" s="188">
        <v>0.1318096072736373</v>
      </c>
      <c r="Y707" s="189" t="e">
        <f t="shared" si="41"/>
        <v>#VALUE!</v>
      </c>
      <c r="Z707" s="188">
        <v>0.1318096072736373</v>
      </c>
      <c r="AA707" s="189" t="e">
        <f t="shared" si="42"/>
        <v>#VALUE!</v>
      </c>
    </row>
    <row r="708" spans="1:27" x14ac:dyDescent="0.25">
      <c r="A708">
        <v>70101</v>
      </c>
      <c r="B708">
        <v>17031070101</v>
      </c>
      <c r="C708">
        <v>17031</v>
      </c>
      <c r="D708">
        <v>2010</v>
      </c>
      <c r="E708">
        <v>7</v>
      </c>
      <c r="F708">
        <v>7243914.85787067</v>
      </c>
      <c r="G708" s="45">
        <v>0.25983969158454823</v>
      </c>
      <c r="H708" s="60" t="str">
        <f>_xlfn.IFNA(
INDEX('Community Areas'!B$2:B$78,MATCH($E708,'Community Areas'!$A$2:$A$78,0)),
"")</f>
        <v>LINCOLN PARK</v>
      </c>
      <c r="I708" s="63" t="str">
        <f>_xlfn.IFNA(
INDEX('Community Areas'!C$2:C$78,MATCH($E708,'Community Areas'!$A$2:$A$78,0)),
"")</f>
        <v>1-B</v>
      </c>
      <c r="J708" s="63">
        <f>_xlfn.IFNA(
INDEX('Community Areas'!D$2:D$78,MATCH($E708,'Community Areas'!$A$2:$A$78,0)),
"")</f>
        <v>1</v>
      </c>
      <c r="K708" s="60" t="str">
        <f>_xlfn.IFNA(
INDEX('Community Areas'!E$2:E$78,MATCH($E708,'Community Areas'!$A$2:$A$78,0)),
"")</f>
        <v>NORTH</v>
      </c>
      <c r="L708" s="17" t="e">
        <f>SUMIFS([1]ACSDT5Y2020.B08301_data_with_ov!AT$3:AT$1334,[1]ACSDT5Y2020.B08301_data_with_ov!$AS$3:$AS$1334,$B708)</f>
        <v>#VALUE!</v>
      </c>
      <c r="M708" s="17" t="e">
        <f>SUMIFS([1]ACSDT5Y2020.B08301_data_with_ov!AU$3:AU$1334,[1]ACSDT5Y2020.B08301_data_with_ov!$AS$3:$AS$1334,$B708)</f>
        <v>#VALUE!</v>
      </c>
      <c r="N708" s="17" t="e">
        <f>SUMIFS([1]ACSDT5Y2020.B08301_data_with_ov!AV$3:AV$1334,[1]ACSDT5Y2020.B08301_data_with_ov!$AS$3:$AS$1334,$B708)</f>
        <v>#VALUE!</v>
      </c>
      <c r="O708" s="17" t="e">
        <f>SUMIFS([1]ACSDT5Y2020.B08301_data_with_ov!AW$3:AW$1334,[1]ACSDT5Y2020.B08301_data_with_ov!$AS$3:$AS$1334,$B708)</f>
        <v>#VALUE!</v>
      </c>
      <c r="P708" s="17" t="e">
        <f>SUMIFS([1]ACSDT5Y2020.B08301_data_with_ov!AX$3:AX$1334,[1]ACSDT5Y2020.B08301_data_with_ov!$AS$3:$AS$1334,$B708)</f>
        <v>#VALUE!</v>
      </c>
      <c r="Q708" s="17" t="e">
        <f>SUMIFS([1]ACSDT5Y2020.B08301_data_with_ov!AY$3:AY$1334,[1]ACSDT5Y2020.B08301_data_with_ov!$AS$3:$AS$1334,$B708)</f>
        <v>#VALUE!</v>
      </c>
      <c r="R708" s="17" t="e">
        <f>SUMIFS([1]ACSDT5Y2020.B08301_data_with_ov!AZ$3:AZ$1334,[1]ACSDT5Y2020.B08301_data_with_ov!$AS$3:$AS$1334,$B708)</f>
        <v>#VALUE!</v>
      </c>
      <c r="S708" s="17" t="e">
        <f>SUMIFS([1]ACSDT5Y2020.B08301_data_with_ov!BA$3:BA$1334,[1]ACSDT5Y2020.B08301_data_with_ov!$AS$3:$AS$1334,$B708)</f>
        <v>#VALUE!</v>
      </c>
      <c r="T708" s="188">
        <v>0.2598396924226089</v>
      </c>
      <c r="U708" s="189" t="e">
        <f t="shared" si="43"/>
        <v>#VALUE!</v>
      </c>
      <c r="V708" s="188">
        <v>0.2598396924226089</v>
      </c>
      <c r="W708" s="189" t="e">
        <f t="shared" si="40"/>
        <v>#VALUE!</v>
      </c>
      <c r="X708" s="188">
        <v>0.2598396924226089</v>
      </c>
      <c r="Y708" s="189" t="e">
        <f t="shared" si="41"/>
        <v>#VALUE!</v>
      </c>
      <c r="Z708" s="188">
        <v>0.2598396924226089</v>
      </c>
      <c r="AA708" s="189" t="e">
        <f t="shared" si="42"/>
        <v>#VALUE!</v>
      </c>
    </row>
    <row r="709" spans="1:27" x14ac:dyDescent="0.25">
      <c r="A709">
        <v>832600</v>
      </c>
      <c r="B709">
        <v>17031832600</v>
      </c>
      <c r="C709">
        <v>17031</v>
      </c>
      <c r="D709">
        <v>2010</v>
      </c>
      <c r="E709">
        <v>7</v>
      </c>
      <c r="F709">
        <v>7709694.6438394403</v>
      </c>
      <c r="G709" s="45">
        <v>0.27654724244717921</v>
      </c>
      <c r="H709" s="60" t="str">
        <f>_xlfn.IFNA(
INDEX('Community Areas'!B$2:B$78,MATCH($E709,'Community Areas'!$A$2:$A$78,0)),
"")</f>
        <v>LINCOLN PARK</v>
      </c>
      <c r="I709" s="63" t="str">
        <f>_xlfn.IFNA(
INDEX('Community Areas'!C$2:C$78,MATCH($E709,'Community Areas'!$A$2:$A$78,0)),
"")</f>
        <v>1-B</v>
      </c>
      <c r="J709" s="63">
        <f>_xlfn.IFNA(
INDEX('Community Areas'!D$2:D$78,MATCH($E709,'Community Areas'!$A$2:$A$78,0)),
"")</f>
        <v>1</v>
      </c>
      <c r="K709" s="60" t="str">
        <f>_xlfn.IFNA(
INDEX('Community Areas'!E$2:E$78,MATCH($E709,'Community Areas'!$A$2:$A$78,0)),
"")</f>
        <v>NORTH</v>
      </c>
      <c r="L709" s="17" t="e">
        <f>SUMIFS([1]ACSDT5Y2020.B08301_data_with_ov!AT$3:AT$1334,[1]ACSDT5Y2020.B08301_data_with_ov!$AS$3:$AS$1334,$B709)</f>
        <v>#VALUE!</v>
      </c>
      <c r="M709" s="17" t="e">
        <f>SUMIFS([1]ACSDT5Y2020.B08301_data_with_ov!AU$3:AU$1334,[1]ACSDT5Y2020.B08301_data_with_ov!$AS$3:$AS$1334,$B709)</f>
        <v>#VALUE!</v>
      </c>
      <c r="N709" s="17" t="e">
        <f>SUMIFS([1]ACSDT5Y2020.B08301_data_with_ov!AV$3:AV$1334,[1]ACSDT5Y2020.B08301_data_with_ov!$AS$3:$AS$1334,$B709)</f>
        <v>#VALUE!</v>
      </c>
      <c r="O709" s="17" t="e">
        <f>SUMIFS([1]ACSDT5Y2020.B08301_data_with_ov!AW$3:AW$1334,[1]ACSDT5Y2020.B08301_data_with_ov!$AS$3:$AS$1334,$B709)</f>
        <v>#VALUE!</v>
      </c>
      <c r="P709" s="17" t="e">
        <f>SUMIFS([1]ACSDT5Y2020.B08301_data_with_ov!AX$3:AX$1334,[1]ACSDT5Y2020.B08301_data_with_ov!$AS$3:$AS$1334,$B709)</f>
        <v>#VALUE!</v>
      </c>
      <c r="Q709" s="17" t="e">
        <f>SUMIFS([1]ACSDT5Y2020.B08301_data_with_ov!AY$3:AY$1334,[1]ACSDT5Y2020.B08301_data_with_ov!$AS$3:$AS$1334,$B709)</f>
        <v>#VALUE!</v>
      </c>
      <c r="R709" s="17" t="e">
        <f>SUMIFS([1]ACSDT5Y2020.B08301_data_with_ov!AZ$3:AZ$1334,[1]ACSDT5Y2020.B08301_data_with_ov!$AS$3:$AS$1334,$B709)</f>
        <v>#VALUE!</v>
      </c>
      <c r="S709" s="17" t="e">
        <f>SUMIFS([1]ACSDT5Y2020.B08301_data_with_ov!BA$3:BA$1334,[1]ACSDT5Y2020.B08301_data_with_ov!$AS$3:$AS$1334,$B709)</f>
        <v>#VALUE!</v>
      </c>
      <c r="T709" s="188">
        <v>0.27654724630004485</v>
      </c>
      <c r="U709" s="189" t="e">
        <f t="shared" si="43"/>
        <v>#VALUE!</v>
      </c>
      <c r="V709" s="188">
        <v>0.27654724630004485</v>
      </c>
      <c r="W709" s="189" t="e">
        <f t="shared" si="40"/>
        <v>#VALUE!</v>
      </c>
      <c r="X709" s="188">
        <v>0.27654724630004485</v>
      </c>
      <c r="Y709" s="189" t="e">
        <f t="shared" si="41"/>
        <v>#VALUE!</v>
      </c>
      <c r="Z709" s="188">
        <v>0.27654724630004485</v>
      </c>
      <c r="AA709" s="189" t="e">
        <f t="shared" si="42"/>
        <v>#VALUE!</v>
      </c>
    </row>
    <row r="710" spans="1:27" x14ac:dyDescent="0.25">
      <c r="A710">
        <v>71000</v>
      </c>
      <c r="B710">
        <v>17031071000</v>
      </c>
      <c r="C710">
        <v>17031</v>
      </c>
      <c r="D710">
        <v>2010</v>
      </c>
      <c r="E710">
        <v>7</v>
      </c>
      <c r="F710">
        <v>3494553.5451551699</v>
      </c>
      <c r="G710" s="45">
        <v>0.12534986029166559</v>
      </c>
      <c r="H710" s="60" t="str">
        <f>_xlfn.IFNA(
INDEX('Community Areas'!B$2:B$78,MATCH($E710,'Community Areas'!$A$2:$A$78,0)),
"")</f>
        <v>LINCOLN PARK</v>
      </c>
      <c r="I710" s="63" t="str">
        <f>_xlfn.IFNA(
INDEX('Community Areas'!C$2:C$78,MATCH($E710,'Community Areas'!$A$2:$A$78,0)),
"")</f>
        <v>1-B</v>
      </c>
      <c r="J710" s="63">
        <f>_xlfn.IFNA(
INDEX('Community Areas'!D$2:D$78,MATCH($E710,'Community Areas'!$A$2:$A$78,0)),
"")</f>
        <v>1</v>
      </c>
      <c r="K710" s="60" t="str">
        <f>_xlfn.IFNA(
INDEX('Community Areas'!E$2:E$78,MATCH($E710,'Community Areas'!$A$2:$A$78,0)),
"")</f>
        <v>NORTH</v>
      </c>
      <c r="L710" s="17" t="e">
        <f>SUMIFS([1]ACSDT5Y2020.B08301_data_with_ov!AT$3:AT$1334,[1]ACSDT5Y2020.B08301_data_with_ov!$AS$3:$AS$1334,$B710)</f>
        <v>#VALUE!</v>
      </c>
      <c r="M710" s="17" t="e">
        <f>SUMIFS([1]ACSDT5Y2020.B08301_data_with_ov!AU$3:AU$1334,[1]ACSDT5Y2020.B08301_data_with_ov!$AS$3:$AS$1334,$B710)</f>
        <v>#VALUE!</v>
      </c>
      <c r="N710" s="17" t="e">
        <f>SUMIFS([1]ACSDT5Y2020.B08301_data_with_ov!AV$3:AV$1334,[1]ACSDT5Y2020.B08301_data_with_ov!$AS$3:$AS$1334,$B710)</f>
        <v>#VALUE!</v>
      </c>
      <c r="O710" s="17" t="e">
        <f>SUMIFS([1]ACSDT5Y2020.B08301_data_with_ov!AW$3:AW$1334,[1]ACSDT5Y2020.B08301_data_with_ov!$AS$3:$AS$1334,$B710)</f>
        <v>#VALUE!</v>
      </c>
      <c r="P710" s="17" t="e">
        <f>SUMIFS([1]ACSDT5Y2020.B08301_data_with_ov!AX$3:AX$1334,[1]ACSDT5Y2020.B08301_data_with_ov!$AS$3:$AS$1334,$B710)</f>
        <v>#VALUE!</v>
      </c>
      <c r="Q710" s="17" t="e">
        <f>SUMIFS([1]ACSDT5Y2020.B08301_data_with_ov!AY$3:AY$1334,[1]ACSDT5Y2020.B08301_data_with_ov!$AS$3:$AS$1334,$B710)</f>
        <v>#VALUE!</v>
      </c>
      <c r="R710" s="17" t="e">
        <f>SUMIFS([1]ACSDT5Y2020.B08301_data_with_ov!AZ$3:AZ$1334,[1]ACSDT5Y2020.B08301_data_with_ov!$AS$3:$AS$1334,$B710)</f>
        <v>#VALUE!</v>
      </c>
      <c r="S710" s="17" t="e">
        <f>SUMIFS([1]ACSDT5Y2020.B08301_data_with_ov!BA$3:BA$1334,[1]ACSDT5Y2020.B08301_data_with_ov!$AS$3:$AS$1334,$B710)</f>
        <v>#VALUE!</v>
      </c>
      <c r="T710" s="188">
        <v>0.12534986075757901</v>
      </c>
      <c r="U710" s="189" t="e">
        <f t="shared" si="43"/>
        <v>#VALUE!</v>
      </c>
      <c r="V710" s="188">
        <v>0.12534986075757901</v>
      </c>
      <c r="W710" s="189" t="e">
        <f t="shared" ref="W710:W773" si="44">(V710/$G710)*$L710</f>
        <v>#VALUE!</v>
      </c>
      <c r="X710" s="188">
        <v>0.12534986075757901</v>
      </c>
      <c r="Y710" s="189" t="e">
        <f t="shared" ref="Y710:Y773" si="45">(X710/$G710)*$L710</f>
        <v>#VALUE!</v>
      </c>
      <c r="Z710" s="188">
        <v>0.12534986075757901</v>
      </c>
      <c r="AA710" s="189" t="e">
        <f t="shared" ref="AA710:AA773" si="46">(Z710/$G710)*$L710</f>
        <v>#VALUE!</v>
      </c>
    </row>
    <row r="711" spans="1:27" x14ac:dyDescent="0.25">
      <c r="A711">
        <v>70600</v>
      </c>
      <c r="B711">
        <v>17031070600</v>
      </c>
      <c r="C711">
        <v>17031</v>
      </c>
      <c r="D711">
        <v>2010</v>
      </c>
      <c r="E711">
        <v>7</v>
      </c>
      <c r="F711">
        <v>3693654.4347714698</v>
      </c>
      <c r="G711" s="45">
        <v>0.13249162200023926</v>
      </c>
      <c r="H711" s="60" t="str">
        <f>_xlfn.IFNA(
INDEX('Community Areas'!B$2:B$78,MATCH($E711,'Community Areas'!$A$2:$A$78,0)),
"")</f>
        <v>LINCOLN PARK</v>
      </c>
      <c r="I711" s="63" t="str">
        <f>_xlfn.IFNA(
INDEX('Community Areas'!C$2:C$78,MATCH($E711,'Community Areas'!$A$2:$A$78,0)),
"")</f>
        <v>1-B</v>
      </c>
      <c r="J711" s="63">
        <f>_xlfn.IFNA(
INDEX('Community Areas'!D$2:D$78,MATCH($E711,'Community Areas'!$A$2:$A$78,0)),
"")</f>
        <v>1</v>
      </c>
      <c r="K711" s="60" t="str">
        <f>_xlfn.IFNA(
INDEX('Community Areas'!E$2:E$78,MATCH($E711,'Community Areas'!$A$2:$A$78,0)),
"")</f>
        <v>NORTH</v>
      </c>
      <c r="L711" s="17" t="e">
        <f>SUMIFS([1]ACSDT5Y2020.B08301_data_with_ov!AT$3:AT$1334,[1]ACSDT5Y2020.B08301_data_with_ov!$AS$3:$AS$1334,$B711)</f>
        <v>#VALUE!</v>
      </c>
      <c r="M711" s="17" t="e">
        <f>SUMIFS([1]ACSDT5Y2020.B08301_data_with_ov!AU$3:AU$1334,[1]ACSDT5Y2020.B08301_data_with_ov!$AS$3:$AS$1334,$B711)</f>
        <v>#VALUE!</v>
      </c>
      <c r="N711" s="17" t="e">
        <f>SUMIFS([1]ACSDT5Y2020.B08301_data_with_ov!AV$3:AV$1334,[1]ACSDT5Y2020.B08301_data_with_ov!$AS$3:$AS$1334,$B711)</f>
        <v>#VALUE!</v>
      </c>
      <c r="O711" s="17" t="e">
        <f>SUMIFS([1]ACSDT5Y2020.B08301_data_with_ov!AW$3:AW$1334,[1]ACSDT5Y2020.B08301_data_with_ov!$AS$3:$AS$1334,$B711)</f>
        <v>#VALUE!</v>
      </c>
      <c r="P711" s="17" t="e">
        <f>SUMIFS([1]ACSDT5Y2020.B08301_data_with_ov!AX$3:AX$1334,[1]ACSDT5Y2020.B08301_data_with_ov!$AS$3:$AS$1334,$B711)</f>
        <v>#VALUE!</v>
      </c>
      <c r="Q711" s="17" t="e">
        <f>SUMIFS([1]ACSDT5Y2020.B08301_data_with_ov!AY$3:AY$1334,[1]ACSDT5Y2020.B08301_data_with_ov!$AS$3:$AS$1334,$B711)</f>
        <v>#VALUE!</v>
      </c>
      <c r="R711" s="17" t="e">
        <f>SUMIFS([1]ACSDT5Y2020.B08301_data_with_ov!AZ$3:AZ$1334,[1]ACSDT5Y2020.B08301_data_with_ov!$AS$3:$AS$1334,$B711)</f>
        <v>#VALUE!</v>
      </c>
      <c r="S711" s="17" t="e">
        <f>SUMIFS([1]ACSDT5Y2020.B08301_data_with_ov!BA$3:BA$1334,[1]ACSDT5Y2020.B08301_data_with_ov!$AS$3:$AS$1334,$B711)</f>
        <v>#VALUE!</v>
      </c>
      <c r="T711" s="188">
        <v>0.13249162548687407</v>
      </c>
      <c r="U711" s="189" t="e">
        <f t="shared" ref="U711:U774" si="47">(T711/$G711)*$L711</f>
        <v>#VALUE!</v>
      </c>
      <c r="V711" s="188">
        <v>0.13249162548687407</v>
      </c>
      <c r="W711" s="189" t="e">
        <f t="shared" si="44"/>
        <v>#VALUE!</v>
      </c>
      <c r="X711" s="188">
        <v>0.13249162548687407</v>
      </c>
      <c r="Y711" s="189" t="e">
        <f t="shared" si="45"/>
        <v>#VALUE!</v>
      </c>
      <c r="Z711" s="188">
        <v>0.13249162548687407</v>
      </c>
      <c r="AA711" s="189" t="e">
        <f t="shared" si="46"/>
        <v>#VALUE!</v>
      </c>
    </row>
    <row r="712" spans="1:27" x14ac:dyDescent="0.25">
      <c r="A712">
        <v>71100</v>
      </c>
      <c r="B712">
        <v>17031071100</v>
      </c>
      <c r="C712">
        <v>17031</v>
      </c>
      <c r="D712">
        <v>2010</v>
      </c>
      <c r="E712">
        <v>7</v>
      </c>
      <c r="F712">
        <v>3503041.8066452299</v>
      </c>
      <c r="G712" s="45">
        <v>0.12565433477693233</v>
      </c>
      <c r="H712" s="60" t="str">
        <f>_xlfn.IFNA(
INDEX('Community Areas'!B$2:B$78,MATCH($E712,'Community Areas'!$A$2:$A$78,0)),
"")</f>
        <v>LINCOLN PARK</v>
      </c>
      <c r="I712" s="63" t="str">
        <f>_xlfn.IFNA(
INDEX('Community Areas'!C$2:C$78,MATCH($E712,'Community Areas'!$A$2:$A$78,0)),
"")</f>
        <v>1-B</v>
      </c>
      <c r="J712" s="63">
        <f>_xlfn.IFNA(
INDEX('Community Areas'!D$2:D$78,MATCH($E712,'Community Areas'!$A$2:$A$78,0)),
"")</f>
        <v>1</v>
      </c>
      <c r="K712" s="60" t="str">
        <f>_xlfn.IFNA(
INDEX('Community Areas'!E$2:E$78,MATCH($E712,'Community Areas'!$A$2:$A$78,0)),
"")</f>
        <v>NORTH</v>
      </c>
      <c r="L712" s="17" t="e">
        <f>SUMIFS([1]ACSDT5Y2020.B08301_data_with_ov!AT$3:AT$1334,[1]ACSDT5Y2020.B08301_data_with_ov!$AS$3:$AS$1334,$B712)</f>
        <v>#VALUE!</v>
      </c>
      <c r="M712" s="17" t="e">
        <f>SUMIFS([1]ACSDT5Y2020.B08301_data_with_ov!AU$3:AU$1334,[1]ACSDT5Y2020.B08301_data_with_ov!$AS$3:$AS$1334,$B712)</f>
        <v>#VALUE!</v>
      </c>
      <c r="N712" s="17" t="e">
        <f>SUMIFS([1]ACSDT5Y2020.B08301_data_with_ov!AV$3:AV$1334,[1]ACSDT5Y2020.B08301_data_with_ov!$AS$3:$AS$1334,$B712)</f>
        <v>#VALUE!</v>
      </c>
      <c r="O712" s="17" t="e">
        <f>SUMIFS([1]ACSDT5Y2020.B08301_data_with_ov!AW$3:AW$1334,[1]ACSDT5Y2020.B08301_data_with_ov!$AS$3:$AS$1334,$B712)</f>
        <v>#VALUE!</v>
      </c>
      <c r="P712" s="17" t="e">
        <f>SUMIFS([1]ACSDT5Y2020.B08301_data_with_ov!AX$3:AX$1334,[1]ACSDT5Y2020.B08301_data_with_ov!$AS$3:$AS$1334,$B712)</f>
        <v>#VALUE!</v>
      </c>
      <c r="Q712" s="17" t="e">
        <f>SUMIFS([1]ACSDT5Y2020.B08301_data_with_ov!AY$3:AY$1334,[1]ACSDT5Y2020.B08301_data_with_ov!$AS$3:$AS$1334,$B712)</f>
        <v>#VALUE!</v>
      </c>
      <c r="R712" s="17" t="e">
        <f>SUMIFS([1]ACSDT5Y2020.B08301_data_with_ov!AZ$3:AZ$1334,[1]ACSDT5Y2020.B08301_data_with_ov!$AS$3:$AS$1334,$B712)</f>
        <v>#VALUE!</v>
      </c>
      <c r="S712" s="17" t="e">
        <f>SUMIFS([1]ACSDT5Y2020.B08301_data_with_ov!BA$3:BA$1334,[1]ACSDT5Y2020.B08301_data_with_ov!$AS$3:$AS$1334,$B712)</f>
        <v>#VALUE!</v>
      </c>
      <c r="T712" s="188">
        <v>0.12565433853590163</v>
      </c>
      <c r="U712" s="189" t="e">
        <f t="shared" si="47"/>
        <v>#VALUE!</v>
      </c>
      <c r="V712" s="188">
        <v>0.12565433853590163</v>
      </c>
      <c r="W712" s="189" t="e">
        <f t="shared" si="44"/>
        <v>#VALUE!</v>
      </c>
      <c r="X712" s="188">
        <v>0.12565433853590163</v>
      </c>
      <c r="Y712" s="189" t="e">
        <f t="shared" si="45"/>
        <v>#VALUE!</v>
      </c>
      <c r="Z712" s="188">
        <v>0.12565433853590163</v>
      </c>
      <c r="AA712" s="189" t="e">
        <f t="shared" si="46"/>
        <v>#VALUE!</v>
      </c>
    </row>
    <row r="713" spans="1:27" x14ac:dyDescent="0.25">
      <c r="A713">
        <v>70400</v>
      </c>
      <c r="B713">
        <v>17031070400</v>
      </c>
      <c r="C713">
        <v>17031</v>
      </c>
      <c r="D713">
        <v>2010</v>
      </c>
      <c r="E713">
        <v>7</v>
      </c>
      <c r="F713">
        <v>3491382.1636974001</v>
      </c>
      <c r="G713" s="45">
        <v>0.12523610263492166</v>
      </c>
      <c r="H713" s="60" t="str">
        <f>_xlfn.IFNA(
INDEX('Community Areas'!B$2:B$78,MATCH($E713,'Community Areas'!$A$2:$A$78,0)),
"")</f>
        <v>LINCOLN PARK</v>
      </c>
      <c r="I713" s="63" t="str">
        <f>_xlfn.IFNA(
INDEX('Community Areas'!C$2:C$78,MATCH($E713,'Community Areas'!$A$2:$A$78,0)),
"")</f>
        <v>1-B</v>
      </c>
      <c r="J713" s="63">
        <f>_xlfn.IFNA(
INDEX('Community Areas'!D$2:D$78,MATCH($E713,'Community Areas'!$A$2:$A$78,0)),
"")</f>
        <v>1</v>
      </c>
      <c r="K713" s="60" t="str">
        <f>_xlfn.IFNA(
INDEX('Community Areas'!E$2:E$78,MATCH($E713,'Community Areas'!$A$2:$A$78,0)),
"")</f>
        <v>NORTH</v>
      </c>
      <c r="L713" s="17" t="e">
        <f>SUMIFS([1]ACSDT5Y2020.B08301_data_with_ov!AT$3:AT$1334,[1]ACSDT5Y2020.B08301_data_with_ov!$AS$3:$AS$1334,$B713)</f>
        <v>#VALUE!</v>
      </c>
      <c r="M713" s="17" t="e">
        <f>SUMIFS([1]ACSDT5Y2020.B08301_data_with_ov!AU$3:AU$1334,[1]ACSDT5Y2020.B08301_data_with_ov!$AS$3:$AS$1334,$B713)</f>
        <v>#VALUE!</v>
      </c>
      <c r="N713" s="17" t="e">
        <f>SUMIFS([1]ACSDT5Y2020.B08301_data_with_ov!AV$3:AV$1334,[1]ACSDT5Y2020.B08301_data_with_ov!$AS$3:$AS$1334,$B713)</f>
        <v>#VALUE!</v>
      </c>
      <c r="O713" s="17" t="e">
        <f>SUMIFS([1]ACSDT5Y2020.B08301_data_with_ov!AW$3:AW$1334,[1]ACSDT5Y2020.B08301_data_with_ov!$AS$3:$AS$1334,$B713)</f>
        <v>#VALUE!</v>
      </c>
      <c r="P713" s="17" t="e">
        <f>SUMIFS([1]ACSDT5Y2020.B08301_data_with_ov!AX$3:AX$1334,[1]ACSDT5Y2020.B08301_data_with_ov!$AS$3:$AS$1334,$B713)</f>
        <v>#VALUE!</v>
      </c>
      <c r="Q713" s="17" t="e">
        <f>SUMIFS([1]ACSDT5Y2020.B08301_data_with_ov!AY$3:AY$1334,[1]ACSDT5Y2020.B08301_data_with_ov!$AS$3:$AS$1334,$B713)</f>
        <v>#VALUE!</v>
      </c>
      <c r="R713" s="17" t="e">
        <f>SUMIFS([1]ACSDT5Y2020.B08301_data_with_ov!AZ$3:AZ$1334,[1]ACSDT5Y2020.B08301_data_with_ov!$AS$3:$AS$1334,$B713)</f>
        <v>#VALUE!</v>
      </c>
      <c r="S713" s="17" t="e">
        <f>SUMIFS([1]ACSDT5Y2020.B08301_data_with_ov!BA$3:BA$1334,[1]ACSDT5Y2020.B08301_data_with_ov!$AS$3:$AS$1334,$B713)</f>
        <v>#VALUE!</v>
      </c>
      <c r="T713" s="188">
        <v>0.12523610661043855</v>
      </c>
      <c r="U713" s="189" t="e">
        <f t="shared" si="47"/>
        <v>#VALUE!</v>
      </c>
      <c r="V713" s="188">
        <v>0.12523610661043855</v>
      </c>
      <c r="W713" s="189" t="e">
        <f t="shared" si="44"/>
        <v>#VALUE!</v>
      </c>
      <c r="X713" s="188">
        <v>0.12523610661043855</v>
      </c>
      <c r="Y713" s="189" t="e">
        <f t="shared" si="45"/>
        <v>#VALUE!</v>
      </c>
      <c r="Z713" s="188">
        <v>0.12523610661043855</v>
      </c>
      <c r="AA713" s="189" t="e">
        <f t="shared" si="46"/>
        <v>#VALUE!</v>
      </c>
    </row>
    <row r="714" spans="1:27" x14ac:dyDescent="0.25">
      <c r="A714">
        <v>70102</v>
      </c>
      <c r="B714">
        <v>17031070102</v>
      </c>
      <c r="C714">
        <v>17031</v>
      </c>
      <c r="D714">
        <v>2010</v>
      </c>
      <c r="E714">
        <v>7</v>
      </c>
      <c r="F714">
        <v>1337025.8028651299</v>
      </c>
      <c r="G714" s="45">
        <v>4.7959201491661281E-2</v>
      </c>
      <c r="H714" s="60" t="str">
        <f>_xlfn.IFNA(
INDEX('Community Areas'!B$2:B$78,MATCH($E714,'Community Areas'!$A$2:$A$78,0)),
"")</f>
        <v>LINCOLN PARK</v>
      </c>
      <c r="I714" s="63" t="str">
        <f>_xlfn.IFNA(
INDEX('Community Areas'!C$2:C$78,MATCH($E714,'Community Areas'!$A$2:$A$78,0)),
"")</f>
        <v>1-B</v>
      </c>
      <c r="J714" s="63">
        <f>_xlfn.IFNA(
INDEX('Community Areas'!D$2:D$78,MATCH($E714,'Community Areas'!$A$2:$A$78,0)),
"")</f>
        <v>1</v>
      </c>
      <c r="K714" s="60" t="str">
        <f>_xlfn.IFNA(
INDEX('Community Areas'!E$2:E$78,MATCH($E714,'Community Areas'!$A$2:$A$78,0)),
"")</f>
        <v>NORTH</v>
      </c>
      <c r="L714" s="17" t="e">
        <f>SUMIFS([1]ACSDT5Y2020.B08301_data_with_ov!AT$3:AT$1334,[1]ACSDT5Y2020.B08301_data_with_ov!$AS$3:$AS$1334,$B714)</f>
        <v>#VALUE!</v>
      </c>
      <c r="M714" s="17" t="e">
        <f>SUMIFS([1]ACSDT5Y2020.B08301_data_with_ov!AU$3:AU$1334,[1]ACSDT5Y2020.B08301_data_with_ov!$AS$3:$AS$1334,$B714)</f>
        <v>#VALUE!</v>
      </c>
      <c r="N714" s="17" t="e">
        <f>SUMIFS([1]ACSDT5Y2020.B08301_data_with_ov!AV$3:AV$1334,[1]ACSDT5Y2020.B08301_data_with_ov!$AS$3:$AS$1334,$B714)</f>
        <v>#VALUE!</v>
      </c>
      <c r="O714" s="17" t="e">
        <f>SUMIFS([1]ACSDT5Y2020.B08301_data_with_ov!AW$3:AW$1334,[1]ACSDT5Y2020.B08301_data_with_ov!$AS$3:$AS$1334,$B714)</f>
        <v>#VALUE!</v>
      </c>
      <c r="P714" s="17" t="e">
        <f>SUMIFS([1]ACSDT5Y2020.B08301_data_with_ov!AX$3:AX$1334,[1]ACSDT5Y2020.B08301_data_with_ov!$AS$3:$AS$1334,$B714)</f>
        <v>#VALUE!</v>
      </c>
      <c r="Q714" s="17" t="e">
        <f>SUMIFS([1]ACSDT5Y2020.B08301_data_with_ov!AY$3:AY$1334,[1]ACSDT5Y2020.B08301_data_with_ov!$AS$3:$AS$1334,$B714)</f>
        <v>#VALUE!</v>
      </c>
      <c r="R714" s="17" t="e">
        <f>SUMIFS([1]ACSDT5Y2020.B08301_data_with_ov!AZ$3:AZ$1334,[1]ACSDT5Y2020.B08301_data_with_ov!$AS$3:$AS$1334,$B714)</f>
        <v>#VALUE!</v>
      </c>
      <c r="S714" s="17" t="e">
        <f>SUMIFS([1]ACSDT5Y2020.B08301_data_with_ov!BA$3:BA$1334,[1]ACSDT5Y2020.B08301_data_with_ov!$AS$3:$AS$1334,$B714)</f>
        <v>#VALUE!</v>
      </c>
      <c r="T714" s="188">
        <v>4.7959204212072788E-2</v>
      </c>
      <c r="U714" s="189" t="e">
        <f t="shared" si="47"/>
        <v>#VALUE!</v>
      </c>
      <c r="V714" s="188">
        <v>4.7959204212072788E-2</v>
      </c>
      <c r="W714" s="189" t="e">
        <f t="shared" si="44"/>
        <v>#VALUE!</v>
      </c>
      <c r="X714" s="188">
        <v>4.7959204212072788E-2</v>
      </c>
      <c r="Y714" s="189" t="e">
        <f t="shared" si="45"/>
        <v>#VALUE!</v>
      </c>
      <c r="Z714" s="188">
        <v>4.7959204212072788E-2</v>
      </c>
      <c r="AA714" s="189" t="e">
        <f t="shared" si="46"/>
        <v>#VALUE!</v>
      </c>
    </row>
    <row r="715" spans="1:27" x14ac:dyDescent="0.25">
      <c r="A715">
        <v>70700</v>
      </c>
      <c r="B715">
        <v>17031070700</v>
      </c>
      <c r="C715">
        <v>17031</v>
      </c>
      <c r="D715">
        <v>2010</v>
      </c>
      <c r="E715">
        <v>7</v>
      </c>
      <c r="F715">
        <v>7378997.6833981201</v>
      </c>
      <c r="G715" s="45">
        <v>0.26468512121922777</v>
      </c>
      <c r="H715" s="60" t="str">
        <f>_xlfn.IFNA(
INDEX('Community Areas'!B$2:B$78,MATCH($E715,'Community Areas'!$A$2:$A$78,0)),
"")</f>
        <v>LINCOLN PARK</v>
      </c>
      <c r="I715" s="63" t="str">
        <f>_xlfn.IFNA(
INDEX('Community Areas'!C$2:C$78,MATCH($E715,'Community Areas'!$A$2:$A$78,0)),
"")</f>
        <v>1-B</v>
      </c>
      <c r="J715" s="63">
        <f>_xlfn.IFNA(
INDEX('Community Areas'!D$2:D$78,MATCH($E715,'Community Areas'!$A$2:$A$78,0)),
"")</f>
        <v>1</v>
      </c>
      <c r="K715" s="60" t="str">
        <f>_xlfn.IFNA(
INDEX('Community Areas'!E$2:E$78,MATCH($E715,'Community Areas'!$A$2:$A$78,0)),
"")</f>
        <v>NORTH</v>
      </c>
      <c r="L715" s="17" t="e">
        <f>SUMIFS([1]ACSDT5Y2020.B08301_data_with_ov!AT$3:AT$1334,[1]ACSDT5Y2020.B08301_data_with_ov!$AS$3:$AS$1334,$B715)</f>
        <v>#VALUE!</v>
      </c>
      <c r="M715" s="17" t="e">
        <f>SUMIFS([1]ACSDT5Y2020.B08301_data_with_ov!AU$3:AU$1334,[1]ACSDT5Y2020.B08301_data_with_ov!$AS$3:$AS$1334,$B715)</f>
        <v>#VALUE!</v>
      </c>
      <c r="N715" s="17" t="e">
        <f>SUMIFS([1]ACSDT5Y2020.B08301_data_with_ov!AV$3:AV$1334,[1]ACSDT5Y2020.B08301_data_with_ov!$AS$3:$AS$1334,$B715)</f>
        <v>#VALUE!</v>
      </c>
      <c r="O715" s="17" t="e">
        <f>SUMIFS([1]ACSDT5Y2020.B08301_data_with_ov!AW$3:AW$1334,[1]ACSDT5Y2020.B08301_data_with_ov!$AS$3:$AS$1334,$B715)</f>
        <v>#VALUE!</v>
      </c>
      <c r="P715" s="17" t="e">
        <f>SUMIFS([1]ACSDT5Y2020.B08301_data_with_ov!AX$3:AX$1334,[1]ACSDT5Y2020.B08301_data_with_ov!$AS$3:$AS$1334,$B715)</f>
        <v>#VALUE!</v>
      </c>
      <c r="Q715" s="17" t="e">
        <f>SUMIFS([1]ACSDT5Y2020.B08301_data_with_ov!AY$3:AY$1334,[1]ACSDT5Y2020.B08301_data_with_ov!$AS$3:$AS$1334,$B715)</f>
        <v>#VALUE!</v>
      </c>
      <c r="R715" s="17" t="e">
        <f>SUMIFS([1]ACSDT5Y2020.B08301_data_with_ov!AZ$3:AZ$1334,[1]ACSDT5Y2020.B08301_data_with_ov!$AS$3:$AS$1334,$B715)</f>
        <v>#VALUE!</v>
      </c>
      <c r="S715" s="17" t="e">
        <f>SUMIFS([1]ACSDT5Y2020.B08301_data_with_ov!BA$3:BA$1334,[1]ACSDT5Y2020.B08301_data_with_ov!$AS$3:$AS$1334,$B715)</f>
        <v>#VALUE!</v>
      </c>
      <c r="T715" s="188">
        <v>0.26468511349454343</v>
      </c>
      <c r="U715" s="189" t="e">
        <f t="shared" si="47"/>
        <v>#VALUE!</v>
      </c>
      <c r="V715" s="188">
        <v>0.26468511349454343</v>
      </c>
      <c r="W715" s="189" t="e">
        <f t="shared" si="44"/>
        <v>#VALUE!</v>
      </c>
      <c r="X715" s="188">
        <v>0.26468511349454343</v>
      </c>
      <c r="Y715" s="189" t="e">
        <f t="shared" si="45"/>
        <v>#VALUE!</v>
      </c>
      <c r="Z715" s="188">
        <v>0.26468511349454343</v>
      </c>
      <c r="AA715" s="189" t="e">
        <f t="shared" si="46"/>
        <v>#VALUE!</v>
      </c>
    </row>
    <row r="716" spans="1:27" x14ac:dyDescent="0.25">
      <c r="A716">
        <v>70300</v>
      </c>
      <c r="B716">
        <v>17031070300</v>
      </c>
      <c r="C716">
        <v>17031</v>
      </c>
      <c r="D716">
        <v>2010</v>
      </c>
      <c r="E716">
        <v>7</v>
      </c>
      <c r="F716">
        <v>3491995.4959805398</v>
      </c>
      <c r="G716" s="45">
        <v>0.12525810290334236</v>
      </c>
      <c r="H716" s="60" t="str">
        <f>_xlfn.IFNA(
INDEX('Community Areas'!B$2:B$78,MATCH($E716,'Community Areas'!$A$2:$A$78,0)),
"")</f>
        <v>LINCOLN PARK</v>
      </c>
      <c r="I716" s="63" t="str">
        <f>_xlfn.IFNA(
INDEX('Community Areas'!C$2:C$78,MATCH($E716,'Community Areas'!$A$2:$A$78,0)),
"")</f>
        <v>1-B</v>
      </c>
      <c r="J716" s="63">
        <f>_xlfn.IFNA(
INDEX('Community Areas'!D$2:D$78,MATCH($E716,'Community Areas'!$A$2:$A$78,0)),
"")</f>
        <v>1</v>
      </c>
      <c r="K716" s="60" t="str">
        <f>_xlfn.IFNA(
INDEX('Community Areas'!E$2:E$78,MATCH($E716,'Community Areas'!$A$2:$A$78,0)),
"")</f>
        <v>NORTH</v>
      </c>
      <c r="L716" s="17" t="e">
        <f>SUMIFS([1]ACSDT5Y2020.B08301_data_with_ov!AT$3:AT$1334,[1]ACSDT5Y2020.B08301_data_with_ov!$AS$3:$AS$1334,$B716)</f>
        <v>#VALUE!</v>
      </c>
      <c r="M716" s="17" t="e">
        <f>SUMIFS([1]ACSDT5Y2020.B08301_data_with_ov!AU$3:AU$1334,[1]ACSDT5Y2020.B08301_data_with_ov!$AS$3:$AS$1334,$B716)</f>
        <v>#VALUE!</v>
      </c>
      <c r="N716" s="17" t="e">
        <f>SUMIFS([1]ACSDT5Y2020.B08301_data_with_ov!AV$3:AV$1334,[1]ACSDT5Y2020.B08301_data_with_ov!$AS$3:$AS$1334,$B716)</f>
        <v>#VALUE!</v>
      </c>
      <c r="O716" s="17" t="e">
        <f>SUMIFS([1]ACSDT5Y2020.B08301_data_with_ov!AW$3:AW$1334,[1]ACSDT5Y2020.B08301_data_with_ov!$AS$3:$AS$1334,$B716)</f>
        <v>#VALUE!</v>
      </c>
      <c r="P716" s="17" t="e">
        <f>SUMIFS([1]ACSDT5Y2020.B08301_data_with_ov!AX$3:AX$1334,[1]ACSDT5Y2020.B08301_data_with_ov!$AS$3:$AS$1334,$B716)</f>
        <v>#VALUE!</v>
      </c>
      <c r="Q716" s="17" t="e">
        <f>SUMIFS([1]ACSDT5Y2020.B08301_data_with_ov!AY$3:AY$1334,[1]ACSDT5Y2020.B08301_data_with_ov!$AS$3:$AS$1334,$B716)</f>
        <v>#VALUE!</v>
      </c>
      <c r="R716" s="17" t="e">
        <f>SUMIFS([1]ACSDT5Y2020.B08301_data_with_ov!AZ$3:AZ$1334,[1]ACSDT5Y2020.B08301_data_with_ov!$AS$3:$AS$1334,$B716)</f>
        <v>#VALUE!</v>
      </c>
      <c r="S716" s="17" t="e">
        <f>SUMIFS([1]ACSDT5Y2020.B08301_data_with_ov!BA$3:BA$1334,[1]ACSDT5Y2020.B08301_data_with_ov!$AS$3:$AS$1334,$B716)</f>
        <v>#VALUE!</v>
      </c>
      <c r="T716" s="188">
        <v>0.12525810059963341</v>
      </c>
      <c r="U716" s="189" t="e">
        <f t="shared" si="47"/>
        <v>#VALUE!</v>
      </c>
      <c r="V716" s="188">
        <v>0.12525810059963341</v>
      </c>
      <c r="W716" s="189" t="e">
        <f t="shared" si="44"/>
        <v>#VALUE!</v>
      </c>
      <c r="X716" s="188">
        <v>0.12525810059963341</v>
      </c>
      <c r="Y716" s="189" t="e">
        <f t="shared" si="45"/>
        <v>#VALUE!</v>
      </c>
      <c r="Z716" s="188">
        <v>0.12525810059963341</v>
      </c>
      <c r="AA716" s="189" t="e">
        <f t="shared" si="46"/>
        <v>#VALUE!</v>
      </c>
    </row>
    <row r="717" spans="1:27" x14ac:dyDescent="0.25">
      <c r="A717">
        <v>700402</v>
      </c>
      <c r="B717">
        <v>17031700402</v>
      </c>
      <c r="C717">
        <v>17031</v>
      </c>
      <c r="D717">
        <v>2010</v>
      </c>
      <c r="E717">
        <v>70</v>
      </c>
      <c r="F717">
        <v>12378328.157111701</v>
      </c>
      <c r="G717" s="45">
        <v>0.44401142666407328</v>
      </c>
      <c r="H717" s="60" t="str">
        <f>_xlfn.IFNA(
INDEX('Community Areas'!B$2:B$78,MATCH($E717,'Community Areas'!$A$2:$A$78,0)),
"")</f>
        <v>ASHBURN</v>
      </c>
      <c r="I717" s="63" t="str">
        <f>_xlfn.IFNA(
INDEX('Community Areas'!C$2:C$78,MATCH($E717,'Community Areas'!$A$2:$A$78,0)),
"")</f>
        <v>4-C</v>
      </c>
      <c r="J717" s="63">
        <f>_xlfn.IFNA(
INDEX('Community Areas'!D$2:D$78,MATCH($E717,'Community Areas'!$A$2:$A$78,0)),
"")</f>
        <v>4</v>
      </c>
      <c r="K717" s="60" t="str">
        <f>_xlfn.IFNA(
INDEX('Community Areas'!E$2:E$78,MATCH($E717,'Community Areas'!$A$2:$A$78,0)),
"")</f>
        <v>SOUTHWEST</v>
      </c>
      <c r="L717" s="17" t="e">
        <f>SUMIFS([1]ACSDT5Y2020.B08301_data_with_ov!AT$3:AT$1334,[1]ACSDT5Y2020.B08301_data_with_ov!$AS$3:$AS$1334,$B717)</f>
        <v>#VALUE!</v>
      </c>
      <c r="M717" s="17" t="e">
        <f>SUMIFS([1]ACSDT5Y2020.B08301_data_with_ov!AU$3:AU$1334,[1]ACSDT5Y2020.B08301_data_with_ov!$AS$3:$AS$1334,$B717)</f>
        <v>#VALUE!</v>
      </c>
      <c r="N717" s="17" t="e">
        <f>SUMIFS([1]ACSDT5Y2020.B08301_data_with_ov!AV$3:AV$1334,[1]ACSDT5Y2020.B08301_data_with_ov!$AS$3:$AS$1334,$B717)</f>
        <v>#VALUE!</v>
      </c>
      <c r="O717" s="17" t="e">
        <f>SUMIFS([1]ACSDT5Y2020.B08301_data_with_ov!AW$3:AW$1334,[1]ACSDT5Y2020.B08301_data_with_ov!$AS$3:$AS$1334,$B717)</f>
        <v>#VALUE!</v>
      </c>
      <c r="P717" s="17" t="e">
        <f>SUMIFS([1]ACSDT5Y2020.B08301_data_with_ov!AX$3:AX$1334,[1]ACSDT5Y2020.B08301_data_with_ov!$AS$3:$AS$1334,$B717)</f>
        <v>#VALUE!</v>
      </c>
      <c r="Q717" s="17" t="e">
        <f>SUMIFS([1]ACSDT5Y2020.B08301_data_with_ov!AY$3:AY$1334,[1]ACSDT5Y2020.B08301_data_with_ov!$AS$3:$AS$1334,$B717)</f>
        <v>#VALUE!</v>
      </c>
      <c r="R717" s="17" t="e">
        <f>SUMIFS([1]ACSDT5Y2020.B08301_data_with_ov!AZ$3:AZ$1334,[1]ACSDT5Y2020.B08301_data_with_ov!$AS$3:$AS$1334,$B717)</f>
        <v>#VALUE!</v>
      </c>
      <c r="S717" s="17" t="e">
        <f>SUMIFS([1]ACSDT5Y2020.B08301_data_with_ov!BA$3:BA$1334,[1]ACSDT5Y2020.B08301_data_with_ov!$AS$3:$AS$1334,$B717)</f>
        <v>#VALUE!</v>
      </c>
      <c r="T717" s="188">
        <v>0</v>
      </c>
      <c r="U717" s="189" t="e">
        <f t="shared" si="47"/>
        <v>#VALUE!</v>
      </c>
      <c r="V717" s="188">
        <v>0</v>
      </c>
      <c r="W717" s="189" t="e">
        <f t="shared" si="44"/>
        <v>#VALUE!</v>
      </c>
      <c r="X717" s="188">
        <v>0</v>
      </c>
      <c r="Y717" s="189" t="e">
        <f t="shared" si="45"/>
        <v>#VALUE!</v>
      </c>
      <c r="Z717" s="188">
        <v>0</v>
      </c>
      <c r="AA717" s="189" t="e">
        <f t="shared" si="46"/>
        <v>#VALUE!</v>
      </c>
    </row>
    <row r="718" spans="1:27" x14ac:dyDescent="0.25">
      <c r="A718">
        <v>700302</v>
      </c>
      <c r="B718">
        <v>17031700302</v>
      </c>
      <c r="C718">
        <v>17031</v>
      </c>
      <c r="D718">
        <v>2010</v>
      </c>
      <c r="E718">
        <v>70</v>
      </c>
      <c r="F718">
        <v>14244464.1286064</v>
      </c>
      <c r="G718" s="45">
        <v>0.51094984391523179</v>
      </c>
      <c r="H718" s="60" t="str">
        <f>_xlfn.IFNA(
INDEX('Community Areas'!B$2:B$78,MATCH($E718,'Community Areas'!$A$2:$A$78,0)),
"")</f>
        <v>ASHBURN</v>
      </c>
      <c r="I718" s="63" t="str">
        <f>_xlfn.IFNA(
INDEX('Community Areas'!C$2:C$78,MATCH($E718,'Community Areas'!$A$2:$A$78,0)),
"")</f>
        <v>4-C</v>
      </c>
      <c r="J718" s="63">
        <f>_xlfn.IFNA(
INDEX('Community Areas'!D$2:D$78,MATCH($E718,'Community Areas'!$A$2:$A$78,0)),
"")</f>
        <v>4</v>
      </c>
      <c r="K718" s="60" t="str">
        <f>_xlfn.IFNA(
INDEX('Community Areas'!E$2:E$78,MATCH($E718,'Community Areas'!$A$2:$A$78,0)),
"")</f>
        <v>SOUTHWEST</v>
      </c>
      <c r="L718" s="17" t="e">
        <f>SUMIFS([1]ACSDT5Y2020.B08301_data_with_ov!AT$3:AT$1334,[1]ACSDT5Y2020.B08301_data_with_ov!$AS$3:$AS$1334,$B718)</f>
        <v>#VALUE!</v>
      </c>
      <c r="M718" s="17" t="e">
        <f>SUMIFS([1]ACSDT5Y2020.B08301_data_with_ov!AU$3:AU$1334,[1]ACSDT5Y2020.B08301_data_with_ov!$AS$3:$AS$1334,$B718)</f>
        <v>#VALUE!</v>
      </c>
      <c r="N718" s="17" t="e">
        <f>SUMIFS([1]ACSDT5Y2020.B08301_data_with_ov!AV$3:AV$1334,[1]ACSDT5Y2020.B08301_data_with_ov!$AS$3:$AS$1334,$B718)</f>
        <v>#VALUE!</v>
      </c>
      <c r="O718" s="17" t="e">
        <f>SUMIFS([1]ACSDT5Y2020.B08301_data_with_ov!AW$3:AW$1334,[1]ACSDT5Y2020.B08301_data_with_ov!$AS$3:$AS$1334,$B718)</f>
        <v>#VALUE!</v>
      </c>
      <c r="P718" s="17" t="e">
        <f>SUMIFS([1]ACSDT5Y2020.B08301_data_with_ov!AX$3:AX$1334,[1]ACSDT5Y2020.B08301_data_with_ov!$AS$3:$AS$1334,$B718)</f>
        <v>#VALUE!</v>
      </c>
      <c r="Q718" s="17" t="e">
        <f>SUMIFS([1]ACSDT5Y2020.B08301_data_with_ov!AY$3:AY$1334,[1]ACSDT5Y2020.B08301_data_with_ov!$AS$3:$AS$1334,$B718)</f>
        <v>#VALUE!</v>
      </c>
      <c r="R718" s="17" t="e">
        <f>SUMIFS([1]ACSDT5Y2020.B08301_data_with_ov!AZ$3:AZ$1334,[1]ACSDT5Y2020.B08301_data_with_ov!$AS$3:$AS$1334,$B718)</f>
        <v>#VALUE!</v>
      </c>
      <c r="S718" s="17" t="e">
        <f>SUMIFS([1]ACSDT5Y2020.B08301_data_with_ov!BA$3:BA$1334,[1]ACSDT5Y2020.B08301_data_with_ov!$AS$3:$AS$1334,$B718)</f>
        <v>#VALUE!</v>
      </c>
      <c r="T718" s="188">
        <v>0</v>
      </c>
      <c r="U718" s="189" t="e">
        <f t="shared" si="47"/>
        <v>#VALUE!</v>
      </c>
      <c r="V718" s="188">
        <v>0</v>
      </c>
      <c r="W718" s="189" t="e">
        <f t="shared" si="44"/>
        <v>#VALUE!</v>
      </c>
      <c r="X718" s="188">
        <v>0</v>
      </c>
      <c r="Y718" s="189" t="e">
        <f t="shared" si="45"/>
        <v>#VALUE!</v>
      </c>
      <c r="Z718" s="188">
        <v>0</v>
      </c>
      <c r="AA718" s="189" t="e">
        <f t="shared" si="46"/>
        <v>#VALUE!</v>
      </c>
    </row>
    <row r="719" spans="1:27" x14ac:dyDescent="0.25">
      <c r="A719">
        <v>700401</v>
      </c>
      <c r="B719">
        <v>17031700401</v>
      </c>
      <c r="C719">
        <v>17031</v>
      </c>
      <c r="D719">
        <v>2010</v>
      </c>
      <c r="E719">
        <v>70</v>
      </c>
      <c r="F719">
        <v>15956912.471879199</v>
      </c>
      <c r="G719" s="45">
        <v>0.57237547606315997</v>
      </c>
      <c r="H719" s="60" t="str">
        <f>_xlfn.IFNA(
INDEX('Community Areas'!B$2:B$78,MATCH($E719,'Community Areas'!$A$2:$A$78,0)),
"")</f>
        <v>ASHBURN</v>
      </c>
      <c r="I719" s="63" t="str">
        <f>_xlfn.IFNA(
INDEX('Community Areas'!C$2:C$78,MATCH($E719,'Community Areas'!$A$2:$A$78,0)),
"")</f>
        <v>4-C</v>
      </c>
      <c r="J719" s="63">
        <f>_xlfn.IFNA(
INDEX('Community Areas'!D$2:D$78,MATCH($E719,'Community Areas'!$A$2:$A$78,0)),
"")</f>
        <v>4</v>
      </c>
      <c r="K719" s="60" t="str">
        <f>_xlfn.IFNA(
INDEX('Community Areas'!E$2:E$78,MATCH($E719,'Community Areas'!$A$2:$A$78,0)),
"")</f>
        <v>SOUTHWEST</v>
      </c>
      <c r="L719" s="17" t="e">
        <f>SUMIFS([1]ACSDT5Y2020.B08301_data_with_ov!AT$3:AT$1334,[1]ACSDT5Y2020.B08301_data_with_ov!$AS$3:$AS$1334,$B719)</f>
        <v>#VALUE!</v>
      </c>
      <c r="M719" s="17" t="e">
        <f>SUMIFS([1]ACSDT5Y2020.B08301_data_with_ov!AU$3:AU$1334,[1]ACSDT5Y2020.B08301_data_with_ov!$AS$3:$AS$1334,$B719)</f>
        <v>#VALUE!</v>
      </c>
      <c r="N719" s="17" t="e">
        <f>SUMIFS([1]ACSDT5Y2020.B08301_data_with_ov!AV$3:AV$1334,[1]ACSDT5Y2020.B08301_data_with_ov!$AS$3:$AS$1334,$B719)</f>
        <v>#VALUE!</v>
      </c>
      <c r="O719" s="17" t="e">
        <f>SUMIFS([1]ACSDT5Y2020.B08301_data_with_ov!AW$3:AW$1334,[1]ACSDT5Y2020.B08301_data_with_ov!$AS$3:$AS$1334,$B719)</f>
        <v>#VALUE!</v>
      </c>
      <c r="P719" s="17" t="e">
        <f>SUMIFS([1]ACSDT5Y2020.B08301_data_with_ov!AX$3:AX$1334,[1]ACSDT5Y2020.B08301_data_with_ov!$AS$3:$AS$1334,$B719)</f>
        <v>#VALUE!</v>
      </c>
      <c r="Q719" s="17" t="e">
        <f>SUMIFS([1]ACSDT5Y2020.B08301_data_with_ov!AY$3:AY$1334,[1]ACSDT5Y2020.B08301_data_with_ov!$AS$3:$AS$1334,$B719)</f>
        <v>#VALUE!</v>
      </c>
      <c r="R719" s="17" t="e">
        <f>SUMIFS([1]ACSDT5Y2020.B08301_data_with_ov!AZ$3:AZ$1334,[1]ACSDT5Y2020.B08301_data_with_ov!$AS$3:$AS$1334,$B719)</f>
        <v>#VALUE!</v>
      </c>
      <c r="S719" s="17" t="e">
        <f>SUMIFS([1]ACSDT5Y2020.B08301_data_with_ov!BA$3:BA$1334,[1]ACSDT5Y2020.B08301_data_with_ov!$AS$3:$AS$1334,$B719)</f>
        <v>#VALUE!</v>
      </c>
      <c r="T719" s="188">
        <v>0</v>
      </c>
      <c r="U719" s="189" t="e">
        <f t="shared" si="47"/>
        <v>#VALUE!</v>
      </c>
      <c r="V719" s="188">
        <v>0</v>
      </c>
      <c r="W719" s="189" t="e">
        <f t="shared" si="44"/>
        <v>#VALUE!</v>
      </c>
      <c r="X719" s="188">
        <v>0</v>
      </c>
      <c r="Y719" s="189" t="e">
        <f t="shared" si="45"/>
        <v>#VALUE!</v>
      </c>
      <c r="Z719" s="188">
        <v>0</v>
      </c>
      <c r="AA719" s="189" t="e">
        <f t="shared" si="46"/>
        <v>#VALUE!</v>
      </c>
    </row>
    <row r="720" spans="1:27" x14ac:dyDescent="0.25">
      <c r="A720">
        <v>700301</v>
      </c>
      <c r="B720">
        <v>17031700301</v>
      </c>
      <c r="C720">
        <v>17031</v>
      </c>
      <c r="D720">
        <v>2010</v>
      </c>
      <c r="E720">
        <v>70</v>
      </c>
      <c r="F720">
        <v>13730887.782593399</v>
      </c>
      <c r="G720" s="45">
        <v>0.49252782737149187</v>
      </c>
      <c r="H720" s="60" t="str">
        <f>_xlfn.IFNA(
INDEX('Community Areas'!B$2:B$78,MATCH($E720,'Community Areas'!$A$2:$A$78,0)),
"")</f>
        <v>ASHBURN</v>
      </c>
      <c r="I720" s="63" t="str">
        <f>_xlfn.IFNA(
INDEX('Community Areas'!C$2:C$78,MATCH($E720,'Community Areas'!$A$2:$A$78,0)),
"")</f>
        <v>4-C</v>
      </c>
      <c r="J720" s="63">
        <f>_xlfn.IFNA(
INDEX('Community Areas'!D$2:D$78,MATCH($E720,'Community Areas'!$A$2:$A$78,0)),
"")</f>
        <v>4</v>
      </c>
      <c r="K720" s="60" t="str">
        <f>_xlfn.IFNA(
INDEX('Community Areas'!E$2:E$78,MATCH($E720,'Community Areas'!$A$2:$A$78,0)),
"")</f>
        <v>SOUTHWEST</v>
      </c>
      <c r="L720" s="17" t="e">
        <f>SUMIFS([1]ACSDT5Y2020.B08301_data_with_ov!AT$3:AT$1334,[1]ACSDT5Y2020.B08301_data_with_ov!$AS$3:$AS$1334,$B720)</f>
        <v>#VALUE!</v>
      </c>
      <c r="M720" s="17" t="e">
        <f>SUMIFS([1]ACSDT5Y2020.B08301_data_with_ov!AU$3:AU$1334,[1]ACSDT5Y2020.B08301_data_with_ov!$AS$3:$AS$1334,$B720)</f>
        <v>#VALUE!</v>
      </c>
      <c r="N720" s="17" t="e">
        <f>SUMIFS([1]ACSDT5Y2020.B08301_data_with_ov!AV$3:AV$1334,[1]ACSDT5Y2020.B08301_data_with_ov!$AS$3:$AS$1334,$B720)</f>
        <v>#VALUE!</v>
      </c>
      <c r="O720" s="17" t="e">
        <f>SUMIFS([1]ACSDT5Y2020.B08301_data_with_ov!AW$3:AW$1334,[1]ACSDT5Y2020.B08301_data_with_ov!$AS$3:$AS$1334,$B720)</f>
        <v>#VALUE!</v>
      </c>
      <c r="P720" s="17" t="e">
        <f>SUMIFS([1]ACSDT5Y2020.B08301_data_with_ov!AX$3:AX$1334,[1]ACSDT5Y2020.B08301_data_with_ov!$AS$3:$AS$1334,$B720)</f>
        <v>#VALUE!</v>
      </c>
      <c r="Q720" s="17" t="e">
        <f>SUMIFS([1]ACSDT5Y2020.B08301_data_with_ov!AY$3:AY$1334,[1]ACSDT5Y2020.B08301_data_with_ov!$AS$3:$AS$1334,$B720)</f>
        <v>#VALUE!</v>
      </c>
      <c r="R720" s="17" t="e">
        <f>SUMIFS([1]ACSDT5Y2020.B08301_data_with_ov!AZ$3:AZ$1334,[1]ACSDT5Y2020.B08301_data_with_ov!$AS$3:$AS$1334,$B720)</f>
        <v>#VALUE!</v>
      </c>
      <c r="S720" s="17" t="e">
        <f>SUMIFS([1]ACSDT5Y2020.B08301_data_with_ov!BA$3:BA$1334,[1]ACSDT5Y2020.B08301_data_with_ov!$AS$3:$AS$1334,$B720)</f>
        <v>#VALUE!</v>
      </c>
      <c r="T720" s="188">
        <v>0</v>
      </c>
      <c r="U720" s="189" t="e">
        <f t="shared" si="47"/>
        <v>#VALUE!</v>
      </c>
      <c r="V720" s="188">
        <v>0</v>
      </c>
      <c r="W720" s="189" t="e">
        <f t="shared" si="44"/>
        <v>#VALUE!</v>
      </c>
      <c r="X720" s="188">
        <v>0</v>
      </c>
      <c r="Y720" s="189" t="e">
        <f t="shared" si="45"/>
        <v>#VALUE!</v>
      </c>
      <c r="Z720" s="188">
        <v>0</v>
      </c>
      <c r="AA720" s="189" t="e">
        <f t="shared" si="46"/>
        <v>#VALUE!</v>
      </c>
    </row>
    <row r="721" spans="1:27" x14ac:dyDescent="0.25">
      <c r="A721">
        <v>700501</v>
      </c>
      <c r="B721">
        <v>17031700501</v>
      </c>
      <c r="C721">
        <v>17031</v>
      </c>
      <c r="D721">
        <v>2010</v>
      </c>
      <c r="E721">
        <v>70</v>
      </c>
      <c r="F721">
        <v>17986205.2937373</v>
      </c>
      <c r="G721" s="45">
        <v>0.64516634002443829</v>
      </c>
      <c r="H721" s="60" t="str">
        <f>_xlfn.IFNA(
INDEX('Community Areas'!B$2:B$78,MATCH($E721,'Community Areas'!$A$2:$A$78,0)),
"")</f>
        <v>ASHBURN</v>
      </c>
      <c r="I721" s="63" t="str">
        <f>_xlfn.IFNA(
INDEX('Community Areas'!C$2:C$78,MATCH($E721,'Community Areas'!$A$2:$A$78,0)),
"")</f>
        <v>4-C</v>
      </c>
      <c r="J721" s="63">
        <f>_xlfn.IFNA(
INDEX('Community Areas'!D$2:D$78,MATCH($E721,'Community Areas'!$A$2:$A$78,0)),
"")</f>
        <v>4</v>
      </c>
      <c r="K721" s="60" t="str">
        <f>_xlfn.IFNA(
INDEX('Community Areas'!E$2:E$78,MATCH($E721,'Community Areas'!$A$2:$A$78,0)),
"")</f>
        <v>SOUTHWEST</v>
      </c>
      <c r="L721" s="17" t="e">
        <f>SUMIFS([1]ACSDT5Y2020.B08301_data_with_ov!AT$3:AT$1334,[1]ACSDT5Y2020.B08301_data_with_ov!$AS$3:$AS$1334,$B721)</f>
        <v>#VALUE!</v>
      </c>
      <c r="M721" s="17" t="e">
        <f>SUMIFS([1]ACSDT5Y2020.B08301_data_with_ov!AU$3:AU$1334,[1]ACSDT5Y2020.B08301_data_with_ov!$AS$3:$AS$1334,$B721)</f>
        <v>#VALUE!</v>
      </c>
      <c r="N721" s="17" t="e">
        <f>SUMIFS([1]ACSDT5Y2020.B08301_data_with_ov!AV$3:AV$1334,[1]ACSDT5Y2020.B08301_data_with_ov!$AS$3:$AS$1334,$B721)</f>
        <v>#VALUE!</v>
      </c>
      <c r="O721" s="17" t="e">
        <f>SUMIFS([1]ACSDT5Y2020.B08301_data_with_ov!AW$3:AW$1334,[1]ACSDT5Y2020.B08301_data_with_ov!$AS$3:$AS$1334,$B721)</f>
        <v>#VALUE!</v>
      </c>
      <c r="P721" s="17" t="e">
        <f>SUMIFS([1]ACSDT5Y2020.B08301_data_with_ov!AX$3:AX$1334,[1]ACSDT5Y2020.B08301_data_with_ov!$AS$3:$AS$1334,$B721)</f>
        <v>#VALUE!</v>
      </c>
      <c r="Q721" s="17" t="e">
        <f>SUMIFS([1]ACSDT5Y2020.B08301_data_with_ov!AY$3:AY$1334,[1]ACSDT5Y2020.B08301_data_with_ov!$AS$3:$AS$1334,$B721)</f>
        <v>#VALUE!</v>
      </c>
      <c r="R721" s="17" t="e">
        <f>SUMIFS([1]ACSDT5Y2020.B08301_data_with_ov!AZ$3:AZ$1334,[1]ACSDT5Y2020.B08301_data_with_ov!$AS$3:$AS$1334,$B721)</f>
        <v>#VALUE!</v>
      </c>
      <c r="S721" s="17" t="e">
        <f>SUMIFS([1]ACSDT5Y2020.B08301_data_with_ov!BA$3:BA$1334,[1]ACSDT5Y2020.B08301_data_with_ov!$AS$3:$AS$1334,$B721)</f>
        <v>#VALUE!</v>
      </c>
      <c r="T721" s="188">
        <v>0.27650339624869613</v>
      </c>
      <c r="U721" s="189" t="e">
        <f t="shared" si="47"/>
        <v>#VALUE!</v>
      </c>
      <c r="V721" s="188">
        <v>0.27650339624869613</v>
      </c>
      <c r="W721" s="189" t="e">
        <f t="shared" si="44"/>
        <v>#VALUE!</v>
      </c>
      <c r="X721" s="188">
        <v>0.27650339624869613</v>
      </c>
      <c r="Y721" s="189" t="e">
        <f t="shared" si="45"/>
        <v>#VALUE!</v>
      </c>
      <c r="Z721" s="188">
        <v>0.27650339624869613</v>
      </c>
      <c r="AA721" s="189" t="e">
        <f t="shared" si="46"/>
        <v>#VALUE!</v>
      </c>
    </row>
    <row r="722" spans="1:27" x14ac:dyDescent="0.25">
      <c r="A722">
        <v>700502</v>
      </c>
      <c r="B722">
        <v>17031700502</v>
      </c>
      <c r="C722">
        <v>17031</v>
      </c>
      <c r="D722">
        <v>2010</v>
      </c>
      <c r="E722">
        <v>70</v>
      </c>
      <c r="F722">
        <v>18573995.880683001</v>
      </c>
      <c r="G722" s="45">
        <v>0.66625042616086294</v>
      </c>
      <c r="H722" s="60" t="str">
        <f>_xlfn.IFNA(
INDEX('Community Areas'!B$2:B$78,MATCH($E722,'Community Areas'!$A$2:$A$78,0)),
"")</f>
        <v>ASHBURN</v>
      </c>
      <c r="I722" s="63" t="str">
        <f>_xlfn.IFNA(
INDEX('Community Areas'!C$2:C$78,MATCH($E722,'Community Areas'!$A$2:$A$78,0)),
"")</f>
        <v>4-C</v>
      </c>
      <c r="J722" s="63">
        <f>_xlfn.IFNA(
INDEX('Community Areas'!D$2:D$78,MATCH($E722,'Community Areas'!$A$2:$A$78,0)),
"")</f>
        <v>4</v>
      </c>
      <c r="K722" s="60" t="str">
        <f>_xlfn.IFNA(
INDEX('Community Areas'!E$2:E$78,MATCH($E722,'Community Areas'!$A$2:$A$78,0)),
"")</f>
        <v>SOUTHWEST</v>
      </c>
      <c r="L722" s="17" t="e">
        <f>SUMIFS([1]ACSDT5Y2020.B08301_data_with_ov!AT$3:AT$1334,[1]ACSDT5Y2020.B08301_data_with_ov!$AS$3:$AS$1334,$B722)</f>
        <v>#VALUE!</v>
      </c>
      <c r="M722" s="17" t="e">
        <f>SUMIFS([1]ACSDT5Y2020.B08301_data_with_ov!AU$3:AU$1334,[1]ACSDT5Y2020.B08301_data_with_ov!$AS$3:$AS$1334,$B722)</f>
        <v>#VALUE!</v>
      </c>
      <c r="N722" s="17" t="e">
        <f>SUMIFS([1]ACSDT5Y2020.B08301_data_with_ov!AV$3:AV$1334,[1]ACSDT5Y2020.B08301_data_with_ov!$AS$3:$AS$1334,$B722)</f>
        <v>#VALUE!</v>
      </c>
      <c r="O722" s="17" t="e">
        <f>SUMIFS([1]ACSDT5Y2020.B08301_data_with_ov!AW$3:AW$1334,[1]ACSDT5Y2020.B08301_data_with_ov!$AS$3:$AS$1334,$B722)</f>
        <v>#VALUE!</v>
      </c>
      <c r="P722" s="17" t="e">
        <f>SUMIFS([1]ACSDT5Y2020.B08301_data_with_ov!AX$3:AX$1334,[1]ACSDT5Y2020.B08301_data_with_ov!$AS$3:$AS$1334,$B722)</f>
        <v>#VALUE!</v>
      </c>
      <c r="Q722" s="17" t="e">
        <f>SUMIFS([1]ACSDT5Y2020.B08301_data_with_ov!AY$3:AY$1334,[1]ACSDT5Y2020.B08301_data_with_ov!$AS$3:$AS$1334,$B722)</f>
        <v>#VALUE!</v>
      </c>
      <c r="R722" s="17" t="e">
        <f>SUMIFS([1]ACSDT5Y2020.B08301_data_with_ov!AZ$3:AZ$1334,[1]ACSDT5Y2020.B08301_data_with_ov!$AS$3:$AS$1334,$B722)</f>
        <v>#VALUE!</v>
      </c>
      <c r="S722" s="17" t="e">
        <f>SUMIFS([1]ACSDT5Y2020.B08301_data_with_ov!BA$3:BA$1334,[1]ACSDT5Y2020.B08301_data_with_ov!$AS$3:$AS$1334,$B722)</f>
        <v>#VALUE!</v>
      </c>
      <c r="T722" s="188">
        <v>0.3152839350818526</v>
      </c>
      <c r="U722" s="189" t="e">
        <f t="shared" si="47"/>
        <v>#VALUE!</v>
      </c>
      <c r="V722" s="188">
        <v>0.3152839350818526</v>
      </c>
      <c r="W722" s="189" t="e">
        <f t="shared" si="44"/>
        <v>#VALUE!</v>
      </c>
      <c r="X722" s="188">
        <v>0.3152839350818526</v>
      </c>
      <c r="Y722" s="189" t="e">
        <f t="shared" si="45"/>
        <v>#VALUE!</v>
      </c>
      <c r="Z722" s="188">
        <v>0.3152839350818526</v>
      </c>
      <c r="AA722" s="189" t="e">
        <f t="shared" si="46"/>
        <v>#VALUE!</v>
      </c>
    </row>
    <row r="723" spans="1:27" x14ac:dyDescent="0.25">
      <c r="A723">
        <v>700100</v>
      </c>
      <c r="B723">
        <v>17031700100</v>
      </c>
      <c r="C723">
        <v>17031</v>
      </c>
      <c r="D723">
        <v>2010</v>
      </c>
      <c r="E723">
        <v>70</v>
      </c>
      <c r="F723">
        <v>25326918.220106099</v>
      </c>
      <c r="G723" s="45">
        <v>0.90847818454811247</v>
      </c>
      <c r="H723" s="60" t="str">
        <f>_xlfn.IFNA(
INDEX('Community Areas'!B$2:B$78,MATCH($E723,'Community Areas'!$A$2:$A$78,0)),
"")</f>
        <v>ASHBURN</v>
      </c>
      <c r="I723" s="63" t="str">
        <f>_xlfn.IFNA(
INDEX('Community Areas'!C$2:C$78,MATCH($E723,'Community Areas'!$A$2:$A$78,0)),
"")</f>
        <v>4-C</v>
      </c>
      <c r="J723" s="63">
        <f>_xlfn.IFNA(
INDEX('Community Areas'!D$2:D$78,MATCH($E723,'Community Areas'!$A$2:$A$78,0)),
"")</f>
        <v>4</v>
      </c>
      <c r="K723" s="60" t="str">
        <f>_xlfn.IFNA(
INDEX('Community Areas'!E$2:E$78,MATCH($E723,'Community Areas'!$A$2:$A$78,0)),
"")</f>
        <v>SOUTHWEST</v>
      </c>
      <c r="L723" s="17" t="e">
        <f>SUMIFS([1]ACSDT5Y2020.B08301_data_with_ov!AT$3:AT$1334,[1]ACSDT5Y2020.B08301_data_with_ov!$AS$3:$AS$1334,$B723)</f>
        <v>#VALUE!</v>
      </c>
      <c r="M723" s="17" t="e">
        <f>SUMIFS([1]ACSDT5Y2020.B08301_data_with_ov!AU$3:AU$1334,[1]ACSDT5Y2020.B08301_data_with_ov!$AS$3:$AS$1334,$B723)</f>
        <v>#VALUE!</v>
      </c>
      <c r="N723" s="17" t="e">
        <f>SUMIFS([1]ACSDT5Y2020.B08301_data_with_ov!AV$3:AV$1334,[1]ACSDT5Y2020.B08301_data_with_ov!$AS$3:$AS$1334,$B723)</f>
        <v>#VALUE!</v>
      </c>
      <c r="O723" s="17" t="e">
        <f>SUMIFS([1]ACSDT5Y2020.B08301_data_with_ov!AW$3:AW$1334,[1]ACSDT5Y2020.B08301_data_with_ov!$AS$3:$AS$1334,$B723)</f>
        <v>#VALUE!</v>
      </c>
      <c r="P723" s="17" t="e">
        <f>SUMIFS([1]ACSDT5Y2020.B08301_data_with_ov!AX$3:AX$1334,[1]ACSDT5Y2020.B08301_data_with_ov!$AS$3:$AS$1334,$B723)</f>
        <v>#VALUE!</v>
      </c>
      <c r="Q723" s="17" t="e">
        <f>SUMIFS([1]ACSDT5Y2020.B08301_data_with_ov!AY$3:AY$1334,[1]ACSDT5Y2020.B08301_data_with_ov!$AS$3:$AS$1334,$B723)</f>
        <v>#VALUE!</v>
      </c>
      <c r="R723" s="17" t="e">
        <f>SUMIFS([1]ACSDT5Y2020.B08301_data_with_ov!AZ$3:AZ$1334,[1]ACSDT5Y2020.B08301_data_with_ov!$AS$3:$AS$1334,$B723)</f>
        <v>#VALUE!</v>
      </c>
      <c r="S723" s="17" t="e">
        <f>SUMIFS([1]ACSDT5Y2020.B08301_data_with_ov!BA$3:BA$1334,[1]ACSDT5Y2020.B08301_data_with_ov!$AS$3:$AS$1334,$B723)</f>
        <v>#VALUE!</v>
      </c>
      <c r="T723" s="188">
        <v>0.13508257199610701</v>
      </c>
      <c r="U723" s="189" t="e">
        <f t="shared" si="47"/>
        <v>#VALUE!</v>
      </c>
      <c r="V723" s="188">
        <v>0.13508257199610701</v>
      </c>
      <c r="W723" s="189" t="e">
        <f t="shared" si="44"/>
        <v>#VALUE!</v>
      </c>
      <c r="X723" s="188">
        <v>0.13508257199610701</v>
      </c>
      <c r="Y723" s="189" t="e">
        <f t="shared" si="45"/>
        <v>#VALUE!</v>
      </c>
      <c r="Z723" s="188">
        <v>0.13508257199610701</v>
      </c>
      <c r="AA723" s="189" t="e">
        <f t="shared" si="46"/>
        <v>#VALUE!</v>
      </c>
    </row>
    <row r="724" spans="1:27" x14ac:dyDescent="0.25">
      <c r="A724">
        <v>700200</v>
      </c>
      <c r="B724">
        <v>17031700200</v>
      </c>
      <c r="C724">
        <v>17031</v>
      </c>
      <c r="D724">
        <v>2010</v>
      </c>
      <c r="E724">
        <v>70</v>
      </c>
      <c r="F724">
        <v>17262625.411592301</v>
      </c>
      <c r="G724" s="45">
        <v>0.61921148314079366</v>
      </c>
      <c r="H724" s="60" t="str">
        <f>_xlfn.IFNA(
INDEX('Community Areas'!B$2:B$78,MATCH($E724,'Community Areas'!$A$2:$A$78,0)),
"")</f>
        <v>ASHBURN</v>
      </c>
      <c r="I724" s="63" t="str">
        <f>_xlfn.IFNA(
INDEX('Community Areas'!C$2:C$78,MATCH($E724,'Community Areas'!$A$2:$A$78,0)),
"")</f>
        <v>4-C</v>
      </c>
      <c r="J724" s="63">
        <f>_xlfn.IFNA(
INDEX('Community Areas'!D$2:D$78,MATCH($E724,'Community Areas'!$A$2:$A$78,0)),
"")</f>
        <v>4</v>
      </c>
      <c r="K724" s="60" t="str">
        <f>_xlfn.IFNA(
INDEX('Community Areas'!E$2:E$78,MATCH($E724,'Community Areas'!$A$2:$A$78,0)),
"")</f>
        <v>SOUTHWEST</v>
      </c>
      <c r="L724" s="17" t="e">
        <f>SUMIFS([1]ACSDT5Y2020.B08301_data_with_ov!AT$3:AT$1334,[1]ACSDT5Y2020.B08301_data_with_ov!$AS$3:$AS$1334,$B724)</f>
        <v>#VALUE!</v>
      </c>
      <c r="M724" s="17" t="e">
        <f>SUMIFS([1]ACSDT5Y2020.B08301_data_with_ov!AU$3:AU$1334,[1]ACSDT5Y2020.B08301_data_with_ov!$AS$3:$AS$1334,$B724)</f>
        <v>#VALUE!</v>
      </c>
      <c r="N724" s="17" t="e">
        <f>SUMIFS([1]ACSDT5Y2020.B08301_data_with_ov!AV$3:AV$1334,[1]ACSDT5Y2020.B08301_data_with_ov!$AS$3:$AS$1334,$B724)</f>
        <v>#VALUE!</v>
      </c>
      <c r="O724" s="17" t="e">
        <f>SUMIFS([1]ACSDT5Y2020.B08301_data_with_ov!AW$3:AW$1334,[1]ACSDT5Y2020.B08301_data_with_ov!$AS$3:$AS$1334,$B724)</f>
        <v>#VALUE!</v>
      </c>
      <c r="P724" s="17" t="e">
        <f>SUMIFS([1]ACSDT5Y2020.B08301_data_with_ov!AX$3:AX$1334,[1]ACSDT5Y2020.B08301_data_with_ov!$AS$3:$AS$1334,$B724)</f>
        <v>#VALUE!</v>
      </c>
      <c r="Q724" s="17" t="e">
        <f>SUMIFS([1]ACSDT5Y2020.B08301_data_with_ov!AY$3:AY$1334,[1]ACSDT5Y2020.B08301_data_with_ov!$AS$3:$AS$1334,$B724)</f>
        <v>#VALUE!</v>
      </c>
      <c r="R724" s="17" t="e">
        <f>SUMIFS([1]ACSDT5Y2020.B08301_data_with_ov!AZ$3:AZ$1334,[1]ACSDT5Y2020.B08301_data_with_ov!$AS$3:$AS$1334,$B724)</f>
        <v>#VALUE!</v>
      </c>
      <c r="S724" s="17" t="e">
        <f>SUMIFS([1]ACSDT5Y2020.B08301_data_with_ov!BA$3:BA$1334,[1]ACSDT5Y2020.B08301_data_with_ov!$AS$3:$AS$1334,$B724)</f>
        <v>#VALUE!</v>
      </c>
      <c r="T724" s="188">
        <v>0</v>
      </c>
      <c r="U724" s="189" t="e">
        <f t="shared" si="47"/>
        <v>#VALUE!</v>
      </c>
      <c r="V724" s="188">
        <v>0</v>
      </c>
      <c r="W724" s="189" t="e">
        <f t="shared" si="44"/>
        <v>#VALUE!</v>
      </c>
      <c r="X724" s="188">
        <v>0</v>
      </c>
      <c r="Y724" s="189" t="e">
        <f t="shared" si="45"/>
        <v>#VALUE!</v>
      </c>
      <c r="Z724" s="188">
        <v>0</v>
      </c>
      <c r="AA724" s="189" t="e">
        <f t="shared" si="46"/>
        <v>#VALUE!</v>
      </c>
    </row>
    <row r="725" spans="1:27" x14ac:dyDescent="0.25">
      <c r="A725">
        <v>710500</v>
      </c>
      <c r="B725">
        <v>17031710500</v>
      </c>
      <c r="C725">
        <v>17031</v>
      </c>
      <c r="D725">
        <v>2010</v>
      </c>
      <c r="E725">
        <v>71</v>
      </c>
      <c r="F725">
        <v>8038189.8539549503</v>
      </c>
      <c r="G725" s="45">
        <v>0.28833038674941713</v>
      </c>
      <c r="H725" s="60" t="str">
        <f>_xlfn.IFNA(
INDEX('Community Areas'!B$2:B$78,MATCH($E725,'Community Areas'!$A$2:$A$78,0)),
"")</f>
        <v>AUBURN GRESHAM</v>
      </c>
      <c r="I725" s="63" t="str">
        <f>_xlfn.IFNA(
INDEX('Community Areas'!C$2:C$78,MATCH($E725,'Community Areas'!$A$2:$A$78,0)),
"")</f>
        <v>5-A</v>
      </c>
      <c r="J725" s="63">
        <f>_xlfn.IFNA(
INDEX('Community Areas'!D$2:D$78,MATCH($E725,'Community Areas'!$A$2:$A$78,0)),
"")</f>
        <v>5</v>
      </c>
      <c r="K725" s="60" t="str">
        <f>_xlfn.IFNA(
INDEX('Community Areas'!E$2:E$78,MATCH($E725,'Community Areas'!$A$2:$A$78,0)),
"")</f>
        <v>FAR SOUTH</v>
      </c>
      <c r="L725" s="17" t="e">
        <f>SUMIFS([1]ACSDT5Y2020.B08301_data_with_ov!AT$3:AT$1334,[1]ACSDT5Y2020.B08301_data_with_ov!$AS$3:$AS$1334,$B725)</f>
        <v>#VALUE!</v>
      </c>
      <c r="M725" s="17" t="e">
        <f>SUMIFS([1]ACSDT5Y2020.B08301_data_with_ov!AU$3:AU$1334,[1]ACSDT5Y2020.B08301_data_with_ov!$AS$3:$AS$1334,$B725)</f>
        <v>#VALUE!</v>
      </c>
      <c r="N725" s="17" t="e">
        <f>SUMIFS([1]ACSDT5Y2020.B08301_data_with_ov!AV$3:AV$1334,[1]ACSDT5Y2020.B08301_data_with_ov!$AS$3:$AS$1334,$B725)</f>
        <v>#VALUE!</v>
      </c>
      <c r="O725" s="17" t="e">
        <f>SUMIFS([1]ACSDT5Y2020.B08301_data_with_ov!AW$3:AW$1334,[1]ACSDT5Y2020.B08301_data_with_ov!$AS$3:$AS$1334,$B725)</f>
        <v>#VALUE!</v>
      </c>
      <c r="P725" s="17" t="e">
        <f>SUMIFS([1]ACSDT5Y2020.B08301_data_with_ov!AX$3:AX$1334,[1]ACSDT5Y2020.B08301_data_with_ov!$AS$3:$AS$1334,$B725)</f>
        <v>#VALUE!</v>
      </c>
      <c r="Q725" s="17" t="e">
        <f>SUMIFS([1]ACSDT5Y2020.B08301_data_with_ov!AY$3:AY$1334,[1]ACSDT5Y2020.B08301_data_with_ov!$AS$3:$AS$1334,$B725)</f>
        <v>#VALUE!</v>
      </c>
      <c r="R725" s="17" t="e">
        <f>SUMIFS([1]ACSDT5Y2020.B08301_data_with_ov!AZ$3:AZ$1334,[1]ACSDT5Y2020.B08301_data_with_ov!$AS$3:$AS$1334,$B725)</f>
        <v>#VALUE!</v>
      </c>
      <c r="S725" s="17" t="e">
        <f>SUMIFS([1]ACSDT5Y2020.B08301_data_with_ov!BA$3:BA$1334,[1]ACSDT5Y2020.B08301_data_with_ov!$AS$3:$AS$1334,$B725)</f>
        <v>#VALUE!</v>
      </c>
      <c r="T725" s="188">
        <v>0.2878579547819215</v>
      </c>
      <c r="U725" s="189" t="e">
        <f t="shared" si="47"/>
        <v>#VALUE!</v>
      </c>
      <c r="V725" s="188">
        <v>0.2878579547819215</v>
      </c>
      <c r="W725" s="189" t="e">
        <f t="shared" si="44"/>
        <v>#VALUE!</v>
      </c>
      <c r="X725" s="188">
        <v>0.2878579547819215</v>
      </c>
      <c r="Y725" s="189" t="e">
        <f t="shared" si="45"/>
        <v>#VALUE!</v>
      </c>
      <c r="Z725" s="188">
        <v>0.2878579547819215</v>
      </c>
      <c r="AA725" s="189" t="e">
        <f t="shared" si="46"/>
        <v>#VALUE!</v>
      </c>
    </row>
    <row r="726" spans="1:27" x14ac:dyDescent="0.25">
      <c r="A726">
        <v>711200</v>
      </c>
      <c r="B726">
        <v>17031711200</v>
      </c>
      <c r="C726">
        <v>17031</v>
      </c>
      <c r="D726">
        <v>2010</v>
      </c>
      <c r="E726">
        <v>71</v>
      </c>
      <c r="F726">
        <v>11845174.438624199</v>
      </c>
      <c r="G726" s="45">
        <v>0.42488716851125602</v>
      </c>
      <c r="H726" s="60" t="str">
        <f>_xlfn.IFNA(
INDEX('Community Areas'!B$2:B$78,MATCH($E726,'Community Areas'!$A$2:$A$78,0)),
"")</f>
        <v>AUBURN GRESHAM</v>
      </c>
      <c r="I726" s="63" t="str">
        <f>_xlfn.IFNA(
INDEX('Community Areas'!C$2:C$78,MATCH($E726,'Community Areas'!$A$2:$A$78,0)),
"")</f>
        <v>5-A</v>
      </c>
      <c r="J726" s="63">
        <f>_xlfn.IFNA(
INDEX('Community Areas'!D$2:D$78,MATCH($E726,'Community Areas'!$A$2:$A$78,0)),
"")</f>
        <v>5</v>
      </c>
      <c r="K726" s="60" t="str">
        <f>_xlfn.IFNA(
INDEX('Community Areas'!E$2:E$78,MATCH($E726,'Community Areas'!$A$2:$A$78,0)),
"")</f>
        <v>FAR SOUTH</v>
      </c>
      <c r="L726" s="17" t="e">
        <f>SUMIFS([1]ACSDT5Y2020.B08301_data_with_ov!AT$3:AT$1334,[1]ACSDT5Y2020.B08301_data_with_ov!$AS$3:$AS$1334,$B726)</f>
        <v>#VALUE!</v>
      </c>
      <c r="M726" s="17" t="e">
        <f>SUMIFS([1]ACSDT5Y2020.B08301_data_with_ov!AU$3:AU$1334,[1]ACSDT5Y2020.B08301_data_with_ov!$AS$3:$AS$1334,$B726)</f>
        <v>#VALUE!</v>
      </c>
      <c r="N726" s="17" t="e">
        <f>SUMIFS([1]ACSDT5Y2020.B08301_data_with_ov!AV$3:AV$1334,[1]ACSDT5Y2020.B08301_data_with_ov!$AS$3:$AS$1334,$B726)</f>
        <v>#VALUE!</v>
      </c>
      <c r="O726" s="17" t="e">
        <f>SUMIFS([1]ACSDT5Y2020.B08301_data_with_ov!AW$3:AW$1334,[1]ACSDT5Y2020.B08301_data_with_ov!$AS$3:$AS$1334,$B726)</f>
        <v>#VALUE!</v>
      </c>
      <c r="P726" s="17" t="e">
        <f>SUMIFS([1]ACSDT5Y2020.B08301_data_with_ov!AX$3:AX$1334,[1]ACSDT5Y2020.B08301_data_with_ov!$AS$3:$AS$1334,$B726)</f>
        <v>#VALUE!</v>
      </c>
      <c r="Q726" s="17" t="e">
        <f>SUMIFS([1]ACSDT5Y2020.B08301_data_with_ov!AY$3:AY$1334,[1]ACSDT5Y2020.B08301_data_with_ov!$AS$3:$AS$1334,$B726)</f>
        <v>#VALUE!</v>
      </c>
      <c r="R726" s="17" t="e">
        <f>SUMIFS([1]ACSDT5Y2020.B08301_data_with_ov!AZ$3:AZ$1334,[1]ACSDT5Y2020.B08301_data_with_ov!$AS$3:$AS$1334,$B726)</f>
        <v>#VALUE!</v>
      </c>
      <c r="S726" s="17" t="e">
        <f>SUMIFS([1]ACSDT5Y2020.B08301_data_with_ov!BA$3:BA$1334,[1]ACSDT5Y2020.B08301_data_with_ov!$AS$3:$AS$1334,$B726)</f>
        <v>#VALUE!</v>
      </c>
      <c r="T726" s="188">
        <v>0.42380981741574841</v>
      </c>
      <c r="U726" s="189" t="e">
        <f t="shared" si="47"/>
        <v>#VALUE!</v>
      </c>
      <c r="V726" s="188">
        <v>0.42380981741574841</v>
      </c>
      <c r="W726" s="189" t="e">
        <f t="shared" si="44"/>
        <v>#VALUE!</v>
      </c>
      <c r="X726" s="188">
        <v>0.42380981741574841</v>
      </c>
      <c r="Y726" s="189" t="e">
        <f t="shared" si="45"/>
        <v>#VALUE!</v>
      </c>
      <c r="Z726" s="188">
        <v>0.42380981741574841</v>
      </c>
      <c r="AA726" s="189" t="e">
        <f t="shared" si="46"/>
        <v>#VALUE!</v>
      </c>
    </row>
    <row r="727" spans="1:27" x14ac:dyDescent="0.25">
      <c r="A727">
        <v>711300</v>
      </c>
      <c r="B727">
        <v>17031711300</v>
      </c>
      <c r="C727">
        <v>17031</v>
      </c>
      <c r="D727">
        <v>2010</v>
      </c>
      <c r="E727">
        <v>71</v>
      </c>
      <c r="F727">
        <v>3757463.3702258901</v>
      </c>
      <c r="G727" s="45">
        <v>0.13478045261657376</v>
      </c>
      <c r="H727" s="60" t="str">
        <f>_xlfn.IFNA(
INDEX('Community Areas'!B$2:B$78,MATCH($E727,'Community Areas'!$A$2:$A$78,0)),
"")</f>
        <v>AUBURN GRESHAM</v>
      </c>
      <c r="I727" s="63" t="str">
        <f>_xlfn.IFNA(
INDEX('Community Areas'!C$2:C$78,MATCH($E727,'Community Areas'!$A$2:$A$78,0)),
"")</f>
        <v>5-A</v>
      </c>
      <c r="J727" s="63">
        <f>_xlfn.IFNA(
INDEX('Community Areas'!D$2:D$78,MATCH($E727,'Community Areas'!$A$2:$A$78,0)),
"")</f>
        <v>5</v>
      </c>
      <c r="K727" s="60" t="str">
        <f>_xlfn.IFNA(
INDEX('Community Areas'!E$2:E$78,MATCH($E727,'Community Areas'!$A$2:$A$78,0)),
"")</f>
        <v>FAR SOUTH</v>
      </c>
      <c r="L727" s="17" t="e">
        <f>SUMIFS([1]ACSDT5Y2020.B08301_data_with_ov!AT$3:AT$1334,[1]ACSDT5Y2020.B08301_data_with_ov!$AS$3:$AS$1334,$B727)</f>
        <v>#VALUE!</v>
      </c>
      <c r="M727" s="17" t="e">
        <f>SUMIFS([1]ACSDT5Y2020.B08301_data_with_ov!AU$3:AU$1334,[1]ACSDT5Y2020.B08301_data_with_ov!$AS$3:$AS$1334,$B727)</f>
        <v>#VALUE!</v>
      </c>
      <c r="N727" s="17" t="e">
        <f>SUMIFS([1]ACSDT5Y2020.B08301_data_with_ov!AV$3:AV$1334,[1]ACSDT5Y2020.B08301_data_with_ov!$AS$3:$AS$1334,$B727)</f>
        <v>#VALUE!</v>
      </c>
      <c r="O727" s="17" t="e">
        <f>SUMIFS([1]ACSDT5Y2020.B08301_data_with_ov!AW$3:AW$1334,[1]ACSDT5Y2020.B08301_data_with_ov!$AS$3:$AS$1334,$B727)</f>
        <v>#VALUE!</v>
      </c>
      <c r="P727" s="17" t="e">
        <f>SUMIFS([1]ACSDT5Y2020.B08301_data_with_ov!AX$3:AX$1334,[1]ACSDT5Y2020.B08301_data_with_ov!$AS$3:$AS$1334,$B727)</f>
        <v>#VALUE!</v>
      </c>
      <c r="Q727" s="17" t="e">
        <f>SUMIFS([1]ACSDT5Y2020.B08301_data_with_ov!AY$3:AY$1334,[1]ACSDT5Y2020.B08301_data_with_ov!$AS$3:$AS$1334,$B727)</f>
        <v>#VALUE!</v>
      </c>
      <c r="R727" s="17" t="e">
        <f>SUMIFS([1]ACSDT5Y2020.B08301_data_with_ov!AZ$3:AZ$1334,[1]ACSDT5Y2020.B08301_data_with_ov!$AS$3:$AS$1334,$B727)</f>
        <v>#VALUE!</v>
      </c>
      <c r="S727" s="17" t="e">
        <f>SUMIFS([1]ACSDT5Y2020.B08301_data_with_ov!BA$3:BA$1334,[1]ACSDT5Y2020.B08301_data_with_ov!$AS$3:$AS$1334,$B727)</f>
        <v>#VALUE!</v>
      </c>
      <c r="T727" s="188">
        <v>0.1347804611586533</v>
      </c>
      <c r="U727" s="189" t="e">
        <f t="shared" si="47"/>
        <v>#VALUE!</v>
      </c>
      <c r="V727" s="188">
        <v>0.1347804611586533</v>
      </c>
      <c r="W727" s="189" t="e">
        <f t="shared" si="44"/>
        <v>#VALUE!</v>
      </c>
      <c r="X727" s="188">
        <v>0.1347804611586533</v>
      </c>
      <c r="Y727" s="189" t="e">
        <f t="shared" si="45"/>
        <v>#VALUE!</v>
      </c>
      <c r="Z727" s="188">
        <v>0.1347804611586533</v>
      </c>
      <c r="AA727" s="189" t="e">
        <f t="shared" si="46"/>
        <v>#VALUE!</v>
      </c>
    </row>
    <row r="728" spans="1:27" x14ac:dyDescent="0.25">
      <c r="A728">
        <v>710200</v>
      </c>
      <c r="B728">
        <v>17031710200</v>
      </c>
      <c r="C728">
        <v>17031</v>
      </c>
      <c r="D728">
        <v>2010</v>
      </c>
      <c r="E728">
        <v>71</v>
      </c>
      <c r="F728">
        <v>8159580.4105924303</v>
      </c>
      <c r="G728" s="45">
        <v>0.29268467381888597</v>
      </c>
      <c r="H728" s="60" t="str">
        <f>_xlfn.IFNA(
INDEX('Community Areas'!B$2:B$78,MATCH($E728,'Community Areas'!$A$2:$A$78,0)),
"")</f>
        <v>AUBURN GRESHAM</v>
      </c>
      <c r="I728" s="63" t="str">
        <f>_xlfn.IFNA(
INDEX('Community Areas'!C$2:C$78,MATCH($E728,'Community Areas'!$A$2:$A$78,0)),
"")</f>
        <v>5-A</v>
      </c>
      <c r="J728" s="63">
        <f>_xlfn.IFNA(
INDEX('Community Areas'!D$2:D$78,MATCH($E728,'Community Areas'!$A$2:$A$78,0)),
"")</f>
        <v>5</v>
      </c>
      <c r="K728" s="60" t="str">
        <f>_xlfn.IFNA(
INDEX('Community Areas'!E$2:E$78,MATCH($E728,'Community Areas'!$A$2:$A$78,0)),
"")</f>
        <v>FAR SOUTH</v>
      </c>
      <c r="L728" s="17" t="e">
        <f>SUMIFS([1]ACSDT5Y2020.B08301_data_with_ov!AT$3:AT$1334,[1]ACSDT5Y2020.B08301_data_with_ov!$AS$3:$AS$1334,$B728)</f>
        <v>#VALUE!</v>
      </c>
      <c r="M728" s="17" t="e">
        <f>SUMIFS([1]ACSDT5Y2020.B08301_data_with_ov!AU$3:AU$1334,[1]ACSDT5Y2020.B08301_data_with_ov!$AS$3:$AS$1334,$B728)</f>
        <v>#VALUE!</v>
      </c>
      <c r="N728" s="17" t="e">
        <f>SUMIFS([1]ACSDT5Y2020.B08301_data_with_ov!AV$3:AV$1334,[1]ACSDT5Y2020.B08301_data_with_ov!$AS$3:$AS$1334,$B728)</f>
        <v>#VALUE!</v>
      </c>
      <c r="O728" s="17" t="e">
        <f>SUMIFS([1]ACSDT5Y2020.B08301_data_with_ov!AW$3:AW$1334,[1]ACSDT5Y2020.B08301_data_with_ov!$AS$3:$AS$1334,$B728)</f>
        <v>#VALUE!</v>
      </c>
      <c r="P728" s="17" t="e">
        <f>SUMIFS([1]ACSDT5Y2020.B08301_data_with_ov!AX$3:AX$1334,[1]ACSDT5Y2020.B08301_data_with_ov!$AS$3:$AS$1334,$B728)</f>
        <v>#VALUE!</v>
      </c>
      <c r="Q728" s="17" t="e">
        <f>SUMIFS([1]ACSDT5Y2020.B08301_data_with_ov!AY$3:AY$1334,[1]ACSDT5Y2020.B08301_data_with_ov!$AS$3:$AS$1334,$B728)</f>
        <v>#VALUE!</v>
      </c>
      <c r="R728" s="17" t="e">
        <f>SUMIFS([1]ACSDT5Y2020.B08301_data_with_ov!AZ$3:AZ$1334,[1]ACSDT5Y2020.B08301_data_with_ov!$AS$3:$AS$1334,$B728)</f>
        <v>#VALUE!</v>
      </c>
      <c r="S728" s="17" t="e">
        <f>SUMIFS([1]ACSDT5Y2020.B08301_data_with_ov!BA$3:BA$1334,[1]ACSDT5Y2020.B08301_data_with_ov!$AS$3:$AS$1334,$B728)</f>
        <v>#VALUE!</v>
      </c>
      <c r="T728" s="188">
        <v>0.19581431730984775</v>
      </c>
      <c r="U728" s="189" t="e">
        <f t="shared" si="47"/>
        <v>#VALUE!</v>
      </c>
      <c r="V728" s="188">
        <v>0.19581431730984775</v>
      </c>
      <c r="W728" s="189" t="e">
        <f t="shared" si="44"/>
        <v>#VALUE!</v>
      </c>
      <c r="X728" s="188">
        <v>0.19581431730984775</v>
      </c>
      <c r="Y728" s="189" t="e">
        <f t="shared" si="45"/>
        <v>#VALUE!</v>
      </c>
      <c r="Z728" s="188">
        <v>0.19581431730984775</v>
      </c>
      <c r="AA728" s="189" t="e">
        <f t="shared" si="46"/>
        <v>#VALUE!</v>
      </c>
    </row>
    <row r="729" spans="1:27" x14ac:dyDescent="0.25">
      <c r="A729">
        <v>710600</v>
      </c>
      <c r="B729">
        <v>17031710600</v>
      </c>
      <c r="C729">
        <v>17031</v>
      </c>
      <c r="D729">
        <v>2010</v>
      </c>
      <c r="E729">
        <v>71</v>
      </c>
      <c r="F729">
        <v>2636201.6773109501</v>
      </c>
      <c r="G729" s="45">
        <v>9.4560723617960502E-2</v>
      </c>
      <c r="H729" s="60" t="str">
        <f>_xlfn.IFNA(
INDEX('Community Areas'!B$2:B$78,MATCH($E729,'Community Areas'!$A$2:$A$78,0)),
"")</f>
        <v>AUBURN GRESHAM</v>
      </c>
      <c r="I729" s="63" t="str">
        <f>_xlfn.IFNA(
INDEX('Community Areas'!C$2:C$78,MATCH($E729,'Community Areas'!$A$2:$A$78,0)),
"")</f>
        <v>5-A</v>
      </c>
      <c r="J729" s="63">
        <f>_xlfn.IFNA(
INDEX('Community Areas'!D$2:D$78,MATCH($E729,'Community Areas'!$A$2:$A$78,0)),
"")</f>
        <v>5</v>
      </c>
      <c r="K729" s="60" t="str">
        <f>_xlfn.IFNA(
INDEX('Community Areas'!E$2:E$78,MATCH($E729,'Community Areas'!$A$2:$A$78,0)),
"")</f>
        <v>FAR SOUTH</v>
      </c>
      <c r="L729" s="17" t="e">
        <f>SUMIFS([1]ACSDT5Y2020.B08301_data_with_ov!AT$3:AT$1334,[1]ACSDT5Y2020.B08301_data_with_ov!$AS$3:$AS$1334,$B729)</f>
        <v>#VALUE!</v>
      </c>
      <c r="M729" s="17" t="e">
        <f>SUMIFS([1]ACSDT5Y2020.B08301_data_with_ov!AU$3:AU$1334,[1]ACSDT5Y2020.B08301_data_with_ov!$AS$3:$AS$1334,$B729)</f>
        <v>#VALUE!</v>
      </c>
      <c r="N729" s="17" t="e">
        <f>SUMIFS([1]ACSDT5Y2020.B08301_data_with_ov!AV$3:AV$1334,[1]ACSDT5Y2020.B08301_data_with_ov!$AS$3:$AS$1334,$B729)</f>
        <v>#VALUE!</v>
      </c>
      <c r="O729" s="17" t="e">
        <f>SUMIFS([1]ACSDT5Y2020.B08301_data_with_ov!AW$3:AW$1334,[1]ACSDT5Y2020.B08301_data_with_ov!$AS$3:$AS$1334,$B729)</f>
        <v>#VALUE!</v>
      </c>
      <c r="P729" s="17" t="e">
        <f>SUMIFS([1]ACSDT5Y2020.B08301_data_with_ov!AX$3:AX$1334,[1]ACSDT5Y2020.B08301_data_with_ov!$AS$3:$AS$1334,$B729)</f>
        <v>#VALUE!</v>
      </c>
      <c r="Q729" s="17" t="e">
        <f>SUMIFS([1]ACSDT5Y2020.B08301_data_with_ov!AY$3:AY$1334,[1]ACSDT5Y2020.B08301_data_with_ov!$AS$3:$AS$1334,$B729)</f>
        <v>#VALUE!</v>
      </c>
      <c r="R729" s="17" t="e">
        <f>SUMIFS([1]ACSDT5Y2020.B08301_data_with_ov!AZ$3:AZ$1334,[1]ACSDT5Y2020.B08301_data_with_ov!$AS$3:$AS$1334,$B729)</f>
        <v>#VALUE!</v>
      </c>
      <c r="S729" s="17" t="e">
        <f>SUMIFS([1]ACSDT5Y2020.B08301_data_with_ov!BA$3:BA$1334,[1]ACSDT5Y2020.B08301_data_with_ov!$AS$3:$AS$1334,$B729)</f>
        <v>#VALUE!</v>
      </c>
      <c r="T729" s="188">
        <v>0</v>
      </c>
      <c r="U729" s="189" t="e">
        <f t="shared" si="47"/>
        <v>#VALUE!</v>
      </c>
      <c r="V729" s="188">
        <v>0</v>
      </c>
      <c r="W729" s="189" t="e">
        <f t="shared" si="44"/>
        <v>#VALUE!</v>
      </c>
      <c r="X729" s="188">
        <v>0</v>
      </c>
      <c r="Y729" s="189" t="e">
        <f t="shared" si="45"/>
        <v>#VALUE!</v>
      </c>
      <c r="Z729" s="188">
        <v>0</v>
      </c>
      <c r="AA729" s="189" t="e">
        <f t="shared" si="46"/>
        <v>#VALUE!</v>
      </c>
    </row>
    <row r="730" spans="1:27" x14ac:dyDescent="0.25">
      <c r="A730">
        <v>710900</v>
      </c>
      <c r="B730">
        <v>17031710900</v>
      </c>
      <c r="C730">
        <v>17031</v>
      </c>
      <c r="D730">
        <v>2010</v>
      </c>
      <c r="E730">
        <v>71</v>
      </c>
      <c r="F730">
        <v>10651911.4226833</v>
      </c>
      <c r="G730" s="45">
        <v>0.38208474742751736</v>
      </c>
      <c r="H730" s="60" t="str">
        <f>_xlfn.IFNA(
INDEX('Community Areas'!B$2:B$78,MATCH($E730,'Community Areas'!$A$2:$A$78,0)),
"")</f>
        <v>AUBURN GRESHAM</v>
      </c>
      <c r="I730" s="63" t="str">
        <f>_xlfn.IFNA(
INDEX('Community Areas'!C$2:C$78,MATCH($E730,'Community Areas'!$A$2:$A$78,0)),
"")</f>
        <v>5-A</v>
      </c>
      <c r="J730" s="63">
        <f>_xlfn.IFNA(
INDEX('Community Areas'!D$2:D$78,MATCH($E730,'Community Areas'!$A$2:$A$78,0)),
"")</f>
        <v>5</v>
      </c>
      <c r="K730" s="60" t="str">
        <f>_xlfn.IFNA(
INDEX('Community Areas'!E$2:E$78,MATCH($E730,'Community Areas'!$A$2:$A$78,0)),
"")</f>
        <v>FAR SOUTH</v>
      </c>
      <c r="L730" s="17" t="e">
        <f>SUMIFS([1]ACSDT5Y2020.B08301_data_with_ov!AT$3:AT$1334,[1]ACSDT5Y2020.B08301_data_with_ov!$AS$3:$AS$1334,$B730)</f>
        <v>#VALUE!</v>
      </c>
      <c r="M730" s="17" t="e">
        <f>SUMIFS([1]ACSDT5Y2020.B08301_data_with_ov!AU$3:AU$1334,[1]ACSDT5Y2020.B08301_data_with_ov!$AS$3:$AS$1334,$B730)</f>
        <v>#VALUE!</v>
      </c>
      <c r="N730" s="17" t="e">
        <f>SUMIFS([1]ACSDT5Y2020.B08301_data_with_ov!AV$3:AV$1334,[1]ACSDT5Y2020.B08301_data_with_ov!$AS$3:$AS$1334,$B730)</f>
        <v>#VALUE!</v>
      </c>
      <c r="O730" s="17" t="e">
        <f>SUMIFS([1]ACSDT5Y2020.B08301_data_with_ov!AW$3:AW$1334,[1]ACSDT5Y2020.B08301_data_with_ov!$AS$3:$AS$1334,$B730)</f>
        <v>#VALUE!</v>
      </c>
      <c r="P730" s="17" t="e">
        <f>SUMIFS([1]ACSDT5Y2020.B08301_data_with_ov!AX$3:AX$1334,[1]ACSDT5Y2020.B08301_data_with_ov!$AS$3:$AS$1334,$B730)</f>
        <v>#VALUE!</v>
      </c>
      <c r="Q730" s="17" t="e">
        <f>SUMIFS([1]ACSDT5Y2020.B08301_data_with_ov!AY$3:AY$1334,[1]ACSDT5Y2020.B08301_data_with_ov!$AS$3:$AS$1334,$B730)</f>
        <v>#VALUE!</v>
      </c>
      <c r="R730" s="17" t="e">
        <f>SUMIFS([1]ACSDT5Y2020.B08301_data_with_ov!AZ$3:AZ$1334,[1]ACSDT5Y2020.B08301_data_with_ov!$AS$3:$AS$1334,$B730)</f>
        <v>#VALUE!</v>
      </c>
      <c r="S730" s="17" t="e">
        <f>SUMIFS([1]ACSDT5Y2020.B08301_data_with_ov!BA$3:BA$1334,[1]ACSDT5Y2020.B08301_data_with_ov!$AS$3:$AS$1334,$B730)</f>
        <v>#VALUE!</v>
      </c>
      <c r="T730" s="188">
        <v>0.38208475367709405</v>
      </c>
      <c r="U730" s="189" t="e">
        <f t="shared" si="47"/>
        <v>#VALUE!</v>
      </c>
      <c r="V730" s="188">
        <v>0.38208475367709405</v>
      </c>
      <c r="W730" s="189" t="e">
        <f t="shared" si="44"/>
        <v>#VALUE!</v>
      </c>
      <c r="X730" s="188">
        <v>0.38208475367709405</v>
      </c>
      <c r="Y730" s="189" t="e">
        <f t="shared" si="45"/>
        <v>#VALUE!</v>
      </c>
      <c r="Z730" s="188">
        <v>0.38208475367709405</v>
      </c>
      <c r="AA730" s="189" t="e">
        <f t="shared" si="46"/>
        <v>#VALUE!</v>
      </c>
    </row>
    <row r="731" spans="1:27" x14ac:dyDescent="0.25">
      <c r="A731">
        <v>711100</v>
      </c>
      <c r="B731">
        <v>17031711100</v>
      </c>
      <c r="C731">
        <v>17031</v>
      </c>
      <c r="D731">
        <v>2010</v>
      </c>
      <c r="E731">
        <v>71</v>
      </c>
      <c r="F731">
        <v>7038832.05522421</v>
      </c>
      <c r="G731" s="45">
        <v>0.25248335827107043</v>
      </c>
      <c r="H731" s="60" t="str">
        <f>_xlfn.IFNA(
INDEX('Community Areas'!B$2:B$78,MATCH($E731,'Community Areas'!$A$2:$A$78,0)),
"")</f>
        <v>AUBURN GRESHAM</v>
      </c>
      <c r="I731" s="63" t="str">
        <f>_xlfn.IFNA(
INDEX('Community Areas'!C$2:C$78,MATCH($E731,'Community Areas'!$A$2:$A$78,0)),
"")</f>
        <v>5-A</v>
      </c>
      <c r="J731" s="63">
        <f>_xlfn.IFNA(
INDEX('Community Areas'!D$2:D$78,MATCH($E731,'Community Areas'!$A$2:$A$78,0)),
"")</f>
        <v>5</v>
      </c>
      <c r="K731" s="60" t="str">
        <f>_xlfn.IFNA(
INDEX('Community Areas'!E$2:E$78,MATCH($E731,'Community Areas'!$A$2:$A$78,0)),
"")</f>
        <v>FAR SOUTH</v>
      </c>
      <c r="L731" s="17" t="e">
        <f>SUMIFS([1]ACSDT5Y2020.B08301_data_with_ov!AT$3:AT$1334,[1]ACSDT5Y2020.B08301_data_with_ov!$AS$3:$AS$1334,$B731)</f>
        <v>#VALUE!</v>
      </c>
      <c r="M731" s="17" t="e">
        <f>SUMIFS([1]ACSDT5Y2020.B08301_data_with_ov!AU$3:AU$1334,[1]ACSDT5Y2020.B08301_data_with_ov!$AS$3:$AS$1334,$B731)</f>
        <v>#VALUE!</v>
      </c>
      <c r="N731" s="17" t="e">
        <f>SUMIFS([1]ACSDT5Y2020.B08301_data_with_ov!AV$3:AV$1334,[1]ACSDT5Y2020.B08301_data_with_ov!$AS$3:$AS$1334,$B731)</f>
        <v>#VALUE!</v>
      </c>
      <c r="O731" s="17" t="e">
        <f>SUMIFS([1]ACSDT5Y2020.B08301_data_with_ov!AW$3:AW$1334,[1]ACSDT5Y2020.B08301_data_with_ov!$AS$3:$AS$1334,$B731)</f>
        <v>#VALUE!</v>
      </c>
      <c r="P731" s="17" t="e">
        <f>SUMIFS([1]ACSDT5Y2020.B08301_data_with_ov!AX$3:AX$1334,[1]ACSDT5Y2020.B08301_data_with_ov!$AS$3:$AS$1334,$B731)</f>
        <v>#VALUE!</v>
      </c>
      <c r="Q731" s="17" t="e">
        <f>SUMIFS([1]ACSDT5Y2020.B08301_data_with_ov!AY$3:AY$1334,[1]ACSDT5Y2020.B08301_data_with_ov!$AS$3:$AS$1334,$B731)</f>
        <v>#VALUE!</v>
      </c>
      <c r="R731" s="17" t="e">
        <f>SUMIFS([1]ACSDT5Y2020.B08301_data_with_ov!AZ$3:AZ$1334,[1]ACSDT5Y2020.B08301_data_with_ov!$AS$3:$AS$1334,$B731)</f>
        <v>#VALUE!</v>
      </c>
      <c r="S731" s="17" t="e">
        <f>SUMIFS([1]ACSDT5Y2020.B08301_data_with_ov!BA$3:BA$1334,[1]ACSDT5Y2020.B08301_data_with_ov!$AS$3:$AS$1334,$B731)</f>
        <v>#VALUE!</v>
      </c>
      <c r="T731" s="188">
        <v>2.1002717926701463E-2</v>
      </c>
      <c r="U731" s="189" t="e">
        <f t="shared" si="47"/>
        <v>#VALUE!</v>
      </c>
      <c r="V731" s="188">
        <v>2.1002717926701463E-2</v>
      </c>
      <c r="W731" s="189" t="e">
        <f t="shared" si="44"/>
        <v>#VALUE!</v>
      </c>
      <c r="X731" s="188">
        <v>2.1002717926701463E-2</v>
      </c>
      <c r="Y731" s="189" t="e">
        <f t="shared" si="45"/>
        <v>#VALUE!</v>
      </c>
      <c r="Z731" s="188">
        <v>2.1002717926701463E-2</v>
      </c>
      <c r="AA731" s="189" t="e">
        <f t="shared" si="46"/>
        <v>#VALUE!</v>
      </c>
    </row>
    <row r="732" spans="1:27" x14ac:dyDescent="0.25">
      <c r="A732">
        <v>711000</v>
      </c>
      <c r="B732">
        <v>17031711000</v>
      </c>
      <c r="C732">
        <v>17031</v>
      </c>
      <c r="D732">
        <v>2010</v>
      </c>
      <c r="E732">
        <v>71</v>
      </c>
      <c r="F732">
        <v>7041965.113287</v>
      </c>
      <c r="G732" s="45">
        <v>0.25259574126517303</v>
      </c>
      <c r="H732" s="60" t="str">
        <f>_xlfn.IFNA(
INDEX('Community Areas'!B$2:B$78,MATCH($E732,'Community Areas'!$A$2:$A$78,0)),
"")</f>
        <v>AUBURN GRESHAM</v>
      </c>
      <c r="I732" s="63" t="str">
        <f>_xlfn.IFNA(
INDEX('Community Areas'!C$2:C$78,MATCH($E732,'Community Areas'!$A$2:$A$78,0)),
"")</f>
        <v>5-A</v>
      </c>
      <c r="J732" s="63">
        <f>_xlfn.IFNA(
INDEX('Community Areas'!D$2:D$78,MATCH($E732,'Community Areas'!$A$2:$A$78,0)),
"")</f>
        <v>5</v>
      </c>
      <c r="K732" s="60" t="str">
        <f>_xlfn.IFNA(
INDEX('Community Areas'!E$2:E$78,MATCH($E732,'Community Areas'!$A$2:$A$78,0)),
"")</f>
        <v>FAR SOUTH</v>
      </c>
      <c r="L732" s="17" t="e">
        <f>SUMIFS([1]ACSDT5Y2020.B08301_data_with_ov!AT$3:AT$1334,[1]ACSDT5Y2020.B08301_data_with_ov!$AS$3:$AS$1334,$B732)</f>
        <v>#VALUE!</v>
      </c>
      <c r="M732" s="17" t="e">
        <f>SUMIFS([1]ACSDT5Y2020.B08301_data_with_ov!AU$3:AU$1334,[1]ACSDT5Y2020.B08301_data_with_ov!$AS$3:$AS$1334,$B732)</f>
        <v>#VALUE!</v>
      </c>
      <c r="N732" s="17" t="e">
        <f>SUMIFS([1]ACSDT5Y2020.B08301_data_with_ov!AV$3:AV$1334,[1]ACSDT5Y2020.B08301_data_with_ov!$AS$3:$AS$1334,$B732)</f>
        <v>#VALUE!</v>
      </c>
      <c r="O732" s="17" t="e">
        <f>SUMIFS([1]ACSDT5Y2020.B08301_data_with_ov!AW$3:AW$1334,[1]ACSDT5Y2020.B08301_data_with_ov!$AS$3:$AS$1334,$B732)</f>
        <v>#VALUE!</v>
      </c>
      <c r="P732" s="17" t="e">
        <f>SUMIFS([1]ACSDT5Y2020.B08301_data_with_ov!AX$3:AX$1334,[1]ACSDT5Y2020.B08301_data_with_ov!$AS$3:$AS$1334,$B732)</f>
        <v>#VALUE!</v>
      </c>
      <c r="Q732" s="17" t="e">
        <f>SUMIFS([1]ACSDT5Y2020.B08301_data_with_ov!AY$3:AY$1334,[1]ACSDT5Y2020.B08301_data_with_ov!$AS$3:$AS$1334,$B732)</f>
        <v>#VALUE!</v>
      </c>
      <c r="R732" s="17" t="e">
        <f>SUMIFS([1]ACSDT5Y2020.B08301_data_with_ov!AZ$3:AZ$1334,[1]ACSDT5Y2020.B08301_data_with_ov!$AS$3:$AS$1334,$B732)</f>
        <v>#VALUE!</v>
      </c>
      <c r="S732" s="17" t="e">
        <f>SUMIFS([1]ACSDT5Y2020.B08301_data_with_ov!BA$3:BA$1334,[1]ACSDT5Y2020.B08301_data_with_ov!$AS$3:$AS$1334,$B732)</f>
        <v>#VALUE!</v>
      </c>
      <c r="T732" s="188">
        <v>0.25222277685936351</v>
      </c>
      <c r="U732" s="189" t="e">
        <f t="shared" si="47"/>
        <v>#VALUE!</v>
      </c>
      <c r="V732" s="188">
        <v>0.25222277685936351</v>
      </c>
      <c r="W732" s="189" t="e">
        <f t="shared" si="44"/>
        <v>#VALUE!</v>
      </c>
      <c r="X732" s="188">
        <v>0.25222277685936351</v>
      </c>
      <c r="Y732" s="189" t="e">
        <f t="shared" si="45"/>
        <v>#VALUE!</v>
      </c>
      <c r="Z732" s="188">
        <v>0.25222277685936351</v>
      </c>
      <c r="AA732" s="189" t="e">
        <f t="shared" si="46"/>
        <v>#VALUE!</v>
      </c>
    </row>
    <row r="733" spans="1:27" x14ac:dyDescent="0.25">
      <c r="A733">
        <v>710800</v>
      </c>
      <c r="B733">
        <v>17031710800</v>
      </c>
      <c r="C733">
        <v>17031</v>
      </c>
      <c r="D733">
        <v>2010</v>
      </c>
      <c r="E733">
        <v>71</v>
      </c>
      <c r="F733">
        <v>8786158.6335223597</v>
      </c>
      <c r="G733" s="45">
        <v>0.31516007495130133</v>
      </c>
      <c r="H733" s="60" t="str">
        <f>_xlfn.IFNA(
INDEX('Community Areas'!B$2:B$78,MATCH($E733,'Community Areas'!$A$2:$A$78,0)),
"")</f>
        <v>AUBURN GRESHAM</v>
      </c>
      <c r="I733" s="63" t="str">
        <f>_xlfn.IFNA(
INDEX('Community Areas'!C$2:C$78,MATCH($E733,'Community Areas'!$A$2:$A$78,0)),
"")</f>
        <v>5-A</v>
      </c>
      <c r="J733" s="63">
        <f>_xlfn.IFNA(
INDEX('Community Areas'!D$2:D$78,MATCH($E733,'Community Areas'!$A$2:$A$78,0)),
"")</f>
        <v>5</v>
      </c>
      <c r="K733" s="60" t="str">
        <f>_xlfn.IFNA(
INDEX('Community Areas'!E$2:E$78,MATCH($E733,'Community Areas'!$A$2:$A$78,0)),
"")</f>
        <v>FAR SOUTH</v>
      </c>
      <c r="L733" s="17" t="e">
        <f>SUMIFS([1]ACSDT5Y2020.B08301_data_with_ov!AT$3:AT$1334,[1]ACSDT5Y2020.B08301_data_with_ov!$AS$3:$AS$1334,$B733)</f>
        <v>#VALUE!</v>
      </c>
      <c r="M733" s="17" t="e">
        <f>SUMIFS([1]ACSDT5Y2020.B08301_data_with_ov!AU$3:AU$1334,[1]ACSDT5Y2020.B08301_data_with_ov!$AS$3:$AS$1334,$B733)</f>
        <v>#VALUE!</v>
      </c>
      <c r="N733" s="17" t="e">
        <f>SUMIFS([1]ACSDT5Y2020.B08301_data_with_ov!AV$3:AV$1334,[1]ACSDT5Y2020.B08301_data_with_ov!$AS$3:$AS$1334,$B733)</f>
        <v>#VALUE!</v>
      </c>
      <c r="O733" s="17" t="e">
        <f>SUMIFS([1]ACSDT5Y2020.B08301_data_with_ov!AW$3:AW$1334,[1]ACSDT5Y2020.B08301_data_with_ov!$AS$3:$AS$1334,$B733)</f>
        <v>#VALUE!</v>
      </c>
      <c r="P733" s="17" t="e">
        <f>SUMIFS([1]ACSDT5Y2020.B08301_data_with_ov!AX$3:AX$1334,[1]ACSDT5Y2020.B08301_data_with_ov!$AS$3:$AS$1334,$B733)</f>
        <v>#VALUE!</v>
      </c>
      <c r="Q733" s="17" t="e">
        <f>SUMIFS([1]ACSDT5Y2020.B08301_data_with_ov!AY$3:AY$1334,[1]ACSDT5Y2020.B08301_data_with_ov!$AS$3:$AS$1334,$B733)</f>
        <v>#VALUE!</v>
      </c>
      <c r="R733" s="17" t="e">
        <f>SUMIFS([1]ACSDT5Y2020.B08301_data_with_ov!AZ$3:AZ$1334,[1]ACSDT5Y2020.B08301_data_with_ov!$AS$3:$AS$1334,$B733)</f>
        <v>#VALUE!</v>
      </c>
      <c r="S733" s="17" t="e">
        <f>SUMIFS([1]ACSDT5Y2020.B08301_data_with_ov!BA$3:BA$1334,[1]ACSDT5Y2020.B08301_data_with_ov!$AS$3:$AS$1334,$B733)</f>
        <v>#VALUE!</v>
      </c>
      <c r="T733" s="188">
        <v>0.31418625482324058</v>
      </c>
      <c r="U733" s="189" t="e">
        <f t="shared" si="47"/>
        <v>#VALUE!</v>
      </c>
      <c r="V733" s="188">
        <v>0.31418625482324058</v>
      </c>
      <c r="W733" s="189" t="e">
        <f t="shared" si="44"/>
        <v>#VALUE!</v>
      </c>
      <c r="X733" s="188">
        <v>0.31418625482324058</v>
      </c>
      <c r="Y733" s="189" t="e">
        <f t="shared" si="45"/>
        <v>#VALUE!</v>
      </c>
      <c r="Z733" s="188">
        <v>0.31418625482324058</v>
      </c>
      <c r="AA733" s="189" t="e">
        <f t="shared" si="46"/>
        <v>#VALUE!</v>
      </c>
    </row>
    <row r="734" spans="1:27" x14ac:dyDescent="0.25">
      <c r="A734">
        <v>711500</v>
      </c>
      <c r="B734">
        <v>17031711500</v>
      </c>
      <c r="C734">
        <v>17031</v>
      </c>
      <c r="D734">
        <v>2010</v>
      </c>
      <c r="E734">
        <v>71</v>
      </c>
      <c r="F734">
        <v>6916092.4208800001</v>
      </c>
      <c r="G734" s="45">
        <v>0.24808067969754363</v>
      </c>
      <c r="H734" s="60" t="str">
        <f>_xlfn.IFNA(
INDEX('Community Areas'!B$2:B$78,MATCH($E734,'Community Areas'!$A$2:$A$78,0)),
"")</f>
        <v>AUBURN GRESHAM</v>
      </c>
      <c r="I734" s="63" t="str">
        <f>_xlfn.IFNA(
INDEX('Community Areas'!C$2:C$78,MATCH($E734,'Community Areas'!$A$2:$A$78,0)),
"")</f>
        <v>5-A</v>
      </c>
      <c r="J734" s="63">
        <f>_xlfn.IFNA(
INDEX('Community Areas'!D$2:D$78,MATCH($E734,'Community Areas'!$A$2:$A$78,0)),
"")</f>
        <v>5</v>
      </c>
      <c r="K734" s="60" t="str">
        <f>_xlfn.IFNA(
INDEX('Community Areas'!E$2:E$78,MATCH($E734,'Community Areas'!$A$2:$A$78,0)),
"")</f>
        <v>FAR SOUTH</v>
      </c>
      <c r="L734" s="17" t="e">
        <f>SUMIFS([1]ACSDT5Y2020.B08301_data_with_ov!AT$3:AT$1334,[1]ACSDT5Y2020.B08301_data_with_ov!$AS$3:$AS$1334,$B734)</f>
        <v>#VALUE!</v>
      </c>
      <c r="M734" s="17" t="e">
        <f>SUMIFS([1]ACSDT5Y2020.B08301_data_with_ov!AU$3:AU$1334,[1]ACSDT5Y2020.B08301_data_with_ov!$AS$3:$AS$1334,$B734)</f>
        <v>#VALUE!</v>
      </c>
      <c r="N734" s="17" t="e">
        <f>SUMIFS([1]ACSDT5Y2020.B08301_data_with_ov!AV$3:AV$1334,[1]ACSDT5Y2020.B08301_data_with_ov!$AS$3:$AS$1334,$B734)</f>
        <v>#VALUE!</v>
      </c>
      <c r="O734" s="17" t="e">
        <f>SUMIFS([1]ACSDT5Y2020.B08301_data_with_ov!AW$3:AW$1334,[1]ACSDT5Y2020.B08301_data_with_ov!$AS$3:$AS$1334,$B734)</f>
        <v>#VALUE!</v>
      </c>
      <c r="P734" s="17" t="e">
        <f>SUMIFS([1]ACSDT5Y2020.B08301_data_with_ov!AX$3:AX$1334,[1]ACSDT5Y2020.B08301_data_with_ov!$AS$3:$AS$1334,$B734)</f>
        <v>#VALUE!</v>
      </c>
      <c r="Q734" s="17" t="e">
        <f>SUMIFS([1]ACSDT5Y2020.B08301_data_with_ov!AY$3:AY$1334,[1]ACSDT5Y2020.B08301_data_with_ov!$AS$3:$AS$1334,$B734)</f>
        <v>#VALUE!</v>
      </c>
      <c r="R734" s="17" t="e">
        <f>SUMIFS([1]ACSDT5Y2020.B08301_data_with_ov!AZ$3:AZ$1334,[1]ACSDT5Y2020.B08301_data_with_ov!$AS$3:$AS$1334,$B734)</f>
        <v>#VALUE!</v>
      </c>
      <c r="S734" s="17" t="e">
        <f>SUMIFS([1]ACSDT5Y2020.B08301_data_with_ov!BA$3:BA$1334,[1]ACSDT5Y2020.B08301_data_with_ov!$AS$3:$AS$1334,$B734)</f>
        <v>#VALUE!</v>
      </c>
      <c r="T734" s="188">
        <v>0.20063744423329385</v>
      </c>
      <c r="U734" s="189" t="e">
        <f t="shared" si="47"/>
        <v>#VALUE!</v>
      </c>
      <c r="V734" s="188">
        <v>0.20063744423329385</v>
      </c>
      <c r="W734" s="189" t="e">
        <f t="shared" si="44"/>
        <v>#VALUE!</v>
      </c>
      <c r="X734" s="188">
        <v>0.20063744423329385</v>
      </c>
      <c r="Y734" s="189" t="e">
        <f t="shared" si="45"/>
        <v>#VALUE!</v>
      </c>
      <c r="Z734" s="188">
        <v>0.20063744423329385</v>
      </c>
      <c r="AA734" s="189" t="e">
        <f t="shared" si="46"/>
        <v>#VALUE!</v>
      </c>
    </row>
    <row r="735" spans="1:27" x14ac:dyDescent="0.25">
      <c r="A735">
        <v>710700</v>
      </c>
      <c r="B735">
        <v>17031710700</v>
      </c>
      <c r="C735">
        <v>17031</v>
      </c>
      <c r="D735">
        <v>2010</v>
      </c>
      <c r="E735">
        <v>71</v>
      </c>
      <c r="F735">
        <v>5275122.1764110699</v>
      </c>
      <c r="G735" s="45">
        <v>0.18921897154826209</v>
      </c>
      <c r="H735" s="60" t="str">
        <f>_xlfn.IFNA(
INDEX('Community Areas'!B$2:B$78,MATCH($E735,'Community Areas'!$A$2:$A$78,0)),
"")</f>
        <v>AUBURN GRESHAM</v>
      </c>
      <c r="I735" s="63" t="str">
        <f>_xlfn.IFNA(
INDEX('Community Areas'!C$2:C$78,MATCH($E735,'Community Areas'!$A$2:$A$78,0)),
"")</f>
        <v>5-A</v>
      </c>
      <c r="J735" s="63">
        <f>_xlfn.IFNA(
INDEX('Community Areas'!D$2:D$78,MATCH($E735,'Community Areas'!$A$2:$A$78,0)),
"")</f>
        <v>5</v>
      </c>
      <c r="K735" s="60" t="str">
        <f>_xlfn.IFNA(
INDEX('Community Areas'!E$2:E$78,MATCH($E735,'Community Areas'!$A$2:$A$78,0)),
"")</f>
        <v>FAR SOUTH</v>
      </c>
      <c r="L735" s="17" t="e">
        <f>SUMIFS([1]ACSDT5Y2020.B08301_data_with_ov!AT$3:AT$1334,[1]ACSDT5Y2020.B08301_data_with_ov!$AS$3:$AS$1334,$B735)</f>
        <v>#VALUE!</v>
      </c>
      <c r="M735" s="17" t="e">
        <f>SUMIFS([1]ACSDT5Y2020.B08301_data_with_ov!AU$3:AU$1334,[1]ACSDT5Y2020.B08301_data_with_ov!$AS$3:$AS$1334,$B735)</f>
        <v>#VALUE!</v>
      </c>
      <c r="N735" s="17" t="e">
        <f>SUMIFS([1]ACSDT5Y2020.B08301_data_with_ov!AV$3:AV$1334,[1]ACSDT5Y2020.B08301_data_with_ov!$AS$3:$AS$1334,$B735)</f>
        <v>#VALUE!</v>
      </c>
      <c r="O735" s="17" t="e">
        <f>SUMIFS([1]ACSDT5Y2020.B08301_data_with_ov!AW$3:AW$1334,[1]ACSDT5Y2020.B08301_data_with_ov!$AS$3:$AS$1334,$B735)</f>
        <v>#VALUE!</v>
      </c>
      <c r="P735" s="17" t="e">
        <f>SUMIFS([1]ACSDT5Y2020.B08301_data_with_ov!AX$3:AX$1334,[1]ACSDT5Y2020.B08301_data_with_ov!$AS$3:$AS$1334,$B735)</f>
        <v>#VALUE!</v>
      </c>
      <c r="Q735" s="17" t="e">
        <f>SUMIFS([1]ACSDT5Y2020.B08301_data_with_ov!AY$3:AY$1334,[1]ACSDT5Y2020.B08301_data_with_ov!$AS$3:$AS$1334,$B735)</f>
        <v>#VALUE!</v>
      </c>
      <c r="R735" s="17" t="e">
        <f>SUMIFS([1]ACSDT5Y2020.B08301_data_with_ov!AZ$3:AZ$1334,[1]ACSDT5Y2020.B08301_data_with_ov!$AS$3:$AS$1334,$B735)</f>
        <v>#VALUE!</v>
      </c>
      <c r="S735" s="17" t="e">
        <f>SUMIFS([1]ACSDT5Y2020.B08301_data_with_ov!BA$3:BA$1334,[1]ACSDT5Y2020.B08301_data_with_ov!$AS$3:$AS$1334,$B735)</f>
        <v>#VALUE!</v>
      </c>
      <c r="T735" s="188">
        <v>0</v>
      </c>
      <c r="U735" s="189" t="e">
        <f t="shared" si="47"/>
        <v>#VALUE!</v>
      </c>
      <c r="V735" s="188">
        <v>0</v>
      </c>
      <c r="W735" s="189" t="e">
        <f t="shared" si="44"/>
        <v>#VALUE!</v>
      </c>
      <c r="X735" s="188">
        <v>0</v>
      </c>
      <c r="Y735" s="189" t="e">
        <f t="shared" si="45"/>
        <v>#VALUE!</v>
      </c>
      <c r="Z735" s="188">
        <v>0</v>
      </c>
      <c r="AA735" s="189" t="e">
        <f t="shared" si="46"/>
        <v>#VALUE!</v>
      </c>
    </row>
    <row r="736" spans="1:27" x14ac:dyDescent="0.25">
      <c r="A736">
        <v>711400</v>
      </c>
      <c r="B736">
        <v>17031711400</v>
      </c>
      <c r="C736">
        <v>17031</v>
      </c>
      <c r="D736">
        <v>2010</v>
      </c>
      <c r="E736">
        <v>71</v>
      </c>
      <c r="F736">
        <v>8045498.1090917503</v>
      </c>
      <c r="G736" s="45">
        <v>0.28859253433094262</v>
      </c>
      <c r="H736" s="60" t="str">
        <f>_xlfn.IFNA(
INDEX('Community Areas'!B$2:B$78,MATCH($E736,'Community Areas'!$A$2:$A$78,0)),
"")</f>
        <v>AUBURN GRESHAM</v>
      </c>
      <c r="I736" s="63" t="str">
        <f>_xlfn.IFNA(
INDEX('Community Areas'!C$2:C$78,MATCH($E736,'Community Areas'!$A$2:$A$78,0)),
"")</f>
        <v>5-A</v>
      </c>
      <c r="J736" s="63">
        <f>_xlfn.IFNA(
INDEX('Community Areas'!D$2:D$78,MATCH($E736,'Community Areas'!$A$2:$A$78,0)),
"")</f>
        <v>5</v>
      </c>
      <c r="K736" s="60" t="str">
        <f>_xlfn.IFNA(
INDEX('Community Areas'!E$2:E$78,MATCH($E736,'Community Areas'!$A$2:$A$78,0)),
"")</f>
        <v>FAR SOUTH</v>
      </c>
      <c r="L736" s="17" t="e">
        <f>SUMIFS([1]ACSDT5Y2020.B08301_data_with_ov!AT$3:AT$1334,[1]ACSDT5Y2020.B08301_data_with_ov!$AS$3:$AS$1334,$B736)</f>
        <v>#VALUE!</v>
      </c>
      <c r="M736" s="17" t="e">
        <f>SUMIFS([1]ACSDT5Y2020.B08301_data_with_ov!AU$3:AU$1334,[1]ACSDT5Y2020.B08301_data_with_ov!$AS$3:$AS$1334,$B736)</f>
        <v>#VALUE!</v>
      </c>
      <c r="N736" s="17" t="e">
        <f>SUMIFS([1]ACSDT5Y2020.B08301_data_with_ov!AV$3:AV$1334,[1]ACSDT5Y2020.B08301_data_with_ov!$AS$3:$AS$1334,$B736)</f>
        <v>#VALUE!</v>
      </c>
      <c r="O736" s="17" t="e">
        <f>SUMIFS([1]ACSDT5Y2020.B08301_data_with_ov!AW$3:AW$1334,[1]ACSDT5Y2020.B08301_data_with_ov!$AS$3:$AS$1334,$B736)</f>
        <v>#VALUE!</v>
      </c>
      <c r="P736" s="17" t="e">
        <f>SUMIFS([1]ACSDT5Y2020.B08301_data_with_ov!AX$3:AX$1334,[1]ACSDT5Y2020.B08301_data_with_ov!$AS$3:$AS$1334,$B736)</f>
        <v>#VALUE!</v>
      </c>
      <c r="Q736" s="17" t="e">
        <f>SUMIFS([1]ACSDT5Y2020.B08301_data_with_ov!AY$3:AY$1334,[1]ACSDT5Y2020.B08301_data_with_ov!$AS$3:$AS$1334,$B736)</f>
        <v>#VALUE!</v>
      </c>
      <c r="R736" s="17" t="e">
        <f>SUMIFS([1]ACSDT5Y2020.B08301_data_with_ov!AZ$3:AZ$1334,[1]ACSDT5Y2020.B08301_data_with_ov!$AS$3:$AS$1334,$B736)</f>
        <v>#VALUE!</v>
      </c>
      <c r="S736" s="17" t="e">
        <f>SUMIFS([1]ACSDT5Y2020.B08301_data_with_ov!BA$3:BA$1334,[1]ACSDT5Y2020.B08301_data_with_ov!$AS$3:$AS$1334,$B736)</f>
        <v>#VALUE!</v>
      </c>
      <c r="T736" s="188">
        <v>0.23659108552562449</v>
      </c>
      <c r="U736" s="189" t="e">
        <f t="shared" si="47"/>
        <v>#VALUE!</v>
      </c>
      <c r="V736" s="188">
        <v>0.23659108552562449</v>
      </c>
      <c r="W736" s="189" t="e">
        <f t="shared" si="44"/>
        <v>#VALUE!</v>
      </c>
      <c r="X736" s="188">
        <v>0.23659108552562449</v>
      </c>
      <c r="Y736" s="189" t="e">
        <f t="shared" si="45"/>
        <v>#VALUE!</v>
      </c>
      <c r="Z736" s="188">
        <v>0.23659108552562449</v>
      </c>
      <c r="AA736" s="189" t="e">
        <f t="shared" si="46"/>
        <v>#VALUE!</v>
      </c>
    </row>
    <row r="737" spans="1:27" x14ac:dyDescent="0.25">
      <c r="A737">
        <v>710300</v>
      </c>
      <c r="B737">
        <v>17031710300</v>
      </c>
      <c r="C737">
        <v>17031</v>
      </c>
      <c r="D737">
        <v>2010</v>
      </c>
      <c r="E737">
        <v>71</v>
      </c>
      <c r="F737">
        <v>3562901.8538892101</v>
      </c>
      <c r="G737" s="45">
        <v>0.12780151851932717</v>
      </c>
      <c r="H737" s="60" t="str">
        <f>_xlfn.IFNA(
INDEX('Community Areas'!B$2:B$78,MATCH($E737,'Community Areas'!$A$2:$A$78,0)),
"")</f>
        <v>AUBURN GRESHAM</v>
      </c>
      <c r="I737" s="63" t="str">
        <f>_xlfn.IFNA(
INDEX('Community Areas'!C$2:C$78,MATCH($E737,'Community Areas'!$A$2:$A$78,0)),
"")</f>
        <v>5-A</v>
      </c>
      <c r="J737" s="63">
        <f>_xlfn.IFNA(
INDEX('Community Areas'!D$2:D$78,MATCH($E737,'Community Areas'!$A$2:$A$78,0)),
"")</f>
        <v>5</v>
      </c>
      <c r="K737" s="60" t="str">
        <f>_xlfn.IFNA(
INDEX('Community Areas'!E$2:E$78,MATCH($E737,'Community Areas'!$A$2:$A$78,0)),
"")</f>
        <v>FAR SOUTH</v>
      </c>
      <c r="L737" s="17" t="e">
        <f>SUMIFS([1]ACSDT5Y2020.B08301_data_with_ov!AT$3:AT$1334,[1]ACSDT5Y2020.B08301_data_with_ov!$AS$3:$AS$1334,$B737)</f>
        <v>#VALUE!</v>
      </c>
      <c r="M737" s="17" t="e">
        <f>SUMIFS([1]ACSDT5Y2020.B08301_data_with_ov!AU$3:AU$1334,[1]ACSDT5Y2020.B08301_data_with_ov!$AS$3:$AS$1334,$B737)</f>
        <v>#VALUE!</v>
      </c>
      <c r="N737" s="17" t="e">
        <f>SUMIFS([1]ACSDT5Y2020.B08301_data_with_ov!AV$3:AV$1334,[1]ACSDT5Y2020.B08301_data_with_ov!$AS$3:$AS$1334,$B737)</f>
        <v>#VALUE!</v>
      </c>
      <c r="O737" s="17" t="e">
        <f>SUMIFS([1]ACSDT5Y2020.B08301_data_with_ov!AW$3:AW$1334,[1]ACSDT5Y2020.B08301_data_with_ov!$AS$3:$AS$1334,$B737)</f>
        <v>#VALUE!</v>
      </c>
      <c r="P737" s="17" t="e">
        <f>SUMIFS([1]ACSDT5Y2020.B08301_data_with_ov!AX$3:AX$1334,[1]ACSDT5Y2020.B08301_data_with_ov!$AS$3:$AS$1334,$B737)</f>
        <v>#VALUE!</v>
      </c>
      <c r="Q737" s="17" t="e">
        <f>SUMIFS([1]ACSDT5Y2020.B08301_data_with_ov!AY$3:AY$1334,[1]ACSDT5Y2020.B08301_data_with_ov!$AS$3:$AS$1334,$B737)</f>
        <v>#VALUE!</v>
      </c>
      <c r="R737" s="17" t="e">
        <f>SUMIFS([1]ACSDT5Y2020.B08301_data_with_ov!AZ$3:AZ$1334,[1]ACSDT5Y2020.B08301_data_with_ov!$AS$3:$AS$1334,$B737)</f>
        <v>#VALUE!</v>
      </c>
      <c r="S737" s="17" t="e">
        <f>SUMIFS([1]ACSDT5Y2020.B08301_data_with_ov!BA$3:BA$1334,[1]ACSDT5Y2020.B08301_data_with_ov!$AS$3:$AS$1334,$B737)</f>
        <v>#VALUE!</v>
      </c>
      <c r="T737" s="188">
        <v>0</v>
      </c>
      <c r="U737" s="189" t="e">
        <f t="shared" si="47"/>
        <v>#VALUE!</v>
      </c>
      <c r="V737" s="188">
        <v>0</v>
      </c>
      <c r="W737" s="189" t="e">
        <f t="shared" si="44"/>
        <v>#VALUE!</v>
      </c>
      <c r="X737" s="188">
        <v>0</v>
      </c>
      <c r="Y737" s="189" t="e">
        <f t="shared" si="45"/>
        <v>#VALUE!</v>
      </c>
      <c r="Z737" s="188">
        <v>0</v>
      </c>
      <c r="AA737" s="189" t="e">
        <f t="shared" si="46"/>
        <v>#VALUE!</v>
      </c>
    </row>
    <row r="738" spans="1:27" x14ac:dyDescent="0.25">
      <c r="A738">
        <v>710400</v>
      </c>
      <c r="B738">
        <v>17031710400</v>
      </c>
      <c r="C738">
        <v>17031</v>
      </c>
      <c r="D738">
        <v>2010</v>
      </c>
      <c r="E738">
        <v>71</v>
      </c>
      <c r="F738">
        <v>10995097.6236632</v>
      </c>
      <c r="G738" s="45">
        <v>0.39439485851638545</v>
      </c>
      <c r="H738" s="60" t="str">
        <f>_xlfn.IFNA(
INDEX('Community Areas'!B$2:B$78,MATCH($E738,'Community Areas'!$A$2:$A$78,0)),
"")</f>
        <v>AUBURN GRESHAM</v>
      </c>
      <c r="I738" s="63" t="str">
        <f>_xlfn.IFNA(
INDEX('Community Areas'!C$2:C$78,MATCH($E738,'Community Areas'!$A$2:$A$78,0)),
"")</f>
        <v>5-A</v>
      </c>
      <c r="J738" s="63">
        <f>_xlfn.IFNA(
INDEX('Community Areas'!D$2:D$78,MATCH($E738,'Community Areas'!$A$2:$A$78,0)),
"")</f>
        <v>5</v>
      </c>
      <c r="K738" s="60" t="str">
        <f>_xlfn.IFNA(
INDEX('Community Areas'!E$2:E$78,MATCH($E738,'Community Areas'!$A$2:$A$78,0)),
"")</f>
        <v>FAR SOUTH</v>
      </c>
      <c r="L738" s="17" t="e">
        <f>SUMIFS([1]ACSDT5Y2020.B08301_data_with_ov!AT$3:AT$1334,[1]ACSDT5Y2020.B08301_data_with_ov!$AS$3:$AS$1334,$B738)</f>
        <v>#VALUE!</v>
      </c>
      <c r="M738" s="17" t="e">
        <f>SUMIFS([1]ACSDT5Y2020.B08301_data_with_ov!AU$3:AU$1334,[1]ACSDT5Y2020.B08301_data_with_ov!$AS$3:$AS$1334,$B738)</f>
        <v>#VALUE!</v>
      </c>
      <c r="N738" s="17" t="e">
        <f>SUMIFS([1]ACSDT5Y2020.B08301_data_with_ov!AV$3:AV$1334,[1]ACSDT5Y2020.B08301_data_with_ov!$AS$3:$AS$1334,$B738)</f>
        <v>#VALUE!</v>
      </c>
      <c r="O738" s="17" t="e">
        <f>SUMIFS([1]ACSDT5Y2020.B08301_data_with_ov!AW$3:AW$1334,[1]ACSDT5Y2020.B08301_data_with_ov!$AS$3:$AS$1334,$B738)</f>
        <v>#VALUE!</v>
      </c>
      <c r="P738" s="17" t="e">
        <f>SUMIFS([1]ACSDT5Y2020.B08301_data_with_ov!AX$3:AX$1334,[1]ACSDT5Y2020.B08301_data_with_ov!$AS$3:$AS$1334,$B738)</f>
        <v>#VALUE!</v>
      </c>
      <c r="Q738" s="17" t="e">
        <f>SUMIFS([1]ACSDT5Y2020.B08301_data_with_ov!AY$3:AY$1334,[1]ACSDT5Y2020.B08301_data_with_ov!$AS$3:$AS$1334,$B738)</f>
        <v>#VALUE!</v>
      </c>
      <c r="R738" s="17" t="e">
        <f>SUMIFS([1]ACSDT5Y2020.B08301_data_with_ov!AZ$3:AZ$1334,[1]ACSDT5Y2020.B08301_data_with_ov!$AS$3:$AS$1334,$B738)</f>
        <v>#VALUE!</v>
      </c>
      <c r="S738" s="17" t="e">
        <f>SUMIFS([1]ACSDT5Y2020.B08301_data_with_ov!BA$3:BA$1334,[1]ACSDT5Y2020.B08301_data_with_ov!$AS$3:$AS$1334,$B738)</f>
        <v>#VALUE!</v>
      </c>
      <c r="T738" s="188">
        <v>0.39338898170324338</v>
      </c>
      <c r="U738" s="189" t="e">
        <f t="shared" si="47"/>
        <v>#VALUE!</v>
      </c>
      <c r="V738" s="188">
        <v>0.39338898170324338</v>
      </c>
      <c r="W738" s="189" t="e">
        <f t="shared" si="44"/>
        <v>#VALUE!</v>
      </c>
      <c r="X738" s="188">
        <v>0.39338898170324338</v>
      </c>
      <c r="Y738" s="189" t="e">
        <f t="shared" si="45"/>
        <v>#VALUE!</v>
      </c>
      <c r="Z738" s="188">
        <v>0.39338898170324338</v>
      </c>
      <c r="AA738" s="189" t="e">
        <f t="shared" si="46"/>
        <v>#VALUE!</v>
      </c>
    </row>
    <row r="739" spans="1:27" x14ac:dyDescent="0.25">
      <c r="A739">
        <v>710100</v>
      </c>
      <c r="B739">
        <v>17031710100</v>
      </c>
      <c r="C739">
        <v>17031</v>
      </c>
      <c r="D739">
        <v>2010</v>
      </c>
      <c r="E739">
        <v>71</v>
      </c>
      <c r="F739">
        <v>2315164.4420800102</v>
      </c>
      <c r="G739" s="45">
        <v>8.3045097354224426E-2</v>
      </c>
      <c r="H739" s="60" t="str">
        <f>_xlfn.IFNA(
INDEX('Community Areas'!B$2:B$78,MATCH($E739,'Community Areas'!$A$2:$A$78,0)),
"")</f>
        <v>AUBURN GRESHAM</v>
      </c>
      <c r="I739" s="63" t="str">
        <f>_xlfn.IFNA(
INDEX('Community Areas'!C$2:C$78,MATCH($E739,'Community Areas'!$A$2:$A$78,0)),
"")</f>
        <v>5-A</v>
      </c>
      <c r="J739" s="63">
        <f>_xlfn.IFNA(
INDEX('Community Areas'!D$2:D$78,MATCH($E739,'Community Areas'!$A$2:$A$78,0)),
"")</f>
        <v>5</v>
      </c>
      <c r="K739" s="60" t="str">
        <f>_xlfn.IFNA(
INDEX('Community Areas'!E$2:E$78,MATCH($E739,'Community Areas'!$A$2:$A$78,0)),
"")</f>
        <v>FAR SOUTH</v>
      </c>
      <c r="L739" s="17" t="e">
        <f>SUMIFS([1]ACSDT5Y2020.B08301_data_with_ov!AT$3:AT$1334,[1]ACSDT5Y2020.B08301_data_with_ov!$AS$3:$AS$1334,$B739)</f>
        <v>#VALUE!</v>
      </c>
      <c r="M739" s="17" t="e">
        <f>SUMIFS([1]ACSDT5Y2020.B08301_data_with_ov!AU$3:AU$1334,[1]ACSDT5Y2020.B08301_data_with_ov!$AS$3:$AS$1334,$B739)</f>
        <v>#VALUE!</v>
      </c>
      <c r="N739" s="17" t="e">
        <f>SUMIFS([1]ACSDT5Y2020.B08301_data_with_ov!AV$3:AV$1334,[1]ACSDT5Y2020.B08301_data_with_ov!$AS$3:$AS$1334,$B739)</f>
        <v>#VALUE!</v>
      </c>
      <c r="O739" s="17" t="e">
        <f>SUMIFS([1]ACSDT5Y2020.B08301_data_with_ov!AW$3:AW$1334,[1]ACSDT5Y2020.B08301_data_with_ov!$AS$3:$AS$1334,$B739)</f>
        <v>#VALUE!</v>
      </c>
      <c r="P739" s="17" t="e">
        <f>SUMIFS([1]ACSDT5Y2020.B08301_data_with_ov!AX$3:AX$1334,[1]ACSDT5Y2020.B08301_data_with_ov!$AS$3:$AS$1334,$B739)</f>
        <v>#VALUE!</v>
      </c>
      <c r="Q739" s="17" t="e">
        <f>SUMIFS([1]ACSDT5Y2020.B08301_data_with_ov!AY$3:AY$1334,[1]ACSDT5Y2020.B08301_data_with_ov!$AS$3:$AS$1334,$B739)</f>
        <v>#VALUE!</v>
      </c>
      <c r="R739" s="17" t="e">
        <f>SUMIFS([1]ACSDT5Y2020.B08301_data_with_ov!AZ$3:AZ$1334,[1]ACSDT5Y2020.B08301_data_with_ov!$AS$3:$AS$1334,$B739)</f>
        <v>#VALUE!</v>
      </c>
      <c r="S739" s="17" t="e">
        <f>SUMIFS([1]ACSDT5Y2020.B08301_data_with_ov!BA$3:BA$1334,[1]ACSDT5Y2020.B08301_data_with_ov!$AS$3:$AS$1334,$B739)</f>
        <v>#VALUE!</v>
      </c>
      <c r="T739" s="188">
        <v>8.304509993809292E-2</v>
      </c>
      <c r="U739" s="189" t="e">
        <f t="shared" si="47"/>
        <v>#VALUE!</v>
      </c>
      <c r="V739" s="188">
        <v>8.304509993809292E-2</v>
      </c>
      <c r="W739" s="189" t="e">
        <f t="shared" si="44"/>
        <v>#VALUE!</v>
      </c>
      <c r="X739" s="188">
        <v>8.304509993809292E-2</v>
      </c>
      <c r="Y739" s="189" t="e">
        <f t="shared" si="45"/>
        <v>#VALUE!</v>
      </c>
      <c r="Z739" s="188">
        <v>8.304509993809292E-2</v>
      </c>
      <c r="AA739" s="189" t="e">
        <f t="shared" si="46"/>
        <v>#VALUE!</v>
      </c>
    </row>
    <row r="740" spans="1:27" x14ac:dyDescent="0.25">
      <c r="A740">
        <v>720500</v>
      </c>
      <c r="B740">
        <v>17031720500</v>
      </c>
      <c r="C740">
        <v>17031</v>
      </c>
      <c r="D740">
        <v>2010</v>
      </c>
      <c r="E740">
        <v>72</v>
      </c>
      <c r="F740">
        <v>11228197.5722403</v>
      </c>
      <c r="G740" s="45">
        <v>0.40275616865531383</v>
      </c>
      <c r="H740" s="60" t="str">
        <f>_xlfn.IFNA(
INDEX('Community Areas'!B$2:B$78,MATCH($E740,'Community Areas'!$A$2:$A$78,0)),
"")</f>
        <v>BEVERLY</v>
      </c>
      <c r="I740" s="63" t="str">
        <f>_xlfn.IFNA(
INDEX('Community Areas'!C$2:C$78,MATCH($E740,'Community Areas'!$A$2:$A$78,0)),
"")</f>
        <v>5-A</v>
      </c>
      <c r="J740" s="63">
        <f>_xlfn.IFNA(
INDEX('Community Areas'!D$2:D$78,MATCH($E740,'Community Areas'!$A$2:$A$78,0)),
"")</f>
        <v>5</v>
      </c>
      <c r="K740" s="60" t="str">
        <f>_xlfn.IFNA(
INDEX('Community Areas'!E$2:E$78,MATCH($E740,'Community Areas'!$A$2:$A$78,0)),
"")</f>
        <v>FAR SOUTH</v>
      </c>
      <c r="L740" s="17" t="e">
        <f>SUMIFS([1]ACSDT5Y2020.B08301_data_with_ov!AT$3:AT$1334,[1]ACSDT5Y2020.B08301_data_with_ov!$AS$3:$AS$1334,$B740)</f>
        <v>#VALUE!</v>
      </c>
      <c r="M740" s="17" t="e">
        <f>SUMIFS([1]ACSDT5Y2020.B08301_data_with_ov!AU$3:AU$1334,[1]ACSDT5Y2020.B08301_data_with_ov!$AS$3:$AS$1334,$B740)</f>
        <v>#VALUE!</v>
      </c>
      <c r="N740" s="17" t="e">
        <f>SUMIFS([1]ACSDT5Y2020.B08301_data_with_ov!AV$3:AV$1334,[1]ACSDT5Y2020.B08301_data_with_ov!$AS$3:$AS$1334,$B740)</f>
        <v>#VALUE!</v>
      </c>
      <c r="O740" s="17" t="e">
        <f>SUMIFS([1]ACSDT5Y2020.B08301_data_with_ov!AW$3:AW$1334,[1]ACSDT5Y2020.B08301_data_with_ov!$AS$3:$AS$1334,$B740)</f>
        <v>#VALUE!</v>
      </c>
      <c r="P740" s="17" t="e">
        <f>SUMIFS([1]ACSDT5Y2020.B08301_data_with_ov!AX$3:AX$1334,[1]ACSDT5Y2020.B08301_data_with_ov!$AS$3:$AS$1334,$B740)</f>
        <v>#VALUE!</v>
      </c>
      <c r="Q740" s="17" t="e">
        <f>SUMIFS([1]ACSDT5Y2020.B08301_data_with_ov!AY$3:AY$1334,[1]ACSDT5Y2020.B08301_data_with_ov!$AS$3:$AS$1334,$B740)</f>
        <v>#VALUE!</v>
      </c>
      <c r="R740" s="17" t="e">
        <f>SUMIFS([1]ACSDT5Y2020.B08301_data_with_ov!AZ$3:AZ$1334,[1]ACSDT5Y2020.B08301_data_with_ov!$AS$3:$AS$1334,$B740)</f>
        <v>#VALUE!</v>
      </c>
      <c r="S740" s="17" t="e">
        <f>SUMIFS([1]ACSDT5Y2020.B08301_data_with_ov!BA$3:BA$1334,[1]ACSDT5Y2020.B08301_data_with_ov!$AS$3:$AS$1334,$B740)</f>
        <v>#VALUE!</v>
      </c>
      <c r="T740" s="188">
        <v>0</v>
      </c>
      <c r="U740" s="189" t="e">
        <f t="shared" si="47"/>
        <v>#VALUE!</v>
      </c>
      <c r="V740" s="188">
        <v>0</v>
      </c>
      <c r="W740" s="189" t="e">
        <f t="shared" si="44"/>
        <v>#VALUE!</v>
      </c>
      <c r="X740" s="188">
        <v>0</v>
      </c>
      <c r="Y740" s="189" t="e">
        <f t="shared" si="45"/>
        <v>#VALUE!</v>
      </c>
      <c r="Z740" s="188">
        <v>0</v>
      </c>
      <c r="AA740" s="189" t="e">
        <f t="shared" si="46"/>
        <v>#VALUE!</v>
      </c>
    </row>
    <row r="741" spans="1:27" x14ac:dyDescent="0.25">
      <c r="A741">
        <v>720200</v>
      </c>
      <c r="B741">
        <v>17031720200</v>
      </c>
      <c r="C741">
        <v>17031</v>
      </c>
      <c r="D741">
        <v>2010</v>
      </c>
      <c r="E741">
        <v>72</v>
      </c>
      <c r="F741">
        <v>17996571.053252801</v>
      </c>
      <c r="G741" s="45">
        <v>0.64553816048456159</v>
      </c>
      <c r="H741" s="60" t="str">
        <f>_xlfn.IFNA(
INDEX('Community Areas'!B$2:B$78,MATCH($E741,'Community Areas'!$A$2:$A$78,0)),
"")</f>
        <v>BEVERLY</v>
      </c>
      <c r="I741" s="63" t="str">
        <f>_xlfn.IFNA(
INDEX('Community Areas'!C$2:C$78,MATCH($E741,'Community Areas'!$A$2:$A$78,0)),
"")</f>
        <v>5-A</v>
      </c>
      <c r="J741" s="63">
        <f>_xlfn.IFNA(
INDEX('Community Areas'!D$2:D$78,MATCH($E741,'Community Areas'!$A$2:$A$78,0)),
"")</f>
        <v>5</v>
      </c>
      <c r="K741" s="60" t="str">
        <f>_xlfn.IFNA(
INDEX('Community Areas'!E$2:E$78,MATCH($E741,'Community Areas'!$A$2:$A$78,0)),
"")</f>
        <v>FAR SOUTH</v>
      </c>
      <c r="L741" s="17" t="e">
        <f>SUMIFS([1]ACSDT5Y2020.B08301_data_with_ov!AT$3:AT$1334,[1]ACSDT5Y2020.B08301_data_with_ov!$AS$3:$AS$1334,$B741)</f>
        <v>#VALUE!</v>
      </c>
      <c r="M741" s="17" t="e">
        <f>SUMIFS([1]ACSDT5Y2020.B08301_data_with_ov!AU$3:AU$1334,[1]ACSDT5Y2020.B08301_data_with_ov!$AS$3:$AS$1334,$B741)</f>
        <v>#VALUE!</v>
      </c>
      <c r="N741" s="17" t="e">
        <f>SUMIFS([1]ACSDT5Y2020.B08301_data_with_ov!AV$3:AV$1334,[1]ACSDT5Y2020.B08301_data_with_ov!$AS$3:$AS$1334,$B741)</f>
        <v>#VALUE!</v>
      </c>
      <c r="O741" s="17" t="e">
        <f>SUMIFS([1]ACSDT5Y2020.B08301_data_with_ov!AW$3:AW$1334,[1]ACSDT5Y2020.B08301_data_with_ov!$AS$3:$AS$1334,$B741)</f>
        <v>#VALUE!</v>
      </c>
      <c r="P741" s="17" t="e">
        <f>SUMIFS([1]ACSDT5Y2020.B08301_data_with_ov!AX$3:AX$1334,[1]ACSDT5Y2020.B08301_data_with_ov!$AS$3:$AS$1334,$B741)</f>
        <v>#VALUE!</v>
      </c>
      <c r="Q741" s="17" t="e">
        <f>SUMIFS([1]ACSDT5Y2020.B08301_data_with_ov!AY$3:AY$1334,[1]ACSDT5Y2020.B08301_data_with_ov!$AS$3:$AS$1334,$B741)</f>
        <v>#VALUE!</v>
      </c>
      <c r="R741" s="17" t="e">
        <f>SUMIFS([1]ACSDT5Y2020.B08301_data_with_ov!AZ$3:AZ$1334,[1]ACSDT5Y2020.B08301_data_with_ov!$AS$3:$AS$1334,$B741)</f>
        <v>#VALUE!</v>
      </c>
      <c r="S741" s="17" t="e">
        <f>SUMIFS([1]ACSDT5Y2020.B08301_data_with_ov!BA$3:BA$1334,[1]ACSDT5Y2020.B08301_data_with_ov!$AS$3:$AS$1334,$B741)</f>
        <v>#VALUE!</v>
      </c>
      <c r="T741" s="188">
        <v>0.40193008526847307</v>
      </c>
      <c r="U741" s="189" t="e">
        <f t="shared" si="47"/>
        <v>#VALUE!</v>
      </c>
      <c r="V741" s="188">
        <v>0.40193008526847307</v>
      </c>
      <c r="W741" s="189" t="e">
        <f t="shared" si="44"/>
        <v>#VALUE!</v>
      </c>
      <c r="X741" s="188">
        <v>0.40193008526847307</v>
      </c>
      <c r="Y741" s="189" t="e">
        <f t="shared" si="45"/>
        <v>#VALUE!</v>
      </c>
      <c r="Z741" s="188">
        <v>0.40193008526847307</v>
      </c>
      <c r="AA741" s="189" t="e">
        <f t="shared" si="46"/>
        <v>#VALUE!</v>
      </c>
    </row>
    <row r="742" spans="1:27" x14ac:dyDescent="0.25">
      <c r="A742">
        <v>720400</v>
      </c>
      <c r="B742">
        <v>17031720400</v>
      </c>
      <c r="C742">
        <v>17031</v>
      </c>
      <c r="D742">
        <v>2010</v>
      </c>
      <c r="E742">
        <v>72</v>
      </c>
      <c r="F742">
        <v>7140366.8627359504</v>
      </c>
      <c r="G742" s="45">
        <v>0.25612541834308822</v>
      </c>
      <c r="H742" s="60" t="str">
        <f>_xlfn.IFNA(
INDEX('Community Areas'!B$2:B$78,MATCH($E742,'Community Areas'!$A$2:$A$78,0)),
"")</f>
        <v>BEVERLY</v>
      </c>
      <c r="I742" s="63" t="str">
        <f>_xlfn.IFNA(
INDEX('Community Areas'!C$2:C$78,MATCH($E742,'Community Areas'!$A$2:$A$78,0)),
"")</f>
        <v>5-A</v>
      </c>
      <c r="J742" s="63">
        <f>_xlfn.IFNA(
INDEX('Community Areas'!D$2:D$78,MATCH($E742,'Community Areas'!$A$2:$A$78,0)),
"")</f>
        <v>5</v>
      </c>
      <c r="K742" s="60" t="str">
        <f>_xlfn.IFNA(
INDEX('Community Areas'!E$2:E$78,MATCH($E742,'Community Areas'!$A$2:$A$78,0)),
"")</f>
        <v>FAR SOUTH</v>
      </c>
      <c r="L742" s="17" t="e">
        <f>SUMIFS([1]ACSDT5Y2020.B08301_data_with_ov!AT$3:AT$1334,[1]ACSDT5Y2020.B08301_data_with_ov!$AS$3:$AS$1334,$B742)</f>
        <v>#VALUE!</v>
      </c>
      <c r="M742" s="17" t="e">
        <f>SUMIFS([1]ACSDT5Y2020.B08301_data_with_ov!AU$3:AU$1334,[1]ACSDT5Y2020.B08301_data_with_ov!$AS$3:$AS$1334,$B742)</f>
        <v>#VALUE!</v>
      </c>
      <c r="N742" s="17" t="e">
        <f>SUMIFS([1]ACSDT5Y2020.B08301_data_with_ov!AV$3:AV$1334,[1]ACSDT5Y2020.B08301_data_with_ov!$AS$3:$AS$1334,$B742)</f>
        <v>#VALUE!</v>
      </c>
      <c r="O742" s="17" t="e">
        <f>SUMIFS([1]ACSDT5Y2020.B08301_data_with_ov!AW$3:AW$1334,[1]ACSDT5Y2020.B08301_data_with_ov!$AS$3:$AS$1334,$B742)</f>
        <v>#VALUE!</v>
      </c>
      <c r="P742" s="17" t="e">
        <f>SUMIFS([1]ACSDT5Y2020.B08301_data_with_ov!AX$3:AX$1334,[1]ACSDT5Y2020.B08301_data_with_ov!$AS$3:$AS$1334,$B742)</f>
        <v>#VALUE!</v>
      </c>
      <c r="Q742" s="17" t="e">
        <f>SUMIFS([1]ACSDT5Y2020.B08301_data_with_ov!AY$3:AY$1334,[1]ACSDT5Y2020.B08301_data_with_ov!$AS$3:$AS$1334,$B742)</f>
        <v>#VALUE!</v>
      </c>
      <c r="R742" s="17" t="e">
        <f>SUMIFS([1]ACSDT5Y2020.B08301_data_with_ov!AZ$3:AZ$1334,[1]ACSDT5Y2020.B08301_data_with_ov!$AS$3:$AS$1334,$B742)</f>
        <v>#VALUE!</v>
      </c>
      <c r="S742" s="17" t="e">
        <f>SUMIFS([1]ACSDT5Y2020.B08301_data_with_ov!BA$3:BA$1334,[1]ACSDT5Y2020.B08301_data_with_ov!$AS$3:$AS$1334,$B742)</f>
        <v>#VALUE!</v>
      </c>
      <c r="T742" s="188">
        <v>0</v>
      </c>
      <c r="U742" s="189" t="e">
        <f t="shared" si="47"/>
        <v>#VALUE!</v>
      </c>
      <c r="V742" s="188">
        <v>0</v>
      </c>
      <c r="W742" s="189" t="e">
        <f t="shared" si="44"/>
        <v>#VALUE!</v>
      </c>
      <c r="X742" s="188">
        <v>0</v>
      </c>
      <c r="Y742" s="189" t="e">
        <f t="shared" si="45"/>
        <v>#VALUE!</v>
      </c>
      <c r="Z742" s="188">
        <v>0</v>
      </c>
      <c r="AA742" s="189" t="e">
        <f t="shared" si="46"/>
        <v>#VALUE!</v>
      </c>
    </row>
    <row r="743" spans="1:27" x14ac:dyDescent="0.25">
      <c r="A743">
        <v>720700</v>
      </c>
      <c r="B743">
        <v>17031720700</v>
      </c>
      <c r="C743">
        <v>17031</v>
      </c>
      <c r="D743">
        <v>2010</v>
      </c>
      <c r="E743">
        <v>72</v>
      </c>
      <c r="F743">
        <v>11300513.523674401</v>
      </c>
      <c r="G743" s="45">
        <v>0.40535014648166323</v>
      </c>
      <c r="H743" s="60" t="str">
        <f>_xlfn.IFNA(
INDEX('Community Areas'!B$2:B$78,MATCH($E743,'Community Areas'!$A$2:$A$78,0)),
"")</f>
        <v>BEVERLY</v>
      </c>
      <c r="I743" s="63" t="str">
        <f>_xlfn.IFNA(
INDEX('Community Areas'!C$2:C$78,MATCH($E743,'Community Areas'!$A$2:$A$78,0)),
"")</f>
        <v>5-A</v>
      </c>
      <c r="J743" s="63">
        <f>_xlfn.IFNA(
INDEX('Community Areas'!D$2:D$78,MATCH($E743,'Community Areas'!$A$2:$A$78,0)),
"")</f>
        <v>5</v>
      </c>
      <c r="K743" s="60" t="str">
        <f>_xlfn.IFNA(
INDEX('Community Areas'!E$2:E$78,MATCH($E743,'Community Areas'!$A$2:$A$78,0)),
"")</f>
        <v>FAR SOUTH</v>
      </c>
      <c r="L743" s="17" t="e">
        <f>SUMIFS([1]ACSDT5Y2020.B08301_data_with_ov!AT$3:AT$1334,[1]ACSDT5Y2020.B08301_data_with_ov!$AS$3:$AS$1334,$B743)</f>
        <v>#VALUE!</v>
      </c>
      <c r="M743" s="17" t="e">
        <f>SUMIFS([1]ACSDT5Y2020.B08301_data_with_ov!AU$3:AU$1334,[1]ACSDT5Y2020.B08301_data_with_ov!$AS$3:$AS$1334,$B743)</f>
        <v>#VALUE!</v>
      </c>
      <c r="N743" s="17" t="e">
        <f>SUMIFS([1]ACSDT5Y2020.B08301_data_with_ov!AV$3:AV$1334,[1]ACSDT5Y2020.B08301_data_with_ov!$AS$3:$AS$1334,$B743)</f>
        <v>#VALUE!</v>
      </c>
      <c r="O743" s="17" t="e">
        <f>SUMIFS([1]ACSDT5Y2020.B08301_data_with_ov!AW$3:AW$1334,[1]ACSDT5Y2020.B08301_data_with_ov!$AS$3:$AS$1334,$B743)</f>
        <v>#VALUE!</v>
      </c>
      <c r="P743" s="17" t="e">
        <f>SUMIFS([1]ACSDT5Y2020.B08301_data_with_ov!AX$3:AX$1334,[1]ACSDT5Y2020.B08301_data_with_ov!$AS$3:$AS$1334,$B743)</f>
        <v>#VALUE!</v>
      </c>
      <c r="Q743" s="17" t="e">
        <f>SUMIFS([1]ACSDT5Y2020.B08301_data_with_ov!AY$3:AY$1334,[1]ACSDT5Y2020.B08301_data_with_ov!$AS$3:$AS$1334,$B743)</f>
        <v>#VALUE!</v>
      </c>
      <c r="R743" s="17" t="e">
        <f>SUMIFS([1]ACSDT5Y2020.B08301_data_with_ov!AZ$3:AZ$1334,[1]ACSDT5Y2020.B08301_data_with_ov!$AS$3:$AS$1334,$B743)</f>
        <v>#VALUE!</v>
      </c>
      <c r="S743" s="17" t="e">
        <f>SUMIFS([1]ACSDT5Y2020.B08301_data_with_ov!BA$3:BA$1334,[1]ACSDT5Y2020.B08301_data_with_ov!$AS$3:$AS$1334,$B743)</f>
        <v>#VALUE!</v>
      </c>
      <c r="T743" s="188">
        <v>0.24121964466487927</v>
      </c>
      <c r="U743" s="189" t="e">
        <f t="shared" si="47"/>
        <v>#VALUE!</v>
      </c>
      <c r="V743" s="188">
        <v>0.24122139801802686</v>
      </c>
      <c r="W743" s="189" t="e">
        <f t="shared" si="44"/>
        <v>#VALUE!</v>
      </c>
      <c r="X743" s="188">
        <v>0.24122139801802686</v>
      </c>
      <c r="Y743" s="189" t="e">
        <f t="shared" si="45"/>
        <v>#VALUE!</v>
      </c>
      <c r="Z743" s="188">
        <v>0.24122139801802686</v>
      </c>
      <c r="AA743" s="189" t="e">
        <f t="shared" si="46"/>
        <v>#VALUE!</v>
      </c>
    </row>
    <row r="744" spans="1:27" x14ac:dyDescent="0.25">
      <c r="A744">
        <v>720100</v>
      </c>
      <c r="B744">
        <v>17031720100</v>
      </c>
      <c r="C744">
        <v>17031</v>
      </c>
      <c r="D744">
        <v>2010</v>
      </c>
      <c r="E744">
        <v>72</v>
      </c>
      <c r="F744">
        <v>21265072.579106402</v>
      </c>
      <c r="G744" s="45">
        <v>0.76277952031344698</v>
      </c>
      <c r="H744" s="60" t="str">
        <f>_xlfn.IFNA(
INDEX('Community Areas'!B$2:B$78,MATCH($E744,'Community Areas'!$A$2:$A$78,0)),
"")</f>
        <v>BEVERLY</v>
      </c>
      <c r="I744" s="63" t="str">
        <f>_xlfn.IFNA(
INDEX('Community Areas'!C$2:C$78,MATCH($E744,'Community Areas'!$A$2:$A$78,0)),
"")</f>
        <v>5-A</v>
      </c>
      <c r="J744" s="63">
        <f>_xlfn.IFNA(
INDEX('Community Areas'!D$2:D$78,MATCH($E744,'Community Areas'!$A$2:$A$78,0)),
"")</f>
        <v>5</v>
      </c>
      <c r="K744" s="60" t="str">
        <f>_xlfn.IFNA(
INDEX('Community Areas'!E$2:E$78,MATCH($E744,'Community Areas'!$A$2:$A$78,0)),
"")</f>
        <v>FAR SOUTH</v>
      </c>
      <c r="L744" s="17" t="e">
        <f>SUMIFS([1]ACSDT5Y2020.B08301_data_with_ov!AT$3:AT$1334,[1]ACSDT5Y2020.B08301_data_with_ov!$AS$3:$AS$1334,$B744)</f>
        <v>#VALUE!</v>
      </c>
      <c r="M744" s="17" t="e">
        <f>SUMIFS([1]ACSDT5Y2020.B08301_data_with_ov!AU$3:AU$1334,[1]ACSDT5Y2020.B08301_data_with_ov!$AS$3:$AS$1334,$B744)</f>
        <v>#VALUE!</v>
      </c>
      <c r="N744" s="17" t="e">
        <f>SUMIFS([1]ACSDT5Y2020.B08301_data_with_ov!AV$3:AV$1334,[1]ACSDT5Y2020.B08301_data_with_ov!$AS$3:$AS$1334,$B744)</f>
        <v>#VALUE!</v>
      </c>
      <c r="O744" s="17" t="e">
        <f>SUMIFS([1]ACSDT5Y2020.B08301_data_with_ov!AW$3:AW$1334,[1]ACSDT5Y2020.B08301_data_with_ov!$AS$3:$AS$1334,$B744)</f>
        <v>#VALUE!</v>
      </c>
      <c r="P744" s="17" t="e">
        <f>SUMIFS([1]ACSDT5Y2020.B08301_data_with_ov!AX$3:AX$1334,[1]ACSDT5Y2020.B08301_data_with_ov!$AS$3:$AS$1334,$B744)</f>
        <v>#VALUE!</v>
      </c>
      <c r="Q744" s="17" t="e">
        <f>SUMIFS([1]ACSDT5Y2020.B08301_data_with_ov!AY$3:AY$1334,[1]ACSDT5Y2020.B08301_data_with_ov!$AS$3:$AS$1334,$B744)</f>
        <v>#VALUE!</v>
      </c>
      <c r="R744" s="17" t="e">
        <f>SUMIFS([1]ACSDT5Y2020.B08301_data_with_ov!AZ$3:AZ$1334,[1]ACSDT5Y2020.B08301_data_with_ov!$AS$3:$AS$1334,$B744)</f>
        <v>#VALUE!</v>
      </c>
      <c r="S744" s="17" t="e">
        <f>SUMIFS([1]ACSDT5Y2020.B08301_data_with_ov!BA$3:BA$1334,[1]ACSDT5Y2020.B08301_data_with_ov!$AS$3:$AS$1334,$B744)</f>
        <v>#VALUE!</v>
      </c>
      <c r="T744" s="188">
        <v>0.56055647095836203</v>
      </c>
      <c r="U744" s="189" t="e">
        <f t="shared" si="47"/>
        <v>#VALUE!</v>
      </c>
      <c r="V744" s="188">
        <v>0.56055647095836203</v>
      </c>
      <c r="W744" s="189" t="e">
        <f t="shared" si="44"/>
        <v>#VALUE!</v>
      </c>
      <c r="X744" s="188">
        <v>0.56055647095836203</v>
      </c>
      <c r="Y744" s="189" t="e">
        <f t="shared" si="45"/>
        <v>#VALUE!</v>
      </c>
      <c r="Z744" s="188">
        <v>0.56055647095836203</v>
      </c>
      <c r="AA744" s="189" t="e">
        <f t="shared" si="46"/>
        <v>#VALUE!</v>
      </c>
    </row>
    <row r="745" spans="1:27" x14ac:dyDescent="0.25">
      <c r="A745">
        <v>720600</v>
      </c>
      <c r="B745">
        <v>17031720600</v>
      </c>
      <c r="C745">
        <v>17031</v>
      </c>
      <c r="D745">
        <v>2010</v>
      </c>
      <c r="E745">
        <v>72</v>
      </c>
      <c r="F745">
        <v>6269300.1490293602</v>
      </c>
      <c r="G745" s="45">
        <v>0.22488019933100034</v>
      </c>
      <c r="H745" s="60" t="str">
        <f>_xlfn.IFNA(
INDEX('Community Areas'!B$2:B$78,MATCH($E745,'Community Areas'!$A$2:$A$78,0)),
"")</f>
        <v>BEVERLY</v>
      </c>
      <c r="I745" s="63" t="str">
        <f>_xlfn.IFNA(
INDEX('Community Areas'!C$2:C$78,MATCH($E745,'Community Areas'!$A$2:$A$78,0)),
"")</f>
        <v>5-A</v>
      </c>
      <c r="J745" s="63">
        <f>_xlfn.IFNA(
INDEX('Community Areas'!D$2:D$78,MATCH($E745,'Community Areas'!$A$2:$A$78,0)),
"")</f>
        <v>5</v>
      </c>
      <c r="K745" s="60" t="str">
        <f>_xlfn.IFNA(
INDEX('Community Areas'!E$2:E$78,MATCH($E745,'Community Areas'!$A$2:$A$78,0)),
"")</f>
        <v>FAR SOUTH</v>
      </c>
      <c r="L745" s="17" t="e">
        <f>SUMIFS([1]ACSDT5Y2020.B08301_data_with_ov!AT$3:AT$1334,[1]ACSDT5Y2020.B08301_data_with_ov!$AS$3:$AS$1334,$B745)</f>
        <v>#VALUE!</v>
      </c>
      <c r="M745" s="17" t="e">
        <f>SUMIFS([1]ACSDT5Y2020.B08301_data_with_ov!AU$3:AU$1334,[1]ACSDT5Y2020.B08301_data_with_ov!$AS$3:$AS$1334,$B745)</f>
        <v>#VALUE!</v>
      </c>
      <c r="N745" s="17" t="e">
        <f>SUMIFS([1]ACSDT5Y2020.B08301_data_with_ov!AV$3:AV$1334,[1]ACSDT5Y2020.B08301_data_with_ov!$AS$3:$AS$1334,$B745)</f>
        <v>#VALUE!</v>
      </c>
      <c r="O745" s="17" t="e">
        <f>SUMIFS([1]ACSDT5Y2020.B08301_data_with_ov!AW$3:AW$1334,[1]ACSDT5Y2020.B08301_data_with_ov!$AS$3:$AS$1334,$B745)</f>
        <v>#VALUE!</v>
      </c>
      <c r="P745" s="17" t="e">
        <f>SUMIFS([1]ACSDT5Y2020.B08301_data_with_ov!AX$3:AX$1334,[1]ACSDT5Y2020.B08301_data_with_ov!$AS$3:$AS$1334,$B745)</f>
        <v>#VALUE!</v>
      </c>
      <c r="Q745" s="17" t="e">
        <f>SUMIFS([1]ACSDT5Y2020.B08301_data_with_ov!AY$3:AY$1334,[1]ACSDT5Y2020.B08301_data_with_ov!$AS$3:$AS$1334,$B745)</f>
        <v>#VALUE!</v>
      </c>
      <c r="R745" s="17" t="e">
        <f>SUMIFS([1]ACSDT5Y2020.B08301_data_with_ov!AZ$3:AZ$1334,[1]ACSDT5Y2020.B08301_data_with_ov!$AS$3:$AS$1334,$B745)</f>
        <v>#VALUE!</v>
      </c>
      <c r="S745" s="17" t="e">
        <f>SUMIFS([1]ACSDT5Y2020.B08301_data_with_ov!BA$3:BA$1334,[1]ACSDT5Y2020.B08301_data_with_ov!$AS$3:$AS$1334,$B745)</f>
        <v>#VALUE!</v>
      </c>
      <c r="T745" s="188">
        <v>0</v>
      </c>
      <c r="U745" s="189" t="e">
        <f t="shared" si="47"/>
        <v>#VALUE!</v>
      </c>
      <c r="V745" s="188">
        <v>0</v>
      </c>
      <c r="W745" s="189" t="e">
        <f t="shared" si="44"/>
        <v>#VALUE!</v>
      </c>
      <c r="X745" s="188">
        <v>0</v>
      </c>
      <c r="Y745" s="189" t="e">
        <f t="shared" si="45"/>
        <v>#VALUE!</v>
      </c>
      <c r="Z745" s="188">
        <v>0</v>
      </c>
      <c r="AA745" s="189" t="e">
        <f t="shared" si="46"/>
        <v>#VALUE!</v>
      </c>
    </row>
    <row r="746" spans="1:27" x14ac:dyDescent="0.25">
      <c r="A746">
        <v>720300</v>
      </c>
      <c r="B746">
        <v>17031720300</v>
      </c>
      <c r="C746">
        <v>17031</v>
      </c>
      <c r="D746">
        <v>2010</v>
      </c>
      <c r="E746">
        <v>72</v>
      </c>
      <c r="F746">
        <v>13579342.0360581</v>
      </c>
      <c r="G746" s="45">
        <v>0.48709187170203816</v>
      </c>
      <c r="H746" s="60" t="str">
        <f>_xlfn.IFNA(
INDEX('Community Areas'!B$2:B$78,MATCH($E746,'Community Areas'!$A$2:$A$78,0)),
"")</f>
        <v>BEVERLY</v>
      </c>
      <c r="I746" s="63" t="str">
        <f>_xlfn.IFNA(
INDEX('Community Areas'!C$2:C$78,MATCH($E746,'Community Areas'!$A$2:$A$78,0)),
"")</f>
        <v>5-A</v>
      </c>
      <c r="J746" s="63">
        <f>_xlfn.IFNA(
INDEX('Community Areas'!D$2:D$78,MATCH($E746,'Community Areas'!$A$2:$A$78,0)),
"")</f>
        <v>5</v>
      </c>
      <c r="K746" s="60" t="str">
        <f>_xlfn.IFNA(
INDEX('Community Areas'!E$2:E$78,MATCH($E746,'Community Areas'!$A$2:$A$78,0)),
"")</f>
        <v>FAR SOUTH</v>
      </c>
      <c r="L746" s="17" t="e">
        <f>SUMIFS([1]ACSDT5Y2020.B08301_data_with_ov!AT$3:AT$1334,[1]ACSDT5Y2020.B08301_data_with_ov!$AS$3:$AS$1334,$B746)</f>
        <v>#VALUE!</v>
      </c>
      <c r="M746" s="17" t="e">
        <f>SUMIFS([1]ACSDT5Y2020.B08301_data_with_ov!AU$3:AU$1334,[1]ACSDT5Y2020.B08301_data_with_ov!$AS$3:$AS$1334,$B746)</f>
        <v>#VALUE!</v>
      </c>
      <c r="N746" s="17" t="e">
        <f>SUMIFS([1]ACSDT5Y2020.B08301_data_with_ov!AV$3:AV$1334,[1]ACSDT5Y2020.B08301_data_with_ov!$AS$3:$AS$1334,$B746)</f>
        <v>#VALUE!</v>
      </c>
      <c r="O746" s="17" t="e">
        <f>SUMIFS([1]ACSDT5Y2020.B08301_data_with_ov!AW$3:AW$1334,[1]ACSDT5Y2020.B08301_data_with_ov!$AS$3:$AS$1334,$B746)</f>
        <v>#VALUE!</v>
      </c>
      <c r="P746" s="17" t="e">
        <f>SUMIFS([1]ACSDT5Y2020.B08301_data_with_ov!AX$3:AX$1334,[1]ACSDT5Y2020.B08301_data_with_ov!$AS$3:$AS$1334,$B746)</f>
        <v>#VALUE!</v>
      </c>
      <c r="Q746" s="17" t="e">
        <f>SUMIFS([1]ACSDT5Y2020.B08301_data_with_ov!AY$3:AY$1334,[1]ACSDT5Y2020.B08301_data_with_ov!$AS$3:$AS$1334,$B746)</f>
        <v>#VALUE!</v>
      </c>
      <c r="R746" s="17" t="e">
        <f>SUMIFS([1]ACSDT5Y2020.B08301_data_with_ov!AZ$3:AZ$1334,[1]ACSDT5Y2020.B08301_data_with_ov!$AS$3:$AS$1334,$B746)</f>
        <v>#VALUE!</v>
      </c>
      <c r="S746" s="17" t="e">
        <f>SUMIFS([1]ACSDT5Y2020.B08301_data_with_ov!BA$3:BA$1334,[1]ACSDT5Y2020.B08301_data_with_ov!$AS$3:$AS$1334,$B746)</f>
        <v>#VALUE!</v>
      </c>
      <c r="T746" s="188">
        <v>1.0299167205010833E-2</v>
      </c>
      <c r="U746" s="189" t="e">
        <f t="shared" si="47"/>
        <v>#VALUE!</v>
      </c>
      <c r="V746" s="188">
        <v>1.0299167205010833E-2</v>
      </c>
      <c r="W746" s="189" t="e">
        <f t="shared" si="44"/>
        <v>#VALUE!</v>
      </c>
      <c r="X746" s="188">
        <v>1.0299167205010833E-2</v>
      </c>
      <c r="Y746" s="189" t="e">
        <f t="shared" si="45"/>
        <v>#VALUE!</v>
      </c>
      <c r="Z746" s="188">
        <v>1.0299167205010833E-2</v>
      </c>
      <c r="AA746" s="189" t="e">
        <f t="shared" si="46"/>
        <v>#VALUE!</v>
      </c>
    </row>
    <row r="747" spans="1:27" x14ac:dyDescent="0.25">
      <c r="A747">
        <v>730201</v>
      </c>
      <c r="B747">
        <v>17031730201</v>
      </c>
      <c r="C747">
        <v>17031</v>
      </c>
      <c r="D747">
        <v>2010</v>
      </c>
      <c r="E747">
        <v>73</v>
      </c>
      <c r="F747">
        <v>10779995.1396595</v>
      </c>
      <c r="G747" s="45">
        <v>0.38667911858856674</v>
      </c>
      <c r="H747" s="60" t="str">
        <f>_xlfn.IFNA(
INDEX('Community Areas'!B$2:B$78,MATCH($E747,'Community Areas'!$A$2:$A$78,0)),
"")</f>
        <v>WASHINGTON HEIGHTS</v>
      </c>
      <c r="I747" s="63" t="str">
        <f>_xlfn.IFNA(
INDEX('Community Areas'!C$2:C$78,MATCH($E747,'Community Areas'!$A$2:$A$78,0)),
"")</f>
        <v>5-A</v>
      </c>
      <c r="J747" s="63">
        <f>_xlfn.IFNA(
INDEX('Community Areas'!D$2:D$78,MATCH($E747,'Community Areas'!$A$2:$A$78,0)),
"")</f>
        <v>5</v>
      </c>
      <c r="K747" s="60" t="str">
        <f>_xlfn.IFNA(
INDEX('Community Areas'!E$2:E$78,MATCH($E747,'Community Areas'!$A$2:$A$78,0)),
"")</f>
        <v>FAR SOUTH</v>
      </c>
      <c r="L747" s="17" t="e">
        <f>SUMIFS([1]ACSDT5Y2020.B08301_data_with_ov!AT$3:AT$1334,[1]ACSDT5Y2020.B08301_data_with_ov!$AS$3:$AS$1334,$B747)</f>
        <v>#VALUE!</v>
      </c>
      <c r="M747" s="17" t="e">
        <f>SUMIFS([1]ACSDT5Y2020.B08301_data_with_ov!AU$3:AU$1334,[1]ACSDT5Y2020.B08301_data_with_ov!$AS$3:$AS$1334,$B747)</f>
        <v>#VALUE!</v>
      </c>
      <c r="N747" s="17" t="e">
        <f>SUMIFS([1]ACSDT5Y2020.B08301_data_with_ov!AV$3:AV$1334,[1]ACSDT5Y2020.B08301_data_with_ov!$AS$3:$AS$1334,$B747)</f>
        <v>#VALUE!</v>
      </c>
      <c r="O747" s="17" t="e">
        <f>SUMIFS([1]ACSDT5Y2020.B08301_data_with_ov!AW$3:AW$1334,[1]ACSDT5Y2020.B08301_data_with_ov!$AS$3:$AS$1334,$B747)</f>
        <v>#VALUE!</v>
      </c>
      <c r="P747" s="17" t="e">
        <f>SUMIFS([1]ACSDT5Y2020.B08301_data_with_ov!AX$3:AX$1334,[1]ACSDT5Y2020.B08301_data_with_ov!$AS$3:$AS$1334,$B747)</f>
        <v>#VALUE!</v>
      </c>
      <c r="Q747" s="17" t="e">
        <f>SUMIFS([1]ACSDT5Y2020.B08301_data_with_ov!AY$3:AY$1334,[1]ACSDT5Y2020.B08301_data_with_ov!$AS$3:$AS$1334,$B747)</f>
        <v>#VALUE!</v>
      </c>
      <c r="R747" s="17" t="e">
        <f>SUMIFS([1]ACSDT5Y2020.B08301_data_with_ov!AZ$3:AZ$1334,[1]ACSDT5Y2020.B08301_data_with_ov!$AS$3:$AS$1334,$B747)</f>
        <v>#VALUE!</v>
      </c>
      <c r="S747" s="17" t="e">
        <f>SUMIFS([1]ACSDT5Y2020.B08301_data_with_ov!BA$3:BA$1334,[1]ACSDT5Y2020.B08301_data_with_ov!$AS$3:$AS$1334,$B747)</f>
        <v>#VALUE!</v>
      </c>
      <c r="T747" s="188">
        <v>0.37793892622351355</v>
      </c>
      <c r="U747" s="189" t="e">
        <f t="shared" si="47"/>
        <v>#VALUE!</v>
      </c>
      <c r="V747" s="188">
        <v>0.37793892622351355</v>
      </c>
      <c r="W747" s="189" t="e">
        <f t="shared" si="44"/>
        <v>#VALUE!</v>
      </c>
      <c r="X747" s="188">
        <v>0.37793892622351355</v>
      </c>
      <c r="Y747" s="189" t="e">
        <f t="shared" si="45"/>
        <v>#VALUE!</v>
      </c>
      <c r="Z747" s="188">
        <v>0.37793892622351355</v>
      </c>
      <c r="AA747" s="189" t="e">
        <f t="shared" si="46"/>
        <v>#VALUE!</v>
      </c>
    </row>
    <row r="748" spans="1:27" x14ac:dyDescent="0.25">
      <c r="A748">
        <v>730300</v>
      </c>
      <c r="B748">
        <v>17031730300</v>
      </c>
      <c r="C748">
        <v>17031</v>
      </c>
      <c r="D748">
        <v>2010</v>
      </c>
      <c r="E748">
        <v>73</v>
      </c>
      <c r="F748">
        <v>3170252.6120434101</v>
      </c>
      <c r="G748" s="45">
        <v>0.11371716497515676</v>
      </c>
      <c r="H748" s="60" t="str">
        <f>_xlfn.IFNA(
INDEX('Community Areas'!B$2:B$78,MATCH($E748,'Community Areas'!$A$2:$A$78,0)),
"")</f>
        <v>WASHINGTON HEIGHTS</v>
      </c>
      <c r="I748" s="63" t="str">
        <f>_xlfn.IFNA(
INDEX('Community Areas'!C$2:C$78,MATCH($E748,'Community Areas'!$A$2:$A$78,0)),
"")</f>
        <v>5-A</v>
      </c>
      <c r="J748" s="63">
        <f>_xlfn.IFNA(
INDEX('Community Areas'!D$2:D$78,MATCH($E748,'Community Areas'!$A$2:$A$78,0)),
"")</f>
        <v>5</v>
      </c>
      <c r="K748" s="60" t="str">
        <f>_xlfn.IFNA(
INDEX('Community Areas'!E$2:E$78,MATCH($E748,'Community Areas'!$A$2:$A$78,0)),
"")</f>
        <v>FAR SOUTH</v>
      </c>
      <c r="L748" s="17" t="e">
        <f>SUMIFS([1]ACSDT5Y2020.B08301_data_with_ov!AT$3:AT$1334,[1]ACSDT5Y2020.B08301_data_with_ov!$AS$3:$AS$1334,$B748)</f>
        <v>#VALUE!</v>
      </c>
      <c r="M748" s="17" t="e">
        <f>SUMIFS([1]ACSDT5Y2020.B08301_data_with_ov!AU$3:AU$1334,[1]ACSDT5Y2020.B08301_data_with_ov!$AS$3:$AS$1334,$B748)</f>
        <v>#VALUE!</v>
      </c>
      <c r="N748" s="17" t="e">
        <f>SUMIFS([1]ACSDT5Y2020.B08301_data_with_ov!AV$3:AV$1334,[1]ACSDT5Y2020.B08301_data_with_ov!$AS$3:$AS$1334,$B748)</f>
        <v>#VALUE!</v>
      </c>
      <c r="O748" s="17" t="e">
        <f>SUMIFS([1]ACSDT5Y2020.B08301_data_with_ov!AW$3:AW$1334,[1]ACSDT5Y2020.B08301_data_with_ov!$AS$3:$AS$1334,$B748)</f>
        <v>#VALUE!</v>
      </c>
      <c r="P748" s="17" t="e">
        <f>SUMIFS([1]ACSDT5Y2020.B08301_data_with_ov!AX$3:AX$1334,[1]ACSDT5Y2020.B08301_data_with_ov!$AS$3:$AS$1334,$B748)</f>
        <v>#VALUE!</v>
      </c>
      <c r="Q748" s="17" t="e">
        <f>SUMIFS([1]ACSDT5Y2020.B08301_data_with_ov!AY$3:AY$1334,[1]ACSDT5Y2020.B08301_data_with_ov!$AS$3:$AS$1334,$B748)</f>
        <v>#VALUE!</v>
      </c>
      <c r="R748" s="17" t="e">
        <f>SUMIFS([1]ACSDT5Y2020.B08301_data_with_ov!AZ$3:AZ$1334,[1]ACSDT5Y2020.B08301_data_with_ov!$AS$3:$AS$1334,$B748)</f>
        <v>#VALUE!</v>
      </c>
      <c r="S748" s="17" t="e">
        <f>SUMIFS([1]ACSDT5Y2020.B08301_data_with_ov!BA$3:BA$1334,[1]ACSDT5Y2020.B08301_data_with_ov!$AS$3:$AS$1334,$B748)</f>
        <v>#VALUE!</v>
      </c>
      <c r="T748" s="188">
        <v>0.11371715260443641</v>
      </c>
      <c r="U748" s="189" t="e">
        <f t="shared" si="47"/>
        <v>#VALUE!</v>
      </c>
      <c r="V748" s="188">
        <v>0.11371715260443641</v>
      </c>
      <c r="W748" s="189" t="e">
        <f t="shared" si="44"/>
        <v>#VALUE!</v>
      </c>
      <c r="X748" s="188">
        <v>0.11371715260443641</v>
      </c>
      <c r="Y748" s="189" t="e">
        <f t="shared" si="45"/>
        <v>#VALUE!</v>
      </c>
      <c r="Z748" s="188">
        <v>0.11371715260443641</v>
      </c>
      <c r="AA748" s="189" t="e">
        <f t="shared" si="46"/>
        <v>#VALUE!</v>
      </c>
    </row>
    <row r="749" spans="1:27" x14ac:dyDescent="0.25">
      <c r="A749">
        <v>730600</v>
      </c>
      <c r="B749">
        <v>17031730600</v>
      </c>
      <c r="C749">
        <v>17031</v>
      </c>
      <c r="D749">
        <v>2010</v>
      </c>
      <c r="E749">
        <v>73</v>
      </c>
      <c r="F749">
        <v>11035600.2369915</v>
      </c>
      <c r="G749" s="45">
        <v>0.39584768985994534</v>
      </c>
      <c r="H749" s="60" t="str">
        <f>_xlfn.IFNA(
INDEX('Community Areas'!B$2:B$78,MATCH($E749,'Community Areas'!$A$2:$A$78,0)),
"")</f>
        <v>WASHINGTON HEIGHTS</v>
      </c>
      <c r="I749" s="63" t="str">
        <f>_xlfn.IFNA(
INDEX('Community Areas'!C$2:C$78,MATCH($E749,'Community Areas'!$A$2:$A$78,0)),
"")</f>
        <v>5-A</v>
      </c>
      <c r="J749" s="63">
        <f>_xlfn.IFNA(
INDEX('Community Areas'!D$2:D$78,MATCH($E749,'Community Areas'!$A$2:$A$78,0)),
"")</f>
        <v>5</v>
      </c>
      <c r="K749" s="60" t="str">
        <f>_xlfn.IFNA(
INDEX('Community Areas'!E$2:E$78,MATCH($E749,'Community Areas'!$A$2:$A$78,0)),
"")</f>
        <v>FAR SOUTH</v>
      </c>
      <c r="L749" s="17" t="e">
        <f>SUMIFS([1]ACSDT5Y2020.B08301_data_with_ov!AT$3:AT$1334,[1]ACSDT5Y2020.B08301_data_with_ov!$AS$3:$AS$1334,$B749)</f>
        <v>#VALUE!</v>
      </c>
      <c r="M749" s="17" t="e">
        <f>SUMIFS([1]ACSDT5Y2020.B08301_data_with_ov!AU$3:AU$1334,[1]ACSDT5Y2020.B08301_data_with_ov!$AS$3:$AS$1334,$B749)</f>
        <v>#VALUE!</v>
      </c>
      <c r="N749" s="17" t="e">
        <f>SUMIFS([1]ACSDT5Y2020.B08301_data_with_ov!AV$3:AV$1334,[1]ACSDT5Y2020.B08301_data_with_ov!$AS$3:$AS$1334,$B749)</f>
        <v>#VALUE!</v>
      </c>
      <c r="O749" s="17" t="e">
        <f>SUMIFS([1]ACSDT5Y2020.B08301_data_with_ov!AW$3:AW$1334,[1]ACSDT5Y2020.B08301_data_with_ov!$AS$3:$AS$1334,$B749)</f>
        <v>#VALUE!</v>
      </c>
      <c r="P749" s="17" t="e">
        <f>SUMIFS([1]ACSDT5Y2020.B08301_data_with_ov!AX$3:AX$1334,[1]ACSDT5Y2020.B08301_data_with_ov!$AS$3:$AS$1334,$B749)</f>
        <v>#VALUE!</v>
      </c>
      <c r="Q749" s="17" t="e">
        <f>SUMIFS([1]ACSDT5Y2020.B08301_data_with_ov!AY$3:AY$1334,[1]ACSDT5Y2020.B08301_data_with_ov!$AS$3:$AS$1334,$B749)</f>
        <v>#VALUE!</v>
      </c>
      <c r="R749" s="17" t="e">
        <f>SUMIFS([1]ACSDT5Y2020.B08301_data_with_ov!AZ$3:AZ$1334,[1]ACSDT5Y2020.B08301_data_with_ov!$AS$3:$AS$1334,$B749)</f>
        <v>#VALUE!</v>
      </c>
      <c r="S749" s="17" t="e">
        <f>SUMIFS([1]ACSDT5Y2020.B08301_data_with_ov!BA$3:BA$1334,[1]ACSDT5Y2020.B08301_data_with_ov!$AS$3:$AS$1334,$B749)</f>
        <v>#VALUE!</v>
      </c>
      <c r="T749" s="188">
        <v>0.39580190684748051</v>
      </c>
      <c r="U749" s="189" t="e">
        <f t="shared" si="47"/>
        <v>#VALUE!</v>
      </c>
      <c r="V749" s="188">
        <v>0.39580190684748051</v>
      </c>
      <c r="W749" s="189" t="e">
        <f t="shared" si="44"/>
        <v>#VALUE!</v>
      </c>
      <c r="X749" s="188">
        <v>0.39580190684748051</v>
      </c>
      <c r="Y749" s="189" t="e">
        <f t="shared" si="45"/>
        <v>#VALUE!</v>
      </c>
      <c r="Z749" s="188">
        <v>0.39580190684748051</v>
      </c>
      <c r="AA749" s="189" t="e">
        <f t="shared" si="46"/>
        <v>#VALUE!</v>
      </c>
    </row>
    <row r="750" spans="1:27" x14ac:dyDescent="0.25">
      <c r="A750">
        <v>730500</v>
      </c>
      <c r="B750">
        <v>17031730500</v>
      </c>
      <c r="C750">
        <v>17031</v>
      </c>
      <c r="D750">
        <v>2010</v>
      </c>
      <c r="E750">
        <v>73</v>
      </c>
      <c r="F750">
        <v>14023253.629407</v>
      </c>
      <c r="G750" s="45">
        <v>0.50301500908972541</v>
      </c>
      <c r="H750" s="60" t="str">
        <f>_xlfn.IFNA(
INDEX('Community Areas'!B$2:B$78,MATCH($E750,'Community Areas'!$A$2:$A$78,0)),
"")</f>
        <v>WASHINGTON HEIGHTS</v>
      </c>
      <c r="I750" s="63" t="str">
        <f>_xlfn.IFNA(
INDEX('Community Areas'!C$2:C$78,MATCH($E750,'Community Areas'!$A$2:$A$78,0)),
"")</f>
        <v>5-A</v>
      </c>
      <c r="J750" s="63">
        <f>_xlfn.IFNA(
INDEX('Community Areas'!D$2:D$78,MATCH($E750,'Community Areas'!$A$2:$A$78,0)),
"")</f>
        <v>5</v>
      </c>
      <c r="K750" s="60" t="str">
        <f>_xlfn.IFNA(
INDEX('Community Areas'!E$2:E$78,MATCH($E750,'Community Areas'!$A$2:$A$78,0)),
"")</f>
        <v>FAR SOUTH</v>
      </c>
      <c r="L750" s="17" t="e">
        <f>SUMIFS([1]ACSDT5Y2020.B08301_data_with_ov!AT$3:AT$1334,[1]ACSDT5Y2020.B08301_data_with_ov!$AS$3:$AS$1334,$B750)</f>
        <v>#VALUE!</v>
      </c>
      <c r="M750" s="17" t="e">
        <f>SUMIFS([1]ACSDT5Y2020.B08301_data_with_ov!AU$3:AU$1334,[1]ACSDT5Y2020.B08301_data_with_ov!$AS$3:$AS$1334,$B750)</f>
        <v>#VALUE!</v>
      </c>
      <c r="N750" s="17" t="e">
        <f>SUMIFS([1]ACSDT5Y2020.B08301_data_with_ov!AV$3:AV$1334,[1]ACSDT5Y2020.B08301_data_with_ov!$AS$3:$AS$1334,$B750)</f>
        <v>#VALUE!</v>
      </c>
      <c r="O750" s="17" t="e">
        <f>SUMIFS([1]ACSDT5Y2020.B08301_data_with_ov!AW$3:AW$1334,[1]ACSDT5Y2020.B08301_data_with_ov!$AS$3:$AS$1334,$B750)</f>
        <v>#VALUE!</v>
      </c>
      <c r="P750" s="17" t="e">
        <f>SUMIFS([1]ACSDT5Y2020.B08301_data_with_ov!AX$3:AX$1334,[1]ACSDT5Y2020.B08301_data_with_ov!$AS$3:$AS$1334,$B750)</f>
        <v>#VALUE!</v>
      </c>
      <c r="Q750" s="17" t="e">
        <f>SUMIFS([1]ACSDT5Y2020.B08301_data_with_ov!AY$3:AY$1334,[1]ACSDT5Y2020.B08301_data_with_ov!$AS$3:$AS$1334,$B750)</f>
        <v>#VALUE!</v>
      </c>
      <c r="R750" s="17" t="e">
        <f>SUMIFS([1]ACSDT5Y2020.B08301_data_with_ov!AZ$3:AZ$1334,[1]ACSDT5Y2020.B08301_data_with_ov!$AS$3:$AS$1334,$B750)</f>
        <v>#VALUE!</v>
      </c>
      <c r="S750" s="17" t="e">
        <f>SUMIFS([1]ACSDT5Y2020.B08301_data_with_ov!BA$3:BA$1334,[1]ACSDT5Y2020.B08301_data_with_ov!$AS$3:$AS$1334,$B750)</f>
        <v>#VALUE!</v>
      </c>
      <c r="T750" s="188">
        <v>0.28218294577128061</v>
      </c>
      <c r="U750" s="189" t="e">
        <f t="shared" si="47"/>
        <v>#VALUE!</v>
      </c>
      <c r="V750" s="188">
        <v>0.28218280783374478</v>
      </c>
      <c r="W750" s="189" t="e">
        <f t="shared" si="44"/>
        <v>#VALUE!</v>
      </c>
      <c r="X750" s="188">
        <v>0.28218280783374478</v>
      </c>
      <c r="Y750" s="189" t="e">
        <f t="shared" si="45"/>
        <v>#VALUE!</v>
      </c>
      <c r="Z750" s="188">
        <v>0.28218280783374478</v>
      </c>
      <c r="AA750" s="189" t="e">
        <f t="shared" si="46"/>
        <v>#VALUE!</v>
      </c>
    </row>
    <row r="751" spans="1:27" x14ac:dyDescent="0.25">
      <c r="A751">
        <v>730202</v>
      </c>
      <c r="B751">
        <v>17031730202</v>
      </c>
      <c r="C751">
        <v>17031</v>
      </c>
      <c r="D751">
        <v>2010</v>
      </c>
      <c r="E751">
        <v>73</v>
      </c>
      <c r="F751">
        <v>9419340.4168523904</v>
      </c>
      <c r="G751" s="45">
        <v>0.33787234621973966</v>
      </c>
      <c r="H751" s="60" t="str">
        <f>_xlfn.IFNA(
INDEX('Community Areas'!B$2:B$78,MATCH($E751,'Community Areas'!$A$2:$A$78,0)),
"")</f>
        <v>WASHINGTON HEIGHTS</v>
      </c>
      <c r="I751" s="63" t="str">
        <f>_xlfn.IFNA(
INDEX('Community Areas'!C$2:C$78,MATCH($E751,'Community Areas'!$A$2:$A$78,0)),
"")</f>
        <v>5-A</v>
      </c>
      <c r="J751" s="63">
        <f>_xlfn.IFNA(
INDEX('Community Areas'!D$2:D$78,MATCH($E751,'Community Areas'!$A$2:$A$78,0)),
"")</f>
        <v>5</v>
      </c>
      <c r="K751" s="60" t="str">
        <f>_xlfn.IFNA(
INDEX('Community Areas'!E$2:E$78,MATCH($E751,'Community Areas'!$A$2:$A$78,0)),
"")</f>
        <v>FAR SOUTH</v>
      </c>
      <c r="L751" s="17" t="e">
        <f>SUMIFS([1]ACSDT5Y2020.B08301_data_with_ov!AT$3:AT$1334,[1]ACSDT5Y2020.B08301_data_with_ov!$AS$3:$AS$1334,$B751)</f>
        <v>#VALUE!</v>
      </c>
      <c r="M751" s="17" t="e">
        <f>SUMIFS([1]ACSDT5Y2020.B08301_data_with_ov!AU$3:AU$1334,[1]ACSDT5Y2020.B08301_data_with_ov!$AS$3:$AS$1334,$B751)</f>
        <v>#VALUE!</v>
      </c>
      <c r="N751" s="17" t="e">
        <f>SUMIFS([1]ACSDT5Y2020.B08301_data_with_ov!AV$3:AV$1334,[1]ACSDT5Y2020.B08301_data_with_ov!$AS$3:$AS$1334,$B751)</f>
        <v>#VALUE!</v>
      </c>
      <c r="O751" s="17" t="e">
        <f>SUMIFS([1]ACSDT5Y2020.B08301_data_with_ov!AW$3:AW$1334,[1]ACSDT5Y2020.B08301_data_with_ov!$AS$3:$AS$1334,$B751)</f>
        <v>#VALUE!</v>
      </c>
      <c r="P751" s="17" t="e">
        <f>SUMIFS([1]ACSDT5Y2020.B08301_data_with_ov!AX$3:AX$1334,[1]ACSDT5Y2020.B08301_data_with_ov!$AS$3:$AS$1334,$B751)</f>
        <v>#VALUE!</v>
      </c>
      <c r="Q751" s="17" t="e">
        <f>SUMIFS([1]ACSDT5Y2020.B08301_data_with_ov!AY$3:AY$1334,[1]ACSDT5Y2020.B08301_data_with_ov!$AS$3:$AS$1334,$B751)</f>
        <v>#VALUE!</v>
      </c>
      <c r="R751" s="17" t="e">
        <f>SUMIFS([1]ACSDT5Y2020.B08301_data_with_ov!AZ$3:AZ$1334,[1]ACSDT5Y2020.B08301_data_with_ov!$AS$3:$AS$1334,$B751)</f>
        <v>#VALUE!</v>
      </c>
      <c r="S751" s="17" t="e">
        <f>SUMIFS([1]ACSDT5Y2020.B08301_data_with_ov!BA$3:BA$1334,[1]ACSDT5Y2020.B08301_data_with_ov!$AS$3:$AS$1334,$B751)</f>
        <v>#VALUE!</v>
      </c>
      <c r="T751" s="188">
        <v>0.33787235034805763</v>
      </c>
      <c r="U751" s="189" t="e">
        <f t="shared" si="47"/>
        <v>#VALUE!</v>
      </c>
      <c r="V751" s="188">
        <v>0.33787235034805763</v>
      </c>
      <c r="W751" s="189" t="e">
        <f t="shared" si="44"/>
        <v>#VALUE!</v>
      </c>
      <c r="X751" s="188">
        <v>0.33787235034805763</v>
      </c>
      <c r="Y751" s="189" t="e">
        <f t="shared" si="45"/>
        <v>#VALUE!</v>
      </c>
      <c r="Z751" s="188">
        <v>0.33787235034805763</v>
      </c>
      <c r="AA751" s="189" t="e">
        <f t="shared" si="46"/>
        <v>#VALUE!</v>
      </c>
    </row>
    <row r="752" spans="1:27" x14ac:dyDescent="0.25">
      <c r="A752">
        <v>730100</v>
      </c>
      <c r="B752">
        <v>17031730100</v>
      </c>
      <c r="C752">
        <v>17031</v>
      </c>
      <c r="D752">
        <v>2010</v>
      </c>
      <c r="E752">
        <v>73</v>
      </c>
      <c r="F752">
        <v>7031248.7133798301</v>
      </c>
      <c r="G752" s="45">
        <v>0.25221134331166173</v>
      </c>
      <c r="H752" s="60" t="str">
        <f>_xlfn.IFNA(
INDEX('Community Areas'!B$2:B$78,MATCH($E752,'Community Areas'!$A$2:$A$78,0)),
"")</f>
        <v>WASHINGTON HEIGHTS</v>
      </c>
      <c r="I752" s="63" t="str">
        <f>_xlfn.IFNA(
INDEX('Community Areas'!C$2:C$78,MATCH($E752,'Community Areas'!$A$2:$A$78,0)),
"")</f>
        <v>5-A</v>
      </c>
      <c r="J752" s="63">
        <f>_xlfn.IFNA(
INDEX('Community Areas'!D$2:D$78,MATCH($E752,'Community Areas'!$A$2:$A$78,0)),
"")</f>
        <v>5</v>
      </c>
      <c r="K752" s="60" t="str">
        <f>_xlfn.IFNA(
INDEX('Community Areas'!E$2:E$78,MATCH($E752,'Community Areas'!$A$2:$A$78,0)),
"")</f>
        <v>FAR SOUTH</v>
      </c>
      <c r="L752" s="17" t="e">
        <f>SUMIFS([1]ACSDT5Y2020.B08301_data_with_ov!AT$3:AT$1334,[1]ACSDT5Y2020.B08301_data_with_ov!$AS$3:$AS$1334,$B752)</f>
        <v>#VALUE!</v>
      </c>
      <c r="M752" s="17" t="e">
        <f>SUMIFS([1]ACSDT5Y2020.B08301_data_with_ov!AU$3:AU$1334,[1]ACSDT5Y2020.B08301_data_with_ov!$AS$3:$AS$1334,$B752)</f>
        <v>#VALUE!</v>
      </c>
      <c r="N752" s="17" t="e">
        <f>SUMIFS([1]ACSDT5Y2020.B08301_data_with_ov!AV$3:AV$1334,[1]ACSDT5Y2020.B08301_data_with_ov!$AS$3:$AS$1334,$B752)</f>
        <v>#VALUE!</v>
      </c>
      <c r="O752" s="17" t="e">
        <f>SUMIFS([1]ACSDT5Y2020.B08301_data_with_ov!AW$3:AW$1334,[1]ACSDT5Y2020.B08301_data_with_ov!$AS$3:$AS$1334,$B752)</f>
        <v>#VALUE!</v>
      </c>
      <c r="P752" s="17" t="e">
        <f>SUMIFS([1]ACSDT5Y2020.B08301_data_with_ov!AX$3:AX$1334,[1]ACSDT5Y2020.B08301_data_with_ov!$AS$3:$AS$1334,$B752)</f>
        <v>#VALUE!</v>
      </c>
      <c r="Q752" s="17" t="e">
        <f>SUMIFS([1]ACSDT5Y2020.B08301_data_with_ov!AY$3:AY$1334,[1]ACSDT5Y2020.B08301_data_with_ov!$AS$3:$AS$1334,$B752)</f>
        <v>#VALUE!</v>
      </c>
      <c r="R752" s="17" t="e">
        <f>SUMIFS([1]ACSDT5Y2020.B08301_data_with_ov!AZ$3:AZ$1334,[1]ACSDT5Y2020.B08301_data_with_ov!$AS$3:$AS$1334,$B752)</f>
        <v>#VALUE!</v>
      </c>
      <c r="S752" s="17" t="e">
        <f>SUMIFS([1]ACSDT5Y2020.B08301_data_with_ov!BA$3:BA$1334,[1]ACSDT5Y2020.B08301_data_with_ov!$AS$3:$AS$1334,$B752)</f>
        <v>#VALUE!</v>
      </c>
      <c r="T752" s="188">
        <v>0.10665236143722416</v>
      </c>
      <c r="U752" s="189" t="e">
        <f t="shared" si="47"/>
        <v>#VALUE!</v>
      </c>
      <c r="V752" s="188">
        <v>0.10665236143722416</v>
      </c>
      <c r="W752" s="189" t="e">
        <f t="shared" si="44"/>
        <v>#VALUE!</v>
      </c>
      <c r="X752" s="188">
        <v>0.10665236143722416</v>
      </c>
      <c r="Y752" s="189" t="e">
        <f t="shared" si="45"/>
        <v>#VALUE!</v>
      </c>
      <c r="Z752" s="188">
        <v>0.10665236143722416</v>
      </c>
      <c r="AA752" s="189" t="e">
        <f t="shared" si="46"/>
        <v>#VALUE!</v>
      </c>
    </row>
    <row r="753" spans="1:27" x14ac:dyDescent="0.25">
      <c r="A753">
        <v>730700</v>
      </c>
      <c r="B753">
        <v>17031730700</v>
      </c>
      <c r="C753">
        <v>17031</v>
      </c>
      <c r="D753">
        <v>2010</v>
      </c>
      <c r="E753">
        <v>73</v>
      </c>
      <c r="F753">
        <v>10636425.300101601</v>
      </c>
      <c r="G753" s="45">
        <v>0.38152925921507691</v>
      </c>
      <c r="H753" s="60" t="str">
        <f>_xlfn.IFNA(
INDEX('Community Areas'!B$2:B$78,MATCH($E753,'Community Areas'!$A$2:$A$78,0)),
"")</f>
        <v>WASHINGTON HEIGHTS</v>
      </c>
      <c r="I753" s="63" t="str">
        <f>_xlfn.IFNA(
INDEX('Community Areas'!C$2:C$78,MATCH($E753,'Community Areas'!$A$2:$A$78,0)),
"")</f>
        <v>5-A</v>
      </c>
      <c r="J753" s="63">
        <f>_xlfn.IFNA(
INDEX('Community Areas'!D$2:D$78,MATCH($E753,'Community Areas'!$A$2:$A$78,0)),
"")</f>
        <v>5</v>
      </c>
      <c r="K753" s="60" t="str">
        <f>_xlfn.IFNA(
INDEX('Community Areas'!E$2:E$78,MATCH($E753,'Community Areas'!$A$2:$A$78,0)),
"")</f>
        <v>FAR SOUTH</v>
      </c>
      <c r="L753" s="17" t="e">
        <f>SUMIFS([1]ACSDT5Y2020.B08301_data_with_ov!AT$3:AT$1334,[1]ACSDT5Y2020.B08301_data_with_ov!$AS$3:$AS$1334,$B753)</f>
        <v>#VALUE!</v>
      </c>
      <c r="M753" s="17" t="e">
        <f>SUMIFS([1]ACSDT5Y2020.B08301_data_with_ov!AU$3:AU$1334,[1]ACSDT5Y2020.B08301_data_with_ov!$AS$3:$AS$1334,$B753)</f>
        <v>#VALUE!</v>
      </c>
      <c r="N753" s="17" t="e">
        <f>SUMIFS([1]ACSDT5Y2020.B08301_data_with_ov!AV$3:AV$1334,[1]ACSDT5Y2020.B08301_data_with_ov!$AS$3:$AS$1334,$B753)</f>
        <v>#VALUE!</v>
      </c>
      <c r="O753" s="17" t="e">
        <f>SUMIFS([1]ACSDT5Y2020.B08301_data_with_ov!AW$3:AW$1334,[1]ACSDT5Y2020.B08301_data_with_ov!$AS$3:$AS$1334,$B753)</f>
        <v>#VALUE!</v>
      </c>
      <c r="P753" s="17" t="e">
        <f>SUMIFS([1]ACSDT5Y2020.B08301_data_with_ov!AX$3:AX$1334,[1]ACSDT5Y2020.B08301_data_with_ov!$AS$3:$AS$1334,$B753)</f>
        <v>#VALUE!</v>
      </c>
      <c r="Q753" s="17" t="e">
        <f>SUMIFS([1]ACSDT5Y2020.B08301_data_with_ov!AY$3:AY$1334,[1]ACSDT5Y2020.B08301_data_with_ov!$AS$3:$AS$1334,$B753)</f>
        <v>#VALUE!</v>
      </c>
      <c r="R753" s="17" t="e">
        <f>SUMIFS([1]ACSDT5Y2020.B08301_data_with_ov!AZ$3:AZ$1334,[1]ACSDT5Y2020.B08301_data_with_ov!$AS$3:$AS$1334,$B753)</f>
        <v>#VALUE!</v>
      </c>
      <c r="S753" s="17" t="e">
        <f>SUMIFS([1]ACSDT5Y2020.B08301_data_with_ov!BA$3:BA$1334,[1]ACSDT5Y2020.B08301_data_with_ov!$AS$3:$AS$1334,$B753)</f>
        <v>#VALUE!</v>
      </c>
      <c r="T753" s="188">
        <v>0.38152926347872901</v>
      </c>
      <c r="U753" s="189" t="e">
        <f t="shared" si="47"/>
        <v>#VALUE!</v>
      </c>
      <c r="V753" s="188">
        <v>0.38152926347872901</v>
      </c>
      <c r="W753" s="189" t="e">
        <f t="shared" si="44"/>
        <v>#VALUE!</v>
      </c>
      <c r="X753" s="188">
        <v>0.38152926347872901</v>
      </c>
      <c r="Y753" s="189" t="e">
        <f t="shared" si="45"/>
        <v>#VALUE!</v>
      </c>
      <c r="Z753" s="188">
        <v>0.38152926347872901</v>
      </c>
      <c r="AA753" s="189" t="e">
        <f t="shared" si="46"/>
        <v>#VALUE!</v>
      </c>
    </row>
    <row r="754" spans="1:27" x14ac:dyDescent="0.25">
      <c r="A754">
        <v>730400</v>
      </c>
      <c r="B754">
        <v>17031730400</v>
      </c>
      <c r="C754">
        <v>17031</v>
      </c>
      <c r="D754">
        <v>2010</v>
      </c>
      <c r="E754">
        <v>73</v>
      </c>
      <c r="F754">
        <v>13539636.8285056</v>
      </c>
      <c r="G754" s="45">
        <v>0.48566764335491275</v>
      </c>
      <c r="H754" s="60" t="str">
        <f>_xlfn.IFNA(
INDEX('Community Areas'!B$2:B$78,MATCH($E754,'Community Areas'!$A$2:$A$78,0)),
"")</f>
        <v>WASHINGTON HEIGHTS</v>
      </c>
      <c r="I754" s="63" t="str">
        <f>_xlfn.IFNA(
INDEX('Community Areas'!C$2:C$78,MATCH($E754,'Community Areas'!$A$2:$A$78,0)),
"")</f>
        <v>5-A</v>
      </c>
      <c r="J754" s="63">
        <f>_xlfn.IFNA(
INDEX('Community Areas'!D$2:D$78,MATCH($E754,'Community Areas'!$A$2:$A$78,0)),
"")</f>
        <v>5</v>
      </c>
      <c r="K754" s="60" t="str">
        <f>_xlfn.IFNA(
INDEX('Community Areas'!E$2:E$78,MATCH($E754,'Community Areas'!$A$2:$A$78,0)),
"")</f>
        <v>FAR SOUTH</v>
      </c>
      <c r="L754" s="17" t="e">
        <f>SUMIFS([1]ACSDT5Y2020.B08301_data_with_ov!AT$3:AT$1334,[1]ACSDT5Y2020.B08301_data_with_ov!$AS$3:$AS$1334,$B754)</f>
        <v>#VALUE!</v>
      </c>
      <c r="M754" s="17" t="e">
        <f>SUMIFS([1]ACSDT5Y2020.B08301_data_with_ov!AU$3:AU$1334,[1]ACSDT5Y2020.B08301_data_with_ov!$AS$3:$AS$1334,$B754)</f>
        <v>#VALUE!</v>
      </c>
      <c r="N754" s="17" t="e">
        <f>SUMIFS([1]ACSDT5Y2020.B08301_data_with_ov!AV$3:AV$1334,[1]ACSDT5Y2020.B08301_data_with_ov!$AS$3:$AS$1334,$B754)</f>
        <v>#VALUE!</v>
      </c>
      <c r="O754" s="17" t="e">
        <f>SUMIFS([1]ACSDT5Y2020.B08301_data_with_ov!AW$3:AW$1334,[1]ACSDT5Y2020.B08301_data_with_ov!$AS$3:$AS$1334,$B754)</f>
        <v>#VALUE!</v>
      </c>
      <c r="P754" s="17" t="e">
        <f>SUMIFS([1]ACSDT5Y2020.B08301_data_with_ov!AX$3:AX$1334,[1]ACSDT5Y2020.B08301_data_with_ov!$AS$3:$AS$1334,$B754)</f>
        <v>#VALUE!</v>
      </c>
      <c r="Q754" s="17" t="e">
        <f>SUMIFS([1]ACSDT5Y2020.B08301_data_with_ov!AY$3:AY$1334,[1]ACSDT5Y2020.B08301_data_with_ov!$AS$3:$AS$1334,$B754)</f>
        <v>#VALUE!</v>
      </c>
      <c r="R754" s="17" t="e">
        <f>SUMIFS([1]ACSDT5Y2020.B08301_data_with_ov!AZ$3:AZ$1334,[1]ACSDT5Y2020.B08301_data_with_ov!$AS$3:$AS$1334,$B754)</f>
        <v>#VALUE!</v>
      </c>
      <c r="S754" s="17" t="e">
        <f>SUMIFS([1]ACSDT5Y2020.B08301_data_with_ov!BA$3:BA$1334,[1]ACSDT5Y2020.B08301_data_with_ov!$AS$3:$AS$1334,$B754)</f>
        <v>#VALUE!</v>
      </c>
      <c r="T754" s="188">
        <v>0.48543405247081256</v>
      </c>
      <c r="U754" s="189" t="e">
        <f t="shared" si="47"/>
        <v>#VALUE!</v>
      </c>
      <c r="V754" s="188">
        <v>0.48543405247081256</v>
      </c>
      <c r="W754" s="189" t="e">
        <f t="shared" si="44"/>
        <v>#VALUE!</v>
      </c>
      <c r="X754" s="188">
        <v>0.48543405247081256</v>
      </c>
      <c r="Y754" s="189" t="e">
        <f t="shared" si="45"/>
        <v>#VALUE!</v>
      </c>
      <c r="Z754" s="188">
        <v>0.48543405247081256</v>
      </c>
      <c r="AA754" s="189" t="e">
        <f t="shared" si="46"/>
        <v>#VALUE!</v>
      </c>
    </row>
    <row r="755" spans="1:27" x14ac:dyDescent="0.25">
      <c r="A755">
        <v>740100</v>
      </c>
      <c r="B755">
        <v>17031740100</v>
      </c>
      <c r="C755">
        <v>17031</v>
      </c>
      <c r="D755">
        <v>2010</v>
      </c>
      <c r="E755">
        <v>74</v>
      </c>
      <c r="F755">
        <v>9690785.7659957595</v>
      </c>
      <c r="G755" s="45">
        <v>0.34760910834179004</v>
      </c>
      <c r="H755" s="60" t="str">
        <f>_xlfn.IFNA(
INDEX('Community Areas'!B$2:B$78,MATCH($E755,'Community Areas'!$A$2:$A$78,0)),
"")</f>
        <v>MOUNT GREENWOOD</v>
      </c>
      <c r="I755" s="63" t="str">
        <f>_xlfn.IFNA(
INDEX('Community Areas'!C$2:C$78,MATCH($E755,'Community Areas'!$A$2:$A$78,0)),
"")</f>
        <v>5-A</v>
      </c>
      <c r="J755" s="63">
        <f>_xlfn.IFNA(
INDEX('Community Areas'!D$2:D$78,MATCH($E755,'Community Areas'!$A$2:$A$78,0)),
"")</f>
        <v>5</v>
      </c>
      <c r="K755" s="60" t="str">
        <f>_xlfn.IFNA(
INDEX('Community Areas'!E$2:E$78,MATCH($E755,'Community Areas'!$A$2:$A$78,0)),
"")</f>
        <v>FAR SOUTH</v>
      </c>
      <c r="L755" s="17" t="e">
        <f>SUMIFS([1]ACSDT5Y2020.B08301_data_with_ov!AT$3:AT$1334,[1]ACSDT5Y2020.B08301_data_with_ov!$AS$3:$AS$1334,$B755)</f>
        <v>#VALUE!</v>
      </c>
      <c r="M755" s="17" t="e">
        <f>SUMIFS([1]ACSDT5Y2020.B08301_data_with_ov!AU$3:AU$1334,[1]ACSDT5Y2020.B08301_data_with_ov!$AS$3:$AS$1334,$B755)</f>
        <v>#VALUE!</v>
      </c>
      <c r="N755" s="17" t="e">
        <f>SUMIFS([1]ACSDT5Y2020.B08301_data_with_ov!AV$3:AV$1334,[1]ACSDT5Y2020.B08301_data_with_ov!$AS$3:$AS$1334,$B755)</f>
        <v>#VALUE!</v>
      </c>
      <c r="O755" s="17" t="e">
        <f>SUMIFS([1]ACSDT5Y2020.B08301_data_with_ov!AW$3:AW$1334,[1]ACSDT5Y2020.B08301_data_with_ov!$AS$3:$AS$1334,$B755)</f>
        <v>#VALUE!</v>
      </c>
      <c r="P755" s="17" t="e">
        <f>SUMIFS([1]ACSDT5Y2020.B08301_data_with_ov!AX$3:AX$1334,[1]ACSDT5Y2020.B08301_data_with_ov!$AS$3:$AS$1334,$B755)</f>
        <v>#VALUE!</v>
      </c>
      <c r="Q755" s="17" t="e">
        <f>SUMIFS([1]ACSDT5Y2020.B08301_data_with_ov!AY$3:AY$1334,[1]ACSDT5Y2020.B08301_data_with_ov!$AS$3:$AS$1334,$B755)</f>
        <v>#VALUE!</v>
      </c>
      <c r="R755" s="17" t="e">
        <f>SUMIFS([1]ACSDT5Y2020.B08301_data_with_ov!AZ$3:AZ$1334,[1]ACSDT5Y2020.B08301_data_with_ov!$AS$3:$AS$1334,$B755)</f>
        <v>#VALUE!</v>
      </c>
      <c r="S755" s="17" t="e">
        <f>SUMIFS([1]ACSDT5Y2020.B08301_data_with_ov!BA$3:BA$1334,[1]ACSDT5Y2020.B08301_data_with_ov!$AS$3:$AS$1334,$B755)</f>
        <v>#VALUE!</v>
      </c>
      <c r="T755" s="188">
        <v>0</v>
      </c>
      <c r="U755" s="189" t="e">
        <f t="shared" si="47"/>
        <v>#VALUE!</v>
      </c>
      <c r="V755" s="188">
        <v>0</v>
      </c>
      <c r="W755" s="189" t="e">
        <f t="shared" si="44"/>
        <v>#VALUE!</v>
      </c>
      <c r="X755" s="188">
        <v>0</v>
      </c>
      <c r="Y755" s="189" t="e">
        <f t="shared" si="45"/>
        <v>#VALUE!</v>
      </c>
      <c r="Z755" s="188">
        <v>0</v>
      </c>
      <c r="AA755" s="189" t="e">
        <f t="shared" si="46"/>
        <v>#VALUE!</v>
      </c>
    </row>
    <row r="756" spans="1:27" x14ac:dyDescent="0.25">
      <c r="A756">
        <v>740400</v>
      </c>
      <c r="B756">
        <v>17031740400</v>
      </c>
      <c r="C756">
        <v>17031</v>
      </c>
      <c r="D756">
        <v>2010</v>
      </c>
      <c r="E756">
        <v>74</v>
      </c>
      <c r="F756">
        <v>30557694.6200043</v>
      </c>
      <c r="G756" s="45">
        <v>1.0961064702423489</v>
      </c>
      <c r="H756" s="60" t="str">
        <f>_xlfn.IFNA(
INDEX('Community Areas'!B$2:B$78,MATCH($E756,'Community Areas'!$A$2:$A$78,0)),
"")</f>
        <v>MOUNT GREENWOOD</v>
      </c>
      <c r="I756" s="63" t="str">
        <f>_xlfn.IFNA(
INDEX('Community Areas'!C$2:C$78,MATCH($E756,'Community Areas'!$A$2:$A$78,0)),
"")</f>
        <v>5-A</v>
      </c>
      <c r="J756" s="63">
        <f>_xlfn.IFNA(
INDEX('Community Areas'!D$2:D$78,MATCH($E756,'Community Areas'!$A$2:$A$78,0)),
"")</f>
        <v>5</v>
      </c>
      <c r="K756" s="60" t="str">
        <f>_xlfn.IFNA(
INDEX('Community Areas'!E$2:E$78,MATCH($E756,'Community Areas'!$A$2:$A$78,0)),
"")</f>
        <v>FAR SOUTH</v>
      </c>
      <c r="L756" s="17" t="e">
        <f>SUMIFS([1]ACSDT5Y2020.B08301_data_with_ov!AT$3:AT$1334,[1]ACSDT5Y2020.B08301_data_with_ov!$AS$3:$AS$1334,$B756)</f>
        <v>#VALUE!</v>
      </c>
      <c r="M756" s="17" t="e">
        <f>SUMIFS([1]ACSDT5Y2020.B08301_data_with_ov!AU$3:AU$1334,[1]ACSDT5Y2020.B08301_data_with_ov!$AS$3:$AS$1334,$B756)</f>
        <v>#VALUE!</v>
      </c>
      <c r="N756" s="17" t="e">
        <f>SUMIFS([1]ACSDT5Y2020.B08301_data_with_ov!AV$3:AV$1334,[1]ACSDT5Y2020.B08301_data_with_ov!$AS$3:$AS$1334,$B756)</f>
        <v>#VALUE!</v>
      </c>
      <c r="O756" s="17" t="e">
        <f>SUMIFS([1]ACSDT5Y2020.B08301_data_with_ov!AW$3:AW$1334,[1]ACSDT5Y2020.B08301_data_with_ov!$AS$3:$AS$1334,$B756)</f>
        <v>#VALUE!</v>
      </c>
      <c r="P756" s="17" t="e">
        <f>SUMIFS([1]ACSDT5Y2020.B08301_data_with_ov!AX$3:AX$1334,[1]ACSDT5Y2020.B08301_data_with_ov!$AS$3:$AS$1334,$B756)</f>
        <v>#VALUE!</v>
      </c>
      <c r="Q756" s="17" t="e">
        <f>SUMIFS([1]ACSDT5Y2020.B08301_data_with_ov!AY$3:AY$1334,[1]ACSDT5Y2020.B08301_data_with_ov!$AS$3:$AS$1334,$B756)</f>
        <v>#VALUE!</v>
      </c>
      <c r="R756" s="17" t="e">
        <f>SUMIFS([1]ACSDT5Y2020.B08301_data_with_ov!AZ$3:AZ$1334,[1]ACSDT5Y2020.B08301_data_with_ov!$AS$3:$AS$1334,$B756)</f>
        <v>#VALUE!</v>
      </c>
      <c r="S756" s="17" t="e">
        <f>SUMIFS([1]ACSDT5Y2020.B08301_data_with_ov!BA$3:BA$1334,[1]ACSDT5Y2020.B08301_data_with_ov!$AS$3:$AS$1334,$B756)</f>
        <v>#VALUE!</v>
      </c>
      <c r="T756" s="188">
        <v>0</v>
      </c>
      <c r="U756" s="189" t="e">
        <f t="shared" si="47"/>
        <v>#VALUE!</v>
      </c>
      <c r="V756" s="188">
        <v>0</v>
      </c>
      <c r="W756" s="189" t="e">
        <f t="shared" si="44"/>
        <v>#VALUE!</v>
      </c>
      <c r="X756" s="188">
        <v>0</v>
      </c>
      <c r="Y756" s="189" t="e">
        <f t="shared" si="45"/>
        <v>#VALUE!</v>
      </c>
      <c r="Z756" s="188">
        <v>0</v>
      </c>
      <c r="AA756" s="189" t="e">
        <f t="shared" si="46"/>
        <v>#VALUE!</v>
      </c>
    </row>
    <row r="757" spans="1:27" x14ac:dyDescent="0.25">
      <c r="A757">
        <v>740200</v>
      </c>
      <c r="B757">
        <v>17031740200</v>
      </c>
      <c r="C757">
        <v>17031</v>
      </c>
      <c r="D757">
        <v>2010</v>
      </c>
      <c r="E757">
        <v>74</v>
      </c>
      <c r="F757">
        <v>21130768.702127598</v>
      </c>
      <c r="G757" s="45">
        <v>0.75796203161327758</v>
      </c>
      <c r="H757" s="60" t="str">
        <f>_xlfn.IFNA(
INDEX('Community Areas'!B$2:B$78,MATCH($E757,'Community Areas'!$A$2:$A$78,0)),
"")</f>
        <v>MOUNT GREENWOOD</v>
      </c>
      <c r="I757" s="63" t="str">
        <f>_xlfn.IFNA(
INDEX('Community Areas'!C$2:C$78,MATCH($E757,'Community Areas'!$A$2:$A$78,0)),
"")</f>
        <v>5-A</v>
      </c>
      <c r="J757" s="63">
        <f>_xlfn.IFNA(
INDEX('Community Areas'!D$2:D$78,MATCH($E757,'Community Areas'!$A$2:$A$78,0)),
"")</f>
        <v>5</v>
      </c>
      <c r="K757" s="60" t="str">
        <f>_xlfn.IFNA(
INDEX('Community Areas'!E$2:E$78,MATCH($E757,'Community Areas'!$A$2:$A$78,0)),
"")</f>
        <v>FAR SOUTH</v>
      </c>
      <c r="L757" s="17" t="e">
        <f>SUMIFS([1]ACSDT5Y2020.B08301_data_with_ov!AT$3:AT$1334,[1]ACSDT5Y2020.B08301_data_with_ov!$AS$3:$AS$1334,$B757)</f>
        <v>#VALUE!</v>
      </c>
      <c r="M757" s="17" t="e">
        <f>SUMIFS([1]ACSDT5Y2020.B08301_data_with_ov!AU$3:AU$1334,[1]ACSDT5Y2020.B08301_data_with_ov!$AS$3:$AS$1334,$B757)</f>
        <v>#VALUE!</v>
      </c>
      <c r="N757" s="17" t="e">
        <f>SUMIFS([1]ACSDT5Y2020.B08301_data_with_ov!AV$3:AV$1334,[1]ACSDT5Y2020.B08301_data_with_ov!$AS$3:$AS$1334,$B757)</f>
        <v>#VALUE!</v>
      </c>
      <c r="O757" s="17" t="e">
        <f>SUMIFS([1]ACSDT5Y2020.B08301_data_with_ov!AW$3:AW$1334,[1]ACSDT5Y2020.B08301_data_with_ov!$AS$3:$AS$1334,$B757)</f>
        <v>#VALUE!</v>
      </c>
      <c r="P757" s="17" t="e">
        <f>SUMIFS([1]ACSDT5Y2020.B08301_data_with_ov!AX$3:AX$1334,[1]ACSDT5Y2020.B08301_data_with_ov!$AS$3:$AS$1334,$B757)</f>
        <v>#VALUE!</v>
      </c>
      <c r="Q757" s="17" t="e">
        <f>SUMIFS([1]ACSDT5Y2020.B08301_data_with_ov!AY$3:AY$1334,[1]ACSDT5Y2020.B08301_data_with_ov!$AS$3:$AS$1334,$B757)</f>
        <v>#VALUE!</v>
      </c>
      <c r="R757" s="17" t="e">
        <f>SUMIFS([1]ACSDT5Y2020.B08301_data_with_ov!AZ$3:AZ$1334,[1]ACSDT5Y2020.B08301_data_with_ov!$AS$3:$AS$1334,$B757)</f>
        <v>#VALUE!</v>
      </c>
      <c r="S757" s="17" t="e">
        <f>SUMIFS([1]ACSDT5Y2020.B08301_data_with_ov!BA$3:BA$1334,[1]ACSDT5Y2020.B08301_data_with_ov!$AS$3:$AS$1334,$B757)</f>
        <v>#VALUE!</v>
      </c>
      <c r="T757" s="188">
        <v>0</v>
      </c>
      <c r="U757" s="189" t="e">
        <f t="shared" si="47"/>
        <v>#VALUE!</v>
      </c>
      <c r="V757" s="188">
        <v>0</v>
      </c>
      <c r="W757" s="189" t="e">
        <f t="shared" si="44"/>
        <v>#VALUE!</v>
      </c>
      <c r="X757" s="188">
        <v>0</v>
      </c>
      <c r="Y757" s="189" t="e">
        <f t="shared" si="45"/>
        <v>#VALUE!</v>
      </c>
      <c r="Z757" s="188">
        <v>0</v>
      </c>
      <c r="AA757" s="189" t="e">
        <f t="shared" si="46"/>
        <v>#VALUE!</v>
      </c>
    </row>
    <row r="758" spans="1:27" x14ac:dyDescent="0.25">
      <c r="A758">
        <v>740300</v>
      </c>
      <c r="B758">
        <v>17031740300</v>
      </c>
      <c r="C758">
        <v>17031</v>
      </c>
      <c r="D758">
        <v>2010</v>
      </c>
      <c r="E758">
        <v>74</v>
      </c>
      <c r="F758">
        <v>14205041.0218793</v>
      </c>
      <c r="G758" s="45">
        <v>0.50953573454284684</v>
      </c>
      <c r="H758" s="60" t="str">
        <f>_xlfn.IFNA(
INDEX('Community Areas'!B$2:B$78,MATCH($E758,'Community Areas'!$A$2:$A$78,0)),
"")</f>
        <v>MOUNT GREENWOOD</v>
      </c>
      <c r="I758" s="63" t="str">
        <f>_xlfn.IFNA(
INDEX('Community Areas'!C$2:C$78,MATCH($E758,'Community Areas'!$A$2:$A$78,0)),
"")</f>
        <v>5-A</v>
      </c>
      <c r="J758" s="63">
        <f>_xlfn.IFNA(
INDEX('Community Areas'!D$2:D$78,MATCH($E758,'Community Areas'!$A$2:$A$78,0)),
"")</f>
        <v>5</v>
      </c>
      <c r="K758" s="60" t="str">
        <f>_xlfn.IFNA(
INDEX('Community Areas'!E$2:E$78,MATCH($E758,'Community Areas'!$A$2:$A$78,0)),
"")</f>
        <v>FAR SOUTH</v>
      </c>
      <c r="L758" s="17" t="e">
        <f>SUMIFS([1]ACSDT5Y2020.B08301_data_with_ov!AT$3:AT$1334,[1]ACSDT5Y2020.B08301_data_with_ov!$AS$3:$AS$1334,$B758)</f>
        <v>#VALUE!</v>
      </c>
      <c r="M758" s="17" t="e">
        <f>SUMIFS([1]ACSDT5Y2020.B08301_data_with_ov!AU$3:AU$1334,[1]ACSDT5Y2020.B08301_data_with_ov!$AS$3:$AS$1334,$B758)</f>
        <v>#VALUE!</v>
      </c>
      <c r="N758" s="17" t="e">
        <f>SUMIFS([1]ACSDT5Y2020.B08301_data_with_ov!AV$3:AV$1334,[1]ACSDT5Y2020.B08301_data_with_ov!$AS$3:$AS$1334,$B758)</f>
        <v>#VALUE!</v>
      </c>
      <c r="O758" s="17" t="e">
        <f>SUMIFS([1]ACSDT5Y2020.B08301_data_with_ov!AW$3:AW$1334,[1]ACSDT5Y2020.B08301_data_with_ov!$AS$3:$AS$1334,$B758)</f>
        <v>#VALUE!</v>
      </c>
      <c r="P758" s="17" t="e">
        <f>SUMIFS([1]ACSDT5Y2020.B08301_data_with_ov!AX$3:AX$1334,[1]ACSDT5Y2020.B08301_data_with_ov!$AS$3:$AS$1334,$B758)</f>
        <v>#VALUE!</v>
      </c>
      <c r="Q758" s="17" t="e">
        <f>SUMIFS([1]ACSDT5Y2020.B08301_data_with_ov!AY$3:AY$1334,[1]ACSDT5Y2020.B08301_data_with_ov!$AS$3:$AS$1334,$B758)</f>
        <v>#VALUE!</v>
      </c>
      <c r="R758" s="17" t="e">
        <f>SUMIFS([1]ACSDT5Y2020.B08301_data_with_ov!AZ$3:AZ$1334,[1]ACSDT5Y2020.B08301_data_with_ov!$AS$3:$AS$1334,$B758)</f>
        <v>#VALUE!</v>
      </c>
      <c r="S758" s="17" t="e">
        <f>SUMIFS([1]ACSDT5Y2020.B08301_data_with_ov!BA$3:BA$1334,[1]ACSDT5Y2020.B08301_data_with_ov!$AS$3:$AS$1334,$B758)</f>
        <v>#VALUE!</v>
      </c>
      <c r="T758" s="188">
        <v>0</v>
      </c>
      <c r="U758" s="189" t="e">
        <f t="shared" si="47"/>
        <v>#VALUE!</v>
      </c>
      <c r="V758" s="188">
        <v>0</v>
      </c>
      <c r="W758" s="189" t="e">
        <f t="shared" si="44"/>
        <v>#VALUE!</v>
      </c>
      <c r="X758" s="188">
        <v>0</v>
      </c>
      <c r="Y758" s="189" t="e">
        <f t="shared" si="45"/>
        <v>#VALUE!</v>
      </c>
      <c r="Z758" s="188">
        <v>0</v>
      </c>
      <c r="AA758" s="189" t="e">
        <f t="shared" si="46"/>
        <v>#VALUE!</v>
      </c>
    </row>
    <row r="759" spans="1:27" x14ac:dyDescent="0.25">
      <c r="A759">
        <v>750100</v>
      </c>
      <c r="B759">
        <v>17031750100</v>
      </c>
      <c r="C759">
        <v>17031</v>
      </c>
      <c r="D759">
        <v>2010</v>
      </c>
      <c r="E759">
        <v>75</v>
      </c>
      <c r="F759">
        <v>13840846.3339082</v>
      </c>
      <c r="G759" s="45">
        <v>0.49647204767519659</v>
      </c>
      <c r="H759" s="60" t="str">
        <f>_xlfn.IFNA(
INDEX('Community Areas'!B$2:B$78,MATCH($E759,'Community Areas'!$A$2:$A$78,0)),
"")</f>
        <v>MORGAN PARK</v>
      </c>
      <c r="I759" s="63" t="str">
        <f>_xlfn.IFNA(
INDEX('Community Areas'!C$2:C$78,MATCH($E759,'Community Areas'!$A$2:$A$78,0)),
"")</f>
        <v>5-B</v>
      </c>
      <c r="J759" s="63">
        <f>_xlfn.IFNA(
INDEX('Community Areas'!D$2:D$78,MATCH($E759,'Community Areas'!$A$2:$A$78,0)),
"")</f>
        <v>5</v>
      </c>
      <c r="K759" s="60" t="str">
        <f>_xlfn.IFNA(
INDEX('Community Areas'!E$2:E$78,MATCH($E759,'Community Areas'!$A$2:$A$78,0)),
"")</f>
        <v>FAR SOUTH</v>
      </c>
      <c r="L759" s="17" t="e">
        <f>SUMIFS([1]ACSDT5Y2020.B08301_data_with_ov!AT$3:AT$1334,[1]ACSDT5Y2020.B08301_data_with_ov!$AS$3:$AS$1334,$B759)</f>
        <v>#VALUE!</v>
      </c>
      <c r="M759" s="17" t="e">
        <f>SUMIFS([1]ACSDT5Y2020.B08301_data_with_ov!AU$3:AU$1334,[1]ACSDT5Y2020.B08301_data_with_ov!$AS$3:$AS$1334,$B759)</f>
        <v>#VALUE!</v>
      </c>
      <c r="N759" s="17" t="e">
        <f>SUMIFS([1]ACSDT5Y2020.B08301_data_with_ov!AV$3:AV$1334,[1]ACSDT5Y2020.B08301_data_with_ov!$AS$3:$AS$1334,$B759)</f>
        <v>#VALUE!</v>
      </c>
      <c r="O759" s="17" t="e">
        <f>SUMIFS([1]ACSDT5Y2020.B08301_data_with_ov!AW$3:AW$1334,[1]ACSDT5Y2020.B08301_data_with_ov!$AS$3:$AS$1334,$B759)</f>
        <v>#VALUE!</v>
      </c>
      <c r="P759" s="17" t="e">
        <f>SUMIFS([1]ACSDT5Y2020.B08301_data_with_ov!AX$3:AX$1334,[1]ACSDT5Y2020.B08301_data_with_ov!$AS$3:$AS$1334,$B759)</f>
        <v>#VALUE!</v>
      </c>
      <c r="Q759" s="17" t="e">
        <f>SUMIFS([1]ACSDT5Y2020.B08301_data_with_ov!AY$3:AY$1334,[1]ACSDT5Y2020.B08301_data_with_ov!$AS$3:$AS$1334,$B759)</f>
        <v>#VALUE!</v>
      </c>
      <c r="R759" s="17" t="e">
        <f>SUMIFS([1]ACSDT5Y2020.B08301_data_with_ov!AZ$3:AZ$1334,[1]ACSDT5Y2020.B08301_data_with_ov!$AS$3:$AS$1334,$B759)</f>
        <v>#VALUE!</v>
      </c>
      <c r="S759" s="17" t="e">
        <f>SUMIFS([1]ACSDT5Y2020.B08301_data_with_ov!BA$3:BA$1334,[1]ACSDT5Y2020.B08301_data_with_ov!$AS$3:$AS$1334,$B759)</f>
        <v>#VALUE!</v>
      </c>
      <c r="T759" s="188">
        <v>0.47157995328050389</v>
      </c>
      <c r="U759" s="189" t="e">
        <f t="shared" si="47"/>
        <v>#VALUE!</v>
      </c>
      <c r="V759" s="188">
        <v>0.47157995328050389</v>
      </c>
      <c r="W759" s="189" t="e">
        <f t="shared" si="44"/>
        <v>#VALUE!</v>
      </c>
      <c r="X759" s="188">
        <v>0.47157995328050389</v>
      </c>
      <c r="Y759" s="189" t="e">
        <f t="shared" si="45"/>
        <v>#VALUE!</v>
      </c>
      <c r="Z759" s="188">
        <v>0.47157995328050389</v>
      </c>
      <c r="AA759" s="189" t="e">
        <f t="shared" si="46"/>
        <v>#VALUE!</v>
      </c>
    </row>
    <row r="760" spans="1:27" x14ac:dyDescent="0.25">
      <c r="A760">
        <v>750200</v>
      </c>
      <c r="B760">
        <v>17031750200</v>
      </c>
      <c r="C760">
        <v>17031</v>
      </c>
      <c r="D760">
        <v>2010</v>
      </c>
      <c r="E760">
        <v>75</v>
      </c>
      <c r="F760">
        <v>14161656.8408351</v>
      </c>
      <c r="G760" s="45">
        <v>0.50797954118009281</v>
      </c>
      <c r="H760" s="60" t="str">
        <f>_xlfn.IFNA(
INDEX('Community Areas'!B$2:B$78,MATCH($E760,'Community Areas'!$A$2:$A$78,0)),
"")</f>
        <v>MORGAN PARK</v>
      </c>
      <c r="I760" s="63" t="str">
        <f>_xlfn.IFNA(
INDEX('Community Areas'!C$2:C$78,MATCH($E760,'Community Areas'!$A$2:$A$78,0)),
"")</f>
        <v>5-B</v>
      </c>
      <c r="J760" s="63">
        <f>_xlfn.IFNA(
INDEX('Community Areas'!D$2:D$78,MATCH($E760,'Community Areas'!$A$2:$A$78,0)),
"")</f>
        <v>5</v>
      </c>
      <c r="K760" s="60" t="str">
        <f>_xlfn.IFNA(
INDEX('Community Areas'!E$2:E$78,MATCH($E760,'Community Areas'!$A$2:$A$78,0)),
"")</f>
        <v>FAR SOUTH</v>
      </c>
      <c r="L760" s="17" t="e">
        <f>SUMIFS([1]ACSDT5Y2020.B08301_data_with_ov!AT$3:AT$1334,[1]ACSDT5Y2020.B08301_data_with_ov!$AS$3:$AS$1334,$B760)</f>
        <v>#VALUE!</v>
      </c>
      <c r="M760" s="17" t="e">
        <f>SUMIFS([1]ACSDT5Y2020.B08301_data_with_ov!AU$3:AU$1334,[1]ACSDT5Y2020.B08301_data_with_ov!$AS$3:$AS$1334,$B760)</f>
        <v>#VALUE!</v>
      </c>
      <c r="N760" s="17" t="e">
        <f>SUMIFS([1]ACSDT5Y2020.B08301_data_with_ov!AV$3:AV$1334,[1]ACSDT5Y2020.B08301_data_with_ov!$AS$3:$AS$1334,$B760)</f>
        <v>#VALUE!</v>
      </c>
      <c r="O760" s="17" t="e">
        <f>SUMIFS([1]ACSDT5Y2020.B08301_data_with_ov!AW$3:AW$1334,[1]ACSDT5Y2020.B08301_data_with_ov!$AS$3:$AS$1334,$B760)</f>
        <v>#VALUE!</v>
      </c>
      <c r="P760" s="17" t="e">
        <f>SUMIFS([1]ACSDT5Y2020.B08301_data_with_ov!AX$3:AX$1334,[1]ACSDT5Y2020.B08301_data_with_ov!$AS$3:$AS$1334,$B760)</f>
        <v>#VALUE!</v>
      </c>
      <c r="Q760" s="17" t="e">
        <f>SUMIFS([1]ACSDT5Y2020.B08301_data_with_ov!AY$3:AY$1334,[1]ACSDT5Y2020.B08301_data_with_ov!$AS$3:$AS$1334,$B760)</f>
        <v>#VALUE!</v>
      </c>
      <c r="R760" s="17" t="e">
        <f>SUMIFS([1]ACSDT5Y2020.B08301_data_with_ov!AZ$3:AZ$1334,[1]ACSDT5Y2020.B08301_data_with_ov!$AS$3:$AS$1334,$B760)</f>
        <v>#VALUE!</v>
      </c>
      <c r="S760" s="17" t="e">
        <f>SUMIFS([1]ACSDT5Y2020.B08301_data_with_ov!BA$3:BA$1334,[1]ACSDT5Y2020.B08301_data_with_ov!$AS$3:$AS$1334,$B760)</f>
        <v>#VALUE!</v>
      </c>
      <c r="T760" s="188">
        <v>2.9864887712243455E-2</v>
      </c>
      <c r="U760" s="189" t="e">
        <f t="shared" si="47"/>
        <v>#VALUE!</v>
      </c>
      <c r="V760" s="188">
        <v>2.9864887712243455E-2</v>
      </c>
      <c r="W760" s="189" t="e">
        <f t="shared" si="44"/>
        <v>#VALUE!</v>
      </c>
      <c r="X760" s="188">
        <v>2.9864887712243455E-2</v>
      </c>
      <c r="Y760" s="189" t="e">
        <f t="shared" si="45"/>
        <v>#VALUE!</v>
      </c>
      <c r="Z760" s="188">
        <v>2.9864887712243455E-2</v>
      </c>
      <c r="AA760" s="189" t="e">
        <f t="shared" si="46"/>
        <v>#VALUE!</v>
      </c>
    </row>
    <row r="761" spans="1:27" x14ac:dyDescent="0.25">
      <c r="A761">
        <v>750300</v>
      </c>
      <c r="B761">
        <v>17031750300</v>
      </c>
      <c r="C761">
        <v>17031</v>
      </c>
      <c r="D761">
        <v>2010</v>
      </c>
      <c r="E761">
        <v>75</v>
      </c>
      <c r="F761">
        <v>7148618.0355098797</v>
      </c>
      <c r="G761" s="45">
        <v>0.25642138844086748</v>
      </c>
      <c r="H761" s="60" t="str">
        <f>_xlfn.IFNA(
INDEX('Community Areas'!B$2:B$78,MATCH($E761,'Community Areas'!$A$2:$A$78,0)),
"")</f>
        <v>MORGAN PARK</v>
      </c>
      <c r="I761" s="63" t="str">
        <f>_xlfn.IFNA(
INDEX('Community Areas'!C$2:C$78,MATCH($E761,'Community Areas'!$A$2:$A$78,0)),
"")</f>
        <v>5-B</v>
      </c>
      <c r="J761" s="63">
        <f>_xlfn.IFNA(
INDEX('Community Areas'!D$2:D$78,MATCH($E761,'Community Areas'!$A$2:$A$78,0)),
"")</f>
        <v>5</v>
      </c>
      <c r="K761" s="60" t="str">
        <f>_xlfn.IFNA(
INDEX('Community Areas'!E$2:E$78,MATCH($E761,'Community Areas'!$A$2:$A$78,0)),
"")</f>
        <v>FAR SOUTH</v>
      </c>
      <c r="L761" s="17" t="e">
        <f>SUMIFS([1]ACSDT5Y2020.B08301_data_with_ov!AT$3:AT$1334,[1]ACSDT5Y2020.B08301_data_with_ov!$AS$3:$AS$1334,$B761)</f>
        <v>#VALUE!</v>
      </c>
      <c r="M761" s="17" t="e">
        <f>SUMIFS([1]ACSDT5Y2020.B08301_data_with_ov!AU$3:AU$1334,[1]ACSDT5Y2020.B08301_data_with_ov!$AS$3:$AS$1334,$B761)</f>
        <v>#VALUE!</v>
      </c>
      <c r="N761" s="17" t="e">
        <f>SUMIFS([1]ACSDT5Y2020.B08301_data_with_ov!AV$3:AV$1334,[1]ACSDT5Y2020.B08301_data_with_ov!$AS$3:$AS$1334,$B761)</f>
        <v>#VALUE!</v>
      </c>
      <c r="O761" s="17" t="e">
        <f>SUMIFS([1]ACSDT5Y2020.B08301_data_with_ov!AW$3:AW$1334,[1]ACSDT5Y2020.B08301_data_with_ov!$AS$3:$AS$1334,$B761)</f>
        <v>#VALUE!</v>
      </c>
      <c r="P761" s="17" t="e">
        <f>SUMIFS([1]ACSDT5Y2020.B08301_data_with_ov!AX$3:AX$1334,[1]ACSDT5Y2020.B08301_data_with_ov!$AS$3:$AS$1334,$B761)</f>
        <v>#VALUE!</v>
      </c>
      <c r="Q761" s="17" t="e">
        <f>SUMIFS([1]ACSDT5Y2020.B08301_data_with_ov!AY$3:AY$1334,[1]ACSDT5Y2020.B08301_data_with_ov!$AS$3:$AS$1334,$B761)</f>
        <v>#VALUE!</v>
      </c>
      <c r="R761" s="17" t="e">
        <f>SUMIFS([1]ACSDT5Y2020.B08301_data_with_ov!AZ$3:AZ$1334,[1]ACSDT5Y2020.B08301_data_with_ov!$AS$3:$AS$1334,$B761)</f>
        <v>#VALUE!</v>
      </c>
      <c r="S761" s="17" t="e">
        <f>SUMIFS([1]ACSDT5Y2020.B08301_data_with_ov!BA$3:BA$1334,[1]ACSDT5Y2020.B08301_data_with_ov!$AS$3:$AS$1334,$B761)</f>
        <v>#VALUE!</v>
      </c>
      <c r="T761" s="188">
        <v>0</v>
      </c>
      <c r="U761" s="189" t="e">
        <f t="shared" si="47"/>
        <v>#VALUE!</v>
      </c>
      <c r="V761" s="188">
        <v>0</v>
      </c>
      <c r="W761" s="189" t="e">
        <f t="shared" si="44"/>
        <v>#VALUE!</v>
      </c>
      <c r="X761" s="188">
        <v>0</v>
      </c>
      <c r="Y761" s="189" t="e">
        <f t="shared" si="45"/>
        <v>#VALUE!</v>
      </c>
      <c r="Z761" s="188">
        <v>0</v>
      </c>
      <c r="AA761" s="189" t="e">
        <f t="shared" si="46"/>
        <v>#VALUE!</v>
      </c>
    </row>
    <row r="762" spans="1:27" x14ac:dyDescent="0.25">
      <c r="A762">
        <v>750600</v>
      </c>
      <c r="B762">
        <v>17031750600</v>
      </c>
      <c r="C762">
        <v>17031</v>
      </c>
      <c r="D762">
        <v>2010</v>
      </c>
      <c r="E762">
        <v>75</v>
      </c>
      <c r="F762">
        <v>14168841.220842</v>
      </c>
      <c r="G762" s="45">
        <v>0.50823724535274617</v>
      </c>
      <c r="H762" s="60" t="str">
        <f>_xlfn.IFNA(
INDEX('Community Areas'!B$2:B$78,MATCH($E762,'Community Areas'!$A$2:$A$78,0)),
"")</f>
        <v>MORGAN PARK</v>
      </c>
      <c r="I762" s="63" t="str">
        <f>_xlfn.IFNA(
INDEX('Community Areas'!C$2:C$78,MATCH($E762,'Community Areas'!$A$2:$A$78,0)),
"")</f>
        <v>5-B</v>
      </c>
      <c r="J762" s="63">
        <f>_xlfn.IFNA(
INDEX('Community Areas'!D$2:D$78,MATCH($E762,'Community Areas'!$A$2:$A$78,0)),
"")</f>
        <v>5</v>
      </c>
      <c r="K762" s="60" t="str">
        <f>_xlfn.IFNA(
INDEX('Community Areas'!E$2:E$78,MATCH($E762,'Community Areas'!$A$2:$A$78,0)),
"")</f>
        <v>FAR SOUTH</v>
      </c>
      <c r="L762" s="17" t="e">
        <f>SUMIFS([1]ACSDT5Y2020.B08301_data_with_ov!AT$3:AT$1334,[1]ACSDT5Y2020.B08301_data_with_ov!$AS$3:$AS$1334,$B762)</f>
        <v>#VALUE!</v>
      </c>
      <c r="M762" s="17" t="e">
        <f>SUMIFS([1]ACSDT5Y2020.B08301_data_with_ov!AU$3:AU$1334,[1]ACSDT5Y2020.B08301_data_with_ov!$AS$3:$AS$1334,$B762)</f>
        <v>#VALUE!</v>
      </c>
      <c r="N762" s="17" t="e">
        <f>SUMIFS([1]ACSDT5Y2020.B08301_data_with_ov!AV$3:AV$1334,[1]ACSDT5Y2020.B08301_data_with_ov!$AS$3:$AS$1334,$B762)</f>
        <v>#VALUE!</v>
      </c>
      <c r="O762" s="17" t="e">
        <f>SUMIFS([1]ACSDT5Y2020.B08301_data_with_ov!AW$3:AW$1334,[1]ACSDT5Y2020.B08301_data_with_ov!$AS$3:$AS$1334,$B762)</f>
        <v>#VALUE!</v>
      </c>
      <c r="P762" s="17" t="e">
        <f>SUMIFS([1]ACSDT5Y2020.B08301_data_with_ov!AX$3:AX$1334,[1]ACSDT5Y2020.B08301_data_with_ov!$AS$3:$AS$1334,$B762)</f>
        <v>#VALUE!</v>
      </c>
      <c r="Q762" s="17" t="e">
        <f>SUMIFS([1]ACSDT5Y2020.B08301_data_with_ov!AY$3:AY$1334,[1]ACSDT5Y2020.B08301_data_with_ov!$AS$3:$AS$1334,$B762)</f>
        <v>#VALUE!</v>
      </c>
      <c r="R762" s="17" t="e">
        <f>SUMIFS([1]ACSDT5Y2020.B08301_data_with_ov!AZ$3:AZ$1334,[1]ACSDT5Y2020.B08301_data_with_ov!$AS$3:$AS$1334,$B762)</f>
        <v>#VALUE!</v>
      </c>
      <c r="S762" s="17" t="e">
        <f>SUMIFS([1]ACSDT5Y2020.B08301_data_with_ov!BA$3:BA$1334,[1]ACSDT5Y2020.B08301_data_with_ov!$AS$3:$AS$1334,$B762)</f>
        <v>#VALUE!</v>
      </c>
      <c r="T762" s="188">
        <v>0.39320734784168032</v>
      </c>
      <c r="U762" s="189" t="e">
        <f t="shared" si="47"/>
        <v>#VALUE!</v>
      </c>
      <c r="V762" s="188">
        <v>0.39320734784168032</v>
      </c>
      <c r="W762" s="189" t="e">
        <f t="shared" si="44"/>
        <v>#VALUE!</v>
      </c>
      <c r="X762" s="188">
        <v>0.39320734784168032</v>
      </c>
      <c r="Y762" s="189" t="e">
        <f t="shared" si="45"/>
        <v>#VALUE!</v>
      </c>
      <c r="Z762" s="188">
        <v>0.39320734784168032</v>
      </c>
      <c r="AA762" s="189" t="e">
        <f t="shared" si="46"/>
        <v>#VALUE!</v>
      </c>
    </row>
    <row r="763" spans="1:27" x14ac:dyDescent="0.25">
      <c r="A763">
        <v>750400</v>
      </c>
      <c r="B763">
        <v>17031750400</v>
      </c>
      <c r="C763">
        <v>17031</v>
      </c>
      <c r="D763">
        <v>2010</v>
      </c>
      <c r="E763">
        <v>75</v>
      </c>
      <c r="F763">
        <v>10636033.971451901</v>
      </c>
      <c r="G763" s="45">
        <v>0.38151522223125794</v>
      </c>
      <c r="H763" s="60" t="str">
        <f>_xlfn.IFNA(
INDEX('Community Areas'!B$2:B$78,MATCH($E763,'Community Areas'!$A$2:$A$78,0)),
"")</f>
        <v>MORGAN PARK</v>
      </c>
      <c r="I763" s="63" t="str">
        <f>_xlfn.IFNA(
INDEX('Community Areas'!C$2:C$78,MATCH($E763,'Community Areas'!$A$2:$A$78,0)),
"")</f>
        <v>5-B</v>
      </c>
      <c r="J763" s="63">
        <f>_xlfn.IFNA(
INDEX('Community Areas'!D$2:D$78,MATCH($E763,'Community Areas'!$A$2:$A$78,0)),
"")</f>
        <v>5</v>
      </c>
      <c r="K763" s="60" t="str">
        <f>_xlfn.IFNA(
INDEX('Community Areas'!E$2:E$78,MATCH($E763,'Community Areas'!$A$2:$A$78,0)),
"")</f>
        <v>FAR SOUTH</v>
      </c>
      <c r="L763" s="17" t="e">
        <f>SUMIFS([1]ACSDT5Y2020.B08301_data_with_ov!AT$3:AT$1334,[1]ACSDT5Y2020.B08301_data_with_ov!$AS$3:$AS$1334,$B763)</f>
        <v>#VALUE!</v>
      </c>
      <c r="M763" s="17" t="e">
        <f>SUMIFS([1]ACSDT5Y2020.B08301_data_with_ov!AU$3:AU$1334,[1]ACSDT5Y2020.B08301_data_with_ov!$AS$3:$AS$1334,$B763)</f>
        <v>#VALUE!</v>
      </c>
      <c r="N763" s="17" t="e">
        <f>SUMIFS([1]ACSDT5Y2020.B08301_data_with_ov!AV$3:AV$1334,[1]ACSDT5Y2020.B08301_data_with_ov!$AS$3:$AS$1334,$B763)</f>
        <v>#VALUE!</v>
      </c>
      <c r="O763" s="17" t="e">
        <f>SUMIFS([1]ACSDT5Y2020.B08301_data_with_ov!AW$3:AW$1334,[1]ACSDT5Y2020.B08301_data_with_ov!$AS$3:$AS$1334,$B763)</f>
        <v>#VALUE!</v>
      </c>
      <c r="P763" s="17" t="e">
        <f>SUMIFS([1]ACSDT5Y2020.B08301_data_with_ov!AX$3:AX$1334,[1]ACSDT5Y2020.B08301_data_with_ov!$AS$3:$AS$1334,$B763)</f>
        <v>#VALUE!</v>
      </c>
      <c r="Q763" s="17" t="e">
        <f>SUMIFS([1]ACSDT5Y2020.B08301_data_with_ov!AY$3:AY$1334,[1]ACSDT5Y2020.B08301_data_with_ov!$AS$3:$AS$1334,$B763)</f>
        <v>#VALUE!</v>
      </c>
      <c r="R763" s="17" t="e">
        <f>SUMIFS([1]ACSDT5Y2020.B08301_data_with_ov!AZ$3:AZ$1334,[1]ACSDT5Y2020.B08301_data_with_ov!$AS$3:$AS$1334,$B763)</f>
        <v>#VALUE!</v>
      </c>
      <c r="S763" s="17" t="e">
        <f>SUMIFS([1]ACSDT5Y2020.B08301_data_with_ov!BA$3:BA$1334,[1]ACSDT5Y2020.B08301_data_with_ov!$AS$3:$AS$1334,$B763)</f>
        <v>#VALUE!</v>
      </c>
      <c r="T763" s="188">
        <v>0</v>
      </c>
      <c r="U763" s="189" t="e">
        <f t="shared" si="47"/>
        <v>#VALUE!</v>
      </c>
      <c r="V763" s="188">
        <v>0</v>
      </c>
      <c r="W763" s="189" t="e">
        <f t="shared" si="44"/>
        <v>#VALUE!</v>
      </c>
      <c r="X763" s="188">
        <v>0</v>
      </c>
      <c r="Y763" s="189" t="e">
        <f t="shared" si="45"/>
        <v>#VALUE!</v>
      </c>
      <c r="Z763" s="188">
        <v>0</v>
      </c>
      <c r="AA763" s="189" t="e">
        <f t="shared" si="46"/>
        <v>#VALUE!</v>
      </c>
    </row>
    <row r="764" spans="1:27" x14ac:dyDescent="0.25">
      <c r="A764">
        <v>750500</v>
      </c>
      <c r="B764">
        <v>17031750500</v>
      </c>
      <c r="C764">
        <v>17031</v>
      </c>
      <c r="D764">
        <v>2010</v>
      </c>
      <c r="E764">
        <v>75</v>
      </c>
      <c r="F764">
        <v>28278716.151193202</v>
      </c>
      <c r="G764" s="45">
        <v>1.0143593660752841</v>
      </c>
      <c r="H764" s="60" t="str">
        <f>_xlfn.IFNA(
INDEX('Community Areas'!B$2:B$78,MATCH($E764,'Community Areas'!$A$2:$A$78,0)),
"")</f>
        <v>MORGAN PARK</v>
      </c>
      <c r="I764" s="63" t="str">
        <f>_xlfn.IFNA(
INDEX('Community Areas'!C$2:C$78,MATCH($E764,'Community Areas'!$A$2:$A$78,0)),
"")</f>
        <v>5-B</v>
      </c>
      <c r="J764" s="63">
        <f>_xlfn.IFNA(
INDEX('Community Areas'!D$2:D$78,MATCH($E764,'Community Areas'!$A$2:$A$78,0)),
"")</f>
        <v>5</v>
      </c>
      <c r="K764" s="60" t="str">
        <f>_xlfn.IFNA(
INDEX('Community Areas'!E$2:E$78,MATCH($E764,'Community Areas'!$A$2:$A$78,0)),
"")</f>
        <v>FAR SOUTH</v>
      </c>
      <c r="L764" s="17" t="e">
        <f>SUMIFS([1]ACSDT5Y2020.B08301_data_with_ov!AT$3:AT$1334,[1]ACSDT5Y2020.B08301_data_with_ov!$AS$3:$AS$1334,$B764)</f>
        <v>#VALUE!</v>
      </c>
      <c r="M764" s="17" t="e">
        <f>SUMIFS([1]ACSDT5Y2020.B08301_data_with_ov!AU$3:AU$1334,[1]ACSDT5Y2020.B08301_data_with_ov!$AS$3:$AS$1334,$B764)</f>
        <v>#VALUE!</v>
      </c>
      <c r="N764" s="17" t="e">
        <f>SUMIFS([1]ACSDT5Y2020.B08301_data_with_ov!AV$3:AV$1334,[1]ACSDT5Y2020.B08301_data_with_ov!$AS$3:$AS$1334,$B764)</f>
        <v>#VALUE!</v>
      </c>
      <c r="O764" s="17" t="e">
        <f>SUMIFS([1]ACSDT5Y2020.B08301_data_with_ov!AW$3:AW$1334,[1]ACSDT5Y2020.B08301_data_with_ov!$AS$3:$AS$1334,$B764)</f>
        <v>#VALUE!</v>
      </c>
      <c r="P764" s="17" t="e">
        <f>SUMIFS([1]ACSDT5Y2020.B08301_data_with_ov!AX$3:AX$1334,[1]ACSDT5Y2020.B08301_data_with_ov!$AS$3:$AS$1334,$B764)</f>
        <v>#VALUE!</v>
      </c>
      <c r="Q764" s="17" t="e">
        <f>SUMIFS([1]ACSDT5Y2020.B08301_data_with_ov!AY$3:AY$1334,[1]ACSDT5Y2020.B08301_data_with_ov!$AS$3:$AS$1334,$B764)</f>
        <v>#VALUE!</v>
      </c>
      <c r="R764" s="17" t="e">
        <f>SUMIFS([1]ACSDT5Y2020.B08301_data_with_ov!AZ$3:AZ$1334,[1]ACSDT5Y2020.B08301_data_with_ov!$AS$3:$AS$1334,$B764)</f>
        <v>#VALUE!</v>
      </c>
      <c r="S764" s="17" t="e">
        <f>SUMIFS([1]ACSDT5Y2020.B08301_data_with_ov!BA$3:BA$1334,[1]ACSDT5Y2020.B08301_data_with_ov!$AS$3:$AS$1334,$B764)</f>
        <v>#VALUE!</v>
      </c>
      <c r="T764" s="188">
        <v>0</v>
      </c>
      <c r="U764" s="189" t="e">
        <f t="shared" si="47"/>
        <v>#VALUE!</v>
      </c>
      <c r="V764" s="188">
        <v>0</v>
      </c>
      <c r="W764" s="189" t="e">
        <f t="shared" si="44"/>
        <v>#VALUE!</v>
      </c>
      <c r="X764" s="188">
        <v>0</v>
      </c>
      <c r="Y764" s="189" t="e">
        <f t="shared" si="45"/>
        <v>#VALUE!</v>
      </c>
      <c r="Z764" s="188">
        <v>0</v>
      </c>
      <c r="AA764" s="189" t="e">
        <f t="shared" si="46"/>
        <v>#VALUE!</v>
      </c>
    </row>
    <row r="765" spans="1:27" x14ac:dyDescent="0.25">
      <c r="A765">
        <v>840801</v>
      </c>
      <c r="B765">
        <v>17043840801</v>
      </c>
      <c r="C765">
        <v>17043</v>
      </c>
      <c r="D765">
        <v>2010</v>
      </c>
      <c r="E765">
        <v>76</v>
      </c>
      <c r="F765">
        <v>1731679.5908878001</v>
      </c>
      <c r="G765" s="45">
        <v>6.2115458236046549E-2</v>
      </c>
      <c r="H765" s="60" t="str">
        <f>_xlfn.IFNA(
INDEX('Community Areas'!B$2:B$78,MATCH($E765,'Community Areas'!$A$2:$A$78,0)),
"")</f>
        <v>OHARE</v>
      </c>
      <c r="I765" s="63" t="str">
        <f>_xlfn.IFNA(
INDEX('Community Areas'!C$2:C$78,MATCH($E765,'Community Areas'!$A$2:$A$78,0)),
"")</f>
        <v>2-C</v>
      </c>
      <c r="J765" s="63">
        <f>_xlfn.IFNA(
INDEX('Community Areas'!D$2:D$78,MATCH($E765,'Community Areas'!$A$2:$A$78,0)),
"")</f>
        <v>2</v>
      </c>
      <c r="K765" s="60" t="str">
        <f>_xlfn.IFNA(
INDEX('Community Areas'!E$2:E$78,MATCH($E765,'Community Areas'!$A$2:$A$78,0)),
"")</f>
        <v>NORTHWEST</v>
      </c>
      <c r="L765" s="17" t="e">
        <f>SUMIFS([1]ACSDT5Y2020.B08301_data_with_ov!AT$3:AT$1334,[1]ACSDT5Y2020.B08301_data_with_ov!$AS$3:$AS$1334,$B765)</f>
        <v>#VALUE!</v>
      </c>
      <c r="M765" s="17" t="e">
        <f>SUMIFS([1]ACSDT5Y2020.B08301_data_with_ov!AU$3:AU$1334,[1]ACSDT5Y2020.B08301_data_with_ov!$AS$3:$AS$1334,$B765)</f>
        <v>#VALUE!</v>
      </c>
      <c r="N765" s="17" t="e">
        <f>SUMIFS([1]ACSDT5Y2020.B08301_data_with_ov!AV$3:AV$1334,[1]ACSDT5Y2020.B08301_data_with_ov!$AS$3:$AS$1334,$B765)</f>
        <v>#VALUE!</v>
      </c>
      <c r="O765" s="17" t="e">
        <f>SUMIFS([1]ACSDT5Y2020.B08301_data_with_ov!AW$3:AW$1334,[1]ACSDT5Y2020.B08301_data_with_ov!$AS$3:$AS$1334,$B765)</f>
        <v>#VALUE!</v>
      </c>
      <c r="P765" s="17" t="e">
        <f>SUMIFS([1]ACSDT5Y2020.B08301_data_with_ov!AX$3:AX$1334,[1]ACSDT5Y2020.B08301_data_with_ov!$AS$3:$AS$1334,$B765)</f>
        <v>#VALUE!</v>
      </c>
      <c r="Q765" s="17" t="e">
        <f>SUMIFS([1]ACSDT5Y2020.B08301_data_with_ov!AY$3:AY$1334,[1]ACSDT5Y2020.B08301_data_with_ov!$AS$3:$AS$1334,$B765)</f>
        <v>#VALUE!</v>
      </c>
      <c r="R765" s="17" t="e">
        <f>SUMIFS([1]ACSDT5Y2020.B08301_data_with_ov!AZ$3:AZ$1334,[1]ACSDT5Y2020.B08301_data_with_ov!$AS$3:$AS$1334,$B765)</f>
        <v>#VALUE!</v>
      </c>
      <c r="S765" s="17" t="e">
        <f>SUMIFS([1]ACSDT5Y2020.B08301_data_with_ov!BA$3:BA$1334,[1]ACSDT5Y2020.B08301_data_with_ov!$AS$3:$AS$1334,$B765)</f>
        <v>#VALUE!</v>
      </c>
      <c r="T765" s="188">
        <v>0</v>
      </c>
      <c r="U765" s="189" t="e">
        <f t="shared" si="47"/>
        <v>#VALUE!</v>
      </c>
      <c r="V765" s="188">
        <v>0</v>
      </c>
      <c r="W765" s="189" t="e">
        <f t="shared" si="44"/>
        <v>#VALUE!</v>
      </c>
      <c r="X765" s="188">
        <v>0</v>
      </c>
      <c r="Y765" s="189" t="e">
        <f t="shared" si="45"/>
        <v>#VALUE!</v>
      </c>
      <c r="Z765" s="188">
        <v>0</v>
      </c>
      <c r="AA765" s="189" t="e">
        <f t="shared" si="46"/>
        <v>#VALUE!</v>
      </c>
    </row>
    <row r="766" spans="1:27" x14ac:dyDescent="0.25">
      <c r="A766">
        <v>760803</v>
      </c>
      <c r="B766">
        <v>17031760803</v>
      </c>
      <c r="C766">
        <v>17031</v>
      </c>
      <c r="D766">
        <v>2010</v>
      </c>
      <c r="E766">
        <v>76</v>
      </c>
      <c r="F766">
        <v>8480016.3826671503</v>
      </c>
      <c r="G766" s="45">
        <v>0.30417873273455975</v>
      </c>
      <c r="H766" s="60" t="str">
        <f>_xlfn.IFNA(
INDEX('Community Areas'!B$2:B$78,MATCH($E766,'Community Areas'!$A$2:$A$78,0)),
"")</f>
        <v>OHARE</v>
      </c>
      <c r="I766" s="63" t="str">
        <f>_xlfn.IFNA(
INDEX('Community Areas'!C$2:C$78,MATCH($E766,'Community Areas'!$A$2:$A$78,0)),
"")</f>
        <v>2-C</v>
      </c>
      <c r="J766" s="63">
        <f>_xlfn.IFNA(
INDEX('Community Areas'!D$2:D$78,MATCH($E766,'Community Areas'!$A$2:$A$78,0)),
"")</f>
        <v>2</v>
      </c>
      <c r="K766" s="60" t="str">
        <f>_xlfn.IFNA(
INDEX('Community Areas'!E$2:E$78,MATCH($E766,'Community Areas'!$A$2:$A$78,0)),
"")</f>
        <v>NORTHWEST</v>
      </c>
      <c r="L766" s="17" t="e">
        <f>SUMIFS([1]ACSDT5Y2020.B08301_data_with_ov!AT$3:AT$1334,[1]ACSDT5Y2020.B08301_data_with_ov!$AS$3:$AS$1334,$B766)</f>
        <v>#VALUE!</v>
      </c>
      <c r="M766" s="17" t="e">
        <f>SUMIFS([1]ACSDT5Y2020.B08301_data_with_ov!AU$3:AU$1334,[1]ACSDT5Y2020.B08301_data_with_ov!$AS$3:$AS$1334,$B766)</f>
        <v>#VALUE!</v>
      </c>
      <c r="N766" s="17" t="e">
        <f>SUMIFS([1]ACSDT5Y2020.B08301_data_with_ov!AV$3:AV$1334,[1]ACSDT5Y2020.B08301_data_with_ov!$AS$3:$AS$1334,$B766)</f>
        <v>#VALUE!</v>
      </c>
      <c r="O766" s="17" t="e">
        <f>SUMIFS([1]ACSDT5Y2020.B08301_data_with_ov!AW$3:AW$1334,[1]ACSDT5Y2020.B08301_data_with_ov!$AS$3:$AS$1334,$B766)</f>
        <v>#VALUE!</v>
      </c>
      <c r="P766" s="17" t="e">
        <f>SUMIFS([1]ACSDT5Y2020.B08301_data_with_ov!AX$3:AX$1334,[1]ACSDT5Y2020.B08301_data_with_ov!$AS$3:$AS$1334,$B766)</f>
        <v>#VALUE!</v>
      </c>
      <c r="Q766" s="17" t="e">
        <f>SUMIFS([1]ACSDT5Y2020.B08301_data_with_ov!AY$3:AY$1334,[1]ACSDT5Y2020.B08301_data_with_ov!$AS$3:$AS$1334,$B766)</f>
        <v>#VALUE!</v>
      </c>
      <c r="R766" s="17" t="e">
        <f>SUMIFS([1]ACSDT5Y2020.B08301_data_with_ov!AZ$3:AZ$1334,[1]ACSDT5Y2020.B08301_data_with_ov!$AS$3:$AS$1334,$B766)</f>
        <v>#VALUE!</v>
      </c>
      <c r="S766" s="17" t="e">
        <f>SUMIFS([1]ACSDT5Y2020.B08301_data_with_ov!BA$3:BA$1334,[1]ACSDT5Y2020.B08301_data_with_ov!$AS$3:$AS$1334,$B766)</f>
        <v>#VALUE!</v>
      </c>
      <c r="T766" s="188">
        <v>0</v>
      </c>
      <c r="U766" s="189" t="e">
        <f t="shared" si="47"/>
        <v>#VALUE!</v>
      </c>
      <c r="V766" s="188">
        <v>0</v>
      </c>
      <c r="W766" s="189" t="e">
        <f t="shared" si="44"/>
        <v>#VALUE!</v>
      </c>
      <c r="X766" s="188">
        <v>0</v>
      </c>
      <c r="Y766" s="189" t="e">
        <f t="shared" si="45"/>
        <v>#VALUE!</v>
      </c>
      <c r="Z766" s="188">
        <v>0</v>
      </c>
      <c r="AA766" s="189" t="e">
        <f t="shared" si="46"/>
        <v>#VALUE!</v>
      </c>
    </row>
    <row r="767" spans="1:27" x14ac:dyDescent="0.25">
      <c r="A767">
        <v>770602</v>
      </c>
      <c r="B767">
        <v>17031770602</v>
      </c>
      <c r="C767">
        <v>17031</v>
      </c>
      <c r="D767">
        <v>2010</v>
      </c>
      <c r="E767">
        <v>76</v>
      </c>
      <c r="F767">
        <v>7326046.2701726202</v>
      </c>
      <c r="G767" s="45">
        <v>0.26278575062315701</v>
      </c>
      <c r="H767" s="60" t="str">
        <f>_xlfn.IFNA(
INDEX('Community Areas'!B$2:B$78,MATCH($E767,'Community Areas'!$A$2:$A$78,0)),
"")</f>
        <v>OHARE</v>
      </c>
      <c r="I767" s="63" t="str">
        <f>_xlfn.IFNA(
INDEX('Community Areas'!C$2:C$78,MATCH($E767,'Community Areas'!$A$2:$A$78,0)),
"")</f>
        <v>2-C</v>
      </c>
      <c r="J767" s="63">
        <f>_xlfn.IFNA(
INDEX('Community Areas'!D$2:D$78,MATCH($E767,'Community Areas'!$A$2:$A$78,0)),
"")</f>
        <v>2</v>
      </c>
      <c r="K767" s="60" t="str">
        <f>_xlfn.IFNA(
INDEX('Community Areas'!E$2:E$78,MATCH($E767,'Community Areas'!$A$2:$A$78,0)),
"")</f>
        <v>NORTHWEST</v>
      </c>
      <c r="L767" s="17" t="e">
        <f>SUMIFS([1]ACSDT5Y2020.B08301_data_with_ov!AT$3:AT$1334,[1]ACSDT5Y2020.B08301_data_with_ov!$AS$3:$AS$1334,$B767)</f>
        <v>#VALUE!</v>
      </c>
      <c r="M767" s="17" t="e">
        <f>SUMIFS([1]ACSDT5Y2020.B08301_data_with_ov!AU$3:AU$1334,[1]ACSDT5Y2020.B08301_data_with_ov!$AS$3:$AS$1334,$B767)</f>
        <v>#VALUE!</v>
      </c>
      <c r="N767" s="17" t="e">
        <f>SUMIFS([1]ACSDT5Y2020.B08301_data_with_ov!AV$3:AV$1334,[1]ACSDT5Y2020.B08301_data_with_ov!$AS$3:$AS$1334,$B767)</f>
        <v>#VALUE!</v>
      </c>
      <c r="O767" s="17" t="e">
        <f>SUMIFS([1]ACSDT5Y2020.B08301_data_with_ov!AW$3:AW$1334,[1]ACSDT5Y2020.B08301_data_with_ov!$AS$3:$AS$1334,$B767)</f>
        <v>#VALUE!</v>
      </c>
      <c r="P767" s="17" t="e">
        <f>SUMIFS([1]ACSDT5Y2020.B08301_data_with_ov!AX$3:AX$1334,[1]ACSDT5Y2020.B08301_data_with_ov!$AS$3:$AS$1334,$B767)</f>
        <v>#VALUE!</v>
      </c>
      <c r="Q767" s="17" t="e">
        <f>SUMIFS([1]ACSDT5Y2020.B08301_data_with_ov!AY$3:AY$1334,[1]ACSDT5Y2020.B08301_data_with_ov!$AS$3:$AS$1334,$B767)</f>
        <v>#VALUE!</v>
      </c>
      <c r="R767" s="17" t="e">
        <f>SUMIFS([1]ACSDT5Y2020.B08301_data_with_ov!AZ$3:AZ$1334,[1]ACSDT5Y2020.B08301_data_with_ov!$AS$3:$AS$1334,$B767)</f>
        <v>#VALUE!</v>
      </c>
      <c r="S767" s="17" t="e">
        <f>SUMIFS([1]ACSDT5Y2020.B08301_data_with_ov!BA$3:BA$1334,[1]ACSDT5Y2020.B08301_data_with_ov!$AS$3:$AS$1334,$B767)</f>
        <v>#VALUE!</v>
      </c>
      <c r="T767" s="188">
        <v>0</v>
      </c>
      <c r="U767" s="189" t="e">
        <f t="shared" si="47"/>
        <v>#VALUE!</v>
      </c>
      <c r="V767" s="188">
        <v>0</v>
      </c>
      <c r="W767" s="189" t="e">
        <f t="shared" si="44"/>
        <v>#VALUE!</v>
      </c>
      <c r="X767" s="188">
        <v>0</v>
      </c>
      <c r="Y767" s="189" t="e">
        <f t="shared" si="45"/>
        <v>#VALUE!</v>
      </c>
      <c r="Z767" s="188">
        <v>0</v>
      </c>
      <c r="AA767" s="189" t="e">
        <f t="shared" si="46"/>
        <v>#VALUE!</v>
      </c>
    </row>
    <row r="768" spans="1:27" x14ac:dyDescent="0.25">
      <c r="A768">
        <v>770700</v>
      </c>
      <c r="B768">
        <v>17031770700</v>
      </c>
      <c r="C768">
        <v>17031</v>
      </c>
      <c r="D768">
        <v>2010</v>
      </c>
      <c r="E768">
        <v>76</v>
      </c>
      <c r="F768">
        <v>7873683.6529753404</v>
      </c>
      <c r="G768" s="45">
        <v>0.28242953874595889</v>
      </c>
      <c r="H768" s="60" t="str">
        <f>_xlfn.IFNA(
INDEX('Community Areas'!B$2:B$78,MATCH($E768,'Community Areas'!$A$2:$A$78,0)),
"")</f>
        <v>OHARE</v>
      </c>
      <c r="I768" s="63" t="str">
        <f>_xlfn.IFNA(
INDEX('Community Areas'!C$2:C$78,MATCH($E768,'Community Areas'!$A$2:$A$78,0)),
"")</f>
        <v>2-C</v>
      </c>
      <c r="J768" s="63">
        <f>_xlfn.IFNA(
INDEX('Community Areas'!D$2:D$78,MATCH($E768,'Community Areas'!$A$2:$A$78,0)),
"")</f>
        <v>2</v>
      </c>
      <c r="K768" s="60" t="str">
        <f>_xlfn.IFNA(
INDEX('Community Areas'!E$2:E$78,MATCH($E768,'Community Areas'!$A$2:$A$78,0)),
"")</f>
        <v>NORTHWEST</v>
      </c>
      <c r="L768" s="17" t="e">
        <f>SUMIFS([1]ACSDT5Y2020.B08301_data_with_ov!AT$3:AT$1334,[1]ACSDT5Y2020.B08301_data_with_ov!$AS$3:$AS$1334,$B768)</f>
        <v>#VALUE!</v>
      </c>
      <c r="M768" s="17" t="e">
        <f>SUMIFS([1]ACSDT5Y2020.B08301_data_with_ov!AU$3:AU$1334,[1]ACSDT5Y2020.B08301_data_with_ov!$AS$3:$AS$1334,$B768)</f>
        <v>#VALUE!</v>
      </c>
      <c r="N768" s="17" t="e">
        <f>SUMIFS([1]ACSDT5Y2020.B08301_data_with_ov!AV$3:AV$1334,[1]ACSDT5Y2020.B08301_data_with_ov!$AS$3:$AS$1334,$B768)</f>
        <v>#VALUE!</v>
      </c>
      <c r="O768" s="17" t="e">
        <f>SUMIFS([1]ACSDT5Y2020.B08301_data_with_ov!AW$3:AW$1334,[1]ACSDT5Y2020.B08301_data_with_ov!$AS$3:$AS$1334,$B768)</f>
        <v>#VALUE!</v>
      </c>
      <c r="P768" s="17" t="e">
        <f>SUMIFS([1]ACSDT5Y2020.B08301_data_with_ov!AX$3:AX$1334,[1]ACSDT5Y2020.B08301_data_with_ov!$AS$3:$AS$1334,$B768)</f>
        <v>#VALUE!</v>
      </c>
      <c r="Q768" s="17" t="e">
        <f>SUMIFS([1]ACSDT5Y2020.B08301_data_with_ov!AY$3:AY$1334,[1]ACSDT5Y2020.B08301_data_with_ov!$AS$3:$AS$1334,$B768)</f>
        <v>#VALUE!</v>
      </c>
      <c r="R768" s="17" t="e">
        <f>SUMIFS([1]ACSDT5Y2020.B08301_data_with_ov!AZ$3:AZ$1334,[1]ACSDT5Y2020.B08301_data_with_ov!$AS$3:$AS$1334,$B768)</f>
        <v>#VALUE!</v>
      </c>
      <c r="S768" s="17" t="e">
        <f>SUMIFS([1]ACSDT5Y2020.B08301_data_with_ov!BA$3:BA$1334,[1]ACSDT5Y2020.B08301_data_with_ov!$AS$3:$AS$1334,$B768)</f>
        <v>#VALUE!</v>
      </c>
      <c r="T768" s="188">
        <v>0</v>
      </c>
      <c r="U768" s="189" t="e">
        <f t="shared" si="47"/>
        <v>#VALUE!</v>
      </c>
      <c r="V768" s="188">
        <v>0</v>
      </c>
      <c r="W768" s="189" t="e">
        <f t="shared" si="44"/>
        <v>#VALUE!</v>
      </c>
      <c r="X768" s="188">
        <v>0</v>
      </c>
      <c r="Y768" s="189" t="e">
        <f t="shared" si="45"/>
        <v>#VALUE!</v>
      </c>
      <c r="Z768" s="188">
        <v>0</v>
      </c>
      <c r="AA768" s="189" t="e">
        <f t="shared" si="46"/>
        <v>#VALUE!</v>
      </c>
    </row>
    <row r="769" spans="1:27" x14ac:dyDescent="0.25">
      <c r="A769">
        <v>840000</v>
      </c>
      <c r="B769">
        <v>17043840000</v>
      </c>
      <c r="C769">
        <v>17043</v>
      </c>
      <c r="D769">
        <v>2010</v>
      </c>
      <c r="E769">
        <v>76</v>
      </c>
      <c r="F769">
        <v>62536846.248033702</v>
      </c>
      <c r="G769" s="45">
        <v>2.243200694732614</v>
      </c>
      <c r="H769" s="60" t="str">
        <f>_xlfn.IFNA(
INDEX('Community Areas'!B$2:B$78,MATCH($E769,'Community Areas'!$A$2:$A$78,0)),
"")</f>
        <v>OHARE</v>
      </c>
      <c r="I769" s="63" t="str">
        <f>_xlfn.IFNA(
INDEX('Community Areas'!C$2:C$78,MATCH($E769,'Community Areas'!$A$2:$A$78,0)),
"")</f>
        <v>2-C</v>
      </c>
      <c r="J769" s="63">
        <f>_xlfn.IFNA(
INDEX('Community Areas'!D$2:D$78,MATCH($E769,'Community Areas'!$A$2:$A$78,0)),
"")</f>
        <v>2</v>
      </c>
      <c r="K769" s="60" t="str">
        <f>_xlfn.IFNA(
INDEX('Community Areas'!E$2:E$78,MATCH($E769,'Community Areas'!$A$2:$A$78,0)),
"")</f>
        <v>NORTHWEST</v>
      </c>
      <c r="L769" s="17" t="e">
        <f>SUMIFS([1]ACSDT5Y2020.B08301_data_with_ov!AT$3:AT$1334,[1]ACSDT5Y2020.B08301_data_with_ov!$AS$3:$AS$1334,$B769)</f>
        <v>#VALUE!</v>
      </c>
      <c r="M769" s="17" t="e">
        <f>SUMIFS([1]ACSDT5Y2020.B08301_data_with_ov!AU$3:AU$1334,[1]ACSDT5Y2020.B08301_data_with_ov!$AS$3:$AS$1334,$B769)</f>
        <v>#VALUE!</v>
      </c>
      <c r="N769" s="17" t="e">
        <f>SUMIFS([1]ACSDT5Y2020.B08301_data_with_ov!AV$3:AV$1334,[1]ACSDT5Y2020.B08301_data_with_ov!$AS$3:$AS$1334,$B769)</f>
        <v>#VALUE!</v>
      </c>
      <c r="O769" s="17" t="e">
        <f>SUMIFS([1]ACSDT5Y2020.B08301_data_with_ov!AW$3:AW$1334,[1]ACSDT5Y2020.B08301_data_with_ov!$AS$3:$AS$1334,$B769)</f>
        <v>#VALUE!</v>
      </c>
      <c r="P769" s="17" t="e">
        <f>SUMIFS([1]ACSDT5Y2020.B08301_data_with_ov!AX$3:AX$1334,[1]ACSDT5Y2020.B08301_data_with_ov!$AS$3:$AS$1334,$B769)</f>
        <v>#VALUE!</v>
      </c>
      <c r="Q769" s="17" t="e">
        <f>SUMIFS([1]ACSDT5Y2020.B08301_data_with_ov!AY$3:AY$1334,[1]ACSDT5Y2020.B08301_data_with_ov!$AS$3:$AS$1334,$B769)</f>
        <v>#VALUE!</v>
      </c>
      <c r="R769" s="17" t="e">
        <f>SUMIFS([1]ACSDT5Y2020.B08301_data_with_ov!AZ$3:AZ$1334,[1]ACSDT5Y2020.B08301_data_with_ov!$AS$3:$AS$1334,$B769)</f>
        <v>#VALUE!</v>
      </c>
      <c r="S769" s="17" t="e">
        <f>SUMIFS([1]ACSDT5Y2020.B08301_data_with_ov!BA$3:BA$1334,[1]ACSDT5Y2020.B08301_data_with_ov!$AS$3:$AS$1334,$B769)</f>
        <v>#VALUE!</v>
      </c>
      <c r="T769" s="188">
        <v>0</v>
      </c>
      <c r="U769" s="189" t="e">
        <f t="shared" si="47"/>
        <v>#VALUE!</v>
      </c>
      <c r="V769" s="188">
        <v>0</v>
      </c>
      <c r="W769" s="189" t="e">
        <f t="shared" si="44"/>
        <v>#VALUE!</v>
      </c>
      <c r="X769" s="188">
        <v>0</v>
      </c>
      <c r="Y769" s="189" t="e">
        <f t="shared" si="45"/>
        <v>#VALUE!</v>
      </c>
      <c r="Z769" s="188">
        <v>0</v>
      </c>
      <c r="AA769" s="189" t="e">
        <f t="shared" si="46"/>
        <v>#VALUE!</v>
      </c>
    </row>
    <row r="770" spans="1:27" x14ac:dyDescent="0.25">
      <c r="A770">
        <v>760801</v>
      </c>
      <c r="B770">
        <v>17031760801</v>
      </c>
      <c r="C770">
        <v>17031</v>
      </c>
      <c r="D770">
        <v>2010</v>
      </c>
      <c r="E770">
        <v>76</v>
      </c>
      <c r="F770">
        <v>14163976.501542199</v>
      </c>
      <c r="G770" s="45">
        <v>0.50806274755876235</v>
      </c>
      <c r="H770" s="60" t="str">
        <f>_xlfn.IFNA(
INDEX('Community Areas'!B$2:B$78,MATCH($E770,'Community Areas'!$A$2:$A$78,0)),
"")</f>
        <v>OHARE</v>
      </c>
      <c r="I770" s="63" t="str">
        <f>_xlfn.IFNA(
INDEX('Community Areas'!C$2:C$78,MATCH($E770,'Community Areas'!$A$2:$A$78,0)),
"")</f>
        <v>2-C</v>
      </c>
      <c r="J770" s="63">
        <f>_xlfn.IFNA(
INDEX('Community Areas'!D$2:D$78,MATCH($E770,'Community Areas'!$A$2:$A$78,0)),
"")</f>
        <v>2</v>
      </c>
      <c r="K770" s="60" t="str">
        <f>_xlfn.IFNA(
INDEX('Community Areas'!E$2:E$78,MATCH($E770,'Community Areas'!$A$2:$A$78,0)),
"")</f>
        <v>NORTHWEST</v>
      </c>
      <c r="L770" s="17" t="e">
        <f>SUMIFS([1]ACSDT5Y2020.B08301_data_with_ov!AT$3:AT$1334,[1]ACSDT5Y2020.B08301_data_with_ov!$AS$3:$AS$1334,$B770)</f>
        <v>#VALUE!</v>
      </c>
      <c r="M770" s="17" t="e">
        <f>SUMIFS([1]ACSDT5Y2020.B08301_data_with_ov!AU$3:AU$1334,[1]ACSDT5Y2020.B08301_data_with_ov!$AS$3:$AS$1334,$B770)</f>
        <v>#VALUE!</v>
      </c>
      <c r="N770" s="17" t="e">
        <f>SUMIFS([1]ACSDT5Y2020.B08301_data_with_ov!AV$3:AV$1334,[1]ACSDT5Y2020.B08301_data_with_ov!$AS$3:$AS$1334,$B770)</f>
        <v>#VALUE!</v>
      </c>
      <c r="O770" s="17" t="e">
        <f>SUMIFS([1]ACSDT5Y2020.B08301_data_with_ov!AW$3:AW$1334,[1]ACSDT5Y2020.B08301_data_with_ov!$AS$3:$AS$1334,$B770)</f>
        <v>#VALUE!</v>
      </c>
      <c r="P770" s="17" t="e">
        <f>SUMIFS([1]ACSDT5Y2020.B08301_data_with_ov!AX$3:AX$1334,[1]ACSDT5Y2020.B08301_data_with_ov!$AS$3:$AS$1334,$B770)</f>
        <v>#VALUE!</v>
      </c>
      <c r="Q770" s="17" t="e">
        <f>SUMIFS([1]ACSDT5Y2020.B08301_data_with_ov!AY$3:AY$1334,[1]ACSDT5Y2020.B08301_data_with_ov!$AS$3:$AS$1334,$B770)</f>
        <v>#VALUE!</v>
      </c>
      <c r="R770" s="17" t="e">
        <f>SUMIFS([1]ACSDT5Y2020.B08301_data_with_ov!AZ$3:AZ$1334,[1]ACSDT5Y2020.B08301_data_with_ov!$AS$3:$AS$1334,$B770)</f>
        <v>#VALUE!</v>
      </c>
      <c r="S770" s="17" t="e">
        <f>SUMIFS([1]ACSDT5Y2020.B08301_data_with_ov!BA$3:BA$1334,[1]ACSDT5Y2020.B08301_data_with_ov!$AS$3:$AS$1334,$B770)</f>
        <v>#VALUE!</v>
      </c>
      <c r="T770" s="188">
        <v>0</v>
      </c>
      <c r="U770" s="189" t="e">
        <f t="shared" si="47"/>
        <v>#VALUE!</v>
      </c>
      <c r="V770" s="188">
        <v>0</v>
      </c>
      <c r="W770" s="189" t="e">
        <f t="shared" si="44"/>
        <v>#VALUE!</v>
      </c>
      <c r="X770" s="188">
        <v>0</v>
      </c>
      <c r="Y770" s="189" t="e">
        <f t="shared" si="45"/>
        <v>#VALUE!</v>
      </c>
      <c r="Z770" s="188">
        <v>0</v>
      </c>
      <c r="AA770" s="189" t="e">
        <f t="shared" si="46"/>
        <v>#VALUE!</v>
      </c>
    </row>
    <row r="771" spans="1:27" x14ac:dyDescent="0.25">
      <c r="A771">
        <v>760802</v>
      </c>
      <c r="B771">
        <v>17031760802</v>
      </c>
      <c r="C771">
        <v>17031</v>
      </c>
      <c r="D771">
        <v>2010</v>
      </c>
      <c r="E771">
        <v>76</v>
      </c>
      <c r="F771">
        <v>65907708.351389199</v>
      </c>
      <c r="G771" s="45">
        <v>2.3641137350561436</v>
      </c>
      <c r="H771" s="60" t="str">
        <f>_xlfn.IFNA(
INDEX('Community Areas'!B$2:B$78,MATCH($E771,'Community Areas'!$A$2:$A$78,0)),
"")</f>
        <v>OHARE</v>
      </c>
      <c r="I771" s="63" t="str">
        <f>_xlfn.IFNA(
INDEX('Community Areas'!C$2:C$78,MATCH($E771,'Community Areas'!$A$2:$A$78,0)),
"")</f>
        <v>2-C</v>
      </c>
      <c r="J771" s="63">
        <f>_xlfn.IFNA(
INDEX('Community Areas'!D$2:D$78,MATCH($E771,'Community Areas'!$A$2:$A$78,0)),
"")</f>
        <v>2</v>
      </c>
      <c r="K771" s="60" t="str">
        <f>_xlfn.IFNA(
INDEX('Community Areas'!E$2:E$78,MATCH($E771,'Community Areas'!$A$2:$A$78,0)),
"")</f>
        <v>NORTHWEST</v>
      </c>
      <c r="L771" s="17" t="e">
        <f>SUMIFS([1]ACSDT5Y2020.B08301_data_with_ov!AT$3:AT$1334,[1]ACSDT5Y2020.B08301_data_with_ov!$AS$3:$AS$1334,$B771)</f>
        <v>#VALUE!</v>
      </c>
      <c r="M771" s="17" t="e">
        <f>SUMIFS([1]ACSDT5Y2020.B08301_data_with_ov!AU$3:AU$1334,[1]ACSDT5Y2020.B08301_data_with_ov!$AS$3:$AS$1334,$B771)</f>
        <v>#VALUE!</v>
      </c>
      <c r="N771" s="17" t="e">
        <f>SUMIFS([1]ACSDT5Y2020.B08301_data_with_ov!AV$3:AV$1334,[1]ACSDT5Y2020.B08301_data_with_ov!$AS$3:$AS$1334,$B771)</f>
        <v>#VALUE!</v>
      </c>
      <c r="O771" s="17" t="e">
        <f>SUMIFS([1]ACSDT5Y2020.B08301_data_with_ov!AW$3:AW$1334,[1]ACSDT5Y2020.B08301_data_with_ov!$AS$3:$AS$1334,$B771)</f>
        <v>#VALUE!</v>
      </c>
      <c r="P771" s="17" t="e">
        <f>SUMIFS([1]ACSDT5Y2020.B08301_data_with_ov!AX$3:AX$1334,[1]ACSDT5Y2020.B08301_data_with_ov!$AS$3:$AS$1334,$B771)</f>
        <v>#VALUE!</v>
      </c>
      <c r="Q771" s="17" t="e">
        <f>SUMIFS([1]ACSDT5Y2020.B08301_data_with_ov!AY$3:AY$1334,[1]ACSDT5Y2020.B08301_data_with_ov!$AS$3:$AS$1334,$B771)</f>
        <v>#VALUE!</v>
      </c>
      <c r="R771" s="17" t="e">
        <f>SUMIFS([1]ACSDT5Y2020.B08301_data_with_ov!AZ$3:AZ$1334,[1]ACSDT5Y2020.B08301_data_with_ov!$AS$3:$AS$1334,$B771)</f>
        <v>#VALUE!</v>
      </c>
      <c r="S771" s="17" t="e">
        <f>SUMIFS([1]ACSDT5Y2020.B08301_data_with_ov!BA$3:BA$1334,[1]ACSDT5Y2020.B08301_data_with_ov!$AS$3:$AS$1334,$B771)</f>
        <v>#VALUE!</v>
      </c>
      <c r="T771" s="188">
        <v>0</v>
      </c>
      <c r="U771" s="189" t="e">
        <f t="shared" si="47"/>
        <v>#VALUE!</v>
      </c>
      <c r="V771" s="188">
        <v>0</v>
      </c>
      <c r="W771" s="189" t="e">
        <f t="shared" si="44"/>
        <v>#VALUE!</v>
      </c>
      <c r="X771" s="188">
        <v>0</v>
      </c>
      <c r="Y771" s="189" t="e">
        <f t="shared" si="45"/>
        <v>#VALUE!</v>
      </c>
      <c r="Z771" s="188">
        <v>0</v>
      </c>
      <c r="AA771" s="189" t="e">
        <f t="shared" si="46"/>
        <v>#VALUE!</v>
      </c>
    </row>
    <row r="772" spans="1:27" x14ac:dyDescent="0.25">
      <c r="A772">
        <v>980000</v>
      </c>
      <c r="B772">
        <v>17031980000</v>
      </c>
      <c r="C772">
        <v>17031</v>
      </c>
      <c r="D772">
        <v>2010</v>
      </c>
      <c r="E772">
        <v>76</v>
      </c>
      <c r="F772">
        <v>203644110.545816</v>
      </c>
      <c r="G772" s="45">
        <v>7.3047273353498055</v>
      </c>
      <c r="H772" s="60" t="str">
        <f>_xlfn.IFNA(
INDEX('Community Areas'!B$2:B$78,MATCH($E772,'Community Areas'!$A$2:$A$78,0)),
"")</f>
        <v>OHARE</v>
      </c>
      <c r="I772" s="63" t="str">
        <f>_xlfn.IFNA(
INDEX('Community Areas'!C$2:C$78,MATCH($E772,'Community Areas'!$A$2:$A$78,0)),
"")</f>
        <v>2-C</v>
      </c>
      <c r="J772" s="63">
        <f>_xlfn.IFNA(
INDEX('Community Areas'!D$2:D$78,MATCH($E772,'Community Areas'!$A$2:$A$78,0)),
"")</f>
        <v>2</v>
      </c>
      <c r="K772" s="60" t="str">
        <f>_xlfn.IFNA(
INDEX('Community Areas'!E$2:E$78,MATCH($E772,'Community Areas'!$A$2:$A$78,0)),
"")</f>
        <v>NORTHWEST</v>
      </c>
      <c r="L772" s="17" t="e">
        <f>SUMIFS([1]ACSDT5Y2020.B08301_data_with_ov!AT$3:AT$1334,[1]ACSDT5Y2020.B08301_data_with_ov!$AS$3:$AS$1334,$B772)</f>
        <v>#VALUE!</v>
      </c>
      <c r="M772" s="17" t="e">
        <f>SUMIFS([1]ACSDT5Y2020.B08301_data_with_ov!AU$3:AU$1334,[1]ACSDT5Y2020.B08301_data_with_ov!$AS$3:$AS$1334,$B772)</f>
        <v>#VALUE!</v>
      </c>
      <c r="N772" s="17" t="e">
        <f>SUMIFS([1]ACSDT5Y2020.B08301_data_with_ov!AV$3:AV$1334,[1]ACSDT5Y2020.B08301_data_with_ov!$AS$3:$AS$1334,$B772)</f>
        <v>#VALUE!</v>
      </c>
      <c r="O772" s="17" t="e">
        <f>SUMIFS([1]ACSDT5Y2020.B08301_data_with_ov!AW$3:AW$1334,[1]ACSDT5Y2020.B08301_data_with_ov!$AS$3:$AS$1334,$B772)</f>
        <v>#VALUE!</v>
      </c>
      <c r="P772" s="17" t="e">
        <f>SUMIFS([1]ACSDT5Y2020.B08301_data_with_ov!AX$3:AX$1334,[1]ACSDT5Y2020.B08301_data_with_ov!$AS$3:$AS$1334,$B772)</f>
        <v>#VALUE!</v>
      </c>
      <c r="Q772" s="17" t="e">
        <f>SUMIFS([1]ACSDT5Y2020.B08301_data_with_ov!AY$3:AY$1334,[1]ACSDT5Y2020.B08301_data_with_ov!$AS$3:$AS$1334,$B772)</f>
        <v>#VALUE!</v>
      </c>
      <c r="R772" s="17" t="e">
        <f>SUMIFS([1]ACSDT5Y2020.B08301_data_with_ov!AZ$3:AZ$1334,[1]ACSDT5Y2020.B08301_data_with_ov!$AS$3:$AS$1334,$B772)</f>
        <v>#VALUE!</v>
      </c>
      <c r="S772" s="17" t="e">
        <f>SUMIFS([1]ACSDT5Y2020.B08301_data_with_ov!BA$3:BA$1334,[1]ACSDT5Y2020.B08301_data_with_ov!$AS$3:$AS$1334,$B772)</f>
        <v>#VALUE!</v>
      </c>
      <c r="T772" s="188">
        <v>0</v>
      </c>
      <c r="U772" s="189" t="e">
        <f t="shared" si="47"/>
        <v>#VALUE!</v>
      </c>
      <c r="V772" s="188">
        <v>0</v>
      </c>
      <c r="W772" s="189" t="e">
        <f t="shared" si="44"/>
        <v>#VALUE!</v>
      </c>
      <c r="X772" s="188">
        <v>0</v>
      </c>
      <c r="Y772" s="189" t="e">
        <f t="shared" si="45"/>
        <v>#VALUE!</v>
      </c>
      <c r="Z772" s="188">
        <v>0</v>
      </c>
      <c r="AA772" s="189" t="e">
        <f t="shared" si="46"/>
        <v>#VALUE!</v>
      </c>
    </row>
    <row r="773" spans="1:27" x14ac:dyDescent="0.25">
      <c r="A773">
        <v>770902</v>
      </c>
      <c r="B773">
        <v>17031770902</v>
      </c>
      <c r="C773">
        <v>17031</v>
      </c>
      <c r="D773">
        <v>2010</v>
      </c>
      <c r="E773">
        <v>76</v>
      </c>
      <c r="F773">
        <v>171540.01189602001</v>
      </c>
      <c r="G773" s="45">
        <v>6.1531512531572833E-3</v>
      </c>
      <c r="H773" s="60" t="str">
        <f>_xlfn.IFNA(
INDEX('Community Areas'!B$2:B$78,MATCH($E773,'Community Areas'!$A$2:$A$78,0)),
"")</f>
        <v>OHARE</v>
      </c>
      <c r="I773" s="63" t="str">
        <f>_xlfn.IFNA(
INDEX('Community Areas'!C$2:C$78,MATCH($E773,'Community Areas'!$A$2:$A$78,0)),
"")</f>
        <v>2-C</v>
      </c>
      <c r="J773" s="63">
        <f>_xlfn.IFNA(
INDEX('Community Areas'!D$2:D$78,MATCH($E773,'Community Areas'!$A$2:$A$78,0)),
"")</f>
        <v>2</v>
      </c>
      <c r="K773" s="60" t="str">
        <f>_xlfn.IFNA(
INDEX('Community Areas'!E$2:E$78,MATCH($E773,'Community Areas'!$A$2:$A$78,0)),
"")</f>
        <v>NORTHWEST</v>
      </c>
      <c r="L773" s="17" t="e">
        <f>SUMIFS([1]ACSDT5Y2020.B08301_data_with_ov!AT$3:AT$1334,[1]ACSDT5Y2020.B08301_data_with_ov!$AS$3:$AS$1334,$B773)</f>
        <v>#VALUE!</v>
      </c>
      <c r="M773" s="17" t="e">
        <f>SUMIFS([1]ACSDT5Y2020.B08301_data_with_ov!AU$3:AU$1334,[1]ACSDT5Y2020.B08301_data_with_ov!$AS$3:$AS$1334,$B773)</f>
        <v>#VALUE!</v>
      </c>
      <c r="N773" s="17" t="e">
        <f>SUMIFS([1]ACSDT5Y2020.B08301_data_with_ov!AV$3:AV$1334,[1]ACSDT5Y2020.B08301_data_with_ov!$AS$3:$AS$1334,$B773)</f>
        <v>#VALUE!</v>
      </c>
      <c r="O773" s="17" t="e">
        <f>SUMIFS([1]ACSDT5Y2020.B08301_data_with_ov!AW$3:AW$1334,[1]ACSDT5Y2020.B08301_data_with_ov!$AS$3:$AS$1334,$B773)</f>
        <v>#VALUE!</v>
      </c>
      <c r="P773" s="17" t="e">
        <f>SUMIFS([1]ACSDT5Y2020.B08301_data_with_ov!AX$3:AX$1334,[1]ACSDT5Y2020.B08301_data_with_ov!$AS$3:$AS$1334,$B773)</f>
        <v>#VALUE!</v>
      </c>
      <c r="Q773" s="17" t="e">
        <f>SUMIFS([1]ACSDT5Y2020.B08301_data_with_ov!AY$3:AY$1334,[1]ACSDT5Y2020.B08301_data_with_ov!$AS$3:$AS$1334,$B773)</f>
        <v>#VALUE!</v>
      </c>
      <c r="R773" s="17" t="e">
        <f>SUMIFS([1]ACSDT5Y2020.B08301_data_with_ov!AZ$3:AZ$1334,[1]ACSDT5Y2020.B08301_data_with_ov!$AS$3:$AS$1334,$B773)</f>
        <v>#VALUE!</v>
      </c>
      <c r="S773" s="17" t="e">
        <f>SUMIFS([1]ACSDT5Y2020.B08301_data_with_ov!BA$3:BA$1334,[1]ACSDT5Y2020.B08301_data_with_ov!$AS$3:$AS$1334,$B773)</f>
        <v>#VALUE!</v>
      </c>
      <c r="T773" s="188">
        <v>0</v>
      </c>
      <c r="U773" s="189" t="e">
        <f t="shared" si="47"/>
        <v>#VALUE!</v>
      </c>
      <c r="V773" s="188">
        <v>0</v>
      </c>
      <c r="W773" s="189" t="e">
        <f t="shared" si="44"/>
        <v>#VALUE!</v>
      </c>
      <c r="X773" s="188">
        <v>0</v>
      </c>
      <c r="Y773" s="189" t="e">
        <f t="shared" si="45"/>
        <v>#VALUE!</v>
      </c>
      <c r="Z773" s="188">
        <v>0</v>
      </c>
      <c r="AA773" s="189" t="e">
        <f t="shared" si="46"/>
        <v>#VALUE!</v>
      </c>
    </row>
    <row r="774" spans="1:27" x14ac:dyDescent="0.25">
      <c r="A774">
        <v>30104</v>
      </c>
      <c r="B774">
        <v>17031030104</v>
      </c>
      <c r="C774">
        <v>17031</v>
      </c>
      <c r="D774">
        <v>2010</v>
      </c>
      <c r="E774">
        <v>77</v>
      </c>
      <c r="F774">
        <v>1212988.9976393499</v>
      </c>
      <c r="G774" s="45">
        <v>4.3509993315231504E-2</v>
      </c>
      <c r="H774" s="60" t="str">
        <f>_xlfn.IFNA(
INDEX('Community Areas'!B$2:B$78,MATCH($E774,'Community Areas'!$A$2:$A$78,0)),
"")</f>
        <v>EDGEWATER</v>
      </c>
      <c r="I774" s="63" t="str">
        <f>_xlfn.IFNA(
INDEX('Community Areas'!C$2:C$78,MATCH($E774,'Community Areas'!$A$2:$A$78,0)),
"")</f>
        <v>1-A</v>
      </c>
      <c r="J774" s="63">
        <f>_xlfn.IFNA(
INDEX('Community Areas'!D$2:D$78,MATCH($E774,'Community Areas'!$A$2:$A$78,0)),
"")</f>
        <v>1</v>
      </c>
      <c r="K774" s="60" t="str">
        <f>_xlfn.IFNA(
INDEX('Community Areas'!E$2:E$78,MATCH($E774,'Community Areas'!$A$2:$A$78,0)),
"")</f>
        <v>NORTH</v>
      </c>
      <c r="L774" s="17" t="e">
        <f>SUMIFS([1]ACSDT5Y2020.B08301_data_with_ov!AT$3:AT$1334,[1]ACSDT5Y2020.B08301_data_with_ov!$AS$3:$AS$1334,$B774)</f>
        <v>#VALUE!</v>
      </c>
      <c r="M774" s="17" t="e">
        <f>SUMIFS([1]ACSDT5Y2020.B08301_data_with_ov!AU$3:AU$1334,[1]ACSDT5Y2020.B08301_data_with_ov!$AS$3:$AS$1334,$B774)</f>
        <v>#VALUE!</v>
      </c>
      <c r="N774" s="17" t="e">
        <f>SUMIFS([1]ACSDT5Y2020.B08301_data_with_ov!AV$3:AV$1334,[1]ACSDT5Y2020.B08301_data_with_ov!$AS$3:$AS$1334,$B774)</f>
        <v>#VALUE!</v>
      </c>
      <c r="O774" s="17" t="e">
        <f>SUMIFS([1]ACSDT5Y2020.B08301_data_with_ov!AW$3:AW$1334,[1]ACSDT5Y2020.B08301_data_with_ov!$AS$3:$AS$1334,$B774)</f>
        <v>#VALUE!</v>
      </c>
      <c r="P774" s="17" t="e">
        <f>SUMIFS([1]ACSDT5Y2020.B08301_data_with_ov!AX$3:AX$1334,[1]ACSDT5Y2020.B08301_data_with_ov!$AS$3:$AS$1334,$B774)</f>
        <v>#VALUE!</v>
      </c>
      <c r="Q774" s="17" t="e">
        <f>SUMIFS([1]ACSDT5Y2020.B08301_data_with_ov!AY$3:AY$1334,[1]ACSDT5Y2020.B08301_data_with_ov!$AS$3:$AS$1334,$B774)</f>
        <v>#VALUE!</v>
      </c>
      <c r="R774" s="17" t="e">
        <f>SUMIFS([1]ACSDT5Y2020.B08301_data_with_ov!AZ$3:AZ$1334,[1]ACSDT5Y2020.B08301_data_with_ov!$AS$3:$AS$1334,$B774)</f>
        <v>#VALUE!</v>
      </c>
      <c r="S774" s="17" t="e">
        <f>SUMIFS([1]ACSDT5Y2020.B08301_data_with_ov!BA$3:BA$1334,[1]ACSDT5Y2020.B08301_data_with_ov!$AS$3:$AS$1334,$B774)</f>
        <v>#VALUE!</v>
      </c>
      <c r="T774" s="188">
        <v>4.3509987682145673E-2</v>
      </c>
      <c r="U774" s="189" t="e">
        <f t="shared" si="47"/>
        <v>#VALUE!</v>
      </c>
      <c r="V774" s="188">
        <v>4.3509987682145673E-2</v>
      </c>
      <c r="W774" s="189" t="e">
        <f t="shared" ref="W774:W809" si="48">(V774/$G774)*$L774</f>
        <v>#VALUE!</v>
      </c>
      <c r="X774" s="188">
        <v>4.3509987682145673E-2</v>
      </c>
      <c r="Y774" s="189" t="e">
        <f t="shared" ref="Y774:Y809" si="49">(X774/$G774)*$L774</f>
        <v>#VALUE!</v>
      </c>
      <c r="Z774" s="188">
        <v>4.3509987682145673E-2</v>
      </c>
      <c r="AA774" s="189" t="e">
        <f t="shared" ref="AA774:AA809" si="50">(Z774/$G774)*$L774</f>
        <v>#VALUE!</v>
      </c>
    </row>
    <row r="775" spans="1:27" x14ac:dyDescent="0.25">
      <c r="A775">
        <v>30601</v>
      </c>
      <c r="B775">
        <v>17031030601</v>
      </c>
      <c r="C775">
        <v>17031</v>
      </c>
      <c r="D775">
        <v>2010</v>
      </c>
      <c r="E775">
        <v>77</v>
      </c>
      <c r="F775">
        <v>1628644.98959328</v>
      </c>
      <c r="G775" s="45">
        <v>5.8419600464634985E-2</v>
      </c>
      <c r="H775" s="60" t="str">
        <f>_xlfn.IFNA(
INDEX('Community Areas'!B$2:B$78,MATCH($E775,'Community Areas'!$A$2:$A$78,0)),
"")</f>
        <v>EDGEWATER</v>
      </c>
      <c r="I775" s="63" t="str">
        <f>_xlfn.IFNA(
INDEX('Community Areas'!C$2:C$78,MATCH($E775,'Community Areas'!$A$2:$A$78,0)),
"")</f>
        <v>1-A</v>
      </c>
      <c r="J775" s="63">
        <f>_xlfn.IFNA(
INDEX('Community Areas'!D$2:D$78,MATCH($E775,'Community Areas'!$A$2:$A$78,0)),
"")</f>
        <v>1</v>
      </c>
      <c r="K775" s="60" t="str">
        <f>_xlfn.IFNA(
INDEX('Community Areas'!E$2:E$78,MATCH($E775,'Community Areas'!$A$2:$A$78,0)),
"")</f>
        <v>NORTH</v>
      </c>
      <c r="L775" s="17" t="e">
        <f>SUMIFS([1]ACSDT5Y2020.B08301_data_with_ov!AT$3:AT$1334,[1]ACSDT5Y2020.B08301_data_with_ov!$AS$3:$AS$1334,$B775)</f>
        <v>#VALUE!</v>
      </c>
      <c r="M775" s="17" t="e">
        <f>SUMIFS([1]ACSDT5Y2020.B08301_data_with_ov!AU$3:AU$1334,[1]ACSDT5Y2020.B08301_data_with_ov!$AS$3:$AS$1334,$B775)</f>
        <v>#VALUE!</v>
      </c>
      <c r="N775" s="17" t="e">
        <f>SUMIFS([1]ACSDT5Y2020.B08301_data_with_ov!AV$3:AV$1334,[1]ACSDT5Y2020.B08301_data_with_ov!$AS$3:$AS$1334,$B775)</f>
        <v>#VALUE!</v>
      </c>
      <c r="O775" s="17" t="e">
        <f>SUMIFS([1]ACSDT5Y2020.B08301_data_with_ov!AW$3:AW$1334,[1]ACSDT5Y2020.B08301_data_with_ov!$AS$3:$AS$1334,$B775)</f>
        <v>#VALUE!</v>
      </c>
      <c r="P775" s="17" t="e">
        <f>SUMIFS([1]ACSDT5Y2020.B08301_data_with_ov!AX$3:AX$1334,[1]ACSDT5Y2020.B08301_data_with_ov!$AS$3:$AS$1334,$B775)</f>
        <v>#VALUE!</v>
      </c>
      <c r="Q775" s="17" t="e">
        <f>SUMIFS([1]ACSDT5Y2020.B08301_data_with_ov!AY$3:AY$1334,[1]ACSDT5Y2020.B08301_data_with_ov!$AS$3:$AS$1334,$B775)</f>
        <v>#VALUE!</v>
      </c>
      <c r="R775" s="17" t="e">
        <f>SUMIFS([1]ACSDT5Y2020.B08301_data_with_ov!AZ$3:AZ$1334,[1]ACSDT5Y2020.B08301_data_with_ov!$AS$3:$AS$1334,$B775)</f>
        <v>#VALUE!</v>
      </c>
      <c r="S775" s="17" t="e">
        <f>SUMIFS([1]ACSDT5Y2020.B08301_data_with_ov!BA$3:BA$1334,[1]ACSDT5Y2020.B08301_data_with_ov!$AS$3:$AS$1334,$B775)</f>
        <v>#VALUE!</v>
      </c>
      <c r="T775" s="188">
        <v>5.8419604086612578E-2</v>
      </c>
      <c r="U775" s="189" t="e">
        <f t="shared" ref="U775:U809" si="51">(T775/$G775)*$L775</f>
        <v>#VALUE!</v>
      </c>
      <c r="V775" s="188">
        <v>5.8419604086612578E-2</v>
      </c>
      <c r="W775" s="189" t="e">
        <f t="shared" si="48"/>
        <v>#VALUE!</v>
      </c>
      <c r="X775" s="188">
        <v>5.8419604086612578E-2</v>
      </c>
      <c r="Y775" s="189" t="e">
        <f t="shared" si="49"/>
        <v>#VALUE!</v>
      </c>
      <c r="Z775" s="188">
        <v>5.8419604086612578E-2</v>
      </c>
      <c r="AA775" s="189" t="e">
        <f t="shared" si="50"/>
        <v>#VALUE!</v>
      </c>
    </row>
    <row r="776" spans="1:27" x14ac:dyDescent="0.25">
      <c r="A776">
        <v>30200</v>
      </c>
      <c r="B776">
        <v>17031030200</v>
      </c>
      <c r="C776">
        <v>17031</v>
      </c>
      <c r="D776">
        <v>2010</v>
      </c>
      <c r="E776">
        <v>77</v>
      </c>
      <c r="F776">
        <v>7170037.4388584998</v>
      </c>
      <c r="G776" s="45">
        <v>0.25718970381580364</v>
      </c>
      <c r="H776" s="60" t="str">
        <f>_xlfn.IFNA(
INDEX('Community Areas'!B$2:B$78,MATCH($E776,'Community Areas'!$A$2:$A$78,0)),
"")</f>
        <v>EDGEWATER</v>
      </c>
      <c r="I776" s="63" t="str">
        <f>_xlfn.IFNA(
INDEX('Community Areas'!C$2:C$78,MATCH($E776,'Community Areas'!$A$2:$A$78,0)),
"")</f>
        <v>1-A</v>
      </c>
      <c r="J776" s="63">
        <f>_xlfn.IFNA(
INDEX('Community Areas'!D$2:D$78,MATCH($E776,'Community Areas'!$A$2:$A$78,0)),
"")</f>
        <v>1</v>
      </c>
      <c r="K776" s="60" t="str">
        <f>_xlfn.IFNA(
INDEX('Community Areas'!E$2:E$78,MATCH($E776,'Community Areas'!$A$2:$A$78,0)),
"")</f>
        <v>NORTH</v>
      </c>
      <c r="L776" s="17" t="e">
        <f>SUMIFS([1]ACSDT5Y2020.B08301_data_with_ov!AT$3:AT$1334,[1]ACSDT5Y2020.B08301_data_with_ov!$AS$3:$AS$1334,$B776)</f>
        <v>#VALUE!</v>
      </c>
      <c r="M776" s="17" t="e">
        <f>SUMIFS([1]ACSDT5Y2020.B08301_data_with_ov!AU$3:AU$1334,[1]ACSDT5Y2020.B08301_data_with_ov!$AS$3:$AS$1334,$B776)</f>
        <v>#VALUE!</v>
      </c>
      <c r="N776" s="17" t="e">
        <f>SUMIFS([1]ACSDT5Y2020.B08301_data_with_ov!AV$3:AV$1334,[1]ACSDT5Y2020.B08301_data_with_ov!$AS$3:$AS$1334,$B776)</f>
        <v>#VALUE!</v>
      </c>
      <c r="O776" s="17" t="e">
        <f>SUMIFS([1]ACSDT5Y2020.B08301_data_with_ov!AW$3:AW$1334,[1]ACSDT5Y2020.B08301_data_with_ov!$AS$3:$AS$1334,$B776)</f>
        <v>#VALUE!</v>
      </c>
      <c r="P776" s="17" t="e">
        <f>SUMIFS([1]ACSDT5Y2020.B08301_data_with_ov!AX$3:AX$1334,[1]ACSDT5Y2020.B08301_data_with_ov!$AS$3:$AS$1334,$B776)</f>
        <v>#VALUE!</v>
      </c>
      <c r="Q776" s="17" t="e">
        <f>SUMIFS([1]ACSDT5Y2020.B08301_data_with_ov!AY$3:AY$1334,[1]ACSDT5Y2020.B08301_data_with_ov!$AS$3:$AS$1334,$B776)</f>
        <v>#VALUE!</v>
      </c>
      <c r="R776" s="17" t="e">
        <f>SUMIFS([1]ACSDT5Y2020.B08301_data_with_ov!AZ$3:AZ$1334,[1]ACSDT5Y2020.B08301_data_with_ov!$AS$3:$AS$1334,$B776)</f>
        <v>#VALUE!</v>
      </c>
      <c r="S776" s="17" t="e">
        <f>SUMIFS([1]ACSDT5Y2020.B08301_data_with_ov!BA$3:BA$1334,[1]ACSDT5Y2020.B08301_data_with_ov!$AS$3:$AS$1334,$B776)</f>
        <v>#VALUE!</v>
      </c>
      <c r="T776" s="188">
        <v>0.2571897074113712</v>
      </c>
      <c r="U776" s="189" t="e">
        <f t="shared" si="51"/>
        <v>#VALUE!</v>
      </c>
      <c r="V776" s="188">
        <v>0.2571897074113712</v>
      </c>
      <c r="W776" s="189" t="e">
        <f t="shared" si="48"/>
        <v>#VALUE!</v>
      </c>
      <c r="X776" s="188">
        <v>0.2571897074113712</v>
      </c>
      <c r="Y776" s="189" t="e">
        <f t="shared" si="49"/>
        <v>#VALUE!</v>
      </c>
      <c r="Z776" s="188">
        <v>0.2571897074113712</v>
      </c>
      <c r="AA776" s="189" t="e">
        <f t="shared" si="50"/>
        <v>#VALUE!</v>
      </c>
    </row>
    <row r="777" spans="1:27" x14ac:dyDescent="0.25">
      <c r="A777">
        <v>30300</v>
      </c>
      <c r="B777">
        <v>17031030300</v>
      </c>
      <c r="C777">
        <v>17031</v>
      </c>
      <c r="D777">
        <v>2010</v>
      </c>
      <c r="E777">
        <v>77</v>
      </c>
      <c r="F777">
        <v>3395416.5507627199</v>
      </c>
      <c r="G777" s="45">
        <v>0.12179380993036616</v>
      </c>
      <c r="H777" s="60" t="str">
        <f>_xlfn.IFNA(
INDEX('Community Areas'!B$2:B$78,MATCH($E777,'Community Areas'!$A$2:$A$78,0)),
"")</f>
        <v>EDGEWATER</v>
      </c>
      <c r="I777" s="63" t="str">
        <f>_xlfn.IFNA(
INDEX('Community Areas'!C$2:C$78,MATCH($E777,'Community Areas'!$A$2:$A$78,0)),
"")</f>
        <v>1-A</v>
      </c>
      <c r="J777" s="63">
        <f>_xlfn.IFNA(
INDEX('Community Areas'!D$2:D$78,MATCH($E777,'Community Areas'!$A$2:$A$78,0)),
"")</f>
        <v>1</v>
      </c>
      <c r="K777" s="60" t="str">
        <f>_xlfn.IFNA(
INDEX('Community Areas'!E$2:E$78,MATCH($E777,'Community Areas'!$A$2:$A$78,0)),
"")</f>
        <v>NORTH</v>
      </c>
      <c r="L777" s="17" t="e">
        <f>SUMIFS([1]ACSDT5Y2020.B08301_data_with_ov!AT$3:AT$1334,[1]ACSDT5Y2020.B08301_data_with_ov!$AS$3:$AS$1334,$B777)</f>
        <v>#VALUE!</v>
      </c>
      <c r="M777" s="17" t="e">
        <f>SUMIFS([1]ACSDT5Y2020.B08301_data_with_ov!AU$3:AU$1334,[1]ACSDT5Y2020.B08301_data_with_ov!$AS$3:$AS$1334,$B777)</f>
        <v>#VALUE!</v>
      </c>
      <c r="N777" s="17" t="e">
        <f>SUMIFS([1]ACSDT5Y2020.B08301_data_with_ov!AV$3:AV$1334,[1]ACSDT5Y2020.B08301_data_with_ov!$AS$3:$AS$1334,$B777)</f>
        <v>#VALUE!</v>
      </c>
      <c r="O777" s="17" t="e">
        <f>SUMIFS([1]ACSDT5Y2020.B08301_data_with_ov!AW$3:AW$1334,[1]ACSDT5Y2020.B08301_data_with_ov!$AS$3:$AS$1334,$B777)</f>
        <v>#VALUE!</v>
      </c>
      <c r="P777" s="17" t="e">
        <f>SUMIFS([1]ACSDT5Y2020.B08301_data_with_ov!AX$3:AX$1334,[1]ACSDT5Y2020.B08301_data_with_ov!$AS$3:$AS$1334,$B777)</f>
        <v>#VALUE!</v>
      </c>
      <c r="Q777" s="17" t="e">
        <f>SUMIFS([1]ACSDT5Y2020.B08301_data_with_ov!AY$3:AY$1334,[1]ACSDT5Y2020.B08301_data_with_ov!$AS$3:$AS$1334,$B777)</f>
        <v>#VALUE!</v>
      </c>
      <c r="R777" s="17" t="e">
        <f>SUMIFS([1]ACSDT5Y2020.B08301_data_with_ov!AZ$3:AZ$1334,[1]ACSDT5Y2020.B08301_data_with_ov!$AS$3:$AS$1334,$B777)</f>
        <v>#VALUE!</v>
      </c>
      <c r="S777" s="17" t="e">
        <f>SUMIFS([1]ACSDT5Y2020.B08301_data_with_ov!BA$3:BA$1334,[1]ACSDT5Y2020.B08301_data_with_ov!$AS$3:$AS$1334,$B777)</f>
        <v>#VALUE!</v>
      </c>
      <c r="T777" s="188">
        <v>0.12179381007886177</v>
      </c>
      <c r="U777" s="189" t="e">
        <f t="shared" si="51"/>
        <v>#VALUE!</v>
      </c>
      <c r="V777" s="188">
        <v>0.12179381007886177</v>
      </c>
      <c r="W777" s="189" t="e">
        <f t="shared" si="48"/>
        <v>#VALUE!</v>
      </c>
      <c r="X777" s="188">
        <v>0.12179381007886177</v>
      </c>
      <c r="Y777" s="189" t="e">
        <f t="shared" si="49"/>
        <v>#VALUE!</v>
      </c>
      <c r="Z777" s="188">
        <v>0.12179381007886177</v>
      </c>
      <c r="AA777" s="189" t="e">
        <f t="shared" si="50"/>
        <v>#VALUE!</v>
      </c>
    </row>
    <row r="778" spans="1:27" x14ac:dyDescent="0.25">
      <c r="A778">
        <v>30400</v>
      </c>
      <c r="B778">
        <v>17031030400</v>
      </c>
      <c r="C778">
        <v>17031</v>
      </c>
      <c r="D778">
        <v>2010</v>
      </c>
      <c r="E778">
        <v>77</v>
      </c>
      <c r="F778">
        <v>3727429.8261120399</v>
      </c>
      <c r="G778" s="45">
        <v>0.13370314745867912</v>
      </c>
      <c r="H778" s="60" t="str">
        <f>_xlfn.IFNA(
INDEX('Community Areas'!B$2:B$78,MATCH($E778,'Community Areas'!$A$2:$A$78,0)),
"")</f>
        <v>EDGEWATER</v>
      </c>
      <c r="I778" s="63" t="str">
        <f>_xlfn.IFNA(
INDEX('Community Areas'!C$2:C$78,MATCH($E778,'Community Areas'!$A$2:$A$78,0)),
"")</f>
        <v>1-A</v>
      </c>
      <c r="J778" s="63">
        <f>_xlfn.IFNA(
INDEX('Community Areas'!D$2:D$78,MATCH($E778,'Community Areas'!$A$2:$A$78,0)),
"")</f>
        <v>1</v>
      </c>
      <c r="K778" s="60" t="str">
        <f>_xlfn.IFNA(
INDEX('Community Areas'!E$2:E$78,MATCH($E778,'Community Areas'!$A$2:$A$78,0)),
"")</f>
        <v>NORTH</v>
      </c>
      <c r="L778" s="17" t="e">
        <f>SUMIFS([1]ACSDT5Y2020.B08301_data_with_ov!AT$3:AT$1334,[1]ACSDT5Y2020.B08301_data_with_ov!$AS$3:$AS$1334,$B778)</f>
        <v>#VALUE!</v>
      </c>
      <c r="M778" s="17" t="e">
        <f>SUMIFS([1]ACSDT5Y2020.B08301_data_with_ov!AU$3:AU$1334,[1]ACSDT5Y2020.B08301_data_with_ov!$AS$3:$AS$1334,$B778)</f>
        <v>#VALUE!</v>
      </c>
      <c r="N778" s="17" t="e">
        <f>SUMIFS([1]ACSDT5Y2020.B08301_data_with_ov!AV$3:AV$1334,[1]ACSDT5Y2020.B08301_data_with_ov!$AS$3:$AS$1334,$B778)</f>
        <v>#VALUE!</v>
      </c>
      <c r="O778" s="17" t="e">
        <f>SUMIFS([1]ACSDT5Y2020.B08301_data_with_ov!AW$3:AW$1334,[1]ACSDT5Y2020.B08301_data_with_ov!$AS$3:$AS$1334,$B778)</f>
        <v>#VALUE!</v>
      </c>
      <c r="P778" s="17" t="e">
        <f>SUMIFS([1]ACSDT5Y2020.B08301_data_with_ov!AX$3:AX$1334,[1]ACSDT5Y2020.B08301_data_with_ov!$AS$3:$AS$1334,$B778)</f>
        <v>#VALUE!</v>
      </c>
      <c r="Q778" s="17" t="e">
        <f>SUMIFS([1]ACSDT5Y2020.B08301_data_with_ov!AY$3:AY$1334,[1]ACSDT5Y2020.B08301_data_with_ov!$AS$3:$AS$1334,$B778)</f>
        <v>#VALUE!</v>
      </c>
      <c r="R778" s="17" t="e">
        <f>SUMIFS([1]ACSDT5Y2020.B08301_data_with_ov!AZ$3:AZ$1334,[1]ACSDT5Y2020.B08301_data_with_ov!$AS$3:$AS$1334,$B778)</f>
        <v>#VALUE!</v>
      </c>
      <c r="S778" s="17" t="e">
        <f>SUMIFS([1]ACSDT5Y2020.B08301_data_with_ov!BA$3:BA$1334,[1]ACSDT5Y2020.B08301_data_with_ov!$AS$3:$AS$1334,$B778)</f>
        <v>#VALUE!</v>
      </c>
      <c r="T778" s="188">
        <v>0.13370314751661752</v>
      </c>
      <c r="U778" s="189" t="e">
        <f t="shared" si="51"/>
        <v>#VALUE!</v>
      </c>
      <c r="V778" s="188">
        <v>0.13370314751661752</v>
      </c>
      <c r="W778" s="189" t="e">
        <f t="shared" si="48"/>
        <v>#VALUE!</v>
      </c>
      <c r="X778" s="188">
        <v>0.13370314751661752</v>
      </c>
      <c r="Y778" s="189" t="e">
        <f t="shared" si="49"/>
        <v>#VALUE!</v>
      </c>
      <c r="Z778" s="188">
        <v>0.13370314751661752</v>
      </c>
      <c r="AA778" s="189" t="e">
        <f t="shared" si="50"/>
        <v>#VALUE!</v>
      </c>
    </row>
    <row r="779" spans="1:27" x14ac:dyDescent="0.25">
      <c r="A779">
        <v>30701</v>
      </c>
      <c r="B779">
        <v>17031030701</v>
      </c>
      <c r="C779">
        <v>17031</v>
      </c>
      <c r="D779">
        <v>2010</v>
      </c>
      <c r="E779">
        <v>77</v>
      </c>
      <c r="F779">
        <v>752102.777029327</v>
      </c>
      <c r="G779" s="45">
        <v>2.6977974956573083E-2</v>
      </c>
      <c r="H779" s="60" t="str">
        <f>_xlfn.IFNA(
INDEX('Community Areas'!B$2:B$78,MATCH($E779,'Community Areas'!$A$2:$A$78,0)),
"")</f>
        <v>EDGEWATER</v>
      </c>
      <c r="I779" s="63" t="str">
        <f>_xlfn.IFNA(
INDEX('Community Areas'!C$2:C$78,MATCH($E779,'Community Areas'!$A$2:$A$78,0)),
"")</f>
        <v>1-A</v>
      </c>
      <c r="J779" s="63">
        <f>_xlfn.IFNA(
INDEX('Community Areas'!D$2:D$78,MATCH($E779,'Community Areas'!$A$2:$A$78,0)),
"")</f>
        <v>1</v>
      </c>
      <c r="K779" s="60" t="str">
        <f>_xlfn.IFNA(
INDEX('Community Areas'!E$2:E$78,MATCH($E779,'Community Areas'!$A$2:$A$78,0)),
"")</f>
        <v>NORTH</v>
      </c>
      <c r="L779" s="17" t="e">
        <f>SUMIFS([1]ACSDT5Y2020.B08301_data_with_ov!AT$3:AT$1334,[1]ACSDT5Y2020.B08301_data_with_ov!$AS$3:$AS$1334,$B779)</f>
        <v>#VALUE!</v>
      </c>
      <c r="M779" s="17" t="e">
        <f>SUMIFS([1]ACSDT5Y2020.B08301_data_with_ov!AU$3:AU$1334,[1]ACSDT5Y2020.B08301_data_with_ov!$AS$3:$AS$1334,$B779)</f>
        <v>#VALUE!</v>
      </c>
      <c r="N779" s="17" t="e">
        <f>SUMIFS([1]ACSDT5Y2020.B08301_data_with_ov!AV$3:AV$1334,[1]ACSDT5Y2020.B08301_data_with_ov!$AS$3:$AS$1334,$B779)</f>
        <v>#VALUE!</v>
      </c>
      <c r="O779" s="17" t="e">
        <f>SUMIFS([1]ACSDT5Y2020.B08301_data_with_ov!AW$3:AW$1334,[1]ACSDT5Y2020.B08301_data_with_ov!$AS$3:$AS$1334,$B779)</f>
        <v>#VALUE!</v>
      </c>
      <c r="P779" s="17" t="e">
        <f>SUMIFS([1]ACSDT5Y2020.B08301_data_with_ov!AX$3:AX$1334,[1]ACSDT5Y2020.B08301_data_with_ov!$AS$3:$AS$1334,$B779)</f>
        <v>#VALUE!</v>
      </c>
      <c r="Q779" s="17" t="e">
        <f>SUMIFS([1]ACSDT5Y2020.B08301_data_with_ov!AY$3:AY$1334,[1]ACSDT5Y2020.B08301_data_with_ov!$AS$3:$AS$1334,$B779)</f>
        <v>#VALUE!</v>
      </c>
      <c r="R779" s="17" t="e">
        <f>SUMIFS([1]ACSDT5Y2020.B08301_data_with_ov!AZ$3:AZ$1334,[1]ACSDT5Y2020.B08301_data_with_ov!$AS$3:$AS$1334,$B779)</f>
        <v>#VALUE!</v>
      </c>
      <c r="S779" s="17" t="e">
        <f>SUMIFS([1]ACSDT5Y2020.B08301_data_with_ov!BA$3:BA$1334,[1]ACSDT5Y2020.B08301_data_with_ov!$AS$3:$AS$1334,$B779)</f>
        <v>#VALUE!</v>
      </c>
      <c r="T779" s="188">
        <v>2.6977974370091935E-2</v>
      </c>
      <c r="U779" s="189" t="e">
        <f t="shared" si="51"/>
        <v>#VALUE!</v>
      </c>
      <c r="V779" s="188">
        <v>2.6977974370091935E-2</v>
      </c>
      <c r="W779" s="189" t="e">
        <f t="shared" si="48"/>
        <v>#VALUE!</v>
      </c>
      <c r="X779" s="188">
        <v>2.6977974370091935E-2</v>
      </c>
      <c r="Y779" s="189" t="e">
        <f t="shared" si="49"/>
        <v>#VALUE!</v>
      </c>
      <c r="Z779" s="188">
        <v>2.6977974370091935E-2</v>
      </c>
      <c r="AA779" s="189" t="e">
        <f t="shared" si="50"/>
        <v>#VALUE!</v>
      </c>
    </row>
    <row r="780" spans="1:27" x14ac:dyDescent="0.25">
      <c r="A780">
        <v>30800</v>
      </c>
      <c r="B780">
        <v>17031030800</v>
      </c>
      <c r="C780">
        <v>17031</v>
      </c>
      <c r="D780">
        <v>2010</v>
      </c>
      <c r="E780">
        <v>77</v>
      </c>
      <c r="F780">
        <v>6107591.9586691996</v>
      </c>
      <c r="G780" s="45">
        <v>0.21907971614831553</v>
      </c>
      <c r="H780" s="60" t="str">
        <f>_xlfn.IFNA(
INDEX('Community Areas'!B$2:B$78,MATCH($E780,'Community Areas'!$A$2:$A$78,0)),
"")</f>
        <v>EDGEWATER</v>
      </c>
      <c r="I780" s="63" t="str">
        <f>_xlfn.IFNA(
INDEX('Community Areas'!C$2:C$78,MATCH($E780,'Community Areas'!$A$2:$A$78,0)),
"")</f>
        <v>1-A</v>
      </c>
      <c r="J780" s="63">
        <f>_xlfn.IFNA(
INDEX('Community Areas'!D$2:D$78,MATCH($E780,'Community Areas'!$A$2:$A$78,0)),
"")</f>
        <v>1</v>
      </c>
      <c r="K780" s="60" t="str">
        <f>_xlfn.IFNA(
INDEX('Community Areas'!E$2:E$78,MATCH($E780,'Community Areas'!$A$2:$A$78,0)),
"")</f>
        <v>NORTH</v>
      </c>
      <c r="L780" s="17" t="e">
        <f>SUMIFS([1]ACSDT5Y2020.B08301_data_with_ov!AT$3:AT$1334,[1]ACSDT5Y2020.B08301_data_with_ov!$AS$3:$AS$1334,$B780)</f>
        <v>#VALUE!</v>
      </c>
      <c r="M780" s="17" t="e">
        <f>SUMIFS([1]ACSDT5Y2020.B08301_data_with_ov!AU$3:AU$1334,[1]ACSDT5Y2020.B08301_data_with_ov!$AS$3:$AS$1334,$B780)</f>
        <v>#VALUE!</v>
      </c>
      <c r="N780" s="17" t="e">
        <f>SUMIFS([1]ACSDT5Y2020.B08301_data_with_ov!AV$3:AV$1334,[1]ACSDT5Y2020.B08301_data_with_ov!$AS$3:$AS$1334,$B780)</f>
        <v>#VALUE!</v>
      </c>
      <c r="O780" s="17" t="e">
        <f>SUMIFS([1]ACSDT5Y2020.B08301_data_with_ov!AW$3:AW$1334,[1]ACSDT5Y2020.B08301_data_with_ov!$AS$3:$AS$1334,$B780)</f>
        <v>#VALUE!</v>
      </c>
      <c r="P780" s="17" t="e">
        <f>SUMIFS([1]ACSDT5Y2020.B08301_data_with_ov!AX$3:AX$1334,[1]ACSDT5Y2020.B08301_data_with_ov!$AS$3:$AS$1334,$B780)</f>
        <v>#VALUE!</v>
      </c>
      <c r="Q780" s="17" t="e">
        <f>SUMIFS([1]ACSDT5Y2020.B08301_data_with_ov!AY$3:AY$1334,[1]ACSDT5Y2020.B08301_data_with_ov!$AS$3:$AS$1334,$B780)</f>
        <v>#VALUE!</v>
      </c>
      <c r="R780" s="17" t="e">
        <f>SUMIFS([1]ACSDT5Y2020.B08301_data_with_ov!AZ$3:AZ$1334,[1]ACSDT5Y2020.B08301_data_with_ov!$AS$3:$AS$1334,$B780)</f>
        <v>#VALUE!</v>
      </c>
      <c r="S780" s="17" t="e">
        <f>SUMIFS([1]ACSDT5Y2020.B08301_data_with_ov!BA$3:BA$1334,[1]ACSDT5Y2020.B08301_data_with_ov!$AS$3:$AS$1334,$B780)</f>
        <v>#VALUE!</v>
      </c>
      <c r="T780" s="188">
        <v>0.21907971468525705</v>
      </c>
      <c r="U780" s="189" t="e">
        <f t="shared" si="51"/>
        <v>#VALUE!</v>
      </c>
      <c r="V780" s="188">
        <v>0.21907971468525705</v>
      </c>
      <c r="W780" s="189" t="e">
        <f t="shared" si="48"/>
        <v>#VALUE!</v>
      </c>
      <c r="X780" s="188">
        <v>0.21907971468525705</v>
      </c>
      <c r="Y780" s="189" t="e">
        <f t="shared" si="49"/>
        <v>#VALUE!</v>
      </c>
      <c r="Z780" s="188">
        <v>0.21907971468525705</v>
      </c>
      <c r="AA780" s="189" t="e">
        <f t="shared" si="50"/>
        <v>#VALUE!</v>
      </c>
    </row>
    <row r="781" spans="1:27" x14ac:dyDescent="0.25">
      <c r="A781">
        <v>30101</v>
      </c>
      <c r="B781">
        <v>17031030101</v>
      </c>
      <c r="C781">
        <v>17031</v>
      </c>
      <c r="D781">
        <v>2010</v>
      </c>
      <c r="E781">
        <v>77</v>
      </c>
      <c r="F781">
        <v>1384486.93525307</v>
      </c>
      <c r="G781" s="45">
        <v>4.9661635361178187E-2</v>
      </c>
      <c r="H781" s="60" t="str">
        <f>_xlfn.IFNA(
INDEX('Community Areas'!B$2:B$78,MATCH($E781,'Community Areas'!$A$2:$A$78,0)),
"")</f>
        <v>EDGEWATER</v>
      </c>
      <c r="I781" s="63" t="str">
        <f>_xlfn.IFNA(
INDEX('Community Areas'!C$2:C$78,MATCH($E781,'Community Areas'!$A$2:$A$78,0)),
"")</f>
        <v>1-A</v>
      </c>
      <c r="J781" s="63">
        <f>_xlfn.IFNA(
INDEX('Community Areas'!D$2:D$78,MATCH($E781,'Community Areas'!$A$2:$A$78,0)),
"")</f>
        <v>1</v>
      </c>
      <c r="K781" s="60" t="str">
        <f>_xlfn.IFNA(
INDEX('Community Areas'!E$2:E$78,MATCH($E781,'Community Areas'!$A$2:$A$78,0)),
"")</f>
        <v>NORTH</v>
      </c>
      <c r="L781" s="17" t="e">
        <f>SUMIFS([1]ACSDT5Y2020.B08301_data_with_ov!AT$3:AT$1334,[1]ACSDT5Y2020.B08301_data_with_ov!$AS$3:$AS$1334,$B781)</f>
        <v>#VALUE!</v>
      </c>
      <c r="M781" s="17" t="e">
        <f>SUMIFS([1]ACSDT5Y2020.B08301_data_with_ov!AU$3:AU$1334,[1]ACSDT5Y2020.B08301_data_with_ov!$AS$3:$AS$1334,$B781)</f>
        <v>#VALUE!</v>
      </c>
      <c r="N781" s="17" t="e">
        <f>SUMIFS([1]ACSDT5Y2020.B08301_data_with_ov!AV$3:AV$1334,[1]ACSDT5Y2020.B08301_data_with_ov!$AS$3:$AS$1334,$B781)</f>
        <v>#VALUE!</v>
      </c>
      <c r="O781" s="17" t="e">
        <f>SUMIFS([1]ACSDT5Y2020.B08301_data_with_ov!AW$3:AW$1334,[1]ACSDT5Y2020.B08301_data_with_ov!$AS$3:$AS$1334,$B781)</f>
        <v>#VALUE!</v>
      </c>
      <c r="P781" s="17" t="e">
        <f>SUMIFS([1]ACSDT5Y2020.B08301_data_with_ov!AX$3:AX$1334,[1]ACSDT5Y2020.B08301_data_with_ov!$AS$3:$AS$1334,$B781)</f>
        <v>#VALUE!</v>
      </c>
      <c r="Q781" s="17" t="e">
        <f>SUMIFS([1]ACSDT5Y2020.B08301_data_with_ov!AY$3:AY$1334,[1]ACSDT5Y2020.B08301_data_with_ov!$AS$3:$AS$1334,$B781)</f>
        <v>#VALUE!</v>
      </c>
      <c r="R781" s="17" t="e">
        <f>SUMIFS([1]ACSDT5Y2020.B08301_data_with_ov!AZ$3:AZ$1334,[1]ACSDT5Y2020.B08301_data_with_ov!$AS$3:$AS$1334,$B781)</f>
        <v>#VALUE!</v>
      </c>
      <c r="S781" s="17" t="e">
        <f>SUMIFS([1]ACSDT5Y2020.B08301_data_with_ov!BA$3:BA$1334,[1]ACSDT5Y2020.B08301_data_with_ov!$AS$3:$AS$1334,$B781)</f>
        <v>#VALUE!</v>
      </c>
      <c r="T781" s="188">
        <v>4.9661634934457508E-2</v>
      </c>
      <c r="U781" s="189" t="e">
        <f t="shared" si="51"/>
        <v>#VALUE!</v>
      </c>
      <c r="V781" s="188">
        <v>4.9661634934457508E-2</v>
      </c>
      <c r="W781" s="189" t="e">
        <f t="shared" si="48"/>
        <v>#VALUE!</v>
      </c>
      <c r="X781" s="188">
        <v>4.9661634934457508E-2</v>
      </c>
      <c r="Y781" s="189" t="e">
        <f t="shared" si="49"/>
        <v>#VALUE!</v>
      </c>
      <c r="Z781" s="188">
        <v>4.9661634934457508E-2</v>
      </c>
      <c r="AA781" s="189" t="e">
        <f t="shared" si="50"/>
        <v>#VALUE!</v>
      </c>
    </row>
    <row r="782" spans="1:27" x14ac:dyDescent="0.25">
      <c r="A782">
        <v>30604</v>
      </c>
      <c r="B782">
        <v>17031030604</v>
      </c>
      <c r="C782">
        <v>17031</v>
      </c>
      <c r="D782">
        <v>2010</v>
      </c>
      <c r="E782">
        <v>77</v>
      </c>
      <c r="F782">
        <v>2015950.80014721</v>
      </c>
      <c r="G782" s="45">
        <v>7.2312284784894751E-2</v>
      </c>
      <c r="H782" s="60" t="str">
        <f>_xlfn.IFNA(
INDEX('Community Areas'!B$2:B$78,MATCH($E782,'Community Areas'!$A$2:$A$78,0)),
"")</f>
        <v>EDGEWATER</v>
      </c>
      <c r="I782" s="63" t="str">
        <f>_xlfn.IFNA(
INDEX('Community Areas'!C$2:C$78,MATCH($E782,'Community Areas'!$A$2:$A$78,0)),
"")</f>
        <v>1-A</v>
      </c>
      <c r="J782" s="63">
        <f>_xlfn.IFNA(
INDEX('Community Areas'!D$2:D$78,MATCH($E782,'Community Areas'!$A$2:$A$78,0)),
"")</f>
        <v>1</v>
      </c>
      <c r="K782" s="60" t="str">
        <f>_xlfn.IFNA(
INDEX('Community Areas'!E$2:E$78,MATCH($E782,'Community Areas'!$A$2:$A$78,0)),
"")</f>
        <v>NORTH</v>
      </c>
      <c r="L782" s="17" t="e">
        <f>SUMIFS([1]ACSDT5Y2020.B08301_data_with_ov!AT$3:AT$1334,[1]ACSDT5Y2020.B08301_data_with_ov!$AS$3:$AS$1334,$B782)</f>
        <v>#VALUE!</v>
      </c>
      <c r="M782" s="17" t="e">
        <f>SUMIFS([1]ACSDT5Y2020.B08301_data_with_ov!AU$3:AU$1334,[1]ACSDT5Y2020.B08301_data_with_ov!$AS$3:$AS$1334,$B782)</f>
        <v>#VALUE!</v>
      </c>
      <c r="N782" s="17" t="e">
        <f>SUMIFS([1]ACSDT5Y2020.B08301_data_with_ov!AV$3:AV$1334,[1]ACSDT5Y2020.B08301_data_with_ov!$AS$3:$AS$1334,$B782)</f>
        <v>#VALUE!</v>
      </c>
      <c r="O782" s="17" t="e">
        <f>SUMIFS([1]ACSDT5Y2020.B08301_data_with_ov!AW$3:AW$1334,[1]ACSDT5Y2020.B08301_data_with_ov!$AS$3:$AS$1334,$B782)</f>
        <v>#VALUE!</v>
      </c>
      <c r="P782" s="17" t="e">
        <f>SUMIFS([1]ACSDT5Y2020.B08301_data_with_ov!AX$3:AX$1334,[1]ACSDT5Y2020.B08301_data_with_ov!$AS$3:$AS$1334,$B782)</f>
        <v>#VALUE!</v>
      </c>
      <c r="Q782" s="17" t="e">
        <f>SUMIFS([1]ACSDT5Y2020.B08301_data_with_ov!AY$3:AY$1334,[1]ACSDT5Y2020.B08301_data_with_ov!$AS$3:$AS$1334,$B782)</f>
        <v>#VALUE!</v>
      </c>
      <c r="R782" s="17" t="e">
        <f>SUMIFS([1]ACSDT5Y2020.B08301_data_with_ov!AZ$3:AZ$1334,[1]ACSDT5Y2020.B08301_data_with_ov!$AS$3:$AS$1334,$B782)</f>
        <v>#VALUE!</v>
      </c>
      <c r="S782" s="17" t="e">
        <f>SUMIFS([1]ACSDT5Y2020.B08301_data_with_ov!BA$3:BA$1334,[1]ACSDT5Y2020.B08301_data_with_ov!$AS$3:$AS$1334,$B782)</f>
        <v>#VALUE!</v>
      </c>
      <c r="T782" s="188">
        <v>7.2312277137316347E-2</v>
      </c>
      <c r="U782" s="189" t="e">
        <f t="shared" si="51"/>
        <v>#VALUE!</v>
      </c>
      <c r="V782" s="188">
        <v>7.2312277137316347E-2</v>
      </c>
      <c r="W782" s="189" t="e">
        <f t="shared" si="48"/>
        <v>#VALUE!</v>
      </c>
      <c r="X782" s="188">
        <v>7.2312277137316347E-2</v>
      </c>
      <c r="Y782" s="189" t="e">
        <f t="shared" si="49"/>
        <v>#VALUE!</v>
      </c>
      <c r="Z782" s="188">
        <v>7.2312277137316347E-2</v>
      </c>
      <c r="AA782" s="189" t="e">
        <f t="shared" si="50"/>
        <v>#VALUE!</v>
      </c>
    </row>
    <row r="783" spans="1:27" x14ac:dyDescent="0.25">
      <c r="A783">
        <v>30900</v>
      </c>
      <c r="B783">
        <v>17031030900</v>
      </c>
      <c r="C783">
        <v>17031</v>
      </c>
      <c r="D783">
        <v>2010</v>
      </c>
      <c r="E783">
        <v>77</v>
      </c>
      <c r="F783">
        <v>4399704.5473625204</v>
      </c>
      <c r="G783" s="45">
        <v>0.15781768492318499</v>
      </c>
      <c r="H783" s="60" t="str">
        <f>_xlfn.IFNA(
INDEX('Community Areas'!B$2:B$78,MATCH($E783,'Community Areas'!$A$2:$A$78,0)),
"")</f>
        <v>EDGEWATER</v>
      </c>
      <c r="I783" s="63" t="str">
        <f>_xlfn.IFNA(
INDEX('Community Areas'!C$2:C$78,MATCH($E783,'Community Areas'!$A$2:$A$78,0)),
"")</f>
        <v>1-A</v>
      </c>
      <c r="J783" s="63">
        <f>_xlfn.IFNA(
INDEX('Community Areas'!D$2:D$78,MATCH($E783,'Community Areas'!$A$2:$A$78,0)),
"")</f>
        <v>1</v>
      </c>
      <c r="K783" s="60" t="str">
        <f>_xlfn.IFNA(
INDEX('Community Areas'!E$2:E$78,MATCH($E783,'Community Areas'!$A$2:$A$78,0)),
"")</f>
        <v>NORTH</v>
      </c>
      <c r="L783" s="17" t="e">
        <f>SUMIFS([1]ACSDT5Y2020.B08301_data_with_ov!AT$3:AT$1334,[1]ACSDT5Y2020.B08301_data_with_ov!$AS$3:$AS$1334,$B783)</f>
        <v>#VALUE!</v>
      </c>
      <c r="M783" s="17" t="e">
        <f>SUMIFS([1]ACSDT5Y2020.B08301_data_with_ov!AU$3:AU$1334,[1]ACSDT5Y2020.B08301_data_with_ov!$AS$3:$AS$1334,$B783)</f>
        <v>#VALUE!</v>
      </c>
      <c r="N783" s="17" t="e">
        <f>SUMIFS([1]ACSDT5Y2020.B08301_data_with_ov!AV$3:AV$1334,[1]ACSDT5Y2020.B08301_data_with_ov!$AS$3:$AS$1334,$B783)</f>
        <v>#VALUE!</v>
      </c>
      <c r="O783" s="17" t="e">
        <f>SUMIFS([1]ACSDT5Y2020.B08301_data_with_ov!AW$3:AW$1334,[1]ACSDT5Y2020.B08301_data_with_ov!$AS$3:$AS$1334,$B783)</f>
        <v>#VALUE!</v>
      </c>
      <c r="P783" s="17" t="e">
        <f>SUMIFS([1]ACSDT5Y2020.B08301_data_with_ov!AX$3:AX$1334,[1]ACSDT5Y2020.B08301_data_with_ov!$AS$3:$AS$1334,$B783)</f>
        <v>#VALUE!</v>
      </c>
      <c r="Q783" s="17" t="e">
        <f>SUMIFS([1]ACSDT5Y2020.B08301_data_with_ov!AY$3:AY$1334,[1]ACSDT5Y2020.B08301_data_with_ov!$AS$3:$AS$1334,$B783)</f>
        <v>#VALUE!</v>
      </c>
      <c r="R783" s="17" t="e">
        <f>SUMIFS([1]ACSDT5Y2020.B08301_data_with_ov!AZ$3:AZ$1334,[1]ACSDT5Y2020.B08301_data_with_ov!$AS$3:$AS$1334,$B783)</f>
        <v>#VALUE!</v>
      </c>
      <c r="S783" s="17" t="e">
        <f>SUMIFS([1]ACSDT5Y2020.B08301_data_with_ov!BA$3:BA$1334,[1]ACSDT5Y2020.B08301_data_with_ov!$AS$3:$AS$1334,$B783)</f>
        <v>#VALUE!</v>
      </c>
      <c r="T783" s="188">
        <v>0.1578176876018319</v>
      </c>
      <c r="U783" s="189" t="e">
        <f t="shared" si="51"/>
        <v>#VALUE!</v>
      </c>
      <c r="V783" s="188">
        <v>0.1578176876018319</v>
      </c>
      <c r="W783" s="189" t="e">
        <f t="shared" si="48"/>
        <v>#VALUE!</v>
      </c>
      <c r="X783" s="188">
        <v>0.1578176876018319</v>
      </c>
      <c r="Y783" s="189" t="e">
        <f t="shared" si="49"/>
        <v>#VALUE!</v>
      </c>
      <c r="Z783" s="188">
        <v>0.1578176876018319</v>
      </c>
      <c r="AA783" s="189" t="e">
        <f t="shared" si="50"/>
        <v>#VALUE!</v>
      </c>
    </row>
    <row r="784" spans="1:27" x14ac:dyDescent="0.25">
      <c r="A784">
        <v>30500</v>
      </c>
      <c r="B784">
        <v>17031030500</v>
      </c>
      <c r="C784">
        <v>17031</v>
      </c>
      <c r="D784">
        <v>2010</v>
      </c>
      <c r="E784">
        <v>77</v>
      </c>
      <c r="F784">
        <v>6655931.8538106997</v>
      </c>
      <c r="G784" s="45">
        <v>0.23874870343386634</v>
      </c>
      <c r="H784" s="60" t="str">
        <f>_xlfn.IFNA(
INDEX('Community Areas'!B$2:B$78,MATCH($E784,'Community Areas'!$A$2:$A$78,0)),
"")</f>
        <v>EDGEWATER</v>
      </c>
      <c r="I784" s="63" t="str">
        <f>_xlfn.IFNA(
INDEX('Community Areas'!C$2:C$78,MATCH($E784,'Community Areas'!$A$2:$A$78,0)),
"")</f>
        <v>1-A</v>
      </c>
      <c r="J784" s="63">
        <f>_xlfn.IFNA(
INDEX('Community Areas'!D$2:D$78,MATCH($E784,'Community Areas'!$A$2:$A$78,0)),
"")</f>
        <v>1</v>
      </c>
      <c r="K784" s="60" t="str">
        <f>_xlfn.IFNA(
INDEX('Community Areas'!E$2:E$78,MATCH($E784,'Community Areas'!$A$2:$A$78,0)),
"")</f>
        <v>NORTH</v>
      </c>
      <c r="L784" s="17" t="e">
        <f>SUMIFS([1]ACSDT5Y2020.B08301_data_with_ov!AT$3:AT$1334,[1]ACSDT5Y2020.B08301_data_with_ov!$AS$3:$AS$1334,$B784)</f>
        <v>#VALUE!</v>
      </c>
      <c r="M784" s="17" t="e">
        <f>SUMIFS([1]ACSDT5Y2020.B08301_data_with_ov!AU$3:AU$1334,[1]ACSDT5Y2020.B08301_data_with_ov!$AS$3:$AS$1334,$B784)</f>
        <v>#VALUE!</v>
      </c>
      <c r="N784" s="17" t="e">
        <f>SUMIFS([1]ACSDT5Y2020.B08301_data_with_ov!AV$3:AV$1334,[1]ACSDT5Y2020.B08301_data_with_ov!$AS$3:$AS$1334,$B784)</f>
        <v>#VALUE!</v>
      </c>
      <c r="O784" s="17" t="e">
        <f>SUMIFS([1]ACSDT5Y2020.B08301_data_with_ov!AW$3:AW$1334,[1]ACSDT5Y2020.B08301_data_with_ov!$AS$3:$AS$1334,$B784)</f>
        <v>#VALUE!</v>
      </c>
      <c r="P784" s="17" t="e">
        <f>SUMIFS([1]ACSDT5Y2020.B08301_data_with_ov!AX$3:AX$1334,[1]ACSDT5Y2020.B08301_data_with_ov!$AS$3:$AS$1334,$B784)</f>
        <v>#VALUE!</v>
      </c>
      <c r="Q784" s="17" t="e">
        <f>SUMIFS([1]ACSDT5Y2020.B08301_data_with_ov!AY$3:AY$1334,[1]ACSDT5Y2020.B08301_data_with_ov!$AS$3:$AS$1334,$B784)</f>
        <v>#VALUE!</v>
      </c>
      <c r="R784" s="17" t="e">
        <f>SUMIFS([1]ACSDT5Y2020.B08301_data_with_ov!AZ$3:AZ$1334,[1]ACSDT5Y2020.B08301_data_with_ov!$AS$3:$AS$1334,$B784)</f>
        <v>#VALUE!</v>
      </c>
      <c r="S784" s="17" t="e">
        <f>SUMIFS([1]ACSDT5Y2020.B08301_data_with_ov!BA$3:BA$1334,[1]ACSDT5Y2020.B08301_data_with_ov!$AS$3:$AS$1334,$B784)</f>
        <v>#VALUE!</v>
      </c>
      <c r="T784" s="188">
        <v>0.23874870159383393</v>
      </c>
      <c r="U784" s="189" t="e">
        <f t="shared" si="51"/>
        <v>#VALUE!</v>
      </c>
      <c r="V784" s="188">
        <v>0.23874870159383393</v>
      </c>
      <c r="W784" s="189" t="e">
        <f t="shared" si="48"/>
        <v>#VALUE!</v>
      </c>
      <c r="X784" s="188">
        <v>0.23874870159383393</v>
      </c>
      <c r="Y784" s="189" t="e">
        <f t="shared" si="49"/>
        <v>#VALUE!</v>
      </c>
      <c r="Z784" s="188">
        <v>0.23874870159383393</v>
      </c>
      <c r="AA784" s="189" t="e">
        <f t="shared" si="50"/>
        <v>#VALUE!</v>
      </c>
    </row>
    <row r="785" spans="1:27" x14ac:dyDescent="0.25">
      <c r="A785">
        <v>30102</v>
      </c>
      <c r="B785">
        <v>17031030102</v>
      </c>
      <c r="C785">
        <v>17031</v>
      </c>
      <c r="D785">
        <v>2010</v>
      </c>
      <c r="E785">
        <v>77</v>
      </c>
      <c r="F785">
        <v>1274866.51017744</v>
      </c>
      <c r="G785" s="45">
        <v>4.5729543667407023E-2</v>
      </c>
      <c r="H785" s="60" t="str">
        <f>_xlfn.IFNA(
INDEX('Community Areas'!B$2:B$78,MATCH($E785,'Community Areas'!$A$2:$A$78,0)),
"")</f>
        <v>EDGEWATER</v>
      </c>
      <c r="I785" s="63" t="str">
        <f>_xlfn.IFNA(
INDEX('Community Areas'!C$2:C$78,MATCH($E785,'Community Areas'!$A$2:$A$78,0)),
"")</f>
        <v>1-A</v>
      </c>
      <c r="J785" s="63">
        <f>_xlfn.IFNA(
INDEX('Community Areas'!D$2:D$78,MATCH($E785,'Community Areas'!$A$2:$A$78,0)),
"")</f>
        <v>1</v>
      </c>
      <c r="K785" s="60" t="str">
        <f>_xlfn.IFNA(
INDEX('Community Areas'!E$2:E$78,MATCH($E785,'Community Areas'!$A$2:$A$78,0)),
"")</f>
        <v>NORTH</v>
      </c>
      <c r="L785" s="17" t="e">
        <f>SUMIFS([1]ACSDT5Y2020.B08301_data_with_ov!AT$3:AT$1334,[1]ACSDT5Y2020.B08301_data_with_ov!$AS$3:$AS$1334,$B785)</f>
        <v>#VALUE!</v>
      </c>
      <c r="M785" s="17" t="e">
        <f>SUMIFS([1]ACSDT5Y2020.B08301_data_with_ov!AU$3:AU$1334,[1]ACSDT5Y2020.B08301_data_with_ov!$AS$3:$AS$1334,$B785)</f>
        <v>#VALUE!</v>
      </c>
      <c r="N785" s="17" t="e">
        <f>SUMIFS([1]ACSDT5Y2020.B08301_data_with_ov!AV$3:AV$1334,[1]ACSDT5Y2020.B08301_data_with_ov!$AS$3:$AS$1334,$B785)</f>
        <v>#VALUE!</v>
      </c>
      <c r="O785" s="17" t="e">
        <f>SUMIFS([1]ACSDT5Y2020.B08301_data_with_ov!AW$3:AW$1334,[1]ACSDT5Y2020.B08301_data_with_ov!$AS$3:$AS$1334,$B785)</f>
        <v>#VALUE!</v>
      </c>
      <c r="P785" s="17" t="e">
        <f>SUMIFS([1]ACSDT5Y2020.B08301_data_with_ov!AX$3:AX$1334,[1]ACSDT5Y2020.B08301_data_with_ov!$AS$3:$AS$1334,$B785)</f>
        <v>#VALUE!</v>
      </c>
      <c r="Q785" s="17" t="e">
        <f>SUMIFS([1]ACSDT5Y2020.B08301_data_with_ov!AY$3:AY$1334,[1]ACSDT5Y2020.B08301_data_with_ov!$AS$3:$AS$1334,$B785)</f>
        <v>#VALUE!</v>
      </c>
      <c r="R785" s="17" t="e">
        <f>SUMIFS([1]ACSDT5Y2020.B08301_data_with_ov!AZ$3:AZ$1334,[1]ACSDT5Y2020.B08301_data_with_ov!$AS$3:$AS$1334,$B785)</f>
        <v>#VALUE!</v>
      </c>
      <c r="S785" s="17" t="e">
        <f>SUMIFS([1]ACSDT5Y2020.B08301_data_with_ov!BA$3:BA$1334,[1]ACSDT5Y2020.B08301_data_with_ov!$AS$3:$AS$1334,$B785)</f>
        <v>#VALUE!</v>
      </c>
      <c r="T785" s="188">
        <v>4.5729541211377622E-2</v>
      </c>
      <c r="U785" s="189" t="e">
        <f t="shared" si="51"/>
        <v>#VALUE!</v>
      </c>
      <c r="V785" s="188">
        <v>4.5729541211377622E-2</v>
      </c>
      <c r="W785" s="189" t="e">
        <f t="shared" si="48"/>
        <v>#VALUE!</v>
      </c>
      <c r="X785" s="188">
        <v>4.5729541211377622E-2</v>
      </c>
      <c r="Y785" s="189" t="e">
        <f t="shared" si="49"/>
        <v>#VALUE!</v>
      </c>
      <c r="Z785" s="188">
        <v>4.5729541211377622E-2</v>
      </c>
      <c r="AA785" s="189" t="e">
        <f t="shared" si="50"/>
        <v>#VALUE!</v>
      </c>
    </row>
    <row r="786" spans="1:27" x14ac:dyDescent="0.25">
      <c r="A786">
        <v>30103</v>
      </c>
      <c r="B786">
        <v>17031030103</v>
      </c>
      <c r="C786">
        <v>17031</v>
      </c>
      <c r="D786">
        <v>2010</v>
      </c>
      <c r="E786">
        <v>77</v>
      </c>
      <c r="F786">
        <v>982096.87645537301</v>
      </c>
      <c r="G786" s="45">
        <v>3.5227878086811763E-2</v>
      </c>
      <c r="H786" s="60" t="str">
        <f>_xlfn.IFNA(
INDEX('Community Areas'!B$2:B$78,MATCH($E786,'Community Areas'!$A$2:$A$78,0)),
"")</f>
        <v>EDGEWATER</v>
      </c>
      <c r="I786" s="63" t="str">
        <f>_xlfn.IFNA(
INDEX('Community Areas'!C$2:C$78,MATCH($E786,'Community Areas'!$A$2:$A$78,0)),
"")</f>
        <v>1-A</v>
      </c>
      <c r="J786" s="63">
        <f>_xlfn.IFNA(
INDEX('Community Areas'!D$2:D$78,MATCH($E786,'Community Areas'!$A$2:$A$78,0)),
"")</f>
        <v>1</v>
      </c>
      <c r="K786" s="60" t="str">
        <f>_xlfn.IFNA(
INDEX('Community Areas'!E$2:E$78,MATCH($E786,'Community Areas'!$A$2:$A$78,0)),
"")</f>
        <v>NORTH</v>
      </c>
      <c r="L786" s="17" t="e">
        <f>SUMIFS([1]ACSDT5Y2020.B08301_data_with_ov!AT$3:AT$1334,[1]ACSDT5Y2020.B08301_data_with_ov!$AS$3:$AS$1334,$B786)</f>
        <v>#VALUE!</v>
      </c>
      <c r="M786" s="17" t="e">
        <f>SUMIFS([1]ACSDT5Y2020.B08301_data_with_ov!AU$3:AU$1334,[1]ACSDT5Y2020.B08301_data_with_ov!$AS$3:$AS$1334,$B786)</f>
        <v>#VALUE!</v>
      </c>
      <c r="N786" s="17" t="e">
        <f>SUMIFS([1]ACSDT5Y2020.B08301_data_with_ov!AV$3:AV$1334,[1]ACSDT5Y2020.B08301_data_with_ov!$AS$3:$AS$1334,$B786)</f>
        <v>#VALUE!</v>
      </c>
      <c r="O786" s="17" t="e">
        <f>SUMIFS([1]ACSDT5Y2020.B08301_data_with_ov!AW$3:AW$1334,[1]ACSDT5Y2020.B08301_data_with_ov!$AS$3:$AS$1334,$B786)</f>
        <v>#VALUE!</v>
      </c>
      <c r="P786" s="17" t="e">
        <f>SUMIFS([1]ACSDT5Y2020.B08301_data_with_ov!AX$3:AX$1334,[1]ACSDT5Y2020.B08301_data_with_ov!$AS$3:$AS$1334,$B786)</f>
        <v>#VALUE!</v>
      </c>
      <c r="Q786" s="17" t="e">
        <f>SUMIFS([1]ACSDT5Y2020.B08301_data_with_ov!AY$3:AY$1334,[1]ACSDT5Y2020.B08301_data_with_ov!$AS$3:$AS$1334,$B786)</f>
        <v>#VALUE!</v>
      </c>
      <c r="R786" s="17" t="e">
        <f>SUMIFS([1]ACSDT5Y2020.B08301_data_with_ov!AZ$3:AZ$1334,[1]ACSDT5Y2020.B08301_data_with_ov!$AS$3:$AS$1334,$B786)</f>
        <v>#VALUE!</v>
      </c>
      <c r="S786" s="17" t="e">
        <f>SUMIFS([1]ACSDT5Y2020.B08301_data_with_ov!BA$3:BA$1334,[1]ACSDT5Y2020.B08301_data_with_ov!$AS$3:$AS$1334,$B786)</f>
        <v>#VALUE!</v>
      </c>
      <c r="T786" s="188">
        <v>3.5227878251666775E-2</v>
      </c>
      <c r="U786" s="189" t="e">
        <f t="shared" si="51"/>
        <v>#VALUE!</v>
      </c>
      <c r="V786" s="188">
        <v>3.5227878251666775E-2</v>
      </c>
      <c r="W786" s="189" t="e">
        <f t="shared" si="48"/>
        <v>#VALUE!</v>
      </c>
      <c r="X786" s="188">
        <v>3.5227878251666775E-2</v>
      </c>
      <c r="Y786" s="189" t="e">
        <f t="shared" si="49"/>
        <v>#VALUE!</v>
      </c>
      <c r="Z786" s="188">
        <v>3.5227878251666775E-2</v>
      </c>
      <c r="AA786" s="189" t="e">
        <f t="shared" si="50"/>
        <v>#VALUE!</v>
      </c>
    </row>
    <row r="787" spans="1:27" x14ac:dyDescent="0.25">
      <c r="A787">
        <v>30703</v>
      </c>
      <c r="B787">
        <v>17031030703</v>
      </c>
      <c r="C787">
        <v>17031</v>
      </c>
      <c r="D787">
        <v>2010</v>
      </c>
      <c r="E787">
        <v>77</v>
      </c>
      <c r="F787">
        <v>2134239.8072881899</v>
      </c>
      <c r="G787" s="45">
        <v>7.6555319074559147E-2</v>
      </c>
      <c r="H787" s="60" t="str">
        <f>_xlfn.IFNA(
INDEX('Community Areas'!B$2:B$78,MATCH($E787,'Community Areas'!$A$2:$A$78,0)),
"")</f>
        <v>EDGEWATER</v>
      </c>
      <c r="I787" s="63" t="str">
        <f>_xlfn.IFNA(
INDEX('Community Areas'!C$2:C$78,MATCH($E787,'Community Areas'!$A$2:$A$78,0)),
"")</f>
        <v>1-A</v>
      </c>
      <c r="J787" s="63">
        <f>_xlfn.IFNA(
INDEX('Community Areas'!D$2:D$78,MATCH($E787,'Community Areas'!$A$2:$A$78,0)),
"")</f>
        <v>1</v>
      </c>
      <c r="K787" s="60" t="str">
        <f>_xlfn.IFNA(
INDEX('Community Areas'!E$2:E$78,MATCH($E787,'Community Areas'!$A$2:$A$78,0)),
"")</f>
        <v>NORTH</v>
      </c>
      <c r="L787" s="17" t="e">
        <f>SUMIFS([1]ACSDT5Y2020.B08301_data_with_ov!AT$3:AT$1334,[1]ACSDT5Y2020.B08301_data_with_ov!$AS$3:$AS$1334,$B787)</f>
        <v>#VALUE!</v>
      </c>
      <c r="M787" s="17" t="e">
        <f>SUMIFS([1]ACSDT5Y2020.B08301_data_with_ov!AU$3:AU$1334,[1]ACSDT5Y2020.B08301_data_with_ov!$AS$3:$AS$1334,$B787)</f>
        <v>#VALUE!</v>
      </c>
      <c r="N787" s="17" t="e">
        <f>SUMIFS([1]ACSDT5Y2020.B08301_data_with_ov!AV$3:AV$1334,[1]ACSDT5Y2020.B08301_data_with_ov!$AS$3:$AS$1334,$B787)</f>
        <v>#VALUE!</v>
      </c>
      <c r="O787" s="17" t="e">
        <f>SUMIFS([1]ACSDT5Y2020.B08301_data_with_ov!AW$3:AW$1334,[1]ACSDT5Y2020.B08301_data_with_ov!$AS$3:$AS$1334,$B787)</f>
        <v>#VALUE!</v>
      </c>
      <c r="P787" s="17" t="e">
        <f>SUMIFS([1]ACSDT5Y2020.B08301_data_with_ov!AX$3:AX$1334,[1]ACSDT5Y2020.B08301_data_with_ov!$AS$3:$AS$1334,$B787)</f>
        <v>#VALUE!</v>
      </c>
      <c r="Q787" s="17" t="e">
        <f>SUMIFS([1]ACSDT5Y2020.B08301_data_with_ov!AY$3:AY$1334,[1]ACSDT5Y2020.B08301_data_with_ov!$AS$3:$AS$1334,$B787)</f>
        <v>#VALUE!</v>
      </c>
      <c r="R787" s="17" t="e">
        <f>SUMIFS([1]ACSDT5Y2020.B08301_data_with_ov!AZ$3:AZ$1334,[1]ACSDT5Y2020.B08301_data_with_ov!$AS$3:$AS$1334,$B787)</f>
        <v>#VALUE!</v>
      </c>
      <c r="S787" s="17" t="e">
        <f>SUMIFS([1]ACSDT5Y2020.B08301_data_with_ov!BA$3:BA$1334,[1]ACSDT5Y2020.B08301_data_with_ov!$AS$3:$AS$1334,$B787)</f>
        <v>#VALUE!</v>
      </c>
      <c r="T787" s="188">
        <v>7.6555320393602203E-2</v>
      </c>
      <c r="U787" s="189" t="e">
        <f t="shared" si="51"/>
        <v>#VALUE!</v>
      </c>
      <c r="V787" s="188">
        <v>7.6555320393602203E-2</v>
      </c>
      <c r="W787" s="189" t="e">
        <f t="shared" si="48"/>
        <v>#VALUE!</v>
      </c>
      <c r="X787" s="188">
        <v>7.6555320393602203E-2</v>
      </c>
      <c r="Y787" s="189" t="e">
        <f t="shared" si="49"/>
        <v>#VALUE!</v>
      </c>
      <c r="Z787" s="188">
        <v>7.6555320393602203E-2</v>
      </c>
      <c r="AA787" s="189" t="e">
        <f t="shared" si="50"/>
        <v>#VALUE!</v>
      </c>
    </row>
    <row r="788" spans="1:27" x14ac:dyDescent="0.25">
      <c r="A788">
        <v>30706</v>
      </c>
      <c r="B788">
        <v>17031030706</v>
      </c>
      <c r="C788">
        <v>17031</v>
      </c>
      <c r="D788">
        <v>2010</v>
      </c>
      <c r="E788">
        <v>77</v>
      </c>
      <c r="F788">
        <v>4190409.6837406498</v>
      </c>
      <c r="G788" s="45">
        <v>0.15031026471177147</v>
      </c>
      <c r="H788" s="60" t="str">
        <f>_xlfn.IFNA(
INDEX('Community Areas'!B$2:B$78,MATCH($E788,'Community Areas'!$A$2:$A$78,0)),
"")</f>
        <v>EDGEWATER</v>
      </c>
      <c r="I788" s="63" t="str">
        <f>_xlfn.IFNA(
INDEX('Community Areas'!C$2:C$78,MATCH($E788,'Community Areas'!$A$2:$A$78,0)),
"")</f>
        <v>1-A</v>
      </c>
      <c r="J788" s="63">
        <f>_xlfn.IFNA(
INDEX('Community Areas'!D$2:D$78,MATCH($E788,'Community Areas'!$A$2:$A$78,0)),
"")</f>
        <v>1</v>
      </c>
      <c r="K788" s="60" t="str">
        <f>_xlfn.IFNA(
INDEX('Community Areas'!E$2:E$78,MATCH($E788,'Community Areas'!$A$2:$A$78,0)),
"")</f>
        <v>NORTH</v>
      </c>
      <c r="L788" s="17" t="e">
        <f>SUMIFS([1]ACSDT5Y2020.B08301_data_with_ov!AT$3:AT$1334,[1]ACSDT5Y2020.B08301_data_with_ov!$AS$3:$AS$1334,$B788)</f>
        <v>#VALUE!</v>
      </c>
      <c r="M788" s="17" t="e">
        <f>SUMIFS([1]ACSDT5Y2020.B08301_data_with_ov!AU$3:AU$1334,[1]ACSDT5Y2020.B08301_data_with_ov!$AS$3:$AS$1334,$B788)</f>
        <v>#VALUE!</v>
      </c>
      <c r="N788" s="17" t="e">
        <f>SUMIFS([1]ACSDT5Y2020.B08301_data_with_ov!AV$3:AV$1334,[1]ACSDT5Y2020.B08301_data_with_ov!$AS$3:$AS$1334,$B788)</f>
        <v>#VALUE!</v>
      </c>
      <c r="O788" s="17" t="e">
        <f>SUMIFS([1]ACSDT5Y2020.B08301_data_with_ov!AW$3:AW$1334,[1]ACSDT5Y2020.B08301_data_with_ov!$AS$3:$AS$1334,$B788)</f>
        <v>#VALUE!</v>
      </c>
      <c r="P788" s="17" t="e">
        <f>SUMIFS([1]ACSDT5Y2020.B08301_data_with_ov!AX$3:AX$1334,[1]ACSDT5Y2020.B08301_data_with_ov!$AS$3:$AS$1334,$B788)</f>
        <v>#VALUE!</v>
      </c>
      <c r="Q788" s="17" t="e">
        <f>SUMIFS([1]ACSDT5Y2020.B08301_data_with_ov!AY$3:AY$1334,[1]ACSDT5Y2020.B08301_data_with_ov!$AS$3:$AS$1334,$B788)</f>
        <v>#VALUE!</v>
      </c>
      <c r="R788" s="17" t="e">
        <f>SUMIFS([1]ACSDT5Y2020.B08301_data_with_ov!AZ$3:AZ$1334,[1]ACSDT5Y2020.B08301_data_with_ov!$AS$3:$AS$1334,$B788)</f>
        <v>#VALUE!</v>
      </c>
      <c r="S788" s="17" t="e">
        <f>SUMIFS([1]ACSDT5Y2020.B08301_data_with_ov!BA$3:BA$1334,[1]ACSDT5Y2020.B08301_data_with_ov!$AS$3:$AS$1334,$B788)</f>
        <v>#VALUE!</v>
      </c>
      <c r="T788" s="188">
        <v>0.15031026589936511</v>
      </c>
      <c r="U788" s="189" t="e">
        <f t="shared" si="51"/>
        <v>#VALUE!</v>
      </c>
      <c r="V788" s="188">
        <v>0.15031026589936511</v>
      </c>
      <c r="W788" s="189" t="e">
        <f t="shared" si="48"/>
        <v>#VALUE!</v>
      </c>
      <c r="X788" s="188">
        <v>0.15031026589936511</v>
      </c>
      <c r="Y788" s="189" t="e">
        <f t="shared" si="49"/>
        <v>#VALUE!</v>
      </c>
      <c r="Z788" s="188">
        <v>0.15031026589936511</v>
      </c>
      <c r="AA788" s="189" t="e">
        <f t="shared" si="50"/>
        <v>#VALUE!</v>
      </c>
    </row>
    <row r="789" spans="1:27" x14ac:dyDescent="0.25">
      <c r="A789">
        <v>30702</v>
      </c>
      <c r="B789">
        <v>17031030702</v>
      </c>
      <c r="C789">
        <v>17031</v>
      </c>
      <c r="D789">
        <v>2010</v>
      </c>
      <c r="E789">
        <v>77</v>
      </c>
      <c r="F789">
        <v>169224.08935583101</v>
      </c>
      <c r="G789" s="45">
        <v>6.0700789627751595E-3</v>
      </c>
      <c r="H789" s="60" t="str">
        <f>_xlfn.IFNA(
INDEX('Community Areas'!B$2:B$78,MATCH($E789,'Community Areas'!$A$2:$A$78,0)),
"")</f>
        <v>EDGEWATER</v>
      </c>
      <c r="I789" s="63" t="str">
        <f>_xlfn.IFNA(
INDEX('Community Areas'!C$2:C$78,MATCH($E789,'Community Areas'!$A$2:$A$78,0)),
"")</f>
        <v>1-A</v>
      </c>
      <c r="J789" s="63">
        <f>_xlfn.IFNA(
INDEX('Community Areas'!D$2:D$78,MATCH($E789,'Community Areas'!$A$2:$A$78,0)),
"")</f>
        <v>1</v>
      </c>
      <c r="K789" s="60" t="str">
        <f>_xlfn.IFNA(
INDEX('Community Areas'!E$2:E$78,MATCH($E789,'Community Areas'!$A$2:$A$78,0)),
"")</f>
        <v>NORTH</v>
      </c>
      <c r="L789" s="17" t="e">
        <f>SUMIFS([1]ACSDT5Y2020.B08301_data_with_ov!AT$3:AT$1334,[1]ACSDT5Y2020.B08301_data_with_ov!$AS$3:$AS$1334,$B789)</f>
        <v>#VALUE!</v>
      </c>
      <c r="M789" s="17" t="e">
        <f>SUMIFS([1]ACSDT5Y2020.B08301_data_with_ov!AU$3:AU$1334,[1]ACSDT5Y2020.B08301_data_with_ov!$AS$3:$AS$1334,$B789)</f>
        <v>#VALUE!</v>
      </c>
      <c r="N789" s="17" t="e">
        <f>SUMIFS([1]ACSDT5Y2020.B08301_data_with_ov!AV$3:AV$1334,[1]ACSDT5Y2020.B08301_data_with_ov!$AS$3:$AS$1334,$B789)</f>
        <v>#VALUE!</v>
      </c>
      <c r="O789" s="17" t="e">
        <f>SUMIFS([1]ACSDT5Y2020.B08301_data_with_ov!AW$3:AW$1334,[1]ACSDT5Y2020.B08301_data_with_ov!$AS$3:$AS$1334,$B789)</f>
        <v>#VALUE!</v>
      </c>
      <c r="P789" s="17" t="e">
        <f>SUMIFS([1]ACSDT5Y2020.B08301_data_with_ov!AX$3:AX$1334,[1]ACSDT5Y2020.B08301_data_with_ov!$AS$3:$AS$1334,$B789)</f>
        <v>#VALUE!</v>
      </c>
      <c r="Q789" s="17" t="e">
        <f>SUMIFS([1]ACSDT5Y2020.B08301_data_with_ov!AY$3:AY$1334,[1]ACSDT5Y2020.B08301_data_with_ov!$AS$3:$AS$1334,$B789)</f>
        <v>#VALUE!</v>
      </c>
      <c r="R789" s="17" t="e">
        <f>SUMIFS([1]ACSDT5Y2020.B08301_data_with_ov!AZ$3:AZ$1334,[1]ACSDT5Y2020.B08301_data_with_ov!$AS$3:$AS$1334,$B789)</f>
        <v>#VALUE!</v>
      </c>
      <c r="S789" s="17" t="e">
        <f>SUMIFS([1]ACSDT5Y2020.B08301_data_with_ov!BA$3:BA$1334,[1]ACSDT5Y2020.B08301_data_with_ov!$AS$3:$AS$1334,$B789)</f>
        <v>#VALUE!</v>
      </c>
      <c r="T789" s="188">
        <v>6.0700793749417824E-3</v>
      </c>
      <c r="U789" s="189" t="e">
        <f t="shared" si="51"/>
        <v>#VALUE!</v>
      </c>
      <c r="V789" s="188">
        <v>6.0700793749417824E-3</v>
      </c>
      <c r="W789" s="189" t="e">
        <f t="shared" si="48"/>
        <v>#VALUE!</v>
      </c>
      <c r="X789" s="188">
        <v>6.0700793749417824E-3</v>
      </c>
      <c r="Y789" s="189" t="e">
        <f t="shared" si="49"/>
        <v>#VALUE!</v>
      </c>
      <c r="Z789" s="188">
        <v>6.0700793749417824E-3</v>
      </c>
      <c r="AA789" s="189" t="e">
        <f t="shared" si="50"/>
        <v>#VALUE!</v>
      </c>
    </row>
    <row r="790" spans="1:27" x14ac:dyDescent="0.25">
      <c r="A790">
        <v>30603</v>
      </c>
      <c r="B790">
        <v>17031030603</v>
      </c>
      <c r="C790">
        <v>17031</v>
      </c>
      <c r="D790">
        <v>2010</v>
      </c>
      <c r="E790">
        <v>77</v>
      </c>
      <c r="F790">
        <v>1248867.25335489</v>
      </c>
      <c r="G790" s="45">
        <v>4.4796948653971894E-2</v>
      </c>
      <c r="H790" s="60" t="str">
        <f>_xlfn.IFNA(
INDEX('Community Areas'!B$2:B$78,MATCH($E790,'Community Areas'!$A$2:$A$78,0)),
"")</f>
        <v>EDGEWATER</v>
      </c>
      <c r="I790" s="63" t="str">
        <f>_xlfn.IFNA(
INDEX('Community Areas'!C$2:C$78,MATCH($E790,'Community Areas'!$A$2:$A$78,0)),
"")</f>
        <v>1-A</v>
      </c>
      <c r="J790" s="63">
        <f>_xlfn.IFNA(
INDEX('Community Areas'!D$2:D$78,MATCH($E790,'Community Areas'!$A$2:$A$78,0)),
"")</f>
        <v>1</v>
      </c>
      <c r="K790" s="60" t="str">
        <f>_xlfn.IFNA(
INDEX('Community Areas'!E$2:E$78,MATCH($E790,'Community Areas'!$A$2:$A$78,0)),
"")</f>
        <v>NORTH</v>
      </c>
      <c r="L790" s="17" t="e">
        <f>SUMIFS([1]ACSDT5Y2020.B08301_data_with_ov!AT$3:AT$1334,[1]ACSDT5Y2020.B08301_data_with_ov!$AS$3:$AS$1334,$B790)</f>
        <v>#VALUE!</v>
      </c>
      <c r="M790" s="17" t="e">
        <f>SUMIFS([1]ACSDT5Y2020.B08301_data_with_ov!AU$3:AU$1334,[1]ACSDT5Y2020.B08301_data_with_ov!$AS$3:$AS$1334,$B790)</f>
        <v>#VALUE!</v>
      </c>
      <c r="N790" s="17" t="e">
        <f>SUMIFS([1]ACSDT5Y2020.B08301_data_with_ov!AV$3:AV$1334,[1]ACSDT5Y2020.B08301_data_with_ov!$AS$3:$AS$1334,$B790)</f>
        <v>#VALUE!</v>
      </c>
      <c r="O790" s="17" t="e">
        <f>SUMIFS([1]ACSDT5Y2020.B08301_data_with_ov!AW$3:AW$1334,[1]ACSDT5Y2020.B08301_data_with_ov!$AS$3:$AS$1334,$B790)</f>
        <v>#VALUE!</v>
      </c>
      <c r="P790" s="17" t="e">
        <f>SUMIFS([1]ACSDT5Y2020.B08301_data_with_ov!AX$3:AX$1334,[1]ACSDT5Y2020.B08301_data_with_ov!$AS$3:$AS$1334,$B790)</f>
        <v>#VALUE!</v>
      </c>
      <c r="Q790" s="17" t="e">
        <f>SUMIFS([1]ACSDT5Y2020.B08301_data_with_ov!AY$3:AY$1334,[1]ACSDT5Y2020.B08301_data_with_ov!$AS$3:$AS$1334,$B790)</f>
        <v>#VALUE!</v>
      </c>
      <c r="R790" s="17" t="e">
        <f>SUMIFS([1]ACSDT5Y2020.B08301_data_with_ov!AZ$3:AZ$1334,[1]ACSDT5Y2020.B08301_data_with_ov!$AS$3:$AS$1334,$B790)</f>
        <v>#VALUE!</v>
      </c>
      <c r="S790" s="17" t="e">
        <f>SUMIFS([1]ACSDT5Y2020.B08301_data_with_ov!BA$3:BA$1334,[1]ACSDT5Y2020.B08301_data_with_ov!$AS$3:$AS$1334,$B790)</f>
        <v>#VALUE!</v>
      </c>
      <c r="T790" s="188">
        <v>4.4796953006734246E-2</v>
      </c>
      <c r="U790" s="189" t="e">
        <f t="shared" si="51"/>
        <v>#VALUE!</v>
      </c>
      <c r="V790" s="188">
        <v>4.4796953006734246E-2</v>
      </c>
      <c r="W790" s="189" t="e">
        <f t="shared" si="48"/>
        <v>#VALUE!</v>
      </c>
      <c r="X790" s="188">
        <v>4.4796953006734246E-2</v>
      </c>
      <c r="Y790" s="189" t="e">
        <f t="shared" si="49"/>
        <v>#VALUE!</v>
      </c>
      <c r="Z790" s="188">
        <v>4.4796953006734246E-2</v>
      </c>
      <c r="AA790" s="189" t="e">
        <f t="shared" si="50"/>
        <v>#VALUE!</v>
      </c>
    </row>
    <row r="791" spans="1:27" x14ac:dyDescent="0.25">
      <c r="A791">
        <v>90100</v>
      </c>
      <c r="B791">
        <v>17031090100</v>
      </c>
      <c r="C791">
        <v>17031</v>
      </c>
      <c r="D791">
        <v>2010</v>
      </c>
      <c r="E791">
        <v>9</v>
      </c>
      <c r="F791">
        <v>10048108.538074899</v>
      </c>
      <c r="G791" s="45">
        <v>0.36042629914467472</v>
      </c>
      <c r="H791" s="60" t="str">
        <f>_xlfn.IFNA(
INDEX('Community Areas'!B$2:B$78,MATCH($E791,'Community Areas'!$A$2:$A$78,0)),
"")</f>
        <v>EDISON PARK</v>
      </c>
      <c r="I791" s="63" t="str">
        <f>_xlfn.IFNA(
INDEX('Community Areas'!C$2:C$78,MATCH($E791,'Community Areas'!$A$2:$A$78,0)),
"")</f>
        <v>2-C</v>
      </c>
      <c r="J791" s="63">
        <f>_xlfn.IFNA(
INDEX('Community Areas'!D$2:D$78,MATCH($E791,'Community Areas'!$A$2:$A$78,0)),
"")</f>
        <v>2</v>
      </c>
      <c r="K791" s="60" t="str">
        <f>_xlfn.IFNA(
INDEX('Community Areas'!E$2:E$78,MATCH($E791,'Community Areas'!$A$2:$A$78,0)),
"")</f>
        <v>NORTHWEST</v>
      </c>
      <c r="L791" s="17" t="e">
        <f>SUMIFS([1]ACSDT5Y2020.B08301_data_with_ov!AT$3:AT$1334,[1]ACSDT5Y2020.B08301_data_with_ov!$AS$3:$AS$1334,$B791)</f>
        <v>#VALUE!</v>
      </c>
      <c r="M791" s="17" t="e">
        <f>SUMIFS([1]ACSDT5Y2020.B08301_data_with_ov!AU$3:AU$1334,[1]ACSDT5Y2020.B08301_data_with_ov!$AS$3:$AS$1334,$B791)</f>
        <v>#VALUE!</v>
      </c>
      <c r="N791" s="17" t="e">
        <f>SUMIFS([1]ACSDT5Y2020.B08301_data_with_ov!AV$3:AV$1334,[1]ACSDT5Y2020.B08301_data_with_ov!$AS$3:$AS$1334,$B791)</f>
        <v>#VALUE!</v>
      </c>
      <c r="O791" s="17" t="e">
        <f>SUMIFS([1]ACSDT5Y2020.B08301_data_with_ov!AW$3:AW$1334,[1]ACSDT5Y2020.B08301_data_with_ov!$AS$3:$AS$1334,$B791)</f>
        <v>#VALUE!</v>
      </c>
      <c r="P791" s="17" t="e">
        <f>SUMIFS([1]ACSDT5Y2020.B08301_data_with_ov!AX$3:AX$1334,[1]ACSDT5Y2020.B08301_data_with_ov!$AS$3:$AS$1334,$B791)</f>
        <v>#VALUE!</v>
      </c>
      <c r="Q791" s="17" t="e">
        <f>SUMIFS([1]ACSDT5Y2020.B08301_data_with_ov!AY$3:AY$1334,[1]ACSDT5Y2020.B08301_data_with_ov!$AS$3:$AS$1334,$B791)</f>
        <v>#VALUE!</v>
      </c>
      <c r="R791" s="17" t="e">
        <f>SUMIFS([1]ACSDT5Y2020.B08301_data_with_ov!AZ$3:AZ$1334,[1]ACSDT5Y2020.B08301_data_with_ov!$AS$3:$AS$1334,$B791)</f>
        <v>#VALUE!</v>
      </c>
      <c r="S791" s="17" t="e">
        <f>SUMIFS([1]ACSDT5Y2020.B08301_data_with_ov!BA$3:BA$1334,[1]ACSDT5Y2020.B08301_data_with_ov!$AS$3:$AS$1334,$B791)</f>
        <v>#VALUE!</v>
      </c>
      <c r="T791" s="188">
        <v>0</v>
      </c>
      <c r="U791" s="189" t="e">
        <f t="shared" si="51"/>
        <v>#VALUE!</v>
      </c>
      <c r="V791" s="188">
        <v>0</v>
      </c>
      <c r="W791" s="189" t="e">
        <f t="shared" si="48"/>
        <v>#VALUE!</v>
      </c>
      <c r="X791" s="188">
        <v>0</v>
      </c>
      <c r="Y791" s="189" t="e">
        <f t="shared" si="49"/>
        <v>#VALUE!</v>
      </c>
      <c r="Z791" s="188">
        <v>0</v>
      </c>
      <c r="AA791" s="189" t="e">
        <f t="shared" si="50"/>
        <v>#VALUE!</v>
      </c>
    </row>
    <row r="792" spans="1:27" x14ac:dyDescent="0.25">
      <c r="A792">
        <v>90300</v>
      </c>
      <c r="B792">
        <v>17031090300</v>
      </c>
      <c r="C792">
        <v>17031</v>
      </c>
      <c r="D792">
        <v>2010</v>
      </c>
      <c r="E792">
        <v>9</v>
      </c>
      <c r="F792">
        <v>5157947.9262242597</v>
      </c>
      <c r="G792" s="45">
        <v>0.18501592366219941</v>
      </c>
      <c r="H792" s="60" t="str">
        <f>_xlfn.IFNA(
INDEX('Community Areas'!B$2:B$78,MATCH($E792,'Community Areas'!$A$2:$A$78,0)),
"")</f>
        <v>EDISON PARK</v>
      </c>
      <c r="I792" s="63" t="str">
        <f>_xlfn.IFNA(
INDEX('Community Areas'!C$2:C$78,MATCH($E792,'Community Areas'!$A$2:$A$78,0)),
"")</f>
        <v>2-C</v>
      </c>
      <c r="J792" s="63">
        <f>_xlfn.IFNA(
INDEX('Community Areas'!D$2:D$78,MATCH($E792,'Community Areas'!$A$2:$A$78,0)),
"")</f>
        <v>2</v>
      </c>
      <c r="K792" s="60" t="str">
        <f>_xlfn.IFNA(
INDEX('Community Areas'!E$2:E$78,MATCH($E792,'Community Areas'!$A$2:$A$78,0)),
"")</f>
        <v>NORTHWEST</v>
      </c>
      <c r="L792" s="17" t="e">
        <f>SUMIFS([1]ACSDT5Y2020.B08301_data_with_ov!AT$3:AT$1334,[1]ACSDT5Y2020.B08301_data_with_ov!$AS$3:$AS$1334,$B792)</f>
        <v>#VALUE!</v>
      </c>
      <c r="M792" s="17" t="e">
        <f>SUMIFS([1]ACSDT5Y2020.B08301_data_with_ov!AU$3:AU$1334,[1]ACSDT5Y2020.B08301_data_with_ov!$AS$3:$AS$1334,$B792)</f>
        <v>#VALUE!</v>
      </c>
      <c r="N792" s="17" t="e">
        <f>SUMIFS([1]ACSDT5Y2020.B08301_data_with_ov!AV$3:AV$1334,[1]ACSDT5Y2020.B08301_data_with_ov!$AS$3:$AS$1334,$B792)</f>
        <v>#VALUE!</v>
      </c>
      <c r="O792" s="17" t="e">
        <f>SUMIFS([1]ACSDT5Y2020.B08301_data_with_ov!AW$3:AW$1334,[1]ACSDT5Y2020.B08301_data_with_ov!$AS$3:$AS$1334,$B792)</f>
        <v>#VALUE!</v>
      </c>
      <c r="P792" s="17" t="e">
        <f>SUMIFS([1]ACSDT5Y2020.B08301_data_with_ov!AX$3:AX$1334,[1]ACSDT5Y2020.B08301_data_with_ov!$AS$3:$AS$1334,$B792)</f>
        <v>#VALUE!</v>
      </c>
      <c r="Q792" s="17" t="e">
        <f>SUMIFS([1]ACSDT5Y2020.B08301_data_with_ov!AY$3:AY$1334,[1]ACSDT5Y2020.B08301_data_with_ov!$AS$3:$AS$1334,$B792)</f>
        <v>#VALUE!</v>
      </c>
      <c r="R792" s="17" t="e">
        <f>SUMIFS([1]ACSDT5Y2020.B08301_data_with_ov!AZ$3:AZ$1334,[1]ACSDT5Y2020.B08301_data_with_ov!$AS$3:$AS$1334,$B792)</f>
        <v>#VALUE!</v>
      </c>
      <c r="S792" s="17" t="e">
        <f>SUMIFS([1]ACSDT5Y2020.B08301_data_with_ov!BA$3:BA$1334,[1]ACSDT5Y2020.B08301_data_with_ov!$AS$3:$AS$1334,$B792)</f>
        <v>#VALUE!</v>
      </c>
      <c r="T792" s="188">
        <v>0.18313845084633623</v>
      </c>
      <c r="U792" s="189" t="e">
        <f t="shared" si="51"/>
        <v>#VALUE!</v>
      </c>
      <c r="V792" s="188">
        <v>9.1514371033797851E-2</v>
      </c>
      <c r="W792" s="189" t="e">
        <f t="shared" si="48"/>
        <v>#VALUE!</v>
      </c>
      <c r="X792" s="188">
        <v>9.1514371033797851E-2</v>
      </c>
      <c r="Y792" s="189" t="e">
        <f t="shared" si="49"/>
        <v>#VALUE!</v>
      </c>
      <c r="Z792" s="188">
        <v>9.1514371033797851E-2</v>
      </c>
      <c r="AA792" s="189" t="e">
        <f t="shared" si="50"/>
        <v>#VALUE!</v>
      </c>
    </row>
    <row r="793" spans="1:27" x14ac:dyDescent="0.25">
      <c r="A793">
        <v>90200</v>
      </c>
      <c r="B793">
        <v>17031090200</v>
      </c>
      <c r="C793">
        <v>17031</v>
      </c>
      <c r="D793">
        <v>2010</v>
      </c>
      <c r="E793">
        <v>9</v>
      </c>
      <c r="F793">
        <v>16430257.346206401</v>
      </c>
      <c r="G793" s="45">
        <v>0.58935438713148536</v>
      </c>
      <c r="H793" s="60" t="str">
        <f>_xlfn.IFNA(
INDEX('Community Areas'!B$2:B$78,MATCH($E793,'Community Areas'!$A$2:$A$78,0)),
"")</f>
        <v>EDISON PARK</v>
      </c>
      <c r="I793" s="63" t="str">
        <f>_xlfn.IFNA(
INDEX('Community Areas'!C$2:C$78,MATCH($E793,'Community Areas'!$A$2:$A$78,0)),
"")</f>
        <v>2-C</v>
      </c>
      <c r="J793" s="63">
        <f>_xlfn.IFNA(
INDEX('Community Areas'!D$2:D$78,MATCH($E793,'Community Areas'!$A$2:$A$78,0)),
"")</f>
        <v>2</v>
      </c>
      <c r="K793" s="60" t="str">
        <f>_xlfn.IFNA(
INDEX('Community Areas'!E$2:E$78,MATCH($E793,'Community Areas'!$A$2:$A$78,0)),
"")</f>
        <v>NORTHWEST</v>
      </c>
      <c r="L793" s="17" t="e">
        <f>SUMIFS([1]ACSDT5Y2020.B08301_data_with_ov!AT$3:AT$1334,[1]ACSDT5Y2020.B08301_data_with_ov!$AS$3:$AS$1334,$B793)</f>
        <v>#VALUE!</v>
      </c>
      <c r="M793" s="17" t="e">
        <f>SUMIFS([1]ACSDT5Y2020.B08301_data_with_ov!AU$3:AU$1334,[1]ACSDT5Y2020.B08301_data_with_ov!$AS$3:$AS$1334,$B793)</f>
        <v>#VALUE!</v>
      </c>
      <c r="N793" s="17" t="e">
        <f>SUMIFS([1]ACSDT5Y2020.B08301_data_with_ov!AV$3:AV$1334,[1]ACSDT5Y2020.B08301_data_with_ov!$AS$3:$AS$1334,$B793)</f>
        <v>#VALUE!</v>
      </c>
      <c r="O793" s="17" t="e">
        <f>SUMIFS([1]ACSDT5Y2020.B08301_data_with_ov!AW$3:AW$1334,[1]ACSDT5Y2020.B08301_data_with_ov!$AS$3:$AS$1334,$B793)</f>
        <v>#VALUE!</v>
      </c>
      <c r="P793" s="17" t="e">
        <f>SUMIFS([1]ACSDT5Y2020.B08301_data_with_ov!AX$3:AX$1334,[1]ACSDT5Y2020.B08301_data_with_ov!$AS$3:$AS$1334,$B793)</f>
        <v>#VALUE!</v>
      </c>
      <c r="Q793" s="17" t="e">
        <f>SUMIFS([1]ACSDT5Y2020.B08301_data_with_ov!AY$3:AY$1334,[1]ACSDT5Y2020.B08301_data_with_ov!$AS$3:$AS$1334,$B793)</f>
        <v>#VALUE!</v>
      </c>
      <c r="R793" s="17" t="e">
        <f>SUMIFS([1]ACSDT5Y2020.B08301_data_with_ov!AZ$3:AZ$1334,[1]ACSDT5Y2020.B08301_data_with_ov!$AS$3:$AS$1334,$B793)</f>
        <v>#VALUE!</v>
      </c>
      <c r="S793" s="17" t="e">
        <f>SUMIFS([1]ACSDT5Y2020.B08301_data_with_ov!BA$3:BA$1334,[1]ACSDT5Y2020.B08301_data_with_ov!$AS$3:$AS$1334,$B793)</f>
        <v>#VALUE!</v>
      </c>
      <c r="T793" s="188">
        <v>0.33872701061260224</v>
      </c>
      <c r="U793" s="189" t="e">
        <f t="shared" si="51"/>
        <v>#VALUE!</v>
      </c>
      <c r="V793" s="188">
        <v>0.17478255718855351</v>
      </c>
      <c r="W793" s="189" t="e">
        <f t="shared" si="48"/>
        <v>#VALUE!</v>
      </c>
      <c r="X793" s="188">
        <v>0.17478255718855351</v>
      </c>
      <c r="Y793" s="189" t="e">
        <f t="shared" si="49"/>
        <v>#VALUE!</v>
      </c>
      <c r="Z793" s="188">
        <v>0.17478255718855351</v>
      </c>
      <c r="AA793" s="189" t="e">
        <f t="shared" si="50"/>
        <v>#VALUE!</v>
      </c>
    </row>
    <row r="794" spans="1:27" x14ac:dyDescent="0.25">
      <c r="A794">
        <v>840000</v>
      </c>
      <c r="B794">
        <v>17031840000</v>
      </c>
      <c r="C794">
        <v>17031</v>
      </c>
      <c r="D794">
        <v>2010</v>
      </c>
      <c r="E794">
        <v>60</v>
      </c>
      <c r="F794">
        <v>6259256.5257758098</v>
      </c>
      <c r="G794" s="45">
        <v>0.22451993391929989</v>
      </c>
      <c r="H794" s="60" t="str">
        <f>_xlfn.IFNA(
INDEX('Community Areas'!B$2:B$78,MATCH($E794,'Community Areas'!$A$2:$A$78,0)),
"")</f>
        <v>BRIDGEPORT</v>
      </c>
      <c r="I794" s="63" t="str">
        <f>_xlfn.IFNA(
INDEX('Community Areas'!C$2:C$78,MATCH($E794,'Community Areas'!$A$2:$A$78,0)),
"")</f>
        <v>4-A</v>
      </c>
      <c r="J794" s="63">
        <f>_xlfn.IFNA(
INDEX('Community Areas'!D$2:D$78,MATCH($E794,'Community Areas'!$A$2:$A$78,0)),
"")</f>
        <v>4</v>
      </c>
      <c r="K794" s="60" t="str">
        <f>_xlfn.IFNA(
INDEX('Community Areas'!E$2:E$78,MATCH($E794,'Community Areas'!$A$2:$A$78,0)),
"")</f>
        <v>SOUTHWEST</v>
      </c>
      <c r="L794" s="17" t="e">
        <f>SUMIFS([1]ACSDT5Y2020.B08301_data_with_ov!AT$3:AT$1334,[1]ACSDT5Y2020.B08301_data_with_ov!$AS$3:$AS$1334,$B794)</f>
        <v>#VALUE!</v>
      </c>
      <c r="M794" s="17" t="e">
        <f>SUMIFS([1]ACSDT5Y2020.B08301_data_with_ov!AU$3:AU$1334,[1]ACSDT5Y2020.B08301_data_with_ov!$AS$3:$AS$1334,$B794)</f>
        <v>#VALUE!</v>
      </c>
      <c r="N794" s="17" t="e">
        <f>SUMIFS([1]ACSDT5Y2020.B08301_data_with_ov!AV$3:AV$1334,[1]ACSDT5Y2020.B08301_data_with_ov!$AS$3:$AS$1334,$B794)</f>
        <v>#VALUE!</v>
      </c>
      <c r="O794" s="17" t="e">
        <f>SUMIFS([1]ACSDT5Y2020.B08301_data_with_ov!AW$3:AW$1334,[1]ACSDT5Y2020.B08301_data_with_ov!$AS$3:$AS$1334,$B794)</f>
        <v>#VALUE!</v>
      </c>
      <c r="P794" s="17" t="e">
        <f>SUMIFS([1]ACSDT5Y2020.B08301_data_with_ov!AX$3:AX$1334,[1]ACSDT5Y2020.B08301_data_with_ov!$AS$3:$AS$1334,$B794)</f>
        <v>#VALUE!</v>
      </c>
      <c r="Q794" s="17" t="e">
        <f>SUMIFS([1]ACSDT5Y2020.B08301_data_with_ov!AY$3:AY$1334,[1]ACSDT5Y2020.B08301_data_with_ov!$AS$3:$AS$1334,$B794)</f>
        <v>#VALUE!</v>
      </c>
      <c r="R794" s="17" t="e">
        <f>SUMIFS([1]ACSDT5Y2020.B08301_data_with_ov!AZ$3:AZ$1334,[1]ACSDT5Y2020.B08301_data_with_ov!$AS$3:$AS$1334,$B794)</f>
        <v>#VALUE!</v>
      </c>
      <c r="S794" s="17" t="e">
        <f>SUMIFS([1]ACSDT5Y2020.B08301_data_with_ov!BA$3:BA$1334,[1]ACSDT5Y2020.B08301_data_with_ov!$AS$3:$AS$1334,$B794)</f>
        <v>#VALUE!</v>
      </c>
      <c r="T794" s="188">
        <v>0.22408751521974218</v>
      </c>
      <c r="U794" s="189" t="e">
        <f t="shared" si="51"/>
        <v>#VALUE!</v>
      </c>
      <c r="V794" s="188">
        <v>0.22408751521974218</v>
      </c>
      <c r="W794" s="189" t="e">
        <f t="shared" si="48"/>
        <v>#VALUE!</v>
      </c>
      <c r="X794" s="188">
        <v>0.22408751521974218</v>
      </c>
      <c r="Y794" s="189" t="e">
        <f t="shared" si="49"/>
        <v>#VALUE!</v>
      </c>
      <c r="Z794" s="188">
        <v>0.22408751521974218</v>
      </c>
      <c r="AA794" s="189" t="e">
        <f t="shared" si="50"/>
        <v>#VALUE!</v>
      </c>
    </row>
    <row r="795" spans="1:27" x14ac:dyDescent="0.25">
      <c r="A795">
        <v>842600</v>
      </c>
      <c r="B795">
        <v>17031842600</v>
      </c>
      <c r="C795">
        <v>17031</v>
      </c>
      <c r="D795">
        <v>2010</v>
      </c>
      <c r="E795">
        <v>61</v>
      </c>
      <c r="F795">
        <v>39613989.010543801</v>
      </c>
      <c r="G795" s="45">
        <v>1.4209563321619534</v>
      </c>
      <c r="H795" s="60" t="str">
        <f>_xlfn.IFNA(
INDEX('Community Areas'!B$2:B$78,MATCH($E795,'Community Areas'!$A$2:$A$78,0)),
"")</f>
        <v>NEW CITY</v>
      </c>
      <c r="I795" s="63" t="str">
        <f>_xlfn.IFNA(
INDEX('Community Areas'!C$2:C$78,MATCH($E795,'Community Areas'!$A$2:$A$78,0)),
"")</f>
        <v>4-A</v>
      </c>
      <c r="J795" s="63">
        <f>_xlfn.IFNA(
INDEX('Community Areas'!D$2:D$78,MATCH($E795,'Community Areas'!$A$2:$A$78,0)),
"")</f>
        <v>4</v>
      </c>
      <c r="K795" s="60" t="str">
        <f>_xlfn.IFNA(
INDEX('Community Areas'!E$2:E$78,MATCH($E795,'Community Areas'!$A$2:$A$78,0)),
"")</f>
        <v>SOUTHWEST</v>
      </c>
      <c r="L795" s="17" t="e">
        <f>SUMIFS([1]ACSDT5Y2020.B08301_data_with_ov!AT$3:AT$1334,[1]ACSDT5Y2020.B08301_data_with_ov!$AS$3:$AS$1334,$B795)</f>
        <v>#VALUE!</v>
      </c>
      <c r="M795" s="17" t="e">
        <f>SUMIFS([1]ACSDT5Y2020.B08301_data_with_ov!AU$3:AU$1334,[1]ACSDT5Y2020.B08301_data_with_ov!$AS$3:$AS$1334,$B795)</f>
        <v>#VALUE!</v>
      </c>
      <c r="N795" s="17" t="e">
        <f>SUMIFS([1]ACSDT5Y2020.B08301_data_with_ov!AV$3:AV$1334,[1]ACSDT5Y2020.B08301_data_with_ov!$AS$3:$AS$1334,$B795)</f>
        <v>#VALUE!</v>
      </c>
      <c r="O795" s="17" t="e">
        <f>SUMIFS([1]ACSDT5Y2020.B08301_data_with_ov!AW$3:AW$1334,[1]ACSDT5Y2020.B08301_data_with_ov!$AS$3:$AS$1334,$B795)</f>
        <v>#VALUE!</v>
      </c>
      <c r="P795" s="17" t="e">
        <f>SUMIFS([1]ACSDT5Y2020.B08301_data_with_ov!AX$3:AX$1334,[1]ACSDT5Y2020.B08301_data_with_ov!$AS$3:$AS$1334,$B795)</f>
        <v>#VALUE!</v>
      </c>
      <c r="Q795" s="17" t="e">
        <f>SUMIFS([1]ACSDT5Y2020.B08301_data_with_ov!AY$3:AY$1334,[1]ACSDT5Y2020.B08301_data_with_ov!$AS$3:$AS$1334,$B795)</f>
        <v>#VALUE!</v>
      </c>
      <c r="R795" s="17" t="e">
        <f>SUMIFS([1]ACSDT5Y2020.B08301_data_with_ov!AZ$3:AZ$1334,[1]ACSDT5Y2020.B08301_data_with_ov!$AS$3:$AS$1334,$B795)</f>
        <v>#VALUE!</v>
      </c>
      <c r="S795" s="17" t="e">
        <f>SUMIFS([1]ACSDT5Y2020.B08301_data_with_ov!BA$3:BA$1334,[1]ACSDT5Y2020.B08301_data_with_ov!$AS$3:$AS$1334,$B795)</f>
        <v>#VALUE!</v>
      </c>
      <c r="T795" s="188">
        <v>1.3091735717353399</v>
      </c>
      <c r="U795" s="189" t="e">
        <f t="shared" si="51"/>
        <v>#VALUE!</v>
      </c>
      <c r="V795" s="188">
        <v>1.3091735717353399</v>
      </c>
      <c r="W795" s="189" t="e">
        <f t="shared" si="48"/>
        <v>#VALUE!</v>
      </c>
      <c r="X795" s="188">
        <v>1.3091735717353399</v>
      </c>
      <c r="Y795" s="189" t="e">
        <f t="shared" si="49"/>
        <v>#VALUE!</v>
      </c>
      <c r="Z795" s="188">
        <v>1.3091735717353399</v>
      </c>
      <c r="AA795" s="189" t="e">
        <f t="shared" si="50"/>
        <v>#VALUE!</v>
      </c>
    </row>
    <row r="796" spans="1:27" x14ac:dyDescent="0.25">
      <c r="A796">
        <v>843900</v>
      </c>
      <c r="B796">
        <v>17031843900</v>
      </c>
      <c r="C796">
        <v>17031</v>
      </c>
      <c r="D796">
        <v>2010</v>
      </c>
      <c r="E796">
        <v>42</v>
      </c>
      <c r="F796">
        <v>16582763.574752601</v>
      </c>
      <c r="G796" s="45">
        <v>0.59482479535240906</v>
      </c>
      <c r="H796" s="60" t="str">
        <f>_xlfn.IFNA(
INDEX('Community Areas'!B$2:B$78,MATCH($E796,'Community Areas'!$A$2:$A$78,0)),
"")</f>
        <v>WOODLAWN</v>
      </c>
      <c r="I796" s="63" t="str">
        <f>_xlfn.IFNA(
INDEX('Community Areas'!C$2:C$78,MATCH($E796,'Community Areas'!$A$2:$A$78,0)),
"")</f>
        <v>6-B</v>
      </c>
      <c r="J796" s="63">
        <f>_xlfn.IFNA(
INDEX('Community Areas'!D$2:D$78,MATCH($E796,'Community Areas'!$A$2:$A$78,0)),
"")</f>
        <v>6</v>
      </c>
      <c r="K796" s="60" t="str">
        <f>_xlfn.IFNA(
INDEX('Community Areas'!E$2:E$78,MATCH($E796,'Community Areas'!$A$2:$A$78,0)),
"")</f>
        <v>SOUTH</v>
      </c>
      <c r="L796" s="17" t="e">
        <f>SUMIFS([1]ACSDT5Y2020.B08301_data_with_ov!AT$3:AT$1334,[1]ACSDT5Y2020.B08301_data_with_ov!$AS$3:$AS$1334,$B796)</f>
        <v>#VALUE!</v>
      </c>
      <c r="M796" s="17" t="e">
        <f>SUMIFS([1]ACSDT5Y2020.B08301_data_with_ov!AU$3:AU$1334,[1]ACSDT5Y2020.B08301_data_with_ov!$AS$3:$AS$1334,$B796)</f>
        <v>#VALUE!</v>
      </c>
      <c r="N796" s="17" t="e">
        <f>SUMIFS([1]ACSDT5Y2020.B08301_data_with_ov!AV$3:AV$1334,[1]ACSDT5Y2020.B08301_data_with_ov!$AS$3:$AS$1334,$B796)</f>
        <v>#VALUE!</v>
      </c>
      <c r="O796" s="17" t="e">
        <f>SUMIFS([1]ACSDT5Y2020.B08301_data_with_ov!AW$3:AW$1334,[1]ACSDT5Y2020.B08301_data_with_ov!$AS$3:$AS$1334,$B796)</f>
        <v>#VALUE!</v>
      </c>
      <c r="P796" s="17" t="e">
        <f>SUMIFS([1]ACSDT5Y2020.B08301_data_with_ov!AX$3:AX$1334,[1]ACSDT5Y2020.B08301_data_with_ov!$AS$3:$AS$1334,$B796)</f>
        <v>#VALUE!</v>
      </c>
      <c r="Q796" s="17" t="e">
        <f>SUMIFS([1]ACSDT5Y2020.B08301_data_with_ov!AY$3:AY$1334,[1]ACSDT5Y2020.B08301_data_with_ov!$AS$3:$AS$1334,$B796)</f>
        <v>#VALUE!</v>
      </c>
      <c r="R796" s="17" t="e">
        <f>SUMIFS([1]ACSDT5Y2020.B08301_data_with_ov!AZ$3:AZ$1334,[1]ACSDT5Y2020.B08301_data_with_ov!$AS$3:$AS$1334,$B796)</f>
        <v>#VALUE!</v>
      </c>
      <c r="S796" s="17" t="e">
        <f>SUMIFS([1]ACSDT5Y2020.B08301_data_with_ov!BA$3:BA$1334,[1]ACSDT5Y2020.B08301_data_with_ov!$AS$3:$AS$1334,$B796)</f>
        <v>#VALUE!</v>
      </c>
      <c r="T796" s="188">
        <v>0.59482479632382057</v>
      </c>
      <c r="U796" s="189" t="e">
        <f t="shared" si="51"/>
        <v>#VALUE!</v>
      </c>
      <c r="V796" s="188">
        <v>0.59482479632382057</v>
      </c>
      <c r="W796" s="189" t="e">
        <f t="shared" si="48"/>
        <v>#VALUE!</v>
      </c>
      <c r="X796" s="188">
        <v>0.59482479632382057</v>
      </c>
      <c r="Y796" s="189" t="e">
        <f t="shared" si="49"/>
        <v>#VALUE!</v>
      </c>
      <c r="Z796" s="188">
        <v>0.59482479632382057</v>
      </c>
      <c r="AA796" s="189" t="e">
        <f t="shared" si="50"/>
        <v>#VALUE!</v>
      </c>
    </row>
    <row r="797" spans="1:27" x14ac:dyDescent="0.25">
      <c r="A797">
        <v>430400</v>
      </c>
      <c r="B797">
        <v>17031430400</v>
      </c>
      <c r="C797">
        <v>17031</v>
      </c>
      <c r="D797">
        <v>2010</v>
      </c>
      <c r="E797">
        <v>43</v>
      </c>
      <c r="F797">
        <v>5774723.4992509698</v>
      </c>
      <c r="G797" s="45">
        <v>0.20713970311248026</v>
      </c>
      <c r="H797" s="60" t="str">
        <f>_xlfn.IFNA(
INDEX('Community Areas'!B$2:B$78,MATCH($E797,'Community Areas'!$A$2:$A$78,0)),
"")</f>
        <v>SOUTH SHORE</v>
      </c>
      <c r="I797" s="63" t="str">
        <f>_xlfn.IFNA(
INDEX('Community Areas'!C$2:C$78,MATCH($E797,'Community Areas'!$A$2:$A$78,0)),
"")</f>
        <v>6-B</v>
      </c>
      <c r="J797" s="63">
        <f>_xlfn.IFNA(
INDEX('Community Areas'!D$2:D$78,MATCH($E797,'Community Areas'!$A$2:$A$78,0)),
"")</f>
        <v>6</v>
      </c>
      <c r="K797" s="60" t="str">
        <f>_xlfn.IFNA(
INDEX('Community Areas'!E$2:E$78,MATCH($E797,'Community Areas'!$A$2:$A$78,0)),
"")</f>
        <v>SOUTH</v>
      </c>
      <c r="L797" s="17" t="e">
        <f>SUMIFS([1]ACSDT5Y2020.B08301_data_with_ov!AT$3:AT$1334,[1]ACSDT5Y2020.B08301_data_with_ov!$AS$3:$AS$1334,$B797)</f>
        <v>#VALUE!</v>
      </c>
      <c r="M797" s="17" t="e">
        <f>SUMIFS([1]ACSDT5Y2020.B08301_data_with_ov!AU$3:AU$1334,[1]ACSDT5Y2020.B08301_data_with_ov!$AS$3:$AS$1334,$B797)</f>
        <v>#VALUE!</v>
      </c>
      <c r="N797" s="17" t="e">
        <f>SUMIFS([1]ACSDT5Y2020.B08301_data_with_ov!AV$3:AV$1334,[1]ACSDT5Y2020.B08301_data_with_ov!$AS$3:$AS$1334,$B797)</f>
        <v>#VALUE!</v>
      </c>
      <c r="O797" s="17" t="e">
        <f>SUMIFS([1]ACSDT5Y2020.B08301_data_with_ov!AW$3:AW$1334,[1]ACSDT5Y2020.B08301_data_with_ov!$AS$3:$AS$1334,$B797)</f>
        <v>#VALUE!</v>
      </c>
      <c r="P797" s="17" t="e">
        <f>SUMIFS([1]ACSDT5Y2020.B08301_data_with_ov!AX$3:AX$1334,[1]ACSDT5Y2020.B08301_data_with_ov!$AS$3:$AS$1334,$B797)</f>
        <v>#VALUE!</v>
      </c>
      <c r="Q797" s="17" t="e">
        <f>SUMIFS([1]ACSDT5Y2020.B08301_data_with_ov!AY$3:AY$1334,[1]ACSDT5Y2020.B08301_data_with_ov!$AS$3:$AS$1334,$B797)</f>
        <v>#VALUE!</v>
      </c>
      <c r="R797" s="17" t="e">
        <f>SUMIFS([1]ACSDT5Y2020.B08301_data_with_ov!AZ$3:AZ$1334,[1]ACSDT5Y2020.B08301_data_with_ov!$AS$3:$AS$1334,$B797)</f>
        <v>#VALUE!</v>
      </c>
      <c r="S797" s="17" t="e">
        <f>SUMIFS([1]ACSDT5Y2020.B08301_data_with_ov!BA$3:BA$1334,[1]ACSDT5Y2020.B08301_data_with_ov!$AS$3:$AS$1334,$B797)</f>
        <v>#VALUE!</v>
      </c>
      <c r="T797" s="188">
        <v>0.20688630579579423</v>
      </c>
      <c r="U797" s="189" t="e">
        <f t="shared" si="51"/>
        <v>#VALUE!</v>
      </c>
      <c r="V797" s="188">
        <v>0.20688630579579423</v>
      </c>
      <c r="W797" s="189" t="e">
        <f t="shared" si="48"/>
        <v>#VALUE!</v>
      </c>
      <c r="X797" s="188">
        <v>0.20688630579579423</v>
      </c>
      <c r="Y797" s="189" t="e">
        <f t="shared" si="49"/>
        <v>#VALUE!</v>
      </c>
      <c r="Z797" s="188">
        <v>0.20688630579579423</v>
      </c>
      <c r="AA797" s="189" t="e">
        <f t="shared" si="50"/>
        <v>#VALUE!</v>
      </c>
    </row>
    <row r="798" spans="1:27" x14ac:dyDescent="0.25">
      <c r="A798">
        <v>841800</v>
      </c>
      <c r="B798">
        <v>17031841800</v>
      </c>
      <c r="C798">
        <v>17031</v>
      </c>
      <c r="D798">
        <v>2010</v>
      </c>
      <c r="E798">
        <v>69</v>
      </c>
      <c r="F798">
        <v>17778153.118316099</v>
      </c>
      <c r="G798" s="45">
        <v>0.63770349511866176</v>
      </c>
      <c r="H798" s="60" t="str">
        <f>_xlfn.IFNA(
INDEX('Community Areas'!B$2:B$78,MATCH($E798,'Community Areas'!$A$2:$A$78,0)),
"")</f>
        <v>GREATER GRAND CROSSING</v>
      </c>
      <c r="I798" s="63" t="str">
        <f>_xlfn.IFNA(
INDEX('Community Areas'!C$2:C$78,MATCH($E798,'Community Areas'!$A$2:$A$78,0)),
"")</f>
        <v>6-B</v>
      </c>
      <c r="J798" s="63">
        <f>_xlfn.IFNA(
INDEX('Community Areas'!D$2:D$78,MATCH($E798,'Community Areas'!$A$2:$A$78,0)),
"")</f>
        <v>6</v>
      </c>
      <c r="K798" s="60" t="str">
        <f>_xlfn.IFNA(
INDEX('Community Areas'!E$2:E$78,MATCH($E798,'Community Areas'!$A$2:$A$78,0)),
"")</f>
        <v>SOUTH</v>
      </c>
      <c r="L798" s="17" t="e">
        <f>SUMIFS([1]ACSDT5Y2020.B08301_data_with_ov!AT$3:AT$1334,[1]ACSDT5Y2020.B08301_data_with_ov!$AS$3:$AS$1334,$B798)</f>
        <v>#VALUE!</v>
      </c>
      <c r="M798" s="17" t="e">
        <f>SUMIFS([1]ACSDT5Y2020.B08301_data_with_ov!AU$3:AU$1334,[1]ACSDT5Y2020.B08301_data_with_ov!$AS$3:$AS$1334,$B798)</f>
        <v>#VALUE!</v>
      </c>
      <c r="N798" s="17" t="e">
        <f>SUMIFS([1]ACSDT5Y2020.B08301_data_with_ov!AV$3:AV$1334,[1]ACSDT5Y2020.B08301_data_with_ov!$AS$3:$AS$1334,$B798)</f>
        <v>#VALUE!</v>
      </c>
      <c r="O798" s="17" t="e">
        <f>SUMIFS([1]ACSDT5Y2020.B08301_data_with_ov!AW$3:AW$1334,[1]ACSDT5Y2020.B08301_data_with_ov!$AS$3:$AS$1334,$B798)</f>
        <v>#VALUE!</v>
      </c>
      <c r="P798" s="17" t="e">
        <f>SUMIFS([1]ACSDT5Y2020.B08301_data_with_ov!AX$3:AX$1334,[1]ACSDT5Y2020.B08301_data_with_ov!$AS$3:$AS$1334,$B798)</f>
        <v>#VALUE!</v>
      </c>
      <c r="Q798" s="17" t="e">
        <f>SUMIFS([1]ACSDT5Y2020.B08301_data_with_ov!AY$3:AY$1334,[1]ACSDT5Y2020.B08301_data_with_ov!$AS$3:$AS$1334,$B798)</f>
        <v>#VALUE!</v>
      </c>
      <c r="R798" s="17" t="e">
        <f>SUMIFS([1]ACSDT5Y2020.B08301_data_with_ov!AZ$3:AZ$1334,[1]ACSDT5Y2020.B08301_data_with_ov!$AS$3:$AS$1334,$B798)</f>
        <v>#VALUE!</v>
      </c>
      <c r="S798" s="17" t="e">
        <f>SUMIFS([1]ACSDT5Y2020.B08301_data_with_ov!BA$3:BA$1334,[1]ACSDT5Y2020.B08301_data_with_ov!$AS$3:$AS$1334,$B798)</f>
        <v>#VALUE!</v>
      </c>
      <c r="T798" s="188">
        <v>0.63262222195689133</v>
      </c>
      <c r="U798" s="189" t="e">
        <f t="shared" si="51"/>
        <v>#VALUE!</v>
      </c>
      <c r="V798" s="188">
        <v>0.63262222195689133</v>
      </c>
      <c r="W798" s="189" t="e">
        <f t="shared" si="48"/>
        <v>#VALUE!</v>
      </c>
      <c r="X798" s="188">
        <v>0.63262222195689133</v>
      </c>
      <c r="Y798" s="189" t="e">
        <f t="shared" si="49"/>
        <v>#VALUE!</v>
      </c>
      <c r="Z798" s="188">
        <v>0.63262222195689133</v>
      </c>
      <c r="AA798" s="189" t="e">
        <f t="shared" si="50"/>
        <v>#VALUE!</v>
      </c>
    </row>
    <row r="799" spans="1:27" x14ac:dyDescent="0.25">
      <c r="A799">
        <v>843500</v>
      </c>
      <c r="B799">
        <v>17031843500</v>
      </c>
      <c r="C799">
        <v>17031</v>
      </c>
      <c r="D799">
        <v>2010</v>
      </c>
      <c r="E799">
        <v>30</v>
      </c>
      <c r="F799">
        <v>21686969.657772802</v>
      </c>
      <c r="G799" s="45">
        <v>0.77791299564439864</v>
      </c>
      <c r="H799" s="60" t="str">
        <f>_xlfn.IFNA(
INDEX('Community Areas'!B$2:B$78,MATCH($E799,'Community Areas'!$A$2:$A$78,0)),
"")</f>
        <v>SOUTH LAWNDALE</v>
      </c>
      <c r="I799" s="63" t="str">
        <f>_xlfn.IFNA(
INDEX('Community Areas'!C$2:C$78,MATCH($E799,'Community Areas'!$A$2:$A$78,0)),
"")</f>
        <v>3-A</v>
      </c>
      <c r="J799" s="63">
        <f>_xlfn.IFNA(
INDEX('Community Areas'!D$2:D$78,MATCH($E799,'Community Areas'!$A$2:$A$78,0)),
"")</f>
        <v>3</v>
      </c>
      <c r="K799" s="60" t="str">
        <f>_xlfn.IFNA(
INDEX('Community Areas'!E$2:E$78,MATCH($E799,'Community Areas'!$A$2:$A$78,0)),
"")</f>
        <v>WEST</v>
      </c>
      <c r="L799" s="17" t="e">
        <f>SUMIFS([1]ACSDT5Y2020.B08301_data_with_ov!AT$3:AT$1334,[1]ACSDT5Y2020.B08301_data_with_ov!$AS$3:$AS$1334,$B799)</f>
        <v>#VALUE!</v>
      </c>
      <c r="M799" s="17" t="e">
        <f>SUMIFS([1]ACSDT5Y2020.B08301_data_with_ov!AU$3:AU$1334,[1]ACSDT5Y2020.B08301_data_with_ov!$AS$3:$AS$1334,$B799)</f>
        <v>#VALUE!</v>
      </c>
      <c r="N799" s="17" t="e">
        <f>SUMIFS([1]ACSDT5Y2020.B08301_data_with_ov!AV$3:AV$1334,[1]ACSDT5Y2020.B08301_data_with_ov!$AS$3:$AS$1334,$B799)</f>
        <v>#VALUE!</v>
      </c>
      <c r="O799" s="17" t="e">
        <f>SUMIFS([1]ACSDT5Y2020.B08301_data_with_ov!AW$3:AW$1334,[1]ACSDT5Y2020.B08301_data_with_ov!$AS$3:$AS$1334,$B799)</f>
        <v>#VALUE!</v>
      </c>
      <c r="P799" s="17" t="e">
        <f>SUMIFS([1]ACSDT5Y2020.B08301_data_with_ov!AX$3:AX$1334,[1]ACSDT5Y2020.B08301_data_with_ov!$AS$3:$AS$1334,$B799)</f>
        <v>#VALUE!</v>
      </c>
      <c r="Q799" s="17" t="e">
        <f>SUMIFS([1]ACSDT5Y2020.B08301_data_with_ov!AY$3:AY$1334,[1]ACSDT5Y2020.B08301_data_with_ov!$AS$3:$AS$1334,$B799)</f>
        <v>#VALUE!</v>
      </c>
      <c r="R799" s="17" t="e">
        <f>SUMIFS([1]ACSDT5Y2020.B08301_data_with_ov!AZ$3:AZ$1334,[1]ACSDT5Y2020.B08301_data_with_ov!$AS$3:$AS$1334,$B799)</f>
        <v>#VALUE!</v>
      </c>
      <c r="S799" s="17" t="e">
        <f>SUMIFS([1]ACSDT5Y2020.B08301_data_with_ov!BA$3:BA$1334,[1]ACSDT5Y2020.B08301_data_with_ov!$AS$3:$AS$1334,$B799)</f>
        <v>#VALUE!</v>
      </c>
      <c r="T799" s="188">
        <v>0.69597334158496904</v>
      </c>
      <c r="U799" s="189" t="e">
        <f t="shared" si="51"/>
        <v>#VALUE!</v>
      </c>
      <c r="V799" s="188">
        <v>0.68065492229662383</v>
      </c>
      <c r="W799" s="189" t="e">
        <f t="shared" si="48"/>
        <v>#VALUE!</v>
      </c>
      <c r="X799" s="188">
        <v>0.68065492229662383</v>
      </c>
      <c r="Y799" s="189" t="e">
        <f t="shared" si="49"/>
        <v>#VALUE!</v>
      </c>
      <c r="Z799" s="188">
        <v>0.68065492229662383</v>
      </c>
      <c r="AA799" s="189" t="e">
        <f t="shared" si="50"/>
        <v>#VALUE!</v>
      </c>
    </row>
    <row r="800" spans="1:27" x14ac:dyDescent="0.25">
      <c r="A800">
        <v>823304</v>
      </c>
      <c r="B800">
        <v>17031823304</v>
      </c>
      <c r="C800">
        <v>17031</v>
      </c>
      <c r="D800">
        <v>2010</v>
      </c>
      <c r="E800">
        <v>75</v>
      </c>
      <c r="F800">
        <v>7019097.8020518003</v>
      </c>
      <c r="G800" s="45">
        <v>0.25177548934127497</v>
      </c>
      <c r="H800" s="60" t="str">
        <f>_xlfn.IFNA(
INDEX('Community Areas'!B$2:B$78,MATCH($E800,'Community Areas'!$A$2:$A$78,0)),
"")</f>
        <v>MORGAN PARK</v>
      </c>
      <c r="I800" s="63" t="str">
        <f>_xlfn.IFNA(
INDEX('Community Areas'!C$2:C$78,MATCH($E800,'Community Areas'!$A$2:$A$78,0)),
"")</f>
        <v>5-B</v>
      </c>
      <c r="J800" s="63">
        <f>_xlfn.IFNA(
INDEX('Community Areas'!D$2:D$78,MATCH($E800,'Community Areas'!$A$2:$A$78,0)),
"")</f>
        <v>5</v>
      </c>
      <c r="K800" s="60" t="str">
        <f>_xlfn.IFNA(
INDEX('Community Areas'!E$2:E$78,MATCH($E800,'Community Areas'!$A$2:$A$78,0)),
"")</f>
        <v>FAR SOUTH</v>
      </c>
      <c r="L800" s="17" t="e">
        <f>SUMIFS([1]ACSDT5Y2020.B08301_data_with_ov!AT$3:AT$1334,[1]ACSDT5Y2020.B08301_data_with_ov!$AS$3:$AS$1334,$B800)</f>
        <v>#VALUE!</v>
      </c>
      <c r="M800" s="17" t="e">
        <f>SUMIFS([1]ACSDT5Y2020.B08301_data_with_ov!AU$3:AU$1334,[1]ACSDT5Y2020.B08301_data_with_ov!$AS$3:$AS$1334,$B800)</f>
        <v>#VALUE!</v>
      </c>
      <c r="N800" s="17" t="e">
        <f>SUMIFS([1]ACSDT5Y2020.B08301_data_with_ov!AV$3:AV$1334,[1]ACSDT5Y2020.B08301_data_with_ov!$AS$3:$AS$1334,$B800)</f>
        <v>#VALUE!</v>
      </c>
      <c r="O800" s="17" t="e">
        <f>SUMIFS([1]ACSDT5Y2020.B08301_data_with_ov!AW$3:AW$1334,[1]ACSDT5Y2020.B08301_data_with_ov!$AS$3:$AS$1334,$B800)</f>
        <v>#VALUE!</v>
      </c>
      <c r="P800" s="17" t="e">
        <f>SUMIFS([1]ACSDT5Y2020.B08301_data_with_ov!AX$3:AX$1334,[1]ACSDT5Y2020.B08301_data_with_ov!$AS$3:$AS$1334,$B800)</f>
        <v>#VALUE!</v>
      </c>
      <c r="Q800" s="17" t="e">
        <f>SUMIFS([1]ACSDT5Y2020.B08301_data_with_ov!AY$3:AY$1334,[1]ACSDT5Y2020.B08301_data_with_ov!$AS$3:$AS$1334,$B800)</f>
        <v>#VALUE!</v>
      </c>
      <c r="R800" s="17" t="e">
        <f>SUMIFS([1]ACSDT5Y2020.B08301_data_with_ov!AZ$3:AZ$1334,[1]ACSDT5Y2020.B08301_data_with_ov!$AS$3:$AS$1334,$B800)</f>
        <v>#VALUE!</v>
      </c>
      <c r="S800" s="17" t="e">
        <f>SUMIFS([1]ACSDT5Y2020.B08301_data_with_ov!BA$3:BA$1334,[1]ACSDT5Y2020.B08301_data_with_ov!$AS$3:$AS$1334,$B800)</f>
        <v>#VALUE!</v>
      </c>
      <c r="T800" s="188">
        <v>0</v>
      </c>
      <c r="U800" s="189" t="e">
        <f t="shared" si="51"/>
        <v>#VALUE!</v>
      </c>
      <c r="V800" s="188">
        <v>0</v>
      </c>
      <c r="W800" s="189" t="e">
        <f t="shared" si="48"/>
        <v>#VALUE!</v>
      </c>
      <c r="X800" s="188">
        <v>0</v>
      </c>
      <c r="Y800" s="189" t="e">
        <f t="shared" si="49"/>
        <v>#VALUE!</v>
      </c>
      <c r="Z800" s="188">
        <v>0</v>
      </c>
      <c r="AA800" s="189" t="e">
        <f t="shared" si="50"/>
        <v>#VALUE!</v>
      </c>
    </row>
    <row r="801" spans="1:27" x14ac:dyDescent="0.25">
      <c r="A801">
        <v>81402</v>
      </c>
      <c r="B801">
        <v>17031081402</v>
      </c>
      <c r="C801">
        <v>17031</v>
      </c>
      <c r="D801">
        <v>2010</v>
      </c>
      <c r="E801">
        <v>8</v>
      </c>
      <c r="F801">
        <v>6408031.0933575397</v>
      </c>
      <c r="G801" s="45">
        <v>0.22985648722156005</v>
      </c>
      <c r="H801" s="60" t="str">
        <f>_xlfn.IFNA(
INDEX('Community Areas'!B$2:B$78,MATCH($E801,'Community Areas'!$A$2:$A$78,0)),
"")</f>
        <v>NEAR NORTH SIDE</v>
      </c>
      <c r="I801" s="63">
        <f>_xlfn.IFNA(
INDEX('Community Areas'!C$2:C$78,MATCH($E801,'Community Areas'!$A$2:$A$78,0)),
"")</f>
        <v>7</v>
      </c>
      <c r="J801" s="63">
        <f>_xlfn.IFNA(
INDEX('Community Areas'!D$2:D$78,MATCH($E801,'Community Areas'!$A$2:$A$78,0)),
"")</f>
        <v>7</v>
      </c>
      <c r="K801" s="60" t="str">
        <f>_xlfn.IFNA(
INDEX('Community Areas'!E$2:E$78,MATCH($E801,'Community Areas'!$A$2:$A$78,0)),
"")</f>
        <v>CENTRAL</v>
      </c>
      <c r="L801" s="17" t="e">
        <f>SUMIFS([1]ACSDT5Y2020.B08301_data_with_ov!AT$3:AT$1334,[1]ACSDT5Y2020.B08301_data_with_ov!$AS$3:$AS$1334,$B801)</f>
        <v>#VALUE!</v>
      </c>
      <c r="M801" s="17" t="e">
        <f>SUMIFS([1]ACSDT5Y2020.B08301_data_with_ov!AU$3:AU$1334,[1]ACSDT5Y2020.B08301_data_with_ov!$AS$3:$AS$1334,$B801)</f>
        <v>#VALUE!</v>
      </c>
      <c r="N801" s="17" t="e">
        <f>SUMIFS([1]ACSDT5Y2020.B08301_data_with_ov!AV$3:AV$1334,[1]ACSDT5Y2020.B08301_data_with_ov!$AS$3:$AS$1334,$B801)</f>
        <v>#VALUE!</v>
      </c>
      <c r="O801" s="17" t="e">
        <f>SUMIFS([1]ACSDT5Y2020.B08301_data_with_ov!AW$3:AW$1334,[1]ACSDT5Y2020.B08301_data_with_ov!$AS$3:$AS$1334,$B801)</f>
        <v>#VALUE!</v>
      </c>
      <c r="P801" s="17" t="e">
        <f>SUMIFS([1]ACSDT5Y2020.B08301_data_with_ov!AX$3:AX$1334,[1]ACSDT5Y2020.B08301_data_with_ov!$AS$3:$AS$1334,$B801)</f>
        <v>#VALUE!</v>
      </c>
      <c r="Q801" s="17" t="e">
        <f>SUMIFS([1]ACSDT5Y2020.B08301_data_with_ov!AY$3:AY$1334,[1]ACSDT5Y2020.B08301_data_with_ov!$AS$3:$AS$1334,$B801)</f>
        <v>#VALUE!</v>
      </c>
      <c r="R801" s="17" t="e">
        <f>SUMIFS([1]ACSDT5Y2020.B08301_data_with_ov!AZ$3:AZ$1334,[1]ACSDT5Y2020.B08301_data_with_ov!$AS$3:$AS$1334,$B801)</f>
        <v>#VALUE!</v>
      </c>
      <c r="S801" s="17" t="e">
        <f>SUMIFS([1]ACSDT5Y2020.B08301_data_with_ov!BA$3:BA$1334,[1]ACSDT5Y2020.B08301_data_with_ov!$AS$3:$AS$1334,$B801)</f>
        <v>#VALUE!</v>
      </c>
      <c r="T801" s="188">
        <v>0.22518828735508925</v>
      </c>
      <c r="U801" s="189" t="e">
        <f t="shared" si="51"/>
        <v>#VALUE!</v>
      </c>
      <c r="V801" s="188">
        <v>0.22518828735508925</v>
      </c>
      <c r="W801" s="189" t="e">
        <f t="shared" si="48"/>
        <v>#VALUE!</v>
      </c>
      <c r="X801" s="188">
        <v>0.22518828735508925</v>
      </c>
      <c r="Y801" s="189" t="e">
        <f t="shared" si="49"/>
        <v>#VALUE!</v>
      </c>
      <c r="Z801" s="188">
        <v>0.22518828735508925</v>
      </c>
      <c r="AA801" s="189" t="e">
        <f t="shared" si="50"/>
        <v>#VALUE!</v>
      </c>
    </row>
    <row r="802" spans="1:27" x14ac:dyDescent="0.25">
      <c r="A802">
        <v>81403</v>
      </c>
      <c r="B802">
        <v>17031081403</v>
      </c>
      <c r="C802">
        <v>17031</v>
      </c>
      <c r="D802">
        <v>2010</v>
      </c>
      <c r="E802">
        <v>8</v>
      </c>
      <c r="F802">
        <v>6992036.5488326596</v>
      </c>
      <c r="G802" s="45">
        <v>0.25080480044882991</v>
      </c>
      <c r="H802" s="60" t="str">
        <f>_xlfn.IFNA(
INDEX('Community Areas'!B$2:B$78,MATCH($E802,'Community Areas'!$A$2:$A$78,0)),
"")</f>
        <v>NEAR NORTH SIDE</v>
      </c>
      <c r="I802" s="63">
        <f>_xlfn.IFNA(
INDEX('Community Areas'!C$2:C$78,MATCH($E802,'Community Areas'!$A$2:$A$78,0)),
"")</f>
        <v>7</v>
      </c>
      <c r="J802" s="63">
        <f>_xlfn.IFNA(
INDEX('Community Areas'!D$2:D$78,MATCH($E802,'Community Areas'!$A$2:$A$78,0)),
"")</f>
        <v>7</v>
      </c>
      <c r="K802" s="60" t="str">
        <f>_xlfn.IFNA(
INDEX('Community Areas'!E$2:E$78,MATCH($E802,'Community Areas'!$A$2:$A$78,0)),
"")</f>
        <v>CENTRAL</v>
      </c>
      <c r="L802" s="17" t="e">
        <f>SUMIFS([1]ACSDT5Y2020.B08301_data_with_ov!AT$3:AT$1334,[1]ACSDT5Y2020.B08301_data_with_ov!$AS$3:$AS$1334,$B802)</f>
        <v>#VALUE!</v>
      </c>
      <c r="M802" s="17" t="e">
        <f>SUMIFS([1]ACSDT5Y2020.B08301_data_with_ov!AU$3:AU$1334,[1]ACSDT5Y2020.B08301_data_with_ov!$AS$3:$AS$1334,$B802)</f>
        <v>#VALUE!</v>
      </c>
      <c r="N802" s="17" t="e">
        <f>SUMIFS([1]ACSDT5Y2020.B08301_data_with_ov!AV$3:AV$1334,[1]ACSDT5Y2020.B08301_data_with_ov!$AS$3:$AS$1334,$B802)</f>
        <v>#VALUE!</v>
      </c>
      <c r="O802" s="17" t="e">
        <f>SUMIFS([1]ACSDT5Y2020.B08301_data_with_ov!AW$3:AW$1334,[1]ACSDT5Y2020.B08301_data_with_ov!$AS$3:$AS$1334,$B802)</f>
        <v>#VALUE!</v>
      </c>
      <c r="P802" s="17" t="e">
        <f>SUMIFS([1]ACSDT5Y2020.B08301_data_with_ov!AX$3:AX$1334,[1]ACSDT5Y2020.B08301_data_with_ov!$AS$3:$AS$1334,$B802)</f>
        <v>#VALUE!</v>
      </c>
      <c r="Q802" s="17" t="e">
        <f>SUMIFS([1]ACSDT5Y2020.B08301_data_with_ov!AY$3:AY$1334,[1]ACSDT5Y2020.B08301_data_with_ov!$AS$3:$AS$1334,$B802)</f>
        <v>#VALUE!</v>
      </c>
      <c r="R802" s="17" t="e">
        <f>SUMIFS([1]ACSDT5Y2020.B08301_data_with_ov!AZ$3:AZ$1334,[1]ACSDT5Y2020.B08301_data_with_ov!$AS$3:$AS$1334,$B802)</f>
        <v>#VALUE!</v>
      </c>
      <c r="S802" s="17" t="e">
        <f>SUMIFS([1]ACSDT5Y2020.B08301_data_with_ov!BA$3:BA$1334,[1]ACSDT5Y2020.B08301_data_with_ov!$AS$3:$AS$1334,$B802)</f>
        <v>#VALUE!</v>
      </c>
      <c r="T802" s="188">
        <v>0.25080479999257455</v>
      </c>
      <c r="U802" s="189" t="e">
        <f t="shared" si="51"/>
        <v>#VALUE!</v>
      </c>
      <c r="V802" s="188">
        <v>0.25080479999257455</v>
      </c>
      <c r="W802" s="189" t="e">
        <f t="shared" si="48"/>
        <v>#VALUE!</v>
      </c>
      <c r="X802" s="188">
        <v>0.25080479999257455</v>
      </c>
      <c r="Y802" s="189" t="e">
        <f t="shared" si="49"/>
        <v>#VALUE!</v>
      </c>
      <c r="Z802" s="188">
        <v>0.25080479999257455</v>
      </c>
      <c r="AA802" s="189" t="e">
        <f t="shared" si="50"/>
        <v>#VALUE!</v>
      </c>
    </row>
    <row r="803" spans="1:27" x14ac:dyDescent="0.25">
      <c r="A803">
        <v>810400</v>
      </c>
      <c r="B803">
        <v>17031810400</v>
      </c>
      <c r="C803">
        <v>17031</v>
      </c>
      <c r="D803">
        <v>2010</v>
      </c>
      <c r="E803">
        <v>0</v>
      </c>
      <c r="F803">
        <v>9175008.6098155193</v>
      </c>
      <c r="G803" s="45">
        <v>0.32910814859588494</v>
      </c>
      <c r="H803" s="60" t="str">
        <f>_xlfn.IFNA(
INDEX('Community Areas'!B$2:B$78,MATCH($E803,'Community Areas'!$A$2:$A$78,0)),
"")</f>
        <v/>
      </c>
      <c r="I803" s="63" t="str">
        <f>_xlfn.IFNA(
INDEX('Community Areas'!C$2:C$78,MATCH($E803,'Community Areas'!$A$2:$A$78,0)),
"")</f>
        <v/>
      </c>
      <c r="J803" s="63" t="str">
        <f>_xlfn.IFNA(
INDEX('Community Areas'!D$2:D$78,MATCH($E803,'Community Areas'!$A$2:$A$78,0)),
"")</f>
        <v/>
      </c>
      <c r="K803" s="60" t="str">
        <f>_xlfn.IFNA(
INDEX('Community Areas'!E$2:E$78,MATCH($E803,'Community Areas'!$A$2:$A$78,0)),
"")</f>
        <v/>
      </c>
      <c r="L803" s="17" t="e">
        <f>SUMIFS([1]ACSDT5Y2020.B08301_data_with_ov!AT$3:AT$1334,[1]ACSDT5Y2020.B08301_data_with_ov!$AS$3:$AS$1334,$B803)</f>
        <v>#VALUE!</v>
      </c>
      <c r="M803" s="17" t="e">
        <f>SUMIFS([1]ACSDT5Y2020.B08301_data_with_ov!AU$3:AU$1334,[1]ACSDT5Y2020.B08301_data_with_ov!$AS$3:$AS$1334,$B803)</f>
        <v>#VALUE!</v>
      </c>
      <c r="N803" s="17" t="e">
        <f>SUMIFS([1]ACSDT5Y2020.B08301_data_with_ov!AV$3:AV$1334,[1]ACSDT5Y2020.B08301_data_with_ov!$AS$3:$AS$1334,$B803)</f>
        <v>#VALUE!</v>
      </c>
      <c r="O803" s="17" t="e">
        <f>SUMIFS([1]ACSDT5Y2020.B08301_data_with_ov!AW$3:AW$1334,[1]ACSDT5Y2020.B08301_data_with_ov!$AS$3:$AS$1334,$B803)</f>
        <v>#VALUE!</v>
      </c>
      <c r="P803" s="17" t="e">
        <f>SUMIFS([1]ACSDT5Y2020.B08301_data_with_ov!AX$3:AX$1334,[1]ACSDT5Y2020.B08301_data_with_ov!$AS$3:$AS$1334,$B803)</f>
        <v>#VALUE!</v>
      </c>
      <c r="Q803" s="17" t="e">
        <f>SUMIFS([1]ACSDT5Y2020.B08301_data_with_ov!AY$3:AY$1334,[1]ACSDT5Y2020.B08301_data_with_ov!$AS$3:$AS$1334,$B803)</f>
        <v>#VALUE!</v>
      </c>
      <c r="R803" s="17" t="e">
        <f>SUMIFS([1]ACSDT5Y2020.B08301_data_with_ov!AZ$3:AZ$1334,[1]ACSDT5Y2020.B08301_data_with_ov!$AS$3:$AS$1334,$B803)</f>
        <v>#VALUE!</v>
      </c>
      <c r="S803" s="17" t="e">
        <f>SUMIFS([1]ACSDT5Y2020.B08301_data_with_ov!BA$3:BA$1334,[1]ACSDT5Y2020.B08301_data_with_ov!$AS$3:$AS$1334,$B803)</f>
        <v>#VALUE!</v>
      </c>
      <c r="T803" s="188">
        <v>0</v>
      </c>
      <c r="U803" s="189" t="e">
        <f t="shared" si="51"/>
        <v>#VALUE!</v>
      </c>
      <c r="V803" s="188">
        <v>0</v>
      </c>
      <c r="W803" s="189" t="e">
        <f t="shared" si="48"/>
        <v>#VALUE!</v>
      </c>
      <c r="X803" s="188">
        <v>0</v>
      </c>
      <c r="Y803" s="189" t="e">
        <f t="shared" si="49"/>
        <v>#VALUE!</v>
      </c>
      <c r="Z803" s="188">
        <v>0</v>
      </c>
      <c r="AA803" s="189" t="e">
        <f t="shared" si="50"/>
        <v>#VALUE!</v>
      </c>
    </row>
    <row r="804" spans="1:27" x14ac:dyDescent="0.25">
      <c r="A804">
        <v>835100</v>
      </c>
      <c r="B804">
        <v>17031835100</v>
      </c>
      <c r="C804">
        <v>17031</v>
      </c>
      <c r="D804">
        <v>2010</v>
      </c>
      <c r="E804">
        <v>63</v>
      </c>
      <c r="F804">
        <v>10608410.9068386</v>
      </c>
      <c r="G804" s="45">
        <v>0.38052438112799153</v>
      </c>
      <c r="H804" s="60" t="str">
        <f>_xlfn.IFNA(
INDEX('Community Areas'!B$2:B$78,MATCH($E804,'Community Areas'!$A$2:$A$78,0)),
"")</f>
        <v>GAGE PARK</v>
      </c>
      <c r="I804" s="63" t="str">
        <f>_xlfn.IFNA(
INDEX('Community Areas'!C$2:C$78,MATCH($E804,'Community Areas'!$A$2:$A$78,0)),
"")</f>
        <v>4-B</v>
      </c>
      <c r="J804" s="63">
        <f>_xlfn.IFNA(
INDEX('Community Areas'!D$2:D$78,MATCH($E804,'Community Areas'!$A$2:$A$78,0)),
"")</f>
        <v>4</v>
      </c>
      <c r="K804" s="60" t="str">
        <f>_xlfn.IFNA(
INDEX('Community Areas'!E$2:E$78,MATCH($E804,'Community Areas'!$A$2:$A$78,0)),
"")</f>
        <v>SOUTHWEST</v>
      </c>
      <c r="L804" s="17" t="e">
        <f>SUMIFS([1]ACSDT5Y2020.B08301_data_with_ov!AT$3:AT$1334,[1]ACSDT5Y2020.B08301_data_with_ov!$AS$3:$AS$1334,$B804)</f>
        <v>#VALUE!</v>
      </c>
      <c r="M804" s="17" t="e">
        <f>SUMIFS([1]ACSDT5Y2020.B08301_data_with_ov!AU$3:AU$1334,[1]ACSDT5Y2020.B08301_data_with_ov!$AS$3:$AS$1334,$B804)</f>
        <v>#VALUE!</v>
      </c>
      <c r="N804" s="17" t="e">
        <f>SUMIFS([1]ACSDT5Y2020.B08301_data_with_ov!AV$3:AV$1334,[1]ACSDT5Y2020.B08301_data_with_ov!$AS$3:$AS$1334,$B804)</f>
        <v>#VALUE!</v>
      </c>
      <c r="O804" s="17" t="e">
        <f>SUMIFS([1]ACSDT5Y2020.B08301_data_with_ov!AW$3:AW$1334,[1]ACSDT5Y2020.B08301_data_with_ov!$AS$3:$AS$1334,$B804)</f>
        <v>#VALUE!</v>
      </c>
      <c r="P804" s="17" t="e">
        <f>SUMIFS([1]ACSDT5Y2020.B08301_data_with_ov!AX$3:AX$1334,[1]ACSDT5Y2020.B08301_data_with_ov!$AS$3:$AS$1334,$B804)</f>
        <v>#VALUE!</v>
      </c>
      <c r="Q804" s="17" t="e">
        <f>SUMIFS([1]ACSDT5Y2020.B08301_data_with_ov!AY$3:AY$1334,[1]ACSDT5Y2020.B08301_data_with_ov!$AS$3:$AS$1334,$B804)</f>
        <v>#VALUE!</v>
      </c>
      <c r="R804" s="17" t="e">
        <f>SUMIFS([1]ACSDT5Y2020.B08301_data_with_ov!AZ$3:AZ$1334,[1]ACSDT5Y2020.B08301_data_with_ov!$AS$3:$AS$1334,$B804)</f>
        <v>#VALUE!</v>
      </c>
      <c r="S804" s="17" t="e">
        <f>SUMIFS([1]ACSDT5Y2020.B08301_data_with_ov!BA$3:BA$1334,[1]ACSDT5Y2020.B08301_data_with_ov!$AS$3:$AS$1334,$B804)</f>
        <v>#VALUE!</v>
      </c>
      <c r="T804" s="188">
        <v>0.37869079410226197</v>
      </c>
      <c r="U804" s="189" t="e">
        <f t="shared" si="51"/>
        <v>#VALUE!</v>
      </c>
      <c r="V804" s="188">
        <v>0.12499985155433059</v>
      </c>
      <c r="W804" s="189" t="e">
        <f t="shared" si="48"/>
        <v>#VALUE!</v>
      </c>
      <c r="X804" s="188">
        <v>0.12499985155433059</v>
      </c>
      <c r="Y804" s="189" t="e">
        <f t="shared" si="49"/>
        <v>#VALUE!</v>
      </c>
      <c r="Z804" s="188">
        <v>0.12499985155433059</v>
      </c>
      <c r="AA804" s="189" t="e">
        <f t="shared" si="50"/>
        <v>#VALUE!</v>
      </c>
    </row>
    <row r="805" spans="1:27" x14ac:dyDescent="0.25">
      <c r="A805">
        <v>671400</v>
      </c>
      <c r="B805">
        <v>17031671400</v>
      </c>
      <c r="C805">
        <v>17031</v>
      </c>
      <c r="D805">
        <v>2010</v>
      </c>
      <c r="E805">
        <v>67</v>
      </c>
      <c r="F805">
        <v>5332639.8624109896</v>
      </c>
      <c r="G805" s="45">
        <v>0.19128213464226748</v>
      </c>
      <c r="H805" s="60" t="str">
        <f>_xlfn.IFNA(
INDEX('Community Areas'!B$2:B$78,MATCH($E805,'Community Areas'!$A$2:$A$78,0)),
"")</f>
        <v>WEST ENGLEWOOD</v>
      </c>
      <c r="I805" s="63" t="str">
        <f>_xlfn.IFNA(
INDEX('Community Areas'!C$2:C$78,MATCH($E805,'Community Areas'!$A$2:$A$78,0)),
"")</f>
        <v>4-A</v>
      </c>
      <c r="J805" s="63">
        <f>_xlfn.IFNA(
INDEX('Community Areas'!D$2:D$78,MATCH($E805,'Community Areas'!$A$2:$A$78,0)),
"")</f>
        <v>4</v>
      </c>
      <c r="K805" s="60" t="str">
        <f>_xlfn.IFNA(
INDEX('Community Areas'!E$2:E$78,MATCH($E805,'Community Areas'!$A$2:$A$78,0)),
"")</f>
        <v>SOUTHWEST</v>
      </c>
      <c r="L805" s="17" t="e">
        <f>SUMIFS([1]ACSDT5Y2020.B08301_data_with_ov!AT$3:AT$1334,[1]ACSDT5Y2020.B08301_data_with_ov!$AS$3:$AS$1334,$B805)</f>
        <v>#VALUE!</v>
      </c>
      <c r="M805" s="17" t="e">
        <f>SUMIFS([1]ACSDT5Y2020.B08301_data_with_ov!AU$3:AU$1334,[1]ACSDT5Y2020.B08301_data_with_ov!$AS$3:$AS$1334,$B805)</f>
        <v>#VALUE!</v>
      </c>
      <c r="N805" s="17" t="e">
        <f>SUMIFS([1]ACSDT5Y2020.B08301_data_with_ov!AV$3:AV$1334,[1]ACSDT5Y2020.B08301_data_with_ov!$AS$3:$AS$1334,$B805)</f>
        <v>#VALUE!</v>
      </c>
      <c r="O805" s="17" t="e">
        <f>SUMIFS([1]ACSDT5Y2020.B08301_data_with_ov!AW$3:AW$1334,[1]ACSDT5Y2020.B08301_data_with_ov!$AS$3:$AS$1334,$B805)</f>
        <v>#VALUE!</v>
      </c>
      <c r="P805" s="17" t="e">
        <f>SUMIFS([1]ACSDT5Y2020.B08301_data_with_ov!AX$3:AX$1334,[1]ACSDT5Y2020.B08301_data_with_ov!$AS$3:$AS$1334,$B805)</f>
        <v>#VALUE!</v>
      </c>
      <c r="Q805" s="17" t="e">
        <f>SUMIFS([1]ACSDT5Y2020.B08301_data_with_ov!AY$3:AY$1334,[1]ACSDT5Y2020.B08301_data_with_ov!$AS$3:$AS$1334,$B805)</f>
        <v>#VALUE!</v>
      </c>
      <c r="R805" s="17" t="e">
        <f>SUMIFS([1]ACSDT5Y2020.B08301_data_with_ov!AZ$3:AZ$1334,[1]ACSDT5Y2020.B08301_data_with_ov!$AS$3:$AS$1334,$B805)</f>
        <v>#VALUE!</v>
      </c>
      <c r="S805" s="17" t="e">
        <f>SUMIFS([1]ACSDT5Y2020.B08301_data_with_ov!BA$3:BA$1334,[1]ACSDT5Y2020.B08301_data_with_ov!$AS$3:$AS$1334,$B805)</f>
        <v>#VALUE!</v>
      </c>
      <c r="T805" s="188">
        <v>0.19128212900645444</v>
      </c>
      <c r="U805" s="189" t="e">
        <f t="shared" si="51"/>
        <v>#VALUE!</v>
      </c>
      <c r="V805" s="188">
        <v>0.19128212900645444</v>
      </c>
      <c r="W805" s="189" t="e">
        <f t="shared" si="48"/>
        <v>#VALUE!</v>
      </c>
      <c r="X805" s="188">
        <v>0.19128212900645444</v>
      </c>
      <c r="Y805" s="189" t="e">
        <f t="shared" si="49"/>
        <v>#VALUE!</v>
      </c>
      <c r="Z805" s="188">
        <v>0.19128212900645444</v>
      </c>
      <c r="AA805" s="189" t="e">
        <f t="shared" si="50"/>
        <v>#VALUE!</v>
      </c>
    </row>
    <row r="806" spans="1:27" x14ac:dyDescent="0.25">
      <c r="A806">
        <v>834300</v>
      </c>
      <c r="B806">
        <v>17031834300</v>
      </c>
      <c r="C806">
        <v>17031</v>
      </c>
      <c r="D806">
        <v>2010</v>
      </c>
      <c r="E806">
        <v>45</v>
      </c>
      <c r="F806">
        <v>20332582.7349324</v>
      </c>
      <c r="G806" s="45">
        <v>0.72933104966326623</v>
      </c>
      <c r="H806" s="60" t="str">
        <f>_xlfn.IFNA(
INDEX('Community Areas'!B$2:B$78,MATCH($E806,'Community Areas'!$A$2:$A$78,0)),
"")</f>
        <v>AVALON PARK</v>
      </c>
      <c r="I806" s="63" t="str">
        <f>_xlfn.IFNA(
INDEX('Community Areas'!C$2:C$78,MATCH($E806,'Community Areas'!$A$2:$A$78,0)),
"")</f>
        <v>6-C</v>
      </c>
      <c r="J806" s="63">
        <f>_xlfn.IFNA(
INDEX('Community Areas'!D$2:D$78,MATCH($E806,'Community Areas'!$A$2:$A$78,0)),
"")</f>
        <v>6</v>
      </c>
      <c r="K806" s="60" t="str">
        <f>_xlfn.IFNA(
INDEX('Community Areas'!E$2:E$78,MATCH($E806,'Community Areas'!$A$2:$A$78,0)),
"")</f>
        <v>SOUTH</v>
      </c>
      <c r="L806" s="17" t="e">
        <f>SUMIFS([1]ACSDT5Y2020.B08301_data_with_ov!AT$3:AT$1334,[1]ACSDT5Y2020.B08301_data_with_ov!$AS$3:$AS$1334,$B806)</f>
        <v>#VALUE!</v>
      </c>
      <c r="M806" s="17" t="e">
        <f>SUMIFS([1]ACSDT5Y2020.B08301_data_with_ov!AU$3:AU$1334,[1]ACSDT5Y2020.B08301_data_with_ov!$AS$3:$AS$1334,$B806)</f>
        <v>#VALUE!</v>
      </c>
      <c r="N806" s="17" t="e">
        <f>SUMIFS([1]ACSDT5Y2020.B08301_data_with_ov!AV$3:AV$1334,[1]ACSDT5Y2020.B08301_data_with_ov!$AS$3:$AS$1334,$B806)</f>
        <v>#VALUE!</v>
      </c>
      <c r="O806" s="17" t="e">
        <f>SUMIFS([1]ACSDT5Y2020.B08301_data_with_ov!AW$3:AW$1334,[1]ACSDT5Y2020.B08301_data_with_ov!$AS$3:$AS$1334,$B806)</f>
        <v>#VALUE!</v>
      </c>
      <c r="P806" s="17" t="e">
        <f>SUMIFS([1]ACSDT5Y2020.B08301_data_with_ov!AX$3:AX$1334,[1]ACSDT5Y2020.B08301_data_with_ov!$AS$3:$AS$1334,$B806)</f>
        <v>#VALUE!</v>
      </c>
      <c r="Q806" s="17" t="e">
        <f>SUMIFS([1]ACSDT5Y2020.B08301_data_with_ov!AY$3:AY$1334,[1]ACSDT5Y2020.B08301_data_with_ov!$AS$3:$AS$1334,$B806)</f>
        <v>#VALUE!</v>
      </c>
      <c r="R806" s="17" t="e">
        <f>SUMIFS([1]ACSDT5Y2020.B08301_data_with_ov!AZ$3:AZ$1334,[1]ACSDT5Y2020.B08301_data_with_ov!$AS$3:$AS$1334,$B806)</f>
        <v>#VALUE!</v>
      </c>
      <c r="S806" s="17" t="e">
        <f>SUMIFS([1]ACSDT5Y2020.B08301_data_with_ov!BA$3:BA$1334,[1]ACSDT5Y2020.B08301_data_with_ov!$AS$3:$AS$1334,$B806)</f>
        <v>#VALUE!</v>
      </c>
      <c r="T806" s="188">
        <v>0.72766742150642072</v>
      </c>
      <c r="U806" s="189" t="e">
        <f t="shared" si="51"/>
        <v>#VALUE!</v>
      </c>
      <c r="V806" s="188">
        <v>0.72275376235720135</v>
      </c>
      <c r="W806" s="189" t="e">
        <f t="shared" si="48"/>
        <v>#VALUE!</v>
      </c>
      <c r="X806" s="188">
        <v>0.72275376235720135</v>
      </c>
      <c r="Y806" s="189" t="e">
        <f t="shared" si="49"/>
        <v>#VALUE!</v>
      </c>
      <c r="Z806" s="188">
        <v>0.72275376235720135</v>
      </c>
      <c r="AA806" s="189" t="e">
        <f t="shared" si="50"/>
        <v>#VALUE!</v>
      </c>
    </row>
    <row r="807" spans="1:27" x14ac:dyDescent="0.25">
      <c r="A807">
        <v>350100</v>
      </c>
      <c r="B807">
        <v>17031350100</v>
      </c>
      <c r="C807">
        <v>17031</v>
      </c>
      <c r="D807">
        <v>2010</v>
      </c>
      <c r="E807">
        <v>35</v>
      </c>
      <c r="F807">
        <v>6181722.3416438801</v>
      </c>
      <c r="G807" s="45">
        <v>0.2217387777506557</v>
      </c>
      <c r="H807" s="60" t="str">
        <f>_xlfn.IFNA(
INDEX('Community Areas'!B$2:B$78,MATCH($E807,'Community Areas'!$A$2:$A$78,0)),
"")</f>
        <v>DOUGLAS</v>
      </c>
      <c r="I807" s="63" t="str">
        <f>_xlfn.IFNA(
INDEX('Community Areas'!C$2:C$78,MATCH($E807,'Community Areas'!$A$2:$A$78,0)),
"")</f>
        <v>6-A</v>
      </c>
      <c r="J807" s="63">
        <f>_xlfn.IFNA(
INDEX('Community Areas'!D$2:D$78,MATCH($E807,'Community Areas'!$A$2:$A$78,0)),
"")</f>
        <v>6</v>
      </c>
      <c r="K807" s="60" t="str">
        <f>_xlfn.IFNA(
INDEX('Community Areas'!E$2:E$78,MATCH($E807,'Community Areas'!$A$2:$A$78,0)),
"")</f>
        <v>SOUTH</v>
      </c>
      <c r="L807" s="17" t="e">
        <f>SUMIFS([1]ACSDT5Y2020.B08301_data_with_ov!AT$3:AT$1334,[1]ACSDT5Y2020.B08301_data_with_ov!$AS$3:$AS$1334,$B807)</f>
        <v>#VALUE!</v>
      </c>
      <c r="M807" s="17" t="e">
        <f>SUMIFS([1]ACSDT5Y2020.B08301_data_with_ov!AU$3:AU$1334,[1]ACSDT5Y2020.B08301_data_with_ov!$AS$3:$AS$1334,$B807)</f>
        <v>#VALUE!</v>
      </c>
      <c r="N807" s="17" t="e">
        <f>SUMIFS([1]ACSDT5Y2020.B08301_data_with_ov!AV$3:AV$1334,[1]ACSDT5Y2020.B08301_data_with_ov!$AS$3:$AS$1334,$B807)</f>
        <v>#VALUE!</v>
      </c>
      <c r="O807" s="17" t="e">
        <f>SUMIFS([1]ACSDT5Y2020.B08301_data_with_ov!AW$3:AW$1334,[1]ACSDT5Y2020.B08301_data_with_ov!$AS$3:$AS$1334,$B807)</f>
        <v>#VALUE!</v>
      </c>
      <c r="P807" s="17" t="e">
        <f>SUMIFS([1]ACSDT5Y2020.B08301_data_with_ov!AX$3:AX$1334,[1]ACSDT5Y2020.B08301_data_with_ov!$AS$3:$AS$1334,$B807)</f>
        <v>#VALUE!</v>
      </c>
      <c r="Q807" s="17" t="e">
        <f>SUMIFS([1]ACSDT5Y2020.B08301_data_with_ov!AY$3:AY$1334,[1]ACSDT5Y2020.B08301_data_with_ov!$AS$3:$AS$1334,$B807)</f>
        <v>#VALUE!</v>
      </c>
      <c r="R807" s="17" t="e">
        <f>SUMIFS([1]ACSDT5Y2020.B08301_data_with_ov!AZ$3:AZ$1334,[1]ACSDT5Y2020.B08301_data_with_ov!$AS$3:$AS$1334,$B807)</f>
        <v>#VALUE!</v>
      </c>
      <c r="S807" s="17" t="e">
        <f>SUMIFS([1]ACSDT5Y2020.B08301_data_with_ov!BA$3:BA$1334,[1]ACSDT5Y2020.B08301_data_with_ov!$AS$3:$AS$1334,$B807)</f>
        <v>#VALUE!</v>
      </c>
      <c r="T807" s="188">
        <v>0.22173878521231563</v>
      </c>
      <c r="U807" s="189" t="e">
        <f t="shared" si="51"/>
        <v>#VALUE!</v>
      </c>
      <c r="V807" s="188">
        <v>0.22173878521231563</v>
      </c>
      <c r="W807" s="189" t="e">
        <f t="shared" si="48"/>
        <v>#VALUE!</v>
      </c>
      <c r="X807" s="188">
        <v>0.22173878521231563</v>
      </c>
      <c r="Y807" s="189" t="e">
        <f t="shared" si="49"/>
        <v>#VALUE!</v>
      </c>
      <c r="Z807" s="188">
        <v>0.22173878521231563</v>
      </c>
      <c r="AA807" s="189" t="e">
        <f t="shared" si="50"/>
        <v>#VALUE!</v>
      </c>
    </row>
    <row r="808" spans="1:27" x14ac:dyDescent="0.25">
      <c r="A808">
        <v>980100</v>
      </c>
      <c r="B808">
        <v>17031980100</v>
      </c>
      <c r="C808">
        <v>17031</v>
      </c>
      <c r="D808">
        <v>2010</v>
      </c>
      <c r="E808">
        <v>64</v>
      </c>
      <c r="F808">
        <v>31941770.7870242</v>
      </c>
      <c r="G808" s="45">
        <v>1.1457533713205994</v>
      </c>
      <c r="H808" s="60" t="str">
        <f>_xlfn.IFNA(
INDEX('Community Areas'!B$2:B$78,MATCH($E808,'Community Areas'!$A$2:$A$78,0)),
"")</f>
        <v>CLEARING</v>
      </c>
      <c r="I808" s="63" t="str">
        <f>_xlfn.IFNA(
INDEX('Community Areas'!C$2:C$78,MATCH($E808,'Community Areas'!$A$2:$A$78,0)),
"")</f>
        <v>4-C</v>
      </c>
      <c r="J808" s="63">
        <f>_xlfn.IFNA(
INDEX('Community Areas'!D$2:D$78,MATCH($E808,'Community Areas'!$A$2:$A$78,0)),
"")</f>
        <v>4</v>
      </c>
      <c r="K808" s="60" t="str">
        <f>_xlfn.IFNA(
INDEX('Community Areas'!E$2:E$78,MATCH($E808,'Community Areas'!$A$2:$A$78,0)),
"")</f>
        <v>SOUTHWEST</v>
      </c>
      <c r="L808" s="17" t="e">
        <f>SUMIFS([1]ACSDT5Y2020.B08301_data_with_ov!AT$3:AT$1334,[1]ACSDT5Y2020.B08301_data_with_ov!$AS$3:$AS$1334,$B808)</f>
        <v>#VALUE!</v>
      </c>
      <c r="M808" s="17" t="e">
        <f>SUMIFS([1]ACSDT5Y2020.B08301_data_with_ov!AU$3:AU$1334,[1]ACSDT5Y2020.B08301_data_with_ov!$AS$3:$AS$1334,$B808)</f>
        <v>#VALUE!</v>
      </c>
      <c r="N808" s="17" t="e">
        <f>SUMIFS([1]ACSDT5Y2020.B08301_data_with_ov!AV$3:AV$1334,[1]ACSDT5Y2020.B08301_data_with_ov!$AS$3:$AS$1334,$B808)</f>
        <v>#VALUE!</v>
      </c>
      <c r="O808" s="17" t="e">
        <f>SUMIFS([1]ACSDT5Y2020.B08301_data_with_ov!AW$3:AW$1334,[1]ACSDT5Y2020.B08301_data_with_ov!$AS$3:$AS$1334,$B808)</f>
        <v>#VALUE!</v>
      </c>
      <c r="P808" s="17" t="e">
        <f>SUMIFS([1]ACSDT5Y2020.B08301_data_with_ov!AX$3:AX$1334,[1]ACSDT5Y2020.B08301_data_with_ov!$AS$3:$AS$1334,$B808)</f>
        <v>#VALUE!</v>
      </c>
      <c r="Q808" s="17" t="e">
        <f>SUMIFS([1]ACSDT5Y2020.B08301_data_with_ov!AY$3:AY$1334,[1]ACSDT5Y2020.B08301_data_with_ov!$AS$3:$AS$1334,$B808)</f>
        <v>#VALUE!</v>
      </c>
      <c r="R808" s="17" t="e">
        <f>SUMIFS([1]ACSDT5Y2020.B08301_data_with_ov!AZ$3:AZ$1334,[1]ACSDT5Y2020.B08301_data_with_ov!$AS$3:$AS$1334,$B808)</f>
        <v>#VALUE!</v>
      </c>
      <c r="S808" s="17" t="e">
        <f>SUMIFS([1]ACSDT5Y2020.B08301_data_with_ov!BA$3:BA$1334,[1]ACSDT5Y2020.B08301_data_with_ov!$AS$3:$AS$1334,$B808)</f>
        <v>#VALUE!</v>
      </c>
      <c r="T808" s="188">
        <v>0.46833030066333431</v>
      </c>
      <c r="U808" s="189" t="e">
        <f t="shared" si="51"/>
        <v>#VALUE!</v>
      </c>
      <c r="V808" s="188">
        <v>0</v>
      </c>
      <c r="W808" s="189" t="e">
        <f t="shared" si="48"/>
        <v>#VALUE!</v>
      </c>
      <c r="X808" s="188">
        <v>0</v>
      </c>
      <c r="Y808" s="189" t="e">
        <f t="shared" si="49"/>
        <v>#VALUE!</v>
      </c>
      <c r="Z808" s="188">
        <v>0</v>
      </c>
      <c r="AA808" s="189" t="e">
        <f t="shared" si="50"/>
        <v>#VALUE!</v>
      </c>
    </row>
    <row r="809" spans="1:27" x14ac:dyDescent="0.25">
      <c r="A809">
        <v>831000</v>
      </c>
      <c r="B809">
        <v>17031831000</v>
      </c>
      <c r="C809">
        <v>17031</v>
      </c>
      <c r="D809">
        <v>2010</v>
      </c>
      <c r="E809">
        <v>22</v>
      </c>
      <c r="F809">
        <v>3038813.8545831898</v>
      </c>
      <c r="G809" s="45">
        <v>0.10900244829628637</v>
      </c>
      <c r="H809" s="60" t="str">
        <f>_xlfn.IFNA(
INDEX('Community Areas'!B$2:B$78,MATCH($E809,'Community Areas'!$A$2:$A$78,0)),
"")</f>
        <v>LOGAN SQUARE</v>
      </c>
      <c r="I809" s="63" t="str">
        <f>_xlfn.IFNA(
INDEX('Community Areas'!C$2:C$78,MATCH($E809,'Community Areas'!$A$2:$A$78,0)),
"")</f>
        <v>2-B</v>
      </c>
      <c r="J809" s="63">
        <f>_xlfn.IFNA(
INDEX('Community Areas'!D$2:D$78,MATCH($E809,'Community Areas'!$A$2:$A$78,0)),
"")</f>
        <v>2</v>
      </c>
      <c r="K809" s="60" t="str">
        <f>_xlfn.IFNA(
INDEX('Community Areas'!E$2:E$78,MATCH($E809,'Community Areas'!$A$2:$A$78,0)),
"")</f>
        <v>NORTHWEST</v>
      </c>
      <c r="L809" s="17" t="e">
        <f>SUMIFS([1]ACSDT5Y2020.B08301_data_with_ov!AT$3:AT$1334,[1]ACSDT5Y2020.B08301_data_with_ov!$AS$3:$AS$1334,$B809)</f>
        <v>#VALUE!</v>
      </c>
      <c r="M809" s="17" t="e">
        <f>SUMIFS([1]ACSDT5Y2020.B08301_data_with_ov!AU$3:AU$1334,[1]ACSDT5Y2020.B08301_data_with_ov!$AS$3:$AS$1334,$B809)</f>
        <v>#VALUE!</v>
      </c>
      <c r="N809" s="17" t="e">
        <f>SUMIFS([1]ACSDT5Y2020.B08301_data_with_ov!AV$3:AV$1334,[1]ACSDT5Y2020.B08301_data_with_ov!$AS$3:$AS$1334,$B809)</f>
        <v>#VALUE!</v>
      </c>
      <c r="O809" s="17" t="e">
        <f>SUMIFS([1]ACSDT5Y2020.B08301_data_with_ov!AW$3:AW$1334,[1]ACSDT5Y2020.B08301_data_with_ov!$AS$3:$AS$1334,$B809)</f>
        <v>#VALUE!</v>
      </c>
      <c r="P809" s="17" t="e">
        <f>SUMIFS([1]ACSDT5Y2020.B08301_data_with_ov!AX$3:AX$1334,[1]ACSDT5Y2020.B08301_data_with_ov!$AS$3:$AS$1334,$B809)</f>
        <v>#VALUE!</v>
      </c>
      <c r="Q809" s="17" t="e">
        <f>SUMIFS([1]ACSDT5Y2020.B08301_data_with_ov!AY$3:AY$1334,[1]ACSDT5Y2020.B08301_data_with_ov!$AS$3:$AS$1334,$B809)</f>
        <v>#VALUE!</v>
      </c>
      <c r="R809" s="17" t="e">
        <f>SUMIFS([1]ACSDT5Y2020.B08301_data_with_ov!AZ$3:AZ$1334,[1]ACSDT5Y2020.B08301_data_with_ov!$AS$3:$AS$1334,$B809)</f>
        <v>#VALUE!</v>
      </c>
      <c r="S809" s="17" t="e">
        <f>SUMIFS([1]ACSDT5Y2020.B08301_data_with_ov!BA$3:BA$1334,[1]ACSDT5Y2020.B08301_data_with_ov!$AS$3:$AS$1334,$B809)</f>
        <v>#VALUE!</v>
      </c>
      <c r="T809" s="188">
        <v>0.10900244560473556</v>
      </c>
      <c r="U809" s="189" t="e">
        <f t="shared" si="51"/>
        <v>#VALUE!</v>
      </c>
      <c r="V809" s="188">
        <v>0.10900244560473556</v>
      </c>
      <c r="W809" s="189" t="e">
        <f t="shared" si="48"/>
        <v>#VALUE!</v>
      </c>
      <c r="X809" s="188">
        <v>0.10900244560473556</v>
      </c>
      <c r="Y809" s="189" t="e">
        <f t="shared" si="49"/>
        <v>#VALUE!</v>
      </c>
      <c r="Z809" s="188">
        <v>0.10900244560473556</v>
      </c>
      <c r="AA809" s="189" t="e">
        <f t="shared" si="50"/>
        <v>#VALUE!</v>
      </c>
    </row>
    <row r="810" spans="1:27" x14ac:dyDescent="0.25">
      <c r="G810" s="33"/>
      <c r="L810" s="3"/>
      <c r="M810" s="3"/>
    </row>
    <row r="811" spans="1:27" x14ac:dyDescent="0.25">
      <c r="A811" s="39" t="s">
        <v>1796</v>
      </c>
      <c r="G811" s="40">
        <f>F811/(5280*5280)</f>
        <v>0</v>
      </c>
      <c r="H811" s="41" t="str">
        <f>_xlfn.IFNA(
INDEX('Community Areas'!B$2:B$78,MATCH($E811,'Community Areas'!$A$2:$A$78,0)),
"")</f>
        <v/>
      </c>
      <c r="I811" s="42" t="str">
        <f>_xlfn.IFNA(
INDEX('Community Areas'!C$2:C$78,MATCH($E811,'Community Areas'!$A$2:$A$78,0)),
"")</f>
        <v/>
      </c>
      <c r="J811" s="42" t="str">
        <f>_xlfn.IFNA(
INDEX('Community Areas'!D$2:D$78,MATCH($E811,'Community Areas'!$A$2:$A$78,0)),
"")</f>
        <v/>
      </c>
      <c r="K811" s="41" t="str">
        <f>_xlfn.IFNA(
INDEX('Community Areas'!E$2:E$78,MATCH($E811,'Community Areas'!$A$2:$A$78,0)),
"")</f>
        <v/>
      </c>
      <c r="L811" s="43">
        <f>_xlfn.IFNA(
INDEX([2]ACS_16_5YR_B01003_with_ann!$D$3:$D$1321,MATCH($B811,[2]ACS_16_5YR_B01003_with_ann!$B$3:$B$1321,0)),
0)</f>
        <v>0</v>
      </c>
      <c r="M811" s="43">
        <f>_xlfn.IFNA(
INDEX([3]ACS_16_5YR_B08301_with_ann!$D$3:$AS$1321,MATCH($B811,[3]ACS_16_5YR_B08301_with_ann!$B$3:$B$1321,0),MATCH(M$4,[3]ACS_16_5YR_B08301_with_ann!$D$1:$AS$1,0)),
0)</f>
        <v>0</v>
      </c>
      <c r="N811" s="43">
        <f>_xlfn.IFNA(
INDEX([3]ACS_16_5YR_B08301_with_ann!$D$3:$AS$1321,MATCH($B811,[3]ACS_16_5YR_B08301_with_ann!$B$3:$B$1321,0),MATCH(N$4,[3]ACS_16_5YR_B08301_with_ann!$D$1:$AS$1,0)),
0)</f>
        <v>0</v>
      </c>
      <c r="O811" s="43">
        <f>_xlfn.IFNA(
INDEX([3]ACS_16_5YR_B08301_with_ann!$D$3:$AS$1321,MATCH($B811,[3]ACS_16_5YR_B08301_with_ann!$B$3:$B$1321,0),MATCH(O$4,[3]ACS_16_5YR_B08301_with_ann!$D$1:$AS$1,0)),
0)</f>
        <v>0</v>
      </c>
      <c r="P811" s="43">
        <f>_xlfn.IFNA(
INDEX([3]ACS_16_5YR_B08301_with_ann!$D$3:$AS$1321,MATCH($B811,[3]ACS_16_5YR_B08301_with_ann!$B$3:$B$1321,0),MATCH(P$4,[3]ACS_16_5YR_B08301_with_ann!$D$1:$AS$1,0)),
0)</f>
        <v>0</v>
      </c>
      <c r="Q811" s="43">
        <f>_xlfn.IFNA(
INDEX([3]ACS_16_5YR_B08301_with_ann!$D$3:$AS$1321,MATCH($B811,[3]ACS_16_5YR_B08301_with_ann!$B$3:$B$1321,0),MATCH(Q$4,[3]ACS_16_5YR_B08301_with_ann!$D$1:$AS$1,0)),
0)</f>
        <v>0</v>
      </c>
      <c r="R811" s="43">
        <f>_xlfn.IFNA(
INDEX([3]ACS_16_5YR_B08301_with_ann!$D$3:$AS$1321,MATCH($B811,[3]ACS_16_5YR_B08301_with_ann!$B$3:$B$1321,0),MATCH(R$4,[3]ACS_16_5YR_B08301_with_ann!$D$1:$AS$1,0)),
0)</f>
        <v>0</v>
      </c>
      <c r="S811" s="44">
        <f>M811-SUM(N811:R811)</f>
        <v>0</v>
      </c>
    </row>
    <row r="813" spans="1:27" x14ac:dyDescent="0.25">
      <c r="L813" s="3" t="e">
        <f>SUM(L6:L809)</f>
        <v>#VALUE!</v>
      </c>
      <c r="M813" s="3" t="e">
        <f>SUM(M6:M809)</f>
        <v>#VALUE!</v>
      </c>
      <c r="N813" s="3" t="e">
        <f t="shared" ref="N813:S813" si="52">SUM(N6:N809)</f>
        <v>#VALUE!</v>
      </c>
      <c r="O813" s="3" t="e">
        <f t="shared" si="52"/>
        <v>#VALUE!</v>
      </c>
      <c r="P813" s="3" t="e">
        <f t="shared" si="52"/>
        <v>#VALUE!</v>
      </c>
      <c r="Q813" s="3" t="e">
        <f t="shared" si="52"/>
        <v>#VALUE!</v>
      </c>
      <c r="R813" s="3" t="e">
        <f t="shared" si="52"/>
        <v>#VALUE!</v>
      </c>
      <c r="S813" s="3" t="e">
        <f t="shared" si="52"/>
        <v>#VALUE!</v>
      </c>
    </row>
    <row r="814" spans="1:27" x14ac:dyDescent="0.25">
      <c r="L814" s="3">
        <v>2739477</v>
      </c>
      <c r="M814" s="3">
        <v>1276010</v>
      </c>
      <c r="N814" s="3">
        <v>740643</v>
      </c>
      <c r="O814" s="3">
        <v>352515</v>
      </c>
      <c r="P814" s="3">
        <v>7540</v>
      </c>
      <c r="Q814" s="3">
        <v>20614</v>
      </c>
      <c r="R814" s="3">
        <v>84786</v>
      </c>
      <c r="S814" s="3">
        <v>69912</v>
      </c>
    </row>
  </sheetData>
  <mergeCells count="7">
    <mergeCell ref="L3:S3"/>
    <mergeCell ref="H3:K3"/>
    <mergeCell ref="X4:Y4"/>
    <mergeCell ref="Z4:AA4"/>
    <mergeCell ref="T3:AA3"/>
    <mergeCell ref="T4:U4"/>
    <mergeCell ref="V4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A1:E78"/>
  <sheetViews>
    <sheetView topLeftCell="A25" workbookViewId="0">
      <selection activeCell="C45" sqref="C45:C47"/>
    </sheetView>
  </sheetViews>
  <sheetFormatPr defaultColWidth="9.140625" defaultRowHeight="15" x14ac:dyDescent="0.25"/>
  <cols>
    <col min="1" max="1" width="14.42578125" bestFit="1" customWidth="1"/>
    <col min="2" max="2" width="25.7109375" bestFit="1" customWidth="1"/>
    <col min="3" max="3" width="12.42578125" bestFit="1" customWidth="1"/>
    <col min="4" max="4" width="10.42578125" bestFit="1" customWidth="1"/>
    <col min="5" max="5" width="12.140625" bestFit="1" customWidth="1"/>
  </cols>
  <sheetData>
    <row r="1" spans="1:5" x14ac:dyDescent="0.25">
      <c r="A1" t="s">
        <v>1797</v>
      </c>
      <c r="B1" t="s">
        <v>1798</v>
      </c>
      <c r="C1" t="s">
        <v>1799</v>
      </c>
      <c r="D1" t="s">
        <v>1800</v>
      </c>
      <c r="E1" t="s">
        <v>1801</v>
      </c>
    </row>
    <row r="2" spans="1:5" x14ac:dyDescent="0.25">
      <c r="A2">
        <v>59</v>
      </c>
      <c r="B2" t="s">
        <v>1802</v>
      </c>
      <c r="C2" t="s">
        <v>1803</v>
      </c>
      <c r="D2">
        <v>4</v>
      </c>
      <c r="E2" t="s">
        <v>1804</v>
      </c>
    </row>
    <row r="3" spans="1:5" x14ac:dyDescent="0.25">
      <c r="A3">
        <v>60</v>
      </c>
      <c r="B3" t="s">
        <v>1805</v>
      </c>
      <c r="C3" t="s">
        <v>1803</v>
      </c>
      <c r="D3">
        <v>4</v>
      </c>
      <c r="E3" t="s">
        <v>1804</v>
      </c>
    </row>
    <row r="4" spans="1:5" x14ac:dyDescent="0.25">
      <c r="A4">
        <v>61</v>
      </c>
      <c r="B4" t="s">
        <v>1806</v>
      </c>
      <c r="C4" t="s">
        <v>1803</v>
      </c>
      <c r="D4">
        <v>4</v>
      </c>
      <c r="E4" t="s">
        <v>1804</v>
      </c>
    </row>
    <row r="5" spans="1:5" x14ac:dyDescent="0.25">
      <c r="A5">
        <v>67</v>
      </c>
      <c r="B5" t="s">
        <v>1807</v>
      </c>
      <c r="C5" t="s">
        <v>1803</v>
      </c>
      <c r="D5">
        <v>4</v>
      </c>
      <c r="E5" t="s">
        <v>1804</v>
      </c>
    </row>
    <row r="6" spans="1:5" x14ac:dyDescent="0.25">
      <c r="A6">
        <v>68</v>
      </c>
      <c r="B6" t="s">
        <v>1808</v>
      </c>
      <c r="C6" t="s">
        <v>1803</v>
      </c>
      <c r="D6">
        <v>4</v>
      </c>
      <c r="E6" t="s">
        <v>1804</v>
      </c>
    </row>
    <row r="7" spans="1:5" x14ac:dyDescent="0.25">
      <c r="A7">
        <v>56</v>
      </c>
      <c r="B7" t="s">
        <v>1809</v>
      </c>
      <c r="C7" t="s">
        <v>1810</v>
      </c>
      <c r="D7">
        <v>4</v>
      </c>
      <c r="E7" t="s">
        <v>1804</v>
      </c>
    </row>
    <row r="8" spans="1:5" x14ac:dyDescent="0.25">
      <c r="A8">
        <v>57</v>
      </c>
      <c r="B8" t="s">
        <v>1811</v>
      </c>
      <c r="C8" t="s">
        <v>1810</v>
      </c>
      <c r="D8">
        <v>4</v>
      </c>
      <c r="E8" t="s">
        <v>1804</v>
      </c>
    </row>
    <row r="9" spans="1:5" x14ac:dyDescent="0.25">
      <c r="A9">
        <v>58</v>
      </c>
      <c r="B9" t="s">
        <v>1812</v>
      </c>
      <c r="C9" t="s">
        <v>1810</v>
      </c>
      <c r="D9">
        <v>4</v>
      </c>
      <c r="E9" t="s">
        <v>1804</v>
      </c>
    </row>
    <row r="10" spans="1:5" x14ac:dyDescent="0.25">
      <c r="A10">
        <v>62</v>
      </c>
      <c r="B10" t="s">
        <v>1813</v>
      </c>
      <c r="C10" t="s">
        <v>1810</v>
      </c>
      <c r="D10">
        <v>4</v>
      </c>
      <c r="E10" t="s">
        <v>1804</v>
      </c>
    </row>
    <row r="11" spans="1:5" x14ac:dyDescent="0.25">
      <c r="A11">
        <v>63</v>
      </c>
      <c r="B11" t="s">
        <v>1814</v>
      </c>
      <c r="C11" t="s">
        <v>1810</v>
      </c>
      <c r="D11">
        <v>4</v>
      </c>
      <c r="E11" t="s">
        <v>1804</v>
      </c>
    </row>
    <row r="12" spans="1:5" x14ac:dyDescent="0.25">
      <c r="A12">
        <v>66</v>
      </c>
      <c r="B12" t="s">
        <v>1815</v>
      </c>
      <c r="C12" t="s">
        <v>1810</v>
      </c>
      <c r="D12">
        <v>4</v>
      </c>
      <c r="E12" t="s">
        <v>1804</v>
      </c>
    </row>
    <row r="13" spans="1:5" x14ac:dyDescent="0.25">
      <c r="A13">
        <v>64</v>
      </c>
      <c r="B13" t="s">
        <v>1816</v>
      </c>
      <c r="C13" t="s">
        <v>1817</v>
      </c>
      <c r="D13">
        <v>4</v>
      </c>
      <c r="E13" t="s">
        <v>1804</v>
      </c>
    </row>
    <row r="14" spans="1:5" x14ac:dyDescent="0.25">
      <c r="A14">
        <v>65</v>
      </c>
      <c r="B14" t="s">
        <v>1818</v>
      </c>
      <c r="C14" t="s">
        <v>1817</v>
      </c>
      <c r="D14">
        <v>4</v>
      </c>
      <c r="E14" t="s">
        <v>1804</v>
      </c>
    </row>
    <row r="15" spans="1:5" x14ac:dyDescent="0.25">
      <c r="A15">
        <v>70</v>
      </c>
      <c r="B15" t="s">
        <v>1819</v>
      </c>
      <c r="C15" t="s">
        <v>1817</v>
      </c>
      <c r="D15">
        <v>4</v>
      </c>
      <c r="E15" t="s">
        <v>1804</v>
      </c>
    </row>
    <row r="16" spans="1:5" x14ac:dyDescent="0.25">
      <c r="A16">
        <v>4</v>
      </c>
      <c r="B16" t="s">
        <v>1820</v>
      </c>
      <c r="C16" t="s">
        <v>1821</v>
      </c>
      <c r="D16">
        <v>1</v>
      </c>
      <c r="E16" t="s">
        <v>1474</v>
      </c>
    </row>
    <row r="17" spans="1:5" x14ac:dyDescent="0.25">
      <c r="A17">
        <v>1</v>
      </c>
      <c r="B17" t="s">
        <v>1822</v>
      </c>
      <c r="C17" t="s">
        <v>1821</v>
      </c>
      <c r="D17">
        <v>1</v>
      </c>
      <c r="E17" t="s">
        <v>1474</v>
      </c>
    </row>
    <row r="18" spans="1:5" x14ac:dyDescent="0.25">
      <c r="A18">
        <v>2</v>
      </c>
      <c r="B18" t="s">
        <v>1823</v>
      </c>
      <c r="C18" t="s">
        <v>1821</v>
      </c>
      <c r="D18">
        <v>1</v>
      </c>
      <c r="E18" t="s">
        <v>1474</v>
      </c>
    </row>
    <row r="19" spans="1:5" x14ac:dyDescent="0.25">
      <c r="A19">
        <v>3</v>
      </c>
      <c r="B19" t="s">
        <v>1824</v>
      </c>
      <c r="C19" t="s">
        <v>1821</v>
      </c>
      <c r="D19">
        <v>1</v>
      </c>
      <c r="E19" t="s">
        <v>1474</v>
      </c>
    </row>
    <row r="20" spans="1:5" x14ac:dyDescent="0.25">
      <c r="A20">
        <v>77</v>
      </c>
      <c r="B20" t="s">
        <v>1825</v>
      </c>
      <c r="C20" t="s">
        <v>1821</v>
      </c>
      <c r="D20">
        <v>1</v>
      </c>
      <c r="E20" t="s">
        <v>1474</v>
      </c>
    </row>
    <row r="21" spans="1:5" x14ac:dyDescent="0.25">
      <c r="A21">
        <v>5</v>
      </c>
      <c r="B21" t="s">
        <v>1826</v>
      </c>
      <c r="C21" t="s">
        <v>1827</v>
      </c>
      <c r="D21">
        <v>1</v>
      </c>
      <c r="E21" t="s">
        <v>1474</v>
      </c>
    </row>
    <row r="22" spans="1:5" x14ac:dyDescent="0.25">
      <c r="A22">
        <v>6</v>
      </c>
      <c r="B22" t="s">
        <v>1828</v>
      </c>
      <c r="C22" t="s">
        <v>1827</v>
      </c>
      <c r="D22">
        <v>1</v>
      </c>
      <c r="E22" t="s">
        <v>1474</v>
      </c>
    </row>
    <row r="23" spans="1:5" x14ac:dyDescent="0.25">
      <c r="A23">
        <v>7</v>
      </c>
      <c r="B23" t="s">
        <v>1829</v>
      </c>
      <c r="C23" t="s">
        <v>1827</v>
      </c>
      <c r="D23">
        <v>1</v>
      </c>
      <c r="E23" t="s">
        <v>1474</v>
      </c>
    </row>
    <row r="24" spans="1:5" x14ac:dyDescent="0.25">
      <c r="A24">
        <v>11</v>
      </c>
      <c r="B24" t="s">
        <v>1830</v>
      </c>
      <c r="C24" t="s">
        <v>1831</v>
      </c>
      <c r="D24">
        <v>2</v>
      </c>
      <c r="E24" t="s">
        <v>369</v>
      </c>
    </row>
    <row r="25" spans="1:5" x14ac:dyDescent="0.25">
      <c r="A25">
        <v>12</v>
      </c>
      <c r="B25" t="s">
        <v>1832</v>
      </c>
      <c r="C25" t="s">
        <v>1831</v>
      </c>
      <c r="D25">
        <v>2</v>
      </c>
      <c r="E25" t="s">
        <v>369</v>
      </c>
    </row>
    <row r="26" spans="1:5" x14ac:dyDescent="0.25">
      <c r="A26">
        <v>13</v>
      </c>
      <c r="B26" t="s">
        <v>1833</v>
      </c>
      <c r="C26" t="s">
        <v>1831</v>
      </c>
      <c r="D26">
        <v>2</v>
      </c>
      <c r="E26" t="s">
        <v>369</v>
      </c>
    </row>
    <row r="27" spans="1:5" x14ac:dyDescent="0.25">
      <c r="A27">
        <v>14</v>
      </c>
      <c r="B27" t="s">
        <v>1834</v>
      </c>
      <c r="C27" t="s">
        <v>1831</v>
      </c>
      <c r="D27">
        <v>2</v>
      </c>
      <c r="E27" t="s">
        <v>369</v>
      </c>
    </row>
    <row r="28" spans="1:5" x14ac:dyDescent="0.25">
      <c r="A28">
        <v>16</v>
      </c>
      <c r="B28" t="s">
        <v>1835</v>
      </c>
      <c r="C28" t="s">
        <v>1831</v>
      </c>
      <c r="D28">
        <v>2</v>
      </c>
      <c r="E28" t="s">
        <v>369</v>
      </c>
    </row>
    <row r="29" spans="1:5" x14ac:dyDescent="0.25">
      <c r="A29">
        <v>18</v>
      </c>
      <c r="B29" t="s">
        <v>1836</v>
      </c>
      <c r="C29" t="s">
        <v>1837</v>
      </c>
      <c r="D29">
        <v>2</v>
      </c>
      <c r="E29" t="s">
        <v>369</v>
      </c>
    </row>
    <row r="30" spans="1:5" x14ac:dyDescent="0.25">
      <c r="A30">
        <v>19</v>
      </c>
      <c r="B30" t="s">
        <v>1838</v>
      </c>
      <c r="C30" t="s">
        <v>1837</v>
      </c>
      <c r="D30">
        <v>2</v>
      </c>
      <c r="E30" t="s">
        <v>369</v>
      </c>
    </row>
    <row r="31" spans="1:5" x14ac:dyDescent="0.25">
      <c r="A31">
        <v>20</v>
      </c>
      <c r="B31" t="s">
        <v>1839</v>
      </c>
      <c r="C31" t="s">
        <v>1837</v>
      </c>
      <c r="D31">
        <v>2</v>
      </c>
      <c r="E31" t="s">
        <v>369</v>
      </c>
    </row>
    <row r="32" spans="1:5" x14ac:dyDescent="0.25">
      <c r="A32">
        <v>21</v>
      </c>
      <c r="B32" t="s">
        <v>1840</v>
      </c>
      <c r="C32" t="s">
        <v>1837</v>
      </c>
      <c r="D32">
        <v>2</v>
      </c>
      <c r="E32" t="s">
        <v>369</v>
      </c>
    </row>
    <row r="33" spans="1:5" x14ac:dyDescent="0.25">
      <c r="A33">
        <v>22</v>
      </c>
      <c r="B33" t="s">
        <v>522</v>
      </c>
      <c r="C33" t="s">
        <v>1837</v>
      </c>
      <c r="D33">
        <v>2</v>
      </c>
      <c r="E33" t="s">
        <v>369</v>
      </c>
    </row>
    <row r="34" spans="1:5" x14ac:dyDescent="0.25">
      <c r="A34">
        <v>15</v>
      </c>
      <c r="B34" t="s">
        <v>1841</v>
      </c>
      <c r="C34" t="s">
        <v>1842</v>
      </c>
      <c r="D34">
        <v>2</v>
      </c>
      <c r="E34" t="s">
        <v>369</v>
      </c>
    </row>
    <row r="35" spans="1:5" x14ac:dyDescent="0.25">
      <c r="A35">
        <v>17</v>
      </c>
      <c r="B35" t="s">
        <v>1843</v>
      </c>
      <c r="C35" t="s">
        <v>1842</v>
      </c>
      <c r="D35">
        <v>2</v>
      </c>
      <c r="E35" t="s">
        <v>369</v>
      </c>
    </row>
    <row r="36" spans="1:5" x14ac:dyDescent="0.25">
      <c r="A36">
        <v>10</v>
      </c>
      <c r="B36" t="s">
        <v>1844</v>
      </c>
      <c r="C36" t="s">
        <v>1842</v>
      </c>
      <c r="D36">
        <v>2</v>
      </c>
      <c r="E36" t="s">
        <v>369</v>
      </c>
    </row>
    <row r="37" spans="1:5" x14ac:dyDescent="0.25">
      <c r="A37">
        <v>76</v>
      </c>
      <c r="B37" t="s">
        <v>1845</v>
      </c>
      <c r="C37" t="s">
        <v>1842</v>
      </c>
      <c r="D37">
        <v>2</v>
      </c>
      <c r="E37" t="s">
        <v>369</v>
      </c>
    </row>
    <row r="38" spans="1:5" x14ac:dyDescent="0.25">
      <c r="A38">
        <v>9</v>
      </c>
      <c r="B38" t="s">
        <v>1846</v>
      </c>
      <c r="C38" t="s">
        <v>1842</v>
      </c>
      <c r="D38">
        <v>2</v>
      </c>
      <c r="E38" t="s">
        <v>369</v>
      </c>
    </row>
    <row r="39" spans="1:5" x14ac:dyDescent="0.25">
      <c r="A39">
        <v>23</v>
      </c>
      <c r="B39" t="s">
        <v>1847</v>
      </c>
      <c r="C39" t="s">
        <v>1848</v>
      </c>
      <c r="D39">
        <v>3</v>
      </c>
      <c r="E39" t="s">
        <v>1849</v>
      </c>
    </row>
    <row r="40" spans="1:5" x14ac:dyDescent="0.25">
      <c r="A40">
        <v>25</v>
      </c>
      <c r="B40" t="s">
        <v>1606</v>
      </c>
      <c r="C40" t="s">
        <v>1848</v>
      </c>
      <c r="D40">
        <v>3</v>
      </c>
      <c r="E40" t="s">
        <v>1849</v>
      </c>
    </row>
    <row r="41" spans="1:5" x14ac:dyDescent="0.25">
      <c r="A41">
        <v>26</v>
      </c>
      <c r="B41" t="s">
        <v>1850</v>
      </c>
      <c r="C41" t="s">
        <v>1848</v>
      </c>
      <c r="D41">
        <v>3</v>
      </c>
      <c r="E41" t="s">
        <v>1849</v>
      </c>
    </row>
    <row r="42" spans="1:5" x14ac:dyDescent="0.25">
      <c r="A42">
        <v>27</v>
      </c>
      <c r="B42" t="s">
        <v>1851</v>
      </c>
      <c r="C42" t="s">
        <v>1848</v>
      </c>
      <c r="D42">
        <v>3</v>
      </c>
      <c r="E42" t="s">
        <v>1849</v>
      </c>
    </row>
    <row r="43" spans="1:5" x14ac:dyDescent="0.25">
      <c r="A43">
        <v>29</v>
      </c>
      <c r="B43" t="s">
        <v>1852</v>
      </c>
      <c r="C43" t="s">
        <v>1848</v>
      </c>
      <c r="D43">
        <v>3</v>
      </c>
      <c r="E43" t="s">
        <v>1849</v>
      </c>
    </row>
    <row r="44" spans="1:5" x14ac:dyDescent="0.25">
      <c r="A44">
        <v>30</v>
      </c>
      <c r="B44" t="s">
        <v>1853</v>
      </c>
      <c r="C44" t="s">
        <v>1848</v>
      </c>
      <c r="D44">
        <v>3</v>
      </c>
      <c r="E44" t="s">
        <v>1849</v>
      </c>
    </row>
    <row r="45" spans="1:5" x14ac:dyDescent="0.25">
      <c r="A45">
        <v>24</v>
      </c>
      <c r="B45" t="s">
        <v>1854</v>
      </c>
      <c r="C45" t="s">
        <v>1855</v>
      </c>
      <c r="D45">
        <v>7</v>
      </c>
      <c r="E45" t="s">
        <v>1381</v>
      </c>
    </row>
    <row r="46" spans="1:5" x14ac:dyDescent="0.25">
      <c r="A46">
        <v>28</v>
      </c>
      <c r="B46" t="s">
        <v>1856</v>
      </c>
      <c r="C46" t="s">
        <v>1855</v>
      </c>
      <c r="D46">
        <v>7</v>
      </c>
      <c r="E46" t="s">
        <v>1381</v>
      </c>
    </row>
    <row r="47" spans="1:5" x14ac:dyDescent="0.25">
      <c r="A47">
        <v>31</v>
      </c>
      <c r="B47" t="s">
        <v>1857</v>
      </c>
      <c r="C47" t="s">
        <v>1855</v>
      </c>
      <c r="D47">
        <v>7</v>
      </c>
      <c r="E47" t="s">
        <v>1381</v>
      </c>
    </row>
    <row r="48" spans="1:5" x14ac:dyDescent="0.25">
      <c r="A48">
        <v>71</v>
      </c>
      <c r="B48" t="s">
        <v>1858</v>
      </c>
      <c r="C48" t="s">
        <v>1859</v>
      </c>
      <c r="D48">
        <v>5</v>
      </c>
      <c r="E48" t="s">
        <v>1860</v>
      </c>
    </row>
    <row r="49" spans="1:5" x14ac:dyDescent="0.25">
      <c r="A49">
        <v>72</v>
      </c>
      <c r="B49" t="s">
        <v>1861</v>
      </c>
      <c r="C49" t="s">
        <v>1859</v>
      </c>
      <c r="D49">
        <v>5</v>
      </c>
      <c r="E49" t="s">
        <v>1860</v>
      </c>
    </row>
    <row r="50" spans="1:5" x14ac:dyDescent="0.25">
      <c r="A50">
        <v>73</v>
      </c>
      <c r="B50" t="s">
        <v>1862</v>
      </c>
      <c r="C50" t="s">
        <v>1859</v>
      </c>
      <c r="D50">
        <v>5</v>
      </c>
      <c r="E50" t="s">
        <v>1860</v>
      </c>
    </row>
    <row r="51" spans="1:5" x14ac:dyDescent="0.25">
      <c r="A51">
        <v>74</v>
      </c>
      <c r="B51" t="s">
        <v>1863</v>
      </c>
      <c r="C51" t="s">
        <v>1859</v>
      </c>
      <c r="D51">
        <v>5</v>
      </c>
      <c r="E51" t="s">
        <v>1860</v>
      </c>
    </row>
    <row r="52" spans="1:5" x14ac:dyDescent="0.25">
      <c r="A52">
        <v>49</v>
      </c>
      <c r="B52" t="s">
        <v>1864</v>
      </c>
      <c r="C52" t="s">
        <v>1865</v>
      </c>
      <c r="D52">
        <v>5</v>
      </c>
      <c r="E52" t="s">
        <v>1860</v>
      </c>
    </row>
    <row r="53" spans="1:5" x14ac:dyDescent="0.25">
      <c r="A53">
        <v>50</v>
      </c>
      <c r="B53" t="s">
        <v>1866</v>
      </c>
      <c r="C53" t="s">
        <v>1865</v>
      </c>
      <c r="D53">
        <v>5</v>
      </c>
      <c r="E53" t="s">
        <v>1860</v>
      </c>
    </row>
    <row r="54" spans="1:5" x14ac:dyDescent="0.25">
      <c r="A54">
        <v>53</v>
      </c>
      <c r="B54" t="s">
        <v>1867</v>
      </c>
      <c r="C54" t="s">
        <v>1865</v>
      </c>
      <c r="D54">
        <v>5</v>
      </c>
      <c r="E54" t="s">
        <v>1860</v>
      </c>
    </row>
    <row r="55" spans="1:5" x14ac:dyDescent="0.25">
      <c r="A55">
        <v>75</v>
      </c>
      <c r="B55" t="s">
        <v>1868</v>
      </c>
      <c r="C55" t="s">
        <v>1865</v>
      </c>
      <c r="D55">
        <v>5</v>
      </c>
      <c r="E55" t="s">
        <v>1860</v>
      </c>
    </row>
    <row r="56" spans="1:5" x14ac:dyDescent="0.25">
      <c r="A56">
        <v>51</v>
      </c>
      <c r="B56" t="s">
        <v>1869</v>
      </c>
      <c r="C56" t="s">
        <v>1870</v>
      </c>
      <c r="D56">
        <v>5</v>
      </c>
      <c r="E56" t="s">
        <v>1860</v>
      </c>
    </row>
    <row r="57" spans="1:5" x14ac:dyDescent="0.25">
      <c r="A57">
        <v>52</v>
      </c>
      <c r="B57" t="s">
        <v>1871</v>
      </c>
      <c r="C57" t="s">
        <v>1870</v>
      </c>
      <c r="D57">
        <v>5</v>
      </c>
      <c r="E57" t="s">
        <v>1860</v>
      </c>
    </row>
    <row r="58" spans="1:5" x14ac:dyDescent="0.25">
      <c r="A58">
        <v>54</v>
      </c>
      <c r="B58" t="s">
        <v>1872</v>
      </c>
      <c r="C58" t="s">
        <v>1870</v>
      </c>
      <c r="D58">
        <v>5</v>
      </c>
      <c r="E58" t="s">
        <v>1860</v>
      </c>
    </row>
    <row r="59" spans="1:5" x14ac:dyDescent="0.25">
      <c r="A59">
        <v>55</v>
      </c>
      <c r="B59" t="s">
        <v>1873</v>
      </c>
      <c r="C59" t="s">
        <v>1870</v>
      </c>
      <c r="D59">
        <v>5</v>
      </c>
      <c r="E59" t="s">
        <v>1860</v>
      </c>
    </row>
    <row r="60" spans="1:5" x14ac:dyDescent="0.25">
      <c r="A60">
        <v>35</v>
      </c>
      <c r="B60" t="s">
        <v>419</v>
      </c>
      <c r="C60" t="s">
        <v>1874</v>
      </c>
      <c r="D60">
        <v>6</v>
      </c>
      <c r="E60" t="s">
        <v>1875</v>
      </c>
    </row>
    <row r="61" spans="1:5" x14ac:dyDescent="0.25">
      <c r="A61">
        <v>36</v>
      </c>
      <c r="B61" t="s">
        <v>1876</v>
      </c>
      <c r="C61" t="s">
        <v>1874</v>
      </c>
      <c r="D61">
        <v>6</v>
      </c>
      <c r="E61" t="s">
        <v>1875</v>
      </c>
    </row>
    <row r="62" spans="1:5" x14ac:dyDescent="0.25">
      <c r="A62">
        <v>37</v>
      </c>
      <c r="B62" t="s">
        <v>1877</v>
      </c>
      <c r="C62" t="s">
        <v>1874</v>
      </c>
      <c r="D62">
        <v>6</v>
      </c>
      <c r="E62" t="s">
        <v>1875</v>
      </c>
    </row>
    <row r="63" spans="1:5" x14ac:dyDescent="0.25">
      <c r="A63">
        <v>38</v>
      </c>
      <c r="B63" t="s">
        <v>1878</v>
      </c>
      <c r="C63" t="s">
        <v>1874</v>
      </c>
      <c r="D63">
        <v>6</v>
      </c>
      <c r="E63" t="s">
        <v>1875</v>
      </c>
    </row>
    <row r="64" spans="1:5" x14ac:dyDescent="0.25">
      <c r="A64">
        <v>39</v>
      </c>
      <c r="B64" t="s">
        <v>1879</v>
      </c>
      <c r="C64" t="s">
        <v>1874</v>
      </c>
      <c r="D64">
        <v>6</v>
      </c>
      <c r="E64" t="s">
        <v>1875</v>
      </c>
    </row>
    <row r="65" spans="1:5" x14ac:dyDescent="0.25">
      <c r="A65">
        <v>34</v>
      </c>
      <c r="B65" t="s">
        <v>1880</v>
      </c>
      <c r="C65" t="s">
        <v>1874</v>
      </c>
      <c r="D65">
        <v>6</v>
      </c>
      <c r="E65" t="s">
        <v>1875</v>
      </c>
    </row>
    <row r="66" spans="1:5" x14ac:dyDescent="0.25">
      <c r="A66">
        <v>40</v>
      </c>
      <c r="B66" t="s">
        <v>1881</v>
      </c>
      <c r="C66" t="s">
        <v>1882</v>
      </c>
      <c r="D66">
        <v>6</v>
      </c>
      <c r="E66" t="s">
        <v>1875</v>
      </c>
    </row>
    <row r="67" spans="1:5" x14ac:dyDescent="0.25">
      <c r="A67">
        <v>41</v>
      </c>
      <c r="B67" t="s">
        <v>1883</v>
      </c>
      <c r="C67" t="s">
        <v>1882</v>
      </c>
      <c r="D67">
        <v>6</v>
      </c>
      <c r="E67" t="s">
        <v>1875</v>
      </c>
    </row>
    <row r="68" spans="1:5" x14ac:dyDescent="0.25">
      <c r="A68">
        <v>42</v>
      </c>
      <c r="B68" t="s">
        <v>974</v>
      </c>
      <c r="C68" t="s">
        <v>1882</v>
      </c>
      <c r="D68">
        <v>6</v>
      </c>
      <c r="E68" t="s">
        <v>1875</v>
      </c>
    </row>
    <row r="69" spans="1:5" x14ac:dyDescent="0.25">
      <c r="A69">
        <v>43</v>
      </c>
      <c r="B69" t="s">
        <v>755</v>
      </c>
      <c r="C69" t="s">
        <v>1882</v>
      </c>
      <c r="D69">
        <v>6</v>
      </c>
      <c r="E69" t="s">
        <v>1875</v>
      </c>
    </row>
    <row r="70" spans="1:5" x14ac:dyDescent="0.25">
      <c r="A70">
        <v>69</v>
      </c>
      <c r="B70" t="s">
        <v>1884</v>
      </c>
      <c r="C70" t="s">
        <v>1882</v>
      </c>
      <c r="D70">
        <v>6</v>
      </c>
      <c r="E70" t="s">
        <v>1875</v>
      </c>
    </row>
    <row r="71" spans="1:5" x14ac:dyDescent="0.25">
      <c r="A71">
        <v>44</v>
      </c>
      <c r="B71" t="s">
        <v>1885</v>
      </c>
      <c r="C71" t="s">
        <v>1886</v>
      </c>
      <c r="D71">
        <v>6</v>
      </c>
      <c r="E71" t="s">
        <v>1875</v>
      </c>
    </row>
    <row r="72" spans="1:5" x14ac:dyDescent="0.25">
      <c r="A72">
        <v>45</v>
      </c>
      <c r="B72" t="s">
        <v>1887</v>
      </c>
      <c r="C72" t="s">
        <v>1886</v>
      </c>
      <c r="D72">
        <v>6</v>
      </c>
      <c r="E72" t="s">
        <v>1875</v>
      </c>
    </row>
    <row r="73" spans="1:5" x14ac:dyDescent="0.25">
      <c r="A73">
        <v>46</v>
      </c>
      <c r="B73" t="s">
        <v>307</v>
      </c>
      <c r="C73" t="s">
        <v>1886</v>
      </c>
      <c r="D73">
        <v>6</v>
      </c>
      <c r="E73" t="s">
        <v>1875</v>
      </c>
    </row>
    <row r="74" spans="1:5" x14ac:dyDescent="0.25">
      <c r="A74">
        <v>47</v>
      </c>
      <c r="B74" t="s">
        <v>1888</v>
      </c>
      <c r="C74" t="s">
        <v>1886</v>
      </c>
      <c r="D74">
        <v>6</v>
      </c>
      <c r="E74" t="s">
        <v>1875</v>
      </c>
    </row>
    <row r="75" spans="1:5" x14ac:dyDescent="0.25">
      <c r="A75">
        <v>48</v>
      </c>
      <c r="B75" t="s">
        <v>1889</v>
      </c>
      <c r="C75" t="s">
        <v>1886</v>
      </c>
      <c r="D75">
        <v>6</v>
      </c>
      <c r="E75" t="s">
        <v>1875</v>
      </c>
    </row>
    <row r="76" spans="1:5" x14ac:dyDescent="0.25">
      <c r="A76">
        <v>33</v>
      </c>
      <c r="B76" t="s">
        <v>1890</v>
      </c>
      <c r="C76">
        <v>7</v>
      </c>
      <c r="D76">
        <v>7</v>
      </c>
      <c r="E76" t="s">
        <v>1381</v>
      </c>
    </row>
    <row r="77" spans="1:5" x14ac:dyDescent="0.25">
      <c r="A77">
        <v>8</v>
      </c>
      <c r="B77" t="s">
        <v>1891</v>
      </c>
      <c r="C77">
        <v>7</v>
      </c>
      <c r="D77">
        <v>7</v>
      </c>
      <c r="E77" t="s">
        <v>1381</v>
      </c>
    </row>
    <row r="78" spans="1:5" x14ac:dyDescent="0.25">
      <c r="A78">
        <v>32</v>
      </c>
      <c r="B78" t="s">
        <v>1892</v>
      </c>
      <c r="C78">
        <v>7</v>
      </c>
      <c r="D78">
        <v>7</v>
      </c>
      <c r="E78" t="s">
        <v>1381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3F38FBD54E047AB3A6A1A34C604F7" ma:contentTypeVersion="16" ma:contentTypeDescription="Create a new document." ma:contentTypeScope="" ma:versionID="126ccf3739daa4a46e79f01ad8ed1db9">
  <xsd:schema xmlns:xsd="http://www.w3.org/2001/XMLSchema" xmlns:xs="http://www.w3.org/2001/XMLSchema" xmlns:p="http://schemas.microsoft.com/office/2006/metadata/properties" xmlns:ns2="ae1a37bc-7cf4-4dde-afa4-3422cb02ba97" xmlns:ns3="d1e273cb-de8a-4719-97a0-5a6afbd1fd41" xmlns:ns4="1ecc9e71-491a-4f8c-a018-e450f770efd4" targetNamespace="http://schemas.microsoft.com/office/2006/metadata/properties" ma:root="true" ma:fieldsID="98b1c33cc613f7e937983047e0245b67" ns2:_="" ns3:_="" ns4:_="">
    <xsd:import namespace="ae1a37bc-7cf4-4dde-afa4-3422cb02ba97"/>
    <xsd:import namespace="d1e273cb-de8a-4719-97a0-5a6afbd1fd41"/>
    <xsd:import namespace="1ecc9e71-491a-4f8c-a018-e450f770ef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a37bc-7cf4-4dde-afa4-3422cb02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0d1f32-acc0-4b18-a898-8579d5c617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273cb-de8a-4719-97a0-5a6afbd1fd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c87cdb3-01ff-4eb8-84ee-6c356b3a77fc}" ma:internalName="TaxCatchAll" ma:readOnly="false" ma:showField="CatchAllData" ma:web="d1e273cb-de8a-4719-97a0-5a6afbd1f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c9e71-491a-4f8c-a018-e450f770efd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1a37bc-7cf4-4dde-afa4-3422cb02ba97">
      <Terms xmlns="http://schemas.microsoft.com/office/infopath/2007/PartnerControls"/>
    </lcf76f155ced4ddcb4097134ff3c332f>
    <TaxCatchAll xmlns="d1e273cb-de8a-4719-97a0-5a6afbd1fd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B957A7-65F3-43EA-8ECC-0AB977CA0088}"/>
</file>

<file path=customXml/itemProps2.xml><?xml version="1.0" encoding="utf-8"?>
<ds:datastoreItem xmlns:ds="http://schemas.openxmlformats.org/officeDocument/2006/customXml" ds:itemID="{BD49F50C-E1B8-4B86-84F7-73361DD383AB}">
  <ds:schemaRefs>
    <ds:schemaRef ds:uri="http://schemas.microsoft.com/office/2006/metadata/properties"/>
    <ds:schemaRef ds:uri="http://schemas.microsoft.com/office/infopath/2007/PartnerControls"/>
    <ds:schemaRef ds:uri="ae1a37bc-7cf4-4dde-afa4-3422cb02ba97"/>
    <ds:schemaRef ds:uri="d1e273cb-de8a-4719-97a0-5a6afbd1fd41"/>
  </ds:schemaRefs>
</ds:datastoreItem>
</file>

<file path=customXml/itemProps3.xml><?xml version="1.0" encoding="utf-8"?>
<ds:datastoreItem xmlns:ds="http://schemas.openxmlformats.org/officeDocument/2006/customXml" ds:itemID="{7A9EA866-8452-45B0-A53A-9A7133D983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Network</vt:lpstr>
      <vt:lpstr>Equity</vt:lpstr>
      <vt:lpstr>Geographies</vt:lpstr>
      <vt:lpstr>Community Areas</vt:lpstr>
    </vt:vector>
  </TitlesOfParts>
  <Manager/>
  <Company>City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John Pickering</cp:lastModifiedBy>
  <cp:revision/>
  <dcterms:created xsi:type="dcterms:W3CDTF">2012-06-07T16:35:03Z</dcterms:created>
  <dcterms:modified xsi:type="dcterms:W3CDTF">2024-05-16T20:20:48Z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0x010100D2E3F38FBD54E047AB3A6A1A34C604F7</vt:lpwstr>
  </property>
  <property fmtid="{D5CDD505-2E9C-101B-9397-08002B2CF9AE}" pid="3" name="MediaServiceImageTags">
    <vt:lpwstr/>
  </property>
</Properties>
</file>